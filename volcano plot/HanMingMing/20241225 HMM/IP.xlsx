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3F82EA2-1A2F-400F-9B2B-D118104C294B}" xr6:coauthVersionLast="47" xr6:coauthVersionMax="47" xr10:uidLastSave="{00000000-0000-0000-0000-000000000000}"/>
  <bookViews>
    <workbookView xWindow="-98" yWindow="-98" windowWidth="19095" windowHeight="12075" firstSheet="2" activeTab="4" xr2:uid="{00000000-000D-0000-FFFF-FFFF00000000}"/>
  </bookViews>
  <sheets>
    <sheet name="allsample.tpm" sheetId="1" r:id="rId1"/>
    <sheet name="Sheet1" sheetId="11" r:id="rId2"/>
    <sheet name="young  vs middle " sheetId="2" r:id="rId3"/>
    <sheet name="middle vs old" sheetId="3" r:id="rId4"/>
    <sheet name="young  vs  old" sheetId="4" r:id="rId5"/>
    <sheet name="青年" sheetId="5" r:id="rId6"/>
    <sheet name="中年" sheetId="6" r:id="rId7"/>
    <sheet name="老年" sheetId="7" r:id="rId8"/>
    <sheet name="汇总" sheetId="8" r:id="rId9"/>
    <sheet name="Sheet2" sheetId="9" r:id="rId10"/>
  </sheets>
  <calcPr calcId="191029"/>
</workbook>
</file>

<file path=xl/calcChain.xml><?xml version="1.0" encoding="utf-8"?>
<calcChain xmlns="http://schemas.openxmlformats.org/spreadsheetml/2006/main">
  <c r="Z893" i="11" l="1"/>
  <c r="Z3" i="11"/>
  <c r="AA3" i="11"/>
  <c r="AB3" i="11"/>
  <c r="Z4" i="11"/>
  <c r="AA4" i="11"/>
  <c r="AB4" i="11"/>
  <c r="Z5" i="11"/>
  <c r="AA5" i="11"/>
  <c r="AB5" i="11"/>
  <c r="Z6" i="11"/>
  <c r="AA6" i="11"/>
  <c r="AB6" i="11"/>
  <c r="Z7" i="11"/>
  <c r="AA7" i="11"/>
  <c r="AB7" i="11"/>
  <c r="Z8" i="11"/>
  <c r="AA8" i="11"/>
  <c r="AB8" i="11"/>
  <c r="Z9" i="11"/>
  <c r="AA9" i="11"/>
  <c r="AB9" i="11"/>
  <c r="Z10" i="11"/>
  <c r="AA10" i="11"/>
  <c r="AB10" i="11"/>
  <c r="Z11" i="11"/>
  <c r="AA11" i="11"/>
  <c r="AB11" i="11"/>
  <c r="Z12" i="11"/>
  <c r="AA12" i="11"/>
  <c r="AB12" i="11"/>
  <c r="Z13" i="11"/>
  <c r="AA13" i="11"/>
  <c r="AB13" i="11"/>
  <c r="Z14" i="11"/>
  <c r="AA14" i="11"/>
  <c r="AB14" i="11"/>
  <c r="Z15" i="11"/>
  <c r="AA15" i="11"/>
  <c r="AB15" i="11"/>
  <c r="Z16" i="11"/>
  <c r="AA16" i="11"/>
  <c r="AB16" i="11"/>
  <c r="Z17" i="11"/>
  <c r="AA17" i="11"/>
  <c r="AB17" i="11"/>
  <c r="Z18" i="11"/>
  <c r="AA18" i="11"/>
  <c r="AB18" i="11"/>
  <c r="Z19" i="11"/>
  <c r="AA19" i="11"/>
  <c r="AB19" i="11"/>
  <c r="Z20" i="11"/>
  <c r="AA20" i="11"/>
  <c r="AB20" i="11"/>
  <c r="Z21" i="11"/>
  <c r="AA21" i="11"/>
  <c r="AB21" i="11"/>
  <c r="Z22" i="11"/>
  <c r="AA22" i="11"/>
  <c r="AB22" i="11"/>
  <c r="Z23" i="11"/>
  <c r="AA23" i="11"/>
  <c r="AB23" i="11"/>
  <c r="Z24" i="11"/>
  <c r="AA24" i="11"/>
  <c r="AB24" i="11"/>
  <c r="Z25" i="11"/>
  <c r="AA25" i="11"/>
  <c r="AB25" i="11"/>
  <c r="Z26" i="11"/>
  <c r="AA26" i="11"/>
  <c r="AB26" i="11"/>
  <c r="Z27" i="11"/>
  <c r="AA27" i="11"/>
  <c r="AB27" i="11"/>
  <c r="Z28" i="11"/>
  <c r="AA28" i="11"/>
  <c r="AB28" i="11"/>
  <c r="Z29" i="11"/>
  <c r="AA29" i="11"/>
  <c r="AB29" i="11"/>
  <c r="Z30" i="11"/>
  <c r="AA30" i="11"/>
  <c r="AB30" i="11"/>
  <c r="Z31" i="11"/>
  <c r="AA31" i="11"/>
  <c r="AB31" i="11"/>
  <c r="Z32" i="11"/>
  <c r="AA32" i="11"/>
  <c r="AB32" i="11"/>
  <c r="Z33" i="11"/>
  <c r="AA33" i="11"/>
  <c r="AB33" i="11"/>
  <c r="Z34" i="11"/>
  <c r="AA34" i="11"/>
  <c r="AB34" i="11"/>
  <c r="Z35" i="11"/>
  <c r="AA35" i="11"/>
  <c r="AB35" i="11"/>
  <c r="Z36" i="11"/>
  <c r="AA36" i="11"/>
  <c r="AB36" i="11"/>
  <c r="Z37" i="11"/>
  <c r="AA37" i="11"/>
  <c r="AB37" i="11"/>
  <c r="Z38" i="11"/>
  <c r="AA38" i="11"/>
  <c r="AB38" i="11"/>
  <c r="Z39" i="11"/>
  <c r="AA39" i="11"/>
  <c r="AB39" i="11"/>
  <c r="Z40" i="11"/>
  <c r="AA40" i="11"/>
  <c r="AB40" i="11"/>
  <c r="Z41" i="11"/>
  <c r="AA41" i="11"/>
  <c r="AB41" i="11"/>
  <c r="Z42" i="11"/>
  <c r="AA42" i="11"/>
  <c r="AB42" i="11"/>
  <c r="Z43" i="11"/>
  <c r="AA43" i="11"/>
  <c r="AB43" i="11"/>
  <c r="Z44" i="11"/>
  <c r="AA44" i="11"/>
  <c r="AB44" i="11"/>
  <c r="Z45" i="11"/>
  <c r="AA45" i="11"/>
  <c r="AB45" i="11"/>
  <c r="Z46" i="11"/>
  <c r="AA46" i="11"/>
  <c r="AB46" i="11"/>
  <c r="Z47" i="11"/>
  <c r="AA47" i="11"/>
  <c r="AB47" i="11"/>
  <c r="Z48" i="11"/>
  <c r="AA48" i="11"/>
  <c r="AB48" i="11"/>
  <c r="Z49" i="11"/>
  <c r="AA49" i="11"/>
  <c r="AB49" i="11"/>
  <c r="Z50" i="11"/>
  <c r="AA50" i="11"/>
  <c r="AB50" i="11"/>
  <c r="Z51" i="11"/>
  <c r="AA51" i="11"/>
  <c r="AB51" i="11"/>
  <c r="Z52" i="11"/>
  <c r="AA52" i="11"/>
  <c r="AB52" i="11"/>
  <c r="Z53" i="11"/>
  <c r="AA53" i="11"/>
  <c r="AB53" i="11"/>
  <c r="Z54" i="11"/>
  <c r="AA54" i="11"/>
  <c r="AB54" i="11"/>
  <c r="Z55" i="11"/>
  <c r="AA55" i="11"/>
  <c r="AB55" i="11"/>
  <c r="Z56" i="11"/>
  <c r="AA56" i="11"/>
  <c r="AB56" i="11"/>
  <c r="Z57" i="11"/>
  <c r="AA57" i="11"/>
  <c r="AB57" i="11"/>
  <c r="Z58" i="11"/>
  <c r="AA58" i="11"/>
  <c r="AB58" i="11"/>
  <c r="Z59" i="11"/>
  <c r="AA59" i="11"/>
  <c r="AB59" i="11"/>
  <c r="Z60" i="11"/>
  <c r="AA60" i="11"/>
  <c r="AB60" i="11"/>
  <c r="Z61" i="11"/>
  <c r="AA61" i="11"/>
  <c r="AB61" i="11"/>
  <c r="Z62" i="11"/>
  <c r="AA62" i="11"/>
  <c r="AB62" i="11"/>
  <c r="Z63" i="11"/>
  <c r="AA63" i="11"/>
  <c r="AB63" i="11"/>
  <c r="Z64" i="11"/>
  <c r="AA64" i="11"/>
  <c r="AB64" i="11"/>
  <c r="Z65" i="11"/>
  <c r="AA65" i="11"/>
  <c r="AB65" i="11"/>
  <c r="Z66" i="11"/>
  <c r="AA66" i="11"/>
  <c r="AB66" i="11"/>
  <c r="Z67" i="11"/>
  <c r="AA67" i="11"/>
  <c r="AB67" i="11"/>
  <c r="Z68" i="11"/>
  <c r="AA68" i="11"/>
  <c r="AB68" i="11"/>
  <c r="Z69" i="11"/>
  <c r="AA69" i="11"/>
  <c r="AB69" i="11"/>
  <c r="Z70" i="11"/>
  <c r="AA70" i="11"/>
  <c r="AB70" i="11"/>
  <c r="Z71" i="11"/>
  <c r="AA71" i="11"/>
  <c r="AB71" i="11"/>
  <c r="Z72" i="11"/>
  <c r="AA72" i="11"/>
  <c r="AB72" i="11"/>
  <c r="Z73" i="11"/>
  <c r="AA73" i="11"/>
  <c r="AB73" i="11"/>
  <c r="Z74" i="11"/>
  <c r="AA74" i="11"/>
  <c r="AB74" i="11"/>
  <c r="Z75" i="11"/>
  <c r="AA75" i="11"/>
  <c r="AB75" i="11"/>
  <c r="Z76" i="11"/>
  <c r="AA76" i="11"/>
  <c r="AB76" i="11"/>
  <c r="Z77" i="11"/>
  <c r="AA77" i="11"/>
  <c r="AB77" i="11"/>
  <c r="Z78" i="11"/>
  <c r="AA78" i="11"/>
  <c r="AB78" i="11"/>
  <c r="Z79" i="11"/>
  <c r="AA79" i="11"/>
  <c r="AB79" i="11"/>
  <c r="Z80" i="11"/>
  <c r="AA80" i="11"/>
  <c r="AB80" i="11"/>
  <c r="Z81" i="11"/>
  <c r="AA81" i="11"/>
  <c r="AB81" i="11"/>
  <c r="Z82" i="11"/>
  <c r="AA82" i="11"/>
  <c r="AB82" i="11"/>
  <c r="Z83" i="11"/>
  <c r="AA83" i="11"/>
  <c r="AB83" i="11"/>
  <c r="Z84" i="11"/>
  <c r="AA84" i="11"/>
  <c r="AB84" i="11"/>
  <c r="Z85" i="11"/>
  <c r="AA85" i="11"/>
  <c r="AB85" i="11"/>
  <c r="Z86" i="11"/>
  <c r="AA86" i="11"/>
  <c r="AB86" i="11"/>
  <c r="Z87" i="11"/>
  <c r="AA87" i="11"/>
  <c r="AB87" i="11"/>
  <c r="Z88" i="11"/>
  <c r="AA88" i="11"/>
  <c r="AB88" i="11"/>
  <c r="Z89" i="11"/>
  <c r="AA89" i="11"/>
  <c r="AB89" i="11"/>
  <c r="Z90" i="11"/>
  <c r="AA90" i="11"/>
  <c r="AB90" i="11"/>
  <c r="Z91" i="11"/>
  <c r="AA91" i="11"/>
  <c r="AB91" i="11"/>
  <c r="Z92" i="11"/>
  <c r="AA92" i="11"/>
  <c r="AB92" i="11"/>
  <c r="Z93" i="11"/>
  <c r="AA93" i="11"/>
  <c r="AB93" i="11"/>
  <c r="Z94" i="11"/>
  <c r="AA94" i="11"/>
  <c r="AB94" i="11"/>
  <c r="Z95" i="11"/>
  <c r="AA95" i="11"/>
  <c r="AB95" i="11"/>
  <c r="Z96" i="11"/>
  <c r="AA96" i="11"/>
  <c r="AB96" i="11"/>
  <c r="Z97" i="11"/>
  <c r="AA97" i="11"/>
  <c r="AB97" i="11"/>
  <c r="Z98" i="11"/>
  <c r="AA98" i="11"/>
  <c r="AB98" i="11"/>
  <c r="Z99" i="11"/>
  <c r="AA99" i="11"/>
  <c r="AB99" i="11"/>
  <c r="Z100" i="11"/>
  <c r="AA100" i="11"/>
  <c r="AB100" i="11"/>
  <c r="Z101" i="11"/>
  <c r="AA101" i="11"/>
  <c r="AB101" i="11"/>
  <c r="Z102" i="11"/>
  <c r="AA102" i="11"/>
  <c r="AB102" i="11"/>
  <c r="Z103" i="11"/>
  <c r="AA103" i="11"/>
  <c r="AB103" i="11"/>
  <c r="Z104" i="11"/>
  <c r="AA104" i="11"/>
  <c r="AB104" i="11"/>
  <c r="Z105" i="11"/>
  <c r="AA105" i="11"/>
  <c r="AB105" i="11"/>
  <c r="Z106" i="11"/>
  <c r="AA106" i="11"/>
  <c r="AB106" i="11"/>
  <c r="Z107" i="11"/>
  <c r="AA107" i="11"/>
  <c r="AB107" i="11"/>
  <c r="Z108" i="11"/>
  <c r="AA108" i="11"/>
  <c r="AB108" i="11"/>
  <c r="Z109" i="11"/>
  <c r="AA109" i="11"/>
  <c r="AB109" i="11"/>
  <c r="Z110" i="11"/>
  <c r="AA110" i="11"/>
  <c r="AB110" i="11"/>
  <c r="Z111" i="11"/>
  <c r="AA111" i="11"/>
  <c r="AB111" i="11"/>
  <c r="Z112" i="11"/>
  <c r="AA112" i="11"/>
  <c r="AB112" i="11"/>
  <c r="Z113" i="11"/>
  <c r="AA113" i="11"/>
  <c r="AB113" i="11"/>
  <c r="Z114" i="11"/>
  <c r="AA114" i="11"/>
  <c r="AB114" i="11"/>
  <c r="Z115" i="11"/>
  <c r="AA115" i="11"/>
  <c r="AB115" i="11"/>
  <c r="Z116" i="11"/>
  <c r="AA116" i="11"/>
  <c r="AB116" i="11"/>
  <c r="Z117" i="11"/>
  <c r="AA117" i="11"/>
  <c r="AB117" i="11"/>
  <c r="Z118" i="11"/>
  <c r="AA118" i="11"/>
  <c r="AB118" i="11"/>
  <c r="Z119" i="11"/>
  <c r="AA119" i="11"/>
  <c r="AB119" i="11"/>
  <c r="Z120" i="11"/>
  <c r="AA120" i="11"/>
  <c r="AB120" i="11"/>
  <c r="Z121" i="11"/>
  <c r="AA121" i="11"/>
  <c r="AB121" i="11"/>
  <c r="Z122" i="11"/>
  <c r="AA122" i="11"/>
  <c r="AB122" i="11"/>
  <c r="Z123" i="11"/>
  <c r="AA123" i="11"/>
  <c r="AB123" i="11"/>
  <c r="Z124" i="11"/>
  <c r="AA124" i="11"/>
  <c r="AB124" i="11"/>
  <c r="Z125" i="11"/>
  <c r="AA125" i="11"/>
  <c r="AB125" i="11"/>
  <c r="Z126" i="11"/>
  <c r="AA126" i="11"/>
  <c r="AB126" i="11"/>
  <c r="Z127" i="11"/>
  <c r="AA127" i="11"/>
  <c r="AB127" i="11"/>
  <c r="Z128" i="11"/>
  <c r="AA128" i="11"/>
  <c r="AB128" i="11"/>
  <c r="Z129" i="11"/>
  <c r="AA129" i="11"/>
  <c r="AB129" i="11"/>
  <c r="Z130" i="11"/>
  <c r="AA130" i="11"/>
  <c r="AB130" i="11"/>
  <c r="Z131" i="11"/>
  <c r="AA131" i="11"/>
  <c r="AB131" i="11"/>
  <c r="Z132" i="11"/>
  <c r="AA132" i="11"/>
  <c r="AB132" i="11"/>
  <c r="Z133" i="11"/>
  <c r="AA133" i="11"/>
  <c r="AB133" i="11"/>
  <c r="Z134" i="11"/>
  <c r="AA134" i="11"/>
  <c r="AB134" i="11"/>
  <c r="Z135" i="11"/>
  <c r="AA135" i="11"/>
  <c r="AB135" i="11"/>
  <c r="Z136" i="11"/>
  <c r="AA136" i="11"/>
  <c r="AB136" i="11"/>
  <c r="Z137" i="11"/>
  <c r="AA137" i="11"/>
  <c r="AB137" i="11"/>
  <c r="Z138" i="11"/>
  <c r="AA138" i="11"/>
  <c r="AB138" i="11"/>
  <c r="Z139" i="11"/>
  <c r="AA139" i="11"/>
  <c r="AB139" i="11"/>
  <c r="Z140" i="11"/>
  <c r="AA140" i="11"/>
  <c r="AB140" i="11"/>
  <c r="Z141" i="11"/>
  <c r="AA141" i="11"/>
  <c r="AB141" i="11"/>
  <c r="Z142" i="11"/>
  <c r="AA142" i="11"/>
  <c r="AB142" i="11"/>
  <c r="Z143" i="11"/>
  <c r="AA143" i="11"/>
  <c r="AB143" i="11"/>
  <c r="Z144" i="11"/>
  <c r="AA144" i="11"/>
  <c r="AB144" i="11"/>
  <c r="Z145" i="11"/>
  <c r="AA145" i="11"/>
  <c r="AB145" i="11"/>
  <c r="Z146" i="11"/>
  <c r="AA146" i="11"/>
  <c r="AB146" i="11"/>
  <c r="Z147" i="11"/>
  <c r="AA147" i="11"/>
  <c r="AB147" i="11"/>
  <c r="Z148" i="11"/>
  <c r="AA148" i="11"/>
  <c r="AB148" i="11"/>
  <c r="Z149" i="11"/>
  <c r="AA149" i="11"/>
  <c r="AB149" i="11"/>
  <c r="Z150" i="11"/>
  <c r="AA150" i="11"/>
  <c r="AB150" i="11"/>
  <c r="Z151" i="11"/>
  <c r="AA151" i="11"/>
  <c r="AB151" i="11"/>
  <c r="Z152" i="11"/>
  <c r="AA152" i="11"/>
  <c r="AB152" i="11"/>
  <c r="Z153" i="11"/>
  <c r="AA153" i="11"/>
  <c r="AB153" i="11"/>
  <c r="Z154" i="11"/>
  <c r="AA154" i="11"/>
  <c r="AB154" i="11"/>
  <c r="Z155" i="11"/>
  <c r="AA155" i="11"/>
  <c r="AB155" i="11"/>
  <c r="Z156" i="11"/>
  <c r="AA156" i="11"/>
  <c r="AB156" i="11"/>
  <c r="Z157" i="11"/>
  <c r="AA157" i="11"/>
  <c r="AB157" i="11"/>
  <c r="Z158" i="11"/>
  <c r="AA158" i="11"/>
  <c r="AB158" i="11"/>
  <c r="Z159" i="11"/>
  <c r="AA159" i="11"/>
  <c r="AB159" i="11"/>
  <c r="Z160" i="11"/>
  <c r="AA160" i="11"/>
  <c r="AB160" i="11"/>
  <c r="Z161" i="11"/>
  <c r="AA161" i="11"/>
  <c r="AB161" i="11"/>
  <c r="Z162" i="11"/>
  <c r="AA162" i="11"/>
  <c r="AB162" i="11"/>
  <c r="Z163" i="11"/>
  <c r="AA163" i="11"/>
  <c r="AB163" i="11"/>
  <c r="Z164" i="11"/>
  <c r="AA164" i="11"/>
  <c r="AB164" i="11"/>
  <c r="Z165" i="11"/>
  <c r="AA165" i="11"/>
  <c r="AB165" i="11"/>
  <c r="Z166" i="11"/>
  <c r="AA166" i="11"/>
  <c r="AB166" i="11"/>
  <c r="Z167" i="11"/>
  <c r="AA167" i="11"/>
  <c r="AB167" i="11"/>
  <c r="Z168" i="11"/>
  <c r="AA168" i="11"/>
  <c r="AB168" i="11"/>
  <c r="Z169" i="11"/>
  <c r="AA169" i="11"/>
  <c r="AB169" i="11"/>
  <c r="Z170" i="11"/>
  <c r="AA170" i="11"/>
  <c r="AB170" i="11"/>
  <c r="Z171" i="11"/>
  <c r="AA171" i="11"/>
  <c r="AB171" i="11"/>
  <c r="Z172" i="11"/>
  <c r="AA172" i="11"/>
  <c r="AB172" i="11"/>
  <c r="Z173" i="11"/>
  <c r="AA173" i="11"/>
  <c r="AB173" i="11"/>
  <c r="Z174" i="11"/>
  <c r="AA174" i="11"/>
  <c r="AB174" i="11"/>
  <c r="Z175" i="11"/>
  <c r="AA175" i="11"/>
  <c r="AB175" i="11"/>
  <c r="Z176" i="11"/>
  <c r="AA176" i="11"/>
  <c r="AB176" i="11"/>
  <c r="Z177" i="11"/>
  <c r="AA177" i="11"/>
  <c r="AB177" i="11"/>
  <c r="Z178" i="11"/>
  <c r="AA178" i="11"/>
  <c r="AB178" i="11"/>
  <c r="Z179" i="11"/>
  <c r="AA179" i="11"/>
  <c r="AB179" i="11"/>
  <c r="Z180" i="11"/>
  <c r="AA180" i="11"/>
  <c r="AB180" i="11"/>
  <c r="Z181" i="11"/>
  <c r="AA181" i="11"/>
  <c r="AB181" i="11"/>
  <c r="Z182" i="11"/>
  <c r="AA182" i="11"/>
  <c r="AB182" i="11"/>
  <c r="Z183" i="11"/>
  <c r="AA183" i="11"/>
  <c r="AB183" i="11"/>
  <c r="Z184" i="11"/>
  <c r="AA184" i="11"/>
  <c r="AB184" i="11"/>
  <c r="Z185" i="11"/>
  <c r="AA185" i="11"/>
  <c r="AB185" i="11"/>
  <c r="Z186" i="11"/>
  <c r="AA186" i="11"/>
  <c r="AB186" i="11"/>
  <c r="Z187" i="11"/>
  <c r="AA187" i="11"/>
  <c r="AB187" i="11"/>
  <c r="Z188" i="11"/>
  <c r="AA188" i="11"/>
  <c r="AB188" i="11"/>
  <c r="Z189" i="11"/>
  <c r="AA189" i="11"/>
  <c r="AB189" i="11"/>
  <c r="Z190" i="11"/>
  <c r="AA190" i="11"/>
  <c r="AB190" i="11"/>
  <c r="Z191" i="11"/>
  <c r="AA191" i="11"/>
  <c r="AB191" i="11"/>
  <c r="Z192" i="11"/>
  <c r="AA192" i="11"/>
  <c r="AB192" i="11"/>
  <c r="Z193" i="11"/>
  <c r="AA193" i="11"/>
  <c r="AB193" i="11"/>
  <c r="Z194" i="11"/>
  <c r="AA194" i="11"/>
  <c r="AB194" i="11"/>
  <c r="Z195" i="11"/>
  <c r="AA195" i="11"/>
  <c r="AB195" i="11"/>
  <c r="Z196" i="11"/>
  <c r="AA196" i="11"/>
  <c r="AB196" i="11"/>
  <c r="Z197" i="11"/>
  <c r="AA197" i="11"/>
  <c r="AB197" i="11"/>
  <c r="Z198" i="11"/>
  <c r="AA198" i="11"/>
  <c r="AB198" i="11"/>
  <c r="Z199" i="11"/>
  <c r="AA199" i="11"/>
  <c r="AB199" i="11"/>
  <c r="Z200" i="11"/>
  <c r="AA200" i="11"/>
  <c r="AB200" i="11"/>
  <c r="Z201" i="11"/>
  <c r="AA201" i="11"/>
  <c r="AB201" i="11"/>
  <c r="Z202" i="11"/>
  <c r="AA202" i="11"/>
  <c r="AB202" i="11"/>
  <c r="Z203" i="11"/>
  <c r="AA203" i="11"/>
  <c r="AB203" i="11"/>
  <c r="Z204" i="11"/>
  <c r="AA204" i="11"/>
  <c r="AB204" i="11"/>
  <c r="Z205" i="11"/>
  <c r="AA205" i="11"/>
  <c r="AB205" i="11"/>
  <c r="Z206" i="11"/>
  <c r="AA206" i="11"/>
  <c r="AB206" i="11"/>
  <c r="Z207" i="11"/>
  <c r="AA207" i="11"/>
  <c r="AB207" i="11"/>
  <c r="Z208" i="11"/>
  <c r="AA208" i="11"/>
  <c r="AB208" i="11"/>
  <c r="Z209" i="11"/>
  <c r="AA209" i="11"/>
  <c r="AB209" i="11"/>
  <c r="Z210" i="11"/>
  <c r="AA210" i="11"/>
  <c r="AB210" i="11"/>
  <c r="Z211" i="11"/>
  <c r="AA211" i="11"/>
  <c r="AB211" i="11"/>
  <c r="Z212" i="11"/>
  <c r="AA212" i="11"/>
  <c r="AB212" i="11"/>
  <c r="Z213" i="11"/>
  <c r="AA213" i="11"/>
  <c r="AB213" i="11"/>
  <c r="Z214" i="11"/>
  <c r="AA214" i="11"/>
  <c r="AB214" i="11"/>
  <c r="Z215" i="11"/>
  <c r="AA215" i="11"/>
  <c r="AB215" i="11"/>
  <c r="Z216" i="11"/>
  <c r="AA216" i="11"/>
  <c r="AB216" i="11"/>
  <c r="Z217" i="11"/>
  <c r="AA217" i="11"/>
  <c r="AB217" i="11"/>
  <c r="Z218" i="11"/>
  <c r="AA218" i="11"/>
  <c r="AB218" i="11"/>
  <c r="Z219" i="11"/>
  <c r="AA219" i="11"/>
  <c r="AB219" i="11"/>
  <c r="Z220" i="11"/>
  <c r="AA220" i="11"/>
  <c r="AB220" i="11"/>
  <c r="Z221" i="11"/>
  <c r="AA221" i="11"/>
  <c r="AB221" i="11"/>
  <c r="Z222" i="11"/>
  <c r="AA222" i="11"/>
  <c r="AB222" i="11"/>
  <c r="Z223" i="11"/>
  <c r="AA223" i="11"/>
  <c r="AB223" i="11"/>
  <c r="Z224" i="11"/>
  <c r="AA224" i="11"/>
  <c r="AB224" i="11"/>
  <c r="Z225" i="11"/>
  <c r="AA225" i="11"/>
  <c r="AB225" i="11"/>
  <c r="Z226" i="11"/>
  <c r="AA226" i="11"/>
  <c r="AB226" i="11"/>
  <c r="Z227" i="11"/>
  <c r="AA227" i="11"/>
  <c r="AB227" i="11"/>
  <c r="Z228" i="11"/>
  <c r="AA228" i="11"/>
  <c r="AB228" i="11"/>
  <c r="Z229" i="11"/>
  <c r="AA229" i="11"/>
  <c r="AB229" i="11"/>
  <c r="Z230" i="11"/>
  <c r="AA230" i="11"/>
  <c r="AB230" i="11"/>
  <c r="Z231" i="11"/>
  <c r="AA231" i="11"/>
  <c r="AB231" i="11"/>
  <c r="Z232" i="11"/>
  <c r="AA232" i="11"/>
  <c r="AB232" i="11"/>
  <c r="Z233" i="11"/>
  <c r="AA233" i="11"/>
  <c r="AB233" i="11"/>
  <c r="Z234" i="11"/>
  <c r="AA234" i="11"/>
  <c r="AB234" i="11"/>
  <c r="Z235" i="11"/>
  <c r="AA235" i="11"/>
  <c r="AB235" i="11"/>
  <c r="Z236" i="11"/>
  <c r="AA236" i="11"/>
  <c r="AB236" i="11"/>
  <c r="Z237" i="11"/>
  <c r="AA237" i="11"/>
  <c r="AB237" i="11"/>
  <c r="Z238" i="11"/>
  <c r="AA238" i="11"/>
  <c r="AB238" i="11"/>
  <c r="Z239" i="11"/>
  <c r="AA239" i="11"/>
  <c r="AB239" i="11"/>
  <c r="Z240" i="11"/>
  <c r="AA240" i="11"/>
  <c r="AB240" i="11"/>
  <c r="Z241" i="11"/>
  <c r="AA241" i="11"/>
  <c r="AB241" i="11"/>
  <c r="Z242" i="11"/>
  <c r="AA242" i="11"/>
  <c r="AB242" i="11"/>
  <c r="Z243" i="11"/>
  <c r="AA243" i="11"/>
  <c r="AB243" i="11"/>
  <c r="Z244" i="11"/>
  <c r="AA244" i="11"/>
  <c r="AB244" i="11"/>
  <c r="Z245" i="11"/>
  <c r="AA245" i="11"/>
  <c r="AB245" i="11"/>
  <c r="Z246" i="11"/>
  <c r="AA246" i="11"/>
  <c r="AB246" i="11"/>
  <c r="Z247" i="11"/>
  <c r="AA247" i="11"/>
  <c r="AB247" i="11"/>
  <c r="Z248" i="11"/>
  <c r="AA248" i="11"/>
  <c r="AB248" i="11"/>
  <c r="Z249" i="11"/>
  <c r="AA249" i="11"/>
  <c r="AB249" i="11"/>
  <c r="Z250" i="11"/>
  <c r="AA250" i="11"/>
  <c r="AB250" i="11"/>
  <c r="Z251" i="11"/>
  <c r="AA251" i="11"/>
  <c r="AB251" i="11"/>
  <c r="Z252" i="11"/>
  <c r="AA252" i="11"/>
  <c r="AB252" i="11"/>
  <c r="Z253" i="11"/>
  <c r="AA253" i="11"/>
  <c r="AB253" i="11"/>
  <c r="Z254" i="11"/>
  <c r="AA254" i="11"/>
  <c r="AB254" i="11"/>
  <c r="Z255" i="11"/>
  <c r="AA255" i="11"/>
  <c r="AB255" i="11"/>
  <c r="Z256" i="11"/>
  <c r="AA256" i="11"/>
  <c r="AB256" i="11"/>
  <c r="Z257" i="11"/>
  <c r="AA257" i="11"/>
  <c r="AB257" i="11"/>
  <c r="Z258" i="11"/>
  <c r="AA258" i="11"/>
  <c r="AB258" i="11"/>
  <c r="Z259" i="11"/>
  <c r="AA259" i="11"/>
  <c r="AB259" i="11"/>
  <c r="Z260" i="11"/>
  <c r="AA260" i="11"/>
  <c r="AB260" i="11"/>
  <c r="Z261" i="11"/>
  <c r="AA261" i="11"/>
  <c r="AB261" i="11"/>
  <c r="Z262" i="11"/>
  <c r="AA262" i="11"/>
  <c r="AB262" i="11"/>
  <c r="Z263" i="11"/>
  <c r="AA263" i="11"/>
  <c r="AB263" i="11"/>
  <c r="Z264" i="11"/>
  <c r="AA264" i="11"/>
  <c r="AB264" i="11"/>
  <c r="Z265" i="11"/>
  <c r="AA265" i="11"/>
  <c r="AB265" i="11"/>
  <c r="Z266" i="11"/>
  <c r="AA266" i="11"/>
  <c r="AB266" i="11"/>
  <c r="Z267" i="11"/>
  <c r="AA267" i="11"/>
  <c r="AB267" i="11"/>
  <c r="Z268" i="11"/>
  <c r="AA268" i="11"/>
  <c r="AB268" i="11"/>
  <c r="Z269" i="11"/>
  <c r="AA269" i="11"/>
  <c r="AB269" i="11"/>
  <c r="Z270" i="11"/>
  <c r="AA270" i="11"/>
  <c r="AB270" i="11"/>
  <c r="Z271" i="11"/>
  <c r="AA271" i="11"/>
  <c r="AB271" i="11"/>
  <c r="Z272" i="11"/>
  <c r="AA272" i="11"/>
  <c r="AB272" i="11"/>
  <c r="Z273" i="11"/>
  <c r="AA273" i="11"/>
  <c r="AB273" i="11"/>
  <c r="Z274" i="11"/>
  <c r="AA274" i="11"/>
  <c r="AB274" i="11"/>
  <c r="Z275" i="11"/>
  <c r="AA275" i="11"/>
  <c r="AB275" i="11"/>
  <c r="Z276" i="11"/>
  <c r="AA276" i="11"/>
  <c r="AB276" i="11"/>
  <c r="Z277" i="11"/>
  <c r="AA277" i="11"/>
  <c r="AB277" i="11"/>
  <c r="Z278" i="11"/>
  <c r="AA278" i="11"/>
  <c r="AB278" i="11"/>
  <c r="Z279" i="11"/>
  <c r="AA279" i="11"/>
  <c r="AB279" i="11"/>
  <c r="Z280" i="11"/>
  <c r="AA280" i="11"/>
  <c r="AB280" i="11"/>
  <c r="Z281" i="11"/>
  <c r="AA281" i="11"/>
  <c r="AB281" i="11"/>
  <c r="Z282" i="11"/>
  <c r="AA282" i="11"/>
  <c r="AB282" i="11"/>
  <c r="Z283" i="11"/>
  <c r="AA283" i="11"/>
  <c r="AB283" i="11"/>
  <c r="Z284" i="11"/>
  <c r="AA284" i="11"/>
  <c r="AB284" i="11"/>
  <c r="Z285" i="11"/>
  <c r="AA285" i="11"/>
  <c r="AB285" i="11"/>
  <c r="Z286" i="11"/>
  <c r="AA286" i="11"/>
  <c r="AB286" i="11"/>
  <c r="Z287" i="11"/>
  <c r="AA287" i="11"/>
  <c r="AB287" i="11"/>
  <c r="Z288" i="11"/>
  <c r="AA288" i="11"/>
  <c r="AB288" i="11"/>
  <c r="Z289" i="11"/>
  <c r="AA289" i="11"/>
  <c r="AB289" i="11"/>
  <c r="Z290" i="11"/>
  <c r="AA290" i="11"/>
  <c r="AB290" i="11"/>
  <c r="Z291" i="11"/>
  <c r="AA291" i="11"/>
  <c r="AB291" i="11"/>
  <c r="Z292" i="11"/>
  <c r="AA292" i="11"/>
  <c r="AB292" i="11"/>
  <c r="Z293" i="11"/>
  <c r="AA293" i="11"/>
  <c r="AB293" i="11"/>
  <c r="Z294" i="11"/>
  <c r="AA294" i="11"/>
  <c r="AB294" i="11"/>
  <c r="Z295" i="11"/>
  <c r="AA295" i="11"/>
  <c r="AB295" i="11"/>
  <c r="Z296" i="11"/>
  <c r="AA296" i="11"/>
  <c r="AB296" i="11"/>
  <c r="Z297" i="11"/>
  <c r="AA297" i="11"/>
  <c r="AB297" i="11"/>
  <c r="Z298" i="11"/>
  <c r="AA298" i="11"/>
  <c r="AB298" i="11"/>
  <c r="Z299" i="11"/>
  <c r="AA299" i="11"/>
  <c r="AB299" i="11"/>
  <c r="Z300" i="11"/>
  <c r="AA300" i="11"/>
  <c r="AB300" i="11"/>
  <c r="Z301" i="11"/>
  <c r="AA301" i="11"/>
  <c r="AB301" i="11"/>
  <c r="Z302" i="11"/>
  <c r="AA302" i="11"/>
  <c r="AB302" i="11"/>
  <c r="Z303" i="11"/>
  <c r="AA303" i="11"/>
  <c r="AB303" i="11"/>
  <c r="Z304" i="11"/>
  <c r="AA304" i="11"/>
  <c r="AB304" i="11"/>
  <c r="Z305" i="11"/>
  <c r="AA305" i="11"/>
  <c r="AB305" i="11"/>
  <c r="Z306" i="11"/>
  <c r="AA306" i="11"/>
  <c r="AB306" i="11"/>
  <c r="Z307" i="11"/>
  <c r="AA307" i="11"/>
  <c r="AB307" i="11"/>
  <c r="Z308" i="11"/>
  <c r="AA308" i="11"/>
  <c r="AB308" i="11"/>
  <c r="Z309" i="11"/>
  <c r="AA309" i="11"/>
  <c r="AB309" i="11"/>
  <c r="Z310" i="11"/>
  <c r="AA310" i="11"/>
  <c r="AB310" i="11"/>
  <c r="Z311" i="11"/>
  <c r="AA311" i="11"/>
  <c r="AB311" i="11"/>
  <c r="Z312" i="11"/>
  <c r="AA312" i="11"/>
  <c r="AB312" i="11"/>
  <c r="Z313" i="11"/>
  <c r="AA313" i="11"/>
  <c r="AB313" i="11"/>
  <c r="Z314" i="11"/>
  <c r="AA314" i="11"/>
  <c r="AB314" i="11"/>
  <c r="Z315" i="11"/>
  <c r="AA315" i="11"/>
  <c r="AB315" i="11"/>
  <c r="Z316" i="11"/>
  <c r="AA316" i="11"/>
  <c r="AB316" i="11"/>
  <c r="Z317" i="11"/>
  <c r="AA317" i="11"/>
  <c r="AB317" i="11"/>
  <c r="Z318" i="11"/>
  <c r="AA318" i="11"/>
  <c r="AB318" i="11"/>
  <c r="Z319" i="11"/>
  <c r="AA319" i="11"/>
  <c r="AB319" i="11"/>
  <c r="Z320" i="11"/>
  <c r="AA320" i="11"/>
  <c r="AB320" i="11"/>
  <c r="Z321" i="11"/>
  <c r="AA321" i="11"/>
  <c r="AB321" i="11"/>
  <c r="Z322" i="11"/>
  <c r="AA322" i="11"/>
  <c r="AB322" i="11"/>
  <c r="Z323" i="11"/>
  <c r="AA323" i="11"/>
  <c r="AB323" i="11"/>
  <c r="Z324" i="11"/>
  <c r="AA324" i="11"/>
  <c r="AB324" i="11"/>
  <c r="Z325" i="11"/>
  <c r="AA325" i="11"/>
  <c r="AB325" i="11"/>
  <c r="Z326" i="11"/>
  <c r="AA326" i="11"/>
  <c r="AB326" i="11"/>
  <c r="Z327" i="11"/>
  <c r="AA327" i="11"/>
  <c r="AB327" i="11"/>
  <c r="Z328" i="11"/>
  <c r="AA328" i="11"/>
  <c r="AB328" i="11"/>
  <c r="Z329" i="11"/>
  <c r="AA329" i="11"/>
  <c r="AB329" i="11"/>
  <c r="Z330" i="11"/>
  <c r="AA330" i="11"/>
  <c r="AB330" i="11"/>
  <c r="Z331" i="11"/>
  <c r="AA331" i="11"/>
  <c r="AB331" i="11"/>
  <c r="Z332" i="11"/>
  <c r="AA332" i="11"/>
  <c r="AB332" i="11"/>
  <c r="Z333" i="11"/>
  <c r="AA333" i="11"/>
  <c r="AB333" i="11"/>
  <c r="Z334" i="11"/>
  <c r="AA334" i="11"/>
  <c r="AB334" i="11"/>
  <c r="Z335" i="11"/>
  <c r="AA335" i="11"/>
  <c r="AB335" i="11"/>
  <c r="Z336" i="11"/>
  <c r="AA336" i="11"/>
  <c r="AB336" i="11"/>
  <c r="Z337" i="11"/>
  <c r="AA337" i="11"/>
  <c r="AB337" i="11"/>
  <c r="Z338" i="11"/>
  <c r="AA338" i="11"/>
  <c r="AB338" i="11"/>
  <c r="Z339" i="11"/>
  <c r="AA339" i="11"/>
  <c r="AB339" i="11"/>
  <c r="Z340" i="11"/>
  <c r="AA340" i="11"/>
  <c r="AB340" i="11"/>
  <c r="Z341" i="11"/>
  <c r="AA341" i="11"/>
  <c r="AB341" i="11"/>
  <c r="Z342" i="11"/>
  <c r="AA342" i="11"/>
  <c r="AB342" i="11"/>
  <c r="Z343" i="11"/>
  <c r="AA343" i="11"/>
  <c r="AB343" i="11"/>
  <c r="Z344" i="11"/>
  <c r="AA344" i="11"/>
  <c r="AB344" i="11"/>
  <c r="Z345" i="11"/>
  <c r="AA345" i="11"/>
  <c r="AB345" i="11"/>
  <c r="Z346" i="11"/>
  <c r="AA346" i="11"/>
  <c r="AB346" i="11"/>
  <c r="Z347" i="11"/>
  <c r="AA347" i="11"/>
  <c r="AB347" i="11"/>
  <c r="Z348" i="11"/>
  <c r="AA348" i="11"/>
  <c r="AB348" i="11"/>
  <c r="Z349" i="11"/>
  <c r="AA349" i="11"/>
  <c r="AB349" i="11"/>
  <c r="Z350" i="11"/>
  <c r="AA350" i="11"/>
  <c r="AB350" i="11"/>
  <c r="Z351" i="11"/>
  <c r="AA351" i="11"/>
  <c r="AB351" i="11"/>
  <c r="Z352" i="11"/>
  <c r="AA352" i="11"/>
  <c r="AB352" i="11"/>
  <c r="Z353" i="11"/>
  <c r="AA353" i="11"/>
  <c r="AB353" i="11"/>
  <c r="Z354" i="11"/>
  <c r="AA354" i="11"/>
  <c r="AB354" i="11"/>
  <c r="Z355" i="11"/>
  <c r="AA355" i="11"/>
  <c r="AB355" i="11"/>
  <c r="Z356" i="11"/>
  <c r="AA356" i="11"/>
  <c r="AB356" i="11"/>
  <c r="Z357" i="11"/>
  <c r="AA357" i="11"/>
  <c r="AB357" i="11"/>
  <c r="Z358" i="11"/>
  <c r="AA358" i="11"/>
  <c r="AB358" i="11"/>
  <c r="Z359" i="11"/>
  <c r="AA359" i="11"/>
  <c r="AB359" i="11"/>
  <c r="Z360" i="11"/>
  <c r="AA360" i="11"/>
  <c r="AB360" i="11"/>
  <c r="Z361" i="11"/>
  <c r="AA361" i="11"/>
  <c r="AB361" i="11"/>
  <c r="Z362" i="11"/>
  <c r="AA362" i="11"/>
  <c r="AB362" i="11"/>
  <c r="Z363" i="11"/>
  <c r="AA363" i="11"/>
  <c r="AB363" i="11"/>
  <c r="Z364" i="11"/>
  <c r="AA364" i="11"/>
  <c r="AB364" i="11"/>
  <c r="Z365" i="11"/>
  <c r="AA365" i="11"/>
  <c r="AB365" i="11"/>
  <c r="Z366" i="11"/>
  <c r="AA366" i="11"/>
  <c r="AB366" i="11"/>
  <c r="Z367" i="11"/>
  <c r="AA367" i="11"/>
  <c r="AB367" i="11"/>
  <c r="Z368" i="11"/>
  <c r="AA368" i="11"/>
  <c r="AB368" i="11"/>
  <c r="Z369" i="11"/>
  <c r="AA369" i="11"/>
  <c r="AB369" i="11"/>
  <c r="Z370" i="11"/>
  <c r="AA370" i="11"/>
  <c r="AB370" i="11"/>
  <c r="Z371" i="11"/>
  <c r="AA371" i="11"/>
  <c r="AB371" i="11"/>
  <c r="Z372" i="11"/>
  <c r="AA372" i="11"/>
  <c r="AB372" i="11"/>
  <c r="Z373" i="11"/>
  <c r="AA373" i="11"/>
  <c r="AB373" i="11"/>
  <c r="Z374" i="11"/>
  <c r="AA374" i="11"/>
  <c r="AB374" i="11"/>
  <c r="Z375" i="11"/>
  <c r="AA375" i="11"/>
  <c r="AB375" i="11"/>
  <c r="Z376" i="11"/>
  <c r="AA376" i="11"/>
  <c r="AB376" i="11"/>
  <c r="Z377" i="11"/>
  <c r="AA377" i="11"/>
  <c r="AB377" i="11"/>
  <c r="Z378" i="11"/>
  <c r="AA378" i="11"/>
  <c r="AB378" i="11"/>
  <c r="Z379" i="11"/>
  <c r="AA379" i="11"/>
  <c r="AB379" i="11"/>
  <c r="Z380" i="11"/>
  <c r="AA380" i="11"/>
  <c r="AB380" i="11"/>
  <c r="Z381" i="11"/>
  <c r="AA381" i="11"/>
  <c r="AB381" i="11"/>
  <c r="Z382" i="11"/>
  <c r="AA382" i="11"/>
  <c r="AB382" i="11"/>
  <c r="Z383" i="11"/>
  <c r="AA383" i="11"/>
  <c r="AB383" i="11"/>
  <c r="Z384" i="11"/>
  <c r="AA384" i="11"/>
  <c r="AB384" i="11"/>
  <c r="Z385" i="11"/>
  <c r="AA385" i="11"/>
  <c r="AB385" i="11"/>
  <c r="Z386" i="11"/>
  <c r="AA386" i="11"/>
  <c r="AB386" i="11"/>
  <c r="Z387" i="11"/>
  <c r="AA387" i="11"/>
  <c r="AB387" i="11"/>
  <c r="Z388" i="11"/>
  <c r="AA388" i="11"/>
  <c r="AB388" i="11"/>
  <c r="Z389" i="11"/>
  <c r="AA389" i="11"/>
  <c r="AB389" i="11"/>
  <c r="Z390" i="11"/>
  <c r="AA390" i="11"/>
  <c r="AB390" i="11"/>
  <c r="Z391" i="11"/>
  <c r="AA391" i="11"/>
  <c r="AB391" i="11"/>
  <c r="Z392" i="11"/>
  <c r="AA392" i="11"/>
  <c r="AB392" i="11"/>
  <c r="Z393" i="11"/>
  <c r="AA393" i="11"/>
  <c r="AB393" i="11"/>
  <c r="Z394" i="11"/>
  <c r="AA394" i="11"/>
  <c r="AB394" i="11"/>
  <c r="Z395" i="11"/>
  <c r="AA395" i="11"/>
  <c r="AB395" i="11"/>
  <c r="Z396" i="11"/>
  <c r="AA396" i="11"/>
  <c r="AB396" i="11"/>
  <c r="Z397" i="11"/>
  <c r="AA397" i="11"/>
  <c r="AB397" i="11"/>
  <c r="Z398" i="11"/>
  <c r="AA398" i="11"/>
  <c r="AB398" i="11"/>
  <c r="Z399" i="11"/>
  <c r="AA399" i="11"/>
  <c r="AB399" i="11"/>
  <c r="Z400" i="11"/>
  <c r="AA400" i="11"/>
  <c r="AB400" i="11"/>
  <c r="Z401" i="11"/>
  <c r="AA401" i="11"/>
  <c r="AB401" i="11"/>
  <c r="Z402" i="11"/>
  <c r="AA402" i="11"/>
  <c r="AB402" i="11"/>
  <c r="Z403" i="11"/>
  <c r="AA403" i="11"/>
  <c r="AB403" i="11"/>
  <c r="Z404" i="11"/>
  <c r="AA404" i="11"/>
  <c r="AB404" i="11"/>
  <c r="Z405" i="11"/>
  <c r="AA405" i="11"/>
  <c r="AB405" i="11"/>
  <c r="Z406" i="11"/>
  <c r="AA406" i="11"/>
  <c r="AB406" i="11"/>
  <c r="Z407" i="11"/>
  <c r="AA407" i="11"/>
  <c r="AB407" i="11"/>
  <c r="Z408" i="11"/>
  <c r="AA408" i="11"/>
  <c r="AB408" i="11"/>
  <c r="Z409" i="11"/>
  <c r="AA409" i="11"/>
  <c r="AB409" i="11"/>
  <c r="Z410" i="11"/>
  <c r="AA410" i="11"/>
  <c r="AB410" i="11"/>
  <c r="Z411" i="11"/>
  <c r="AA411" i="11"/>
  <c r="AB411" i="11"/>
  <c r="Z412" i="11"/>
  <c r="AA412" i="11"/>
  <c r="AB412" i="11"/>
  <c r="Z413" i="11"/>
  <c r="AA413" i="11"/>
  <c r="AB413" i="11"/>
  <c r="Z414" i="11"/>
  <c r="AA414" i="11"/>
  <c r="AB414" i="11"/>
  <c r="Z415" i="11"/>
  <c r="AA415" i="11"/>
  <c r="AB415" i="11"/>
  <c r="Z416" i="11"/>
  <c r="AA416" i="11"/>
  <c r="AB416" i="11"/>
  <c r="Z417" i="11"/>
  <c r="AA417" i="11"/>
  <c r="AB417" i="11"/>
  <c r="Z418" i="11"/>
  <c r="AA418" i="11"/>
  <c r="AB418" i="11"/>
  <c r="Z419" i="11"/>
  <c r="AA419" i="11"/>
  <c r="AB419" i="11"/>
  <c r="Z420" i="11"/>
  <c r="AA420" i="11"/>
  <c r="AB420" i="11"/>
  <c r="Z421" i="11"/>
  <c r="AA421" i="11"/>
  <c r="AB421" i="11"/>
  <c r="Z422" i="11"/>
  <c r="AA422" i="11"/>
  <c r="AB422" i="11"/>
  <c r="Z423" i="11"/>
  <c r="AA423" i="11"/>
  <c r="AB423" i="11"/>
  <c r="Z424" i="11"/>
  <c r="AA424" i="11"/>
  <c r="AB424" i="11"/>
  <c r="Z425" i="11"/>
  <c r="AA425" i="11"/>
  <c r="AB425" i="11"/>
  <c r="Z426" i="11"/>
  <c r="AA426" i="11"/>
  <c r="AB426" i="11"/>
  <c r="Z427" i="11"/>
  <c r="AA427" i="11"/>
  <c r="AB427" i="11"/>
  <c r="Z428" i="11"/>
  <c r="AA428" i="11"/>
  <c r="AB428" i="11"/>
  <c r="Z429" i="11"/>
  <c r="AA429" i="11"/>
  <c r="AB429" i="11"/>
  <c r="Z430" i="11"/>
  <c r="AA430" i="11"/>
  <c r="AB430" i="11"/>
  <c r="Z431" i="11"/>
  <c r="AA431" i="11"/>
  <c r="AB431" i="11"/>
  <c r="Z432" i="11"/>
  <c r="AA432" i="11"/>
  <c r="AB432" i="11"/>
  <c r="Z433" i="11"/>
  <c r="AA433" i="11"/>
  <c r="AB433" i="11"/>
  <c r="Z434" i="11"/>
  <c r="AA434" i="11"/>
  <c r="AB434" i="11"/>
  <c r="Z435" i="11"/>
  <c r="AA435" i="11"/>
  <c r="AB435" i="11"/>
  <c r="Z436" i="11"/>
  <c r="AA436" i="11"/>
  <c r="AB436" i="11"/>
  <c r="Z437" i="11"/>
  <c r="AA437" i="11"/>
  <c r="AB437" i="11"/>
  <c r="Z438" i="11"/>
  <c r="AA438" i="11"/>
  <c r="AB438" i="11"/>
  <c r="Z439" i="11"/>
  <c r="AA439" i="11"/>
  <c r="AB439" i="11"/>
  <c r="Z440" i="11"/>
  <c r="AA440" i="11"/>
  <c r="AB440" i="11"/>
  <c r="Z441" i="11"/>
  <c r="AA441" i="11"/>
  <c r="AB441" i="11"/>
  <c r="Z442" i="11"/>
  <c r="AA442" i="11"/>
  <c r="AB442" i="11"/>
  <c r="Z443" i="11"/>
  <c r="AA443" i="11"/>
  <c r="AB443" i="11"/>
  <c r="Z444" i="11"/>
  <c r="AA444" i="11"/>
  <c r="AB444" i="11"/>
  <c r="Z445" i="11"/>
  <c r="AA445" i="11"/>
  <c r="AB445" i="11"/>
  <c r="Z446" i="11"/>
  <c r="AA446" i="11"/>
  <c r="AB446" i="11"/>
  <c r="Z447" i="11"/>
  <c r="AA447" i="11"/>
  <c r="AB447" i="11"/>
  <c r="Z448" i="11"/>
  <c r="AA448" i="11"/>
  <c r="AB448" i="11"/>
  <c r="Z449" i="11"/>
  <c r="AA449" i="11"/>
  <c r="AB449" i="11"/>
  <c r="Z450" i="11"/>
  <c r="AA450" i="11"/>
  <c r="AB450" i="11"/>
  <c r="Z451" i="11"/>
  <c r="AA451" i="11"/>
  <c r="AB451" i="11"/>
  <c r="Z452" i="11"/>
  <c r="AA452" i="11"/>
  <c r="AB452" i="11"/>
  <c r="Z453" i="11"/>
  <c r="AA453" i="11"/>
  <c r="AB453" i="11"/>
  <c r="Z454" i="11"/>
  <c r="AA454" i="11"/>
  <c r="AB454" i="11"/>
  <c r="Z455" i="11"/>
  <c r="AA455" i="11"/>
  <c r="AB455" i="11"/>
  <c r="Z456" i="11"/>
  <c r="AA456" i="11"/>
  <c r="AB456" i="11"/>
  <c r="Z457" i="11"/>
  <c r="AA457" i="11"/>
  <c r="AB457" i="11"/>
  <c r="Z458" i="11"/>
  <c r="AA458" i="11"/>
  <c r="AB458" i="11"/>
  <c r="Z459" i="11"/>
  <c r="AA459" i="11"/>
  <c r="AB459" i="11"/>
  <c r="Z460" i="11"/>
  <c r="AA460" i="11"/>
  <c r="AB460" i="11"/>
  <c r="Z461" i="11"/>
  <c r="AA461" i="11"/>
  <c r="AB461" i="11"/>
  <c r="Z462" i="11"/>
  <c r="AA462" i="11"/>
  <c r="AB462" i="11"/>
  <c r="Z463" i="11"/>
  <c r="AA463" i="11"/>
  <c r="AB463" i="11"/>
  <c r="Z464" i="11"/>
  <c r="AA464" i="11"/>
  <c r="AB464" i="11"/>
  <c r="Z465" i="11"/>
  <c r="AA465" i="11"/>
  <c r="AB465" i="11"/>
  <c r="Z466" i="11"/>
  <c r="AA466" i="11"/>
  <c r="AB466" i="11"/>
  <c r="Z467" i="11"/>
  <c r="AA467" i="11"/>
  <c r="AB467" i="11"/>
  <c r="Z468" i="11"/>
  <c r="AA468" i="11"/>
  <c r="AB468" i="11"/>
  <c r="Z469" i="11"/>
  <c r="AA469" i="11"/>
  <c r="AB469" i="11"/>
  <c r="Z470" i="11"/>
  <c r="AA470" i="11"/>
  <c r="AB470" i="11"/>
  <c r="Z471" i="11"/>
  <c r="AA471" i="11"/>
  <c r="AB471" i="11"/>
  <c r="Z472" i="11"/>
  <c r="AA472" i="11"/>
  <c r="AB472" i="11"/>
  <c r="Z473" i="11"/>
  <c r="AA473" i="11"/>
  <c r="AB473" i="11"/>
  <c r="Z474" i="11"/>
  <c r="AA474" i="11"/>
  <c r="AB474" i="11"/>
  <c r="Z475" i="11"/>
  <c r="AA475" i="11"/>
  <c r="AB475" i="11"/>
  <c r="Z476" i="11"/>
  <c r="AA476" i="11"/>
  <c r="AB476" i="11"/>
  <c r="Z477" i="11"/>
  <c r="AA477" i="11"/>
  <c r="AB477" i="11"/>
  <c r="Z478" i="11"/>
  <c r="AA478" i="11"/>
  <c r="AB478" i="11"/>
  <c r="Z479" i="11"/>
  <c r="AA479" i="11"/>
  <c r="AB479" i="11"/>
  <c r="Z480" i="11"/>
  <c r="AA480" i="11"/>
  <c r="AB480" i="11"/>
  <c r="Z481" i="11"/>
  <c r="AA481" i="11"/>
  <c r="AB481" i="11"/>
  <c r="Z482" i="11"/>
  <c r="AA482" i="11"/>
  <c r="AB482" i="11"/>
  <c r="Z483" i="11"/>
  <c r="AA483" i="11"/>
  <c r="AB483" i="11"/>
  <c r="Z484" i="11"/>
  <c r="AA484" i="11"/>
  <c r="AB484" i="11"/>
  <c r="Z485" i="11"/>
  <c r="AA485" i="11"/>
  <c r="AB485" i="11"/>
  <c r="Z486" i="11"/>
  <c r="AA486" i="11"/>
  <c r="AB486" i="11"/>
  <c r="Z487" i="11"/>
  <c r="AA487" i="11"/>
  <c r="AB487" i="11"/>
  <c r="Z488" i="11"/>
  <c r="AA488" i="11"/>
  <c r="AB488" i="11"/>
  <c r="Z489" i="11"/>
  <c r="AA489" i="11"/>
  <c r="AB489" i="11"/>
  <c r="Z490" i="11"/>
  <c r="AA490" i="11"/>
  <c r="AB490" i="11"/>
  <c r="Z491" i="11"/>
  <c r="AA491" i="11"/>
  <c r="AB491" i="11"/>
  <c r="Z492" i="11"/>
  <c r="AA492" i="11"/>
  <c r="AB492" i="11"/>
  <c r="Z493" i="11"/>
  <c r="AA493" i="11"/>
  <c r="AB493" i="11"/>
  <c r="Z494" i="11"/>
  <c r="AA494" i="11"/>
  <c r="AB494" i="11"/>
  <c r="Z495" i="11"/>
  <c r="AA495" i="11"/>
  <c r="AB495" i="11"/>
  <c r="Z496" i="11"/>
  <c r="AA496" i="11"/>
  <c r="AB496" i="11"/>
  <c r="Z497" i="11"/>
  <c r="AA497" i="11"/>
  <c r="AB497" i="11"/>
  <c r="Z498" i="11"/>
  <c r="AA498" i="11"/>
  <c r="AB498" i="11"/>
  <c r="Z499" i="11"/>
  <c r="AA499" i="11"/>
  <c r="AB499" i="11"/>
  <c r="Z500" i="11"/>
  <c r="AA500" i="11"/>
  <c r="AB500" i="11"/>
  <c r="Z501" i="11"/>
  <c r="AA501" i="11"/>
  <c r="AB501" i="11"/>
  <c r="Z502" i="11"/>
  <c r="AA502" i="11"/>
  <c r="AB502" i="11"/>
  <c r="Z503" i="11"/>
  <c r="AA503" i="11"/>
  <c r="AB503" i="11"/>
  <c r="Z504" i="11"/>
  <c r="AA504" i="11"/>
  <c r="AB504" i="11"/>
  <c r="Z505" i="11"/>
  <c r="AA505" i="11"/>
  <c r="AB505" i="11"/>
  <c r="Z506" i="11"/>
  <c r="AA506" i="11"/>
  <c r="AB506" i="11"/>
  <c r="Z507" i="11"/>
  <c r="AA507" i="11"/>
  <c r="AB507" i="11"/>
  <c r="Z508" i="11"/>
  <c r="AA508" i="11"/>
  <c r="AB508" i="11"/>
  <c r="Z509" i="11"/>
  <c r="AA509" i="11"/>
  <c r="AB509" i="11"/>
  <c r="Z510" i="11"/>
  <c r="AA510" i="11"/>
  <c r="AB510" i="11"/>
  <c r="Z511" i="11"/>
  <c r="AA511" i="11"/>
  <c r="AB511" i="11"/>
  <c r="Z512" i="11"/>
  <c r="AA512" i="11"/>
  <c r="AB512" i="11"/>
  <c r="Z513" i="11"/>
  <c r="AA513" i="11"/>
  <c r="AB513" i="11"/>
  <c r="Z514" i="11"/>
  <c r="AA514" i="11"/>
  <c r="AB514" i="11"/>
  <c r="Z515" i="11"/>
  <c r="AA515" i="11"/>
  <c r="AB515" i="11"/>
  <c r="Z516" i="11"/>
  <c r="AA516" i="11"/>
  <c r="AB516" i="11"/>
  <c r="Z517" i="11"/>
  <c r="AA517" i="11"/>
  <c r="AB517" i="11"/>
  <c r="Z518" i="11"/>
  <c r="AA518" i="11"/>
  <c r="AB518" i="11"/>
  <c r="Z519" i="11"/>
  <c r="AA519" i="11"/>
  <c r="AB519" i="11"/>
  <c r="Z520" i="11"/>
  <c r="AA520" i="11"/>
  <c r="AB520" i="11"/>
  <c r="Z521" i="11"/>
  <c r="AA521" i="11"/>
  <c r="AB521" i="11"/>
  <c r="Z522" i="11"/>
  <c r="AA522" i="11"/>
  <c r="AB522" i="11"/>
  <c r="Z523" i="11"/>
  <c r="AA523" i="11"/>
  <c r="AB523" i="11"/>
  <c r="Z524" i="11"/>
  <c r="AA524" i="11"/>
  <c r="AB524" i="11"/>
  <c r="Z525" i="11"/>
  <c r="AA525" i="11"/>
  <c r="AB525" i="11"/>
  <c r="Z526" i="11"/>
  <c r="AA526" i="11"/>
  <c r="AB526" i="11"/>
  <c r="Z527" i="11"/>
  <c r="AA527" i="11"/>
  <c r="AB527" i="11"/>
  <c r="Z528" i="11"/>
  <c r="AA528" i="11"/>
  <c r="AB528" i="11"/>
  <c r="Z529" i="11"/>
  <c r="AA529" i="11"/>
  <c r="AB529" i="11"/>
  <c r="Z530" i="11"/>
  <c r="AA530" i="11"/>
  <c r="AB530" i="11"/>
  <c r="Z531" i="11"/>
  <c r="AA531" i="11"/>
  <c r="AB531" i="11"/>
  <c r="Z532" i="11"/>
  <c r="AA532" i="11"/>
  <c r="AB532" i="11"/>
  <c r="Z533" i="11"/>
  <c r="AA533" i="11"/>
  <c r="AB533" i="11"/>
  <c r="Z534" i="11"/>
  <c r="AA534" i="11"/>
  <c r="AB534" i="11"/>
  <c r="Z535" i="11"/>
  <c r="AA535" i="11"/>
  <c r="AB535" i="11"/>
  <c r="Z536" i="11"/>
  <c r="AA536" i="11"/>
  <c r="AB536" i="11"/>
  <c r="Z537" i="11"/>
  <c r="AA537" i="11"/>
  <c r="AB537" i="11"/>
  <c r="Z538" i="11"/>
  <c r="AA538" i="11"/>
  <c r="AB538" i="11"/>
  <c r="Z539" i="11"/>
  <c r="AA539" i="11"/>
  <c r="AB539" i="11"/>
  <c r="Z540" i="11"/>
  <c r="AA540" i="11"/>
  <c r="AB540" i="11"/>
  <c r="Z541" i="11"/>
  <c r="AA541" i="11"/>
  <c r="AB541" i="11"/>
  <c r="Z542" i="11"/>
  <c r="AA542" i="11"/>
  <c r="AB542" i="11"/>
  <c r="Z543" i="11"/>
  <c r="AA543" i="11"/>
  <c r="AB543" i="11"/>
  <c r="Z544" i="11"/>
  <c r="AA544" i="11"/>
  <c r="AB544" i="11"/>
  <c r="Z545" i="11"/>
  <c r="AA545" i="11"/>
  <c r="AB545" i="11"/>
  <c r="Z546" i="11"/>
  <c r="AA546" i="11"/>
  <c r="AB546" i="11"/>
  <c r="Z547" i="11"/>
  <c r="AA547" i="11"/>
  <c r="AB547" i="11"/>
  <c r="Z548" i="11"/>
  <c r="AA548" i="11"/>
  <c r="AB548" i="11"/>
  <c r="Z549" i="11"/>
  <c r="AA549" i="11"/>
  <c r="AB549" i="11"/>
  <c r="Z550" i="11"/>
  <c r="AA550" i="11"/>
  <c r="AB550" i="11"/>
  <c r="Z551" i="11"/>
  <c r="AA551" i="11"/>
  <c r="AB551" i="11"/>
  <c r="Z552" i="11"/>
  <c r="AA552" i="11"/>
  <c r="AB552" i="11"/>
  <c r="Z553" i="11"/>
  <c r="AA553" i="11"/>
  <c r="AB553" i="11"/>
  <c r="Z554" i="11"/>
  <c r="AA554" i="11"/>
  <c r="AB554" i="11"/>
  <c r="Z555" i="11"/>
  <c r="AA555" i="11"/>
  <c r="AB555" i="11"/>
  <c r="Z556" i="11"/>
  <c r="AA556" i="11"/>
  <c r="AB556" i="11"/>
  <c r="Z557" i="11"/>
  <c r="AA557" i="11"/>
  <c r="AB557" i="11"/>
  <c r="Z558" i="11"/>
  <c r="AA558" i="11"/>
  <c r="AB558" i="11"/>
  <c r="Z559" i="11"/>
  <c r="AA559" i="11"/>
  <c r="AB559" i="11"/>
  <c r="Z560" i="11"/>
  <c r="AA560" i="11"/>
  <c r="AB560" i="11"/>
  <c r="Z561" i="11"/>
  <c r="AA561" i="11"/>
  <c r="AB561" i="11"/>
  <c r="Z562" i="11"/>
  <c r="AA562" i="11"/>
  <c r="AB562" i="11"/>
  <c r="Z563" i="11"/>
  <c r="AA563" i="11"/>
  <c r="AB563" i="11"/>
  <c r="Z564" i="11"/>
  <c r="AA564" i="11"/>
  <c r="AB564" i="11"/>
  <c r="Z565" i="11"/>
  <c r="AA565" i="11"/>
  <c r="AB565" i="11"/>
  <c r="Z566" i="11"/>
  <c r="AA566" i="11"/>
  <c r="AB566" i="11"/>
  <c r="Z567" i="11"/>
  <c r="AA567" i="11"/>
  <c r="AB567" i="11"/>
  <c r="Z568" i="11"/>
  <c r="AA568" i="11"/>
  <c r="AB568" i="11"/>
  <c r="Z569" i="11"/>
  <c r="AA569" i="11"/>
  <c r="AB569" i="11"/>
  <c r="Z570" i="11"/>
  <c r="AA570" i="11"/>
  <c r="AB570" i="11"/>
  <c r="Z571" i="11"/>
  <c r="AA571" i="11"/>
  <c r="AB571" i="11"/>
  <c r="Z572" i="11"/>
  <c r="AA572" i="11"/>
  <c r="AB572" i="11"/>
  <c r="Z573" i="11"/>
  <c r="AA573" i="11"/>
  <c r="AB573" i="11"/>
  <c r="Z574" i="11"/>
  <c r="AA574" i="11"/>
  <c r="AB574" i="11"/>
  <c r="Z575" i="11"/>
  <c r="AA575" i="11"/>
  <c r="AB575" i="11"/>
  <c r="Z576" i="11"/>
  <c r="AA576" i="11"/>
  <c r="AB576" i="11"/>
  <c r="Z577" i="11"/>
  <c r="AA577" i="11"/>
  <c r="AB577" i="11"/>
  <c r="Z578" i="11"/>
  <c r="AA578" i="11"/>
  <c r="AB578" i="11"/>
  <c r="Z579" i="11"/>
  <c r="AA579" i="11"/>
  <c r="AB579" i="11"/>
  <c r="Z580" i="11"/>
  <c r="AA580" i="11"/>
  <c r="AB580" i="11"/>
  <c r="Z581" i="11"/>
  <c r="AA581" i="11"/>
  <c r="AB581" i="11"/>
  <c r="Z582" i="11"/>
  <c r="AA582" i="11"/>
  <c r="AB582" i="11"/>
  <c r="Z583" i="11"/>
  <c r="AA583" i="11"/>
  <c r="AB583" i="11"/>
  <c r="Z584" i="11"/>
  <c r="AA584" i="11"/>
  <c r="AB584" i="11"/>
  <c r="Z585" i="11"/>
  <c r="AA585" i="11"/>
  <c r="AB585" i="11"/>
  <c r="Z586" i="11"/>
  <c r="AA586" i="11"/>
  <c r="AB586" i="11"/>
  <c r="Z587" i="11"/>
  <c r="AA587" i="11"/>
  <c r="AB587" i="11"/>
  <c r="Z588" i="11"/>
  <c r="AA588" i="11"/>
  <c r="AB588" i="11"/>
  <c r="Z589" i="11"/>
  <c r="AA589" i="11"/>
  <c r="AB589" i="11"/>
  <c r="Z590" i="11"/>
  <c r="AA590" i="11"/>
  <c r="AB590" i="11"/>
  <c r="Z591" i="11"/>
  <c r="AA591" i="11"/>
  <c r="AB591" i="11"/>
  <c r="Z592" i="11"/>
  <c r="AA592" i="11"/>
  <c r="AB592" i="11"/>
  <c r="Z593" i="11"/>
  <c r="AA593" i="11"/>
  <c r="AB593" i="11"/>
  <c r="Z594" i="11"/>
  <c r="AA594" i="11"/>
  <c r="AB594" i="11"/>
  <c r="Z595" i="11"/>
  <c r="AA595" i="11"/>
  <c r="AB595" i="11"/>
  <c r="Z596" i="11"/>
  <c r="AA596" i="11"/>
  <c r="AB596" i="11"/>
  <c r="Z597" i="11"/>
  <c r="AA597" i="11"/>
  <c r="AB597" i="11"/>
  <c r="Z598" i="11"/>
  <c r="AA598" i="11"/>
  <c r="AB598" i="11"/>
  <c r="Z599" i="11"/>
  <c r="AA599" i="11"/>
  <c r="AB599" i="11"/>
  <c r="Z600" i="11"/>
  <c r="AA600" i="11"/>
  <c r="AB600" i="11"/>
  <c r="Z601" i="11"/>
  <c r="AA601" i="11"/>
  <c r="AB601" i="11"/>
  <c r="Z602" i="11"/>
  <c r="AA602" i="11"/>
  <c r="AB602" i="11"/>
  <c r="Z603" i="11"/>
  <c r="AA603" i="11"/>
  <c r="AB603" i="11"/>
  <c r="Z604" i="11"/>
  <c r="AA604" i="11"/>
  <c r="AB604" i="11"/>
  <c r="Z605" i="11"/>
  <c r="AA605" i="11"/>
  <c r="AB605" i="11"/>
  <c r="Z606" i="11"/>
  <c r="AA606" i="11"/>
  <c r="AB606" i="11"/>
  <c r="Z607" i="11"/>
  <c r="AA607" i="11"/>
  <c r="AB607" i="11"/>
  <c r="Z608" i="11"/>
  <c r="AA608" i="11"/>
  <c r="AB608" i="11"/>
  <c r="Z609" i="11"/>
  <c r="AA609" i="11"/>
  <c r="AB609" i="11"/>
  <c r="Z610" i="11"/>
  <c r="AA610" i="11"/>
  <c r="AB610" i="11"/>
  <c r="Z611" i="11"/>
  <c r="AA611" i="11"/>
  <c r="AB611" i="11"/>
  <c r="Z612" i="11"/>
  <c r="AA612" i="11"/>
  <c r="AB612" i="11"/>
  <c r="Z613" i="11"/>
  <c r="AA613" i="11"/>
  <c r="AB613" i="11"/>
  <c r="Z614" i="11"/>
  <c r="AA614" i="11"/>
  <c r="AB614" i="11"/>
  <c r="Z615" i="11"/>
  <c r="AA615" i="11"/>
  <c r="AB615" i="11"/>
  <c r="Z616" i="11"/>
  <c r="AA616" i="11"/>
  <c r="AB616" i="11"/>
  <c r="Z617" i="11"/>
  <c r="AA617" i="11"/>
  <c r="AB617" i="11"/>
  <c r="Z618" i="11"/>
  <c r="AA618" i="11"/>
  <c r="AB618" i="11"/>
  <c r="Z619" i="11"/>
  <c r="AA619" i="11"/>
  <c r="AB619" i="11"/>
  <c r="Z620" i="11"/>
  <c r="AA620" i="11"/>
  <c r="AB620" i="11"/>
  <c r="Z621" i="11"/>
  <c r="AA621" i="11"/>
  <c r="AB621" i="11"/>
  <c r="Z622" i="11"/>
  <c r="AA622" i="11"/>
  <c r="AB622" i="11"/>
  <c r="Z623" i="11"/>
  <c r="AA623" i="11"/>
  <c r="AB623" i="11"/>
  <c r="Z624" i="11"/>
  <c r="AA624" i="11"/>
  <c r="AB624" i="11"/>
  <c r="Z625" i="11"/>
  <c r="AA625" i="11"/>
  <c r="AB625" i="11"/>
  <c r="Z626" i="11"/>
  <c r="AA626" i="11"/>
  <c r="AB626" i="11"/>
  <c r="Z627" i="11"/>
  <c r="AA627" i="11"/>
  <c r="AB627" i="11"/>
  <c r="Z628" i="11"/>
  <c r="AA628" i="11"/>
  <c r="AB628" i="11"/>
  <c r="Z629" i="11"/>
  <c r="AA629" i="11"/>
  <c r="AB629" i="11"/>
  <c r="Z630" i="11"/>
  <c r="AA630" i="11"/>
  <c r="AB630" i="11"/>
  <c r="Z631" i="11"/>
  <c r="AA631" i="11"/>
  <c r="AB631" i="11"/>
  <c r="Z632" i="11"/>
  <c r="AA632" i="11"/>
  <c r="AB632" i="11"/>
  <c r="Z633" i="11"/>
  <c r="AA633" i="11"/>
  <c r="AB633" i="11"/>
  <c r="Z634" i="11"/>
  <c r="AA634" i="11"/>
  <c r="AB634" i="11"/>
  <c r="Z635" i="11"/>
  <c r="AA635" i="11"/>
  <c r="AB635" i="11"/>
  <c r="Z636" i="11"/>
  <c r="AA636" i="11"/>
  <c r="AB636" i="11"/>
  <c r="Z637" i="11"/>
  <c r="AA637" i="11"/>
  <c r="AB637" i="11"/>
  <c r="Z638" i="11"/>
  <c r="AA638" i="11"/>
  <c r="AB638" i="11"/>
  <c r="Z639" i="11"/>
  <c r="AA639" i="11"/>
  <c r="AB639" i="11"/>
  <c r="Z640" i="11"/>
  <c r="AA640" i="11"/>
  <c r="AB640" i="11"/>
  <c r="Z641" i="11"/>
  <c r="AA641" i="11"/>
  <c r="AB641" i="11"/>
  <c r="Z642" i="11"/>
  <c r="AA642" i="11"/>
  <c r="AB642" i="11"/>
  <c r="Z643" i="11"/>
  <c r="AA643" i="11"/>
  <c r="AB643" i="11"/>
  <c r="Z644" i="11"/>
  <c r="AA644" i="11"/>
  <c r="AB644" i="11"/>
  <c r="Z645" i="11"/>
  <c r="AA645" i="11"/>
  <c r="AB645" i="11"/>
  <c r="Z646" i="11"/>
  <c r="AA646" i="11"/>
  <c r="AB646" i="11"/>
  <c r="Z647" i="11"/>
  <c r="AA647" i="11"/>
  <c r="AB647" i="11"/>
  <c r="Z648" i="11"/>
  <c r="AA648" i="11"/>
  <c r="AB648" i="11"/>
  <c r="Z649" i="11"/>
  <c r="AA649" i="11"/>
  <c r="AB649" i="11"/>
  <c r="Z650" i="11"/>
  <c r="AA650" i="11"/>
  <c r="AB650" i="11"/>
  <c r="Z651" i="11"/>
  <c r="AA651" i="11"/>
  <c r="AB651" i="11"/>
  <c r="Z652" i="11"/>
  <c r="AA652" i="11"/>
  <c r="AB652" i="11"/>
  <c r="Z653" i="11"/>
  <c r="AA653" i="11"/>
  <c r="AB653" i="11"/>
  <c r="Z654" i="11"/>
  <c r="AA654" i="11"/>
  <c r="AB654" i="11"/>
  <c r="Z655" i="11"/>
  <c r="AA655" i="11"/>
  <c r="AB655" i="11"/>
  <c r="Z656" i="11"/>
  <c r="AA656" i="11"/>
  <c r="AB656" i="11"/>
  <c r="Z657" i="11"/>
  <c r="AA657" i="11"/>
  <c r="AB657" i="11"/>
  <c r="Z658" i="11"/>
  <c r="AA658" i="11"/>
  <c r="AB658" i="11"/>
  <c r="Z659" i="11"/>
  <c r="AA659" i="11"/>
  <c r="AB659" i="11"/>
  <c r="Z660" i="11"/>
  <c r="AA660" i="11"/>
  <c r="AB660" i="11"/>
  <c r="Z661" i="11"/>
  <c r="AA661" i="11"/>
  <c r="AB661" i="11"/>
  <c r="Z662" i="11"/>
  <c r="AA662" i="11"/>
  <c r="AB662" i="11"/>
  <c r="Z663" i="11"/>
  <c r="AA663" i="11"/>
  <c r="AB663" i="11"/>
  <c r="Z664" i="11"/>
  <c r="AA664" i="11"/>
  <c r="AB664" i="11"/>
  <c r="Z665" i="11"/>
  <c r="AA665" i="11"/>
  <c r="AB665" i="11"/>
  <c r="Z666" i="11"/>
  <c r="AA666" i="11"/>
  <c r="AB666" i="11"/>
  <c r="Z667" i="11"/>
  <c r="AA667" i="11"/>
  <c r="AB667" i="11"/>
  <c r="Z668" i="11"/>
  <c r="AA668" i="11"/>
  <c r="AB668" i="11"/>
  <c r="Z669" i="11"/>
  <c r="AA669" i="11"/>
  <c r="AB669" i="11"/>
  <c r="Z670" i="11"/>
  <c r="AA670" i="11"/>
  <c r="AB670" i="11"/>
  <c r="Z671" i="11"/>
  <c r="AA671" i="11"/>
  <c r="AB671" i="11"/>
  <c r="Z672" i="11"/>
  <c r="AA672" i="11"/>
  <c r="AB672" i="11"/>
  <c r="Z673" i="11"/>
  <c r="AA673" i="11"/>
  <c r="AB673" i="11"/>
  <c r="Z674" i="11"/>
  <c r="AA674" i="11"/>
  <c r="AB674" i="11"/>
  <c r="Z675" i="11"/>
  <c r="AA675" i="11"/>
  <c r="AB675" i="11"/>
  <c r="Z676" i="11"/>
  <c r="AA676" i="11"/>
  <c r="AB676" i="11"/>
  <c r="Z677" i="11"/>
  <c r="AA677" i="11"/>
  <c r="AB677" i="11"/>
  <c r="Z678" i="11"/>
  <c r="AA678" i="11"/>
  <c r="AB678" i="11"/>
  <c r="Z679" i="11"/>
  <c r="AA679" i="11"/>
  <c r="AB679" i="11"/>
  <c r="Z680" i="11"/>
  <c r="AA680" i="11"/>
  <c r="AB680" i="11"/>
  <c r="Z681" i="11"/>
  <c r="AA681" i="11"/>
  <c r="AB681" i="11"/>
  <c r="Z682" i="11"/>
  <c r="AA682" i="11"/>
  <c r="AB682" i="11"/>
  <c r="Z683" i="11"/>
  <c r="AA683" i="11"/>
  <c r="AB683" i="11"/>
  <c r="Z684" i="11"/>
  <c r="AA684" i="11"/>
  <c r="AB684" i="11"/>
  <c r="Z685" i="11"/>
  <c r="AA685" i="11"/>
  <c r="AB685" i="11"/>
  <c r="Z686" i="11"/>
  <c r="AA686" i="11"/>
  <c r="AB686" i="11"/>
  <c r="Z687" i="11"/>
  <c r="AA687" i="11"/>
  <c r="AB687" i="11"/>
  <c r="Z688" i="11"/>
  <c r="AA688" i="11"/>
  <c r="AB688" i="11"/>
  <c r="Z689" i="11"/>
  <c r="AA689" i="11"/>
  <c r="AB689" i="11"/>
  <c r="Z690" i="11"/>
  <c r="AA690" i="11"/>
  <c r="AB690" i="11"/>
  <c r="Z691" i="11"/>
  <c r="AA691" i="11"/>
  <c r="AB691" i="11"/>
  <c r="Z692" i="11"/>
  <c r="AA692" i="11"/>
  <c r="AB692" i="11"/>
  <c r="Z693" i="11"/>
  <c r="AA693" i="11"/>
  <c r="AB693" i="11"/>
  <c r="Z694" i="11"/>
  <c r="AA694" i="11"/>
  <c r="AB694" i="11"/>
  <c r="Z695" i="11"/>
  <c r="AA695" i="11"/>
  <c r="AB695" i="11"/>
  <c r="Z696" i="11"/>
  <c r="AA696" i="11"/>
  <c r="AB696" i="11"/>
  <c r="Z697" i="11"/>
  <c r="AA697" i="11"/>
  <c r="AB697" i="11"/>
  <c r="Z698" i="11"/>
  <c r="AA698" i="11"/>
  <c r="AB698" i="11"/>
  <c r="Z699" i="11"/>
  <c r="AA699" i="11"/>
  <c r="AB699" i="11"/>
  <c r="Z700" i="11"/>
  <c r="AA700" i="11"/>
  <c r="AB700" i="11"/>
  <c r="Z701" i="11"/>
  <c r="AA701" i="11"/>
  <c r="AB701" i="11"/>
  <c r="Z702" i="11"/>
  <c r="AA702" i="11"/>
  <c r="AB702" i="11"/>
  <c r="Z703" i="11"/>
  <c r="AA703" i="11"/>
  <c r="AB703" i="11"/>
  <c r="Z704" i="11"/>
  <c r="AA704" i="11"/>
  <c r="AB704" i="11"/>
  <c r="Z705" i="11"/>
  <c r="AA705" i="11"/>
  <c r="AB705" i="11"/>
  <c r="Z706" i="11"/>
  <c r="AA706" i="11"/>
  <c r="AB706" i="11"/>
  <c r="Z707" i="11"/>
  <c r="AA707" i="11"/>
  <c r="AB707" i="11"/>
  <c r="Z708" i="11"/>
  <c r="AA708" i="11"/>
  <c r="AB708" i="11"/>
  <c r="Z709" i="11"/>
  <c r="AA709" i="11"/>
  <c r="AB709" i="11"/>
  <c r="Z710" i="11"/>
  <c r="AA710" i="11"/>
  <c r="AB710" i="11"/>
  <c r="Z711" i="11"/>
  <c r="AA711" i="11"/>
  <c r="AB711" i="11"/>
  <c r="Z712" i="11"/>
  <c r="AA712" i="11"/>
  <c r="AB712" i="11"/>
  <c r="Z713" i="11"/>
  <c r="AA713" i="11"/>
  <c r="AB713" i="11"/>
  <c r="Z714" i="11"/>
  <c r="AA714" i="11"/>
  <c r="AB714" i="11"/>
  <c r="Z715" i="11"/>
  <c r="AA715" i="11"/>
  <c r="AB715" i="11"/>
  <c r="Z716" i="11"/>
  <c r="AA716" i="11"/>
  <c r="AB716" i="11"/>
  <c r="Z717" i="11"/>
  <c r="AA717" i="11"/>
  <c r="AB717" i="11"/>
  <c r="Z718" i="11"/>
  <c r="AA718" i="11"/>
  <c r="AB718" i="11"/>
  <c r="Z719" i="11"/>
  <c r="AA719" i="11"/>
  <c r="AB719" i="11"/>
  <c r="Z720" i="11"/>
  <c r="AA720" i="11"/>
  <c r="AB720" i="11"/>
  <c r="Z721" i="11"/>
  <c r="AA721" i="11"/>
  <c r="AB721" i="11"/>
  <c r="Z722" i="11"/>
  <c r="AA722" i="11"/>
  <c r="AB722" i="11"/>
  <c r="Z723" i="11"/>
  <c r="AA723" i="11"/>
  <c r="AB723" i="11"/>
  <c r="Z724" i="11"/>
  <c r="AA724" i="11"/>
  <c r="AB724" i="11"/>
  <c r="Z725" i="11"/>
  <c r="AA725" i="11"/>
  <c r="AB725" i="11"/>
  <c r="Z726" i="11"/>
  <c r="AA726" i="11"/>
  <c r="AB726" i="11"/>
  <c r="Z727" i="11"/>
  <c r="AA727" i="11"/>
  <c r="AB727" i="11"/>
  <c r="Z728" i="11"/>
  <c r="AA728" i="11"/>
  <c r="AB728" i="11"/>
  <c r="Z729" i="11"/>
  <c r="AA729" i="11"/>
  <c r="AB729" i="11"/>
  <c r="Z730" i="11"/>
  <c r="AA730" i="11"/>
  <c r="AB730" i="11"/>
  <c r="Z731" i="11"/>
  <c r="AA731" i="11"/>
  <c r="AB731" i="11"/>
  <c r="Z732" i="11"/>
  <c r="AA732" i="11"/>
  <c r="AB732" i="11"/>
  <c r="Z733" i="11"/>
  <c r="AA733" i="11"/>
  <c r="AB733" i="11"/>
  <c r="Z734" i="11"/>
  <c r="AA734" i="11"/>
  <c r="AB734" i="11"/>
  <c r="Z735" i="11"/>
  <c r="AA735" i="11"/>
  <c r="AB735" i="11"/>
  <c r="Z736" i="11"/>
  <c r="AA736" i="11"/>
  <c r="AB736" i="11"/>
  <c r="Z737" i="11"/>
  <c r="AA737" i="11"/>
  <c r="AB737" i="11"/>
  <c r="Z738" i="11"/>
  <c r="AA738" i="11"/>
  <c r="AB738" i="11"/>
  <c r="Z739" i="11"/>
  <c r="AA739" i="11"/>
  <c r="AB739" i="11"/>
  <c r="Z740" i="11"/>
  <c r="AA740" i="11"/>
  <c r="AB740" i="11"/>
  <c r="Z741" i="11"/>
  <c r="AA741" i="11"/>
  <c r="AB741" i="11"/>
  <c r="Z742" i="11"/>
  <c r="AA742" i="11"/>
  <c r="AB742" i="11"/>
  <c r="Z743" i="11"/>
  <c r="AA743" i="11"/>
  <c r="AB743" i="11"/>
  <c r="Z744" i="11"/>
  <c r="AA744" i="11"/>
  <c r="AB744" i="11"/>
  <c r="Z745" i="11"/>
  <c r="AA745" i="11"/>
  <c r="AB745" i="11"/>
  <c r="Z746" i="11"/>
  <c r="AA746" i="11"/>
  <c r="AB746" i="11"/>
  <c r="Z747" i="11"/>
  <c r="AA747" i="11"/>
  <c r="AB747" i="11"/>
  <c r="Z748" i="11"/>
  <c r="AA748" i="11"/>
  <c r="AB748" i="11"/>
  <c r="Z749" i="11"/>
  <c r="AA749" i="11"/>
  <c r="AB749" i="11"/>
  <c r="Z750" i="11"/>
  <c r="AA750" i="11"/>
  <c r="AB750" i="11"/>
  <c r="Z751" i="11"/>
  <c r="AA751" i="11"/>
  <c r="AB751" i="11"/>
  <c r="Z752" i="11"/>
  <c r="AA752" i="11"/>
  <c r="AB752" i="11"/>
  <c r="Z753" i="11"/>
  <c r="AA753" i="11"/>
  <c r="AB753" i="11"/>
  <c r="Z754" i="11"/>
  <c r="AA754" i="11"/>
  <c r="AB754" i="11"/>
  <c r="Z755" i="11"/>
  <c r="AA755" i="11"/>
  <c r="AB755" i="11"/>
  <c r="Z756" i="11"/>
  <c r="AA756" i="11"/>
  <c r="AB756" i="11"/>
  <c r="Z757" i="11"/>
  <c r="AA757" i="11"/>
  <c r="AB757" i="11"/>
  <c r="Z758" i="11"/>
  <c r="AA758" i="11"/>
  <c r="AB758" i="11"/>
  <c r="Z759" i="11"/>
  <c r="AA759" i="11"/>
  <c r="AB759" i="11"/>
  <c r="Z760" i="11"/>
  <c r="AA760" i="11"/>
  <c r="AB760" i="11"/>
  <c r="Z761" i="11"/>
  <c r="AA761" i="11"/>
  <c r="AB761" i="11"/>
  <c r="Z762" i="11"/>
  <c r="AA762" i="11"/>
  <c r="AB762" i="11"/>
  <c r="Z763" i="11"/>
  <c r="AA763" i="11"/>
  <c r="AB763" i="11"/>
  <c r="Z764" i="11"/>
  <c r="AA764" i="11"/>
  <c r="AB764" i="11"/>
  <c r="Z765" i="11"/>
  <c r="AA765" i="11"/>
  <c r="AB765" i="11"/>
  <c r="Z766" i="11"/>
  <c r="AA766" i="11"/>
  <c r="AB766" i="11"/>
  <c r="Z767" i="11"/>
  <c r="AA767" i="11"/>
  <c r="AB767" i="11"/>
  <c r="Z768" i="11"/>
  <c r="AA768" i="11"/>
  <c r="AB768" i="11"/>
  <c r="Z769" i="11"/>
  <c r="AA769" i="11"/>
  <c r="AB769" i="11"/>
  <c r="Z770" i="11"/>
  <c r="AA770" i="11"/>
  <c r="AB770" i="11"/>
  <c r="Z771" i="11"/>
  <c r="AA771" i="11"/>
  <c r="AB771" i="11"/>
  <c r="Z772" i="11"/>
  <c r="AA772" i="11"/>
  <c r="AB772" i="11"/>
  <c r="Z773" i="11"/>
  <c r="AA773" i="11"/>
  <c r="AB773" i="11"/>
  <c r="Z774" i="11"/>
  <c r="AA774" i="11"/>
  <c r="AB774" i="11"/>
  <c r="Z775" i="11"/>
  <c r="AA775" i="11"/>
  <c r="AB775" i="11"/>
  <c r="Z776" i="11"/>
  <c r="AA776" i="11"/>
  <c r="AB776" i="11"/>
  <c r="Z777" i="11"/>
  <c r="AA777" i="11"/>
  <c r="AB777" i="11"/>
  <c r="Z778" i="11"/>
  <c r="AA778" i="11"/>
  <c r="AB778" i="11"/>
  <c r="Z779" i="11"/>
  <c r="AA779" i="11"/>
  <c r="AB779" i="11"/>
  <c r="Z780" i="11"/>
  <c r="AA780" i="11"/>
  <c r="AB780" i="11"/>
  <c r="Z781" i="11"/>
  <c r="AA781" i="11"/>
  <c r="AB781" i="11"/>
  <c r="Z782" i="11"/>
  <c r="AA782" i="11"/>
  <c r="AB782" i="11"/>
  <c r="Z783" i="11"/>
  <c r="AA783" i="11"/>
  <c r="AB783" i="11"/>
  <c r="Z784" i="11"/>
  <c r="AA784" i="11"/>
  <c r="AB784" i="11"/>
  <c r="Z785" i="11"/>
  <c r="AA785" i="11"/>
  <c r="AB785" i="11"/>
  <c r="Z786" i="11"/>
  <c r="AA786" i="11"/>
  <c r="AB786" i="11"/>
  <c r="Z787" i="11"/>
  <c r="AA787" i="11"/>
  <c r="AB787" i="11"/>
  <c r="Z788" i="11"/>
  <c r="AA788" i="11"/>
  <c r="AB788" i="11"/>
  <c r="Z789" i="11"/>
  <c r="AA789" i="11"/>
  <c r="AB789" i="11"/>
  <c r="Z790" i="11"/>
  <c r="AA790" i="11"/>
  <c r="AB790" i="11"/>
  <c r="Z791" i="11"/>
  <c r="AA791" i="11"/>
  <c r="AB791" i="11"/>
  <c r="Z792" i="11"/>
  <c r="AA792" i="11"/>
  <c r="AB792" i="11"/>
  <c r="Z793" i="11"/>
  <c r="AA793" i="11"/>
  <c r="AB793" i="11"/>
  <c r="Z794" i="11"/>
  <c r="AA794" i="11"/>
  <c r="AB794" i="11"/>
  <c r="Z795" i="11"/>
  <c r="AA795" i="11"/>
  <c r="AB795" i="11"/>
  <c r="Z796" i="11"/>
  <c r="AA796" i="11"/>
  <c r="AB796" i="11"/>
  <c r="Z797" i="11"/>
  <c r="AA797" i="11"/>
  <c r="AB797" i="11"/>
  <c r="Z798" i="11"/>
  <c r="AA798" i="11"/>
  <c r="AB798" i="11"/>
  <c r="Z799" i="11"/>
  <c r="AA799" i="11"/>
  <c r="AB799" i="11"/>
  <c r="Z800" i="11"/>
  <c r="AA800" i="11"/>
  <c r="AB800" i="11"/>
  <c r="Z801" i="11"/>
  <c r="AA801" i="11"/>
  <c r="AB801" i="11"/>
  <c r="Z802" i="11"/>
  <c r="AA802" i="11"/>
  <c r="AB802" i="11"/>
  <c r="Z803" i="11"/>
  <c r="AA803" i="11"/>
  <c r="AB803" i="11"/>
  <c r="Z804" i="11"/>
  <c r="AA804" i="11"/>
  <c r="AB804" i="11"/>
  <c r="Z805" i="11"/>
  <c r="AA805" i="11"/>
  <c r="AB805" i="11"/>
  <c r="Z806" i="11"/>
  <c r="AA806" i="11"/>
  <c r="AB806" i="11"/>
  <c r="Z807" i="11"/>
  <c r="AA807" i="11"/>
  <c r="AB807" i="11"/>
  <c r="Z808" i="11"/>
  <c r="AA808" i="11"/>
  <c r="AB808" i="11"/>
  <c r="Z809" i="11"/>
  <c r="AA809" i="11"/>
  <c r="AB809" i="11"/>
  <c r="Z810" i="11"/>
  <c r="AA810" i="11"/>
  <c r="AB810" i="11"/>
  <c r="Z811" i="11"/>
  <c r="AA811" i="11"/>
  <c r="AB811" i="11"/>
  <c r="Z812" i="11"/>
  <c r="AA812" i="11"/>
  <c r="AB812" i="11"/>
  <c r="Z813" i="11"/>
  <c r="AA813" i="11"/>
  <c r="AB813" i="11"/>
  <c r="Z814" i="11"/>
  <c r="AA814" i="11"/>
  <c r="AB814" i="11"/>
  <c r="Z815" i="11"/>
  <c r="AA815" i="11"/>
  <c r="AB815" i="11"/>
  <c r="Z816" i="11"/>
  <c r="AA816" i="11"/>
  <c r="AB816" i="11"/>
  <c r="Z817" i="11"/>
  <c r="AA817" i="11"/>
  <c r="AB817" i="11"/>
  <c r="Z818" i="11"/>
  <c r="AA818" i="11"/>
  <c r="AB818" i="11"/>
  <c r="Z819" i="11"/>
  <c r="AA819" i="11"/>
  <c r="AB819" i="11"/>
  <c r="Z820" i="11"/>
  <c r="AA820" i="11"/>
  <c r="AB820" i="11"/>
  <c r="Z821" i="11"/>
  <c r="AA821" i="11"/>
  <c r="AB821" i="11"/>
  <c r="Z822" i="11"/>
  <c r="AA822" i="11"/>
  <c r="AB822" i="11"/>
  <c r="Z823" i="11"/>
  <c r="AA823" i="11"/>
  <c r="AB823" i="11"/>
  <c r="Z824" i="11"/>
  <c r="AA824" i="11"/>
  <c r="AB824" i="11"/>
  <c r="Z825" i="11"/>
  <c r="AA825" i="11"/>
  <c r="AB825" i="11"/>
  <c r="Z826" i="11"/>
  <c r="AA826" i="11"/>
  <c r="AB826" i="11"/>
  <c r="Z827" i="11"/>
  <c r="AA827" i="11"/>
  <c r="AB827" i="11"/>
  <c r="Z828" i="11"/>
  <c r="AA828" i="11"/>
  <c r="AB828" i="11"/>
  <c r="Z829" i="11"/>
  <c r="AA829" i="11"/>
  <c r="AB829" i="11"/>
  <c r="Z830" i="11"/>
  <c r="AA830" i="11"/>
  <c r="AB830" i="11"/>
  <c r="Z831" i="11"/>
  <c r="AA831" i="11"/>
  <c r="AB831" i="11"/>
  <c r="Z832" i="11"/>
  <c r="AA832" i="11"/>
  <c r="AB832" i="11"/>
  <c r="Z833" i="11"/>
  <c r="AA833" i="11"/>
  <c r="AB833" i="11"/>
  <c r="Z834" i="11"/>
  <c r="AA834" i="11"/>
  <c r="AB834" i="11"/>
  <c r="Z835" i="11"/>
  <c r="AA835" i="11"/>
  <c r="AB835" i="11"/>
  <c r="Z836" i="11"/>
  <c r="AA836" i="11"/>
  <c r="AB836" i="11"/>
  <c r="Z837" i="11"/>
  <c r="AA837" i="11"/>
  <c r="AB837" i="11"/>
  <c r="Z838" i="11"/>
  <c r="AA838" i="11"/>
  <c r="AB838" i="11"/>
  <c r="Z839" i="11"/>
  <c r="AA839" i="11"/>
  <c r="AB839" i="11"/>
  <c r="Z840" i="11"/>
  <c r="AA840" i="11"/>
  <c r="AB840" i="11"/>
  <c r="Z841" i="11"/>
  <c r="AA841" i="11"/>
  <c r="AB841" i="11"/>
  <c r="Z842" i="11"/>
  <c r="AA842" i="11"/>
  <c r="AB842" i="11"/>
  <c r="Z843" i="11"/>
  <c r="AA843" i="11"/>
  <c r="AB843" i="11"/>
  <c r="Z844" i="11"/>
  <c r="AA844" i="11"/>
  <c r="AB844" i="11"/>
  <c r="Z845" i="11"/>
  <c r="AA845" i="11"/>
  <c r="AB845" i="11"/>
  <c r="Z846" i="11"/>
  <c r="AA846" i="11"/>
  <c r="AB846" i="11"/>
  <c r="Z847" i="11"/>
  <c r="AA847" i="11"/>
  <c r="AB847" i="11"/>
  <c r="Z848" i="11"/>
  <c r="AA848" i="11"/>
  <c r="AB848" i="11"/>
  <c r="Z849" i="11"/>
  <c r="AA849" i="11"/>
  <c r="AB849" i="11"/>
  <c r="Z850" i="11"/>
  <c r="AA850" i="11"/>
  <c r="AB850" i="11"/>
  <c r="Z851" i="11"/>
  <c r="AA851" i="11"/>
  <c r="AB851" i="11"/>
  <c r="Z852" i="11"/>
  <c r="AA852" i="11"/>
  <c r="AB852" i="11"/>
  <c r="Z853" i="11"/>
  <c r="AA853" i="11"/>
  <c r="AB853" i="11"/>
  <c r="Z854" i="11"/>
  <c r="AA854" i="11"/>
  <c r="AB854" i="11"/>
  <c r="Z855" i="11"/>
  <c r="AA855" i="11"/>
  <c r="AB855" i="11"/>
  <c r="Z856" i="11"/>
  <c r="AA856" i="11"/>
  <c r="AB856" i="11"/>
  <c r="Z857" i="11"/>
  <c r="AA857" i="11"/>
  <c r="AB857" i="11"/>
  <c r="Z858" i="11"/>
  <c r="AA858" i="11"/>
  <c r="AB858" i="11"/>
  <c r="Z859" i="11"/>
  <c r="AA859" i="11"/>
  <c r="AB859" i="11"/>
  <c r="Z860" i="11"/>
  <c r="AA860" i="11"/>
  <c r="AB860" i="11"/>
  <c r="Z861" i="11"/>
  <c r="AA861" i="11"/>
  <c r="AB861" i="11"/>
  <c r="Z862" i="11"/>
  <c r="AA862" i="11"/>
  <c r="AB862" i="11"/>
  <c r="Z863" i="11"/>
  <c r="AA863" i="11"/>
  <c r="AB863" i="11"/>
  <c r="Z864" i="11"/>
  <c r="AA864" i="11"/>
  <c r="AB864" i="11"/>
  <c r="Z865" i="11"/>
  <c r="AA865" i="11"/>
  <c r="AB865" i="11"/>
  <c r="Z866" i="11"/>
  <c r="AA866" i="11"/>
  <c r="AB866" i="11"/>
  <c r="Z867" i="11"/>
  <c r="AA867" i="11"/>
  <c r="AB867" i="11"/>
  <c r="Z868" i="11"/>
  <c r="AA868" i="11"/>
  <c r="AB868" i="11"/>
  <c r="Z869" i="11"/>
  <c r="AA869" i="11"/>
  <c r="AB869" i="11"/>
  <c r="Z870" i="11"/>
  <c r="AA870" i="11"/>
  <c r="AB870" i="11"/>
  <c r="Z871" i="11"/>
  <c r="AA871" i="11"/>
  <c r="AB871" i="11"/>
  <c r="Z872" i="11"/>
  <c r="AA872" i="11"/>
  <c r="AB872" i="11"/>
  <c r="Z873" i="11"/>
  <c r="AA873" i="11"/>
  <c r="AB873" i="11"/>
  <c r="Z874" i="11"/>
  <c r="AA874" i="11"/>
  <c r="AB874" i="11"/>
  <c r="Z875" i="11"/>
  <c r="AA875" i="11"/>
  <c r="AB875" i="11"/>
  <c r="Z876" i="11"/>
  <c r="AA876" i="11"/>
  <c r="AB876" i="11"/>
  <c r="Z877" i="11"/>
  <c r="AA877" i="11"/>
  <c r="AB877" i="11"/>
  <c r="Z878" i="11"/>
  <c r="AA878" i="11"/>
  <c r="AB878" i="11"/>
  <c r="Z879" i="11"/>
  <c r="AA879" i="11"/>
  <c r="AB879" i="11"/>
  <c r="Z880" i="11"/>
  <c r="AA880" i="11"/>
  <c r="AB880" i="11"/>
  <c r="Z881" i="11"/>
  <c r="AA881" i="11"/>
  <c r="AB881" i="11"/>
  <c r="Z882" i="11"/>
  <c r="AA882" i="11"/>
  <c r="AB882" i="11"/>
  <c r="Z883" i="11"/>
  <c r="AA883" i="11"/>
  <c r="AB883" i="11"/>
  <c r="Z884" i="11"/>
  <c r="AA884" i="11"/>
  <c r="AB884" i="11"/>
  <c r="Z885" i="11"/>
  <c r="AA885" i="11"/>
  <c r="AB885" i="11"/>
  <c r="Z886" i="11"/>
  <c r="AA886" i="11"/>
  <c r="AB886" i="11"/>
  <c r="Z887" i="11"/>
  <c r="AA887" i="11"/>
  <c r="AB887" i="11"/>
  <c r="Z888" i="11"/>
  <c r="AA888" i="11"/>
  <c r="AB888" i="11"/>
  <c r="Z889" i="11"/>
  <c r="AA889" i="11"/>
  <c r="AB889" i="11"/>
  <c r="Z890" i="11"/>
  <c r="AA890" i="11"/>
  <c r="AB890" i="11"/>
  <c r="Z891" i="11"/>
  <c r="AA891" i="11"/>
  <c r="AB891" i="11"/>
  <c r="Z892" i="11"/>
  <c r="AA892" i="11"/>
  <c r="AB892" i="11"/>
  <c r="AA893" i="11"/>
  <c r="AB893" i="11"/>
  <c r="Z894" i="11"/>
  <c r="AA894" i="11"/>
  <c r="AB894" i="11"/>
  <c r="Z895" i="11"/>
  <c r="AA895" i="11"/>
  <c r="AB895" i="11"/>
  <c r="Z896" i="11"/>
  <c r="AA896" i="11"/>
  <c r="AB896" i="11"/>
  <c r="Z897" i="11"/>
  <c r="AA897" i="11"/>
  <c r="AB897" i="11"/>
  <c r="Z898" i="11"/>
  <c r="AA898" i="11"/>
  <c r="AB898" i="11"/>
  <c r="Z899" i="11"/>
  <c r="AA899" i="11"/>
  <c r="AB899" i="11"/>
  <c r="Z900" i="11"/>
  <c r="AA900" i="11"/>
  <c r="AB900" i="11"/>
  <c r="Z901" i="11"/>
  <c r="AA901" i="11"/>
  <c r="AB901" i="11"/>
  <c r="Z902" i="11"/>
  <c r="AA902" i="11"/>
  <c r="AB902" i="11"/>
  <c r="Z903" i="11"/>
  <c r="AA903" i="11"/>
  <c r="AB903" i="11"/>
  <c r="Z904" i="11"/>
  <c r="AA904" i="11"/>
  <c r="AB904" i="11"/>
  <c r="Z905" i="11"/>
  <c r="AA905" i="11"/>
  <c r="AB905" i="11"/>
  <c r="Z906" i="11"/>
  <c r="AA906" i="11"/>
  <c r="AB906" i="11"/>
  <c r="Z907" i="11"/>
  <c r="AA907" i="11"/>
  <c r="AB907" i="11"/>
  <c r="Z908" i="11"/>
  <c r="AA908" i="11"/>
  <c r="AB908" i="11"/>
  <c r="Z909" i="11"/>
  <c r="AA909" i="11"/>
  <c r="AB909" i="11"/>
  <c r="Z910" i="11"/>
  <c r="AA910" i="11"/>
  <c r="AB910" i="11"/>
  <c r="Z911" i="11"/>
  <c r="AA911" i="11"/>
  <c r="AB911" i="11"/>
  <c r="Z912" i="11"/>
  <c r="AA912" i="11"/>
  <c r="AB912" i="11"/>
  <c r="Z913" i="11"/>
  <c r="AA913" i="11"/>
  <c r="AB913" i="11"/>
  <c r="Z914" i="11"/>
  <c r="AA914" i="11"/>
  <c r="AB914" i="11"/>
  <c r="Z915" i="11"/>
  <c r="AA915" i="11"/>
  <c r="AB915" i="11"/>
  <c r="Z916" i="11"/>
  <c r="AA916" i="11"/>
  <c r="AB916" i="11"/>
  <c r="Z917" i="11"/>
  <c r="AA917" i="11"/>
  <c r="AB917" i="11"/>
  <c r="Z918" i="11"/>
  <c r="AA918" i="11"/>
  <c r="AB918" i="11"/>
  <c r="Z919" i="11"/>
  <c r="AA919" i="11"/>
  <c r="AB919" i="11"/>
  <c r="Z920" i="11"/>
  <c r="AA920" i="11"/>
  <c r="AB920" i="11"/>
  <c r="Z921" i="11"/>
  <c r="AA921" i="11"/>
  <c r="AB921" i="11"/>
  <c r="Z922" i="11"/>
  <c r="AA922" i="11"/>
  <c r="AB922" i="11"/>
  <c r="Z923" i="11"/>
  <c r="AA923" i="11"/>
  <c r="AB923" i="11"/>
  <c r="Z924" i="11"/>
  <c r="AA924" i="11"/>
  <c r="AB924" i="11"/>
  <c r="Z925" i="11"/>
  <c r="AA925" i="11"/>
  <c r="AB925" i="11"/>
  <c r="Z926" i="11"/>
  <c r="AA926" i="11"/>
  <c r="AB926" i="11"/>
  <c r="Z927" i="11"/>
  <c r="AA927" i="11"/>
  <c r="AB927" i="11"/>
  <c r="AA2" i="11"/>
  <c r="AB2" i="11"/>
  <c r="Z2" i="11"/>
  <c r="H19" i="4"/>
  <c r="H29" i="4"/>
  <c r="H27" i="4"/>
  <c r="H39" i="4"/>
  <c r="H17" i="4"/>
  <c r="H51" i="4"/>
  <c r="H53" i="4"/>
  <c r="M926" i="11"/>
  <c r="L926" i="11"/>
  <c r="K926" i="11"/>
  <c r="M925" i="11"/>
  <c r="L925" i="11"/>
  <c r="K925" i="11"/>
  <c r="M924" i="11"/>
  <c r="L924" i="11"/>
  <c r="K924" i="11"/>
  <c r="M923" i="11"/>
  <c r="L923" i="11"/>
  <c r="K923" i="11"/>
  <c r="M922" i="11"/>
  <c r="L922" i="11"/>
  <c r="K922" i="11"/>
  <c r="M921" i="11"/>
  <c r="L921" i="11"/>
  <c r="K921" i="11"/>
  <c r="M920" i="11"/>
  <c r="L920" i="11"/>
  <c r="K920" i="11"/>
  <c r="M919" i="11"/>
  <c r="L919" i="11"/>
  <c r="K919" i="11"/>
  <c r="M918" i="11"/>
  <c r="L918" i="11"/>
  <c r="K918" i="11"/>
  <c r="M917" i="11"/>
  <c r="L917" i="11"/>
  <c r="K917" i="11"/>
  <c r="M916" i="11"/>
  <c r="L916" i="11"/>
  <c r="K916" i="11"/>
  <c r="M915" i="11"/>
  <c r="L915" i="11"/>
  <c r="K915" i="11"/>
  <c r="M914" i="11"/>
  <c r="L914" i="11"/>
  <c r="K914" i="11"/>
  <c r="M913" i="11"/>
  <c r="L913" i="11"/>
  <c r="K913" i="11"/>
  <c r="M912" i="11"/>
  <c r="L912" i="11"/>
  <c r="K912" i="11"/>
  <c r="M911" i="11"/>
  <c r="L911" i="11"/>
  <c r="K911" i="11"/>
  <c r="M910" i="11"/>
  <c r="L910" i="11"/>
  <c r="K910" i="11"/>
  <c r="M909" i="11"/>
  <c r="L909" i="11"/>
  <c r="K909" i="11"/>
  <c r="M908" i="11"/>
  <c r="L908" i="11"/>
  <c r="K908" i="11"/>
  <c r="M907" i="11"/>
  <c r="L907" i="11"/>
  <c r="K907" i="11"/>
  <c r="M906" i="11"/>
  <c r="L906" i="11"/>
  <c r="K906" i="11"/>
  <c r="M905" i="11"/>
  <c r="L905" i="11"/>
  <c r="K905" i="11"/>
  <c r="M904" i="11"/>
  <c r="L904" i="11"/>
  <c r="K904" i="11"/>
  <c r="M903" i="11"/>
  <c r="L903" i="11"/>
  <c r="K903" i="11"/>
  <c r="M902" i="11"/>
  <c r="L902" i="11"/>
  <c r="K902" i="11"/>
  <c r="M901" i="11"/>
  <c r="L901" i="11"/>
  <c r="K901" i="11"/>
  <c r="M900" i="11"/>
  <c r="L900" i="11"/>
  <c r="K900" i="11"/>
  <c r="M899" i="11"/>
  <c r="L899" i="11"/>
  <c r="K899" i="11"/>
  <c r="M898" i="11"/>
  <c r="L898" i="11"/>
  <c r="K898" i="11"/>
  <c r="M897" i="11"/>
  <c r="L897" i="11"/>
  <c r="K897" i="11"/>
  <c r="M896" i="11"/>
  <c r="L896" i="11"/>
  <c r="K896" i="11"/>
  <c r="M895" i="11"/>
  <c r="L895" i="11"/>
  <c r="K895" i="11"/>
  <c r="M894" i="11"/>
  <c r="L894" i="11"/>
  <c r="K894" i="11"/>
  <c r="M893" i="11"/>
  <c r="L893" i="11"/>
  <c r="K893" i="11"/>
  <c r="M892" i="11"/>
  <c r="L892" i="11"/>
  <c r="K892" i="11"/>
  <c r="M891" i="11"/>
  <c r="L891" i="11"/>
  <c r="K891" i="11"/>
  <c r="M890" i="11"/>
  <c r="L890" i="11"/>
  <c r="K890" i="11"/>
  <c r="M889" i="11"/>
  <c r="L889" i="11"/>
  <c r="K889" i="11"/>
  <c r="M888" i="11"/>
  <c r="L888" i="11"/>
  <c r="K888" i="11"/>
  <c r="M887" i="11"/>
  <c r="L887" i="11"/>
  <c r="K887" i="11"/>
  <c r="M886" i="11"/>
  <c r="L886" i="11"/>
  <c r="K886" i="11"/>
  <c r="M885" i="11"/>
  <c r="L885" i="11"/>
  <c r="K885" i="11"/>
  <c r="M884" i="11"/>
  <c r="L884" i="11"/>
  <c r="K884" i="11"/>
  <c r="M883" i="11"/>
  <c r="L883" i="11"/>
  <c r="K883" i="11"/>
  <c r="M882" i="11"/>
  <c r="L882" i="11"/>
  <c r="K882" i="11"/>
  <c r="M881" i="11"/>
  <c r="L881" i="11"/>
  <c r="K881" i="11"/>
  <c r="M880" i="11"/>
  <c r="L880" i="11"/>
  <c r="K880" i="11"/>
  <c r="M879" i="11"/>
  <c r="L879" i="11"/>
  <c r="K879" i="11"/>
  <c r="M878" i="11"/>
  <c r="L878" i="11"/>
  <c r="K878" i="11"/>
  <c r="M877" i="11"/>
  <c r="L877" i="11"/>
  <c r="K877" i="11"/>
  <c r="M876" i="11"/>
  <c r="L876" i="11"/>
  <c r="K876" i="11"/>
  <c r="M875" i="11"/>
  <c r="L875" i="11"/>
  <c r="K875" i="11"/>
  <c r="M874" i="11"/>
  <c r="L874" i="11"/>
  <c r="K874" i="11"/>
  <c r="M873" i="11"/>
  <c r="L873" i="11"/>
  <c r="K873" i="11"/>
  <c r="M872" i="11"/>
  <c r="L872" i="11"/>
  <c r="K872" i="11"/>
  <c r="M871" i="11"/>
  <c r="L871" i="11"/>
  <c r="K871" i="11"/>
  <c r="M870" i="11"/>
  <c r="L870" i="11"/>
  <c r="K870" i="11"/>
  <c r="M869" i="11"/>
  <c r="L869" i="11"/>
  <c r="K869" i="11"/>
  <c r="M868" i="11"/>
  <c r="L868" i="11"/>
  <c r="K868" i="11"/>
  <c r="M867" i="11"/>
  <c r="L867" i="11"/>
  <c r="K867" i="11"/>
  <c r="M866" i="11"/>
  <c r="L866" i="11"/>
  <c r="K866" i="11"/>
  <c r="M865" i="11"/>
  <c r="L865" i="11"/>
  <c r="K865" i="11"/>
  <c r="M864" i="11"/>
  <c r="L864" i="11"/>
  <c r="K864" i="11"/>
  <c r="M863" i="11"/>
  <c r="L863" i="11"/>
  <c r="K863" i="11"/>
  <c r="M862" i="11"/>
  <c r="L862" i="11"/>
  <c r="K862" i="11"/>
  <c r="M861" i="11"/>
  <c r="L861" i="11"/>
  <c r="K861" i="11"/>
  <c r="M860" i="11"/>
  <c r="L860" i="11"/>
  <c r="K860" i="11"/>
  <c r="M859" i="11"/>
  <c r="L859" i="11"/>
  <c r="K859" i="11"/>
  <c r="M858" i="11"/>
  <c r="L858" i="11"/>
  <c r="K858" i="11"/>
  <c r="M857" i="11"/>
  <c r="L857" i="11"/>
  <c r="K857" i="11"/>
  <c r="M856" i="11"/>
  <c r="L856" i="11"/>
  <c r="K856" i="11"/>
  <c r="M855" i="11"/>
  <c r="L855" i="11"/>
  <c r="K855" i="11"/>
  <c r="M854" i="11"/>
  <c r="L854" i="11"/>
  <c r="K854" i="11"/>
  <c r="M853" i="11"/>
  <c r="L853" i="11"/>
  <c r="K853" i="11"/>
  <c r="M852" i="11"/>
  <c r="L852" i="11"/>
  <c r="K852" i="11"/>
  <c r="M851" i="11"/>
  <c r="L851" i="11"/>
  <c r="K851" i="11"/>
  <c r="M850" i="11"/>
  <c r="L850" i="11"/>
  <c r="K850" i="11"/>
  <c r="M849" i="11"/>
  <c r="L849" i="11"/>
  <c r="K849" i="11"/>
  <c r="M848" i="11"/>
  <c r="L848" i="11"/>
  <c r="K848" i="11"/>
  <c r="M847" i="11"/>
  <c r="L847" i="11"/>
  <c r="K847" i="11"/>
  <c r="M846" i="11"/>
  <c r="L846" i="11"/>
  <c r="K846" i="11"/>
  <c r="M845" i="11"/>
  <c r="L845" i="11"/>
  <c r="K845" i="11"/>
  <c r="M844" i="11"/>
  <c r="L844" i="11"/>
  <c r="K844" i="11"/>
  <c r="M843" i="11"/>
  <c r="L843" i="11"/>
  <c r="K843" i="11"/>
  <c r="M842" i="11"/>
  <c r="L842" i="11"/>
  <c r="K842" i="11"/>
  <c r="M841" i="11"/>
  <c r="L841" i="11"/>
  <c r="K841" i="11"/>
  <c r="M840" i="11"/>
  <c r="L840" i="11"/>
  <c r="K840" i="11"/>
  <c r="M839" i="11"/>
  <c r="L839" i="11"/>
  <c r="K839" i="11"/>
  <c r="M838" i="11"/>
  <c r="L838" i="11"/>
  <c r="K838" i="11"/>
  <c r="M837" i="11"/>
  <c r="L837" i="11"/>
  <c r="K837" i="11"/>
  <c r="M836" i="11"/>
  <c r="L836" i="11"/>
  <c r="K836" i="11"/>
  <c r="M835" i="11"/>
  <c r="L835" i="11"/>
  <c r="K835" i="11"/>
  <c r="M834" i="11"/>
  <c r="L834" i="11"/>
  <c r="K834" i="11"/>
  <c r="M833" i="11"/>
  <c r="L833" i="11"/>
  <c r="K833" i="11"/>
  <c r="M832" i="11"/>
  <c r="L832" i="11"/>
  <c r="K832" i="11"/>
  <c r="M831" i="11"/>
  <c r="L831" i="11"/>
  <c r="K831" i="11"/>
  <c r="M830" i="11"/>
  <c r="L830" i="11"/>
  <c r="K830" i="11"/>
  <c r="M829" i="11"/>
  <c r="L829" i="11"/>
  <c r="K829" i="11"/>
  <c r="M828" i="11"/>
  <c r="L828" i="11"/>
  <c r="K828" i="11"/>
  <c r="M827" i="11"/>
  <c r="L827" i="11"/>
  <c r="K827" i="11"/>
  <c r="M826" i="11"/>
  <c r="L826" i="11"/>
  <c r="K826" i="11"/>
  <c r="M825" i="11"/>
  <c r="L825" i="11"/>
  <c r="K825" i="11"/>
  <c r="M824" i="11"/>
  <c r="L824" i="11"/>
  <c r="K824" i="11"/>
  <c r="M823" i="11"/>
  <c r="L823" i="11"/>
  <c r="K823" i="11"/>
  <c r="M822" i="11"/>
  <c r="L822" i="11"/>
  <c r="K822" i="11"/>
  <c r="M821" i="11"/>
  <c r="L821" i="11"/>
  <c r="K821" i="11"/>
  <c r="M820" i="11"/>
  <c r="L820" i="11"/>
  <c r="K820" i="11"/>
  <c r="M819" i="11"/>
  <c r="L819" i="11"/>
  <c r="K819" i="11"/>
  <c r="M818" i="11"/>
  <c r="L818" i="11"/>
  <c r="K818" i="11"/>
  <c r="M817" i="11"/>
  <c r="L817" i="11"/>
  <c r="K817" i="11"/>
  <c r="M816" i="11"/>
  <c r="L816" i="11"/>
  <c r="K816" i="11"/>
  <c r="M815" i="11"/>
  <c r="L815" i="11"/>
  <c r="K815" i="11"/>
  <c r="M814" i="11"/>
  <c r="L814" i="11"/>
  <c r="K814" i="11"/>
  <c r="M813" i="11"/>
  <c r="L813" i="11"/>
  <c r="K813" i="11"/>
  <c r="M812" i="11"/>
  <c r="L812" i="11"/>
  <c r="K812" i="11"/>
  <c r="M811" i="11"/>
  <c r="L811" i="11"/>
  <c r="K811" i="11"/>
  <c r="M810" i="11"/>
  <c r="L810" i="11"/>
  <c r="K810" i="11"/>
  <c r="M809" i="11"/>
  <c r="L809" i="11"/>
  <c r="K809" i="11"/>
  <c r="M808" i="11"/>
  <c r="L808" i="11"/>
  <c r="K808" i="11"/>
  <c r="M807" i="11"/>
  <c r="L807" i="11"/>
  <c r="K807" i="11"/>
  <c r="M806" i="11"/>
  <c r="L806" i="11"/>
  <c r="K806" i="11"/>
  <c r="M805" i="11"/>
  <c r="L805" i="11"/>
  <c r="K805" i="11"/>
  <c r="M804" i="11"/>
  <c r="L804" i="11"/>
  <c r="K804" i="11"/>
  <c r="M803" i="11"/>
  <c r="L803" i="11"/>
  <c r="K803" i="11"/>
  <c r="M802" i="11"/>
  <c r="L802" i="11"/>
  <c r="K802" i="11"/>
  <c r="M801" i="11"/>
  <c r="L801" i="11"/>
  <c r="K801" i="11"/>
  <c r="M800" i="11"/>
  <c r="L800" i="11"/>
  <c r="K800" i="11"/>
  <c r="M799" i="11"/>
  <c r="L799" i="11"/>
  <c r="K799" i="11"/>
  <c r="M798" i="11"/>
  <c r="L798" i="11"/>
  <c r="K798" i="11"/>
  <c r="M797" i="11"/>
  <c r="L797" i="11"/>
  <c r="K797" i="11"/>
  <c r="M796" i="11"/>
  <c r="L796" i="11"/>
  <c r="K796" i="11"/>
  <c r="M795" i="11"/>
  <c r="L795" i="11"/>
  <c r="K795" i="11"/>
  <c r="M794" i="11"/>
  <c r="L794" i="11"/>
  <c r="K794" i="11"/>
  <c r="M793" i="11"/>
  <c r="L793" i="11"/>
  <c r="K793" i="11"/>
  <c r="M792" i="11"/>
  <c r="L792" i="11"/>
  <c r="K792" i="11"/>
  <c r="M791" i="11"/>
  <c r="L791" i="11"/>
  <c r="K791" i="11"/>
  <c r="M790" i="11"/>
  <c r="L790" i="11"/>
  <c r="K790" i="11"/>
  <c r="M789" i="11"/>
  <c r="L789" i="11"/>
  <c r="K789" i="11"/>
  <c r="M788" i="11"/>
  <c r="L788" i="11"/>
  <c r="K788" i="11"/>
  <c r="M787" i="11"/>
  <c r="L787" i="11"/>
  <c r="K787" i="11"/>
  <c r="M786" i="11"/>
  <c r="L786" i="11"/>
  <c r="K786" i="11"/>
  <c r="M785" i="11"/>
  <c r="L785" i="11"/>
  <c r="K785" i="11"/>
  <c r="M784" i="11"/>
  <c r="L784" i="11"/>
  <c r="K784" i="11"/>
  <c r="M783" i="11"/>
  <c r="L783" i="11"/>
  <c r="K783" i="11"/>
  <c r="M782" i="11"/>
  <c r="L782" i="11"/>
  <c r="K782" i="11"/>
  <c r="M781" i="11"/>
  <c r="L781" i="11"/>
  <c r="K781" i="11"/>
  <c r="M780" i="11"/>
  <c r="L780" i="11"/>
  <c r="K780" i="11"/>
  <c r="M779" i="11"/>
  <c r="L779" i="11"/>
  <c r="K779" i="11"/>
  <c r="M778" i="11"/>
  <c r="L778" i="11"/>
  <c r="K778" i="11"/>
  <c r="M777" i="11"/>
  <c r="L777" i="11"/>
  <c r="K777" i="11"/>
  <c r="M776" i="11"/>
  <c r="L776" i="11"/>
  <c r="K776" i="11"/>
  <c r="M775" i="11"/>
  <c r="L775" i="11"/>
  <c r="K775" i="11"/>
  <c r="M774" i="11"/>
  <c r="L774" i="11"/>
  <c r="K774" i="11"/>
  <c r="M773" i="11"/>
  <c r="L773" i="11"/>
  <c r="K773" i="11"/>
  <c r="M772" i="11"/>
  <c r="L772" i="11"/>
  <c r="K772" i="11"/>
  <c r="M771" i="11"/>
  <c r="L771" i="11"/>
  <c r="K771" i="11"/>
  <c r="M770" i="11"/>
  <c r="L770" i="11"/>
  <c r="K770" i="11"/>
  <c r="M769" i="11"/>
  <c r="L769" i="11"/>
  <c r="K769" i="11"/>
  <c r="M768" i="11"/>
  <c r="L768" i="11"/>
  <c r="K768" i="11"/>
  <c r="M767" i="11"/>
  <c r="L767" i="11"/>
  <c r="K767" i="11"/>
  <c r="M766" i="11"/>
  <c r="L766" i="11"/>
  <c r="K766" i="11"/>
  <c r="M765" i="11"/>
  <c r="L765" i="11"/>
  <c r="K765" i="11"/>
  <c r="M764" i="11"/>
  <c r="L764" i="11"/>
  <c r="K764" i="11"/>
  <c r="M763" i="11"/>
  <c r="L763" i="11"/>
  <c r="K763" i="11"/>
  <c r="M762" i="11"/>
  <c r="L762" i="11"/>
  <c r="K762" i="11"/>
  <c r="M761" i="11"/>
  <c r="L761" i="11"/>
  <c r="K761" i="11"/>
  <c r="M760" i="11"/>
  <c r="L760" i="11"/>
  <c r="K760" i="11"/>
  <c r="M759" i="11"/>
  <c r="L759" i="11"/>
  <c r="K759" i="11"/>
  <c r="M758" i="11"/>
  <c r="L758" i="11"/>
  <c r="K758" i="11"/>
  <c r="M757" i="11"/>
  <c r="L757" i="11"/>
  <c r="K757" i="11"/>
  <c r="M756" i="11"/>
  <c r="L756" i="11"/>
  <c r="K756" i="11"/>
  <c r="M755" i="11"/>
  <c r="L755" i="11"/>
  <c r="K755" i="11"/>
  <c r="M754" i="11"/>
  <c r="L754" i="11"/>
  <c r="K754" i="11"/>
  <c r="M753" i="11"/>
  <c r="L753" i="11"/>
  <c r="K753" i="11"/>
  <c r="M752" i="11"/>
  <c r="L752" i="11"/>
  <c r="K752" i="11"/>
  <c r="M751" i="11"/>
  <c r="L751" i="11"/>
  <c r="K751" i="11"/>
  <c r="M750" i="11"/>
  <c r="L750" i="11"/>
  <c r="K750" i="11"/>
  <c r="M749" i="11"/>
  <c r="L749" i="11"/>
  <c r="K749" i="11"/>
  <c r="M748" i="11"/>
  <c r="L748" i="11"/>
  <c r="K748" i="11"/>
  <c r="M747" i="11"/>
  <c r="L747" i="11"/>
  <c r="K747" i="11"/>
  <c r="M746" i="11"/>
  <c r="L746" i="11"/>
  <c r="K746" i="11"/>
  <c r="M745" i="11"/>
  <c r="L745" i="11"/>
  <c r="K745" i="11"/>
  <c r="M744" i="11"/>
  <c r="L744" i="11"/>
  <c r="K744" i="11"/>
  <c r="M743" i="11"/>
  <c r="L743" i="11"/>
  <c r="K743" i="11"/>
  <c r="M742" i="11"/>
  <c r="L742" i="11"/>
  <c r="K742" i="11"/>
  <c r="M741" i="11"/>
  <c r="L741" i="11"/>
  <c r="K741" i="11"/>
  <c r="M740" i="11"/>
  <c r="L740" i="11"/>
  <c r="K740" i="11"/>
  <c r="M739" i="11"/>
  <c r="L739" i="11"/>
  <c r="K739" i="11"/>
  <c r="M738" i="11"/>
  <c r="L738" i="11"/>
  <c r="K738" i="11"/>
  <c r="M737" i="11"/>
  <c r="L737" i="11"/>
  <c r="K737" i="11"/>
  <c r="M736" i="11"/>
  <c r="L736" i="11"/>
  <c r="K736" i="11"/>
  <c r="M735" i="11"/>
  <c r="L735" i="11"/>
  <c r="K735" i="11"/>
  <c r="M734" i="11"/>
  <c r="L734" i="11"/>
  <c r="K734" i="11"/>
  <c r="M733" i="11"/>
  <c r="L733" i="11"/>
  <c r="K733" i="11"/>
  <c r="M732" i="11"/>
  <c r="L732" i="11"/>
  <c r="K732" i="11"/>
  <c r="M731" i="11"/>
  <c r="L731" i="11"/>
  <c r="K731" i="11"/>
  <c r="M730" i="11"/>
  <c r="L730" i="11"/>
  <c r="K730" i="11"/>
  <c r="M729" i="11"/>
  <c r="L729" i="11"/>
  <c r="K729" i="11"/>
  <c r="M728" i="11"/>
  <c r="L728" i="11"/>
  <c r="K728" i="11"/>
  <c r="M727" i="11"/>
  <c r="L727" i="11"/>
  <c r="K727" i="11"/>
  <c r="M726" i="11"/>
  <c r="L726" i="11"/>
  <c r="K726" i="11"/>
  <c r="M725" i="11"/>
  <c r="L725" i="11"/>
  <c r="K725" i="11"/>
  <c r="M724" i="11"/>
  <c r="L724" i="11"/>
  <c r="K724" i="11"/>
  <c r="M723" i="11"/>
  <c r="L723" i="11"/>
  <c r="K723" i="11"/>
  <c r="M722" i="11"/>
  <c r="L722" i="11"/>
  <c r="K722" i="11"/>
  <c r="M721" i="11"/>
  <c r="L721" i="11"/>
  <c r="K721" i="11"/>
  <c r="M720" i="11"/>
  <c r="L720" i="11"/>
  <c r="K720" i="11"/>
  <c r="M719" i="11"/>
  <c r="L719" i="11"/>
  <c r="K719" i="11"/>
  <c r="M718" i="11"/>
  <c r="L718" i="11"/>
  <c r="K718" i="11"/>
  <c r="M717" i="11"/>
  <c r="L717" i="11"/>
  <c r="K717" i="11"/>
  <c r="M716" i="11"/>
  <c r="L716" i="11"/>
  <c r="K716" i="11"/>
  <c r="M715" i="11"/>
  <c r="L715" i="11"/>
  <c r="K715" i="11"/>
  <c r="M714" i="11"/>
  <c r="L714" i="11"/>
  <c r="K714" i="11"/>
  <c r="M713" i="11"/>
  <c r="L713" i="11"/>
  <c r="K713" i="11"/>
  <c r="M712" i="11"/>
  <c r="L712" i="11"/>
  <c r="K712" i="11"/>
  <c r="M711" i="11"/>
  <c r="L711" i="11"/>
  <c r="K711" i="11"/>
  <c r="M710" i="11"/>
  <c r="L710" i="11"/>
  <c r="K710" i="11"/>
  <c r="M709" i="11"/>
  <c r="L709" i="11"/>
  <c r="K709" i="11"/>
  <c r="M708" i="11"/>
  <c r="L708" i="11"/>
  <c r="K708" i="11"/>
  <c r="M707" i="11"/>
  <c r="L707" i="11"/>
  <c r="K707" i="11"/>
  <c r="M706" i="11"/>
  <c r="L706" i="11"/>
  <c r="K706" i="11"/>
  <c r="M705" i="11"/>
  <c r="L705" i="11"/>
  <c r="K705" i="11"/>
  <c r="M704" i="11"/>
  <c r="L704" i="11"/>
  <c r="K704" i="11"/>
  <c r="M703" i="11"/>
  <c r="L703" i="11"/>
  <c r="K703" i="11"/>
  <c r="M702" i="11"/>
  <c r="L702" i="11"/>
  <c r="K702" i="11"/>
  <c r="M701" i="11"/>
  <c r="L701" i="11"/>
  <c r="K701" i="11"/>
  <c r="M700" i="11"/>
  <c r="L700" i="11"/>
  <c r="K700" i="11"/>
  <c r="M699" i="11"/>
  <c r="L699" i="11"/>
  <c r="K699" i="11"/>
  <c r="M698" i="11"/>
  <c r="L698" i="11"/>
  <c r="K698" i="11"/>
  <c r="M697" i="11"/>
  <c r="L697" i="11"/>
  <c r="K697" i="11"/>
  <c r="M696" i="11"/>
  <c r="L696" i="11"/>
  <c r="K696" i="11"/>
  <c r="M695" i="11"/>
  <c r="L695" i="11"/>
  <c r="K695" i="11"/>
  <c r="M694" i="11"/>
  <c r="L694" i="11"/>
  <c r="K694" i="11"/>
  <c r="M693" i="11"/>
  <c r="L693" i="11"/>
  <c r="K693" i="11"/>
  <c r="M692" i="11"/>
  <c r="L692" i="11"/>
  <c r="K692" i="11"/>
  <c r="M691" i="11"/>
  <c r="L691" i="11"/>
  <c r="K691" i="11"/>
  <c r="M690" i="11"/>
  <c r="L690" i="11"/>
  <c r="K690" i="11"/>
  <c r="M689" i="11"/>
  <c r="L689" i="11"/>
  <c r="K689" i="11"/>
  <c r="M688" i="11"/>
  <c r="L688" i="11"/>
  <c r="K688" i="11"/>
  <c r="M687" i="11"/>
  <c r="L687" i="11"/>
  <c r="K687" i="11"/>
  <c r="M686" i="11"/>
  <c r="L686" i="11"/>
  <c r="K686" i="11"/>
  <c r="M685" i="11"/>
  <c r="L685" i="11"/>
  <c r="K685" i="11"/>
  <c r="M684" i="11"/>
  <c r="L684" i="11"/>
  <c r="K684" i="11"/>
  <c r="M683" i="11"/>
  <c r="L683" i="11"/>
  <c r="K683" i="11"/>
  <c r="M682" i="11"/>
  <c r="L682" i="11"/>
  <c r="K682" i="11"/>
  <c r="M681" i="11"/>
  <c r="L681" i="11"/>
  <c r="K681" i="11"/>
  <c r="M680" i="11"/>
  <c r="L680" i="11"/>
  <c r="K680" i="11"/>
  <c r="M679" i="11"/>
  <c r="L679" i="11"/>
  <c r="K679" i="11"/>
  <c r="M678" i="11"/>
  <c r="L678" i="11"/>
  <c r="K678" i="11"/>
  <c r="M677" i="11"/>
  <c r="L677" i="11"/>
  <c r="K677" i="11"/>
  <c r="M676" i="11"/>
  <c r="L676" i="11"/>
  <c r="K676" i="11"/>
  <c r="M675" i="11"/>
  <c r="L675" i="11"/>
  <c r="K675" i="11"/>
  <c r="M674" i="11"/>
  <c r="L674" i="11"/>
  <c r="K674" i="11"/>
  <c r="M673" i="11"/>
  <c r="L673" i="11"/>
  <c r="K673" i="11"/>
  <c r="M672" i="11"/>
  <c r="L672" i="11"/>
  <c r="K672" i="11"/>
  <c r="M671" i="11"/>
  <c r="L671" i="11"/>
  <c r="K671" i="11"/>
  <c r="M670" i="11"/>
  <c r="L670" i="11"/>
  <c r="K670" i="11"/>
  <c r="M669" i="11"/>
  <c r="L669" i="11"/>
  <c r="K669" i="11"/>
  <c r="M668" i="11"/>
  <c r="L668" i="11"/>
  <c r="K668" i="11"/>
  <c r="M667" i="11"/>
  <c r="L667" i="11"/>
  <c r="K667" i="11"/>
  <c r="M666" i="11"/>
  <c r="L666" i="11"/>
  <c r="K666" i="11"/>
  <c r="M665" i="11"/>
  <c r="L665" i="11"/>
  <c r="K665" i="11"/>
  <c r="M664" i="11"/>
  <c r="L664" i="11"/>
  <c r="K664" i="11"/>
  <c r="M663" i="11"/>
  <c r="L663" i="11"/>
  <c r="K663" i="11"/>
  <c r="M662" i="11"/>
  <c r="L662" i="11"/>
  <c r="K662" i="11"/>
  <c r="M661" i="11"/>
  <c r="L661" i="11"/>
  <c r="K661" i="11"/>
  <c r="M660" i="11"/>
  <c r="L660" i="11"/>
  <c r="K660" i="11"/>
  <c r="M659" i="11"/>
  <c r="L659" i="11"/>
  <c r="K659" i="11"/>
  <c r="M658" i="11"/>
  <c r="L658" i="11"/>
  <c r="K658" i="11"/>
  <c r="M657" i="11"/>
  <c r="L657" i="11"/>
  <c r="K657" i="11"/>
  <c r="M656" i="11"/>
  <c r="L656" i="11"/>
  <c r="K656" i="11"/>
  <c r="M655" i="11"/>
  <c r="L655" i="11"/>
  <c r="K655" i="11"/>
  <c r="M654" i="11"/>
  <c r="L654" i="11"/>
  <c r="K654" i="11"/>
  <c r="M653" i="11"/>
  <c r="L653" i="11"/>
  <c r="K653" i="11"/>
  <c r="M652" i="11"/>
  <c r="L652" i="11"/>
  <c r="K652" i="11"/>
  <c r="M651" i="11"/>
  <c r="L651" i="11"/>
  <c r="K651" i="11"/>
  <c r="M650" i="11"/>
  <c r="L650" i="11"/>
  <c r="K650" i="11"/>
  <c r="M649" i="11"/>
  <c r="L649" i="11"/>
  <c r="K649" i="11"/>
  <c r="M648" i="11"/>
  <c r="L648" i="11"/>
  <c r="K648" i="11"/>
  <c r="M647" i="11"/>
  <c r="L647" i="11"/>
  <c r="K647" i="11"/>
  <c r="M646" i="11"/>
  <c r="L646" i="11"/>
  <c r="K646" i="11"/>
  <c r="M645" i="11"/>
  <c r="L645" i="11"/>
  <c r="K645" i="11"/>
  <c r="M644" i="11"/>
  <c r="L644" i="11"/>
  <c r="K644" i="11"/>
  <c r="M643" i="11"/>
  <c r="L643" i="11"/>
  <c r="K643" i="11"/>
  <c r="M642" i="11"/>
  <c r="L642" i="11"/>
  <c r="K642" i="11"/>
  <c r="M641" i="11"/>
  <c r="L641" i="11"/>
  <c r="K641" i="11"/>
  <c r="M640" i="11"/>
  <c r="L640" i="11"/>
  <c r="K640" i="11"/>
  <c r="M639" i="11"/>
  <c r="L639" i="11"/>
  <c r="K639" i="11"/>
  <c r="M638" i="11"/>
  <c r="L638" i="11"/>
  <c r="K638" i="11"/>
  <c r="M637" i="11"/>
  <c r="L637" i="11"/>
  <c r="K637" i="11"/>
  <c r="M636" i="11"/>
  <c r="L636" i="11"/>
  <c r="K636" i="11"/>
  <c r="M635" i="11"/>
  <c r="L635" i="11"/>
  <c r="K635" i="11"/>
  <c r="M634" i="11"/>
  <c r="L634" i="11"/>
  <c r="K634" i="11"/>
  <c r="M633" i="11"/>
  <c r="L633" i="11"/>
  <c r="K633" i="11"/>
  <c r="M632" i="11"/>
  <c r="L632" i="11"/>
  <c r="K632" i="11"/>
  <c r="M631" i="11"/>
  <c r="L631" i="11"/>
  <c r="K631" i="11"/>
  <c r="M630" i="11"/>
  <c r="L630" i="11"/>
  <c r="K630" i="11"/>
  <c r="M629" i="11"/>
  <c r="L629" i="11"/>
  <c r="K629" i="11"/>
  <c r="M628" i="11"/>
  <c r="L628" i="11"/>
  <c r="K628" i="11"/>
  <c r="M627" i="11"/>
  <c r="L627" i="11"/>
  <c r="K627" i="11"/>
  <c r="M626" i="11"/>
  <c r="L626" i="11"/>
  <c r="K626" i="11"/>
  <c r="M625" i="11"/>
  <c r="L625" i="11"/>
  <c r="K625" i="11"/>
  <c r="M624" i="11"/>
  <c r="L624" i="11"/>
  <c r="K624" i="11"/>
  <c r="M623" i="11"/>
  <c r="L623" i="11"/>
  <c r="K623" i="11"/>
  <c r="M622" i="11"/>
  <c r="L622" i="11"/>
  <c r="K622" i="11"/>
  <c r="M621" i="11"/>
  <c r="L621" i="11"/>
  <c r="K621" i="11"/>
  <c r="M620" i="11"/>
  <c r="L620" i="11"/>
  <c r="K620" i="11"/>
  <c r="M619" i="11"/>
  <c r="L619" i="11"/>
  <c r="K619" i="11"/>
  <c r="M618" i="11"/>
  <c r="L618" i="11"/>
  <c r="K618" i="11"/>
  <c r="M617" i="11"/>
  <c r="L617" i="11"/>
  <c r="K617" i="11"/>
  <c r="M616" i="11"/>
  <c r="L616" i="11"/>
  <c r="K616" i="11"/>
  <c r="M615" i="11"/>
  <c r="L615" i="11"/>
  <c r="K615" i="11"/>
  <c r="M614" i="11"/>
  <c r="L614" i="11"/>
  <c r="K614" i="11"/>
  <c r="M613" i="11"/>
  <c r="L613" i="11"/>
  <c r="K613" i="11"/>
  <c r="M612" i="11"/>
  <c r="L612" i="11"/>
  <c r="K612" i="11"/>
  <c r="M611" i="11"/>
  <c r="L611" i="11"/>
  <c r="K611" i="11"/>
  <c r="M610" i="11"/>
  <c r="L610" i="11"/>
  <c r="K610" i="11"/>
  <c r="M609" i="11"/>
  <c r="L609" i="11"/>
  <c r="K609" i="11"/>
  <c r="M608" i="11"/>
  <c r="L608" i="11"/>
  <c r="K608" i="11"/>
  <c r="M607" i="11"/>
  <c r="L607" i="11"/>
  <c r="K607" i="11"/>
  <c r="M606" i="11"/>
  <c r="L606" i="11"/>
  <c r="K606" i="11"/>
  <c r="M605" i="11"/>
  <c r="L605" i="11"/>
  <c r="K605" i="11"/>
  <c r="M604" i="11"/>
  <c r="L604" i="11"/>
  <c r="K604" i="11"/>
  <c r="M603" i="11"/>
  <c r="L603" i="11"/>
  <c r="K603" i="11"/>
  <c r="M602" i="11"/>
  <c r="L602" i="11"/>
  <c r="K602" i="11"/>
  <c r="M601" i="11"/>
  <c r="L601" i="11"/>
  <c r="K601" i="11"/>
  <c r="M600" i="11"/>
  <c r="L600" i="11"/>
  <c r="K600" i="11"/>
  <c r="M599" i="11"/>
  <c r="L599" i="11"/>
  <c r="K599" i="11"/>
  <c r="M598" i="11"/>
  <c r="L598" i="11"/>
  <c r="K598" i="11"/>
  <c r="M597" i="11"/>
  <c r="L597" i="11"/>
  <c r="K597" i="11"/>
  <c r="M596" i="11"/>
  <c r="L596" i="11"/>
  <c r="K596" i="11"/>
  <c r="M595" i="11"/>
  <c r="L595" i="11"/>
  <c r="K595" i="11"/>
  <c r="M594" i="11"/>
  <c r="L594" i="11"/>
  <c r="K594" i="11"/>
  <c r="M593" i="11"/>
  <c r="L593" i="11"/>
  <c r="K593" i="11"/>
  <c r="M592" i="11"/>
  <c r="L592" i="11"/>
  <c r="K592" i="11"/>
  <c r="M591" i="11"/>
  <c r="L591" i="11"/>
  <c r="K591" i="11"/>
  <c r="M590" i="11"/>
  <c r="L590" i="11"/>
  <c r="K590" i="11"/>
  <c r="M589" i="11"/>
  <c r="L589" i="11"/>
  <c r="K589" i="11"/>
  <c r="M588" i="11"/>
  <c r="L588" i="11"/>
  <c r="K588" i="11"/>
  <c r="M587" i="11"/>
  <c r="L587" i="11"/>
  <c r="K587" i="11"/>
  <c r="M586" i="11"/>
  <c r="L586" i="11"/>
  <c r="K586" i="11"/>
  <c r="M585" i="11"/>
  <c r="L585" i="11"/>
  <c r="K585" i="11"/>
  <c r="M584" i="11"/>
  <c r="L584" i="11"/>
  <c r="K584" i="11"/>
  <c r="M583" i="11"/>
  <c r="L583" i="11"/>
  <c r="K583" i="11"/>
  <c r="M582" i="11"/>
  <c r="L582" i="11"/>
  <c r="K582" i="11"/>
  <c r="M581" i="11"/>
  <c r="L581" i="11"/>
  <c r="K581" i="11"/>
  <c r="M580" i="11"/>
  <c r="L580" i="11"/>
  <c r="K580" i="11"/>
  <c r="M579" i="11"/>
  <c r="L579" i="11"/>
  <c r="K579" i="11"/>
  <c r="M578" i="11"/>
  <c r="L578" i="11"/>
  <c r="K578" i="11"/>
  <c r="M577" i="11"/>
  <c r="L577" i="11"/>
  <c r="K577" i="11"/>
  <c r="M576" i="11"/>
  <c r="L576" i="11"/>
  <c r="K576" i="11"/>
  <c r="M575" i="11"/>
  <c r="L575" i="11"/>
  <c r="K575" i="11"/>
  <c r="M574" i="11"/>
  <c r="L574" i="11"/>
  <c r="K574" i="11"/>
  <c r="M573" i="11"/>
  <c r="L573" i="11"/>
  <c r="K573" i="11"/>
  <c r="M572" i="11"/>
  <c r="L572" i="11"/>
  <c r="K572" i="11"/>
  <c r="M571" i="11"/>
  <c r="L571" i="11"/>
  <c r="K571" i="11"/>
  <c r="M570" i="11"/>
  <c r="L570" i="11"/>
  <c r="K570" i="11"/>
  <c r="M569" i="11"/>
  <c r="L569" i="11"/>
  <c r="K569" i="11"/>
  <c r="M568" i="11"/>
  <c r="L568" i="11"/>
  <c r="K568" i="11"/>
  <c r="M567" i="11"/>
  <c r="L567" i="11"/>
  <c r="K567" i="11"/>
  <c r="M566" i="11"/>
  <c r="L566" i="11"/>
  <c r="K566" i="11"/>
  <c r="M565" i="11"/>
  <c r="L565" i="11"/>
  <c r="K565" i="11"/>
  <c r="M564" i="11"/>
  <c r="L564" i="11"/>
  <c r="K564" i="11"/>
  <c r="M563" i="11"/>
  <c r="L563" i="11"/>
  <c r="K563" i="11"/>
  <c r="M562" i="11"/>
  <c r="L562" i="11"/>
  <c r="K562" i="11"/>
  <c r="M561" i="11"/>
  <c r="L561" i="11"/>
  <c r="K561" i="11"/>
  <c r="M560" i="11"/>
  <c r="L560" i="11"/>
  <c r="K560" i="11"/>
  <c r="M559" i="11"/>
  <c r="L559" i="11"/>
  <c r="K559" i="11"/>
  <c r="M558" i="11"/>
  <c r="L558" i="11"/>
  <c r="K558" i="11"/>
  <c r="M557" i="11"/>
  <c r="L557" i="11"/>
  <c r="K557" i="11"/>
  <c r="M556" i="11"/>
  <c r="L556" i="11"/>
  <c r="K556" i="11"/>
  <c r="M555" i="11"/>
  <c r="L555" i="11"/>
  <c r="K555" i="11"/>
  <c r="M554" i="11"/>
  <c r="L554" i="11"/>
  <c r="K554" i="11"/>
  <c r="M553" i="11"/>
  <c r="L553" i="11"/>
  <c r="K553" i="11"/>
  <c r="M552" i="11"/>
  <c r="L552" i="11"/>
  <c r="K552" i="11"/>
  <c r="M551" i="11"/>
  <c r="L551" i="11"/>
  <c r="K551" i="11"/>
  <c r="M550" i="11"/>
  <c r="L550" i="11"/>
  <c r="K550" i="11"/>
  <c r="M549" i="11"/>
  <c r="L549" i="11"/>
  <c r="K549" i="11"/>
  <c r="M548" i="11"/>
  <c r="L548" i="11"/>
  <c r="K548" i="11"/>
  <c r="M547" i="11"/>
  <c r="L547" i="11"/>
  <c r="K547" i="11"/>
  <c r="M546" i="11"/>
  <c r="L546" i="11"/>
  <c r="K546" i="11"/>
  <c r="M545" i="11"/>
  <c r="L545" i="11"/>
  <c r="K545" i="11"/>
  <c r="M544" i="11"/>
  <c r="L544" i="11"/>
  <c r="K544" i="11"/>
  <c r="M543" i="11"/>
  <c r="L543" i="11"/>
  <c r="K543" i="11"/>
  <c r="M542" i="11"/>
  <c r="L542" i="11"/>
  <c r="K542" i="11"/>
  <c r="M541" i="11"/>
  <c r="L541" i="11"/>
  <c r="K541" i="11"/>
  <c r="M540" i="11"/>
  <c r="L540" i="11"/>
  <c r="K540" i="11"/>
  <c r="M539" i="11"/>
  <c r="L539" i="11"/>
  <c r="K539" i="11"/>
  <c r="M538" i="11"/>
  <c r="L538" i="11"/>
  <c r="K538" i="11"/>
  <c r="M537" i="11"/>
  <c r="L537" i="11"/>
  <c r="K537" i="11"/>
  <c r="M536" i="11"/>
  <c r="L536" i="11"/>
  <c r="K536" i="11"/>
  <c r="M535" i="11"/>
  <c r="L535" i="11"/>
  <c r="K535" i="11"/>
  <c r="M534" i="11"/>
  <c r="L534" i="11"/>
  <c r="K534" i="11"/>
  <c r="M533" i="11"/>
  <c r="L533" i="11"/>
  <c r="K533" i="11"/>
  <c r="M532" i="11"/>
  <c r="L532" i="11"/>
  <c r="K532" i="11"/>
  <c r="M531" i="11"/>
  <c r="L531" i="11"/>
  <c r="K531" i="11"/>
  <c r="M530" i="11"/>
  <c r="L530" i="11"/>
  <c r="K530" i="11"/>
  <c r="M529" i="11"/>
  <c r="L529" i="11"/>
  <c r="K529" i="11"/>
  <c r="M528" i="11"/>
  <c r="L528" i="11"/>
  <c r="K528" i="11"/>
  <c r="M527" i="11"/>
  <c r="L527" i="11"/>
  <c r="K527" i="11"/>
  <c r="M526" i="11"/>
  <c r="L526" i="11"/>
  <c r="K526" i="11"/>
  <c r="M525" i="11"/>
  <c r="L525" i="11"/>
  <c r="K525" i="11"/>
  <c r="M524" i="11"/>
  <c r="L524" i="11"/>
  <c r="K524" i="11"/>
  <c r="M523" i="11"/>
  <c r="L523" i="11"/>
  <c r="K523" i="11"/>
  <c r="M522" i="11"/>
  <c r="L522" i="11"/>
  <c r="K522" i="11"/>
  <c r="M521" i="11"/>
  <c r="L521" i="11"/>
  <c r="K521" i="11"/>
  <c r="M520" i="11"/>
  <c r="L520" i="11"/>
  <c r="K520" i="11"/>
  <c r="M519" i="11"/>
  <c r="L519" i="11"/>
  <c r="K519" i="11"/>
  <c r="M518" i="11"/>
  <c r="L518" i="11"/>
  <c r="K518" i="11"/>
  <c r="M517" i="11"/>
  <c r="L517" i="11"/>
  <c r="K517" i="11"/>
  <c r="M516" i="11"/>
  <c r="L516" i="11"/>
  <c r="K516" i="11"/>
  <c r="M515" i="11"/>
  <c r="L515" i="11"/>
  <c r="K515" i="11"/>
  <c r="M514" i="11"/>
  <c r="L514" i="11"/>
  <c r="K514" i="11"/>
  <c r="M513" i="11"/>
  <c r="L513" i="11"/>
  <c r="K513" i="11"/>
  <c r="M512" i="11"/>
  <c r="L512" i="11"/>
  <c r="K512" i="11"/>
  <c r="M511" i="11"/>
  <c r="L511" i="11"/>
  <c r="K511" i="11"/>
  <c r="M510" i="11"/>
  <c r="L510" i="11"/>
  <c r="K510" i="11"/>
  <c r="M509" i="11"/>
  <c r="L509" i="11"/>
  <c r="K509" i="11"/>
  <c r="M508" i="11"/>
  <c r="L508" i="11"/>
  <c r="K508" i="11"/>
  <c r="M507" i="11"/>
  <c r="L507" i="11"/>
  <c r="K507" i="11"/>
  <c r="M506" i="11"/>
  <c r="L506" i="11"/>
  <c r="K506" i="11"/>
  <c r="M505" i="11"/>
  <c r="L505" i="11"/>
  <c r="K505" i="11"/>
  <c r="M504" i="11"/>
  <c r="L504" i="11"/>
  <c r="K504" i="11"/>
  <c r="M503" i="11"/>
  <c r="L503" i="11"/>
  <c r="K503" i="11"/>
  <c r="M502" i="11"/>
  <c r="L502" i="11"/>
  <c r="K502" i="11"/>
  <c r="M501" i="11"/>
  <c r="L501" i="11"/>
  <c r="K501" i="11"/>
  <c r="M500" i="11"/>
  <c r="L500" i="11"/>
  <c r="K500" i="11"/>
  <c r="M499" i="11"/>
  <c r="L499" i="11"/>
  <c r="K499" i="11"/>
  <c r="M498" i="11"/>
  <c r="L498" i="11"/>
  <c r="K498" i="11"/>
  <c r="M497" i="11"/>
  <c r="L497" i="11"/>
  <c r="K497" i="11"/>
  <c r="M496" i="11"/>
  <c r="L496" i="11"/>
  <c r="K496" i="11"/>
  <c r="M495" i="11"/>
  <c r="L495" i="11"/>
  <c r="K495" i="11"/>
  <c r="M494" i="11"/>
  <c r="L494" i="11"/>
  <c r="K494" i="11"/>
  <c r="M493" i="11"/>
  <c r="L493" i="11"/>
  <c r="K493" i="11"/>
  <c r="M492" i="11"/>
  <c r="L492" i="11"/>
  <c r="K492" i="11"/>
  <c r="M491" i="11"/>
  <c r="L491" i="11"/>
  <c r="K491" i="11"/>
  <c r="M490" i="11"/>
  <c r="L490" i="11"/>
  <c r="K490" i="11"/>
  <c r="M489" i="11"/>
  <c r="L489" i="11"/>
  <c r="K489" i="11"/>
  <c r="M488" i="11"/>
  <c r="L488" i="11"/>
  <c r="K488" i="11"/>
  <c r="M487" i="11"/>
  <c r="L487" i="11"/>
  <c r="K487" i="11"/>
  <c r="M486" i="11"/>
  <c r="L486" i="11"/>
  <c r="K486" i="11"/>
  <c r="M485" i="11"/>
  <c r="L485" i="11"/>
  <c r="K485" i="11"/>
  <c r="M484" i="11"/>
  <c r="L484" i="11"/>
  <c r="K484" i="11"/>
  <c r="M483" i="11"/>
  <c r="L483" i="11"/>
  <c r="K483" i="11"/>
  <c r="M482" i="11"/>
  <c r="L482" i="11"/>
  <c r="K482" i="11"/>
  <c r="M481" i="11"/>
  <c r="L481" i="11"/>
  <c r="K481" i="11"/>
  <c r="M480" i="11"/>
  <c r="L480" i="11"/>
  <c r="K480" i="11"/>
  <c r="M479" i="11"/>
  <c r="L479" i="11"/>
  <c r="K479" i="11"/>
  <c r="M478" i="11"/>
  <c r="L478" i="11"/>
  <c r="K478" i="11"/>
  <c r="M477" i="11"/>
  <c r="L477" i="11"/>
  <c r="K477" i="11"/>
  <c r="M476" i="11"/>
  <c r="L476" i="11"/>
  <c r="K476" i="11"/>
  <c r="M475" i="11"/>
  <c r="L475" i="11"/>
  <c r="K475" i="11"/>
  <c r="M474" i="11"/>
  <c r="L474" i="11"/>
  <c r="K474" i="11"/>
  <c r="M473" i="11"/>
  <c r="L473" i="11"/>
  <c r="K473" i="11"/>
  <c r="M472" i="11"/>
  <c r="L472" i="11"/>
  <c r="K472" i="11"/>
  <c r="M471" i="11"/>
  <c r="L471" i="11"/>
  <c r="K471" i="11"/>
  <c r="M470" i="11"/>
  <c r="L470" i="11"/>
  <c r="K470" i="11"/>
  <c r="M469" i="11"/>
  <c r="L469" i="11"/>
  <c r="K469" i="11"/>
  <c r="M468" i="11"/>
  <c r="L468" i="11"/>
  <c r="K468" i="11"/>
  <c r="M467" i="11"/>
  <c r="L467" i="11"/>
  <c r="K467" i="11"/>
  <c r="M466" i="11"/>
  <c r="L466" i="11"/>
  <c r="K466" i="11"/>
  <c r="M465" i="11"/>
  <c r="L465" i="11"/>
  <c r="K465" i="11"/>
  <c r="M464" i="11"/>
  <c r="L464" i="11"/>
  <c r="K464" i="11"/>
  <c r="M463" i="11"/>
  <c r="L463" i="11"/>
  <c r="K463" i="11"/>
  <c r="M462" i="11"/>
  <c r="L462" i="11"/>
  <c r="K462" i="11"/>
  <c r="M461" i="11"/>
  <c r="L461" i="11"/>
  <c r="K461" i="11"/>
  <c r="M460" i="11"/>
  <c r="L460" i="11"/>
  <c r="K460" i="11"/>
  <c r="M459" i="11"/>
  <c r="L459" i="11"/>
  <c r="K459" i="11"/>
  <c r="M458" i="11"/>
  <c r="L458" i="11"/>
  <c r="K458" i="11"/>
  <c r="M457" i="11"/>
  <c r="L457" i="11"/>
  <c r="K457" i="11"/>
  <c r="M456" i="11"/>
  <c r="L456" i="11"/>
  <c r="K456" i="11"/>
  <c r="M455" i="11"/>
  <c r="L455" i="11"/>
  <c r="K455" i="11"/>
  <c r="M454" i="11"/>
  <c r="L454" i="11"/>
  <c r="K454" i="11"/>
  <c r="M453" i="11"/>
  <c r="L453" i="11"/>
  <c r="K453" i="11"/>
  <c r="M452" i="11"/>
  <c r="L452" i="11"/>
  <c r="K452" i="11"/>
  <c r="M451" i="11"/>
  <c r="L451" i="11"/>
  <c r="K451" i="11"/>
  <c r="M450" i="11"/>
  <c r="L450" i="11"/>
  <c r="K450" i="11"/>
  <c r="M449" i="11"/>
  <c r="L449" i="11"/>
  <c r="K449" i="11"/>
  <c r="M448" i="11"/>
  <c r="L448" i="11"/>
  <c r="K448" i="11"/>
  <c r="M447" i="11"/>
  <c r="L447" i="11"/>
  <c r="K447" i="11"/>
  <c r="M446" i="11"/>
  <c r="L446" i="11"/>
  <c r="K446" i="11"/>
  <c r="M445" i="11"/>
  <c r="L445" i="11"/>
  <c r="K445" i="11"/>
  <c r="M444" i="11"/>
  <c r="L444" i="11"/>
  <c r="K444" i="11"/>
  <c r="M443" i="11"/>
  <c r="L443" i="11"/>
  <c r="K443" i="11"/>
  <c r="M442" i="11"/>
  <c r="L442" i="11"/>
  <c r="K442" i="11"/>
  <c r="M441" i="11"/>
  <c r="L441" i="11"/>
  <c r="K441" i="11"/>
  <c r="M440" i="11"/>
  <c r="L440" i="11"/>
  <c r="K440" i="11"/>
  <c r="M439" i="11"/>
  <c r="L439" i="11"/>
  <c r="K439" i="11"/>
  <c r="M438" i="11"/>
  <c r="L438" i="11"/>
  <c r="K438" i="11"/>
  <c r="M437" i="11"/>
  <c r="L437" i="11"/>
  <c r="K437" i="11"/>
  <c r="M436" i="11"/>
  <c r="L436" i="11"/>
  <c r="K436" i="11"/>
  <c r="M435" i="11"/>
  <c r="L435" i="11"/>
  <c r="K435" i="11"/>
  <c r="M434" i="11"/>
  <c r="L434" i="11"/>
  <c r="K434" i="11"/>
  <c r="M433" i="11"/>
  <c r="L433" i="11"/>
  <c r="K433" i="11"/>
  <c r="M432" i="11"/>
  <c r="L432" i="11"/>
  <c r="K432" i="11"/>
  <c r="M431" i="11"/>
  <c r="L431" i="11"/>
  <c r="K431" i="11"/>
  <c r="M430" i="11"/>
  <c r="L430" i="11"/>
  <c r="K430" i="11"/>
  <c r="M429" i="11"/>
  <c r="L429" i="11"/>
  <c r="K429" i="11"/>
  <c r="M428" i="11"/>
  <c r="L428" i="11"/>
  <c r="K428" i="11"/>
  <c r="M427" i="11"/>
  <c r="L427" i="11"/>
  <c r="K427" i="11"/>
  <c r="M426" i="11"/>
  <c r="L426" i="11"/>
  <c r="K426" i="11"/>
  <c r="M425" i="11"/>
  <c r="L425" i="11"/>
  <c r="K425" i="11"/>
  <c r="M424" i="11"/>
  <c r="L424" i="11"/>
  <c r="K424" i="11"/>
  <c r="M423" i="11"/>
  <c r="L423" i="11"/>
  <c r="K423" i="11"/>
  <c r="M422" i="11"/>
  <c r="L422" i="11"/>
  <c r="K422" i="11"/>
  <c r="M421" i="11"/>
  <c r="L421" i="11"/>
  <c r="K421" i="11"/>
  <c r="M420" i="11"/>
  <c r="L420" i="11"/>
  <c r="K420" i="11"/>
  <c r="M419" i="11"/>
  <c r="L419" i="11"/>
  <c r="K419" i="11"/>
  <c r="M418" i="11"/>
  <c r="L418" i="11"/>
  <c r="K418" i="11"/>
  <c r="M417" i="11"/>
  <c r="L417" i="11"/>
  <c r="K417" i="11"/>
  <c r="M416" i="11"/>
  <c r="L416" i="11"/>
  <c r="K416" i="11"/>
  <c r="M415" i="11"/>
  <c r="L415" i="11"/>
  <c r="K415" i="11"/>
  <c r="M414" i="11"/>
  <c r="L414" i="11"/>
  <c r="K414" i="11"/>
  <c r="M413" i="11"/>
  <c r="L413" i="11"/>
  <c r="K413" i="11"/>
  <c r="M412" i="11"/>
  <c r="L412" i="11"/>
  <c r="K412" i="11"/>
  <c r="M411" i="11"/>
  <c r="L411" i="11"/>
  <c r="K411" i="11"/>
  <c r="M410" i="11"/>
  <c r="L410" i="11"/>
  <c r="K410" i="11"/>
  <c r="M409" i="11"/>
  <c r="L409" i="11"/>
  <c r="K409" i="11"/>
  <c r="M408" i="11"/>
  <c r="L408" i="11"/>
  <c r="K408" i="11"/>
  <c r="M407" i="11"/>
  <c r="L407" i="11"/>
  <c r="K407" i="11"/>
  <c r="M406" i="11"/>
  <c r="L406" i="11"/>
  <c r="K406" i="11"/>
  <c r="M405" i="11"/>
  <c r="L405" i="11"/>
  <c r="K405" i="11"/>
  <c r="M404" i="11"/>
  <c r="L404" i="11"/>
  <c r="K404" i="11"/>
  <c r="M403" i="11"/>
  <c r="L403" i="11"/>
  <c r="K403" i="11"/>
  <c r="M402" i="11"/>
  <c r="L402" i="11"/>
  <c r="K402" i="11"/>
  <c r="M401" i="11"/>
  <c r="L401" i="11"/>
  <c r="K401" i="11"/>
  <c r="M400" i="11"/>
  <c r="L400" i="11"/>
  <c r="K400" i="11"/>
  <c r="M399" i="11"/>
  <c r="L399" i="11"/>
  <c r="K399" i="11"/>
  <c r="M398" i="11"/>
  <c r="L398" i="11"/>
  <c r="K398" i="11"/>
  <c r="M397" i="11"/>
  <c r="L397" i="11"/>
  <c r="K397" i="11"/>
  <c r="M396" i="11"/>
  <c r="L396" i="11"/>
  <c r="K396" i="11"/>
  <c r="M395" i="11"/>
  <c r="L395" i="11"/>
  <c r="K395" i="11"/>
  <c r="M394" i="11"/>
  <c r="L394" i="11"/>
  <c r="K394" i="11"/>
  <c r="M393" i="11"/>
  <c r="L393" i="11"/>
  <c r="K393" i="11"/>
  <c r="M392" i="11"/>
  <c r="L392" i="11"/>
  <c r="K392" i="11"/>
  <c r="M391" i="11"/>
  <c r="L391" i="11"/>
  <c r="K391" i="11"/>
  <c r="M390" i="11"/>
  <c r="L390" i="11"/>
  <c r="K390" i="11"/>
  <c r="M389" i="11"/>
  <c r="L389" i="11"/>
  <c r="K389" i="11"/>
  <c r="M388" i="11"/>
  <c r="L388" i="11"/>
  <c r="K388" i="11"/>
  <c r="M387" i="11"/>
  <c r="L387" i="11"/>
  <c r="K387" i="11"/>
  <c r="M386" i="11"/>
  <c r="L386" i="11"/>
  <c r="K386" i="11"/>
  <c r="M385" i="11"/>
  <c r="L385" i="11"/>
  <c r="K385" i="11"/>
  <c r="M384" i="11"/>
  <c r="L384" i="11"/>
  <c r="K384" i="11"/>
  <c r="M383" i="11"/>
  <c r="L383" i="11"/>
  <c r="K383" i="11"/>
  <c r="M382" i="11"/>
  <c r="L382" i="11"/>
  <c r="K382" i="11"/>
  <c r="M381" i="11"/>
  <c r="L381" i="11"/>
  <c r="K381" i="11"/>
  <c r="M380" i="11"/>
  <c r="L380" i="11"/>
  <c r="K380" i="11"/>
  <c r="M379" i="11"/>
  <c r="L379" i="11"/>
  <c r="K379" i="11"/>
  <c r="M378" i="11"/>
  <c r="L378" i="11"/>
  <c r="K378" i="11"/>
  <c r="M377" i="11"/>
  <c r="L377" i="11"/>
  <c r="K377" i="11"/>
  <c r="M376" i="11"/>
  <c r="L376" i="11"/>
  <c r="K376" i="11"/>
  <c r="M375" i="11"/>
  <c r="L375" i="11"/>
  <c r="K375" i="11"/>
  <c r="M374" i="11"/>
  <c r="L374" i="11"/>
  <c r="K374" i="11"/>
  <c r="M373" i="11"/>
  <c r="L373" i="11"/>
  <c r="K373" i="11"/>
  <c r="M372" i="11"/>
  <c r="L372" i="11"/>
  <c r="K372" i="11"/>
  <c r="M371" i="11"/>
  <c r="L371" i="11"/>
  <c r="K371" i="11"/>
  <c r="M370" i="11"/>
  <c r="L370" i="11"/>
  <c r="K370" i="11"/>
  <c r="M369" i="11"/>
  <c r="L369" i="11"/>
  <c r="K369" i="11"/>
  <c r="M368" i="11"/>
  <c r="L368" i="11"/>
  <c r="K368" i="11"/>
  <c r="M367" i="11"/>
  <c r="L367" i="11"/>
  <c r="K367" i="11"/>
  <c r="M366" i="11"/>
  <c r="L366" i="11"/>
  <c r="K366" i="11"/>
  <c r="M365" i="11"/>
  <c r="L365" i="11"/>
  <c r="K365" i="11"/>
  <c r="M364" i="11"/>
  <c r="L364" i="11"/>
  <c r="K364" i="11"/>
  <c r="M363" i="11"/>
  <c r="L363" i="11"/>
  <c r="K363" i="11"/>
  <c r="M362" i="11"/>
  <c r="L362" i="11"/>
  <c r="K362" i="11"/>
  <c r="M361" i="11"/>
  <c r="L361" i="11"/>
  <c r="K361" i="11"/>
  <c r="M360" i="11"/>
  <c r="L360" i="11"/>
  <c r="K360" i="11"/>
  <c r="M359" i="11"/>
  <c r="L359" i="11"/>
  <c r="K359" i="11"/>
  <c r="M358" i="11"/>
  <c r="L358" i="11"/>
  <c r="K358" i="11"/>
  <c r="M357" i="11"/>
  <c r="L357" i="11"/>
  <c r="K357" i="11"/>
  <c r="M356" i="11"/>
  <c r="L356" i="11"/>
  <c r="K356" i="11"/>
  <c r="M355" i="11"/>
  <c r="L355" i="11"/>
  <c r="K355" i="11"/>
  <c r="M354" i="11"/>
  <c r="L354" i="11"/>
  <c r="K354" i="11"/>
  <c r="M353" i="11"/>
  <c r="L353" i="11"/>
  <c r="K353" i="11"/>
  <c r="M352" i="11"/>
  <c r="L352" i="11"/>
  <c r="K352" i="11"/>
  <c r="M351" i="11"/>
  <c r="L351" i="11"/>
  <c r="K351" i="11"/>
  <c r="M350" i="11"/>
  <c r="L350" i="11"/>
  <c r="K350" i="11"/>
  <c r="M349" i="11"/>
  <c r="L349" i="11"/>
  <c r="K349" i="11"/>
  <c r="M348" i="11"/>
  <c r="L348" i="11"/>
  <c r="K348" i="11"/>
  <c r="M347" i="11"/>
  <c r="L347" i="11"/>
  <c r="K347" i="11"/>
  <c r="M346" i="11"/>
  <c r="L346" i="11"/>
  <c r="K346" i="11"/>
  <c r="M345" i="11"/>
  <c r="L345" i="11"/>
  <c r="K345" i="11"/>
  <c r="M344" i="11"/>
  <c r="L344" i="11"/>
  <c r="K344" i="11"/>
  <c r="M343" i="11"/>
  <c r="L343" i="11"/>
  <c r="K343" i="11"/>
  <c r="M342" i="11"/>
  <c r="L342" i="11"/>
  <c r="K342" i="11"/>
  <c r="M341" i="11"/>
  <c r="L341" i="11"/>
  <c r="K341" i="11"/>
  <c r="M340" i="11"/>
  <c r="L340" i="11"/>
  <c r="K340" i="11"/>
  <c r="M339" i="11"/>
  <c r="L339" i="11"/>
  <c r="K339" i="11"/>
  <c r="M338" i="11"/>
  <c r="L338" i="11"/>
  <c r="K338" i="11"/>
  <c r="M337" i="11"/>
  <c r="L337" i="11"/>
  <c r="K337" i="11"/>
  <c r="M336" i="11"/>
  <c r="L336" i="11"/>
  <c r="K336" i="11"/>
  <c r="M335" i="11"/>
  <c r="L335" i="11"/>
  <c r="K335" i="11"/>
  <c r="M334" i="11"/>
  <c r="L334" i="11"/>
  <c r="K334" i="11"/>
  <c r="M333" i="11"/>
  <c r="L333" i="11"/>
  <c r="K333" i="11"/>
  <c r="M332" i="11"/>
  <c r="L332" i="11"/>
  <c r="K332" i="11"/>
  <c r="M331" i="11"/>
  <c r="L331" i="11"/>
  <c r="K331" i="11"/>
  <c r="M330" i="11"/>
  <c r="L330" i="11"/>
  <c r="K330" i="11"/>
  <c r="M329" i="11"/>
  <c r="L329" i="11"/>
  <c r="K329" i="11"/>
  <c r="M328" i="11"/>
  <c r="L328" i="11"/>
  <c r="K328" i="11"/>
  <c r="M327" i="11"/>
  <c r="L327" i="11"/>
  <c r="K327" i="11"/>
  <c r="M326" i="11"/>
  <c r="L326" i="11"/>
  <c r="K326" i="11"/>
  <c r="M325" i="11"/>
  <c r="L325" i="11"/>
  <c r="K325" i="11"/>
  <c r="M324" i="11"/>
  <c r="L324" i="11"/>
  <c r="K324" i="11"/>
  <c r="M323" i="11"/>
  <c r="L323" i="11"/>
  <c r="K323" i="11"/>
  <c r="M322" i="11"/>
  <c r="L322" i="11"/>
  <c r="K322" i="11"/>
  <c r="M321" i="11"/>
  <c r="L321" i="11"/>
  <c r="K321" i="11"/>
  <c r="M320" i="11"/>
  <c r="L320" i="11"/>
  <c r="K320" i="11"/>
  <c r="M319" i="11"/>
  <c r="L319" i="11"/>
  <c r="K319" i="11"/>
  <c r="M318" i="11"/>
  <c r="L318" i="11"/>
  <c r="K318" i="11"/>
  <c r="M317" i="11"/>
  <c r="L317" i="11"/>
  <c r="K317" i="11"/>
  <c r="M316" i="11"/>
  <c r="L316" i="11"/>
  <c r="K316" i="11"/>
  <c r="M315" i="11"/>
  <c r="L315" i="11"/>
  <c r="K315" i="11"/>
  <c r="M314" i="11"/>
  <c r="L314" i="11"/>
  <c r="K314" i="11"/>
  <c r="M313" i="11"/>
  <c r="L313" i="11"/>
  <c r="K313" i="11"/>
  <c r="M312" i="11"/>
  <c r="L312" i="11"/>
  <c r="K312" i="11"/>
  <c r="M311" i="11"/>
  <c r="L311" i="11"/>
  <c r="K311" i="11"/>
  <c r="M310" i="11"/>
  <c r="L310" i="11"/>
  <c r="K310" i="11"/>
  <c r="M309" i="11"/>
  <c r="L309" i="11"/>
  <c r="K309" i="11"/>
  <c r="M308" i="11"/>
  <c r="L308" i="11"/>
  <c r="K308" i="11"/>
  <c r="M307" i="11"/>
  <c r="L307" i="11"/>
  <c r="K307" i="11"/>
  <c r="M306" i="11"/>
  <c r="L306" i="11"/>
  <c r="K306" i="11"/>
  <c r="M305" i="11"/>
  <c r="L305" i="11"/>
  <c r="K305" i="11"/>
  <c r="M304" i="11"/>
  <c r="L304" i="11"/>
  <c r="K304" i="11"/>
  <c r="M303" i="11"/>
  <c r="L303" i="11"/>
  <c r="K303" i="11"/>
  <c r="M302" i="11"/>
  <c r="L302" i="11"/>
  <c r="K302" i="11"/>
  <c r="M301" i="11"/>
  <c r="L301" i="11"/>
  <c r="K301" i="11"/>
  <c r="M300" i="11"/>
  <c r="L300" i="11"/>
  <c r="K300" i="11"/>
  <c r="M299" i="11"/>
  <c r="L299" i="11"/>
  <c r="K299" i="11"/>
  <c r="M298" i="11"/>
  <c r="L298" i="11"/>
  <c r="K298" i="11"/>
  <c r="M297" i="11"/>
  <c r="L297" i="11"/>
  <c r="K297" i="11"/>
  <c r="M296" i="11"/>
  <c r="L296" i="11"/>
  <c r="K296" i="11"/>
  <c r="M295" i="11"/>
  <c r="L295" i="11"/>
  <c r="K295" i="11"/>
  <c r="M294" i="11"/>
  <c r="L294" i="11"/>
  <c r="K294" i="11"/>
  <c r="M293" i="11"/>
  <c r="L293" i="11"/>
  <c r="K293" i="11"/>
  <c r="M292" i="11"/>
  <c r="L292" i="11"/>
  <c r="K292" i="11"/>
  <c r="M291" i="11"/>
  <c r="L291" i="11"/>
  <c r="K291" i="11"/>
  <c r="M290" i="11"/>
  <c r="L290" i="11"/>
  <c r="K290" i="11"/>
  <c r="M289" i="11"/>
  <c r="L289" i="11"/>
  <c r="K289" i="11"/>
  <c r="M288" i="11"/>
  <c r="L288" i="11"/>
  <c r="K288" i="11"/>
  <c r="M287" i="11"/>
  <c r="L287" i="11"/>
  <c r="K287" i="11"/>
  <c r="M286" i="11"/>
  <c r="L286" i="11"/>
  <c r="K286" i="11"/>
  <c r="M285" i="11"/>
  <c r="L285" i="11"/>
  <c r="K285" i="11"/>
  <c r="M284" i="11"/>
  <c r="L284" i="11"/>
  <c r="K284" i="11"/>
  <c r="M283" i="11"/>
  <c r="L283" i="11"/>
  <c r="K283" i="11"/>
  <c r="M282" i="11"/>
  <c r="L282" i="11"/>
  <c r="K282" i="11"/>
  <c r="M281" i="11"/>
  <c r="L281" i="11"/>
  <c r="K281" i="11"/>
  <c r="M280" i="11"/>
  <c r="L280" i="11"/>
  <c r="K280" i="11"/>
  <c r="M279" i="11"/>
  <c r="L279" i="11"/>
  <c r="K279" i="11"/>
  <c r="M278" i="11"/>
  <c r="L278" i="11"/>
  <c r="K278" i="11"/>
  <c r="M277" i="11"/>
  <c r="L277" i="11"/>
  <c r="K277" i="11"/>
  <c r="M276" i="11"/>
  <c r="L276" i="11"/>
  <c r="K276" i="11"/>
  <c r="M275" i="11"/>
  <c r="L275" i="11"/>
  <c r="K275" i="11"/>
  <c r="M274" i="11"/>
  <c r="L274" i="11"/>
  <c r="K274" i="11"/>
  <c r="M273" i="11"/>
  <c r="L273" i="11"/>
  <c r="K273" i="11"/>
  <c r="M272" i="11"/>
  <c r="L272" i="11"/>
  <c r="K272" i="11"/>
  <c r="M271" i="11"/>
  <c r="L271" i="11"/>
  <c r="K271" i="11"/>
  <c r="M270" i="11"/>
  <c r="L270" i="11"/>
  <c r="K270" i="11"/>
  <c r="M269" i="11"/>
  <c r="L269" i="11"/>
  <c r="K269" i="11"/>
  <c r="M268" i="11"/>
  <c r="L268" i="11"/>
  <c r="K268" i="11"/>
  <c r="M267" i="11"/>
  <c r="L267" i="11"/>
  <c r="K267" i="11"/>
  <c r="M266" i="11"/>
  <c r="L266" i="11"/>
  <c r="K266" i="11"/>
  <c r="M265" i="11"/>
  <c r="L265" i="11"/>
  <c r="K265" i="11"/>
  <c r="M264" i="11"/>
  <c r="L264" i="11"/>
  <c r="K264" i="11"/>
  <c r="M263" i="11"/>
  <c r="L263" i="11"/>
  <c r="K263" i="11"/>
  <c r="M262" i="11"/>
  <c r="L262" i="11"/>
  <c r="K262" i="11"/>
  <c r="M261" i="11"/>
  <c r="L261" i="11"/>
  <c r="K261" i="11"/>
  <c r="M260" i="11"/>
  <c r="L260" i="11"/>
  <c r="K260" i="11"/>
  <c r="M259" i="11"/>
  <c r="L259" i="11"/>
  <c r="K259" i="11"/>
  <c r="M258" i="11"/>
  <c r="L258" i="11"/>
  <c r="K258" i="11"/>
  <c r="M257" i="11"/>
  <c r="L257" i="11"/>
  <c r="K257" i="11"/>
  <c r="M256" i="11"/>
  <c r="L256" i="11"/>
  <c r="K256" i="11"/>
  <c r="M255" i="11"/>
  <c r="L255" i="11"/>
  <c r="K255" i="11"/>
  <c r="M254" i="11"/>
  <c r="L254" i="11"/>
  <c r="K254" i="11"/>
  <c r="M253" i="11"/>
  <c r="L253" i="11"/>
  <c r="K253" i="11"/>
  <c r="M252" i="11"/>
  <c r="L252" i="11"/>
  <c r="K252" i="11"/>
  <c r="M251" i="11"/>
  <c r="L251" i="11"/>
  <c r="K251" i="11"/>
  <c r="M250" i="11"/>
  <c r="L250" i="11"/>
  <c r="K250" i="11"/>
  <c r="M249" i="11"/>
  <c r="L249" i="11"/>
  <c r="K249" i="11"/>
  <c r="M248" i="11"/>
  <c r="L248" i="11"/>
  <c r="K248" i="11"/>
  <c r="M247" i="11"/>
  <c r="L247" i="11"/>
  <c r="K247" i="11"/>
  <c r="M246" i="11"/>
  <c r="L246" i="11"/>
  <c r="K246" i="11"/>
  <c r="M245" i="11"/>
  <c r="L245" i="11"/>
  <c r="K245" i="11"/>
  <c r="M244" i="11"/>
  <c r="L244" i="11"/>
  <c r="K244" i="11"/>
  <c r="M243" i="11"/>
  <c r="L243" i="11"/>
  <c r="K243" i="11"/>
  <c r="M242" i="11"/>
  <c r="L242" i="11"/>
  <c r="K242" i="11"/>
  <c r="M241" i="11"/>
  <c r="L241" i="11"/>
  <c r="K241" i="11"/>
  <c r="M240" i="11"/>
  <c r="L240" i="11"/>
  <c r="K240" i="11"/>
  <c r="M239" i="11"/>
  <c r="L239" i="11"/>
  <c r="K239" i="11"/>
  <c r="M238" i="11"/>
  <c r="L238" i="11"/>
  <c r="K238" i="11"/>
  <c r="M237" i="11"/>
  <c r="L237" i="11"/>
  <c r="K237" i="11"/>
  <c r="M236" i="11"/>
  <c r="L236" i="11"/>
  <c r="K236" i="11"/>
  <c r="M235" i="11"/>
  <c r="L235" i="11"/>
  <c r="K235" i="11"/>
  <c r="M234" i="11"/>
  <c r="L234" i="11"/>
  <c r="K234" i="11"/>
  <c r="M233" i="11"/>
  <c r="L233" i="11"/>
  <c r="K233" i="11"/>
  <c r="M232" i="11"/>
  <c r="L232" i="11"/>
  <c r="K232" i="11"/>
  <c r="M231" i="11"/>
  <c r="L231" i="11"/>
  <c r="K231" i="11"/>
  <c r="M230" i="11"/>
  <c r="L230" i="11"/>
  <c r="K230" i="11"/>
  <c r="M229" i="11"/>
  <c r="L229" i="11"/>
  <c r="K229" i="11"/>
  <c r="M228" i="11"/>
  <c r="L228" i="11"/>
  <c r="K228" i="11"/>
  <c r="M227" i="11"/>
  <c r="L227" i="11"/>
  <c r="K227" i="11"/>
  <c r="M226" i="11"/>
  <c r="L226" i="11"/>
  <c r="K226" i="11"/>
  <c r="M225" i="11"/>
  <c r="L225" i="11"/>
  <c r="K225" i="11"/>
  <c r="M224" i="11"/>
  <c r="L224" i="11"/>
  <c r="K224" i="11"/>
  <c r="M223" i="11"/>
  <c r="L223" i="11"/>
  <c r="K223" i="11"/>
  <c r="M222" i="11"/>
  <c r="L222" i="11"/>
  <c r="K222" i="11"/>
  <c r="M221" i="11"/>
  <c r="L221" i="11"/>
  <c r="K221" i="11"/>
  <c r="M220" i="11"/>
  <c r="L220" i="11"/>
  <c r="K220" i="11"/>
  <c r="M219" i="11"/>
  <c r="L219" i="11"/>
  <c r="K219" i="11"/>
  <c r="M218" i="11"/>
  <c r="L218" i="11"/>
  <c r="K218" i="11"/>
  <c r="M217" i="11"/>
  <c r="L217" i="11"/>
  <c r="K217" i="11"/>
  <c r="M216" i="11"/>
  <c r="L216" i="11"/>
  <c r="K216" i="11"/>
  <c r="M215" i="11"/>
  <c r="L215" i="11"/>
  <c r="K215" i="11"/>
  <c r="M214" i="11"/>
  <c r="L214" i="11"/>
  <c r="K214" i="11"/>
  <c r="M213" i="11"/>
  <c r="L213" i="11"/>
  <c r="K213" i="11"/>
  <c r="M212" i="11"/>
  <c r="L212" i="11"/>
  <c r="K212" i="11"/>
  <c r="M211" i="11"/>
  <c r="L211" i="11"/>
  <c r="K211" i="11"/>
  <c r="M210" i="11"/>
  <c r="L210" i="11"/>
  <c r="K210" i="11"/>
  <c r="M209" i="11"/>
  <c r="L209" i="11"/>
  <c r="K209" i="11"/>
  <c r="M208" i="11"/>
  <c r="L208" i="11"/>
  <c r="K208" i="11"/>
  <c r="M207" i="11"/>
  <c r="L207" i="11"/>
  <c r="K207" i="11"/>
  <c r="M206" i="11"/>
  <c r="L206" i="11"/>
  <c r="K206" i="11"/>
  <c r="M205" i="11"/>
  <c r="L205" i="11"/>
  <c r="K205" i="11"/>
  <c r="M204" i="11"/>
  <c r="L204" i="11"/>
  <c r="K204" i="11"/>
  <c r="M203" i="11"/>
  <c r="L203" i="11"/>
  <c r="K203" i="11"/>
  <c r="M202" i="11"/>
  <c r="L202" i="11"/>
  <c r="K202" i="11"/>
  <c r="M201" i="11"/>
  <c r="L201" i="11"/>
  <c r="K201" i="11"/>
  <c r="M200" i="11"/>
  <c r="L200" i="11"/>
  <c r="K200" i="11"/>
  <c r="M199" i="11"/>
  <c r="L199" i="11"/>
  <c r="K199" i="11"/>
  <c r="M198" i="11"/>
  <c r="L198" i="11"/>
  <c r="K198" i="11"/>
  <c r="M197" i="11"/>
  <c r="L197" i="11"/>
  <c r="K197" i="11"/>
  <c r="M196" i="11"/>
  <c r="L196" i="11"/>
  <c r="K196" i="11"/>
  <c r="M195" i="11"/>
  <c r="L195" i="11"/>
  <c r="K195" i="11"/>
  <c r="M194" i="11"/>
  <c r="L194" i="11"/>
  <c r="K194" i="11"/>
  <c r="M193" i="11"/>
  <c r="L193" i="11"/>
  <c r="K193" i="11"/>
  <c r="M192" i="11"/>
  <c r="L192" i="11"/>
  <c r="K192" i="11"/>
  <c r="M191" i="11"/>
  <c r="L191" i="11"/>
  <c r="K191" i="11"/>
  <c r="M190" i="11"/>
  <c r="L190" i="11"/>
  <c r="K190" i="11"/>
  <c r="M189" i="11"/>
  <c r="L189" i="11"/>
  <c r="K189" i="11"/>
  <c r="M188" i="11"/>
  <c r="L188" i="11"/>
  <c r="K188" i="11"/>
  <c r="M187" i="11"/>
  <c r="L187" i="11"/>
  <c r="K187" i="11"/>
  <c r="M186" i="11"/>
  <c r="L186" i="11"/>
  <c r="K186" i="11"/>
  <c r="M185" i="11"/>
  <c r="L185" i="11"/>
  <c r="K185" i="11"/>
  <c r="M184" i="11"/>
  <c r="L184" i="11"/>
  <c r="K184" i="11"/>
  <c r="M183" i="11"/>
  <c r="L183" i="11"/>
  <c r="K183" i="11"/>
  <c r="M182" i="11"/>
  <c r="L182" i="11"/>
  <c r="K182" i="11"/>
  <c r="M181" i="11"/>
  <c r="L181" i="11"/>
  <c r="K181" i="11"/>
  <c r="M180" i="11"/>
  <c r="L180" i="11"/>
  <c r="K180" i="11"/>
  <c r="M179" i="11"/>
  <c r="L179" i="11"/>
  <c r="K179" i="11"/>
  <c r="M178" i="11"/>
  <c r="L178" i="11"/>
  <c r="K178" i="11"/>
  <c r="M177" i="11"/>
  <c r="L177" i="11"/>
  <c r="K177" i="11"/>
  <c r="M176" i="11"/>
  <c r="L176" i="11"/>
  <c r="K176" i="11"/>
  <c r="M175" i="11"/>
  <c r="L175" i="11"/>
  <c r="K175" i="11"/>
  <c r="M174" i="11"/>
  <c r="L174" i="11"/>
  <c r="K174" i="11"/>
  <c r="M173" i="11"/>
  <c r="L173" i="11"/>
  <c r="K173" i="11"/>
  <c r="M172" i="11"/>
  <c r="L172" i="11"/>
  <c r="K172" i="11"/>
  <c r="M171" i="11"/>
  <c r="L171" i="11"/>
  <c r="K171" i="11"/>
  <c r="M170" i="11"/>
  <c r="L170" i="11"/>
  <c r="K170" i="11"/>
  <c r="M169" i="11"/>
  <c r="L169" i="11"/>
  <c r="K169" i="11"/>
  <c r="M168" i="11"/>
  <c r="L168" i="11"/>
  <c r="K168" i="11"/>
  <c r="M167" i="11"/>
  <c r="L167" i="11"/>
  <c r="K167" i="11"/>
  <c r="M166" i="11"/>
  <c r="L166" i="11"/>
  <c r="K166" i="11"/>
  <c r="M165" i="11"/>
  <c r="L165" i="11"/>
  <c r="K165" i="11"/>
  <c r="M164" i="11"/>
  <c r="L164" i="11"/>
  <c r="K164" i="11"/>
  <c r="M163" i="11"/>
  <c r="L163" i="11"/>
  <c r="K163" i="11"/>
  <c r="M162" i="11"/>
  <c r="L162" i="11"/>
  <c r="K162" i="11"/>
  <c r="M161" i="11"/>
  <c r="L161" i="11"/>
  <c r="K161" i="11"/>
  <c r="M160" i="11"/>
  <c r="L160" i="11"/>
  <c r="K160" i="11"/>
  <c r="M159" i="11"/>
  <c r="L159" i="11"/>
  <c r="K159" i="11"/>
  <c r="M158" i="11"/>
  <c r="L158" i="11"/>
  <c r="K158" i="11"/>
  <c r="M157" i="11"/>
  <c r="L157" i="11"/>
  <c r="K157" i="11"/>
  <c r="M156" i="11"/>
  <c r="L156" i="11"/>
  <c r="K156" i="11"/>
  <c r="M155" i="11"/>
  <c r="L155" i="11"/>
  <c r="K155" i="11"/>
  <c r="M154" i="11"/>
  <c r="L154" i="11"/>
  <c r="K154" i="11"/>
  <c r="M153" i="11"/>
  <c r="L153" i="11"/>
  <c r="K153" i="11"/>
  <c r="M152" i="11"/>
  <c r="L152" i="11"/>
  <c r="K152" i="11"/>
  <c r="M151" i="11"/>
  <c r="L151" i="11"/>
  <c r="K151" i="11"/>
  <c r="M150" i="11"/>
  <c r="L150" i="11"/>
  <c r="K150" i="11"/>
  <c r="M149" i="11"/>
  <c r="L149" i="11"/>
  <c r="K149" i="11"/>
  <c r="M148" i="11"/>
  <c r="L148" i="11"/>
  <c r="K148" i="11"/>
  <c r="M147" i="11"/>
  <c r="L147" i="11"/>
  <c r="K147" i="11"/>
  <c r="M146" i="11"/>
  <c r="L146" i="11"/>
  <c r="K146" i="11"/>
  <c r="M145" i="11"/>
  <c r="L145" i="11"/>
  <c r="K145" i="11"/>
  <c r="M144" i="11"/>
  <c r="L144" i="11"/>
  <c r="K144" i="11"/>
  <c r="M143" i="11"/>
  <c r="L143" i="11"/>
  <c r="K143" i="11"/>
  <c r="M142" i="11"/>
  <c r="L142" i="11"/>
  <c r="K142" i="11"/>
  <c r="M141" i="11"/>
  <c r="L141" i="11"/>
  <c r="K141" i="11"/>
  <c r="M140" i="11"/>
  <c r="L140" i="11"/>
  <c r="K140" i="11"/>
  <c r="M139" i="11"/>
  <c r="L139" i="11"/>
  <c r="K139" i="11"/>
  <c r="M138" i="11"/>
  <c r="L138" i="11"/>
  <c r="K138" i="11"/>
  <c r="M137" i="11"/>
  <c r="L137" i="11"/>
  <c r="K137" i="11"/>
  <c r="M136" i="11"/>
  <c r="L136" i="11"/>
  <c r="K136" i="11"/>
  <c r="M135" i="11"/>
  <c r="L135" i="11"/>
  <c r="K135" i="11"/>
  <c r="M134" i="11"/>
  <c r="L134" i="11"/>
  <c r="K134" i="11"/>
  <c r="M133" i="11"/>
  <c r="L133" i="11"/>
  <c r="K133" i="11"/>
  <c r="M132" i="11"/>
  <c r="L132" i="11"/>
  <c r="K132" i="11"/>
  <c r="M131" i="11"/>
  <c r="L131" i="11"/>
  <c r="K131" i="11"/>
  <c r="M130" i="11"/>
  <c r="L130" i="11"/>
  <c r="K130" i="11"/>
  <c r="M129" i="11"/>
  <c r="L129" i="11"/>
  <c r="K129" i="11"/>
  <c r="M128" i="11"/>
  <c r="L128" i="11"/>
  <c r="K128" i="11"/>
  <c r="M127" i="11"/>
  <c r="L127" i="11"/>
  <c r="K127" i="11"/>
  <c r="M126" i="11"/>
  <c r="L126" i="11"/>
  <c r="K126" i="11"/>
  <c r="M125" i="11"/>
  <c r="L125" i="11"/>
  <c r="K125" i="11"/>
  <c r="M124" i="11"/>
  <c r="L124" i="11"/>
  <c r="K124" i="11"/>
  <c r="M123" i="11"/>
  <c r="L123" i="11"/>
  <c r="K123" i="11"/>
  <c r="M122" i="11"/>
  <c r="L122" i="11"/>
  <c r="K122" i="11"/>
  <c r="M121" i="11"/>
  <c r="L121" i="11"/>
  <c r="K121" i="11"/>
  <c r="M120" i="11"/>
  <c r="L120" i="11"/>
  <c r="K120" i="11"/>
  <c r="M119" i="11"/>
  <c r="L119" i="11"/>
  <c r="K119" i="11"/>
  <c r="M118" i="11"/>
  <c r="L118" i="11"/>
  <c r="K118" i="11"/>
  <c r="M117" i="11"/>
  <c r="L117" i="11"/>
  <c r="K117" i="11"/>
  <c r="M116" i="11"/>
  <c r="L116" i="11"/>
  <c r="K116" i="11"/>
  <c r="M115" i="11"/>
  <c r="L115" i="11"/>
  <c r="K115" i="11"/>
  <c r="M114" i="11"/>
  <c r="L114" i="11"/>
  <c r="K114" i="11"/>
  <c r="M113" i="11"/>
  <c r="L113" i="11"/>
  <c r="K113" i="11"/>
  <c r="M112" i="11"/>
  <c r="L112" i="11"/>
  <c r="K112" i="11"/>
  <c r="M111" i="11"/>
  <c r="L111" i="11"/>
  <c r="K111" i="11"/>
  <c r="M110" i="11"/>
  <c r="L110" i="11"/>
  <c r="K110" i="11"/>
  <c r="M109" i="11"/>
  <c r="L109" i="11"/>
  <c r="K109" i="11"/>
  <c r="M108" i="11"/>
  <c r="L108" i="11"/>
  <c r="K108" i="11"/>
  <c r="M107" i="11"/>
  <c r="L107" i="11"/>
  <c r="K107" i="11"/>
  <c r="M106" i="11"/>
  <c r="L106" i="11"/>
  <c r="K106" i="11"/>
  <c r="M105" i="11"/>
  <c r="L105" i="11"/>
  <c r="K105" i="11"/>
  <c r="M104" i="11"/>
  <c r="L104" i="11"/>
  <c r="K104" i="11"/>
  <c r="M103" i="11"/>
  <c r="L103" i="11"/>
  <c r="K103" i="11"/>
  <c r="M102" i="11"/>
  <c r="L102" i="11"/>
  <c r="K102" i="11"/>
  <c r="M101" i="11"/>
  <c r="L101" i="11"/>
  <c r="K101" i="11"/>
  <c r="M100" i="11"/>
  <c r="L100" i="11"/>
  <c r="K100" i="11"/>
  <c r="M99" i="11"/>
  <c r="L99" i="11"/>
  <c r="K99" i="11"/>
  <c r="M98" i="11"/>
  <c r="L98" i="11"/>
  <c r="K98" i="11"/>
  <c r="M97" i="11"/>
  <c r="L97" i="11"/>
  <c r="K97" i="11"/>
  <c r="M96" i="11"/>
  <c r="L96" i="11"/>
  <c r="K96" i="11"/>
  <c r="M95" i="11"/>
  <c r="L95" i="11"/>
  <c r="K95" i="11"/>
  <c r="M94" i="11"/>
  <c r="L94" i="11"/>
  <c r="K94" i="11"/>
  <c r="M93" i="11"/>
  <c r="L93" i="11"/>
  <c r="K93" i="11"/>
  <c r="M92" i="11"/>
  <c r="L92" i="11"/>
  <c r="K92" i="11"/>
  <c r="M91" i="11"/>
  <c r="L91" i="11"/>
  <c r="K91" i="11"/>
  <c r="M90" i="11"/>
  <c r="L90" i="11"/>
  <c r="K90" i="11"/>
  <c r="M89" i="11"/>
  <c r="L89" i="11"/>
  <c r="K89" i="11"/>
  <c r="M88" i="11"/>
  <c r="L88" i="11"/>
  <c r="K88" i="11"/>
  <c r="M87" i="11"/>
  <c r="L87" i="11"/>
  <c r="K87" i="11"/>
  <c r="M86" i="11"/>
  <c r="L86" i="11"/>
  <c r="K86" i="11"/>
  <c r="M85" i="11"/>
  <c r="L85" i="11"/>
  <c r="K85" i="11"/>
  <c r="M84" i="11"/>
  <c r="L84" i="11"/>
  <c r="K84" i="11"/>
  <c r="M83" i="11"/>
  <c r="L83" i="11"/>
  <c r="K83" i="11"/>
  <c r="M82" i="11"/>
  <c r="L82" i="11"/>
  <c r="K82" i="11"/>
  <c r="M81" i="11"/>
  <c r="L81" i="11"/>
  <c r="K81" i="11"/>
  <c r="M80" i="11"/>
  <c r="L80" i="11"/>
  <c r="K80" i="11"/>
  <c r="M79" i="11"/>
  <c r="L79" i="11"/>
  <c r="K79" i="11"/>
  <c r="M78" i="11"/>
  <c r="L78" i="11"/>
  <c r="K78" i="11"/>
  <c r="M77" i="11"/>
  <c r="L77" i="11"/>
  <c r="K77" i="11"/>
  <c r="M76" i="11"/>
  <c r="L76" i="11"/>
  <c r="K76" i="11"/>
  <c r="M75" i="11"/>
  <c r="L75" i="11"/>
  <c r="K75" i="11"/>
  <c r="M74" i="11"/>
  <c r="L74" i="11"/>
  <c r="K74" i="11"/>
  <c r="M73" i="11"/>
  <c r="L73" i="11"/>
  <c r="K73" i="11"/>
  <c r="M72" i="11"/>
  <c r="L72" i="11"/>
  <c r="K72" i="11"/>
  <c r="M71" i="11"/>
  <c r="L71" i="11"/>
  <c r="K71" i="11"/>
  <c r="M70" i="11"/>
  <c r="L70" i="11"/>
  <c r="K70" i="11"/>
  <c r="M69" i="11"/>
  <c r="L69" i="11"/>
  <c r="K69" i="11"/>
  <c r="M68" i="11"/>
  <c r="L68" i="11"/>
  <c r="K68" i="11"/>
  <c r="M67" i="11"/>
  <c r="L67" i="11"/>
  <c r="K67" i="11"/>
  <c r="M66" i="11"/>
  <c r="L66" i="11"/>
  <c r="K66" i="11"/>
  <c r="M65" i="11"/>
  <c r="L65" i="11"/>
  <c r="K65" i="11"/>
  <c r="M64" i="11"/>
  <c r="L64" i="11"/>
  <c r="K64" i="11"/>
  <c r="M63" i="11"/>
  <c r="L63" i="11"/>
  <c r="K63" i="11"/>
  <c r="M62" i="11"/>
  <c r="L62" i="11"/>
  <c r="K62" i="11"/>
  <c r="M61" i="11"/>
  <c r="L61" i="11"/>
  <c r="K61" i="11"/>
  <c r="M60" i="11"/>
  <c r="L60" i="11"/>
  <c r="K60" i="11"/>
  <c r="M59" i="11"/>
  <c r="L59" i="11"/>
  <c r="K59" i="11"/>
  <c r="M58" i="11"/>
  <c r="L58" i="11"/>
  <c r="K58" i="11"/>
  <c r="M57" i="11"/>
  <c r="L57" i="11"/>
  <c r="K57" i="11"/>
  <c r="M56" i="11"/>
  <c r="L56" i="11"/>
  <c r="K56" i="11"/>
  <c r="M55" i="11"/>
  <c r="L55" i="11"/>
  <c r="K55" i="11"/>
  <c r="M54" i="11"/>
  <c r="L54" i="11"/>
  <c r="K54" i="11"/>
  <c r="M53" i="11"/>
  <c r="L53" i="11"/>
  <c r="K53" i="11"/>
  <c r="M52" i="11"/>
  <c r="L52" i="11"/>
  <c r="K52" i="11"/>
  <c r="M51" i="11"/>
  <c r="L51" i="11"/>
  <c r="K51" i="11"/>
  <c r="M50" i="11"/>
  <c r="L50" i="11"/>
  <c r="K50" i="11"/>
  <c r="M49" i="11"/>
  <c r="L49" i="11"/>
  <c r="K49" i="11"/>
  <c r="M48" i="11"/>
  <c r="L48" i="11"/>
  <c r="K48" i="11"/>
  <c r="M47" i="11"/>
  <c r="L47" i="11"/>
  <c r="K47" i="11"/>
  <c r="M46" i="11"/>
  <c r="L46" i="11"/>
  <c r="K46" i="11"/>
  <c r="M45" i="11"/>
  <c r="L45" i="11"/>
  <c r="K45" i="11"/>
  <c r="M44" i="11"/>
  <c r="L44" i="11"/>
  <c r="K44" i="11"/>
  <c r="M43" i="11"/>
  <c r="L43" i="11"/>
  <c r="K43" i="11"/>
  <c r="M42" i="11"/>
  <c r="L42" i="11"/>
  <c r="K42" i="11"/>
  <c r="M41" i="11"/>
  <c r="L41" i="11"/>
  <c r="K41" i="11"/>
  <c r="M40" i="11"/>
  <c r="L40" i="11"/>
  <c r="K40" i="11"/>
  <c r="M39" i="11"/>
  <c r="L39" i="11"/>
  <c r="K39" i="11"/>
  <c r="M38" i="11"/>
  <c r="L38" i="11"/>
  <c r="K38" i="11"/>
  <c r="M37" i="11"/>
  <c r="L37" i="11"/>
  <c r="K37" i="11"/>
  <c r="M36" i="11"/>
  <c r="L36" i="11"/>
  <c r="K36" i="11"/>
  <c r="M35" i="11"/>
  <c r="L35" i="11"/>
  <c r="K35" i="11"/>
  <c r="M34" i="11"/>
  <c r="L34" i="11"/>
  <c r="K34" i="11"/>
  <c r="M33" i="11"/>
  <c r="L33" i="11"/>
  <c r="K33" i="11"/>
  <c r="M32" i="11"/>
  <c r="L32" i="11"/>
  <c r="K32" i="11"/>
  <c r="M31" i="11"/>
  <c r="L31" i="11"/>
  <c r="K31" i="11"/>
  <c r="M30" i="11"/>
  <c r="L30" i="11"/>
  <c r="K30" i="11"/>
  <c r="M29" i="11"/>
  <c r="L29" i="11"/>
  <c r="K29" i="11"/>
  <c r="M28" i="11"/>
  <c r="L28" i="11"/>
  <c r="K28" i="11"/>
  <c r="M27" i="11"/>
  <c r="L27" i="11"/>
  <c r="K27" i="11"/>
  <c r="M26" i="11"/>
  <c r="L26" i="11"/>
  <c r="K26" i="11"/>
  <c r="M25" i="11"/>
  <c r="L25" i="11"/>
  <c r="K25" i="11"/>
  <c r="M24" i="11"/>
  <c r="L24" i="11"/>
  <c r="K24" i="11"/>
  <c r="M23" i="11"/>
  <c r="L23" i="11"/>
  <c r="K23" i="11"/>
  <c r="M22" i="11"/>
  <c r="L22" i="11"/>
  <c r="K22" i="11"/>
  <c r="M21" i="11"/>
  <c r="L21" i="11"/>
  <c r="K21" i="11"/>
  <c r="M20" i="11"/>
  <c r="L20" i="11"/>
  <c r="K20" i="11"/>
  <c r="M19" i="11"/>
  <c r="L19" i="11"/>
  <c r="K19" i="11"/>
  <c r="M18" i="11"/>
  <c r="L18" i="11"/>
  <c r="K18" i="11"/>
  <c r="M17" i="11"/>
  <c r="L17" i="11"/>
  <c r="K17" i="11"/>
  <c r="M16" i="11"/>
  <c r="L16" i="11"/>
  <c r="K16" i="11"/>
  <c r="M15" i="11"/>
  <c r="L15" i="11"/>
  <c r="K15" i="11"/>
  <c r="M14" i="11"/>
  <c r="L14" i="11"/>
  <c r="K14" i="11"/>
  <c r="M13" i="11"/>
  <c r="L13" i="11"/>
  <c r="K13" i="11"/>
  <c r="M12" i="11"/>
  <c r="L12" i="11"/>
  <c r="K12" i="11"/>
  <c r="M11" i="11"/>
  <c r="L11" i="11"/>
  <c r="K11" i="11"/>
  <c r="M10" i="11"/>
  <c r="L10" i="11"/>
  <c r="K10" i="11"/>
  <c r="M9" i="11"/>
  <c r="L9" i="11"/>
  <c r="K9" i="11"/>
  <c r="M8" i="11"/>
  <c r="L8" i="11"/>
  <c r="K8" i="11"/>
  <c r="M7" i="11"/>
  <c r="L7" i="11"/>
  <c r="K7" i="11"/>
  <c r="M6" i="11"/>
  <c r="L6" i="11"/>
  <c r="K6" i="11"/>
  <c r="M5" i="11"/>
  <c r="L5" i="11"/>
  <c r="K5" i="11"/>
  <c r="M4" i="11"/>
  <c r="L4" i="11"/>
  <c r="K4" i="11"/>
  <c r="M3" i="11"/>
  <c r="L3" i="11"/>
  <c r="K3" i="11"/>
  <c r="M2" i="11"/>
  <c r="L2" i="11"/>
  <c r="K2" i="11"/>
  <c r="W3" i="11"/>
  <c r="X3" i="11"/>
  <c r="Y3" i="11"/>
  <c r="W4" i="11"/>
  <c r="X4" i="11"/>
  <c r="Y4" i="11"/>
  <c r="W5" i="11"/>
  <c r="X5" i="11"/>
  <c r="Y5" i="11"/>
  <c r="W6" i="11"/>
  <c r="X6" i="11"/>
  <c r="Y6" i="11"/>
  <c r="W7" i="11"/>
  <c r="X7" i="11"/>
  <c r="Y7" i="11"/>
  <c r="W8" i="11"/>
  <c r="X8" i="11"/>
  <c r="Y8" i="11"/>
  <c r="W9" i="11"/>
  <c r="X9" i="11"/>
  <c r="Y9" i="11"/>
  <c r="W10" i="11"/>
  <c r="X10" i="11"/>
  <c r="Y10" i="11"/>
  <c r="W11" i="11"/>
  <c r="X11" i="11"/>
  <c r="Y11" i="11"/>
  <c r="W12" i="11"/>
  <c r="X12" i="11"/>
  <c r="Y12" i="11"/>
  <c r="W13" i="11"/>
  <c r="X13" i="11"/>
  <c r="Y13" i="11"/>
  <c r="W14" i="11"/>
  <c r="X14" i="11"/>
  <c r="Y14" i="11"/>
  <c r="W15" i="11"/>
  <c r="X15" i="11"/>
  <c r="Y15" i="11"/>
  <c r="W16" i="11"/>
  <c r="X16" i="11"/>
  <c r="Y16" i="11"/>
  <c r="W17" i="11"/>
  <c r="X17" i="11"/>
  <c r="Y17" i="11"/>
  <c r="W18" i="11"/>
  <c r="X18" i="11"/>
  <c r="Y18" i="11"/>
  <c r="W19" i="11"/>
  <c r="X19" i="11"/>
  <c r="Y19" i="11"/>
  <c r="W20" i="11"/>
  <c r="X20" i="11"/>
  <c r="Y20" i="11"/>
  <c r="W21" i="11"/>
  <c r="X21" i="11"/>
  <c r="Y21" i="11"/>
  <c r="W22" i="11"/>
  <c r="X22" i="11"/>
  <c r="Y22" i="11"/>
  <c r="W23" i="11"/>
  <c r="X23" i="11"/>
  <c r="Y23" i="11"/>
  <c r="W24" i="11"/>
  <c r="X24" i="11"/>
  <c r="Y24" i="11"/>
  <c r="W25" i="11"/>
  <c r="X25" i="11"/>
  <c r="Y25" i="11"/>
  <c r="W26" i="11"/>
  <c r="X26" i="11"/>
  <c r="Y26" i="11"/>
  <c r="W27" i="11"/>
  <c r="X27" i="11"/>
  <c r="Y27" i="11"/>
  <c r="W28" i="11"/>
  <c r="X28" i="11"/>
  <c r="Y28" i="11"/>
  <c r="W29" i="11"/>
  <c r="X29" i="11"/>
  <c r="Y29" i="11"/>
  <c r="W30" i="11"/>
  <c r="X30" i="11"/>
  <c r="Y30" i="11"/>
  <c r="W31" i="11"/>
  <c r="X31" i="11"/>
  <c r="Y31" i="11"/>
  <c r="W32" i="11"/>
  <c r="X32" i="11"/>
  <c r="Y32" i="11"/>
  <c r="W33" i="11"/>
  <c r="X33" i="11"/>
  <c r="Y33" i="11"/>
  <c r="W34" i="11"/>
  <c r="X34" i="11"/>
  <c r="Y34" i="11"/>
  <c r="W35" i="11"/>
  <c r="X35" i="11"/>
  <c r="Y35" i="11"/>
  <c r="W36" i="11"/>
  <c r="X36" i="11"/>
  <c r="Y36" i="11"/>
  <c r="W37" i="11"/>
  <c r="X37" i="11"/>
  <c r="Y37" i="11"/>
  <c r="W38" i="11"/>
  <c r="X38" i="11"/>
  <c r="Y38" i="11"/>
  <c r="W39" i="11"/>
  <c r="X39" i="11"/>
  <c r="Y39" i="11"/>
  <c r="W40" i="11"/>
  <c r="X40" i="11"/>
  <c r="Y40" i="11"/>
  <c r="W41" i="11"/>
  <c r="X41" i="11"/>
  <c r="Y41" i="11"/>
  <c r="W42" i="11"/>
  <c r="X42" i="11"/>
  <c r="Y42" i="11"/>
  <c r="W43" i="11"/>
  <c r="X43" i="11"/>
  <c r="Y43" i="11"/>
  <c r="W44" i="11"/>
  <c r="X44" i="11"/>
  <c r="Y44" i="11"/>
  <c r="W45" i="11"/>
  <c r="X45" i="11"/>
  <c r="Y45" i="11"/>
  <c r="W46" i="11"/>
  <c r="X46" i="11"/>
  <c r="Y46" i="11"/>
  <c r="W47" i="11"/>
  <c r="X47" i="11"/>
  <c r="Y47" i="11"/>
  <c r="W48" i="11"/>
  <c r="X48" i="11"/>
  <c r="Y48" i="11"/>
  <c r="W49" i="11"/>
  <c r="X49" i="11"/>
  <c r="Y49" i="11"/>
  <c r="W50" i="11"/>
  <c r="X50" i="11"/>
  <c r="Y50" i="11"/>
  <c r="W51" i="11"/>
  <c r="X51" i="11"/>
  <c r="Y51" i="11"/>
  <c r="W52" i="11"/>
  <c r="X52" i="11"/>
  <c r="Y52" i="11"/>
  <c r="W53" i="11"/>
  <c r="X53" i="11"/>
  <c r="Y53" i="11"/>
  <c r="W54" i="11"/>
  <c r="X54" i="11"/>
  <c r="Y54" i="11"/>
  <c r="W55" i="11"/>
  <c r="X55" i="11"/>
  <c r="Y55" i="11"/>
  <c r="W56" i="11"/>
  <c r="X56" i="11"/>
  <c r="Y56" i="11"/>
  <c r="W57" i="11"/>
  <c r="X57" i="11"/>
  <c r="Y57" i="11"/>
  <c r="W58" i="11"/>
  <c r="X58" i="11"/>
  <c r="Y58" i="11"/>
  <c r="W59" i="11"/>
  <c r="X59" i="11"/>
  <c r="Y59" i="11"/>
  <c r="W60" i="11"/>
  <c r="X60" i="11"/>
  <c r="Y60" i="11"/>
  <c r="W61" i="11"/>
  <c r="X61" i="11"/>
  <c r="Y61" i="11"/>
  <c r="W62" i="11"/>
  <c r="X62" i="11"/>
  <c r="Y62" i="11"/>
  <c r="W63" i="11"/>
  <c r="X63" i="11"/>
  <c r="Y63" i="11"/>
  <c r="W64" i="11"/>
  <c r="X64" i="11"/>
  <c r="Y64" i="11"/>
  <c r="W65" i="11"/>
  <c r="X65" i="11"/>
  <c r="Y65" i="11"/>
  <c r="W66" i="11"/>
  <c r="X66" i="11"/>
  <c r="Y66" i="11"/>
  <c r="W67" i="11"/>
  <c r="X67" i="11"/>
  <c r="Y67" i="11"/>
  <c r="W68" i="11"/>
  <c r="X68" i="11"/>
  <c r="Y68" i="11"/>
  <c r="W69" i="11"/>
  <c r="X69" i="11"/>
  <c r="Y69" i="11"/>
  <c r="W70" i="11"/>
  <c r="X70" i="11"/>
  <c r="Y70" i="11"/>
  <c r="W71" i="11"/>
  <c r="X71" i="11"/>
  <c r="Y71" i="11"/>
  <c r="W72" i="11"/>
  <c r="X72" i="11"/>
  <c r="Y72" i="11"/>
  <c r="W73" i="11"/>
  <c r="X73" i="11"/>
  <c r="Y73" i="11"/>
  <c r="W74" i="11"/>
  <c r="X74" i="11"/>
  <c r="Y74" i="11"/>
  <c r="W75" i="11"/>
  <c r="X75" i="11"/>
  <c r="Y75" i="11"/>
  <c r="W76" i="11"/>
  <c r="X76" i="11"/>
  <c r="Y76" i="11"/>
  <c r="W77" i="11"/>
  <c r="X77" i="11"/>
  <c r="Y77" i="11"/>
  <c r="W78" i="11"/>
  <c r="X78" i="11"/>
  <c r="Y78" i="11"/>
  <c r="W79" i="11"/>
  <c r="X79" i="11"/>
  <c r="Y79" i="11"/>
  <c r="W80" i="11"/>
  <c r="X80" i="11"/>
  <c r="Y80" i="11"/>
  <c r="W81" i="11"/>
  <c r="X81" i="11"/>
  <c r="Y81" i="11"/>
  <c r="W82" i="11"/>
  <c r="X82" i="11"/>
  <c r="Y82" i="11"/>
  <c r="W83" i="11"/>
  <c r="X83" i="11"/>
  <c r="Y83" i="11"/>
  <c r="W84" i="11"/>
  <c r="X84" i="11"/>
  <c r="Y84" i="11"/>
  <c r="W85" i="11"/>
  <c r="X85" i="11"/>
  <c r="Y85" i="11"/>
  <c r="W86" i="11"/>
  <c r="X86" i="11"/>
  <c r="Y86" i="11"/>
  <c r="W87" i="11"/>
  <c r="X87" i="11"/>
  <c r="Y87" i="11"/>
  <c r="W88" i="11"/>
  <c r="X88" i="11"/>
  <c r="Y88" i="11"/>
  <c r="W89" i="11"/>
  <c r="X89" i="11"/>
  <c r="Y89" i="11"/>
  <c r="W90" i="11"/>
  <c r="X90" i="11"/>
  <c r="Y90" i="11"/>
  <c r="W91" i="11"/>
  <c r="X91" i="11"/>
  <c r="Y91" i="11"/>
  <c r="W92" i="11"/>
  <c r="X92" i="11"/>
  <c r="Y92" i="11"/>
  <c r="W93" i="11"/>
  <c r="X93" i="11"/>
  <c r="Y93" i="11"/>
  <c r="W94" i="11"/>
  <c r="X94" i="11"/>
  <c r="Y94" i="11"/>
  <c r="W95" i="11"/>
  <c r="X95" i="11"/>
  <c r="Y95" i="11"/>
  <c r="W96" i="11"/>
  <c r="X96" i="11"/>
  <c r="Y96" i="11"/>
  <c r="W97" i="11"/>
  <c r="X97" i="11"/>
  <c r="Y97" i="11"/>
  <c r="W98" i="11"/>
  <c r="X98" i="11"/>
  <c r="Y98" i="11"/>
  <c r="W99" i="11"/>
  <c r="X99" i="11"/>
  <c r="Y99" i="11"/>
  <c r="W100" i="11"/>
  <c r="X100" i="11"/>
  <c r="Y100" i="11"/>
  <c r="W101" i="11"/>
  <c r="X101" i="11"/>
  <c r="Y101" i="11"/>
  <c r="W102" i="11"/>
  <c r="X102" i="11"/>
  <c r="Y102" i="11"/>
  <c r="W103" i="11"/>
  <c r="X103" i="11"/>
  <c r="Y103" i="11"/>
  <c r="W104" i="11"/>
  <c r="X104" i="11"/>
  <c r="Y104" i="11"/>
  <c r="W105" i="11"/>
  <c r="X105" i="11"/>
  <c r="Y105" i="11"/>
  <c r="W106" i="11"/>
  <c r="X106" i="11"/>
  <c r="Y106" i="11"/>
  <c r="W107" i="11"/>
  <c r="X107" i="11"/>
  <c r="Y107" i="11"/>
  <c r="W108" i="11"/>
  <c r="X108" i="11"/>
  <c r="Y108" i="11"/>
  <c r="W109" i="11"/>
  <c r="X109" i="11"/>
  <c r="Y109" i="11"/>
  <c r="W110" i="11"/>
  <c r="X110" i="11"/>
  <c r="Y110" i="11"/>
  <c r="W111" i="11"/>
  <c r="X111" i="11"/>
  <c r="Y111" i="11"/>
  <c r="W112" i="11"/>
  <c r="X112" i="11"/>
  <c r="Y112" i="11"/>
  <c r="W113" i="11"/>
  <c r="X113" i="11"/>
  <c r="Y113" i="11"/>
  <c r="W114" i="11"/>
  <c r="X114" i="11"/>
  <c r="Y114" i="11"/>
  <c r="W115" i="11"/>
  <c r="X115" i="11"/>
  <c r="Y115" i="11"/>
  <c r="W116" i="11"/>
  <c r="X116" i="11"/>
  <c r="Y116" i="11"/>
  <c r="W117" i="11"/>
  <c r="X117" i="11"/>
  <c r="Y117" i="11"/>
  <c r="W118" i="11"/>
  <c r="X118" i="11"/>
  <c r="Y118" i="11"/>
  <c r="W119" i="11"/>
  <c r="X119" i="11"/>
  <c r="Y119" i="11"/>
  <c r="W120" i="11"/>
  <c r="X120" i="11"/>
  <c r="Y120" i="11"/>
  <c r="W121" i="11"/>
  <c r="X121" i="11"/>
  <c r="Y121" i="11"/>
  <c r="W122" i="11"/>
  <c r="X122" i="11"/>
  <c r="Y122" i="11"/>
  <c r="W123" i="11"/>
  <c r="X123" i="11"/>
  <c r="Y123" i="11"/>
  <c r="W124" i="11"/>
  <c r="X124" i="11"/>
  <c r="Y124" i="11"/>
  <c r="W125" i="11"/>
  <c r="X125" i="11"/>
  <c r="Y125" i="11"/>
  <c r="W126" i="11"/>
  <c r="X126" i="11"/>
  <c r="Y126" i="11"/>
  <c r="W127" i="11"/>
  <c r="X127" i="11"/>
  <c r="Y127" i="11"/>
  <c r="W128" i="11"/>
  <c r="X128" i="11"/>
  <c r="Y128" i="11"/>
  <c r="W129" i="11"/>
  <c r="X129" i="11"/>
  <c r="Y129" i="11"/>
  <c r="W130" i="11"/>
  <c r="X130" i="11"/>
  <c r="Y130" i="11"/>
  <c r="W131" i="11"/>
  <c r="X131" i="11"/>
  <c r="Y131" i="11"/>
  <c r="W132" i="11"/>
  <c r="X132" i="11"/>
  <c r="Y132" i="11"/>
  <c r="W133" i="11"/>
  <c r="X133" i="11"/>
  <c r="Y133" i="11"/>
  <c r="W134" i="11"/>
  <c r="X134" i="11"/>
  <c r="Y134" i="11"/>
  <c r="W135" i="11"/>
  <c r="X135" i="11"/>
  <c r="Y135" i="11"/>
  <c r="W136" i="11"/>
  <c r="X136" i="11"/>
  <c r="Y136" i="11"/>
  <c r="W137" i="11"/>
  <c r="X137" i="11"/>
  <c r="Y137" i="11"/>
  <c r="W138" i="11"/>
  <c r="X138" i="11"/>
  <c r="Y138" i="11"/>
  <c r="W139" i="11"/>
  <c r="X139" i="11"/>
  <c r="Y139" i="11"/>
  <c r="W140" i="11"/>
  <c r="X140" i="11"/>
  <c r="Y140" i="11"/>
  <c r="W141" i="11"/>
  <c r="X141" i="11"/>
  <c r="Y141" i="11"/>
  <c r="W142" i="11"/>
  <c r="X142" i="11"/>
  <c r="Y142" i="11"/>
  <c r="W143" i="11"/>
  <c r="X143" i="11"/>
  <c r="Y143" i="11"/>
  <c r="W144" i="11"/>
  <c r="X144" i="11"/>
  <c r="Y144" i="11"/>
  <c r="W145" i="11"/>
  <c r="X145" i="11"/>
  <c r="Y145" i="11"/>
  <c r="W146" i="11"/>
  <c r="X146" i="11"/>
  <c r="Y146" i="11"/>
  <c r="W147" i="11"/>
  <c r="X147" i="11"/>
  <c r="Y147" i="11"/>
  <c r="W148" i="11"/>
  <c r="X148" i="11"/>
  <c r="Y148" i="11"/>
  <c r="W149" i="11"/>
  <c r="X149" i="11"/>
  <c r="Y149" i="11"/>
  <c r="W150" i="11"/>
  <c r="X150" i="11"/>
  <c r="Y150" i="11"/>
  <c r="W151" i="11"/>
  <c r="X151" i="11"/>
  <c r="Y151" i="11"/>
  <c r="W152" i="11"/>
  <c r="X152" i="11"/>
  <c r="Y152" i="11"/>
  <c r="W153" i="11"/>
  <c r="X153" i="11"/>
  <c r="Y153" i="11"/>
  <c r="W154" i="11"/>
  <c r="X154" i="11"/>
  <c r="Y154" i="11"/>
  <c r="W155" i="11"/>
  <c r="X155" i="11"/>
  <c r="Y155" i="11"/>
  <c r="W156" i="11"/>
  <c r="X156" i="11"/>
  <c r="Y156" i="11"/>
  <c r="W157" i="11"/>
  <c r="X157" i="11"/>
  <c r="Y157" i="11"/>
  <c r="W158" i="11"/>
  <c r="X158" i="11"/>
  <c r="Y158" i="11"/>
  <c r="W159" i="11"/>
  <c r="X159" i="11"/>
  <c r="Y159" i="11"/>
  <c r="W160" i="11"/>
  <c r="X160" i="11"/>
  <c r="Y160" i="11"/>
  <c r="W161" i="11"/>
  <c r="X161" i="11"/>
  <c r="Y161" i="11"/>
  <c r="W162" i="11"/>
  <c r="X162" i="11"/>
  <c r="Y162" i="11"/>
  <c r="W163" i="11"/>
  <c r="X163" i="11"/>
  <c r="Y163" i="11"/>
  <c r="W164" i="11"/>
  <c r="X164" i="11"/>
  <c r="Y164" i="11"/>
  <c r="W165" i="11"/>
  <c r="X165" i="11"/>
  <c r="Y165" i="11"/>
  <c r="W166" i="11"/>
  <c r="X166" i="11"/>
  <c r="Y166" i="11"/>
  <c r="W167" i="11"/>
  <c r="X167" i="11"/>
  <c r="Y167" i="11"/>
  <c r="W168" i="11"/>
  <c r="X168" i="11"/>
  <c r="Y168" i="11"/>
  <c r="W169" i="11"/>
  <c r="X169" i="11"/>
  <c r="Y169" i="11"/>
  <c r="W170" i="11"/>
  <c r="X170" i="11"/>
  <c r="Y170" i="11"/>
  <c r="W171" i="11"/>
  <c r="X171" i="11"/>
  <c r="Y171" i="11"/>
  <c r="W172" i="11"/>
  <c r="X172" i="11"/>
  <c r="Y172" i="11"/>
  <c r="W173" i="11"/>
  <c r="X173" i="11"/>
  <c r="Y173" i="11"/>
  <c r="W174" i="11"/>
  <c r="X174" i="11"/>
  <c r="Y174" i="11"/>
  <c r="W175" i="11"/>
  <c r="X175" i="11"/>
  <c r="Y175" i="11"/>
  <c r="W176" i="11"/>
  <c r="X176" i="11"/>
  <c r="Y176" i="11"/>
  <c r="W177" i="11"/>
  <c r="X177" i="11"/>
  <c r="Y177" i="11"/>
  <c r="W178" i="11"/>
  <c r="X178" i="11"/>
  <c r="Y178" i="11"/>
  <c r="W179" i="11"/>
  <c r="X179" i="11"/>
  <c r="Y179" i="11"/>
  <c r="W180" i="11"/>
  <c r="X180" i="11"/>
  <c r="Y180" i="11"/>
  <c r="W181" i="11"/>
  <c r="X181" i="11"/>
  <c r="Y181" i="11"/>
  <c r="W182" i="11"/>
  <c r="X182" i="11"/>
  <c r="Y182" i="11"/>
  <c r="W183" i="11"/>
  <c r="X183" i="11"/>
  <c r="Y183" i="11"/>
  <c r="W184" i="11"/>
  <c r="X184" i="11"/>
  <c r="Y184" i="11"/>
  <c r="W185" i="11"/>
  <c r="X185" i="11"/>
  <c r="Y185" i="11"/>
  <c r="W186" i="11"/>
  <c r="X186" i="11"/>
  <c r="Y186" i="11"/>
  <c r="W187" i="11"/>
  <c r="X187" i="11"/>
  <c r="Y187" i="11"/>
  <c r="W188" i="11"/>
  <c r="X188" i="11"/>
  <c r="Y188" i="11"/>
  <c r="W189" i="11"/>
  <c r="X189" i="11"/>
  <c r="Y189" i="11"/>
  <c r="W190" i="11"/>
  <c r="X190" i="11"/>
  <c r="Y190" i="11"/>
  <c r="W191" i="11"/>
  <c r="X191" i="11"/>
  <c r="Y191" i="11"/>
  <c r="W192" i="11"/>
  <c r="X192" i="11"/>
  <c r="Y192" i="11"/>
  <c r="W193" i="11"/>
  <c r="X193" i="11"/>
  <c r="Y193" i="11"/>
  <c r="W194" i="11"/>
  <c r="X194" i="11"/>
  <c r="Y194" i="11"/>
  <c r="W195" i="11"/>
  <c r="X195" i="11"/>
  <c r="Y195" i="11"/>
  <c r="W196" i="11"/>
  <c r="X196" i="11"/>
  <c r="Y196" i="11"/>
  <c r="W197" i="11"/>
  <c r="X197" i="11"/>
  <c r="Y197" i="11"/>
  <c r="W198" i="11"/>
  <c r="X198" i="11"/>
  <c r="Y198" i="11"/>
  <c r="W199" i="11"/>
  <c r="X199" i="11"/>
  <c r="Y199" i="11"/>
  <c r="W200" i="11"/>
  <c r="X200" i="11"/>
  <c r="Y200" i="11"/>
  <c r="W201" i="11"/>
  <c r="X201" i="11"/>
  <c r="Y201" i="11"/>
  <c r="W202" i="11"/>
  <c r="X202" i="11"/>
  <c r="Y202" i="11"/>
  <c r="W203" i="11"/>
  <c r="X203" i="11"/>
  <c r="Y203" i="11"/>
  <c r="W204" i="11"/>
  <c r="X204" i="11"/>
  <c r="Y204" i="11"/>
  <c r="W205" i="11"/>
  <c r="X205" i="11"/>
  <c r="Y205" i="11"/>
  <c r="W206" i="11"/>
  <c r="X206" i="11"/>
  <c r="Y206" i="11"/>
  <c r="W207" i="11"/>
  <c r="X207" i="11"/>
  <c r="Y207" i="11"/>
  <c r="W208" i="11"/>
  <c r="X208" i="11"/>
  <c r="Y208" i="11"/>
  <c r="W209" i="11"/>
  <c r="X209" i="11"/>
  <c r="Y209" i="11"/>
  <c r="W210" i="11"/>
  <c r="X210" i="11"/>
  <c r="Y210" i="11"/>
  <c r="W211" i="11"/>
  <c r="X211" i="11"/>
  <c r="Y211" i="11"/>
  <c r="W212" i="11"/>
  <c r="X212" i="11"/>
  <c r="Y212" i="11"/>
  <c r="W213" i="11"/>
  <c r="X213" i="11"/>
  <c r="Y213" i="11"/>
  <c r="W214" i="11"/>
  <c r="X214" i="11"/>
  <c r="Y214" i="11"/>
  <c r="W215" i="11"/>
  <c r="X215" i="11"/>
  <c r="Y215" i="11"/>
  <c r="W216" i="11"/>
  <c r="X216" i="11"/>
  <c r="Y216" i="11"/>
  <c r="W217" i="11"/>
  <c r="X217" i="11"/>
  <c r="Y217" i="11"/>
  <c r="W218" i="11"/>
  <c r="X218" i="11"/>
  <c r="Y218" i="11"/>
  <c r="W219" i="11"/>
  <c r="X219" i="11"/>
  <c r="Y219" i="11"/>
  <c r="W220" i="11"/>
  <c r="X220" i="11"/>
  <c r="Y220" i="11"/>
  <c r="W221" i="11"/>
  <c r="X221" i="11"/>
  <c r="Y221" i="11"/>
  <c r="W222" i="11"/>
  <c r="X222" i="11"/>
  <c r="Y222" i="11"/>
  <c r="W223" i="11"/>
  <c r="X223" i="11"/>
  <c r="Y223" i="11"/>
  <c r="W224" i="11"/>
  <c r="X224" i="11"/>
  <c r="Y224" i="11"/>
  <c r="W225" i="11"/>
  <c r="X225" i="11"/>
  <c r="Y225" i="11"/>
  <c r="W226" i="11"/>
  <c r="X226" i="11"/>
  <c r="Y226" i="11"/>
  <c r="W227" i="11"/>
  <c r="X227" i="11"/>
  <c r="Y227" i="11"/>
  <c r="W228" i="11"/>
  <c r="X228" i="11"/>
  <c r="Y228" i="11"/>
  <c r="W229" i="11"/>
  <c r="X229" i="11"/>
  <c r="Y229" i="11"/>
  <c r="W230" i="11"/>
  <c r="X230" i="11"/>
  <c r="Y230" i="11"/>
  <c r="W231" i="11"/>
  <c r="X231" i="11"/>
  <c r="Y231" i="11"/>
  <c r="W232" i="11"/>
  <c r="X232" i="11"/>
  <c r="Y232" i="11"/>
  <c r="W233" i="11"/>
  <c r="X233" i="11"/>
  <c r="Y233" i="11"/>
  <c r="W234" i="11"/>
  <c r="X234" i="11"/>
  <c r="Y234" i="11"/>
  <c r="W235" i="11"/>
  <c r="X235" i="11"/>
  <c r="Y235" i="11"/>
  <c r="W236" i="11"/>
  <c r="X236" i="11"/>
  <c r="Y236" i="11"/>
  <c r="W237" i="11"/>
  <c r="X237" i="11"/>
  <c r="Y237" i="11"/>
  <c r="W238" i="11"/>
  <c r="X238" i="11"/>
  <c r="Y238" i="11"/>
  <c r="W239" i="11"/>
  <c r="X239" i="11"/>
  <c r="Y239" i="11"/>
  <c r="W240" i="11"/>
  <c r="X240" i="11"/>
  <c r="Y240" i="11"/>
  <c r="W241" i="11"/>
  <c r="X241" i="11"/>
  <c r="Y241" i="11"/>
  <c r="W242" i="11"/>
  <c r="X242" i="11"/>
  <c r="Y242" i="11"/>
  <c r="W243" i="11"/>
  <c r="X243" i="11"/>
  <c r="Y243" i="11"/>
  <c r="W244" i="11"/>
  <c r="X244" i="11"/>
  <c r="Y244" i="11"/>
  <c r="W245" i="11"/>
  <c r="X245" i="11"/>
  <c r="Y245" i="11"/>
  <c r="W246" i="11"/>
  <c r="X246" i="11"/>
  <c r="Y246" i="11"/>
  <c r="W247" i="11"/>
  <c r="X247" i="11"/>
  <c r="Y247" i="11"/>
  <c r="W248" i="11"/>
  <c r="X248" i="11"/>
  <c r="Y248" i="11"/>
  <c r="W249" i="11"/>
  <c r="X249" i="11"/>
  <c r="Y249" i="11"/>
  <c r="W250" i="11"/>
  <c r="X250" i="11"/>
  <c r="Y250" i="11"/>
  <c r="W251" i="11"/>
  <c r="X251" i="11"/>
  <c r="Y251" i="11"/>
  <c r="W252" i="11"/>
  <c r="X252" i="11"/>
  <c r="Y252" i="11"/>
  <c r="W253" i="11"/>
  <c r="X253" i="11"/>
  <c r="Y253" i="11"/>
  <c r="W254" i="11"/>
  <c r="X254" i="11"/>
  <c r="Y254" i="11"/>
  <c r="W255" i="11"/>
  <c r="X255" i="11"/>
  <c r="Y255" i="11"/>
  <c r="W256" i="11"/>
  <c r="X256" i="11"/>
  <c r="Y256" i="11"/>
  <c r="W257" i="11"/>
  <c r="X257" i="11"/>
  <c r="Y257" i="11"/>
  <c r="W258" i="11"/>
  <c r="X258" i="11"/>
  <c r="Y258" i="11"/>
  <c r="W259" i="11"/>
  <c r="X259" i="11"/>
  <c r="Y259" i="11"/>
  <c r="W260" i="11"/>
  <c r="X260" i="11"/>
  <c r="Y260" i="11"/>
  <c r="W261" i="11"/>
  <c r="X261" i="11"/>
  <c r="Y261" i="11"/>
  <c r="W262" i="11"/>
  <c r="X262" i="11"/>
  <c r="Y262" i="11"/>
  <c r="W263" i="11"/>
  <c r="X263" i="11"/>
  <c r="Y263" i="11"/>
  <c r="W264" i="11"/>
  <c r="X264" i="11"/>
  <c r="Y264" i="11"/>
  <c r="W265" i="11"/>
  <c r="X265" i="11"/>
  <c r="Y265" i="11"/>
  <c r="W266" i="11"/>
  <c r="X266" i="11"/>
  <c r="Y266" i="11"/>
  <c r="W267" i="11"/>
  <c r="X267" i="11"/>
  <c r="Y267" i="11"/>
  <c r="W268" i="11"/>
  <c r="X268" i="11"/>
  <c r="Y268" i="11"/>
  <c r="W269" i="11"/>
  <c r="X269" i="11"/>
  <c r="Y269" i="11"/>
  <c r="W270" i="11"/>
  <c r="X270" i="11"/>
  <c r="Y270" i="11"/>
  <c r="W271" i="11"/>
  <c r="X271" i="11"/>
  <c r="Y271" i="11"/>
  <c r="W272" i="11"/>
  <c r="X272" i="11"/>
  <c r="Y272" i="11"/>
  <c r="W273" i="11"/>
  <c r="X273" i="11"/>
  <c r="Y273" i="11"/>
  <c r="W274" i="11"/>
  <c r="X274" i="11"/>
  <c r="Y274" i="11"/>
  <c r="W275" i="11"/>
  <c r="X275" i="11"/>
  <c r="Y275" i="11"/>
  <c r="W276" i="11"/>
  <c r="X276" i="11"/>
  <c r="Y276" i="11"/>
  <c r="W277" i="11"/>
  <c r="X277" i="11"/>
  <c r="Y277" i="11"/>
  <c r="W278" i="11"/>
  <c r="X278" i="11"/>
  <c r="Y278" i="11"/>
  <c r="W279" i="11"/>
  <c r="X279" i="11"/>
  <c r="Y279" i="11"/>
  <c r="W280" i="11"/>
  <c r="X280" i="11"/>
  <c r="Y280" i="11"/>
  <c r="W281" i="11"/>
  <c r="X281" i="11"/>
  <c r="Y281" i="11"/>
  <c r="W282" i="11"/>
  <c r="X282" i="11"/>
  <c r="Y282" i="11"/>
  <c r="W283" i="11"/>
  <c r="X283" i="11"/>
  <c r="Y283" i="11"/>
  <c r="W284" i="11"/>
  <c r="X284" i="11"/>
  <c r="Y284" i="11"/>
  <c r="W285" i="11"/>
  <c r="X285" i="11"/>
  <c r="Y285" i="11"/>
  <c r="W286" i="11"/>
  <c r="X286" i="11"/>
  <c r="Y286" i="11"/>
  <c r="W287" i="11"/>
  <c r="X287" i="11"/>
  <c r="Y287" i="11"/>
  <c r="W288" i="11"/>
  <c r="X288" i="11"/>
  <c r="Y288" i="11"/>
  <c r="W289" i="11"/>
  <c r="X289" i="11"/>
  <c r="Y289" i="11"/>
  <c r="W290" i="11"/>
  <c r="X290" i="11"/>
  <c r="Y290" i="11"/>
  <c r="W291" i="11"/>
  <c r="X291" i="11"/>
  <c r="Y291" i="11"/>
  <c r="W292" i="11"/>
  <c r="X292" i="11"/>
  <c r="Y292" i="11"/>
  <c r="W293" i="11"/>
  <c r="X293" i="11"/>
  <c r="Y293" i="11"/>
  <c r="W294" i="11"/>
  <c r="X294" i="11"/>
  <c r="Y294" i="11"/>
  <c r="W295" i="11"/>
  <c r="X295" i="11"/>
  <c r="Y295" i="11"/>
  <c r="W296" i="11"/>
  <c r="X296" i="11"/>
  <c r="Y296" i="11"/>
  <c r="W297" i="11"/>
  <c r="X297" i="11"/>
  <c r="Y297" i="11"/>
  <c r="W298" i="11"/>
  <c r="X298" i="11"/>
  <c r="Y298" i="11"/>
  <c r="W299" i="11"/>
  <c r="X299" i="11"/>
  <c r="Y299" i="11"/>
  <c r="W300" i="11"/>
  <c r="X300" i="11"/>
  <c r="Y300" i="11"/>
  <c r="W301" i="11"/>
  <c r="X301" i="11"/>
  <c r="Y301" i="11"/>
  <c r="W302" i="11"/>
  <c r="X302" i="11"/>
  <c r="Y302" i="11"/>
  <c r="W303" i="11"/>
  <c r="X303" i="11"/>
  <c r="Y303" i="11"/>
  <c r="W304" i="11"/>
  <c r="X304" i="11"/>
  <c r="Y304" i="11"/>
  <c r="W305" i="11"/>
  <c r="X305" i="11"/>
  <c r="Y305" i="11"/>
  <c r="W306" i="11"/>
  <c r="X306" i="11"/>
  <c r="Y306" i="11"/>
  <c r="W307" i="11"/>
  <c r="X307" i="11"/>
  <c r="Y307" i="11"/>
  <c r="W308" i="11"/>
  <c r="X308" i="11"/>
  <c r="Y308" i="11"/>
  <c r="W309" i="11"/>
  <c r="X309" i="11"/>
  <c r="Y309" i="11"/>
  <c r="W310" i="11"/>
  <c r="X310" i="11"/>
  <c r="Y310" i="11"/>
  <c r="W311" i="11"/>
  <c r="X311" i="11"/>
  <c r="Y311" i="11"/>
  <c r="W312" i="11"/>
  <c r="X312" i="11"/>
  <c r="Y312" i="11"/>
  <c r="W313" i="11"/>
  <c r="X313" i="11"/>
  <c r="Y313" i="11"/>
  <c r="W314" i="11"/>
  <c r="X314" i="11"/>
  <c r="Y314" i="11"/>
  <c r="W315" i="11"/>
  <c r="X315" i="11"/>
  <c r="Y315" i="11"/>
  <c r="W316" i="11"/>
  <c r="X316" i="11"/>
  <c r="Y316" i="11"/>
  <c r="W317" i="11"/>
  <c r="X317" i="11"/>
  <c r="Y317" i="11"/>
  <c r="W318" i="11"/>
  <c r="X318" i="11"/>
  <c r="Y318" i="11"/>
  <c r="W319" i="11"/>
  <c r="X319" i="11"/>
  <c r="Y319" i="11"/>
  <c r="W320" i="11"/>
  <c r="X320" i="11"/>
  <c r="Y320" i="11"/>
  <c r="W321" i="11"/>
  <c r="X321" i="11"/>
  <c r="Y321" i="11"/>
  <c r="W322" i="11"/>
  <c r="X322" i="11"/>
  <c r="Y322" i="11"/>
  <c r="W323" i="11"/>
  <c r="X323" i="11"/>
  <c r="Y323" i="11"/>
  <c r="W324" i="11"/>
  <c r="X324" i="11"/>
  <c r="Y324" i="11"/>
  <c r="W325" i="11"/>
  <c r="X325" i="11"/>
  <c r="Y325" i="11"/>
  <c r="W326" i="11"/>
  <c r="X326" i="11"/>
  <c r="Y326" i="11"/>
  <c r="W327" i="11"/>
  <c r="X327" i="11"/>
  <c r="Y327" i="11"/>
  <c r="W328" i="11"/>
  <c r="X328" i="11"/>
  <c r="Y328" i="11"/>
  <c r="W329" i="11"/>
  <c r="X329" i="11"/>
  <c r="Y329" i="11"/>
  <c r="W330" i="11"/>
  <c r="X330" i="11"/>
  <c r="Y330" i="11"/>
  <c r="W331" i="11"/>
  <c r="X331" i="11"/>
  <c r="Y331" i="11"/>
  <c r="W332" i="11"/>
  <c r="X332" i="11"/>
  <c r="Y332" i="11"/>
  <c r="W333" i="11"/>
  <c r="X333" i="11"/>
  <c r="Y333" i="11"/>
  <c r="W334" i="11"/>
  <c r="X334" i="11"/>
  <c r="Y334" i="11"/>
  <c r="W335" i="11"/>
  <c r="X335" i="11"/>
  <c r="Y335" i="11"/>
  <c r="W336" i="11"/>
  <c r="X336" i="11"/>
  <c r="Y336" i="11"/>
  <c r="W337" i="11"/>
  <c r="X337" i="11"/>
  <c r="Y337" i="11"/>
  <c r="W338" i="11"/>
  <c r="X338" i="11"/>
  <c r="Y338" i="11"/>
  <c r="W339" i="11"/>
  <c r="X339" i="11"/>
  <c r="Y339" i="11"/>
  <c r="W340" i="11"/>
  <c r="X340" i="11"/>
  <c r="Y340" i="11"/>
  <c r="W341" i="11"/>
  <c r="X341" i="11"/>
  <c r="Y341" i="11"/>
  <c r="W342" i="11"/>
  <c r="X342" i="11"/>
  <c r="Y342" i="11"/>
  <c r="W343" i="11"/>
  <c r="X343" i="11"/>
  <c r="Y343" i="11"/>
  <c r="W344" i="11"/>
  <c r="X344" i="11"/>
  <c r="Y344" i="11"/>
  <c r="W345" i="11"/>
  <c r="X345" i="11"/>
  <c r="Y345" i="11"/>
  <c r="W346" i="11"/>
  <c r="X346" i="11"/>
  <c r="Y346" i="11"/>
  <c r="W347" i="11"/>
  <c r="X347" i="11"/>
  <c r="Y347" i="11"/>
  <c r="W348" i="11"/>
  <c r="X348" i="11"/>
  <c r="Y348" i="11"/>
  <c r="W349" i="11"/>
  <c r="X349" i="11"/>
  <c r="Y349" i="11"/>
  <c r="W350" i="11"/>
  <c r="X350" i="11"/>
  <c r="Y350" i="11"/>
  <c r="W351" i="11"/>
  <c r="X351" i="11"/>
  <c r="Y351" i="11"/>
  <c r="W352" i="11"/>
  <c r="X352" i="11"/>
  <c r="Y352" i="11"/>
  <c r="W353" i="11"/>
  <c r="X353" i="11"/>
  <c r="Y353" i="11"/>
  <c r="W354" i="11"/>
  <c r="X354" i="11"/>
  <c r="Y354" i="11"/>
  <c r="W355" i="11"/>
  <c r="X355" i="11"/>
  <c r="Y355" i="11"/>
  <c r="W356" i="11"/>
  <c r="X356" i="11"/>
  <c r="Y356" i="11"/>
  <c r="W357" i="11"/>
  <c r="X357" i="11"/>
  <c r="Y357" i="11"/>
  <c r="W358" i="11"/>
  <c r="X358" i="11"/>
  <c r="Y358" i="11"/>
  <c r="W359" i="11"/>
  <c r="X359" i="11"/>
  <c r="Y359" i="11"/>
  <c r="W360" i="11"/>
  <c r="X360" i="11"/>
  <c r="Y360" i="11"/>
  <c r="W361" i="11"/>
  <c r="X361" i="11"/>
  <c r="Y361" i="11"/>
  <c r="W362" i="11"/>
  <c r="X362" i="11"/>
  <c r="Y362" i="11"/>
  <c r="W363" i="11"/>
  <c r="X363" i="11"/>
  <c r="Y363" i="11"/>
  <c r="W364" i="11"/>
  <c r="X364" i="11"/>
  <c r="Y364" i="11"/>
  <c r="W365" i="11"/>
  <c r="X365" i="11"/>
  <c r="Y365" i="11"/>
  <c r="W366" i="11"/>
  <c r="X366" i="11"/>
  <c r="Y366" i="11"/>
  <c r="W367" i="11"/>
  <c r="X367" i="11"/>
  <c r="Y367" i="11"/>
  <c r="W368" i="11"/>
  <c r="X368" i="11"/>
  <c r="Y368" i="11"/>
  <c r="W369" i="11"/>
  <c r="X369" i="11"/>
  <c r="Y369" i="11"/>
  <c r="W370" i="11"/>
  <c r="X370" i="11"/>
  <c r="Y370" i="11"/>
  <c r="W371" i="11"/>
  <c r="X371" i="11"/>
  <c r="Y371" i="11"/>
  <c r="W372" i="11"/>
  <c r="X372" i="11"/>
  <c r="Y372" i="11"/>
  <c r="W373" i="11"/>
  <c r="X373" i="11"/>
  <c r="Y373" i="11"/>
  <c r="W374" i="11"/>
  <c r="X374" i="11"/>
  <c r="Y374" i="11"/>
  <c r="W375" i="11"/>
  <c r="X375" i="11"/>
  <c r="Y375" i="11"/>
  <c r="W376" i="11"/>
  <c r="X376" i="11"/>
  <c r="Y376" i="11"/>
  <c r="W377" i="11"/>
  <c r="X377" i="11"/>
  <c r="Y377" i="11"/>
  <c r="W378" i="11"/>
  <c r="X378" i="11"/>
  <c r="Y378" i="11"/>
  <c r="W379" i="11"/>
  <c r="X379" i="11"/>
  <c r="Y379" i="11"/>
  <c r="W380" i="11"/>
  <c r="X380" i="11"/>
  <c r="Y380" i="11"/>
  <c r="W381" i="11"/>
  <c r="X381" i="11"/>
  <c r="Y381" i="11"/>
  <c r="W382" i="11"/>
  <c r="X382" i="11"/>
  <c r="Y382" i="11"/>
  <c r="W383" i="11"/>
  <c r="X383" i="11"/>
  <c r="Y383" i="11"/>
  <c r="W384" i="11"/>
  <c r="X384" i="11"/>
  <c r="Y384" i="11"/>
  <c r="W385" i="11"/>
  <c r="X385" i="11"/>
  <c r="Y385" i="11"/>
  <c r="W386" i="11"/>
  <c r="X386" i="11"/>
  <c r="Y386" i="11"/>
  <c r="W387" i="11"/>
  <c r="X387" i="11"/>
  <c r="Y387" i="11"/>
  <c r="W388" i="11"/>
  <c r="X388" i="11"/>
  <c r="Y388" i="11"/>
  <c r="W389" i="11"/>
  <c r="X389" i="11"/>
  <c r="Y389" i="11"/>
  <c r="W390" i="11"/>
  <c r="X390" i="11"/>
  <c r="Y390" i="11"/>
  <c r="W391" i="11"/>
  <c r="X391" i="11"/>
  <c r="Y391" i="11"/>
  <c r="W392" i="11"/>
  <c r="X392" i="11"/>
  <c r="Y392" i="11"/>
  <c r="W393" i="11"/>
  <c r="X393" i="11"/>
  <c r="Y393" i="11"/>
  <c r="W394" i="11"/>
  <c r="X394" i="11"/>
  <c r="Y394" i="11"/>
  <c r="W395" i="11"/>
  <c r="X395" i="11"/>
  <c r="Y395" i="11"/>
  <c r="W396" i="11"/>
  <c r="X396" i="11"/>
  <c r="Y396" i="11"/>
  <c r="W397" i="11"/>
  <c r="X397" i="11"/>
  <c r="Y397" i="11"/>
  <c r="W398" i="11"/>
  <c r="X398" i="11"/>
  <c r="Y398" i="11"/>
  <c r="W399" i="11"/>
  <c r="X399" i="11"/>
  <c r="Y399" i="11"/>
  <c r="W400" i="11"/>
  <c r="X400" i="11"/>
  <c r="Y400" i="11"/>
  <c r="W401" i="11"/>
  <c r="X401" i="11"/>
  <c r="Y401" i="11"/>
  <c r="W402" i="11"/>
  <c r="X402" i="11"/>
  <c r="Y402" i="11"/>
  <c r="W403" i="11"/>
  <c r="X403" i="11"/>
  <c r="Y403" i="11"/>
  <c r="W404" i="11"/>
  <c r="X404" i="11"/>
  <c r="Y404" i="11"/>
  <c r="W405" i="11"/>
  <c r="X405" i="11"/>
  <c r="Y405" i="11"/>
  <c r="W406" i="11"/>
  <c r="X406" i="11"/>
  <c r="Y406" i="11"/>
  <c r="W407" i="11"/>
  <c r="X407" i="11"/>
  <c r="Y407" i="11"/>
  <c r="W408" i="11"/>
  <c r="X408" i="11"/>
  <c r="Y408" i="11"/>
  <c r="W409" i="11"/>
  <c r="X409" i="11"/>
  <c r="Y409" i="11"/>
  <c r="W410" i="11"/>
  <c r="X410" i="11"/>
  <c r="Y410" i="11"/>
  <c r="W411" i="11"/>
  <c r="X411" i="11"/>
  <c r="Y411" i="11"/>
  <c r="W412" i="11"/>
  <c r="X412" i="11"/>
  <c r="Y412" i="11"/>
  <c r="W413" i="11"/>
  <c r="X413" i="11"/>
  <c r="Y413" i="11"/>
  <c r="W414" i="11"/>
  <c r="X414" i="11"/>
  <c r="Y414" i="11"/>
  <c r="W415" i="11"/>
  <c r="X415" i="11"/>
  <c r="Y415" i="11"/>
  <c r="W416" i="11"/>
  <c r="X416" i="11"/>
  <c r="Y416" i="11"/>
  <c r="W417" i="11"/>
  <c r="X417" i="11"/>
  <c r="Y417" i="11"/>
  <c r="W418" i="11"/>
  <c r="X418" i="11"/>
  <c r="Y418" i="11"/>
  <c r="W419" i="11"/>
  <c r="X419" i="11"/>
  <c r="Y419" i="11"/>
  <c r="W420" i="11"/>
  <c r="X420" i="11"/>
  <c r="Y420" i="11"/>
  <c r="W421" i="11"/>
  <c r="X421" i="11"/>
  <c r="Y421" i="11"/>
  <c r="W422" i="11"/>
  <c r="X422" i="11"/>
  <c r="Y422" i="11"/>
  <c r="W423" i="11"/>
  <c r="X423" i="11"/>
  <c r="Y423" i="11"/>
  <c r="W424" i="11"/>
  <c r="X424" i="11"/>
  <c r="Y424" i="11"/>
  <c r="W425" i="11"/>
  <c r="X425" i="11"/>
  <c r="Y425" i="11"/>
  <c r="W426" i="11"/>
  <c r="X426" i="11"/>
  <c r="Y426" i="11"/>
  <c r="W427" i="11"/>
  <c r="X427" i="11"/>
  <c r="Y427" i="11"/>
  <c r="W428" i="11"/>
  <c r="X428" i="11"/>
  <c r="Y428" i="11"/>
  <c r="W429" i="11"/>
  <c r="X429" i="11"/>
  <c r="Y429" i="11"/>
  <c r="W430" i="11"/>
  <c r="X430" i="11"/>
  <c r="Y430" i="11"/>
  <c r="W431" i="11"/>
  <c r="X431" i="11"/>
  <c r="Y431" i="11"/>
  <c r="W432" i="11"/>
  <c r="X432" i="11"/>
  <c r="Y432" i="11"/>
  <c r="W433" i="11"/>
  <c r="X433" i="11"/>
  <c r="Y433" i="11"/>
  <c r="W434" i="11"/>
  <c r="X434" i="11"/>
  <c r="Y434" i="11"/>
  <c r="W435" i="11"/>
  <c r="X435" i="11"/>
  <c r="Y435" i="11"/>
  <c r="W436" i="11"/>
  <c r="X436" i="11"/>
  <c r="Y436" i="11"/>
  <c r="W437" i="11"/>
  <c r="X437" i="11"/>
  <c r="Y437" i="11"/>
  <c r="W438" i="11"/>
  <c r="X438" i="11"/>
  <c r="Y438" i="11"/>
  <c r="W439" i="11"/>
  <c r="X439" i="11"/>
  <c r="Y439" i="11"/>
  <c r="W440" i="11"/>
  <c r="X440" i="11"/>
  <c r="Y440" i="11"/>
  <c r="W441" i="11"/>
  <c r="X441" i="11"/>
  <c r="Y441" i="11"/>
  <c r="W442" i="11"/>
  <c r="X442" i="11"/>
  <c r="Y442" i="11"/>
  <c r="W443" i="11"/>
  <c r="X443" i="11"/>
  <c r="Y443" i="11"/>
  <c r="W444" i="11"/>
  <c r="X444" i="11"/>
  <c r="Y444" i="11"/>
  <c r="W445" i="11"/>
  <c r="X445" i="11"/>
  <c r="Y445" i="11"/>
  <c r="W446" i="11"/>
  <c r="X446" i="11"/>
  <c r="Y446" i="11"/>
  <c r="W447" i="11"/>
  <c r="X447" i="11"/>
  <c r="Y447" i="11"/>
  <c r="W448" i="11"/>
  <c r="X448" i="11"/>
  <c r="Y448" i="11"/>
  <c r="W449" i="11"/>
  <c r="X449" i="11"/>
  <c r="Y449" i="11"/>
  <c r="W450" i="11"/>
  <c r="X450" i="11"/>
  <c r="Y450" i="11"/>
  <c r="W451" i="11"/>
  <c r="X451" i="11"/>
  <c r="Y451" i="11"/>
  <c r="W452" i="11"/>
  <c r="X452" i="11"/>
  <c r="Y452" i="11"/>
  <c r="W453" i="11"/>
  <c r="X453" i="11"/>
  <c r="Y453" i="11"/>
  <c r="W454" i="11"/>
  <c r="X454" i="11"/>
  <c r="Y454" i="11"/>
  <c r="W455" i="11"/>
  <c r="X455" i="11"/>
  <c r="Y455" i="11"/>
  <c r="W456" i="11"/>
  <c r="X456" i="11"/>
  <c r="Y456" i="11"/>
  <c r="W457" i="11"/>
  <c r="X457" i="11"/>
  <c r="Y457" i="11"/>
  <c r="W458" i="11"/>
  <c r="X458" i="11"/>
  <c r="Y458" i="11"/>
  <c r="W459" i="11"/>
  <c r="X459" i="11"/>
  <c r="Y459" i="11"/>
  <c r="W460" i="11"/>
  <c r="X460" i="11"/>
  <c r="Y460" i="11"/>
  <c r="W461" i="11"/>
  <c r="X461" i="11"/>
  <c r="Y461" i="11"/>
  <c r="W462" i="11"/>
  <c r="X462" i="11"/>
  <c r="Y462" i="11"/>
  <c r="W463" i="11"/>
  <c r="X463" i="11"/>
  <c r="Y463" i="11"/>
  <c r="W464" i="11"/>
  <c r="X464" i="11"/>
  <c r="Y464" i="11"/>
  <c r="W465" i="11"/>
  <c r="X465" i="11"/>
  <c r="Y465" i="11"/>
  <c r="W466" i="11"/>
  <c r="X466" i="11"/>
  <c r="Y466" i="11"/>
  <c r="W467" i="11"/>
  <c r="X467" i="11"/>
  <c r="Y467" i="11"/>
  <c r="W468" i="11"/>
  <c r="X468" i="11"/>
  <c r="Y468" i="11"/>
  <c r="W469" i="11"/>
  <c r="X469" i="11"/>
  <c r="Y469" i="11"/>
  <c r="W470" i="11"/>
  <c r="X470" i="11"/>
  <c r="Y470" i="11"/>
  <c r="W471" i="11"/>
  <c r="X471" i="11"/>
  <c r="Y471" i="11"/>
  <c r="W472" i="11"/>
  <c r="X472" i="11"/>
  <c r="Y472" i="11"/>
  <c r="W473" i="11"/>
  <c r="X473" i="11"/>
  <c r="Y473" i="11"/>
  <c r="W474" i="11"/>
  <c r="X474" i="11"/>
  <c r="Y474" i="11"/>
  <c r="W475" i="11"/>
  <c r="X475" i="11"/>
  <c r="Y475" i="11"/>
  <c r="W476" i="11"/>
  <c r="X476" i="11"/>
  <c r="Y476" i="11"/>
  <c r="W477" i="11"/>
  <c r="X477" i="11"/>
  <c r="Y477" i="11"/>
  <c r="W478" i="11"/>
  <c r="X478" i="11"/>
  <c r="Y478" i="11"/>
  <c r="W479" i="11"/>
  <c r="X479" i="11"/>
  <c r="Y479" i="11"/>
  <c r="W480" i="11"/>
  <c r="X480" i="11"/>
  <c r="Y480" i="11"/>
  <c r="W481" i="11"/>
  <c r="X481" i="11"/>
  <c r="Y481" i="11"/>
  <c r="W482" i="11"/>
  <c r="X482" i="11"/>
  <c r="Y482" i="11"/>
  <c r="W483" i="11"/>
  <c r="X483" i="11"/>
  <c r="Y483" i="11"/>
  <c r="W484" i="11"/>
  <c r="X484" i="11"/>
  <c r="Y484" i="11"/>
  <c r="W485" i="11"/>
  <c r="X485" i="11"/>
  <c r="Y485" i="11"/>
  <c r="W486" i="11"/>
  <c r="X486" i="11"/>
  <c r="Y486" i="11"/>
  <c r="W487" i="11"/>
  <c r="X487" i="11"/>
  <c r="Y487" i="11"/>
  <c r="W488" i="11"/>
  <c r="X488" i="11"/>
  <c r="Y488" i="11"/>
  <c r="W489" i="11"/>
  <c r="X489" i="11"/>
  <c r="Y489" i="11"/>
  <c r="W490" i="11"/>
  <c r="X490" i="11"/>
  <c r="Y490" i="11"/>
  <c r="W491" i="11"/>
  <c r="X491" i="11"/>
  <c r="Y491" i="11"/>
  <c r="W492" i="11"/>
  <c r="X492" i="11"/>
  <c r="Y492" i="11"/>
  <c r="W493" i="11"/>
  <c r="X493" i="11"/>
  <c r="Y493" i="11"/>
  <c r="W494" i="11"/>
  <c r="X494" i="11"/>
  <c r="Y494" i="11"/>
  <c r="W495" i="11"/>
  <c r="X495" i="11"/>
  <c r="Y495" i="11"/>
  <c r="W496" i="11"/>
  <c r="X496" i="11"/>
  <c r="Y496" i="11"/>
  <c r="W497" i="11"/>
  <c r="X497" i="11"/>
  <c r="Y497" i="11"/>
  <c r="W498" i="11"/>
  <c r="X498" i="11"/>
  <c r="Y498" i="11"/>
  <c r="W499" i="11"/>
  <c r="X499" i="11"/>
  <c r="Y499" i="11"/>
  <c r="W500" i="11"/>
  <c r="X500" i="11"/>
  <c r="Y500" i="11"/>
  <c r="W501" i="11"/>
  <c r="X501" i="11"/>
  <c r="Y501" i="11"/>
  <c r="W502" i="11"/>
  <c r="X502" i="11"/>
  <c r="Y502" i="11"/>
  <c r="W503" i="11"/>
  <c r="X503" i="11"/>
  <c r="Y503" i="11"/>
  <c r="W504" i="11"/>
  <c r="X504" i="11"/>
  <c r="Y504" i="11"/>
  <c r="W505" i="11"/>
  <c r="X505" i="11"/>
  <c r="Y505" i="11"/>
  <c r="W506" i="11"/>
  <c r="X506" i="11"/>
  <c r="Y506" i="11"/>
  <c r="W507" i="11"/>
  <c r="X507" i="11"/>
  <c r="Y507" i="11"/>
  <c r="W508" i="11"/>
  <c r="X508" i="11"/>
  <c r="Y508" i="11"/>
  <c r="W509" i="11"/>
  <c r="X509" i="11"/>
  <c r="Y509" i="11"/>
  <c r="W510" i="11"/>
  <c r="X510" i="11"/>
  <c r="Y510" i="11"/>
  <c r="W511" i="11"/>
  <c r="X511" i="11"/>
  <c r="Y511" i="11"/>
  <c r="W512" i="11"/>
  <c r="X512" i="11"/>
  <c r="Y512" i="11"/>
  <c r="W513" i="11"/>
  <c r="X513" i="11"/>
  <c r="Y513" i="11"/>
  <c r="W514" i="11"/>
  <c r="X514" i="11"/>
  <c r="Y514" i="11"/>
  <c r="W515" i="11"/>
  <c r="X515" i="11"/>
  <c r="Y515" i="11"/>
  <c r="W516" i="11"/>
  <c r="X516" i="11"/>
  <c r="Y516" i="11"/>
  <c r="W517" i="11"/>
  <c r="X517" i="11"/>
  <c r="Y517" i="11"/>
  <c r="W518" i="11"/>
  <c r="X518" i="11"/>
  <c r="Y518" i="11"/>
  <c r="W519" i="11"/>
  <c r="X519" i="11"/>
  <c r="Y519" i="11"/>
  <c r="W520" i="11"/>
  <c r="X520" i="11"/>
  <c r="Y520" i="11"/>
  <c r="W521" i="11"/>
  <c r="X521" i="11"/>
  <c r="Y521" i="11"/>
  <c r="W522" i="11"/>
  <c r="X522" i="11"/>
  <c r="Y522" i="11"/>
  <c r="W523" i="11"/>
  <c r="X523" i="11"/>
  <c r="Y523" i="11"/>
  <c r="W524" i="11"/>
  <c r="X524" i="11"/>
  <c r="Y524" i="11"/>
  <c r="W525" i="11"/>
  <c r="X525" i="11"/>
  <c r="Y525" i="11"/>
  <c r="W526" i="11"/>
  <c r="X526" i="11"/>
  <c r="Y526" i="11"/>
  <c r="W527" i="11"/>
  <c r="X527" i="11"/>
  <c r="Y527" i="11"/>
  <c r="W528" i="11"/>
  <c r="X528" i="11"/>
  <c r="Y528" i="11"/>
  <c r="W529" i="11"/>
  <c r="X529" i="11"/>
  <c r="Y529" i="11"/>
  <c r="W530" i="11"/>
  <c r="X530" i="11"/>
  <c r="Y530" i="11"/>
  <c r="W531" i="11"/>
  <c r="X531" i="11"/>
  <c r="Y531" i="11"/>
  <c r="W532" i="11"/>
  <c r="X532" i="11"/>
  <c r="Y532" i="11"/>
  <c r="W533" i="11"/>
  <c r="X533" i="11"/>
  <c r="Y533" i="11"/>
  <c r="W534" i="11"/>
  <c r="X534" i="11"/>
  <c r="Y534" i="11"/>
  <c r="W535" i="11"/>
  <c r="X535" i="11"/>
  <c r="Y535" i="11"/>
  <c r="W536" i="11"/>
  <c r="X536" i="11"/>
  <c r="Y536" i="11"/>
  <c r="W537" i="11"/>
  <c r="X537" i="11"/>
  <c r="Y537" i="11"/>
  <c r="W538" i="11"/>
  <c r="X538" i="11"/>
  <c r="Y538" i="11"/>
  <c r="W539" i="11"/>
  <c r="X539" i="11"/>
  <c r="Y539" i="11"/>
  <c r="W540" i="11"/>
  <c r="X540" i="11"/>
  <c r="Y540" i="11"/>
  <c r="W541" i="11"/>
  <c r="X541" i="11"/>
  <c r="Y541" i="11"/>
  <c r="W542" i="11"/>
  <c r="X542" i="11"/>
  <c r="Y542" i="11"/>
  <c r="W543" i="11"/>
  <c r="X543" i="11"/>
  <c r="Y543" i="11"/>
  <c r="W544" i="11"/>
  <c r="X544" i="11"/>
  <c r="Y544" i="11"/>
  <c r="W545" i="11"/>
  <c r="X545" i="11"/>
  <c r="Y545" i="11"/>
  <c r="W546" i="11"/>
  <c r="X546" i="11"/>
  <c r="Y546" i="11"/>
  <c r="W547" i="11"/>
  <c r="X547" i="11"/>
  <c r="Y547" i="11"/>
  <c r="W548" i="11"/>
  <c r="X548" i="11"/>
  <c r="Y548" i="11"/>
  <c r="W549" i="11"/>
  <c r="X549" i="11"/>
  <c r="Y549" i="11"/>
  <c r="W550" i="11"/>
  <c r="X550" i="11"/>
  <c r="Y550" i="11"/>
  <c r="W551" i="11"/>
  <c r="X551" i="11"/>
  <c r="Y551" i="11"/>
  <c r="W552" i="11"/>
  <c r="X552" i="11"/>
  <c r="Y552" i="11"/>
  <c r="W553" i="11"/>
  <c r="X553" i="11"/>
  <c r="Y553" i="11"/>
  <c r="W554" i="11"/>
  <c r="X554" i="11"/>
  <c r="Y554" i="11"/>
  <c r="W555" i="11"/>
  <c r="X555" i="11"/>
  <c r="Y555" i="11"/>
  <c r="W556" i="11"/>
  <c r="X556" i="11"/>
  <c r="Y556" i="11"/>
  <c r="W557" i="11"/>
  <c r="X557" i="11"/>
  <c r="Y557" i="11"/>
  <c r="W558" i="11"/>
  <c r="X558" i="11"/>
  <c r="Y558" i="11"/>
  <c r="W559" i="11"/>
  <c r="X559" i="11"/>
  <c r="Y559" i="11"/>
  <c r="W560" i="11"/>
  <c r="X560" i="11"/>
  <c r="Y560" i="11"/>
  <c r="W561" i="11"/>
  <c r="X561" i="11"/>
  <c r="Y561" i="11"/>
  <c r="W562" i="11"/>
  <c r="X562" i="11"/>
  <c r="Y562" i="11"/>
  <c r="W563" i="11"/>
  <c r="X563" i="11"/>
  <c r="Y563" i="11"/>
  <c r="W564" i="11"/>
  <c r="X564" i="11"/>
  <c r="Y564" i="11"/>
  <c r="W565" i="11"/>
  <c r="X565" i="11"/>
  <c r="Y565" i="11"/>
  <c r="W566" i="11"/>
  <c r="X566" i="11"/>
  <c r="Y566" i="11"/>
  <c r="W567" i="11"/>
  <c r="X567" i="11"/>
  <c r="Y567" i="11"/>
  <c r="W568" i="11"/>
  <c r="X568" i="11"/>
  <c r="Y568" i="11"/>
  <c r="W569" i="11"/>
  <c r="X569" i="11"/>
  <c r="Y569" i="11"/>
  <c r="W570" i="11"/>
  <c r="X570" i="11"/>
  <c r="Y570" i="11"/>
  <c r="W571" i="11"/>
  <c r="X571" i="11"/>
  <c r="Y571" i="11"/>
  <c r="W572" i="11"/>
  <c r="X572" i="11"/>
  <c r="Y572" i="11"/>
  <c r="W573" i="11"/>
  <c r="X573" i="11"/>
  <c r="Y573" i="11"/>
  <c r="W574" i="11"/>
  <c r="X574" i="11"/>
  <c r="Y574" i="11"/>
  <c r="W575" i="11"/>
  <c r="X575" i="11"/>
  <c r="Y575" i="11"/>
  <c r="W576" i="11"/>
  <c r="X576" i="11"/>
  <c r="Y576" i="11"/>
  <c r="W577" i="11"/>
  <c r="X577" i="11"/>
  <c r="Y577" i="11"/>
  <c r="W578" i="11"/>
  <c r="X578" i="11"/>
  <c r="Y578" i="11"/>
  <c r="W579" i="11"/>
  <c r="X579" i="11"/>
  <c r="Y579" i="11"/>
  <c r="W580" i="11"/>
  <c r="X580" i="11"/>
  <c r="Y580" i="11"/>
  <c r="W581" i="11"/>
  <c r="X581" i="11"/>
  <c r="Y581" i="11"/>
  <c r="W582" i="11"/>
  <c r="X582" i="11"/>
  <c r="Y582" i="11"/>
  <c r="W583" i="11"/>
  <c r="X583" i="11"/>
  <c r="Y583" i="11"/>
  <c r="W584" i="11"/>
  <c r="X584" i="11"/>
  <c r="Y584" i="11"/>
  <c r="W585" i="11"/>
  <c r="X585" i="11"/>
  <c r="Y585" i="11"/>
  <c r="W586" i="11"/>
  <c r="X586" i="11"/>
  <c r="Y586" i="11"/>
  <c r="W587" i="11"/>
  <c r="X587" i="11"/>
  <c r="Y587" i="11"/>
  <c r="W588" i="11"/>
  <c r="X588" i="11"/>
  <c r="Y588" i="11"/>
  <c r="W589" i="11"/>
  <c r="X589" i="11"/>
  <c r="Y589" i="11"/>
  <c r="W590" i="11"/>
  <c r="X590" i="11"/>
  <c r="Y590" i="11"/>
  <c r="W591" i="11"/>
  <c r="X591" i="11"/>
  <c r="Y591" i="11"/>
  <c r="W592" i="11"/>
  <c r="X592" i="11"/>
  <c r="Y592" i="11"/>
  <c r="W593" i="11"/>
  <c r="X593" i="11"/>
  <c r="Y593" i="11"/>
  <c r="W594" i="11"/>
  <c r="X594" i="11"/>
  <c r="Y594" i="11"/>
  <c r="W595" i="11"/>
  <c r="X595" i="11"/>
  <c r="Y595" i="11"/>
  <c r="W596" i="11"/>
  <c r="X596" i="11"/>
  <c r="Y596" i="11"/>
  <c r="W597" i="11"/>
  <c r="X597" i="11"/>
  <c r="Y597" i="11"/>
  <c r="W598" i="11"/>
  <c r="X598" i="11"/>
  <c r="Y598" i="11"/>
  <c r="W599" i="11"/>
  <c r="X599" i="11"/>
  <c r="Y599" i="11"/>
  <c r="W600" i="11"/>
  <c r="X600" i="11"/>
  <c r="Y600" i="11"/>
  <c r="W601" i="11"/>
  <c r="X601" i="11"/>
  <c r="Y601" i="11"/>
  <c r="W602" i="11"/>
  <c r="X602" i="11"/>
  <c r="Y602" i="11"/>
  <c r="W603" i="11"/>
  <c r="X603" i="11"/>
  <c r="Y603" i="11"/>
  <c r="W604" i="11"/>
  <c r="X604" i="11"/>
  <c r="Y604" i="11"/>
  <c r="W605" i="11"/>
  <c r="X605" i="11"/>
  <c r="Y605" i="11"/>
  <c r="W606" i="11"/>
  <c r="X606" i="11"/>
  <c r="Y606" i="11"/>
  <c r="W607" i="11"/>
  <c r="X607" i="11"/>
  <c r="Y607" i="11"/>
  <c r="W608" i="11"/>
  <c r="X608" i="11"/>
  <c r="Y608" i="11"/>
  <c r="W609" i="11"/>
  <c r="X609" i="11"/>
  <c r="Y609" i="11"/>
  <c r="W610" i="11"/>
  <c r="X610" i="11"/>
  <c r="Y610" i="11"/>
  <c r="W611" i="11"/>
  <c r="X611" i="11"/>
  <c r="Y611" i="11"/>
  <c r="W612" i="11"/>
  <c r="X612" i="11"/>
  <c r="Y612" i="11"/>
  <c r="W613" i="11"/>
  <c r="X613" i="11"/>
  <c r="Y613" i="11"/>
  <c r="W614" i="11"/>
  <c r="X614" i="11"/>
  <c r="Y614" i="11"/>
  <c r="W615" i="11"/>
  <c r="X615" i="11"/>
  <c r="Y615" i="11"/>
  <c r="W616" i="11"/>
  <c r="X616" i="11"/>
  <c r="Y616" i="11"/>
  <c r="W617" i="11"/>
  <c r="X617" i="11"/>
  <c r="Y617" i="11"/>
  <c r="W618" i="11"/>
  <c r="X618" i="11"/>
  <c r="Y618" i="11"/>
  <c r="W619" i="11"/>
  <c r="X619" i="11"/>
  <c r="Y619" i="11"/>
  <c r="W620" i="11"/>
  <c r="X620" i="11"/>
  <c r="Y620" i="11"/>
  <c r="W621" i="11"/>
  <c r="X621" i="11"/>
  <c r="Y621" i="11"/>
  <c r="W622" i="11"/>
  <c r="X622" i="11"/>
  <c r="Y622" i="11"/>
  <c r="W623" i="11"/>
  <c r="X623" i="11"/>
  <c r="Y623" i="11"/>
  <c r="W624" i="11"/>
  <c r="X624" i="11"/>
  <c r="Y624" i="11"/>
  <c r="W625" i="11"/>
  <c r="X625" i="11"/>
  <c r="Y625" i="11"/>
  <c r="W626" i="11"/>
  <c r="X626" i="11"/>
  <c r="Y626" i="11"/>
  <c r="W627" i="11"/>
  <c r="X627" i="11"/>
  <c r="Y627" i="11"/>
  <c r="W628" i="11"/>
  <c r="X628" i="11"/>
  <c r="Y628" i="11"/>
  <c r="W629" i="11"/>
  <c r="X629" i="11"/>
  <c r="Y629" i="11"/>
  <c r="W630" i="11"/>
  <c r="X630" i="11"/>
  <c r="Y630" i="11"/>
  <c r="W631" i="11"/>
  <c r="X631" i="11"/>
  <c r="Y631" i="11"/>
  <c r="W632" i="11"/>
  <c r="X632" i="11"/>
  <c r="Y632" i="11"/>
  <c r="W633" i="11"/>
  <c r="X633" i="11"/>
  <c r="Y633" i="11"/>
  <c r="W634" i="11"/>
  <c r="X634" i="11"/>
  <c r="Y634" i="11"/>
  <c r="W635" i="11"/>
  <c r="X635" i="11"/>
  <c r="Y635" i="11"/>
  <c r="W636" i="11"/>
  <c r="X636" i="11"/>
  <c r="Y636" i="11"/>
  <c r="W637" i="11"/>
  <c r="X637" i="11"/>
  <c r="Y637" i="11"/>
  <c r="W638" i="11"/>
  <c r="X638" i="11"/>
  <c r="Y638" i="11"/>
  <c r="W639" i="11"/>
  <c r="X639" i="11"/>
  <c r="Y639" i="11"/>
  <c r="W640" i="11"/>
  <c r="X640" i="11"/>
  <c r="Y640" i="11"/>
  <c r="W641" i="11"/>
  <c r="X641" i="11"/>
  <c r="Y641" i="11"/>
  <c r="W642" i="11"/>
  <c r="X642" i="11"/>
  <c r="Y642" i="11"/>
  <c r="W643" i="11"/>
  <c r="X643" i="11"/>
  <c r="Y643" i="11"/>
  <c r="W644" i="11"/>
  <c r="X644" i="11"/>
  <c r="Y644" i="11"/>
  <c r="W645" i="11"/>
  <c r="X645" i="11"/>
  <c r="Y645" i="11"/>
  <c r="W646" i="11"/>
  <c r="X646" i="11"/>
  <c r="Y646" i="11"/>
  <c r="W647" i="11"/>
  <c r="X647" i="11"/>
  <c r="Y647" i="11"/>
  <c r="W648" i="11"/>
  <c r="X648" i="11"/>
  <c r="Y648" i="11"/>
  <c r="W649" i="11"/>
  <c r="X649" i="11"/>
  <c r="Y649" i="11"/>
  <c r="W650" i="11"/>
  <c r="X650" i="11"/>
  <c r="Y650" i="11"/>
  <c r="W651" i="11"/>
  <c r="X651" i="11"/>
  <c r="Y651" i="11"/>
  <c r="W652" i="11"/>
  <c r="X652" i="11"/>
  <c r="Y652" i="11"/>
  <c r="W653" i="11"/>
  <c r="X653" i="11"/>
  <c r="Y653" i="11"/>
  <c r="W654" i="11"/>
  <c r="X654" i="11"/>
  <c r="Y654" i="11"/>
  <c r="W655" i="11"/>
  <c r="X655" i="11"/>
  <c r="Y655" i="11"/>
  <c r="W656" i="11"/>
  <c r="X656" i="11"/>
  <c r="Y656" i="11"/>
  <c r="W657" i="11"/>
  <c r="X657" i="11"/>
  <c r="Y657" i="11"/>
  <c r="W658" i="11"/>
  <c r="X658" i="11"/>
  <c r="Y658" i="11"/>
  <c r="W659" i="11"/>
  <c r="X659" i="11"/>
  <c r="Y659" i="11"/>
  <c r="W660" i="11"/>
  <c r="X660" i="11"/>
  <c r="Y660" i="11"/>
  <c r="W661" i="11"/>
  <c r="X661" i="11"/>
  <c r="Y661" i="11"/>
  <c r="W662" i="11"/>
  <c r="X662" i="11"/>
  <c r="Y662" i="11"/>
  <c r="W663" i="11"/>
  <c r="X663" i="11"/>
  <c r="Y663" i="11"/>
  <c r="W664" i="11"/>
  <c r="X664" i="11"/>
  <c r="Y664" i="11"/>
  <c r="W665" i="11"/>
  <c r="X665" i="11"/>
  <c r="Y665" i="11"/>
  <c r="W666" i="11"/>
  <c r="X666" i="11"/>
  <c r="Y666" i="11"/>
  <c r="W667" i="11"/>
  <c r="X667" i="11"/>
  <c r="Y667" i="11"/>
  <c r="W668" i="11"/>
  <c r="X668" i="11"/>
  <c r="Y668" i="11"/>
  <c r="W669" i="11"/>
  <c r="X669" i="11"/>
  <c r="Y669" i="11"/>
  <c r="W670" i="11"/>
  <c r="X670" i="11"/>
  <c r="Y670" i="11"/>
  <c r="W671" i="11"/>
  <c r="X671" i="11"/>
  <c r="Y671" i="11"/>
  <c r="W672" i="11"/>
  <c r="X672" i="11"/>
  <c r="Y672" i="11"/>
  <c r="W673" i="11"/>
  <c r="X673" i="11"/>
  <c r="Y673" i="11"/>
  <c r="W674" i="11"/>
  <c r="X674" i="11"/>
  <c r="Y674" i="11"/>
  <c r="W675" i="11"/>
  <c r="X675" i="11"/>
  <c r="Y675" i="11"/>
  <c r="W676" i="11"/>
  <c r="X676" i="11"/>
  <c r="Y676" i="11"/>
  <c r="W677" i="11"/>
  <c r="X677" i="11"/>
  <c r="Y677" i="11"/>
  <c r="W678" i="11"/>
  <c r="X678" i="11"/>
  <c r="Y678" i="11"/>
  <c r="W679" i="11"/>
  <c r="X679" i="11"/>
  <c r="Y679" i="11"/>
  <c r="W680" i="11"/>
  <c r="X680" i="11"/>
  <c r="Y680" i="11"/>
  <c r="W681" i="11"/>
  <c r="X681" i="11"/>
  <c r="Y681" i="11"/>
  <c r="W682" i="11"/>
  <c r="X682" i="11"/>
  <c r="Y682" i="11"/>
  <c r="W683" i="11"/>
  <c r="X683" i="11"/>
  <c r="Y683" i="11"/>
  <c r="W684" i="11"/>
  <c r="X684" i="11"/>
  <c r="Y684" i="11"/>
  <c r="W685" i="11"/>
  <c r="X685" i="11"/>
  <c r="Y685" i="11"/>
  <c r="W686" i="11"/>
  <c r="X686" i="11"/>
  <c r="Y686" i="11"/>
  <c r="W687" i="11"/>
  <c r="X687" i="11"/>
  <c r="Y687" i="11"/>
  <c r="W688" i="11"/>
  <c r="X688" i="11"/>
  <c r="Y688" i="11"/>
  <c r="W689" i="11"/>
  <c r="X689" i="11"/>
  <c r="Y689" i="11"/>
  <c r="W690" i="11"/>
  <c r="X690" i="11"/>
  <c r="Y690" i="11"/>
  <c r="W691" i="11"/>
  <c r="X691" i="11"/>
  <c r="Y691" i="11"/>
  <c r="W692" i="11"/>
  <c r="X692" i="11"/>
  <c r="Y692" i="11"/>
  <c r="W693" i="11"/>
  <c r="X693" i="11"/>
  <c r="Y693" i="11"/>
  <c r="W694" i="11"/>
  <c r="X694" i="11"/>
  <c r="Y694" i="11"/>
  <c r="W695" i="11"/>
  <c r="X695" i="11"/>
  <c r="Y695" i="11"/>
  <c r="W696" i="11"/>
  <c r="X696" i="11"/>
  <c r="Y696" i="11"/>
  <c r="W697" i="11"/>
  <c r="X697" i="11"/>
  <c r="Y697" i="11"/>
  <c r="W698" i="11"/>
  <c r="X698" i="11"/>
  <c r="Y698" i="11"/>
  <c r="W699" i="11"/>
  <c r="X699" i="11"/>
  <c r="Y699" i="11"/>
  <c r="W700" i="11"/>
  <c r="X700" i="11"/>
  <c r="Y700" i="11"/>
  <c r="W701" i="11"/>
  <c r="X701" i="11"/>
  <c r="Y701" i="11"/>
  <c r="W702" i="11"/>
  <c r="X702" i="11"/>
  <c r="Y702" i="11"/>
  <c r="W703" i="11"/>
  <c r="X703" i="11"/>
  <c r="Y703" i="11"/>
  <c r="W704" i="11"/>
  <c r="X704" i="11"/>
  <c r="Y704" i="11"/>
  <c r="W705" i="11"/>
  <c r="X705" i="11"/>
  <c r="Y705" i="11"/>
  <c r="W706" i="11"/>
  <c r="X706" i="11"/>
  <c r="Y706" i="11"/>
  <c r="W707" i="11"/>
  <c r="X707" i="11"/>
  <c r="Y707" i="11"/>
  <c r="W708" i="11"/>
  <c r="X708" i="11"/>
  <c r="Y708" i="11"/>
  <c r="W709" i="11"/>
  <c r="X709" i="11"/>
  <c r="Y709" i="11"/>
  <c r="W710" i="11"/>
  <c r="X710" i="11"/>
  <c r="Y710" i="11"/>
  <c r="W711" i="11"/>
  <c r="X711" i="11"/>
  <c r="Y711" i="11"/>
  <c r="W712" i="11"/>
  <c r="X712" i="11"/>
  <c r="Y712" i="11"/>
  <c r="W713" i="11"/>
  <c r="X713" i="11"/>
  <c r="Y713" i="11"/>
  <c r="W714" i="11"/>
  <c r="X714" i="11"/>
  <c r="Y714" i="11"/>
  <c r="W715" i="11"/>
  <c r="X715" i="11"/>
  <c r="Y715" i="11"/>
  <c r="W716" i="11"/>
  <c r="X716" i="11"/>
  <c r="Y716" i="11"/>
  <c r="W717" i="11"/>
  <c r="X717" i="11"/>
  <c r="Y717" i="11"/>
  <c r="W718" i="11"/>
  <c r="X718" i="11"/>
  <c r="Y718" i="11"/>
  <c r="W719" i="11"/>
  <c r="X719" i="11"/>
  <c r="Y719" i="11"/>
  <c r="W720" i="11"/>
  <c r="X720" i="11"/>
  <c r="Y720" i="11"/>
  <c r="W721" i="11"/>
  <c r="X721" i="11"/>
  <c r="Y721" i="11"/>
  <c r="W722" i="11"/>
  <c r="X722" i="11"/>
  <c r="Y722" i="11"/>
  <c r="W723" i="11"/>
  <c r="X723" i="11"/>
  <c r="Y723" i="11"/>
  <c r="W724" i="11"/>
  <c r="X724" i="11"/>
  <c r="Y724" i="11"/>
  <c r="W725" i="11"/>
  <c r="X725" i="11"/>
  <c r="Y725" i="11"/>
  <c r="W726" i="11"/>
  <c r="X726" i="11"/>
  <c r="Y726" i="11"/>
  <c r="W727" i="11"/>
  <c r="X727" i="11"/>
  <c r="Y727" i="11"/>
  <c r="W728" i="11"/>
  <c r="X728" i="11"/>
  <c r="Y728" i="11"/>
  <c r="W729" i="11"/>
  <c r="X729" i="11"/>
  <c r="Y729" i="11"/>
  <c r="W730" i="11"/>
  <c r="X730" i="11"/>
  <c r="Y730" i="11"/>
  <c r="W731" i="11"/>
  <c r="X731" i="11"/>
  <c r="Y731" i="11"/>
  <c r="W732" i="11"/>
  <c r="X732" i="11"/>
  <c r="Y732" i="11"/>
  <c r="W733" i="11"/>
  <c r="X733" i="11"/>
  <c r="Y733" i="11"/>
  <c r="W734" i="11"/>
  <c r="X734" i="11"/>
  <c r="Y734" i="11"/>
  <c r="W735" i="11"/>
  <c r="X735" i="11"/>
  <c r="Y735" i="11"/>
  <c r="W736" i="11"/>
  <c r="X736" i="11"/>
  <c r="Y736" i="11"/>
  <c r="W737" i="11"/>
  <c r="X737" i="11"/>
  <c r="Y737" i="11"/>
  <c r="W738" i="11"/>
  <c r="X738" i="11"/>
  <c r="Y738" i="11"/>
  <c r="W739" i="11"/>
  <c r="X739" i="11"/>
  <c r="Y739" i="11"/>
  <c r="W740" i="11"/>
  <c r="X740" i="11"/>
  <c r="Y740" i="11"/>
  <c r="W741" i="11"/>
  <c r="X741" i="11"/>
  <c r="Y741" i="11"/>
  <c r="W742" i="11"/>
  <c r="X742" i="11"/>
  <c r="Y742" i="11"/>
  <c r="W743" i="11"/>
  <c r="X743" i="11"/>
  <c r="Y743" i="11"/>
  <c r="W744" i="11"/>
  <c r="X744" i="11"/>
  <c r="Y744" i="11"/>
  <c r="W745" i="11"/>
  <c r="X745" i="11"/>
  <c r="Y745" i="11"/>
  <c r="W746" i="11"/>
  <c r="X746" i="11"/>
  <c r="Y746" i="11"/>
  <c r="W747" i="11"/>
  <c r="X747" i="11"/>
  <c r="Y747" i="11"/>
  <c r="W748" i="11"/>
  <c r="X748" i="11"/>
  <c r="Y748" i="11"/>
  <c r="W749" i="11"/>
  <c r="X749" i="11"/>
  <c r="Y749" i="11"/>
  <c r="W750" i="11"/>
  <c r="X750" i="11"/>
  <c r="Y750" i="11"/>
  <c r="W751" i="11"/>
  <c r="X751" i="11"/>
  <c r="Y751" i="11"/>
  <c r="W752" i="11"/>
  <c r="X752" i="11"/>
  <c r="Y752" i="11"/>
  <c r="W753" i="11"/>
  <c r="X753" i="11"/>
  <c r="Y753" i="11"/>
  <c r="W754" i="11"/>
  <c r="X754" i="11"/>
  <c r="Y754" i="11"/>
  <c r="W755" i="11"/>
  <c r="X755" i="11"/>
  <c r="Y755" i="11"/>
  <c r="W756" i="11"/>
  <c r="X756" i="11"/>
  <c r="Y756" i="11"/>
  <c r="W757" i="11"/>
  <c r="X757" i="11"/>
  <c r="Y757" i="11"/>
  <c r="W758" i="11"/>
  <c r="X758" i="11"/>
  <c r="Y758" i="11"/>
  <c r="W759" i="11"/>
  <c r="X759" i="11"/>
  <c r="Y759" i="11"/>
  <c r="W760" i="11"/>
  <c r="X760" i="11"/>
  <c r="Y760" i="11"/>
  <c r="W761" i="11"/>
  <c r="X761" i="11"/>
  <c r="Y761" i="11"/>
  <c r="W762" i="11"/>
  <c r="X762" i="11"/>
  <c r="Y762" i="11"/>
  <c r="W763" i="11"/>
  <c r="X763" i="11"/>
  <c r="Y763" i="11"/>
  <c r="W764" i="11"/>
  <c r="X764" i="11"/>
  <c r="Y764" i="11"/>
  <c r="W765" i="11"/>
  <c r="X765" i="11"/>
  <c r="Y765" i="11"/>
  <c r="W766" i="11"/>
  <c r="X766" i="11"/>
  <c r="Y766" i="11"/>
  <c r="W767" i="11"/>
  <c r="X767" i="11"/>
  <c r="Y767" i="11"/>
  <c r="W768" i="11"/>
  <c r="X768" i="11"/>
  <c r="Y768" i="11"/>
  <c r="W769" i="11"/>
  <c r="X769" i="11"/>
  <c r="Y769" i="11"/>
  <c r="W770" i="11"/>
  <c r="X770" i="11"/>
  <c r="Y770" i="11"/>
  <c r="W771" i="11"/>
  <c r="X771" i="11"/>
  <c r="Y771" i="11"/>
  <c r="W772" i="11"/>
  <c r="X772" i="11"/>
  <c r="Y772" i="11"/>
  <c r="W773" i="11"/>
  <c r="X773" i="11"/>
  <c r="Y773" i="11"/>
  <c r="W774" i="11"/>
  <c r="X774" i="11"/>
  <c r="Y774" i="11"/>
  <c r="W775" i="11"/>
  <c r="X775" i="11"/>
  <c r="Y775" i="11"/>
  <c r="W776" i="11"/>
  <c r="X776" i="11"/>
  <c r="Y776" i="11"/>
  <c r="W777" i="11"/>
  <c r="X777" i="11"/>
  <c r="Y777" i="11"/>
  <c r="W778" i="11"/>
  <c r="X778" i="11"/>
  <c r="Y778" i="11"/>
  <c r="W779" i="11"/>
  <c r="X779" i="11"/>
  <c r="Y779" i="11"/>
  <c r="W780" i="11"/>
  <c r="X780" i="11"/>
  <c r="Y780" i="11"/>
  <c r="W781" i="11"/>
  <c r="X781" i="11"/>
  <c r="Y781" i="11"/>
  <c r="W782" i="11"/>
  <c r="X782" i="11"/>
  <c r="Y782" i="11"/>
  <c r="W783" i="11"/>
  <c r="X783" i="11"/>
  <c r="Y783" i="11"/>
  <c r="W784" i="11"/>
  <c r="X784" i="11"/>
  <c r="Y784" i="11"/>
  <c r="W785" i="11"/>
  <c r="X785" i="11"/>
  <c r="Y785" i="11"/>
  <c r="W786" i="11"/>
  <c r="X786" i="11"/>
  <c r="Y786" i="11"/>
  <c r="W787" i="11"/>
  <c r="X787" i="11"/>
  <c r="Y787" i="11"/>
  <c r="W788" i="11"/>
  <c r="X788" i="11"/>
  <c r="Y788" i="11"/>
  <c r="W789" i="11"/>
  <c r="X789" i="11"/>
  <c r="Y789" i="11"/>
  <c r="W790" i="11"/>
  <c r="X790" i="11"/>
  <c r="Y790" i="11"/>
  <c r="W791" i="11"/>
  <c r="X791" i="11"/>
  <c r="Y791" i="11"/>
  <c r="W792" i="11"/>
  <c r="X792" i="11"/>
  <c r="Y792" i="11"/>
  <c r="W793" i="11"/>
  <c r="X793" i="11"/>
  <c r="Y793" i="11"/>
  <c r="W794" i="11"/>
  <c r="X794" i="11"/>
  <c r="Y794" i="11"/>
  <c r="W795" i="11"/>
  <c r="X795" i="11"/>
  <c r="Y795" i="11"/>
  <c r="W796" i="11"/>
  <c r="X796" i="11"/>
  <c r="Y796" i="11"/>
  <c r="W797" i="11"/>
  <c r="X797" i="11"/>
  <c r="Y797" i="11"/>
  <c r="W798" i="11"/>
  <c r="X798" i="11"/>
  <c r="Y798" i="11"/>
  <c r="W799" i="11"/>
  <c r="X799" i="11"/>
  <c r="Y799" i="11"/>
  <c r="W800" i="11"/>
  <c r="X800" i="11"/>
  <c r="Y800" i="11"/>
  <c r="W801" i="11"/>
  <c r="X801" i="11"/>
  <c r="Y801" i="11"/>
  <c r="W802" i="11"/>
  <c r="X802" i="11"/>
  <c r="Y802" i="11"/>
  <c r="W803" i="11"/>
  <c r="X803" i="11"/>
  <c r="Y803" i="11"/>
  <c r="W804" i="11"/>
  <c r="X804" i="11"/>
  <c r="Y804" i="11"/>
  <c r="W805" i="11"/>
  <c r="X805" i="11"/>
  <c r="Y805" i="11"/>
  <c r="W806" i="11"/>
  <c r="X806" i="11"/>
  <c r="Y806" i="11"/>
  <c r="W807" i="11"/>
  <c r="X807" i="11"/>
  <c r="Y807" i="11"/>
  <c r="W808" i="11"/>
  <c r="X808" i="11"/>
  <c r="Y808" i="11"/>
  <c r="W809" i="11"/>
  <c r="X809" i="11"/>
  <c r="Y809" i="11"/>
  <c r="W810" i="11"/>
  <c r="X810" i="11"/>
  <c r="Y810" i="11"/>
  <c r="W811" i="11"/>
  <c r="X811" i="11"/>
  <c r="Y811" i="11"/>
  <c r="W812" i="11"/>
  <c r="X812" i="11"/>
  <c r="Y812" i="11"/>
  <c r="W813" i="11"/>
  <c r="X813" i="11"/>
  <c r="Y813" i="11"/>
  <c r="W814" i="11"/>
  <c r="X814" i="11"/>
  <c r="Y814" i="11"/>
  <c r="W815" i="11"/>
  <c r="X815" i="11"/>
  <c r="Y815" i="11"/>
  <c r="W816" i="11"/>
  <c r="X816" i="11"/>
  <c r="Y816" i="11"/>
  <c r="W817" i="11"/>
  <c r="X817" i="11"/>
  <c r="Y817" i="11"/>
  <c r="W818" i="11"/>
  <c r="X818" i="11"/>
  <c r="Y818" i="11"/>
  <c r="W819" i="11"/>
  <c r="X819" i="11"/>
  <c r="Y819" i="11"/>
  <c r="W820" i="11"/>
  <c r="X820" i="11"/>
  <c r="Y820" i="11"/>
  <c r="W821" i="11"/>
  <c r="X821" i="11"/>
  <c r="Y821" i="11"/>
  <c r="W822" i="11"/>
  <c r="X822" i="11"/>
  <c r="Y822" i="11"/>
  <c r="W823" i="11"/>
  <c r="X823" i="11"/>
  <c r="Y823" i="11"/>
  <c r="W824" i="11"/>
  <c r="X824" i="11"/>
  <c r="Y824" i="11"/>
  <c r="W825" i="11"/>
  <c r="X825" i="11"/>
  <c r="Y825" i="11"/>
  <c r="W826" i="11"/>
  <c r="X826" i="11"/>
  <c r="Y826" i="11"/>
  <c r="W827" i="11"/>
  <c r="X827" i="11"/>
  <c r="Y827" i="11"/>
  <c r="W828" i="11"/>
  <c r="X828" i="11"/>
  <c r="Y828" i="11"/>
  <c r="W829" i="11"/>
  <c r="X829" i="11"/>
  <c r="Y829" i="11"/>
  <c r="W830" i="11"/>
  <c r="X830" i="11"/>
  <c r="Y830" i="11"/>
  <c r="W831" i="11"/>
  <c r="X831" i="11"/>
  <c r="Y831" i="11"/>
  <c r="W832" i="11"/>
  <c r="X832" i="11"/>
  <c r="Y832" i="11"/>
  <c r="W833" i="11"/>
  <c r="X833" i="11"/>
  <c r="Y833" i="11"/>
  <c r="W834" i="11"/>
  <c r="X834" i="11"/>
  <c r="Y834" i="11"/>
  <c r="W835" i="11"/>
  <c r="X835" i="11"/>
  <c r="Y835" i="11"/>
  <c r="W836" i="11"/>
  <c r="X836" i="11"/>
  <c r="Y836" i="11"/>
  <c r="W837" i="11"/>
  <c r="X837" i="11"/>
  <c r="Y837" i="11"/>
  <c r="W838" i="11"/>
  <c r="X838" i="11"/>
  <c r="Y838" i="11"/>
  <c r="W839" i="11"/>
  <c r="X839" i="11"/>
  <c r="Y839" i="11"/>
  <c r="W840" i="11"/>
  <c r="X840" i="11"/>
  <c r="Y840" i="11"/>
  <c r="W841" i="11"/>
  <c r="X841" i="11"/>
  <c r="Y841" i="11"/>
  <c r="W842" i="11"/>
  <c r="X842" i="11"/>
  <c r="Y842" i="11"/>
  <c r="W843" i="11"/>
  <c r="X843" i="11"/>
  <c r="Y843" i="11"/>
  <c r="W844" i="11"/>
  <c r="X844" i="11"/>
  <c r="Y844" i="11"/>
  <c r="W845" i="11"/>
  <c r="X845" i="11"/>
  <c r="Y845" i="11"/>
  <c r="W846" i="11"/>
  <c r="X846" i="11"/>
  <c r="Y846" i="11"/>
  <c r="W847" i="11"/>
  <c r="X847" i="11"/>
  <c r="Y847" i="11"/>
  <c r="W848" i="11"/>
  <c r="X848" i="11"/>
  <c r="Y848" i="11"/>
  <c r="W849" i="11"/>
  <c r="X849" i="11"/>
  <c r="Y849" i="11"/>
  <c r="W850" i="11"/>
  <c r="X850" i="11"/>
  <c r="Y850" i="11"/>
  <c r="W851" i="11"/>
  <c r="X851" i="11"/>
  <c r="Y851" i="11"/>
  <c r="W852" i="11"/>
  <c r="X852" i="11"/>
  <c r="Y852" i="11"/>
  <c r="W853" i="11"/>
  <c r="X853" i="11"/>
  <c r="Y853" i="11"/>
  <c r="W854" i="11"/>
  <c r="X854" i="11"/>
  <c r="Y854" i="11"/>
  <c r="W855" i="11"/>
  <c r="X855" i="11"/>
  <c r="Y855" i="11"/>
  <c r="W856" i="11"/>
  <c r="X856" i="11"/>
  <c r="Y856" i="11"/>
  <c r="W857" i="11"/>
  <c r="X857" i="11"/>
  <c r="Y857" i="11"/>
  <c r="W858" i="11"/>
  <c r="X858" i="11"/>
  <c r="Y858" i="11"/>
  <c r="W859" i="11"/>
  <c r="X859" i="11"/>
  <c r="Y859" i="11"/>
  <c r="W860" i="11"/>
  <c r="X860" i="11"/>
  <c r="Y860" i="11"/>
  <c r="W861" i="11"/>
  <c r="X861" i="11"/>
  <c r="Y861" i="11"/>
  <c r="W862" i="11"/>
  <c r="X862" i="11"/>
  <c r="Y862" i="11"/>
  <c r="W863" i="11"/>
  <c r="X863" i="11"/>
  <c r="Y863" i="11"/>
  <c r="W864" i="11"/>
  <c r="X864" i="11"/>
  <c r="Y864" i="11"/>
  <c r="W865" i="11"/>
  <c r="X865" i="11"/>
  <c r="Y865" i="11"/>
  <c r="W866" i="11"/>
  <c r="X866" i="11"/>
  <c r="Y866" i="11"/>
  <c r="W867" i="11"/>
  <c r="X867" i="11"/>
  <c r="Y867" i="11"/>
  <c r="W868" i="11"/>
  <c r="X868" i="11"/>
  <c r="Y868" i="11"/>
  <c r="W869" i="11"/>
  <c r="X869" i="11"/>
  <c r="Y869" i="11"/>
  <c r="W870" i="11"/>
  <c r="X870" i="11"/>
  <c r="Y870" i="11"/>
  <c r="W871" i="11"/>
  <c r="X871" i="11"/>
  <c r="Y871" i="11"/>
  <c r="W872" i="11"/>
  <c r="X872" i="11"/>
  <c r="Y872" i="11"/>
  <c r="W873" i="11"/>
  <c r="X873" i="11"/>
  <c r="Y873" i="11"/>
  <c r="W874" i="11"/>
  <c r="X874" i="11"/>
  <c r="Y874" i="11"/>
  <c r="W875" i="11"/>
  <c r="X875" i="11"/>
  <c r="Y875" i="11"/>
  <c r="W876" i="11"/>
  <c r="X876" i="11"/>
  <c r="Y876" i="11"/>
  <c r="W877" i="11"/>
  <c r="X877" i="11"/>
  <c r="Y877" i="11"/>
  <c r="W878" i="11"/>
  <c r="X878" i="11"/>
  <c r="Y878" i="11"/>
  <c r="W879" i="11"/>
  <c r="X879" i="11"/>
  <c r="Y879" i="11"/>
  <c r="W880" i="11"/>
  <c r="X880" i="11"/>
  <c r="Y880" i="11"/>
  <c r="W881" i="11"/>
  <c r="X881" i="11"/>
  <c r="Y881" i="11"/>
  <c r="W882" i="11"/>
  <c r="X882" i="11"/>
  <c r="Y882" i="11"/>
  <c r="W883" i="11"/>
  <c r="X883" i="11"/>
  <c r="Y883" i="11"/>
  <c r="W884" i="11"/>
  <c r="X884" i="11"/>
  <c r="Y884" i="11"/>
  <c r="W885" i="11"/>
  <c r="X885" i="11"/>
  <c r="Y885" i="11"/>
  <c r="W886" i="11"/>
  <c r="X886" i="11"/>
  <c r="Y886" i="11"/>
  <c r="W887" i="11"/>
  <c r="X887" i="11"/>
  <c r="Y887" i="11"/>
  <c r="W888" i="11"/>
  <c r="X888" i="11"/>
  <c r="Y888" i="11"/>
  <c r="W889" i="11"/>
  <c r="X889" i="11"/>
  <c r="Y889" i="11"/>
  <c r="W890" i="11"/>
  <c r="X890" i="11"/>
  <c r="Y890" i="11"/>
  <c r="W891" i="11"/>
  <c r="X891" i="11"/>
  <c r="Y891" i="11"/>
  <c r="W892" i="11"/>
  <c r="X892" i="11"/>
  <c r="Y892" i="11"/>
  <c r="W893" i="11"/>
  <c r="X893" i="11"/>
  <c r="Y893" i="11"/>
  <c r="W894" i="11"/>
  <c r="X894" i="11"/>
  <c r="Y894" i="11"/>
  <c r="W895" i="11"/>
  <c r="X895" i="11"/>
  <c r="Y895" i="11"/>
  <c r="W896" i="11"/>
  <c r="X896" i="11"/>
  <c r="Y896" i="11"/>
  <c r="W897" i="11"/>
  <c r="X897" i="11"/>
  <c r="Y897" i="11"/>
  <c r="W898" i="11"/>
  <c r="X898" i="11"/>
  <c r="Y898" i="11"/>
  <c r="W899" i="11"/>
  <c r="X899" i="11"/>
  <c r="Y899" i="11"/>
  <c r="W900" i="11"/>
  <c r="X900" i="11"/>
  <c r="Y900" i="11"/>
  <c r="W901" i="11"/>
  <c r="X901" i="11"/>
  <c r="Y901" i="11"/>
  <c r="W902" i="11"/>
  <c r="X902" i="11"/>
  <c r="Y902" i="11"/>
  <c r="W903" i="11"/>
  <c r="X903" i="11"/>
  <c r="Y903" i="11"/>
  <c r="W904" i="11"/>
  <c r="X904" i="11"/>
  <c r="Y904" i="11"/>
  <c r="W905" i="11"/>
  <c r="X905" i="11"/>
  <c r="Y905" i="11"/>
  <c r="W906" i="11"/>
  <c r="X906" i="11"/>
  <c r="Y906" i="11"/>
  <c r="W907" i="11"/>
  <c r="X907" i="11"/>
  <c r="Y907" i="11"/>
  <c r="W908" i="11"/>
  <c r="X908" i="11"/>
  <c r="Y908" i="11"/>
  <c r="W909" i="11"/>
  <c r="X909" i="11"/>
  <c r="Y909" i="11"/>
  <c r="W910" i="11"/>
  <c r="X910" i="11"/>
  <c r="Y910" i="11"/>
  <c r="W911" i="11"/>
  <c r="X911" i="11"/>
  <c r="Y911" i="11"/>
  <c r="W912" i="11"/>
  <c r="X912" i="11"/>
  <c r="Y912" i="11"/>
  <c r="W913" i="11"/>
  <c r="X913" i="11"/>
  <c r="Y913" i="11"/>
  <c r="W914" i="11"/>
  <c r="X914" i="11"/>
  <c r="Y914" i="11"/>
  <c r="W915" i="11"/>
  <c r="X915" i="11"/>
  <c r="Y915" i="11"/>
  <c r="W916" i="11"/>
  <c r="X916" i="11"/>
  <c r="Y916" i="11"/>
  <c r="W917" i="11"/>
  <c r="X917" i="11"/>
  <c r="Y917" i="11"/>
  <c r="W918" i="11"/>
  <c r="X918" i="11"/>
  <c r="Y918" i="11"/>
  <c r="W919" i="11"/>
  <c r="X919" i="11"/>
  <c r="Y919" i="11"/>
  <c r="W920" i="11"/>
  <c r="X920" i="11"/>
  <c r="Y920" i="11"/>
  <c r="W921" i="11"/>
  <c r="X921" i="11"/>
  <c r="Y921" i="11"/>
  <c r="W922" i="11"/>
  <c r="X922" i="11"/>
  <c r="Y922" i="11"/>
  <c r="W923" i="11"/>
  <c r="X923" i="11"/>
  <c r="Y923" i="11"/>
  <c r="W924" i="11"/>
  <c r="X924" i="11"/>
  <c r="Y924" i="11"/>
  <c r="W925" i="11"/>
  <c r="X925" i="11"/>
  <c r="Y925" i="11"/>
  <c r="W926" i="11"/>
  <c r="X926" i="11"/>
  <c r="Y926" i="11"/>
  <c r="Y2" i="11"/>
  <c r="X2" i="11"/>
  <c r="W2" i="11"/>
  <c r="P74" i="9"/>
  <c r="K113" i="7" l="1"/>
  <c r="K131" i="7"/>
  <c r="K187" i="7"/>
  <c r="K15" i="7"/>
  <c r="K671" i="7"/>
  <c r="K670" i="7"/>
  <c r="K220" i="7"/>
  <c r="K844" i="7"/>
  <c r="K260" i="7"/>
  <c r="K78" i="7"/>
  <c r="K175" i="7"/>
  <c r="K669" i="7"/>
  <c r="K69" i="7"/>
  <c r="K668" i="7"/>
  <c r="K101" i="7"/>
  <c r="K731" i="7"/>
  <c r="K200" i="7"/>
  <c r="K667" i="7"/>
  <c r="K210" i="7"/>
  <c r="K666" i="7"/>
  <c r="K665" i="7"/>
  <c r="K895" i="7"/>
  <c r="K289" i="7"/>
  <c r="K127" i="7"/>
  <c r="K120" i="7"/>
  <c r="K664" i="7"/>
  <c r="K663" i="7"/>
  <c r="K110" i="7"/>
  <c r="K742" i="7"/>
  <c r="K339" i="7"/>
  <c r="K280" i="7"/>
  <c r="K26" i="7"/>
  <c r="K856" i="7"/>
  <c r="K389" i="7"/>
  <c r="K713" i="7"/>
  <c r="K326" i="7"/>
  <c r="K899" i="7"/>
  <c r="K703" i="7"/>
  <c r="K761" i="7"/>
  <c r="K818" i="7"/>
  <c r="K712" i="7"/>
  <c r="K662" i="7"/>
  <c r="K191" i="7"/>
  <c r="K661" i="7"/>
  <c r="K804" i="7"/>
  <c r="K221" i="7"/>
  <c r="K817" i="7"/>
  <c r="K920" i="7"/>
  <c r="K206" i="7"/>
  <c r="K211" i="7"/>
  <c r="K660" i="7"/>
  <c r="K196" i="7"/>
  <c r="K885" i="7"/>
  <c r="K659" i="7"/>
  <c r="K889" i="7"/>
  <c r="K59" i="7"/>
  <c r="K301" i="7"/>
  <c r="K171" i="7"/>
  <c r="K658" i="7"/>
  <c r="K657" i="7"/>
  <c r="K897" i="7"/>
  <c r="K803" i="7"/>
  <c r="K345" i="7"/>
  <c r="K656" i="7"/>
  <c r="K655" i="7"/>
  <c r="K654" i="7"/>
  <c r="K107" i="7"/>
  <c r="K653" i="7"/>
  <c r="K741" i="7"/>
  <c r="K652" i="7"/>
  <c r="K651" i="7"/>
  <c r="K689" i="7"/>
  <c r="K778" i="7"/>
  <c r="K650" i="7"/>
  <c r="K22" i="7"/>
  <c r="K227" i="7"/>
  <c r="K740" i="7"/>
  <c r="K649" i="7"/>
  <c r="K648" i="7"/>
  <c r="K647" i="7"/>
  <c r="K646" i="7"/>
  <c r="K645" i="7"/>
  <c r="K711" i="7"/>
  <c r="K878" i="7"/>
  <c r="K644" i="7"/>
  <c r="K295" i="7"/>
  <c r="K643" i="7"/>
  <c r="K642" i="7"/>
  <c r="K785" i="7"/>
  <c r="K641" i="7"/>
  <c r="K688" i="7"/>
  <c r="K807" i="7"/>
  <c r="K640" i="7"/>
  <c r="K639" i="7"/>
  <c r="K861" i="7"/>
  <c r="K146" i="7"/>
  <c r="K638" i="7"/>
  <c r="K881" i="7"/>
  <c r="K637" i="7"/>
  <c r="K784" i="7"/>
  <c r="K636" i="7"/>
  <c r="K635" i="7"/>
  <c r="K634" i="7"/>
  <c r="K633" i="7"/>
  <c r="K632" i="7"/>
  <c r="K631" i="7"/>
  <c r="K630" i="7"/>
  <c r="K629" i="7"/>
  <c r="K687" i="7"/>
  <c r="K267" i="7"/>
  <c r="K628" i="7"/>
  <c r="K842" i="7"/>
  <c r="K627" i="7"/>
  <c r="K626" i="7"/>
  <c r="K883" i="7"/>
  <c r="K338" i="7"/>
  <c r="K625" i="7"/>
  <c r="K624" i="7"/>
  <c r="K623" i="7"/>
  <c r="K622" i="7"/>
  <c r="K621" i="7"/>
  <c r="K620" i="7"/>
  <c r="K619" i="7"/>
  <c r="K739" i="7"/>
  <c r="K34" i="7"/>
  <c r="K618" i="7"/>
  <c r="K617" i="7"/>
  <c r="K616" i="7"/>
  <c r="K760" i="7"/>
  <c r="K855" i="7"/>
  <c r="K615" i="7"/>
  <c r="K702" i="7"/>
  <c r="K850" i="7"/>
  <c r="K877" i="7"/>
  <c r="K836" i="7"/>
  <c r="K701" i="7"/>
  <c r="K686" i="7"/>
  <c r="K614" i="7"/>
  <c r="K229" i="7"/>
  <c r="K613" i="7"/>
  <c r="K816" i="7"/>
  <c r="K612" i="7"/>
  <c r="K611" i="7"/>
  <c r="K610" i="7"/>
  <c r="K777" i="7"/>
  <c r="K802" i="7"/>
  <c r="K609" i="7"/>
  <c r="K608" i="7"/>
  <c r="K607" i="7"/>
  <c r="K730" i="7"/>
  <c r="K606" i="7"/>
  <c r="K815" i="7"/>
  <c r="K738" i="7"/>
  <c r="K869" i="7"/>
  <c r="K605" i="7"/>
  <c r="K363" i="7"/>
  <c r="K604" i="7"/>
  <c r="K685" i="7"/>
  <c r="K759" i="7"/>
  <c r="K903" i="7"/>
  <c r="K603" i="7"/>
  <c r="K337" i="7"/>
  <c r="K27" i="7"/>
  <c r="K602" i="7"/>
  <c r="K322" i="7"/>
  <c r="K388" i="7"/>
  <c r="K88" i="7"/>
  <c r="K296" i="7"/>
  <c r="K234" i="7"/>
  <c r="K915" i="7"/>
  <c r="K370" i="7"/>
  <c r="K71" i="7"/>
  <c r="K913" i="7"/>
  <c r="K601" i="7"/>
  <c r="K684" i="7"/>
  <c r="K282" i="7"/>
  <c r="K600" i="7"/>
  <c r="K98" i="7"/>
  <c r="K329" i="7"/>
  <c r="K907" i="7"/>
  <c r="K737" i="7"/>
  <c r="K599" i="7"/>
  <c r="K598" i="7"/>
  <c r="K597" i="7"/>
  <c r="K596" i="7"/>
  <c r="K595" i="7"/>
  <c r="K783" i="7"/>
  <c r="K594" i="7"/>
  <c r="K593" i="7"/>
  <c r="K900" i="7"/>
  <c r="K592" i="7"/>
  <c r="K319" i="7"/>
  <c r="K103" i="7"/>
  <c r="K591" i="7"/>
  <c r="K380" i="7"/>
  <c r="K219" i="7"/>
  <c r="K794" i="7"/>
  <c r="K283" i="7"/>
  <c r="K115" i="7"/>
  <c r="K590" i="7"/>
  <c r="K2" i="7"/>
  <c r="K589" i="7"/>
  <c r="K806" i="7"/>
  <c r="K841" i="7"/>
  <c r="K332" i="7"/>
  <c r="K588" i="7"/>
  <c r="K324" i="7"/>
  <c r="K587" i="7"/>
  <c r="K364" i="7"/>
  <c r="K782" i="7"/>
  <c r="K586" i="7"/>
  <c r="K585" i="7"/>
  <c r="K683" i="7"/>
  <c r="K243" i="7"/>
  <c r="K584" i="7"/>
  <c r="K904" i="7"/>
  <c r="K62" i="7"/>
  <c r="K583" i="7"/>
  <c r="K793" i="7"/>
  <c r="K123" i="7"/>
  <c r="K334" i="7"/>
  <c r="K102" i="7"/>
  <c r="K909" i="7"/>
  <c r="K766" i="7"/>
  <c r="K860" i="7"/>
  <c r="K155" i="7"/>
  <c r="K89" i="7"/>
  <c r="K277" i="7"/>
  <c r="K112" i="7"/>
  <c r="K582" i="7"/>
  <c r="K581" i="7"/>
  <c r="K379" i="7"/>
  <c r="K580" i="7"/>
  <c r="K579" i="7"/>
  <c r="K765" i="7"/>
  <c r="K700" i="7"/>
  <c r="K892" i="7"/>
  <c r="K578" i="7"/>
  <c r="K577" i="7"/>
  <c r="K576" i="7"/>
  <c r="K729" i="7"/>
  <c r="K352" i="7"/>
  <c r="K682" i="7"/>
  <c r="K575" i="7"/>
  <c r="K111" i="7"/>
  <c r="K574" i="7"/>
  <c r="K728" i="7"/>
  <c r="K710" i="7"/>
  <c r="K898" i="7"/>
  <c r="K801" i="7"/>
  <c r="K916" i="7"/>
  <c r="K832" i="7"/>
  <c r="K199" i="7"/>
  <c r="K573" i="7"/>
  <c r="K125" i="7"/>
  <c r="K572" i="7"/>
  <c r="K770" i="7"/>
  <c r="K263" i="7"/>
  <c r="K882" i="7"/>
  <c r="K571" i="7"/>
  <c r="K872" i="7"/>
  <c r="K163" i="7"/>
  <c r="K281" i="7"/>
  <c r="K849" i="7"/>
  <c r="K570" i="7"/>
  <c r="K294" i="7"/>
  <c r="K569" i="7"/>
  <c r="K727" i="7"/>
  <c r="K835" i="7"/>
  <c r="K848" i="7"/>
  <c r="K776" i="7"/>
  <c r="K176" i="7"/>
  <c r="K568" i="7"/>
  <c r="K715" i="7"/>
  <c r="K567" i="7"/>
  <c r="K8" i="7"/>
  <c r="K68" i="7"/>
  <c r="K262" i="7"/>
  <c r="K795" i="7"/>
  <c r="K566" i="7"/>
  <c r="K879" i="7"/>
  <c r="K565" i="7"/>
  <c r="K198" i="7"/>
  <c r="K847" i="7"/>
  <c r="K846" i="7"/>
  <c r="K564" i="7"/>
  <c r="K563" i="7"/>
  <c r="K825" i="7"/>
  <c r="K562" i="7"/>
  <c r="K561" i="7"/>
  <c r="K560" i="7"/>
  <c r="K182" i="7"/>
  <c r="K559" i="7"/>
  <c r="K151" i="7"/>
  <c r="K360" i="7"/>
  <c r="K558" i="7"/>
  <c r="K811" i="7"/>
  <c r="K557" i="7"/>
  <c r="K556" i="7"/>
  <c r="K555" i="7"/>
  <c r="K554" i="7"/>
  <c r="K553" i="7"/>
  <c r="K923" i="7"/>
  <c r="K552" i="7"/>
  <c r="K551" i="7"/>
  <c r="K20" i="7"/>
  <c r="K781" i="7"/>
  <c r="K80" i="7"/>
  <c r="K266" i="7"/>
  <c r="K550" i="7"/>
  <c r="K321" i="7"/>
  <c r="K549" i="7"/>
  <c r="K548" i="7"/>
  <c r="K547" i="7"/>
  <c r="K203" i="7"/>
  <c r="K307" i="7"/>
  <c r="K230" i="7"/>
  <c r="K300" i="7"/>
  <c r="K61" i="7"/>
  <c r="K858" i="7"/>
  <c r="K546" i="7"/>
  <c r="K911" i="7"/>
  <c r="K545" i="7"/>
  <c r="K371" i="7"/>
  <c r="K544" i="7"/>
  <c r="K83" i="7"/>
  <c r="K543" i="7"/>
  <c r="K758" i="7"/>
  <c r="K542" i="7"/>
  <c r="K726" i="7"/>
  <c r="K541" i="7"/>
  <c r="K256" i="7"/>
  <c r="K905" i="7"/>
  <c r="K273" i="7"/>
  <c r="K378" i="7"/>
  <c r="K888" i="7"/>
  <c r="K93" i="7"/>
  <c r="K4" i="7"/>
  <c r="K124" i="7"/>
  <c r="K169" i="7"/>
  <c r="K275" i="7"/>
  <c r="K343" i="7"/>
  <c r="K540" i="7"/>
  <c r="K757" i="7"/>
  <c r="K681" i="7"/>
  <c r="K539" i="7"/>
  <c r="K810" i="7"/>
  <c r="K292" i="7"/>
  <c r="K822" i="7"/>
  <c r="K28" i="7"/>
  <c r="K919" i="7"/>
  <c r="K538" i="7"/>
  <c r="K824" i="7"/>
  <c r="K375" i="7"/>
  <c r="K894" i="7"/>
  <c r="K304" i="7"/>
  <c r="K873" i="7"/>
  <c r="K908" i="7"/>
  <c r="K537" i="7"/>
  <c r="K536" i="7"/>
  <c r="K367" i="7"/>
  <c r="K535" i="7"/>
  <c r="K736" i="7"/>
  <c r="K834" i="7"/>
  <c r="K368" i="7"/>
  <c r="K534" i="7"/>
  <c r="K533" i="7"/>
  <c r="K204" i="7"/>
  <c r="K532" i="7"/>
  <c r="K531" i="7"/>
  <c r="K725" i="7"/>
  <c r="K800" i="7"/>
  <c r="K735" i="7"/>
  <c r="K530" i="7"/>
  <c r="K529" i="7"/>
  <c r="K528" i="7"/>
  <c r="K840" i="7"/>
  <c r="K527" i="7"/>
  <c r="K734" i="7"/>
  <c r="K680" i="7"/>
  <c r="K679" i="7"/>
  <c r="K814" i="7"/>
  <c r="K709" i="7"/>
  <c r="K526" i="7"/>
  <c r="K525" i="7"/>
  <c r="K362" i="7"/>
  <c r="K830" i="7"/>
  <c r="K524" i="7"/>
  <c r="K374" i="7"/>
  <c r="K829" i="7"/>
  <c r="K523" i="7"/>
  <c r="K820" i="7"/>
  <c r="K82" i="7"/>
  <c r="K839" i="7"/>
  <c r="K522" i="7"/>
  <c r="K792" i="7"/>
  <c r="K724" i="7"/>
  <c r="K843" i="7"/>
  <c r="K791" i="7"/>
  <c r="K865" i="7"/>
  <c r="K215" i="7"/>
  <c r="K521" i="7"/>
  <c r="K520" i="7"/>
  <c r="K756" i="7"/>
  <c r="K868" i="7"/>
  <c r="K699" i="7"/>
  <c r="K519" i="7"/>
  <c r="K518" i="7"/>
  <c r="K809" i="7"/>
  <c r="K838" i="7"/>
  <c r="K372" i="7"/>
  <c r="K517" i="7"/>
  <c r="K813" i="7"/>
  <c r="K698" i="7"/>
  <c r="K516" i="7"/>
  <c r="K515" i="7"/>
  <c r="K514" i="7"/>
  <c r="K66" i="7"/>
  <c r="K386" i="7"/>
  <c r="K513" i="7"/>
  <c r="K828" i="7"/>
  <c r="K799" i="7"/>
  <c r="K512" i="7"/>
  <c r="K511" i="7"/>
  <c r="K510" i="7"/>
  <c r="K509" i="7"/>
  <c r="K508" i="7"/>
  <c r="K293" i="7"/>
  <c r="K507" i="7"/>
  <c r="K924" i="7"/>
  <c r="K506" i="7"/>
  <c r="K505" i="7"/>
  <c r="K166" i="7"/>
  <c r="K149" i="7"/>
  <c r="K504" i="7"/>
  <c r="K503" i="7"/>
  <c r="K790" i="7"/>
  <c r="K502" i="7"/>
  <c r="K823" i="7"/>
  <c r="K79" i="7"/>
  <c r="K501" i="7"/>
  <c r="K382" i="7"/>
  <c r="K500" i="7"/>
  <c r="K775" i="7"/>
  <c r="K351" i="7"/>
  <c r="K499" i="7"/>
  <c r="K276" i="7"/>
  <c r="K925" i="7"/>
  <c r="K5" i="7"/>
  <c r="K678" i="7"/>
  <c r="K152" i="7"/>
  <c r="K780" i="7"/>
  <c r="K498" i="7"/>
  <c r="K369" i="7"/>
  <c r="K890" i="7"/>
  <c r="K497" i="7"/>
  <c r="K496" i="7"/>
  <c r="K831" i="7"/>
  <c r="K764" i="7"/>
  <c r="K353" i="7"/>
  <c r="K755" i="7"/>
  <c r="K495" i="7"/>
  <c r="K774" i="7"/>
  <c r="K864" i="7"/>
  <c r="K494" i="7"/>
  <c r="K493" i="7"/>
  <c r="K185" i="7"/>
  <c r="K31" i="7"/>
  <c r="K812" i="7"/>
  <c r="K852" i="7"/>
  <c r="K723" i="7"/>
  <c r="K333" i="7"/>
  <c r="K65" i="7"/>
  <c r="K769" i="7"/>
  <c r="K805" i="7"/>
  <c r="K359" i="7"/>
  <c r="K492" i="7"/>
  <c r="K138" i="7"/>
  <c r="K195" i="7"/>
  <c r="K299" i="7"/>
  <c r="K708" i="7"/>
  <c r="K827" i="7"/>
  <c r="K491" i="7"/>
  <c r="K381" i="7"/>
  <c r="K312" i="7"/>
  <c r="K209" i="7"/>
  <c r="K323" i="7"/>
  <c r="K143" i="7"/>
  <c r="K63" i="7"/>
  <c r="K84" i="7"/>
  <c r="K754" i="7"/>
  <c r="K377" i="7"/>
  <c r="K887" i="7"/>
  <c r="K325" i="7"/>
  <c r="K290" i="7"/>
  <c r="K40" i="7"/>
  <c r="K17" i="7"/>
  <c r="K490" i="7"/>
  <c r="K489" i="7"/>
  <c r="K796" i="7"/>
  <c r="K753" i="7"/>
  <c r="K488" i="7"/>
  <c r="K278" i="7"/>
  <c r="K870" i="7"/>
  <c r="K487" i="7"/>
  <c r="K56" i="7"/>
  <c r="K863" i="7"/>
  <c r="K486" i="7"/>
  <c r="K104" i="7"/>
  <c r="K851" i="7"/>
  <c r="K160" i="7"/>
  <c r="K134" i="7"/>
  <c r="K859" i="7"/>
  <c r="K714" i="7"/>
  <c r="K354" i="7"/>
  <c r="K485" i="7"/>
  <c r="K484" i="7"/>
  <c r="K483" i="7"/>
  <c r="K350" i="7"/>
  <c r="K349" i="7"/>
  <c r="K482" i="7"/>
  <c r="K64" i="7"/>
  <c r="K232" i="7"/>
  <c r="K481" i="7"/>
  <c r="K190" i="7"/>
  <c r="K480" i="7"/>
  <c r="K265" i="7"/>
  <c r="K132" i="7"/>
  <c r="K479" i="7"/>
  <c r="K478" i="7"/>
  <c r="K722" i="7"/>
  <c r="K752" i="7"/>
  <c r="K893" i="7"/>
  <c r="K477" i="7"/>
  <c r="K866" i="7"/>
  <c r="K476" i="7"/>
  <c r="K896" i="7"/>
  <c r="K475" i="7"/>
  <c r="K246" i="7"/>
  <c r="K902" i="7"/>
  <c r="K833" i="7"/>
  <c r="K808" i="7"/>
  <c r="K173" i="7"/>
  <c r="K241" i="7"/>
  <c r="K474" i="7"/>
  <c r="K240" i="7"/>
  <c r="K473" i="7"/>
  <c r="K926" i="7"/>
  <c r="K472" i="7"/>
  <c r="K174" i="7"/>
  <c r="K144" i="7"/>
  <c r="K184" i="7"/>
  <c r="K16" i="7"/>
  <c r="K471" i="7"/>
  <c r="K44" i="7"/>
  <c r="K197" i="7"/>
  <c r="K779" i="7"/>
  <c r="K255" i="7"/>
  <c r="K75" i="7"/>
  <c r="K74" i="7"/>
  <c r="K876" i="7"/>
  <c r="K358" i="7"/>
  <c r="K130" i="7"/>
  <c r="K305" i="7"/>
  <c r="K180" i="7"/>
  <c r="K129" i="7"/>
  <c r="K36" i="7"/>
  <c r="K67" i="7"/>
  <c r="K697" i="7"/>
  <c r="K317" i="7"/>
  <c r="K773" i="7"/>
  <c r="K335" i="7"/>
  <c r="K77" i="7"/>
  <c r="K751" i="7"/>
  <c r="K340" i="7"/>
  <c r="K239" i="7"/>
  <c r="K244" i="7"/>
  <c r="K223" i="7"/>
  <c r="K361" i="7"/>
  <c r="K178" i="7"/>
  <c r="K285" i="7"/>
  <c r="K721" i="7"/>
  <c r="K819" i="7"/>
  <c r="K886" i="7"/>
  <c r="K470" i="7"/>
  <c r="K469" i="7"/>
  <c r="K468" i="7"/>
  <c r="K168" i="7"/>
  <c r="K248" i="7"/>
  <c r="K467" i="7"/>
  <c r="K376" i="7"/>
  <c r="K875" i="7"/>
  <c r="K696" i="7"/>
  <c r="K845" i="7"/>
  <c r="K707" i="7"/>
  <c r="K466" i="7"/>
  <c r="K465" i="7"/>
  <c r="K854" i="7"/>
  <c r="K706" i="7"/>
  <c r="K464" i="7"/>
  <c r="K463" i="7"/>
  <c r="K677" i="7"/>
  <c r="K161" i="7"/>
  <c r="K462" i="7"/>
  <c r="K269" i="7"/>
  <c r="K309" i="7"/>
  <c r="K348" i="7"/>
  <c r="K461" i="7"/>
  <c r="K460" i="7"/>
  <c r="K910" i="7"/>
  <c r="K459" i="7"/>
  <c r="K458" i="7"/>
  <c r="K212" i="7"/>
  <c r="K87" i="7"/>
  <c r="K457" i="7"/>
  <c r="K257" i="7"/>
  <c r="K676" i="7"/>
  <c r="K675" i="7"/>
  <c r="K705" i="7"/>
  <c r="K917" i="7"/>
  <c r="K695" i="7"/>
  <c r="K456" i="7"/>
  <c r="K192" i="7"/>
  <c r="K789" i="7"/>
  <c r="K694" i="7"/>
  <c r="K455" i="7"/>
  <c r="K454" i="7"/>
  <c r="K922" i="7"/>
  <c r="K453" i="7"/>
  <c r="K853" i="7"/>
  <c r="K452" i="7"/>
  <c r="K336" i="7"/>
  <c r="K451" i="7"/>
  <c r="K450" i="7"/>
  <c r="K357" i="7"/>
  <c r="K750" i="7"/>
  <c r="K874" i="7"/>
  <c r="K449" i="7"/>
  <c r="K448" i="7"/>
  <c r="K768" i="7"/>
  <c r="K447" i="7"/>
  <c r="K891" i="7"/>
  <c r="K749" i="7"/>
  <c r="K177" i="7"/>
  <c r="K21" i="7"/>
  <c r="K91" i="7"/>
  <c r="K826" i="7"/>
  <c r="K249" i="7"/>
  <c r="K720" i="7"/>
  <c r="K118" i="7"/>
  <c r="K99" i="7"/>
  <c r="K85" i="7"/>
  <c r="K94" i="7"/>
  <c r="K109" i="7"/>
  <c r="K446" i="7"/>
  <c r="K921" i="7"/>
  <c r="K128" i="7"/>
  <c r="K445" i="7"/>
  <c r="K385" i="7"/>
  <c r="K261" i="7"/>
  <c r="K341" i="7"/>
  <c r="K288" i="7"/>
  <c r="K164" i="7"/>
  <c r="K444" i="7"/>
  <c r="K231" i="7"/>
  <c r="K443" i="7"/>
  <c r="K719" i="7"/>
  <c r="K270" i="7"/>
  <c r="K201" i="7"/>
  <c r="K19" i="7"/>
  <c r="K442" i="7"/>
  <c r="K55" i="7"/>
  <c r="K13" i="7"/>
  <c r="K136" i="7"/>
  <c r="K97" i="7"/>
  <c r="K441" i="7"/>
  <c r="K126" i="7"/>
  <c r="K788" i="7"/>
  <c r="K718" i="7"/>
  <c r="K216" i="7"/>
  <c r="K70" i="7"/>
  <c r="K183" i="7"/>
  <c r="K24" i="7"/>
  <c r="K440" i="7"/>
  <c r="K439" i="7"/>
  <c r="K153" i="7"/>
  <c r="K912" i="7"/>
  <c r="K438" i="7"/>
  <c r="K29" i="7"/>
  <c r="K437" i="7"/>
  <c r="K291" i="7"/>
  <c r="K436" i="7"/>
  <c r="K435" i="7"/>
  <c r="K434" i="7"/>
  <c r="K142" i="7"/>
  <c r="K108" i="7"/>
  <c r="K49" i="7"/>
  <c r="K252" i="7"/>
  <c r="K433" i="7"/>
  <c r="K880" i="7"/>
  <c r="K693" i="7"/>
  <c r="K884" i="7"/>
  <c r="K432" i="7"/>
  <c r="K86" i="7"/>
  <c r="K347" i="7"/>
  <c r="K431" i="7"/>
  <c r="K430" i="7"/>
  <c r="K172" i="7"/>
  <c r="K122" i="7"/>
  <c r="K251" i="7"/>
  <c r="K429" i="7"/>
  <c r="K428" i="7"/>
  <c r="K162" i="7"/>
  <c r="K47" i="7"/>
  <c r="K302" i="7"/>
  <c r="K202" i="7"/>
  <c r="K748" i="7"/>
  <c r="K284" i="7"/>
  <c r="K233" i="7"/>
  <c r="K314" i="7"/>
  <c r="K427" i="7"/>
  <c r="K426" i="7"/>
  <c r="K137" i="7"/>
  <c r="K235" i="7"/>
  <c r="K42" i="7"/>
  <c r="K100" i="7"/>
  <c r="K271" i="7"/>
  <c r="K297" i="7"/>
  <c r="K90" i="7"/>
  <c r="K33" i="7"/>
  <c r="K743" i="7"/>
  <c r="K32" i="7"/>
  <c r="K25" i="7"/>
  <c r="K274" i="7"/>
  <c r="K425" i="7"/>
  <c r="K135" i="7"/>
  <c r="K247" i="7"/>
  <c r="K346" i="7"/>
  <c r="K772" i="7"/>
  <c r="K208" i="7"/>
  <c r="K11" i="7"/>
  <c r="K331" i="7"/>
  <c r="K37" i="7"/>
  <c r="K116" i="7"/>
  <c r="K95" i="7"/>
  <c r="K366" i="7"/>
  <c r="K23" i="7"/>
  <c r="K424" i="7"/>
  <c r="K316" i="7"/>
  <c r="K356" i="7"/>
  <c r="K328" i="7"/>
  <c r="K692" i="7"/>
  <c r="K365" i="7"/>
  <c r="K139" i="7"/>
  <c r="K150" i="7"/>
  <c r="K12" i="7"/>
  <c r="K58" i="7"/>
  <c r="K344" i="7"/>
  <c r="K114" i="7"/>
  <c r="K287" i="7"/>
  <c r="K60" i="7"/>
  <c r="K423" i="7"/>
  <c r="K253" i="7"/>
  <c r="K373" i="7"/>
  <c r="K422" i="7"/>
  <c r="K154" i="7"/>
  <c r="K245" i="7"/>
  <c r="K837" i="7"/>
  <c r="K308" i="7"/>
  <c r="K387" i="7"/>
  <c r="K264" i="7"/>
  <c r="K57" i="7"/>
  <c r="K867" i="7"/>
  <c r="K224" i="7"/>
  <c r="K222" i="7"/>
  <c r="K320" i="7"/>
  <c r="K421" i="7"/>
  <c r="K674" i="7"/>
  <c r="K76" i="7"/>
  <c r="K763" i="7"/>
  <c r="K420" i="7"/>
  <c r="K419" i="7"/>
  <c r="K418" i="7"/>
  <c r="K141" i="7"/>
  <c r="K158" i="7"/>
  <c r="K157" i="7"/>
  <c r="K53" i="7"/>
  <c r="K310" i="7"/>
  <c r="K148" i="7"/>
  <c r="K673" i="7"/>
  <c r="K186" i="7"/>
  <c r="K330" i="7"/>
  <c r="K92" i="7"/>
  <c r="K417" i="7"/>
  <c r="K121" i="7"/>
  <c r="K311" i="7"/>
  <c r="K105" i="7"/>
  <c r="K416" i="7"/>
  <c r="K798" i="7"/>
  <c r="K194" i="7"/>
  <c r="K170" i="7"/>
  <c r="K327" i="7"/>
  <c r="K156" i="7"/>
  <c r="K14" i="7"/>
  <c r="K45" i="7"/>
  <c r="K30" i="7"/>
  <c r="K167" i="7"/>
  <c r="K39" i="7"/>
  <c r="K145" i="7"/>
  <c r="K236" i="7"/>
  <c r="K250" i="7"/>
  <c r="K787" i="7"/>
  <c r="K415" i="7"/>
  <c r="K414" i="7"/>
  <c r="K733" i="7"/>
  <c r="K238" i="7"/>
  <c r="K767" i="7"/>
  <c r="K48" i="7"/>
  <c r="K413" i="7"/>
  <c r="K412" i="7"/>
  <c r="K857" i="7"/>
  <c r="K35" i="7"/>
  <c r="K73" i="7"/>
  <c r="K717" i="7"/>
  <c r="K50" i="7"/>
  <c r="K217" i="7"/>
  <c r="K147" i="7"/>
  <c r="K871" i="7"/>
  <c r="K51" i="7"/>
  <c r="K3" i="7"/>
  <c r="K315" i="7"/>
  <c r="K411" i="7"/>
  <c r="K747" i="7"/>
  <c r="K410" i="7"/>
  <c r="K716" i="7"/>
  <c r="K218" i="7"/>
  <c r="K409" i="7"/>
  <c r="K408" i="7"/>
  <c r="K18" i="7"/>
  <c r="K159" i="7"/>
  <c r="K407" i="7"/>
  <c r="K254" i="7"/>
  <c r="K746" i="7"/>
  <c r="K406" i="7"/>
  <c r="K117" i="7"/>
  <c r="K313" i="7"/>
  <c r="K140" i="7"/>
  <c r="K405" i="7"/>
  <c r="K797" i="7"/>
  <c r="K914" i="7"/>
  <c r="K298" i="7"/>
  <c r="K762" i="7"/>
  <c r="K404" i="7"/>
  <c r="K342" i="7"/>
  <c r="K43" i="7"/>
  <c r="K268" i="7"/>
  <c r="K41" i="7"/>
  <c r="K672" i="7"/>
  <c r="K213" i="7"/>
  <c r="K10" i="7"/>
  <c r="K9" i="7"/>
  <c r="K403" i="7"/>
  <c r="K81" i="7"/>
  <c r="K318" i="7"/>
  <c r="K189" i="7"/>
  <c r="K6" i="7"/>
  <c r="K7" i="7"/>
  <c r="K286" i="7"/>
  <c r="K402" i="7"/>
  <c r="K188" i="7"/>
  <c r="K205" i="7"/>
  <c r="K732" i="7"/>
  <c r="K401" i="7"/>
  <c r="K906" i="7"/>
  <c r="K179" i="7"/>
  <c r="K691" i="7"/>
  <c r="K745" i="7"/>
  <c r="K46" i="7"/>
  <c r="K400" i="7"/>
  <c r="K399" i="7"/>
  <c r="K384" i="7"/>
  <c r="K52" i="7"/>
  <c r="K918" i="7"/>
  <c r="K398" i="7"/>
  <c r="K383" i="7"/>
  <c r="K207" i="7"/>
  <c r="K771" i="7"/>
  <c r="K303" i="7"/>
  <c r="K38" i="7"/>
  <c r="K54" i="7"/>
  <c r="K96" i="7"/>
  <c r="K397" i="7"/>
  <c r="K396" i="7"/>
  <c r="K181" i="7"/>
  <c r="K72" i="7"/>
  <c r="K306" i="7"/>
  <c r="K690" i="7"/>
  <c r="K355" i="7"/>
  <c r="K395" i="7"/>
  <c r="K193" i="7"/>
  <c r="K901" i="7"/>
  <c r="K133" i="7"/>
  <c r="K394" i="7"/>
  <c r="K279" i="7"/>
  <c r="K821" i="7"/>
  <c r="K393" i="7"/>
  <c r="K392" i="7"/>
  <c r="K272" i="7"/>
  <c r="K391" i="7"/>
  <c r="K214" i="7"/>
  <c r="K106" i="7"/>
  <c r="K119" i="7"/>
  <c r="K704" i="7"/>
  <c r="K165" i="7"/>
  <c r="K744" i="7"/>
  <c r="K237" i="7"/>
  <c r="K786" i="7"/>
  <c r="K390" i="7"/>
  <c r="K225" i="7"/>
  <c r="K258" i="7"/>
  <c r="K226" i="7"/>
  <c r="K242" i="7"/>
  <c r="K259" i="7"/>
  <c r="K228" i="7"/>
  <c r="K862" i="7"/>
  <c r="K668" i="6"/>
  <c r="K761" i="6"/>
  <c r="K809" i="6"/>
  <c r="K691" i="6"/>
  <c r="K725" i="6"/>
  <c r="K564" i="6"/>
  <c r="K884" i="6"/>
  <c r="K580" i="6"/>
  <c r="K563" i="6"/>
  <c r="K763" i="6"/>
  <c r="K774" i="6"/>
  <c r="K678" i="6"/>
  <c r="K853" i="6"/>
  <c r="K562" i="6"/>
  <c r="K744" i="6"/>
  <c r="K858" i="6"/>
  <c r="K658" i="6"/>
  <c r="K792" i="6"/>
  <c r="K865" i="6"/>
  <c r="K561" i="6"/>
  <c r="K612" i="6"/>
  <c r="K904" i="6"/>
  <c r="K740" i="6"/>
  <c r="K593" i="6"/>
  <c r="K560" i="6"/>
  <c r="K752" i="6"/>
  <c r="K822" i="6"/>
  <c r="K731" i="6"/>
  <c r="K833" i="6"/>
  <c r="K877" i="6"/>
  <c r="K559" i="6"/>
  <c r="K760" i="6"/>
  <c r="K646" i="6"/>
  <c r="K730" i="6"/>
  <c r="K558" i="6"/>
  <c r="K592" i="6"/>
  <c r="K686" i="6"/>
  <c r="K777" i="6"/>
  <c r="K557" i="6"/>
  <c r="K639" i="6"/>
  <c r="K821" i="6"/>
  <c r="K556" i="6"/>
  <c r="K677" i="6"/>
  <c r="K812" i="6"/>
  <c r="K910" i="6"/>
  <c r="K555" i="6"/>
  <c r="K661" i="6"/>
  <c r="K667" i="6"/>
  <c r="K554" i="6"/>
  <c r="K553" i="6"/>
  <c r="K552" i="6"/>
  <c r="K551" i="6"/>
  <c r="K780" i="6"/>
  <c r="K611" i="6"/>
  <c r="K724" i="6"/>
  <c r="K550" i="6"/>
  <c r="K808" i="6"/>
  <c r="K549" i="6"/>
  <c r="K704" i="6"/>
  <c r="K548" i="6"/>
  <c r="K547" i="6"/>
  <c r="K870" i="6"/>
  <c r="K676" i="6"/>
  <c r="K579" i="6"/>
  <c r="K729" i="6"/>
  <c r="K723" i="6"/>
  <c r="K546" i="6"/>
  <c r="K545" i="6"/>
  <c r="K685" i="6"/>
  <c r="K620" i="6"/>
  <c r="K578" i="6"/>
  <c r="K544" i="6"/>
  <c r="K901" i="6"/>
  <c r="K624" i="6"/>
  <c r="K675" i="6"/>
  <c r="K840" i="6"/>
  <c r="K674" i="6"/>
  <c r="K543" i="6"/>
  <c r="K657" i="6"/>
  <c r="K610" i="6"/>
  <c r="K577" i="6"/>
  <c r="K609" i="6"/>
  <c r="K608" i="6"/>
  <c r="K817" i="6"/>
  <c r="K607" i="6"/>
  <c r="K886" i="6"/>
  <c r="K542" i="6"/>
  <c r="K759" i="6"/>
  <c r="K689" i="6"/>
  <c r="K619" i="6"/>
  <c r="K541" i="6"/>
  <c r="K839" i="6"/>
  <c r="K734" i="6"/>
  <c r="K681" i="6"/>
  <c r="K849" i="6"/>
  <c r="K907" i="6"/>
  <c r="K722" i="6"/>
  <c r="K673" i="6"/>
  <c r="K576" i="6"/>
  <c r="K540" i="6"/>
  <c r="K539" i="6"/>
  <c r="K703" i="6"/>
  <c r="K575" i="6"/>
  <c r="K811" i="6"/>
  <c r="K751" i="6"/>
  <c r="K538" i="6"/>
  <c r="K680" i="6"/>
  <c r="K869" i="6"/>
  <c r="K537" i="6"/>
  <c r="K787" i="6"/>
  <c r="K536" i="6"/>
  <c r="K645" i="6"/>
  <c r="K618" i="6"/>
  <c r="K535" i="6"/>
  <c r="K921" i="6"/>
  <c r="K739" i="6"/>
  <c r="K591" i="6"/>
  <c r="K534" i="6"/>
  <c r="K533" i="6"/>
  <c r="K532" i="6"/>
  <c r="K779" i="6"/>
  <c r="K922" i="6"/>
  <c r="K769" i="6"/>
  <c r="K531" i="6"/>
  <c r="K530" i="6"/>
  <c r="K758" i="6"/>
  <c r="K815" i="6"/>
  <c r="K529" i="6"/>
  <c r="K528" i="6"/>
  <c r="K679" i="6"/>
  <c r="K842" i="6"/>
  <c r="K527" i="6"/>
  <c r="K526" i="6"/>
  <c r="K908" i="6"/>
  <c r="K525" i="6"/>
  <c r="K524" i="6"/>
  <c r="K523" i="6"/>
  <c r="K522" i="6"/>
  <c r="K878" i="6"/>
  <c r="K872" i="6"/>
  <c r="K521" i="6"/>
  <c r="K520" i="6"/>
  <c r="K656" i="6"/>
  <c r="K672" i="6"/>
  <c r="K797" i="6"/>
  <c r="K590" i="6"/>
  <c r="K702" i="6"/>
  <c r="K519" i="6"/>
  <c r="K924" i="6"/>
  <c r="K816" i="6"/>
  <c r="K829" i="6"/>
  <c r="K721" i="6"/>
  <c r="K720" i="6"/>
  <c r="K518" i="6"/>
  <c r="K606" i="6"/>
  <c r="K517" i="6"/>
  <c r="K516" i="6"/>
  <c r="K796" i="6"/>
  <c r="K768" i="6"/>
  <c r="K819" i="6"/>
  <c r="K515" i="6"/>
  <c r="K623" i="6"/>
  <c r="K514" i="6"/>
  <c r="K513" i="6"/>
  <c r="K574" i="6"/>
  <c r="K512" i="6"/>
  <c r="K511" i="6"/>
  <c r="K510" i="6"/>
  <c r="K728" i="6"/>
  <c r="K845" i="6"/>
  <c r="K573" i="6"/>
  <c r="K509" i="6"/>
  <c r="K508" i="6"/>
  <c r="K738" i="6"/>
  <c r="K507" i="6"/>
  <c r="K506" i="6"/>
  <c r="K857" i="6"/>
  <c r="K727" i="6"/>
  <c r="K897" i="6"/>
  <c r="K793" i="6"/>
  <c r="K572" i="6"/>
  <c r="K505" i="6"/>
  <c r="K504" i="6"/>
  <c r="K644" i="6"/>
  <c r="K503" i="6"/>
  <c r="K767" i="6"/>
  <c r="K502" i="6"/>
  <c r="K501" i="6"/>
  <c r="K701" i="6"/>
  <c r="K500" i="6"/>
  <c r="K743" i="6"/>
  <c r="K499" i="6"/>
  <c r="K498" i="6"/>
  <c r="K700" i="6"/>
  <c r="K773" i="6"/>
  <c r="K497" i="6"/>
  <c r="K699" i="6"/>
  <c r="K899" i="6"/>
  <c r="K617" i="6"/>
  <c r="K864" i="6"/>
  <c r="K605" i="6"/>
  <c r="K746" i="6"/>
  <c r="K643" i="6"/>
  <c r="K920" i="6"/>
  <c r="K905" i="6"/>
  <c r="K625" i="6"/>
  <c r="K496" i="6"/>
  <c r="K732" i="6"/>
  <c r="K791" i="6"/>
  <c r="K495" i="6"/>
  <c r="K638" i="6"/>
  <c r="K655" i="6"/>
  <c r="K494" i="6"/>
  <c r="K912" i="6"/>
  <c r="K493" i="6"/>
  <c r="K654" i="6"/>
  <c r="K784" i="6"/>
  <c r="K492" i="6"/>
  <c r="K491" i="6"/>
  <c r="K604" i="6"/>
  <c r="K860" i="6"/>
  <c r="K913" i="6"/>
  <c r="K847" i="6"/>
  <c r="K490" i="6"/>
  <c r="K603" i="6"/>
  <c r="K589" i="6"/>
  <c r="K719" i="6"/>
  <c r="K489" i="6"/>
  <c r="K766" i="6"/>
  <c r="K827" i="6"/>
  <c r="K488" i="6"/>
  <c r="K828" i="6"/>
  <c r="K745" i="6"/>
  <c r="K718" i="6"/>
  <c r="K487" i="6"/>
  <c r="K698" i="6"/>
  <c r="K653" i="6"/>
  <c r="K914" i="6"/>
  <c r="K706" i="6"/>
  <c r="K786" i="6"/>
  <c r="K642" i="6"/>
  <c r="K486" i="6"/>
  <c r="K733" i="6"/>
  <c r="K820" i="6"/>
  <c r="K485" i="6"/>
  <c r="K747" i="6"/>
  <c r="K484" i="6"/>
  <c r="K788" i="6"/>
  <c r="K483" i="6"/>
  <c r="K482" i="6"/>
  <c r="K652" i="6"/>
  <c r="K481" i="6"/>
  <c r="K846" i="6"/>
  <c r="K778" i="6"/>
  <c r="K616" i="6"/>
  <c r="K480" i="6"/>
  <c r="K479" i="6"/>
  <c r="K602" i="6"/>
  <c r="K478" i="6"/>
  <c r="K801" i="6"/>
  <c r="K687" i="6"/>
  <c r="K588" i="6"/>
  <c r="K717" i="6"/>
  <c r="K477" i="6"/>
  <c r="K476" i="6"/>
  <c r="K804" i="6"/>
  <c r="K859" i="6"/>
  <c r="K666" i="6"/>
  <c r="K475" i="6"/>
  <c r="K474" i="6"/>
  <c r="K622" i="6"/>
  <c r="K802" i="6"/>
  <c r="K473" i="6"/>
  <c r="K716" i="6"/>
  <c r="K880" i="6"/>
  <c r="K472" i="6"/>
  <c r="K471" i="6"/>
  <c r="K814" i="6"/>
  <c r="K470" i="6"/>
  <c r="K803" i="6"/>
  <c r="K469" i="6"/>
  <c r="K824" i="6"/>
  <c r="K468" i="6"/>
  <c r="K467" i="6"/>
  <c r="K830" i="6"/>
  <c r="K466" i="6"/>
  <c r="K615" i="6"/>
  <c r="K838" i="6"/>
  <c r="K852" i="6"/>
  <c r="K837" i="6"/>
  <c r="K665" i="6"/>
  <c r="K614" i="6"/>
  <c r="K868" i="6"/>
  <c r="K465" i="6"/>
  <c r="K867" i="6"/>
  <c r="K571" i="6"/>
  <c r="K879" i="6"/>
  <c r="K464" i="6"/>
  <c r="K463" i="6"/>
  <c r="K697" i="6"/>
  <c r="K462" i="6"/>
  <c r="K461" i="6"/>
  <c r="K651" i="6"/>
  <c r="K737" i="6"/>
  <c r="K800" i="6"/>
  <c r="K637" i="6"/>
  <c r="K460" i="6"/>
  <c r="K898" i="6"/>
  <c r="K459" i="6"/>
  <c r="K671" i="6"/>
  <c r="K875" i="6"/>
  <c r="K684" i="6"/>
  <c r="K458" i="6"/>
  <c r="K457" i="6"/>
  <c r="K776" i="6"/>
  <c r="K851" i="6"/>
  <c r="K715" i="6"/>
  <c r="K456" i="6"/>
  <c r="K455" i="6"/>
  <c r="K683" i="6"/>
  <c r="K454" i="6"/>
  <c r="K453" i="6"/>
  <c r="K670" i="6"/>
  <c r="K664" i="6"/>
  <c r="K452" i="6"/>
  <c r="K587" i="6"/>
  <c r="K757" i="6"/>
  <c r="K862" i="6"/>
  <c r="K896" i="6"/>
  <c r="K895" i="6"/>
  <c r="K850" i="6"/>
  <c r="K810" i="6"/>
  <c r="K714" i="6"/>
  <c r="K601" i="6"/>
  <c r="K451" i="6"/>
  <c r="K736" i="6"/>
  <c r="K871" i="6"/>
  <c r="K586" i="6"/>
  <c r="K856" i="6"/>
  <c r="K450" i="6"/>
  <c r="K923" i="6"/>
  <c r="K873" i="6"/>
  <c r="K449" i="6"/>
  <c r="K448" i="6"/>
  <c r="K570" i="6"/>
  <c r="K585" i="6"/>
  <c r="K584" i="6"/>
  <c r="K756" i="6"/>
  <c r="K447" i="6"/>
  <c r="K844" i="6"/>
  <c r="K783" i="6"/>
  <c r="K805" i="6"/>
  <c r="K863" i="6"/>
  <c r="K669" i="6"/>
  <c r="K446" i="6"/>
  <c r="K825" i="6"/>
  <c r="K445" i="6"/>
  <c r="K636" i="6"/>
  <c r="K902" i="6"/>
  <c r="K903" i="6"/>
  <c r="K444" i="6"/>
  <c r="K748" i="6"/>
  <c r="K841" i="6"/>
  <c r="K600" i="6"/>
  <c r="K443" i="6"/>
  <c r="K889" i="6"/>
  <c r="K627" i="6"/>
  <c r="K909" i="6"/>
  <c r="K621" i="6"/>
  <c r="K885" i="6"/>
  <c r="K861" i="6"/>
  <c r="K442" i="6"/>
  <c r="K754" i="6"/>
  <c r="K441" i="6"/>
  <c r="K599" i="6"/>
  <c r="K583" i="6"/>
  <c r="K626" i="6"/>
  <c r="K440" i="6"/>
  <c r="K690" i="6"/>
  <c r="K569" i="6"/>
  <c r="K568" i="6"/>
  <c r="K696" i="6"/>
  <c r="K855" i="6"/>
  <c r="K775" i="6"/>
  <c r="K439" i="6"/>
  <c r="K890" i="6"/>
  <c r="K438" i="6"/>
  <c r="K893" i="6"/>
  <c r="K882" i="6"/>
  <c r="K437" i="6"/>
  <c r="K682" i="6"/>
  <c r="K843" i="6"/>
  <c r="K641" i="6"/>
  <c r="K640" i="6"/>
  <c r="K807" i="6"/>
  <c r="K713" i="6"/>
  <c r="K436" i="6"/>
  <c r="K750" i="6"/>
  <c r="K874" i="6"/>
  <c r="K735" i="6"/>
  <c r="K435" i="6"/>
  <c r="K434" i="6"/>
  <c r="K790" i="6"/>
  <c r="K567" i="6"/>
  <c r="K566" i="6"/>
  <c r="K726" i="6"/>
  <c r="K433" i="6"/>
  <c r="K926" i="6"/>
  <c r="K695" i="6"/>
  <c r="K876" i="6"/>
  <c r="K432" i="6"/>
  <c r="K431" i="6"/>
  <c r="K430" i="6"/>
  <c r="K635" i="6"/>
  <c r="K663" i="6"/>
  <c r="K789" i="6"/>
  <c r="K429" i="6"/>
  <c r="K765" i="6"/>
  <c r="K428" i="6"/>
  <c r="K427" i="6"/>
  <c r="K426" i="6"/>
  <c r="K772" i="6"/>
  <c r="K712" i="6"/>
  <c r="K425" i="6"/>
  <c r="K900" i="6"/>
  <c r="K894" i="6"/>
  <c r="K711" i="6"/>
  <c r="K764" i="6"/>
  <c r="K916" i="6"/>
  <c r="K634" i="6"/>
  <c r="K710" i="6"/>
  <c r="K598" i="6"/>
  <c r="K424" i="6"/>
  <c r="K423" i="6"/>
  <c r="K422" i="6"/>
  <c r="K421" i="6"/>
  <c r="K818" i="6"/>
  <c r="K420" i="6"/>
  <c r="K826" i="6"/>
  <c r="K771" i="6"/>
  <c r="K419" i="6"/>
  <c r="K418" i="6"/>
  <c r="K417" i="6"/>
  <c r="K795" i="6"/>
  <c r="K416" i="6"/>
  <c r="K835" i="6"/>
  <c r="K565" i="6"/>
  <c r="K650" i="6"/>
  <c r="K415" i="6"/>
  <c r="K762" i="6"/>
  <c r="K848" i="6"/>
  <c r="K597" i="6"/>
  <c r="K888" i="6"/>
  <c r="K832" i="6"/>
  <c r="K582" i="6"/>
  <c r="K694" i="6"/>
  <c r="K414" i="6"/>
  <c r="K709" i="6"/>
  <c r="K705" i="6"/>
  <c r="K794" i="6"/>
  <c r="K770" i="6"/>
  <c r="K785" i="6"/>
  <c r="K633" i="6"/>
  <c r="K632" i="6"/>
  <c r="K413" i="6"/>
  <c r="K906" i="6"/>
  <c r="K412" i="6"/>
  <c r="K411" i="6"/>
  <c r="K410" i="6"/>
  <c r="K755" i="6"/>
  <c r="K782" i="6"/>
  <c r="K831" i="6"/>
  <c r="K836" i="6"/>
  <c r="K631" i="6"/>
  <c r="K693" i="6"/>
  <c r="K781" i="6"/>
  <c r="K823" i="6"/>
  <c r="K806" i="6"/>
  <c r="K708" i="6"/>
  <c r="K911" i="6"/>
  <c r="K409" i="6"/>
  <c r="K408" i="6"/>
  <c r="K854" i="6"/>
  <c r="K891" i="6"/>
  <c r="K688" i="6"/>
  <c r="K407" i="6"/>
  <c r="K662" i="6"/>
  <c r="K406" i="6"/>
  <c r="K799" i="6"/>
  <c r="K742" i="6"/>
  <c r="K613" i="6"/>
  <c r="K649" i="6"/>
  <c r="K741" i="6"/>
  <c r="K648" i="6"/>
  <c r="K405" i="6"/>
  <c r="K404" i="6"/>
  <c r="K753" i="6"/>
  <c r="K403" i="6"/>
  <c r="K915" i="6"/>
  <c r="K892" i="6"/>
  <c r="K596" i="6"/>
  <c r="K883" i="6"/>
  <c r="K630" i="6"/>
  <c r="K925" i="6"/>
  <c r="K581" i="6"/>
  <c r="K692" i="6"/>
  <c r="K659" i="6"/>
  <c r="K595" i="6"/>
  <c r="K918" i="6"/>
  <c r="K917" i="6"/>
  <c r="K834" i="6"/>
  <c r="K402" i="6"/>
  <c r="K629" i="6"/>
  <c r="K401" i="6"/>
  <c r="K660" i="6"/>
  <c r="K400" i="6"/>
  <c r="K594" i="6"/>
  <c r="K798" i="6"/>
  <c r="K399" i="6"/>
  <c r="K398" i="6"/>
  <c r="K813" i="6"/>
  <c r="K397" i="6"/>
  <c r="K628" i="6"/>
  <c r="K647" i="6"/>
  <c r="K396" i="6"/>
  <c r="K395" i="6"/>
  <c r="K919" i="6"/>
  <c r="K394" i="6"/>
  <c r="K887" i="6"/>
  <c r="K393" i="6"/>
  <c r="K881" i="6"/>
  <c r="K392" i="6"/>
  <c r="K707" i="6"/>
  <c r="K391" i="6"/>
  <c r="K749" i="6"/>
  <c r="K866" i="6"/>
  <c r="K74" i="6"/>
  <c r="K252" i="6"/>
  <c r="K267" i="6"/>
  <c r="K332" i="6"/>
  <c r="K158" i="6"/>
  <c r="K221" i="6"/>
  <c r="K147" i="6"/>
  <c r="K94" i="6"/>
  <c r="K82" i="6"/>
  <c r="K202" i="6"/>
  <c r="K89" i="6"/>
  <c r="K70" i="6"/>
  <c r="K236" i="6"/>
  <c r="K285" i="6"/>
  <c r="K99" i="6"/>
  <c r="K278" i="6"/>
  <c r="K242" i="6"/>
  <c r="K61" i="6"/>
  <c r="K175" i="6"/>
  <c r="K174" i="6"/>
  <c r="K314" i="6"/>
  <c r="K43" i="6"/>
  <c r="K313" i="6"/>
  <c r="K155" i="6"/>
  <c r="K228" i="6"/>
  <c r="K125" i="6"/>
  <c r="K64" i="6"/>
  <c r="K130" i="6"/>
  <c r="K59" i="6"/>
  <c r="K233" i="6"/>
  <c r="K227" i="6"/>
  <c r="K111" i="6"/>
  <c r="K211" i="6"/>
  <c r="K72" i="6"/>
  <c r="K129" i="6"/>
  <c r="K41" i="6"/>
  <c r="K308" i="6"/>
  <c r="K87" i="6"/>
  <c r="K100" i="6"/>
  <c r="K193" i="6"/>
  <c r="K71" i="6"/>
  <c r="K80" i="6"/>
  <c r="K264" i="6"/>
  <c r="K92" i="6"/>
  <c r="K93" i="6"/>
  <c r="K58" i="6"/>
  <c r="K162" i="6"/>
  <c r="K324" i="6"/>
  <c r="K230" i="6"/>
  <c r="K161" i="6"/>
  <c r="K106" i="6"/>
  <c r="K177" i="6"/>
  <c r="K231" i="6"/>
  <c r="K97" i="6"/>
  <c r="K119" i="6"/>
  <c r="K69" i="6"/>
  <c r="K83" i="6"/>
  <c r="K301" i="6"/>
  <c r="K151" i="6"/>
  <c r="K182" i="6"/>
  <c r="K184" i="6"/>
  <c r="K98" i="6"/>
  <c r="K66" i="6"/>
  <c r="K102" i="6"/>
  <c r="K110" i="6"/>
  <c r="K78" i="6"/>
  <c r="K246" i="6"/>
  <c r="K281" i="6"/>
  <c r="K244" i="6"/>
  <c r="K215" i="6"/>
  <c r="K299" i="6"/>
  <c r="K214" i="6"/>
  <c r="K297" i="6"/>
  <c r="K245" i="6"/>
  <c r="K191" i="6"/>
  <c r="K171" i="6"/>
  <c r="K134" i="6"/>
  <c r="K117" i="6"/>
  <c r="K275" i="6"/>
  <c r="K101" i="6"/>
  <c r="K152" i="6"/>
  <c r="K249" i="6"/>
  <c r="K167" i="6"/>
  <c r="K122" i="6"/>
  <c r="K255" i="6"/>
  <c r="K295" i="6"/>
  <c r="K334" i="6"/>
  <c r="K321" i="6"/>
  <c r="K163" i="6"/>
  <c r="K91" i="6"/>
  <c r="K170" i="6"/>
  <c r="K293" i="6"/>
  <c r="K322" i="6"/>
  <c r="K279" i="6"/>
  <c r="K288" i="6"/>
  <c r="K325" i="6"/>
  <c r="K207" i="6"/>
  <c r="K271" i="6"/>
  <c r="K84" i="6"/>
  <c r="K141" i="6"/>
  <c r="K154" i="6"/>
  <c r="K194" i="6"/>
  <c r="K96" i="6"/>
  <c r="K104" i="6"/>
  <c r="K355" i="6"/>
  <c r="K118" i="6"/>
  <c r="K192" i="6"/>
  <c r="K77" i="6"/>
  <c r="K140" i="6"/>
  <c r="K188" i="6"/>
  <c r="K365" i="6"/>
  <c r="K237" i="6"/>
  <c r="K166" i="6"/>
  <c r="K257" i="6"/>
  <c r="K226" i="6"/>
  <c r="K224" i="6"/>
  <c r="K329" i="6"/>
  <c r="K342" i="6"/>
  <c r="K76" i="6"/>
  <c r="K294" i="6"/>
  <c r="K282" i="6"/>
  <c r="K315" i="6"/>
  <c r="K135" i="6"/>
  <c r="K203" i="6"/>
  <c r="K116" i="6"/>
  <c r="K320" i="6"/>
  <c r="K55" i="6"/>
  <c r="K212" i="6"/>
  <c r="K225" i="6"/>
  <c r="K273" i="6"/>
  <c r="K326" i="6"/>
  <c r="K160" i="6"/>
  <c r="K56" i="6"/>
  <c r="K124" i="6"/>
  <c r="K113" i="6"/>
  <c r="K185" i="6"/>
  <c r="K75" i="6"/>
  <c r="K153" i="6"/>
  <c r="K256" i="6"/>
  <c r="K159" i="6"/>
  <c r="K235" i="6"/>
  <c r="K336" i="6"/>
  <c r="K169" i="6"/>
  <c r="K21" i="6"/>
  <c r="K120" i="6"/>
  <c r="K353" i="6"/>
  <c r="K258" i="6"/>
  <c r="K261" i="6"/>
  <c r="K187" i="6"/>
  <c r="K149" i="6"/>
  <c r="K260" i="6"/>
  <c r="K251" i="6"/>
  <c r="K306" i="6"/>
  <c r="K131" i="6"/>
  <c r="K164" i="6"/>
  <c r="K168" i="6"/>
  <c r="K63" i="6"/>
  <c r="K62" i="6"/>
  <c r="K300" i="6"/>
  <c r="K67" i="6"/>
  <c r="K337" i="6"/>
  <c r="K19" i="6"/>
  <c r="K156" i="6"/>
  <c r="K60" i="6"/>
  <c r="K206" i="6"/>
  <c r="K201" i="6"/>
  <c r="K328" i="6"/>
  <c r="K240" i="6"/>
  <c r="K272" i="6"/>
  <c r="K29" i="6"/>
  <c r="K128" i="6"/>
  <c r="K27" i="6"/>
  <c r="K132" i="6"/>
  <c r="K323" i="6"/>
  <c r="K197" i="6"/>
  <c r="K90" i="6"/>
  <c r="K356" i="6"/>
  <c r="K28" i="6"/>
  <c r="K81" i="6"/>
  <c r="K269" i="6"/>
  <c r="K298" i="6"/>
  <c r="K48" i="6"/>
  <c r="K303" i="6"/>
  <c r="K49" i="6"/>
  <c r="K16" i="6"/>
  <c r="K45" i="6"/>
  <c r="K310" i="6"/>
  <c r="K65" i="6"/>
  <c r="K126" i="6"/>
  <c r="K274" i="6"/>
  <c r="K195" i="6"/>
  <c r="K53" i="6"/>
  <c r="K250" i="6"/>
  <c r="K150" i="6"/>
  <c r="K335" i="6"/>
  <c r="K268" i="6"/>
  <c r="K115" i="6"/>
  <c r="K32" i="6"/>
  <c r="K198" i="6"/>
  <c r="K176" i="6"/>
  <c r="K200" i="6"/>
  <c r="K292" i="6"/>
  <c r="K44" i="6"/>
  <c r="K145" i="6"/>
  <c r="K121" i="6"/>
  <c r="K123" i="6"/>
  <c r="K139" i="6"/>
  <c r="K42" i="6"/>
  <c r="K364" i="6"/>
  <c r="K354" i="6"/>
  <c r="K208" i="6"/>
  <c r="K390" i="6"/>
  <c r="K54" i="6"/>
  <c r="K199" i="6"/>
  <c r="K179" i="6"/>
  <c r="K350" i="6"/>
  <c r="K109" i="6"/>
  <c r="K286" i="6"/>
  <c r="K144" i="6"/>
  <c r="K266" i="6"/>
  <c r="K287" i="6"/>
  <c r="K33" i="6"/>
  <c r="K220" i="6"/>
  <c r="K186" i="6"/>
  <c r="K25" i="6"/>
  <c r="K172" i="6"/>
  <c r="K46" i="6"/>
  <c r="K254" i="6"/>
  <c r="K296" i="6"/>
  <c r="K280" i="6"/>
  <c r="K312" i="6"/>
  <c r="K309" i="6"/>
  <c r="K317" i="6"/>
  <c r="K209" i="6"/>
  <c r="K352" i="6"/>
  <c r="K138" i="6"/>
  <c r="K137" i="6"/>
  <c r="K262" i="6"/>
  <c r="K107" i="6"/>
  <c r="K263" i="6"/>
  <c r="K302" i="6"/>
  <c r="K241" i="6"/>
  <c r="K133" i="6"/>
  <c r="K358" i="6"/>
  <c r="K165" i="6"/>
  <c r="K389" i="6"/>
  <c r="K339" i="6"/>
  <c r="K290" i="6"/>
  <c r="K289" i="6"/>
  <c r="K14" i="6"/>
  <c r="K243" i="6"/>
  <c r="K331" i="6"/>
  <c r="K277" i="6"/>
  <c r="K305" i="6"/>
  <c r="K357" i="6"/>
  <c r="K349" i="6"/>
  <c r="K316" i="6"/>
  <c r="K346" i="6"/>
  <c r="K347" i="6"/>
  <c r="K319" i="6"/>
  <c r="K17" i="6"/>
  <c r="K388" i="6"/>
  <c r="K341" i="6"/>
  <c r="K362" i="6"/>
  <c r="K86" i="6"/>
  <c r="K387" i="6"/>
  <c r="K333" i="6"/>
  <c r="K361" i="6"/>
  <c r="K229" i="6"/>
  <c r="K386" i="6"/>
  <c r="K385" i="6"/>
  <c r="K384" i="6"/>
  <c r="K142" i="6"/>
  <c r="K148" i="6"/>
  <c r="K363" i="6"/>
  <c r="K85" i="6"/>
  <c r="K340" i="6"/>
  <c r="K383" i="6"/>
  <c r="K183" i="6"/>
  <c r="K360" i="6"/>
  <c r="K382" i="6"/>
  <c r="K270" i="6"/>
  <c r="K338" i="6"/>
  <c r="K381" i="6"/>
  <c r="K239" i="6"/>
  <c r="K283" i="6"/>
  <c r="K380" i="6"/>
  <c r="K26" i="6"/>
  <c r="K348" i="6"/>
  <c r="K223" i="6"/>
  <c r="K178" i="6"/>
  <c r="K234" i="6"/>
  <c r="K196" i="6"/>
  <c r="K210" i="6"/>
  <c r="K213" i="6"/>
  <c r="K232" i="6"/>
  <c r="K359" i="6"/>
  <c r="K343" i="6"/>
  <c r="K307" i="6"/>
  <c r="K344" i="6"/>
  <c r="K318" i="6"/>
  <c r="K304" i="6"/>
  <c r="K276" i="6"/>
  <c r="K379" i="6"/>
  <c r="K284" i="6"/>
  <c r="K40" i="6"/>
  <c r="K190" i="6"/>
  <c r="K20" i="6"/>
  <c r="K143" i="6"/>
  <c r="K157" i="6"/>
  <c r="K34" i="6"/>
  <c r="K103" i="6"/>
  <c r="K378" i="6"/>
  <c r="K330" i="6"/>
  <c r="K248" i="6"/>
  <c r="K37" i="6"/>
  <c r="K291" i="6"/>
  <c r="K146" i="6"/>
  <c r="K205" i="6"/>
  <c r="K9" i="6"/>
  <c r="K351" i="6"/>
  <c r="K247" i="6"/>
  <c r="K180" i="6"/>
  <c r="K377" i="6"/>
  <c r="K23" i="6"/>
  <c r="K112" i="6"/>
  <c r="K68" i="6"/>
  <c r="K345" i="6"/>
  <c r="K376" i="6"/>
  <c r="K375" i="6"/>
  <c r="K374" i="6"/>
  <c r="K373" i="6"/>
  <c r="K372" i="6"/>
  <c r="K371" i="6"/>
  <c r="K259" i="6"/>
  <c r="K127" i="6"/>
  <c r="K7" i="6"/>
  <c r="K181" i="6"/>
  <c r="K24" i="6"/>
  <c r="K189" i="6"/>
  <c r="K219" i="6"/>
  <c r="K238" i="6"/>
  <c r="K218" i="6"/>
  <c r="K217" i="6"/>
  <c r="K216" i="6"/>
  <c r="K173" i="6"/>
  <c r="K47" i="6"/>
  <c r="K39" i="6"/>
  <c r="K51" i="6"/>
  <c r="K88" i="6"/>
  <c r="K204" i="6"/>
  <c r="K222" i="6"/>
  <c r="K52" i="6"/>
  <c r="K265" i="6"/>
  <c r="K327" i="6"/>
  <c r="K311" i="6"/>
  <c r="K13" i="6"/>
  <c r="K35" i="6"/>
  <c r="K253" i="6"/>
  <c r="K370" i="6"/>
  <c r="K114" i="6"/>
  <c r="K136" i="6"/>
  <c r="K12" i="6"/>
  <c r="K108" i="6"/>
  <c r="K36" i="6"/>
  <c r="K6" i="6"/>
  <c r="K369" i="6"/>
  <c r="K30" i="6"/>
  <c r="K5" i="6"/>
  <c r="K18" i="6"/>
  <c r="K4" i="6"/>
  <c r="K8" i="6"/>
  <c r="K11" i="6"/>
  <c r="K10" i="6"/>
  <c r="K15" i="6"/>
  <c r="K105" i="6"/>
  <c r="K3" i="6"/>
  <c r="K368" i="6"/>
  <c r="K22" i="6"/>
  <c r="K2" i="6"/>
  <c r="K79" i="6"/>
  <c r="K38" i="6"/>
  <c r="K367" i="6"/>
  <c r="K95" i="6"/>
  <c r="K73" i="6"/>
  <c r="K31" i="6"/>
  <c r="K57" i="6"/>
  <c r="K366" i="6"/>
  <c r="K50" i="6"/>
  <c r="H267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562" i="5"/>
  <c r="K710" i="5"/>
  <c r="K711" i="5"/>
  <c r="K656" i="5"/>
  <c r="K508" i="5"/>
  <c r="K530" i="5"/>
  <c r="K626" i="5"/>
  <c r="K417" i="5"/>
  <c r="K340" i="5"/>
  <c r="K350" i="5"/>
  <c r="K712" i="5"/>
  <c r="K713" i="5"/>
  <c r="K714" i="5"/>
  <c r="K715" i="5"/>
  <c r="K716" i="5"/>
  <c r="K445" i="5"/>
  <c r="K717" i="5"/>
  <c r="K718" i="5"/>
  <c r="K657" i="5"/>
  <c r="K439" i="5"/>
  <c r="K719" i="5"/>
  <c r="K571" i="5"/>
  <c r="K475" i="5"/>
  <c r="K720" i="5"/>
  <c r="K721" i="5"/>
  <c r="K643" i="5"/>
  <c r="K722" i="5"/>
  <c r="K586" i="5"/>
  <c r="K406" i="5"/>
  <c r="K418" i="5"/>
  <c r="K336" i="5"/>
  <c r="K419" i="5"/>
  <c r="K603" i="5"/>
  <c r="K371" i="5"/>
  <c r="K338" i="5"/>
  <c r="K604" i="5"/>
  <c r="K374" i="5"/>
  <c r="K360" i="5"/>
  <c r="K490" i="5"/>
  <c r="K446" i="5"/>
  <c r="K723" i="5"/>
  <c r="K658" i="5"/>
  <c r="K392" i="5"/>
  <c r="K334" i="5"/>
  <c r="K618" i="5"/>
  <c r="K724" i="5"/>
  <c r="K509" i="5"/>
  <c r="K343" i="5"/>
  <c r="K621" i="5"/>
  <c r="K395" i="5"/>
  <c r="K497" i="5"/>
  <c r="K523" i="5"/>
  <c r="K482" i="5"/>
  <c r="K357" i="5"/>
  <c r="K401" i="5"/>
  <c r="K725" i="5"/>
  <c r="K499" i="5"/>
  <c r="K726" i="5"/>
  <c r="K727" i="5"/>
  <c r="K498" i="5"/>
  <c r="K728" i="5"/>
  <c r="K561" i="5"/>
  <c r="K644" i="5"/>
  <c r="K729" i="5"/>
  <c r="K645" i="5"/>
  <c r="K563" i="5"/>
  <c r="K540" i="5"/>
  <c r="K730" i="5"/>
  <c r="K659" i="5"/>
  <c r="K731" i="5"/>
  <c r="K732" i="5"/>
  <c r="K733" i="5"/>
  <c r="K375" i="5"/>
  <c r="K476" i="5"/>
  <c r="K453" i="5"/>
  <c r="K342" i="5"/>
  <c r="K491" i="5"/>
  <c r="K463" i="5"/>
  <c r="K524" i="5"/>
  <c r="K577" i="5"/>
  <c r="K376" i="5"/>
  <c r="K734" i="5"/>
  <c r="K518" i="5"/>
  <c r="K420" i="5"/>
  <c r="K489" i="5"/>
  <c r="K735" i="5"/>
  <c r="K736" i="5"/>
  <c r="K737" i="5"/>
  <c r="K331" i="5"/>
  <c r="K470" i="5"/>
  <c r="K403" i="5"/>
  <c r="K555" i="5"/>
  <c r="K646" i="5"/>
  <c r="K738" i="5"/>
  <c r="K660" i="5"/>
  <c r="K739" i="5"/>
  <c r="K598" i="5"/>
  <c r="K531" i="5"/>
  <c r="K335" i="5"/>
  <c r="K740" i="5"/>
  <c r="K741" i="5"/>
  <c r="K345" i="5"/>
  <c r="K742" i="5"/>
  <c r="K510" i="5"/>
  <c r="K459" i="5"/>
  <c r="K661" i="5"/>
  <c r="K388" i="5"/>
  <c r="K743" i="5"/>
  <c r="K492" i="5"/>
  <c r="K744" i="5"/>
  <c r="K590" i="5"/>
  <c r="K511" i="5"/>
  <c r="K745" i="5"/>
  <c r="K746" i="5"/>
  <c r="K747" i="5"/>
  <c r="K485" i="5"/>
  <c r="K431" i="5"/>
  <c r="K532" i="5"/>
  <c r="K627" i="5"/>
  <c r="K748" i="5"/>
  <c r="K749" i="5"/>
  <c r="K628" i="5"/>
  <c r="K393" i="5"/>
  <c r="K750" i="5"/>
  <c r="K751" i="5"/>
  <c r="K752" i="5"/>
  <c r="K423" i="5"/>
  <c r="K456" i="5"/>
  <c r="K753" i="5"/>
  <c r="K578" i="5"/>
  <c r="K754" i="5"/>
  <c r="K755" i="5"/>
  <c r="K662" i="5"/>
  <c r="K629" i="5"/>
  <c r="K663" i="5"/>
  <c r="K756" i="5"/>
  <c r="K339" i="5"/>
  <c r="K450" i="5"/>
  <c r="K757" i="5"/>
  <c r="K758" i="5"/>
  <c r="K664" i="5"/>
  <c r="K605" i="5"/>
  <c r="K525" i="5"/>
  <c r="K759" i="5"/>
  <c r="K362" i="5"/>
  <c r="K760" i="5"/>
  <c r="K533" i="5"/>
  <c r="K381" i="5"/>
  <c r="K761" i="5"/>
  <c r="K348" i="5"/>
  <c r="K534" i="5"/>
  <c r="K541" i="5"/>
  <c r="K542" i="5"/>
  <c r="K762" i="5"/>
  <c r="K477" i="5"/>
  <c r="K579" i="5"/>
  <c r="K612" i="5"/>
  <c r="K665" i="5"/>
  <c r="K763" i="5"/>
  <c r="K404" i="5"/>
  <c r="K606" i="5"/>
  <c r="K764" i="5"/>
  <c r="K424" i="5"/>
  <c r="K551" i="5"/>
  <c r="K576" i="5"/>
  <c r="K647" i="5"/>
  <c r="K358" i="5"/>
  <c r="K416" i="5"/>
  <c r="K519" i="5"/>
  <c r="K765" i="5"/>
  <c r="K648" i="5"/>
  <c r="K649" i="5"/>
  <c r="K405" i="5"/>
  <c r="K766" i="5"/>
  <c r="K666" i="5"/>
  <c r="K767" i="5"/>
  <c r="K543" i="5"/>
  <c r="K341" i="5"/>
  <c r="K427" i="5"/>
  <c r="K352" i="5"/>
  <c r="K517" i="5"/>
  <c r="K595" i="5"/>
  <c r="K768" i="5"/>
  <c r="K504" i="5"/>
  <c r="K535" i="5"/>
  <c r="K455" i="5"/>
  <c r="K488" i="5"/>
  <c r="K432" i="5"/>
  <c r="K667" i="5"/>
  <c r="K365" i="5"/>
  <c r="K630" i="5"/>
  <c r="K769" i="5"/>
  <c r="K770" i="5"/>
  <c r="K771" i="5"/>
  <c r="K349" i="5"/>
  <c r="K399" i="5"/>
  <c r="K772" i="5"/>
  <c r="K773" i="5"/>
  <c r="K774" i="5"/>
  <c r="K775" i="5"/>
  <c r="K776" i="5"/>
  <c r="K777" i="5"/>
  <c r="K596" i="5"/>
  <c r="K526" i="5"/>
  <c r="K380" i="5"/>
  <c r="K778" i="5"/>
  <c r="K514" i="5"/>
  <c r="K779" i="5"/>
  <c r="K780" i="5"/>
  <c r="K591" i="5"/>
  <c r="K781" i="5"/>
  <c r="K782" i="5"/>
  <c r="K564" i="5"/>
  <c r="K369" i="5"/>
  <c r="K387" i="5"/>
  <c r="K783" i="5"/>
  <c r="K784" i="5"/>
  <c r="K785" i="5"/>
  <c r="K332" i="5"/>
  <c r="K421" i="5"/>
  <c r="K786" i="5"/>
  <c r="K787" i="5"/>
  <c r="K788" i="5"/>
  <c r="K622" i="5"/>
  <c r="K500" i="5"/>
  <c r="K668" i="5"/>
  <c r="K789" i="5"/>
  <c r="K512" i="5"/>
  <c r="K447" i="5"/>
  <c r="K790" i="5"/>
  <c r="K791" i="5"/>
  <c r="K572" i="5"/>
  <c r="K407" i="5"/>
  <c r="K544" i="5"/>
  <c r="K493" i="5"/>
  <c r="K669" i="5"/>
  <c r="K792" i="5"/>
  <c r="K793" i="5"/>
  <c r="K384" i="5"/>
  <c r="K794" i="5"/>
  <c r="K370" i="5"/>
  <c r="K545" i="5"/>
  <c r="K795" i="5"/>
  <c r="K607" i="5"/>
  <c r="K796" i="5"/>
  <c r="K501" i="5"/>
  <c r="K515" i="5"/>
  <c r="K481" i="5"/>
  <c r="K556" i="5"/>
  <c r="K613" i="5"/>
  <c r="K797" i="5"/>
  <c r="K798" i="5"/>
  <c r="K608" i="5"/>
  <c r="K609" i="5"/>
  <c r="K580" i="5"/>
  <c r="K799" i="5"/>
  <c r="K441" i="5"/>
  <c r="K670" i="5"/>
  <c r="K465" i="5"/>
  <c r="K557" i="5"/>
  <c r="K800" i="5"/>
  <c r="K801" i="5"/>
  <c r="K671" i="5"/>
  <c r="K802" i="5"/>
  <c r="K803" i="5"/>
  <c r="K411" i="5"/>
  <c r="K672" i="5"/>
  <c r="K804" i="5"/>
  <c r="K383" i="5"/>
  <c r="K466" i="5"/>
  <c r="K805" i="5"/>
  <c r="K527" i="5"/>
  <c r="K806" i="5"/>
  <c r="K467" i="5"/>
  <c r="K471" i="5"/>
  <c r="K565" i="5"/>
  <c r="K363" i="5"/>
  <c r="K458" i="5"/>
  <c r="K460" i="5"/>
  <c r="K522" i="5"/>
  <c r="K807" i="5"/>
  <c r="K558" i="5"/>
  <c r="K808" i="5"/>
  <c r="K513" i="5"/>
  <c r="K410" i="5"/>
  <c r="K546" i="5"/>
  <c r="K809" i="5"/>
  <c r="K810" i="5"/>
  <c r="K650" i="5"/>
  <c r="K811" i="5"/>
  <c r="K812" i="5"/>
  <c r="K536" i="5"/>
  <c r="K631" i="5"/>
  <c r="K813" i="5"/>
  <c r="K814" i="5"/>
  <c r="K815" i="5"/>
  <c r="K437" i="5"/>
  <c r="K472" i="5"/>
  <c r="K587" i="5"/>
  <c r="K547" i="5"/>
  <c r="K816" i="5"/>
  <c r="K397" i="5"/>
  <c r="K817" i="5"/>
  <c r="K440" i="5"/>
  <c r="K673" i="5"/>
  <c r="K354" i="5"/>
  <c r="K818" i="5"/>
  <c r="K819" i="5"/>
  <c r="K559" i="5"/>
  <c r="K632" i="5"/>
  <c r="K516" i="5"/>
  <c r="K820" i="5"/>
  <c r="K674" i="5"/>
  <c r="K379" i="5"/>
  <c r="K821" i="5"/>
  <c r="K822" i="5"/>
  <c r="K428" i="5"/>
  <c r="K359" i="5"/>
  <c r="K614" i="5"/>
  <c r="K823" i="5"/>
  <c r="K824" i="5"/>
  <c r="K494" i="5"/>
  <c r="K444" i="5"/>
  <c r="K633" i="5"/>
  <c r="K480" i="5"/>
  <c r="K825" i="5"/>
  <c r="K826" i="5"/>
  <c r="K827" i="5"/>
  <c r="K828" i="5"/>
  <c r="K356" i="5"/>
  <c r="K337" i="5"/>
  <c r="K372" i="5"/>
  <c r="K829" i="5"/>
  <c r="K566" i="5"/>
  <c r="K830" i="5"/>
  <c r="K831" i="5"/>
  <c r="K329" i="5"/>
  <c r="K832" i="5"/>
  <c r="K833" i="5"/>
  <c r="K834" i="5"/>
  <c r="K347" i="5"/>
  <c r="K597" i="5"/>
  <c r="K554" i="5"/>
  <c r="K835" i="5"/>
  <c r="K567" i="5"/>
  <c r="K836" i="5"/>
  <c r="K837" i="5"/>
  <c r="K496" i="5"/>
  <c r="K438" i="5"/>
  <c r="K675" i="5"/>
  <c r="K838" i="5"/>
  <c r="K390" i="5"/>
  <c r="K839" i="5"/>
  <c r="K537" i="5"/>
  <c r="K469" i="5"/>
  <c r="K840" i="5"/>
  <c r="K448" i="5"/>
  <c r="K841" i="5"/>
  <c r="K842" i="5"/>
  <c r="K474" i="5"/>
  <c r="K449" i="5"/>
  <c r="K651" i="5"/>
  <c r="K843" i="5"/>
  <c r="K610" i="5"/>
  <c r="K634" i="5"/>
  <c r="K581" i="5"/>
  <c r="K433" i="5"/>
  <c r="K434" i="5"/>
  <c r="K844" i="5"/>
  <c r="K377" i="5"/>
  <c r="K845" i="5"/>
  <c r="K385" i="5"/>
  <c r="K409" i="5"/>
  <c r="K528" i="5"/>
  <c r="K846" i="5"/>
  <c r="K847" i="5"/>
  <c r="K848" i="5"/>
  <c r="K435" i="5"/>
  <c r="K479" i="5"/>
  <c r="K849" i="5"/>
  <c r="K599" i="5"/>
  <c r="K378" i="5"/>
  <c r="K850" i="5"/>
  <c r="K436" i="5"/>
  <c r="K400" i="5"/>
  <c r="K461" i="5"/>
  <c r="K635" i="5"/>
  <c r="K396" i="5"/>
  <c r="K386" i="5"/>
  <c r="K851" i="5"/>
  <c r="K636" i="5"/>
  <c r="K852" i="5"/>
  <c r="K853" i="5"/>
  <c r="K368" i="5"/>
  <c r="K415" i="5"/>
  <c r="K364" i="5"/>
  <c r="K600" i="5"/>
  <c r="K548" i="5"/>
  <c r="K637" i="5"/>
  <c r="K408" i="5"/>
  <c r="K854" i="5"/>
  <c r="K855" i="5"/>
  <c r="K473" i="5"/>
  <c r="K538" i="5"/>
  <c r="K856" i="5"/>
  <c r="K857" i="5"/>
  <c r="K478" i="5"/>
  <c r="K652" i="5"/>
  <c r="K858" i="5"/>
  <c r="K859" i="5"/>
  <c r="K860" i="5"/>
  <c r="K861" i="5"/>
  <c r="K862" i="5"/>
  <c r="K863" i="5"/>
  <c r="K573" i="5"/>
  <c r="K864" i="5"/>
  <c r="K353" i="5"/>
  <c r="K865" i="5"/>
  <c r="K866" i="5"/>
  <c r="K653" i="5"/>
  <c r="K351" i="5"/>
  <c r="K619" i="5"/>
  <c r="K560" i="5"/>
  <c r="K676" i="5"/>
  <c r="K867" i="5"/>
  <c r="K868" i="5"/>
  <c r="K654" i="5"/>
  <c r="K506" i="5"/>
  <c r="K468" i="5"/>
  <c r="K869" i="5"/>
  <c r="K623" i="5"/>
  <c r="K451" i="5"/>
  <c r="K870" i="5"/>
  <c r="K429" i="5"/>
  <c r="K454" i="5"/>
  <c r="K871" i="5"/>
  <c r="K398" i="5"/>
  <c r="K872" i="5"/>
  <c r="K426" i="5"/>
  <c r="K495" i="5"/>
  <c r="K873" i="5"/>
  <c r="K874" i="5"/>
  <c r="K601" i="5"/>
  <c r="K582" i="5"/>
  <c r="K553" i="5"/>
  <c r="K583" i="5"/>
  <c r="K529" i="5"/>
  <c r="K344" i="5"/>
  <c r="K875" i="5"/>
  <c r="K520" i="5"/>
  <c r="K876" i="5"/>
  <c r="K330" i="5"/>
  <c r="K677" i="5"/>
  <c r="K877" i="5"/>
  <c r="K430" i="5"/>
  <c r="K592" i="5"/>
  <c r="K678" i="5"/>
  <c r="K638" i="5"/>
  <c r="K483" i="5"/>
  <c r="K552" i="5"/>
  <c r="K878" i="5"/>
  <c r="K442" i="5"/>
  <c r="K879" i="5"/>
  <c r="K602" i="5"/>
  <c r="K615" i="5"/>
  <c r="K880" i="5"/>
  <c r="K639" i="5"/>
  <c r="K881" i="5"/>
  <c r="K882" i="5"/>
  <c r="K624" i="5"/>
  <c r="K593" i="5"/>
  <c r="K422" i="5"/>
  <c r="K883" i="5"/>
  <c r="K568" i="5"/>
  <c r="K679" i="5"/>
  <c r="K616" i="5"/>
  <c r="K884" i="5"/>
  <c r="K549" i="5"/>
  <c r="K361" i="5"/>
  <c r="K885" i="5"/>
  <c r="K886" i="5"/>
  <c r="K486" i="5"/>
  <c r="K625" i="5"/>
  <c r="K887" i="5"/>
  <c r="K414" i="5"/>
  <c r="K569" i="5"/>
  <c r="K620" i="5"/>
  <c r="K574" i="5"/>
  <c r="K888" i="5"/>
  <c r="K889" i="5"/>
  <c r="K680" i="5"/>
  <c r="K890" i="5"/>
  <c r="K487" i="5"/>
  <c r="K891" i="5"/>
  <c r="K892" i="5"/>
  <c r="K382" i="5"/>
  <c r="K893" i="5"/>
  <c r="K366" i="5"/>
  <c r="K894" i="5"/>
  <c r="K895" i="5"/>
  <c r="K575" i="5"/>
  <c r="K896" i="5"/>
  <c r="K550" i="5"/>
  <c r="K897" i="5"/>
  <c r="K898" i="5"/>
  <c r="K899" i="5"/>
  <c r="K900" i="5"/>
  <c r="K901" i="5"/>
  <c r="K902" i="5"/>
  <c r="K389" i="5"/>
  <c r="K464" i="5"/>
  <c r="K584" i="5"/>
  <c r="K903" i="5"/>
  <c r="K904" i="5"/>
  <c r="K484" i="5"/>
  <c r="K505" i="5"/>
  <c r="K905" i="5"/>
  <c r="K570" i="5"/>
  <c r="K367" i="5"/>
  <c r="K906" i="5"/>
  <c r="K588" i="5"/>
  <c r="K655" i="5"/>
  <c r="K640" i="5"/>
  <c r="K907" i="5"/>
  <c r="K908" i="5"/>
  <c r="K909" i="5"/>
  <c r="K910" i="5"/>
  <c r="K402" i="5"/>
  <c r="K911" i="5"/>
  <c r="K912" i="5"/>
  <c r="K539" i="5"/>
  <c r="K913" i="5"/>
  <c r="K914" i="5"/>
  <c r="K915" i="5"/>
  <c r="K333" i="5"/>
  <c r="K916" i="5"/>
  <c r="K917" i="5"/>
  <c r="K641" i="5"/>
  <c r="K594" i="5"/>
  <c r="K918" i="5"/>
  <c r="K589" i="5"/>
  <c r="K452" i="5"/>
  <c r="K919" i="5"/>
  <c r="K507" i="5"/>
  <c r="K920" i="5"/>
  <c r="K373" i="5"/>
  <c r="K921" i="5"/>
  <c r="K617" i="5"/>
  <c r="K425" i="5"/>
  <c r="K681" i="5"/>
  <c r="K457" i="5"/>
  <c r="K922" i="5"/>
  <c r="K394" i="5"/>
  <c r="K443" i="5"/>
  <c r="K682" i="5"/>
  <c r="K413" i="5"/>
  <c r="K503" i="5"/>
  <c r="K412" i="5"/>
  <c r="K521" i="5"/>
  <c r="K923" i="5"/>
  <c r="K924" i="5"/>
  <c r="K642" i="5"/>
  <c r="K925" i="5"/>
  <c r="K502" i="5"/>
  <c r="K611" i="5"/>
  <c r="K462" i="5"/>
  <c r="K355" i="5"/>
  <c r="K926" i="5"/>
  <c r="K391" i="5"/>
  <c r="K585" i="5"/>
  <c r="K346" i="5"/>
  <c r="K2" i="5"/>
  <c r="J185" i="7"/>
  <c r="J113" i="7"/>
  <c r="J131" i="7"/>
  <c r="J187" i="7"/>
  <c r="J15" i="7"/>
  <c r="J671" i="7"/>
  <c r="J670" i="7"/>
  <c r="J220" i="7"/>
  <c r="J844" i="7"/>
  <c r="J260" i="7"/>
  <c r="J78" i="7"/>
  <c r="J175" i="7"/>
  <c r="J669" i="7"/>
  <c r="J69" i="7"/>
  <c r="J668" i="7"/>
  <c r="J101" i="7"/>
  <c r="J731" i="7"/>
  <c r="J200" i="7"/>
  <c r="J667" i="7"/>
  <c r="J210" i="7"/>
  <c r="J666" i="7"/>
  <c r="J665" i="7"/>
  <c r="J895" i="7"/>
  <c r="J289" i="7"/>
  <c r="J127" i="7"/>
  <c r="J120" i="7"/>
  <c r="J664" i="7"/>
  <c r="J663" i="7"/>
  <c r="J110" i="7"/>
  <c r="J742" i="7"/>
  <c r="J339" i="7"/>
  <c r="J280" i="7"/>
  <c r="J26" i="7"/>
  <c r="J856" i="7"/>
  <c r="J389" i="7"/>
  <c r="J713" i="7"/>
  <c r="J326" i="7"/>
  <c r="J899" i="7"/>
  <c r="J703" i="7"/>
  <c r="J761" i="7"/>
  <c r="J818" i="7"/>
  <c r="J712" i="7"/>
  <c r="J662" i="7"/>
  <c r="J191" i="7"/>
  <c r="J661" i="7"/>
  <c r="J804" i="7"/>
  <c r="J221" i="7"/>
  <c r="J817" i="7"/>
  <c r="J920" i="7"/>
  <c r="J206" i="7"/>
  <c r="J211" i="7"/>
  <c r="J660" i="7"/>
  <c r="J196" i="7"/>
  <c r="J885" i="7"/>
  <c r="J659" i="7"/>
  <c r="J889" i="7"/>
  <c r="J59" i="7"/>
  <c r="J301" i="7"/>
  <c r="J171" i="7"/>
  <c r="J658" i="7"/>
  <c r="J657" i="7"/>
  <c r="J897" i="7"/>
  <c r="J803" i="7"/>
  <c r="J345" i="7"/>
  <c r="J656" i="7"/>
  <c r="J655" i="7"/>
  <c r="J654" i="7"/>
  <c r="J107" i="7"/>
  <c r="J653" i="7"/>
  <c r="J741" i="7"/>
  <c r="J652" i="7"/>
  <c r="J651" i="7"/>
  <c r="J689" i="7"/>
  <c r="J778" i="7"/>
  <c r="J650" i="7"/>
  <c r="J22" i="7"/>
  <c r="J227" i="7"/>
  <c r="J740" i="7"/>
  <c r="J649" i="7"/>
  <c r="J648" i="7"/>
  <c r="J647" i="7"/>
  <c r="J646" i="7"/>
  <c r="J645" i="7"/>
  <c r="J711" i="7"/>
  <c r="J878" i="7"/>
  <c r="J644" i="7"/>
  <c r="J295" i="7"/>
  <c r="J643" i="7"/>
  <c r="J642" i="7"/>
  <c r="J785" i="7"/>
  <c r="J641" i="7"/>
  <c r="J688" i="7"/>
  <c r="J807" i="7"/>
  <c r="J640" i="7"/>
  <c r="J639" i="7"/>
  <c r="J861" i="7"/>
  <c r="J146" i="7"/>
  <c r="J638" i="7"/>
  <c r="J881" i="7"/>
  <c r="J637" i="7"/>
  <c r="J784" i="7"/>
  <c r="J636" i="7"/>
  <c r="J635" i="7"/>
  <c r="J634" i="7"/>
  <c r="J633" i="7"/>
  <c r="J632" i="7"/>
  <c r="J631" i="7"/>
  <c r="J630" i="7"/>
  <c r="J629" i="7"/>
  <c r="J687" i="7"/>
  <c r="J267" i="7"/>
  <c r="J628" i="7"/>
  <c r="J842" i="7"/>
  <c r="J627" i="7"/>
  <c r="J626" i="7"/>
  <c r="J883" i="7"/>
  <c r="J338" i="7"/>
  <c r="J625" i="7"/>
  <c r="J624" i="7"/>
  <c r="J623" i="7"/>
  <c r="J622" i="7"/>
  <c r="J621" i="7"/>
  <c r="J620" i="7"/>
  <c r="J619" i="7"/>
  <c r="J739" i="7"/>
  <c r="J34" i="7"/>
  <c r="J618" i="7"/>
  <c r="J617" i="7"/>
  <c r="J616" i="7"/>
  <c r="J760" i="7"/>
  <c r="J855" i="7"/>
  <c r="J615" i="7"/>
  <c r="J702" i="7"/>
  <c r="J850" i="7"/>
  <c r="J877" i="7"/>
  <c r="J836" i="7"/>
  <c r="J701" i="7"/>
  <c r="J686" i="7"/>
  <c r="J614" i="7"/>
  <c r="J229" i="7"/>
  <c r="J613" i="7"/>
  <c r="J816" i="7"/>
  <c r="J612" i="7"/>
  <c r="J611" i="7"/>
  <c r="J610" i="7"/>
  <c r="J777" i="7"/>
  <c r="J802" i="7"/>
  <c r="J609" i="7"/>
  <c r="J608" i="7"/>
  <c r="J607" i="7"/>
  <c r="J730" i="7"/>
  <c r="J606" i="7"/>
  <c r="J815" i="7"/>
  <c r="J738" i="7"/>
  <c r="J869" i="7"/>
  <c r="J605" i="7"/>
  <c r="J363" i="7"/>
  <c r="J604" i="7"/>
  <c r="J685" i="7"/>
  <c r="J759" i="7"/>
  <c r="J903" i="7"/>
  <c r="J603" i="7"/>
  <c r="J337" i="7"/>
  <c r="J27" i="7"/>
  <c r="J602" i="7"/>
  <c r="J322" i="7"/>
  <c r="J388" i="7"/>
  <c r="J88" i="7"/>
  <c r="J296" i="7"/>
  <c r="J234" i="7"/>
  <c r="J915" i="7"/>
  <c r="J370" i="7"/>
  <c r="J71" i="7"/>
  <c r="J913" i="7"/>
  <c r="J601" i="7"/>
  <c r="J684" i="7"/>
  <c r="J282" i="7"/>
  <c r="J600" i="7"/>
  <c r="J98" i="7"/>
  <c r="J329" i="7"/>
  <c r="J907" i="7"/>
  <c r="J737" i="7"/>
  <c r="J599" i="7"/>
  <c r="J598" i="7"/>
  <c r="J597" i="7"/>
  <c r="J596" i="7"/>
  <c r="J595" i="7"/>
  <c r="J783" i="7"/>
  <c r="J594" i="7"/>
  <c r="J593" i="7"/>
  <c r="J900" i="7"/>
  <c r="J592" i="7"/>
  <c r="J319" i="7"/>
  <c r="J103" i="7"/>
  <c r="J591" i="7"/>
  <c r="J380" i="7"/>
  <c r="J219" i="7"/>
  <c r="J794" i="7"/>
  <c r="J283" i="7"/>
  <c r="J115" i="7"/>
  <c r="J590" i="7"/>
  <c r="J2" i="7"/>
  <c r="J589" i="7"/>
  <c r="J806" i="7"/>
  <c r="J841" i="7"/>
  <c r="J332" i="7"/>
  <c r="J588" i="7"/>
  <c r="J324" i="7"/>
  <c r="J587" i="7"/>
  <c r="J364" i="7"/>
  <c r="J782" i="7"/>
  <c r="J586" i="7"/>
  <c r="J585" i="7"/>
  <c r="J683" i="7"/>
  <c r="J243" i="7"/>
  <c r="J584" i="7"/>
  <c r="J904" i="7"/>
  <c r="J62" i="7"/>
  <c r="J583" i="7"/>
  <c r="J793" i="7"/>
  <c r="J123" i="7"/>
  <c r="J334" i="7"/>
  <c r="J102" i="7"/>
  <c r="J909" i="7"/>
  <c r="J766" i="7"/>
  <c r="J860" i="7"/>
  <c r="J155" i="7"/>
  <c r="J89" i="7"/>
  <c r="J277" i="7"/>
  <c r="J112" i="7"/>
  <c r="J582" i="7"/>
  <c r="J581" i="7"/>
  <c r="J379" i="7"/>
  <c r="J580" i="7"/>
  <c r="J579" i="7"/>
  <c r="J765" i="7"/>
  <c r="J700" i="7"/>
  <c r="J892" i="7"/>
  <c r="J578" i="7"/>
  <c r="J577" i="7"/>
  <c r="J576" i="7"/>
  <c r="J729" i="7"/>
  <c r="J352" i="7"/>
  <c r="J682" i="7"/>
  <c r="J575" i="7"/>
  <c r="J111" i="7"/>
  <c r="J574" i="7"/>
  <c r="J728" i="7"/>
  <c r="J710" i="7"/>
  <c r="J898" i="7"/>
  <c r="J801" i="7"/>
  <c r="J916" i="7"/>
  <c r="J832" i="7"/>
  <c r="J199" i="7"/>
  <c r="J573" i="7"/>
  <c r="J125" i="7"/>
  <c r="J572" i="7"/>
  <c r="J770" i="7"/>
  <c r="J263" i="7"/>
  <c r="J882" i="7"/>
  <c r="J571" i="7"/>
  <c r="J872" i="7"/>
  <c r="J163" i="7"/>
  <c r="J281" i="7"/>
  <c r="J849" i="7"/>
  <c r="J570" i="7"/>
  <c r="J294" i="7"/>
  <c r="J569" i="7"/>
  <c r="J727" i="7"/>
  <c r="J835" i="7"/>
  <c r="J848" i="7"/>
  <c r="J776" i="7"/>
  <c r="J176" i="7"/>
  <c r="J568" i="7"/>
  <c r="J715" i="7"/>
  <c r="J567" i="7"/>
  <c r="J8" i="7"/>
  <c r="J68" i="7"/>
  <c r="J262" i="7"/>
  <c r="J795" i="7"/>
  <c r="J566" i="7"/>
  <c r="J879" i="7"/>
  <c r="J565" i="7"/>
  <c r="J198" i="7"/>
  <c r="J847" i="7"/>
  <c r="J846" i="7"/>
  <c r="J564" i="7"/>
  <c r="J563" i="7"/>
  <c r="J825" i="7"/>
  <c r="J562" i="7"/>
  <c r="J561" i="7"/>
  <c r="J560" i="7"/>
  <c r="J182" i="7"/>
  <c r="J559" i="7"/>
  <c r="J151" i="7"/>
  <c r="J360" i="7"/>
  <c r="J558" i="7"/>
  <c r="J811" i="7"/>
  <c r="J557" i="7"/>
  <c r="J556" i="7"/>
  <c r="J555" i="7"/>
  <c r="J554" i="7"/>
  <c r="J553" i="7"/>
  <c r="J923" i="7"/>
  <c r="J552" i="7"/>
  <c r="J551" i="7"/>
  <c r="J20" i="7"/>
  <c r="J781" i="7"/>
  <c r="J80" i="7"/>
  <c r="J266" i="7"/>
  <c r="J550" i="7"/>
  <c r="J321" i="7"/>
  <c r="J549" i="7"/>
  <c r="J548" i="7"/>
  <c r="J547" i="7"/>
  <c r="J203" i="7"/>
  <c r="J307" i="7"/>
  <c r="J230" i="7"/>
  <c r="J300" i="7"/>
  <c r="J61" i="7"/>
  <c r="J858" i="7"/>
  <c r="J546" i="7"/>
  <c r="J911" i="7"/>
  <c r="J545" i="7"/>
  <c r="J371" i="7"/>
  <c r="J544" i="7"/>
  <c r="J83" i="7"/>
  <c r="J543" i="7"/>
  <c r="J758" i="7"/>
  <c r="J542" i="7"/>
  <c r="J726" i="7"/>
  <c r="J541" i="7"/>
  <c r="J256" i="7"/>
  <c r="J905" i="7"/>
  <c r="J273" i="7"/>
  <c r="J378" i="7"/>
  <c r="J888" i="7"/>
  <c r="J93" i="7"/>
  <c r="J4" i="7"/>
  <c r="J124" i="7"/>
  <c r="J169" i="7"/>
  <c r="J275" i="7"/>
  <c r="J343" i="7"/>
  <c r="J540" i="7"/>
  <c r="J757" i="7"/>
  <c r="J681" i="7"/>
  <c r="J539" i="7"/>
  <c r="J810" i="7"/>
  <c r="J292" i="7"/>
  <c r="J822" i="7"/>
  <c r="J28" i="7"/>
  <c r="J919" i="7"/>
  <c r="J538" i="7"/>
  <c r="J824" i="7"/>
  <c r="J375" i="7"/>
  <c r="J894" i="7"/>
  <c r="J304" i="7"/>
  <c r="J873" i="7"/>
  <c r="J908" i="7"/>
  <c r="J537" i="7"/>
  <c r="J536" i="7"/>
  <c r="J367" i="7"/>
  <c r="J535" i="7"/>
  <c r="J736" i="7"/>
  <c r="J834" i="7"/>
  <c r="J368" i="7"/>
  <c r="J534" i="7"/>
  <c r="J533" i="7"/>
  <c r="J204" i="7"/>
  <c r="J532" i="7"/>
  <c r="J531" i="7"/>
  <c r="J725" i="7"/>
  <c r="J800" i="7"/>
  <c r="J735" i="7"/>
  <c r="J530" i="7"/>
  <c r="J529" i="7"/>
  <c r="J528" i="7"/>
  <c r="J840" i="7"/>
  <c r="J527" i="7"/>
  <c r="J734" i="7"/>
  <c r="J680" i="7"/>
  <c r="J679" i="7"/>
  <c r="J814" i="7"/>
  <c r="J709" i="7"/>
  <c r="J526" i="7"/>
  <c r="J525" i="7"/>
  <c r="J362" i="7"/>
  <c r="J830" i="7"/>
  <c r="J524" i="7"/>
  <c r="J374" i="7"/>
  <c r="J829" i="7"/>
  <c r="J523" i="7"/>
  <c r="J820" i="7"/>
  <c r="J82" i="7"/>
  <c r="J839" i="7"/>
  <c r="J522" i="7"/>
  <c r="J792" i="7"/>
  <c r="J724" i="7"/>
  <c r="J843" i="7"/>
  <c r="J791" i="7"/>
  <c r="J865" i="7"/>
  <c r="J215" i="7"/>
  <c r="J521" i="7"/>
  <c r="J520" i="7"/>
  <c r="J756" i="7"/>
  <c r="J868" i="7"/>
  <c r="J699" i="7"/>
  <c r="J519" i="7"/>
  <c r="J518" i="7"/>
  <c r="J809" i="7"/>
  <c r="J838" i="7"/>
  <c r="J372" i="7"/>
  <c r="J517" i="7"/>
  <c r="J813" i="7"/>
  <c r="J698" i="7"/>
  <c r="J516" i="7"/>
  <c r="J515" i="7"/>
  <c r="J514" i="7"/>
  <c r="J66" i="7"/>
  <c r="J386" i="7"/>
  <c r="J513" i="7"/>
  <c r="J828" i="7"/>
  <c r="J799" i="7"/>
  <c r="J512" i="7"/>
  <c r="J511" i="7"/>
  <c r="J510" i="7"/>
  <c r="J509" i="7"/>
  <c r="J508" i="7"/>
  <c r="J293" i="7"/>
  <c r="J507" i="7"/>
  <c r="J924" i="7"/>
  <c r="J506" i="7"/>
  <c r="J505" i="7"/>
  <c r="J166" i="7"/>
  <c r="J149" i="7"/>
  <c r="J504" i="7"/>
  <c r="J503" i="7"/>
  <c r="J790" i="7"/>
  <c r="J502" i="7"/>
  <c r="J823" i="7"/>
  <c r="J79" i="7"/>
  <c r="J501" i="7"/>
  <c r="J382" i="7"/>
  <c r="J500" i="7"/>
  <c r="J775" i="7"/>
  <c r="J351" i="7"/>
  <c r="J499" i="7"/>
  <c r="J276" i="7"/>
  <c r="J925" i="7"/>
  <c r="J5" i="7"/>
  <c r="J678" i="7"/>
  <c r="J152" i="7"/>
  <c r="J780" i="7"/>
  <c r="J498" i="7"/>
  <c r="J369" i="7"/>
  <c r="J890" i="7"/>
  <c r="J497" i="7"/>
  <c r="J496" i="7"/>
  <c r="J831" i="7"/>
  <c r="J764" i="7"/>
  <c r="J353" i="7"/>
  <c r="J755" i="7"/>
  <c r="J495" i="7"/>
  <c r="J774" i="7"/>
  <c r="J864" i="7"/>
  <c r="J494" i="7"/>
  <c r="J493" i="7"/>
  <c r="J31" i="7"/>
  <c r="J812" i="7"/>
  <c r="J852" i="7"/>
  <c r="J723" i="7"/>
  <c r="J333" i="7"/>
  <c r="J65" i="7"/>
  <c r="J769" i="7"/>
  <c r="J805" i="7"/>
  <c r="J359" i="7"/>
  <c r="J492" i="7"/>
  <c r="J138" i="7"/>
  <c r="J195" i="7"/>
  <c r="J299" i="7"/>
  <c r="J708" i="7"/>
  <c r="J827" i="7"/>
  <c r="J491" i="7"/>
  <c r="J381" i="7"/>
  <c r="J312" i="7"/>
  <c r="J209" i="7"/>
  <c r="J323" i="7"/>
  <c r="J143" i="7"/>
  <c r="J63" i="7"/>
  <c r="J84" i="7"/>
  <c r="J754" i="7"/>
  <c r="J377" i="7"/>
  <c r="J887" i="7"/>
  <c r="J325" i="7"/>
  <c r="J290" i="7"/>
  <c r="J40" i="7"/>
  <c r="J17" i="7"/>
  <c r="J490" i="7"/>
  <c r="J489" i="7"/>
  <c r="J796" i="7"/>
  <c r="J753" i="7"/>
  <c r="J488" i="7"/>
  <c r="J278" i="7"/>
  <c r="J870" i="7"/>
  <c r="J487" i="7"/>
  <c r="J56" i="7"/>
  <c r="J863" i="7"/>
  <c r="J486" i="7"/>
  <c r="J104" i="7"/>
  <c r="J851" i="7"/>
  <c r="J160" i="7"/>
  <c r="J134" i="7"/>
  <c r="J859" i="7"/>
  <c r="J714" i="7"/>
  <c r="J354" i="7"/>
  <c r="J485" i="7"/>
  <c r="J484" i="7"/>
  <c r="J483" i="7"/>
  <c r="J350" i="7"/>
  <c r="J349" i="7"/>
  <c r="J482" i="7"/>
  <c r="J64" i="7"/>
  <c r="J232" i="7"/>
  <c r="J481" i="7"/>
  <c r="J190" i="7"/>
  <c r="J480" i="7"/>
  <c r="J265" i="7"/>
  <c r="J132" i="7"/>
  <c r="J479" i="7"/>
  <c r="J478" i="7"/>
  <c r="J722" i="7"/>
  <c r="J752" i="7"/>
  <c r="J893" i="7"/>
  <c r="J477" i="7"/>
  <c r="J866" i="7"/>
  <c r="J476" i="7"/>
  <c r="J896" i="7"/>
  <c r="J475" i="7"/>
  <c r="J246" i="7"/>
  <c r="J902" i="7"/>
  <c r="J833" i="7"/>
  <c r="J808" i="7"/>
  <c r="J173" i="7"/>
  <c r="J241" i="7"/>
  <c r="J474" i="7"/>
  <c r="J240" i="7"/>
  <c r="J473" i="7"/>
  <c r="J926" i="7"/>
  <c r="J472" i="7"/>
  <c r="J174" i="7"/>
  <c r="J144" i="7"/>
  <c r="J184" i="7"/>
  <c r="J16" i="7"/>
  <c r="J471" i="7"/>
  <c r="J44" i="7"/>
  <c r="J197" i="7"/>
  <c r="J779" i="7"/>
  <c r="J255" i="7"/>
  <c r="J75" i="7"/>
  <c r="J74" i="7"/>
  <c r="J876" i="7"/>
  <c r="J358" i="7"/>
  <c r="J130" i="7"/>
  <c r="J305" i="7"/>
  <c r="J180" i="7"/>
  <c r="J129" i="7"/>
  <c r="J36" i="7"/>
  <c r="J67" i="7"/>
  <c r="J697" i="7"/>
  <c r="J317" i="7"/>
  <c r="J773" i="7"/>
  <c r="J335" i="7"/>
  <c r="J77" i="7"/>
  <c r="J751" i="7"/>
  <c r="J340" i="7"/>
  <c r="J239" i="7"/>
  <c r="J244" i="7"/>
  <c r="J223" i="7"/>
  <c r="J361" i="7"/>
  <c r="J178" i="7"/>
  <c r="J285" i="7"/>
  <c r="J721" i="7"/>
  <c r="J819" i="7"/>
  <c r="J886" i="7"/>
  <c r="J470" i="7"/>
  <c r="J469" i="7"/>
  <c r="J468" i="7"/>
  <c r="J168" i="7"/>
  <c r="J248" i="7"/>
  <c r="J467" i="7"/>
  <c r="J376" i="7"/>
  <c r="J875" i="7"/>
  <c r="J696" i="7"/>
  <c r="J845" i="7"/>
  <c r="J707" i="7"/>
  <c r="J466" i="7"/>
  <c r="J465" i="7"/>
  <c r="J854" i="7"/>
  <c r="J706" i="7"/>
  <c r="J464" i="7"/>
  <c r="J463" i="7"/>
  <c r="J677" i="7"/>
  <c r="J161" i="7"/>
  <c r="J462" i="7"/>
  <c r="J269" i="7"/>
  <c r="J309" i="7"/>
  <c r="J348" i="7"/>
  <c r="J461" i="7"/>
  <c r="J460" i="7"/>
  <c r="J910" i="7"/>
  <c r="J459" i="7"/>
  <c r="J458" i="7"/>
  <c r="J212" i="7"/>
  <c r="J87" i="7"/>
  <c r="J457" i="7"/>
  <c r="J257" i="7"/>
  <c r="J676" i="7"/>
  <c r="J675" i="7"/>
  <c r="J705" i="7"/>
  <c r="J917" i="7"/>
  <c r="J695" i="7"/>
  <c r="J456" i="7"/>
  <c r="J192" i="7"/>
  <c r="J789" i="7"/>
  <c r="J694" i="7"/>
  <c r="J455" i="7"/>
  <c r="J454" i="7"/>
  <c r="J922" i="7"/>
  <c r="J453" i="7"/>
  <c r="J853" i="7"/>
  <c r="J452" i="7"/>
  <c r="J336" i="7"/>
  <c r="J451" i="7"/>
  <c r="J450" i="7"/>
  <c r="J357" i="7"/>
  <c r="J750" i="7"/>
  <c r="J874" i="7"/>
  <c r="J449" i="7"/>
  <c r="J448" i="7"/>
  <c r="J768" i="7"/>
  <c r="J447" i="7"/>
  <c r="J891" i="7"/>
  <c r="J749" i="7"/>
  <c r="J177" i="7"/>
  <c r="J21" i="7"/>
  <c r="J91" i="7"/>
  <c r="J826" i="7"/>
  <c r="J249" i="7"/>
  <c r="J720" i="7"/>
  <c r="J118" i="7"/>
  <c r="J99" i="7"/>
  <c r="J85" i="7"/>
  <c r="J94" i="7"/>
  <c r="J109" i="7"/>
  <c r="J446" i="7"/>
  <c r="J921" i="7"/>
  <c r="J128" i="7"/>
  <c r="J445" i="7"/>
  <c r="J385" i="7"/>
  <c r="J261" i="7"/>
  <c r="J341" i="7"/>
  <c r="J288" i="7"/>
  <c r="J164" i="7"/>
  <c r="J444" i="7"/>
  <c r="J231" i="7"/>
  <c r="J443" i="7"/>
  <c r="J719" i="7"/>
  <c r="J270" i="7"/>
  <c r="J201" i="7"/>
  <c r="J19" i="7"/>
  <c r="J442" i="7"/>
  <c r="J55" i="7"/>
  <c r="J13" i="7"/>
  <c r="J136" i="7"/>
  <c r="J97" i="7"/>
  <c r="J441" i="7"/>
  <c r="J126" i="7"/>
  <c r="J788" i="7"/>
  <c r="J718" i="7"/>
  <c r="J216" i="7"/>
  <c r="J70" i="7"/>
  <c r="J183" i="7"/>
  <c r="J24" i="7"/>
  <c r="J440" i="7"/>
  <c r="J439" i="7"/>
  <c r="J153" i="7"/>
  <c r="J912" i="7"/>
  <c r="J438" i="7"/>
  <c r="J29" i="7"/>
  <c r="J437" i="7"/>
  <c r="J291" i="7"/>
  <c r="J436" i="7"/>
  <c r="J435" i="7"/>
  <c r="J434" i="7"/>
  <c r="J142" i="7"/>
  <c r="J108" i="7"/>
  <c r="J49" i="7"/>
  <c r="J252" i="7"/>
  <c r="J433" i="7"/>
  <c r="J880" i="7"/>
  <c r="J693" i="7"/>
  <c r="J884" i="7"/>
  <c r="J432" i="7"/>
  <c r="J86" i="7"/>
  <c r="J347" i="7"/>
  <c r="J431" i="7"/>
  <c r="J430" i="7"/>
  <c r="J172" i="7"/>
  <c r="J122" i="7"/>
  <c r="J251" i="7"/>
  <c r="J429" i="7"/>
  <c r="J428" i="7"/>
  <c r="J162" i="7"/>
  <c r="J47" i="7"/>
  <c r="J302" i="7"/>
  <c r="J202" i="7"/>
  <c r="J748" i="7"/>
  <c r="J284" i="7"/>
  <c r="J233" i="7"/>
  <c r="J314" i="7"/>
  <c r="J427" i="7"/>
  <c r="J426" i="7"/>
  <c r="J137" i="7"/>
  <c r="J235" i="7"/>
  <c r="J42" i="7"/>
  <c r="J100" i="7"/>
  <c r="J271" i="7"/>
  <c r="J297" i="7"/>
  <c r="J90" i="7"/>
  <c r="J33" i="7"/>
  <c r="J743" i="7"/>
  <c r="J32" i="7"/>
  <c r="J25" i="7"/>
  <c r="J274" i="7"/>
  <c r="J425" i="7"/>
  <c r="J135" i="7"/>
  <c r="J247" i="7"/>
  <c r="J346" i="7"/>
  <c r="J772" i="7"/>
  <c r="J208" i="7"/>
  <c r="J11" i="7"/>
  <c r="J331" i="7"/>
  <c r="J37" i="7"/>
  <c r="J116" i="7"/>
  <c r="J95" i="7"/>
  <c r="J366" i="7"/>
  <c r="J23" i="7"/>
  <c r="J424" i="7"/>
  <c r="J316" i="7"/>
  <c r="J356" i="7"/>
  <c r="J328" i="7"/>
  <c r="J692" i="7"/>
  <c r="J365" i="7"/>
  <c r="J139" i="7"/>
  <c r="J150" i="7"/>
  <c r="J12" i="7"/>
  <c r="J58" i="7"/>
  <c r="J344" i="7"/>
  <c r="J114" i="7"/>
  <c r="J287" i="7"/>
  <c r="J60" i="7"/>
  <c r="J423" i="7"/>
  <c r="J253" i="7"/>
  <c r="J373" i="7"/>
  <c r="J422" i="7"/>
  <c r="J154" i="7"/>
  <c r="J245" i="7"/>
  <c r="J837" i="7"/>
  <c r="J308" i="7"/>
  <c r="J387" i="7"/>
  <c r="J264" i="7"/>
  <c r="J57" i="7"/>
  <c r="J867" i="7"/>
  <c r="J224" i="7"/>
  <c r="J222" i="7"/>
  <c r="J320" i="7"/>
  <c r="J421" i="7"/>
  <c r="J674" i="7"/>
  <c r="J76" i="7"/>
  <c r="J763" i="7"/>
  <c r="J420" i="7"/>
  <c r="J419" i="7"/>
  <c r="J418" i="7"/>
  <c r="J141" i="7"/>
  <c r="J158" i="7"/>
  <c r="J157" i="7"/>
  <c r="J53" i="7"/>
  <c r="J310" i="7"/>
  <c r="J148" i="7"/>
  <c r="J673" i="7"/>
  <c r="J186" i="7"/>
  <c r="J330" i="7"/>
  <c r="J92" i="7"/>
  <c r="J417" i="7"/>
  <c r="J121" i="7"/>
  <c r="J311" i="7"/>
  <c r="J105" i="7"/>
  <c r="J416" i="7"/>
  <c r="J798" i="7"/>
  <c r="J194" i="7"/>
  <c r="J170" i="7"/>
  <c r="J327" i="7"/>
  <c r="J156" i="7"/>
  <c r="J14" i="7"/>
  <c r="J45" i="7"/>
  <c r="J30" i="7"/>
  <c r="J167" i="7"/>
  <c r="J39" i="7"/>
  <c r="J145" i="7"/>
  <c r="J236" i="7"/>
  <c r="J250" i="7"/>
  <c r="J787" i="7"/>
  <c r="J415" i="7"/>
  <c r="J414" i="7"/>
  <c r="J733" i="7"/>
  <c r="J238" i="7"/>
  <c r="J767" i="7"/>
  <c r="J48" i="7"/>
  <c r="J413" i="7"/>
  <c r="J412" i="7"/>
  <c r="J857" i="7"/>
  <c r="J35" i="7"/>
  <c r="J73" i="7"/>
  <c r="J717" i="7"/>
  <c r="J50" i="7"/>
  <c r="J217" i="7"/>
  <c r="J147" i="7"/>
  <c r="J871" i="7"/>
  <c r="J51" i="7"/>
  <c r="J3" i="7"/>
  <c r="J315" i="7"/>
  <c r="J411" i="7"/>
  <c r="J747" i="7"/>
  <c r="J410" i="7"/>
  <c r="J716" i="7"/>
  <c r="J218" i="7"/>
  <c r="J409" i="7"/>
  <c r="J408" i="7"/>
  <c r="J18" i="7"/>
  <c r="J159" i="7"/>
  <c r="J407" i="7"/>
  <c r="J254" i="7"/>
  <c r="J746" i="7"/>
  <c r="J406" i="7"/>
  <c r="J117" i="7"/>
  <c r="J313" i="7"/>
  <c r="J140" i="7"/>
  <c r="J405" i="7"/>
  <c r="J797" i="7"/>
  <c r="J914" i="7"/>
  <c r="J298" i="7"/>
  <c r="J762" i="7"/>
  <c r="J404" i="7"/>
  <c r="J342" i="7"/>
  <c r="J43" i="7"/>
  <c r="J268" i="7"/>
  <c r="J41" i="7"/>
  <c r="J672" i="7"/>
  <c r="J213" i="7"/>
  <c r="J10" i="7"/>
  <c r="J9" i="7"/>
  <c r="J403" i="7"/>
  <c r="J81" i="7"/>
  <c r="J318" i="7"/>
  <c r="J189" i="7"/>
  <c r="J6" i="7"/>
  <c r="J7" i="7"/>
  <c r="J286" i="7"/>
  <c r="J402" i="7"/>
  <c r="J188" i="7"/>
  <c r="J205" i="7"/>
  <c r="J732" i="7"/>
  <c r="J401" i="7"/>
  <c r="J906" i="7"/>
  <c r="J179" i="7"/>
  <c r="J691" i="7"/>
  <c r="J745" i="7"/>
  <c r="J46" i="7"/>
  <c r="J400" i="7"/>
  <c r="J399" i="7"/>
  <c r="J384" i="7"/>
  <c r="J52" i="7"/>
  <c r="J918" i="7"/>
  <c r="J398" i="7"/>
  <c r="J383" i="7"/>
  <c r="J207" i="7"/>
  <c r="J771" i="7"/>
  <c r="J303" i="7"/>
  <c r="J38" i="7"/>
  <c r="J54" i="7"/>
  <c r="J96" i="7"/>
  <c r="J397" i="7"/>
  <c r="J396" i="7"/>
  <c r="J181" i="7"/>
  <c r="J72" i="7"/>
  <c r="J306" i="7"/>
  <c r="J690" i="7"/>
  <c r="J355" i="7"/>
  <c r="J395" i="7"/>
  <c r="J193" i="7"/>
  <c r="J901" i="7"/>
  <c r="J133" i="7"/>
  <c r="J394" i="7"/>
  <c r="J279" i="7"/>
  <c r="J821" i="7"/>
  <c r="J393" i="7"/>
  <c r="J392" i="7"/>
  <c r="J272" i="7"/>
  <c r="J391" i="7"/>
  <c r="J214" i="7"/>
  <c r="J106" i="7"/>
  <c r="J119" i="7"/>
  <c r="J704" i="7"/>
  <c r="J165" i="7"/>
  <c r="J744" i="7"/>
  <c r="J237" i="7"/>
  <c r="J786" i="7"/>
  <c r="J390" i="7"/>
  <c r="J225" i="7"/>
  <c r="J258" i="7"/>
  <c r="J226" i="7"/>
  <c r="J242" i="7"/>
  <c r="J259" i="7"/>
  <c r="J228" i="7"/>
  <c r="J862" i="7"/>
  <c r="J101" i="6"/>
  <c r="J186" i="6"/>
  <c r="J188" i="6"/>
  <c r="J5" i="6"/>
  <c r="J668" i="6"/>
  <c r="J761" i="6"/>
  <c r="J211" i="6"/>
  <c r="J809" i="6"/>
  <c r="J272" i="6"/>
  <c r="J141" i="6"/>
  <c r="J60" i="6"/>
  <c r="J691" i="6"/>
  <c r="J54" i="6"/>
  <c r="J725" i="6"/>
  <c r="J98" i="6"/>
  <c r="J564" i="6"/>
  <c r="J884" i="6"/>
  <c r="J580" i="6"/>
  <c r="J215" i="6"/>
  <c r="J563" i="6"/>
  <c r="J763" i="6"/>
  <c r="J774" i="6"/>
  <c r="J296" i="6"/>
  <c r="J225" i="6"/>
  <c r="J89" i="6"/>
  <c r="J678" i="6"/>
  <c r="J853" i="6"/>
  <c r="J32" i="6"/>
  <c r="J562" i="6"/>
  <c r="J357" i="6"/>
  <c r="J316" i="6"/>
  <c r="J48" i="6"/>
  <c r="J38" i="6"/>
  <c r="J365" i="6"/>
  <c r="J744" i="6"/>
  <c r="J239" i="6"/>
  <c r="J858" i="6"/>
  <c r="J658" i="6"/>
  <c r="J792" i="6"/>
  <c r="J865" i="6"/>
  <c r="J561" i="6"/>
  <c r="J612" i="6"/>
  <c r="J904" i="6"/>
  <c r="J740" i="6"/>
  <c r="J593" i="6"/>
  <c r="J173" i="6"/>
  <c r="J346" i="6"/>
  <c r="J560" i="6"/>
  <c r="J234" i="6"/>
  <c r="J18" i="6"/>
  <c r="J752" i="6"/>
  <c r="J177" i="6"/>
  <c r="J822" i="6"/>
  <c r="J731" i="6"/>
  <c r="J833" i="6"/>
  <c r="J43" i="6"/>
  <c r="J877" i="6"/>
  <c r="J182" i="6"/>
  <c r="J559" i="6"/>
  <c r="J760" i="6"/>
  <c r="J146" i="6"/>
  <c r="J646" i="6"/>
  <c r="J730" i="6"/>
  <c r="J558" i="6"/>
  <c r="J592" i="6"/>
  <c r="J686" i="6"/>
  <c r="J144" i="6"/>
  <c r="J777" i="6"/>
  <c r="J557" i="6"/>
  <c r="J639" i="6"/>
  <c r="J821" i="6"/>
  <c r="J556" i="6"/>
  <c r="J677" i="6"/>
  <c r="J812" i="6"/>
  <c r="J910" i="6"/>
  <c r="J149" i="6"/>
  <c r="J555" i="6"/>
  <c r="J347" i="6"/>
  <c r="J388" i="6"/>
  <c r="J661" i="6"/>
  <c r="J667" i="6"/>
  <c r="J554" i="6"/>
  <c r="J553" i="6"/>
  <c r="J552" i="6"/>
  <c r="J551" i="6"/>
  <c r="J780" i="6"/>
  <c r="J611" i="6"/>
  <c r="J724" i="6"/>
  <c r="J550" i="6"/>
  <c r="J808" i="6"/>
  <c r="J549" i="6"/>
  <c r="J704" i="6"/>
  <c r="J548" i="6"/>
  <c r="J547" i="6"/>
  <c r="J870" i="6"/>
  <c r="J118" i="6"/>
  <c r="J676" i="6"/>
  <c r="J336" i="6"/>
  <c r="J375" i="6"/>
  <c r="J579" i="6"/>
  <c r="J387" i="6"/>
  <c r="J729" i="6"/>
  <c r="J723" i="6"/>
  <c r="J546" i="6"/>
  <c r="J545" i="6"/>
  <c r="J685" i="6"/>
  <c r="J620" i="6"/>
  <c r="J578" i="6"/>
  <c r="J544" i="6"/>
  <c r="J901" i="6"/>
  <c r="J624" i="6"/>
  <c r="J35" i="6"/>
  <c r="J675" i="6"/>
  <c r="J386" i="6"/>
  <c r="J840" i="6"/>
  <c r="J205" i="6"/>
  <c r="J674" i="6"/>
  <c r="J543" i="6"/>
  <c r="J657" i="6"/>
  <c r="J610" i="6"/>
  <c r="J577" i="6"/>
  <c r="J609" i="6"/>
  <c r="J348" i="6"/>
  <c r="J608" i="6"/>
  <c r="J817" i="6"/>
  <c r="J607" i="6"/>
  <c r="J886" i="6"/>
  <c r="J542" i="6"/>
  <c r="J759" i="6"/>
  <c r="J689" i="6"/>
  <c r="J619" i="6"/>
  <c r="J541" i="6"/>
  <c r="J839" i="6"/>
  <c r="J734" i="6"/>
  <c r="J361" i="6"/>
  <c r="J681" i="6"/>
  <c r="J351" i="6"/>
  <c r="J849" i="6"/>
  <c r="J907" i="6"/>
  <c r="J722" i="6"/>
  <c r="J673" i="6"/>
  <c r="J576" i="6"/>
  <c r="J540" i="6"/>
  <c r="J349" i="6"/>
  <c r="J539" i="6"/>
  <c r="J703" i="6"/>
  <c r="J575" i="6"/>
  <c r="J811" i="6"/>
  <c r="J751" i="6"/>
  <c r="J538" i="6"/>
  <c r="J680" i="6"/>
  <c r="J869" i="6"/>
  <c r="J537" i="6"/>
  <c r="J787" i="6"/>
  <c r="J536" i="6"/>
  <c r="J645" i="6"/>
  <c r="J618" i="6"/>
  <c r="J535" i="6"/>
  <c r="J190" i="6"/>
  <c r="J921" i="6"/>
  <c r="J739" i="6"/>
  <c r="J356" i="6"/>
  <c r="J167" i="6"/>
  <c r="J591" i="6"/>
  <c r="J300" i="6"/>
  <c r="J389" i="6"/>
  <c r="J17" i="6"/>
  <c r="J282" i="6"/>
  <c r="J192" i="6"/>
  <c r="J20" i="6"/>
  <c r="J534" i="6"/>
  <c r="J4" i="6"/>
  <c r="J145" i="6"/>
  <c r="J533" i="6"/>
  <c r="J532" i="6"/>
  <c r="J779" i="6"/>
  <c r="J381" i="6"/>
  <c r="J207" i="6"/>
  <c r="J326" i="6"/>
  <c r="J922" i="6"/>
  <c r="J769" i="6"/>
  <c r="J385" i="6"/>
  <c r="J531" i="6"/>
  <c r="J384" i="6"/>
  <c r="J530" i="6"/>
  <c r="J758" i="6"/>
  <c r="J815" i="6"/>
  <c r="J529" i="6"/>
  <c r="J528" i="6"/>
  <c r="J8" i="6"/>
  <c r="J679" i="6"/>
  <c r="J842" i="6"/>
  <c r="J106" i="6"/>
  <c r="J527" i="6"/>
  <c r="J526" i="6"/>
  <c r="J25" i="6"/>
  <c r="J908" i="6"/>
  <c r="J319" i="6"/>
  <c r="J525" i="6"/>
  <c r="J524" i="6"/>
  <c r="J115" i="6"/>
  <c r="J523" i="6"/>
  <c r="J522" i="6"/>
  <c r="J878" i="6"/>
  <c r="J872" i="6"/>
  <c r="J521" i="6"/>
  <c r="J364" i="6"/>
  <c r="J520" i="6"/>
  <c r="J341" i="6"/>
  <c r="J656" i="6"/>
  <c r="J672" i="6"/>
  <c r="J797" i="6"/>
  <c r="J370" i="6"/>
  <c r="J179" i="6"/>
  <c r="J590" i="6"/>
  <c r="J220" i="6"/>
  <c r="J56" i="6"/>
  <c r="J702" i="6"/>
  <c r="J519" i="6"/>
  <c r="J83" i="6"/>
  <c r="J337" i="6"/>
  <c r="J111" i="6"/>
  <c r="J924" i="6"/>
  <c r="J816" i="6"/>
  <c r="J829" i="6"/>
  <c r="J81" i="6"/>
  <c r="J324" i="6"/>
  <c r="J189" i="6"/>
  <c r="J128" i="6"/>
  <c r="J721" i="6"/>
  <c r="J720" i="6"/>
  <c r="J518" i="6"/>
  <c r="J606" i="6"/>
  <c r="J390" i="6"/>
  <c r="J517" i="6"/>
  <c r="J516" i="6"/>
  <c r="J796" i="6"/>
  <c r="J768" i="6"/>
  <c r="J819" i="6"/>
  <c r="J515" i="6"/>
  <c r="J623" i="6"/>
  <c r="J514" i="6"/>
  <c r="J513" i="6"/>
  <c r="J350" i="6"/>
  <c r="J367" i="6"/>
  <c r="J574" i="6"/>
  <c r="J512" i="6"/>
  <c r="J511" i="6"/>
  <c r="J223" i="6"/>
  <c r="J383" i="6"/>
  <c r="J312" i="6"/>
  <c r="J333" i="6"/>
  <c r="J11" i="6"/>
  <c r="J374" i="6"/>
  <c r="J138" i="6"/>
  <c r="J510" i="6"/>
  <c r="J345" i="6"/>
  <c r="J728" i="6"/>
  <c r="J845" i="6"/>
  <c r="J573" i="6"/>
  <c r="J247" i="6"/>
  <c r="J67" i="6"/>
  <c r="J103" i="6"/>
  <c r="J219" i="6"/>
  <c r="J373" i="6"/>
  <c r="J209" i="6"/>
  <c r="J509" i="6"/>
  <c r="J508" i="6"/>
  <c r="J238" i="6"/>
  <c r="J218" i="6"/>
  <c r="J738" i="6"/>
  <c r="J137" i="6"/>
  <c r="J372" i="6"/>
  <c r="J507" i="6"/>
  <c r="J506" i="6"/>
  <c r="J309" i="6"/>
  <c r="J857" i="6"/>
  <c r="J727" i="6"/>
  <c r="J897" i="6"/>
  <c r="J371" i="6"/>
  <c r="J793" i="6"/>
  <c r="J572" i="6"/>
  <c r="J10" i="6"/>
  <c r="J217" i="6"/>
  <c r="J216" i="6"/>
  <c r="J505" i="6"/>
  <c r="J504" i="6"/>
  <c r="J644" i="6"/>
  <c r="J379" i="6"/>
  <c r="J503" i="6"/>
  <c r="J767" i="6"/>
  <c r="J184" i="6"/>
  <c r="J502" i="6"/>
  <c r="J92" i="6"/>
  <c r="J501" i="6"/>
  <c r="J701" i="6"/>
  <c r="J500" i="6"/>
  <c r="J114" i="6"/>
  <c r="J743" i="6"/>
  <c r="J499" i="6"/>
  <c r="J498" i="6"/>
  <c r="J700" i="6"/>
  <c r="J328" i="6"/>
  <c r="J773" i="6"/>
  <c r="J497" i="6"/>
  <c r="J254" i="6"/>
  <c r="J699" i="6"/>
  <c r="J269" i="6"/>
  <c r="J899" i="6"/>
  <c r="J617" i="6"/>
  <c r="J864" i="6"/>
  <c r="J605" i="6"/>
  <c r="J746" i="6"/>
  <c r="J643" i="6"/>
  <c r="J920" i="6"/>
  <c r="J905" i="6"/>
  <c r="J24" i="6"/>
  <c r="J259" i="6"/>
  <c r="J44" i="6"/>
  <c r="J625" i="6"/>
  <c r="J340" i="6"/>
  <c r="J323" i="6"/>
  <c r="J136" i="6"/>
  <c r="J496" i="6"/>
  <c r="J732" i="6"/>
  <c r="J33" i="6"/>
  <c r="J791" i="6"/>
  <c r="J495" i="6"/>
  <c r="J638" i="6"/>
  <c r="J655" i="6"/>
  <c r="J494" i="6"/>
  <c r="J12" i="6"/>
  <c r="J260" i="6"/>
  <c r="J912" i="6"/>
  <c r="J493" i="6"/>
  <c r="J654" i="6"/>
  <c r="J19" i="6"/>
  <c r="J150" i="6"/>
  <c r="J155" i="6"/>
  <c r="J159" i="6"/>
  <c r="J299" i="6"/>
  <c r="J335" i="6"/>
  <c r="J784" i="6"/>
  <c r="J492" i="6"/>
  <c r="J491" i="6"/>
  <c r="J604" i="6"/>
  <c r="J860" i="6"/>
  <c r="J913" i="6"/>
  <c r="J847" i="6"/>
  <c r="J21" i="6"/>
  <c r="J490" i="6"/>
  <c r="J603" i="6"/>
  <c r="J589" i="6"/>
  <c r="J213" i="6"/>
  <c r="J39" i="6"/>
  <c r="J719" i="6"/>
  <c r="J489" i="6"/>
  <c r="J107" i="6"/>
  <c r="J766" i="6"/>
  <c r="J827" i="6"/>
  <c r="J488" i="6"/>
  <c r="J828" i="6"/>
  <c r="J745" i="6"/>
  <c r="J718" i="6"/>
  <c r="J487" i="6"/>
  <c r="J698" i="6"/>
  <c r="J653" i="6"/>
  <c r="J914" i="6"/>
  <c r="J706" i="6"/>
  <c r="J786" i="6"/>
  <c r="J642" i="6"/>
  <c r="J486" i="6"/>
  <c r="J733" i="6"/>
  <c r="J820" i="6"/>
  <c r="J485" i="6"/>
  <c r="J747" i="6"/>
  <c r="J484" i="6"/>
  <c r="J788" i="6"/>
  <c r="J483" i="6"/>
  <c r="J482" i="6"/>
  <c r="J652" i="6"/>
  <c r="J481" i="6"/>
  <c r="J846" i="6"/>
  <c r="J778" i="6"/>
  <c r="J616" i="6"/>
  <c r="J480" i="6"/>
  <c r="J479" i="6"/>
  <c r="J602" i="6"/>
  <c r="J478" i="6"/>
  <c r="J801" i="6"/>
  <c r="J687" i="6"/>
  <c r="J15" i="6"/>
  <c r="J140" i="6"/>
  <c r="J588" i="6"/>
  <c r="J717" i="6"/>
  <c r="J477" i="6"/>
  <c r="J476" i="6"/>
  <c r="J804" i="6"/>
  <c r="J859" i="6"/>
  <c r="J666" i="6"/>
  <c r="J183" i="6"/>
  <c r="J475" i="6"/>
  <c r="J474" i="6"/>
  <c r="J622" i="6"/>
  <c r="J802" i="6"/>
  <c r="J473" i="6"/>
  <c r="J263" i="6"/>
  <c r="J716" i="6"/>
  <c r="J108" i="6"/>
  <c r="J880" i="6"/>
  <c r="J472" i="6"/>
  <c r="J471" i="6"/>
  <c r="J814" i="6"/>
  <c r="J470" i="6"/>
  <c r="J803" i="6"/>
  <c r="J469" i="6"/>
  <c r="J824" i="6"/>
  <c r="J256" i="6"/>
  <c r="J468" i="6"/>
  <c r="J467" i="6"/>
  <c r="J830" i="6"/>
  <c r="J466" i="6"/>
  <c r="J354" i="6"/>
  <c r="J615" i="6"/>
  <c r="J838" i="6"/>
  <c r="J852" i="6"/>
  <c r="J837" i="6"/>
  <c r="J286" i="6"/>
  <c r="J665" i="6"/>
  <c r="J376" i="6"/>
  <c r="J614" i="6"/>
  <c r="J311" i="6"/>
  <c r="J162" i="6"/>
  <c r="J77" i="6"/>
  <c r="J868" i="6"/>
  <c r="J465" i="6"/>
  <c r="J867" i="6"/>
  <c r="J571" i="6"/>
  <c r="J879" i="6"/>
  <c r="J34" i="6"/>
  <c r="J464" i="6"/>
  <c r="J463" i="6"/>
  <c r="J697" i="6"/>
  <c r="J462" i="6"/>
  <c r="J461" i="6"/>
  <c r="J651" i="6"/>
  <c r="J210" i="6"/>
  <c r="J359" i="6"/>
  <c r="J339" i="6"/>
  <c r="J737" i="6"/>
  <c r="J317" i="6"/>
  <c r="J800" i="6"/>
  <c r="J637" i="6"/>
  <c r="J460" i="6"/>
  <c r="J898" i="6"/>
  <c r="J459" i="6"/>
  <c r="J671" i="6"/>
  <c r="J875" i="6"/>
  <c r="J684" i="6"/>
  <c r="J458" i="6"/>
  <c r="J457" i="6"/>
  <c r="J776" i="6"/>
  <c r="J851" i="6"/>
  <c r="J715" i="6"/>
  <c r="J378" i="6"/>
  <c r="J456" i="6"/>
  <c r="J197" i="6"/>
  <c r="J320" i="6"/>
  <c r="J95" i="6"/>
  <c r="J360" i="6"/>
  <c r="J455" i="6"/>
  <c r="J306" i="6"/>
  <c r="J271" i="6"/>
  <c r="J683" i="6"/>
  <c r="J454" i="6"/>
  <c r="J453" i="6"/>
  <c r="J670" i="6"/>
  <c r="J123" i="6"/>
  <c r="J237" i="6"/>
  <c r="J253" i="6"/>
  <c r="J664" i="6"/>
  <c r="J452" i="6"/>
  <c r="J587" i="6"/>
  <c r="J757" i="6"/>
  <c r="J148" i="6"/>
  <c r="J240" i="6"/>
  <c r="J315" i="6"/>
  <c r="J131" i="6"/>
  <c r="J236" i="6"/>
  <c r="J160" i="6"/>
  <c r="J862" i="6"/>
  <c r="J896" i="6"/>
  <c r="J895" i="6"/>
  <c r="J850" i="6"/>
  <c r="J810" i="6"/>
  <c r="J65" i="6"/>
  <c r="J307" i="6"/>
  <c r="J714" i="6"/>
  <c r="J601" i="6"/>
  <c r="J451" i="6"/>
  <c r="J736" i="6"/>
  <c r="J362" i="6"/>
  <c r="J871" i="6"/>
  <c r="J283" i="6"/>
  <c r="J586" i="6"/>
  <c r="J45" i="6"/>
  <c r="J856" i="6"/>
  <c r="J450" i="6"/>
  <c r="J923" i="6"/>
  <c r="J204" i="6"/>
  <c r="J170" i="6"/>
  <c r="J110" i="6"/>
  <c r="J873" i="6"/>
  <c r="J449" i="6"/>
  <c r="J448" i="6"/>
  <c r="J570" i="6"/>
  <c r="J585" i="6"/>
  <c r="J584" i="6"/>
  <c r="J756" i="6"/>
  <c r="J447" i="6"/>
  <c r="J844" i="6"/>
  <c r="J185" i="6"/>
  <c r="J783" i="6"/>
  <c r="J805" i="6"/>
  <c r="J36" i="6"/>
  <c r="J863" i="6"/>
  <c r="J275" i="6"/>
  <c r="J251" i="6"/>
  <c r="J669" i="6"/>
  <c r="J446" i="6"/>
  <c r="J825" i="6"/>
  <c r="J445" i="6"/>
  <c r="J229" i="6"/>
  <c r="J636" i="6"/>
  <c r="J902" i="6"/>
  <c r="J284" i="6"/>
  <c r="J903" i="6"/>
  <c r="J444" i="6"/>
  <c r="J305" i="6"/>
  <c r="J748" i="6"/>
  <c r="J841" i="6"/>
  <c r="J600" i="6"/>
  <c r="J180" i="6"/>
  <c r="J290" i="6"/>
  <c r="J343" i="6"/>
  <c r="J289" i="6"/>
  <c r="J443" i="6"/>
  <c r="J889" i="6"/>
  <c r="J627" i="6"/>
  <c r="J909" i="6"/>
  <c r="J135" i="6"/>
  <c r="J117" i="6"/>
  <c r="J46" i="6"/>
  <c r="J621" i="6"/>
  <c r="J78" i="6"/>
  <c r="J53" i="6"/>
  <c r="J885" i="6"/>
  <c r="J208" i="6"/>
  <c r="J28" i="6"/>
  <c r="J86" i="6"/>
  <c r="J861" i="6"/>
  <c r="J442" i="6"/>
  <c r="J231" i="6"/>
  <c r="J308" i="6"/>
  <c r="J129" i="6"/>
  <c r="J151" i="6"/>
  <c r="J200" i="6"/>
  <c r="J199" i="6"/>
  <c r="J754" i="6"/>
  <c r="J329" i="6"/>
  <c r="J441" i="6"/>
  <c r="J268" i="6"/>
  <c r="J104" i="6"/>
  <c r="J599" i="6"/>
  <c r="J583" i="6"/>
  <c r="J156" i="6"/>
  <c r="J37" i="6"/>
  <c r="J257" i="6"/>
  <c r="J626" i="6"/>
  <c r="J116" i="6"/>
  <c r="J440" i="6"/>
  <c r="J690" i="6"/>
  <c r="J88" i="6"/>
  <c r="J51" i="6"/>
  <c r="J569" i="6"/>
  <c r="J568" i="6"/>
  <c r="J696" i="6"/>
  <c r="J270" i="6"/>
  <c r="J855" i="6"/>
  <c r="J775" i="6"/>
  <c r="J439" i="6"/>
  <c r="J890" i="6"/>
  <c r="J438" i="6"/>
  <c r="J893" i="6"/>
  <c r="J882" i="6"/>
  <c r="J437" i="6"/>
  <c r="J682" i="6"/>
  <c r="J843" i="6"/>
  <c r="J380" i="6"/>
  <c r="J641" i="6"/>
  <c r="J640" i="6"/>
  <c r="J807" i="6"/>
  <c r="J6" i="6"/>
  <c r="J713" i="6"/>
  <c r="J261" i="6"/>
  <c r="J331" i="6"/>
  <c r="J377" i="6"/>
  <c r="J436" i="6"/>
  <c r="J750" i="6"/>
  <c r="J874" i="6"/>
  <c r="J735" i="6"/>
  <c r="J435" i="6"/>
  <c r="J318" i="6"/>
  <c r="J126" i="6"/>
  <c r="J434" i="6"/>
  <c r="J790" i="6"/>
  <c r="J567" i="6"/>
  <c r="J566" i="6"/>
  <c r="J338" i="6"/>
  <c r="J139" i="6"/>
  <c r="J726" i="6"/>
  <c r="J433" i="6"/>
  <c r="J926" i="6"/>
  <c r="J695" i="6"/>
  <c r="J876" i="6"/>
  <c r="J432" i="6"/>
  <c r="J431" i="6"/>
  <c r="J430" i="6"/>
  <c r="J635" i="6"/>
  <c r="J73" i="6"/>
  <c r="J663" i="6"/>
  <c r="J789" i="6"/>
  <c r="J429" i="6"/>
  <c r="J765" i="6"/>
  <c r="J428" i="6"/>
  <c r="J427" i="6"/>
  <c r="J232" i="6"/>
  <c r="J426" i="6"/>
  <c r="J772" i="6"/>
  <c r="J712" i="6"/>
  <c r="J425" i="6"/>
  <c r="J900" i="6"/>
  <c r="J344" i="6"/>
  <c r="J242" i="6"/>
  <c r="J66" i="6"/>
  <c r="J99" i="6"/>
  <c r="J105" i="6"/>
  <c r="J227" i="6"/>
  <c r="J894" i="6"/>
  <c r="J258" i="6"/>
  <c r="J281" i="6"/>
  <c r="J142" i="6"/>
  <c r="J191" i="6"/>
  <c r="J55" i="6"/>
  <c r="J711" i="6"/>
  <c r="J764" i="6"/>
  <c r="J916" i="6"/>
  <c r="J634" i="6"/>
  <c r="J710" i="6"/>
  <c r="J241" i="6"/>
  <c r="J325" i="6"/>
  <c r="J249" i="6"/>
  <c r="J265" i="6"/>
  <c r="J598" i="6"/>
  <c r="J230" i="6"/>
  <c r="J424" i="6"/>
  <c r="J423" i="6"/>
  <c r="J127" i="6"/>
  <c r="J166" i="6"/>
  <c r="J7" i="6"/>
  <c r="J422" i="6"/>
  <c r="J72" i="6"/>
  <c r="J100" i="6"/>
  <c r="J125" i="6"/>
  <c r="J59" i="6"/>
  <c r="J421" i="6"/>
  <c r="J82" i="6"/>
  <c r="J818" i="6"/>
  <c r="J420" i="6"/>
  <c r="J198" i="6"/>
  <c r="J29" i="6"/>
  <c r="J228" i="6"/>
  <c r="J292" i="6"/>
  <c r="J363" i="6"/>
  <c r="J826" i="6"/>
  <c r="J3" i="6"/>
  <c r="J13" i="6"/>
  <c r="J771" i="6"/>
  <c r="J153" i="6"/>
  <c r="J419" i="6"/>
  <c r="J172" i="6"/>
  <c r="J368" i="6"/>
  <c r="J418" i="6"/>
  <c r="J417" i="6"/>
  <c r="J90" i="6"/>
  <c r="J214" i="6"/>
  <c r="J119" i="6"/>
  <c r="J278" i="6"/>
  <c r="J795" i="6"/>
  <c r="J22" i="6"/>
  <c r="J416" i="6"/>
  <c r="J358" i="6"/>
  <c r="J835" i="6"/>
  <c r="J2" i="6"/>
  <c r="J352" i="6"/>
  <c r="J565" i="6"/>
  <c r="J650" i="6"/>
  <c r="J158" i="6"/>
  <c r="J49" i="6"/>
  <c r="J295" i="6"/>
  <c r="J415" i="6"/>
  <c r="J762" i="6"/>
  <c r="J68" i="6"/>
  <c r="J132" i="6"/>
  <c r="J276" i="6"/>
  <c r="J157" i="6"/>
  <c r="J848" i="6"/>
  <c r="J244" i="6"/>
  <c r="J342" i="6"/>
  <c r="J597" i="6"/>
  <c r="J888" i="6"/>
  <c r="J832" i="6"/>
  <c r="J293" i="6"/>
  <c r="J124" i="6"/>
  <c r="J196" i="6"/>
  <c r="J168" i="6"/>
  <c r="J297" i="6"/>
  <c r="J255" i="6"/>
  <c r="J47" i="6"/>
  <c r="J63" i="6"/>
  <c r="J582" i="6"/>
  <c r="J62" i="6"/>
  <c r="J694" i="6"/>
  <c r="J301" i="6"/>
  <c r="J414" i="6"/>
  <c r="J9" i="6"/>
  <c r="J279" i="6"/>
  <c r="J709" i="6"/>
  <c r="J705" i="6"/>
  <c r="J203" i="6"/>
  <c r="J85" i="6"/>
  <c r="J248" i="6"/>
  <c r="J194" i="6"/>
  <c r="J87" i="6"/>
  <c r="J93" i="6"/>
  <c r="J794" i="6"/>
  <c r="J14" i="6"/>
  <c r="J770" i="6"/>
  <c r="J785" i="6"/>
  <c r="J31" i="6"/>
  <c r="J353" i="6"/>
  <c r="J633" i="6"/>
  <c r="J632" i="6"/>
  <c r="J152" i="6"/>
  <c r="J161" i="6"/>
  <c r="J23" i="6"/>
  <c r="J96" i="6"/>
  <c r="J355" i="6"/>
  <c r="J69" i="6"/>
  <c r="J277" i="6"/>
  <c r="J41" i="6"/>
  <c r="J413" i="6"/>
  <c r="J906" i="6"/>
  <c r="J412" i="6"/>
  <c r="J411" i="6"/>
  <c r="J410" i="6"/>
  <c r="J755" i="6"/>
  <c r="J57" i="6"/>
  <c r="J212" i="6"/>
  <c r="J782" i="6"/>
  <c r="J264" i="6"/>
  <c r="J112" i="6"/>
  <c r="J831" i="6"/>
  <c r="J288" i="6"/>
  <c r="J165" i="6"/>
  <c r="J321" i="6"/>
  <c r="J330" i="6"/>
  <c r="J836" i="6"/>
  <c r="J58" i="6"/>
  <c r="J631" i="6"/>
  <c r="J693" i="6"/>
  <c r="J781" i="6"/>
  <c r="J823" i="6"/>
  <c r="J102" i="6"/>
  <c r="J226" i="6"/>
  <c r="J224" i="6"/>
  <c r="J61" i="6"/>
  <c r="J285" i="6"/>
  <c r="J91" i="6"/>
  <c r="J806" i="6"/>
  <c r="J174" i="6"/>
  <c r="J178" i="6"/>
  <c r="J74" i="6"/>
  <c r="J708" i="6"/>
  <c r="J70" i="6"/>
  <c r="J911" i="6"/>
  <c r="J71" i="6"/>
  <c r="J409" i="6"/>
  <c r="J408" i="6"/>
  <c r="J854" i="6"/>
  <c r="J369" i="6"/>
  <c r="J273" i="6"/>
  <c r="J147" i="6"/>
  <c r="J193" i="6"/>
  <c r="J233" i="6"/>
  <c r="J891" i="6"/>
  <c r="J163" i="6"/>
  <c r="J175" i="6"/>
  <c r="J134" i="6"/>
  <c r="J206" i="6"/>
  <c r="J294" i="6"/>
  <c r="J688" i="6"/>
  <c r="J327" i="6"/>
  <c r="J407" i="6"/>
  <c r="J662" i="6"/>
  <c r="J121" i="6"/>
  <c r="J406" i="6"/>
  <c r="J40" i="6"/>
  <c r="J799" i="6"/>
  <c r="J742" i="6"/>
  <c r="J302" i="6"/>
  <c r="J274" i="6"/>
  <c r="J304" i="6"/>
  <c r="J222" i="6"/>
  <c r="J613" i="6"/>
  <c r="J26" i="6"/>
  <c r="J84" i="6"/>
  <c r="J291" i="6"/>
  <c r="J120" i="6"/>
  <c r="J27" i="6"/>
  <c r="J262" i="6"/>
  <c r="J649" i="6"/>
  <c r="J741" i="6"/>
  <c r="J648" i="6"/>
  <c r="J405" i="6"/>
  <c r="J201" i="6"/>
  <c r="J404" i="6"/>
  <c r="J753" i="6"/>
  <c r="J280" i="6"/>
  <c r="J42" i="6"/>
  <c r="J403" i="6"/>
  <c r="J915" i="6"/>
  <c r="J892" i="6"/>
  <c r="J596" i="6"/>
  <c r="J195" i="6"/>
  <c r="J883" i="6"/>
  <c r="J130" i="6"/>
  <c r="J630" i="6"/>
  <c r="J143" i="6"/>
  <c r="J925" i="6"/>
  <c r="J287" i="6"/>
  <c r="J581" i="6"/>
  <c r="J692" i="6"/>
  <c r="J659" i="6"/>
  <c r="J154" i="6"/>
  <c r="J250" i="6"/>
  <c r="J164" i="6"/>
  <c r="J595" i="6"/>
  <c r="J181" i="6"/>
  <c r="J918" i="6"/>
  <c r="J917" i="6"/>
  <c r="J834" i="6"/>
  <c r="J80" i="6"/>
  <c r="J334" i="6"/>
  <c r="J402" i="6"/>
  <c r="J303" i="6"/>
  <c r="J310" i="6"/>
  <c r="J176" i="6"/>
  <c r="J629" i="6"/>
  <c r="J401" i="6"/>
  <c r="J171" i="6"/>
  <c r="J660" i="6"/>
  <c r="J400" i="6"/>
  <c r="J298" i="6"/>
  <c r="J76" i="6"/>
  <c r="J594" i="6"/>
  <c r="J798" i="6"/>
  <c r="J16" i="6"/>
  <c r="J366" i="6"/>
  <c r="J399" i="6"/>
  <c r="J382" i="6"/>
  <c r="J322" i="6"/>
  <c r="J398" i="6"/>
  <c r="J813" i="6"/>
  <c r="J30" i="6"/>
  <c r="J243" i="6"/>
  <c r="J397" i="6"/>
  <c r="J266" i="6"/>
  <c r="J75" i="6"/>
  <c r="J113" i="6"/>
  <c r="J64" i="6"/>
  <c r="J628" i="6"/>
  <c r="J79" i="6"/>
  <c r="J245" i="6"/>
  <c r="J97" i="6"/>
  <c r="J187" i="6"/>
  <c r="J647" i="6"/>
  <c r="J396" i="6"/>
  <c r="J395" i="6"/>
  <c r="J235" i="6"/>
  <c r="J919" i="6"/>
  <c r="J122" i="6"/>
  <c r="J394" i="6"/>
  <c r="J109" i="6"/>
  <c r="J887" i="6"/>
  <c r="J393" i="6"/>
  <c r="J881" i="6"/>
  <c r="J52" i="6"/>
  <c r="J392" i="6"/>
  <c r="J221" i="6"/>
  <c r="J169" i="6"/>
  <c r="J94" i="6"/>
  <c r="J50" i="6"/>
  <c r="J202" i="6"/>
  <c r="J707" i="6"/>
  <c r="J252" i="6"/>
  <c r="J391" i="6"/>
  <c r="J749" i="6"/>
  <c r="J313" i="6"/>
  <c r="J246" i="6"/>
  <c r="J133" i="6"/>
  <c r="J314" i="6"/>
  <c r="J332" i="6"/>
  <c r="J267" i="6"/>
  <c r="J866" i="6"/>
  <c r="J256" i="5"/>
  <c r="J294" i="5"/>
  <c r="J280" i="5"/>
  <c r="J135" i="5"/>
  <c r="J247" i="5"/>
  <c r="J284" i="5"/>
  <c r="J710" i="5"/>
  <c r="J711" i="5"/>
  <c r="J248" i="5"/>
  <c r="J656" i="5"/>
  <c r="J206" i="5"/>
  <c r="J272" i="5"/>
  <c r="J116" i="5"/>
  <c r="J96" i="5"/>
  <c r="J183" i="5"/>
  <c r="J508" i="5"/>
  <c r="J204" i="5"/>
  <c r="J530" i="5"/>
  <c r="J626" i="5"/>
  <c r="J417" i="5"/>
  <c r="J340" i="5"/>
  <c r="J699" i="5"/>
  <c r="J101" i="5"/>
  <c r="J350" i="5"/>
  <c r="J95" i="5"/>
  <c r="J321" i="5"/>
  <c r="J712" i="5"/>
  <c r="J713" i="5"/>
  <c r="J209" i="5"/>
  <c r="J119" i="5"/>
  <c r="J187" i="5"/>
  <c r="J714" i="5"/>
  <c r="J715" i="5"/>
  <c r="J41" i="5"/>
  <c r="J2" i="5"/>
  <c r="J89" i="5"/>
  <c r="J153" i="5"/>
  <c r="J716" i="5"/>
  <c r="J445" i="5"/>
  <c r="J717" i="5"/>
  <c r="J718" i="5"/>
  <c r="J683" i="5"/>
  <c r="J327" i="5"/>
  <c r="J701" i="5"/>
  <c r="J657" i="5"/>
  <c r="J325" i="5"/>
  <c r="J57" i="5"/>
  <c r="J439" i="5"/>
  <c r="J719" i="5"/>
  <c r="J141" i="5"/>
  <c r="J253" i="5"/>
  <c r="J571" i="5"/>
  <c r="J475" i="5"/>
  <c r="J64" i="5"/>
  <c r="J720" i="5"/>
  <c r="J721" i="5"/>
  <c r="J19" i="5"/>
  <c r="J312" i="5"/>
  <c r="J302" i="5"/>
  <c r="J643" i="5"/>
  <c r="J293" i="5"/>
  <c r="J71" i="5"/>
  <c r="J722" i="5"/>
  <c r="J8" i="5"/>
  <c r="J9" i="5"/>
  <c r="J115" i="5"/>
  <c r="J586" i="5"/>
  <c r="J72" i="5"/>
  <c r="J234" i="5"/>
  <c r="J146" i="5"/>
  <c r="J213" i="5"/>
  <c r="J406" i="5"/>
  <c r="J418" i="5"/>
  <c r="J291" i="5"/>
  <c r="J336" i="5"/>
  <c r="J419" i="5"/>
  <c r="J603" i="5"/>
  <c r="J85" i="5"/>
  <c r="J371" i="5"/>
  <c r="J338" i="5"/>
  <c r="J604" i="5"/>
  <c r="J374" i="5"/>
  <c r="J360" i="5"/>
  <c r="J490" i="5"/>
  <c r="J197" i="5"/>
  <c r="J179" i="5"/>
  <c r="J308" i="5"/>
  <c r="J697" i="5"/>
  <c r="J128" i="5"/>
  <c r="J446" i="5"/>
  <c r="J723" i="5"/>
  <c r="J296" i="5"/>
  <c r="J658" i="5"/>
  <c r="J392" i="5"/>
  <c r="J30" i="5"/>
  <c r="J169" i="5"/>
  <c r="J219" i="5"/>
  <c r="J88" i="5"/>
  <c r="J334" i="5"/>
  <c r="J111" i="5"/>
  <c r="J320" i="5"/>
  <c r="J618" i="5"/>
  <c r="J175" i="5"/>
  <c r="J300" i="5"/>
  <c r="J724" i="5"/>
  <c r="J509" i="5"/>
  <c r="J343" i="5"/>
  <c r="J621" i="5"/>
  <c r="J150" i="5"/>
  <c r="J395" i="5"/>
  <c r="J497" i="5"/>
  <c r="J523" i="5"/>
  <c r="J482" i="5"/>
  <c r="J239" i="5"/>
  <c r="J33" i="5"/>
  <c r="J112" i="5"/>
  <c r="J161" i="5"/>
  <c r="J67" i="5"/>
  <c r="J357" i="5"/>
  <c r="J184" i="5"/>
  <c r="J139" i="5"/>
  <c r="J117" i="5"/>
  <c r="J277" i="5"/>
  <c r="J227" i="5"/>
  <c r="J401" i="5"/>
  <c r="J725" i="5"/>
  <c r="J499" i="5"/>
  <c r="J55" i="5"/>
  <c r="J136" i="5"/>
  <c r="J59" i="5"/>
  <c r="J726" i="5"/>
  <c r="J49" i="5"/>
  <c r="J252" i="5"/>
  <c r="J156" i="5"/>
  <c r="J727" i="5"/>
  <c r="J131" i="5"/>
  <c r="J268" i="5"/>
  <c r="J44" i="5"/>
  <c r="J171" i="5"/>
  <c r="J172" i="5"/>
  <c r="J50" i="5"/>
  <c r="J307" i="5"/>
  <c r="J498" i="5"/>
  <c r="J728" i="5"/>
  <c r="J561" i="5"/>
  <c r="J56" i="5"/>
  <c r="J644" i="5"/>
  <c r="J729" i="5"/>
  <c r="J245" i="5"/>
  <c r="J155" i="5"/>
  <c r="J288" i="5"/>
  <c r="J645" i="5"/>
  <c r="J6" i="5"/>
  <c r="J230" i="5"/>
  <c r="J563" i="5"/>
  <c r="J199" i="5"/>
  <c r="J65" i="5"/>
  <c r="J275" i="5"/>
  <c r="J24" i="5"/>
  <c r="J540" i="5"/>
  <c r="J730" i="5"/>
  <c r="J45" i="5"/>
  <c r="J659" i="5"/>
  <c r="J48" i="5"/>
  <c r="J283" i="5"/>
  <c r="J51" i="5"/>
  <c r="J323" i="5"/>
  <c r="J120" i="5"/>
  <c r="J34" i="5"/>
  <c r="J113" i="5"/>
  <c r="J110" i="5"/>
  <c r="J731" i="5"/>
  <c r="J732" i="5"/>
  <c r="J38" i="5"/>
  <c r="J733" i="5"/>
  <c r="J375" i="5"/>
  <c r="J476" i="5"/>
  <c r="J39" i="5"/>
  <c r="J453" i="5"/>
  <c r="J104" i="5"/>
  <c r="J106" i="5"/>
  <c r="J137" i="5"/>
  <c r="J326" i="5"/>
  <c r="J342" i="5"/>
  <c r="J233" i="5"/>
  <c r="J491" i="5"/>
  <c r="J463" i="5"/>
  <c r="J246" i="5"/>
  <c r="J80" i="5"/>
  <c r="J524" i="5"/>
  <c r="J273" i="5"/>
  <c r="J692" i="5"/>
  <c r="J92" i="5"/>
  <c r="J577" i="5"/>
  <c r="J93" i="5"/>
  <c r="J122" i="5"/>
  <c r="J144" i="5"/>
  <c r="J259" i="5"/>
  <c r="J148" i="5"/>
  <c r="J376" i="5"/>
  <c r="J90" i="5"/>
  <c r="J130" i="5"/>
  <c r="J734" i="5"/>
  <c r="J303" i="5"/>
  <c r="J518" i="5"/>
  <c r="J322" i="5"/>
  <c r="J238" i="5"/>
  <c r="J420" i="5"/>
  <c r="J282" i="5"/>
  <c r="J278" i="5"/>
  <c r="J163" i="5"/>
  <c r="J52" i="5"/>
  <c r="J489" i="5"/>
  <c r="J311" i="5"/>
  <c r="J188" i="5"/>
  <c r="J13" i="5"/>
  <c r="J145" i="5"/>
  <c r="J735" i="5"/>
  <c r="J736" i="5"/>
  <c r="J737" i="5"/>
  <c r="J331" i="5"/>
  <c r="J470" i="5"/>
  <c r="J403" i="5"/>
  <c r="J555" i="5"/>
  <c r="J646" i="5"/>
  <c r="J738" i="5"/>
  <c r="J263" i="5"/>
  <c r="J124" i="5"/>
  <c r="J177" i="5"/>
  <c r="J79" i="5"/>
  <c r="J660" i="5"/>
  <c r="J693" i="5"/>
  <c r="J739" i="5"/>
  <c r="J304" i="5"/>
  <c r="J598" i="5"/>
  <c r="J191" i="5"/>
  <c r="J531" i="5"/>
  <c r="J262" i="5"/>
  <c r="J335" i="5"/>
  <c r="J740" i="5"/>
  <c r="J741" i="5"/>
  <c r="J345" i="5"/>
  <c r="J200" i="5"/>
  <c r="J27" i="5"/>
  <c r="J254" i="5"/>
  <c r="J742" i="5"/>
  <c r="J510" i="5"/>
  <c r="J77" i="5"/>
  <c r="J459" i="5"/>
  <c r="J74" i="5"/>
  <c r="J108" i="5"/>
  <c r="J87" i="5"/>
  <c r="J73" i="5"/>
  <c r="J661" i="5"/>
  <c r="J62" i="5"/>
  <c r="J133" i="5"/>
  <c r="J388" i="5"/>
  <c r="J743" i="5"/>
  <c r="J492" i="5"/>
  <c r="J210" i="5"/>
  <c r="J744" i="5"/>
  <c r="J590" i="5"/>
  <c r="J212" i="5"/>
  <c r="J201" i="5"/>
  <c r="J5" i="5"/>
  <c r="J511" i="5"/>
  <c r="J318" i="5"/>
  <c r="J63" i="5"/>
  <c r="J745" i="5"/>
  <c r="J746" i="5"/>
  <c r="J21" i="5"/>
  <c r="J190" i="5"/>
  <c r="J228" i="5"/>
  <c r="J271" i="5"/>
  <c r="J170" i="5"/>
  <c r="J747" i="5"/>
  <c r="J232" i="5"/>
  <c r="J485" i="5"/>
  <c r="J99" i="5"/>
  <c r="J58" i="5"/>
  <c r="J198" i="5"/>
  <c r="J431" i="5"/>
  <c r="J532" i="5"/>
  <c r="J627" i="5"/>
  <c r="J748" i="5"/>
  <c r="J749" i="5"/>
  <c r="J628" i="5"/>
  <c r="J393" i="5"/>
  <c r="J750" i="5"/>
  <c r="J751" i="5"/>
  <c r="J752" i="5"/>
  <c r="J423" i="5"/>
  <c r="J456" i="5"/>
  <c r="J753" i="5"/>
  <c r="J578" i="5"/>
  <c r="J754" i="5"/>
  <c r="J755" i="5"/>
  <c r="J662" i="5"/>
  <c r="J629" i="5"/>
  <c r="J663" i="5"/>
  <c r="J756" i="5"/>
  <c r="J339" i="5"/>
  <c r="J450" i="5"/>
  <c r="J687" i="5"/>
  <c r="J97" i="5"/>
  <c r="J704" i="5"/>
  <c r="J757" i="5"/>
  <c r="J758" i="5"/>
  <c r="J664" i="5"/>
  <c r="J605" i="5"/>
  <c r="J7" i="5"/>
  <c r="J290" i="5"/>
  <c r="J525" i="5"/>
  <c r="J759" i="5"/>
  <c r="J362" i="5"/>
  <c r="J760" i="5"/>
  <c r="J533" i="5"/>
  <c r="J690" i="5"/>
  <c r="J381" i="5"/>
  <c r="J202" i="5"/>
  <c r="J761" i="5"/>
  <c r="J348" i="5"/>
  <c r="J534" i="5"/>
  <c r="J541" i="5"/>
  <c r="J542" i="5"/>
  <c r="J762" i="5"/>
  <c r="J477" i="5"/>
  <c r="J579" i="5"/>
  <c r="J612" i="5"/>
  <c r="J665" i="5"/>
  <c r="J223" i="5"/>
  <c r="J763" i="5"/>
  <c r="J404" i="5"/>
  <c r="J606" i="5"/>
  <c r="J764" i="5"/>
  <c r="J225" i="5"/>
  <c r="J424" i="5"/>
  <c r="J551" i="5"/>
  <c r="J576" i="5"/>
  <c r="J647" i="5"/>
  <c r="J358" i="5"/>
  <c r="J416" i="5"/>
  <c r="J519" i="5"/>
  <c r="J765" i="5"/>
  <c r="J203" i="5"/>
  <c r="J648" i="5"/>
  <c r="J134" i="5"/>
  <c r="J196" i="5"/>
  <c r="J3" i="5"/>
  <c r="J649" i="5"/>
  <c r="J405" i="5"/>
  <c r="J31" i="5"/>
  <c r="J265" i="5"/>
  <c r="J766" i="5"/>
  <c r="J240" i="5"/>
  <c r="J666" i="5"/>
  <c r="J208" i="5"/>
  <c r="J279" i="5"/>
  <c r="J61" i="5"/>
  <c r="J140" i="5"/>
  <c r="J270" i="5"/>
  <c r="J217" i="5"/>
  <c r="J767" i="5"/>
  <c r="J543" i="5"/>
  <c r="J341" i="5"/>
  <c r="J29" i="5"/>
  <c r="J267" i="5"/>
  <c r="J166" i="5"/>
  <c r="J46" i="5"/>
  <c r="J81" i="5"/>
  <c r="J427" i="5"/>
  <c r="J40" i="5"/>
  <c r="J91" i="5"/>
  <c r="J186" i="5"/>
  <c r="J352" i="5"/>
  <c r="J76" i="5"/>
  <c r="J211" i="5"/>
  <c r="J688" i="5"/>
  <c r="J249" i="5"/>
  <c r="J517" i="5"/>
  <c r="J250" i="5"/>
  <c r="J595" i="5"/>
  <c r="J768" i="5"/>
  <c r="J504" i="5"/>
  <c r="J535" i="5"/>
  <c r="J455" i="5"/>
  <c r="J488" i="5"/>
  <c r="J432" i="5"/>
  <c r="J667" i="5"/>
  <c r="J365" i="5"/>
  <c r="J630" i="5"/>
  <c r="J287" i="5"/>
  <c r="J769" i="5"/>
  <c r="J770" i="5"/>
  <c r="J695" i="5"/>
  <c r="J771" i="5"/>
  <c r="J349" i="5"/>
  <c r="J226" i="5"/>
  <c r="J399" i="5"/>
  <c r="J299" i="5"/>
  <c r="J317" i="5"/>
  <c r="J251" i="5"/>
  <c r="J244" i="5"/>
  <c r="J706" i="5"/>
  <c r="J772" i="5"/>
  <c r="J314" i="5"/>
  <c r="J773" i="5"/>
  <c r="J774" i="5"/>
  <c r="J775" i="5"/>
  <c r="J776" i="5"/>
  <c r="J185" i="5"/>
  <c r="J777" i="5"/>
  <c r="J147" i="5"/>
  <c r="J60" i="5"/>
  <c r="J596" i="5"/>
  <c r="J127" i="5"/>
  <c r="J526" i="5"/>
  <c r="J380" i="5"/>
  <c r="J107" i="5"/>
  <c r="J778" i="5"/>
  <c r="J514" i="5"/>
  <c r="J207" i="5"/>
  <c r="J779" i="5"/>
  <c r="J780" i="5"/>
  <c r="J591" i="5"/>
  <c r="J781" i="5"/>
  <c r="J782" i="5"/>
  <c r="J319" i="5"/>
  <c r="J36" i="5"/>
  <c r="J54" i="5"/>
  <c r="J11" i="5"/>
  <c r="J83" i="5"/>
  <c r="J564" i="5"/>
  <c r="J369" i="5"/>
  <c r="J94" i="5"/>
  <c r="J195" i="5"/>
  <c r="J68" i="5"/>
  <c r="J285" i="5"/>
  <c r="J152" i="5"/>
  <c r="J281" i="5"/>
  <c r="J387" i="5"/>
  <c r="J783" i="5"/>
  <c r="J784" i="5"/>
  <c r="J785" i="5"/>
  <c r="J235" i="5"/>
  <c r="J237" i="5"/>
  <c r="J332" i="5"/>
  <c r="J421" i="5"/>
  <c r="J786" i="5"/>
  <c r="J787" i="5"/>
  <c r="J182" i="5"/>
  <c r="J189" i="5"/>
  <c r="J306" i="5"/>
  <c r="J788" i="5"/>
  <c r="J622" i="5"/>
  <c r="J500" i="5"/>
  <c r="J241" i="5"/>
  <c r="J157" i="5"/>
  <c r="J668" i="5"/>
  <c r="J789" i="5"/>
  <c r="J512" i="5"/>
  <c r="J447" i="5"/>
  <c r="J790" i="5"/>
  <c r="J791" i="5"/>
  <c r="J700" i="5"/>
  <c r="J572" i="5"/>
  <c r="J407" i="5"/>
  <c r="J544" i="5"/>
  <c r="J42" i="5"/>
  <c r="J493" i="5"/>
  <c r="J669" i="5"/>
  <c r="J792" i="5"/>
  <c r="J793" i="5"/>
  <c r="J384" i="5"/>
  <c r="J794" i="5"/>
  <c r="J315" i="5"/>
  <c r="J78" i="5"/>
  <c r="J370" i="5"/>
  <c r="J545" i="5"/>
  <c r="J795" i="5"/>
  <c r="J607" i="5"/>
  <c r="J796" i="5"/>
  <c r="J501" i="5"/>
  <c r="J515" i="5"/>
  <c r="J160" i="5"/>
  <c r="J481" i="5"/>
  <c r="J556" i="5"/>
  <c r="J123" i="5"/>
  <c r="J613" i="5"/>
  <c r="J276" i="5"/>
  <c r="J143" i="5"/>
  <c r="J154" i="5"/>
  <c r="J215" i="5"/>
  <c r="J797" i="5"/>
  <c r="J222" i="5"/>
  <c r="J798" i="5"/>
  <c r="J266" i="5"/>
  <c r="J608" i="5"/>
  <c r="J609" i="5"/>
  <c r="J580" i="5"/>
  <c r="J799" i="5"/>
  <c r="J441" i="5"/>
  <c r="J670" i="5"/>
  <c r="J465" i="5"/>
  <c r="J557" i="5"/>
  <c r="J800" i="5"/>
  <c r="J82" i="5"/>
  <c r="J801" i="5"/>
  <c r="J671" i="5"/>
  <c r="J802" i="5"/>
  <c r="J803" i="5"/>
  <c r="J411" i="5"/>
  <c r="J672" i="5"/>
  <c r="J804" i="5"/>
  <c r="J383" i="5"/>
  <c r="J176" i="5"/>
  <c r="J466" i="5"/>
  <c r="J805" i="5"/>
  <c r="J527" i="5"/>
  <c r="J806" i="5"/>
  <c r="J467" i="5"/>
  <c r="J471" i="5"/>
  <c r="J565" i="5"/>
  <c r="J363" i="5"/>
  <c r="J458" i="5"/>
  <c r="J460" i="5"/>
  <c r="J522" i="5"/>
  <c r="J807" i="5"/>
  <c r="J558" i="5"/>
  <c r="J808" i="5"/>
  <c r="J513" i="5"/>
  <c r="J142" i="5"/>
  <c r="J410" i="5"/>
  <c r="J546" i="5"/>
  <c r="J809" i="5"/>
  <c r="J810" i="5"/>
  <c r="J650" i="5"/>
  <c r="J292" i="5"/>
  <c r="J811" i="5"/>
  <c r="J812" i="5"/>
  <c r="J231" i="5"/>
  <c r="J536" i="5"/>
  <c r="J631" i="5"/>
  <c r="J813" i="5"/>
  <c r="J814" i="5"/>
  <c r="J815" i="5"/>
  <c r="J437" i="5"/>
  <c r="J472" i="5"/>
  <c r="J324" i="5"/>
  <c r="J587" i="5"/>
  <c r="J547" i="5"/>
  <c r="J816" i="5"/>
  <c r="J397" i="5"/>
  <c r="J817" i="5"/>
  <c r="J440" i="5"/>
  <c r="J673" i="5"/>
  <c r="J354" i="5"/>
  <c r="J818" i="5"/>
  <c r="J819" i="5"/>
  <c r="J559" i="5"/>
  <c r="J632" i="5"/>
  <c r="J516" i="5"/>
  <c r="J820" i="5"/>
  <c r="J674" i="5"/>
  <c r="J379" i="5"/>
  <c r="J821" i="5"/>
  <c r="J158" i="5"/>
  <c r="J822" i="5"/>
  <c r="J192" i="5"/>
  <c r="J428" i="5"/>
  <c r="J359" i="5"/>
  <c r="J614" i="5"/>
  <c r="J823" i="5"/>
  <c r="J824" i="5"/>
  <c r="J10" i="5"/>
  <c r="J494" i="5"/>
  <c r="J84" i="5"/>
  <c r="J444" i="5"/>
  <c r="J633" i="5"/>
  <c r="J480" i="5"/>
  <c r="J825" i="5"/>
  <c r="J826" i="5"/>
  <c r="J827" i="5"/>
  <c r="J264" i="5"/>
  <c r="J149" i="5"/>
  <c r="J132" i="5"/>
  <c r="J17" i="5"/>
  <c r="J26" i="5"/>
  <c r="J242" i="5"/>
  <c r="J828" i="5"/>
  <c r="J356" i="5"/>
  <c r="J337" i="5"/>
  <c r="J372" i="5"/>
  <c r="J707" i="5"/>
  <c r="J829" i="5"/>
  <c r="J566" i="5"/>
  <c r="J830" i="5"/>
  <c r="J831" i="5"/>
  <c r="J329" i="5"/>
  <c r="J832" i="5"/>
  <c r="J833" i="5"/>
  <c r="J834" i="5"/>
  <c r="J347" i="5"/>
  <c r="J309" i="5"/>
  <c r="J597" i="5"/>
  <c r="J32" i="5"/>
  <c r="J554" i="5"/>
  <c r="J224" i="5"/>
  <c r="J243" i="5"/>
  <c r="J15" i="5"/>
  <c r="J835" i="5"/>
  <c r="J567" i="5"/>
  <c r="J836" i="5"/>
  <c r="J229" i="5"/>
  <c r="J837" i="5"/>
  <c r="J496" i="5"/>
  <c r="J216" i="5"/>
  <c r="J438" i="5"/>
  <c r="J257" i="5"/>
  <c r="J675" i="5"/>
  <c r="J838" i="5"/>
  <c r="J390" i="5"/>
  <c r="J839" i="5"/>
  <c r="J537" i="5"/>
  <c r="J469" i="5"/>
  <c r="J840" i="5"/>
  <c r="J448" i="5"/>
  <c r="J305" i="5"/>
  <c r="J841" i="5"/>
  <c r="J842" i="5"/>
  <c r="J70" i="5"/>
  <c r="J474" i="5"/>
  <c r="J165" i="5"/>
  <c r="J449" i="5"/>
  <c r="J651" i="5"/>
  <c r="J843" i="5"/>
  <c r="J610" i="5"/>
  <c r="J634" i="5"/>
  <c r="J581" i="5"/>
  <c r="J433" i="5"/>
  <c r="J434" i="5"/>
  <c r="J193" i="5"/>
  <c r="J844" i="5"/>
  <c r="J377" i="5"/>
  <c r="J845" i="5"/>
  <c r="J14" i="5"/>
  <c r="J385" i="5"/>
  <c r="J409" i="5"/>
  <c r="J28" i="5"/>
  <c r="J528" i="5"/>
  <c r="J846" i="5"/>
  <c r="J847" i="5"/>
  <c r="J173" i="5"/>
  <c r="J848" i="5"/>
  <c r="J435" i="5"/>
  <c r="J479" i="5"/>
  <c r="J849" i="5"/>
  <c r="J599" i="5"/>
  <c r="J378" i="5"/>
  <c r="J850" i="5"/>
  <c r="J436" i="5"/>
  <c r="J400" i="5"/>
  <c r="J35" i="5"/>
  <c r="J461" i="5"/>
  <c r="J635" i="5"/>
  <c r="J396" i="5"/>
  <c r="J386" i="5"/>
  <c r="J851" i="5"/>
  <c r="J636" i="5"/>
  <c r="J168" i="5"/>
  <c r="J852" i="5"/>
  <c r="J194" i="5"/>
  <c r="J853" i="5"/>
  <c r="J368" i="5"/>
  <c r="J415" i="5"/>
  <c r="J364" i="5"/>
  <c r="J600" i="5"/>
  <c r="J548" i="5"/>
  <c r="J637" i="5"/>
  <c r="J408" i="5"/>
  <c r="J854" i="5"/>
  <c r="J855" i="5"/>
  <c r="J473" i="5"/>
  <c r="J538" i="5"/>
  <c r="J691" i="5"/>
  <c r="J856" i="5"/>
  <c r="J857" i="5"/>
  <c r="J478" i="5"/>
  <c r="J652" i="5"/>
  <c r="J858" i="5"/>
  <c r="J859" i="5"/>
  <c r="J860" i="5"/>
  <c r="J861" i="5"/>
  <c r="J862" i="5"/>
  <c r="J863" i="5"/>
  <c r="J129" i="5"/>
  <c r="J313" i="5"/>
  <c r="J295" i="5"/>
  <c r="J109" i="5"/>
  <c r="J573" i="5"/>
  <c r="J864" i="5"/>
  <c r="J353" i="5"/>
  <c r="J100" i="5"/>
  <c r="J274" i="5"/>
  <c r="J126" i="5"/>
  <c r="J865" i="5"/>
  <c r="J866" i="5"/>
  <c r="J22" i="5"/>
  <c r="J218" i="5"/>
  <c r="J653" i="5"/>
  <c r="J351" i="5"/>
  <c r="J619" i="5"/>
  <c r="J560" i="5"/>
  <c r="J676" i="5"/>
  <c r="J867" i="5"/>
  <c r="J868" i="5"/>
  <c r="J654" i="5"/>
  <c r="J167" i="5"/>
  <c r="J684" i="5"/>
  <c r="J506" i="5"/>
  <c r="J468" i="5"/>
  <c r="J869" i="5"/>
  <c r="J623" i="5"/>
  <c r="J125" i="5"/>
  <c r="J451" i="5"/>
  <c r="J870" i="5"/>
  <c r="J429" i="5"/>
  <c r="J454" i="5"/>
  <c r="J102" i="5"/>
  <c r="J871" i="5"/>
  <c r="J269" i="5"/>
  <c r="J103" i="5"/>
  <c r="J398" i="5"/>
  <c r="J872" i="5"/>
  <c r="J174" i="5"/>
  <c r="J426" i="5"/>
  <c r="J495" i="5"/>
  <c r="J873" i="5"/>
  <c r="J874" i="5"/>
  <c r="J601" i="5"/>
  <c r="J582" i="5"/>
  <c r="J553" i="5"/>
  <c r="J583" i="5"/>
  <c r="J529" i="5"/>
  <c r="J344" i="5"/>
  <c r="J310" i="5"/>
  <c r="J114" i="5"/>
  <c r="J875" i="5"/>
  <c r="J520" i="5"/>
  <c r="J876" i="5"/>
  <c r="J708" i="5"/>
  <c r="J138" i="5"/>
  <c r="J16" i="5"/>
  <c r="J686" i="5"/>
  <c r="J330" i="5"/>
  <c r="J151" i="5"/>
  <c r="J236" i="5"/>
  <c r="J25" i="5"/>
  <c r="J677" i="5"/>
  <c r="J255" i="5"/>
  <c r="J877" i="5"/>
  <c r="J121" i="5"/>
  <c r="J298" i="5"/>
  <c r="J430" i="5"/>
  <c r="J260" i="5"/>
  <c r="J220" i="5"/>
  <c r="J592" i="5"/>
  <c r="J678" i="5"/>
  <c r="J638" i="5"/>
  <c r="J483" i="5"/>
  <c r="J552" i="5"/>
  <c r="J878" i="5"/>
  <c r="J442" i="5"/>
  <c r="J696" i="5"/>
  <c r="J879" i="5"/>
  <c r="J602" i="5"/>
  <c r="J615" i="5"/>
  <c r="J880" i="5"/>
  <c r="J639" i="5"/>
  <c r="J881" i="5"/>
  <c r="J882" i="5"/>
  <c r="J624" i="5"/>
  <c r="J593" i="5"/>
  <c r="J422" i="5"/>
  <c r="J883" i="5"/>
  <c r="J159" i="5"/>
  <c r="J568" i="5"/>
  <c r="J679" i="5"/>
  <c r="J616" i="5"/>
  <c r="J884" i="5"/>
  <c r="J549" i="5"/>
  <c r="J361" i="5"/>
  <c r="J885" i="5"/>
  <c r="J886" i="5"/>
  <c r="J698" i="5"/>
  <c r="J486" i="5"/>
  <c r="J694" i="5"/>
  <c r="J625" i="5"/>
  <c r="J887" i="5"/>
  <c r="J414" i="5"/>
  <c r="J569" i="5"/>
  <c r="J620" i="5"/>
  <c r="J574" i="5"/>
  <c r="J888" i="5"/>
  <c r="J709" i="5"/>
  <c r="J889" i="5"/>
  <c r="J680" i="5"/>
  <c r="J890" i="5"/>
  <c r="J221" i="5"/>
  <c r="J487" i="5"/>
  <c r="J891" i="5"/>
  <c r="J892" i="5"/>
  <c r="J382" i="5"/>
  <c r="J893" i="5"/>
  <c r="J366" i="5"/>
  <c r="J894" i="5"/>
  <c r="J895" i="5"/>
  <c r="J575" i="5"/>
  <c r="J896" i="5"/>
  <c r="J316" i="5"/>
  <c r="J550" i="5"/>
  <c r="J897" i="5"/>
  <c r="J898" i="5"/>
  <c r="J899" i="5"/>
  <c r="J900" i="5"/>
  <c r="J901" i="5"/>
  <c r="J20" i="5"/>
  <c r="J902" i="5"/>
  <c r="J75" i="5"/>
  <c r="J389" i="5"/>
  <c r="J464" i="5"/>
  <c r="J584" i="5"/>
  <c r="J903" i="5"/>
  <c r="J904" i="5"/>
  <c r="J484" i="5"/>
  <c r="J505" i="5"/>
  <c r="J905" i="5"/>
  <c r="J570" i="5"/>
  <c r="J367" i="5"/>
  <c r="J685" i="5"/>
  <c r="J906" i="5"/>
  <c r="J588" i="5"/>
  <c r="J655" i="5"/>
  <c r="J640" i="5"/>
  <c r="J907" i="5"/>
  <c r="J908" i="5"/>
  <c r="J909" i="5"/>
  <c r="J910" i="5"/>
  <c r="J4" i="5"/>
  <c r="J164" i="5"/>
  <c r="J402" i="5"/>
  <c r="J911" i="5"/>
  <c r="J912" i="5"/>
  <c r="J539" i="5"/>
  <c r="J913" i="5"/>
  <c r="J914" i="5"/>
  <c r="J915" i="5"/>
  <c r="J333" i="5"/>
  <c r="J916" i="5"/>
  <c r="J917" i="5"/>
  <c r="J641" i="5"/>
  <c r="J702" i="5"/>
  <c r="J594" i="5"/>
  <c r="J205" i="5"/>
  <c r="J918" i="5"/>
  <c r="J589" i="5"/>
  <c r="J178" i="5"/>
  <c r="J289" i="5"/>
  <c r="J37" i="5"/>
  <c r="J452" i="5"/>
  <c r="J919" i="5"/>
  <c r="J507" i="5"/>
  <c r="J162" i="5"/>
  <c r="J920" i="5"/>
  <c r="J258" i="5"/>
  <c r="J373" i="5"/>
  <c r="J921" i="5"/>
  <c r="J617" i="5"/>
  <c r="J425" i="5"/>
  <c r="J681" i="5"/>
  <c r="J457" i="5"/>
  <c r="J180" i="5"/>
  <c r="J703" i="5"/>
  <c r="J922" i="5"/>
  <c r="J394" i="5"/>
  <c r="J443" i="5"/>
  <c r="J682" i="5"/>
  <c r="J413" i="5"/>
  <c r="J301" i="5"/>
  <c r="J503" i="5"/>
  <c r="J328" i="5"/>
  <c r="J412" i="5"/>
  <c r="J98" i="5"/>
  <c r="J521" i="5"/>
  <c r="J286" i="5"/>
  <c r="J923" i="5"/>
  <c r="J23" i="5"/>
  <c r="J297" i="5"/>
  <c r="J924" i="5"/>
  <c r="J86" i="5"/>
  <c r="J12" i="5"/>
  <c r="J118" i="5"/>
  <c r="J642" i="5"/>
  <c r="J925" i="5"/>
  <c r="J705" i="5"/>
  <c r="J181" i="5"/>
  <c r="J502" i="5"/>
  <c r="J261" i="5"/>
  <c r="J611" i="5"/>
  <c r="J69" i="5"/>
  <c r="J462" i="5"/>
  <c r="J105" i="5"/>
  <c r="J689" i="5"/>
  <c r="J47" i="5"/>
  <c r="J53" i="5"/>
  <c r="J355" i="5"/>
  <c r="J926" i="5"/>
  <c r="J214" i="5"/>
  <c r="J391" i="5"/>
  <c r="J585" i="5"/>
  <c r="J18" i="5"/>
  <c r="J66" i="5"/>
  <c r="J346" i="5"/>
  <c r="J43" i="5"/>
  <c r="J562" i="5"/>
  <c r="H262" i="7"/>
  <c r="I113" i="7"/>
  <c r="H113" i="7"/>
  <c r="I131" i="7"/>
  <c r="H131" i="7"/>
  <c r="I187" i="7"/>
  <c r="H187" i="7"/>
  <c r="I15" i="7"/>
  <c r="H15" i="7"/>
  <c r="I671" i="7"/>
  <c r="H671" i="7"/>
  <c r="I670" i="7"/>
  <c r="H670" i="7"/>
  <c r="I220" i="7"/>
  <c r="H220" i="7"/>
  <c r="I844" i="7"/>
  <c r="H844" i="7"/>
  <c r="I260" i="7"/>
  <c r="H260" i="7"/>
  <c r="I78" i="7"/>
  <c r="H78" i="7"/>
  <c r="I175" i="7"/>
  <c r="H175" i="7"/>
  <c r="I669" i="7"/>
  <c r="H669" i="7"/>
  <c r="I69" i="7"/>
  <c r="H69" i="7"/>
  <c r="I668" i="7"/>
  <c r="H668" i="7"/>
  <c r="I101" i="7"/>
  <c r="H101" i="7"/>
  <c r="I731" i="7"/>
  <c r="H731" i="7"/>
  <c r="I200" i="7"/>
  <c r="H200" i="7"/>
  <c r="I667" i="7"/>
  <c r="H667" i="7"/>
  <c r="I210" i="7"/>
  <c r="H210" i="7"/>
  <c r="I666" i="7"/>
  <c r="H666" i="7"/>
  <c r="I665" i="7"/>
  <c r="H665" i="7"/>
  <c r="I895" i="7"/>
  <c r="H895" i="7"/>
  <c r="I289" i="7"/>
  <c r="H289" i="7"/>
  <c r="I127" i="7"/>
  <c r="H127" i="7"/>
  <c r="I120" i="7"/>
  <c r="H120" i="7"/>
  <c r="I664" i="7"/>
  <c r="H664" i="7"/>
  <c r="I663" i="7"/>
  <c r="H663" i="7"/>
  <c r="I110" i="7"/>
  <c r="H110" i="7"/>
  <c r="I742" i="7"/>
  <c r="H742" i="7"/>
  <c r="I339" i="7"/>
  <c r="H339" i="7"/>
  <c r="I280" i="7"/>
  <c r="H280" i="7"/>
  <c r="I26" i="7"/>
  <c r="H26" i="7"/>
  <c r="I856" i="7"/>
  <c r="H856" i="7"/>
  <c r="I389" i="7"/>
  <c r="H389" i="7"/>
  <c r="I713" i="7"/>
  <c r="H713" i="7"/>
  <c r="I326" i="7"/>
  <c r="H326" i="7"/>
  <c r="I899" i="7"/>
  <c r="H899" i="7"/>
  <c r="I703" i="7"/>
  <c r="H703" i="7"/>
  <c r="I761" i="7"/>
  <c r="H761" i="7"/>
  <c r="I818" i="7"/>
  <c r="H818" i="7"/>
  <c r="I712" i="7"/>
  <c r="H712" i="7"/>
  <c r="I662" i="7"/>
  <c r="H662" i="7"/>
  <c r="I191" i="7"/>
  <c r="H191" i="7"/>
  <c r="I661" i="7"/>
  <c r="H661" i="7"/>
  <c r="I804" i="7"/>
  <c r="H804" i="7"/>
  <c r="I221" i="7"/>
  <c r="H221" i="7"/>
  <c r="I817" i="7"/>
  <c r="H817" i="7"/>
  <c r="I920" i="7"/>
  <c r="H920" i="7"/>
  <c r="I206" i="7"/>
  <c r="H206" i="7"/>
  <c r="I211" i="7"/>
  <c r="H211" i="7"/>
  <c r="I660" i="7"/>
  <c r="H660" i="7"/>
  <c r="I196" i="7"/>
  <c r="H196" i="7"/>
  <c r="I885" i="7"/>
  <c r="H885" i="7"/>
  <c r="I659" i="7"/>
  <c r="H659" i="7"/>
  <c r="I889" i="7"/>
  <c r="H889" i="7"/>
  <c r="I59" i="7"/>
  <c r="H59" i="7"/>
  <c r="I301" i="7"/>
  <c r="H301" i="7"/>
  <c r="I171" i="7"/>
  <c r="H171" i="7"/>
  <c r="I658" i="7"/>
  <c r="H658" i="7"/>
  <c r="I657" i="7"/>
  <c r="H657" i="7"/>
  <c r="I897" i="7"/>
  <c r="H897" i="7"/>
  <c r="I803" i="7"/>
  <c r="H803" i="7"/>
  <c r="I345" i="7"/>
  <c r="H345" i="7"/>
  <c r="I656" i="7"/>
  <c r="H656" i="7"/>
  <c r="I655" i="7"/>
  <c r="H655" i="7"/>
  <c r="I654" i="7"/>
  <c r="H654" i="7"/>
  <c r="I107" i="7"/>
  <c r="H107" i="7"/>
  <c r="I653" i="7"/>
  <c r="H653" i="7"/>
  <c r="I741" i="7"/>
  <c r="H741" i="7"/>
  <c r="I652" i="7"/>
  <c r="H652" i="7"/>
  <c r="I651" i="7"/>
  <c r="H651" i="7"/>
  <c r="I689" i="7"/>
  <c r="H689" i="7"/>
  <c r="I778" i="7"/>
  <c r="H778" i="7"/>
  <c r="I650" i="7"/>
  <c r="H650" i="7"/>
  <c r="I22" i="7"/>
  <c r="H22" i="7"/>
  <c r="I227" i="7"/>
  <c r="H227" i="7"/>
  <c r="I740" i="7"/>
  <c r="H740" i="7"/>
  <c r="I649" i="7"/>
  <c r="H649" i="7"/>
  <c r="I648" i="7"/>
  <c r="H648" i="7"/>
  <c r="I647" i="7"/>
  <c r="H647" i="7"/>
  <c r="I646" i="7"/>
  <c r="H646" i="7"/>
  <c r="I645" i="7"/>
  <c r="H645" i="7"/>
  <c r="I711" i="7"/>
  <c r="H711" i="7"/>
  <c r="I878" i="7"/>
  <c r="H878" i="7"/>
  <c r="I644" i="7"/>
  <c r="H644" i="7"/>
  <c r="I295" i="7"/>
  <c r="H295" i="7"/>
  <c r="I643" i="7"/>
  <c r="H643" i="7"/>
  <c r="I642" i="7"/>
  <c r="H642" i="7"/>
  <c r="I785" i="7"/>
  <c r="H785" i="7"/>
  <c r="I641" i="7"/>
  <c r="H641" i="7"/>
  <c r="I688" i="7"/>
  <c r="H688" i="7"/>
  <c r="I807" i="7"/>
  <c r="H807" i="7"/>
  <c r="I640" i="7"/>
  <c r="H640" i="7"/>
  <c r="I639" i="7"/>
  <c r="H639" i="7"/>
  <c r="I861" i="7"/>
  <c r="H861" i="7"/>
  <c r="I146" i="7"/>
  <c r="H146" i="7"/>
  <c r="I638" i="7"/>
  <c r="H638" i="7"/>
  <c r="I881" i="7"/>
  <c r="H881" i="7"/>
  <c r="I637" i="7"/>
  <c r="H637" i="7"/>
  <c r="I784" i="7"/>
  <c r="H784" i="7"/>
  <c r="I636" i="7"/>
  <c r="H636" i="7"/>
  <c r="I635" i="7"/>
  <c r="H635" i="7"/>
  <c r="I634" i="7"/>
  <c r="H634" i="7"/>
  <c r="I633" i="7"/>
  <c r="H633" i="7"/>
  <c r="I632" i="7"/>
  <c r="H632" i="7"/>
  <c r="I631" i="7"/>
  <c r="H631" i="7"/>
  <c r="I630" i="7"/>
  <c r="H630" i="7"/>
  <c r="I629" i="7"/>
  <c r="H629" i="7"/>
  <c r="I687" i="7"/>
  <c r="H687" i="7"/>
  <c r="I267" i="7"/>
  <c r="H267" i="7"/>
  <c r="I628" i="7"/>
  <c r="H628" i="7"/>
  <c r="I842" i="7"/>
  <c r="H842" i="7"/>
  <c r="I627" i="7"/>
  <c r="H627" i="7"/>
  <c r="I626" i="7"/>
  <c r="H626" i="7"/>
  <c r="I883" i="7"/>
  <c r="H883" i="7"/>
  <c r="I338" i="7"/>
  <c r="H338" i="7"/>
  <c r="I625" i="7"/>
  <c r="H625" i="7"/>
  <c r="I624" i="7"/>
  <c r="H624" i="7"/>
  <c r="I623" i="7"/>
  <c r="H623" i="7"/>
  <c r="I622" i="7"/>
  <c r="H622" i="7"/>
  <c r="I621" i="7"/>
  <c r="H621" i="7"/>
  <c r="I620" i="7"/>
  <c r="H620" i="7"/>
  <c r="I619" i="7"/>
  <c r="H619" i="7"/>
  <c r="I739" i="7"/>
  <c r="H739" i="7"/>
  <c r="I34" i="7"/>
  <c r="H34" i="7"/>
  <c r="I618" i="7"/>
  <c r="H618" i="7"/>
  <c r="I617" i="7"/>
  <c r="H617" i="7"/>
  <c r="I616" i="7"/>
  <c r="H616" i="7"/>
  <c r="I760" i="7"/>
  <c r="H760" i="7"/>
  <c r="I855" i="7"/>
  <c r="H855" i="7"/>
  <c r="I615" i="7"/>
  <c r="H615" i="7"/>
  <c r="I702" i="7"/>
  <c r="H702" i="7"/>
  <c r="I850" i="7"/>
  <c r="H850" i="7"/>
  <c r="I877" i="7"/>
  <c r="H877" i="7"/>
  <c r="I836" i="7"/>
  <c r="H836" i="7"/>
  <c r="I701" i="7"/>
  <c r="H701" i="7"/>
  <c r="I686" i="7"/>
  <c r="H686" i="7"/>
  <c r="I614" i="7"/>
  <c r="H614" i="7"/>
  <c r="I229" i="7"/>
  <c r="H229" i="7"/>
  <c r="I613" i="7"/>
  <c r="H613" i="7"/>
  <c r="I816" i="7"/>
  <c r="H816" i="7"/>
  <c r="I612" i="7"/>
  <c r="H612" i="7"/>
  <c r="I611" i="7"/>
  <c r="H611" i="7"/>
  <c r="I610" i="7"/>
  <c r="H610" i="7"/>
  <c r="I777" i="7"/>
  <c r="H777" i="7"/>
  <c r="I802" i="7"/>
  <c r="H802" i="7"/>
  <c r="I609" i="7"/>
  <c r="H609" i="7"/>
  <c r="I608" i="7"/>
  <c r="H608" i="7"/>
  <c r="I607" i="7"/>
  <c r="H607" i="7"/>
  <c r="I730" i="7"/>
  <c r="H730" i="7"/>
  <c r="I606" i="7"/>
  <c r="H606" i="7"/>
  <c r="I815" i="7"/>
  <c r="H815" i="7"/>
  <c r="I738" i="7"/>
  <c r="H738" i="7"/>
  <c r="I869" i="7"/>
  <c r="H869" i="7"/>
  <c r="I605" i="7"/>
  <c r="H605" i="7"/>
  <c r="I363" i="7"/>
  <c r="H363" i="7"/>
  <c r="I604" i="7"/>
  <c r="H604" i="7"/>
  <c r="I685" i="7"/>
  <c r="H685" i="7"/>
  <c r="I759" i="7"/>
  <c r="H759" i="7"/>
  <c r="I903" i="7"/>
  <c r="H903" i="7"/>
  <c r="I603" i="7"/>
  <c r="H603" i="7"/>
  <c r="I337" i="7"/>
  <c r="H337" i="7"/>
  <c r="I27" i="7"/>
  <c r="H27" i="7"/>
  <c r="I602" i="7"/>
  <c r="H602" i="7"/>
  <c r="I322" i="7"/>
  <c r="H322" i="7"/>
  <c r="I388" i="7"/>
  <c r="H388" i="7"/>
  <c r="I88" i="7"/>
  <c r="H88" i="7"/>
  <c r="I296" i="7"/>
  <c r="H296" i="7"/>
  <c r="I234" i="7"/>
  <c r="H234" i="7"/>
  <c r="I915" i="7"/>
  <c r="H915" i="7"/>
  <c r="I370" i="7"/>
  <c r="H370" i="7"/>
  <c r="I71" i="7"/>
  <c r="H71" i="7"/>
  <c r="I913" i="7"/>
  <c r="H913" i="7"/>
  <c r="I601" i="7"/>
  <c r="H601" i="7"/>
  <c r="I684" i="7"/>
  <c r="H684" i="7"/>
  <c r="I282" i="7"/>
  <c r="H282" i="7"/>
  <c r="I600" i="7"/>
  <c r="H600" i="7"/>
  <c r="I98" i="7"/>
  <c r="H98" i="7"/>
  <c r="I329" i="7"/>
  <c r="H329" i="7"/>
  <c r="I907" i="7"/>
  <c r="H907" i="7"/>
  <c r="I737" i="7"/>
  <c r="H737" i="7"/>
  <c r="I599" i="7"/>
  <c r="H599" i="7"/>
  <c r="I598" i="7"/>
  <c r="H598" i="7"/>
  <c r="I597" i="7"/>
  <c r="H597" i="7"/>
  <c r="I596" i="7"/>
  <c r="H596" i="7"/>
  <c r="I595" i="7"/>
  <c r="H595" i="7"/>
  <c r="I783" i="7"/>
  <c r="H783" i="7"/>
  <c r="I594" i="7"/>
  <c r="H594" i="7"/>
  <c r="I593" i="7"/>
  <c r="H593" i="7"/>
  <c r="I900" i="7"/>
  <c r="H900" i="7"/>
  <c r="I592" i="7"/>
  <c r="H592" i="7"/>
  <c r="I319" i="7"/>
  <c r="H319" i="7"/>
  <c r="I103" i="7"/>
  <c r="H103" i="7"/>
  <c r="I591" i="7"/>
  <c r="H591" i="7"/>
  <c r="I380" i="7"/>
  <c r="H380" i="7"/>
  <c r="I219" i="7"/>
  <c r="H219" i="7"/>
  <c r="I794" i="7"/>
  <c r="H794" i="7"/>
  <c r="I283" i="7"/>
  <c r="H283" i="7"/>
  <c r="I115" i="7"/>
  <c r="H115" i="7"/>
  <c r="I590" i="7"/>
  <c r="H590" i="7"/>
  <c r="I2" i="7"/>
  <c r="H2" i="7"/>
  <c r="I589" i="7"/>
  <c r="H589" i="7"/>
  <c r="I806" i="7"/>
  <c r="H806" i="7"/>
  <c r="I841" i="7"/>
  <c r="H841" i="7"/>
  <c r="I332" i="7"/>
  <c r="H332" i="7"/>
  <c r="I588" i="7"/>
  <c r="H588" i="7"/>
  <c r="I324" i="7"/>
  <c r="H324" i="7"/>
  <c r="I587" i="7"/>
  <c r="H587" i="7"/>
  <c r="I364" i="7"/>
  <c r="H364" i="7"/>
  <c r="I782" i="7"/>
  <c r="H782" i="7"/>
  <c r="I586" i="7"/>
  <c r="H586" i="7"/>
  <c r="I585" i="7"/>
  <c r="H585" i="7"/>
  <c r="I683" i="7"/>
  <c r="H683" i="7"/>
  <c r="I243" i="7"/>
  <c r="H243" i="7"/>
  <c r="I584" i="7"/>
  <c r="H584" i="7"/>
  <c r="I904" i="7"/>
  <c r="H904" i="7"/>
  <c r="I62" i="7"/>
  <c r="H62" i="7"/>
  <c r="I583" i="7"/>
  <c r="H583" i="7"/>
  <c r="I793" i="7"/>
  <c r="H793" i="7"/>
  <c r="I123" i="7"/>
  <c r="H123" i="7"/>
  <c r="I334" i="7"/>
  <c r="H334" i="7"/>
  <c r="I102" i="7"/>
  <c r="H102" i="7"/>
  <c r="I909" i="7"/>
  <c r="H909" i="7"/>
  <c r="I766" i="7"/>
  <c r="H766" i="7"/>
  <c r="I860" i="7"/>
  <c r="H860" i="7"/>
  <c r="I155" i="7"/>
  <c r="H155" i="7"/>
  <c r="I89" i="7"/>
  <c r="H89" i="7"/>
  <c r="I277" i="7"/>
  <c r="H277" i="7"/>
  <c r="I112" i="7"/>
  <c r="H112" i="7"/>
  <c r="I582" i="7"/>
  <c r="H582" i="7"/>
  <c r="I581" i="7"/>
  <c r="H581" i="7"/>
  <c r="I379" i="7"/>
  <c r="H379" i="7"/>
  <c r="I580" i="7"/>
  <c r="H580" i="7"/>
  <c r="I579" i="7"/>
  <c r="H579" i="7"/>
  <c r="I765" i="7"/>
  <c r="H765" i="7"/>
  <c r="I700" i="7"/>
  <c r="H700" i="7"/>
  <c r="I892" i="7"/>
  <c r="H892" i="7"/>
  <c r="I578" i="7"/>
  <c r="H578" i="7"/>
  <c r="I577" i="7"/>
  <c r="H577" i="7"/>
  <c r="I576" i="7"/>
  <c r="H576" i="7"/>
  <c r="I729" i="7"/>
  <c r="H729" i="7"/>
  <c r="I352" i="7"/>
  <c r="H352" i="7"/>
  <c r="I682" i="7"/>
  <c r="H682" i="7"/>
  <c r="I575" i="7"/>
  <c r="H575" i="7"/>
  <c r="I111" i="7"/>
  <c r="H111" i="7"/>
  <c r="I574" i="7"/>
  <c r="H574" i="7"/>
  <c r="I728" i="7"/>
  <c r="H728" i="7"/>
  <c r="I710" i="7"/>
  <c r="H710" i="7"/>
  <c r="I898" i="7"/>
  <c r="H898" i="7"/>
  <c r="I801" i="7"/>
  <c r="H801" i="7"/>
  <c r="I916" i="7"/>
  <c r="H916" i="7"/>
  <c r="I832" i="7"/>
  <c r="H832" i="7"/>
  <c r="I199" i="7"/>
  <c r="H199" i="7"/>
  <c r="I573" i="7"/>
  <c r="H573" i="7"/>
  <c r="I125" i="7"/>
  <c r="H125" i="7"/>
  <c r="I572" i="7"/>
  <c r="H572" i="7"/>
  <c r="I770" i="7"/>
  <c r="H770" i="7"/>
  <c r="I263" i="7"/>
  <c r="H263" i="7"/>
  <c r="I882" i="7"/>
  <c r="H882" i="7"/>
  <c r="I571" i="7"/>
  <c r="H571" i="7"/>
  <c r="I872" i="7"/>
  <c r="H872" i="7"/>
  <c r="I163" i="7"/>
  <c r="H163" i="7"/>
  <c r="I281" i="7"/>
  <c r="H281" i="7"/>
  <c r="I849" i="7"/>
  <c r="H849" i="7"/>
  <c r="I570" i="7"/>
  <c r="H570" i="7"/>
  <c r="I294" i="7"/>
  <c r="H294" i="7"/>
  <c r="I569" i="7"/>
  <c r="H569" i="7"/>
  <c r="I727" i="7"/>
  <c r="H727" i="7"/>
  <c r="I835" i="7"/>
  <c r="H835" i="7"/>
  <c r="I848" i="7"/>
  <c r="H848" i="7"/>
  <c r="I776" i="7"/>
  <c r="H776" i="7"/>
  <c r="I176" i="7"/>
  <c r="H176" i="7"/>
  <c r="I568" i="7"/>
  <c r="H568" i="7"/>
  <c r="I715" i="7"/>
  <c r="H715" i="7"/>
  <c r="I567" i="7"/>
  <c r="H567" i="7"/>
  <c r="I8" i="7"/>
  <c r="H8" i="7"/>
  <c r="I68" i="7"/>
  <c r="H68" i="7"/>
  <c r="I262" i="7"/>
  <c r="I795" i="7"/>
  <c r="H795" i="7"/>
  <c r="I566" i="7"/>
  <c r="H566" i="7"/>
  <c r="I879" i="7"/>
  <c r="H879" i="7"/>
  <c r="I565" i="7"/>
  <c r="H565" i="7"/>
  <c r="I198" i="7"/>
  <c r="H198" i="7"/>
  <c r="I847" i="7"/>
  <c r="H847" i="7"/>
  <c r="I846" i="7"/>
  <c r="H846" i="7"/>
  <c r="I564" i="7"/>
  <c r="H564" i="7"/>
  <c r="I563" i="7"/>
  <c r="H563" i="7"/>
  <c r="I825" i="7"/>
  <c r="H825" i="7"/>
  <c r="I562" i="7"/>
  <c r="H562" i="7"/>
  <c r="I561" i="7"/>
  <c r="H561" i="7"/>
  <c r="I560" i="7"/>
  <c r="H560" i="7"/>
  <c r="I182" i="7"/>
  <c r="H182" i="7"/>
  <c r="I559" i="7"/>
  <c r="H559" i="7"/>
  <c r="I151" i="7"/>
  <c r="H151" i="7"/>
  <c r="I360" i="7"/>
  <c r="H360" i="7"/>
  <c r="I558" i="7"/>
  <c r="H558" i="7"/>
  <c r="I811" i="7"/>
  <c r="H811" i="7"/>
  <c r="I557" i="7"/>
  <c r="H557" i="7"/>
  <c r="I556" i="7"/>
  <c r="H556" i="7"/>
  <c r="I555" i="7"/>
  <c r="H555" i="7"/>
  <c r="I554" i="7"/>
  <c r="H554" i="7"/>
  <c r="I553" i="7"/>
  <c r="H553" i="7"/>
  <c r="I923" i="7"/>
  <c r="H923" i="7"/>
  <c r="I552" i="7"/>
  <c r="H552" i="7"/>
  <c r="I551" i="7"/>
  <c r="H551" i="7"/>
  <c r="I20" i="7"/>
  <c r="H20" i="7"/>
  <c r="I781" i="7"/>
  <c r="H781" i="7"/>
  <c r="I80" i="7"/>
  <c r="H80" i="7"/>
  <c r="I266" i="7"/>
  <c r="H266" i="7"/>
  <c r="I550" i="7"/>
  <c r="H550" i="7"/>
  <c r="I321" i="7"/>
  <c r="H321" i="7"/>
  <c r="I549" i="7"/>
  <c r="H549" i="7"/>
  <c r="I548" i="7"/>
  <c r="H548" i="7"/>
  <c r="I547" i="7"/>
  <c r="H547" i="7"/>
  <c r="I203" i="7"/>
  <c r="H203" i="7"/>
  <c r="I307" i="7"/>
  <c r="H307" i="7"/>
  <c r="I230" i="7"/>
  <c r="H230" i="7"/>
  <c r="I300" i="7"/>
  <c r="H300" i="7"/>
  <c r="I61" i="7"/>
  <c r="H61" i="7"/>
  <c r="I858" i="7"/>
  <c r="H858" i="7"/>
  <c r="I546" i="7"/>
  <c r="H546" i="7"/>
  <c r="I911" i="7"/>
  <c r="H911" i="7"/>
  <c r="I545" i="7"/>
  <c r="H545" i="7"/>
  <c r="I371" i="7"/>
  <c r="H371" i="7"/>
  <c r="I544" i="7"/>
  <c r="H544" i="7"/>
  <c r="I83" i="7"/>
  <c r="H83" i="7"/>
  <c r="I543" i="7"/>
  <c r="H543" i="7"/>
  <c r="I758" i="7"/>
  <c r="H758" i="7"/>
  <c r="I542" i="7"/>
  <c r="H542" i="7"/>
  <c r="I726" i="7"/>
  <c r="H726" i="7"/>
  <c r="I541" i="7"/>
  <c r="H541" i="7"/>
  <c r="I256" i="7"/>
  <c r="H256" i="7"/>
  <c r="I905" i="7"/>
  <c r="H905" i="7"/>
  <c r="I273" i="7"/>
  <c r="H273" i="7"/>
  <c r="I378" i="7"/>
  <c r="H378" i="7"/>
  <c r="I888" i="7"/>
  <c r="H888" i="7"/>
  <c r="I93" i="7"/>
  <c r="H93" i="7"/>
  <c r="I4" i="7"/>
  <c r="H4" i="7"/>
  <c r="I124" i="7"/>
  <c r="H124" i="7"/>
  <c r="I169" i="7"/>
  <c r="H169" i="7"/>
  <c r="I275" i="7"/>
  <c r="H275" i="7"/>
  <c r="I343" i="7"/>
  <c r="H343" i="7"/>
  <c r="I540" i="7"/>
  <c r="H540" i="7"/>
  <c r="I757" i="7"/>
  <c r="H757" i="7"/>
  <c r="I681" i="7"/>
  <c r="H681" i="7"/>
  <c r="I539" i="7"/>
  <c r="H539" i="7"/>
  <c r="I810" i="7"/>
  <c r="H810" i="7"/>
  <c r="I292" i="7"/>
  <c r="H292" i="7"/>
  <c r="I822" i="7"/>
  <c r="H822" i="7"/>
  <c r="I28" i="7"/>
  <c r="H28" i="7"/>
  <c r="I919" i="7"/>
  <c r="H919" i="7"/>
  <c r="I538" i="7"/>
  <c r="H538" i="7"/>
  <c r="I824" i="7"/>
  <c r="H824" i="7"/>
  <c r="I375" i="7"/>
  <c r="H375" i="7"/>
  <c r="I894" i="7"/>
  <c r="H894" i="7"/>
  <c r="I304" i="7"/>
  <c r="H304" i="7"/>
  <c r="I873" i="7"/>
  <c r="H873" i="7"/>
  <c r="I908" i="7"/>
  <c r="H908" i="7"/>
  <c r="I537" i="7"/>
  <c r="H537" i="7"/>
  <c r="I536" i="7"/>
  <c r="H536" i="7"/>
  <c r="I367" i="7"/>
  <c r="H367" i="7"/>
  <c r="I535" i="7"/>
  <c r="H535" i="7"/>
  <c r="I736" i="7"/>
  <c r="H736" i="7"/>
  <c r="I834" i="7"/>
  <c r="H834" i="7"/>
  <c r="I368" i="7"/>
  <c r="H368" i="7"/>
  <c r="I534" i="7"/>
  <c r="H534" i="7"/>
  <c r="I533" i="7"/>
  <c r="H533" i="7"/>
  <c r="I204" i="7"/>
  <c r="H204" i="7"/>
  <c r="I532" i="7"/>
  <c r="H532" i="7"/>
  <c r="I531" i="7"/>
  <c r="H531" i="7"/>
  <c r="I725" i="7"/>
  <c r="H725" i="7"/>
  <c r="I800" i="7"/>
  <c r="H800" i="7"/>
  <c r="I735" i="7"/>
  <c r="H735" i="7"/>
  <c r="I530" i="7"/>
  <c r="H530" i="7"/>
  <c r="I529" i="7"/>
  <c r="H529" i="7"/>
  <c r="I528" i="7"/>
  <c r="H528" i="7"/>
  <c r="I840" i="7"/>
  <c r="H840" i="7"/>
  <c r="I527" i="7"/>
  <c r="H527" i="7"/>
  <c r="I734" i="7"/>
  <c r="H734" i="7"/>
  <c r="I680" i="7"/>
  <c r="H680" i="7"/>
  <c r="I679" i="7"/>
  <c r="H679" i="7"/>
  <c r="I814" i="7"/>
  <c r="H814" i="7"/>
  <c r="I709" i="7"/>
  <c r="H709" i="7"/>
  <c r="I526" i="7"/>
  <c r="H526" i="7"/>
  <c r="I525" i="7"/>
  <c r="H525" i="7"/>
  <c r="I362" i="7"/>
  <c r="H362" i="7"/>
  <c r="I830" i="7"/>
  <c r="H830" i="7"/>
  <c r="I524" i="7"/>
  <c r="H524" i="7"/>
  <c r="I374" i="7"/>
  <c r="H374" i="7"/>
  <c r="I829" i="7"/>
  <c r="H829" i="7"/>
  <c r="I523" i="7"/>
  <c r="H523" i="7"/>
  <c r="I820" i="7"/>
  <c r="H820" i="7"/>
  <c r="I82" i="7"/>
  <c r="H82" i="7"/>
  <c r="I839" i="7"/>
  <c r="H839" i="7"/>
  <c r="I522" i="7"/>
  <c r="H522" i="7"/>
  <c r="I792" i="7"/>
  <c r="H792" i="7"/>
  <c r="I724" i="7"/>
  <c r="H724" i="7"/>
  <c r="I843" i="7"/>
  <c r="H843" i="7"/>
  <c r="I791" i="7"/>
  <c r="H791" i="7"/>
  <c r="I865" i="7"/>
  <c r="H865" i="7"/>
  <c r="I215" i="7"/>
  <c r="H215" i="7"/>
  <c r="I521" i="7"/>
  <c r="H521" i="7"/>
  <c r="I520" i="7"/>
  <c r="H520" i="7"/>
  <c r="I756" i="7"/>
  <c r="H756" i="7"/>
  <c r="I868" i="7"/>
  <c r="H868" i="7"/>
  <c r="I699" i="7"/>
  <c r="H699" i="7"/>
  <c r="I519" i="7"/>
  <c r="H519" i="7"/>
  <c r="I518" i="7"/>
  <c r="H518" i="7"/>
  <c r="I809" i="7"/>
  <c r="H809" i="7"/>
  <c r="I838" i="7"/>
  <c r="H838" i="7"/>
  <c r="I372" i="7"/>
  <c r="H372" i="7"/>
  <c r="I517" i="7"/>
  <c r="H517" i="7"/>
  <c r="I813" i="7"/>
  <c r="H813" i="7"/>
  <c r="I698" i="7"/>
  <c r="H698" i="7"/>
  <c r="I516" i="7"/>
  <c r="H516" i="7"/>
  <c r="I515" i="7"/>
  <c r="H515" i="7"/>
  <c r="I514" i="7"/>
  <c r="H514" i="7"/>
  <c r="I66" i="7"/>
  <c r="H66" i="7"/>
  <c r="I386" i="7"/>
  <c r="H386" i="7"/>
  <c r="I513" i="7"/>
  <c r="H513" i="7"/>
  <c r="I828" i="7"/>
  <c r="H828" i="7"/>
  <c r="I799" i="7"/>
  <c r="H799" i="7"/>
  <c r="I512" i="7"/>
  <c r="H512" i="7"/>
  <c r="I511" i="7"/>
  <c r="H511" i="7"/>
  <c r="I510" i="7"/>
  <c r="H510" i="7"/>
  <c r="I509" i="7"/>
  <c r="H509" i="7"/>
  <c r="I508" i="7"/>
  <c r="H508" i="7"/>
  <c r="I293" i="7"/>
  <c r="H293" i="7"/>
  <c r="I507" i="7"/>
  <c r="H507" i="7"/>
  <c r="I924" i="7"/>
  <c r="H924" i="7"/>
  <c r="I506" i="7"/>
  <c r="H506" i="7"/>
  <c r="I505" i="7"/>
  <c r="H505" i="7"/>
  <c r="I166" i="7"/>
  <c r="H166" i="7"/>
  <c r="I149" i="7"/>
  <c r="H149" i="7"/>
  <c r="I504" i="7"/>
  <c r="H504" i="7"/>
  <c r="I503" i="7"/>
  <c r="H503" i="7"/>
  <c r="I790" i="7"/>
  <c r="H790" i="7"/>
  <c r="I502" i="7"/>
  <c r="H502" i="7"/>
  <c r="I823" i="7"/>
  <c r="H823" i="7"/>
  <c r="I79" i="7"/>
  <c r="H79" i="7"/>
  <c r="I501" i="7"/>
  <c r="H501" i="7"/>
  <c r="I382" i="7"/>
  <c r="H382" i="7"/>
  <c r="I500" i="7"/>
  <c r="H500" i="7"/>
  <c r="I775" i="7"/>
  <c r="H775" i="7"/>
  <c r="I351" i="7"/>
  <c r="H351" i="7"/>
  <c r="I499" i="7"/>
  <c r="H499" i="7"/>
  <c r="I276" i="7"/>
  <c r="H276" i="7"/>
  <c r="I925" i="7"/>
  <c r="H925" i="7"/>
  <c r="I5" i="7"/>
  <c r="H5" i="7"/>
  <c r="I678" i="7"/>
  <c r="H678" i="7"/>
  <c r="I152" i="7"/>
  <c r="H152" i="7"/>
  <c r="I780" i="7"/>
  <c r="H780" i="7"/>
  <c r="I498" i="7"/>
  <c r="H498" i="7"/>
  <c r="I369" i="7"/>
  <c r="H369" i="7"/>
  <c r="I890" i="7"/>
  <c r="H890" i="7"/>
  <c r="I497" i="7"/>
  <c r="H497" i="7"/>
  <c r="I496" i="7"/>
  <c r="H496" i="7"/>
  <c r="I831" i="7"/>
  <c r="H831" i="7"/>
  <c r="I764" i="7"/>
  <c r="H764" i="7"/>
  <c r="I353" i="7"/>
  <c r="H353" i="7"/>
  <c r="I755" i="7"/>
  <c r="H755" i="7"/>
  <c r="I495" i="7"/>
  <c r="H495" i="7"/>
  <c r="I774" i="7"/>
  <c r="H774" i="7"/>
  <c r="I864" i="7"/>
  <c r="H864" i="7"/>
  <c r="I494" i="7"/>
  <c r="H494" i="7"/>
  <c r="I493" i="7"/>
  <c r="H493" i="7"/>
  <c r="I185" i="7"/>
  <c r="H185" i="7"/>
  <c r="I31" i="7"/>
  <c r="H31" i="7"/>
  <c r="I812" i="7"/>
  <c r="H812" i="7"/>
  <c r="I852" i="7"/>
  <c r="H852" i="7"/>
  <c r="I723" i="7"/>
  <c r="H723" i="7"/>
  <c r="I333" i="7"/>
  <c r="H333" i="7"/>
  <c r="I65" i="7"/>
  <c r="H65" i="7"/>
  <c r="I769" i="7"/>
  <c r="H769" i="7"/>
  <c r="I805" i="7"/>
  <c r="H805" i="7"/>
  <c r="I359" i="7"/>
  <c r="H359" i="7"/>
  <c r="I492" i="7"/>
  <c r="H492" i="7"/>
  <c r="I138" i="7"/>
  <c r="H138" i="7"/>
  <c r="I195" i="7"/>
  <c r="H195" i="7"/>
  <c r="I299" i="7"/>
  <c r="H299" i="7"/>
  <c r="I708" i="7"/>
  <c r="H708" i="7"/>
  <c r="I827" i="7"/>
  <c r="H827" i="7"/>
  <c r="I491" i="7"/>
  <c r="H491" i="7"/>
  <c r="I381" i="7"/>
  <c r="H381" i="7"/>
  <c r="I312" i="7"/>
  <c r="H312" i="7"/>
  <c r="I209" i="7"/>
  <c r="H209" i="7"/>
  <c r="I323" i="7"/>
  <c r="H323" i="7"/>
  <c r="I143" i="7"/>
  <c r="H143" i="7"/>
  <c r="I63" i="7"/>
  <c r="H63" i="7"/>
  <c r="I84" i="7"/>
  <c r="H84" i="7"/>
  <c r="I754" i="7"/>
  <c r="H754" i="7"/>
  <c r="I377" i="7"/>
  <c r="H377" i="7"/>
  <c r="I887" i="7"/>
  <c r="H887" i="7"/>
  <c r="I325" i="7"/>
  <c r="H325" i="7"/>
  <c r="I290" i="7"/>
  <c r="H290" i="7"/>
  <c r="I40" i="7"/>
  <c r="H40" i="7"/>
  <c r="I17" i="7"/>
  <c r="H17" i="7"/>
  <c r="I490" i="7"/>
  <c r="H490" i="7"/>
  <c r="I489" i="7"/>
  <c r="H489" i="7"/>
  <c r="I796" i="7"/>
  <c r="H796" i="7"/>
  <c r="I753" i="7"/>
  <c r="H753" i="7"/>
  <c r="I488" i="7"/>
  <c r="H488" i="7"/>
  <c r="I278" i="7"/>
  <c r="H278" i="7"/>
  <c r="I870" i="7"/>
  <c r="H870" i="7"/>
  <c r="I487" i="7"/>
  <c r="H487" i="7"/>
  <c r="I56" i="7"/>
  <c r="H56" i="7"/>
  <c r="I863" i="7"/>
  <c r="H863" i="7"/>
  <c r="I486" i="7"/>
  <c r="H486" i="7"/>
  <c r="I104" i="7"/>
  <c r="H104" i="7"/>
  <c r="I851" i="7"/>
  <c r="H851" i="7"/>
  <c r="I160" i="7"/>
  <c r="H160" i="7"/>
  <c r="I134" i="7"/>
  <c r="H134" i="7"/>
  <c r="I859" i="7"/>
  <c r="H859" i="7"/>
  <c r="I714" i="7"/>
  <c r="H714" i="7"/>
  <c r="I354" i="7"/>
  <c r="H354" i="7"/>
  <c r="I485" i="7"/>
  <c r="H485" i="7"/>
  <c r="I484" i="7"/>
  <c r="H484" i="7"/>
  <c r="I483" i="7"/>
  <c r="H483" i="7"/>
  <c r="I350" i="7"/>
  <c r="H350" i="7"/>
  <c r="I349" i="7"/>
  <c r="H349" i="7"/>
  <c r="I482" i="7"/>
  <c r="H482" i="7"/>
  <c r="I64" i="7"/>
  <c r="H64" i="7"/>
  <c r="I232" i="7"/>
  <c r="H232" i="7"/>
  <c r="I481" i="7"/>
  <c r="H481" i="7"/>
  <c r="I190" i="7"/>
  <c r="H190" i="7"/>
  <c r="I480" i="7"/>
  <c r="H480" i="7"/>
  <c r="I265" i="7"/>
  <c r="H265" i="7"/>
  <c r="I132" i="7"/>
  <c r="H132" i="7"/>
  <c r="I479" i="7"/>
  <c r="H479" i="7"/>
  <c r="I478" i="7"/>
  <c r="H478" i="7"/>
  <c r="I722" i="7"/>
  <c r="H722" i="7"/>
  <c r="I752" i="7"/>
  <c r="H752" i="7"/>
  <c r="I893" i="7"/>
  <c r="H893" i="7"/>
  <c r="I477" i="7"/>
  <c r="H477" i="7"/>
  <c r="I866" i="7"/>
  <c r="H866" i="7"/>
  <c r="I476" i="7"/>
  <c r="H476" i="7"/>
  <c r="I896" i="7"/>
  <c r="H896" i="7"/>
  <c r="I475" i="7"/>
  <c r="H475" i="7"/>
  <c r="I246" i="7"/>
  <c r="H246" i="7"/>
  <c r="I902" i="7"/>
  <c r="H902" i="7"/>
  <c r="I833" i="7"/>
  <c r="H833" i="7"/>
  <c r="I808" i="7"/>
  <c r="H808" i="7"/>
  <c r="I173" i="7"/>
  <c r="H173" i="7"/>
  <c r="I241" i="7"/>
  <c r="H241" i="7"/>
  <c r="I474" i="7"/>
  <c r="H474" i="7"/>
  <c r="I240" i="7"/>
  <c r="H240" i="7"/>
  <c r="I473" i="7"/>
  <c r="H473" i="7"/>
  <c r="I926" i="7"/>
  <c r="H926" i="7"/>
  <c r="I472" i="7"/>
  <c r="H472" i="7"/>
  <c r="I174" i="7"/>
  <c r="H174" i="7"/>
  <c r="I144" i="7"/>
  <c r="H144" i="7"/>
  <c r="I184" i="7"/>
  <c r="H184" i="7"/>
  <c r="I16" i="7"/>
  <c r="H16" i="7"/>
  <c r="I471" i="7"/>
  <c r="H471" i="7"/>
  <c r="I44" i="7"/>
  <c r="H44" i="7"/>
  <c r="I197" i="7"/>
  <c r="H197" i="7"/>
  <c r="I779" i="7"/>
  <c r="H779" i="7"/>
  <c r="I255" i="7"/>
  <c r="H255" i="7"/>
  <c r="I75" i="7"/>
  <c r="H75" i="7"/>
  <c r="I74" i="7"/>
  <c r="H74" i="7"/>
  <c r="I876" i="7"/>
  <c r="H876" i="7"/>
  <c r="I358" i="7"/>
  <c r="H358" i="7"/>
  <c r="I130" i="7"/>
  <c r="H130" i="7"/>
  <c r="I305" i="7"/>
  <c r="H305" i="7"/>
  <c r="I180" i="7"/>
  <c r="H180" i="7"/>
  <c r="I129" i="7"/>
  <c r="H129" i="7"/>
  <c r="I36" i="7"/>
  <c r="H36" i="7"/>
  <c r="I67" i="7"/>
  <c r="H67" i="7"/>
  <c r="I697" i="7"/>
  <c r="H697" i="7"/>
  <c r="I317" i="7"/>
  <c r="H317" i="7"/>
  <c r="I773" i="7"/>
  <c r="H773" i="7"/>
  <c r="I335" i="7"/>
  <c r="H335" i="7"/>
  <c r="I77" i="7"/>
  <c r="H77" i="7"/>
  <c r="I751" i="7"/>
  <c r="H751" i="7"/>
  <c r="I340" i="7"/>
  <c r="H340" i="7"/>
  <c r="I239" i="7"/>
  <c r="H239" i="7"/>
  <c r="I244" i="7"/>
  <c r="H244" i="7"/>
  <c r="I223" i="7"/>
  <c r="H223" i="7"/>
  <c r="I361" i="7"/>
  <c r="H361" i="7"/>
  <c r="I178" i="7"/>
  <c r="H178" i="7"/>
  <c r="I285" i="7"/>
  <c r="H285" i="7"/>
  <c r="I721" i="7"/>
  <c r="H721" i="7"/>
  <c r="I819" i="7"/>
  <c r="H819" i="7"/>
  <c r="I886" i="7"/>
  <c r="H886" i="7"/>
  <c r="I470" i="7"/>
  <c r="H470" i="7"/>
  <c r="I469" i="7"/>
  <c r="H469" i="7"/>
  <c r="I468" i="7"/>
  <c r="H468" i="7"/>
  <c r="I168" i="7"/>
  <c r="H168" i="7"/>
  <c r="I248" i="7"/>
  <c r="H248" i="7"/>
  <c r="I467" i="7"/>
  <c r="H467" i="7"/>
  <c r="I376" i="7"/>
  <c r="H376" i="7"/>
  <c r="I875" i="7"/>
  <c r="H875" i="7"/>
  <c r="I696" i="7"/>
  <c r="H696" i="7"/>
  <c r="I845" i="7"/>
  <c r="H845" i="7"/>
  <c r="I707" i="7"/>
  <c r="H707" i="7"/>
  <c r="I466" i="7"/>
  <c r="H466" i="7"/>
  <c r="I465" i="7"/>
  <c r="H465" i="7"/>
  <c r="I854" i="7"/>
  <c r="H854" i="7"/>
  <c r="I706" i="7"/>
  <c r="H706" i="7"/>
  <c r="I464" i="7"/>
  <c r="H464" i="7"/>
  <c r="I463" i="7"/>
  <c r="H463" i="7"/>
  <c r="I677" i="7"/>
  <c r="H677" i="7"/>
  <c r="I161" i="7"/>
  <c r="H161" i="7"/>
  <c r="I462" i="7"/>
  <c r="H462" i="7"/>
  <c r="I269" i="7"/>
  <c r="H269" i="7"/>
  <c r="I309" i="7"/>
  <c r="H309" i="7"/>
  <c r="I348" i="7"/>
  <c r="H348" i="7"/>
  <c r="I461" i="7"/>
  <c r="H461" i="7"/>
  <c r="I460" i="7"/>
  <c r="H460" i="7"/>
  <c r="I910" i="7"/>
  <c r="H910" i="7"/>
  <c r="I459" i="7"/>
  <c r="H459" i="7"/>
  <c r="I458" i="7"/>
  <c r="H458" i="7"/>
  <c r="I212" i="7"/>
  <c r="H212" i="7"/>
  <c r="I87" i="7"/>
  <c r="H87" i="7"/>
  <c r="I457" i="7"/>
  <c r="H457" i="7"/>
  <c r="I257" i="7"/>
  <c r="H257" i="7"/>
  <c r="I676" i="7"/>
  <c r="H676" i="7"/>
  <c r="I675" i="7"/>
  <c r="H675" i="7"/>
  <c r="I705" i="7"/>
  <c r="H705" i="7"/>
  <c r="I917" i="7"/>
  <c r="H917" i="7"/>
  <c r="I695" i="7"/>
  <c r="H695" i="7"/>
  <c r="I456" i="7"/>
  <c r="H456" i="7"/>
  <c r="I192" i="7"/>
  <c r="H192" i="7"/>
  <c r="I789" i="7"/>
  <c r="H789" i="7"/>
  <c r="I694" i="7"/>
  <c r="H694" i="7"/>
  <c r="I455" i="7"/>
  <c r="H455" i="7"/>
  <c r="I454" i="7"/>
  <c r="H454" i="7"/>
  <c r="I922" i="7"/>
  <c r="H922" i="7"/>
  <c r="I453" i="7"/>
  <c r="H453" i="7"/>
  <c r="I853" i="7"/>
  <c r="H853" i="7"/>
  <c r="I452" i="7"/>
  <c r="H452" i="7"/>
  <c r="I336" i="7"/>
  <c r="H336" i="7"/>
  <c r="I451" i="7"/>
  <c r="H451" i="7"/>
  <c r="I450" i="7"/>
  <c r="H450" i="7"/>
  <c r="I357" i="7"/>
  <c r="H357" i="7"/>
  <c r="I750" i="7"/>
  <c r="H750" i="7"/>
  <c r="I874" i="7"/>
  <c r="H874" i="7"/>
  <c r="I449" i="7"/>
  <c r="H449" i="7"/>
  <c r="I448" i="7"/>
  <c r="H448" i="7"/>
  <c r="I768" i="7"/>
  <c r="H768" i="7"/>
  <c r="I447" i="7"/>
  <c r="H447" i="7"/>
  <c r="I891" i="7"/>
  <c r="H891" i="7"/>
  <c r="I749" i="7"/>
  <c r="H749" i="7"/>
  <c r="I177" i="7"/>
  <c r="H177" i="7"/>
  <c r="I21" i="7"/>
  <c r="H21" i="7"/>
  <c r="I91" i="7"/>
  <c r="H91" i="7"/>
  <c r="I826" i="7"/>
  <c r="H826" i="7"/>
  <c r="I249" i="7"/>
  <c r="H249" i="7"/>
  <c r="I720" i="7"/>
  <c r="H720" i="7"/>
  <c r="I118" i="7"/>
  <c r="H118" i="7"/>
  <c r="I99" i="7"/>
  <c r="H99" i="7"/>
  <c r="I85" i="7"/>
  <c r="H85" i="7"/>
  <c r="I94" i="7"/>
  <c r="H94" i="7"/>
  <c r="I109" i="7"/>
  <c r="H109" i="7"/>
  <c r="I446" i="7"/>
  <c r="H446" i="7"/>
  <c r="I921" i="7"/>
  <c r="H921" i="7"/>
  <c r="I128" i="7"/>
  <c r="H128" i="7"/>
  <c r="I445" i="7"/>
  <c r="H445" i="7"/>
  <c r="I385" i="7"/>
  <c r="H385" i="7"/>
  <c r="I261" i="7"/>
  <c r="H261" i="7"/>
  <c r="I341" i="7"/>
  <c r="H341" i="7"/>
  <c r="I288" i="7"/>
  <c r="H288" i="7"/>
  <c r="I164" i="7"/>
  <c r="H164" i="7"/>
  <c r="I444" i="7"/>
  <c r="H444" i="7"/>
  <c r="I231" i="7"/>
  <c r="H231" i="7"/>
  <c r="I443" i="7"/>
  <c r="H443" i="7"/>
  <c r="I719" i="7"/>
  <c r="H719" i="7"/>
  <c r="I270" i="7"/>
  <c r="H270" i="7"/>
  <c r="I201" i="7"/>
  <c r="H201" i="7"/>
  <c r="I19" i="7"/>
  <c r="H19" i="7"/>
  <c r="I442" i="7"/>
  <c r="H442" i="7"/>
  <c r="I55" i="7"/>
  <c r="H55" i="7"/>
  <c r="I13" i="7"/>
  <c r="H13" i="7"/>
  <c r="I136" i="7"/>
  <c r="H136" i="7"/>
  <c r="I97" i="7"/>
  <c r="H97" i="7"/>
  <c r="I441" i="7"/>
  <c r="H441" i="7"/>
  <c r="I126" i="7"/>
  <c r="H126" i="7"/>
  <c r="I788" i="7"/>
  <c r="H788" i="7"/>
  <c r="I718" i="7"/>
  <c r="H718" i="7"/>
  <c r="I216" i="7"/>
  <c r="H216" i="7"/>
  <c r="I70" i="7"/>
  <c r="H70" i="7"/>
  <c r="I183" i="7"/>
  <c r="H183" i="7"/>
  <c r="I24" i="7"/>
  <c r="H24" i="7"/>
  <c r="I440" i="7"/>
  <c r="H440" i="7"/>
  <c r="I439" i="7"/>
  <c r="H439" i="7"/>
  <c r="I153" i="7"/>
  <c r="H153" i="7"/>
  <c r="I912" i="7"/>
  <c r="H912" i="7"/>
  <c r="I438" i="7"/>
  <c r="H438" i="7"/>
  <c r="I29" i="7"/>
  <c r="H29" i="7"/>
  <c r="I437" i="7"/>
  <c r="H437" i="7"/>
  <c r="I291" i="7"/>
  <c r="H291" i="7"/>
  <c r="I436" i="7"/>
  <c r="H436" i="7"/>
  <c r="I435" i="7"/>
  <c r="H435" i="7"/>
  <c r="I434" i="7"/>
  <c r="H434" i="7"/>
  <c r="I142" i="7"/>
  <c r="H142" i="7"/>
  <c r="I108" i="7"/>
  <c r="H108" i="7"/>
  <c r="I49" i="7"/>
  <c r="H49" i="7"/>
  <c r="I252" i="7"/>
  <c r="H252" i="7"/>
  <c r="I433" i="7"/>
  <c r="H433" i="7"/>
  <c r="I880" i="7"/>
  <c r="H880" i="7"/>
  <c r="I693" i="7"/>
  <c r="H693" i="7"/>
  <c r="I884" i="7"/>
  <c r="H884" i="7"/>
  <c r="I432" i="7"/>
  <c r="H432" i="7"/>
  <c r="I86" i="7"/>
  <c r="H86" i="7"/>
  <c r="I347" i="7"/>
  <c r="H347" i="7"/>
  <c r="I431" i="7"/>
  <c r="H431" i="7"/>
  <c r="I430" i="7"/>
  <c r="H430" i="7"/>
  <c r="I172" i="7"/>
  <c r="H172" i="7"/>
  <c r="I122" i="7"/>
  <c r="H122" i="7"/>
  <c r="I251" i="7"/>
  <c r="H251" i="7"/>
  <c r="I429" i="7"/>
  <c r="H429" i="7"/>
  <c r="I428" i="7"/>
  <c r="H428" i="7"/>
  <c r="I162" i="7"/>
  <c r="H162" i="7"/>
  <c r="I47" i="7"/>
  <c r="H47" i="7"/>
  <c r="I302" i="7"/>
  <c r="H302" i="7"/>
  <c r="I202" i="7"/>
  <c r="H202" i="7"/>
  <c r="I748" i="7"/>
  <c r="H748" i="7"/>
  <c r="I284" i="7"/>
  <c r="H284" i="7"/>
  <c r="I233" i="7"/>
  <c r="H233" i="7"/>
  <c r="I314" i="7"/>
  <c r="H314" i="7"/>
  <c r="I427" i="7"/>
  <c r="H427" i="7"/>
  <c r="I426" i="7"/>
  <c r="H426" i="7"/>
  <c r="I137" i="7"/>
  <c r="H137" i="7"/>
  <c r="I235" i="7"/>
  <c r="H235" i="7"/>
  <c r="I42" i="7"/>
  <c r="H42" i="7"/>
  <c r="I100" i="7"/>
  <c r="H100" i="7"/>
  <c r="I271" i="7"/>
  <c r="H271" i="7"/>
  <c r="I297" i="7"/>
  <c r="H297" i="7"/>
  <c r="I90" i="7"/>
  <c r="H90" i="7"/>
  <c r="I33" i="7"/>
  <c r="H33" i="7"/>
  <c r="I743" i="7"/>
  <c r="H743" i="7"/>
  <c r="I32" i="7"/>
  <c r="H32" i="7"/>
  <c r="I25" i="7"/>
  <c r="H25" i="7"/>
  <c r="I274" i="7"/>
  <c r="H274" i="7"/>
  <c r="I425" i="7"/>
  <c r="H425" i="7"/>
  <c r="I135" i="7"/>
  <c r="H135" i="7"/>
  <c r="I247" i="7"/>
  <c r="H247" i="7"/>
  <c r="I346" i="7"/>
  <c r="H346" i="7"/>
  <c r="I772" i="7"/>
  <c r="H772" i="7"/>
  <c r="I208" i="7"/>
  <c r="H208" i="7"/>
  <c r="I11" i="7"/>
  <c r="H11" i="7"/>
  <c r="I331" i="7"/>
  <c r="H331" i="7"/>
  <c r="I37" i="7"/>
  <c r="H37" i="7"/>
  <c r="I116" i="7"/>
  <c r="H116" i="7"/>
  <c r="I95" i="7"/>
  <c r="H95" i="7"/>
  <c r="I366" i="7"/>
  <c r="H366" i="7"/>
  <c r="I23" i="7"/>
  <c r="H23" i="7"/>
  <c r="I424" i="7"/>
  <c r="H424" i="7"/>
  <c r="I316" i="7"/>
  <c r="H316" i="7"/>
  <c r="I356" i="7"/>
  <c r="H356" i="7"/>
  <c r="I328" i="7"/>
  <c r="H328" i="7"/>
  <c r="I692" i="7"/>
  <c r="H692" i="7"/>
  <c r="I365" i="7"/>
  <c r="H365" i="7"/>
  <c r="I139" i="7"/>
  <c r="H139" i="7"/>
  <c r="I150" i="7"/>
  <c r="H150" i="7"/>
  <c r="I12" i="7"/>
  <c r="H12" i="7"/>
  <c r="I58" i="7"/>
  <c r="H58" i="7"/>
  <c r="I344" i="7"/>
  <c r="H344" i="7"/>
  <c r="I114" i="7"/>
  <c r="H114" i="7"/>
  <c r="I287" i="7"/>
  <c r="H287" i="7"/>
  <c r="I60" i="7"/>
  <c r="H60" i="7"/>
  <c r="I423" i="7"/>
  <c r="H423" i="7"/>
  <c r="I253" i="7"/>
  <c r="H253" i="7"/>
  <c r="I373" i="7"/>
  <c r="H373" i="7"/>
  <c r="I422" i="7"/>
  <c r="H422" i="7"/>
  <c r="I154" i="7"/>
  <c r="H154" i="7"/>
  <c r="I245" i="7"/>
  <c r="H245" i="7"/>
  <c r="I837" i="7"/>
  <c r="H837" i="7"/>
  <c r="I308" i="7"/>
  <c r="H308" i="7"/>
  <c r="I387" i="7"/>
  <c r="H387" i="7"/>
  <c r="I264" i="7"/>
  <c r="H264" i="7"/>
  <c r="I57" i="7"/>
  <c r="H57" i="7"/>
  <c r="I867" i="7"/>
  <c r="H867" i="7"/>
  <c r="I224" i="7"/>
  <c r="H224" i="7"/>
  <c r="I222" i="7"/>
  <c r="H222" i="7"/>
  <c r="I320" i="7"/>
  <c r="H320" i="7"/>
  <c r="I421" i="7"/>
  <c r="H421" i="7"/>
  <c r="I674" i="7"/>
  <c r="H674" i="7"/>
  <c r="I76" i="7"/>
  <c r="H76" i="7"/>
  <c r="I763" i="7"/>
  <c r="H763" i="7"/>
  <c r="I420" i="7"/>
  <c r="H420" i="7"/>
  <c r="I419" i="7"/>
  <c r="H419" i="7"/>
  <c r="I418" i="7"/>
  <c r="H418" i="7"/>
  <c r="I141" i="7"/>
  <c r="H141" i="7"/>
  <c r="I158" i="7"/>
  <c r="H158" i="7"/>
  <c r="I157" i="7"/>
  <c r="H157" i="7"/>
  <c r="I53" i="7"/>
  <c r="H53" i="7"/>
  <c r="I310" i="7"/>
  <c r="H310" i="7"/>
  <c r="I148" i="7"/>
  <c r="H148" i="7"/>
  <c r="I673" i="7"/>
  <c r="H673" i="7"/>
  <c r="I186" i="7"/>
  <c r="H186" i="7"/>
  <c r="I330" i="7"/>
  <c r="H330" i="7"/>
  <c r="I92" i="7"/>
  <c r="H92" i="7"/>
  <c r="I417" i="7"/>
  <c r="H417" i="7"/>
  <c r="I121" i="7"/>
  <c r="H121" i="7"/>
  <c r="I311" i="7"/>
  <c r="H311" i="7"/>
  <c r="I105" i="7"/>
  <c r="H105" i="7"/>
  <c r="I416" i="7"/>
  <c r="H416" i="7"/>
  <c r="I798" i="7"/>
  <c r="H798" i="7"/>
  <c r="I194" i="7"/>
  <c r="H194" i="7"/>
  <c r="I170" i="7"/>
  <c r="H170" i="7"/>
  <c r="I327" i="7"/>
  <c r="H327" i="7"/>
  <c r="I156" i="7"/>
  <c r="H156" i="7"/>
  <c r="I14" i="7"/>
  <c r="H14" i="7"/>
  <c r="I45" i="7"/>
  <c r="H45" i="7"/>
  <c r="I30" i="7"/>
  <c r="H30" i="7"/>
  <c r="I167" i="7"/>
  <c r="H167" i="7"/>
  <c r="I39" i="7"/>
  <c r="H39" i="7"/>
  <c r="I145" i="7"/>
  <c r="H145" i="7"/>
  <c r="I236" i="7"/>
  <c r="H236" i="7"/>
  <c r="I250" i="7"/>
  <c r="H250" i="7"/>
  <c r="I787" i="7"/>
  <c r="H787" i="7"/>
  <c r="I415" i="7"/>
  <c r="H415" i="7"/>
  <c r="I414" i="7"/>
  <c r="H414" i="7"/>
  <c r="I733" i="7"/>
  <c r="H733" i="7"/>
  <c r="I238" i="7"/>
  <c r="H238" i="7"/>
  <c r="I767" i="7"/>
  <c r="H767" i="7"/>
  <c r="I48" i="7"/>
  <c r="H48" i="7"/>
  <c r="I413" i="7"/>
  <c r="H413" i="7"/>
  <c r="I412" i="7"/>
  <c r="H412" i="7"/>
  <c r="I857" i="7"/>
  <c r="H857" i="7"/>
  <c r="I35" i="7"/>
  <c r="H35" i="7"/>
  <c r="I73" i="7"/>
  <c r="H73" i="7"/>
  <c r="I717" i="7"/>
  <c r="H717" i="7"/>
  <c r="I50" i="7"/>
  <c r="H50" i="7"/>
  <c r="I217" i="7"/>
  <c r="H217" i="7"/>
  <c r="I147" i="7"/>
  <c r="H147" i="7"/>
  <c r="I871" i="7"/>
  <c r="H871" i="7"/>
  <c r="I51" i="7"/>
  <c r="H51" i="7"/>
  <c r="I3" i="7"/>
  <c r="H3" i="7"/>
  <c r="I315" i="7"/>
  <c r="H315" i="7"/>
  <c r="I411" i="7"/>
  <c r="H411" i="7"/>
  <c r="I747" i="7"/>
  <c r="H747" i="7"/>
  <c r="I410" i="7"/>
  <c r="H410" i="7"/>
  <c r="I716" i="7"/>
  <c r="H716" i="7"/>
  <c r="I218" i="7"/>
  <c r="H218" i="7"/>
  <c r="I409" i="7"/>
  <c r="H409" i="7"/>
  <c r="I408" i="7"/>
  <c r="H408" i="7"/>
  <c r="I18" i="7"/>
  <c r="H18" i="7"/>
  <c r="I159" i="7"/>
  <c r="H159" i="7"/>
  <c r="I407" i="7"/>
  <c r="H407" i="7"/>
  <c r="I254" i="7"/>
  <c r="H254" i="7"/>
  <c r="I746" i="7"/>
  <c r="H746" i="7"/>
  <c r="I406" i="7"/>
  <c r="H406" i="7"/>
  <c r="I117" i="7"/>
  <c r="H117" i="7"/>
  <c r="I313" i="7"/>
  <c r="H313" i="7"/>
  <c r="I140" i="7"/>
  <c r="H140" i="7"/>
  <c r="I405" i="7"/>
  <c r="H405" i="7"/>
  <c r="I797" i="7"/>
  <c r="H797" i="7"/>
  <c r="I914" i="7"/>
  <c r="H914" i="7"/>
  <c r="I298" i="7"/>
  <c r="H298" i="7"/>
  <c r="I762" i="7"/>
  <c r="H762" i="7"/>
  <c r="I404" i="7"/>
  <c r="H404" i="7"/>
  <c r="I342" i="7"/>
  <c r="H342" i="7"/>
  <c r="I43" i="7"/>
  <c r="H43" i="7"/>
  <c r="I268" i="7"/>
  <c r="H268" i="7"/>
  <c r="I41" i="7"/>
  <c r="H41" i="7"/>
  <c r="I672" i="7"/>
  <c r="H672" i="7"/>
  <c r="I213" i="7"/>
  <c r="H213" i="7"/>
  <c r="I10" i="7"/>
  <c r="H10" i="7"/>
  <c r="I9" i="7"/>
  <c r="H9" i="7"/>
  <c r="I403" i="7"/>
  <c r="H403" i="7"/>
  <c r="I81" i="7"/>
  <c r="H81" i="7"/>
  <c r="I318" i="7"/>
  <c r="H318" i="7"/>
  <c r="I189" i="7"/>
  <c r="H189" i="7"/>
  <c r="I6" i="7"/>
  <c r="H6" i="7"/>
  <c r="I7" i="7"/>
  <c r="H7" i="7"/>
  <c r="I286" i="7"/>
  <c r="H286" i="7"/>
  <c r="I402" i="7"/>
  <c r="H402" i="7"/>
  <c r="I188" i="7"/>
  <c r="H188" i="7"/>
  <c r="I205" i="7"/>
  <c r="H205" i="7"/>
  <c r="I732" i="7"/>
  <c r="H732" i="7"/>
  <c r="I401" i="7"/>
  <c r="H401" i="7"/>
  <c r="I906" i="7"/>
  <c r="H906" i="7"/>
  <c r="I179" i="7"/>
  <c r="H179" i="7"/>
  <c r="I691" i="7"/>
  <c r="H691" i="7"/>
  <c r="I745" i="7"/>
  <c r="H745" i="7"/>
  <c r="I46" i="7"/>
  <c r="H46" i="7"/>
  <c r="I400" i="7"/>
  <c r="H400" i="7"/>
  <c r="I399" i="7"/>
  <c r="H399" i="7"/>
  <c r="I384" i="7"/>
  <c r="H384" i="7"/>
  <c r="I52" i="7"/>
  <c r="H52" i="7"/>
  <c r="I918" i="7"/>
  <c r="H918" i="7"/>
  <c r="I398" i="7"/>
  <c r="H398" i="7"/>
  <c r="I383" i="7"/>
  <c r="H383" i="7"/>
  <c r="I207" i="7"/>
  <c r="H207" i="7"/>
  <c r="I771" i="7"/>
  <c r="H771" i="7"/>
  <c r="I303" i="7"/>
  <c r="H303" i="7"/>
  <c r="I38" i="7"/>
  <c r="H38" i="7"/>
  <c r="I54" i="7"/>
  <c r="H54" i="7"/>
  <c r="I96" i="7"/>
  <c r="H96" i="7"/>
  <c r="I397" i="7"/>
  <c r="H397" i="7"/>
  <c r="I396" i="7"/>
  <c r="H396" i="7"/>
  <c r="I181" i="7"/>
  <c r="H181" i="7"/>
  <c r="I72" i="7"/>
  <c r="H72" i="7"/>
  <c r="I306" i="7"/>
  <c r="H306" i="7"/>
  <c r="I690" i="7"/>
  <c r="H690" i="7"/>
  <c r="I355" i="7"/>
  <c r="H355" i="7"/>
  <c r="I395" i="7"/>
  <c r="H395" i="7"/>
  <c r="I193" i="7"/>
  <c r="H193" i="7"/>
  <c r="I901" i="7"/>
  <c r="H901" i="7"/>
  <c r="I133" i="7"/>
  <c r="H133" i="7"/>
  <c r="I394" i="7"/>
  <c r="H394" i="7"/>
  <c r="I279" i="7"/>
  <c r="H279" i="7"/>
  <c r="I821" i="7"/>
  <c r="H821" i="7"/>
  <c r="I393" i="7"/>
  <c r="H393" i="7"/>
  <c r="I392" i="7"/>
  <c r="H392" i="7"/>
  <c r="I272" i="7"/>
  <c r="H272" i="7"/>
  <c r="I391" i="7"/>
  <c r="H391" i="7"/>
  <c r="I214" i="7"/>
  <c r="H214" i="7"/>
  <c r="I106" i="7"/>
  <c r="H106" i="7"/>
  <c r="I119" i="7"/>
  <c r="H119" i="7"/>
  <c r="I704" i="7"/>
  <c r="H704" i="7"/>
  <c r="I165" i="7"/>
  <c r="H165" i="7"/>
  <c r="I744" i="7"/>
  <c r="H744" i="7"/>
  <c r="I237" i="7"/>
  <c r="H237" i="7"/>
  <c r="I786" i="7"/>
  <c r="H786" i="7"/>
  <c r="I390" i="7"/>
  <c r="H390" i="7"/>
  <c r="I225" i="7"/>
  <c r="H225" i="7"/>
  <c r="I258" i="7"/>
  <c r="H258" i="7"/>
  <c r="I226" i="7"/>
  <c r="H226" i="7"/>
  <c r="I242" i="7"/>
  <c r="H242" i="7"/>
  <c r="I259" i="7"/>
  <c r="H259" i="7"/>
  <c r="I228" i="7"/>
  <c r="H228" i="7"/>
  <c r="I862" i="7"/>
  <c r="H862" i="7"/>
  <c r="I101" i="6"/>
  <c r="H101" i="6"/>
  <c r="I186" i="6"/>
  <c r="H186" i="6"/>
  <c r="I188" i="6"/>
  <c r="H188" i="6"/>
  <c r="I5" i="6"/>
  <c r="H5" i="6"/>
  <c r="I668" i="6"/>
  <c r="H668" i="6"/>
  <c r="I761" i="6"/>
  <c r="H761" i="6"/>
  <c r="I211" i="6"/>
  <c r="H211" i="6"/>
  <c r="I809" i="6"/>
  <c r="H809" i="6"/>
  <c r="I272" i="6"/>
  <c r="H272" i="6"/>
  <c r="I141" i="6"/>
  <c r="H141" i="6"/>
  <c r="I60" i="6"/>
  <c r="H60" i="6"/>
  <c r="I691" i="6"/>
  <c r="H691" i="6"/>
  <c r="I54" i="6"/>
  <c r="H54" i="6"/>
  <c r="I725" i="6"/>
  <c r="H725" i="6"/>
  <c r="I98" i="6"/>
  <c r="H98" i="6"/>
  <c r="I564" i="6"/>
  <c r="H564" i="6"/>
  <c r="I884" i="6"/>
  <c r="H884" i="6"/>
  <c r="I580" i="6"/>
  <c r="H580" i="6"/>
  <c r="I215" i="6"/>
  <c r="H215" i="6"/>
  <c r="I563" i="6"/>
  <c r="H563" i="6"/>
  <c r="I763" i="6"/>
  <c r="H763" i="6"/>
  <c r="I774" i="6"/>
  <c r="H774" i="6"/>
  <c r="I296" i="6"/>
  <c r="H296" i="6"/>
  <c r="I225" i="6"/>
  <c r="H225" i="6"/>
  <c r="I89" i="6"/>
  <c r="H89" i="6"/>
  <c r="I678" i="6"/>
  <c r="H678" i="6"/>
  <c r="I853" i="6"/>
  <c r="H853" i="6"/>
  <c r="I32" i="6"/>
  <c r="H32" i="6"/>
  <c r="I562" i="6"/>
  <c r="H562" i="6"/>
  <c r="I357" i="6"/>
  <c r="H357" i="6"/>
  <c r="I316" i="6"/>
  <c r="H316" i="6"/>
  <c r="I48" i="6"/>
  <c r="H48" i="6"/>
  <c r="I38" i="6"/>
  <c r="H38" i="6"/>
  <c r="I365" i="6"/>
  <c r="H365" i="6"/>
  <c r="I744" i="6"/>
  <c r="H744" i="6"/>
  <c r="I239" i="6"/>
  <c r="H239" i="6"/>
  <c r="I858" i="6"/>
  <c r="H858" i="6"/>
  <c r="I658" i="6"/>
  <c r="H658" i="6"/>
  <c r="I792" i="6"/>
  <c r="H792" i="6"/>
  <c r="I865" i="6"/>
  <c r="H865" i="6"/>
  <c r="I561" i="6"/>
  <c r="H561" i="6"/>
  <c r="I612" i="6"/>
  <c r="H612" i="6"/>
  <c r="I904" i="6"/>
  <c r="H904" i="6"/>
  <c r="I740" i="6"/>
  <c r="H740" i="6"/>
  <c r="I593" i="6"/>
  <c r="H593" i="6"/>
  <c r="I173" i="6"/>
  <c r="H173" i="6"/>
  <c r="I346" i="6"/>
  <c r="H346" i="6"/>
  <c r="I560" i="6"/>
  <c r="H560" i="6"/>
  <c r="I234" i="6"/>
  <c r="H234" i="6"/>
  <c r="I18" i="6"/>
  <c r="H18" i="6"/>
  <c r="I752" i="6"/>
  <c r="H752" i="6"/>
  <c r="I177" i="6"/>
  <c r="H177" i="6"/>
  <c r="I822" i="6"/>
  <c r="H822" i="6"/>
  <c r="I731" i="6"/>
  <c r="H731" i="6"/>
  <c r="I833" i="6"/>
  <c r="H833" i="6"/>
  <c r="I43" i="6"/>
  <c r="H43" i="6"/>
  <c r="I877" i="6"/>
  <c r="H877" i="6"/>
  <c r="I182" i="6"/>
  <c r="H182" i="6"/>
  <c r="I559" i="6"/>
  <c r="H559" i="6"/>
  <c r="I760" i="6"/>
  <c r="H760" i="6"/>
  <c r="I146" i="6"/>
  <c r="H146" i="6"/>
  <c r="I646" i="6"/>
  <c r="H646" i="6"/>
  <c r="I730" i="6"/>
  <c r="H730" i="6"/>
  <c r="I558" i="6"/>
  <c r="H558" i="6"/>
  <c r="I592" i="6"/>
  <c r="H592" i="6"/>
  <c r="I686" i="6"/>
  <c r="H686" i="6"/>
  <c r="I144" i="6"/>
  <c r="H144" i="6"/>
  <c r="I777" i="6"/>
  <c r="H777" i="6"/>
  <c r="I557" i="6"/>
  <c r="H557" i="6"/>
  <c r="I639" i="6"/>
  <c r="H639" i="6"/>
  <c r="I821" i="6"/>
  <c r="H821" i="6"/>
  <c r="I556" i="6"/>
  <c r="H556" i="6"/>
  <c r="I677" i="6"/>
  <c r="H677" i="6"/>
  <c r="I812" i="6"/>
  <c r="H812" i="6"/>
  <c r="I910" i="6"/>
  <c r="H910" i="6"/>
  <c r="I149" i="6"/>
  <c r="H149" i="6"/>
  <c r="I555" i="6"/>
  <c r="H555" i="6"/>
  <c r="I347" i="6"/>
  <c r="H347" i="6"/>
  <c r="I388" i="6"/>
  <c r="H388" i="6"/>
  <c r="I661" i="6"/>
  <c r="H661" i="6"/>
  <c r="I667" i="6"/>
  <c r="H667" i="6"/>
  <c r="I554" i="6"/>
  <c r="H554" i="6"/>
  <c r="I553" i="6"/>
  <c r="H553" i="6"/>
  <c r="I552" i="6"/>
  <c r="H552" i="6"/>
  <c r="I551" i="6"/>
  <c r="H551" i="6"/>
  <c r="I780" i="6"/>
  <c r="H780" i="6"/>
  <c r="I611" i="6"/>
  <c r="H611" i="6"/>
  <c r="I724" i="6"/>
  <c r="H724" i="6"/>
  <c r="I550" i="6"/>
  <c r="H550" i="6"/>
  <c r="I808" i="6"/>
  <c r="H808" i="6"/>
  <c r="I549" i="6"/>
  <c r="H549" i="6"/>
  <c r="I704" i="6"/>
  <c r="H704" i="6"/>
  <c r="I548" i="6"/>
  <c r="H548" i="6"/>
  <c r="I547" i="6"/>
  <c r="H547" i="6"/>
  <c r="I870" i="6"/>
  <c r="H870" i="6"/>
  <c r="I118" i="6"/>
  <c r="H118" i="6"/>
  <c r="I676" i="6"/>
  <c r="H676" i="6"/>
  <c r="I336" i="6"/>
  <c r="H336" i="6"/>
  <c r="I375" i="6"/>
  <c r="H375" i="6"/>
  <c r="I579" i="6"/>
  <c r="H579" i="6"/>
  <c r="I387" i="6"/>
  <c r="H387" i="6"/>
  <c r="I729" i="6"/>
  <c r="H729" i="6"/>
  <c r="I723" i="6"/>
  <c r="H723" i="6"/>
  <c r="I546" i="6"/>
  <c r="H546" i="6"/>
  <c r="I545" i="6"/>
  <c r="H545" i="6"/>
  <c r="I685" i="6"/>
  <c r="H685" i="6"/>
  <c r="I620" i="6"/>
  <c r="H620" i="6"/>
  <c r="I578" i="6"/>
  <c r="H578" i="6"/>
  <c r="I544" i="6"/>
  <c r="H544" i="6"/>
  <c r="I901" i="6"/>
  <c r="H901" i="6"/>
  <c r="I624" i="6"/>
  <c r="H624" i="6"/>
  <c r="I35" i="6"/>
  <c r="H35" i="6"/>
  <c r="I675" i="6"/>
  <c r="H675" i="6"/>
  <c r="I386" i="6"/>
  <c r="H386" i="6"/>
  <c r="I840" i="6"/>
  <c r="H840" i="6"/>
  <c r="I205" i="6"/>
  <c r="H205" i="6"/>
  <c r="I674" i="6"/>
  <c r="H674" i="6"/>
  <c r="I543" i="6"/>
  <c r="H543" i="6"/>
  <c r="I657" i="6"/>
  <c r="H657" i="6"/>
  <c r="I610" i="6"/>
  <c r="H610" i="6"/>
  <c r="I577" i="6"/>
  <c r="H577" i="6"/>
  <c r="I609" i="6"/>
  <c r="H609" i="6"/>
  <c r="I348" i="6"/>
  <c r="H348" i="6"/>
  <c r="I608" i="6"/>
  <c r="H608" i="6"/>
  <c r="I817" i="6"/>
  <c r="H817" i="6"/>
  <c r="I607" i="6"/>
  <c r="H607" i="6"/>
  <c r="I886" i="6"/>
  <c r="H886" i="6"/>
  <c r="I542" i="6"/>
  <c r="H542" i="6"/>
  <c r="I759" i="6"/>
  <c r="H759" i="6"/>
  <c r="I689" i="6"/>
  <c r="H689" i="6"/>
  <c r="I619" i="6"/>
  <c r="H619" i="6"/>
  <c r="I541" i="6"/>
  <c r="H541" i="6"/>
  <c r="I839" i="6"/>
  <c r="H839" i="6"/>
  <c r="I734" i="6"/>
  <c r="H734" i="6"/>
  <c r="I361" i="6"/>
  <c r="H361" i="6"/>
  <c r="I681" i="6"/>
  <c r="H681" i="6"/>
  <c r="I351" i="6"/>
  <c r="H351" i="6"/>
  <c r="I849" i="6"/>
  <c r="H849" i="6"/>
  <c r="I907" i="6"/>
  <c r="H907" i="6"/>
  <c r="I722" i="6"/>
  <c r="H722" i="6"/>
  <c r="I673" i="6"/>
  <c r="H673" i="6"/>
  <c r="I576" i="6"/>
  <c r="H576" i="6"/>
  <c r="I540" i="6"/>
  <c r="H540" i="6"/>
  <c r="I349" i="6"/>
  <c r="H349" i="6"/>
  <c r="I539" i="6"/>
  <c r="H539" i="6"/>
  <c r="I703" i="6"/>
  <c r="H703" i="6"/>
  <c r="I575" i="6"/>
  <c r="H575" i="6"/>
  <c r="I811" i="6"/>
  <c r="H811" i="6"/>
  <c r="I751" i="6"/>
  <c r="H751" i="6"/>
  <c r="I538" i="6"/>
  <c r="H538" i="6"/>
  <c r="I680" i="6"/>
  <c r="H680" i="6"/>
  <c r="I869" i="6"/>
  <c r="H869" i="6"/>
  <c r="I537" i="6"/>
  <c r="H537" i="6"/>
  <c r="I787" i="6"/>
  <c r="H787" i="6"/>
  <c r="I536" i="6"/>
  <c r="H536" i="6"/>
  <c r="I645" i="6"/>
  <c r="H645" i="6"/>
  <c r="I618" i="6"/>
  <c r="H618" i="6"/>
  <c r="I535" i="6"/>
  <c r="H535" i="6"/>
  <c r="I190" i="6"/>
  <c r="H190" i="6"/>
  <c r="I921" i="6"/>
  <c r="H921" i="6"/>
  <c r="I739" i="6"/>
  <c r="H739" i="6"/>
  <c r="I356" i="6"/>
  <c r="H356" i="6"/>
  <c r="I167" i="6"/>
  <c r="H167" i="6"/>
  <c r="I591" i="6"/>
  <c r="H591" i="6"/>
  <c r="I300" i="6"/>
  <c r="H300" i="6"/>
  <c r="I389" i="6"/>
  <c r="H389" i="6"/>
  <c r="I17" i="6"/>
  <c r="H17" i="6"/>
  <c r="I282" i="6"/>
  <c r="H282" i="6"/>
  <c r="I192" i="6"/>
  <c r="H192" i="6"/>
  <c r="I20" i="6"/>
  <c r="H20" i="6"/>
  <c r="I534" i="6"/>
  <c r="H534" i="6"/>
  <c r="I4" i="6"/>
  <c r="H4" i="6"/>
  <c r="I145" i="6"/>
  <c r="H145" i="6"/>
  <c r="I533" i="6"/>
  <c r="H533" i="6"/>
  <c r="I532" i="6"/>
  <c r="H532" i="6"/>
  <c r="I779" i="6"/>
  <c r="H779" i="6"/>
  <c r="I381" i="6"/>
  <c r="H381" i="6"/>
  <c r="I207" i="6"/>
  <c r="H207" i="6"/>
  <c r="I326" i="6"/>
  <c r="H326" i="6"/>
  <c r="I922" i="6"/>
  <c r="H922" i="6"/>
  <c r="I769" i="6"/>
  <c r="H769" i="6"/>
  <c r="I385" i="6"/>
  <c r="H385" i="6"/>
  <c r="I531" i="6"/>
  <c r="H531" i="6"/>
  <c r="I384" i="6"/>
  <c r="H384" i="6"/>
  <c r="I530" i="6"/>
  <c r="H530" i="6"/>
  <c r="I758" i="6"/>
  <c r="H758" i="6"/>
  <c r="I815" i="6"/>
  <c r="H815" i="6"/>
  <c r="I529" i="6"/>
  <c r="H529" i="6"/>
  <c r="I528" i="6"/>
  <c r="H528" i="6"/>
  <c r="I8" i="6"/>
  <c r="H8" i="6"/>
  <c r="I679" i="6"/>
  <c r="H679" i="6"/>
  <c r="I842" i="6"/>
  <c r="H842" i="6"/>
  <c r="I106" i="6"/>
  <c r="H106" i="6"/>
  <c r="I527" i="6"/>
  <c r="H527" i="6"/>
  <c r="I526" i="6"/>
  <c r="H526" i="6"/>
  <c r="I25" i="6"/>
  <c r="H25" i="6"/>
  <c r="I908" i="6"/>
  <c r="H908" i="6"/>
  <c r="I319" i="6"/>
  <c r="H319" i="6"/>
  <c r="I525" i="6"/>
  <c r="H525" i="6"/>
  <c r="I524" i="6"/>
  <c r="H524" i="6"/>
  <c r="I115" i="6"/>
  <c r="H115" i="6"/>
  <c r="I523" i="6"/>
  <c r="H523" i="6"/>
  <c r="I522" i="6"/>
  <c r="H522" i="6"/>
  <c r="I878" i="6"/>
  <c r="H878" i="6"/>
  <c r="I872" i="6"/>
  <c r="H872" i="6"/>
  <c r="I521" i="6"/>
  <c r="H521" i="6"/>
  <c r="I364" i="6"/>
  <c r="H364" i="6"/>
  <c r="I520" i="6"/>
  <c r="H520" i="6"/>
  <c r="I341" i="6"/>
  <c r="H341" i="6"/>
  <c r="I656" i="6"/>
  <c r="H656" i="6"/>
  <c r="I672" i="6"/>
  <c r="H672" i="6"/>
  <c r="I797" i="6"/>
  <c r="H797" i="6"/>
  <c r="I370" i="6"/>
  <c r="H370" i="6"/>
  <c r="I179" i="6"/>
  <c r="H179" i="6"/>
  <c r="I590" i="6"/>
  <c r="H590" i="6"/>
  <c r="I220" i="6"/>
  <c r="H220" i="6"/>
  <c r="I56" i="6"/>
  <c r="H56" i="6"/>
  <c r="I702" i="6"/>
  <c r="H702" i="6"/>
  <c r="I519" i="6"/>
  <c r="H519" i="6"/>
  <c r="I83" i="6"/>
  <c r="H83" i="6"/>
  <c r="I337" i="6"/>
  <c r="H337" i="6"/>
  <c r="I111" i="6"/>
  <c r="H111" i="6"/>
  <c r="I924" i="6"/>
  <c r="H924" i="6"/>
  <c r="I816" i="6"/>
  <c r="H816" i="6"/>
  <c r="I829" i="6"/>
  <c r="H829" i="6"/>
  <c r="I81" i="6"/>
  <c r="H81" i="6"/>
  <c r="I324" i="6"/>
  <c r="H324" i="6"/>
  <c r="I189" i="6"/>
  <c r="H189" i="6"/>
  <c r="I128" i="6"/>
  <c r="H128" i="6"/>
  <c r="I721" i="6"/>
  <c r="H721" i="6"/>
  <c r="I720" i="6"/>
  <c r="H720" i="6"/>
  <c r="I518" i="6"/>
  <c r="H518" i="6"/>
  <c r="I606" i="6"/>
  <c r="H606" i="6"/>
  <c r="I390" i="6"/>
  <c r="H390" i="6"/>
  <c r="I517" i="6"/>
  <c r="H517" i="6"/>
  <c r="I516" i="6"/>
  <c r="H516" i="6"/>
  <c r="I796" i="6"/>
  <c r="H796" i="6"/>
  <c r="I768" i="6"/>
  <c r="H768" i="6"/>
  <c r="I819" i="6"/>
  <c r="H819" i="6"/>
  <c r="I515" i="6"/>
  <c r="H515" i="6"/>
  <c r="I623" i="6"/>
  <c r="H623" i="6"/>
  <c r="I514" i="6"/>
  <c r="H514" i="6"/>
  <c r="I513" i="6"/>
  <c r="H513" i="6"/>
  <c r="I350" i="6"/>
  <c r="H350" i="6"/>
  <c r="I367" i="6"/>
  <c r="H367" i="6"/>
  <c r="I574" i="6"/>
  <c r="H574" i="6"/>
  <c r="I512" i="6"/>
  <c r="H512" i="6"/>
  <c r="I511" i="6"/>
  <c r="H511" i="6"/>
  <c r="I223" i="6"/>
  <c r="H223" i="6"/>
  <c r="I383" i="6"/>
  <c r="H383" i="6"/>
  <c r="I312" i="6"/>
  <c r="H312" i="6"/>
  <c r="I333" i="6"/>
  <c r="H333" i="6"/>
  <c r="I11" i="6"/>
  <c r="H11" i="6"/>
  <c r="I374" i="6"/>
  <c r="H374" i="6"/>
  <c r="I138" i="6"/>
  <c r="H138" i="6"/>
  <c r="I510" i="6"/>
  <c r="H510" i="6"/>
  <c r="I345" i="6"/>
  <c r="H345" i="6"/>
  <c r="I728" i="6"/>
  <c r="H728" i="6"/>
  <c r="I845" i="6"/>
  <c r="H845" i="6"/>
  <c r="I573" i="6"/>
  <c r="H573" i="6"/>
  <c r="I247" i="6"/>
  <c r="H247" i="6"/>
  <c r="I67" i="6"/>
  <c r="H67" i="6"/>
  <c r="I103" i="6"/>
  <c r="H103" i="6"/>
  <c r="I219" i="6"/>
  <c r="H219" i="6"/>
  <c r="I373" i="6"/>
  <c r="H373" i="6"/>
  <c r="I209" i="6"/>
  <c r="H209" i="6"/>
  <c r="I509" i="6"/>
  <c r="H509" i="6"/>
  <c r="I508" i="6"/>
  <c r="H508" i="6"/>
  <c r="I238" i="6"/>
  <c r="H238" i="6"/>
  <c r="I218" i="6"/>
  <c r="H218" i="6"/>
  <c r="I738" i="6"/>
  <c r="H738" i="6"/>
  <c r="I137" i="6"/>
  <c r="H137" i="6"/>
  <c r="I372" i="6"/>
  <c r="H372" i="6"/>
  <c r="I507" i="6"/>
  <c r="H507" i="6"/>
  <c r="I506" i="6"/>
  <c r="H506" i="6"/>
  <c r="I309" i="6"/>
  <c r="H309" i="6"/>
  <c r="I857" i="6"/>
  <c r="H857" i="6"/>
  <c r="I727" i="6"/>
  <c r="H727" i="6"/>
  <c r="I897" i="6"/>
  <c r="H897" i="6"/>
  <c r="I371" i="6"/>
  <c r="H371" i="6"/>
  <c r="I793" i="6"/>
  <c r="H793" i="6"/>
  <c r="I572" i="6"/>
  <c r="H572" i="6"/>
  <c r="I10" i="6"/>
  <c r="H10" i="6"/>
  <c r="I217" i="6"/>
  <c r="H217" i="6"/>
  <c r="I216" i="6"/>
  <c r="H216" i="6"/>
  <c r="I505" i="6"/>
  <c r="H505" i="6"/>
  <c r="I504" i="6"/>
  <c r="H504" i="6"/>
  <c r="I644" i="6"/>
  <c r="H644" i="6"/>
  <c r="I379" i="6"/>
  <c r="H379" i="6"/>
  <c r="I503" i="6"/>
  <c r="H503" i="6"/>
  <c r="I767" i="6"/>
  <c r="H767" i="6"/>
  <c r="I184" i="6"/>
  <c r="H184" i="6"/>
  <c r="I502" i="6"/>
  <c r="H502" i="6"/>
  <c r="I92" i="6"/>
  <c r="H92" i="6"/>
  <c r="I501" i="6"/>
  <c r="H501" i="6"/>
  <c r="I701" i="6"/>
  <c r="H701" i="6"/>
  <c r="I500" i="6"/>
  <c r="H500" i="6"/>
  <c r="I114" i="6"/>
  <c r="H114" i="6"/>
  <c r="I743" i="6"/>
  <c r="H743" i="6"/>
  <c r="I499" i="6"/>
  <c r="H499" i="6"/>
  <c r="I498" i="6"/>
  <c r="H498" i="6"/>
  <c r="I700" i="6"/>
  <c r="H700" i="6"/>
  <c r="I328" i="6"/>
  <c r="H328" i="6"/>
  <c r="I773" i="6"/>
  <c r="H773" i="6"/>
  <c r="I497" i="6"/>
  <c r="H497" i="6"/>
  <c r="I254" i="6"/>
  <c r="H254" i="6"/>
  <c r="I699" i="6"/>
  <c r="H699" i="6"/>
  <c r="I269" i="6"/>
  <c r="H269" i="6"/>
  <c r="I899" i="6"/>
  <c r="H899" i="6"/>
  <c r="I617" i="6"/>
  <c r="H617" i="6"/>
  <c r="I864" i="6"/>
  <c r="H864" i="6"/>
  <c r="I605" i="6"/>
  <c r="H605" i="6"/>
  <c r="I746" i="6"/>
  <c r="H746" i="6"/>
  <c r="I643" i="6"/>
  <c r="H643" i="6"/>
  <c r="I920" i="6"/>
  <c r="H920" i="6"/>
  <c r="I905" i="6"/>
  <c r="H905" i="6"/>
  <c r="I24" i="6"/>
  <c r="H24" i="6"/>
  <c r="I259" i="6"/>
  <c r="H259" i="6"/>
  <c r="I44" i="6"/>
  <c r="H44" i="6"/>
  <c r="I625" i="6"/>
  <c r="H625" i="6"/>
  <c r="I340" i="6"/>
  <c r="H340" i="6"/>
  <c r="I323" i="6"/>
  <c r="H323" i="6"/>
  <c r="I136" i="6"/>
  <c r="H136" i="6"/>
  <c r="I496" i="6"/>
  <c r="H496" i="6"/>
  <c r="I732" i="6"/>
  <c r="H732" i="6"/>
  <c r="I33" i="6"/>
  <c r="H33" i="6"/>
  <c r="I791" i="6"/>
  <c r="H791" i="6"/>
  <c r="I495" i="6"/>
  <c r="H495" i="6"/>
  <c r="I638" i="6"/>
  <c r="H638" i="6"/>
  <c r="I655" i="6"/>
  <c r="H655" i="6"/>
  <c r="I494" i="6"/>
  <c r="H494" i="6"/>
  <c r="I12" i="6"/>
  <c r="H12" i="6"/>
  <c r="I260" i="6"/>
  <c r="H260" i="6"/>
  <c r="I912" i="6"/>
  <c r="H912" i="6"/>
  <c r="I493" i="6"/>
  <c r="H493" i="6"/>
  <c r="I654" i="6"/>
  <c r="H654" i="6"/>
  <c r="I19" i="6"/>
  <c r="H19" i="6"/>
  <c r="I150" i="6"/>
  <c r="H150" i="6"/>
  <c r="I155" i="6"/>
  <c r="H155" i="6"/>
  <c r="I159" i="6"/>
  <c r="H159" i="6"/>
  <c r="I299" i="6"/>
  <c r="H299" i="6"/>
  <c r="I335" i="6"/>
  <c r="H335" i="6"/>
  <c r="I784" i="6"/>
  <c r="H784" i="6"/>
  <c r="I492" i="6"/>
  <c r="H492" i="6"/>
  <c r="I491" i="6"/>
  <c r="H491" i="6"/>
  <c r="I604" i="6"/>
  <c r="H604" i="6"/>
  <c r="I860" i="6"/>
  <c r="H860" i="6"/>
  <c r="I913" i="6"/>
  <c r="H913" i="6"/>
  <c r="I847" i="6"/>
  <c r="H847" i="6"/>
  <c r="I21" i="6"/>
  <c r="H21" i="6"/>
  <c r="I490" i="6"/>
  <c r="H490" i="6"/>
  <c r="I603" i="6"/>
  <c r="H603" i="6"/>
  <c r="I589" i="6"/>
  <c r="H589" i="6"/>
  <c r="I213" i="6"/>
  <c r="H213" i="6"/>
  <c r="I39" i="6"/>
  <c r="H39" i="6"/>
  <c r="I719" i="6"/>
  <c r="H719" i="6"/>
  <c r="I489" i="6"/>
  <c r="H489" i="6"/>
  <c r="I107" i="6"/>
  <c r="H107" i="6"/>
  <c r="I766" i="6"/>
  <c r="H766" i="6"/>
  <c r="I827" i="6"/>
  <c r="H827" i="6"/>
  <c r="I488" i="6"/>
  <c r="H488" i="6"/>
  <c r="I828" i="6"/>
  <c r="H828" i="6"/>
  <c r="I745" i="6"/>
  <c r="H745" i="6"/>
  <c r="I718" i="6"/>
  <c r="H718" i="6"/>
  <c r="I487" i="6"/>
  <c r="H487" i="6"/>
  <c r="I698" i="6"/>
  <c r="H698" i="6"/>
  <c r="I653" i="6"/>
  <c r="H653" i="6"/>
  <c r="I914" i="6"/>
  <c r="H914" i="6"/>
  <c r="I706" i="6"/>
  <c r="H706" i="6"/>
  <c r="I786" i="6"/>
  <c r="H786" i="6"/>
  <c r="I642" i="6"/>
  <c r="H642" i="6"/>
  <c r="I486" i="6"/>
  <c r="H486" i="6"/>
  <c r="I733" i="6"/>
  <c r="H733" i="6"/>
  <c r="I820" i="6"/>
  <c r="H820" i="6"/>
  <c r="I485" i="6"/>
  <c r="H485" i="6"/>
  <c r="I747" i="6"/>
  <c r="H747" i="6"/>
  <c r="I484" i="6"/>
  <c r="H484" i="6"/>
  <c r="I788" i="6"/>
  <c r="H788" i="6"/>
  <c r="I483" i="6"/>
  <c r="H483" i="6"/>
  <c r="I482" i="6"/>
  <c r="H482" i="6"/>
  <c r="I652" i="6"/>
  <c r="H652" i="6"/>
  <c r="I481" i="6"/>
  <c r="H481" i="6"/>
  <c r="I846" i="6"/>
  <c r="H846" i="6"/>
  <c r="I778" i="6"/>
  <c r="H778" i="6"/>
  <c r="I616" i="6"/>
  <c r="H616" i="6"/>
  <c r="I480" i="6"/>
  <c r="H480" i="6"/>
  <c r="I479" i="6"/>
  <c r="H479" i="6"/>
  <c r="I602" i="6"/>
  <c r="H602" i="6"/>
  <c r="I478" i="6"/>
  <c r="H478" i="6"/>
  <c r="I801" i="6"/>
  <c r="H801" i="6"/>
  <c r="I687" i="6"/>
  <c r="H687" i="6"/>
  <c r="I15" i="6"/>
  <c r="H15" i="6"/>
  <c r="I140" i="6"/>
  <c r="H140" i="6"/>
  <c r="I588" i="6"/>
  <c r="H588" i="6"/>
  <c r="I717" i="6"/>
  <c r="H717" i="6"/>
  <c r="I477" i="6"/>
  <c r="H477" i="6"/>
  <c r="I476" i="6"/>
  <c r="H476" i="6"/>
  <c r="I804" i="6"/>
  <c r="H804" i="6"/>
  <c r="I859" i="6"/>
  <c r="H859" i="6"/>
  <c r="I666" i="6"/>
  <c r="H666" i="6"/>
  <c r="I183" i="6"/>
  <c r="H183" i="6"/>
  <c r="I475" i="6"/>
  <c r="H475" i="6"/>
  <c r="I474" i="6"/>
  <c r="H474" i="6"/>
  <c r="I622" i="6"/>
  <c r="H622" i="6"/>
  <c r="I802" i="6"/>
  <c r="H802" i="6"/>
  <c r="I473" i="6"/>
  <c r="H473" i="6"/>
  <c r="I263" i="6"/>
  <c r="H263" i="6"/>
  <c r="I716" i="6"/>
  <c r="H716" i="6"/>
  <c r="I108" i="6"/>
  <c r="H108" i="6"/>
  <c r="I880" i="6"/>
  <c r="H880" i="6"/>
  <c r="I472" i="6"/>
  <c r="H472" i="6"/>
  <c r="I471" i="6"/>
  <c r="H471" i="6"/>
  <c r="I814" i="6"/>
  <c r="H814" i="6"/>
  <c r="I470" i="6"/>
  <c r="H470" i="6"/>
  <c r="I803" i="6"/>
  <c r="H803" i="6"/>
  <c r="I469" i="6"/>
  <c r="H469" i="6"/>
  <c r="I824" i="6"/>
  <c r="H824" i="6"/>
  <c r="I256" i="6"/>
  <c r="H256" i="6"/>
  <c r="I468" i="6"/>
  <c r="H468" i="6"/>
  <c r="I467" i="6"/>
  <c r="H467" i="6"/>
  <c r="I830" i="6"/>
  <c r="H830" i="6"/>
  <c r="I466" i="6"/>
  <c r="H466" i="6"/>
  <c r="I354" i="6"/>
  <c r="H354" i="6"/>
  <c r="I615" i="6"/>
  <c r="H615" i="6"/>
  <c r="I838" i="6"/>
  <c r="H838" i="6"/>
  <c r="I852" i="6"/>
  <c r="H852" i="6"/>
  <c r="I837" i="6"/>
  <c r="H837" i="6"/>
  <c r="I286" i="6"/>
  <c r="H286" i="6"/>
  <c r="I665" i="6"/>
  <c r="H665" i="6"/>
  <c r="I376" i="6"/>
  <c r="H376" i="6"/>
  <c r="I614" i="6"/>
  <c r="H614" i="6"/>
  <c r="I311" i="6"/>
  <c r="H311" i="6"/>
  <c r="I162" i="6"/>
  <c r="H162" i="6"/>
  <c r="I77" i="6"/>
  <c r="H77" i="6"/>
  <c r="I868" i="6"/>
  <c r="H868" i="6"/>
  <c r="I465" i="6"/>
  <c r="H465" i="6"/>
  <c r="I867" i="6"/>
  <c r="H867" i="6"/>
  <c r="I571" i="6"/>
  <c r="H571" i="6"/>
  <c r="I879" i="6"/>
  <c r="H879" i="6"/>
  <c r="I34" i="6"/>
  <c r="H34" i="6"/>
  <c r="I464" i="6"/>
  <c r="H464" i="6"/>
  <c r="I463" i="6"/>
  <c r="H463" i="6"/>
  <c r="I697" i="6"/>
  <c r="H697" i="6"/>
  <c r="I462" i="6"/>
  <c r="H462" i="6"/>
  <c r="I461" i="6"/>
  <c r="H461" i="6"/>
  <c r="I651" i="6"/>
  <c r="H651" i="6"/>
  <c r="I210" i="6"/>
  <c r="H210" i="6"/>
  <c r="I359" i="6"/>
  <c r="H359" i="6"/>
  <c r="I339" i="6"/>
  <c r="H339" i="6"/>
  <c r="I737" i="6"/>
  <c r="H737" i="6"/>
  <c r="I317" i="6"/>
  <c r="H317" i="6"/>
  <c r="I800" i="6"/>
  <c r="H800" i="6"/>
  <c r="I637" i="6"/>
  <c r="H637" i="6"/>
  <c r="I460" i="6"/>
  <c r="H460" i="6"/>
  <c r="I898" i="6"/>
  <c r="H898" i="6"/>
  <c r="I459" i="6"/>
  <c r="H459" i="6"/>
  <c r="I671" i="6"/>
  <c r="H671" i="6"/>
  <c r="I875" i="6"/>
  <c r="H875" i="6"/>
  <c r="I684" i="6"/>
  <c r="H684" i="6"/>
  <c r="I458" i="6"/>
  <c r="H458" i="6"/>
  <c r="I457" i="6"/>
  <c r="H457" i="6"/>
  <c r="I776" i="6"/>
  <c r="H776" i="6"/>
  <c r="I851" i="6"/>
  <c r="H851" i="6"/>
  <c r="I715" i="6"/>
  <c r="H715" i="6"/>
  <c r="I378" i="6"/>
  <c r="H378" i="6"/>
  <c r="I456" i="6"/>
  <c r="H456" i="6"/>
  <c r="I197" i="6"/>
  <c r="H197" i="6"/>
  <c r="I320" i="6"/>
  <c r="H320" i="6"/>
  <c r="I95" i="6"/>
  <c r="H95" i="6"/>
  <c r="I360" i="6"/>
  <c r="H360" i="6"/>
  <c r="I455" i="6"/>
  <c r="H455" i="6"/>
  <c r="I306" i="6"/>
  <c r="H306" i="6"/>
  <c r="I271" i="6"/>
  <c r="H271" i="6"/>
  <c r="I683" i="6"/>
  <c r="H683" i="6"/>
  <c r="I454" i="6"/>
  <c r="H454" i="6"/>
  <c r="I453" i="6"/>
  <c r="H453" i="6"/>
  <c r="I670" i="6"/>
  <c r="H670" i="6"/>
  <c r="I123" i="6"/>
  <c r="H123" i="6"/>
  <c r="I237" i="6"/>
  <c r="H237" i="6"/>
  <c r="I253" i="6"/>
  <c r="H253" i="6"/>
  <c r="I664" i="6"/>
  <c r="H664" i="6"/>
  <c r="I452" i="6"/>
  <c r="H452" i="6"/>
  <c r="I587" i="6"/>
  <c r="H587" i="6"/>
  <c r="I757" i="6"/>
  <c r="H757" i="6"/>
  <c r="I148" i="6"/>
  <c r="H148" i="6"/>
  <c r="I240" i="6"/>
  <c r="H240" i="6"/>
  <c r="I315" i="6"/>
  <c r="H315" i="6"/>
  <c r="I131" i="6"/>
  <c r="H131" i="6"/>
  <c r="I236" i="6"/>
  <c r="H236" i="6"/>
  <c r="I160" i="6"/>
  <c r="H160" i="6"/>
  <c r="I862" i="6"/>
  <c r="H862" i="6"/>
  <c r="I896" i="6"/>
  <c r="H896" i="6"/>
  <c r="I895" i="6"/>
  <c r="H895" i="6"/>
  <c r="I850" i="6"/>
  <c r="H850" i="6"/>
  <c r="I810" i="6"/>
  <c r="H810" i="6"/>
  <c r="I65" i="6"/>
  <c r="H65" i="6"/>
  <c r="I307" i="6"/>
  <c r="H307" i="6"/>
  <c r="I714" i="6"/>
  <c r="H714" i="6"/>
  <c r="I601" i="6"/>
  <c r="H601" i="6"/>
  <c r="I451" i="6"/>
  <c r="H451" i="6"/>
  <c r="I736" i="6"/>
  <c r="H736" i="6"/>
  <c r="I362" i="6"/>
  <c r="H362" i="6"/>
  <c r="I871" i="6"/>
  <c r="H871" i="6"/>
  <c r="I283" i="6"/>
  <c r="H283" i="6"/>
  <c r="I586" i="6"/>
  <c r="H586" i="6"/>
  <c r="I45" i="6"/>
  <c r="H45" i="6"/>
  <c r="I856" i="6"/>
  <c r="H856" i="6"/>
  <c r="I450" i="6"/>
  <c r="H450" i="6"/>
  <c r="I923" i="6"/>
  <c r="H923" i="6"/>
  <c r="I204" i="6"/>
  <c r="H204" i="6"/>
  <c r="I170" i="6"/>
  <c r="H170" i="6"/>
  <c r="I110" i="6"/>
  <c r="H110" i="6"/>
  <c r="I873" i="6"/>
  <c r="H873" i="6"/>
  <c r="I449" i="6"/>
  <c r="H449" i="6"/>
  <c r="I448" i="6"/>
  <c r="H448" i="6"/>
  <c r="I570" i="6"/>
  <c r="H570" i="6"/>
  <c r="I585" i="6"/>
  <c r="H585" i="6"/>
  <c r="I584" i="6"/>
  <c r="H584" i="6"/>
  <c r="I756" i="6"/>
  <c r="H756" i="6"/>
  <c r="I447" i="6"/>
  <c r="H447" i="6"/>
  <c r="I844" i="6"/>
  <c r="H844" i="6"/>
  <c r="I185" i="6"/>
  <c r="H185" i="6"/>
  <c r="I783" i="6"/>
  <c r="H783" i="6"/>
  <c r="I805" i="6"/>
  <c r="H805" i="6"/>
  <c r="I36" i="6"/>
  <c r="H36" i="6"/>
  <c r="I863" i="6"/>
  <c r="H863" i="6"/>
  <c r="I275" i="6"/>
  <c r="H275" i="6"/>
  <c r="I251" i="6"/>
  <c r="H251" i="6"/>
  <c r="I669" i="6"/>
  <c r="H669" i="6"/>
  <c r="I446" i="6"/>
  <c r="H446" i="6"/>
  <c r="I825" i="6"/>
  <c r="H825" i="6"/>
  <c r="I445" i="6"/>
  <c r="H445" i="6"/>
  <c r="I229" i="6"/>
  <c r="H229" i="6"/>
  <c r="I636" i="6"/>
  <c r="H636" i="6"/>
  <c r="I902" i="6"/>
  <c r="H902" i="6"/>
  <c r="I284" i="6"/>
  <c r="H284" i="6"/>
  <c r="I903" i="6"/>
  <c r="H903" i="6"/>
  <c r="I444" i="6"/>
  <c r="H444" i="6"/>
  <c r="I305" i="6"/>
  <c r="H305" i="6"/>
  <c r="I748" i="6"/>
  <c r="H748" i="6"/>
  <c r="I841" i="6"/>
  <c r="H841" i="6"/>
  <c r="I600" i="6"/>
  <c r="H600" i="6"/>
  <c r="I180" i="6"/>
  <c r="H180" i="6"/>
  <c r="I290" i="6"/>
  <c r="H290" i="6"/>
  <c r="I343" i="6"/>
  <c r="H343" i="6"/>
  <c r="I289" i="6"/>
  <c r="H289" i="6"/>
  <c r="I443" i="6"/>
  <c r="H443" i="6"/>
  <c r="I889" i="6"/>
  <c r="H889" i="6"/>
  <c r="I627" i="6"/>
  <c r="H627" i="6"/>
  <c r="I909" i="6"/>
  <c r="H909" i="6"/>
  <c r="I135" i="6"/>
  <c r="H135" i="6"/>
  <c r="I117" i="6"/>
  <c r="H117" i="6"/>
  <c r="I46" i="6"/>
  <c r="H46" i="6"/>
  <c r="I621" i="6"/>
  <c r="H621" i="6"/>
  <c r="I78" i="6"/>
  <c r="H78" i="6"/>
  <c r="I53" i="6"/>
  <c r="H53" i="6"/>
  <c r="I885" i="6"/>
  <c r="H885" i="6"/>
  <c r="I208" i="6"/>
  <c r="H208" i="6"/>
  <c r="I28" i="6"/>
  <c r="H28" i="6"/>
  <c r="I86" i="6"/>
  <c r="H86" i="6"/>
  <c r="I861" i="6"/>
  <c r="H861" i="6"/>
  <c r="I442" i="6"/>
  <c r="H442" i="6"/>
  <c r="I231" i="6"/>
  <c r="H231" i="6"/>
  <c r="I308" i="6"/>
  <c r="H308" i="6"/>
  <c r="I129" i="6"/>
  <c r="H129" i="6"/>
  <c r="I151" i="6"/>
  <c r="H151" i="6"/>
  <c r="I200" i="6"/>
  <c r="H200" i="6"/>
  <c r="I199" i="6"/>
  <c r="H199" i="6"/>
  <c r="I754" i="6"/>
  <c r="H754" i="6"/>
  <c r="I329" i="6"/>
  <c r="H329" i="6"/>
  <c r="I441" i="6"/>
  <c r="H441" i="6"/>
  <c r="I268" i="6"/>
  <c r="H268" i="6"/>
  <c r="I104" i="6"/>
  <c r="H104" i="6"/>
  <c r="I599" i="6"/>
  <c r="H599" i="6"/>
  <c r="I583" i="6"/>
  <c r="H583" i="6"/>
  <c r="I156" i="6"/>
  <c r="H156" i="6"/>
  <c r="I37" i="6"/>
  <c r="H37" i="6"/>
  <c r="I257" i="6"/>
  <c r="H257" i="6"/>
  <c r="I626" i="6"/>
  <c r="H626" i="6"/>
  <c r="I116" i="6"/>
  <c r="H116" i="6"/>
  <c r="I440" i="6"/>
  <c r="H440" i="6"/>
  <c r="I690" i="6"/>
  <c r="H690" i="6"/>
  <c r="I88" i="6"/>
  <c r="H88" i="6"/>
  <c r="I51" i="6"/>
  <c r="H51" i="6"/>
  <c r="I569" i="6"/>
  <c r="H569" i="6"/>
  <c r="I568" i="6"/>
  <c r="H568" i="6"/>
  <c r="I696" i="6"/>
  <c r="H696" i="6"/>
  <c r="I270" i="6"/>
  <c r="H270" i="6"/>
  <c r="I855" i="6"/>
  <c r="H855" i="6"/>
  <c r="I775" i="6"/>
  <c r="H775" i="6"/>
  <c r="I439" i="6"/>
  <c r="H439" i="6"/>
  <c r="I890" i="6"/>
  <c r="H890" i="6"/>
  <c r="I438" i="6"/>
  <c r="H438" i="6"/>
  <c r="I893" i="6"/>
  <c r="H893" i="6"/>
  <c r="I882" i="6"/>
  <c r="H882" i="6"/>
  <c r="I437" i="6"/>
  <c r="H437" i="6"/>
  <c r="I682" i="6"/>
  <c r="H682" i="6"/>
  <c r="I843" i="6"/>
  <c r="H843" i="6"/>
  <c r="I380" i="6"/>
  <c r="H380" i="6"/>
  <c r="I641" i="6"/>
  <c r="H641" i="6"/>
  <c r="I640" i="6"/>
  <c r="H640" i="6"/>
  <c r="I807" i="6"/>
  <c r="H807" i="6"/>
  <c r="I6" i="6"/>
  <c r="H6" i="6"/>
  <c r="I713" i="6"/>
  <c r="H713" i="6"/>
  <c r="I261" i="6"/>
  <c r="H261" i="6"/>
  <c r="I331" i="6"/>
  <c r="H331" i="6"/>
  <c r="I377" i="6"/>
  <c r="H377" i="6"/>
  <c r="I436" i="6"/>
  <c r="H436" i="6"/>
  <c r="I750" i="6"/>
  <c r="H750" i="6"/>
  <c r="I874" i="6"/>
  <c r="H874" i="6"/>
  <c r="I735" i="6"/>
  <c r="H735" i="6"/>
  <c r="I435" i="6"/>
  <c r="H435" i="6"/>
  <c r="I318" i="6"/>
  <c r="H318" i="6"/>
  <c r="I126" i="6"/>
  <c r="H126" i="6"/>
  <c r="I434" i="6"/>
  <c r="H434" i="6"/>
  <c r="I790" i="6"/>
  <c r="H790" i="6"/>
  <c r="I567" i="6"/>
  <c r="H567" i="6"/>
  <c r="I566" i="6"/>
  <c r="H566" i="6"/>
  <c r="I338" i="6"/>
  <c r="H338" i="6"/>
  <c r="I139" i="6"/>
  <c r="H139" i="6"/>
  <c r="I726" i="6"/>
  <c r="H726" i="6"/>
  <c r="I433" i="6"/>
  <c r="H433" i="6"/>
  <c r="I926" i="6"/>
  <c r="H926" i="6"/>
  <c r="I695" i="6"/>
  <c r="H695" i="6"/>
  <c r="I876" i="6"/>
  <c r="H876" i="6"/>
  <c r="I432" i="6"/>
  <c r="H432" i="6"/>
  <c r="I431" i="6"/>
  <c r="H431" i="6"/>
  <c r="I430" i="6"/>
  <c r="H430" i="6"/>
  <c r="I635" i="6"/>
  <c r="H635" i="6"/>
  <c r="I73" i="6"/>
  <c r="H73" i="6"/>
  <c r="I663" i="6"/>
  <c r="H663" i="6"/>
  <c r="I789" i="6"/>
  <c r="H789" i="6"/>
  <c r="I429" i="6"/>
  <c r="H429" i="6"/>
  <c r="I765" i="6"/>
  <c r="H765" i="6"/>
  <c r="I428" i="6"/>
  <c r="H428" i="6"/>
  <c r="I427" i="6"/>
  <c r="H427" i="6"/>
  <c r="I232" i="6"/>
  <c r="H232" i="6"/>
  <c r="I426" i="6"/>
  <c r="H426" i="6"/>
  <c r="I772" i="6"/>
  <c r="H772" i="6"/>
  <c r="I712" i="6"/>
  <c r="H712" i="6"/>
  <c r="I425" i="6"/>
  <c r="H425" i="6"/>
  <c r="I900" i="6"/>
  <c r="H900" i="6"/>
  <c r="I344" i="6"/>
  <c r="H344" i="6"/>
  <c r="I242" i="6"/>
  <c r="H242" i="6"/>
  <c r="I66" i="6"/>
  <c r="H66" i="6"/>
  <c r="I99" i="6"/>
  <c r="H99" i="6"/>
  <c r="I105" i="6"/>
  <c r="H105" i="6"/>
  <c r="I227" i="6"/>
  <c r="H227" i="6"/>
  <c r="I894" i="6"/>
  <c r="H894" i="6"/>
  <c r="I258" i="6"/>
  <c r="H258" i="6"/>
  <c r="I281" i="6"/>
  <c r="H281" i="6"/>
  <c r="I142" i="6"/>
  <c r="H142" i="6"/>
  <c r="I191" i="6"/>
  <c r="H191" i="6"/>
  <c r="I55" i="6"/>
  <c r="H55" i="6"/>
  <c r="I711" i="6"/>
  <c r="H711" i="6"/>
  <c r="I764" i="6"/>
  <c r="H764" i="6"/>
  <c r="I916" i="6"/>
  <c r="H916" i="6"/>
  <c r="I634" i="6"/>
  <c r="H634" i="6"/>
  <c r="I710" i="6"/>
  <c r="H710" i="6"/>
  <c r="I241" i="6"/>
  <c r="H241" i="6"/>
  <c r="I325" i="6"/>
  <c r="H325" i="6"/>
  <c r="I249" i="6"/>
  <c r="H249" i="6"/>
  <c r="I265" i="6"/>
  <c r="H265" i="6"/>
  <c r="I598" i="6"/>
  <c r="H598" i="6"/>
  <c r="I230" i="6"/>
  <c r="H230" i="6"/>
  <c r="I424" i="6"/>
  <c r="H424" i="6"/>
  <c r="I423" i="6"/>
  <c r="H423" i="6"/>
  <c r="I127" i="6"/>
  <c r="H127" i="6"/>
  <c r="I166" i="6"/>
  <c r="H166" i="6"/>
  <c r="I7" i="6"/>
  <c r="H7" i="6"/>
  <c r="I422" i="6"/>
  <c r="H422" i="6"/>
  <c r="I72" i="6"/>
  <c r="H72" i="6"/>
  <c r="I100" i="6"/>
  <c r="H100" i="6"/>
  <c r="I125" i="6"/>
  <c r="H125" i="6"/>
  <c r="I59" i="6"/>
  <c r="H59" i="6"/>
  <c r="I421" i="6"/>
  <c r="H421" i="6"/>
  <c r="I82" i="6"/>
  <c r="H82" i="6"/>
  <c r="I818" i="6"/>
  <c r="H818" i="6"/>
  <c r="I420" i="6"/>
  <c r="H420" i="6"/>
  <c r="I198" i="6"/>
  <c r="H198" i="6"/>
  <c r="I29" i="6"/>
  <c r="H29" i="6"/>
  <c r="I228" i="6"/>
  <c r="H228" i="6"/>
  <c r="I292" i="6"/>
  <c r="H292" i="6"/>
  <c r="I363" i="6"/>
  <c r="H363" i="6"/>
  <c r="I826" i="6"/>
  <c r="H826" i="6"/>
  <c r="I3" i="6"/>
  <c r="H3" i="6"/>
  <c r="I13" i="6"/>
  <c r="H13" i="6"/>
  <c r="I771" i="6"/>
  <c r="H771" i="6"/>
  <c r="I153" i="6"/>
  <c r="H153" i="6"/>
  <c r="I419" i="6"/>
  <c r="H419" i="6"/>
  <c r="I172" i="6"/>
  <c r="H172" i="6"/>
  <c r="I368" i="6"/>
  <c r="H368" i="6"/>
  <c r="I418" i="6"/>
  <c r="H418" i="6"/>
  <c r="I417" i="6"/>
  <c r="H417" i="6"/>
  <c r="I90" i="6"/>
  <c r="H90" i="6"/>
  <c r="I214" i="6"/>
  <c r="H214" i="6"/>
  <c r="I119" i="6"/>
  <c r="H119" i="6"/>
  <c r="I278" i="6"/>
  <c r="H278" i="6"/>
  <c r="I795" i="6"/>
  <c r="H795" i="6"/>
  <c r="I22" i="6"/>
  <c r="H22" i="6"/>
  <c r="I416" i="6"/>
  <c r="H416" i="6"/>
  <c r="I358" i="6"/>
  <c r="H358" i="6"/>
  <c r="I835" i="6"/>
  <c r="H835" i="6"/>
  <c r="I2" i="6"/>
  <c r="H2" i="6"/>
  <c r="I352" i="6"/>
  <c r="H352" i="6"/>
  <c r="I565" i="6"/>
  <c r="H565" i="6"/>
  <c r="I650" i="6"/>
  <c r="H650" i="6"/>
  <c r="I158" i="6"/>
  <c r="H158" i="6"/>
  <c r="I49" i="6"/>
  <c r="H49" i="6"/>
  <c r="I295" i="6"/>
  <c r="H295" i="6"/>
  <c r="I415" i="6"/>
  <c r="H415" i="6"/>
  <c r="I762" i="6"/>
  <c r="H762" i="6"/>
  <c r="I68" i="6"/>
  <c r="H68" i="6"/>
  <c r="I132" i="6"/>
  <c r="H132" i="6"/>
  <c r="I276" i="6"/>
  <c r="H276" i="6"/>
  <c r="I157" i="6"/>
  <c r="H157" i="6"/>
  <c r="I848" i="6"/>
  <c r="H848" i="6"/>
  <c r="I244" i="6"/>
  <c r="H244" i="6"/>
  <c r="I342" i="6"/>
  <c r="H342" i="6"/>
  <c r="I597" i="6"/>
  <c r="H597" i="6"/>
  <c r="I888" i="6"/>
  <c r="H888" i="6"/>
  <c r="I832" i="6"/>
  <c r="H832" i="6"/>
  <c r="I293" i="6"/>
  <c r="H293" i="6"/>
  <c r="I124" i="6"/>
  <c r="H124" i="6"/>
  <c r="I196" i="6"/>
  <c r="H196" i="6"/>
  <c r="I168" i="6"/>
  <c r="H168" i="6"/>
  <c r="I297" i="6"/>
  <c r="H297" i="6"/>
  <c r="I255" i="6"/>
  <c r="H255" i="6"/>
  <c r="I47" i="6"/>
  <c r="H47" i="6"/>
  <c r="I63" i="6"/>
  <c r="H63" i="6"/>
  <c r="I582" i="6"/>
  <c r="H582" i="6"/>
  <c r="I62" i="6"/>
  <c r="H62" i="6"/>
  <c r="I694" i="6"/>
  <c r="H694" i="6"/>
  <c r="I301" i="6"/>
  <c r="H301" i="6"/>
  <c r="I414" i="6"/>
  <c r="H414" i="6"/>
  <c r="I9" i="6"/>
  <c r="H9" i="6"/>
  <c r="I279" i="6"/>
  <c r="H279" i="6"/>
  <c r="I709" i="6"/>
  <c r="H709" i="6"/>
  <c r="I705" i="6"/>
  <c r="H705" i="6"/>
  <c r="I203" i="6"/>
  <c r="H203" i="6"/>
  <c r="I85" i="6"/>
  <c r="H85" i="6"/>
  <c r="I248" i="6"/>
  <c r="H248" i="6"/>
  <c r="I194" i="6"/>
  <c r="H194" i="6"/>
  <c r="I87" i="6"/>
  <c r="H87" i="6"/>
  <c r="I93" i="6"/>
  <c r="H93" i="6"/>
  <c r="I794" i="6"/>
  <c r="H794" i="6"/>
  <c r="I14" i="6"/>
  <c r="H14" i="6"/>
  <c r="I770" i="6"/>
  <c r="H770" i="6"/>
  <c r="I785" i="6"/>
  <c r="H785" i="6"/>
  <c r="I31" i="6"/>
  <c r="H31" i="6"/>
  <c r="I353" i="6"/>
  <c r="H353" i="6"/>
  <c r="I633" i="6"/>
  <c r="H633" i="6"/>
  <c r="I632" i="6"/>
  <c r="H632" i="6"/>
  <c r="I152" i="6"/>
  <c r="H152" i="6"/>
  <c r="I161" i="6"/>
  <c r="H161" i="6"/>
  <c r="I23" i="6"/>
  <c r="H23" i="6"/>
  <c r="I96" i="6"/>
  <c r="H96" i="6"/>
  <c r="I355" i="6"/>
  <c r="H355" i="6"/>
  <c r="I69" i="6"/>
  <c r="H69" i="6"/>
  <c r="I277" i="6"/>
  <c r="H277" i="6"/>
  <c r="I41" i="6"/>
  <c r="H41" i="6"/>
  <c r="I413" i="6"/>
  <c r="H413" i="6"/>
  <c r="I906" i="6"/>
  <c r="H906" i="6"/>
  <c r="I412" i="6"/>
  <c r="H412" i="6"/>
  <c r="I411" i="6"/>
  <c r="H411" i="6"/>
  <c r="I410" i="6"/>
  <c r="H410" i="6"/>
  <c r="I755" i="6"/>
  <c r="H755" i="6"/>
  <c r="I57" i="6"/>
  <c r="H57" i="6"/>
  <c r="I212" i="6"/>
  <c r="H212" i="6"/>
  <c r="I782" i="6"/>
  <c r="H782" i="6"/>
  <c r="I264" i="6"/>
  <c r="H264" i="6"/>
  <c r="I112" i="6"/>
  <c r="H112" i="6"/>
  <c r="I831" i="6"/>
  <c r="H831" i="6"/>
  <c r="I288" i="6"/>
  <c r="H288" i="6"/>
  <c r="I165" i="6"/>
  <c r="H165" i="6"/>
  <c r="I321" i="6"/>
  <c r="H321" i="6"/>
  <c r="I330" i="6"/>
  <c r="H330" i="6"/>
  <c r="I836" i="6"/>
  <c r="H836" i="6"/>
  <c r="I58" i="6"/>
  <c r="H58" i="6"/>
  <c r="I631" i="6"/>
  <c r="H631" i="6"/>
  <c r="I693" i="6"/>
  <c r="H693" i="6"/>
  <c r="I781" i="6"/>
  <c r="H781" i="6"/>
  <c r="I823" i="6"/>
  <c r="H823" i="6"/>
  <c r="I102" i="6"/>
  <c r="H102" i="6"/>
  <c r="I226" i="6"/>
  <c r="H226" i="6"/>
  <c r="I224" i="6"/>
  <c r="H224" i="6"/>
  <c r="I61" i="6"/>
  <c r="H61" i="6"/>
  <c r="I285" i="6"/>
  <c r="H285" i="6"/>
  <c r="I91" i="6"/>
  <c r="H91" i="6"/>
  <c r="I806" i="6"/>
  <c r="H806" i="6"/>
  <c r="I174" i="6"/>
  <c r="H174" i="6"/>
  <c r="I178" i="6"/>
  <c r="H178" i="6"/>
  <c r="I74" i="6"/>
  <c r="H74" i="6"/>
  <c r="I708" i="6"/>
  <c r="H708" i="6"/>
  <c r="I70" i="6"/>
  <c r="H70" i="6"/>
  <c r="I911" i="6"/>
  <c r="H911" i="6"/>
  <c r="I71" i="6"/>
  <c r="H71" i="6"/>
  <c r="I409" i="6"/>
  <c r="H409" i="6"/>
  <c r="I408" i="6"/>
  <c r="H408" i="6"/>
  <c r="I854" i="6"/>
  <c r="H854" i="6"/>
  <c r="I369" i="6"/>
  <c r="H369" i="6"/>
  <c r="I273" i="6"/>
  <c r="H273" i="6"/>
  <c r="I147" i="6"/>
  <c r="H147" i="6"/>
  <c r="I193" i="6"/>
  <c r="H193" i="6"/>
  <c r="I233" i="6"/>
  <c r="H233" i="6"/>
  <c r="I891" i="6"/>
  <c r="H891" i="6"/>
  <c r="I163" i="6"/>
  <c r="H163" i="6"/>
  <c r="I175" i="6"/>
  <c r="H175" i="6"/>
  <c r="I134" i="6"/>
  <c r="H134" i="6"/>
  <c r="I206" i="6"/>
  <c r="H206" i="6"/>
  <c r="I294" i="6"/>
  <c r="H294" i="6"/>
  <c r="I688" i="6"/>
  <c r="H688" i="6"/>
  <c r="I327" i="6"/>
  <c r="H327" i="6"/>
  <c r="I407" i="6"/>
  <c r="H407" i="6"/>
  <c r="I662" i="6"/>
  <c r="H662" i="6"/>
  <c r="I121" i="6"/>
  <c r="H121" i="6"/>
  <c r="I406" i="6"/>
  <c r="H406" i="6"/>
  <c r="I40" i="6"/>
  <c r="H40" i="6"/>
  <c r="I799" i="6"/>
  <c r="H799" i="6"/>
  <c r="I742" i="6"/>
  <c r="H742" i="6"/>
  <c r="I302" i="6"/>
  <c r="H302" i="6"/>
  <c r="I274" i="6"/>
  <c r="H274" i="6"/>
  <c r="I304" i="6"/>
  <c r="H304" i="6"/>
  <c r="I222" i="6"/>
  <c r="H222" i="6"/>
  <c r="I613" i="6"/>
  <c r="H613" i="6"/>
  <c r="I26" i="6"/>
  <c r="H26" i="6"/>
  <c r="I84" i="6"/>
  <c r="H84" i="6"/>
  <c r="I291" i="6"/>
  <c r="H291" i="6"/>
  <c r="I120" i="6"/>
  <c r="H120" i="6"/>
  <c r="I27" i="6"/>
  <c r="H27" i="6"/>
  <c r="I262" i="6"/>
  <c r="H262" i="6"/>
  <c r="I649" i="6"/>
  <c r="H649" i="6"/>
  <c r="I741" i="6"/>
  <c r="H741" i="6"/>
  <c r="I648" i="6"/>
  <c r="H648" i="6"/>
  <c r="I405" i="6"/>
  <c r="H405" i="6"/>
  <c r="I201" i="6"/>
  <c r="H201" i="6"/>
  <c r="I404" i="6"/>
  <c r="H404" i="6"/>
  <c r="I753" i="6"/>
  <c r="H753" i="6"/>
  <c r="I280" i="6"/>
  <c r="H280" i="6"/>
  <c r="I42" i="6"/>
  <c r="H42" i="6"/>
  <c r="I403" i="6"/>
  <c r="H403" i="6"/>
  <c r="I915" i="6"/>
  <c r="H915" i="6"/>
  <c r="I892" i="6"/>
  <c r="H892" i="6"/>
  <c r="I596" i="6"/>
  <c r="H596" i="6"/>
  <c r="I195" i="6"/>
  <c r="H195" i="6"/>
  <c r="I883" i="6"/>
  <c r="H883" i="6"/>
  <c r="I130" i="6"/>
  <c r="H130" i="6"/>
  <c r="I630" i="6"/>
  <c r="H630" i="6"/>
  <c r="I143" i="6"/>
  <c r="H143" i="6"/>
  <c r="I925" i="6"/>
  <c r="H925" i="6"/>
  <c r="I287" i="6"/>
  <c r="H287" i="6"/>
  <c r="I581" i="6"/>
  <c r="H581" i="6"/>
  <c r="I692" i="6"/>
  <c r="H692" i="6"/>
  <c r="I659" i="6"/>
  <c r="H659" i="6"/>
  <c r="I154" i="6"/>
  <c r="H154" i="6"/>
  <c r="I250" i="6"/>
  <c r="H250" i="6"/>
  <c r="I164" i="6"/>
  <c r="H164" i="6"/>
  <c r="I595" i="6"/>
  <c r="H595" i="6"/>
  <c r="I181" i="6"/>
  <c r="H181" i="6"/>
  <c r="I918" i="6"/>
  <c r="H918" i="6"/>
  <c r="I917" i="6"/>
  <c r="H917" i="6"/>
  <c r="I834" i="6"/>
  <c r="H834" i="6"/>
  <c r="I80" i="6"/>
  <c r="H80" i="6"/>
  <c r="I334" i="6"/>
  <c r="H334" i="6"/>
  <c r="I402" i="6"/>
  <c r="H402" i="6"/>
  <c r="I303" i="6"/>
  <c r="H303" i="6"/>
  <c r="I310" i="6"/>
  <c r="H310" i="6"/>
  <c r="I176" i="6"/>
  <c r="H176" i="6"/>
  <c r="I629" i="6"/>
  <c r="H629" i="6"/>
  <c r="I401" i="6"/>
  <c r="H401" i="6"/>
  <c r="I171" i="6"/>
  <c r="H171" i="6"/>
  <c r="I660" i="6"/>
  <c r="H660" i="6"/>
  <c r="I400" i="6"/>
  <c r="H400" i="6"/>
  <c r="I298" i="6"/>
  <c r="H298" i="6"/>
  <c r="I76" i="6"/>
  <c r="H76" i="6"/>
  <c r="I594" i="6"/>
  <c r="H594" i="6"/>
  <c r="I798" i="6"/>
  <c r="H798" i="6"/>
  <c r="I16" i="6"/>
  <c r="H16" i="6"/>
  <c r="I366" i="6"/>
  <c r="H366" i="6"/>
  <c r="I399" i="6"/>
  <c r="H399" i="6"/>
  <c r="I382" i="6"/>
  <c r="H382" i="6"/>
  <c r="I322" i="6"/>
  <c r="H322" i="6"/>
  <c r="I398" i="6"/>
  <c r="H398" i="6"/>
  <c r="I813" i="6"/>
  <c r="H813" i="6"/>
  <c r="I30" i="6"/>
  <c r="H30" i="6"/>
  <c r="I243" i="6"/>
  <c r="H243" i="6"/>
  <c r="I397" i="6"/>
  <c r="H397" i="6"/>
  <c r="I266" i="6"/>
  <c r="H266" i="6"/>
  <c r="I75" i="6"/>
  <c r="H75" i="6"/>
  <c r="I113" i="6"/>
  <c r="H113" i="6"/>
  <c r="I64" i="6"/>
  <c r="H64" i="6"/>
  <c r="I628" i="6"/>
  <c r="H628" i="6"/>
  <c r="I79" i="6"/>
  <c r="H79" i="6"/>
  <c r="I245" i="6"/>
  <c r="H245" i="6"/>
  <c r="I97" i="6"/>
  <c r="H97" i="6"/>
  <c r="I187" i="6"/>
  <c r="H187" i="6"/>
  <c r="I647" i="6"/>
  <c r="H647" i="6"/>
  <c r="I396" i="6"/>
  <c r="H396" i="6"/>
  <c r="I395" i="6"/>
  <c r="H395" i="6"/>
  <c r="I235" i="6"/>
  <c r="H235" i="6"/>
  <c r="I919" i="6"/>
  <c r="H919" i="6"/>
  <c r="I122" i="6"/>
  <c r="H122" i="6"/>
  <c r="I394" i="6"/>
  <c r="H394" i="6"/>
  <c r="I109" i="6"/>
  <c r="H109" i="6"/>
  <c r="I887" i="6"/>
  <c r="H887" i="6"/>
  <c r="I393" i="6"/>
  <c r="H393" i="6"/>
  <c r="I881" i="6"/>
  <c r="H881" i="6"/>
  <c r="I52" i="6"/>
  <c r="H52" i="6"/>
  <c r="I392" i="6"/>
  <c r="H392" i="6"/>
  <c r="I221" i="6"/>
  <c r="H221" i="6"/>
  <c r="I169" i="6"/>
  <c r="H169" i="6"/>
  <c r="I94" i="6"/>
  <c r="H94" i="6"/>
  <c r="I50" i="6"/>
  <c r="H50" i="6"/>
  <c r="I202" i="6"/>
  <c r="H202" i="6"/>
  <c r="I707" i="6"/>
  <c r="H707" i="6"/>
  <c r="I252" i="6"/>
  <c r="H252" i="6"/>
  <c r="I391" i="6"/>
  <c r="H391" i="6"/>
  <c r="I749" i="6"/>
  <c r="H749" i="6"/>
  <c r="I313" i="6"/>
  <c r="H313" i="6"/>
  <c r="I246" i="6"/>
  <c r="H246" i="6"/>
  <c r="I133" i="6"/>
  <c r="H133" i="6"/>
  <c r="I314" i="6"/>
  <c r="H314" i="6"/>
  <c r="I332" i="6"/>
  <c r="H332" i="6"/>
  <c r="I267" i="6"/>
  <c r="I866" i="6"/>
  <c r="H866" i="6"/>
  <c r="I43" i="5"/>
  <c r="H43" i="5"/>
  <c r="I346" i="5"/>
  <c r="H346" i="5"/>
  <c r="I66" i="5"/>
  <c r="H66" i="5"/>
  <c r="I18" i="5"/>
  <c r="H18" i="5"/>
  <c r="I585" i="5"/>
  <c r="H585" i="5"/>
  <c r="I391" i="5"/>
  <c r="H391" i="5"/>
  <c r="I214" i="5"/>
  <c r="H214" i="5"/>
  <c r="I926" i="5"/>
  <c r="H926" i="5"/>
  <c r="I355" i="5"/>
  <c r="H355" i="5"/>
  <c r="I53" i="5"/>
  <c r="H53" i="5"/>
  <c r="I47" i="5"/>
  <c r="H47" i="5"/>
  <c r="I689" i="5"/>
  <c r="H689" i="5"/>
  <c r="I105" i="5"/>
  <c r="H105" i="5"/>
  <c r="I462" i="5"/>
  <c r="H462" i="5"/>
  <c r="I69" i="5"/>
  <c r="H69" i="5"/>
  <c r="I611" i="5"/>
  <c r="H611" i="5"/>
  <c r="I261" i="5"/>
  <c r="H261" i="5"/>
  <c r="I502" i="5"/>
  <c r="H502" i="5"/>
  <c r="I181" i="5"/>
  <c r="H181" i="5"/>
  <c r="I705" i="5"/>
  <c r="H705" i="5"/>
  <c r="I925" i="5"/>
  <c r="H925" i="5"/>
  <c r="I642" i="5"/>
  <c r="H642" i="5"/>
  <c r="I118" i="5"/>
  <c r="H118" i="5"/>
  <c r="I12" i="5"/>
  <c r="H12" i="5"/>
  <c r="I86" i="5"/>
  <c r="H86" i="5"/>
  <c r="I924" i="5"/>
  <c r="H924" i="5"/>
  <c r="I297" i="5"/>
  <c r="H297" i="5"/>
  <c r="I23" i="5"/>
  <c r="H23" i="5"/>
  <c r="I923" i="5"/>
  <c r="H923" i="5"/>
  <c r="I286" i="5"/>
  <c r="H286" i="5"/>
  <c r="I521" i="5"/>
  <c r="H521" i="5"/>
  <c r="I98" i="5"/>
  <c r="H98" i="5"/>
  <c r="I412" i="5"/>
  <c r="H412" i="5"/>
  <c r="I328" i="5"/>
  <c r="H328" i="5"/>
  <c r="I503" i="5"/>
  <c r="H503" i="5"/>
  <c r="I301" i="5"/>
  <c r="H301" i="5"/>
  <c r="I413" i="5"/>
  <c r="H413" i="5"/>
  <c r="I682" i="5"/>
  <c r="H682" i="5"/>
  <c r="I443" i="5"/>
  <c r="H443" i="5"/>
  <c r="I394" i="5"/>
  <c r="H394" i="5"/>
  <c r="I922" i="5"/>
  <c r="H922" i="5"/>
  <c r="I703" i="5"/>
  <c r="H703" i="5"/>
  <c r="I180" i="5"/>
  <c r="H180" i="5"/>
  <c r="I457" i="5"/>
  <c r="H457" i="5"/>
  <c r="I681" i="5"/>
  <c r="H681" i="5"/>
  <c r="I425" i="5"/>
  <c r="H425" i="5"/>
  <c r="I617" i="5"/>
  <c r="H617" i="5"/>
  <c r="I921" i="5"/>
  <c r="H921" i="5"/>
  <c r="I373" i="5"/>
  <c r="H373" i="5"/>
  <c r="I258" i="5"/>
  <c r="H258" i="5"/>
  <c r="I920" i="5"/>
  <c r="H920" i="5"/>
  <c r="I162" i="5"/>
  <c r="H162" i="5"/>
  <c r="I507" i="5"/>
  <c r="H507" i="5"/>
  <c r="I919" i="5"/>
  <c r="H919" i="5"/>
  <c r="I452" i="5"/>
  <c r="H452" i="5"/>
  <c r="I37" i="5"/>
  <c r="H37" i="5"/>
  <c r="I289" i="5"/>
  <c r="H289" i="5"/>
  <c r="I178" i="5"/>
  <c r="H178" i="5"/>
  <c r="I589" i="5"/>
  <c r="H589" i="5"/>
  <c r="I918" i="5"/>
  <c r="H918" i="5"/>
  <c r="I205" i="5"/>
  <c r="H205" i="5"/>
  <c r="I594" i="5"/>
  <c r="H594" i="5"/>
  <c r="I702" i="5"/>
  <c r="H702" i="5"/>
  <c r="I641" i="5"/>
  <c r="H641" i="5"/>
  <c r="I917" i="5"/>
  <c r="H917" i="5"/>
  <c r="I916" i="5"/>
  <c r="H916" i="5"/>
  <c r="I333" i="5"/>
  <c r="H333" i="5"/>
  <c r="I915" i="5"/>
  <c r="H915" i="5"/>
  <c r="I914" i="5"/>
  <c r="H914" i="5"/>
  <c r="I913" i="5"/>
  <c r="H913" i="5"/>
  <c r="I539" i="5"/>
  <c r="H539" i="5"/>
  <c r="I912" i="5"/>
  <c r="H912" i="5"/>
  <c r="I911" i="5"/>
  <c r="H911" i="5"/>
  <c r="I402" i="5"/>
  <c r="H402" i="5"/>
  <c r="I164" i="5"/>
  <c r="H164" i="5"/>
  <c r="I4" i="5"/>
  <c r="H4" i="5"/>
  <c r="I910" i="5"/>
  <c r="H910" i="5"/>
  <c r="I909" i="5"/>
  <c r="H909" i="5"/>
  <c r="I908" i="5"/>
  <c r="H908" i="5"/>
  <c r="I907" i="5"/>
  <c r="H907" i="5"/>
  <c r="I640" i="5"/>
  <c r="H640" i="5"/>
  <c r="I655" i="5"/>
  <c r="H655" i="5"/>
  <c r="I588" i="5"/>
  <c r="H588" i="5"/>
  <c r="I906" i="5"/>
  <c r="H906" i="5"/>
  <c r="I685" i="5"/>
  <c r="H685" i="5"/>
  <c r="I367" i="5"/>
  <c r="H367" i="5"/>
  <c r="I570" i="5"/>
  <c r="H570" i="5"/>
  <c r="I905" i="5"/>
  <c r="H905" i="5"/>
  <c r="I505" i="5"/>
  <c r="H505" i="5"/>
  <c r="I484" i="5"/>
  <c r="H484" i="5"/>
  <c r="I904" i="5"/>
  <c r="H904" i="5"/>
  <c r="I903" i="5"/>
  <c r="H903" i="5"/>
  <c r="I584" i="5"/>
  <c r="H584" i="5"/>
  <c r="I464" i="5"/>
  <c r="H464" i="5"/>
  <c r="I389" i="5"/>
  <c r="H389" i="5"/>
  <c r="I75" i="5"/>
  <c r="H75" i="5"/>
  <c r="I902" i="5"/>
  <c r="H902" i="5"/>
  <c r="I20" i="5"/>
  <c r="H20" i="5"/>
  <c r="I901" i="5"/>
  <c r="H901" i="5"/>
  <c r="I900" i="5"/>
  <c r="H900" i="5"/>
  <c r="I899" i="5"/>
  <c r="H899" i="5"/>
  <c r="I898" i="5"/>
  <c r="H898" i="5"/>
  <c r="I897" i="5"/>
  <c r="H897" i="5"/>
  <c r="I550" i="5"/>
  <c r="H550" i="5"/>
  <c r="I316" i="5"/>
  <c r="H316" i="5"/>
  <c r="I896" i="5"/>
  <c r="H896" i="5"/>
  <c r="I575" i="5"/>
  <c r="H575" i="5"/>
  <c r="I895" i="5"/>
  <c r="H895" i="5"/>
  <c r="I894" i="5"/>
  <c r="H894" i="5"/>
  <c r="I366" i="5"/>
  <c r="H366" i="5"/>
  <c r="I893" i="5"/>
  <c r="H893" i="5"/>
  <c r="I382" i="5"/>
  <c r="H382" i="5"/>
  <c r="I892" i="5"/>
  <c r="H892" i="5"/>
  <c r="I891" i="5"/>
  <c r="H891" i="5"/>
  <c r="I487" i="5"/>
  <c r="H487" i="5"/>
  <c r="I221" i="5"/>
  <c r="H221" i="5"/>
  <c r="I890" i="5"/>
  <c r="H890" i="5"/>
  <c r="I680" i="5"/>
  <c r="H680" i="5"/>
  <c r="I889" i="5"/>
  <c r="H889" i="5"/>
  <c r="I709" i="5"/>
  <c r="H709" i="5"/>
  <c r="I888" i="5"/>
  <c r="H888" i="5"/>
  <c r="I574" i="5"/>
  <c r="H574" i="5"/>
  <c r="I620" i="5"/>
  <c r="H620" i="5"/>
  <c r="I569" i="5"/>
  <c r="H569" i="5"/>
  <c r="I414" i="5"/>
  <c r="H414" i="5"/>
  <c r="I887" i="5"/>
  <c r="H887" i="5"/>
  <c r="I625" i="5"/>
  <c r="H625" i="5"/>
  <c r="I694" i="5"/>
  <c r="H694" i="5"/>
  <c r="I486" i="5"/>
  <c r="H486" i="5"/>
  <c r="I698" i="5"/>
  <c r="H698" i="5"/>
  <c r="I886" i="5"/>
  <c r="H886" i="5"/>
  <c r="I885" i="5"/>
  <c r="H885" i="5"/>
  <c r="I361" i="5"/>
  <c r="H361" i="5"/>
  <c r="I549" i="5"/>
  <c r="H549" i="5"/>
  <c r="I884" i="5"/>
  <c r="H884" i="5"/>
  <c r="I616" i="5"/>
  <c r="H616" i="5"/>
  <c r="I679" i="5"/>
  <c r="H679" i="5"/>
  <c r="I568" i="5"/>
  <c r="H568" i="5"/>
  <c r="I159" i="5"/>
  <c r="H159" i="5"/>
  <c r="I883" i="5"/>
  <c r="H883" i="5"/>
  <c r="I422" i="5"/>
  <c r="H422" i="5"/>
  <c r="I593" i="5"/>
  <c r="H593" i="5"/>
  <c r="I624" i="5"/>
  <c r="H624" i="5"/>
  <c r="I882" i="5"/>
  <c r="H882" i="5"/>
  <c r="I881" i="5"/>
  <c r="H881" i="5"/>
  <c r="I639" i="5"/>
  <c r="H639" i="5"/>
  <c r="I880" i="5"/>
  <c r="H880" i="5"/>
  <c r="I615" i="5"/>
  <c r="H615" i="5"/>
  <c r="I602" i="5"/>
  <c r="H602" i="5"/>
  <c r="I879" i="5"/>
  <c r="H879" i="5"/>
  <c r="I696" i="5"/>
  <c r="H696" i="5"/>
  <c r="I442" i="5"/>
  <c r="H442" i="5"/>
  <c r="I878" i="5"/>
  <c r="H878" i="5"/>
  <c r="I552" i="5"/>
  <c r="H552" i="5"/>
  <c r="I483" i="5"/>
  <c r="H483" i="5"/>
  <c r="I638" i="5"/>
  <c r="H638" i="5"/>
  <c r="I678" i="5"/>
  <c r="H678" i="5"/>
  <c r="I592" i="5"/>
  <c r="H592" i="5"/>
  <c r="I220" i="5"/>
  <c r="H220" i="5"/>
  <c r="I260" i="5"/>
  <c r="H260" i="5"/>
  <c r="I430" i="5"/>
  <c r="H430" i="5"/>
  <c r="I298" i="5"/>
  <c r="H298" i="5"/>
  <c r="I121" i="5"/>
  <c r="H121" i="5"/>
  <c r="I877" i="5"/>
  <c r="H877" i="5"/>
  <c r="I255" i="5"/>
  <c r="H255" i="5"/>
  <c r="I677" i="5"/>
  <c r="H677" i="5"/>
  <c r="I25" i="5"/>
  <c r="H25" i="5"/>
  <c r="I236" i="5"/>
  <c r="H236" i="5"/>
  <c r="I151" i="5"/>
  <c r="H151" i="5"/>
  <c r="I330" i="5"/>
  <c r="H330" i="5"/>
  <c r="I686" i="5"/>
  <c r="H686" i="5"/>
  <c r="I16" i="5"/>
  <c r="H16" i="5"/>
  <c r="I138" i="5"/>
  <c r="H138" i="5"/>
  <c r="I708" i="5"/>
  <c r="H708" i="5"/>
  <c r="I876" i="5"/>
  <c r="H876" i="5"/>
  <c r="I520" i="5"/>
  <c r="H520" i="5"/>
  <c r="I875" i="5"/>
  <c r="H875" i="5"/>
  <c r="I114" i="5"/>
  <c r="H114" i="5"/>
  <c r="I310" i="5"/>
  <c r="H310" i="5"/>
  <c r="I344" i="5"/>
  <c r="H344" i="5"/>
  <c r="I529" i="5"/>
  <c r="H529" i="5"/>
  <c r="I583" i="5"/>
  <c r="H583" i="5"/>
  <c r="I553" i="5"/>
  <c r="H553" i="5"/>
  <c r="I582" i="5"/>
  <c r="H582" i="5"/>
  <c r="I601" i="5"/>
  <c r="H601" i="5"/>
  <c r="I874" i="5"/>
  <c r="H874" i="5"/>
  <c r="I873" i="5"/>
  <c r="H873" i="5"/>
  <c r="I495" i="5"/>
  <c r="H495" i="5"/>
  <c r="I426" i="5"/>
  <c r="H426" i="5"/>
  <c r="I174" i="5"/>
  <c r="H174" i="5"/>
  <c r="I872" i="5"/>
  <c r="H872" i="5"/>
  <c r="I398" i="5"/>
  <c r="H398" i="5"/>
  <c r="I103" i="5"/>
  <c r="H103" i="5"/>
  <c r="I269" i="5"/>
  <c r="H269" i="5"/>
  <c r="I871" i="5"/>
  <c r="H871" i="5"/>
  <c r="I102" i="5"/>
  <c r="H102" i="5"/>
  <c r="I454" i="5"/>
  <c r="H454" i="5"/>
  <c r="I429" i="5"/>
  <c r="H429" i="5"/>
  <c r="I870" i="5"/>
  <c r="H870" i="5"/>
  <c r="I451" i="5"/>
  <c r="H451" i="5"/>
  <c r="I125" i="5"/>
  <c r="H125" i="5"/>
  <c r="I623" i="5"/>
  <c r="H623" i="5"/>
  <c r="I869" i="5"/>
  <c r="H869" i="5"/>
  <c r="I468" i="5"/>
  <c r="H468" i="5"/>
  <c r="I506" i="5"/>
  <c r="H506" i="5"/>
  <c r="I684" i="5"/>
  <c r="H684" i="5"/>
  <c r="I167" i="5"/>
  <c r="H167" i="5"/>
  <c r="I654" i="5"/>
  <c r="H654" i="5"/>
  <c r="I868" i="5"/>
  <c r="H868" i="5"/>
  <c r="I867" i="5"/>
  <c r="H867" i="5"/>
  <c r="I676" i="5"/>
  <c r="H676" i="5"/>
  <c r="I560" i="5"/>
  <c r="H560" i="5"/>
  <c r="I619" i="5"/>
  <c r="H619" i="5"/>
  <c r="I351" i="5"/>
  <c r="H351" i="5"/>
  <c r="I653" i="5"/>
  <c r="H653" i="5"/>
  <c r="I218" i="5"/>
  <c r="H218" i="5"/>
  <c r="I22" i="5"/>
  <c r="H22" i="5"/>
  <c r="I866" i="5"/>
  <c r="H866" i="5"/>
  <c r="I865" i="5"/>
  <c r="H865" i="5"/>
  <c r="I126" i="5"/>
  <c r="H126" i="5"/>
  <c r="I274" i="5"/>
  <c r="H274" i="5"/>
  <c r="I100" i="5"/>
  <c r="H100" i="5"/>
  <c r="I353" i="5"/>
  <c r="H353" i="5"/>
  <c r="I864" i="5"/>
  <c r="H864" i="5"/>
  <c r="I573" i="5"/>
  <c r="H573" i="5"/>
  <c r="I109" i="5"/>
  <c r="H109" i="5"/>
  <c r="I295" i="5"/>
  <c r="H295" i="5"/>
  <c r="I313" i="5"/>
  <c r="H313" i="5"/>
  <c r="I129" i="5"/>
  <c r="H129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652" i="5"/>
  <c r="H652" i="5"/>
  <c r="I478" i="5"/>
  <c r="H478" i="5"/>
  <c r="I857" i="5"/>
  <c r="H857" i="5"/>
  <c r="I856" i="5"/>
  <c r="H856" i="5"/>
  <c r="I691" i="5"/>
  <c r="H691" i="5"/>
  <c r="I538" i="5"/>
  <c r="H538" i="5"/>
  <c r="I473" i="5"/>
  <c r="H473" i="5"/>
  <c r="I855" i="5"/>
  <c r="H855" i="5"/>
  <c r="I854" i="5"/>
  <c r="H854" i="5"/>
  <c r="I408" i="5"/>
  <c r="H408" i="5"/>
  <c r="I637" i="5"/>
  <c r="H637" i="5"/>
  <c r="I548" i="5"/>
  <c r="H548" i="5"/>
  <c r="I600" i="5"/>
  <c r="H600" i="5"/>
  <c r="I364" i="5"/>
  <c r="H364" i="5"/>
  <c r="I415" i="5"/>
  <c r="H415" i="5"/>
  <c r="I368" i="5"/>
  <c r="H368" i="5"/>
  <c r="I853" i="5"/>
  <c r="H853" i="5"/>
  <c r="I194" i="5"/>
  <c r="H194" i="5"/>
  <c r="I852" i="5"/>
  <c r="H852" i="5"/>
  <c r="I168" i="5"/>
  <c r="H168" i="5"/>
  <c r="I636" i="5"/>
  <c r="H636" i="5"/>
  <c r="I851" i="5"/>
  <c r="H851" i="5"/>
  <c r="I386" i="5"/>
  <c r="H386" i="5"/>
  <c r="I396" i="5"/>
  <c r="H396" i="5"/>
  <c r="I635" i="5"/>
  <c r="H635" i="5"/>
  <c r="I461" i="5"/>
  <c r="H461" i="5"/>
  <c r="I35" i="5"/>
  <c r="H35" i="5"/>
  <c r="I400" i="5"/>
  <c r="H400" i="5"/>
  <c r="I436" i="5"/>
  <c r="H436" i="5"/>
  <c r="I850" i="5"/>
  <c r="H850" i="5"/>
  <c r="I378" i="5"/>
  <c r="H378" i="5"/>
  <c r="I599" i="5"/>
  <c r="H599" i="5"/>
  <c r="I849" i="5"/>
  <c r="H849" i="5"/>
  <c r="I479" i="5"/>
  <c r="H479" i="5"/>
  <c r="I435" i="5"/>
  <c r="H435" i="5"/>
  <c r="I848" i="5"/>
  <c r="H848" i="5"/>
  <c r="I173" i="5"/>
  <c r="H173" i="5"/>
  <c r="I847" i="5"/>
  <c r="H847" i="5"/>
  <c r="I846" i="5"/>
  <c r="H846" i="5"/>
  <c r="I528" i="5"/>
  <c r="H528" i="5"/>
  <c r="I28" i="5"/>
  <c r="H28" i="5"/>
  <c r="I409" i="5"/>
  <c r="H409" i="5"/>
  <c r="I385" i="5"/>
  <c r="H385" i="5"/>
  <c r="I14" i="5"/>
  <c r="H14" i="5"/>
  <c r="I845" i="5"/>
  <c r="H845" i="5"/>
  <c r="I377" i="5"/>
  <c r="H377" i="5"/>
  <c r="I844" i="5"/>
  <c r="H844" i="5"/>
  <c r="I193" i="5"/>
  <c r="H193" i="5"/>
  <c r="I434" i="5"/>
  <c r="H434" i="5"/>
  <c r="I433" i="5"/>
  <c r="H433" i="5"/>
  <c r="I581" i="5"/>
  <c r="H581" i="5"/>
  <c r="I634" i="5"/>
  <c r="H634" i="5"/>
  <c r="I610" i="5"/>
  <c r="H610" i="5"/>
  <c r="I843" i="5"/>
  <c r="H843" i="5"/>
  <c r="I651" i="5"/>
  <c r="H651" i="5"/>
  <c r="I449" i="5"/>
  <c r="H449" i="5"/>
  <c r="I165" i="5"/>
  <c r="H165" i="5"/>
  <c r="I474" i="5"/>
  <c r="H474" i="5"/>
  <c r="I70" i="5"/>
  <c r="H70" i="5"/>
  <c r="I842" i="5"/>
  <c r="H842" i="5"/>
  <c r="I841" i="5"/>
  <c r="H841" i="5"/>
  <c r="I305" i="5"/>
  <c r="H305" i="5"/>
  <c r="I448" i="5"/>
  <c r="H448" i="5"/>
  <c r="I840" i="5"/>
  <c r="H840" i="5"/>
  <c r="I469" i="5"/>
  <c r="H469" i="5"/>
  <c r="I537" i="5"/>
  <c r="H537" i="5"/>
  <c r="I839" i="5"/>
  <c r="H839" i="5"/>
  <c r="I390" i="5"/>
  <c r="H390" i="5"/>
  <c r="I838" i="5"/>
  <c r="H838" i="5"/>
  <c r="I675" i="5"/>
  <c r="H675" i="5"/>
  <c r="I257" i="5"/>
  <c r="H257" i="5"/>
  <c r="I438" i="5"/>
  <c r="H438" i="5"/>
  <c r="I216" i="5"/>
  <c r="H216" i="5"/>
  <c r="I496" i="5"/>
  <c r="H496" i="5"/>
  <c r="I837" i="5"/>
  <c r="H837" i="5"/>
  <c r="I229" i="5"/>
  <c r="H229" i="5"/>
  <c r="I836" i="5"/>
  <c r="H836" i="5"/>
  <c r="I567" i="5"/>
  <c r="H567" i="5"/>
  <c r="I835" i="5"/>
  <c r="H835" i="5"/>
  <c r="I15" i="5"/>
  <c r="H15" i="5"/>
  <c r="I243" i="5"/>
  <c r="H243" i="5"/>
  <c r="I224" i="5"/>
  <c r="H224" i="5"/>
  <c r="I554" i="5"/>
  <c r="H554" i="5"/>
  <c r="I32" i="5"/>
  <c r="H32" i="5"/>
  <c r="I597" i="5"/>
  <c r="H597" i="5"/>
  <c r="I309" i="5"/>
  <c r="H309" i="5"/>
  <c r="I347" i="5"/>
  <c r="H347" i="5"/>
  <c r="I834" i="5"/>
  <c r="H834" i="5"/>
  <c r="I833" i="5"/>
  <c r="H833" i="5"/>
  <c r="I832" i="5"/>
  <c r="H832" i="5"/>
  <c r="I329" i="5"/>
  <c r="H329" i="5"/>
  <c r="I831" i="5"/>
  <c r="H831" i="5"/>
  <c r="I830" i="5"/>
  <c r="H830" i="5"/>
  <c r="I566" i="5"/>
  <c r="H566" i="5"/>
  <c r="I829" i="5"/>
  <c r="H829" i="5"/>
  <c r="I707" i="5"/>
  <c r="H707" i="5"/>
  <c r="I372" i="5"/>
  <c r="H372" i="5"/>
  <c r="I337" i="5"/>
  <c r="H337" i="5"/>
  <c r="I356" i="5"/>
  <c r="H356" i="5"/>
  <c r="I828" i="5"/>
  <c r="H828" i="5"/>
  <c r="I242" i="5"/>
  <c r="H242" i="5"/>
  <c r="I26" i="5"/>
  <c r="H26" i="5"/>
  <c r="I17" i="5"/>
  <c r="H17" i="5"/>
  <c r="I132" i="5"/>
  <c r="H132" i="5"/>
  <c r="I149" i="5"/>
  <c r="H149" i="5"/>
  <c r="I264" i="5"/>
  <c r="H264" i="5"/>
  <c r="I827" i="5"/>
  <c r="H827" i="5"/>
  <c r="I826" i="5"/>
  <c r="H826" i="5"/>
  <c r="I825" i="5"/>
  <c r="H825" i="5"/>
  <c r="I480" i="5"/>
  <c r="H480" i="5"/>
  <c r="I633" i="5"/>
  <c r="H633" i="5"/>
  <c r="I444" i="5"/>
  <c r="H444" i="5"/>
  <c r="I84" i="5"/>
  <c r="H84" i="5"/>
  <c r="I494" i="5"/>
  <c r="H494" i="5"/>
  <c r="I10" i="5"/>
  <c r="H10" i="5"/>
  <c r="I824" i="5"/>
  <c r="H824" i="5"/>
  <c r="I823" i="5"/>
  <c r="H823" i="5"/>
  <c r="I614" i="5"/>
  <c r="H614" i="5"/>
  <c r="I359" i="5"/>
  <c r="H359" i="5"/>
  <c r="I428" i="5"/>
  <c r="H428" i="5"/>
  <c r="I192" i="5"/>
  <c r="H192" i="5"/>
  <c r="I822" i="5"/>
  <c r="H822" i="5"/>
  <c r="I158" i="5"/>
  <c r="H158" i="5"/>
  <c r="I821" i="5"/>
  <c r="H821" i="5"/>
  <c r="I379" i="5"/>
  <c r="H379" i="5"/>
  <c r="I674" i="5"/>
  <c r="H674" i="5"/>
  <c r="I820" i="5"/>
  <c r="H820" i="5"/>
  <c r="I516" i="5"/>
  <c r="H516" i="5"/>
  <c r="I632" i="5"/>
  <c r="H632" i="5"/>
  <c r="I559" i="5"/>
  <c r="H559" i="5"/>
  <c r="I819" i="5"/>
  <c r="H819" i="5"/>
  <c r="I818" i="5"/>
  <c r="H818" i="5"/>
  <c r="I354" i="5"/>
  <c r="H354" i="5"/>
  <c r="I673" i="5"/>
  <c r="H673" i="5"/>
  <c r="I440" i="5"/>
  <c r="H440" i="5"/>
  <c r="I817" i="5"/>
  <c r="H817" i="5"/>
  <c r="I397" i="5"/>
  <c r="H397" i="5"/>
  <c r="I816" i="5"/>
  <c r="H816" i="5"/>
  <c r="I547" i="5"/>
  <c r="H547" i="5"/>
  <c r="I587" i="5"/>
  <c r="H587" i="5"/>
  <c r="I324" i="5"/>
  <c r="H324" i="5"/>
  <c r="I472" i="5"/>
  <c r="H472" i="5"/>
  <c r="I437" i="5"/>
  <c r="H437" i="5"/>
  <c r="I815" i="5"/>
  <c r="H815" i="5"/>
  <c r="I814" i="5"/>
  <c r="H814" i="5"/>
  <c r="I813" i="5"/>
  <c r="H813" i="5"/>
  <c r="I631" i="5"/>
  <c r="H631" i="5"/>
  <c r="I536" i="5"/>
  <c r="H536" i="5"/>
  <c r="I231" i="5"/>
  <c r="H231" i="5"/>
  <c r="I812" i="5"/>
  <c r="H812" i="5"/>
  <c r="I811" i="5"/>
  <c r="H811" i="5"/>
  <c r="I292" i="5"/>
  <c r="H292" i="5"/>
  <c r="I650" i="5"/>
  <c r="H650" i="5"/>
  <c r="I810" i="5"/>
  <c r="H810" i="5"/>
  <c r="I809" i="5"/>
  <c r="H809" i="5"/>
  <c r="I546" i="5"/>
  <c r="H546" i="5"/>
  <c r="I410" i="5"/>
  <c r="H410" i="5"/>
  <c r="I142" i="5"/>
  <c r="H142" i="5"/>
  <c r="I513" i="5"/>
  <c r="H513" i="5"/>
  <c r="I808" i="5"/>
  <c r="H808" i="5"/>
  <c r="I558" i="5"/>
  <c r="H558" i="5"/>
  <c r="I807" i="5"/>
  <c r="H807" i="5"/>
  <c r="I522" i="5"/>
  <c r="H522" i="5"/>
  <c r="I460" i="5"/>
  <c r="H460" i="5"/>
  <c r="I458" i="5"/>
  <c r="H458" i="5"/>
  <c r="I363" i="5"/>
  <c r="H363" i="5"/>
  <c r="I565" i="5"/>
  <c r="H565" i="5"/>
  <c r="I471" i="5"/>
  <c r="H471" i="5"/>
  <c r="I467" i="5"/>
  <c r="H467" i="5"/>
  <c r="I806" i="5"/>
  <c r="H806" i="5"/>
  <c r="I527" i="5"/>
  <c r="H527" i="5"/>
  <c r="I805" i="5"/>
  <c r="H805" i="5"/>
  <c r="I466" i="5"/>
  <c r="H466" i="5"/>
  <c r="I176" i="5"/>
  <c r="H176" i="5"/>
  <c r="I383" i="5"/>
  <c r="H383" i="5"/>
  <c r="I804" i="5"/>
  <c r="H804" i="5"/>
  <c r="I672" i="5"/>
  <c r="H672" i="5"/>
  <c r="I411" i="5"/>
  <c r="H411" i="5"/>
  <c r="I803" i="5"/>
  <c r="H803" i="5"/>
  <c r="I802" i="5"/>
  <c r="H802" i="5"/>
  <c r="I671" i="5"/>
  <c r="H671" i="5"/>
  <c r="I801" i="5"/>
  <c r="H801" i="5"/>
  <c r="I82" i="5"/>
  <c r="H82" i="5"/>
  <c r="I800" i="5"/>
  <c r="H800" i="5"/>
  <c r="I557" i="5"/>
  <c r="H557" i="5"/>
  <c r="I465" i="5"/>
  <c r="H465" i="5"/>
  <c r="I670" i="5"/>
  <c r="H670" i="5"/>
  <c r="I441" i="5"/>
  <c r="H441" i="5"/>
  <c r="I799" i="5"/>
  <c r="H799" i="5"/>
  <c r="I580" i="5"/>
  <c r="H580" i="5"/>
  <c r="I609" i="5"/>
  <c r="H609" i="5"/>
  <c r="I608" i="5"/>
  <c r="H608" i="5"/>
  <c r="I266" i="5"/>
  <c r="H266" i="5"/>
  <c r="I798" i="5"/>
  <c r="H798" i="5"/>
  <c r="I222" i="5"/>
  <c r="H222" i="5"/>
  <c r="I797" i="5"/>
  <c r="H797" i="5"/>
  <c r="I215" i="5"/>
  <c r="H215" i="5"/>
  <c r="I154" i="5"/>
  <c r="H154" i="5"/>
  <c r="I143" i="5"/>
  <c r="H143" i="5"/>
  <c r="I276" i="5"/>
  <c r="H276" i="5"/>
  <c r="I613" i="5"/>
  <c r="H613" i="5"/>
  <c r="I123" i="5"/>
  <c r="H123" i="5"/>
  <c r="I556" i="5"/>
  <c r="H556" i="5"/>
  <c r="I481" i="5"/>
  <c r="H481" i="5"/>
  <c r="I160" i="5"/>
  <c r="H160" i="5"/>
  <c r="I515" i="5"/>
  <c r="H515" i="5"/>
  <c r="I501" i="5"/>
  <c r="H501" i="5"/>
  <c r="I796" i="5"/>
  <c r="H796" i="5"/>
  <c r="I607" i="5"/>
  <c r="H607" i="5"/>
  <c r="I795" i="5"/>
  <c r="H795" i="5"/>
  <c r="I545" i="5"/>
  <c r="H545" i="5"/>
  <c r="I370" i="5"/>
  <c r="H370" i="5"/>
  <c r="I78" i="5"/>
  <c r="H78" i="5"/>
  <c r="I315" i="5"/>
  <c r="H315" i="5"/>
  <c r="I794" i="5"/>
  <c r="H794" i="5"/>
  <c r="I384" i="5"/>
  <c r="H384" i="5"/>
  <c r="I793" i="5"/>
  <c r="H793" i="5"/>
  <c r="I792" i="5"/>
  <c r="H792" i="5"/>
  <c r="I669" i="5"/>
  <c r="H669" i="5"/>
  <c r="I493" i="5"/>
  <c r="H493" i="5"/>
  <c r="I42" i="5"/>
  <c r="H42" i="5"/>
  <c r="I544" i="5"/>
  <c r="H544" i="5"/>
  <c r="I407" i="5"/>
  <c r="H407" i="5"/>
  <c r="I572" i="5"/>
  <c r="H572" i="5"/>
  <c r="I700" i="5"/>
  <c r="H700" i="5"/>
  <c r="I791" i="5"/>
  <c r="H791" i="5"/>
  <c r="I790" i="5"/>
  <c r="H790" i="5"/>
  <c r="I447" i="5"/>
  <c r="H447" i="5"/>
  <c r="I512" i="5"/>
  <c r="H512" i="5"/>
  <c r="I789" i="5"/>
  <c r="H789" i="5"/>
  <c r="I668" i="5"/>
  <c r="H668" i="5"/>
  <c r="I157" i="5"/>
  <c r="H157" i="5"/>
  <c r="I241" i="5"/>
  <c r="H241" i="5"/>
  <c r="I500" i="5"/>
  <c r="H500" i="5"/>
  <c r="I622" i="5"/>
  <c r="H622" i="5"/>
  <c r="I788" i="5"/>
  <c r="H788" i="5"/>
  <c r="I306" i="5"/>
  <c r="H306" i="5"/>
  <c r="I189" i="5"/>
  <c r="H189" i="5"/>
  <c r="I182" i="5"/>
  <c r="H182" i="5"/>
  <c r="I787" i="5"/>
  <c r="H787" i="5"/>
  <c r="I786" i="5"/>
  <c r="H786" i="5"/>
  <c r="I421" i="5"/>
  <c r="H421" i="5"/>
  <c r="I332" i="5"/>
  <c r="H332" i="5"/>
  <c r="I237" i="5"/>
  <c r="H237" i="5"/>
  <c r="I235" i="5"/>
  <c r="H235" i="5"/>
  <c r="I785" i="5"/>
  <c r="H785" i="5"/>
  <c r="I784" i="5"/>
  <c r="H784" i="5"/>
  <c r="I783" i="5"/>
  <c r="H783" i="5"/>
  <c r="I387" i="5"/>
  <c r="H387" i="5"/>
  <c r="I281" i="5"/>
  <c r="H281" i="5"/>
  <c r="I152" i="5"/>
  <c r="H152" i="5"/>
  <c r="I285" i="5"/>
  <c r="H285" i="5"/>
  <c r="I68" i="5"/>
  <c r="H68" i="5"/>
  <c r="I195" i="5"/>
  <c r="H195" i="5"/>
  <c r="I94" i="5"/>
  <c r="H94" i="5"/>
  <c r="I369" i="5"/>
  <c r="H369" i="5"/>
  <c r="I564" i="5"/>
  <c r="H564" i="5"/>
  <c r="I83" i="5"/>
  <c r="H83" i="5"/>
  <c r="I11" i="5"/>
  <c r="H11" i="5"/>
  <c r="I54" i="5"/>
  <c r="H54" i="5"/>
  <c r="I36" i="5"/>
  <c r="H36" i="5"/>
  <c r="I319" i="5"/>
  <c r="H319" i="5"/>
  <c r="I782" i="5"/>
  <c r="H782" i="5"/>
  <c r="I781" i="5"/>
  <c r="H781" i="5"/>
  <c r="I591" i="5"/>
  <c r="H591" i="5"/>
  <c r="I780" i="5"/>
  <c r="H780" i="5"/>
  <c r="I779" i="5"/>
  <c r="H779" i="5"/>
  <c r="I207" i="5"/>
  <c r="H207" i="5"/>
  <c r="I514" i="5"/>
  <c r="H514" i="5"/>
  <c r="I778" i="5"/>
  <c r="H778" i="5"/>
  <c r="I107" i="5"/>
  <c r="H107" i="5"/>
  <c r="I380" i="5"/>
  <c r="H380" i="5"/>
  <c r="I526" i="5"/>
  <c r="H526" i="5"/>
  <c r="I127" i="5"/>
  <c r="H127" i="5"/>
  <c r="I596" i="5"/>
  <c r="H596" i="5"/>
  <c r="I60" i="5"/>
  <c r="H60" i="5"/>
  <c r="I147" i="5"/>
  <c r="H147" i="5"/>
  <c r="I777" i="5"/>
  <c r="H777" i="5"/>
  <c r="I185" i="5"/>
  <c r="H185" i="5"/>
  <c r="I776" i="5"/>
  <c r="H776" i="5"/>
  <c r="I775" i="5"/>
  <c r="H775" i="5"/>
  <c r="I774" i="5"/>
  <c r="H774" i="5"/>
  <c r="I773" i="5"/>
  <c r="H773" i="5"/>
  <c r="I314" i="5"/>
  <c r="H314" i="5"/>
  <c r="I772" i="5"/>
  <c r="H772" i="5"/>
  <c r="I706" i="5"/>
  <c r="H706" i="5"/>
  <c r="I244" i="5"/>
  <c r="H244" i="5"/>
  <c r="I251" i="5"/>
  <c r="H251" i="5"/>
  <c r="I317" i="5"/>
  <c r="H317" i="5"/>
  <c r="I299" i="5"/>
  <c r="H299" i="5"/>
  <c r="I399" i="5"/>
  <c r="H399" i="5"/>
  <c r="I226" i="5"/>
  <c r="H226" i="5"/>
  <c r="I349" i="5"/>
  <c r="H349" i="5"/>
  <c r="I771" i="5"/>
  <c r="H771" i="5"/>
  <c r="I695" i="5"/>
  <c r="H695" i="5"/>
  <c r="I770" i="5"/>
  <c r="H770" i="5"/>
  <c r="I769" i="5"/>
  <c r="H769" i="5"/>
  <c r="I287" i="5"/>
  <c r="H287" i="5"/>
  <c r="I630" i="5"/>
  <c r="H630" i="5"/>
  <c r="I365" i="5"/>
  <c r="H365" i="5"/>
  <c r="I667" i="5"/>
  <c r="H667" i="5"/>
  <c r="I432" i="5"/>
  <c r="H432" i="5"/>
  <c r="I488" i="5"/>
  <c r="H488" i="5"/>
  <c r="I455" i="5"/>
  <c r="H455" i="5"/>
  <c r="I535" i="5"/>
  <c r="H535" i="5"/>
  <c r="I504" i="5"/>
  <c r="H504" i="5"/>
  <c r="I768" i="5"/>
  <c r="H768" i="5"/>
  <c r="I595" i="5"/>
  <c r="H595" i="5"/>
  <c r="I250" i="5"/>
  <c r="H250" i="5"/>
  <c r="I517" i="5"/>
  <c r="H517" i="5"/>
  <c r="I249" i="5"/>
  <c r="H249" i="5"/>
  <c r="I688" i="5"/>
  <c r="H688" i="5"/>
  <c r="I211" i="5"/>
  <c r="H211" i="5"/>
  <c r="I76" i="5"/>
  <c r="H76" i="5"/>
  <c r="I352" i="5"/>
  <c r="H352" i="5"/>
  <c r="I186" i="5"/>
  <c r="H186" i="5"/>
  <c r="I91" i="5"/>
  <c r="H91" i="5"/>
  <c r="I40" i="5"/>
  <c r="H40" i="5"/>
  <c r="I427" i="5"/>
  <c r="H427" i="5"/>
  <c r="I81" i="5"/>
  <c r="H81" i="5"/>
  <c r="I46" i="5"/>
  <c r="H46" i="5"/>
  <c r="I166" i="5"/>
  <c r="H166" i="5"/>
  <c r="I267" i="5"/>
  <c r="H267" i="5"/>
  <c r="I29" i="5"/>
  <c r="H29" i="5"/>
  <c r="I341" i="5"/>
  <c r="H341" i="5"/>
  <c r="I543" i="5"/>
  <c r="H543" i="5"/>
  <c r="I767" i="5"/>
  <c r="H767" i="5"/>
  <c r="I217" i="5"/>
  <c r="H217" i="5"/>
  <c r="I270" i="5"/>
  <c r="H270" i="5"/>
  <c r="I140" i="5"/>
  <c r="H140" i="5"/>
  <c r="I61" i="5"/>
  <c r="H61" i="5"/>
  <c r="I279" i="5"/>
  <c r="H279" i="5"/>
  <c r="I208" i="5"/>
  <c r="H208" i="5"/>
  <c r="I666" i="5"/>
  <c r="H666" i="5"/>
  <c r="I240" i="5"/>
  <c r="H240" i="5"/>
  <c r="I766" i="5"/>
  <c r="H766" i="5"/>
  <c r="I265" i="5"/>
  <c r="H265" i="5"/>
  <c r="I31" i="5"/>
  <c r="H31" i="5"/>
  <c r="I405" i="5"/>
  <c r="H405" i="5"/>
  <c r="I649" i="5"/>
  <c r="H649" i="5"/>
  <c r="I3" i="5"/>
  <c r="H3" i="5"/>
  <c r="I196" i="5"/>
  <c r="H196" i="5"/>
  <c r="I134" i="5"/>
  <c r="H134" i="5"/>
  <c r="I648" i="5"/>
  <c r="H648" i="5"/>
  <c r="I203" i="5"/>
  <c r="H203" i="5"/>
  <c r="I765" i="5"/>
  <c r="H765" i="5"/>
  <c r="I519" i="5"/>
  <c r="H519" i="5"/>
  <c r="I416" i="5"/>
  <c r="H416" i="5"/>
  <c r="I358" i="5"/>
  <c r="H358" i="5"/>
  <c r="I647" i="5"/>
  <c r="H647" i="5"/>
  <c r="I576" i="5"/>
  <c r="H576" i="5"/>
  <c r="I551" i="5"/>
  <c r="H551" i="5"/>
  <c r="I424" i="5"/>
  <c r="H424" i="5"/>
  <c r="I225" i="5"/>
  <c r="H225" i="5"/>
  <c r="I764" i="5"/>
  <c r="H764" i="5"/>
  <c r="I606" i="5"/>
  <c r="H606" i="5"/>
  <c r="I404" i="5"/>
  <c r="H404" i="5"/>
  <c r="I763" i="5"/>
  <c r="H763" i="5"/>
  <c r="I223" i="5"/>
  <c r="H223" i="5"/>
  <c r="I665" i="5"/>
  <c r="H665" i="5"/>
  <c r="I612" i="5"/>
  <c r="H612" i="5"/>
  <c r="I579" i="5"/>
  <c r="H579" i="5"/>
  <c r="I477" i="5"/>
  <c r="H477" i="5"/>
  <c r="I762" i="5"/>
  <c r="H762" i="5"/>
  <c r="I542" i="5"/>
  <c r="H542" i="5"/>
  <c r="I541" i="5"/>
  <c r="H541" i="5"/>
  <c r="I534" i="5"/>
  <c r="H534" i="5"/>
  <c r="I348" i="5"/>
  <c r="H348" i="5"/>
  <c r="I761" i="5"/>
  <c r="H761" i="5"/>
  <c r="I202" i="5"/>
  <c r="H202" i="5"/>
  <c r="I381" i="5"/>
  <c r="H381" i="5"/>
  <c r="I690" i="5"/>
  <c r="H690" i="5"/>
  <c r="I533" i="5"/>
  <c r="H533" i="5"/>
  <c r="I760" i="5"/>
  <c r="H760" i="5"/>
  <c r="I362" i="5"/>
  <c r="H362" i="5"/>
  <c r="I759" i="5"/>
  <c r="H759" i="5"/>
  <c r="I525" i="5"/>
  <c r="H525" i="5"/>
  <c r="I290" i="5"/>
  <c r="H290" i="5"/>
  <c r="I7" i="5"/>
  <c r="H7" i="5"/>
  <c r="I605" i="5"/>
  <c r="H605" i="5"/>
  <c r="I664" i="5"/>
  <c r="H664" i="5"/>
  <c r="I758" i="5"/>
  <c r="H758" i="5"/>
  <c r="I757" i="5"/>
  <c r="H757" i="5"/>
  <c r="I704" i="5"/>
  <c r="H704" i="5"/>
  <c r="I97" i="5"/>
  <c r="H97" i="5"/>
  <c r="I687" i="5"/>
  <c r="H687" i="5"/>
  <c r="I450" i="5"/>
  <c r="H450" i="5"/>
  <c r="I339" i="5"/>
  <c r="H339" i="5"/>
  <c r="I756" i="5"/>
  <c r="H756" i="5"/>
  <c r="I663" i="5"/>
  <c r="H663" i="5"/>
  <c r="I629" i="5"/>
  <c r="H629" i="5"/>
  <c r="I662" i="5"/>
  <c r="H662" i="5"/>
  <c r="I755" i="5"/>
  <c r="H755" i="5"/>
  <c r="I754" i="5"/>
  <c r="H754" i="5"/>
  <c r="I578" i="5"/>
  <c r="H578" i="5"/>
  <c r="I753" i="5"/>
  <c r="H753" i="5"/>
  <c r="I456" i="5"/>
  <c r="H456" i="5"/>
  <c r="I423" i="5"/>
  <c r="H423" i="5"/>
  <c r="I752" i="5"/>
  <c r="H752" i="5"/>
  <c r="I751" i="5"/>
  <c r="H751" i="5"/>
  <c r="I750" i="5"/>
  <c r="H750" i="5"/>
  <c r="I393" i="5"/>
  <c r="H393" i="5"/>
  <c r="I628" i="5"/>
  <c r="H628" i="5"/>
  <c r="I749" i="5"/>
  <c r="H749" i="5"/>
  <c r="I748" i="5"/>
  <c r="H748" i="5"/>
  <c r="I627" i="5"/>
  <c r="H627" i="5"/>
  <c r="I532" i="5"/>
  <c r="H532" i="5"/>
  <c r="I431" i="5"/>
  <c r="H431" i="5"/>
  <c r="I198" i="5"/>
  <c r="H198" i="5"/>
  <c r="I58" i="5"/>
  <c r="H58" i="5"/>
  <c r="I99" i="5"/>
  <c r="H99" i="5"/>
  <c r="I485" i="5"/>
  <c r="H485" i="5"/>
  <c r="I232" i="5"/>
  <c r="H232" i="5"/>
  <c r="I747" i="5"/>
  <c r="H747" i="5"/>
  <c r="I170" i="5"/>
  <c r="H170" i="5"/>
  <c r="I271" i="5"/>
  <c r="H271" i="5"/>
  <c r="I228" i="5"/>
  <c r="H228" i="5"/>
  <c r="I190" i="5"/>
  <c r="H190" i="5"/>
  <c r="I21" i="5"/>
  <c r="H21" i="5"/>
  <c r="I746" i="5"/>
  <c r="H746" i="5"/>
  <c r="I745" i="5"/>
  <c r="H745" i="5"/>
  <c r="I63" i="5"/>
  <c r="H63" i="5"/>
  <c r="I318" i="5"/>
  <c r="H318" i="5"/>
  <c r="I511" i="5"/>
  <c r="H511" i="5"/>
  <c r="I5" i="5"/>
  <c r="H5" i="5"/>
  <c r="I201" i="5"/>
  <c r="H201" i="5"/>
  <c r="I212" i="5"/>
  <c r="H212" i="5"/>
  <c r="I590" i="5"/>
  <c r="H590" i="5"/>
  <c r="I744" i="5"/>
  <c r="H744" i="5"/>
  <c r="I210" i="5"/>
  <c r="H210" i="5"/>
  <c r="I492" i="5"/>
  <c r="H492" i="5"/>
  <c r="I743" i="5"/>
  <c r="H743" i="5"/>
  <c r="I388" i="5"/>
  <c r="H388" i="5"/>
  <c r="I133" i="5"/>
  <c r="H133" i="5"/>
  <c r="I62" i="5"/>
  <c r="H62" i="5"/>
  <c r="I661" i="5"/>
  <c r="H661" i="5"/>
  <c r="I73" i="5"/>
  <c r="H73" i="5"/>
  <c r="I87" i="5"/>
  <c r="H87" i="5"/>
  <c r="I108" i="5"/>
  <c r="H108" i="5"/>
  <c r="I74" i="5"/>
  <c r="H74" i="5"/>
  <c r="I459" i="5"/>
  <c r="H459" i="5"/>
  <c r="I77" i="5"/>
  <c r="H77" i="5"/>
  <c r="I510" i="5"/>
  <c r="H510" i="5"/>
  <c r="I742" i="5"/>
  <c r="H742" i="5"/>
  <c r="I254" i="5"/>
  <c r="H254" i="5"/>
  <c r="I27" i="5"/>
  <c r="H27" i="5"/>
  <c r="I200" i="5"/>
  <c r="H200" i="5"/>
  <c r="I345" i="5"/>
  <c r="H345" i="5"/>
  <c r="I741" i="5"/>
  <c r="H741" i="5"/>
  <c r="I740" i="5"/>
  <c r="H740" i="5"/>
  <c r="I335" i="5"/>
  <c r="H335" i="5"/>
  <c r="I262" i="5"/>
  <c r="H262" i="5"/>
  <c r="I531" i="5"/>
  <c r="H531" i="5"/>
  <c r="I191" i="5"/>
  <c r="H191" i="5"/>
  <c r="I598" i="5"/>
  <c r="H598" i="5"/>
  <c r="I304" i="5"/>
  <c r="H304" i="5"/>
  <c r="I739" i="5"/>
  <c r="H739" i="5"/>
  <c r="I693" i="5"/>
  <c r="H693" i="5"/>
  <c r="I660" i="5"/>
  <c r="H660" i="5"/>
  <c r="I79" i="5"/>
  <c r="H79" i="5"/>
  <c r="I177" i="5"/>
  <c r="H177" i="5"/>
  <c r="I124" i="5"/>
  <c r="H124" i="5"/>
  <c r="I263" i="5"/>
  <c r="H263" i="5"/>
  <c r="I738" i="5"/>
  <c r="H738" i="5"/>
  <c r="I646" i="5"/>
  <c r="H646" i="5"/>
  <c r="I555" i="5"/>
  <c r="H555" i="5"/>
  <c r="I403" i="5"/>
  <c r="H403" i="5"/>
  <c r="I470" i="5"/>
  <c r="H470" i="5"/>
  <c r="I331" i="5"/>
  <c r="H331" i="5"/>
  <c r="I737" i="5"/>
  <c r="H737" i="5"/>
  <c r="I736" i="5"/>
  <c r="H736" i="5"/>
  <c r="I735" i="5"/>
  <c r="H735" i="5"/>
  <c r="I145" i="5"/>
  <c r="H145" i="5"/>
  <c r="I13" i="5"/>
  <c r="H13" i="5"/>
  <c r="I188" i="5"/>
  <c r="H188" i="5"/>
  <c r="I311" i="5"/>
  <c r="H311" i="5"/>
  <c r="I489" i="5"/>
  <c r="H489" i="5"/>
  <c r="I52" i="5"/>
  <c r="H52" i="5"/>
  <c r="I163" i="5"/>
  <c r="H163" i="5"/>
  <c r="I278" i="5"/>
  <c r="H278" i="5"/>
  <c r="I282" i="5"/>
  <c r="H282" i="5"/>
  <c r="I420" i="5"/>
  <c r="H420" i="5"/>
  <c r="I238" i="5"/>
  <c r="H238" i="5"/>
  <c r="I322" i="5"/>
  <c r="H322" i="5"/>
  <c r="I518" i="5"/>
  <c r="H518" i="5"/>
  <c r="I303" i="5"/>
  <c r="H303" i="5"/>
  <c r="I734" i="5"/>
  <c r="H734" i="5"/>
  <c r="I130" i="5"/>
  <c r="H130" i="5"/>
  <c r="I90" i="5"/>
  <c r="H90" i="5"/>
  <c r="I376" i="5"/>
  <c r="H376" i="5"/>
  <c r="I148" i="5"/>
  <c r="H148" i="5"/>
  <c r="I259" i="5"/>
  <c r="H259" i="5"/>
  <c r="I144" i="5"/>
  <c r="H144" i="5"/>
  <c r="I122" i="5"/>
  <c r="H122" i="5"/>
  <c r="I93" i="5"/>
  <c r="H93" i="5"/>
  <c r="I577" i="5"/>
  <c r="H577" i="5"/>
  <c r="I92" i="5"/>
  <c r="H92" i="5"/>
  <c r="I692" i="5"/>
  <c r="H692" i="5"/>
  <c r="I273" i="5"/>
  <c r="H273" i="5"/>
  <c r="I524" i="5"/>
  <c r="H524" i="5"/>
  <c r="I80" i="5"/>
  <c r="H80" i="5"/>
  <c r="I246" i="5"/>
  <c r="H246" i="5"/>
  <c r="I463" i="5"/>
  <c r="H463" i="5"/>
  <c r="I491" i="5"/>
  <c r="H491" i="5"/>
  <c r="I233" i="5"/>
  <c r="H233" i="5"/>
  <c r="I342" i="5"/>
  <c r="H342" i="5"/>
  <c r="I326" i="5"/>
  <c r="H326" i="5"/>
  <c r="I137" i="5"/>
  <c r="H137" i="5"/>
  <c r="I106" i="5"/>
  <c r="H106" i="5"/>
  <c r="I104" i="5"/>
  <c r="H104" i="5"/>
  <c r="I453" i="5"/>
  <c r="H453" i="5"/>
  <c r="I39" i="5"/>
  <c r="H39" i="5"/>
  <c r="I476" i="5"/>
  <c r="H476" i="5"/>
  <c r="I375" i="5"/>
  <c r="H375" i="5"/>
  <c r="I733" i="5"/>
  <c r="H733" i="5"/>
  <c r="I38" i="5"/>
  <c r="H38" i="5"/>
  <c r="I732" i="5"/>
  <c r="H732" i="5"/>
  <c r="I731" i="5"/>
  <c r="H731" i="5"/>
  <c r="I110" i="5"/>
  <c r="H110" i="5"/>
  <c r="I113" i="5"/>
  <c r="H113" i="5"/>
  <c r="I34" i="5"/>
  <c r="H34" i="5"/>
  <c r="I120" i="5"/>
  <c r="H120" i="5"/>
  <c r="I323" i="5"/>
  <c r="H323" i="5"/>
  <c r="I51" i="5"/>
  <c r="H51" i="5"/>
  <c r="I283" i="5"/>
  <c r="H283" i="5"/>
  <c r="I48" i="5"/>
  <c r="H48" i="5"/>
  <c r="I659" i="5"/>
  <c r="H659" i="5"/>
  <c r="I45" i="5"/>
  <c r="H45" i="5"/>
  <c r="I730" i="5"/>
  <c r="H730" i="5"/>
  <c r="I540" i="5"/>
  <c r="H540" i="5"/>
  <c r="I24" i="5"/>
  <c r="H24" i="5"/>
  <c r="I275" i="5"/>
  <c r="H275" i="5"/>
  <c r="I65" i="5"/>
  <c r="H65" i="5"/>
  <c r="I199" i="5"/>
  <c r="H199" i="5"/>
  <c r="I563" i="5"/>
  <c r="H563" i="5"/>
  <c r="I230" i="5"/>
  <c r="H230" i="5"/>
  <c r="I6" i="5"/>
  <c r="H6" i="5"/>
  <c r="I645" i="5"/>
  <c r="H645" i="5"/>
  <c r="I288" i="5"/>
  <c r="H288" i="5"/>
  <c r="I155" i="5"/>
  <c r="H155" i="5"/>
  <c r="I245" i="5"/>
  <c r="H245" i="5"/>
  <c r="I729" i="5"/>
  <c r="H729" i="5"/>
  <c r="I644" i="5"/>
  <c r="H644" i="5"/>
  <c r="I56" i="5"/>
  <c r="H56" i="5"/>
  <c r="I561" i="5"/>
  <c r="H561" i="5"/>
  <c r="I728" i="5"/>
  <c r="H728" i="5"/>
  <c r="I498" i="5"/>
  <c r="H498" i="5"/>
  <c r="I307" i="5"/>
  <c r="H307" i="5"/>
  <c r="I50" i="5"/>
  <c r="H50" i="5"/>
  <c r="I172" i="5"/>
  <c r="H172" i="5"/>
  <c r="I171" i="5"/>
  <c r="H171" i="5"/>
  <c r="I44" i="5"/>
  <c r="H44" i="5"/>
  <c r="I268" i="5"/>
  <c r="H268" i="5"/>
  <c r="I131" i="5"/>
  <c r="H131" i="5"/>
  <c r="I727" i="5"/>
  <c r="H727" i="5"/>
  <c r="I156" i="5"/>
  <c r="H156" i="5"/>
  <c r="I252" i="5"/>
  <c r="H252" i="5"/>
  <c r="I49" i="5"/>
  <c r="H49" i="5"/>
  <c r="I726" i="5"/>
  <c r="H726" i="5"/>
  <c r="I59" i="5"/>
  <c r="H59" i="5"/>
  <c r="I136" i="5"/>
  <c r="H136" i="5"/>
  <c r="I55" i="5"/>
  <c r="H55" i="5"/>
  <c r="I499" i="5"/>
  <c r="H499" i="5"/>
  <c r="I725" i="5"/>
  <c r="H725" i="5"/>
  <c r="I401" i="5"/>
  <c r="H401" i="5"/>
  <c r="I227" i="5"/>
  <c r="H227" i="5"/>
  <c r="I277" i="5"/>
  <c r="H277" i="5"/>
  <c r="I117" i="5"/>
  <c r="H117" i="5"/>
  <c r="I139" i="5"/>
  <c r="H139" i="5"/>
  <c r="I184" i="5"/>
  <c r="H184" i="5"/>
  <c r="I357" i="5"/>
  <c r="H357" i="5"/>
  <c r="I67" i="5"/>
  <c r="H67" i="5"/>
  <c r="I161" i="5"/>
  <c r="H161" i="5"/>
  <c r="I112" i="5"/>
  <c r="H112" i="5"/>
  <c r="I33" i="5"/>
  <c r="H33" i="5"/>
  <c r="I239" i="5"/>
  <c r="H239" i="5"/>
  <c r="I482" i="5"/>
  <c r="H482" i="5"/>
  <c r="I523" i="5"/>
  <c r="H523" i="5"/>
  <c r="I497" i="5"/>
  <c r="H497" i="5"/>
  <c r="I395" i="5"/>
  <c r="H395" i="5"/>
  <c r="I150" i="5"/>
  <c r="H150" i="5"/>
  <c r="I621" i="5"/>
  <c r="H621" i="5"/>
  <c r="I343" i="5"/>
  <c r="H343" i="5"/>
  <c r="I509" i="5"/>
  <c r="H509" i="5"/>
  <c r="I724" i="5"/>
  <c r="H724" i="5"/>
  <c r="I300" i="5"/>
  <c r="H300" i="5"/>
  <c r="I175" i="5"/>
  <c r="H175" i="5"/>
  <c r="I618" i="5"/>
  <c r="H618" i="5"/>
  <c r="I320" i="5"/>
  <c r="H320" i="5"/>
  <c r="I111" i="5"/>
  <c r="H111" i="5"/>
  <c r="I334" i="5"/>
  <c r="H334" i="5"/>
  <c r="I88" i="5"/>
  <c r="H88" i="5"/>
  <c r="I219" i="5"/>
  <c r="H219" i="5"/>
  <c r="I169" i="5"/>
  <c r="H169" i="5"/>
  <c r="I30" i="5"/>
  <c r="H30" i="5"/>
  <c r="I392" i="5"/>
  <c r="H392" i="5"/>
  <c r="I658" i="5"/>
  <c r="H658" i="5"/>
  <c r="I296" i="5"/>
  <c r="H296" i="5"/>
  <c r="I723" i="5"/>
  <c r="H723" i="5"/>
  <c r="I446" i="5"/>
  <c r="H446" i="5"/>
  <c r="I128" i="5"/>
  <c r="H128" i="5"/>
  <c r="I697" i="5"/>
  <c r="H697" i="5"/>
  <c r="I308" i="5"/>
  <c r="H308" i="5"/>
  <c r="I179" i="5"/>
  <c r="H179" i="5"/>
  <c r="I197" i="5"/>
  <c r="H197" i="5"/>
  <c r="I490" i="5"/>
  <c r="H490" i="5"/>
  <c r="I360" i="5"/>
  <c r="H360" i="5"/>
  <c r="I374" i="5"/>
  <c r="H374" i="5"/>
  <c r="I604" i="5"/>
  <c r="H604" i="5"/>
  <c r="I338" i="5"/>
  <c r="H338" i="5"/>
  <c r="I371" i="5"/>
  <c r="H371" i="5"/>
  <c r="I85" i="5"/>
  <c r="H85" i="5"/>
  <c r="I603" i="5"/>
  <c r="H603" i="5"/>
  <c r="I419" i="5"/>
  <c r="H419" i="5"/>
  <c r="I336" i="5"/>
  <c r="H336" i="5"/>
  <c r="I291" i="5"/>
  <c r="H291" i="5"/>
  <c r="I418" i="5"/>
  <c r="H418" i="5"/>
  <c r="I406" i="5"/>
  <c r="H406" i="5"/>
  <c r="I213" i="5"/>
  <c r="H213" i="5"/>
  <c r="I146" i="5"/>
  <c r="H146" i="5"/>
  <c r="I234" i="5"/>
  <c r="H234" i="5"/>
  <c r="I72" i="5"/>
  <c r="H72" i="5"/>
  <c r="I586" i="5"/>
  <c r="H586" i="5"/>
  <c r="I115" i="5"/>
  <c r="H115" i="5"/>
  <c r="I9" i="5"/>
  <c r="H9" i="5"/>
  <c r="I8" i="5"/>
  <c r="H8" i="5"/>
  <c r="I722" i="5"/>
  <c r="H722" i="5"/>
  <c r="I71" i="5"/>
  <c r="H71" i="5"/>
  <c r="I293" i="5"/>
  <c r="H293" i="5"/>
  <c r="I643" i="5"/>
  <c r="H643" i="5"/>
  <c r="I302" i="5"/>
  <c r="H302" i="5"/>
  <c r="I312" i="5"/>
  <c r="H312" i="5"/>
  <c r="I19" i="5"/>
  <c r="H19" i="5"/>
  <c r="I721" i="5"/>
  <c r="H721" i="5"/>
  <c r="I720" i="5"/>
  <c r="H720" i="5"/>
  <c r="I64" i="5"/>
  <c r="H64" i="5"/>
  <c r="I475" i="5"/>
  <c r="H475" i="5"/>
  <c r="I571" i="5"/>
  <c r="H571" i="5"/>
  <c r="I253" i="5"/>
  <c r="H253" i="5"/>
  <c r="I141" i="5"/>
  <c r="H141" i="5"/>
  <c r="I719" i="5"/>
  <c r="H719" i="5"/>
  <c r="I439" i="5"/>
  <c r="H439" i="5"/>
  <c r="I57" i="5"/>
  <c r="H57" i="5"/>
  <c r="I325" i="5"/>
  <c r="H325" i="5"/>
  <c r="I657" i="5"/>
  <c r="H657" i="5"/>
  <c r="I701" i="5"/>
  <c r="H701" i="5"/>
  <c r="I327" i="5"/>
  <c r="H327" i="5"/>
  <c r="I683" i="5"/>
  <c r="H683" i="5"/>
  <c r="I718" i="5"/>
  <c r="H718" i="5"/>
  <c r="I717" i="5"/>
  <c r="H717" i="5"/>
  <c r="I445" i="5"/>
  <c r="H445" i="5"/>
  <c r="I716" i="5"/>
  <c r="H716" i="5"/>
  <c r="I153" i="5"/>
  <c r="H153" i="5"/>
  <c r="I89" i="5"/>
  <c r="H89" i="5"/>
  <c r="I2" i="5"/>
  <c r="H2" i="5"/>
  <c r="I41" i="5"/>
  <c r="H41" i="5"/>
  <c r="I715" i="5"/>
  <c r="H715" i="5"/>
  <c r="I714" i="5"/>
  <c r="H714" i="5"/>
  <c r="I187" i="5"/>
  <c r="H187" i="5"/>
  <c r="I119" i="5"/>
  <c r="H119" i="5"/>
  <c r="I209" i="5"/>
  <c r="H209" i="5"/>
  <c r="I713" i="5"/>
  <c r="H713" i="5"/>
  <c r="I712" i="5"/>
  <c r="H712" i="5"/>
  <c r="I321" i="5"/>
  <c r="H321" i="5"/>
  <c r="I95" i="5"/>
  <c r="H95" i="5"/>
  <c r="I350" i="5"/>
  <c r="H350" i="5"/>
  <c r="I101" i="5"/>
  <c r="H101" i="5"/>
  <c r="I699" i="5"/>
  <c r="H699" i="5"/>
  <c r="I340" i="5"/>
  <c r="H340" i="5"/>
  <c r="I417" i="5"/>
  <c r="H417" i="5"/>
  <c r="I626" i="5"/>
  <c r="H626" i="5"/>
  <c r="I530" i="5"/>
  <c r="H530" i="5"/>
  <c r="I204" i="5"/>
  <c r="H204" i="5"/>
  <c r="I508" i="5"/>
  <c r="H508" i="5"/>
  <c r="I183" i="5"/>
  <c r="H183" i="5"/>
  <c r="I96" i="5"/>
  <c r="H96" i="5"/>
  <c r="I116" i="5"/>
  <c r="H116" i="5"/>
  <c r="I272" i="5"/>
  <c r="H272" i="5"/>
  <c r="I206" i="5"/>
  <c r="H206" i="5"/>
  <c r="I656" i="5"/>
  <c r="H656" i="5"/>
  <c r="I248" i="5"/>
  <c r="H248" i="5"/>
  <c r="I711" i="5"/>
  <c r="H711" i="5"/>
  <c r="I710" i="5"/>
  <c r="H710" i="5"/>
  <c r="I284" i="5"/>
  <c r="H284" i="5"/>
  <c r="I247" i="5"/>
  <c r="H247" i="5"/>
  <c r="I135" i="5"/>
  <c r="H135" i="5"/>
  <c r="I280" i="5"/>
  <c r="H280" i="5"/>
  <c r="I294" i="5"/>
  <c r="H294" i="5"/>
  <c r="I256" i="5"/>
  <c r="H256" i="5"/>
  <c r="I562" i="5"/>
  <c r="H562" i="5"/>
  <c r="P39" i="4"/>
  <c r="Q39" i="4"/>
  <c r="P52" i="4"/>
  <c r="Q52" i="4"/>
  <c r="P6" i="4"/>
  <c r="Q6" i="4"/>
  <c r="P14" i="4"/>
  <c r="Q14" i="4"/>
  <c r="P27" i="4"/>
  <c r="Q27" i="4"/>
  <c r="P51" i="4"/>
  <c r="Q51" i="4"/>
  <c r="P23" i="4"/>
  <c r="Q23" i="4"/>
  <c r="P7" i="4"/>
  <c r="Q7" i="4"/>
  <c r="I39" i="4"/>
  <c r="H52" i="4"/>
  <c r="I52" i="4"/>
  <c r="H6" i="4"/>
  <c r="I6" i="4"/>
  <c r="H14" i="4"/>
  <c r="I14" i="4"/>
  <c r="I27" i="4"/>
  <c r="I51" i="4"/>
  <c r="H23" i="4"/>
  <c r="I23" i="4"/>
  <c r="H7" i="4"/>
  <c r="I7" i="4"/>
  <c r="Q46" i="4"/>
  <c r="P46" i="4"/>
  <c r="Q31" i="4"/>
  <c r="P31" i="4"/>
  <c r="Q19" i="4"/>
  <c r="P19" i="4"/>
  <c r="Q44" i="4"/>
  <c r="P44" i="4"/>
  <c r="Q5" i="4"/>
  <c r="P5" i="4"/>
  <c r="Q4" i="4"/>
  <c r="P4" i="4"/>
  <c r="Q49" i="4"/>
  <c r="P49" i="4"/>
  <c r="Q37" i="4"/>
  <c r="P37" i="4"/>
  <c r="Q9" i="4"/>
  <c r="P9" i="4"/>
  <c r="Q43" i="4"/>
  <c r="P43" i="4"/>
  <c r="Q11" i="4"/>
  <c r="P11" i="4"/>
  <c r="Q29" i="4"/>
  <c r="P29" i="4"/>
  <c r="Q33" i="4"/>
  <c r="P33" i="4"/>
  <c r="Q12" i="4"/>
  <c r="P12" i="4"/>
  <c r="Q34" i="4"/>
  <c r="P34" i="4"/>
  <c r="Q35" i="4"/>
  <c r="P35" i="4"/>
  <c r="Q25" i="4"/>
  <c r="P25" i="4"/>
  <c r="Q15" i="4"/>
  <c r="P15" i="4"/>
  <c r="Q42" i="4"/>
  <c r="P42" i="4"/>
  <c r="Q48" i="4"/>
  <c r="P48" i="4"/>
  <c r="Q26" i="4"/>
  <c r="P26" i="4"/>
  <c r="Q18" i="4"/>
  <c r="P18" i="4"/>
  <c r="Q32" i="4"/>
  <c r="P32" i="4"/>
  <c r="Q13" i="4"/>
  <c r="P13" i="4"/>
  <c r="Q54" i="4"/>
  <c r="P54" i="4"/>
  <c r="Q38" i="4"/>
  <c r="P38" i="4"/>
  <c r="Q16" i="4"/>
  <c r="P16" i="4"/>
  <c r="Q30" i="4"/>
  <c r="P30" i="4"/>
  <c r="Q28" i="4"/>
  <c r="P28" i="4"/>
  <c r="Q3" i="4"/>
  <c r="P3" i="4"/>
  <c r="Q53" i="4"/>
  <c r="P53" i="4"/>
  <c r="Q47" i="4"/>
  <c r="P47" i="4"/>
  <c r="Q22" i="4"/>
  <c r="P22" i="4"/>
  <c r="Q45" i="4"/>
  <c r="P45" i="4"/>
  <c r="Q24" i="4"/>
  <c r="P24" i="4"/>
  <c r="Q50" i="4"/>
  <c r="P50" i="4"/>
  <c r="Q40" i="4"/>
  <c r="P40" i="4"/>
  <c r="Q10" i="4"/>
  <c r="P10" i="4"/>
  <c r="Q55" i="4"/>
  <c r="P55" i="4"/>
  <c r="Q21" i="4"/>
  <c r="P21" i="4"/>
  <c r="Q17" i="4"/>
  <c r="P17" i="4"/>
  <c r="Q2" i="4"/>
  <c r="P2" i="4"/>
  <c r="Q41" i="4"/>
  <c r="P41" i="4"/>
  <c r="Q36" i="4"/>
  <c r="P36" i="4"/>
  <c r="Q20" i="4"/>
  <c r="P20" i="4"/>
  <c r="Q8" i="4"/>
  <c r="P8" i="4"/>
  <c r="I46" i="4"/>
  <c r="H46" i="4"/>
  <c r="I31" i="4"/>
  <c r="H31" i="4"/>
  <c r="I19" i="4"/>
  <c r="I44" i="4"/>
  <c r="H44" i="4"/>
  <c r="I5" i="4"/>
  <c r="H5" i="4"/>
  <c r="I4" i="4"/>
  <c r="H4" i="4"/>
  <c r="I49" i="4"/>
  <c r="H49" i="4"/>
  <c r="I37" i="4"/>
  <c r="H37" i="4"/>
  <c r="I9" i="4"/>
  <c r="H9" i="4"/>
  <c r="I43" i="4"/>
  <c r="H43" i="4"/>
  <c r="I11" i="4"/>
  <c r="H11" i="4"/>
  <c r="I29" i="4"/>
  <c r="I33" i="4"/>
  <c r="H33" i="4"/>
  <c r="I12" i="4"/>
  <c r="H12" i="4"/>
  <c r="I34" i="4"/>
  <c r="H34" i="4"/>
  <c r="I35" i="4"/>
  <c r="H35" i="4"/>
  <c r="I25" i="4"/>
  <c r="H25" i="4"/>
  <c r="I15" i="4"/>
  <c r="H15" i="4"/>
  <c r="I42" i="4"/>
  <c r="H42" i="4"/>
  <c r="I48" i="4"/>
  <c r="H48" i="4"/>
  <c r="I26" i="4"/>
  <c r="H26" i="4"/>
  <c r="I18" i="4"/>
  <c r="H18" i="4"/>
  <c r="I32" i="4"/>
  <c r="H32" i="4"/>
  <c r="I13" i="4"/>
  <c r="H13" i="4"/>
  <c r="I54" i="4"/>
  <c r="H54" i="4"/>
  <c r="I38" i="4"/>
  <c r="H38" i="4"/>
  <c r="I16" i="4"/>
  <c r="H16" i="4"/>
  <c r="I30" i="4"/>
  <c r="H30" i="4"/>
  <c r="I28" i="4"/>
  <c r="H28" i="4"/>
  <c r="I3" i="4"/>
  <c r="H3" i="4"/>
  <c r="I53" i="4"/>
  <c r="I47" i="4"/>
  <c r="H47" i="4"/>
  <c r="I22" i="4"/>
  <c r="H22" i="4"/>
  <c r="I45" i="4"/>
  <c r="H45" i="4"/>
  <c r="I24" i="4"/>
  <c r="H24" i="4"/>
  <c r="I50" i="4"/>
  <c r="H50" i="4"/>
  <c r="I40" i="4"/>
  <c r="H40" i="4"/>
  <c r="I10" i="4"/>
  <c r="H10" i="4"/>
  <c r="I55" i="4"/>
  <c r="H55" i="4"/>
  <c r="I21" i="4"/>
  <c r="H21" i="4"/>
  <c r="I17" i="4"/>
  <c r="I2" i="4"/>
  <c r="H2" i="4"/>
  <c r="I41" i="4"/>
  <c r="H41" i="4"/>
  <c r="I36" i="4"/>
  <c r="H36" i="4"/>
  <c r="I20" i="4"/>
  <c r="H20" i="4"/>
  <c r="I8" i="4"/>
  <c r="H8" i="4"/>
  <c r="P70" i="3"/>
  <c r="Q70" i="3"/>
  <c r="P22" i="3"/>
  <c r="Q22" i="3"/>
  <c r="P38" i="3"/>
  <c r="Q38" i="3"/>
  <c r="P63" i="3"/>
  <c r="Q63" i="3"/>
  <c r="P12" i="3"/>
  <c r="Q12" i="3"/>
  <c r="P4" i="3"/>
  <c r="Q4" i="3"/>
  <c r="P7" i="3"/>
  <c r="Q7" i="3"/>
  <c r="P5" i="3"/>
  <c r="Q5" i="3"/>
  <c r="P14" i="3"/>
  <c r="Q14" i="3"/>
  <c r="P10" i="3"/>
  <c r="Q10" i="3"/>
  <c r="H70" i="3"/>
  <c r="I70" i="3"/>
  <c r="H22" i="3"/>
  <c r="I22" i="3"/>
  <c r="H38" i="3"/>
  <c r="I38" i="3"/>
  <c r="H63" i="3"/>
  <c r="I63" i="3"/>
  <c r="H12" i="3"/>
  <c r="I12" i="3"/>
  <c r="H4" i="3"/>
  <c r="I4" i="3"/>
  <c r="H7" i="3"/>
  <c r="I7" i="3"/>
  <c r="H5" i="3"/>
  <c r="I5" i="3"/>
  <c r="H14" i="3"/>
  <c r="I14" i="3"/>
  <c r="H10" i="3"/>
  <c r="I10" i="3"/>
  <c r="Q53" i="3"/>
  <c r="P53" i="3"/>
  <c r="Q30" i="3"/>
  <c r="P30" i="3"/>
  <c r="Q39" i="3"/>
  <c r="P39" i="3"/>
  <c r="Q52" i="3"/>
  <c r="P52" i="3"/>
  <c r="Q47" i="3"/>
  <c r="P47" i="3"/>
  <c r="Q50" i="3"/>
  <c r="P50" i="3"/>
  <c r="Q55" i="3"/>
  <c r="P55" i="3"/>
  <c r="Q54" i="3"/>
  <c r="P54" i="3"/>
  <c r="Q9" i="3"/>
  <c r="P9" i="3"/>
  <c r="Q45" i="3"/>
  <c r="P45" i="3"/>
  <c r="Q67" i="3"/>
  <c r="P67" i="3"/>
  <c r="Q34" i="3"/>
  <c r="P34" i="3"/>
  <c r="Q20" i="3"/>
  <c r="P20" i="3"/>
  <c r="Q51" i="3"/>
  <c r="P51" i="3"/>
  <c r="Q3" i="3"/>
  <c r="P3" i="3"/>
  <c r="Q59" i="3"/>
  <c r="P59" i="3"/>
  <c r="Q48" i="3"/>
  <c r="P48" i="3"/>
  <c r="Q49" i="3"/>
  <c r="P49" i="3"/>
  <c r="Q8" i="3"/>
  <c r="P8" i="3"/>
  <c r="Q2" i="3"/>
  <c r="P2" i="3"/>
  <c r="Q41" i="3"/>
  <c r="P41" i="3"/>
  <c r="Q11" i="3"/>
  <c r="P11" i="3"/>
  <c r="Q19" i="3"/>
  <c r="P19" i="3"/>
  <c r="Q65" i="3"/>
  <c r="P65" i="3"/>
  <c r="Q23" i="3"/>
  <c r="P23" i="3"/>
  <c r="Q29" i="3"/>
  <c r="P29" i="3"/>
  <c r="Q26" i="3"/>
  <c r="P26" i="3"/>
  <c r="Q64" i="3"/>
  <c r="P64" i="3"/>
  <c r="Q43" i="3"/>
  <c r="P43" i="3"/>
  <c r="Q13" i="3"/>
  <c r="P13" i="3"/>
  <c r="Q28" i="3"/>
  <c r="P28" i="3"/>
  <c r="Q60" i="3"/>
  <c r="P60" i="3"/>
  <c r="Q37" i="3"/>
  <c r="P37" i="3"/>
  <c r="Q40" i="3"/>
  <c r="P40" i="3"/>
  <c r="Q44" i="3"/>
  <c r="P44" i="3"/>
  <c r="Q17" i="3"/>
  <c r="P17" i="3"/>
  <c r="Q66" i="3"/>
  <c r="P66" i="3"/>
  <c r="Q69" i="3"/>
  <c r="P69" i="3"/>
  <c r="Q27" i="3"/>
  <c r="P27" i="3"/>
  <c r="Q57" i="3"/>
  <c r="P57" i="3"/>
  <c r="Q18" i="3"/>
  <c r="P18" i="3"/>
  <c r="Q36" i="3"/>
  <c r="P36" i="3"/>
  <c r="Q42" i="3"/>
  <c r="P42" i="3"/>
  <c r="Q16" i="3"/>
  <c r="P16" i="3"/>
  <c r="Q68" i="3"/>
  <c r="P68" i="3"/>
  <c r="Q62" i="3"/>
  <c r="P62" i="3"/>
  <c r="Q32" i="3"/>
  <c r="P32" i="3"/>
  <c r="Q56" i="3"/>
  <c r="P56" i="3"/>
  <c r="Q25" i="3"/>
  <c r="P25" i="3"/>
  <c r="Q24" i="3"/>
  <c r="P24" i="3"/>
  <c r="Q31" i="3"/>
  <c r="P31" i="3"/>
  <c r="Q35" i="3"/>
  <c r="P35" i="3"/>
  <c r="Q15" i="3"/>
  <c r="P15" i="3"/>
  <c r="Q58" i="3"/>
  <c r="P58" i="3"/>
  <c r="Q33" i="3"/>
  <c r="P33" i="3"/>
  <c r="Q46" i="3"/>
  <c r="P46" i="3"/>
  <c r="Q61" i="3"/>
  <c r="P61" i="3"/>
  <c r="Q6" i="3"/>
  <c r="P6" i="3"/>
  <c r="Q21" i="3"/>
  <c r="P21" i="3"/>
  <c r="I53" i="3"/>
  <c r="H53" i="3"/>
  <c r="I30" i="3"/>
  <c r="H30" i="3"/>
  <c r="I39" i="3"/>
  <c r="H39" i="3"/>
  <c r="I52" i="3"/>
  <c r="H52" i="3"/>
  <c r="I47" i="3"/>
  <c r="H47" i="3"/>
  <c r="I50" i="3"/>
  <c r="H50" i="3"/>
  <c r="I55" i="3"/>
  <c r="H55" i="3"/>
  <c r="I54" i="3"/>
  <c r="H54" i="3"/>
  <c r="I9" i="3"/>
  <c r="H9" i="3"/>
  <c r="I45" i="3"/>
  <c r="H45" i="3"/>
  <c r="I67" i="3"/>
  <c r="H67" i="3"/>
  <c r="I34" i="3"/>
  <c r="H34" i="3"/>
  <c r="I20" i="3"/>
  <c r="H20" i="3"/>
  <c r="I51" i="3"/>
  <c r="H51" i="3"/>
  <c r="R51" i="3" s="1"/>
  <c r="I3" i="3"/>
  <c r="H3" i="3"/>
  <c r="I59" i="3"/>
  <c r="H59" i="3"/>
  <c r="I48" i="3"/>
  <c r="H48" i="3"/>
  <c r="I49" i="3"/>
  <c r="H49" i="3"/>
  <c r="R49" i="3" s="1"/>
  <c r="I8" i="3"/>
  <c r="H8" i="3"/>
  <c r="I2" i="3"/>
  <c r="H2" i="3"/>
  <c r="I41" i="3"/>
  <c r="H41" i="3"/>
  <c r="I11" i="3"/>
  <c r="H11" i="3"/>
  <c r="I19" i="3"/>
  <c r="H19" i="3"/>
  <c r="I65" i="3"/>
  <c r="H65" i="3"/>
  <c r="I23" i="3"/>
  <c r="H23" i="3"/>
  <c r="I29" i="3"/>
  <c r="H29" i="3"/>
  <c r="I26" i="3"/>
  <c r="H26" i="3"/>
  <c r="I64" i="3"/>
  <c r="H64" i="3"/>
  <c r="I43" i="3"/>
  <c r="H43" i="3"/>
  <c r="I13" i="3"/>
  <c r="H13" i="3"/>
  <c r="I28" i="3"/>
  <c r="H28" i="3"/>
  <c r="I60" i="3"/>
  <c r="H60" i="3"/>
  <c r="I37" i="3"/>
  <c r="H37" i="3"/>
  <c r="I40" i="3"/>
  <c r="H40" i="3"/>
  <c r="I44" i="3"/>
  <c r="H44" i="3"/>
  <c r="I17" i="3"/>
  <c r="H17" i="3"/>
  <c r="I66" i="3"/>
  <c r="H66" i="3"/>
  <c r="I69" i="3"/>
  <c r="H69" i="3"/>
  <c r="R69" i="3" s="1"/>
  <c r="I27" i="3"/>
  <c r="H27" i="3"/>
  <c r="I57" i="3"/>
  <c r="H57" i="3"/>
  <c r="I18" i="3"/>
  <c r="H18" i="3"/>
  <c r="I36" i="3"/>
  <c r="H36" i="3"/>
  <c r="I42" i="3"/>
  <c r="H42" i="3"/>
  <c r="I16" i="3"/>
  <c r="H16" i="3"/>
  <c r="I68" i="3"/>
  <c r="H68" i="3"/>
  <c r="I62" i="3"/>
  <c r="H62" i="3"/>
  <c r="I32" i="3"/>
  <c r="H32" i="3"/>
  <c r="I56" i="3"/>
  <c r="H56" i="3"/>
  <c r="I25" i="3"/>
  <c r="H25" i="3"/>
  <c r="I24" i="3"/>
  <c r="H24" i="3"/>
  <c r="I31" i="3"/>
  <c r="H31" i="3"/>
  <c r="I35" i="3"/>
  <c r="H35" i="3"/>
  <c r="R35" i="3" s="1"/>
  <c r="I15" i="3"/>
  <c r="H15" i="3"/>
  <c r="I58" i="3"/>
  <c r="H58" i="3"/>
  <c r="I33" i="3"/>
  <c r="H33" i="3"/>
  <c r="I46" i="3"/>
  <c r="H46" i="3"/>
  <c r="I61" i="3"/>
  <c r="H61" i="3"/>
  <c r="I6" i="3"/>
  <c r="H6" i="3"/>
  <c r="I21" i="3"/>
  <c r="H21" i="3"/>
  <c r="P41" i="2"/>
  <c r="Q41" i="2"/>
  <c r="P4" i="2"/>
  <c r="Q4" i="2"/>
  <c r="P42" i="2"/>
  <c r="Q42" i="2"/>
  <c r="P44" i="2"/>
  <c r="Q44" i="2"/>
  <c r="P20" i="2"/>
  <c r="Q20" i="2"/>
  <c r="H41" i="2"/>
  <c r="I41" i="2"/>
  <c r="H4" i="2"/>
  <c r="I4" i="2"/>
  <c r="H42" i="2"/>
  <c r="I42" i="2"/>
  <c r="H44" i="2"/>
  <c r="I44" i="2"/>
  <c r="H20" i="2"/>
  <c r="I20" i="2"/>
  <c r="Q23" i="2"/>
  <c r="P23" i="2"/>
  <c r="Q19" i="2"/>
  <c r="P19" i="2"/>
  <c r="Q31" i="2"/>
  <c r="P31" i="2"/>
  <c r="Q25" i="2"/>
  <c r="P25" i="2"/>
  <c r="Q9" i="2"/>
  <c r="P9" i="2"/>
  <c r="Q40" i="2"/>
  <c r="P40" i="2"/>
  <c r="Q35" i="2"/>
  <c r="P35" i="2"/>
  <c r="Q33" i="2"/>
  <c r="P33" i="2"/>
  <c r="Q17" i="2"/>
  <c r="P17" i="2"/>
  <c r="Q22" i="2"/>
  <c r="P22" i="2"/>
  <c r="Q14" i="2"/>
  <c r="P14" i="2"/>
  <c r="Q13" i="2"/>
  <c r="P13" i="2"/>
  <c r="Q2" i="2"/>
  <c r="P2" i="2"/>
  <c r="Q8" i="2"/>
  <c r="P8" i="2"/>
  <c r="Q38" i="2"/>
  <c r="P38" i="2"/>
  <c r="Q27" i="2"/>
  <c r="P27" i="2"/>
  <c r="Q21" i="2"/>
  <c r="P21" i="2"/>
  <c r="Q43" i="2"/>
  <c r="P43" i="2"/>
  <c r="Q15" i="2"/>
  <c r="P15" i="2"/>
  <c r="Q7" i="2"/>
  <c r="P7" i="2"/>
  <c r="Q12" i="2"/>
  <c r="P12" i="2"/>
  <c r="Q26" i="2"/>
  <c r="P26" i="2"/>
  <c r="Q39" i="2"/>
  <c r="P39" i="2"/>
  <c r="Q16" i="2"/>
  <c r="P16" i="2"/>
  <c r="Q10" i="2"/>
  <c r="P10" i="2"/>
  <c r="Q3" i="2"/>
  <c r="P3" i="2"/>
  <c r="Q6" i="2"/>
  <c r="P6" i="2"/>
  <c r="Q11" i="2"/>
  <c r="P11" i="2"/>
  <c r="Q34" i="2"/>
  <c r="P34" i="2"/>
  <c r="Q28" i="2"/>
  <c r="P28" i="2"/>
  <c r="Q29" i="2"/>
  <c r="P29" i="2"/>
  <c r="Q36" i="2"/>
  <c r="P36" i="2"/>
  <c r="Q32" i="2"/>
  <c r="P32" i="2"/>
  <c r="Q37" i="2"/>
  <c r="P37" i="2"/>
  <c r="Q5" i="2"/>
  <c r="P5" i="2"/>
  <c r="Q24" i="2"/>
  <c r="P24" i="2"/>
  <c r="Q30" i="2"/>
  <c r="P30" i="2"/>
  <c r="Q18" i="2"/>
  <c r="P18" i="2"/>
  <c r="I23" i="2"/>
  <c r="H23" i="2"/>
  <c r="I19" i="2"/>
  <c r="H19" i="2"/>
  <c r="I31" i="2"/>
  <c r="H31" i="2"/>
  <c r="I25" i="2"/>
  <c r="H25" i="2"/>
  <c r="I9" i="2"/>
  <c r="H9" i="2"/>
  <c r="I40" i="2"/>
  <c r="H40" i="2"/>
  <c r="I35" i="2"/>
  <c r="H35" i="2"/>
  <c r="I33" i="2"/>
  <c r="H33" i="2"/>
  <c r="I17" i="2"/>
  <c r="H17" i="2"/>
  <c r="I22" i="2"/>
  <c r="H22" i="2"/>
  <c r="I14" i="2"/>
  <c r="H14" i="2"/>
  <c r="I13" i="2"/>
  <c r="H13" i="2"/>
  <c r="R13" i="2" s="1"/>
  <c r="I2" i="2"/>
  <c r="H2" i="2"/>
  <c r="I8" i="2"/>
  <c r="H8" i="2"/>
  <c r="I38" i="2"/>
  <c r="H38" i="2"/>
  <c r="I27" i="2"/>
  <c r="H27" i="2"/>
  <c r="I21" i="2"/>
  <c r="H21" i="2"/>
  <c r="I43" i="2"/>
  <c r="H43" i="2"/>
  <c r="I15" i="2"/>
  <c r="H15" i="2"/>
  <c r="I7" i="2"/>
  <c r="H7" i="2"/>
  <c r="I12" i="2"/>
  <c r="H12" i="2"/>
  <c r="I26" i="2"/>
  <c r="H26" i="2"/>
  <c r="I39" i="2"/>
  <c r="H39" i="2"/>
  <c r="I16" i="2"/>
  <c r="H16" i="2"/>
  <c r="I10" i="2"/>
  <c r="H10" i="2"/>
  <c r="I3" i="2"/>
  <c r="H3" i="2"/>
  <c r="I6" i="2"/>
  <c r="H6" i="2"/>
  <c r="I11" i="2"/>
  <c r="H11" i="2"/>
  <c r="I34" i="2"/>
  <c r="H34" i="2"/>
  <c r="I28" i="2"/>
  <c r="H28" i="2"/>
  <c r="I29" i="2"/>
  <c r="H29" i="2"/>
  <c r="I36" i="2"/>
  <c r="H36" i="2"/>
  <c r="I32" i="2"/>
  <c r="H32" i="2"/>
  <c r="I37" i="2"/>
  <c r="H37" i="2"/>
  <c r="I5" i="2"/>
  <c r="H5" i="2"/>
  <c r="I24" i="2"/>
  <c r="H24" i="2"/>
  <c r="I30" i="2"/>
  <c r="H30" i="2"/>
  <c r="I18" i="2"/>
  <c r="H18" i="2"/>
  <c r="R43" i="3" l="1"/>
  <c r="R48" i="3"/>
  <c r="R5" i="2"/>
  <c r="S22" i="4"/>
  <c r="S10" i="4"/>
  <c r="R13" i="4"/>
  <c r="R8" i="4"/>
  <c r="R33" i="4"/>
  <c r="R55" i="4"/>
  <c r="R37" i="3"/>
  <c r="R29" i="3"/>
  <c r="R56" i="3"/>
  <c r="R45" i="3"/>
  <c r="R52" i="3"/>
  <c r="R30" i="3"/>
  <c r="R38" i="2"/>
  <c r="R19" i="4"/>
  <c r="S2" i="4"/>
  <c r="R9" i="4"/>
  <c r="R5" i="4"/>
  <c r="R44" i="4"/>
  <c r="S24" i="4"/>
  <c r="S45" i="4"/>
  <c r="S40" i="4"/>
  <c r="R20" i="4"/>
  <c r="R2" i="4"/>
  <c r="S28" i="4"/>
  <c r="S30" i="4"/>
  <c r="S47" i="4"/>
  <c r="S36" i="4"/>
  <c r="S41" i="4"/>
  <c r="S48" i="4"/>
  <c r="S15" i="4"/>
  <c r="S43" i="4"/>
  <c r="S25" i="4"/>
  <c r="S35" i="4"/>
  <c r="S34" i="4"/>
  <c r="S39" i="4"/>
  <c r="S42" i="4"/>
  <c r="S6" i="4"/>
  <c r="S32" i="4"/>
  <c r="S18" i="4"/>
  <c r="S26" i="4"/>
  <c r="R7" i="4"/>
  <c r="S14" i="4"/>
  <c r="R23" i="3"/>
  <c r="R47" i="3"/>
  <c r="S57" i="3"/>
  <c r="S15" i="3"/>
  <c r="R10" i="3"/>
  <c r="S7" i="3"/>
  <c r="S4" i="3"/>
  <c r="S42" i="3"/>
  <c r="S9" i="3"/>
  <c r="S63" i="3"/>
  <c r="R70" i="3"/>
  <c r="S26" i="2"/>
  <c r="S21" i="2"/>
  <c r="S35" i="2"/>
  <c r="S11" i="2"/>
  <c r="S18" i="2"/>
  <c r="S36" i="2"/>
  <c r="R11" i="2"/>
  <c r="S22" i="2"/>
  <c r="S12" i="2"/>
  <c r="S15" i="2"/>
  <c r="R4" i="2"/>
  <c r="S7" i="2"/>
  <c r="S43" i="2"/>
  <c r="S34" i="2"/>
  <c r="S17" i="3"/>
  <c r="S44" i="3"/>
  <c r="S12" i="3"/>
  <c r="R32" i="2"/>
  <c r="S32" i="2"/>
  <c r="S30" i="2"/>
  <c r="S37" i="2"/>
  <c r="R6" i="2"/>
  <c r="S6" i="2"/>
  <c r="R10" i="2"/>
  <c r="S10" i="2"/>
  <c r="S38" i="2"/>
  <c r="S13" i="2"/>
  <c r="S25" i="2"/>
  <c r="S19" i="2"/>
  <c r="R20" i="2"/>
  <c r="S20" i="2"/>
  <c r="S44" i="2"/>
  <c r="R42" i="2"/>
  <c r="S42" i="2"/>
  <c r="S6" i="3"/>
  <c r="S69" i="3"/>
  <c r="R8" i="3"/>
  <c r="S8" i="3"/>
  <c r="S49" i="3"/>
  <c r="S3" i="3"/>
  <c r="S51" i="3"/>
  <c r="R29" i="2"/>
  <c r="S29" i="2"/>
  <c r="R58" i="3"/>
  <c r="S58" i="3"/>
  <c r="R68" i="3"/>
  <c r="S68" i="3"/>
  <c r="R50" i="4"/>
  <c r="S50" i="4"/>
  <c r="R24" i="2"/>
  <c r="S24" i="2"/>
  <c r="S27" i="2"/>
  <c r="S31" i="3"/>
  <c r="R36" i="3"/>
  <c r="S36" i="3"/>
  <c r="S28" i="3"/>
  <c r="R52" i="4"/>
  <c r="S52" i="4"/>
  <c r="S17" i="2"/>
  <c r="S33" i="2"/>
  <c r="S4" i="2"/>
  <c r="R41" i="2"/>
  <c r="S41" i="2"/>
  <c r="R33" i="3"/>
  <c r="S33" i="3"/>
  <c r="S35" i="3"/>
  <c r="R32" i="3"/>
  <c r="S32" i="3"/>
  <c r="R16" i="3"/>
  <c r="S16" i="3"/>
  <c r="R66" i="3"/>
  <c r="S66" i="3"/>
  <c r="S37" i="3"/>
  <c r="S29" i="3"/>
  <c r="R7" i="3"/>
  <c r="S16" i="2"/>
  <c r="S8" i="2"/>
  <c r="S14" i="2"/>
  <c r="R21" i="3"/>
  <c r="S21" i="3"/>
  <c r="R31" i="3"/>
  <c r="S25" i="3"/>
  <c r="S62" i="3"/>
  <c r="R27" i="3"/>
  <c r="S27" i="3"/>
  <c r="S40" i="3"/>
  <c r="R28" i="3"/>
  <c r="S67" i="3"/>
  <c r="R24" i="3"/>
  <c r="S24" i="3"/>
  <c r="S18" i="3"/>
  <c r="S45" i="3"/>
  <c r="S54" i="3"/>
  <c r="R63" i="3"/>
  <c r="R53" i="4"/>
  <c r="S53" i="4"/>
  <c r="R28" i="2"/>
  <c r="S28" i="2"/>
  <c r="S5" i="2"/>
  <c r="S3" i="2"/>
  <c r="S39" i="2"/>
  <c r="R2" i="2"/>
  <c r="S2" i="2"/>
  <c r="S40" i="2"/>
  <c r="S9" i="2"/>
  <c r="S31" i="2"/>
  <c r="S23" i="2"/>
  <c r="R61" i="3"/>
  <c r="S61" i="3"/>
  <c r="R46" i="3"/>
  <c r="S46" i="3"/>
  <c r="S56" i="3"/>
  <c r="S48" i="3"/>
  <c r="R59" i="3"/>
  <c r="S59" i="3"/>
  <c r="S20" i="3"/>
  <c r="S65" i="3"/>
  <c r="R11" i="3"/>
  <c r="S11" i="3"/>
  <c r="S47" i="3"/>
  <c r="R30" i="4"/>
  <c r="R42" i="4"/>
  <c r="S38" i="4"/>
  <c r="S49" i="4"/>
  <c r="S4" i="4"/>
  <c r="S19" i="4"/>
  <c r="S27" i="4"/>
  <c r="S43" i="3"/>
  <c r="S50" i="3"/>
  <c r="S39" i="3"/>
  <c r="S53" i="3"/>
  <c r="S10" i="3"/>
  <c r="S14" i="3"/>
  <c r="R22" i="3"/>
  <c r="S22" i="3"/>
  <c r="S70" i="3"/>
  <c r="R18" i="4"/>
  <c r="S8" i="4"/>
  <c r="S55" i="4"/>
  <c r="S16" i="4"/>
  <c r="R54" i="4"/>
  <c r="S54" i="4"/>
  <c r="S13" i="3"/>
  <c r="S64" i="3"/>
  <c r="S19" i="3"/>
  <c r="S41" i="3"/>
  <c r="R2" i="3"/>
  <c r="S2" i="3"/>
  <c r="S34" i="3"/>
  <c r="S55" i="3"/>
  <c r="S30" i="3"/>
  <c r="S3" i="4"/>
  <c r="S13" i="4"/>
  <c r="S9" i="4"/>
  <c r="S5" i="4"/>
  <c r="S44" i="4"/>
  <c r="S46" i="4"/>
  <c r="S60" i="3"/>
  <c r="R26" i="3"/>
  <c r="S26" i="3"/>
  <c r="S23" i="3"/>
  <c r="S52" i="3"/>
  <c r="S5" i="3"/>
  <c r="S38" i="3"/>
  <c r="R10" i="4"/>
  <c r="R25" i="4"/>
  <c r="R34" i="4"/>
  <c r="S20" i="4"/>
  <c r="S17" i="4"/>
  <c r="R21" i="4"/>
  <c r="S21" i="4"/>
  <c r="S37" i="4"/>
  <c r="S31" i="4"/>
  <c r="R27" i="4"/>
  <c r="S12" i="4"/>
  <c r="S33" i="4"/>
  <c r="S29" i="4"/>
  <c r="S11" i="4"/>
  <c r="S7" i="4"/>
  <c r="R23" i="4"/>
  <c r="S23" i="4"/>
  <c r="S51" i="4"/>
  <c r="R12" i="2"/>
  <c r="R14" i="2"/>
  <c r="R9" i="2"/>
  <c r="R30" i="2"/>
  <c r="R34" i="2"/>
  <c r="R16" i="2"/>
  <c r="R43" i="2"/>
  <c r="R27" i="2"/>
  <c r="R18" i="2"/>
  <c r="R40" i="2"/>
  <c r="R37" i="2"/>
  <c r="R36" i="2"/>
  <c r="R33" i="2"/>
  <c r="R19" i="2"/>
  <c r="R21" i="2"/>
  <c r="R8" i="2"/>
  <c r="R17" i="2"/>
  <c r="R23" i="2"/>
  <c r="R3" i="2"/>
  <c r="R35" i="2"/>
  <c r="R44" i="2"/>
  <c r="R39" i="2"/>
  <c r="R31" i="2"/>
  <c r="R26" i="2"/>
  <c r="R15" i="2"/>
  <c r="R22" i="2"/>
  <c r="R7" i="2"/>
  <c r="R54" i="3"/>
  <c r="R25" i="2"/>
  <c r="R62" i="3"/>
  <c r="R19" i="3"/>
  <c r="R6" i="3"/>
  <c r="R18" i="3"/>
  <c r="R64" i="3"/>
  <c r="R60" i="3"/>
  <c r="R15" i="3"/>
  <c r="R57" i="3"/>
  <c r="R17" i="3"/>
  <c r="R67" i="3"/>
  <c r="R9" i="3"/>
  <c r="R25" i="3"/>
  <c r="R53" i="3"/>
  <c r="R40" i="3"/>
  <c r="R50" i="3"/>
  <c r="R42" i="3"/>
  <c r="R44" i="3"/>
  <c r="R3" i="3"/>
  <c r="R20" i="3"/>
  <c r="R34" i="3"/>
  <c r="R5" i="3"/>
  <c r="R4" i="3"/>
  <c r="R12" i="3"/>
  <c r="R39" i="3"/>
  <c r="R13" i="3"/>
  <c r="R65" i="3"/>
  <c r="R41" i="3"/>
  <c r="R55" i="3"/>
  <c r="R40" i="4"/>
  <c r="R38" i="3"/>
  <c r="R41" i="4"/>
  <c r="R22" i="4"/>
  <c r="R28" i="4"/>
  <c r="R32" i="4"/>
  <c r="R35" i="4"/>
  <c r="R24" i="4"/>
  <c r="R17" i="4"/>
  <c r="R36" i="4"/>
  <c r="R26" i="4"/>
  <c r="R14" i="3"/>
  <c r="R45" i="4"/>
  <c r="R47" i="4"/>
  <c r="R3" i="4"/>
  <c r="R12" i="4"/>
  <c r="R16" i="4"/>
  <c r="R38" i="4"/>
  <c r="R11" i="4"/>
  <c r="R4" i="4"/>
  <c r="R6" i="4"/>
  <c r="R29" i="4"/>
  <c r="R49" i="4"/>
  <c r="R31" i="4"/>
  <c r="R15" i="4"/>
  <c r="R37" i="4"/>
  <c r="R43" i="4"/>
  <c r="R48" i="4"/>
  <c r="R46" i="4"/>
  <c r="R39" i="4"/>
  <c r="R51" i="4"/>
  <c r="R14" i="4"/>
</calcChain>
</file>

<file path=xl/sharedStrings.xml><?xml version="1.0" encoding="utf-8"?>
<sst xmlns="http://schemas.openxmlformats.org/spreadsheetml/2006/main" count="9346" uniqueCount="1000">
  <si>
    <t>miRNAID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</si>
  <si>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</si>
  <si>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</si>
  <si>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</si>
  <si>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</si>
  <si>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</si>
  <si>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</si>
  <si>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</si>
  <si>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</si>
  <si>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</si>
  <si>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</si>
  <si>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</si>
  <si>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</si>
  <si>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</si>
  <si>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</si>
  <si>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</si>
  <si>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</si>
  <si>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</si>
  <si>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</si>
  <si>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</si>
  <si>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</si>
  <si>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</si>
  <si>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</si>
  <si>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</si>
  <si>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</si>
  <si>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</si>
  <si>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</si>
  <si>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</si>
  <si>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</si>
  <si>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</si>
  <si>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</si>
  <si>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</si>
  <si>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</si>
  <si>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</si>
  <si>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</si>
  <si>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</si>
  <si>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</si>
  <si>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</si>
  <si>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</si>
  <si>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</si>
  <si>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</si>
  <si>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</si>
  <si>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</si>
  <si>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</si>
  <si>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</si>
  <si>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</si>
  <si>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</si>
  <si>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</si>
  <si>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</si>
  <si>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</si>
  <si>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</si>
  <si>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</si>
  <si>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</si>
  <si>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</si>
  <si>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</si>
  <si>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</si>
  <si>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</si>
  <si>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</si>
  <si>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</si>
  <si>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</si>
  <si>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</si>
  <si>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</si>
  <si>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</si>
  <si>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</si>
  <si>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</si>
  <si>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</si>
  <si>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</si>
  <si>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</si>
  <si>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</si>
  <si>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</si>
  <si>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</si>
  <si>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</si>
  <si>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</si>
  <si>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</si>
  <si>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</si>
  <si>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</si>
  <si>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</si>
  <si>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</si>
  <si>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</si>
  <si>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</si>
  <si>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</si>
  <si>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</si>
  <si>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</si>
  <si>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</si>
  <si>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</si>
  <si>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</si>
  <si>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</si>
  <si>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</si>
  <si>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</si>
  <si>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</si>
  <si>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</si>
  <si>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</si>
  <si>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</si>
  <si>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</si>
  <si>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</si>
  <si>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</si>
  <si>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</si>
  <si>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</si>
  <si>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</si>
  <si>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</si>
  <si>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</si>
  <si>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</si>
  <si>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</si>
  <si>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</si>
  <si>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</si>
  <si>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</si>
  <si>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</si>
  <si>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</si>
  <si>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</si>
  <si>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</si>
  <si>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</si>
  <si>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</si>
  <si>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</si>
  <si>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</si>
  <si>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</si>
  <si>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</si>
  <si>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</si>
  <si>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</si>
  <si>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</si>
  <si>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</si>
  <si>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</si>
  <si>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</si>
  <si>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</si>
  <si>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</si>
  <si>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</si>
  <si>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</si>
  <si>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</si>
  <si>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</si>
  <si>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</si>
  <si>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</si>
  <si>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</si>
  <si>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</si>
  <si>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</si>
  <si>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</si>
  <si>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</si>
  <si>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</si>
  <si>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</si>
  <si>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</si>
  <si>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</si>
  <si>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</si>
  <si>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</si>
  <si>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</si>
  <si>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</si>
  <si>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</si>
  <si>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</si>
  <si>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</si>
  <si>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</si>
  <si>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</si>
  <si>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</si>
  <si>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</si>
  <si>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</si>
  <si>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</si>
  <si>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</si>
  <si>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</si>
  <si>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</si>
  <si>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</si>
  <si>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</si>
  <si>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</si>
  <si>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</si>
  <si>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</si>
  <si>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</si>
  <si>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</si>
  <si>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</si>
  <si>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</si>
  <si>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</si>
  <si>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</si>
  <si>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</si>
  <si>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</si>
  <si>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</si>
  <si>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</si>
  <si>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</si>
  <si>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</si>
  <si>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</si>
  <si>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</si>
  <si>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</si>
  <si>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</si>
  <si>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</si>
  <si>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</si>
  <si>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</si>
  <si>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</si>
  <si>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</si>
  <si>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</si>
  <si>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</si>
  <si>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</si>
  <si>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</si>
  <si>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</si>
  <si>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</si>
  <si>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</si>
  <si>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</si>
  <si>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</si>
  <si>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</si>
  <si>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</si>
  <si>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</si>
  <si>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</si>
  <si>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</si>
  <si>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</si>
  <si>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</si>
  <si>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</si>
  <si>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</si>
  <si>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</si>
  <si>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</si>
  <si>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</si>
  <si>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</si>
  <si>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</si>
  <si>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</si>
  <si>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</si>
  <si>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</si>
  <si>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</si>
  <si>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</si>
  <si>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</si>
  <si>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</si>
  <si>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</si>
  <si>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</si>
  <si>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</si>
  <si>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</si>
  <si>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</si>
  <si>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</si>
  <si>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</si>
  <si>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</si>
  <si>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</si>
  <si>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</si>
  <si>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</si>
  <si>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</si>
  <si>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</si>
  <si>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</si>
  <si>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</si>
  <si>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</si>
  <si>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</si>
  <si>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</si>
  <si>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</si>
  <si>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</si>
  <si>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</si>
  <si>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</si>
  <si>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</si>
  <si>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</si>
  <si>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</si>
  <si>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</si>
  <si>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</si>
  <si>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</si>
  <si>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</si>
  <si>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</si>
  <si>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</si>
  <si>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</si>
  <si>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</si>
  <si>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</si>
  <si>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</si>
  <si>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</si>
  <si>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</si>
  <si>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</si>
  <si>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</si>
  <si>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</si>
  <si>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</si>
  <si>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</si>
  <si>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</si>
  <si>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</si>
  <si>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</si>
  <si>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</si>
  <si>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</si>
  <si>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</si>
  <si>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</si>
  <si>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</si>
  <si>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</si>
  <si>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</si>
  <si>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</si>
  <si>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</si>
  <si>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</si>
  <si>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</si>
  <si>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</si>
  <si>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</si>
  <si>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</si>
  <si>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</si>
  <si>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</si>
  <si>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</si>
  <si>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</si>
  <si>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</si>
  <si>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</si>
  <si>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</si>
  <si>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</si>
  <si>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</si>
  <si>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</si>
  <si>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</si>
  <si>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</si>
  <si>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</si>
  <si>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</si>
  <si>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</si>
  <si>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</si>
  <si>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</si>
  <si>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</si>
  <si>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</si>
  <si>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</si>
  <si>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</si>
  <si>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</si>
  <si>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</si>
  <si>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</si>
  <si>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</si>
  <si>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</si>
  <si>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</si>
  <si>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</si>
  <si>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</si>
  <si>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</si>
  <si>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</si>
  <si>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</si>
  <si>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</si>
  <si>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</si>
  <si>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</si>
  <si>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</si>
  <si>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</si>
  <si>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</si>
  <si>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</si>
  <si>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</si>
  <si>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</si>
  <si>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</si>
  <si>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</si>
  <si>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</si>
  <si>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</si>
  <si>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</si>
  <si>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</si>
  <si>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</si>
  <si>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</si>
  <si>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</si>
  <si>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</si>
  <si>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</si>
  <si>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</si>
  <si>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</si>
  <si>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</si>
  <si>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</si>
  <si>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</si>
  <si>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</si>
  <si>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</si>
  <si>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</si>
  <si>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</si>
  <si>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</si>
  <si>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</si>
  <si>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</si>
  <si>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</si>
  <si>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</si>
  <si>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</si>
  <si>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</si>
  <si>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</si>
  <si>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</si>
  <si>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</si>
  <si>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</si>
  <si>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</si>
  <si>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</si>
  <si>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</si>
  <si>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</si>
  <si>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</si>
  <si>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</si>
  <si>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</si>
  <si>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</si>
  <si>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</si>
  <si>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</si>
  <si>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</si>
  <si>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</si>
  <si>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</si>
  <si>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</si>
  <si>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</si>
  <si>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</si>
  <si>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</si>
  <si>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</si>
  <si>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</si>
  <si>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</si>
  <si>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</si>
  <si>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</si>
  <si>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</si>
  <si>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</si>
  <si>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</si>
  <si>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</si>
  <si>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</si>
  <si>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</si>
  <si>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</si>
  <si>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</si>
  <si>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</si>
  <si>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</si>
  <si>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</si>
  <si>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</si>
  <si>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</si>
  <si>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</si>
  <si>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</si>
  <si>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</si>
  <si>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</si>
  <si>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</si>
  <si>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</si>
  <si>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</si>
  <si>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</si>
  <si>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</si>
  <si>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</si>
  <si>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</si>
  <si>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</si>
  <si>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</si>
  <si>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</si>
  <si>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</si>
  <si>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</si>
  <si>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</si>
  <si>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</si>
  <si>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</si>
  <si>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</si>
  <si>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</si>
  <si>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</si>
  <si>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</si>
  <si>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</si>
  <si>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</si>
  <si>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</si>
  <si>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</si>
  <si>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</si>
  <si>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</si>
  <si>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</si>
  <si>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</si>
  <si>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</si>
  <si>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</si>
  <si>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</si>
  <si>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</si>
  <si>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</si>
  <si>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</si>
  <si>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</si>
  <si>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</si>
  <si>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</si>
  <si>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</si>
  <si>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</si>
  <si>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</si>
  <si>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</si>
  <si>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</si>
  <si>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</si>
  <si>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</si>
  <si>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</si>
  <si>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</si>
  <si>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</si>
  <si>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</si>
  <si>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</si>
  <si>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</si>
  <si>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</si>
  <si>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</si>
  <si>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</si>
  <si>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</si>
  <si>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</si>
  <si>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</si>
  <si>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</si>
  <si>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</si>
  <si>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</si>
  <si>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</si>
  <si>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</si>
  <si>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</si>
  <si>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</si>
  <si>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</si>
  <si>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</si>
  <si>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</si>
  <si>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</si>
  <si>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</si>
  <si>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</si>
  <si>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</si>
  <si>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</si>
  <si>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</si>
  <si>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</si>
  <si>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</si>
  <si>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</si>
  <si>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</si>
  <si>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</si>
  <si>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</si>
  <si>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</si>
  <si>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</si>
  <si>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</si>
  <si>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</si>
  <si>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</si>
  <si>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</si>
  <si>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</si>
  <si>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</si>
  <si>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</si>
  <si>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</si>
  <si>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</si>
  <si>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</si>
  <si>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</si>
  <si>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</si>
  <si>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</si>
  <si>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</si>
  <si>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</si>
  <si>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</si>
  <si>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</si>
  <si>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</si>
  <si>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</si>
  <si>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</si>
  <si>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</si>
  <si>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</si>
  <si>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</si>
  <si>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</si>
  <si>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</si>
  <si>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</si>
  <si>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</si>
  <si>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</si>
  <si>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</si>
  <si>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</si>
  <si>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</si>
  <si>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</si>
  <si>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</si>
  <si>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</si>
  <si>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</si>
  <si>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</si>
  <si>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</si>
  <si>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</si>
  <si>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</si>
  <si>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</si>
  <si>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</si>
  <si>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</si>
  <si>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</si>
  <si>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</si>
  <si>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</si>
  <si>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</si>
  <si>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</si>
  <si>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</si>
  <si>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</si>
  <si>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</si>
  <si>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</si>
  <si>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</si>
  <si>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</si>
  <si>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</si>
  <si>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</si>
  <si>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</si>
  <si>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</si>
  <si>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</si>
  <si>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</si>
  <si>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</si>
  <si>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</si>
  <si>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</si>
  <si>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</si>
  <si>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</si>
  <si>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</si>
  <si>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</si>
  <si>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</si>
  <si>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</si>
  <si>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</si>
  <si>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</si>
  <si>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</si>
  <si>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</si>
  <si>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</si>
  <si>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</si>
  <si>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</si>
  <si>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</si>
  <si>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</si>
  <si>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</si>
  <si>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</si>
  <si>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</si>
  <si>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</si>
  <si>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</si>
  <si>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</si>
  <si>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</si>
  <si>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</si>
  <si>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</si>
  <si>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</si>
  <si>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</si>
  <si>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</si>
  <si>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</si>
  <si>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</si>
  <si>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</si>
  <si>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</si>
  <si>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</si>
  <si>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</si>
  <si>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</si>
  <si>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</si>
  <si>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</si>
  <si>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</si>
  <si>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</si>
  <si>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</si>
  <si>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</si>
  <si>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</si>
  <si>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</si>
  <si>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</si>
  <si>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</si>
  <si>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</si>
  <si>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</si>
  <si>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</si>
  <si>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</si>
  <si>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</si>
  <si>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</si>
  <si>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</si>
  <si>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</si>
  <si>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</si>
  <si>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</si>
  <si>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</si>
  <si>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</si>
  <si>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</si>
  <si>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</si>
  <si>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</si>
  <si>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</si>
  <si>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</si>
  <si>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</si>
  <si>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</si>
  <si>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</si>
  <si>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</si>
  <si>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</si>
  <si>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</si>
  <si>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</si>
  <si>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</si>
  <si>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</si>
  <si>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</si>
  <si>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</si>
  <si>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</si>
  <si>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</si>
  <si>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</si>
  <si>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</si>
  <si>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</si>
  <si>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</si>
  <si>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</si>
  <si>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</si>
  <si>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</si>
  <si>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</si>
  <si>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</si>
  <si>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</si>
  <si>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</si>
  <si>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</si>
  <si>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</si>
  <si>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</si>
  <si>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</si>
  <si>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</si>
  <si>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</si>
  <si>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</si>
  <si>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</si>
  <si>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</si>
  <si>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</si>
  <si>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</si>
  <si>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</si>
  <si>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</si>
  <si>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</si>
  <si>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</si>
  <si>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</si>
  <si>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</si>
  <si>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</si>
  <si>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</si>
  <si>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</si>
  <si>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</si>
  <si>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</si>
  <si>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</si>
  <si>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</si>
  <si>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</si>
  <si>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</si>
  <si>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</si>
  <si>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</si>
  <si>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</si>
  <si>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</si>
  <si>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</si>
  <si>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</si>
  <si>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</si>
  <si>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</si>
  <si>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</si>
  <si>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</si>
  <si>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</si>
  <si>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</si>
  <si>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</si>
  <si>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</si>
  <si>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</si>
  <si>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</si>
  <si>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</si>
  <si>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</si>
  <si>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</si>
  <si>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</si>
  <si>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</si>
  <si>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</si>
  <si>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</si>
  <si>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</si>
  <si>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</si>
  <si>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</si>
  <si>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</si>
  <si>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</si>
  <si>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</si>
  <si>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</si>
  <si>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</si>
  <si>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</si>
  <si>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</si>
  <si>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</si>
  <si>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</si>
  <si>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</si>
  <si>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</si>
  <si>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</si>
  <si>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</si>
  <si>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</si>
  <si>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</si>
  <si>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</si>
  <si>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</si>
  <si>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</si>
  <si>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</si>
  <si>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</si>
  <si>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</si>
  <si>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</si>
  <si>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</si>
  <si>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</si>
  <si>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</si>
  <si>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</si>
  <si>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</si>
  <si>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</si>
  <si>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</si>
  <si>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</si>
  <si>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</si>
  <si>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</si>
  <si>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</si>
  <si>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</si>
  <si>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</si>
  <si>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</si>
  <si>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</si>
  <si>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</si>
  <si>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</si>
  <si>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</si>
  <si>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</si>
  <si>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</si>
  <si>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</si>
  <si>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</si>
  <si>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</si>
  <si>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</si>
  <si>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</si>
  <si>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</si>
  <si>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</si>
  <si>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</si>
  <si>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</si>
  <si>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</si>
  <si>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</si>
  <si>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</si>
  <si>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</si>
  <si>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</si>
  <si>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</si>
  <si>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</si>
  <si>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</si>
  <si>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</si>
  <si>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</si>
  <si>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</si>
  <si>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</si>
  <si>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</si>
  <si>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</si>
  <si>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</si>
  <si>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</si>
  <si>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</si>
  <si>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</si>
  <si>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</si>
  <si>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</si>
  <si>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</si>
  <si>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</si>
  <si>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</si>
  <si>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</si>
  <si>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</si>
  <si>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</si>
  <si>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</si>
  <si>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</si>
  <si>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</si>
  <si>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</si>
  <si>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</si>
  <si>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</si>
  <si>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</si>
  <si>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</si>
  <si>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</si>
  <si>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</si>
  <si>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</si>
  <si>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</si>
  <si>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</si>
  <si>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</si>
  <si>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</si>
  <si>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</si>
  <si>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</si>
  <si>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</si>
  <si>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</si>
  <si>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</si>
  <si>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</si>
  <si>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</si>
  <si>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</si>
  <si>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</si>
  <si>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</si>
  <si>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</si>
  <si>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</si>
  <si>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</si>
  <si>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</si>
  <si>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</si>
  <si>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</si>
  <si>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</si>
  <si>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</si>
  <si>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</si>
  <si>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</si>
  <si>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</si>
  <si>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</si>
  <si>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</si>
  <si>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</si>
  <si>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</si>
  <si>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</si>
  <si>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</si>
  <si>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</si>
  <si>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</si>
  <si>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</si>
  <si>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</si>
  <si>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</si>
  <si>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</si>
  <si>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</si>
  <si>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</si>
  <si>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</si>
  <si>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</si>
  <si>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</si>
  <si>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</si>
  <si>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</si>
  <si>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</si>
  <si>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</si>
  <si>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</si>
  <si>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</si>
  <si>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</si>
  <si>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</si>
  <si>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</si>
  <si>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</si>
  <si>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</si>
  <si>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</si>
  <si>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</si>
  <si>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</si>
  <si>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</si>
  <si>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</si>
  <si>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</si>
  <si>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</si>
  <si>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</si>
  <si>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</si>
  <si>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</si>
  <si>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</si>
  <si>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</si>
  <si>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</si>
  <si>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</si>
  <si>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</si>
  <si>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</si>
  <si>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</si>
  <si>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</si>
  <si>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</si>
  <si>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</si>
  <si>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</si>
  <si>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</si>
  <si>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</si>
  <si>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</si>
  <si>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</si>
  <si>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</si>
  <si>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</si>
  <si>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</si>
  <si>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</si>
  <si>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</si>
  <si>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</si>
  <si>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</si>
  <si>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</si>
  <si>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</si>
  <si>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</si>
  <si>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</si>
  <si>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</si>
  <si>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</si>
  <si>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</si>
  <si>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</si>
  <si>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</si>
  <si>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</si>
  <si>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</si>
  <si>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</si>
  <si>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</si>
  <si>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</si>
  <si>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</si>
  <si>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</si>
  <si>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</si>
  <si>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</si>
  <si>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</si>
  <si>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</si>
  <si>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</si>
  <si>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</si>
  <si>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</si>
  <si>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</si>
  <si>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</si>
  <si>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</si>
  <si>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</si>
  <si>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</si>
  <si>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</si>
  <si>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</si>
  <si>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</si>
  <si>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</si>
  <si>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</si>
  <si>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</si>
  <si>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</si>
  <si>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</si>
  <si>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</si>
  <si>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</si>
  <si>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</si>
  <si>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</si>
  <si>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</si>
  <si>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</si>
  <si>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</si>
  <si>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</si>
  <si>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</si>
  <si>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</si>
  <si>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</si>
  <si>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</si>
  <si>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</si>
  <si>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</si>
  <si>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</si>
  <si>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</si>
  <si>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</si>
  <si>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</si>
  <si>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</si>
  <si>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</si>
  <si>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</si>
  <si>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</si>
  <si>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</si>
  <si>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</si>
  <si>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</si>
  <si>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</si>
  <si>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</si>
  <si>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</si>
  <si>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</si>
  <si>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</si>
  <si>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</si>
  <si>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</si>
  <si>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</si>
  <si>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</si>
  <si>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</si>
  <si>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</si>
  <si>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</si>
  <si>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</si>
  <si>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</si>
  <si>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</si>
  <si>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</si>
  <si>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</si>
  <si>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</si>
  <si>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</si>
  <si>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</si>
  <si>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</si>
  <si>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</si>
  <si>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</si>
  <si>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</si>
  <si>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</si>
  <si>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</si>
  <si>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</si>
  <si>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</si>
  <si>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</si>
  <si>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</si>
  <si>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</si>
  <si>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</si>
  <si>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</si>
  <si>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</si>
  <si>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</si>
  <si>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</si>
  <si>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</si>
  <si>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</si>
  <si>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</si>
  <si>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</si>
  <si>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</si>
  <si>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</si>
  <si>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</si>
  <si>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</si>
  <si>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</si>
  <si>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</si>
  <si>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</si>
  <si>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</si>
  <si>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</si>
  <si>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</si>
  <si>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</si>
  <si>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</si>
  <si>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</si>
  <si>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</si>
  <si>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</si>
  <si>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</si>
  <si>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</si>
  <si>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Relative Enrichment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</si>
  <si>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</si>
  <si>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</si>
  <si>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</si>
  <si>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Relative Enrichment 1</t>
    <phoneticPr fontId="3" type="noConversion"/>
  </si>
  <si>
    <t>Relative Enrichment 2</t>
    <phoneticPr fontId="3" type="noConversion"/>
  </si>
  <si>
    <t>hsa-miR-8085</t>
    <phoneticPr fontId="1" type="noConversion"/>
  </si>
  <si>
    <t>log2(IP)</t>
    <phoneticPr fontId="3" type="noConversion"/>
  </si>
  <si>
    <t>log2(IP)</t>
  </si>
  <si>
    <t>input</t>
    <phoneticPr fontId="1" type="noConversion"/>
  </si>
  <si>
    <t>average input</t>
    <phoneticPr fontId="1" type="noConversion"/>
  </si>
  <si>
    <t>青年</t>
    <phoneticPr fontId="1" type="noConversion"/>
  </si>
  <si>
    <t>IP</t>
    <phoneticPr fontId="1" type="noConversion"/>
  </si>
  <si>
    <t>Input</t>
    <phoneticPr fontId="1" type="noConversion"/>
  </si>
  <si>
    <t>Old group</t>
    <phoneticPr fontId="1" type="noConversion"/>
  </si>
  <si>
    <t>Middle-aged group</t>
    <phoneticPr fontId="1" type="noConversion"/>
  </si>
  <si>
    <t>Youth group</t>
    <phoneticPr fontId="1" type="noConversion"/>
  </si>
  <si>
    <t>log2(IP/Input)&gt;0</t>
    <phoneticPr fontId="3" type="noConversion"/>
  </si>
  <si>
    <t>中年</t>
    <phoneticPr fontId="1" type="noConversion"/>
  </si>
  <si>
    <t>老年</t>
    <phoneticPr fontId="1" type="noConversion"/>
  </si>
  <si>
    <t>青vs中</t>
    <phoneticPr fontId="1" type="noConversion"/>
  </si>
  <si>
    <t>老vs中</t>
    <phoneticPr fontId="1" type="noConversion"/>
  </si>
  <si>
    <t>老vs青</t>
    <phoneticPr fontId="1" type="noConversion"/>
  </si>
  <si>
    <t>hsa-miR-5006-5p</t>
  </si>
  <si>
    <t>hsa-miR-612</t>
  </si>
  <si>
    <t>hsa-miR-6860</t>
  </si>
  <si>
    <t>hsa-miR-133a-5p</t>
  </si>
  <si>
    <t>hsa-miR-7109-5p</t>
  </si>
  <si>
    <t>hsa-miR-518c-5p</t>
  </si>
  <si>
    <t>hsa-miR-875-3p</t>
  </si>
  <si>
    <t>hsa-miR-7106-5p</t>
  </si>
  <si>
    <t>hsa-miR-6868-5p</t>
  </si>
  <si>
    <t xml:space="preserve">hsa-miR-181a-5p </t>
  </si>
  <si>
    <t xml:space="preserve">hsa-miR-181b-5p </t>
  </si>
  <si>
    <t>hsa-miR-483-5p</t>
  </si>
  <si>
    <t>hsa-miR-32-5p </t>
  </si>
  <si>
    <t>hsa-miR-548e-5p</t>
  </si>
  <si>
    <t>hsa-miR-4703-5p</t>
  </si>
  <si>
    <t>hsa-miR-6827-3p</t>
  </si>
  <si>
    <t>hsa-miR-7-2-3p</t>
  </si>
  <si>
    <t>hsa-miR-3942-5p</t>
  </si>
  <si>
    <t xml:space="preserve">hsa-miR‑146a </t>
  </si>
  <si>
    <t>hsa-miR‑146b </t>
  </si>
  <si>
    <t>log2(IP) 1</t>
    <phoneticPr fontId="3" type="noConversion"/>
  </si>
  <si>
    <t>log2(IP) 2</t>
    <phoneticPr fontId="3" type="noConversion"/>
  </si>
  <si>
    <t>log2(IP) 3</t>
    <phoneticPr fontId="3" type="noConversion"/>
  </si>
  <si>
    <t>log2(Input) 1</t>
    <phoneticPr fontId="3" type="noConversion"/>
  </si>
  <si>
    <t>log2(Input) 2</t>
    <phoneticPr fontId="3" type="noConversion"/>
  </si>
  <si>
    <t>log2(Input) 3</t>
    <phoneticPr fontId="3" type="noConversion"/>
  </si>
  <si>
    <r>
      <t>o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G IP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</si>
</sst>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rgb="FFFF0000"/>
      <name val="Times New Roman"/>
      <family val="1"/>
    </font>
    <font>
      <sz val="10"/>
      <color rgb="FF843C0C"/>
      <name val="Times New Roman"/>
      <family val="1"/>
    </font>
    <font>
      <sz val="10"/>
      <color rgb="FF0070C0"/>
      <name val="Times New Roman"/>
      <family val="1"/>
    </font>
    <font>
      <sz val="11"/>
      <color rgb="FFFF0000"/>
      <name val="宋体"/>
      <family val="2"/>
      <scheme val="minor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0" xfId="0" applyFont="1"/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workbookViewId="0">
      <selection activeCell="B1" sqref="B1:J1048576"/>
    </sheetView>
  </sheetViews>
  <sheetFormatPr defaultRowHeight="13.5" x14ac:dyDescent="0.3"/>
  <cols>
    <col min="1" max="1" width="18.3984375" bestFit="1" customWidth="1"/>
  </cols>
  <sheetData>
    <row r="1" spans="1:19" ht="13.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3.9" x14ac:dyDescent="0.3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3.9" x14ac:dyDescent="0.3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v>75351.350000000006</v>
      </c>
      <c r="L3" s="2">
        <v>74818.929999999993</v>
      </c>
      <c r="M3" s="2">
        <v>80016.44</v>
      </c>
      <c r="N3" s="2">
        <v>56296.75</v>
      </c>
      <c r="O3" s="2">
        <v>61967.95</v>
      </c>
      <c r="P3" s="2">
        <v>62627.25</v>
      </c>
      <c r="Q3" s="2">
        <v>70416.53</v>
      </c>
      <c r="R3" s="2">
        <v>64101.94</v>
      </c>
      <c r="S3" s="2">
        <v>66334.789999999994</v>
      </c>
    </row>
    <row r="4" spans="1:19" ht="13.9" x14ac:dyDescent="0.3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v>70626.649999999994</v>
      </c>
      <c r="L4" s="2">
        <v>47335.75</v>
      </c>
      <c r="M4" s="2">
        <v>37702.160000000003</v>
      </c>
      <c r="N4" s="2">
        <v>39643</v>
      </c>
      <c r="O4" s="2">
        <v>31772.09</v>
      </c>
      <c r="P4" s="2">
        <v>47304.85</v>
      </c>
      <c r="Q4" s="2">
        <v>51597.440000000002</v>
      </c>
      <c r="R4" s="2">
        <v>26402.89</v>
      </c>
      <c r="S4" s="2">
        <v>40348.06</v>
      </c>
    </row>
    <row r="5" spans="1:19" ht="13.9" x14ac:dyDescent="0.3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v>1758.66</v>
      </c>
      <c r="L5" s="2">
        <v>1466.44</v>
      </c>
      <c r="M5" s="2">
        <v>1752.27</v>
      </c>
      <c r="N5" s="2">
        <v>1153.6500000000001</v>
      </c>
      <c r="O5" s="2">
        <v>1333.49</v>
      </c>
      <c r="P5" s="2">
        <v>1762.94</v>
      </c>
      <c r="Q5" s="2">
        <v>1672.76</v>
      </c>
      <c r="R5" s="2">
        <v>1245.8499999999999</v>
      </c>
      <c r="S5" s="2">
        <v>1140.72</v>
      </c>
    </row>
    <row r="6" spans="1:19" ht="13.9" x14ac:dyDescent="0.3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v>6.55</v>
      </c>
      <c r="L6" s="2">
        <v>0.87</v>
      </c>
      <c r="M6" s="2">
        <v>0</v>
      </c>
      <c r="N6" s="2">
        <v>7.25</v>
      </c>
      <c r="O6" s="2">
        <v>0</v>
      </c>
      <c r="P6" s="2">
        <v>1.64</v>
      </c>
      <c r="Q6" s="2">
        <v>0</v>
      </c>
      <c r="R6" s="2">
        <v>0</v>
      </c>
      <c r="S6" s="2">
        <v>35.69</v>
      </c>
    </row>
    <row r="7" spans="1:19" ht="13.9" x14ac:dyDescent="0.3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v>147.61000000000001</v>
      </c>
      <c r="L7" s="2">
        <v>150.37</v>
      </c>
      <c r="M7" s="2">
        <v>170.12</v>
      </c>
      <c r="N7" s="2">
        <v>107.45</v>
      </c>
      <c r="O7" s="2">
        <v>106.86</v>
      </c>
      <c r="P7" s="2">
        <v>129.44999999999999</v>
      </c>
      <c r="Q7" s="2">
        <v>153.6</v>
      </c>
      <c r="R7" s="2">
        <v>136.03</v>
      </c>
      <c r="S7" s="2">
        <v>126.19</v>
      </c>
    </row>
    <row r="8" spans="1:19" ht="13.9" x14ac:dyDescent="0.3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v>1466.84</v>
      </c>
      <c r="L8" s="2">
        <v>1228.1500000000001</v>
      </c>
      <c r="M8" s="2">
        <v>1173.71</v>
      </c>
      <c r="N8" s="2">
        <v>1063.6600000000001</v>
      </c>
      <c r="O8" s="2">
        <v>1122.47</v>
      </c>
      <c r="P8" s="2">
        <v>1140.0899999999999</v>
      </c>
      <c r="Q8" s="2">
        <v>1070.74</v>
      </c>
      <c r="R8" s="2">
        <v>1099.77</v>
      </c>
      <c r="S8" s="2">
        <v>1258.3599999999999</v>
      </c>
    </row>
    <row r="9" spans="1:19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3.9" x14ac:dyDescent="0.3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v>214660.62</v>
      </c>
      <c r="L11" s="2">
        <v>151975.01999999999</v>
      </c>
      <c r="M11" s="2">
        <v>234067.7</v>
      </c>
      <c r="N11" s="2">
        <v>184371.55</v>
      </c>
      <c r="O11" s="2">
        <v>123991.77</v>
      </c>
      <c r="P11" s="2">
        <v>184487.15</v>
      </c>
      <c r="Q11" s="2">
        <v>204730.86</v>
      </c>
      <c r="R11" s="2">
        <v>158538.32999999999</v>
      </c>
      <c r="S11" s="2">
        <v>144428.71</v>
      </c>
    </row>
    <row r="12" spans="1:19" ht="13.9" x14ac:dyDescent="0.3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3.9" x14ac:dyDescent="0.3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v>11170.84</v>
      </c>
      <c r="L13" s="2">
        <v>8576.82</v>
      </c>
      <c r="M13" s="2">
        <v>11900.75</v>
      </c>
      <c r="N13" s="2">
        <v>10411.52</v>
      </c>
      <c r="O13" s="2">
        <v>7376.18</v>
      </c>
      <c r="P13" s="2">
        <v>8214.2199999999993</v>
      </c>
      <c r="Q13" s="2">
        <v>7655.4</v>
      </c>
      <c r="R13" s="2">
        <v>9935.2000000000007</v>
      </c>
      <c r="S13" s="2">
        <v>9073.99</v>
      </c>
    </row>
    <row r="14" spans="1:19" ht="13.9" x14ac:dyDescent="0.3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v>3.02</v>
      </c>
      <c r="L14" s="2">
        <v>4.34</v>
      </c>
      <c r="M14" s="2">
        <v>0</v>
      </c>
      <c r="N14" s="2">
        <v>0</v>
      </c>
      <c r="O14" s="2">
        <v>0</v>
      </c>
      <c r="P14" s="2">
        <v>0.18</v>
      </c>
      <c r="Q14" s="2">
        <v>0</v>
      </c>
      <c r="R14" s="2">
        <v>0</v>
      </c>
      <c r="S14" s="2">
        <v>0</v>
      </c>
    </row>
    <row r="15" spans="1:19" ht="13.9" x14ac:dyDescent="0.3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v>17527.04</v>
      </c>
      <c r="L15" s="2">
        <v>14995.48</v>
      </c>
      <c r="M15" s="2">
        <v>9801.76</v>
      </c>
      <c r="N15" s="2">
        <v>16024.18</v>
      </c>
      <c r="O15" s="2">
        <v>14230.77</v>
      </c>
      <c r="P15" s="2">
        <v>14543.17</v>
      </c>
      <c r="Q15" s="2">
        <v>16269.8</v>
      </c>
      <c r="R15" s="2">
        <v>15437.2</v>
      </c>
      <c r="S15" s="2">
        <v>13431.25</v>
      </c>
    </row>
    <row r="16" spans="1:19" ht="13.9" x14ac:dyDescent="0.3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v>5.1100000000000003</v>
      </c>
      <c r="L16" s="2">
        <v>10.119999999999999</v>
      </c>
      <c r="M16" s="2">
        <v>3.11</v>
      </c>
      <c r="N16" s="2">
        <v>10.88</v>
      </c>
      <c r="O16" s="2">
        <v>16.100000000000001</v>
      </c>
      <c r="P16" s="2">
        <v>12.93</v>
      </c>
      <c r="Q16" s="2">
        <v>3.59</v>
      </c>
      <c r="R16" s="2">
        <v>13.39</v>
      </c>
      <c r="S16" s="2">
        <v>3.02</v>
      </c>
    </row>
    <row r="17" spans="1:19" ht="13.9" x14ac:dyDescent="0.3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v>15793.03</v>
      </c>
      <c r="L17" s="2">
        <v>31048.5</v>
      </c>
      <c r="M17" s="2">
        <v>33802.67</v>
      </c>
      <c r="N17" s="2">
        <v>42567.01</v>
      </c>
      <c r="O17" s="2">
        <v>35176.58</v>
      </c>
      <c r="P17" s="2">
        <v>32349.85</v>
      </c>
      <c r="Q17" s="2">
        <v>20037.14</v>
      </c>
      <c r="R17" s="2">
        <v>29137.57</v>
      </c>
      <c r="S17" s="2">
        <v>30471.19</v>
      </c>
    </row>
    <row r="18" spans="1:19" ht="13.9" x14ac:dyDescent="0.3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3.9" x14ac:dyDescent="0.3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v>3.67</v>
      </c>
      <c r="L19" s="2">
        <v>0</v>
      </c>
      <c r="M19" s="2">
        <v>0</v>
      </c>
      <c r="N19" s="2">
        <v>0</v>
      </c>
      <c r="O19" s="2">
        <v>0.73</v>
      </c>
      <c r="P19" s="2">
        <v>0</v>
      </c>
      <c r="Q19" s="2">
        <v>0</v>
      </c>
      <c r="R19" s="2">
        <v>2.2999999999999998</v>
      </c>
      <c r="S19" s="2">
        <v>0</v>
      </c>
    </row>
    <row r="20" spans="1:19" ht="13.9" x14ac:dyDescent="0.3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3.9" x14ac:dyDescent="0.3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3.9" x14ac:dyDescent="0.3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3.9" x14ac:dyDescent="0.3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v>0</v>
      </c>
      <c r="L23" s="2">
        <v>0</v>
      </c>
      <c r="M23" s="2">
        <v>0</v>
      </c>
      <c r="N23" s="2">
        <v>12.53</v>
      </c>
      <c r="O23" s="2">
        <v>0</v>
      </c>
      <c r="P23" s="2">
        <v>0</v>
      </c>
      <c r="Q23" s="2">
        <v>0</v>
      </c>
      <c r="R23" s="2">
        <v>10.050000000000001</v>
      </c>
      <c r="S23" s="2">
        <v>14.08</v>
      </c>
    </row>
    <row r="24" spans="1:19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4.0599999999999996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3.9" x14ac:dyDescent="0.3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v>56.24</v>
      </c>
      <c r="L25" s="2">
        <v>51.76</v>
      </c>
      <c r="M25" s="2">
        <v>9.34</v>
      </c>
      <c r="N25" s="2">
        <v>29.01</v>
      </c>
      <c r="O25" s="2">
        <v>63.67</v>
      </c>
      <c r="P25" s="2">
        <v>57.35</v>
      </c>
      <c r="Q25" s="2">
        <v>9.34</v>
      </c>
      <c r="R25" s="2">
        <v>83.5</v>
      </c>
      <c r="S25" s="2">
        <v>41.22</v>
      </c>
    </row>
    <row r="26" spans="1:19" ht="13.9" x14ac:dyDescent="0.3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3.9" x14ac:dyDescent="0.3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v>7.08</v>
      </c>
      <c r="L27" s="2">
        <v>0.28999999999999998</v>
      </c>
      <c r="M27" s="2">
        <v>4.93</v>
      </c>
      <c r="N27" s="2">
        <v>16.149999999999999</v>
      </c>
      <c r="O27" s="2">
        <v>24.15</v>
      </c>
      <c r="P27" s="2">
        <v>1.82</v>
      </c>
      <c r="Q27" s="2">
        <v>0.18</v>
      </c>
      <c r="R27" s="2">
        <v>10.050000000000001</v>
      </c>
      <c r="S27" s="2">
        <v>21.62</v>
      </c>
    </row>
    <row r="28" spans="1:19" ht="13.9" x14ac:dyDescent="0.3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2.23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0.42</v>
      </c>
      <c r="S29" s="2">
        <v>0</v>
      </c>
    </row>
    <row r="30" spans="1:19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3.9" x14ac:dyDescent="0.3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v>12.06</v>
      </c>
      <c r="L31" s="2">
        <v>17.059999999999999</v>
      </c>
      <c r="M31" s="2">
        <v>18.149999999999999</v>
      </c>
      <c r="N31" s="2">
        <v>4.6100000000000003</v>
      </c>
      <c r="O31" s="2">
        <v>18.3</v>
      </c>
      <c r="P31" s="2">
        <v>12.02</v>
      </c>
      <c r="Q31" s="2">
        <v>17.25</v>
      </c>
      <c r="R31" s="2">
        <v>30.56</v>
      </c>
      <c r="S31" s="2">
        <v>56.81</v>
      </c>
    </row>
    <row r="32" spans="1:19" ht="13.9" x14ac:dyDescent="0.3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v>136.21</v>
      </c>
      <c r="L32" s="2">
        <v>243.2</v>
      </c>
      <c r="M32" s="2">
        <v>114.36</v>
      </c>
      <c r="N32" s="2">
        <v>136.13</v>
      </c>
      <c r="O32" s="2">
        <v>222.01</v>
      </c>
      <c r="P32" s="2">
        <v>221.76</v>
      </c>
      <c r="Q32" s="2">
        <v>162.41</v>
      </c>
      <c r="R32" s="2">
        <v>242.14</v>
      </c>
      <c r="S32" s="2">
        <v>400.69</v>
      </c>
    </row>
    <row r="33" spans="1:19" ht="13.9" x14ac:dyDescent="0.3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v>57.68</v>
      </c>
      <c r="L33" s="2">
        <v>58.99</v>
      </c>
      <c r="M33" s="2">
        <v>66.91</v>
      </c>
      <c r="N33" s="2">
        <v>124.26</v>
      </c>
      <c r="O33" s="2">
        <v>74.900000000000006</v>
      </c>
      <c r="P33" s="2">
        <v>84.66</v>
      </c>
      <c r="Q33" s="2">
        <v>18.5</v>
      </c>
      <c r="R33" s="2">
        <v>50.23</v>
      </c>
      <c r="S33" s="2">
        <v>94.01</v>
      </c>
    </row>
    <row r="34" spans="1:19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0.24</v>
      </c>
      <c r="P34" s="2">
        <v>0</v>
      </c>
      <c r="Q34" s="2">
        <v>0</v>
      </c>
      <c r="R34" s="2">
        <v>0</v>
      </c>
      <c r="S34" s="2">
        <v>0</v>
      </c>
    </row>
    <row r="35" spans="1:19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ht="13.9" x14ac:dyDescent="0.3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v>544.97</v>
      </c>
      <c r="L36" s="2">
        <v>620.58000000000004</v>
      </c>
      <c r="M36" s="2">
        <v>449.15</v>
      </c>
      <c r="N36" s="2">
        <v>605.16999999999996</v>
      </c>
      <c r="O36" s="2">
        <v>1179.8</v>
      </c>
      <c r="P36" s="2">
        <v>767.95</v>
      </c>
      <c r="Q36" s="2">
        <v>862.16</v>
      </c>
      <c r="R36" s="2">
        <v>867.68</v>
      </c>
      <c r="S36" s="2">
        <v>733</v>
      </c>
    </row>
    <row r="37" spans="1:19" ht="13.9" x14ac:dyDescent="0.3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v>0</v>
      </c>
      <c r="L37" s="2">
        <v>0.28999999999999998</v>
      </c>
      <c r="M37" s="2">
        <v>0</v>
      </c>
      <c r="N37" s="2">
        <v>19.78</v>
      </c>
      <c r="O37" s="2">
        <v>0</v>
      </c>
      <c r="P37" s="2">
        <v>25.85</v>
      </c>
      <c r="Q37" s="2">
        <v>0</v>
      </c>
      <c r="R37" s="2">
        <v>9</v>
      </c>
      <c r="S37" s="2">
        <v>0.5</v>
      </c>
    </row>
    <row r="38" spans="1:19" ht="13.9" x14ac:dyDescent="0.3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v>45.23</v>
      </c>
      <c r="L38" s="2">
        <v>0</v>
      </c>
      <c r="M38" s="2">
        <v>0</v>
      </c>
      <c r="N38" s="2">
        <v>13.18</v>
      </c>
      <c r="O38" s="2">
        <v>21.96</v>
      </c>
      <c r="P38" s="2">
        <v>9.4700000000000006</v>
      </c>
      <c r="Q38" s="2">
        <v>0</v>
      </c>
      <c r="R38" s="2">
        <v>11.09</v>
      </c>
      <c r="S38" s="2">
        <v>0.5</v>
      </c>
    </row>
    <row r="39" spans="1:19" ht="13.9" x14ac:dyDescent="0.3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v>8.26</v>
      </c>
      <c r="L39" s="2">
        <v>0</v>
      </c>
      <c r="M39" s="2">
        <v>0.26</v>
      </c>
      <c r="N39" s="2">
        <v>0</v>
      </c>
      <c r="O39" s="2">
        <v>12.2</v>
      </c>
      <c r="P39" s="2">
        <v>0.18</v>
      </c>
      <c r="Q39" s="2">
        <v>0</v>
      </c>
      <c r="R39" s="2">
        <v>0</v>
      </c>
      <c r="S39" s="2">
        <v>25.14</v>
      </c>
    </row>
    <row r="40" spans="1:19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13.9" x14ac:dyDescent="0.3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8.19</v>
      </c>
      <c r="Q41" s="2">
        <v>3.59</v>
      </c>
      <c r="R41" s="2">
        <v>0</v>
      </c>
      <c r="S41" s="2">
        <v>0</v>
      </c>
    </row>
    <row r="42" spans="1:19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0.33</v>
      </c>
      <c r="O42" s="2">
        <v>0</v>
      </c>
      <c r="P42" s="2">
        <v>0</v>
      </c>
      <c r="Q42" s="2">
        <v>11.14</v>
      </c>
      <c r="R42" s="2">
        <v>0</v>
      </c>
      <c r="S42" s="2">
        <v>0</v>
      </c>
    </row>
    <row r="43" spans="1:19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>
        <v>0.13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ht="13.9" x14ac:dyDescent="0.3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v>467.1</v>
      </c>
      <c r="L45" s="2">
        <v>1141.1099999999999</v>
      </c>
      <c r="M45" s="2">
        <v>968.58</v>
      </c>
      <c r="N45" s="2">
        <v>52.41</v>
      </c>
      <c r="O45" s="2">
        <v>15.13</v>
      </c>
      <c r="P45" s="2">
        <v>46.24</v>
      </c>
      <c r="Q45" s="2">
        <v>33.6</v>
      </c>
      <c r="R45" s="2">
        <v>63.2</v>
      </c>
      <c r="S45" s="2">
        <v>276.01</v>
      </c>
    </row>
    <row r="46" spans="1:19" ht="13.9" x14ac:dyDescent="0.3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4.59</v>
      </c>
      <c r="L46" s="2">
        <v>0</v>
      </c>
      <c r="M46" s="2">
        <v>0</v>
      </c>
      <c r="N46" s="2">
        <v>0</v>
      </c>
      <c r="O46" s="2">
        <v>5.37</v>
      </c>
      <c r="P46" s="2">
        <v>0</v>
      </c>
      <c r="Q46" s="2">
        <v>0</v>
      </c>
      <c r="R46" s="2">
        <v>0</v>
      </c>
      <c r="S46" s="2">
        <v>12.57</v>
      </c>
    </row>
    <row r="47" spans="1:19" ht="13.9" x14ac:dyDescent="0.3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ht="13.9" x14ac:dyDescent="0.3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16.079999999999998</v>
      </c>
      <c r="N48" s="2">
        <v>0</v>
      </c>
      <c r="O48" s="2">
        <v>0</v>
      </c>
      <c r="P48" s="2">
        <v>0.18</v>
      </c>
      <c r="Q48" s="2">
        <v>0</v>
      </c>
      <c r="R48" s="2">
        <v>0</v>
      </c>
      <c r="S48" s="2">
        <v>0</v>
      </c>
    </row>
    <row r="49" spans="1:19" ht="13.9" x14ac:dyDescent="0.3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v>20.32</v>
      </c>
      <c r="L49" s="2">
        <v>0.57999999999999996</v>
      </c>
      <c r="M49" s="2">
        <v>4.41</v>
      </c>
      <c r="N49" s="2">
        <v>0</v>
      </c>
      <c r="O49" s="2">
        <v>19.760000000000002</v>
      </c>
      <c r="P49" s="2">
        <v>0</v>
      </c>
      <c r="Q49" s="2">
        <v>14.37</v>
      </c>
      <c r="R49" s="2">
        <v>20.93</v>
      </c>
      <c r="S49" s="2">
        <v>1.01</v>
      </c>
    </row>
    <row r="50" spans="1:19" ht="13.9" x14ac:dyDescent="0.3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ht="13.9" x14ac:dyDescent="0.3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v>24.38</v>
      </c>
      <c r="L52" s="2">
        <v>0</v>
      </c>
      <c r="M52" s="2">
        <v>61.72</v>
      </c>
      <c r="N52" s="2">
        <v>22.41</v>
      </c>
      <c r="O52" s="2">
        <v>12.69</v>
      </c>
      <c r="P52" s="2">
        <v>25.85</v>
      </c>
      <c r="Q52" s="2">
        <v>60.36</v>
      </c>
      <c r="R52" s="2">
        <v>58.81</v>
      </c>
      <c r="S52" s="2">
        <v>44.74</v>
      </c>
    </row>
    <row r="53" spans="1:19" ht="13.9" x14ac:dyDescent="0.3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v>9.57</v>
      </c>
      <c r="L53" s="2">
        <v>0</v>
      </c>
      <c r="M53" s="2">
        <v>0</v>
      </c>
      <c r="N53" s="2">
        <v>0.33</v>
      </c>
      <c r="O53" s="2">
        <v>11.22</v>
      </c>
      <c r="P53" s="2">
        <v>8.56</v>
      </c>
      <c r="Q53" s="2">
        <v>0</v>
      </c>
      <c r="R53" s="2">
        <v>0</v>
      </c>
      <c r="S53" s="2">
        <v>0</v>
      </c>
    </row>
    <row r="54" spans="1:19" ht="13.9" x14ac:dyDescent="0.3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ht="13.9" x14ac:dyDescent="0.3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ht="13.9" x14ac:dyDescent="0.3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v>27.01</v>
      </c>
      <c r="L56" s="2">
        <v>32.1</v>
      </c>
      <c r="M56" s="2">
        <v>0.52</v>
      </c>
      <c r="N56" s="2">
        <v>77.13</v>
      </c>
      <c r="O56" s="2">
        <v>92.46</v>
      </c>
      <c r="P56" s="2">
        <v>38.78</v>
      </c>
      <c r="Q56" s="2">
        <v>31.26</v>
      </c>
      <c r="R56" s="2">
        <v>54.62</v>
      </c>
      <c r="S56" s="2">
        <v>129.71</v>
      </c>
    </row>
    <row r="57" spans="1:19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0.18</v>
      </c>
      <c r="R57" s="2">
        <v>0</v>
      </c>
      <c r="S57" s="2">
        <v>0</v>
      </c>
    </row>
    <row r="58" spans="1:19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ht="13.9" x14ac:dyDescent="0.3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v>0</v>
      </c>
      <c r="L59" s="2">
        <v>0.57999999999999996</v>
      </c>
      <c r="M59" s="2">
        <v>0</v>
      </c>
      <c r="N59" s="2">
        <v>0</v>
      </c>
      <c r="O59" s="2">
        <v>14.64</v>
      </c>
      <c r="P59" s="2">
        <v>0</v>
      </c>
      <c r="Q59" s="2">
        <v>6.11</v>
      </c>
      <c r="R59" s="2">
        <v>0</v>
      </c>
      <c r="S59" s="2">
        <v>27.65</v>
      </c>
    </row>
    <row r="60" spans="1:19" ht="13.9" x14ac:dyDescent="0.3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v>13.24</v>
      </c>
      <c r="L60" s="2">
        <v>0.28999999999999998</v>
      </c>
      <c r="M60" s="2">
        <v>1.82</v>
      </c>
      <c r="N60" s="2">
        <v>0.66</v>
      </c>
      <c r="O60" s="2">
        <v>17.57</v>
      </c>
      <c r="P60" s="2">
        <v>0.91</v>
      </c>
      <c r="Q60" s="2">
        <v>2.52</v>
      </c>
      <c r="R60" s="2">
        <v>1.05</v>
      </c>
      <c r="S60" s="2">
        <v>1.51</v>
      </c>
    </row>
    <row r="61" spans="1:19" ht="13.9" x14ac:dyDescent="0.3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v>13.24</v>
      </c>
      <c r="L61" s="2">
        <v>0.28999999999999998</v>
      </c>
      <c r="M61" s="2">
        <v>1.82</v>
      </c>
      <c r="N61" s="2">
        <v>0.66</v>
      </c>
      <c r="O61" s="2">
        <v>17.57</v>
      </c>
      <c r="P61" s="2">
        <v>1.64</v>
      </c>
      <c r="Q61" s="2">
        <v>2.52</v>
      </c>
      <c r="R61" s="2">
        <v>1.05</v>
      </c>
      <c r="S61" s="2">
        <v>1.51</v>
      </c>
    </row>
    <row r="62" spans="1:19" ht="13.9" x14ac:dyDescent="0.3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0.18</v>
      </c>
      <c r="R62" s="2">
        <v>0</v>
      </c>
      <c r="S62" s="2">
        <v>0</v>
      </c>
    </row>
    <row r="63" spans="1:19" ht="13.9" x14ac:dyDescent="0.3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v>50.08</v>
      </c>
      <c r="L63" s="2">
        <v>46.85</v>
      </c>
      <c r="M63" s="2">
        <v>29.3</v>
      </c>
      <c r="N63" s="2">
        <v>24.06</v>
      </c>
      <c r="O63" s="2">
        <v>30.25</v>
      </c>
      <c r="P63" s="2">
        <v>71.92</v>
      </c>
      <c r="Q63" s="2">
        <v>48.87</v>
      </c>
      <c r="R63" s="2">
        <v>52.53</v>
      </c>
      <c r="S63" s="2">
        <v>88.99</v>
      </c>
    </row>
    <row r="64" spans="1:19" ht="13.9" x14ac:dyDescent="0.3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v>287.89</v>
      </c>
      <c r="L64" s="2">
        <v>350.2</v>
      </c>
      <c r="M64" s="2">
        <v>197.35</v>
      </c>
      <c r="N64" s="2">
        <v>435.75</v>
      </c>
      <c r="O64" s="2">
        <v>336.42</v>
      </c>
      <c r="P64" s="2">
        <v>250.34</v>
      </c>
      <c r="Q64" s="2">
        <v>417.34</v>
      </c>
      <c r="R64" s="2">
        <v>331.71</v>
      </c>
      <c r="S64" s="2">
        <v>276.01</v>
      </c>
    </row>
    <row r="65" spans="1:19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ht="13.9" x14ac:dyDescent="0.3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v>0</v>
      </c>
      <c r="L66" s="2">
        <v>0</v>
      </c>
      <c r="M66" s="2">
        <v>0.26</v>
      </c>
      <c r="N66" s="2">
        <v>0</v>
      </c>
      <c r="O66" s="2">
        <v>0</v>
      </c>
      <c r="P66" s="2">
        <v>0</v>
      </c>
      <c r="Q66" s="2">
        <v>0</v>
      </c>
      <c r="R66" s="2">
        <v>2.5099999999999998</v>
      </c>
      <c r="S66" s="2">
        <v>0</v>
      </c>
    </row>
    <row r="67" spans="1:19" ht="13.9" x14ac:dyDescent="0.3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v>0</v>
      </c>
      <c r="L67" s="2">
        <v>0</v>
      </c>
      <c r="M67" s="2">
        <v>0.26</v>
      </c>
      <c r="N67" s="2">
        <v>0</v>
      </c>
      <c r="O67" s="2">
        <v>0</v>
      </c>
      <c r="P67" s="2">
        <v>0</v>
      </c>
      <c r="Q67" s="2">
        <v>0</v>
      </c>
      <c r="R67" s="2">
        <v>2.5099999999999998</v>
      </c>
      <c r="S67" s="2">
        <v>0</v>
      </c>
    </row>
    <row r="68" spans="1:19" ht="13.9" x14ac:dyDescent="0.3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v>0.39</v>
      </c>
      <c r="L68" s="2">
        <v>0</v>
      </c>
      <c r="M68" s="2">
        <v>0</v>
      </c>
      <c r="N68" s="2">
        <v>0</v>
      </c>
      <c r="O68" s="2">
        <v>0</v>
      </c>
      <c r="P68" s="2">
        <v>1.46</v>
      </c>
      <c r="Q68" s="2">
        <v>1.08</v>
      </c>
      <c r="R68" s="2">
        <v>0</v>
      </c>
      <c r="S68" s="2">
        <v>0</v>
      </c>
    </row>
    <row r="69" spans="1:19" ht="13.9" x14ac:dyDescent="0.3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ht="13.9" x14ac:dyDescent="0.3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v>0</v>
      </c>
      <c r="L70" s="2">
        <v>11.57</v>
      </c>
      <c r="M70" s="2">
        <v>0</v>
      </c>
      <c r="N70" s="2">
        <v>9.56</v>
      </c>
      <c r="O70" s="2">
        <v>20.98</v>
      </c>
      <c r="P70" s="2">
        <v>0</v>
      </c>
      <c r="Q70" s="2">
        <v>0.18</v>
      </c>
      <c r="R70" s="2">
        <v>5.23</v>
      </c>
      <c r="S70" s="2">
        <v>24.13</v>
      </c>
    </row>
    <row r="71" spans="1:19" ht="13.9" x14ac:dyDescent="0.3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v>4.8499999999999996</v>
      </c>
      <c r="L71" s="2">
        <v>0</v>
      </c>
      <c r="M71" s="2">
        <v>8.82</v>
      </c>
      <c r="N71" s="2">
        <v>3.63</v>
      </c>
      <c r="O71" s="2">
        <v>0</v>
      </c>
      <c r="P71" s="2">
        <v>12.02</v>
      </c>
      <c r="Q71" s="2">
        <v>3.77</v>
      </c>
      <c r="R71" s="2">
        <v>7.95</v>
      </c>
      <c r="S71" s="2">
        <v>4.0199999999999996</v>
      </c>
    </row>
    <row r="72" spans="1:19" ht="13.9" x14ac:dyDescent="0.3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v>23.47</v>
      </c>
      <c r="L72" s="2">
        <v>67.67</v>
      </c>
      <c r="M72" s="2">
        <v>1.56</v>
      </c>
      <c r="N72" s="2">
        <v>19.12</v>
      </c>
      <c r="O72" s="2">
        <v>46.6</v>
      </c>
      <c r="P72" s="2">
        <v>30.4</v>
      </c>
      <c r="Q72" s="2">
        <v>21.92</v>
      </c>
      <c r="R72" s="2">
        <v>17.79</v>
      </c>
      <c r="S72" s="2">
        <v>34.19</v>
      </c>
    </row>
    <row r="73" spans="1:19" ht="13.9" x14ac:dyDescent="0.3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v>0.26</v>
      </c>
      <c r="L73" s="2">
        <v>0.28999999999999998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17.09</v>
      </c>
    </row>
    <row r="74" spans="1:19" ht="13.9" x14ac:dyDescent="0.3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ht="13.9" x14ac:dyDescent="0.3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ht="13.9" x14ac:dyDescent="0.3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v>8.52</v>
      </c>
      <c r="L76" s="2">
        <v>0</v>
      </c>
      <c r="M76" s="2">
        <v>4.67</v>
      </c>
      <c r="N76" s="2">
        <v>0.33</v>
      </c>
      <c r="O76" s="2">
        <v>0</v>
      </c>
      <c r="P76" s="2">
        <v>12.02</v>
      </c>
      <c r="Q76" s="2">
        <v>0</v>
      </c>
      <c r="R76" s="2">
        <v>7.74</v>
      </c>
      <c r="S76" s="2">
        <v>0</v>
      </c>
    </row>
    <row r="77" spans="1:19" ht="13.9" x14ac:dyDescent="0.3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ht="13.9" x14ac:dyDescent="0.3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3.82</v>
      </c>
      <c r="Q78" s="2">
        <v>0</v>
      </c>
      <c r="R78" s="2">
        <v>0</v>
      </c>
      <c r="S78" s="2">
        <v>0</v>
      </c>
    </row>
    <row r="79" spans="1:19" ht="13.9" x14ac:dyDescent="0.3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ht="13.9" x14ac:dyDescent="0.3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v>543.39</v>
      </c>
      <c r="L80" s="2">
        <v>603.52</v>
      </c>
      <c r="M80" s="2">
        <v>459.01</v>
      </c>
      <c r="N80" s="2">
        <v>668.13</v>
      </c>
      <c r="O80" s="2">
        <v>1068.31</v>
      </c>
      <c r="P80" s="2">
        <v>745.56</v>
      </c>
      <c r="Q80" s="2">
        <v>519.91999999999996</v>
      </c>
      <c r="R80" s="2">
        <v>859.31</v>
      </c>
      <c r="S80" s="2">
        <v>1173.4000000000001</v>
      </c>
    </row>
    <row r="81" spans="1:19" ht="13.9" x14ac:dyDescent="0.3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15.59</v>
      </c>
    </row>
    <row r="82" spans="1:19" ht="13.9" x14ac:dyDescent="0.3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v>0</v>
      </c>
      <c r="L82" s="2">
        <v>0</v>
      </c>
      <c r="M82" s="2">
        <v>0</v>
      </c>
      <c r="N82" s="2">
        <v>5.93</v>
      </c>
      <c r="O82" s="2">
        <v>0</v>
      </c>
      <c r="P82" s="2">
        <v>10.01</v>
      </c>
      <c r="Q82" s="2">
        <v>0</v>
      </c>
      <c r="R82" s="2">
        <v>6.7</v>
      </c>
      <c r="S82" s="2">
        <v>0</v>
      </c>
    </row>
    <row r="83" spans="1:19" ht="13.9" x14ac:dyDescent="0.3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ht="13.9" x14ac:dyDescent="0.3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ht="13.9" x14ac:dyDescent="0.3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15.81</v>
      </c>
      <c r="R85" s="2">
        <v>0</v>
      </c>
      <c r="S85" s="2">
        <v>0</v>
      </c>
    </row>
    <row r="86" spans="1:19" ht="13.9" x14ac:dyDescent="0.3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ht="13.9" x14ac:dyDescent="0.3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v>30.68</v>
      </c>
      <c r="L87" s="2">
        <v>0</v>
      </c>
      <c r="M87" s="2">
        <v>4.1500000000000004</v>
      </c>
      <c r="N87" s="2">
        <v>0</v>
      </c>
      <c r="O87" s="2">
        <v>14.15</v>
      </c>
      <c r="P87" s="2">
        <v>0</v>
      </c>
      <c r="Q87" s="2">
        <v>9.52</v>
      </c>
      <c r="R87" s="2">
        <v>11.72</v>
      </c>
      <c r="S87" s="2">
        <v>24.13</v>
      </c>
    </row>
    <row r="88" spans="1:19" ht="13.9" x14ac:dyDescent="0.3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v>6.16</v>
      </c>
      <c r="L88" s="2">
        <v>0</v>
      </c>
      <c r="M88" s="2">
        <v>0</v>
      </c>
      <c r="N88" s="2">
        <v>5.93</v>
      </c>
      <c r="O88" s="2">
        <v>0</v>
      </c>
      <c r="P88" s="2">
        <v>5.28</v>
      </c>
      <c r="Q88" s="2">
        <v>0</v>
      </c>
      <c r="R88" s="2">
        <v>2.5099999999999998</v>
      </c>
      <c r="S88" s="2">
        <v>11.06</v>
      </c>
    </row>
    <row r="89" spans="1:19" ht="13.9" x14ac:dyDescent="0.3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v>0</v>
      </c>
      <c r="L89" s="2">
        <v>13.59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3.02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ht="13.9" x14ac:dyDescent="0.3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v>12.19</v>
      </c>
      <c r="L91" s="2">
        <v>6.94</v>
      </c>
      <c r="M91" s="2">
        <v>0</v>
      </c>
      <c r="N91" s="2">
        <v>20.11</v>
      </c>
      <c r="O91" s="2">
        <v>0</v>
      </c>
      <c r="P91" s="2">
        <v>5.64</v>
      </c>
      <c r="Q91" s="2">
        <v>0</v>
      </c>
      <c r="R91" s="2">
        <v>4.3899999999999997</v>
      </c>
      <c r="S91" s="2">
        <v>28.15</v>
      </c>
    </row>
    <row r="92" spans="1:19" ht="13.9" x14ac:dyDescent="0.3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ht="13.9" x14ac:dyDescent="0.3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v>0</v>
      </c>
      <c r="L94" s="2">
        <v>0</v>
      </c>
      <c r="M94" s="2">
        <v>9.85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ht="13.9" x14ac:dyDescent="0.3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ht="13.9" x14ac:dyDescent="0.3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9.65</v>
      </c>
      <c r="Q96" s="2">
        <v>0</v>
      </c>
      <c r="R96" s="2">
        <v>9.2100000000000009</v>
      </c>
      <c r="S96" s="2">
        <v>0</v>
      </c>
    </row>
    <row r="97" spans="1:19" ht="13.9" x14ac:dyDescent="0.3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v>9.44</v>
      </c>
      <c r="L97" s="2">
        <v>7.81</v>
      </c>
      <c r="M97" s="2">
        <v>0</v>
      </c>
      <c r="N97" s="2">
        <v>17.8</v>
      </c>
      <c r="O97" s="2">
        <v>5.37</v>
      </c>
      <c r="P97" s="2">
        <v>0.18</v>
      </c>
      <c r="Q97" s="2">
        <v>0.18</v>
      </c>
      <c r="R97" s="2">
        <v>0</v>
      </c>
      <c r="S97" s="2">
        <v>0</v>
      </c>
    </row>
    <row r="98" spans="1:19" ht="13.9" x14ac:dyDescent="0.3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v>16.91</v>
      </c>
      <c r="L98" s="2">
        <v>25.74</v>
      </c>
      <c r="M98" s="2">
        <v>14</v>
      </c>
      <c r="N98" s="2">
        <v>4.28</v>
      </c>
      <c r="O98" s="2">
        <v>23.91</v>
      </c>
      <c r="P98" s="2">
        <v>10.01</v>
      </c>
      <c r="Q98" s="2">
        <v>4.13</v>
      </c>
      <c r="R98" s="2">
        <v>7.95</v>
      </c>
      <c r="S98" s="2">
        <v>0</v>
      </c>
    </row>
    <row r="99" spans="1:19" ht="13.9" x14ac:dyDescent="0.3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v>8.65</v>
      </c>
      <c r="L99" s="2">
        <v>0</v>
      </c>
      <c r="M99" s="2">
        <v>0</v>
      </c>
      <c r="N99" s="2">
        <v>2.97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ht="13.9" x14ac:dyDescent="0.3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v>26.61</v>
      </c>
      <c r="L100" s="2">
        <v>26.6</v>
      </c>
      <c r="M100" s="2">
        <v>12.19</v>
      </c>
      <c r="N100" s="2">
        <v>22.41</v>
      </c>
      <c r="O100" s="2">
        <v>60.5</v>
      </c>
      <c r="P100" s="2">
        <v>18.39</v>
      </c>
      <c r="Q100" s="2">
        <v>53.9</v>
      </c>
      <c r="R100" s="2">
        <v>22.39</v>
      </c>
      <c r="S100" s="2">
        <v>47.26</v>
      </c>
    </row>
    <row r="101" spans="1:19" ht="13.9" x14ac:dyDescent="0.3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v>0</v>
      </c>
      <c r="L101" s="2">
        <v>0</v>
      </c>
      <c r="M101" s="2">
        <v>0</v>
      </c>
      <c r="N101" s="2">
        <v>4.9400000000000004</v>
      </c>
      <c r="O101" s="2">
        <v>0</v>
      </c>
      <c r="P101" s="2">
        <v>0</v>
      </c>
      <c r="Q101" s="2">
        <v>10.06</v>
      </c>
      <c r="R101" s="2">
        <v>0</v>
      </c>
      <c r="S101" s="2">
        <v>24.13</v>
      </c>
    </row>
    <row r="102" spans="1:19" ht="13.9" x14ac:dyDescent="0.3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v>0.13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0.21</v>
      </c>
      <c r="S102" s="2">
        <v>0</v>
      </c>
    </row>
    <row r="103" spans="1:19" ht="13.9" x14ac:dyDescent="0.3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v>0</v>
      </c>
      <c r="L103" s="2">
        <v>2.89</v>
      </c>
      <c r="M103" s="2">
        <v>2.0699999999999998</v>
      </c>
      <c r="N103" s="2">
        <v>0</v>
      </c>
      <c r="O103" s="2">
        <v>0.73</v>
      </c>
      <c r="P103" s="2">
        <v>0</v>
      </c>
      <c r="Q103" s="2">
        <v>0</v>
      </c>
      <c r="R103" s="2">
        <v>0</v>
      </c>
      <c r="S103" s="2">
        <v>0</v>
      </c>
    </row>
    <row r="104" spans="1:19" ht="13.9" x14ac:dyDescent="0.3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v>0</v>
      </c>
      <c r="L104" s="2">
        <v>0</v>
      </c>
      <c r="M104" s="2">
        <v>0</v>
      </c>
      <c r="N104" s="2">
        <v>4.28</v>
      </c>
      <c r="O104" s="2">
        <v>0</v>
      </c>
      <c r="P104" s="2">
        <v>0</v>
      </c>
      <c r="Q104" s="2">
        <v>0</v>
      </c>
      <c r="R104" s="2">
        <v>0.21</v>
      </c>
      <c r="S104" s="2">
        <v>0</v>
      </c>
    </row>
    <row r="105" spans="1:19" ht="13.9" x14ac:dyDescent="0.3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v>0</v>
      </c>
      <c r="L105" s="2">
        <v>9.83</v>
      </c>
      <c r="M105" s="2">
        <v>0</v>
      </c>
      <c r="N105" s="2">
        <v>5.93</v>
      </c>
      <c r="O105" s="2">
        <v>9.27</v>
      </c>
      <c r="P105" s="2">
        <v>1.46</v>
      </c>
      <c r="Q105" s="2">
        <v>0.36</v>
      </c>
      <c r="R105" s="2">
        <v>0</v>
      </c>
      <c r="S105" s="2">
        <v>0</v>
      </c>
    </row>
    <row r="106" spans="1:19" ht="13.9" x14ac:dyDescent="0.3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v>0</v>
      </c>
      <c r="L106" s="2">
        <v>0</v>
      </c>
      <c r="M106" s="2">
        <v>14</v>
      </c>
      <c r="N106" s="2">
        <v>0</v>
      </c>
      <c r="O106" s="2">
        <v>5.61</v>
      </c>
      <c r="P106" s="2">
        <v>3.64</v>
      </c>
      <c r="Q106" s="2">
        <v>0</v>
      </c>
      <c r="R106" s="2">
        <v>0</v>
      </c>
      <c r="S106" s="2">
        <v>0</v>
      </c>
    </row>
    <row r="107" spans="1:19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ht="13.9" x14ac:dyDescent="0.3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ht="13.9" x14ac:dyDescent="0.3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4.01</v>
      </c>
      <c r="Q109" s="2">
        <v>0</v>
      </c>
      <c r="R109" s="2">
        <v>1.88</v>
      </c>
      <c r="S109" s="2">
        <v>0</v>
      </c>
    </row>
    <row r="110" spans="1:19" ht="13.9" x14ac:dyDescent="0.3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ht="13.9" x14ac:dyDescent="0.3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v>20.84</v>
      </c>
      <c r="L111" s="2">
        <v>0</v>
      </c>
      <c r="M111" s="2">
        <v>0</v>
      </c>
      <c r="N111" s="2">
        <v>0</v>
      </c>
      <c r="O111" s="2">
        <v>14.39</v>
      </c>
      <c r="P111" s="2">
        <v>0</v>
      </c>
      <c r="Q111" s="2">
        <v>3.95</v>
      </c>
      <c r="R111" s="2">
        <v>9.42</v>
      </c>
      <c r="S111" s="2">
        <v>20.61</v>
      </c>
    </row>
    <row r="112" spans="1:19" ht="13.9" x14ac:dyDescent="0.3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ht="13.9" x14ac:dyDescent="0.3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ht="13.9" x14ac:dyDescent="0.3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ht="13.9" x14ac:dyDescent="0.3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ht="13.9" x14ac:dyDescent="0.3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v>12.06</v>
      </c>
      <c r="L116" s="2">
        <v>22.27</v>
      </c>
      <c r="M116" s="2">
        <v>4.67</v>
      </c>
      <c r="N116" s="2">
        <v>9.56</v>
      </c>
      <c r="O116" s="2">
        <v>18.54</v>
      </c>
      <c r="P116" s="2">
        <v>32.770000000000003</v>
      </c>
      <c r="Q116" s="2">
        <v>15.27</v>
      </c>
      <c r="R116" s="2">
        <v>12.14</v>
      </c>
      <c r="S116" s="2">
        <v>0</v>
      </c>
    </row>
    <row r="117" spans="1:19" ht="13.9" x14ac:dyDescent="0.3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v>4.33</v>
      </c>
      <c r="L117" s="2">
        <v>0.87</v>
      </c>
      <c r="M117" s="2">
        <v>0</v>
      </c>
      <c r="N117" s="2">
        <v>0.33</v>
      </c>
      <c r="O117" s="2">
        <v>25.37</v>
      </c>
      <c r="P117" s="2">
        <v>0.18</v>
      </c>
      <c r="Q117" s="2">
        <v>41.14</v>
      </c>
      <c r="R117" s="2">
        <v>26.79</v>
      </c>
      <c r="S117" s="2">
        <v>50.27</v>
      </c>
    </row>
    <row r="118" spans="1:19" ht="13.9" x14ac:dyDescent="0.3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v>39.07</v>
      </c>
      <c r="L118" s="2">
        <v>63.62</v>
      </c>
      <c r="M118" s="2">
        <v>28.27</v>
      </c>
      <c r="N118" s="2">
        <v>115.36</v>
      </c>
      <c r="O118" s="2">
        <v>23.66</v>
      </c>
      <c r="P118" s="2">
        <v>60.26</v>
      </c>
      <c r="Q118" s="2">
        <v>43.84</v>
      </c>
      <c r="R118" s="2">
        <v>54.62</v>
      </c>
      <c r="S118" s="2">
        <v>58.32</v>
      </c>
    </row>
    <row r="119" spans="1:19" ht="13.9" x14ac:dyDescent="0.3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v>906.79</v>
      </c>
      <c r="L119" s="2">
        <v>2020.22</v>
      </c>
      <c r="M119" s="2">
        <v>1235.95</v>
      </c>
      <c r="N119" s="2">
        <v>1715.97</v>
      </c>
      <c r="O119" s="2">
        <v>2416.6799999999998</v>
      </c>
      <c r="P119" s="2">
        <v>1338.72</v>
      </c>
      <c r="Q119" s="2">
        <v>1053.1300000000001</v>
      </c>
      <c r="R119" s="2">
        <v>1918.69</v>
      </c>
      <c r="S119" s="2">
        <v>2716.82</v>
      </c>
    </row>
    <row r="120" spans="1:19" ht="13.9" x14ac:dyDescent="0.3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v>9.44</v>
      </c>
      <c r="L120" s="2">
        <v>11.57</v>
      </c>
      <c r="M120" s="2">
        <v>26.71</v>
      </c>
      <c r="N120" s="2">
        <v>48.45</v>
      </c>
      <c r="O120" s="2">
        <v>35.619999999999997</v>
      </c>
      <c r="P120" s="2">
        <v>41.33</v>
      </c>
      <c r="Q120" s="2">
        <v>41.86</v>
      </c>
      <c r="R120" s="2">
        <v>52.53</v>
      </c>
      <c r="S120" s="2">
        <v>36.200000000000003</v>
      </c>
    </row>
    <row r="121" spans="1:19" ht="13.9" x14ac:dyDescent="0.3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0.21</v>
      </c>
      <c r="S121" s="2">
        <v>0</v>
      </c>
    </row>
    <row r="122" spans="1:19" ht="13.9" x14ac:dyDescent="0.3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v>488.2</v>
      </c>
      <c r="L122" s="2">
        <v>586.16999999999996</v>
      </c>
      <c r="M122" s="2">
        <v>548.22</v>
      </c>
      <c r="N122" s="2">
        <v>1013.56</v>
      </c>
      <c r="O122" s="2">
        <v>413.51</v>
      </c>
      <c r="P122" s="2">
        <v>908.5</v>
      </c>
      <c r="Q122" s="2">
        <v>525.66999999999996</v>
      </c>
      <c r="R122" s="2">
        <v>616.33000000000004</v>
      </c>
      <c r="S122" s="2">
        <v>843.1</v>
      </c>
    </row>
    <row r="123" spans="1:19" ht="13.9" x14ac:dyDescent="0.3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v>180.52</v>
      </c>
      <c r="L123" s="2">
        <v>252.74</v>
      </c>
      <c r="M123" s="2">
        <v>337.64</v>
      </c>
      <c r="N123" s="2">
        <v>453.55</v>
      </c>
      <c r="O123" s="2">
        <v>400.58</v>
      </c>
      <c r="P123" s="2">
        <v>260.17</v>
      </c>
      <c r="Q123" s="2">
        <v>229.78</v>
      </c>
      <c r="R123" s="2">
        <v>348.45</v>
      </c>
      <c r="S123" s="2">
        <v>358.46</v>
      </c>
    </row>
    <row r="124" spans="1:19" ht="13.9" x14ac:dyDescent="0.3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v>17685.14</v>
      </c>
      <c r="L124" s="2">
        <v>21037.05</v>
      </c>
      <c r="M124" s="2">
        <v>19080.2</v>
      </c>
      <c r="N124" s="2">
        <v>27666.15</v>
      </c>
      <c r="O124" s="2">
        <v>31697.439999999999</v>
      </c>
      <c r="P124" s="2">
        <v>27150.62</v>
      </c>
      <c r="Q124" s="2">
        <v>22950.22</v>
      </c>
      <c r="R124" s="2">
        <v>34979.019999999997</v>
      </c>
      <c r="S124" s="2">
        <v>31510.86</v>
      </c>
    </row>
    <row r="125" spans="1:19" ht="13.9" x14ac:dyDescent="0.3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v>31.07</v>
      </c>
      <c r="L125" s="2">
        <v>32.68</v>
      </c>
      <c r="M125" s="2">
        <v>19.190000000000001</v>
      </c>
      <c r="N125" s="2">
        <v>32.299999999999997</v>
      </c>
      <c r="O125" s="2">
        <v>0.24</v>
      </c>
      <c r="P125" s="2">
        <v>15.66</v>
      </c>
      <c r="Q125" s="2">
        <v>20.3</v>
      </c>
      <c r="R125" s="2">
        <v>31.39</v>
      </c>
      <c r="S125" s="2">
        <v>10.56</v>
      </c>
    </row>
    <row r="126" spans="1:19" ht="13.9" x14ac:dyDescent="0.3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v>0</v>
      </c>
      <c r="L126" s="2">
        <v>0</v>
      </c>
      <c r="M126" s="2">
        <v>0.26</v>
      </c>
      <c r="N126" s="2">
        <v>0.33</v>
      </c>
      <c r="O126" s="2">
        <v>0</v>
      </c>
      <c r="P126" s="2">
        <v>0</v>
      </c>
      <c r="Q126" s="2">
        <v>0.18</v>
      </c>
      <c r="R126" s="2">
        <v>0.21</v>
      </c>
      <c r="S126" s="2">
        <v>0</v>
      </c>
    </row>
    <row r="127" spans="1:19" ht="13.9" x14ac:dyDescent="0.3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1.05</v>
      </c>
      <c r="S127" s="2">
        <v>1.51</v>
      </c>
    </row>
    <row r="128" spans="1:19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ht="13.9" x14ac:dyDescent="0.3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ht="13.9" x14ac:dyDescent="0.3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v>302.95999999999998</v>
      </c>
      <c r="L130" s="2">
        <v>240.02</v>
      </c>
      <c r="M130" s="2">
        <v>149.63</v>
      </c>
      <c r="N130" s="2">
        <v>441.35</v>
      </c>
      <c r="O130" s="2">
        <v>338.37</v>
      </c>
      <c r="P130" s="2">
        <v>330.63</v>
      </c>
      <c r="Q130" s="2">
        <v>201.03</v>
      </c>
      <c r="R130" s="2">
        <v>279.18</v>
      </c>
      <c r="S130" s="2">
        <v>463.03</v>
      </c>
    </row>
    <row r="131" spans="1:19" ht="13.9" x14ac:dyDescent="0.3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v>0.13</v>
      </c>
      <c r="L131" s="2">
        <v>8.68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30.16</v>
      </c>
    </row>
    <row r="132" spans="1:19" ht="13.9" x14ac:dyDescent="0.3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v>4968.68</v>
      </c>
      <c r="L132" s="2">
        <v>5582.06</v>
      </c>
      <c r="M132" s="2">
        <v>3309.26</v>
      </c>
      <c r="N132" s="2">
        <v>4844.34</v>
      </c>
      <c r="O132" s="2">
        <v>7090.74</v>
      </c>
      <c r="P132" s="2">
        <v>5312.47</v>
      </c>
      <c r="Q132" s="2">
        <v>4694.3500000000004</v>
      </c>
      <c r="R132" s="2">
        <v>7137.32</v>
      </c>
      <c r="S132" s="2">
        <v>6295.84</v>
      </c>
    </row>
    <row r="133" spans="1:19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ht="13.9" x14ac:dyDescent="0.3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v>111493.66</v>
      </c>
      <c r="L134" s="2">
        <v>203233.22</v>
      </c>
      <c r="M134" s="2">
        <v>71595.86</v>
      </c>
      <c r="N134" s="2">
        <v>164978.38</v>
      </c>
      <c r="O134" s="2">
        <v>283447.26</v>
      </c>
      <c r="P134" s="2">
        <v>190839.22</v>
      </c>
      <c r="Q134" s="2">
        <v>167017.59</v>
      </c>
      <c r="R134" s="2">
        <v>219498.55</v>
      </c>
      <c r="S134" s="2">
        <v>196217.17</v>
      </c>
    </row>
    <row r="135" spans="1:19" ht="13.9" x14ac:dyDescent="0.3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v>0</v>
      </c>
      <c r="L135" s="2">
        <v>3.76</v>
      </c>
      <c r="M135" s="2">
        <v>0</v>
      </c>
      <c r="N135" s="2">
        <v>0</v>
      </c>
      <c r="O135" s="2">
        <v>0</v>
      </c>
      <c r="P135" s="2">
        <v>4.92</v>
      </c>
      <c r="Q135" s="2">
        <v>0</v>
      </c>
      <c r="R135" s="2">
        <v>0</v>
      </c>
      <c r="S135" s="2">
        <v>12.57</v>
      </c>
    </row>
    <row r="136" spans="1:19" ht="13.9" x14ac:dyDescent="0.3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v>850.29</v>
      </c>
      <c r="L136" s="2">
        <v>2011.25</v>
      </c>
      <c r="M136" s="2">
        <v>842.55</v>
      </c>
      <c r="N136" s="2">
        <v>1507.98</v>
      </c>
      <c r="O136" s="2">
        <v>1860.21</v>
      </c>
      <c r="P136" s="2">
        <v>1320.34</v>
      </c>
      <c r="Q136" s="2">
        <v>894.32</v>
      </c>
      <c r="R136" s="2">
        <v>1642.86</v>
      </c>
      <c r="S136" s="2">
        <v>2201.5100000000002</v>
      </c>
    </row>
    <row r="137" spans="1:19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ht="13.9" x14ac:dyDescent="0.3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v>49.16</v>
      </c>
      <c r="L138" s="2">
        <v>57.26</v>
      </c>
      <c r="M138" s="2">
        <v>48.49</v>
      </c>
      <c r="N138" s="2">
        <v>35.93</v>
      </c>
      <c r="O138" s="2">
        <v>53.92</v>
      </c>
      <c r="P138" s="2">
        <v>35.5</v>
      </c>
      <c r="Q138" s="2">
        <v>16.89</v>
      </c>
      <c r="R138" s="2">
        <v>51.27</v>
      </c>
      <c r="S138" s="2">
        <v>80.44</v>
      </c>
    </row>
    <row r="139" spans="1:19" ht="13.9" x14ac:dyDescent="0.3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v>3179.48</v>
      </c>
      <c r="L139" s="2">
        <v>8459.41</v>
      </c>
      <c r="M139" s="2">
        <v>2419.5100000000002</v>
      </c>
      <c r="N139" s="2">
        <v>3702.55</v>
      </c>
      <c r="O139" s="2">
        <v>4780.18</v>
      </c>
      <c r="P139" s="2">
        <v>2205.9</v>
      </c>
      <c r="Q139" s="2">
        <v>3477.38</v>
      </c>
      <c r="R139" s="2">
        <v>4315.37</v>
      </c>
      <c r="S139" s="2">
        <v>12846.57</v>
      </c>
    </row>
    <row r="140" spans="1:19" ht="13.9" x14ac:dyDescent="0.3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v>1186.95</v>
      </c>
      <c r="L140" s="2">
        <v>1923.34</v>
      </c>
      <c r="M140" s="2">
        <v>641.57000000000005</v>
      </c>
      <c r="N140" s="2">
        <v>1606.87</v>
      </c>
      <c r="O140" s="2">
        <v>2641.86</v>
      </c>
      <c r="P140" s="2">
        <v>1471.45</v>
      </c>
      <c r="Q140" s="2">
        <v>1604.13</v>
      </c>
      <c r="R140" s="2">
        <v>2463.2399999999998</v>
      </c>
      <c r="S140" s="2">
        <v>1629.89</v>
      </c>
    </row>
    <row r="141" spans="1:19" ht="13.9" x14ac:dyDescent="0.3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v>11.54</v>
      </c>
      <c r="L141" s="2">
        <v>9.25</v>
      </c>
      <c r="M141" s="2">
        <v>19.71</v>
      </c>
      <c r="N141" s="2">
        <v>22.08</v>
      </c>
      <c r="O141" s="2">
        <v>17.079999999999998</v>
      </c>
      <c r="P141" s="2">
        <v>24.03</v>
      </c>
      <c r="Q141" s="2">
        <v>9.34</v>
      </c>
      <c r="R141" s="2">
        <v>9.84</v>
      </c>
      <c r="S141" s="2">
        <v>38.21</v>
      </c>
    </row>
    <row r="142" spans="1:19" ht="13.9" x14ac:dyDescent="0.3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v>11.54</v>
      </c>
      <c r="L142" s="2">
        <v>9.25</v>
      </c>
      <c r="M142" s="2">
        <v>19.71</v>
      </c>
      <c r="N142" s="2">
        <v>22.08</v>
      </c>
      <c r="O142" s="2">
        <v>17.079999999999998</v>
      </c>
      <c r="P142" s="2">
        <v>24.03</v>
      </c>
      <c r="Q142" s="2">
        <v>9.34</v>
      </c>
      <c r="R142" s="2">
        <v>9.84</v>
      </c>
      <c r="S142" s="2">
        <v>38.21</v>
      </c>
    </row>
    <row r="143" spans="1:19" ht="13.9" x14ac:dyDescent="0.3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v>62.53</v>
      </c>
      <c r="L143" s="2">
        <v>65.930000000000007</v>
      </c>
      <c r="M143" s="2">
        <v>34.75</v>
      </c>
      <c r="N143" s="2">
        <v>135.13999999999999</v>
      </c>
      <c r="O143" s="2">
        <v>141.25</v>
      </c>
      <c r="P143" s="2">
        <v>102.68</v>
      </c>
      <c r="Q143" s="2">
        <v>104.2</v>
      </c>
      <c r="R143" s="2">
        <v>169.52</v>
      </c>
      <c r="S143" s="2">
        <v>126.19</v>
      </c>
    </row>
    <row r="144" spans="1:19" ht="13.9" x14ac:dyDescent="0.3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v>0</v>
      </c>
      <c r="L144" s="2">
        <v>11.57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ht="13.9" x14ac:dyDescent="0.3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ht="13.9" x14ac:dyDescent="0.3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ht="13.9" x14ac:dyDescent="0.3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v>233.88</v>
      </c>
      <c r="L148" s="2">
        <v>296.12</v>
      </c>
      <c r="M148" s="2">
        <v>180.23</v>
      </c>
      <c r="N148" s="2">
        <v>233.37</v>
      </c>
      <c r="O148" s="2">
        <v>414.25</v>
      </c>
      <c r="P148" s="2">
        <v>228.31</v>
      </c>
      <c r="Q148" s="2">
        <v>199.06</v>
      </c>
      <c r="R148" s="2">
        <v>230</v>
      </c>
      <c r="S148" s="2">
        <v>257.91000000000003</v>
      </c>
    </row>
    <row r="149" spans="1:19" ht="13.9" x14ac:dyDescent="0.3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3.3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ht="13.9" x14ac:dyDescent="0.3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v>7.34</v>
      </c>
      <c r="L151" s="2">
        <v>23.13</v>
      </c>
      <c r="M151" s="2">
        <v>35.53</v>
      </c>
      <c r="N151" s="2">
        <v>68.56</v>
      </c>
      <c r="O151" s="2">
        <v>8.7799999999999994</v>
      </c>
      <c r="P151" s="2">
        <v>48.43</v>
      </c>
      <c r="Q151" s="2">
        <v>9.16</v>
      </c>
      <c r="R151" s="2">
        <v>34.53</v>
      </c>
      <c r="S151" s="2">
        <v>105.07</v>
      </c>
    </row>
    <row r="152" spans="1:19" ht="13.9" x14ac:dyDescent="0.3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v>7.34</v>
      </c>
      <c r="L152" s="2">
        <v>0</v>
      </c>
      <c r="M152" s="2">
        <v>0</v>
      </c>
      <c r="N152" s="2">
        <v>1.98</v>
      </c>
      <c r="O152" s="2">
        <v>2.93</v>
      </c>
      <c r="P152" s="2">
        <v>3.82</v>
      </c>
      <c r="Q152" s="2">
        <v>1.44</v>
      </c>
      <c r="R152" s="2">
        <v>8.7899999999999991</v>
      </c>
      <c r="S152" s="2">
        <v>0</v>
      </c>
    </row>
    <row r="153" spans="1:19" ht="13.9" x14ac:dyDescent="0.3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v>25.17</v>
      </c>
      <c r="L153" s="2">
        <v>28.63</v>
      </c>
      <c r="M153" s="2">
        <v>49.79</v>
      </c>
      <c r="N153" s="2">
        <v>30.65</v>
      </c>
      <c r="O153" s="2">
        <v>36.11</v>
      </c>
      <c r="P153" s="2">
        <v>37.869999999999997</v>
      </c>
      <c r="Q153" s="2">
        <v>21.38</v>
      </c>
      <c r="R153" s="2">
        <v>36.21</v>
      </c>
      <c r="S153" s="2">
        <v>0</v>
      </c>
    </row>
    <row r="154" spans="1:19" ht="13.9" x14ac:dyDescent="0.3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ht="13.9" x14ac:dyDescent="0.3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v>0.13</v>
      </c>
      <c r="L155" s="2">
        <v>0</v>
      </c>
      <c r="M155" s="2">
        <v>0</v>
      </c>
      <c r="N155" s="2">
        <v>2.31</v>
      </c>
      <c r="O155" s="2">
        <v>0.24</v>
      </c>
      <c r="P155" s="2">
        <v>0</v>
      </c>
      <c r="Q155" s="2">
        <v>0.18</v>
      </c>
      <c r="R155" s="2">
        <v>1.05</v>
      </c>
      <c r="S155" s="2">
        <v>0</v>
      </c>
    </row>
    <row r="156" spans="1:19" ht="13.9" x14ac:dyDescent="0.3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v>195.6</v>
      </c>
      <c r="L156" s="2">
        <v>383.16</v>
      </c>
      <c r="M156" s="2">
        <v>278.77999999999997</v>
      </c>
      <c r="N156" s="2">
        <v>338.84</v>
      </c>
      <c r="O156" s="2">
        <v>329.59</v>
      </c>
      <c r="P156" s="2">
        <v>346.47</v>
      </c>
      <c r="Q156" s="2">
        <v>194.21</v>
      </c>
      <c r="R156" s="2">
        <v>306.18</v>
      </c>
      <c r="S156" s="2">
        <v>540.45000000000005</v>
      </c>
    </row>
    <row r="157" spans="1:19" ht="13.9" x14ac:dyDescent="0.3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30.67</v>
      </c>
    </row>
    <row r="158" spans="1:19" ht="13.9" x14ac:dyDescent="0.3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v>14.03</v>
      </c>
      <c r="L158" s="2">
        <v>17.059999999999999</v>
      </c>
      <c r="M158" s="2">
        <v>17.89</v>
      </c>
      <c r="N158" s="2">
        <v>4.9400000000000004</v>
      </c>
      <c r="O158" s="2">
        <v>36.11</v>
      </c>
      <c r="P158" s="2">
        <v>12.02</v>
      </c>
      <c r="Q158" s="2">
        <v>17.25</v>
      </c>
      <c r="R158" s="2">
        <v>47.09</v>
      </c>
      <c r="S158" s="2">
        <v>56.31</v>
      </c>
    </row>
    <row r="159" spans="1:19" ht="13.9" x14ac:dyDescent="0.3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v>0</v>
      </c>
      <c r="L159" s="2">
        <v>1.1599999999999999</v>
      </c>
      <c r="M159" s="2">
        <v>0</v>
      </c>
      <c r="N159" s="2">
        <v>0</v>
      </c>
      <c r="O159" s="2">
        <v>0</v>
      </c>
      <c r="P159" s="2">
        <v>0.18</v>
      </c>
      <c r="Q159" s="2">
        <v>0</v>
      </c>
      <c r="R159" s="2">
        <v>0</v>
      </c>
      <c r="S159" s="2">
        <v>0</v>
      </c>
    </row>
    <row r="160" spans="1:19" ht="13.9" x14ac:dyDescent="0.3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v>0</v>
      </c>
      <c r="L160" s="2">
        <v>4.63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1.67</v>
      </c>
      <c r="S160" s="2">
        <v>0</v>
      </c>
    </row>
    <row r="161" spans="1:19" ht="13.9" x14ac:dyDescent="0.3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v>0.26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1.01</v>
      </c>
    </row>
    <row r="162" spans="1:19" ht="13.9" x14ac:dyDescent="0.3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5.44</v>
      </c>
      <c r="S163" s="2">
        <v>0</v>
      </c>
    </row>
    <row r="164" spans="1:19" ht="13.9" x14ac:dyDescent="0.3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v>2.1</v>
      </c>
      <c r="L164" s="2">
        <v>0</v>
      </c>
      <c r="M164" s="2">
        <v>0.26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5.03</v>
      </c>
    </row>
    <row r="165" spans="1:19" ht="13.9" x14ac:dyDescent="0.3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ht="13.9" x14ac:dyDescent="0.3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v>453.72</v>
      </c>
      <c r="L166" s="2">
        <v>447.94</v>
      </c>
      <c r="M166" s="2">
        <v>307.56</v>
      </c>
      <c r="N166" s="2">
        <v>614.4</v>
      </c>
      <c r="O166" s="2">
        <v>259.82</v>
      </c>
      <c r="P166" s="2">
        <v>531.80999999999995</v>
      </c>
      <c r="Q166" s="2">
        <v>416.26</v>
      </c>
      <c r="R166" s="2">
        <v>407.47</v>
      </c>
      <c r="S166" s="2">
        <v>387.61</v>
      </c>
    </row>
    <row r="167" spans="1:19" ht="13.9" x14ac:dyDescent="0.3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v>5.77</v>
      </c>
      <c r="L167" s="2">
        <v>5.78</v>
      </c>
      <c r="M167" s="2">
        <v>5.45</v>
      </c>
      <c r="N167" s="2">
        <v>1.98</v>
      </c>
      <c r="O167" s="2">
        <v>2.68</v>
      </c>
      <c r="P167" s="2">
        <v>3.28</v>
      </c>
      <c r="Q167" s="2">
        <v>4.13</v>
      </c>
      <c r="R167" s="2">
        <v>3.77</v>
      </c>
      <c r="S167" s="2">
        <v>1.51</v>
      </c>
    </row>
    <row r="168" spans="1:19" ht="13.9" x14ac:dyDescent="0.3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v>194.55</v>
      </c>
      <c r="L168" s="2">
        <v>103.53</v>
      </c>
      <c r="M168" s="2">
        <v>139.26</v>
      </c>
      <c r="N168" s="2">
        <v>172.06</v>
      </c>
      <c r="O168" s="2">
        <v>132.22999999999999</v>
      </c>
      <c r="P168" s="2">
        <v>244.33</v>
      </c>
      <c r="Q168" s="2">
        <v>149.11000000000001</v>
      </c>
      <c r="R168" s="2">
        <v>164.29</v>
      </c>
      <c r="S168" s="2">
        <v>348.9</v>
      </c>
    </row>
    <row r="169" spans="1:19" ht="13.9" x14ac:dyDescent="0.3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v>0.13</v>
      </c>
      <c r="L169" s="2">
        <v>50.03</v>
      </c>
      <c r="M169" s="2">
        <v>9.08</v>
      </c>
      <c r="N169" s="2">
        <v>0</v>
      </c>
      <c r="O169" s="2">
        <v>80.510000000000005</v>
      </c>
      <c r="P169" s="2">
        <v>0.18</v>
      </c>
      <c r="Q169" s="2">
        <v>301.45999999999998</v>
      </c>
      <c r="R169" s="2">
        <v>28.67</v>
      </c>
      <c r="S169" s="2">
        <v>29.66</v>
      </c>
    </row>
    <row r="170" spans="1:19" ht="13.9" x14ac:dyDescent="0.3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v>0.26</v>
      </c>
      <c r="L170" s="2">
        <v>68.540000000000006</v>
      </c>
      <c r="M170" s="2">
        <v>14.26</v>
      </c>
      <c r="N170" s="2">
        <v>25.38</v>
      </c>
      <c r="O170" s="2">
        <v>59.53</v>
      </c>
      <c r="P170" s="2">
        <v>9.4700000000000006</v>
      </c>
      <c r="Q170" s="2">
        <v>15.09</v>
      </c>
      <c r="R170" s="2">
        <v>4.8099999999999996</v>
      </c>
      <c r="S170" s="2">
        <v>15.08</v>
      </c>
    </row>
    <row r="171" spans="1:19" ht="13.9" x14ac:dyDescent="0.3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v>2.88</v>
      </c>
      <c r="L171" s="2">
        <v>0</v>
      </c>
      <c r="M171" s="2">
        <v>0</v>
      </c>
      <c r="N171" s="2">
        <v>0</v>
      </c>
      <c r="O171" s="2">
        <v>0</v>
      </c>
      <c r="P171" s="2">
        <v>2.5499999999999998</v>
      </c>
      <c r="Q171" s="2">
        <v>0</v>
      </c>
      <c r="R171" s="2">
        <v>4.5999999999999996</v>
      </c>
      <c r="S171" s="2">
        <v>0</v>
      </c>
    </row>
    <row r="172" spans="1:19" ht="13.9" x14ac:dyDescent="0.3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v>85.34</v>
      </c>
      <c r="L172" s="2">
        <v>141.99</v>
      </c>
      <c r="M172" s="2">
        <v>141.59</v>
      </c>
      <c r="N172" s="2">
        <v>333.24</v>
      </c>
      <c r="O172" s="2">
        <v>230.79</v>
      </c>
      <c r="P172" s="2">
        <v>177.51</v>
      </c>
      <c r="Q172" s="2">
        <v>113.9</v>
      </c>
      <c r="R172" s="2">
        <v>162.61000000000001</v>
      </c>
      <c r="S172" s="2">
        <v>261.93</v>
      </c>
    </row>
    <row r="173" spans="1:19" ht="13.9" x14ac:dyDescent="0.3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v>32.119999999999997</v>
      </c>
      <c r="L173" s="2">
        <v>50.61</v>
      </c>
      <c r="M173" s="2">
        <v>24.12</v>
      </c>
      <c r="N173" s="2">
        <v>48.12</v>
      </c>
      <c r="O173" s="2">
        <v>49.28</v>
      </c>
      <c r="P173" s="2">
        <v>63.9</v>
      </c>
      <c r="Q173" s="2">
        <v>17.61</v>
      </c>
      <c r="R173" s="2">
        <v>36.619999999999997</v>
      </c>
      <c r="S173" s="2">
        <v>63.35</v>
      </c>
    </row>
    <row r="174" spans="1:19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2.09</v>
      </c>
      <c r="S174" s="2">
        <v>0</v>
      </c>
    </row>
    <row r="175" spans="1:19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ht="13.9" x14ac:dyDescent="0.3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v>0</v>
      </c>
      <c r="L176" s="2">
        <v>0</v>
      </c>
      <c r="M176" s="2">
        <v>0.52</v>
      </c>
      <c r="N176" s="2">
        <v>13.84</v>
      </c>
      <c r="O176" s="2">
        <v>14.64</v>
      </c>
      <c r="P176" s="2">
        <v>8.3699999999999992</v>
      </c>
      <c r="Q176" s="2">
        <v>0</v>
      </c>
      <c r="R176" s="2">
        <v>13.39</v>
      </c>
      <c r="S176" s="2">
        <v>15.59</v>
      </c>
    </row>
    <row r="177" spans="1:19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0.18</v>
      </c>
      <c r="Q177" s="2">
        <v>0</v>
      </c>
      <c r="R177" s="2">
        <v>0</v>
      </c>
      <c r="S177" s="2">
        <v>0.5</v>
      </c>
    </row>
    <row r="178" spans="1:19" ht="13.9" x14ac:dyDescent="0.3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9.0500000000000007</v>
      </c>
    </row>
    <row r="179" spans="1:19" ht="13.9" x14ac:dyDescent="0.3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ht="13.9" x14ac:dyDescent="0.3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v>0</v>
      </c>
      <c r="L180" s="2">
        <v>15.9</v>
      </c>
      <c r="M180" s="2">
        <v>8.0399999999999991</v>
      </c>
      <c r="N180" s="2">
        <v>0.66</v>
      </c>
      <c r="O180" s="2">
        <v>7.56</v>
      </c>
      <c r="P180" s="2">
        <v>0</v>
      </c>
      <c r="Q180" s="2">
        <v>0</v>
      </c>
      <c r="R180" s="2">
        <v>5.65</v>
      </c>
      <c r="S180" s="2">
        <v>1.01</v>
      </c>
    </row>
    <row r="181" spans="1:19" ht="13.9" x14ac:dyDescent="0.3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2.2999999999999998</v>
      </c>
      <c r="S181" s="2">
        <v>0</v>
      </c>
    </row>
    <row r="182" spans="1:19" ht="13.9" x14ac:dyDescent="0.3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v>255.24</v>
      </c>
      <c r="L182" s="2">
        <v>353.96</v>
      </c>
      <c r="M182" s="2">
        <v>183.6</v>
      </c>
      <c r="N182" s="2">
        <v>300.94</v>
      </c>
      <c r="O182" s="2">
        <v>443.77</v>
      </c>
      <c r="P182" s="2">
        <v>220.66</v>
      </c>
      <c r="Q182" s="2">
        <v>167.44</v>
      </c>
      <c r="R182" s="2">
        <v>434.26</v>
      </c>
      <c r="S182" s="2">
        <v>582.17999999999995</v>
      </c>
    </row>
    <row r="183" spans="1:19" ht="13.9" x14ac:dyDescent="0.3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v>286.18</v>
      </c>
      <c r="L183" s="2">
        <v>497.1</v>
      </c>
      <c r="M183" s="2">
        <v>372.39</v>
      </c>
      <c r="N183" s="2">
        <v>415.64</v>
      </c>
      <c r="O183" s="2">
        <v>500.37</v>
      </c>
      <c r="P183" s="2">
        <v>281.11</v>
      </c>
      <c r="Q183" s="2">
        <v>314.02999999999997</v>
      </c>
      <c r="R183" s="2">
        <v>483.86</v>
      </c>
      <c r="S183" s="2">
        <v>292.08999999999997</v>
      </c>
    </row>
    <row r="184" spans="1:19" ht="13.9" x14ac:dyDescent="0.3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v>6.69</v>
      </c>
      <c r="L184" s="2">
        <v>44.82</v>
      </c>
      <c r="M184" s="2">
        <v>7.26</v>
      </c>
      <c r="N184" s="2">
        <v>29.99</v>
      </c>
      <c r="O184" s="2">
        <v>43.91</v>
      </c>
      <c r="P184" s="2">
        <v>20.57</v>
      </c>
      <c r="Q184" s="2">
        <v>1.26</v>
      </c>
      <c r="R184" s="2">
        <v>11.93</v>
      </c>
      <c r="S184" s="2">
        <v>65.36</v>
      </c>
    </row>
    <row r="185" spans="1:19" ht="13.9" x14ac:dyDescent="0.3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v>9.57</v>
      </c>
      <c r="L185" s="2">
        <v>2.31</v>
      </c>
      <c r="M185" s="2">
        <v>0</v>
      </c>
      <c r="N185" s="2">
        <v>0</v>
      </c>
      <c r="O185" s="2">
        <v>0</v>
      </c>
      <c r="P185" s="2">
        <v>3.1</v>
      </c>
      <c r="Q185" s="2">
        <v>0</v>
      </c>
      <c r="R185" s="2">
        <v>6.28</v>
      </c>
      <c r="S185" s="2">
        <v>0</v>
      </c>
    </row>
    <row r="186" spans="1:19" ht="13.9" x14ac:dyDescent="0.3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5.83</v>
      </c>
      <c r="Q186" s="2">
        <v>0</v>
      </c>
      <c r="R186" s="2">
        <v>1.67</v>
      </c>
      <c r="S186" s="2">
        <v>0.5</v>
      </c>
    </row>
    <row r="187" spans="1:19" ht="13.9" x14ac:dyDescent="0.3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v>16.260000000000002</v>
      </c>
      <c r="L187" s="2">
        <v>29.5</v>
      </c>
      <c r="M187" s="2">
        <v>61.2</v>
      </c>
      <c r="N187" s="2">
        <v>31.64</v>
      </c>
      <c r="O187" s="2">
        <v>18.3</v>
      </c>
      <c r="P187" s="2">
        <v>5.64</v>
      </c>
      <c r="Q187" s="2">
        <v>0</v>
      </c>
      <c r="R187" s="2">
        <v>19.46</v>
      </c>
      <c r="S187" s="2">
        <v>28.15</v>
      </c>
    </row>
    <row r="188" spans="1:19" ht="13.9" x14ac:dyDescent="0.3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ht="13.9" x14ac:dyDescent="0.3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0.21</v>
      </c>
      <c r="S189" s="2">
        <v>0</v>
      </c>
    </row>
    <row r="190" spans="1:19" ht="13.9" x14ac:dyDescent="0.3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v>24.51</v>
      </c>
      <c r="L190" s="2">
        <v>0.28999999999999998</v>
      </c>
      <c r="M190" s="2">
        <v>52.12</v>
      </c>
      <c r="N190" s="2">
        <v>16.809999999999999</v>
      </c>
      <c r="O190" s="2">
        <v>43.91</v>
      </c>
      <c r="P190" s="2">
        <v>44.06</v>
      </c>
      <c r="Q190" s="2">
        <v>46.89</v>
      </c>
      <c r="R190" s="2">
        <v>9.42</v>
      </c>
      <c r="S190" s="2">
        <v>20.11</v>
      </c>
    </row>
    <row r="191" spans="1:19" ht="13.9" x14ac:dyDescent="0.3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v>3.15</v>
      </c>
      <c r="L191" s="2">
        <v>13.3</v>
      </c>
      <c r="M191" s="2">
        <v>11.93</v>
      </c>
      <c r="N191" s="2">
        <v>0.33</v>
      </c>
      <c r="O191" s="2">
        <v>0</v>
      </c>
      <c r="P191" s="2">
        <v>2.37</v>
      </c>
      <c r="Q191" s="2">
        <v>0.36</v>
      </c>
      <c r="R191" s="2">
        <v>24.07</v>
      </c>
      <c r="S191" s="2">
        <v>32.18</v>
      </c>
    </row>
    <row r="192" spans="1:19" ht="13.9" x14ac:dyDescent="0.3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ht="13.9" x14ac:dyDescent="0.3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v>90.85</v>
      </c>
      <c r="L193" s="2">
        <v>360.32</v>
      </c>
      <c r="M193" s="2">
        <v>139.26</v>
      </c>
      <c r="N193" s="2">
        <v>125.58</v>
      </c>
      <c r="O193" s="2">
        <v>257.62</v>
      </c>
      <c r="P193" s="2">
        <v>109.42</v>
      </c>
      <c r="Q193" s="2">
        <v>91.62</v>
      </c>
      <c r="R193" s="2">
        <v>141.26</v>
      </c>
      <c r="S193" s="2">
        <v>432.36</v>
      </c>
    </row>
    <row r="194" spans="1:19" ht="13.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>
        <v>2.4900000000000002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6.65</v>
      </c>
      <c r="R194" s="2">
        <v>6.28</v>
      </c>
      <c r="S194" s="2">
        <v>0</v>
      </c>
    </row>
    <row r="195" spans="1:19" ht="13.9" x14ac:dyDescent="0.3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v>22.42</v>
      </c>
      <c r="L195" s="2">
        <v>0</v>
      </c>
      <c r="M195" s="2">
        <v>15.04</v>
      </c>
      <c r="N195" s="2">
        <v>14.17</v>
      </c>
      <c r="O195" s="2">
        <v>0</v>
      </c>
      <c r="P195" s="2">
        <v>15.29</v>
      </c>
      <c r="Q195" s="2">
        <v>0</v>
      </c>
      <c r="R195" s="2">
        <v>8.58</v>
      </c>
      <c r="S195" s="2">
        <v>0</v>
      </c>
    </row>
    <row r="196" spans="1:19" ht="13.9" x14ac:dyDescent="0.3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ht="13.9" x14ac:dyDescent="0.3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v>22.42</v>
      </c>
      <c r="L197" s="2">
        <v>0</v>
      </c>
      <c r="M197" s="2">
        <v>15.04</v>
      </c>
      <c r="N197" s="2">
        <v>14.17</v>
      </c>
      <c r="O197" s="2">
        <v>0</v>
      </c>
      <c r="P197" s="2">
        <v>15.29</v>
      </c>
      <c r="Q197" s="2">
        <v>0</v>
      </c>
      <c r="R197" s="2">
        <v>8.58</v>
      </c>
      <c r="S197" s="2">
        <v>0</v>
      </c>
    </row>
    <row r="198" spans="1:19" ht="13.9" x14ac:dyDescent="0.3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v>0.13</v>
      </c>
      <c r="L198" s="2">
        <v>0.28999999999999998</v>
      </c>
      <c r="M198" s="2">
        <v>1.04</v>
      </c>
      <c r="N198" s="2">
        <v>0.33</v>
      </c>
      <c r="O198" s="2">
        <v>0</v>
      </c>
      <c r="P198" s="2">
        <v>0.73</v>
      </c>
      <c r="Q198" s="2">
        <v>0.18</v>
      </c>
      <c r="R198" s="2">
        <v>0.63</v>
      </c>
      <c r="S198" s="2">
        <v>0</v>
      </c>
    </row>
    <row r="199" spans="1:19" ht="13.9" x14ac:dyDescent="0.3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v>12.85</v>
      </c>
      <c r="L199" s="2">
        <v>4.63</v>
      </c>
      <c r="M199" s="2">
        <v>29.82</v>
      </c>
      <c r="N199" s="2">
        <v>59.33</v>
      </c>
      <c r="O199" s="2">
        <v>40.25</v>
      </c>
      <c r="P199" s="2">
        <v>42.42</v>
      </c>
      <c r="Q199" s="2">
        <v>30.54</v>
      </c>
      <c r="R199" s="2">
        <v>27.42</v>
      </c>
      <c r="S199" s="2">
        <v>124.68</v>
      </c>
    </row>
    <row r="200" spans="1:19" ht="13.9" x14ac:dyDescent="0.3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v>57.03</v>
      </c>
      <c r="L200" s="2">
        <v>118.28</v>
      </c>
      <c r="M200" s="2">
        <v>94.65</v>
      </c>
      <c r="N200" s="2">
        <v>109.1</v>
      </c>
      <c r="O200" s="2">
        <v>96.61</v>
      </c>
      <c r="P200" s="2">
        <v>89.21</v>
      </c>
      <c r="Q200" s="2">
        <v>68.989999999999995</v>
      </c>
      <c r="R200" s="2">
        <v>62.78</v>
      </c>
      <c r="S200" s="2">
        <v>130.21</v>
      </c>
    </row>
    <row r="201" spans="1:19" ht="13.9" x14ac:dyDescent="0.3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v>12.06</v>
      </c>
      <c r="L201" s="2">
        <v>25.16</v>
      </c>
      <c r="M201" s="2">
        <v>0</v>
      </c>
      <c r="N201" s="2">
        <v>28.68</v>
      </c>
      <c r="O201" s="2">
        <v>0</v>
      </c>
      <c r="P201" s="2">
        <v>1.82</v>
      </c>
      <c r="Q201" s="2">
        <v>9.52</v>
      </c>
      <c r="R201" s="2">
        <v>4.1900000000000004</v>
      </c>
      <c r="S201" s="2">
        <v>0</v>
      </c>
    </row>
    <row r="202" spans="1:19" ht="13.9" x14ac:dyDescent="0.3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v>0</v>
      </c>
      <c r="L202" s="2">
        <v>0</v>
      </c>
      <c r="M202" s="2">
        <v>0</v>
      </c>
      <c r="N202" s="2">
        <v>0</v>
      </c>
      <c r="O202" s="2">
        <v>3.17</v>
      </c>
      <c r="P202" s="2">
        <v>1.64</v>
      </c>
      <c r="Q202" s="2">
        <v>0</v>
      </c>
      <c r="R202" s="2">
        <v>0.63</v>
      </c>
      <c r="S202" s="2">
        <v>0</v>
      </c>
    </row>
    <row r="203" spans="1:19" ht="13.9" x14ac:dyDescent="0.3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v>19.8</v>
      </c>
      <c r="L203" s="2">
        <v>12.15</v>
      </c>
      <c r="M203" s="2">
        <v>2.0699999999999998</v>
      </c>
      <c r="N203" s="2">
        <v>7.91</v>
      </c>
      <c r="O203" s="2">
        <v>20.25</v>
      </c>
      <c r="P203" s="2">
        <v>18.75</v>
      </c>
      <c r="Q203" s="2">
        <v>37.909999999999997</v>
      </c>
      <c r="R203" s="2">
        <v>10.050000000000001</v>
      </c>
      <c r="S203" s="2">
        <v>50.78</v>
      </c>
    </row>
    <row r="204" spans="1:19" ht="13.9" x14ac:dyDescent="0.3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v>0</v>
      </c>
      <c r="L204" s="2">
        <v>16.190000000000001</v>
      </c>
      <c r="M204" s="2">
        <v>0.26</v>
      </c>
      <c r="N204" s="2">
        <v>26.7</v>
      </c>
      <c r="O204" s="2">
        <v>64.650000000000006</v>
      </c>
      <c r="P204" s="2">
        <v>23.67</v>
      </c>
      <c r="Q204" s="2">
        <v>0.18</v>
      </c>
      <c r="R204" s="2">
        <v>15.7</v>
      </c>
      <c r="S204" s="2">
        <v>0</v>
      </c>
    </row>
    <row r="205" spans="1:19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ht="13.9" x14ac:dyDescent="0.3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11.41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ht="13.9" x14ac:dyDescent="0.3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5.86</v>
      </c>
      <c r="S207" s="2">
        <v>0</v>
      </c>
    </row>
    <row r="208" spans="1:19" ht="13.9" x14ac:dyDescent="0.3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v>38.94</v>
      </c>
      <c r="L208" s="2">
        <v>52.34</v>
      </c>
      <c r="M208" s="2">
        <v>21.52</v>
      </c>
      <c r="N208" s="2">
        <v>21.42</v>
      </c>
      <c r="O208" s="2">
        <v>20.49</v>
      </c>
      <c r="P208" s="2">
        <v>20.57</v>
      </c>
      <c r="Q208" s="2">
        <v>8.08</v>
      </c>
      <c r="R208" s="2">
        <v>0</v>
      </c>
      <c r="S208" s="2">
        <v>0</v>
      </c>
    </row>
    <row r="209" spans="1:19" ht="13.9" x14ac:dyDescent="0.3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v>74.2</v>
      </c>
      <c r="L209" s="2">
        <v>154.71</v>
      </c>
      <c r="M209" s="2">
        <v>136.41</v>
      </c>
      <c r="N209" s="2">
        <v>147.01</v>
      </c>
      <c r="O209" s="2">
        <v>96.36</v>
      </c>
      <c r="P209" s="2">
        <v>88.12</v>
      </c>
      <c r="Q209" s="2">
        <v>82.64</v>
      </c>
      <c r="R209" s="2">
        <v>139.80000000000001</v>
      </c>
      <c r="S209" s="2">
        <v>158.36000000000001</v>
      </c>
    </row>
    <row r="210" spans="1:19" ht="13.9" x14ac:dyDescent="0.3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ht="13.9" x14ac:dyDescent="0.3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v>4.9800000000000004</v>
      </c>
      <c r="L211" s="2">
        <v>0</v>
      </c>
      <c r="M211" s="2">
        <v>0</v>
      </c>
      <c r="N211" s="2">
        <v>0</v>
      </c>
      <c r="O211" s="2">
        <v>0.24</v>
      </c>
      <c r="P211" s="2">
        <v>3.46</v>
      </c>
      <c r="Q211" s="2">
        <v>6.29</v>
      </c>
      <c r="R211" s="2">
        <v>0</v>
      </c>
      <c r="S211" s="2">
        <v>0</v>
      </c>
    </row>
    <row r="212" spans="1:19" ht="13.9" x14ac:dyDescent="0.3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v>3.54</v>
      </c>
      <c r="L212" s="2">
        <v>0</v>
      </c>
      <c r="M212" s="2">
        <v>0</v>
      </c>
      <c r="N212" s="2">
        <v>1.32</v>
      </c>
      <c r="O212" s="2">
        <v>0</v>
      </c>
      <c r="P212" s="2">
        <v>2.73</v>
      </c>
      <c r="Q212" s="2">
        <v>0</v>
      </c>
      <c r="R212" s="2">
        <v>1.05</v>
      </c>
      <c r="S212" s="2">
        <v>5.03</v>
      </c>
    </row>
    <row r="213" spans="1:19" ht="13.9" x14ac:dyDescent="0.3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v>18.22</v>
      </c>
      <c r="L213" s="2">
        <v>0</v>
      </c>
      <c r="M213" s="2">
        <v>12.45</v>
      </c>
      <c r="N213" s="2">
        <v>22.74</v>
      </c>
      <c r="O213" s="2">
        <v>0.24</v>
      </c>
      <c r="P213" s="2">
        <v>0</v>
      </c>
      <c r="Q213" s="2">
        <v>12.58</v>
      </c>
      <c r="R213" s="2">
        <v>15.49</v>
      </c>
      <c r="S213" s="2">
        <v>11.56</v>
      </c>
    </row>
    <row r="214" spans="1:19" ht="13.9" x14ac:dyDescent="0.3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v>0</v>
      </c>
      <c r="L214" s="2">
        <v>0</v>
      </c>
      <c r="M214" s="2">
        <v>2.0699999999999998</v>
      </c>
      <c r="N214" s="2">
        <v>0</v>
      </c>
      <c r="O214" s="2">
        <v>2.44</v>
      </c>
      <c r="P214" s="2">
        <v>0</v>
      </c>
      <c r="Q214" s="2">
        <v>0</v>
      </c>
      <c r="R214" s="2">
        <v>0</v>
      </c>
      <c r="S214" s="2">
        <v>2.5099999999999998</v>
      </c>
    </row>
    <row r="215" spans="1:19" ht="13.9" x14ac:dyDescent="0.3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ht="13.9" x14ac:dyDescent="0.3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11.15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ht="13.9" x14ac:dyDescent="0.3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v>4.9800000000000004</v>
      </c>
      <c r="L217" s="2">
        <v>16.48</v>
      </c>
      <c r="M217" s="2">
        <v>9.85</v>
      </c>
      <c r="N217" s="2">
        <v>19.45</v>
      </c>
      <c r="O217" s="2">
        <v>76.36</v>
      </c>
      <c r="P217" s="2">
        <v>34.770000000000003</v>
      </c>
      <c r="Q217" s="2">
        <v>0</v>
      </c>
      <c r="R217" s="2">
        <v>35.159999999999997</v>
      </c>
      <c r="S217" s="2">
        <v>20.11</v>
      </c>
    </row>
    <row r="218" spans="1:19" ht="13.9" x14ac:dyDescent="0.3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v>2.4900000000000002</v>
      </c>
      <c r="L218" s="2">
        <v>0</v>
      </c>
      <c r="M218" s="2">
        <v>0</v>
      </c>
      <c r="N218" s="2">
        <v>1.32</v>
      </c>
      <c r="O218" s="2">
        <v>16.100000000000001</v>
      </c>
      <c r="P218" s="2">
        <v>2.37</v>
      </c>
      <c r="Q218" s="2">
        <v>0</v>
      </c>
      <c r="R218" s="2">
        <v>9.6300000000000008</v>
      </c>
      <c r="S218" s="2">
        <v>32.68</v>
      </c>
    </row>
    <row r="219" spans="1:19" ht="13.9" x14ac:dyDescent="0.3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v>28541.61</v>
      </c>
      <c r="L219" s="2">
        <v>32223.73</v>
      </c>
      <c r="M219" s="2">
        <v>29320.21</v>
      </c>
      <c r="N219" s="2">
        <v>46428.76</v>
      </c>
      <c r="O219" s="2">
        <v>37218.54</v>
      </c>
      <c r="P219" s="2">
        <v>34930.44</v>
      </c>
      <c r="Q219" s="2">
        <v>33394.21</v>
      </c>
      <c r="R219" s="2">
        <v>43786.82</v>
      </c>
      <c r="S219" s="2">
        <v>41758.75</v>
      </c>
    </row>
    <row r="220" spans="1:19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10.220000000000001</v>
      </c>
      <c r="O222" s="2">
        <v>0</v>
      </c>
      <c r="P222" s="2">
        <v>0</v>
      </c>
      <c r="Q222" s="2">
        <v>0</v>
      </c>
      <c r="R222" s="2">
        <v>0.21</v>
      </c>
      <c r="S222" s="2">
        <v>0</v>
      </c>
    </row>
    <row r="223" spans="1:19" ht="13.9" x14ac:dyDescent="0.3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v>0</v>
      </c>
      <c r="L223" s="2">
        <v>0</v>
      </c>
      <c r="M223" s="2">
        <v>0</v>
      </c>
      <c r="N223" s="2">
        <v>0</v>
      </c>
      <c r="O223" s="2">
        <v>0.24</v>
      </c>
      <c r="P223" s="2">
        <v>0</v>
      </c>
      <c r="Q223" s="2">
        <v>9.34</v>
      </c>
      <c r="R223" s="2">
        <v>0</v>
      </c>
      <c r="S223" s="2">
        <v>0</v>
      </c>
    </row>
    <row r="224" spans="1:19" ht="13.9" x14ac:dyDescent="0.3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ht="13.9" x14ac:dyDescent="0.3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v>0</v>
      </c>
      <c r="L225" s="2">
        <v>0</v>
      </c>
      <c r="M225" s="2">
        <v>0</v>
      </c>
      <c r="N225" s="2">
        <v>7.91</v>
      </c>
      <c r="O225" s="2">
        <v>0</v>
      </c>
      <c r="P225" s="2">
        <v>0.91</v>
      </c>
      <c r="Q225" s="2">
        <v>0</v>
      </c>
      <c r="R225" s="2">
        <v>0</v>
      </c>
      <c r="S225" s="2">
        <v>0</v>
      </c>
    </row>
    <row r="226" spans="1:19" ht="13.9" x14ac:dyDescent="0.3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ht="13.9" x14ac:dyDescent="0.3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v>0</v>
      </c>
      <c r="L227" s="2">
        <v>0</v>
      </c>
      <c r="M227" s="2">
        <v>0</v>
      </c>
      <c r="N227" s="2">
        <v>0</v>
      </c>
      <c r="O227" s="2">
        <v>0.24</v>
      </c>
      <c r="P227" s="2">
        <v>0</v>
      </c>
      <c r="Q227" s="2">
        <v>0</v>
      </c>
      <c r="R227" s="2">
        <v>0</v>
      </c>
      <c r="S227" s="2">
        <v>0</v>
      </c>
    </row>
    <row r="228" spans="1:19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ht="13.9" x14ac:dyDescent="0.3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v>1963.43</v>
      </c>
      <c r="L229" s="2">
        <v>3034.09</v>
      </c>
      <c r="M229" s="2">
        <v>3363.98</v>
      </c>
      <c r="N229" s="2">
        <v>3602.68</v>
      </c>
      <c r="O229" s="2">
        <v>2365.94</v>
      </c>
      <c r="P229" s="2">
        <v>1623.29</v>
      </c>
      <c r="Q229" s="2">
        <v>1913.49</v>
      </c>
      <c r="R229" s="2">
        <v>3335.52</v>
      </c>
      <c r="S229" s="2">
        <v>7819.15</v>
      </c>
    </row>
    <row r="230" spans="1:19" ht="13.9" x14ac:dyDescent="0.3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v>210.41</v>
      </c>
      <c r="L230" s="2">
        <v>126.66</v>
      </c>
      <c r="M230" s="2">
        <v>212.39</v>
      </c>
      <c r="N230" s="2">
        <v>188.87</v>
      </c>
      <c r="O230" s="2">
        <v>121.74</v>
      </c>
      <c r="P230" s="2">
        <v>252.16</v>
      </c>
      <c r="Q230" s="2">
        <v>207.86</v>
      </c>
      <c r="R230" s="2">
        <v>277.72000000000003</v>
      </c>
      <c r="S230" s="2">
        <v>179.48</v>
      </c>
    </row>
    <row r="231" spans="1:19" ht="13.9" x14ac:dyDescent="0.3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v>80.23</v>
      </c>
      <c r="L231" s="2">
        <v>78.08</v>
      </c>
      <c r="M231" s="2">
        <v>60.42</v>
      </c>
      <c r="N231" s="2">
        <v>137.12</v>
      </c>
      <c r="O231" s="2">
        <v>104.42</v>
      </c>
      <c r="P231" s="2">
        <v>78.290000000000006</v>
      </c>
      <c r="Q231" s="2">
        <v>123.06</v>
      </c>
      <c r="R231" s="2">
        <v>153.82</v>
      </c>
      <c r="S231" s="2">
        <v>137.25</v>
      </c>
    </row>
    <row r="232" spans="1:19" ht="13.9" x14ac:dyDescent="0.3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v>10.62</v>
      </c>
      <c r="L232" s="2">
        <v>4.05</v>
      </c>
      <c r="M232" s="2">
        <v>0</v>
      </c>
      <c r="N232" s="2">
        <v>12.85</v>
      </c>
      <c r="O232" s="2">
        <v>5.12</v>
      </c>
      <c r="P232" s="2">
        <v>3.1</v>
      </c>
      <c r="Q232" s="2">
        <v>2.87</v>
      </c>
      <c r="R232" s="2">
        <v>2.09</v>
      </c>
      <c r="S232" s="2">
        <v>10.56</v>
      </c>
    </row>
    <row r="233" spans="1:19" ht="13.9" x14ac:dyDescent="0.3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2.6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0.24</v>
      </c>
      <c r="P235" s="2">
        <v>0</v>
      </c>
      <c r="Q235" s="2">
        <v>0</v>
      </c>
      <c r="R235" s="2">
        <v>0</v>
      </c>
      <c r="S235" s="2">
        <v>0</v>
      </c>
    </row>
    <row r="236" spans="1:19" ht="13.9" x14ac:dyDescent="0.3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v>0</v>
      </c>
      <c r="L236" s="2">
        <v>0</v>
      </c>
      <c r="M236" s="2">
        <v>17.63</v>
      </c>
      <c r="N236" s="2">
        <v>0.33</v>
      </c>
      <c r="O236" s="2">
        <v>0</v>
      </c>
      <c r="P236" s="2">
        <v>11.11</v>
      </c>
      <c r="Q236" s="2">
        <v>10.42</v>
      </c>
      <c r="R236" s="2">
        <v>0</v>
      </c>
      <c r="S236" s="2">
        <v>0</v>
      </c>
    </row>
    <row r="237" spans="1:19" ht="13.9" x14ac:dyDescent="0.3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ht="13.9" x14ac:dyDescent="0.3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v>13.5</v>
      </c>
      <c r="L238" s="2">
        <v>27.18</v>
      </c>
      <c r="M238" s="2">
        <v>8.3000000000000007</v>
      </c>
      <c r="N238" s="2">
        <v>5.27</v>
      </c>
      <c r="O238" s="2">
        <v>31.47</v>
      </c>
      <c r="P238" s="2">
        <v>7.46</v>
      </c>
      <c r="Q238" s="2">
        <v>0.36</v>
      </c>
      <c r="R238" s="2">
        <v>18</v>
      </c>
      <c r="S238" s="2">
        <v>17.09</v>
      </c>
    </row>
    <row r="239" spans="1:19" ht="13.9" x14ac:dyDescent="0.3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ht="13.9" x14ac:dyDescent="0.3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v>4.33</v>
      </c>
      <c r="L240" s="2">
        <v>18.22</v>
      </c>
      <c r="M240" s="2">
        <v>0</v>
      </c>
      <c r="N240" s="2">
        <v>0.33</v>
      </c>
      <c r="O240" s="2">
        <v>0.24</v>
      </c>
      <c r="P240" s="2">
        <v>0</v>
      </c>
      <c r="Q240" s="2">
        <v>0</v>
      </c>
      <c r="R240" s="2">
        <v>0</v>
      </c>
      <c r="S240" s="2">
        <v>0</v>
      </c>
    </row>
    <row r="241" spans="1:19" ht="13.9" x14ac:dyDescent="0.3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v>0</v>
      </c>
      <c r="L241" s="2">
        <v>0</v>
      </c>
      <c r="M241" s="2">
        <v>0</v>
      </c>
      <c r="N241" s="2">
        <v>0</v>
      </c>
      <c r="O241" s="2">
        <v>0.24</v>
      </c>
      <c r="P241" s="2">
        <v>0</v>
      </c>
      <c r="Q241" s="2">
        <v>4.3099999999999996</v>
      </c>
      <c r="R241" s="2">
        <v>5.65</v>
      </c>
      <c r="S241" s="2">
        <v>0</v>
      </c>
    </row>
    <row r="242" spans="1:19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5.6</v>
      </c>
      <c r="O243" s="2">
        <v>0.24</v>
      </c>
      <c r="P243" s="2">
        <v>0</v>
      </c>
      <c r="Q243" s="2">
        <v>0</v>
      </c>
      <c r="R243" s="2">
        <v>0</v>
      </c>
      <c r="S243" s="2">
        <v>0</v>
      </c>
    </row>
    <row r="244" spans="1:19" ht="13.9" x14ac:dyDescent="0.3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v>0</v>
      </c>
      <c r="L244" s="2">
        <v>0</v>
      </c>
      <c r="M244" s="2">
        <v>0</v>
      </c>
      <c r="N244" s="2">
        <v>3.96</v>
      </c>
      <c r="O244" s="2">
        <v>0</v>
      </c>
      <c r="P244" s="2">
        <v>10.56</v>
      </c>
      <c r="Q244" s="2">
        <v>0</v>
      </c>
      <c r="R244" s="2">
        <v>2.72</v>
      </c>
      <c r="S244" s="2">
        <v>0</v>
      </c>
    </row>
    <row r="245" spans="1:19" ht="13.9" x14ac:dyDescent="0.3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v>548.24</v>
      </c>
      <c r="L245" s="2">
        <v>896.75</v>
      </c>
      <c r="M245" s="2">
        <v>893.9</v>
      </c>
      <c r="N245" s="2">
        <v>1060.7</v>
      </c>
      <c r="O245" s="2">
        <v>845.81</v>
      </c>
      <c r="P245" s="2">
        <v>940.91</v>
      </c>
      <c r="Q245" s="2">
        <v>872.4</v>
      </c>
      <c r="R245" s="2">
        <v>1009.36</v>
      </c>
      <c r="S245" s="2">
        <v>1280.48</v>
      </c>
    </row>
    <row r="246" spans="1:19" ht="13.9" x14ac:dyDescent="0.3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v>2.1</v>
      </c>
      <c r="L246" s="2">
        <v>20.53</v>
      </c>
      <c r="M246" s="2">
        <v>0.78</v>
      </c>
      <c r="N246" s="2">
        <v>3.63</v>
      </c>
      <c r="O246" s="2">
        <v>18.79</v>
      </c>
      <c r="P246" s="2">
        <v>1.46</v>
      </c>
      <c r="Q246" s="2">
        <v>1.08</v>
      </c>
      <c r="R246" s="2">
        <v>19.670000000000002</v>
      </c>
      <c r="S246" s="2">
        <v>2.5099999999999998</v>
      </c>
    </row>
    <row r="247" spans="1:19" ht="13.9" x14ac:dyDescent="0.3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v>4.72</v>
      </c>
      <c r="L247" s="2">
        <v>21.98</v>
      </c>
      <c r="M247" s="2">
        <v>0</v>
      </c>
      <c r="N247" s="2">
        <v>4.6100000000000003</v>
      </c>
      <c r="O247" s="2">
        <v>7.07</v>
      </c>
      <c r="P247" s="2">
        <v>3.1</v>
      </c>
      <c r="Q247" s="2">
        <v>3.95</v>
      </c>
      <c r="R247" s="2">
        <v>3.14</v>
      </c>
      <c r="S247" s="2">
        <v>6.03</v>
      </c>
    </row>
    <row r="248" spans="1:19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ht="13.9" x14ac:dyDescent="0.3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ht="13.9" x14ac:dyDescent="0.3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v>7852.53</v>
      </c>
      <c r="L250" s="2">
        <v>10454.469999999999</v>
      </c>
      <c r="M250" s="2">
        <v>5392.69</v>
      </c>
      <c r="N250" s="2">
        <v>8310.23</v>
      </c>
      <c r="O250" s="2">
        <v>12398.86</v>
      </c>
      <c r="P250" s="2">
        <v>8290.51</v>
      </c>
      <c r="Q250" s="2">
        <v>5927.14</v>
      </c>
      <c r="R250" s="2">
        <v>11937.81</v>
      </c>
      <c r="S250" s="2">
        <v>13177.37</v>
      </c>
    </row>
    <row r="251" spans="1:19" ht="13.9" x14ac:dyDescent="0.3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ht="13.9" x14ac:dyDescent="0.3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v>632.15</v>
      </c>
      <c r="L252" s="2">
        <v>645.74</v>
      </c>
      <c r="M252" s="2">
        <v>815.58</v>
      </c>
      <c r="N252" s="2">
        <v>952.25</v>
      </c>
      <c r="O252" s="2">
        <v>847.28</v>
      </c>
      <c r="P252" s="2">
        <v>604.09</v>
      </c>
      <c r="Q252" s="2">
        <v>598.79</v>
      </c>
      <c r="R252" s="2">
        <v>878.98</v>
      </c>
      <c r="S252" s="2">
        <v>1117.5999999999999</v>
      </c>
    </row>
    <row r="253" spans="1:19" ht="13.9" x14ac:dyDescent="0.3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v>468.67</v>
      </c>
      <c r="L253" s="2">
        <v>844.7</v>
      </c>
      <c r="M253" s="2">
        <v>603.19000000000005</v>
      </c>
      <c r="N253" s="2">
        <v>878.75</v>
      </c>
      <c r="O253" s="2">
        <v>1121.49</v>
      </c>
      <c r="P253" s="2">
        <v>659.8</v>
      </c>
      <c r="Q253" s="2">
        <v>723.82</v>
      </c>
      <c r="R253" s="2">
        <v>842.15</v>
      </c>
      <c r="S253" s="2">
        <v>1039.67</v>
      </c>
    </row>
    <row r="254" spans="1:19" ht="13.9" x14ac:dyDescent="0.3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v>267.7</v>
      </c>
      <c r="L254" s="2">
        <v>288.31</v>
      </c>
      <c r="M254" s="2">
        <v>178.42</v>
      </c>
      <c r="N254" s="2">
        <v>366.53</v>
      </c>
      <c r="O254" s="2">
        <v>419.86</v>
      </c>
      <c r="P254" s="2">
        <v>345.56</v>
      </c>
      <c r="Q254" s="2">
        <v>350.5</v>
      </c>
      <c r="R254" s="2">
        <v>533.46</v>
      </c>
      <c r="S254" s="2">
        <v>381.08</v>
      </c>
    </row>
    <row r="255" spans="1:19" ht="13.9" x14ac:dyDescent="0.3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v>428.03</v>
      </c>
      <c r="L255" s="2">
        <v>493.34</v>
      </c>
      <c r="M255" s="2">
        <v>442.41</v>
      </c>
      <c r="N255" s="2">
        <v>776.9</v>
      </c>
      <c r="O255" s="2">
        <v>542.80999999999995</v>
      </c>
      <c r="P255" s="2">
        <v>425.49</v>
      </c>
      <c r="Q255" s="2">
        <v>254.93</v>
      </c>
      <c r="R255" s="2">
        <v>634.54</v>
      </c>
      <c r="S255" s="2">
        <v>459</v>
      </c>
    </row>
    <row r="256" spans="1:19" ht="13.9" x14ac:dyDescent="0.3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ht="13.9" x14ac:dyDescent="0.3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v>4.2</v>
      </c>
      <c r="L257" s="2">
        <v>8.39</v>
      </c>
      <c r="M257" s="2">
        <v>1.82</v>
      </c>
      <c r="N257" s="2">
        <v>0</v>
      </c>
      <c r="O257" s="2">
        <v>1.46</v>
      </c>
      <c r="P257" s="2">
        <v>0.18</v>
      </c>
      <c r="Q257" s="2">
        <v>0.36</v>
      </c>
      <c r="R257" s="2">
        <v>6.7</v>
      </c>
      <c r="S257" s="2">
        <v>2.5099999999999998</v>
      </c>
    </row>
    <row r="258" spans="1:19" ht="13.9" x14ac:dyDescent="0.3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v>26.87</v>
      </c>
      <c r="L258" s="2">
        <v>16.190000000000001</v>
      </c>
      <c r="M258" s="2">
        <v>6.74</v>
      </c>
      <c r="N258" s="2">
        <v>12.85</v>
      </c>
      <c r="O258" s="2">
        <v>24.88</v>
      </c>
      <c r="P258" s="2">
        <v>28.95</v>
      </c>
      <c r="Q258" s="2">
        <v>15.63</v>
      </c>
      <c r="R258" s="2">
        <v>22.6</v>
      </c>
      <c r="S258" s="2">
        <v>28.66</v>
      </c>
    </row>
    <row r="259" spans="1:19" ht="13.9" x14ac:dyDescent="0.3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v>0</v>
      </c>
      <c r="L259" s="2">
        <v>0</v>
      </c>
      <c r="M259" s="2">
        <v>0</v>
      </c>
      <c r="N259" s="2">
        <v>1.65</v>
      </c>
      <c r="O259" s="2">
        <v>0</v>
      </c>
      <c r="P259" s="2">
        <v>0</v>
      </c>
      <c r="Q259" s="2">
        <v>0</v>
      </c>
      <c r="R259" s="2">
        <v>3.98</v>
      </c>
      <c r="S259" s="2">
        <v>0</v>
      </c>
    </row>
    <row r="260" spans="1:19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ht="13.9" x14ac:dyDescent="0.3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ht="13.9" x14ac:dyDescent="0.3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v>133.72</v>
      </c>
      <c r="L262" s="2">
        <v>229.32</v>
      </c>
      <c r="M262" s="2">
        <v>261.92</v>
      </c>
      <c r="N262" s="2">
        <v>187.55</v>
      </c>
      <c r="O262" s="2">
        <v>379.85</v>
      </c>
      <c r="P262" s="2">
        <v>177.7</v>
      </c>
      <c r="Q262" s="2">
        <v>125.4</v>
      </c>
      <c r="R262" s="2">
        <v>228.53</v>
      </c>
      <c r="S262" s="2">
        <v>382.08</v>
      </c>
    </row>
    <row r="263" spans="1:19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ht="13.9" x14ac:dyDescent="0.3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v>0</v>
      </c>
      <c r="L264" s="2">
        <v>0</v>
      </c>
      <c r="M264" s="2">
        <v>0</v>
      </c>
      <c r="N264" s="2">
        <v>0.66</v>
      </c>
      <c r="O264" s="2">
        <v>0</v>
      </c>
      <c r="P264" s="2">
        <v>0</v>
      </c>
      <c r="Q264" s="2">
        <v>0</v>
      </c>
      <c r="R264" s="2">
        <v>1.05</v>
      </c>
      <c r="S264" s="2">
        <v>0</v>
      </c>
    </row>
    <row r="265" spans="1:19" ht="13.9" x14ac:dyDescent="0.3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v>23.6</v>
      </c>
      <c r="L265" s="2">
        <v>45.4</v>
      </c>
      <c r="M265" s="2">
        <v>32.159999999999997</v>
      </c>
      <c r="N265" s="2">
        <v>57.35</v>
      </c>
      <c r="O265" s="2">
        <v>37.57</v>
      </c>
      <c r="P265" s="2">
        <v>57.9</v>
      </c>
      <c r="Q265" s="2">
        <v>24.79</v>
      </c>
      <c r="R265" s="2">
        <v>39.340000000000003</v>
      </c>
      <c r="S265" s="2">
        <v>156.86000000000001</v>
      </c>
    </row>
    <row r="266" spans="1:19" ht="13.9" x14ac:dyDescent="0.3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v>8.52</v>
      </c>
      <c r="L266" s="2">
        <v>19.09</v>
      </c>
      <c r="M266" s="2">
        <v>5.45</v>
      </c>
      <c r="N266" s="2">
        <v>31.97</v>
      </c>
      <c r="O266" s="2">
        <v>38.549999999999997</v>
      </c>
      <c r="P266" s="2">
        <v>34.049999999999997</v>
      </c>
      <c r="Q266" s="2">
        <v>57.67</v>
      </c>
      <c r="R266" s="2">
        <v>38.93</v>
      </c>
      <c r="S266" s="2">
        <v>137.75</v>
      </c>
    </row>
    <row r="267" spans="1:19" ht="13.9" x14ac:dyDescent="0.3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v>0.13</v>
      </c>
      <c r="L267" s="2">
        <v>0</v>
      </c>
      <c r="M267" s="2">
        <v>0</v>
      </c>
      <c r="N267" s="2">
        <v>8.9</v>
      </c>
      <c r="O267" s="2">
        <v>0</v>
      </c>
      <c r="P267" s="2">
        <v>0</v>
      </c>
      <c r="Q267" s="2">
        <v>0</v>
      </c>
      <c r="R267" s="2">
        <v>23.86</v>
      </c>
      <c r="S267" s="2">
        <v>0</v>
      </c>
    </row>
    <row r="268" spans="1:19" ht="13.9" x14ac:dyDescent="0.3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9.6999999999999993</v>
      </c>
      <c r="R268" s="2">
        <v>6.49</v>
      </c>
      <c r="S268" s="2">
        <v>0</v>
      </c>
    </row>
    <row r="269" spans="1:19" ht="13.9" x14ac:dyDescent="0.3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v>7.73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ht="13.9" x14ac:dyDescent="0.3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v>4.72</v>
      </c>
      <c r="L270" s="2">
        <v>0</v>
      </c>
      <c r="M270" s="2">
        <v>0.26</v>
      </c>
      <c r="N270" s="2">
        <v>0</v>
      </c>
      <c r="O270" s="2">
        <v>0</v>
      </c>
      <c r="P270" s="2">
        <v>0</v>
      </c>
      <c r="Q270" s="2">
        <v>0.18</v>
      </c>
      <c r="R270" s="2">
        <v>4.3899999999999997</v>
      </c>
      <c r="S270" s="2">
        <v>0</v>
      </c>
    </row>
    <row r="271" spans="1:19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ht="13.9" x14ac:dyDescent="0.3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v>13.63</v>
      </c>
      <c r="L273" s="2">
        <v>0.28999999999999998</v>
      </c>
      <c r="M273" s="2">
        <v>1.3</v>
      </c>
      <c r="N273" s="2">
        <v>23.73</v>
      </c>
      <c r="O273" s="2">
        <v>4.3899999999999997</v>
      </c>
      <c r="P273" s="2">
        <v>25.31</v>
      </c>
      <c r="Q273" s="2">
        <v>10.42</v>
      </c>
      <c r="R273" s="2">
        <v>57.76</v>
      </c>
      <c r="S273" s="2">
        <v>13.07</v>
      </c>
    </row>
    <row r="274" spans="1:19" ht="13.9" x14ac:dyDescent="0.3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v>65.55</v>
      </c>
      <c r="L274" s="2">
        <v>128.69</v>
      </c>
      <c r="M274" s="2">
        <v>98.28</v>
      </c>
      <c r="N274" s="2">
        <v>95.26</v>
      </c>
      <c r="O274" s="2">
        <v>120.27</v>
      </c>
      <c r="P274" s="2">
        <v>32.229999999999997</v>
      </c>
      <c r="Q274" s="2">
        <v>41.14</v>
      </c>
      <c r="R274" s="2">
        <v>26.58</v>
      </c>
      <c r="S274" s="2">
        <v>76.92</v>
      </c>
    </row>
    <row r="275" spans="1:19" ht="13.9" x14ac:dyDescent="0.3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v>0</v>
      </c>
      <c r="L275" s="2">
        <v>10.119999999999999</v>
      </c>
      <c r="M275" s="2">
        <v>11.67</v>
      </c>
      <c r="N275" s="2">
        <v>5.93</v>
      </c>
      <c r="O275" s="2">
        <v>0</v>
      </c>
      <c r="P275" s="2">
        <v>0</v>
      </c>
      <c r="Q275" s="2">
        <v>3.05</v>
      </c>
      <c r="R275" s="2">
        <v>0</v>
      </c>
      <c r="S275" s="2">
        <v>0</v>
      </c>
    </row>
    <row r="276" spans="1:19" ht="13.9" x14ac:dyDescent="0.3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v>163.47999999999999</v>
      </c>
      <c r="L276" s="2">
        <v>141.99</v>
      </c>
      <c r="M276" s="2">
        <v>109.7</v>
      </c>
      <c r="N276" s="2">
        <v>130.86000000000001</v>
      </c>
      <c r="O276" s="2">
        <v>81.239999999999995</v>
      </c>
      <c r="P276" s="2">
        <v>128.16999999999999</v>
      </c>
      <c r="Q276" s="2">
        <v>22.1</v>
      </c>
      <c r="R276" s="2">
        <v>176.21</v>
      </c>
      <c r="S276" s="2">
        <v>173.95</v>
      </c>
    </row>
    <row r="277" spans="1:19" ht="13.9" x14ac:dyDescent="0.3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v>8.39</v>
      </c>
      <c r="L277" s="2">
        <v>13.88</v>
      </c>
      <c r="M277" s="2">
        <v>0</v>
      </c>
      <c r="N277" s="2">
        <v>3.96</v>
      </c>
      <c r="O277" s="2">
        <v>24.88</v>
      </c>
      <c r="P277" s="2">
        <v>7.46</v>
      </c>
      <c r="Q277" s="2">
        <v>3.23</v>
      </c>
      <c r="R277" s="2">
        <v>6.49</v>
      </c>
      <c r="S277" s="2">
        <v>0</v>
      </c>
    </row>
    <row r="278" spans="1:19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ht="13.9" x14ac:dyDescent="0.3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v>731.25</v>
      </c>
      <c r="L279" s="2">
        <v>1529.48</v>
      </c>
      <c r="M279" s="2">
        <v>675.55</v>
      </c>
      <c r="N279" s="2">
        <v>786.46</v>
      </c>
      <c r="O279" s="2">
        <v>1060.5</v>
      </c>
      <c r="P279" s="2">
        <v>457.53</v>
      </c>
      <c r="Q279" s="2">
        <v>567.71</v>
      </c>
      <c r="R279" s="2">
        <v>931.93</v>
      </c>
      <c r="S279" s="2">
        <v>2455.89</v>
      </c>
    </row>
    <row r="280" spans="1:19" ht="13.9" x14ac:dyDescent="0.3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v>0</v>
      </c>
      <c r="L280" s="2">
        <v>0</v>
      </c>
      <c r="M280" s="2">
        <v>0</v>
      </c>
      <c r="N280" s="2">
        <v>0</v>
      </c>
      <c r="O280" s="2">
        <v>0.24</v>
      </c>
      <c r="P280" s="2">
        <v>0</v>
      </c>
      <c r="Q280" s="2">
        <v>0</v>
      </c>
      <c r="R280" s="2">
        <v>0</v>
      </c>
      <c r="S280" s="2">
        <v>0</v>
      </c>
    </row>
    <row r="281" spans="1:19" ht="13.9" x14ac:dyDescent="0.3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v>2152.08</v>
      </c>
      <c r="L281" s="2">
        <v>3143.69</v>
      </c>
      <c r="M281" s="2">
        <v>2112.21</v>
      </c>
      <c r="N281" s="2">
        <v>2822.81</v>
      </c>
      <c r="O281" s="2">
        <v>3849.23</v>
      </c>
      <c r="P281" s="2">
        <v>2181.87</v>
      </c>
      <c r="Q281" s="2">
        <v>1842.53</v>
      </c>
      <c r="R281" s="2">
        <v>3174.17</v>
      </c>
      <c r="S281" s="2">
        <v>4432.17</v>
      </c>
    </row>
    <row r="282" spans="1:19" ht="13.9" x14ac:dyDescent="0.3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v>67.78</v>
      </c>
      <c r="L282" s="2">
        <v>117.12</v>
      </c>
      <c r="M282" s="2">
        <v>97.51</v>
      </c>
      <c r="N282" s="2">
        <v>128.55000000000001</v>
      </c>
      <c r="O282" s="2">
        <v>186.87</v>
      </c>
      <c r="P282" s="2">
        <v>77.010000000000005</v>
      </c>
      <c r="Q282" s="2">
        <v>134.02000000000001</v>
      </c>
      <c r="R282" s="2">
        <v>231.46</v>
      </c>
      <c r="S282" s="2">
        <v>117.64</v>
      </c>
    </row>
    <row r="283" spans="1:19" ht="13.9" x14ac:dyDescent="0.3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v>1234.8</v>
      </c>
      <c r="L283" s="2">
        <v>1659.9</v>
      </c>
      <c r="M283" s="2">
        <v>1787.02</v>
      </c>
      <c r="N283" s="2">
        <v>2638.23</v>
      </c>
      <c r="O283" s="2">
        <v>1727</v>
      </c>
      <c r="P283" s="2">
        <v>1790.24</v>
      </c>
      <c r="Q283" s="2">
        <v>1446.57</v>
      </c>
      <c r="R283" s="2">
        <v>1822.63</v>
      </c>
      <c r="S283" s="2">
        <v>2028.06</v>
      </c>
    </row>
    <row r="284" spans="1:19" ht="13.9" x14ac:dyDescent="0.3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v>0</v>
      </c>
      <c r="L284" s="2">
        <v>0</v>
      </c>
      <c r="M284" s="2">
        <v>0</v>
      </c>
      <c r="N284" s="2">
        <v>0</v>
      </c>
      <c r="O284" s="2">
        <v>4.3899999999999997</v>
      </c>
      <c r="P284" s="2">
        <v>0</v>
      </c>
      <c r="Q284" s="2">
        <v>0</v>
      </c>
      <c r="R284" s="2">
        <v>0</v>
      </c>
      <c r="S284" s="2">
        <v>0</v>
      </c>
    </row>
    <row r="285" spans="1:19" ht="13.9" x14ac:dyDescent="0.3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ht="13.9" x14ac:dyDescent="0.3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ht="13.9" x14ac:dyDescent="0.3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ht="13.9" x14ac:dyDescent="0.3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v>0</v>
      </c>
      <c r="L290" s="2">
        <v>0</v>
      </c>
      <c r="M290" s="2">
        <v>0</v>
      </c>
      <c r="N290" s="2">
        <v>4.6100000000000003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0.5</v>
      </c>
    </row>
    <row r="293" spans="1:19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ht="13.9" x14ac:dyDescent="0.3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ht="13.9" x14ac:dyDescent="0.3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12.07</v>
      </c>
    </row>
    <row r="296" spans="1:19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ht="13.9" x14ac:dyDescent="0.3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0.18</v>
      </c>
      <c r="Q297" s="2">
        <v>0</v>
      </c>
      <c r="R297" s="2">
        <v>0</v>
      </c>
      <c r="S297" s="2">
        <v>0</v>
      </c>
    </row>
    <row r="298" spans="1:19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ht="13.9" x14ac:dyDescent="0.3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ht="13.9" x14ac:dyDescent="0.3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ht="13.9" x14ac:dyDescent="0.3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ht="13.9" x14ac:dyDescent="0.3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19.100000000000001</v>
      </c>
    </row>
    <row r="305" spans="1:19" ht="13.9" x14ac:dyDescent="0.3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>
        <v>0</v>
      </c>
      <c r="L306" s="2">
        <v>0.57999999999999996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ht="13.9" x14ac:dyDescent="0.3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v>11.27</v>
      </c>
      <c r="L307" s="2">
        <v>0</v>
      </c>
      <c r="M307" s="2">
        <v>0</v>
      </c>
      <c r="N307" s="2">
        <v>0</v>
      </c>
      <c r="O307" s="2">
        <v>14.15</v>
      </c>
      <c r="P307" s="2">
        <v>0</v>
      </c>
      <c r="Q307" s="2">
        <v>0</v>
      </c>
      <c r="R307" s="2">
        <v>0</v>
      </c>
      <c r="S307" s="2">
        <v>0</v>
      </c>
    </row>
    <row r="308" spans="1:19" ht="13.9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>
        <v>0</v>
      </c>
      <c r="L308" s="2">
        <v>0</v>
      </c>
      <c r="M308" s="2">
        <v>7.52</v>
      </c>
      <c r="N308" s="2">
        <v>0</v>
      </c>
      <c r="O308" s="2">
        <v>0</v>
      </c>
      <c r="P308" s="2">
        <v>5.28</v>
      </c>
      <c r="Q308" s="2">
        <v>0</v>
      </c>
      <c r="R308" s="2">
        <v>0</v>
      </c>
      <c r="S308" s="2">
        <v>0</v>
      </c>
    </row>
    <row r="309" spans="1:19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ht="13.9" x14ac:dyDescent="0.3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2.93</v>
      </c>
      <c r="S311" s="2">
        <v>0</v>
      </c>
    </row>
    <row r="312" spans="1:19" ht="13.9" x14ac:dyDescent="0.3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ht="13.9" x14ac:dyDescent="0.3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v>0</v>
      </c>
      <c r="L313" s="2">
        <v>0.28999999999999998</v>
      </c>
      <c r="M313" s="2">
        <v>0.26</v>
      </c>
      <c r="N313" s="2">
        <v>6.92</v>
      </c>
      <c r="O313" s="2">
        <v>8.2899999999999991</v>
      </c>
      <c r="P313" s="2">
        <v>2.1800000000000002</v>
      </c>
      <c r="Q313" s="2">
        <v>0</v>
      </c>
      <c r="R313" s="2">
        <v>2.09</v>
      </c>
      <c r="S313" s="2">
        <v>5.03</v>
      </c>
    </row>
    <row r="314" spans="1:19" ht="13.9" x14ac:dyDescent="0.3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v>6.82</v>
      </c>
      <c r="L314" s="2">
        <v>10.41</v>
      </c>
      <c r="M314" s="2">
        <v>7.52</v>
      </c>
      <c r="N314" s="2">
        <v>4.28</v>
      </c>
      <c r="O314" s="2">
        <v>0</v>
      </c>
      <c r="P314" s="2">
        <v>0</v>
      </c>
      <c r="Q314" s="2">
        <v>0</v>
      </c>
      <c r="R314" s="2">
        <v>0.21</v>
      </c>
      <c r="S314" s="2">
        <v>0.5</v>
      </c>
    </row>
    <row r="315" spans="1:19" ht="13.9" x14ac:dyDescent="0.3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ht="13.9" x14ac:dyDescent="0.3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ht="13.9" x14ac:dyDescent="0.3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ht="13.9" x14ac:dyDescent="0.3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0.57999999999999996</v>
      </c>
      <c r="M320" s="2">
        <v>1.3</v>
      </c>
      <c r="N320" s="2">
        <v>2.31</v>
      </c>
      <c r="O320" s="2">
        <v>0.24</v>
      </c>
      <c r="P320" s="2">
        <v>0</v>
      </c>
      <c r="Q320" s="2">
        <v>0</v>
      </c>
      <c r="R320" s="2">
        <v>0.21</v>
      </c>
      <c r="S320" s="2">
        <v>0</v>
      </c>
    </row>
    <row r="321" spans="1:19" ht="13.9" x14ac:dyDescent="0.3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v>0</v>
      </c>
      <c r="L321" s="2">
        <v>0</v>
      </c>
      <c r="M321" s="2">
        <v>0</v>
      </c>
      <c r="N321" s="2">
        <v>0.99</v>
      </c>
      <c r="O321" s="2">
        <v>0</v>
      </c>
      <c r="P321" s="2">
        <v>7.1</v>
      </c>
      <c r="Q321" s="2">
        <v>0</v>
      </c>
      <c r="R321" s="2">
        <v>0</v>
      </c>
      <c r="S321" s="2">
        <v>16.09</v>
      </c>
    </row>
    <row r="322" spans="1:19" ht="13.9" x14ac:dyDescent="0.3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v>10.09</v>
      </c>
      <c r="L322" s="2">
        <v>0</v>
      </c>
      <c r="M322" s="2">
        <v>0</v>
      </c>
      <c r="N322" s="2">
        <v>17.14</v>
      </c>
      <c r="O322" s="2">
        <v>6.59</v>
      </c>
      <c r="P322" s="2">
        <v>12.02</v>
      </c>
      <c r="Q322" s="2">
        <v>23.18</v>
      </c>
      <c r="R322" s="2">
        <v>0</v>
      </c>
      <c r="S322" s="2">
        <v>15.08</v>
      </c>
    </row>
    <row r="323" spans="1:19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ht="13.9" x14ac:dyDescent="0.3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v>0</v>
      </c>
      <c r="L324" s="2">
        <v>0</v>
      </c>
      <c r="M324" s="2">
        <v>0</v>
      </c>
      <c r="N324" s="2">
        <v>0.33</v>
      </c>
      <c r="O324" s="2">
        <v>0</v>
      </c>
      <c r="P324" s="2">
        <v>0</v>
      </c>
      <c r="Q324" s="2">
        <v>0.18</v>
      </c>
      <c r="R324" s="2">
        <v>6.91</v>
      </c>
      <c r="S324" s="2">
        <v>0</v>
      </c>
    </row>
    <row r="325" spans="1:19" ht="13.9" x14ac:dyDescent="0.3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ht="13.9" x14ac:dyDescent="0.3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ht="13.9" x14ac:dyDescent="0.3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4.9400000000000004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ht="13.9" x14ac:dyDescent="0.3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ht="13.9" x14ac:dyDescent="0.3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ht="13.9" x14ac:dyDescent="0.3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ht="13.9" x14ac:dyDescent="0.3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ht="13.9" x14ac:dyDescent="0.3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v>4.8499999999999996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ht="13.9" x14ac:dyDescent="0.3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ht="13.9" x14ac:dyDescent="0.3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7.01</v>
      </c>
      <c r="R336" s="2">
        <v>0</v>
      </c>
      <c r="S336" s="2">
        <v>0</v>
      </c>
    </row>
    <row r="337" spans="1:19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ht="13.9" x14ac:dyDescent="0.3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v>6.03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10.24</v>
      </c>
      <c r="R338" s="2">
        <v>0</v>
      </c>
      <c r="S338" s="2">
        <v>0</v>
      </c>
    </row>
    <row r="339" spans="1:19" ht="13.9" x14ac:dyDescent="0.3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5.28</v>
      </c>
      <c r="Q339" s="2">
        <v>1.08</v>
      </c>
      <c r="R339" s="2">
        <v>0</v>
      </c>
      <c r="S339" s="2">
        <v>0</v>
      </c>
    </row>
    <row r="340" spans="1:19" ht="13.9" x14ac:dyDescent="0.3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ht="13.9" x14ac:dyDescent="0.3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ht="13.9" x14ac:dyDescent="0.3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ht="13.9" x14ac:dyDescent="0.3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v>0</v>
      </c>
      <c r="L343" s="2">
        <v>0</v>
      </c>
      <c r="M343" s="2">
        <v>0</v>
      </c>
      <c r="N343" s="2">
        <v>0.99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ht="13.9" x14ac:dyDescent="0.3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v>0</v>
      </c>
      <c r="L344" s="2">
        <v>0</v>
      </c>
      <c r="M344" s="2">
        <v>0</v>
      </c>
      <c r="N344" s="2">
        <v>0</v>
      </c>
      <c r="O344" s="2">
        <v>0.98</v>
      </c>
      <c r="P344" s="2">
        <v>0</v>
      </c>
      <c r="Q344" s="2">
        <v>0</v>
      </c>
      <c r="R344" s="2">
        <v>0</v>
      </c>
      <c r="S344" s="2">
        <v>0</v>
      </c>
    </row>
    <row r="345" spans="1:19" ht="13.9" x14ac:dyDescent="0.3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5.21</v>
      </c>
      <c r="R346" s="2">
        <v>0</v>
      </c>
      <c r="S346" s="2">
        <v>0</v>
      </c>
    </row>
    <row r="347" spans="1:19" ht="13.9" x14ac:dyDescent="0.3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v>19.14</v>
      </c>
      <c r="L347" s="2">
        <v>19.09</v>
      </c>
      <c r="M347" s="2">
        <v>40.450000000000003</v>
      </c>
      <c r="N347" s="2">
        <v>37.25</v>
      </c>
      <c r="O347" s="2">
        <v>0</v>
      </c>
      <c r="P347" s="2">
        <v>18.02</v>
      </c>
      <c r="Q347" s="2">
        <v>11.14</v>
      </c>
      <c r="R347" s="2">
        <v>3.35</v>
      </c>
      <c r="S347" s="2">
        <v>25.64</v>
      </c>
    </row>
    <row r="348" spans="1:19" ht="13.9" x14ac:dyDescent="0.3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0.9</v>
      </c>
      <c r="R348" s="2">
        <v>0</v>
      </c>
      <c r="S348" s="2">
        <v>0</v>
      </c>
    </row>
    <row r="349" spans="1:19" ht="13.9" x14ac:dyDescent="0.3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v>3.41</v>
      </c>
      <c r="L349" s="2">
        <v>18.510000000000002</v>
      </c>
      <c r="M349" s="2">
        <v>0</v>
      </c>
      <c r="N349" s="2">
        <v>41.2</v>
      </c>
      <c r="O349" s="2">
        <v>14.39</v>
      </c>
      <c r="P349" s="2">
        <v>7.65</v>
      </c>
      <c r="Q349" s="2">
        <v>7.19</v>
      </c>
      <c r="R349" s="2">
        <v>12.77</v>
      </c>
      <c r="S349" s="2">
        <v>24.63</v>
      </c>
    </row>
    <row r="350" spans="1:19" ht="13.9" x14ac:dyDescent="0.3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v>2.88</v>
      </c>
      <c r="L350" s="2">
        <v>12.15</v>
      </c>
      <c r="M350" s="2">
        <v>1.82</v>
      </c>
      <c r="N350" s="2">
        <v>2.97</v>
      </c>
      <c r="O350" s="2">
        <v>0</v>
      </c>
      <c r="P350" s="2">
        <v>0</v>
      </c>
      <c r="Q350" s="2">
        <v>0</v>
      </c>
      <c r="R350" s="2">
        <v>7.74</v>
      </c>
      <c r="S350" s="2">
        <v>13.07</v>
      </c>
    </row>
    <row r="351" spans="1:19" ht="13.9" x14ac:dyDescent="0.3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v>0</v>
      </c>
      <c r="L351" s="2">
        <v>0</v>
      </c>
      <c r="M351" s="2">
        <v>0.26</v>
      </c>
      <c r="N351" s="2">
        <v>0</v>
      </c>
      <c r="O351" s="2">
        <v>0</v>
      </c>
      <c r="P351" s="2">
        <v>26.76</v>
      </c>
      <c r="Q351" s="2">
        <v>8.8000000000000007</v>
      </c>
      <c r="R351" s="2">
        <v>9.42</v>
      </c>
      <c r="S351" s="2">
        <v>25.64</v>
      </c>
    </row>
    <row r="352" spans="1:19" ht="13.9" x14ac:dyDescent="0.3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4.8099999999999996</v>
      </c>
      <c r="S352" s="2">
        <v>0</v>
      </c>
    </row>
    <row r="353" spans="1:19" ht="13.9" x14ac:dyDescent="0.3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ht="13.9" x14ac:dyDescent="0.3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v>19.010000000000002</v>
      </c>
      <c r="L354" s="2">
        <v>14.75</v>
      </c>
      <c r="M354" s="2">
        <v>0</v>
      </c>
      <c r="N354" s="2">
        <v>39.22</v>
      </c>
      <c r="O354" s="2">
        <v>24.88</v>
      </c>
      <c r="P354" s="2">
        <v>22.58</v>
      </c>
      <c r="Q354" s="2">
        <v>13.11</v>
      </c>
      <c r="R354" s="2">
        <v>28.25</v>
      </c>
      <c r="S354" s="2">
        <v>13.07</v>
      </c>
    </row>
    <row r="355" spans="1:19" ht="13.9" x14ac:dyDescent="0.3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v>0</v>
      </c>
      <c r="L355" s="2">
        <v>0</v>
      </c>
      <c r="M355" s="2">
        <v>24.12</v>
      </c>
      <c r="N355" s="2">
        <v>0</v>
      </c>
      <c r="O355" s="2">
        <v>15.13</v>
      </c>
      <c r="P355" s="2">
        <v>0</v>
      </c>
      <c r="Q355" s="2">
        <v>10.24</v>
      </c>
      <c r="R355" s="2">
        <v>4.8099999999999996</v>
      </c>
      <c r="S355" s="2">
        <v>0</v>
      </c>
    </row>
    <row r="356" spans="1:19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ht="13.9" x14ac:dyDescent="0.3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v>0</v>
      </c>
      <c r="L357" s="2">
        <v>0</v>
      </c>
      <c r="M357" s="2">
        <v>23.6</v>
      </c>
      <c r="N357" s="2">
        <v>35.93</v>
      </c>
      <c r="O357" s="2">
        <v>15.13</v>
      </c>
      <c r="P357" s="2">
        <v>11.65</v>
      </c>
      <c r="Q357" s="2">
        <v>11.14</v>
      </c>
      <c r="R357" s="2">
        <v>23.23</v>
      </c>
      <c r="S357" s="2">
        <v>5.03</v>
      </c>
    </row>
    <row r="358" spans="1:19" ht="13.9" x14ac:dyDescent="0.3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ht="13.9" x14ac:dyDescent="0.3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v>9.18</v>
      </c>
      <c r="L359" s="2">
        <v>18.22</v>
      </c>
      <c r="M359" s="2">
        <v>0.26</v>
      </c>
      <c r="N359" s="2">
        <v>5.93</v>
      </c>
      <c r="O359" s="2">
        <v>4.6399999999999997</v>
      </c>
      <c r="P359" s="2">
        <v>2.73</v>
      </c>
      <c r="Q359" s="2">
        <v>11.32</v>
      </c>
      <c r="R359" s="2">
        <v>5.65</v>
      </c>
      <c r="S359" s="2">
        <v>0</v>
      </c>
    </row>
    <row r="360" spans="1:19" ht="13.9" x14ac:dyDescent="0.3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v>21.37</v>
      </c>
      <c r="L360" s="2">
        <v>19.09</v>
      </c>
      <c r="M360" s="2">
        <v>12.45</v>
      </c>
      <c r="N360" s="2">
        <v>3.63</v>
      </c>
      <c r="O360" s="2">
        <v>6.59</v>
      </c>
      <c r="P360" s="2">
        <v>4.37</v>
      </c>
      <c r="Q360" s="2">
        <v>0.18</v>
      </c>
      <c r="R360" s="2">
        <v>4.8099999999999996</v>
      </c>
      <c r="S360" s="2">
        <v>27.65</v>
      </c>
    </row>
    <row r="361" spans="1:19" ht="13.9" x14ac:dyDescent="0.3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v>105.79</v>
      </c>
      <c r="L361" s="2">
        <v>24</v>
      </c>
      <c r="M361" s="2">
        <v>68.98</v>
      </c>
      <c r="N361" s="2">
        <v>127.56</v>
      </c>
      <c r="O361" s="2">
        <v>216.39</v>
      </c>
      <c r="P361" s="2">
        <v>144.74</v>
      </c>
      <c r="Q361" s="2">
        <v>90.73</v>
      </c>
      <c r="R361" s="2">
        <v>105.48</v>
      </c>
      <c r="S361" s="2">
        <v>198.58</v>
      </c>
    </row>
    <row r="362" spans="1:19" ht="13.9" x14ac:dyDescent="0.3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v>370.61</v>
      </c>
      <c r="L362" s="2">
        <v>550.6</v>
      </c>
      <c r="M362" s="2">
        <v>530.58000000000004</v>
      </c>
      <c r="N362" s="2">
        <v>563.97</v>
      </c>
      <c r="O362" s="2">
        <v>528.66</v>
      </c>
      <c r="P362" s="2">
        <v>417.29</v>
      </c>
      <c r="Q362" s="2">
        <v>407.63</v>
      </c>
      <c r="R362" s="2">
        <v>679.74</v>
      </c>
      <c r="S362" s="2">
        <v>454.98</v>
      </c>
    </row>
    <row r="363" spans="1:19" ht="13.9" x14ac:dyDescent="0.3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v>241.74</v>
      </c>
      <c r="L363" s="2">
        <v>978.3</v>
      </c>
      <c r="M363" s="2">
        <v>71.83</v>
      </c>
      <c r="N363" s="2">
        <v>336.87</v>
      </c>
      <c r="O363" s="2">
        <v>789.95</v>
      </c>
      <c r="P363" s="2">
        <v>227.95</v>
      </c>
      <c r="Q363" s="2">
        <v>227.62</v>
      </c>
      <c r="R363" s="2">
        <v>391.36</v>
      </c>
      <c r="S363" s="2">
        <v>1056.76</v>
      </c>
    </row>
    <row r="364" spans="1:19" ht="13.9" x14ac:dyDescent="0.3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v>290.12</v>
      </c>
      <c r="L364" s="2">
        <v>330.24</v>
      </c>
      <c r="M364" s="2">
        <v>239.88</v>
      </c>
      <c r="N364" s="2">
        <v>177.33</v>
      </c>
      <c r="O364" s="2">
        <v>193.22</v>
      </c>
      <c r="P364" s="2">
        <v>216.48</v>
      </c>
      <c r="Q364" s="2">
        <v>155.58000000000001</v>
      </c>
      <c r="R364" s="2">
        <v>106.52</v>
      </c>
      <c r="S364" s="2">
        <v>171.44</v>
      </c>
    </row>
    <row r="365" spans="1:19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0.5</v>
      </c>
    </row>
    <row r="366" spans="1:19" ht="13.9" x14ac:dyDescent="0.3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ht="13.9" x14ac:dyDescent="0.3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v>0</v>
      </c>
      <c r="L367" s="2">
        <v>0</v>
      </c>
      <c r="M367" s="2">
        <v>0</v>
      </c>
      <c r="N367" s="2">
        <v>0</v>
      </c>
      <c r="O367" s="2">
        <v>6.34</v>
      </c>
      <c r="P367" s="2">
        <v>0</v>
      </c>
      <c r="Q367" s="2">
        <v>0</v>
      </c>
      <c r="R367" s="2">
        <v>0</v>
      </c>
      <c r="S367" s="2">
        <v>17.600000000000001</v>
      </c>
    </row>
    <row r="368" spans="1:19" ht="13.9" x14ac:dyDescent="0.3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v>1.57</v>
      </c>
      <c r="L368" s="2">
        <v>0.28999999999999998</v>
      </c>
      <c r="M368" s="2">
        <v>15.56</v>
      </c>
      <c r="N368" s="2">
        <v>6.59</v>
      </c>
      <c r="O368" s="2">
        <v>0.24</v>
      </c>
      <c r="P368" s="2">
        <v>13.65</v>
      </c>
      <c r="Q368" s="2">
        <v>11.5</v>
      </c>
      <c r="R368" s="2">
        <v>15.49</v>
      </c>
      <c r="S368" s="2">
        <v>0</v>
      </c>
    </row>
    <row r="369" spans="1:19" ht="13.9" x14ac:dyDescent="0.3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v>1.57</v>
      </c>
      <c r="L369" s="2">
        <v>21.11</v>
      </c>
      <c r="M369" s="2">
        <v>13.74</v>
      </c>
      <c r="N369" s="2">
        <v>2.31</v>
      </c>
      <c r="O369" s="2">
        <v>0.73</v>
      </c>
      <c r="P369" s="2">
        <v>10.74</v>
      </c>
      <c r="Q369" s="2">
        <v>7.37</v>
      </c>
      <c r="R369" s="2">
        <v>14.23</v>
      </c>
      <c r="S369" s="2">
        <v>1.01</v>
      </c>
    </row>
    <row r="370" spans="1:19" ht="13.9" x14ac:dyDescent="0.3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v>2.75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ht="13.9" x14ac:dyDescent="0.3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v>16.78</v>
      </c>
      <c r="L371" s="2">
        <v>0</v>
      </c>
      <c r="M371" s="2">
        <v>0</v>
      </c>
      <c r="N371" s="2">
        <v>0.33</v>
      </c>
      <c r="O371" s="2">
        <v>12.44</v>
      </c>
      <c r="P371" s="2">
        <v>3.1</v>
      </c>
      <c r="Q371" s="2">
        <v>4.8499999999999996</v>
      </c>
      <c r="R371" s="2">
        <v>3.98</v>
      </c>
      <c r="S371" s="2">
        <v>25.14</v>
      </c>
    </row>
    <row r="372" spans="1:19" ht="13.9" x14ac:dyDescent="0.3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v>36.840000000000003</v>
      </c>
      <c r="L372" s="2">
        <v>189.41</v>
      </c>
      <c r="M372" s="2">
        <v>57.83</v>
      </c>
      <c r="N372" s="2">
        <v>57.35</v>
      </c>
      <c r="O372" s="2">
        <v>157.11000000000001</v>
      </c>
      <c r="P372" s="2">
        <v>147.29</v>
      </c>
      <c r="Q372" s="2">
        <v>72.22</v>
      </c>
      <c r="R372" s="2">
        <v>137.71</v>
      </c>
      <c r="S372" s="2">
        <v>235.28</v>
      </c>
    </row>
    <row r="373" spans="1:19" ht="13.9" x14ac:dyDescent="0.3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ht="13.9" x14ac:dyDescent="0.3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v>6.55</v>
      </c>
      <c r="L374" s="2">
        <v>0.57999999999999996</v>
      </c>
      <c r="M374" s="2">
        <v>2.0699999999999998</v>
      </c>
      <c r="N374" s="2">
        <v>2.31</v>
      </c>
      <c r="O374" s="2">
        <v>7.56</v>
      </c>
      <c r="P374" s="2">
        <v>1.46</v>
      </c>
      <c r="Q374" s="2">
        <v>1.62</v>
      </c>
      <c r="R374" s="2">
        <v>9</v>
      </c>
      <c r="S374" s="2">
        <v>4.0199999999999996</v>
      </c>
    </row>
    <row r="375" spans="1:19" ht="13.9" x14ac:dyDescent="0.3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v>36.049999999999997</v>
      </c>
      <c r="L375" s="2">
        <v>46.56</v>
      </c>
      <c r="M375" s="2">
        <v>24.38</v>
      </c>
      <c r="N375" s="2">
        <v>63.62</v>
      </c>
      <c r="O375" s="2">
        <v>83.43</v>
      </c>
      <c r="P375" s="2">
        <v>45.7</v>
      </c>
      <c r="Q375" s="2">
        <v>48.87</v>
      </c>
      <c r="R375" s="2">
        <v>130.59</v>
      </c>
      <c r="S375" s="2">
        <v>164.9</v>
      </c>
    </row>
    <row r="376" spans="1:19" ht="13.9" x14ac:dyDescent="0.3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v>18.48</v>
      </c>
      <c r="L376" s="2">
        <v>0</v>
      </c>
      <c r="M376" s="2">
        <v>42.53</v>
      </c>
      <c r="N376" s="2">
        <v>9.89</v>
      </c>
      <c r="O376" s="2">
        <v>46.84</v>
      </c>
      <c r="P376" s="2">
        <v>0</v>
      </c>
      <c r="Q376" s="2">
        <v>6.29</v>
      </c>
      <c r="R376" s="2">
        <v>12.98</v>
      </c>
      <c r="S376" s="2">
        <v>31.17</v>
      </c>
    </row>
    <row r="377" spans="1:19" ht="13.9" x14ac:dyDescent="0.3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2.72</v>
      </c>
      <c r="S377" s="2">
        <v>0</v>
      </c>
    </row>
    <row r="378" spans="1:19" ht="13.9" x14ac:dyDescent="0.3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0.26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ht="13.9" x14ac:dyDescent="0.3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v>0</v>
      </c>
      <c r="L379" s="2">
        <v>6.94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0.66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ht="13.9" x14ac:dyDescent="0.3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v>0</v>
      </c>
      <c r="L381" s="2">
        <v>0</v>
      </c>
      <c r="M381" s="2">
        <v>7.26</v>
      </c>
      <c r="N381" s="2">
        <v>0.33</v>
      </c>
      <c r="O381" s="2">
        <v>0</v>
      </c>
      <c r="P381" s="2">
        <v>8.19</v>
      </c>
      <c r="Q381" s="2">
        <v>0</v>
      </c>
      <c r="R381" s="2">
        <v>6.49</v>
      </c>
      <c r="S381" s="2">
        <v>0</v>
      </c>
    </row>
    <row r="382" spans="1:19" ht="13.9" x14ac:dyDescent="0.3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4.55</v>
      </c>
      <c r="Q382" s="2">
        <v>0</v>
      </c>
      <c r="R382" s="2">
        <v>0</v>
      </c>
      <c r="S382" s="2">
        <v>0</v>
      </c>
    </row>
    <row r="383" spans="1:19" ht="13.9" x14ac:dyDescent="0.3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v>0</v>
      </c>
      <c r="L383" s="2">
        <v>0</v>
      </c>
      <c r="M383" s="2">
        <v>7.26</v>
      </c>
      <c r="N383" s="2">
        <v>0.33</v>
      </c>
      <c r="O383" s="2">
        <v>0</v>
      </c>
      <c r="P383" s="2">
        <v>8.19</v>
      </c>
      <c r="Q383" s="2">
        <v>0</v>
      </c>
      <c r="R383" s="2">
        <v>6.49</v>
      </c>
      <c r="S383" s="2">
        <v>0</v>
      </c>
    </row>
    <row r="384" spans="1:19" ht="13.9" x14ac:dyDescent="0.3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v>0</v>
      </c>
      <c r="L384" s="2">
        <v>0</v>
      </c>
      <c r="M384" s="2">
        <v>0</v>
      </c>
      <c r="N384" s="2">
        <v>2.64</v>
      </c>
      <c r="O384" s="2">
        <v>0</v>
      </c>
      <c r="P384" s="2">
        <v>0</v>
      </c>
      <c r="Q384" s="2">
        <v>2.16</v>
      </c>
      <c r="R384" s="2">
        <v>0.84</v>
      </c>
      <c r="S384" s="2">
        <v>0</v>
      </c>
    </row>
    <row r="385" spans="1:19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ht="13.9" x14ac:dyDescent="0.3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ht="13.9" x14ac:dyDescent="0.3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ht="13.9" x14ac:dyDescent="0.3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v>0</v>
      </c>
      <c r="L388" s="2">
        <v>0</v>
      </c>
      <c r="M388" s="2">
        <v>0</v>
      </c>
      <c r="N388" s="2">
        <v>4.6100000000000003</v>
      </c>
      <c r="O388" s="2">
        <v>0</v>
      </c>
      <c r="P388" s="2">
        <v>3.28</v>
      </c>
      <c r="Q388" s="2">
        <v>4.13</v>
      </c>
      <c r="R388" s="2">
        <v>0.21</v>
      </c>
      <c r="S388" s="2">
        <v>2.0099999999999998</v>
      </c>
    </row>
    <row r="389" spans="1:19" ht="13.9" x14ac:dyDescent="0.3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ht="13.9" x14ac:dyDescent="0.3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ht="13.9" x14ac:dyDescent="0.3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4.01</v>
      </c>
      <c r="Q391" s="2">
        <v>0</v>
      </c>
      <c r="R391" s="2">
        <v>0</v>
      </c>
      <c r="S391" s="2">
        <v>0</v>
      </c>
    </row>
    <row r="392" spans="1:19" ht="13.9" x14ac:dyDescent="0.3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ht="13.9" x14ac:dyDescent="0.3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ht="13.9" x14ac:dyDescent="0.3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v>5.37</v>
      </c>
      <c r="L394" s="2">
        <v>0</v>
      </c>
      <c r="M394" s="2">
        <v>0</v>
      </c>
      <c r="N394" s="2">
        <v>0.33</v>
      </c>
      <c r="O394" s="2">
        <v>5.61</v>
      </c>
      <c r="P394" s="2">
        <v>0</v>
      </c>
      <c r="Q394" s="2">
        <v>0</v>
      </c>
      <c r="R394" s="2">
        <v>0</v>
      </c>
      <c r="S394" s="2">
        <v>0</v>
      </c>
    </row>
    <row r="395" spans="1:19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2.88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ht="13.9" x14ac:dyDescent="0.3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v>0</v>
      </c>
      <c r="L399" s="2">
        <v>0</v>
      </c>
      <c r="M399" s="2">
        <v>0</v>
      </c>
      <c r="N399" s="2">
        <v>22.74</v>
      </c>
      <c r="O399" s="2">
        <v>0</v>
      </c>
      <c r="P399" s="2">
        <v>8.92</v>
      </c>
      <c r="Q399" s="2">
        <v>3.41</v>
      </c>
      <c r="R399" s="2">
        <v>0</v>
      </c>
      <c r="S399" s="2">
        <v>0</v>
      </c>
    </row>
    <row r="400" spans="1:19" ht="13.9" x14ac:dyDescent="0.3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v>52.7</v>
      </c>
      <c r="L400" s="2">
        <v>34.99</v>
      </c>
      <c r="M400" s="2">
        <v>82.73</v>
      </c>
      <c r="N400" s="2">
        <v>68.89</v>
      </c>
      <c r="O400" s="2">
        <v>57.09</v>
      </c>
      <c r="P400" s="2">
        <v>59.35</v>
      </c>
      <c r="Q400" s="2">
        <v>35.93</v>
      </c>
      <c r="R400" s="2">
        <v>36.409999999999997</v>
      </c>
      <c r="S400" s="2">
        <v>69.88</v>
      </c>
    </row>
    <row r="401" spans="1:19" ht="13.9" x14ac:dyDescent="0.3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ht="13.9" x14ac:dyDescent="0.3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v>0.13</v>
      </c>
      <c r="L402" s="2">
        <v>9.5399999999999991</v>
      </c>
      <c r="M402" s="2">
        <v>0.78</v>
      </c>
      <c r="N402" s="2">
        <v>0.33</v>
      </c>
      <c r="O402" s="2">
        <v>0</v>
      </c>
      <c r="P402" s="2">
        <v>0</v>
      </c>
      <c r="Q402" s="2">
        <v>0.18</v>
      </c>
      <c r="R402" s="2">
        <v>0</v>
      </c>
      <c r="S402" s="2">
        <v>0</v>
      </c>
    </row>
    <row r="403" spans="1:19" ht="13.9" x14ac:dyDescent="0.3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v>0</v>
      </c>
      <c r="L403" s="2">
        <v>9.5399999999999991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ht="13.9" x14ac:dyDescent="0.3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v>3.8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5.93</v>
      </c>
      <c r="R404" s="2">
        <v>4.3899999999999997</v>
      </c>
      <c r="S404" s="2">
        <v>0</v>
      </c>
    </row>
    <row r="405" spans="1:19" ht="13.9" x14ac:dyDescent="0.3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v>10.09</v>
      </c>
      <c r="L405" s="2">
        <v>31.81</v>
      </c>
      <c r="M405" s="2">
        <v>14.78</v>
      </c>
      <c r="N405" s="2">
        <v>15.16</v>
      </c>
      <c r="O405" s="2">
        <v>15.61</v>
      </c>
      <c r="P405" s="2">
        <v>14.38</v>
      </c>
      <c r="Q405" s="2">
        <v>25.51</v>
      </c>
      <c r="R405" s="2">
        <v>21.35</v>
      </c>
      <c r="S405" s="2">
        <v>22.62</v>
      </c>
    </row>
    <row r="406" spans="1:19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8.1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0.21</v>
      </c>
      <c r="S407" s="2">
        <v>0</v>
      </c>
    </row>
    <row r="408" spans="1:19" ht="13.9" x14ac:dyDescent="0.3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v>0</v>
      </c>
      <c r="L408" s="2">
        <v>2.89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0.21</v>
      </c>
      <c r="S408" s="2">
        <v>0</v>
      </c>
    </row>
    <row r="409" spans="1:19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0.18</v>
      </c>
      <c r="R412" s="2">
        <v>0.21</v>
      </c>
      <c r="S412" s="2">
        <v>0</v>
      </c>
    </row>
    <row r="413" spans="1:19" ht="13.9" x14ac:dyDescent="0.3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v>0</v>
      </c>
      <c r="L413" s="2">
        <v>0.28999999999999998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ht="13.9" x14ac:dyDescent="0.3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v>182.62</v>
      </c>
      <c r="L415" s="2">
        <v>183.63</v>
      </c>
      <c r="M415" s="2">
        <v>133.03</v>
      </c>
      <c r="N415" s="2">
        <v>150.63</v>
      </c>
      <c r="O415" s="2">
        <v>149.06</v>
      </c>
      <c r="P415" s="2">
        <v>79.02</v>
      </c>
      <c r="Q415" s="2">
        <v>151.44999999999999</v>
      </c>
      <c r="R415" s="2">
        <v>109.87</v>
      </c>
      <c r="S415" s="2">
        <v>112.61</v>
      </c>
    </row>
    <row r="416" spans="1:19" ht="13.9" x14ac:dyDescent="0.3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v>13.24</v>
      </c>
      <c r="L416" s="2">
        <v>30.94</v>
      </c>
      <c r="M416" s="2">
        <v>0</v>
      </c>
      <c r="N416" s="2">
        <v>25.05</v>
      </c>
      <c r="O416" s="2">
        <v>61.97</v>
      </c>
      <c r="P416" s="2">
        <v>35.14</v>
      </c>
      <c r="Q416" s="2">
        <v>37.729999999999997</v>
      </c>
      <c r="R416" s="2">
        <v>10.46</v>
      </c>
      <c r="S416" s="2">
        <v>50.78</v>
      </c>
    </row>
    <row r="417" spans="1:19" ht="13.9" x14ac:dyDescent="0.3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0.73</v>
      </c>
      <c r="Q417" s="2">
        <v>0</v>
      </c>
      <c r="R417" s="2">
        <v>0</v>
      </c>
      <c r="S417" s="2">
        <v>0</v>
      </c>
    </row>
    <row r="418" spans="1:19" ht="13.9" x14ac:dyDescent="0.3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v>0</v>
      </c>
      <c r="L418" s="2">
        <v>6.94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6.49</v>
      </c>
      <c r="S418" s="2">
        <v>0</v>
      </c>
    </row>
    <row r="419" spans="1:19" ht="13.9" x14ac:dyDescent="0.3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ht="13.9" x14ac:dyDescent="0.3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ht="13.9" x14ac:dyDescent="0.3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v>0</v>
      </c>
      <c r="L421" s="2">
        <v>27.76</v>
      </c>
      <c r="M421" s="2">
        <v>12.97</v>
      </c>
      <c r="N421" s="2">
        <v>12.2</v>
      </c>
      <c r="O421" s="2">
        <v>7.07</v>
      </c>
      <c r="P421" s="2">
        <v>0</v>
      </c>
      <c r="Q421" s="2">
        <v>11.32</v>
      </c>
      <c r="R421" s="2">
        <v>5.44</v>
      </c>
      <c r="S421" s="2">
        <v>0</v>
      </c>
    </row>
    <row r="422" spans="1:19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ht="13.9" x14ac:dyDescent="0.3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v>0</v>
      </c>
      <c r="L423" s="2">
        <v>0</v>
      </c>
      <c r="M423" s="2">
        <v>0</v>
      </c>
      <c r="N423" s="2">
        <v>4.9400000000000004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ht="13.9" x14ac:dyDescent="0.3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v>0</v>
      </c>
      <c r="L424" s="2">
        <v>0</v>
      </c>
      <c r="M424" s="2">
        <v>6.48</v>
      </c>
      <c r="N424" s="2">
        <v>0</v>
      </c>
      <c r="O424" s="2">
        <v>0</v>
      </c>
      <c r="P424" s="2">
        <v>0</v>
      </c>
      <c r="Q424" s="2">
        <v>0</v>
      </c>
      <c r="R424" s="2">
        <v>10.46</v>
      </c>
      <c r="S424" s="2">
        <v>1.01</v>
      </c>
    </row>
    <row r="425" spans="1:19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6.37</v>
      </c>
      <c r="Q425" s="2">
        <v>0</v>
      </c>
      <c r="R425" s="2">
        <v>0</v>
      </c>
      <c r="S425" s="2">
        <v>0</v>
      </c>
    </row>
    <row r="426" spans="1:19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ht="13.9" x14ac:dyDescent="0.3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ht="13.9" x14ac:dyDescent="0.3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v>1.31</v>
      </c>
      <c r="L430" s="2">
        <v>0.28999999999999998</v>
      </c>
      <c r="M430" s="2">
        <v>0.52</v>
      </c>
      <c r="N430" s="2">
        <v>0</v>
      </c>
      <c r="O430" s="2">
        <v>0.49</v>
      </c>
      <c r="P430" s="2">
        <v>4.01</v>
      </c>
      <c r="Q430" s="2">
        <v>0</v>
      </c>
      <c r="R430" s="2">
        <v>0</v>
      </c>
      <c r="S430" s="2">
        <v>6.03</v>
      </c>
    </row>
    <row r="431" spans="1:19" ht="13.9" x14ac:dyDescent="0.3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v>2.4900000000000002</v>
      </c>
      <c r="L431" s="2">
        <v>13.01</v>
      </c>
      <c r="M431" s="2">
        <v>0</v>
      </c>
      <c r="N431" s="2">
        <v>9.56</v>
      </c>
      <c r="O431" s="2">
        <v>7.07</v>
      </c>
      <c r="P431" s="2">
        <v>2.37</v>
      </c>
      <c r="Q431" s="2">
        <v>0</v>
      </c>
      <c r="R431" s="2">
        <v>3.77</v>
      </c>
      <c r="S431" s="2">
        <v>0.5</v>
      </c>
    </row>
    <row r="432" spans="1:19" ht="13.9" x14ac:dyDescent="0.3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v>0</v>
      </c>
      <c r="L432" s="2">
        <v>0.28999999999999998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6.49</v>
      </c>
      <c r="S432" s="2">
        <v>0</v>
      </c>
    </row>
    <row r="433" spans="1:19" ht="13.9" x14ac:dyDescent="0.3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v>0.13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10.56</v>
      </c>
    </row>
    <row r="434" spans="1:19" ht="13.9" x14ac:dyDescent="0.3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v>3.54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ht="13.9" x14ac:dyDescent="0.3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7.53</v>
      </c>
      <c r="S435" s="2">
        <v>0</v>
      </c>
    </row>
    <row r="436" spans="1:19" ht="13.9" x14ac:dyDescent="0.3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ht="13.9" x14ac:dyDescent="0.3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v>6.29</v>
      </c>
      <c r="L437" s="2">
        <v>9.5399999999999991</v>
      </c>
      <c r="M437" s="2">
        <v>12.97</v>
      </c>
      <c r="N437" s="2">
        <v>15.49</v>
      </c>
      <c r="O437" s="2">
        <v>20</v>
      </c>
      <c r="P437" s="2">
        <v>12.02</v>
      </c>
      <c r="Q437" s="2">
        <v>7.9</v>
      </c>
      <c r="R437" s="2">
        <v>44.37</v>
      </c>
      <c r="S437" s="2">
        <v>39.72</v>
      </c>
    </row>
    <row r="438" spans="1:19" ht="13.9" x14ac:dyDescent="0.3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v>4133.7299999999996</v>
      </c>
      <c r="L438" s="2">
        <v>4278.72</v>
      </c>
      <c r="M438" s="2">
        <v>2628.01</v>
      </c>
      <c r="N438" s="2">
        <v>4066.78</v>
      </c>
      <c r="O438" s="2">
        <v>4570.38</v>
      </c>
      <c r="P438" s="2">
        <v>4024.91</v>
      </c>
      <c r="Q438" s="2">
        <v>3613.73</v>
      </c>
      <c r="R438" s="2">
        <v>4070.1</v>
      </c>
      <c r="S438" s="2">
        <v>6064.58</v>
      </c>
    </row>
    <row r="439" spans="1:19" ht="13.9" x14ac:dyDescent="0.3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v>2.75</v>
      </c>
      <c r="L439" s="2">
        <v>9.25</v>
      </c>
      <c r="M439" s="2">
        <v>5.96</v>
      </c>
      <c r="N439" s="2">
        <v>9.56</v>
      </c>
      <c r="O439" s="2">
        <v>14.88</v>
      </c>
      <c r="P439" s="2">
        <v>6.37</v>
      </c>
      <c r="Q439" s="2">
        <v>14.37</v>
      </c>
      <c r="R439" s="2">
        <v>5.65</v>
      </c>
      <c r="S439" s="2">
        <v>11.56</v>
      </c>
    </row>
    <row r="440" spans="1:19" ht="13.9" x14ac:dyDescent="0.3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v>0</v>
      </c>
      <c r="L440" s="2">
        <v>34.119999999999997</v>
      </c>
      <c r="M440" s="2">
        <v>40.200000000000003</v>
      </c>
      <c r="N440" s="2">
        <v>24.06</v>
      </c>
      <c r="O440" s="2">
        <v>18.79</v>
      </c>
      <c r="P440" s="2">
        <v>14.75</v>
      </c>
      <c r="Q440" s="2">
        <v>1.98</v>
      </c>
      <c r="R440" s="2">
        <v>4.3899999999999997</v>
      </c>
      <c r="S440" s="2">
        <v>56.81</v>
      </c>
    </row>
    <row r="441" spans="1:19" ht="13.9" x14ac:dyDescent="0.3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v>0</v>
      </c>
      <c r="L441" s="2">
        <v>0</v>
      </c>
      <c r="M441" s="2">
        <v>8.56</v>
      </c>
      <c r="N441" s="2">
        <v>19.45</v>
      </c>
      <c r="O441" s="2">
        <v>5.12</v>
      </c>
      <c r="P441" s="2">
        <v>0</v>
      </c>
      <c r="Q441" s="2">
        <v>0</v>
      </c>
      <c r="R441" s="2">
        <v>2.2999999999999998</v>
      </c>
      <c r="S441" s="2">
        <v>13.57</v>
      </c>
    </row>
    <row r="442" spans="1:19" ht="13.9" x14ac:dyDescent="0.3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v>1.57</v>
      </c>
      <c r="L442" s="2">
        <v>28.34</v>
      </c>
      <c r="M442" s="2">
        <v>2.33</v>
      </c>
      <c r="N442" s="2">
        <v>1.32</v>
      </c>
      <c r="O442" s="2">
        <v>2.93</v>
      </c>
      <c r="P442" s="2">
        <v>1.64</v>
      </c>
      <c r="Q442" s="2">
        <v>2.16</v>
      </c>
      <c r="R442" s="2">
        <v>7.53</v>
      </c>
      <c r="S442" s="2">
        <v>33.68</v>
      </c>
    </row>
    <row r="443" spans="1:19" ht="13.9" x14ac:dyDescent="0.3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10.06</v>
      </c>
      <c r="R443" s="2">
        <v>0</v>
      </c>
      <c r="S443" s="2">
        <v>0</v>
      </c>
    </row>
    <row r="444" spans="1:19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ht="13.9" x14ac:dyDescent="0.3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v>0</v>
      </c>
      <c r="L447" s="2">
        <v>0.28999999999999998</v>
      </c>
      <c r="M447" s="2">
        <v>0</v>
      </c>
      <c r="N447" s="2">
        <v>0.33</v>
      </c>
      <c r="O447" s="2">
        <v>0</v>
      </c>
      <c r="P447" s="2">
        <v>0.18</v>
      </c>
      <c r="Q447" s="2">
        <v>0.18</v>
      </c>
      <c r="R447" s="2">
        <v>0</v>
      </c>
      <c r="S447" s="2">
        <v>0.5</v>
      </c>
    </row>
    <row r="448" spans="1:19" ht="13.9" x14ac:dyDescent="0.3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v>69.349999999999994</v>
      </c>
      <c r="L448" s="2">
        <v>0.28999999999999998</v>
      </c>
      <c r="M448" s="2">
        <v>51.09</v>
      </c>
      <c r="N448" s="2">
        <v>10.55</v>
      </c>
      <c r="O448" s="2">
        <v>29.28</v>
      </c>
      <c r="P448" s="2">
        <v>27.67</v>
      </c>
      <c r="Q448" s="2">
        <v>19.22</v>
      </c>
      <c r="R448" s="2">
        <v>24.49</v>
      </c>
      <c r="S448" s="2">
        <v>65.86</v>
      </c>
    </row>
    <row r="449" spans="1:19" ht="13.9" x14ac:dyDescent="0.3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v>0</v>
      </c>
      <c r="L449" s="2">
        <v>0</v>
      </c>
      <c r="M449" s="2">
        <v>0</v>
      </c>
      <c r="N449" s="2">
        <v>0.33</v>
      </c>
      <c r="O449" s="2">
        <v>13.91</v>
      </c>
      <c r="P449" s="2">
        <v>0</v>
      </c>
      <c r="Q449" s="2">
        <v>7.01</v>
      </c>
      <c r="R449" s="2">
        <v>11.09</v>
      </c>
      <c r="S449" s="2">
        <v>0</v>
      </c>
    </row>
    <row r="450" spans="1:19" ht="13.9" x14ac:dyDescent="0.3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0.72</v>
      </c>
      <c r="R451" s="2">
        <v>0</v>
      </c>
      <c r="S451" s="2">
        <v>0</v>
      </c>
    </row>
    <row r="452" spans="1:19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ht="13.9" x14ac:dyDescent="0.3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v>0.13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ht="13.9" x14ac:dyDescent="0.3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v>34.090000000000003</v>
      </c>
      <c r="L454" s="2">
        <v>24.58</v>
      </c>
      <c r="M454" s="2">
        <v>21.52</v>
      </c>
      <c r="N454" s="2">
        <v>55.05</v>
      </c>
      <c r="O454" s="2">
        <v>32.200000000000003</v>
      </c>
      <c r="P454" s="2">
        <v>14.75</v>
      </c>
      <c r="Q454" s="2">
        <v>11.68</v>
      </c>
      <c r="R454" s="2">
        <v>27.42</v>
      </c>
      <c r="S454" s="2">
        <v>31.67</v>
      </c>
    </row>
    <row r="455" spans="1:19" ht="13.9" x14ac:dyDescent="0.3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v>11.14</v>
      </c>
      <c r="L455" s="2">
        <v>36.15</v>
      </c>
      <c r="M455" s="2">
        <v>4.93</v>
      </c>
      <c r="N455" s="2">
        <v>4.6100000000000003</v>
      </c>
      <c r="O455" s="2">
        <v>22.44</v>
      </c>
      <c r="P455" s="2">
        <v>3.82</v>
      </c>
      <c r="Q455" s="2">
        <v>8.44</v>
      </c>
      <c r="R455" s="2">
        <v>20.09</v>
      </c>
      <c r="S455" s="2">
        <v>14.58</v>
      </c>
    </row>
    <row r="456" spans="1:19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ht="13.9" x14ac:dyDescent="0.3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v>0</v>
      </c>
      <c r="L457" s="2">
        <v>0</v>
      </c>
      <c r="M457" s="2">
        <v>0</v>
      </c>
      <c r="N457" s="2">
        <v>5.6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ht="13.9" x14ac:dyDescent="0.3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0.18</v>
      </c>
      <c r="Q458" s="2">
        <v>0</v>
      </c>
      <c r="R458" s="2">
        <v>0</v>
      </c>
      <c r="S458" s="2">
        <v>0</v>
      </c>
    </row>
    <row r="459" spans="1:19" ht="13.9" x14ac:dyDescent="0.3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v>4.72</v>
      </c>
      <c r="L459" s="2">
        <v>16.48</v>
      </c>
      <c r="M459" s="2">
        <v>0</v>
      </c>
      <c r="N459" s="2">
        <v>20.77</v>
      </c>
      <c r="O459" s="2">
        <v>34.15</v>
      </c>
      <c r="P459" s="2">
        <v>0.18</v>
      </c>
      <c r="Q459" s="2">
        <v>7.01</v>
      </c>
      <c r="R459" s="2">
        <v>20.93</v>
      </c>
      <c r="S459" s="2">
        <v>1.01</v>
      </c>
    </row>
    <row r="460" spans="1:19" ht="13.9" x14ac:dyDescent="0.3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v>8.91</v>
      </c>
      <c r="L460" s="2">
        <v>5.21</v>
      </c>
      <c r="M460" s="2">
        <v>0</v>
      </c>
      <c r="N460" s="2">
        <v>3.96</v>
      </c>
      <c r="O460" s="2">
        <v>10.49</v>
      </c>
      <c r="P460" s="2">
        <v>7.65</v>
      </c>
      <c r="Q460" s="2">
        <v>0</v>
      </c>
      <c r="R460" s="2">
        <v>2.2999999999999998</v>
      </c>
      <c r="S460" s="2">
        <v>8.5500000000000007</v>
      </c>
    </row>
    <row r="461" spans="1:19" ht="13.9" x14ac:dyDescent="0.3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3.3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ht="13.9" x14ac:dyDescent="0.3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ht="13.9" x14ac:dyDescent="0.3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ht="13.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4.34</v>
      </c>
      <c r="M467" s="2">
        <v>0</v>
      </c>
      <c r="N467" s="2">
        <v>0</v>
      </c>
      <c r="O467" s="2">
        <v>0</v>
      </c>
      <c r="P467" s="2">
        <v>0</v>
      </c>
      <c r="Q467" s="2">
        <v>0.36</v>
      </c>
      <c r="R467" s="2">
        <v>0</v>
      </c>
      <c r="S467" s="2">
        <v>0</v>
      </c>
    </row>
    <row r="468" spans="1:19" ht="13.9" x14ac:dyDescent="0.3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ht="13.9" x14ac:dyDescent="0.3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ht="13.9" x14ac:dyDescent="0.3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ht="13.9" x14ac:dyDescent="0.3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0.26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ht="13.9" x14ac:dyDescent="0.3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ht="13.9" x14ac:dyDescent="0.3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3.52</v>
      </c>
    </row>
    <row r="474" spans="1:19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ht="13.9" x14ac:dyDescent="0.3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10.55</v>
      </c>
      <c r="O476" s="2">
        <v>0</v>
      </c>
      <c r="P476" s="2">
        <v>0</v>
      </c>
      <c r="Q476" s="2">
        <v>0.18</v>
      </c>
      <c r="R476" s="2">
        <v>0</v>
      </c>
      <c r="S476" s="2">
        <v>0</v>
      </c>
    </row>
    <row r="477" spans="1:19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ht="13.9" x14ac:dyDescent="0.3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v>2.75</v>
      </c>
      <c r="L478" s="2">
        <v>0.57999999999999996</v>
      </c>
      <c r="M478" s="2">
        <v>4.41</v>
      </c>
      <c r="N478" s="2">
        <v>0</v>
      </c>
      <c r="O478" s="2">
        <v>4.88</v>
      </c>
      <c r="P478" s="2">
        <v>3.64</v>
      </c>
      <c r="Q478" s="2">
        <v>3.23</v>
      </c>
      <c r="R478" s="2">
        <v>1.26</v>
      </c>
      <c r="S478" s="2">
        <v>3.52</v>
      </c>
    </row>
    <row r="479" spans="1:19" ht="13.9" x14ac:dyDescent="0.3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v>0</v>
      </c>
      <c r="L479" s="2">
        <v>0</v>
      </c>
      <c r="M479" s="2">
        <v>0.26</v>
      </c>
      <c r="N479" s="2">
        <v>0</v>
      </c>
      <c r="O479" s="2">
        <v>0</v>
      </c>
      <c r="P479" s="2">
        <v>4.55</v>
      </c>
      <c r="Q479" s="2">
        <v>0</v>
      </c>
      <c r="R479" s="2">
        <v>0</v>
      </c>
      <c r="S479" s="2">
        <v>0</v>
      </c>
    </row>
    <row r="480" spans="1:19" ht="13.9" x14ac:dyDescent="0.3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v>0</v>
      </c>
      <c r="L480" s="2">
        <v>0</v>
      </c>
      <c r="M480" s="2">
        <v>0</v>
      </c>
      <c r="N480" s="2">
        <v>0</v>
      </c>
      <c r="O480" s="2">
        <v>0.98</v>
      </c>
      <c r="P480" s="2">
        <v>3.82</v>
      </c>
      <c r="Q480" s="2">
        <v>0</v>
      </c>
      <c r="R480" s="2">
        <v>0</v>
      </c>
      <c r="S480" s="2">
        <v>0.5</v>
      </c>
    </row>
    <row r="481" spans="1:19" ht="13.9" x14ac:dyDescent="0.3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0.21</v>
      </c>
      <c r="S482" s="2">
        <v>0</v>
      </c>
    </row>
    <row r="483" spans="1:19" ht="13.9" x14ac:dyDescent="0.3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ht="13.9" x14ac:dyDescent="0.3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10.24</v>
      </c>
      <c r="R485" s="2">
        <v>0</v>
      </c>
      <c r="S485" s="2">
        <v>0</v>
      </c>
    </row>
    <row r="486" spans="1:19" ht="13.9" x14ac:dyDescent="0.3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ht="13.9" x14ac:dyDescent="0.3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v>10.23</v>
      </c>
      <c r="L487" s="2">
        <v>0</v>
      </c>
      <c r="M487" s="2">
        <v>0</v>
      </c>
      <c r="N487" s="2">
        <v>0</v>
      </c>
      <c r="O487" s="2">
        <v>3.66</v>
      </c>
      <c r="P487" s="2">
        <v>0</v>
      </c>
      <c r="Q487" s="2">
        <v>3.41</v>
      </c>
      <c r="R487" s="2">
        <v>0</v>
      </c>
      <c r="S487" s="2">
        <v>0</v>
      </c>
    </row>
    <row r="488" spans="1:19" ht="13.9" x14ac:dyDescent="0.3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ht="13.9" x14ac:dyDescent="0.3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ht="13.9" x14ac:dyDescent="0.3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v>0.66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ht="13.9" x14ac:dyDescent="0.3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ht="13.9" x14ac:dyDescent="0.3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v>0</v>
      </c>
      <c r="L492" s="2">
        <v>15.9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ht="13.9" x14ac:dyDescent="0.3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v>39.07</v>
      </c>
      <c r="L493" s="2">
        <v>52.34</v>
      </c>
      <c r="M493" s="2">
        <v>46.94</v>
      </c>
      <c r="N493" s="2">
        <v>11.87</v>
      </c>
      <c r="O493" s="2">
        <v>15.61</v>
      </c>
      <c r="P493" s="2">
        <v>49.34</v>
      </c>
      <c r="Q493" s="2">
        <v>11.5</v>
      </c>
      <c r="R493" s="2">
        <v>43.32</v>
      </c>
      <c r="S493" s="2">
        <v>41.73</v>
      </c>
    </row>
    <row r="494" spans="1:19" ht="13.9" x14ac:dyDescent="0.3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v>113.79</v>
      </c>
      <c r="L494" s="2">
        <v>246.67</v>
      </c>
      <c r="M494" s="2">
        <v>332.72</v>
      </c>
      <c r="N494" s="2">
        <v>339.83</v>
      </c>
      <c r="O494" s="2">
        <v>161.99</v>
      </c>
      <c r="P494" s="2">
        <v>352.84</v>
      </c>
      <c r="Q494" s="2">
        <v>129.71</v>
      </c>
      <c r="R494" s="2">
        <v>328.57</v>
      </c>
      <c r="S494" s="2">
        <v>268.45999999999998</v>
      </c>
    </row>
    <row r="495" spans="1:19" ht="13.9" x14ac:dyDescent="0.3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v>0.13</v>
      </c>
      <c r="L495" s="2">
        <v>0</v>
      </c>
      <c r="M495" s="2">
        <v>0.26</v>
      </c>
      <c r="N495" s="2">
        <v>0.33</v>
      </c>
      <c r="O495" s="2">
        <v>0.24</v>
      </c>
      <c r="P495" s="2">
        <v>0</v>
      </c>
      <c r="Q495" s="2">
        <v>0</v>
      </c>
      <c r="R495" s="2">
        <v>0</v>
      </c>
      <c r="S495" s="2">
        <v>0</v>
      </c>
    </row>
    <row r="496" spans="1:19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ht="13.9" x14ac:dyDescent="0.3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v>0</v>
      </c>
      <c r="L497" s="2">
        <v>0</v>
      </c>
      <c r="M497" s="2">
        <v>1.04</v>
      </c>
      <c r="N497" s="2">
        <v>0</v>
      </c>
      <c r="O497" s="2">
        <v>1.95</v>
      </c>
      <c r="P497" s="2">
        <v>0.18</v>
      </c>
      <c r="Q497" s="2">
        <v>0</v>
      </c>
      <c r="R497" s="2">
        <v>0</v>
      </c>
      <c r="S497" s="2">
        <v>0</v>
      </c>
    </row>
    <row r="498" spans="1:19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ht="13.9" x14ac:dyDescent="0.3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v>7.6</v>
      </c>
      <c r="L499" s="2">
        <v>3.47</v>
      </c>
      <c r="M499" s="2">
        <v>0.52</v>
      </c>
      <c r="N499" s="2">
        <v>0.33</v>
      </c>
      <c r="O499" s="2">
        <v>4.1500000000000004</v>
      </c>
      <c r="P499" s="2">
        <v>8.01</v>
      </c>
      <c r="Q499" s="2">
        <v>0.18</v>
      </c>
      <c r="R499" s="2">
        <v>7.53</v>
      </c>
      <c r="S499" s="2">
        <v>1.01</v>
      </c>
    </row>
    <row r="500" spans="1:19" ht="13.9" x14ac:dyDescent="0.3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ht="13.9" x14ac:dyDescent="0.3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ht="13.9" x14ac:dyDescent="0.3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ht="13.9" x14ac:dyDescent="0.3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13.84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ht="13.9" x14ac:dyDescent="0.3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ht="13.9" x14ac:dyDescent="0.3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ht="13.9" x14ac:dyDescent="0.3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24.13</v>
      </c>
    </row>
    <row r="509" spans="1:19" ht="13.9" x14ac:dyDescent="0.3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v>9.83</v>
      </c>
      <c r="L509" s="2">
        <v>0</v>
      </c>
      <c r="M509" s="2">
        <v>0</v>
      </c>
      <c r="N509" s="2">
        <v>26.04</v>
      </c>
      <c r="O509" s="2">
        <v>16.350000000000001</v>
      </c>
      <c r="P509" s="2">
        <v>0.18</v>
      </c>
      <c r="Q509" s="2">
        <v>0.18</v>
      </c>
      <c r="R509" s="2">
        <v>3.77</v>
      </c>
      <c r="S509" s="2">
        <v>0</v>
      </c>
    </row>
    <row r="510" spans="1:19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ht="13.9" x14ac:dyDescent="0.3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ht="13.9" x14ac:dyDescent="0.3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ht="13.9" x14ac:dyDescent="0.3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4.49</v>
      </c>
      <c r="R516" s="2">
        <v>0</v>
      </c>
      <c r="S516" s="2">
        <v>0</v>
      </c>
    </row>
    <row r="517" spans="1:19" ht="13.9" x14ac:dyDescent="0.3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ht="13.9" x14ac:dyDescent="0.3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v>0.39</v>
      </c>
      <c r="L518" s="2">
        <v>0</v>
      </c>
      <c r="M518" s="2">
        <v>0</v>
      </c>
      <c r="N518" s="2">
        <v>0.33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ht="13.9" x14ac:dyDescent="0.3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9.2899999999999991</v>
      </c>
      <c r="Q520" s="2">
        <v>0</v>
      </c>
      <c r="R520" s="2">
        <v>0</v>
      </c>
      <c r="S520" s="2">
        <v>0</v>
      </c>
    </row>
    <row r="521" spans="1:19" ht="13.9" x14ac:dyDescent="0.3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ht="13.9" x14ac:dyDescent="0.3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ht="13.9" x14ac:dyDescent="0.3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ht="13.9" x14ac:dyDescent="0.3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ht="13.9" x14ac:dyDescent="0.3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v>0</v>
      </c>
      <c r="L526" s="2">
        <v>0</v>
      </c>
      <c r="M526" s="2">
        <v>0</v>
      </c>
      <c r="N526" s="2">
        <v>5.6</v>
      </c>
      <c r="O526" s="2">
        <v>0</v>
      </c>
      <c r="P526" s="2">
        <v>0</v>
      </c>
      <c r="Q526" s="2">
        <v>10.24</v>
      </c>
      <c r="R526" s="2">
        <v>0</v>
      </c>
      <c r="S526" s="2">
        <v>0</v>
      </c>
    </row>
    <row r="527" spans="1:19" ht="13.9" x14ac:dyDescent="0.3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ht="13.9" x14ac:dyDescent="0.3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ht="13.9" x14ac:dyDescent="0.3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ht="13.9" x14ac:dyDescent="0.3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ht="13.9" x14ac:dyDescent="0.3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ht="13.9" x14ac:dyDescent="0.3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v>0</v>
      </c>
      <c r="L534" s="2">
        <v>32.39</v>
      </c>
      <c r="M534" s="2">
        <v>30.6</v>
      </c>
      <c r="N534" s="2">
        <v>30.98</v>
      </c>
      <c r="O534" s="2">
        <v>30.25</v>
      </c>
      <c r="P534" s="2">
        <v>14.57</v>
      </c>
      <c r="Q534" s="2">
        <v>10.24</v>
      </c>
      <c r="R534" s="2">
        <v>12.56</v>
      </c>
      <c r="S534" s="2">
        <v>9.0500000000000007</v>
      </c>
    </row>
    <row r="535" spans="1:19" ht="13.9" x14ac:dyDescent="0.3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v>0</v>
      </c>
      <c r="L535" s="2">
        <v>0</v>
      </c>
      <c r="M535" s="2">
        <v>0</v>
      </c>
      <c r="N535" s="2">
        <v>0</v>
      </c>
      <c r="O535" s="2">
        <v>0.24</v>
      </c>
      <c r="P535" s="2">
        <v>0</v>
      </c>
      <c r="Q535" s="2">
        <v>0</v>
      </c>
      <c r="R535" s="2">
        <v>0</v>
      </c>
      <c r="S535" s="2">
        <v>0</v>
      </c>
    </row>
    <row r="536" spans="1:19" ht="13.9" x14ac:dyDescent="0.3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6.03</v>
      </c>
    </row>
    <row r="539" spans="1:19" ht="13.9" x14ac:dyDescent="0.3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ht="13.9" x14ac:dyDescent="0.3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v>3.8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1.62</v>
      </c>
      <c r="R541" s="2">
        <v>0</v>
      </c>
      <c r="S541" s="2">
        <v>0</v>
      </c>
    </row>
    <row r="542" spans="1:19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ht="13.9" x14ac:dyDescent="0.3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v>4.0599999999999996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ht="13.9" x14ac:dyDescent="0.3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ht="13.9" x14ac:dyDescent="0.3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ht="13.9" x14ac:dyDescent="0.3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ht="13.9" x14ac:dyDescent="0.3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ht="13.9" x14ac:dyDescent="0.3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8.1</v>
      </c>
      <c r="M551" s="2">
        <v>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ht="13.9" x14ac:dyDescent="0.3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ht="13.9" x14ac:dyDescent="0.3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ht="13.9" x14ac:dyDescent="0.3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ht="13.9" x14ac:dyDescent="0.3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ht="13.9" x14ac:dyDescent="0.3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ht="13.9" x14ac:dyDescent="0.3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3.56</v>
      </c>
      <c r="S559" s="2">
        <v>12.07</v>
      </c>
    </row>
    <row r="560" spans="1:19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ht="13.9" x14ac:dyDescent="0.3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3.23</v>
      </c>
      <c r="R562" s="2">
        <v>0</v>
      </c>
      <c r="S562" s="2">
        <v>0</v>
      </c>
    </row>
    <row r="563" spans="1:19" ht="13.9" x14ac:dyDescent="0.3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ht="13.9" x14ac:dyDescent="0.3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ht="13.9" x14ac:dyDescent="0.3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3.05</v>
      </c>
      <c r="R566" s="2">
        <v>0</v>
      </c>
      <c r="S566" s="2">
        <v>0</v>
      </c>
    </row>
    <row r="567" spans="1:19" ht="13.9" x14ac:dyDescent="0.3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ht="13.9" x14ac:dyDescent="0.3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v>0</v>
      </c>
      <c r="L569" s="2">
        <v>0</v>
      </c>
      <c r="M569" s="2">
        <v>7.52</v>
      </c>
      <c r="N569" s="2">
        <v>0.33</v>
      </c>
      <c r="O569" s="2">
        <v>0</v>
      </c>
      <c r="P569" s="2">
        <v>9.2899999999999991</v>
      </c>
      <c r="Q569" s="2">
        <v>0</v>
      </c>
      <c r="R569" s="2">
        <v>0</v>
      </c>
      <c r="S569" s="2">
        <v>0</v>
      </c>
    </row>
    <row r="570" spans="1:19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ht="13.9" x14ac:dyDescent="0.3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v>5.77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6.28</v>
      </c>
      <c r="S571" s="2">
        <v>0</v>
      </c>
    </row>
    <row r="572" spans="1:19" ht="13.9" x14ac:dyDescent="0.3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v>0</v>
      </c>
      <c r="L572" s="2">
        <v>0</v>
      </c>
      <c r="M572" s="2">
        <v>0</v>
      </c>
      <c r="N572" s="2">
        <v>0.99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ht="13.9" x14ac:dyDescent="0.3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4.7300000000000004</v>
      </c>
      <c r="Q573" s="2">
        <v>1.26</v>
      </c>
      <c r="R573" s="2">
        <v>4.8099999999999996</v>
      </c>
      <c r="S573" s="2">
        <v>0</v>
      </c>
    </row>
    <row r="574" spans="1:19" ht="13.9" x14ac:dyDescent="0.3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ht="13.9" x14ac:dyDescent="0.3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v>5.9</v>
      </c>
      <c r="L577" s="2">
        <v>0.28999999999999998</v>
      </c>
      <c r="M577" s="2">
        <v>1.04</v>
      </c>
      <c r="N577" s="2">
        <v>17.47</v>
      </c>
      <c r="O577" s="2">
        <v>16.350000000000001</v>
      </c>
      <c r="P577" s="2">
        <v>4.7300000000000004</v>
      </c>
      <c r="Q577" s="2">
        <v>0.18</v>
      </c>
      <c r="R577" s="2">
        <v>9.84</v>
      </c>
      <c r="S577" s="2">
        <v>1.01</v>
      </c>
    </row>
    <row r="578" spans="1:19" ht="13.9" x14ac:dyDescent="0.3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ht="13.9" x14ac:dyDescent="0.3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v>3.67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0.21</v>
      </c>
      <c r="S579" s="2">
        <v>25.64</v>
      </c>
    </row>
    <row r="580" spans="1:19" ht="13.9" x14ac:dyDescent="0.3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ht="13.9" x14ac:dyDescent="0.3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ht="13.9" x14ac:dyDescent="0.3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>
        <v>0</v>
      </c>
      <c r="L585" s="2">
        <v>0</v>
      </c>
      <c r="M585" s="2">
        <v>0</v>
      </c>
      <c r="N585" s="2">
        <v>0</v>
      </c>
      <c r="O585" s="2">
        <v>15.13</v>
      </c>
      <c r="P585" s="2">
        <v>0</v>
      </c>
      <c r="Q585" s="2">
        <v>0</v>
      </c>
      <c r="R585" s="2">
        <v>11.51</v>
      </c>
      <c r="S585" s="2">
        <v>0</v>
      </c>
    </row>
    <row r="586" spans="1:19" ht="13.9" x14ac:dyDescent="0.3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v>101.34</v>
      </c>
      <c r="L586" s="2">
        <v>106.71</v>
      </c>
      <c r="M586" s="2">
        <v>93.62</v>
      </c>
      <c r="N586" s="2">
        <v>94.6</v>
      </c>
      <c r="O586" s="2">
        <v>174.68</v>
      </c>
      <c r="P586" s="2">
        <v>54.26</v>
      </c>
      <c r="Q586" s="2">
        <v>64.14</v>
      </c>
      <c r="R586" s="2">
        <v>130.16999999999999</v>
      </c>
      <c r="S586" s="2">
        <v>289.08</v>
      </c>
    </row>
    <row r="587" spans="1:19" ht="13.9" x14ac:dyDescent="0.3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v>22.94</v>
      </c>
      <c r="L587" s="2">
        <v>12.15</v>
      </c>
      <c r="M587" s="2">
        <v>0.26</v>
      </c>
      <c r="N587" s="2">
        <v>10.55</v>
      </c>
      <c r="O587" s="2">
        <v>31.72</v>
      </c>
      <c r="P587" s="2">
        <v>0</v>
      </c>
      <c r="Q587" s="2">
        <v>0.18</v>
      </c>
      <c r="R587" s="2">
        <v>16.95</v>
      </c>
      <c r="S587" s="2">
        <v>11.06</v>
      </c>
    </row>
    <row r="588" spans="1:19" ht="13.9" x14ac:dyDescent="0.3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v>1025.3</v>
      </c>
      <c r="L588" s="2">
        <v>1275.8699999999999</v>
      </c>
      <c r="M588" s="2">
        <v>578.04</v>
      </c>
      <c r="N588" s="2">
        <v>1203.42</v>
      </c>
      <c r="O588" s="2">
        <v>1086.1199999999999</v>
      </c>
      <c r="P588" s="2">
        <v>896.85</v>
      </c>
      <c r="Q588" s="2">
        <v>851.74</v>
      </c>
      <c r="R588" s="2">
        <v>801.34</v>
      </c>
      <c r="S588" s="2">
        <v>1492.64</v>
      </c>
    </row>
    <row r="589" spans="1:19" ht="13.9" x14ac:dyDescent="0.3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v>0</v>
      </c>
      <c r="L589" s="2">
        <v>2.31</v>
      </c>
      <c r="M589" s="2">
        <v>0</v>
      </c>
      <c r="N589" s="2">
        <v>0</v>
      </c>
      <c r="O589" s="2">
        <v>15.61</v>
      </c>
      <c r="P589" s="2">
        <v>0</v>
      </c>
      <c r="Q589" s="2">
        <v>0</v>
      </c>
      <c r="R589" s="2">
        <v>3.56</v>
      </c>
      <c r="S589" s="2">
        <v>0</v>
      </c>
    </row>
    <row r="590" spans="1:19" ht="13.9" x14ac:dyDescent="0.3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v>24.78</v>
      </c>
      <c r="L590" s="2">
        <v>0</v>
      </c>
      <c r="M590" s="2">
        <v>7.26</v>
      </c>
      <c r="N590" s="2">
        <v>6.59</v>
      </c>
      <c r="O590" s="2">
        <v>5.86</v>
      </c>
      <c r="P590" s="2">
        <v>15.11</v>
      </c>
      <c r="Q590" s="2">
        <v>9.16</v>
      </c>
      <c r="R590" s="2">
        <v>11.93</v>
      </c>
      <c r="S590" s="2">
        <v>39.72</v>
      </c>
    </row>
    <row r="591" spans="1:19" ht="13.9" x14ac:dyDescent="0.3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v>4.9800000000000004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7.53</v>
      </c>
      <c r="S592" s="2">
        <v>0</v>
      </c>
    </row>
    <row r="593" spans="1:19" ht="13.9" x14ac:dyDescent="0.3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10.56</v>
      </c>
    </row>
    <row r="594" spans="1:19" ht="13.9" x14ac:dyDescent="0.3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v>0</v>
      </c>
      <c r="L594" s="2">
        <v>0</v>
      </c>
      <c r="M594" s="2">
        <v>0</v>
      </c>
      <c r="N594" s="2">
        <v>7.58</v>
      </c>
      <c r="O594" s="2">
        <v>19.52</v>
      </c>
      <c r="P594" s="2">
        <v>6.55</v>
      </c>
      <c r="Q594" s="2">
        <v>0</v>
      </c>
      <c r="R594" s="2">
        <v>0</v>
      </c>
      <c r="S594" s="2">
        <v>0</v>
      </c>
    </row>
    <row r="595" spans="1:19" ht="13.9" x14ac:dyDescent="0.3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v>0</v>
      </c>
      <c r="L595" s="2">
        <v>0</v>
      </c>
      <c r="M595" s="2">
        <v>0</v>
      </c>
      <c r="N595" s="2">
        <v>0.33</v>
      </c>
      <c r="O595" s="2">
        <v>0</v>
      </c>
      <c r="P595" s="2">
        <v>0</v>
      </c>
      <c r="Q595" s="2">
        <v>0</v>
      </c>
      <c r="R595" s="2">
        <v>8.7899999999999991</v>
      </c>
      <c r="S595" s="2">
        <v>0</v>
      </c>
    </row>
    <row r="596" spans="1:19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9.18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ht="13.9" x14ac:dyDescent="0.3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ht="13.9" x14ac:dyDescent="0.3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12.2</v>
      </c>
      <c r="Q601" s="2">
        <v>5.21</v>
      </c>
      <c r="R601" s="2">
        <v>9.6300000000000008</v>
      </c>
      <c r="S601" s="2">
        <v>5.53</v>
      </c>
    </row>
    <row r="602" spans="1:19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4.1900000000000004</v>
      </c>
      <c r="S603" s="2">
        <v>0</v>
      </c>
    </row>
    <row r="604" spans="1:19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0.33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ht="13.9" x14ac:dyDescent="0.3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v>0</v>
      </c>
      <c r="L605" s="2">
        <v>0</v>
      </c>
      <c r="M605" s="2">
        <v>0</v>
      </c>
      <c r="N605" s="2">
        <v>0</v>
      </c>
      <c r="O605" s="2">
        <v>22.2</v>
      </c>
      <c r="P605" s="2">
        <v>0</v>
      </c>
      <c r="Q605" s="2">
        <v>0</v>
      </c>
      <c r="R605" s="2">
        <v>0</v>
      </c>
      <c r="S605" s="2">
        <v>0</v>
      </c>
    </row>
    <row r="606" spans="1:19" ht="13.9" x14ac:dyDescent="0.3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8.0399999999999991</v>
      </c>
      <c r="N606" s="2">
        <v>0</v>
      </c>
      <c r="O606" s="2">
        <v>5.61</v>
      </c>
      <c r="P606" s="2">
        <v>0</v>
      </c>
      <c r="Q606" s="2">
        <v>0</v>
      </c>
      <c r="R606" s="2">
        <v>0</v>
      </c>
      <c r="S606" s="2">
        <v>0</v>
      </c>
    </row>
    <row r="607" spans="1:19" ht="13.9" x14ac:dyDescent="0.3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ht="13.9" x14ac:dyDescent="0.3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v>0.13</v>
      </c>
      <c r="L608" s="2">
        <v>10.119999999999999</v>
      </c>
      <c r="M608" s="2">
        <v>0.26</v>
      </c>
      <c r="N608" s="2">
        <v>10.220000000000001</v>
      </c>
      <c r="O608" s="2">
        <v>0.24</v>
      </c>
      <c r="P608" s="2">
        <v>4.01</v>
      </c>
      <c r="Q608" s="2">
        <v>3.95</v>
      </c>
      <c r="R608" s="2">
        <v>8.16</v>
      </c>
      <c r="S608" s="2">
        <v>0</v>
      </c>
    </row>
    <row r="609" spans="1:19" ht="13.9" x14ac:dyDescent="0.3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v>0</v>
      </c>
      <c r="L609" s="2">
        <v>0</v>
      </c>
      <c r="M609" s="2">
        <v>0</v>
      </c>
      <c r="N609" s="2">
        <v>0</v>
      </c>
      <c r="O609" s="2">
        <v>0.73</v>
      </c>
      <c r="P609" s="2">
        <v>1.0900000000000001</v>
      </c>
      <c r="Q609" s="2">
        <v>0</v>
      </c>
      <c r="R609" s="2">
        <v>0</v>
      </c>
      <c r="S609" s="2">
        <v>2.5099999999999998</v>
      </c>
    </row>
    <row r="610" spans="1:19" ht="13.9" x14ac:dyDescent="0.3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v>0</v>
      </c>
      <c r="L610" s="2">
        <v>2.6</v>
      </c>
      <c r="M610" s="2">
        <v>8.82</v>
      </c>
      <c r="N610" s="2">
        <v>0</v>
      </c>
      <c r="O610" s="2">
        <v>1.22</v>
      </c>
      <c r="P610" s="2">
        <v>0.18</v>
      </c>
      <c r="Q610" s="2">
        <v>0</v>
      </c>
      <c r="R610" s="2">
        <v>10.88</v>
      </c>
      <c r="S610" s="2">
        <v>2.5099999999999998</v>
      </c>
    </row>
    <row r="611" spans="1:19" ht="13.9" x14ac:dyDescent="0.3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v>5.64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20.61</v>
      </c>
    </row>
    <row r="612" spans="1:19" ht="13.9" x14ac:dyDescent="0.3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v>0</v>
      </c>
      <c r="L612" s="2">
        <v>0.28999999999999998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4.8099999999999996</v>
      </c>
      <c r="S612" s="2">
        <v>0</v>
      </c>
    </row>
    <row r="613" spans="1:19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ht="13.9" x14ac:dyDescent="0.3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ht="13.9" x14ac:dyDescent="0.3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v>0</v>
      </c>
      <c r="L616" s="2">
        <v>3.47</v>
      </c>
      <c r="M616" s="2">
        <v>0</v>
      </c>
      <c r="N616" s="2">
        <v>0</v>
      </c>
      <c r="O616" s="2">
        <v>0</v>
      </c>
      <c r="P616" s="2">
        <v>0</v>
      </c>
      <c r="Q616" s="2">
        <v>3.05</v>
      </c>
      <c r="R616" s="2">
        <v>9</v>
      </c>
      <c r="S616" s="2">
        <v>0</v>
      </c>
    </row>
    <row r="617" spans="1:19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ht="13.9" x14ac:dyDescent="0.3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9.0500000000000007</v>
      </c>
    </row>
    <row r="619" spans="1:19" ht="13.9" x14ac:dyDescent="0.3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v>7.34</v>
      </c>
      <c r="L619" s="2">
        <v>0</v>
      </c>
      <c r="M619" s="2">
        <v>0</v>
      </c>
      <c r="N619" s="2">
        <v>13.18</v>
      </c>
      <c r="O619" s="2">
        <v>7.07</v>
      </c>
      <c r="P619" s="2">
        <v>0</v>
      </c>
      <c r="Q619" s="2">
        <v>0</v>
      </c>
      <c r="R619" s="2">
        <v>1.88</v>
      </c>
      <c r="S619" s="2">
        <v>0</v>
      </c>
    </row>
    <row r="620" spans="1:19" ht="13.9" x14ac:dyDescent="0.3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ht="13.9" x14ac:dyDescent="0.3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v>11.93</v>
      </c>
      <c r="L621" s="2">
        <v>2.6</v>
      </c>
      <c r="M621" s="2">
        <v>1.3</v>
      </c>
      <c r="N621" s="2">
        <v>0</v>
      </c>
      <c r="O621" s="2">
        <v>10</v>
      </c>
      <c r="P621" s="2">
        <v>1.27</v>
      </c>
      <c r="Q621" s="2">
        <v>11.32</v>
      </c>
      <c r="R621" s="2">
        <v>2.72</v>
      </c>
      <c r="S621" s="2">
        <v>0</v>
      </c>
    </row>
    <row r="622" spans="1:19" ht="13.9" x14ac:dyDescent="0.3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ht="13.9" x14ac:dyDescent="0.3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v>0</v>
      </c>
      <c r="L624" s="2">
        <v>0</v>
      </c>
      <c r="M624" s="2">
        <v>0</v>
      </c>
      <c r="N624" s="2">
        <v>0</v>
      </c>
      <c r="O624" s="2">
        <v>7.07</v>
      </c>
      <c r="P624" s="2">
        <v>18.39</v>
      </c>
      <c r="Q624" s="2">
        <v>0</v>
      </c>
      <c r="R624" s="2">
        <v>0</v>
      </c>
      <c r="S624" s="2">
        <v>0</v>
      </c>
    </row>
    <row r="625" spans="1:19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ht="13.9" x14ac:dyDescent="0.3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ht="13.9" x14ac:dyDescent="0.3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ht="13.9" x14ac:dyDescent="0.3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0.33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ht="13.9" x14ac:dyDescent="0.3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v>11.01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0.72</v>
      </c>
      <c r="R632" s="2">
        <v>0</v>
      </c>
      <c r="S632" s="2">
        <v>0</v>
      </c>
    </row>
    <row r="633" spans="1:19" ht="13.9" x14ac:dyDescent="0.3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v>234.01</v>
      </c>
      <c r="L633" s="2">
        <v>286</v>
      </c>
      <c r="M633" s="2">
        <v>109.95</v>
      </c>
      <c r="N633" s="2">
        <v>278.85000000000002</v>
      </c>
      <c r="O633" s="2">
        <v>442.55</v>
      </c>
      <c r="P633" s="2">
        <v>256.52999999999997</v>
      </c>
      <c r="Q633" s="2">
        <v>283.49</v>
      </c>
      <c r="R633" s="2">
        <v>579.91999999999996</v>
      </c>
      <c r="S633" s="2">
        <v>525.37</v>
      </c>
    </row>
    <row r="634" spans="1:19" ht="13.9" x14ac:dyDescent="0.3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ht="13.9" x14ac:dyDescent="0.3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v>71.97</v>
      </c>
      <c r="L635" s="2">
        <v>130.13</v>
      </c>
      <c r="M635" s="2">
        <v>136.66</v>
      </c>
      <c r="N635" s="2">
        <v>155.58000000000001</v>
      </c>
      <c r="O635" s="2">
        <v>146.13</v>
      </c>
      <c r="P635" s="2">
        <v>140.01</v>
      </c>
      <c r="Q635" s="2">
        <v>107.43</v>
      </c>
      <c r="R635" s="2">
        <v>159.68</v>
      </c>
      <c r="S635" s="2">
        <v>130.21</v>
      </c>
    </row>
    <row r="636" spans="1:19" ht="13.9" x14ac:dyDescent="0.3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ht="13.9" x14ac:dyDescent="0.3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4.01</v>
      </c>
      <c r="Q638" s="2">
        <v>0</v>
      </c>
      <c r="R638" s="2">
        <v>0</v>
      </c>
      <c r="S638" s="2">
        <v>0</v>
      </c>
    </row>
    <row r="639" spans="1:19" ht="13.9" x14ac:dyDescent="0.3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ht="13.9" x14ac:dyDescent="0.3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ht="13.9" x14ac:dyDescent="0.3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ht="13.9" x14ac:dyDescent="0.3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v>0</v>
      </c>
      <c r="L642" s="2">
        <v>0</v>
      </c>
      <c r="M642" s="2">
        <v>0</v>
      </c>
      <c r="N642" s="2">
        <v>0</v>
      </c>
      <c r="O642" s="2">
        <v>1.22</v>
      </c>
      <c r="P642" s="2">
        <v>0</v>
      </c>
      <c r="Q642" s="2">
        <v>0</v>
      </c>
      <c r="R642" s="2">
        <v>0</v>
      </c>
      <c r="S642" s="2">
        <v>0</v>
      </c>
    </row>
    <row r="643" spans="1:19" ht="13.9" x14ac:dyDescent="0.3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v>0</v>
      </c>
      <c r="L643" s="2">
        <v>0</v>
      </c>
      <c r="M643" s="2">
        <v>0</v>
      </c>
      <c r="N643" s="2">
        <v>0</v>
      </c>
      <c r="O643" s="2">
        <v>1.22</v>
      </c>
      <c r="P643" s="2">
        <v>0</v>
      </c>
      <c r="Q643" s="2">
        <v>0</v>
      </c>
      <c r="R643" s="2">
        <v>0</v>
      </c>
      <c r="S643" s="2">
        <v>0</v>
      </c>
    </row>
    <row r="644" spans="1:19" ht="13.9" x14ac:dyDescent="0.3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v>5.1100000000000003</v>
      </c>
      <c r="L644" s="2">
        <v>10.41</v>
      </c>
      <c r="M644" s="2">
        <v>0</v>
      </c>
      <c r="N644" s="2">
        <v>0</v>
      </c>
      <c r="O644" s="2">
        <v>0.24</v>
      </c>
      <c r="P644" s="2">
        <v>0</v>
      </c>
      <c r="Q644" s="2">
        <v>0.18</v>
      </c>
      <c r="R644" s="2">
        <v>0</v>
      </c>
      <c r="S644" s="2">
        <v>7.04</v>
      </c>
    </row>
    <row r="645" spans="1:19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ht="13.9" x14ac:dyDescent="0.3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1.95</v>
      </c>
      <c r="P647" s="2">
        <v>0</v>
      </c>
      <c r="Q647" s="2">
        <v>0</v>
      </c>
      <c r="R647" s="2">
        <v>0</v>
      </c>
      <c r="S647" s="2">
        <v>0</v>
      </c>
    </row>
    <row r="648" spans="1:19" ht="13.9" x14ac:dyDescent="0.3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v>0</v>
      </c>
      <c r="L648" s="2">
        <v>0.28999999999999998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ht="13.9" x14ac:dyDescent="0.3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7.95</v>
      </c>
      <c r="S649" s="2">
        <v>0</v>
      </c>
    </row>
    <row r="650" spans="1:19" ht="13.9" x14ac:dyDescent="0.3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0.36</v>
      </c>
      <c r="R650" s="2">
        <v>0</v>
      </c>
      <c r="S650" s="2">
        <v>0</v>
      </c>
    </row>
    <row r="651" spans="1:19" ht="13.9" x14ac:dyDescent="0.3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v>0.79</v>
      </c>
      <c r="L651" s="2">
        <v>0</v>
      </c>
      <c r="M651" s="2">
        <v>0</v>
      </c>
      <c r="N651" s="2">
        <v>0</v>
      </c>
      <c r="O651" s="2">
        <v>0</v>
      </c>
      <c r="P651" s="2">
        <v>10.92</v>
      </c>
      <c r="Q651" s="2">
        <v>0</v>
      </c>
      <c r="R651" s="2">
        <v>0</v>
      </c>
      <c r="S651" s="2">
        <v>0.5</v>
      </c>
    </row>
    <row r="652" spans="1:19" ht="13.9" x14ac:dyDescent="0.3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1.95</v>
      </c>
      <c r="P654" s="2">
        <v>0</v>
      </c>
      <c r="Q654" s="2">
        <v>0</v>
      </c>
      <c r="R654" s="2">
        <v>0</v>
      </c>
      <c r="S654" s="2">
        <v>0</v>
      </c>
    </row>
    <row r="655" spans="1:19" ht="13.9" x14ac:dyDescent="0.3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v>5.1100000000000003</v>
      </c>
      <c r="L655" s="2">
        <v>10.41</v>
      </c>
      <c r="M655" s="2">
        <v>1.04</v>
      </c>
      <c r="N655" s="2">
        <v>8.57</v>
      </c>
      <c r="O655" s="2">
        <v>0.98</v>
      </c>
      <c r="P655" s="2">
        <v>0.18</v>
      </c>
      <c r="Q655" s="2">
        <v>0.18</v>
      </c>
      <c r="R655" s="2">
        <v>4.1900000000000004</v>
      </c>
      <c r="S655" s="2">
        <v>7.04</v>
      </c>
    </row>
    <row r="656" spans="1:19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ht="13.9" x14ac:dyDescent="0.3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v>0</v>
      </c>
      <c r="L657" s="2">
        <v>0</v>
      </c>
      <c r="M657" s="2">
        <v>0</v>
      </c>
      <c r="N657" s="2">
        <v>0</v>
      </c>
      <c r="O657" s="2">
        <v>1.22</v>
      </c>
      <c r="P657" s="2">
        <v>0</v>
      </c>
      <c r="Q657" s="2">
        <v>0</v>
      </c>
      <c r="R657" s="2">
        <v>0</v>
      </c>
      <c r="S657" s="2">
        <v>0</v>
      </c>
    </row>
    <row r="658" spans="1:19" ht="13.9" x14ac:dyDescent="0.3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v>0</v>
      </c>
      <c r="L658" s="2">
        <v>0</v>
      </c>
      <c r="M658" s="2">
        <v>0</v>
      </c>
      <c r="N658" s="2">
        <v>0</v>
      </c>
      <c r="O658" s="2">
        <v>1.22</v>
      </c>
      <c r="P658" s="2">
        <v>0</v>
      </c>
      <c r="Q658" s="2">
        <v>0</v>
      </c>
      <c r="R658" s="2">
        <v>0</v>
      </c>
      <c r="S658" s="2">
        <v>0</v>
      </c>
    </row>
    <row r="659" spans="1:19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ht="13.9" x14ac:dyDescent="0.3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ht="13.9" x14ac:dyDescent="0.3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v>0</v>
      </c>
      <c r="L661" s="2">
        <v>0</v>
      </c>
      <c r="M661" s="2">
        <v>0</v>
      </c>
      <c r="N661" s="2">
        <v>5.6</v>
      </c>
      <c r="O661" s="2">
        <v>0</v>
      </c>
      <c r="P661" s="2">
        <v>4.92</v>
      </c>
      <c r="Q661" s="2">
        <v>0</v>
      </c>
      <c r="R661" s="2">
        <v>0</v>
      </c>
      <c r="S661" s="2">
        <v>9.0500000000000007</v>
      </c>
    </row>
    <row r="662" spans="1:19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1.95</v>
      </c>
      <c r="P662" s="2">
        <v>0</v>
      </c>
      <c r="Q662" s="2">
        <v>0</v>
      </c>
      <c r="R662" s="2">
        <v>0</v>
      </c>
      <c r="S662" s="2">
        <v>0</v>
      </c>
    </row>
    <row r="663" spans="1:19" ht="13.9" x14ac:dyDescent="0.3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v>0</v>
      </c>
      <c r="L663" s="2">
        <v>0</v>
      </c>
      <c r="M663" s="2">
        <v>0</v>
      </c>
      <c r="N663" s="2">
        <v>0</v>
      </c>
      <c r="O663" s="2">
        <v>1.22</v>
      </c>
      <c r="P663" s="2">
        <v>0</v>
      </c>
      <c r="Q663" s="2">
        <v>0</v>
      </c>
      <c r="R663" s="2">
        <v>0</v>
      </c>
      <c r="S663" s="2">
        <v>0</v>
      </c>
    </row>
    <row r="664" spans="1:19" ht="13.9" x14ac:dyDescent="0.3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v>0</v>
      </c>
      <c r="L664" s="2">
        <v>0</v>
      </c>
      <c r="M664" s="2">
        <v>0</v>
      </c>
      <c r="N664" s="2">
        <v>3.63</v>
      </c>
      <c r="O664" s="2">
        <v>0</v>
      </c>
      <c r="P664" s="2">
        <v>0</v>
      </c>
      <c r="Q664" s="2">
        <v>0.54</v>
      </c>
      <c r="R664" s="2">
        <v>0</v>
      </c>
      <c r="S664" s="2">
        <v>7.04</v>
      </c>
    </row>
    <row r="665" spans="1:19" ht="13.9" x14ac:dyDescent="0.3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v>4.46</v>
      </c>
      <c r="L665" s="2">
        <v>8.1</v>
      </c>
      <c r="M665" s="2">
        <v>4.41</v>
      </c>
      <c r="N665" s="2">
        <v>10.55</v>
      </c>
      <c r="O665" s="2">
        <v>10.49</v>
      </c>
      <c r="P665" s="2">
        <v>7.83</v>
      </c>
      <c r="Q665" s="2">
        <v>10.6</v>
      </c>
      <c r="R665" s="2">
        <v>18.21</v>
      </c>
      <c r="S665" s="2">
        <v>12.07</v>
      </c>
    </row>
    <row r="666" spans="1:19" ht="13.9" x14ac:dyDescent="0.3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v>0</v>
      </c>
      <c r="L666" s="2">
        <v>0</v>
      </c>
      <c r="M666" s="2">
        <v>0</v>
      </c>
      <c r="N666" s="2">
        <v>0</v>
      </c>
      <c r="O666" s="2">
        <v>2.68</v>
      </c>
      <c r="P666" s="2">
        <v>0</v>
      </c>
      <c r="Q666" s="2">
        <v>0</v>
      </c>
      <c r="R666" s="2">
        <v>0</v>
      </c>
      <c r="S666" s="2">
        <v>0</v>
      </c>
    </row>
    <row r="667" spans="1:19" ht="13.9" x14ac:dyDescent="0.3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ht="13.9" x14ac:dyDescent="0.3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ht="13.9" x14ac:dyDescent="0.3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7.95</v>
      </c>
      <c r="S669" s="2">
        <v>0</v>
      </c>
    </row>
    <row r="670" spans="1:19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>
        <v>0</v>
      </c>
      <c r="L670" s="2">
        <v>0</v>
      </c>
      <c r="M670" s="2">
        <v>0</v>
      </c>
      <c r="N670" s="2">
        <v>0</v>
      </c>
      <c r="O670" s="2">
        <v>2.2000000000000002</v>
      </c>
      <c r="P670" s="2">
        <v>0</v>
      </c>
      <c r="Q670" s="2">
        <v>0</v>
      </c>
      <c r="R670" s="2">
        <v>0</v>
      </c>
      <c r="S670" s="2">
        <v>0</v>
      </c>
    </row>
    <row r="671" spans="1:19" ht="13.9" x14ac:dyDescent="0.3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ht="13.9" x14ac:dyDescent="0.3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v>4.46</v>
      </c>
      <c r="L672" s="2">
        <v>10.41</v>
      </c>
      <c r="M672" s="2">
        <v>1.04</v>
      </c>
      <c r="N672" s="2">
        <v>8.57</v>
      </c>
      <c r="O672" s="2">
        <v>0.98</v>
      </c>
      <c r="P672" s="2">
        <v>0.18</v>
      </c>
      <c r="Q672" s="2">
        <v>0.18</v>
      </c>
      <c r="R672" s="2">
        <v>4.1900000000000004</v>
      </c>
      <c r="S672" s="2">
        <v>1.51</v>
      </c>
    </row>
    <row r="673" spans="1:19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1.95</v>
      </c>
      <c r="P673" s="2">
        <v>0</v>
      </c>
      <c r="Q673" s="2">
        <v>0</v>
      </c>
      <c r="R673" s="2">
        <v>0</v>
      </c>
      <c r="S673" s="2">
        <v>0</v>
      </c>
    </row>
    <row r="674" spans="1:19" ht="13.9" x14ac:dyDescent="0.3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v>5.1100000000000003</v>
      </c>
      <c r="L674" s="2">
        <v>10.41</v>
      </c>
      <c r="M674" s="2">
        <v>0</v>
      </c>
      <c r="N674" s="2">
        <v>0</v>
      </c>
      <c r="O674" s="2">
        <v>0.24</v>
      </c>
      <c r="P674" s="2">
        <v>0</v>
      </c>
      <c r="Q674" s="2">
        <v>0.18</v>
      </c>
      <c r="R674" s="2">
        <v>0</v>
      </c>
      <c r="S674" s="2">
        <v>7.04</v>
      </c>
    </row>
    <row r="675" spans="1:19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>
        <v>0</v>
      </c>
      <c r="L675" s="2">
        <v>0</v>
      </c>
      <c r="M675" s="2">
        <v>0</v>
      </c>
      <c r="N675" s="2">
        <v>6.26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ht="13.9" x14ac:dyDescent="0.3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10.92</v>
      </c>
      <c r="Q676" s="2">
        <v>0</v>
      </c>
      <c r="R676" s="2">
        <v>0</v>
      </c>
      <c r="S676" s="2">
        <v>0</v>
      </c>
    </row>
    <row r="677" spans="1:19" ht="13.9" x14ac:dyDescent="0.3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v>0</v>
      </c>
      <c r="L677" s="2">
        <v>0</v>
      </c>
      <c r="M677" s="2">
        <v>0</v>
      </c>
      <c r="N677" s="2">
        <v>5.6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ht="13.9" x14ac:dyDescent="0.3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4.92</v>
      </c>
      <c r="Q678" s="2">
        <v>0</v>
      </c>
      <c r="R678" s="2">
        <v>0</v>
      </c>
      <c r="S678" s="2">
        <v>0</v>
      </c>
    </row>
    <row r="679" spans="1:19" ht="13.9" x14ac:dyDescent="0.3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ht="13.9" x14ac:dyDescent="0.3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ht="13.9" x14ac:dyDescent="0.3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ht="13.9" x14ac:dyDescent="0.3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0.18</v>
      </c>
      <c r="Q682" s="2">
        <v>0</v>
      </c>
      <c r="R682" s="2">
        <v>0.21</v>
      </c>
      <c r="S682" s="2">
        <v>0</v>
      </c>
    </row>
    <row r="683" spans="1:19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12.69</v>
      </c>
      <c r="P683" s="2">
        <v>0</v>
      </c>
      <c r="Q683" s="2">
        <v>0</v>
      </c>
      <c r="R683" s="2">
        <v>0</v>
      </c>
      <c r="S683" s="2">
        <v>0</v>
      </c>
    </row>
    <row r="684" spans="1:19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ht="13.9" x14ac:dyDescent="0.3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0.21</v>
      </c>
      <c r="S685" s="2">
        <v>0</v>
      </c>
    </row>
    <row r="686" spans="1:19" ht="13.9" x14ac:dyDescent="0.3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2.02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ht="13.9" x14ac:dyDescent="0.3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ht="13.9" x14ac:dyDescent="0.3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13.47</v>
      </c>
      <c r="Q693" s="2">
        <v>0</v>
      </c>
      <c r="R693" s="2">
        <v>0</v>
      </c>
      <c r="S693" s="2">
        <v>0</v>
      </c>
    </row>
    <row r="694" spans="1:19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9.52</v>
      </c>
      <c r="R695" s="2">
        <v>0</v>
      </c>
      <c r="S695" s="2">
        <v>0</v>
      </c>
    </row>
    <row r="696" spans="1:19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ht="13.9" x14ac:dyDescent="0.3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v>0.13</v>
      </c>
      <c r="L698" s="2">
        <v>4.34</v>
      </c>
      <c r="M698" s="2">
        <v>16.86</v>
      </c>
      <c r="N698" s="2">
        <v>5.6</v>
      </c>
      <c r="O698" s="2">
        <v>12.69</v>
      </c>
      <c r="P698" s="2">
        <v>5.46</v>
      </c>
      <c r="Q698" s="2">
        <v>6.47</v>
      </c>
      <c r="R698" s="2">
        <v>20.3</v>
      </c>
      <c r="S698" s="2">
        <v>34.19</v>
      </c>
    </row>
    <row r="699" spans="1:19" ht="13.9" x14ac:dyDescent="0.3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v>3.02</v>
      </c>
      <c r="L699" s="2">
        <v>0</v>
      </c>
      <c r="M699" s="2">
        <v>0</v>
      </c>
      <c r="N699" s="2">
        <v>1.32</v>
      </c>
      <c r="O699" s="2">
        <v>0</v>
      </c>
      <c r="P699" s="2">
        <v>0</v>
      </c>
      <c r="Q699" s="2">
        <v>1.62</v>
      </c>
      <c r="R699" s="2">
        <v>0</v>
      </c>
      <c r="S699" s="2">
        <v>7.04</v>
      </c>
    </row>
    <row r="700" spans="1:19" ht="13.9" x14ac:dyDescent="0.3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v>405.61</v>
      </c>
      <c r="L700" s="2">
        <v>192.02</v>
      </c>
      <c r="M700" s="2">
        <v>351.39</v>
      </c>
      <c r="N700" s="2">
        <v>317.08999999999997</v>
      </c>
      <c r="O700" s="2">
        <v>119.05</v>
      </c>
      <c r="P700" s="2">
        <v>336.64</v>
      </c>
      <c r="Q700" s="2">
        <v>204.45</v>
      </c>
      <c r="R700" s="2">
        <v>114.06</v>
      </c>
      <c r="S700" s="2">
        <v>280.52999999999997</v>
      </c>
    </row>
    <row r="701" spans="1:19" ht="13.9" x14ac:dyDescent="0.3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v>4.46</v>
      </c>
      <c r="L701" s="2">
        <v>6.94</v>
      </c>
      <c r="M701" s="2">
        <v>10.63</v>
      </c>
      <c r="N701" s="2">
        <v>9.23</v>
      </c>
      <c r="O701" s="2">
        <v>0</v>
      </c>
      <c r="P701" s="2">
        <v>11.11</v>
      </c>
      <c r="Q701" s="2">
        <v>4.8499999999999996</v>
      </c>
      <c r="R701" s="2">
        <v>14.23</v>
      </c>
      <c r="S701" s="2">
        <v>8.5500000000000007</v>
      </c>
    </row>
    <row r="702" spans="1:19" ht="13.9" x14ac:dyDescent="0.3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ht="13.9" x14ac:dyDescent="0.3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ht="13.9" x14ac:dyDescent="0.3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v>304.54000000000002</v>
      </c>
      <c r="L705" s="2">
        <v>721.8</v>
      </c>
      <c r="M705" s="2">
        <v>391.06</v>
      </c>
      <c r="N705" s="2">
        <v>592.32000000000005</v>
      </c>
      <c r="O705" s="2">
        <v>865.58</v>
      </c>
      <c r="P705" s="2">
        <v>589.53</v>
      </c>
      <c r="Q705" s="2">
        <v>473.39</v>
      </c>
      <c r="R705" s="2">
        <v>674.51</v>
      </c>
      <c r="S705" s="2">
        <v>627.91999999999996</v>
      </c>
    </row>
    <row r="706" spans="1:19" ht="13.9" x14ac:dyDescent="0.3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v>0</v>
      </c>
      <c r="L706" s="2">
        <v>0</v>
      </c>
      <c r="M706" s="2">
        <v>14.78</v>
      </c>
      <c r="N706" s="2">
        <v>18.79</v>
      </c>
      <c r="O706" s="2">
        <v>0</v>
      </c>
      <c r="P706" s="2">
        <v>9.2899999999999991</v>
      </c>
      <c r="Q706" s="2">
        <v>9.8800000000000008</v>
      </c>
      <c r="R706" s="2">
        <v>0</v>
      </c>
      <c r="S706" s="2">
        <v>58.32</v>
      </c>
    </row>
    <row r="707" spans="1:19" ht="13.9" x14ac:dyDescent="0.3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v>187.73</v>
      </c>
      <c r="L707" s="2">
        <v>314.33999999999997</v>
      </c>
      <c r="M707" s="2">
        <v>88.17</v>
      </c>
      <c r="N707" s="2">
        <v>197.11</v>
      </c>
      <c r="O707" s="2">
        <v>134.91</v>
      </c>
      <c r="P707" s="2">
        <v>168.96</v>
      </c>
      <c r="Q707" s="2">
        <v>88.21</v>
      </c>
      <c r="R707" s="2">
        <v>157.59</v>
      </c>
      <c r="S707" s="2">
        <v>240.31</v>
      </c>
    </row>
    <row r="708" spans="1:19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ht="13.9" x14ac:dyDescent="0.3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v>16.649999999999999</v>
      </c>
      <c r="L710" s="2">
        <v>0.28999999999999998</v>
      </c>
      <c r="M710" s="2">
        <v>0.26</v>
      </c>
      <c r="N710" s="2">
        <v>1.32</v>
      </c>
      <c r="O710" s="2">
        <v>34.64</v>
      </c>
      <c r="P710" s="2">
        <v>11.29</v>
      </c>
      <c r="Q710" s="2">
        <v>20.66</v>
      </c>
      <c r="R710" s="2">
        <v>32.44</v>
      </c>
      <c r="S710" s="2">
        <v>81.44</v>
      </c>
    </row>
    <row r="711" spans="1:19" ht="13.9" x14ac:dyDescent="0.3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v>9.31</v>
      </c>
      <c r="L711" s="2">
        <v>0</v>
      </c>
      <c r="M711" s="2">
        <v>0</v>
      </c>
      <c r="N711" s="2">
        <v>5.93</v>
      </c>
      <c r="O711" s="2">
        <v>0</v>
      </c>
      <c r="P711" s="2">
        <v>6.01</v>
      </c>
      <c r="Q711" s="2">
        <v>0</v>
      </c>
      <c r="R711" s="2">
        <v>0</v>
      </c>
      <c r="S711" s="2">
        <v>0</v>
      </c>
    </row>
    <row r="712" spans="1:19" ht="13.9" x14ac:dyDescent="0.3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ht="13.9" x14ac:dyDescent="0.3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v>0</v>
      </c>
      <c r="L713" s="2">
        <v>0</v>
      </c>
      <c r="M713" s="2">
        <v>0</v>
      </c>
      <c r="N713" s="2">
        <v>13.18</v>
      </c>
      <c r="O713" s="2">
        <v>0</v>
      </c>
      <c r="P713" s="2">
        <v>0</v>
      </c>
      <c r="Q713" s="2">
        <v>11.32</v>
      </c>
      <c r="R713" s="2">
        <v>0</v>
      </c>
      <c r="S713" s="2">
        <v>0</v>
      </c>
    </row>
    <row r="714" spans="1:19" ht="13.9" x14ac:dyDescent="0.3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0.36</v>
      </c>
      <c r="Q714" s="2">
        <v>0</v>
      </c>
      <c r="R714" s="2">
        <v>0</v>
      </c>
      <c r="S714" s="2">
        <v>0</v>
      </c>
    </row>
    <row r="715" spans="1:19" ht="13.9" x14ac:dyDescent="0.3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ht="13.9" x14ac:dyDescent="0.3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1.98</v>
      </c>
      <c r="O718" s="2">
        <v>0</v>
      </c>
      <c r="P718" s="2">
        <v>4.7300000000000004</v>
      </c>
      <c r="Q718" s="2">
        <v>0</v>
      </c>
      <c r="R718" s="2">
        <v>1.88</v>
      </c>
      <c r="S718" s="2">
        <v>0</v>
      </c>
    </row>
    <row r="719" spans="1:19" ht="13.9" x14ac:dyDescent="0.3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ht="13.9" x14ac:dyDescent="0.3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v>0.39</v>
      </c>
      <c r="L720" s="2">
        <v>0</v>
      </c>
      <c r="M720" s="2">
        <v>0.26</v>
      </c>
      <c r="N720" s="2">
        <v>4.28</v>
      </c>
      <c r="O720" s="2">
        <v>0.24</v>
      </c>
      <c r="P720" s="2">
        <v>9.4700000000000006</v>
      </c>
      <c r="Q720" s="2">
        <v>0.18</v>
      </c>
      <c r="R720" s="2">
        <v>1.05</v>
      </c>
      <c r="S720" s="2">
        <v>0</v>
      </c>
    </row>
    <row r="721" spans="1:19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0.13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ht="13.9" x14ac:dyDescent="0.3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5.86</v>
      </c>
      <c r="S722" s="2">
        <v>0</v>
      </c>
    </row>
    <row r="723" spans="1:19" ht="13.9" x14ac:dyDescent="0.3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ht="13.9" x14ac:dyDescent="0.3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ht="13.9" x14ac:dyDescent="0.3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v>0</v>
      </c>
      <c r="L726" s="2">
        <v>11.86</v>
      </c>
      <c r="M726" s="2">
        <v>0</v>
      </c>
      <c r="N726" s="2">
        <v>0</v>
      </c>
      <c r="O726" s="2">
        <v>9.27</v>
      </c>
      <c r="P726" s="2">
        <v>5.83</v>
      </c>
      <c r="Q726" s="2">
        <v>3.23</v>
      </c>
      <c r="R726" s="2">
        <v>5.23</v>
      </c>
      <c r="S726" s="2">
        <v>0</v>
      </c>
    </row>
    <row r="727" spans="1:19" ht="13.9" x14ac:dyDescent="0.3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0.18</v>
      </c>
      <c r="R728" s="2">
        <v>0</v>
      </c>
      <c r="S728" s="2">
        <v>0</v>
      </c>
    </row>
    <row r="729" spans="1:19" ht="13.9" x14ac:dyDescent="0.3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v>0</v>
      </c>
      <c r="L729" s="2">
        <v>0</v>
      </c>
      <c r="M729" s="2">
        <v>0</v>
      </c>
      <c r="N729" s="2">
        <v>0</v>
      </c>
      <c r="O729" s="2">
        <v>7.07</v>
      </c>
      <c r="P729" s="2">
        <v>0</v>
      </c>
      <c r="Q729" s="2">
        <v>0</v>
      </c>
      <c r="R729" s="2">
        <v>5.86</v>
      </c>
      <c r="S729" s="2">
        <v>0</v>
      </c>
    </row>
    <row r="730" spans="1:19" ht="13.9" x14ac:dyDescent="0.3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ht="13.9" x14ac:dyDescent="0.3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v>30.28</v>
      </c>
      <c r="L731" s="2">
        <v>0</v>
      </c>
      <c r="M731" s="2">
        <v>0</v>
      </c>
      <c r="N731" s="2">
        <v>5.6</v>
      </c>
      <c r="O731" s="2">
        <v>5.86</v>
      </c>
      <c r="P731" s="2">
        <v>0</v>
      </c>
      <c r="Q731" s="2">
        <v>31.26</v>
      </c>
      <c r="R731" s="2">
        <v>19.88</v>
      </c>
      <c r="S731" s="2">
        <v>31.17</v>
      </c>
    </row>
    <row r="732" spans="1:19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9.6999999999999993</v>
      </c>
      <c r="R732" s="2">
        <v>0</v>
      </c>
      <c r="S732" s="2">
        <v>0</v>
      </c>
    </row>
    <row r="733" spans="1:19" ht="13.9" x14ac:dyDescent="0.3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4.9800000000000004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ht="13.9" x14ac:dyDescent="0.3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v>188.12</v>
      </c>
      <c r="L734" s="2">
        <v>199.53</v>
      </c>
      <c r="M734" s="2">
        <v>155.86000000000001</v>
      </c>
      <c r="N734" s="2">
        <v>257.10000000000002</v>
      </c>
      <c r="O734" s="2">
        <v>272.26</v>
      </c>
      <c r="P734" s="2">
        <v>153.47999999999999</v>
      </c>
      <c r="Q734" s="2">
        <v>238.94</v>
      </c>
      <c r="R734" s="2">
        <v>229.58</v>
      </c>
      <c r="S734" s="2">
        <v>282.04000000000002</v>
      </c>
    </row>
    <row r="735" spans="1:19" ht="13.9" x14ac:dyDescent="0.3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5.0199999999999996</v>
      </c>
      <c r="S735" s="2">
        <v>0</v>
      </c>
    </row>
    <row r="736" spans="1:19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ht="13.9" x14ac:dyDescent="0.3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v>0</v>
      </c>
      <c r="L737" s="2">
        <v>5.78</v>
      </c>
      <c r="M737" s="2">
        <v>0</v>
      </c>
      <c r="N737" s="2">
        <v>0</v>
      </c>
      <c r="O737" s="2">
        <v>0.24</v>
      </c>
      <c r="P737" s="2">
        <v>0</v>
      </c>
      <c r="Q737" s="2">
        <v>0</v>
      </c>
      <c r="R737" s="2">
        <v>0</v>
      </c>
      <c r="S737" s="2">
        <v>0</v>
      </c>
    </row>
    <row r="738" spans="1:19" ht="13.9" x14ac:dyDescent="0.3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ht="13.9" x14ac:dyDescent="0.3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ht="13.9" x14ac:dyDescent="0.3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ht="13.9" x14ac:dyDescent="0.3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5.93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ht="13.9" x14ac:dyDescent="0.3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ht="13.9" x14ac:dyDescent="0.3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5.93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ht="13.9" x14ac:dyDescent="0.3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ht="13.9" x14ac:dyDescent="0.3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ht="13.9" x14ac:dyDescent="0.3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v>29.37</v>
      </c>
      <c r="L748" s="2">
        <v>13.01</v>
      </c>
      <c r="M748" s="2">
        <v>18.93</v>
      </c>
      <c r="N748" s="2">
        <v>7.91</v>
      </c>
      <c r="O748" s="2">
        <v>10.73</v>
      </c>
      <c r="P748" s="2">
        <v>29.13</v>
      </c>
      <c r="Q748" s="2">
        <v>8.98</v>
      </c>
      <c r="R748" s="2">
        <v>28.25</v>
      </c>
      <c r="S748" s="2">
        <v>11.56</v>
      </c>
    </row>
    <row r="749" spans="1:19" ht="13.9" x14ac:dyDescent="0.3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v>10.09</v>
      </c>
      <c r="L749" s="2">
        <v>6.36</v>
      </c>
      <c r="M749" s="2">
        <v>24.38</v>
      </c>
      <c r="N749" s="2">
        <v>18.79</v>
      </c>
      <c r="O749" s="2">
        <v>55.87</v>
      </c>
      <c r="P749" s="2">
        <v>28.77</v>
      </c>
      <c r="Q749" s="2">
        <v>0.54</v>
      </c>
      <c r="R749" s="2">
        <v>8.58</v>
      </c>
      <c r="S749" s="2">
        <v>17.600000000000001</v>
      </c>
    </row>
    <row r="750" spans="1:19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5.0999999999999996</v>
      </c>
      <c r="Q750" s="2">
        <v>0</v>
      </c>
      <c r="R750" s="2">
        <v>0</v>
      </c>
      <c r="S750" s="2">
        <v>0</v>
      </c>
    </row>
    <row r="751" spans="1:19" ht="13.9" x14ac:dyDescent="0.3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0.36</v>
      </c>
      <c r="R751" s="2">
        <v>0.21</v>
      </c>
      <c r="S751" s="2">
        <v>1.01</v>
      </c>
    </row>
    <row r="752" spans="1:19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10.36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ht="13.9" x14ac:dyDescent="0.3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v>3.93</v>
      </c>
      <c r="L754" s="2">
        <v>6.94</v>
      </c>
      <c r="M754" s="2">
        <v>0</v>
      </c>
      <c r="N754" s="2">
        <v>0</v>
      </c>
      <c r="O754" s="2">
        <v>14.39</v>
      </c>
      <c r="P754" s="2">
        <v>0</v>
      </c>
      <c r="Q754" s="2">
        <v>0</v>
      </c>
      <c r="R754" s="2">
        <v>0</v>
      </c>
      <c r="S754" s="2">
        <v>0</v>
      </c>
    </row>
    <row r="755" spans="1:19" ht="13.9" x14ac:dyDescent="0.3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v>1.18</v>
      </c>
      <c r="L755" s="2">
        <v>0</v>
      </c>
      <c r="M755" s="2">
        <v>0.26</v>
      </c>
      <c r="N755" s="2">
        <v>0</v>
      </c>
      <c r="O755" s="2">
        <v>0.24</v>
      </c>
      <c r="P755" s="2">
        <v>0</v>
      </c>
      <c r="Q755" s="2">
        <v>8.98</v>
      </c>
      <c r="R755" s="2">
        <v>8.58</v>
      </c>
      <c r="S755" s="2">
        <v>0</v>
      </c>
    </row>
    <row r="756" spans="1:19" ht="13.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0.28999999999999998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3.98</v>
      </c>
      <c r="S756" s="2">
        <v>0</v>
      </c>
    </row>
    <row r="757" spans="1:19" ht="13.9" x14ac:dyDescent="0.3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v>0</v>
      </c>
      <c r="L757" s="2">
        <v>0</v>
      </c>
      <c r="M757" s="2">
        <v>0</v>
      </c>
      <c r="N757" s="2">
        <v>0</v>
      </c>
      <c r="O757" s="2">
        <v>3.9</v>
      </c>
      <c r="P757" s="2">
        <v>0</v>
      </c>
      <c r="Q757" s="2">
        <v>0</v>
      </c>
      <c r="R757" s="2">
        <v>0</v>
      </c>
      <c r="S757" s="2">
        <v>0</v>
      </c>
    </row>
    <row r="758" spans="1:19" ht="13.9" x14ac:dyDescent="0.3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v>20.98</v>
      </c>
      <c r="L758" s="2">
        <v>22.27</v>
      </c>
      <c r="M758" s="2">
        <v>11.41</v>
      </c>
      <c r="N758" s="2">
        <v>9.89</v>
      </c>
      <c r="O758" s="2">
        <v>51.23</v>
      </c>
      <c r="P758" s="2">
        <v>19.48</v>
      </c>
      <c r="Q758" s="2">
        <v>31.08</v>
      </c>
      <c r="R758" s="2">
        <v>47.72</v>
      </c>
      <c r="S758" s="2">
        <v>0.5</v>
      </c>
    </row>
    <row r="759" spans="1:19" ht="13.9" x14ac:dyDescent="0.3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v>26.74</v>
      </c>
      <c r="L759" s="2">
        <v>14.75</v>
      </c>
      <c r="M759" s="2">
        <v>0</v>
      </c>
      <c r="N759" s="2">
        <v>28.68</v>
      </c>
      <c r="O759" s="2">
        <v>29.03</v>
      </c>
      <c r="P759" s="2">
        <v>0</v>
      </c>
      <c r="Q759" s="2">
        <v>8.98</v>
      </c>
      <c r="R759" s="2">
        <v>27.42</v>
      </c>
      <c r="S759" s="2">
        <v>53.29</v>
      </c>
    </row>
    <row r="760" spans="1:19" ht="13.9" x14ac:dyDescent="0.3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v>0</v>
      </c>
      <c r="L760" s="2">
        <v>0</v>
      </c>
      <c r="M760" s="2">
        <v>6.48</v>
      </c>
      <c r="N760" s="2">
        <v>1.65</v>
      </c>
      <c r="O760" s="2">
        <v>5.12</v>
      </c>
      <c r="P760" s="2">
        <v>0</v>
      </c>
      <c r="Q760" s="2">
        <v>10.6</v>
      </c>
      <c r="R760" s="2">
        <v>7.53</v>
      </c>
      <c r="S760" s="2">
        <v>0</v>
      </c>
    </row>
    <row r="761" spans="1:19" ht="13.9" x14ac:dyDescent="0.3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8.57</v>
      </c>
      <c r="O761" s="2">
        <v>0</v>
      </c>
      <c r="P761" s="2">
        <v>0</v>
      </c>
      <c r="Q761" s="2">
        <v>0</v>
      </c>
      <c r="R761" s="2">
        <v>8.3699999999999992</v>
      </c>
      <c r="S761" s="2">
        <v>28.66</v>
      </c>
    </row>
    <row r="762" spans="1:19" ht="13.9" x14ac:dyDescent="0.3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v>31.07</v>
      </c>
      <c r="L762" s="2">
        <v>0</v>
      </c>
      <c r="M762" s="2">
        <v>5.71</v>
      </c>
      <c r="N762" s="2">
        <v>3.3</v>
      </c>
      <c r="O762" s="2">
        <v>5.37</v>
      </c>
      <c r="P762" s="2">
        <v>20.21</v>
      </c>
      <c r="Q762" s="2">
        <v>6.47</v>
      </c>
      <c r="R762" s="2">
        <v>2.5099999999999998</v>
      </c>
      <c r="S762" s="2">
        <v>8.5500000000000007</v>
      </c>
    </row>
    <row r="763" spans="1:19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ht="13.9" x14ac:dyDescent="0.3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v>8.65</v>
      </c>
      <c r="L764" s="2">
        <v>84.73</v>
      </c>
      <c r="M764" s="2">
        <v>5.96</v>
      </c>
      <c r="N764" s="2">
        <v>75.48</v>
      </c>
      <c r="O764" s="2">
        <v>57.82</v>
      </c>
      <c r="P764" s="2">
        <v>19.48</v>
      </c>
      <c r="Q764" s="2">
        <v>11.68</v>
      </c>
      <c r="R764" s="2">
        <v>31.18</v>
      </c>
      <c r="S764" s="2">
        <v>45.25</v>
      </c>
    </row>
    <row r="765" spans="1:19" ht="13.9" x14ac:dyDescent="0.3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v>7.47</v>
      </c>
      <c r="L765" s="2">
        <v>0</v>
      </c>
      <c r="M765" s="2">
        <v>11.67</v>
      </c>
      <c r="N765" s="2">
        <v>14.83</v>
      </c>
      <c r="O765" s="2">
        <v>2.44</v>
      </c>
      <c r="P765" s="2">
        <v>3.28</v>
      </c>
      <c r="Q765" s="2">
        <v>2.87</v>
      </c>
      <c r="R765" s="2">
        <v>13.81</v>
      </c>
      <c r="S765" s="2">
        <v>6.03</v>
      </c>
    </row>
    <row r="766" spans="1:19" ht="13.9" x14ac:dyDescent="0.3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ht="13.9" x14ac:dyDescent="0.3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v>0</v>
      </c>
      <c r="L767" s="2">
        <v>22.85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ht="13.9" x14ac:dyDescent="0.3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v>4.2</v>
      </c>
      <c r="L768" s="2">
        <v>0</v>
      </c>
      <c r="M768" s="2">
        <v>0</v>
      </c>
      <c r="N768" s="2">
        <v>0</v>
      </c>
      <c r="O768" s="2">
        <v>3.9</v>
      </c>
      <c r="P768" s="2">
        <v>0</v>
      </c>
      <c r="Q768" s="2">
        <v>0</v>
      </c>
      <c r="R768" s="2">
        <v>0</v>
      </c>
      <c r="S768" s="2">
        <v>0</v>
      </c>
    </row>
    <row r="769" spans="1:19" ht="13.9" x14ac:dyDescent="0.3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ht="13.9" x14ac:dyDescent="0.3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ht="13.9" x14ac:dyDescent="0.3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1.67</v>
      </c>
      <c r="S771" s="2">
        <v>0</v>
      </c>
    </row>
    <row r="772" spans="1:19" ht="13.9" x14ac:dyDescent="0.3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ht="13.9" x14ac:dyDescent="0.3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ht="13.9" x14ac:dyDescent="0.3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>
        <v>2.88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ht="13.9" x14ac:dyDescent="0.3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ht="13.9" x14ac:dyDescent="0.3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ht="13.9" x14ac:dyDescent="0.3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7.58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ht="13.9" x14ac:dyDescent="0.3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ht="13.9" x14ac:dyDescent="0.3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ht="13.9" x14ac:dyDescent="0.3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ht="13.9" x14ac:dyDescent="0.3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v>0</v>
      </c>
      <c r="L788" s="2">
        <v>0</v>
      </c>
      <c r="M788" s="2">
        <v>6.74</v>
      </c>
      <c r="N788" s="2">
        <v>0</v>
      </c>
      <c r="O788" s="2">
        <v>0</v>
      </c>
      <c r="P788" s="2">
        <v>0</v>
      </c>
      <c r="Q788" s="2">
        <v>0</v>
      </c>
      <c r="R788" s="2">
        <v>7.53</v>
      </c>
      <c r="S788" s="2">
        <v>0.5</v>
      </c>
    </row>
    <row r="789" spans="1:19" ht="13.9" x14ac:dyDescent="0.3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ht="13.9" x14ac:dyDescent="0.3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2.68</v>
      </c>
      <c r="P790" s="2">
        <v>0</v>
      </c>
      <c r="Q790" s="2">
        <v>0</v>
      </c>
      <c r="R790" s="2">
        <v>0</v>
      </c>
      <c r="S790" s="2">
        <v>0</v>
      </c>
    </row>
    <row r="791" spans="1:19" ht="13.9" x14ac:dyDescent="0.3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>
        <v>0</v>
      </c>
      <c r="L792" s="2">
        <v>0</v>
      </c>
      <c r="M792" s="2">
        <v>0</v>
      </c>
      <c r="N792" s="2">
        <v>0</v>
      </c>
      <c r="O792" s="2">
        <v>6.1</v>
      </c>
      <c r="P792" s="2">
        <v>0</v>
      </c>
      <c r="Q792" s="2">
        <v>0</v>
      </c>
      <c r="R792" s="2">
        <v>0</v>
      </c>
      <c r="S792" s="2">
        <v>0</v>
      </c>
    </row>
    <row r="793" spans="1:19" ht="13.9" x14ac:dyDescent="0.3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ht="13.9" x14ac:dyDescent="0.3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>
        <v>3.15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ht="13.9" x14ac:dyDescent="0.3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ht="13.9" x14ac:dyDescent="0.3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ht="13.9" x14ac:dyDescent="0.3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0.18</v>
      </c>
      <c r="R802" s="2">
        <v>0</v>
      </c>
      <c r="S802" s="2">
        <v>0</v>
      </c>
    </row>
    <row r="803" spans="1:19" ht="13.9" x14ac:dyDescent="0.3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ht="13.9" x14ac:dyDescent="0.3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4.92</v>
      </c>
      <c r="Q804" s="2">
        <v>0</v>
      </c>
      <c r="R804" s="2">
        <v>0</v>
      </c>
      <c r="S804" s="2">
        <v>0</v>
      </c>
    </row>
    <row r="805" spans="1:19" ht="13.9" x14ac:dyDescent="0.3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14.75</v>
      </c>
      <c r="M807" s="2">
        <v>0.26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ht="13.9" x14ac:dyDescent="0.3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ht="13.9" x14ac:dyDescent="0.3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v>3.67</v>
      </c>
      <c r="L811" s="2">
        <v>0</v>
      </c>
      <c r="M811" s="2">
        <v>0</v>
      </c>
      <c r="N811" s="2">
        <v>0</v>
      </c>
      <c r="O811" s="2">
        <v>0</v>
      </c>
      <c r="P811" s="2">
        <v>2.73</v>
      </c>
      <c r="Q811" s="2">
        <v>12.04</v>
      </c>
      <c r="R811" s="2">
        <v>3.98</v>
      </c>
      <c r="S811" s="2">
        <v>0</v>
      </c>
    </row>
    <row r="812" spans="1:19" ht="13.9" x14ac:dyDescent="0.3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5.93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ht="13.9" x14ac:dyDescent="0.3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0.55000000000000004</v>
      </c>
      <c r="Q815" s="2">
        <v>0</v>
      </c>
      <c r="R815" s="2">
        <v>0</v>
      </c>
      <c r="S815" s="2">
        <v>0</v>
      </c>
    </row>
    <row r="816" spans="1:19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ht="13.9" x14ac:dyDescent="0.3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4.3899999999999997</v>
      </c>
      <c r="S817" s="2">
        <v>19.61</v>
      </c>
    </row>
    <row r="818" spans="1:19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ht="13.9" x14ac:dyDescent="0.3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ht="13.9" x14ac:dyDescent="0.3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5.24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ht="13.9" x14ac:dyDescent="0.3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6.26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1.98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ht="13.9" x14ac:dyDescent="0.3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v>0.13</v>
      </c>
      <c r="L829" s="2">
        <v>0.28999999999999998</v>
      </c>
      <c r="M829" s="2">
        <v>0</v>
      </c>
      <c r="N829" s="2">
        <v>25.05</v>
      </c>
      <c r="O829" s="2">
        <v>15.86</v>
      </c>
      <c r="P829" s="2">
        <v>0</v>
      </c>
      <c r="Q829" s="2">
        <v>0</v>
      </c>
      <c r="R829" s="2">
        <v>0</v>
      </c>
      <c r="S829" s="2">
        <v>0</v>
      </c>
    </row>
    <row r="830" spans="1:19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ht="13.9" x14ac:dyDescent="0.3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v>8.1300000000000008</v>
      </c>
      <c r="L831" s="2">
        <v>30.07</v>
      </c>
      <c r="M831" s="2">
        <v>0</v>
      </c>
      <c r="N831" s="2">
        <v>12.2</v>
      </c>
      <c r="O831" s="2">
        <v>44.64</v>
      </c>
      <c r="P831" s="2">
        <v>23.85</v>
      </c>
      <c r="Q831" s="2">
        <v>15.45</v>
      </c>
      <c r="R831" s="2">
        <v>11.72</v>
      </c>
      <c r="S831" s="2">
        <v>58.82</v>
      </c>
    </row>
    <row r="832" spans="1:19" ht="13.9" x14ac:dyDescent="0.3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ht="13.9" x14ac:dyDescent="0.3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ht="13.9" x14ac:dyDescent="0.3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ht="13.9" x14ac:dyDescent="0.3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ht="13.9" x14ac:dyDescent="0.3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ht="13.9" x14ac:dyDescent="0.3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ht="13.9" x14ac:dyDescent="0.3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14.08</v>
      </c>
    </row>
    <row r="842" spans="1:19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0.26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ht="13.9" x14ac:dyDescent="0.3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ht="13.9" x14ac:dyDescent="0.3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ht="13.9" x14ac:dyDescent="0.3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6.74</v>
      </c>
      <c r="Q848" s="2">
        <v>0</v>
      </c>
      <c r="R848" s="2">
        <v>0</v>
      </c>
      <c r="S848" s="2">
        <v>0</v>
      </c>
    </row>
    <row r="849" spans="1:19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7.07</v>
      </c>
      <c r="P849" s="2">
        <v>0</v>
      </c>
      <c r="Q849" s="2">
        <v>0</v>
      </c>
      <c r="R849" s="2">
        <v>0</v>
      </c>
      <c r="S849" s="2">
        <v>0</v>
      </c>
    </row>
    <row r="850" spans="1:19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ht="13.9" x14ac:dyDescent="0.3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v>0</v>
      </c>
      <c r="L851" s="2">
        <v>0.28999999999999998</v>
      </c>
      <c r="M851" s="2">
        <v>0</v>
      </c>
      <c r="N851" s="2">
        <v>15.49</v>
      </c>
      <c r="O851" s="2">
        <v>8.2899999999999991</v>
      </c>
      <c r="P851" s="2">
        <v>10.01</v>
      </c>
      <c r="Q851" s="2">
        <v>0</v>
      </c>
      <c r="R851" s="2">
        <v>0</v>
      </c>
      <c r="S851" s="2">
        <v>28.15</v>
      </c>
    </row>
    <row r="852" spans="1:19" ht="13.9" x14ac:dyDescent="0.3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v>4.8499999999999996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0.21</v>
      </c>
      <c r="S852" s="2">
        <v>0</v>
      </c>
    </row>
    <row r="853" spans="1:19" ht="13.9" x14ac:dyDescent="0.3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ht="13.9" x14ac:dyDescent="0.3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ht="13.9" x14ac:dyDescent="0.3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v>0</v>
      </c>
      <c r="L860" s="2">
        <v>0</v>
      </c>
      <c r="M860" s="2">
        <v>0</v>
      </c>
      <c r="N860" s="2">
        <v>0</v>
      </c>
      <c r="O860" s="2">
        <v>12.44</v>
      </c>
      <c r="P860" s="2">
        <v>0</v>
      </c>
      <c r="Q860" s="2">
        <v>6.29</v>
      </c>
      <c r="R860" s="2">
        <v>0</v>
      </c>
      <c r="S860" s="2">
        <v>0</v>
      </c>
    </row>
    <row r="861" spans="1:19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ht="13.9" x14ac:dyDescent="0.3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ht="13.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5.1100000000000003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0.18</v>
      </c>
      <c r="R864" s="2">
        <v>0</v>
      </c>
      <c r="S864" s="2">
        <v>0</v>
      </c>
    </row>
    <row r="865" spans="1:19" ht="13.9" x14ac:dyDescent="0.3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ht="13.9" x14ac:dyDescent="0.3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v>2.36</v>
      </c>
      <c r="L866" s="2">
        <v>0</v>
      </c>
      <c r="M866" s="2">
        <v>0</v>
      </c>
      <c r="N866" s="2">
        <v>0</v>
      </c>
      <c r="O866" s="2">
        <v>0</v>
      </c>
      <c r="P866" s="2">
        <v>2.91</v>
      </c>
      <c r="Q866" s="2">
        <v>0</v>
      </c>
      <c r="R866" s="2">
        <v>0</v>
      </c>
      <c r="S866" s="2">
        <v>0</v>
      </c>
    </row>
    <row r="867" spans="1:19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ht="13.9" x14ac:dyDescent="0.3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ht="13.9" x14ac:dyDescent="0.3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v>136.34</v>
      </c>
      <c r="L869" s="2">
        <v>205.61</v>
      </c>
      <c r="M869" s="2">
        <v>55.5</v>
      </c>
      <c r="N869" s="2">
        <v>110.09</v>
      </c>
      <c r="O869" s="2">
        <v>204.44</v>
      </c>
      <c r="P869" s="2">
        <v>129.63</v>
      </c>
      <c r="Q869" s="2">
        <v>72.58</v>
      </c>
      <c r="R869" s="2">
        <v>108.83</v>
      </c>
      <c r="S869" s="2">
        <v>213.16</v>
      </c>
    </row>
    <row r="870" spans="1:19" ht="13.9" x14ac:dyDescent="0.3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v>3.93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7.54</v>
      </c>
    </row>
    <row r="871" spans="1:19" ht="13.9" x14ac:dyDescent="0.3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v>972.87</v>
      </c>
      <c r="L871" s="2">
        <v>883.16</v>
      </c>
      <c r="M871" s="2">
        <v>555.48</v>
      </c>
      <c r="N871" s="2">
        <v>1019.17</v>
      </c>
      <c r="O871" s="2">
        <v>1207.3699999999999</v>
      </c>
      <c r="P871" s="2">
        <v>1104.5899999999999</v>
      </c>
      <c r="Q871" s="2">
        <v>1335.37</v>
      </c>
      <c r="R871" s="2">
        <v>1104.79</v>
      </c>
      <c r="S871" s="2">
        <v>915.49</v>
      </c>
    </row>
    <row r="872" spans="1:19" ht="13.9" x14ac:dyDescent="0.3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ht="13.9" x14ac:dyDescent="0.3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ht="13.9" x14ac:dyDescent="0.3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v>108.02</v>
      </c>
      <c r="L875" s="2">
        <v>219.2</v>
      </c>
      <c r="M875" s="2">
        <v>116.18</v>
      </c>
      <c r="N875" s="2">
        <v>167.44</v>
      </c>
      <c r="O875" s="2">
        <v>186.14</v>
      </c>
      <c r="P875" s="2">
        <v>265.45</v>
      </c>
      <c r="Q875" s="2">
        <v>84.8</v>
      </c>
      <c r="R875" s="2">
        <v>202.58</v>
      </c>
      <c r="S875" s="2">
        <v>256.89999999999998</v>
      </c>
    </row>
    <row r="876" spans="1:19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ht="13.9" x14ac:dyDescent="0.3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v>3.8</v>
      </c>
      <c r="L877" s="2">
        <v>0</v>
      </c>
      <c r="M877" s="2">
        <v>5.19</v>
      </c>
      <c r="N877" s="2">
        <v>0</v>
      </c>
      <c r="O877" s="2">
        <v>0.24</v>
      </c>
      <c r="P877" s="2">
        <v>0</v>
      </c>
      <c r="Q877" s="2">
        <v>0</v>
      </c>
      <c r="R877" s="2">
        <v>0</v>
      </c>
      <c r="S877" s="2">
        <v>6.54</v>
      </c>
    </row>
    <row r="878" spans="1:19" ht="13.9" x14ac:dyDescent="0.3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v>0</v>
      </c>
      <c r="L878" s="2">
        <v>0</v>
      </c>
      <c r="M878" s="2">
        <v>0</v>
      </c>
      <c r="N878" s="2">
        <v>0</v>
      </c>
      <c r="O878" s="2">
        <v>2.44</v>
      </c>
      <c r="P878" s="2">
        <v>2.37</v>
      </c>
      <c r="Q878" s="2">
        <v>3.41</v>
      </c>
      <c r="R878" s="2">
        <v>1.46</v>
      </c>
      <c r="S878" s="2">
        <v>0.5</v>
      </c>
    </row>
    <row r="879" spans="1:19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ht="13.9" x14ac:dyDescent="0.3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v>0</v>
      </c>
      <c r="L880" s="2">
        <v>0</v>
      </c>
      <c r="M880" s="2">
        <v>0</v>
      </c>
      <c r="N880" s="2">
        <v>0</v>
      </c>
      <c r="O880" s="2">
        <v>7.07</v>
      </c>
      <c r="P880" s="2">
        <v>0</v>
      </c>
      <c r="Q880" s="2">
        <v>0</v>
      </c>
      <c r="R880" s="2">
        <v>0</v>
      </c>
      <c r="S880" s="2">
        <v>0</v>
      </c>
    </row>
    <row r="881" spans="1:19" ht="13.9" x14ac:dyDescent="0.3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1.0900000000000001</v>
      </c>
      <c r="Q881" s="2">
        <v>1.26</v>
      </c>
      <c r="R881" s="2">
        <v>0</v>
      </c>
      <c r="S881" s="2">
        <v>0</v>
      </c>
    </row>
    <row r="882" spans="1:19" ht="13.9" x14ac:dyDescent="0.3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ht="13.9" x14ac:dyDescent="0.3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ht="13.9" x14ac:dyDescent="0.3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v>4.59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4.5999999999999996</v>
      </c>
      <c r="S884" s="2">
        <v>0</v>
      </c>
    </row>
    <row r="885" spans="1:19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6.48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ht="13.9" x14ac:dyDescent="0.3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ht="13.9" x14ac:dyDescent="0.3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ht="13.9" x14ac:dyDescent="0.3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ht="13.9" x14ac:dyDescent="0.3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ht="13.9" x14ac:dyDescent="0.3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v>0.13</v>
      </c>
      <c r="L891" s="2">
        <v>0</v>
      </c>
      <c r="M891" s="2">
        <v>16.079999999999998</v>
      </c>
      <c r="N891" s="2">
        <v>4.9400000000000004</v>
      </c>
      <c r="O891" s="2">
        <v>0</v>
      </c>
      <c r="P891" s="2">
        <v>0</v>
      </c>
      <c r="Q891" s="2">
        <v>4.8499999999999996</v>
      </c>
      <c r="R891" s="2">
        <v>0.21</v>
      </c>
      <c r="S891" s="2">
        <v>23.63</v>
      </c>
    </row>
    <row r="892" spans="1:19" ht="13.9" x14ac:dyDescent="0.3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ht="13.9" x14ac:dyDescent="0.3">
      <c r="A893" s="2" t="s">
        <v>910</v>
      </c>
      <c r="B893" s="2">
        <v>0</v>
      </c>
      <c r="C893" s="2">
        <v>0.44</v>
      </c>
      <c r="D893" s="2">
        <v>0</v>
      </c>
      <c r="E893" s="2">
        <v>0</v>
      </c>
      <c r="F893" s="2">
        <v>0</v>
      </c>
      <c r="G893" s="2">
        <v>0.11</v>
      </c>
      <c r="H893" s="2">
        <v>0</v>
      </c>
      <c r="I893" s="2">
        <v>0</v>
      </c>
      <c r="J893" s="2">
        <v>0</v>
      </c>
      <c r="K893" s="2">
        <v>33.43</v>
      </c>
      <c r="L893" s="2">
        <v>8.1</v>
      </c>
      <c r="M893" s="2">
        <v>28.53</v>
      </c>
      <c r="N893" s="2">
        <v>35.270000000000003</v>
      </c>
      <c r="O893" s="2">
        <v>11.95</v>
      </c>
      <c r="P893" s="2">
        <v>26.76</v>
      </c>
      <c r="Q893" s="2">
        <v>42.58</v>
      </c>
      <c r="R893" s="2">
        <v>42.27</v>
      </c>
      <c r="S893" s="2">
        <v>125.18</v>
      </c>
    </row>
    <row r="894" spans="1:19" ht="13.9" x14ac:dyDescent="0.3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0.18</v>
      </c>
      <c r="Q894" s="2">
        <v>0</v>
      </c>
      <c r="R894" s="2">
        <v>0</v>
      </c>
      <c r="S894" s="2">
        <v>0</v>
      </c>
    </row>
    <row r="895" spans="1:19" ht="13.9" x14ac:dyDescent="0.3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v>0.79</v>
      </c>
      <c r="L895" s="2">
        <v>17.64</v>
      </c>
      <c r="M895" s="2">
        <v>0</v>
      </c>
      <c r="N895" s="2">
        <v>0</v>
      </c>
      <c r="O895" s="2">
        <v>19.760000000000002</v>
      </c>
      <c r="P895" s="2">
        <v>0.18</v>
      </c>
      <c r="Q895" s="2">
        <v>0.18</v>
      </c>
      <c r="R895" s="2">
        <v>7.12</v>
      </c>
      <c r="S895" s="2">
        <v>0.5</v>
      </c>
    </row>
    <row r="896" spans="1:19" ht="13.9" x14ac:dyDescent="0.3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v>0</v>
      </c>
      <c r="L896" s="2">
        <v>0</v>
      </c>
      <c r="M896" s="2">
        <v>0</v>
      </c>
      <c r="N896" s="2">
        <v>0</v>
      </c>
      <c r="O896" s="2">
        <v>7.56</v>
      </c>
      <c r="P896" s="2">
        <v>0</v>
      </c>
      <c r="Q896" s="2">
        <v>0</v>
      </c>
      <c r="R896" s="2">
        <v>0</v>
      </c>
      <c r="S896" s="2">
        <v>4.5199999999999996</v>
      </c>
    </row>
    <row r="897" spans="1:19" ht="13.9" x14ac:dyDescent="0.3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v>8.65</v>
      </c>
      <c r="L897" s="2">
        <v>0</v>
      </c>
      <c r="M897" s="2">
        <v>0</v>
      </c>
      <c r="N897" s="2">
        <v>0</v>
      </c>
      <c r="O897" s="2">
        <v>7.81</v>
      </c>
      <c r="P897" s="2">
        <v>0</v>
      </c>
      <c r="Q897" s="2">
        <v>2.34</v>
      </c>
      <c r="R897" s="2">
        <v>0</v>
      </c>
      <c r="S897" s="2">
        <v>17.09</v>
      </c>
    </row>
    <row r="898" spans="1:19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ht="13.9" x14ac:dyDescent="0.3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v>9.18</v>
      </c>
      <c r="L899" s="2">
        <v>0</v>
      </c>
      <c r="M899" s="2">
        <v>0</v>
      </c>
      <c r="N899" s="2">
        <v>14.17</v>
      </c>
      <c r="O899" s="2">
        <v>0</v>
      </c>
      <c r="P899" s="2">
        <v>0.91</v>
      </c>
      <c r="Q899" s="2">
        <v>9.8800000000000008</v>
      </c>
      <c r="R899" s="2">
        <v>9.2100000000000009</v>
      </c>
      <c r="S899" s="2">
        <v>0</v>
      </c>
    </row>
    <row r="900" spans="1:19" ht="13.9" x14ac:dyDescent="0.3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v>0</v>
      </c>
      <c r="L900" s="2">
        <v>12.72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ht="13.9" x14ac:dyDescent="0.3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v>6155.23</v>
      </c>
      <c r="L902" s="2">
        <v>6502.81</v>
      </c>
      <c r="M902" s="2">
        <v>3138.37</v>
      </c>
      <c r="N902" s="2">
        <v>6769.61</v>
      </c>
      <c r="O902" s="2">
        <v>7978.28</v>
      </c>
      <c r="P902" s="2">
        <v>4862.2299999999996</v>
      </c>
      <c r="Q902" s="2">
        <v>3747.76</v>
      </c>
      <c r="R902" s="2">
        <v>6779.66</v>
      </c>
      <c r="S902" s="2">
        <v>9669.24</v>
      </c>
    </row>
    <row r="903" spans="1:19" ht="13.9" x14ac:dyDescent="0.3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v>0.52</v>
      </c>
      <c r="L903" s="2">
        <v>0.28999999999999998</v>
      </c>
      <c r="M903" s="2">
        <v>0.26</v>
      </c>
      <c r="N903" s="2">
        <v>14.17</v>
      </c>
      <c r="O903" s="2">
        <v>18.3</v>
      </c>
      <c r="P903" s="2">
        <v>18.02</v>
      </c>
      <c r="Q903" s="2">
        <v>14.01</v>
      </c>
      <c r="R903" s="2">
        <v>7.95</v>
      </c>
      <c r="S903" s="2">
        <v>12.57</v>
      </c>
    </row>
    <row r="904" spans="1:19" ht="13.9" x14ac:dyDescent="0.3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v>3.41</v>
      </c>
      <c r="L904" s="2">
        <v>0</v>
      </c>
      <c r="M904" s="2">
        <v>0</v>
      </c>
      <c r="N904" s="2">
        <v>3.96</v>
      </c>
      <c r="O904" s="2">
        <v>0</v>
      </c>
      <c r="P904" s="2">
        <v>7.28</v>
      </c>
      <c r="Q904" s="2">
        <v>6.11</v>
      </c>
      <c r="R904" s="2">
        <v>0</v>
      </c>
      <c r="S904" s="2">
        <v>8.5500000000000007</v>
      </c>
    </row>
    <row r="905" spans="1:19" ht="13.9" x14ac:dyDescent="0.3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7.52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ht="13.9" x14ac:dyDescent="0.3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v>82.33</v>
      </c>
      <c r="L908" s="2">
        <v>54.37</v>
      </c>
      <c r="M908" s="2">
        <v>105.29</v>
      </c>
      <c r="N908" s="2">
        <v>140.09</v>
      </c>
      <c r="O908" s="2">
        <v>126.86</v>
      </c>
      <c r="P908" s="2">
        <v>60.26</v>
      </c>
      <c r="Q908" s="2">
        <v>84.08</v>
      </c>
      <c r="R908" s="2">
        <v>125.57</v>
      </c>
      <c r="S908" s="2">
        <v>225.23</v>
      </c>
    </row>
    <row r="909" spans="1:19" ht="13.9" x14ac:dyDescent="0.3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ht="13.9" x14ac:dyDescent="0.3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v>2.1</v>
      </c>
      <c r="L910" s="2">
        <v>0</v>
      </c>
      <c r="M910" s="2">
        <v>7</v>
      </c>
      <c r="N910" s="2">
        <v>0</v>
      </c>
      <c r="O910" s="2">
        <v>0</v>
      </c>
      <c r="P910" s="2">
        <v>0</v>
      </c>
      <c r="Q910" s="2">
        <v>0</v>
      </c>
      <c r="R910" s="2">
        <v>3.77</v>
      </c>
      <c r="S910" s="2">
        <v>0</v>
      </c>
    </row>
    <row r="911" spans="1:19" ht="13.9" x14ac:dyDescent="0.3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ht="13.9" x14ac:dyDescent="0.3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v>88.88</v>
      </c>
      <c r="L912" s="2">
        <v>115.67</v>
      </c>
      <c r="M912" s="2">
        <v>30.86</v>
      </c>
      <c r="N912" s="2">
        <v>106.47</v>
      </c>
      <c r="O912" s="2">
        <v>206.15</v>
      </c>
      <c r="P912" s="2">
        <v>118.16</v>
      </c>
      <c r="Q912" s="2">
        <v>63.96</v>
      </c>
      <c r="R912" s="2">
        <v>135.61000000000001</v>
      </c>
      <c r="S912" s="2">
        <v>249.86</v>
      </c>
    </row>
    <row r="913" spans="1:19" ht="13.9" x14ac:dyDescent="0.3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ht="13.9" x14ac:dyDescent="0.3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v>9.57</v>
      </c>
      <c r="L914" s="2">
        <v>8.9600000000000009</v>
      </c>
      <c r="M914" s="2">
        <v>1.3</v>
      </c>
      <c r="N914" s="2">
        <v>0</v>
      </c>
      <c r="O914" s="2">
        <v>13.17</v>
      </c>
      <c r="P914" s="2">
        <v>0.18</v>
      </c>
      <c r="Q914" s="2">
        <v>8.6199999999999992</v>
      </c>
      <c r="R914" s="2">
        <v>0</v>
      </c>
      <c r="S914" s="2">
        <v>0</v>
      </c>
    </row>
    <row r="915" spans="1:19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>
        <v>0.79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ht="13.9" x14ac:dyDescent="0.3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v>0</v>
      </c>
      <c r="L916" s="2">
        <v>11.28</v>
      </c>
      <c r="M916" s="2">
        <v>6.74</v>
      </c>
      <c r="N916" s="2">
        <v>0.66</v>
      </c>
      <c r="O916" s="2">
        <v>9.27</v>
      </c>
      <c r="P916" s="2">
        <v>16.57</v>
      </c>
      <c r="Q916" s="2">
        <v>0.18</v>
      </c>
      <c r="R916" s="2">
        <v>14.23</v>
      </c>
      <c r="S916" s="2">
        <v>25.14</v>
      </c>
    </row>
    <row r="917" spans="1:19" ht="13.9" x14ac:dyDescent="0.3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v>0</v>
      </c>
      <c r="L917" s="2">
        <v>31.23</v>
      </c>
      <c r="M917" s="2">
        <v>2.0699999999999998</v>
      </c>
      <c r="N917" s="2">
        <v>45.82</v>
      </c>
      <c r="O917" s="2">
        <v>41.72</v>
      </c>
      <c r="P917" s="2">
        <v>12.56</v>
      </c>
      <c r="Q917" s="2">
        <v>39.340000000000003</v>
      </c>
      <c r="R917" s="2">
        <v>21.35</v>
      </c>
      <c r="S917" s="2">
        <v>0</v>
      </c>
    </row>
    <row r="918" spans="1:19" ht="13.9" x14ac:dyDescent="0.3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v>0</v>
      </c>
      <c r="L918" s="2">
        <v>0</v>
      </c>
      <c r="M918" s="2">
        <v>0</v>
      </c>
      <c r="N918" s="2">
        <v>0</v>
      </c>
      <c r="O918" s="2">
        <v>13.66</v>
      </c>
      <c r="P918" s="2">
        <v>10.74</v>
      </c>
      <c r="Q918" s="2">
        <v>0.18</v>
      </c>
      <c r="R918" s="2">
        <v>8.3699999999999992</v>
      </c>
      <c r="S918" s="2">
        <v>0</v>
      </c>
    </row>
    <row r="919" spans="1:19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ht="13.9" x14ac:dyDescent="0.3">
      <c r="A920" s="2" t="s">
        <v>937</v>
      </c>
      <c r="B920" s="2">
        <v>386.07</v>
      </c>
      <c r="C920" s="2">
        <v>407.72</v>
      </c>
      <c r="D920" s="2">
        <v>385.27</v>
      </c>
      <c r="E920" s="2">
        <v>421.81</v>
      </c>
      <c r="F920" s="2">
        <v>371.57</v>
      </c>
      <c r="G920" s="2">
        <v>419.75</v>
      </c>
      <c r="H920" s="2">
        <v>376.37</v>
      </c>
      <c r="I920" s="2">
        <v>204.38</v>
      </c>
      <c r="J920" s="2">
        <v>382.49</v>
      </c>
      <c r="K920" s="2">
        <v>810.57</v>
      </c>
      <c r="L920" s="2">
        <v>475.12</v>
      </c>
      <c r="M920" s="2">
        <v>709.26</v>
      </c>
      <c r="N920" s="2">
        <v>638.13</v>
      </c>
      <c r="O920" s="2">
        <v>557.94000000000005</v>
      </c>
      <c r="P920" s="2">
        <v>643.04999999999995</v>
      </c>
      <c r="Q920" s="2">
        <v>676.4</v>
      </c>
      <c r="R920" s="2">
        <v>549.15</v>
      </c>
      <c r="S920" s="2">
        <v>536.42999999999995</v>
      </c>
    </row>
    <row r="921" spans="1:19" ht="13.9" x14ac:dyDescent="0.3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ht="13.9" x14ac:dyDescent="0.3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ht="13.9" x14ac:dyDescent="0.3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v>0</v>
      </c>
      <c r="L923" s="2">
        <v>0.57999999999999996</v>
      </c>
      <c r="M923" s="2">
        <v>0.26</v>
      </c>
      <c r="N923" s="2">
        <v>0</v>
      </c>
      <c r="O923" s="2">
        <v>0.24</v>
      </c>
      <c r="P923" s="2">
        <v>0</v>
      </c>
      <c r="Q923" s="2">
        <v>0</v>
      </c>
      <c r="R923" s="2">
        <v>0.21</v>
      </c>
      <c r="S923" s="2">
        <v>0</v>
      </c>
    </row>
    <row r="924" spans="1:19" ht="13.9" x14ac:dyDescent="0.3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v>3.41</v>
      </c>
      <c r="L924" s="2">
        <v>17.64</v>
      </c>
      <c r="M924" s="2">
        <v>5.96</v>
      </c>
      <c r="N924" s="2">
        <v>9.89</v>
      </c>
      <c r="O924" s="2">
        <v>48.3</v>
      </c>
      <c r="P924" s="2">
        <v>16.39</v>
      </c>
      <c r="Q924" s="2">
        <v>7.19</v>
      </c>
      <c r="R924" s="2">
        <v>8.3699999999999992</v>
      </c>
      <c r="S924" s="2">
        <v>33.68</v>
      </c>
    </row>
    <row r="925" spans="1:19" ht="13.9" x14ac:dyDescent="0.3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v>0</v>
      </c>
      <c r="L925" s="2">
        <v>0</v>
      </c>
      <c r="M925" s="2">
        <v>0</v>
      </c>
      <c r="N925" s="2">
        <v>7.91</v>
      </c>
      <c r="O925" s="2">
        <v>3.66</v>
      </c>
      <c r="P925" s="2">
        <v>0</v>
      </c>
      <c r="Q925" s="2">
        <v>1.44</v>
      </c>
      <c r="R925" s="2">
        <v>0.42</v>
      </c>
      <c r="S925" s="2">
        <v>1.51</v>
      </c>
    </row>
    <row r="926" spans="1:19" ht="13.9" x14ac:dyDescent="0.3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v>39.33</v>
      </c>
      <c r="L926" s="2">
        <v>20.82</v>
      </c>
      <c r="M926" s="2">
        <v>4.41</v>
      </c>
      <c r="N926" s="2">
        <v>46.15</v>
      </c>
      <c r="O926" s="2">
        <v>110.03</v>
      </c>
      <c r="P926" s="2">
        <v>17.3</v>
      </c>
      <c r="Q926" s="2">
        <v>28.56</v>
      </c>
      <c r="R926" s="2">
        <v>51.9</v>
      </c>
      <c r="S926" s="2">
        <v>30.67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50DB-0726-48B4-865E-E380FD3D95BB}">
  <dimension ref="A1:AB927"/>
  <sheetViews>
    <sheetView topLeftCell="N867" workbookViewId="0">
      <selection activeCell="Z894" sqref="Z894"/>
    </sheetView>
  </sheetViews>
  <sheetFormatPr defaultRowHeight="13.5" x14ac:dyDescent="0.3"/>
  <cols>
    <col min="1" max="1" width="18.3984375" bestFit="1" customWidth="1"/>
    <col min="11" max="13" width="16.1328125" style="1" bestFit="1" customWidth="1"/>
    <col min="23" max="25" width="16.1328125" style="1" bestFit="1" customWidth="1"/>
  </cols>
  <sheetData>
    <row r="1" spans="1:28" ht="13.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996</v>
      </c>
      <c r="L1" s="3" t="s">
        <v>997</v>
      </c>
      <c r="M1" s="3" t="s">
        <v>998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3" t="s">
        <v>993</v>
      </c>
      <c r="X1" s="3" t="s">
        <v>994</v>
      </c>
      <c r="Y1" s="3" t="s">
        <v>995</v>
      </c>
    </row>
    <row r="2" spans="1:28" ht="13.9" x14ac:dyDescent="0.3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f>LOG(SUM(B2:D2),2)</f>
        <v>-0.86249647625006509</v>
      </c>
      <c r="L2" s="2">
        <f>LOG(SUM(E2:G2),2)</f>
        <v>1.3161457422933565</v>
      </c>
      <c r="M2" s="2">
        <f>LOG(SUM(H2:J2),2)</f>
        <v>0.72246602447109098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 t="e">
        <f>LOG(SUM(N2:P2),2)</f>
        <v>#NUM!</v>
      </c>
      <c r="X2" s="2" t="e">
        <f>LOG(SUM(Q2:S2),2)</f>
        <v>#NUM!</v>
      </c>
      <c r="Y2" s="2" t="e">
        <f>LOG(SUM(T2:V2),2)</f>
        <v>#NUM!</v>
      </c>
      <c r="Z2" t="e">
        <f>LOG(W2/K2,2)</f>
        <v>#NUM!</v>
      </c>
      <c r="AA2" t="e">
        <f t="shared" ref="AA2:AB2" si="0">LOG(X2/L2,2)</f>
        <v>#NUM!</v>
      </c>
      <c r="AB2" t="e">
        <f t="shared" si="0"/>
        <v>#NUM!</v>
      </c>
    </row>
    <row r="3" spans="1:28" ht="13.9" x14ac:dyDescent="0.3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f t="shared" ref="K3:K66" si="1">LOG(SUM(B3:D3),2)</f>
        <v>16.217808923623529</v>
      </c>
      <c r="L3" s="2">
        <f t="shared" ref="L3:L66" si="2">LOG(SUM(E3:G3),2)</f>
        <v>16.122983254080779</v>
      </c>
      <c r="M3" s="2">
        <f t="shared" ref="M3:M66" si="3">LOG(SUM(H3:J3),2)</f>
        <v>16.585160024178471</v>
      </c>
      <c r="N3" s="2">
        <v>75351.350000000006</v>
      </c>
      <c r="O3" s="2">
        <v>74818.929999999993</v>
      </c>
      <c r="P3" s="2">
        <v>80016.44</v>
      </c>
      <c r="Q3" s="2">
        <v>56296.75</v>
      </c>
      <c r="R3" s="2">
        <v>61967.95</v>
      </c>
      <c r="S3" s="2">
        <v>62627.25</v>
      </c>
      <c r="T3" s="2">
        <v>70416.53</v>
      </c>
      <c r="U3" s="2">
        <v>64101.94</v>
      </c>
      <c r="V3" s="2">
        <v>66334.789999999994</v>
      </c>
      <c r="W3" s="2">
        <f t="shared" ref="W3:W66" si="4">LOG(SUM(N3:P3),2)</f>
        <v>17.812445077920874</v>
      </c>
      <c r="X3" s="2">
        <f t="shared" ref="X3:X66" si="5">LOG(SUM(Q3:S3),2)</f>
        <v>17.464768681436929</v>
      </c>
      <c r="Y3" s="2">
        <f t="shared" ref="Y3:Y66" si="6">LOG(SUM(T3:V3),2)</f>
        <v>17.615782352039584</v>
      </c>
      <c r="Z3">
        <f t="shared" ref="Z3:Z66" si="7">LOG(W3/K3,2)</f>
        <v>0.13530664569366291</v>
      </c>
      <c r="AA3">
        <f t="shared" ref="AA3:AA66" si="8">LOG(X3/L3,2)</f>
        <v>0.1153288224701335</v>
      </c>
      <c r="AB3">
        <f t="shared" ref="AB3:AB66" si="9">LOG(Y3/M3,2)</f>
        <v>8.6975616987861312E-2</v>
      </c>
    </row>
    <row r="4" spans="1:28" ht="13.9" x14ac:dyDescent="0.3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f t="shared" si="1"/>
        <v>14.391642343350483</v>
      </c>
      <c r="L4" s="2">
        <f t="shared" si="2"/>
        <v>14.065782147706365</v>
      </c>
      <c r="M4" s="2">
        <f t="shared" si="3"/>
        <v>15.327824176396888</v>
      </c>
      <c r="N4" s="2">
        <v>70626.649999999994</v>
      </c>
      <c r="O4" s="2">
        <v>47335.75</v>
      </c>
      <c r="P4" s="2">
        <v>37702.160000000003</v>
      </c>
      <c r="Q4" s="2">
        <v>39643</v>
      </c>
      <c r="R4" s="2">
        <v>31772.09</v>
      </c>
      <c r="S4" s="2">
        <v>47304.85</v>
      </c>
      <c r="T4" s="2">
        <v>51597.440000000002</v>
      </c>
      <c r="U4" s="2">
        <v>26402.89</v>
      </c>
      <c r="V4" s="2">
        <v>40348.06</v>
      </c>
      <c r="W4" s="2">
        <f t="shared" si="4"/>
        <v>17.248080999251545</v>
      </c>
      <c r="X4" s="2">
        <f t="shared" si="5"/>
        <v>16.85720274238313</v>
      </c>
      <c r="Y4" s="2">
        <f t="shared" si="6"/>
        <v>16.852680554359658</v>
      </c>
      <c r="Z4">
        <f t="shared" si="7"/>
        <v>0.26120461956810787</v>
      </c>
      <c r="AA4">
        <f t="shared" si="8"/>
        <v>0.2611753796214879</v>
      </c>
      <c r="AB4">
        <f t="shared" si="9"/>
        <v>0.13682516460351737</v>
      </c>
    </row>
    <row r="5" spans="1:28" ht="13.9" x14ac:dyDescent="0.3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f t="shared" si="1"/>
        <v>9.8583385153283061</v>
      </c>
      <c r="L5" s="2">
        <f t="shared" si="2"/>
        <v>9.6663305363496246</v>
      </c>
      <c r="M5" s="2">
        <f t="shared" si="3"/>
        <v>10.780482353792397</v>
      </c>
      <c r="N5" s="2">
        <v>1758.66</v>
      </c>
      <c r="O5" s="2">
        <v>1466.44</v>
      </c>
      <c r="P5" s="2">
        <v>1752.27</v>
      </c>
      <c r="Q5" s="2">
        <v>1153.6500000000001</v>
      </c>
      <c r="R5" s="2">
        <v>1333.49</v>
      </c>
      <c r="S5" s="2">
        <v>1762.94</v>
      </c>
      <c r="T5" s="2">
        <v>1672.76</v>
      </c>
      <c r="U5" s="2">
        <v>1245.8499999999999</v>
      </c>
      <c r="V5" s="2">
        <v>1140.72</v>
      </c>
      <c r="W5" s="2">
        <f t="shared" si="4"/>
        <v>12.281167920486412</v>
      </c>
      <c r="X5" s="2">
        <f t="shared" si="5"/>
        <v>12.053274282269374</v>
      </c>
      <c r="Y5" s="2">
        <f t="shared" si="6"/>
        <v>11.98702591220972</v>
      </c>
      <c r="Z5">
        <f t="shared" si="7"/>
        <v>0.31703133915679305</v>
      </c>
      <c r="AA5">
        <f t="shared" si="8"/>
        <v>0.31838487593002096</v>
      </c>
      <c r="AB5">
        <f t="shared" si="9"/>
        <v>0.15305202727651351</v>
      </c>
    </row>
    <row r="6" spans="1:28" ht="13.9" x14ac:dyDescent="0.3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f t="shared" si="1"/>
        <v>3.5298209465286958</v>
      </c>
      <c r="L6" s="2">
        <f t="shared" si="2"/>
        <v>3.5728896684205815</v>
      </c>
      <c r="M6" s="2">
        <f t="shared" si="3"/>
        <v>4.1610814822771838</v>
      </c>
      <c r="N6" s="2">
        <v>6.55</v>
      </c>
      <c r="O6" s="2">
        <v>0.87</v>
      </c>
      <c r="P6" s="2">
        <v>0</v>
      </c>
      <c r="Q6" s="2">
        <v>7.25</v>
      </c>
      <c r="R6" s="2">
        <v>0</v>
      </c>
      <c r="S6" s="2">
        <v>1.64</v>
      </c>
      <c r="T6" s="2">
        <v>0</v>
      </c>
      <c r="U6" s="2">
        <v>0</v>
      </c>
      <c r="V6" s="2">
        <v>35.69</v>
      </c>
      <c r="W6" s="2">
        <f t="shared" si="4"/>
        <v>2.8914191868460786</v>
      </c>
      <c r="X6" s="2">
        <f t="shared" si="5"/>
        <v>3.1521834190550453</v>
      </c>
      <c r="Y6" s="2">
        <f t="shared" si="6"/>
        <v>5.1574479962742981</v>
      </c>
      <c r="Z6">
        <f t="shared" si="7"/>
        <v>-0.28781722293367867</v>
      </c>
      <c r="AA6">
        <f t="shared" si="8"/>
        <v>-0.18073987919964715</v>
      </c>
      <c r="AB6">
        <f t="shared" si="9"/>
        <v>0.30969882965510825</v>
      </c>
    </row>
    <row r="7" spans="1:28" ht="13.9" x14ac:dyDescent="0.3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f t="shared" si="1"/>
        <v>7.4706182055510304</v>
      </c>
      <c r="L7" s="2">
        <f t="shared" si="2"/>
        <v>7.3738221872216529</v>
      </c>
      <c r="M7" s="2">
        <f t="shared" si="3"/>
        <v>7.1816989110961051</v>
      </c>
      <c r="N7" s="2">
        <v>147.61000000000001</v>
      </c>
      <c r="O7" s="2">
        <v>150.37</v>
      </c>
      <c r="P7" s="2">
        <v>170.12</v>
      </c>
      <c r="Q7" s="2">
        <v>107.45</v>
      </c>
      <c r="R7" s="2">
        <v>106.86</v>
      </c>
      <c r="S7" s="2">
        <v>129.44999999999999</v>
      </c>
      <c r="T7" s="2">
        <v>153.6</v>
      </c>
      <c r="U7" s="2">
        <v>136.03</v>
      </c>
      <c r="V7" s="2">
        <v>126.19</v>
      </c>
      <c r="W7" s="2">
        <f t="shared" si="4"/>
        <v>8.8706729548245917</v>
      </c>
      <c r="X7" s="2">
        <f t="shared" si="5"/>
        <v>8.4252578719992144</v>
      </c>
      <c r="Y7" s="2">
        <f t="shared" si="6"/>
        <v>8.6998153400030009</v>
      </c>
      <c r="Z7">
        <f t="shared" si="7"/>
        <v>0.24781592241703618</v>
      </c>
      <c r="AA7">
        <f t="shared" si="8"/>
        <v>0.19230821594109027</v>
      </c>
      <c r="AB7">
        <f t="shared" si="9"/>
        <v>0.2766596089712679</v>
      </c>
    </row>
    <row r="8" spans="1:28" ht="13.9" x14ac:dyDescent="0.3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f t="shared" si="1"/>
        <v>9.4561901130791401</v>
      </c>
      <c r="L8" s="2">
        <f t="shared" si="2"/>
        <v>9.314220684065992</v>
      </c>
      <c r="M8" s="2">
        <f t="shared" si="3"/>
        <v>10.749349896624745</v>
      </c>
      <c r="N8" s="2">
        <v>1466.84</v>
      </c>
      <c r="O8" s="2">
        <v>1228.1500000000001</v>
      </c>
      <c r="P8" s="2">
        <v>1173.71</v>
      </c>
      <c r="Q8" s="2">
        <v>1063.6600000000001</v>
      </c>
      <c r="R8" s="2">
        <v>1122.47</v>
      </c>
      <c r="S8" s="2">
        <v>1140.0899999999999</v>
      </c>
      <c r="T8" s="2">
        <v>1070.74</v>
      </c>
      <c r="U8" s="2">
        <v>1099.77</v>
      </c>
      <c r="V8" s="2">
        <v>1258.3599999999999</v>
      </c>
      <c r="W8" s="2">
        <f t="shared" si="4"/>
        <v>11.917633143375243</v>
      </c>
      <c r="X8" s="2">
        <f t="shared" si="5"/>
        <v>11.699667877945236</v>
      </c>
      <c r="Y8" s="2">
        <f t="shared" si="6"/>
        <v>11.743517492548758</v>
      </c>
      <c r="Z8">
        <f t="shared" si="7"/>
        <v>0.33376679748481569</v>
      </c>
      <c r="AA8">
        <f t="shared" si="8"/>
        <v>0.32896060636838165</v>
      </c>
      <c r="AB8">
        <f t="shared" si="9"/>
        <v>0.12761518773042721</v>
      </c>
    </row>
    <row r="9" spans="1:28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 t="e">
        <f t="shared" si="1"/>
        <v>#NUM!</v>
      </c>
      <c r="L9" s="2">
        <f t="shared" si="2"/>
        <v>-0.43440282414577491</v>
      </c>
      <c r="M9" s="2" t="e">
        <f t="shared" si="3"/>
        <v>#NUM!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 t="e">
        <f t="shared" si="4"/>
        <v>#NUM!</v>
      </c>
      <c r="X9" s="2" t="e">
        <f t="shared" si="5"/>
        <v>#NUM!</v>
      </c>
      <c r="Y9" s="2" t="e">
        <f t="shared" si="6"/>
        <v>#NUM!</v>
      </c>
      <c r="Z9" t="e">
        <f t="shared" si="7"/>
        <v>#NUM!</v>
      </c>
      <c r="AA9" t="e">
        <f t="shared" si="8"/>
        <v>#NUM!</v>
      </c>
      <c r="AB9" t="e">
        <f t="shared" si="9"/>
        <v>#NUM!</v>
      </c>
    </row>
    <row r="10" spans="1:28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 t="e">
        <f t="shared" si="1"/>
        <v>#NUM!</v>
      </c>
      <c r="L10" s="2" t="e">
        <f t="shared" si="2"/>
        <v>#NUM!</v>
      </c>
      <c r="M10" s="2">
        <f t="shared" si="3"/>
        <v>-0.47393118833241243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 t="e">
        <f t="shared" si="4"/>
        <v>#NUM!</v>
      </c>
      <c r="X10" s="2" t="e">
        <f t="shared" si="5"/>
        <v>#NUM!</v>
      </c>
      <c r="Y10" s="2" t="e">
        <f t="shared" si="6"/>
        <v>#NUM!</v>
      </c>
      <c r="Z10" t="e">
        <f t="shared" si="7"/>
        <v>#NUM!</v>
      </c>
      <c r="AA10" t="e">
        <f t="shared" si="8"/>
        <v>#NUM!</v>
      </c>
      <c r="AB10" t="e">
        <f t="shared" si="9"/>
        <v>#NUM!</v>
      </c>
    </row>
    <row r="11" spans="1:28" ht="13.9" x14ac:dyDescent="0.3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f t="shared" si="1"/>
        <v>17.773967488059434</v>
      </c>
      <c r="L11" s="2">
        <f t="shared" si="2"/>
        <v>17.763015207156489</v>
      </c>
      <c r="M11" s="2">
        <f t="shared" si="3"/>
        <v>17.807763377078857</v>
      </c>
      <c r="N11" s="2">
        <v>214660.62</v>
      </c>
      <c r="O11" s="2">
        <v>151975.01999999999</v>
      </c>
      <c r="P11" s="2">
        <v>234067.7</v>
      </c>
      <c r="Q11" s="2">
        <v>184371.55</v>
      </c>
      <c r="R11" s="2">
        <v>123991.77</v>
      </c>
      <c r="S11" s="2">
        <v>184487.15</v>
      </c>
      <c r="T11" s="2">
        <v>204730.86</v>
      </c>
      <c r="U11" s="2">
        <v>158538.32999999999</v>
      </c>
      <c r="V11" s="2">
        <v>144428.71</v>
      </c>
      <c r="W11" s="2">
        <f t="shared" si="4"/>
        <v>19.196293159922703</v>
      </c>
      <c r="X11" s="2">
        <f t="shared" si="5"/>
        <v>18.910790476188811</v>
      </c>
      <c r="Y11" s="2">
        <f t="shared" si="6"/>
        <v>18.953610767071115</v>
      </c>
      <c r="Z11">
        <f t="shared" si="7"/>
        <v>0.11106199640828049</v>
      </c>
      <c r="AA11">
        <f t="shared" si="8"/>
        <v>9.0333174887948384E-2</v>
      </c>
      <c r="AB11">
        <f t="shared" si="9"/>
        <v>8.9966387991310293E-2</v>
      </c>
    </row>
    <row r="12" spans="1:28" ht="13.9" x14ac:dyDescent="0.3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f t="shared" si="1"/>
        <v>-3.1844245711374275</v>
      </c>
      <c r="L12" s="2">
        <f t="shared" si="2"/>
        <v>-0.91593573521152549</v>
      </c>
      <c r="M12" s="2">
        <f t="shared" si="3"/>
        <v>-1.2863041851566412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 t="e">
        <f t="shared" si="4"/>
        <v>#NUM!</v>
      </c>
      <c r="X12" s="2" t="e">
        <f t="shared" si="5"/>
        <v>#NUM!</v>
      </c>
      <c r="Y12" s="2" t="e">
        <f t="shared" si="6"/>
        <v>#NUM!</v>
      </c>
      <c r="Z12" t="e">
        <f t="shared" si="7"/>
        <v>#NUM!</v>
      </c>
      <c r="AA12" t="e">
        <f t="shared" si="8"/>
        <v>#NUM!</v>
      </c>
      <c r="AB12" t="e">
        <f t="shared" si="9"/>
        <v>#NUM!</v>
      </c>
    </row>
    <row r="13" spans="1:28" ht="13.9" x14ac:dyDescent="0.3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f t="shared" si="1"/>
        <v>14.315380980742596</v>
      </c>
      <c r="L13" s="2">
        <f t="shared" si="2"/>
        <v>14.312127100420261</v>
      </c>
      <c r="M13" s="2">
        <f t="shared" si="3"/>
        <v>14.718978565738682</v>
      </c>
      <c r="N13" s="2">
        <v>11170.84</v>
      </c>
      <c r="O13" s="2">
        <v>8576.82</v>
      </c>
      <c r="P13" s="2">
        <v>11900.75</v>
      </c>
      <c r="Q13" s="2">
        <v>10411.52</v>
      </c>
      <c r="R13" s="2">
        <v>7376.18</v>
      </c>
      <c r="S13" s="2">
        <v>8214.2199999999993</v>
      </c>
      <c r="T13" s="2">
        <v>7655.4</v>
      </c>
      <c r="U13" s="2">
        <v>9935.2000000000007</v>
      </c>
      <c r="V13" s="2">
        <v>9073.99</v>
      </c>
      <c r="W13" s="2">
        <f t="shared" si="4"/>
        <v>14.949845400759596</v>
      </c>
      <c r="X13" s="2">
        <f t="shared" si="5"/>
        <v>14.666330536349623</v>
      </c>
      <c r="Y13" s="2">
        <f t="shared" si="6"/>
        <v>14.702637524577133</v>
      </c>
      <c r="Z13">
        <f t="shared" si="7"/>
        <v>6.256449946583939E-2</v>
      </c>
      <c r="AA13">
        <f t="shared" si="8"/>
        <v>3.5269854427863262E-2</v>
      </c>
      <c r="AB13">
        <f t="shared" si="9"/>
        <v>-1.6025728429404236E-3</v>
      </c>
    </row>
    <row r="14" spans="1:28" ht="13.9" x14ac:dyDescent="0.3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f t="shared" si="1"/>
        <v>0.65992455840237807</v>
      </c>
      <c r="L14" s="2">
        <f t="shared" si="2"/>
        <v>-0.91593573521152549</v>
      </c>
      <c r="M14" s="2">
        <f t="shared" si="3"/>
        <v>-2.2515387669959646</v>
      </c>
      <c r="N14" s="2">
        <v>3.02</v>
      </c>
      <c r="O14" s="2">
        <v>4.34</v>
      </c>
      <c r="P14" s="2">
        <v>0</v>
      </c>
      <c r="Q14" s="2">
        <v>0</v>
      </c>
      <c r="R14" s="2">
        <v>0</v>
      </c>
      <c r="S14" s="2">
        <v>0.18</v>
      </c>
      <c r="T14" s="2">
        <v>0</v>
      </c>
      <c r="U14" s="2">
        <v>0</v>
      </c>
      <c r="V14" s="2">
        <v>0</v>
      </c>
      <c r="W14" s="2">
        <f t="shared" si="4"/>
        <v>2.8797057662822882</v>
      </c>
      <c r="X14" s="2">
        <f t="shared" si="5"/>
        <v>-2.4739311883324122</v>
      </c>
      <c r="Y14" s="2" t="e">
        <f t="shared" si="6"/>
        <v>#NUM!</v>
      </c>
      <c r="Z14">
        <f t="shared" si="7"/>
        <v>2.1255483996907767</v>
      </c>
      <c r="AA14">
        <f t="shared" si="8"/>
        <v>1.433487089544387</v>
      </c>
      <c r="AB14" t="e">
        <f t="shared" si="9"/>
        <v>#NUM!</v>
      </c>
    </row>
    <row r="15" spans="1:28" ht="13.9" x14ac:dyDescent="0.3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f t="shared" si="1"/>
        <v>16.267280479644636</v>
      </c>
      <c r="L15" s="2">
        <f t="shared" si="2"/>
        <v>16.327282288855898</v>
      </c>
      <c r="M15" s="2">
        <f t="shared" si="3"/>
        <v>16.210443431709948</v>
      </c>
      <c r="N15" s="2">
        <v>17527.04</v>
      </c>
      <c r="O15" s="2">
        <v>14995.48</v>
      </c>
      <c r="P15" s="2">
        <v>9801.76</v>
      </c>
      <c r="Q15" s="2">
        <v>16024.18</v>
      </c>
      <c r="R15" s="2">
        <v>14230.77</v>
      </c>
      <c r="S15" s="2">
        <v>14543.17</v>
      </c>
      <c r="T15" s="2">
        <v>16269.8</v>
      </c>
      <c r="U15" s="2">
        <v>15437.2</v>
      </c>
      <c r="V15" s="2">
        <v>13431.25</v>
      </c>
      <c r="W15" s="2">
        <f t="shared" si="4"/>
        <v>15.369197905455017</v>
      </c>
      <c r="X15" s="2">
        <f t="shared" si="5"/>
        <v>15.451150568895107</v>
      </c>
      <c r="Y15" s="2">
        <f t="shared" si="6"/>
        <v>15.462062866194788</v>
      </c>
      <c r="Z15">
        <f t="shared" si="7"/>
        <v>-8.1931210295987586E-2</v>
      </c>
      <c r="AA15">
        <f t="shared" si="8"/>
        <v>-7.9570398880853127E-2</v>
      </c>
      <c r="AB15">
        <f t="shared" si="9"/>
        <v>-6.8190747072651686E-2</v>
      </c>
    </row>
    <row r="16" spans="1:28" ht="13.9" x14ac:dyDescent="0.3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f t="shared" si="1"/>
        <v>5.2816982500988292</v>
      </c>
      <c r="L16" s="2">
        <f t="shared" si="2"/>
        <v>5.3512042772579953</v>
      </c>
      <c r="M16" s="2">
        <f t="shared" si="3"/>
        <v>5.1917995010650744</v>
      </c>
      <c r="N16" s="2">
        <v>5.1100000000000003</v>
      </c>
      <c r="O16" s="2">
        <v>10.119999999999999</v>
      </c>
      <c r="P16" s="2">
        <v>3.11</v>
      </c>
      <c r="Q16" s="2">
        <v>10.88</v>
      </c>
      <c r="R16" s="2">
        <v>16.100000000000001</v>
      </c>
      <c r="S16" s="2">
        <v>12.93</v>
      </c>
      <c r="T16" s="2">
        <v>3.59</v>
      </c>
      <c r="U16" s="2">
        <v>13.39</v>
      </c>
      <c r="V16" s="2">
        <v>3.02</v>
      </c>
      <c r="W16" s="2">
        <f t="shared" si="4"/>
        <v>4.1969217338203295</v>
      </c>
      <c r="X16" s="2">
        <f t="shared" si="5"/>
        <v>5.3186783737365468</v>
      </c>
      <c r="Y16" s="2">
        <f t="shared" si="6"/>
        <v>4.3219280948873626</v>
      </c>
      <c r="Z16">
        <f t="shared" si="7"/>
        <v>-0.33167032150580439</v>
      </c>
      <c r="AA16">
        <f t="shared" si="8"/>
        <v>-8.7958052771328413E-3</v>
      </c>
      <c r="AB16">
        <f t="shared" si="9"/>
        <v>-0.26455959997310691</v>
      </c>
    </row>
    <row r="17" spans="1:28" ht="13.9" x14ac:dyDescent="0.3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f t="shared" si="1"/>
        <v>16.054754802806968</v>
      </c>
      <c r="L17" s="2">
        <f t="shared" si="2"/>
        <v>16.060404416713695</v>
      </c>
      <c r="M17" s="2">
        <f t="shared" si="3"/>
        <v>15.475969913777062</v>
      </c>
      <c r="N17" s="2">
        <v>15793.03</v>
      </c>
      <c r="O17" s="2">
        <v>31048.5</v>
      </c>
      <c r="P17" s="2">
        <v>33802.67</v>
      </c>
      <c r="Q17" s="2">
        <v>42567.01</v>
      </c>
      <c r="R17" s="2">
        <v>35176.58</v>
      </c>
      <c r="S17" s="2">
        <v>32349.85</v>
      </c>
      <c r="T17" s="2">
        <v>20037.14</v>
      </c>
      <c r="U17" s="2">
        <v>29137.57</v>
      </c>
      <c r="V17" s="2">
        <v>30471.19</v>
      </c>
      <c r="W17" s="2">
        <f t="shared" si="4"/>
        <v>16.29928315679728</v>
      </c>
      <c r="X17" s="2">
        <f t="shared" si="5"/>
        <v>16.748368981836599</v>
      </c>
      <c r="Y17" s="2">
        <f t="shared" si="6"/>
        <v>16.281312476367052</v>
      </c>
      <c r="Z17">
        <f t="shared" si="7"/>
        <v>2.1807884472578462E-2</v>
      </c>
      <c r="AA17">
        <f t="shared" si="8"/>
        <v>6.0512385641077228E-2</v>
      </c>
      <c r="AB17">
        <f t="shared" si="9"/>
        <v>7.3187174253184092E-2</v>
      </c>
    </row>
    <row r="18" spans="1:28" ht="13.9" x14ac:dyDescent="0.3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1"/>
        <v>-0.35845397091247633</v>
      </c>
      <c r="L18" s="2" t="e">
        <f t="shared" si="2"/>
        <v>#NUM!</v>
      </c>
      <c r="M18" s="2" t="e">
        <f t="shared" si="3"/>
        <v>#NUM!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e">
        <f t="shared" si="4"/>
        <v>#NUM!</v>
      </c>
      <c r="X18" s="2" t="e">
        <f t="shared" si="5"/>
        <v>#NUM!</v>
      </c>
      <c r="Y18" s="2" t="e">
        <f t="shared" si="6"/>
        <v>#NUM!</v>
      </c>
      <c r="Z18" t="e">
        <f t="shared" si="7"/>
        <v>#NUM!</v>
      </c>
      <c r="AA18" t="e">
        <f t="shared" si="8"/>
        <v>#NUM!</v>
      </c>
      <c r="AB18" t="e">
        <f t="shared" si="9"/>
        <v>#NUM!</v>
      </c>
    </row>
    <row r="19" spans="1:28" ht="13.9" x14ac:dyDescent="0.3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f t="shared" si="1"/>
        <v>1.280956313831056</v>
      </c>
      <c r="L19" s="2">
        <f t="shared" si="2"/>
        <v>1.0908534304511135</v>
      </c>
      <c r="M19" s="2">
        <f t="shared" si="3"/>
        <v>-0.55639334852438549</v>
      </c>
      <c r="N19" s="2">
        <v>3.67</v>
      </c>
      <c r="O19" s="2">
        <v>0</v>
      </c>
      <c r="P19" s="2">
        <v>0</v>
      </c>
      <c r="Q19" s="2">
        <v>0</v>
      </c>
      <c r="R19" s="2">
        <v>0.73</v>
      </c>
      <c r="S19" s="2">
        <v>0</v>
      </c>
      <c r="T19" s="2">
        <v>0</v>
      </c>
      <c r="U19" s="2">
        <v>2.2999999999999998</v>
      </c>
      <c r="V19" s="2">
        <v>0</v>
      </c>
      <c r="W19" s="2">
        <f t="shared" si="4"/>
        <v>1.875780063068488</v>
      </c>
      <c r="X19" s="2">
        <f t="shared" si="5"/>
        <v>-0.45403163089470749</v>
      </c>
      <c r="Y19" s="2">
        <f t="shared" si="6"/>
        <v>1.2016338611696504</v>
      </c>
      <c r="Z19">
        <f t="shared" si="7"/>
        <v>0.55026940609654174</v>
      </c>
      <c r="AA19" t="e">
        <f t="shared" si="8"/>
        <v>#NUM!</v>
      </c>
      <c r="AB19" t="e">
        <f t="shared" si="9"/>
        <v>#NUM!</v>
      </c>
    </row>
    <row r="20" spans="1:28" ht="13.9" x14ac:dyDescent="0.3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f t="shared" si="1"/>
        <v>-0.57776699931695219</v>
      </c>
      <c r="L20" s="2">
        <f t="shared" si="2"/>
        <v>1.5801454844233804</v>
      </c>
      <c r="M20" s="2" t="e">
        <f t="shared" si="3"/>
        <v>#NUM!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 t="e">
        <f t="shared" si="4"/>
        <v>#NUM!</v>
      </c>
      <c r="X20" s="2" t="e">
        <f t="shared" si="5"/>
        <v>#NUM!</v>
      </c>
      <c r="Y20" s="2" t="e">
        <f t="shared" si="6"/>
        <v>#NUM!</v>
      </c>
      <c r="Z20" t="e">
        <f t="shared" si="7"/>
        <v>#NUM!</v>
      </c>
      <c r="AA20" t="e">
        <f t="shared" si="8"/>
        <v>#NUM!</v>
      </c>
      <c r="AB20" t="e">
        <f t="shared" si="9"/>
        <v>#NUM!</v>
      </c>
    </row>
    <row r="21" spans="1:28" ht="13.9" x14ac:dyDescent="0.3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1"/>
        <v>-2.1844245711374275</v>
      </c>
      <c r="L21" s="2" t="e">
        <f t="shared" si="2"/>
        <v>#NUM!</v>
      </c>
      <c r="M21" s="2" t="e">
        <f t="shared" si="3"/>
        <v>#NUM!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 t="e">
        <f t="shared" si="4"/>
        <v>#NUM!</v>
      </c>
      <c r="X21" s="2" t="e">
        <f t="shared" si="5"/>
        <v>#NUM!</v>
      </c>
      <c r="Y21" s="2" t="e">
        <f t="shared" si="6"/>
        <v>#NUM!</v>
      </c>
      <c r="Z21" t="e">
        <f t="shared" si="7"/>
        <v>#NUM!</v>
      </c>
      <c r="AA21" t="e">
        <f t="shared" si="8"/>
        <v>#NUM!</v>
      </c>
      <c r="AB21" t="e">
        <f t="shared" si="9"/>
        <v>#NUM!</v>
      </c>
    </row>
    <row r="22" spans="1:28" ht="13.9" x14ac:dyDescent="0.3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f t="shared" si="1"/>
        <v>1.1243281350022019</v>
      </c>
      <c r="L22" s="2">
        <f t="shared" si="2"/>
        <v>1.6735564239901448</v>
      </c>
      <c r="M22" s="2">
        <f t="shared" si="3"/>
        <v>4.2644337408493722E-2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 t="e">
        <f t="shared" si="4"/>
        <v>#NUM!</v>
      </c>
      <c r="X22" s="2" t="e">
        <f t="shared" si="5"/>
        <v>#NUM!</v>
      </c>
      <c r="Y22" s="2" t="e">
        <f t="shared" si="6"/>
        <v>#NUM!</v>
      </c>
      <c r="Z22" t="e">
        <f t="shared" si="7"/>
        <v>#NUM!</v>
      </c>
      <c r="AA22" t="e">
        <f t="shared" si="8"/>
        <v>#NUM!</v>
      </c>
      <c r="AB22" t="e">
        <f t="shared" si="9"/>
        <v>#NUM!</v>
      </c>
    </row>
    <row r="23" spans="1:28" ht="13.9" x14ac:dyDescent="0.3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f t="shared" si="1"/>
        <v>3.8953026213333066</v>
      </c>
      <c r="L23" s="2">
        <f t="shared" si="2"/>
        <v>4.3262497008374563</v>
      </c>
      <c r="M23" s="2">
        <f t="shared" si="3"/>
        <v>2.7355221772965375</v>
      </c>
      <c r="N23" s="2">
        <v>0</v>
      </c>
      <c r="O23" s="2">
        <v>0</v>
      </c>
      <c r="P23" s="2">
        <v>0</v>
      </c>
      <c r="Q23" s="2">
        <v>12.53</v>
      </c>
      <c r="R23" s="2">
        <v>0</v>
      </c>
      <c r="S23" s="2">
        <v>0</v>
      </c>
      <c r="T23" s="2">
        <v>0</v>
      </c>
      <c r="U23" s="2">
        <v>10.050000000000001</v>
      </c>
      <c r="V23" s="2">
        <v>14.08</v>
      </c>
      <c r="W23" s="2" t="e">
        <f t="shared" si="4"/>
        <v>#NUM!</v>
      </c>
      <c r="X23" s="2">
        <f t="shared" si="5"/>
        <v>3.6473145095471362</v>
      </c>
      <c r="Y23" s="2">
        <f t="shared" si="6"/>
        <v>4.5927560104410272</v>
      </c>
      <c r="Z23" t="e">
        <f t="shared" si="7"/>
        <v>#NUM!</v>
      </c>
      <c r="AA23">
        <f t="shared" si="8"/>
        <v>-0.24628232735655065</v>
      </c>
      <c r="AB23">
        <f t="shared" si="9"/>
        <v>0.74754389069313776</v>
      </c>
    </row>
    <row r="24" spans="1:28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e">
        <f t="shared" si="1"/>
        <v>#NUM!</v>
      </c>
      <c r="L24" s="2" t="e">
        <f t="shared" si="2"/>
        <v>#NUM!</v>
      </c>
      <c r="M24" s="2" t="e">
        <f t="shared" si="3"/>
        <v>#NUM!</v>
      </c>
      <c r="N24" s="2">
        <v>4.0599999999999996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f t="shared" si="4"/>
        <v>2.0214797274104517</v>
      </c>
      <c r="X24" s="2" t="e">
        <f t="shared" si="5"/>
        <v>#NUM!</v>
      </c>
      <c r="Y24" s="2" t="e">
        <f t="shared" si="6"/>
        <v>#NUM!</v>
      </c>
      <c r="Z24" t="e">
        <f t="shared" si="7"/>
        <v>#NUM!</v>
      </c>
      <c r="AA24" t="e">
        <f t="shared" si="8"/>
        <v>#NUM!</v>
      </c>
      <c r="AB24" t="e">
        <f t="shared" si="9"/>
        <v>#NUM!</v>
      </c>
    </row>
    <row r="25" spans="1:28" ht="13.9" x14ac:dyDescent="0.3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f t="shared" si="1"/>
        <v>7.9200550548069675</v>
      </c>
      <c r="L25" s="2">
        <f t="shared" si="2"/>
        <v>7.7033499151663962</v>
      </c>
      <c r="M25" s="2">
        <f t="shared" si="3"/>
        <v>7.6172837877790354</v>
      </c>
      <c r="N25" s="2">
        <v>56.24</v>
      </c>
      <c r="O25" s="2">
        <v>51.76</v>
      </c>
      <c r="P25" s="2">
        <v>9.34</v>
      </c>
      <c r="Q25" s="2">
        <v>29.01</v>
      </c>
      <c r="R25" s="2">
        <v>63.67</v>
      </c>
      <c r="S25" s="2">
        <v>57.35</v>
      </c>
      <c r="T25" s="2">
        <v>9.34</v>
      </c>
      <c r="U25" s="2">
        <v>83.5</v>
      </c>
      <c r="V25" s="2">
        <v>41.22</v>
      </c>
      <c r="W25" s="2">
        <f t="shared" si="4"/>
        <v>6.8745510868966404</v>
      </c>
      <c r="X25" s="2">
        <f t="shared" si="5"/>
        <v>7.2291072006540054</v>
      </c>
      <c r="Y25" s="2">
        <f t="shared" si="6"/>
        <v>7.0667350287320314</v>
      </c>
      <c r="Z25">
        <f t="shared" si="7"/>
        <v>-0.2042449513867933</v>
      </c>
      <c r="AA25">
        <f t="shared" si="8"/>
        <v>-9.1668475025032808E-2</v>
      </c>
      <c r="AB25">
        <f t="shared" si="9"/>
        <v>-0.10823283008182481</v>
      </c>
    </row>
    <row r="26" spans="1:28" ht="13.9" x14ac:dyDescent="0.3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f t="shared" si="1"/>
        <v>3.1292830169449668</v>
      </c>
      <c r="L26" s="2">
        <f t="shared" si="2"/>
        <v>3.5509006646475236</v>
      </c>
      <c r="M26" s="2">
        <f t="shared" si="3"/>
        <v>2.1858665453113342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e">
        <f t="shared" si="4"/>
        <v>#NUM!</v>
      </c>
      <c r="X26" s="2" t="e">
        <f t="shared" si="5"/>
        <v>#NUM!</v>
      </c>
      <c r="Y26" s="2" t="e">
        <f t="shared" si="6"/>
        <v>#NUM!</v>
      </c>
      <c r="Z26" t="e">
        <f t="shared" si="7"/>
        <v>#NUM!</v>
      </c>
      <c r="AA26" t="e">
        <f t="shared" si="8"/>
        <v>#NUM!</v>
      </c>
      <c r="AB26" t="e">
        <f t="shared" si="9"/>
        <v>#NUM!</v>
      </c>
    </row>
    <row r="27" spans="1:28" ht="13.9" x14ac:dyDescent="0.3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f t="shared" si="1"/>
        <v>4.7344386661371676</v>
      </c>
      <c r="L27" s="2">
        <f t="shared" si="2"/>
        <v>4.4770296530130658</v>
      </c>
      <c r="M27" s="2">
        <f t="shared" si="3"/>
        <v>4.5601035134647381</v>
      </c>
      <c r="N27" s="2">
        <v>7.08</v>
      </c>
      <c r="O27" s="2">
        <v>0.28999999999999998</v>
      </c>
      <c r="P27" s="2">
        <v>4.93</v>
      </c>
      <c r="Q27" s="2">
        <v>16.149999999999999</v>
      </c>
      <c r="R27" s="2">
        <v>24.15</v>
      </c>
      <c r="S27" s="2">
        <v>1.82</v>
      </c>
      <c r="T27" s="2">
        <v>0.18</v>
      </c>
      <c r="U27" s="2">
        <v>10.050000000000001</v>
      </c>
      <c r="V27" s="2">
        <v>21.62</v>
      </c>
      <c r="W27" s="2">
        <f t="shared" si="4"/>
        <v>3.6205864104518781</v>
      </c>
      <c r="X27" s="2">
        <f t="shared" si="5"/>
        <v>5.3964335312509926</v>
      </c>
      <c r="Y27" s="2">
        <f t="shared" si="6"/>
        <v>4.9932214673689383</v>
      </c>
      <c r="Z27">
        <f t="shared" si="7"/>
        <v>-0.38697000097378387</v>
      </c>
      <c r="AA27">
        <f t="shared" si="8"/>
        <v>0.26946438041822113</v>
      </c>
      <c r="AB27">
        <f t="shared" si="9"/>
        <v>0.13090432315287034</v>
      </c>
    </row>
    <row r="28" spans="1:28" ht="13.9" x14ac:dyDescent="0.3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f t="shared" si="1"/>
        <v>-3.1844245711374275</v>
      </c>
      <c r="L28" s="2" t="e">
        <f t="shared" si="2"/>
        <v>#NUM!</v>
      </c>
      <c r="M28" s="2" t="e">
        <f t="shared" si="3"/>
        <v>#NUM!</v>
      </c>
      <c r="N28" s="2">
        <v>2.23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f t="shared" si="4"/>
        <v>1.1570437101455802</v>
      </c>
      <c r="X28" s="2" t="e">
        <f t="shared" si="5"/>
        <v>#NUM!</v>
      </c>
      <c r="Y28" s="2" t="e">
        <f t="shared" si="6"/>
        <v>#NUM!</v>
      </c>
      <c r="Z28" t="e">
        <f t="shared" si="7"/>
        <v>#NUM!</v>
      </c>
      <c r="AA28" t="e">
        <f t="shared" si="8"/>
        <v>#NUM!</v>
      </c>
      <c r="AB28" t="e">
        <f t="shared" si="9"/>
        <v>#NUM!</v>
      </c>
    </row>
    <row r="29" spans="1:28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e">
        <f t="shared" si="1"/>
        <v>#NUM!</v>
      </c>
      <c r="L29" s="2" t="e">
        <f t="shared" si="2"/>
        <v>#NUM!</v>
      </c>
      <c r="M29" s="2" t="e">
        <f t="shared" si="3"/>
        <v>#NUM!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0.42</v>
      </c>
      <c r="V29" s="2">
        <v>0</v>
      </c>
      <c r="W29" s="2" t="e">
        <f t="shared" si="4"/>
        <v>#NUM!</v>
      </c>
      <c r="X29" s="2" t="e">
        <f t="shared" si="5"/>
        <v>#NUM!</v>
      </c>
      <c r="Y29" s="2">
        <f t="shared" si="6"/>
        <v>-1.2515387669959643</v>
      </c>
      <c r="Z29" t="e">
        <f t="shared" si="7"/>
        <v>#NUM!</v>
      </c>
      <c r="AA29" t="e">
        <f t="shared" si="8"/>
        <v>#NUM!</v>
      </c>
      <c r="AB29" t="e">
        <f t="shared" si="9"/>
        <v>#NUM!</v>
      </c>
    </row>
    <row r="30" spans="1:28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 t="e">
        <f t="shared" si="1"/>
        <v>#NUM!</v>
      </c>
      <c r="L30" s="2">
        <f t="shared" si="2"/>
        <v>-1.6438561897747248</v>
      </c>
      <c r="M30" s="2">
        <f t="shared" si="3"/>
        <v>-2.8365012677171206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 t="e">
        <f t="shared" si="4"/>
        <v>#NUM!</v>
      </c>
      <c r="X30" s="2" t="e">
        <f t="shared" si="5"/>
        <v>#NUM!</v>
      </c>
      <c r="Y30" s="2" t="e">
        <f t="shared" si="6"/>
        <v>#NUM!</v>
      </c>
      <c r="Z30" t="e">
        <f t="shared" si="7"/>
        <v>#NUM!</v>
      </c>
      <c r="AA30" t="e">
        <f t="shared" si="8"/>
        <v>#NUM!</v>
      </c>
      <c r="AB30" t="e">
        <f t="shared" si="9"/>
        <v>#NUM!</v>
      </c>
    </row>
    <row r="31" spans="1:28" ht="13.9" x14ac:dyDescent="0.3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f t="shared" si="1"/>
        <v>4.8669079781431668</v>
      </c>
      <c r="L31" s="2">
        <f t="shared" si="2"/>
        <v>4.9694728645963293</v>
      </c>
      <c r="M31" s="2">
        <f t="shared" si="3"/>
        <v>4.1787146411754437</v>
      </c>
      <c r="N31" s="2">
        <v>12.06</v>
      </c>
      <c r="O31" s="2">
        <v>17.059999999999999</v>
      </c>
      <c r="P31" s="2">
        <v>18.149999999999999</v>
      </c>
      <c r="Q31" s="2">
        <v>4.6100000000000003</v>
      </c>
      <c r="R31" s="2">
        <v>18.3</v>
      </c>
      <c r="S31" s="2">
        <v>12.02</v>
      </c>
      <c r="T31" s="2">
        <v>17.25</v>
      </c>
      <c r="U31" s="2">
        <v>30.56</v>
      </c>
      <c r="V31" s="2">
        <v>56.81</v>
      </c>
      <c r="W31" s="2">
        <f t="shared" si="4"/>
        <v>5.5628529595839256</v>
      </c>
      <c r="X31" s="2">
        <f t="shared" si="5"/>
        <v>5.1263947376201395</v>
      </c>
      <c r="Y31" s="2">
        <f t="shared" si="6"/>
        <v>6.7090148649032724</v>
      </c>
      <c r="Z31">
        <f t="shared" si="7"/>
        <v>0.19281947509730957</v>
      </c>
      <c r="AA31">
        <f t="shared" si="8"/>
        <v>4.4851745453093783E-2</v>
      </c>
      <c r="AB31">
        <f t="shared" si="9"/>
        <v>0.68304169790430891</v>
      </c>
    </row>
    <row r="32" spans="1:28" ht="13.9" x14ac:dyDescent="0.3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f t="shared" si="1"/>
        <v>9.8027425257873944</v>
      </c>
      <c r="L32" s="2">
        <f t="shared" si="2"/>
        <v>9.9857281104191244</v>
      </c>
      <c r="M32" s="2">
        <f t="shared" si="3"/>
        <v>11.197566878959446</v>
      </c>
      <c r="N32" s="2">
        <v>136.21</v>
      </c>
      <c r="O32" s="2">
        <v>243.2</v>
      </c>
      <c r="P32" s="2">
        <v>114.36</v>
      </c>
      <c r="Q32" s="2">
        <v>136.13</v>
      </c>
      <c r="R32" s="2">
        <v>222.01</v>
      </c>
      <c r="S32" s="2">
        <v>221.76</v>
      </c>
      <c r="T32" s="2">
        <v>162.41</v>
      </c>
      <c r="U32" s="2">
        <v>242.14</v>
      </c>
      <c r="V32" s="2">
        <v>400.69</v>
      </c>
      <c r="W32" s="2">
        <f t="shared" si="4"/>
        <v>8.9476953750484363</v>
      </c>
      <c r="X32" s="2">
        <f t="shared" si="5"/>
        <v>9.1796603280450295</v>
      </c>
      <c r="Y32" s="2">
        <f t="shared" si="6"/>
        <v>9.6532750291580527</v>
      </c>
      <c r="Z32">
        <f t="shared" si="7"/>
        <v>-0.1316692897589139</v>
      </c>
      <c r="AA32">
        <f t="shared" si="8"/>
        <v>-0.12142685470958417</v>
      </c>
      <c r="AB32">
        <f t="shared" si="9"/>
        <v>-0.21409489481937574</v>
      </c>
    </row>
    <row r="33" spans="1:28" ht="13.9" x14ac:dyDescent="0.3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f t="shared" si="1"/>
        <v>7.2394553266046184</v>
      </c>
      <c r="L33" s="2">
        <f t="shared" si="2"/>
        <v>7.1054895163251608</v>
      </c>
      <c r="M33" s="2">
        <f t="shared" si="3"/>
        <v>7.0563667610245302</v>
      </c>
      <c r="N33" s="2">
        <v>57.68</v>
      </c>
      <c r="O33" s="2">
        <v>58.99</v>
      </c>
      <c r="P33" s="2">
        <v>66.91</v>
      </c>
      <c r="Q33" s="2">
        <v>124.26</v>
      </c>
      <c r="R33" s="2">
        <v>74.900000000000006</v>
      </c>
      <c r="S33" s="2">
        <v>84.66</v>
      </c>
      <c r="T33" s="2">
        <v>18.5</v>
      </c>
      <c r="U33" s="2">
        <v>50.23</v>
      </c>
      <c r="V33" s="2">
        <v>94.01</v>
      </c>
      <c r="W33" s="2">
        <f t="shared" si="4"/>
        <v>7.520265083643574</v>
      </c>
      <c r="X33" s="2">
        <f t="shared" si="5"/>
        <v>8.1488324454317063</v>
      </c>
      <c r="Y33" s="2">
        <f t="shared" si="6"/>
        <v>7.3464250855855964</v>
      </c>
      <c r="Z33">
        <f t="shared" si="7"/>
        <v>5.4902359061141388E-2</v>
      </c>
      <c r="AA33">
        <f t="shared" si="8"/>
        <v>0.19765932255932303</v>
      </c>
      <c r="AB33">
        <f t="shared" si="9"/>
        <v>5.8116828808626217E-2</v>
      </c>
    </row>
    <row r="34" spans="1:28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 t="e">
        <f t="shared" si="1"/>
        <v>#NUM!</v>
      </c>
      <c r="L34" s="2">
        <f t="shared" si="2"/>
        <v>-0.97143084780322919</v>
      </c>
      <c r="M34" s="2" t="e">
        <f t="shared" si="3"/>
        <v>#NUM!</v>
      </c>
      <c r="N34" s="2">
        <v>0</v>
      </c>
      <c r="O34" s="2">
        <v>0</v>
      </c>
      <c r="P34" s="2">
        <v>0</v>
      </c>
      <c r="Q34" s="2">
        <v>0</v>
      </c>
      <c r="R34" s="2">
        <v>0.24</v>
      </c>
      <c r="S34" s="2">
        <v>0</v>
      </c>
      <c r="T34" s="2">
        <v>0</v>
      </c>
      <c r="U34" s="2">
        <v>0</v>
      </c>
      <c r="V34" s="2">
        <v>0</v>
      </c>
      <c r="W34" s="2" t="e">
        <f t="shared" si="4"/>
        <v>#NUM!</v>
      </c>
      <c r="X34" s="2">
        <f t="shared" si="5"/>
        <v>-2.0588936890535687</v>
      </c>
      <c r="Y34" s="2" t="e">
        <f t="shared" si="6"/>
        <v>#NUM!</v>
      </c>
      <c r="Z34" t="e">
        <f t="shared" si="7"/>
        <v>#NUM!</v>
      </c>
      <c r="AA34">
        <f t="shared" si="8"/>
        <v>1.0836861333479213</v>
      </c>
      <c r="AB34" t="e">
        <f t="shared" si="9"/>
        <v>#NUM!</v>
      </c>
    </row>
    <row r="35" spans="1:28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 t="e">
        <f t="shared" si="1"/>
        <v>#NUM!</v>
      </c>
      <c r="L35" s="2">
        <f t="shared" si="2"/>
        <v>-1.8889686876112561</v>
      </c>
      <c r="M35" s="2" t="e">
        <f t="shared" si="3"/>
        <v>#NUM!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 t="e">
        <f t="shared" si="4"/>
        <v>#NUM!</v>
      </c>
      <c r="X35" s="2" t="e">
        <f t="shared" si="5"/>
        <v>#NUM!</v>
      </c>
      <c r="Y35" s="2" t="e">
        <f t="shared" si="6"/>
        <v>#NUM!</v>
      </c>
      <c r="Z35" t="e">
        <f t="shared" si="7"/>
        <v>#NUM!</v>
      </c>
      <c r="AA35" t="e">
        <f t="shared" si="8"/>
        <v>#NUM!</v>
      </c>
      <c r="AB35" t="e">
        <f t="shared" si="9"/>
        <v>#NUM!</v>
      </c>
    </row>
    <row r="36" spans="1:28" ht="13.9" x14ac:dyDescent="0.3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f t="shared" si="1"/>
        <v>12.754127549445846</v>
      </c>
      <c r="L36" s="2">
        <f t="shared" si="2"/>
        <v>12.626167601925852</v>
      </c>
      <c r="M36" s="2">
        <f t="shared" si="3"/>
        <v>12.229095180549267</v>
      </c>
      <c r="N36" s="2">
        <v>544.97</v>
      </c>
      <c r="O36" s="2">
        <v>620.58000000000004</v>
      </c>
      <c r="P36" s="2">
        <v>449.15</v>
      </c>
      <c r="Q36" s="2">
        <v>605.16999999999996</v>
      </c>
      <c r="R36" s="2">
        <v>1179.8</v>
      </c>
      <c r="S36" s="2">
        <v>767.95</v>
      </c>
      <c r="T36" s="2">
        <v>862.16</v>
      </c>
      <c r="U36" s="2">
        <v>867.68</v>
      </c>
      <c r="V36" s="2">
        <v>733</v>
      </c>
      <c r="W36" s="2">
        <f t="shared" si="4"/>
        <v>10.657050431800371</v>
      </c>
      <c r="X36" s="2">
        <f t="shared" si="5"/>
        <v>11.317932613863594</v>
      </c>
      <c r="Y36" s="2">
        <f t="shared" si="6"/>
        <v>11.266107189923067</v>
      </c>
      <c r="Z36">
        <f t="shared" si="7"/>
        <v>-0.25915601783311226</v>
      </c>
      <c r="AA36">
        <f t="shared" si="8"/>
        <v>-0.15780635406440413</v>
      </c>
      <c r="AB36">
        <f t="shared" si="9"/>
        <v>-0.11832856105005009</v>
      </c>
    </row>
    <row r="37" spans="1:28" ht="13.9" x14ac:dyDescent="0.3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f t="shared" si="1"/>
        <v>6.013238915113666</v>
      </c>
      <c r="L37" s="2">
        <f t="shared" si="2"/>
        <v>6.119356177039676</v>
      </c>
      <c r="M37" s="2">
        <f t="shared" si="3"/>
        <v>5.347665656300971</v>
      </c>
      <c r="N37" s="2">
        <v>0</v>
      </c>
      <c r="O37" s="2">
        <v>0.28999999999999998</v>
      </c>
      <c r="P37" s="2">
        <v>0</v>
      </c>
      <c r="Q37" s="2">
        <v>19.78</v>
      </c>
      <c r="R37" s="2">
        <v>0</v>
      </c>
      <c r="S37" s="2">
        <v>25.85</v>
      </c>
      <c r="T37" s="2">
        <v>0</v>
      </c>
      <c r="U37" s="2">
        <v>9</v>
      </c>
      <c r="V37" s="2">
        <v>0.5</v>
      </c>
      <c r="W37" s="2">
        <f t="shared" si="4"/>
        <v>-1.7858751946471527</v>
      </c>
      <c r="X37" s="2">
        <f t="shared" si="5"/>
        <v>5.5119107486709282</v>
      </c>
      <c r="Y37" s="2">
        <f t="shared" si="6"/>
        <v>3.2479275134435857</v>
      </c>
      <c r="Z37" t="e">
        <f t="shared" si="7"/>
        <v>#NUM!</v>
      </c>
      <c r="AA37">
        <f t="shared" si="8"/>
        <v>-0.150827346194324</v>
      </c>
      <c r="AB37">
        <f t="shared" si="9"/>
        <v>-0.71938983377430554</v>
      </c>
    </row>
    <row r="38" spans="1:28" ht="13.9" x14ac:dyDescent="0.3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f t="shared" si="1"/>
        <v>6.722056109696096</v>
      </c>
      <c r="L38" s="2">
        <f t="shared" si="2"/>
        <v>6.620293149948604</v>
      </c>
      <c r="M38" s="2">
        <f t="shared" si="3"/>
        <v>6.5843612525187103</v>
      </c>
      <c r="N38" s="2">
        <v>45.23</v>
      </c>
      <c r="O38" s="2">
        <v>0</v>
      </c>
      <c r="P38" s="2">
        <v>0</v>
      </c>
      <c r="Q38" s="2">
        <v>13.18</v>
      </c>
      <c r="R38" s="2">
        <v>21.96</v>
      </c>
      <c r="S38" s="2">
        <v>9.4700000000000006</v>
      </c>
      <c r="T38" s="2">
        <v>0</v>
      </c>
      <c r="U38" s="2">
        <v>11.09</v>
      </c>
      <c r="V38" s="2">
        <v>0.5</v>
      </c>
      <c r="W38" s="2">
        <f t="shared" si="4"/>
        <v>5.499208090856686</v>
      </c>
      <c r="X38" s="2">
        <f t="shared" si="5"/>
        <v>5.47929524299885</v>
      </c>
      <c r="Y38" s="2">
        <f t="shared" si="6"/>
        <v>3.5348086612317471</v>
      </c>
      <c r="Z38">
        <f t="shared" si="7"/>
        <v>-0.2896787055925778</v>
      </c>
      <c r="AA38">
        <f t="shared" si="8"/>
        <v>-0.27290475868035607</v>
      </c>
      <c r="AB38">
        <f t="shared" si="9"/>
        <v>-0.89741136749264971</v>
      </c>
    </row>
    <row r="39" spans="1:28" ht="13.9" x14ac:dyDescent="0.3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f t="shared" si="1"/>
        <v>3.4114262457264655</v>
      </c>
      <c r="L39" s="2">
        <f t="shared" si="2"/>
        <v>2.2927817492278462</v>
      </c>
      <c r="M39" s="2">
        <f t="shared" si="3"/>
        <v>2.2047667506546134</v>
      </c>
      <c r="N39" s="2">
        <v>8.26</v>
      </c>
      <c r="O39" s="2">
        <v>0</v>
      </c>
      <c r="P39" s="2">
        <v>0.26</v>
      </c>
      <c r="Q39" s="2">
        <v>0</v>
      </c>
      <c r="R39" s="2">
        <v>12.2</v>
      </c>
      <c r="S39" s="2">
        <v>0.18</v>
      </c>
      <c r="T39" s="2">
        <v>0</v>
      </c>
      <c r="U39" s="2">
        <v>0</v>
      </c>
      <c r="V39" s="2">
        <v>25.14</v>
      </c>
      <c r="W39" s="2">
        <f t="shared" si="4"/>
        <v>3.0908534304511139</v>
      </c>
      <c r="X39" s="2">
        <f t="shared" si="5"/>
        <v>3.6299394094395399</v>
      </c>
      <c r="Y39" s="2">
        <f t="shared" si="6"/>
        <v>4.6519127446457835</v>
      </c>
      <c r="Z39">
        <f t="shared" si="7"/>
        <v>-0.1423697832691786</v>
      </c>
      <c r="AA39">
        <f t="shared" si="8"/>
        <v>0.66284643634914264</v>
      </c>
      <c r="AB39">
        <f t="shared" si="9"/>
        <v>1.0771980000912784</v>
      </c>
    </row>
    <row r="40" spans="1:28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 t="e">
        <f t="shared" si="1"/>
        <v>#NUM!</v>
      </c>
      <c r="L40" s="2" t="e">
        <f t="shared" si="2"/>
        <v>#NUM!</v>
      </c>
      <c r="M40" s="2">
        <f t="shared" si="3"/>
        <v>-0.68965987938784945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 t="e">
        <f t="shared" si="4"/>
        <v>#NUM!</v>
      </c>
      <c r="X40" s="2" t="e">
        <f t="shared" si="5"/>
        <v>#NUM!</v>
      </c>
      <c r="Y40" s="2" t="e">
        <f t="shared" si="6"/>
        <v>#NUM!</v>
      </c>
      <c r="Z40" t="e">
        <f t="shared" si="7"/>
        <v>#NUM!</v>
      </c>
      <c r="AA40" t="e">
        <f t="shared" si="8"/>
        <v>#NUM!</v>
      </c>
      <c r="AB40" t="e">
        <f t="shared" si="9"/>
        <v>#NUM!</v>
      </c>
    </row>
    <row r="41" spans="1:28" ht="13.9" x14ac:dyDescent="0.3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f t="shared" si="1"/>
        <v>0.71369581484335909</v>
      </c>
      <c r="L41" s="2">
        <f t="shared" si="2"/>
        <v>1.9963887464476213</v>
      </c>
      <c r="M41" s="2">
        <f t="shared" si="3"/>
        <v>1.0908534304511135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8.19</v>
      </c>
      <c r="T41" s="2">
        <v>3.59</v>
      </c>
      <c r="U41" s="2">
        <v>0</v>
      </c>
      <c r="V41" s="2">
        <v>0</v>
      </c>
      <c r="W41" s="2" t="e">
        <f t="shared" si="4"/>
        <v>#NUM!</v>
      </c>
      <c r="X41" s="2">
        <f t="shared" si="5"/>
        <v>3.0338634518662837</v>
      </c>
      <c r="Y41" s="2">
        <f t="shared" si="6"/>
        <v>1.8439838440483267</v>
      </c>
      <c r="Z41" t="e">
        <f t="shared" si="7"/>
        <v>#NUM!</v>
      </c>
      <c r="AA41">
        <f t="shared" si="8"/>
        <v>0.60376347765542726</v>
      </c>
      <c r="AB41">
        <f t="shared" si="9"/>
        <v>0.75736874484345129</v>
      </c>
    </row>
    <row r="42" spans="1:28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 t="e">
        <f t="shared" si="1"/>
        <v>#NUM!</v>
      </c>
      <c r="L42" s="2">
        <f t="shared" si="2"/>
        <v>0.56559717585422509</v>
      </c>
      <c r="M42" s="2" t="e">
        <f t="shared" si="3"/>
        <v>#NUM!</v>
      </c>
      <c r="N42" s="2">
        <v>0</v>
      </c>
      <c r="O42" s="2">
        <v>0</v>
      </c>
      <c r="P42" s="2">
        <v>0</v>
      </c>
      <c r="Q42" s="2">
        <v>0.33</v>
      </c>
      <c r="R42" s="2">
        <v>0</v>
      </c>
      <c r="S42" s="2">
        <v>0</v>
      </c>
      <c r="T42" s="2">
        <v>11.14</v>
      </c>
      <c r="U42" s="2">
        <v>0</v>
      </c>
      <c r="V42" s="2">
        <v>0</v>
      </c>
      <c r="W42" s="2" t="e">
        <f t="shared" si="4"/>
        <v>#NUM!</v>
      </c>
      <c r="X42" s="2">
        <f t="shared" si="5"/>
        <v>-1.5994620704162712</v>
      </c>
      <c r="Y42" s="2">
        <f t="shared" si="6"/>
        <v>3.4776773275653072</v>
      </c>
      <c r="Z42" t="e">
        <f t="shared" si="7"/>
        <v>#NUM!</v>
      </c>
      <c r="AA42" t="e">
        <f t="shared" si="8"/>
        <v>#NUM!</v>
      </c>
      <c r="AB42" t="e">
        <f t="shared" si="9"/>
        <v>#NUM!</v>
      </c>
    </row>
    <row r="43" spans="1:28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 t="e">
        <f t="shared" si="1"/>
        <v>#NUM!</v>
      </c>
      <c r="L43" s="2">
        <f t="shared" si="2"/>
        <v>0.41142624572646502</v>
      </c>
      <c r="M43" s="2" t="e">
        <f t="shared" si="3"/>
        <v>#NUM!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 t="e">
        <f t="shared" si="4"/>
        <v>#NUM!</v>
      </c>
      <c r="X43" s="2" t="e">
        <f t="shared" si="5"/>
        <v>#NUM!</v>
      </c>
      <c r="Y43" s="2" t="e">
        <f t="shared" si="6"/>
        <v>#NUM!</v>
      </c>
      <c r="Z43" t="e">
        <f t="shared" si="7"/>
        <v>#NUM!</v>
      </c>
      <c r="AA43" t="e">
        <f t="shared" si="8"/>
        <v>#NUM!</v>
      </c>
      <c r="AB43" t="e">
        <f t="shared" si="9"/>
        <v>#NUM!</v>
      </c>
    </row>
    <row r="44" spans="1:28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 t="e">
        <f t="shared" si="1"/>
        <v>#NUM!</v>
      </c>
      <c r="L44" s="2" t="e">
        <f t="shared" si="2"/>
        <v>#NUM!</v>
      </c>
      <c r="M44" s="2">
        <f t="shared" si="3"/>
        <v>6.9381681505058417</v>
      </c>
      <c r="N44" s="2">
        <v>0.13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f t="shared" si="4"/>
        <v>-2.9434164716336326</v>
      </c>
      <c r="X44" s="2" t="e">
        <f t="shared" si="5"/>
        <v>#NUM!</v>
      </c>
      <c r="Y44" s="2" t="e">
        <f t="shared" si="6"/>
        <v>#NUM!</v>
      </c>
      <c r="Z44" t="e">
        <f t="shared" si="7"/>
        <v>#NUM!</v>
      </c>
      <c r="AA44" t="e">
        <f t="shared" si="8"/>
        <v>#NUM!</v>
      </c>
      <c r="AB44" t="e">
        <f t="shared" si="9"/>
        <v>#NUM!</v>
      </c>
    </row>
    <row r="45" spans="1:28" ht="13.9" x14ac:dyDescent="0.3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f t="shared" si="1"/>
        <v>4.6848187375532229</v>
      </c>
      <c r="L45" s="2">
        <f t="shared" si="2"/>
        <v>4.2303567450561497</v>
      </c>
      <c r="M45" s="2">
        <f t="shared" si="3"/>
        <v>10.721791311157387</v>
      </c>
      <c r="N45" s="2">
        <v>467.1</v>
      </c>
      <c r="O45" s="2">
        <v>1141.1099999999999</v>
      </c>
      <c r="P45" s="2">
        <v>968.58</v>
      </c>
      <c r="Q45" s="2">
        <v>52.41</v>
      </c>
      <c r="R45" s="2">
        <v>15.13</v>
      </c>
      <c r="S45" s="2">
        <v>46.24</v>
      </c>
      <c r="T45" s="2">
        <v>33.6</v>
      </c>
      <c r="U45" s="2">
        <v>63.2</v>
      </c>
      <c r="V45" s="2">
        <v>276.01</v>
      </c>
      <c r="W45" s="2">
        <f t="shared" si="4"/>
        <v>11.331359251699116</v>
      </c>
      <c r="X45" s="2">
        <f t="shared" si="5"/>
        <v>6.830103175920037</v>
      </c>
      <c r="Y45" s="2">
        <f t="shared" si="6"/>
        <v>8.5422967481492087</v>
      </c>
      <c r="Z45">
        <f t="shared" si="7"/>
        <v>1.2742557957227867</v>
      </c>
      <c r="AA45">
        <f t="shared" si="8"/>
        <v>0.69112804148018736</v>
      </c>
      <c r="AB45">
        <f t="shared" si="9"/>
        <v>-0.3278500385934584</v>
      </c>
    </row>
    <row r="46" spans="1:28" ht="13.9" x14ac:dyDescent="0.3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 t="e">
        <f t="shared" si="1"/>
        <v>#NUM!</v>
      </c>
      <c r="L46" s="2" t="e">
        <f t="shared" si="2"/>
        <v>#NUM!</v>
      </c>
      <c r="M46" s="2" t="e">
        <f t="shared" si="3"/>
        <v>#NUM!</v>
      </c>
      <c r="N46" s="2">
        <v>4.59</v>
      </c>
      <c r="O46" s="2">
        <v>0</v>
      </c>
      <c r="P46" s="2">
        <v>0</v>
      </c>
      <c r="Q46" s="2">
        <v>0</v>
      </c>
      <c r="R46" s="2">
        <v>5.37</v>
      </c>
      <c r="S46" s="2">
        <v>0</v>
      </c>
      <c r="T46" s="2">
        <v>0</v>
      </c>
      <c r="U46" s="2">
        <v>0</v>
      </c>
      <c r="V46" s="2">
        <v>12.57</v>
      </c>
      <c r="W46" s="2">
        <f t="shared" si="4"/>
        <v>2.1984941536390834</v>
      </c>
      <c r="X46" s="2">
        <f t="shared" si="5"/>
        <v>2.4249220882106881</v>
      </c>
      <c r="Y46" s="2">
        <f t="shared" si="6"/>
        <v>3.6519127446457831</v>
      </c>
      <c r="Z46" t="e">
        <f t="shared" si="7"/>
        <v>#NUM!</v>
      </c>
      <c r="AA46" t="e">
        <f t="shared" si="8"/>
        <v>#NUM!</v>
      </c>
      <c r="AB46" t="e">
        <f t="shared" si="9"/>
        <v>#NUM!</v>
      </c>
    </row>
    <row r="47" spans="1:28" ht="13.9" x14ac:dyDescent="0.3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f t="shared" si="1"/>
        <v>-3.1844245711374275</v>
      </c>
      <c r="L47" s="2" t="e">
        <f t="shared" si="2"/>
        <v>#NUM!</v>
      </c>
      <c r="M47" s="2" t="e">
        <f t="shared" si="3"/>
        <v>#NUM!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 t="e">
        <f t="shared" si="4"/>
        <v>#NUM!</v>
      </c>
      <c r="X47" s="2" t="e">
        <f t="shared" si="5"/>
        <v>#NUM!</v>
      </c>
      <c r="Y47" s="2" t="e">
        <f t="shared" si="6"/>
        <v>#NUM!</v>
      </c>
      <c r="Z47" t="e">
        <f t="shared" si="7"/>
        <v>#NUM!</v>
      </c>
      <c r="AA47" t="e">
        <f t="shared" si="8"/>
        <v>#NUM!</v>
      </c>
      <c r="AB47" t="e">
        <f t="shared" si="9"/>
        <v>#NUM!</v>
      </c>
    </row>
    <row r="48" spans="1:28" ht="13.9" x14ac:dyDescent="0.3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f t="shared" si="1"/>
        <v>-0.81096617560998319</v>
      </c>
      <c r="L48" s="2" t="e">
        <f t="shared" si="2"/>
        <v>#NUM!</v>
      </c>
      <c r="M48" s="2" t="e">
        <f t="shared" si="3"/>
        <v>#NUM!</v>
      </c>
      <c r="N48" s="2">
        <v>0</v>
      </c>
      <c r="O48" s="2">
        <v>0</v>
      </c>
      <c r="P48" s="2">
        <v>16.079999999999998</v>
      </c>
      <c r="Q48" s="2">
        <v>0</v>
      </c>
      <c r="R48" s="2">
        <v>0</v>
      </c>
      <c r="S48" s="2">
        <v>0.18</v>
      </c>
      <c r="T48" s="2">
        <v>0</v>
      </c>
      <c r="U48" s="2">
        <v>0</v>
      </c>
      <c r="V48" s="2">
        <v>0</v>
      </c>
      <c r="W48" s="2">
        <f t="shared" si="4"/>
        <v>4.0071955014042038</v>
      </c>
      <c r="X48" s="2">
        <f t="shared" si="5"/>
        <v>-2.4739311883324122</v>
      </c>
      <c r="Y48" s="2" t="e">
        <f t="shared" si="6"/>
        <v>#NUM!</v>
      </c>
      <c r="Z48" t="e">
        <f t="shared" si="7"/>
        <v>#NUM!</v>
      </c>
      <c r="AA48" t="e">
        <f t="shared" si="8"/>
        <v>#NUM!</v>
      </c>
      <c r="AB48" t="e">
        <f t="shared" si="9"/>
        <v>#NUM!</v>
      </c>
    </row>
    <row r="49" spans="1:28" ht="13.9" x14ac:dyDescent="0.3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f t="shared" si="1"/>
        <v>6.3964335312509917</v>
      </c>
      <c r="L49" s="2">
        <f t="shared" si="2"/>
        <v>7.4602510989438473</v>
      </c>
      <c r="M49" s="2">
        <f t="shared" si="3"/>
        <v>7.7056323873614154</v>
      </c>
      <c r="N49" s="2">
        <v>20.32</v>
      </c>
      <c r="O49" s="2">
        <v>0.57999999999999996</v>
      </c>
      <c r="P49" s="2">
        <v>4.41</v>
      </c>
      <c r="Q49" s="2">
        <v>0</v>
      </c>
      <c r="R49" s="2">
        <v>19.760000000000002</v>
      </c>
      <c r="S49" s="2">
        <v>0</v>
      </c>
      <c r="T49" s="2">
        <v>14.37</v>
      </c>
      <c r="U49" s="2">
        <v>20.93</v>
      </c>
      <c r="V49" s="2">
        <v>1.01</v>
      </c>
      <c r="W49" s="2">
        <f t="shared" si="4"/>
        <v>4.6616356023359593</v>
      </c>
      <c r="X49" s="2">
        <f t="shared" si="5"/>
        <v>4.3045110418099535</v>
      </c>
      <c r="Y49" s="2">
        <f t="shared" si="6"/>
        <v>5.1822950250254829</v>
      </c>
      <c r="Z49">
        <f t="shared" si="7"/>
        <v>-0.45643148957050134</v>
      </c>
      <c r="AA49">
        <f t="shared" si="8"/>
        <v>-0.79337482162148676</v>
      </c>
      <c r="AB49">
        <f t="shared" si="9"/>
        <v>-0.57232221133940309</v>
      </c>
    </row>
    <row r="50" spans="1:28" ht="13.9" x14ac:dyDescent="0.3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f t="shared" si="1"/>
        <v>0.81557542886257262</v>
      </c>
      <c r="L50" s="2">
        <f t="shared" si="2"/>
        <v>0.23878685958711648</v>
      </c>
      <c r="M50" s="2">
        <f t="shared" si="3"/>
        <v>-1.2863041851566412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 t="e">
        <f t="shared" si="4"/>
        <v>#NUM!</v>
      </c>
      <c r="X50" s="2" t="e">
        <f t="shared" si="5"/>
        <v>#NUM!</v>
      </c>
      <c r="Y50" s="2" t="e">
        <f t="shared" si="6"/>
        <v>#NUM!</v>
      </c>
      <c r="Z50" t="e">
        <f t="shared" si="7"/>
        <v>#NUM!</v>
      </c>
      <c r="AA50" t="e">
        <f t="shared" si="8"/>
        <v>#NUM!</v>
      </c>
      <c r="AB50" t="e">
        <f t="shared" si="9"/>
        <v>#NUM!</v>
      </c>
    </row>
    <row r="51" spans="1:28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 t="e">
        <f t="shared" si="1"/>
        <v>#NUM!</v>
      </c>
      <c r="L51" s="2">
        <f t="shared" si="2"/>
        <v>-2.9434164716336326</v>
      </c>
      <c r="M51" s="2">
        <f t="shared" si="3"/>
        <v>-2.8365012677171206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 t="e">
        <f t="shared" si="4"/>
        <v>#NUM!</v>
      </c>
      <c r="X51" s="2" t="e">
        <f t="shared" si="5"/>
        <v>#NUM!</v>
      </c>
      <c r="Y51" s="2" t="e">
        <f t="shared" si="6"/>
        <v>#NUM!</v>
      </c>
      <c r="Z51" t="e">
        <f t="shared" si="7"/>
        <v>#NUM!</v>
      </c>
      <c r="AA51" t="e">
        <f t="shared" si="8"/>
        <v>#NUM!</v>
      </c>
      <c r="AB51" t="e">
        <f t="shared" si="9"/>
        <v>#NUM!</v>
      </c>
    </row>
    <row r="52" spans="1:28" ht="13.9" x14ac:dyDescent="0.3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f t="shared" si="1"/>
        <v>6.9133681596797238</v>
      </c>
      <c r="L52" s="2">
        <f t="shared" si="2"/>
        <v>7.0553909047347947</v>
      </c>
      <c r="M52" s="2">
        <f t="shared" si="3"/>
        <v>7.074783707179594</v>
      </c>
      <c r="N52" s="2">
        <v>24.38</v>
      </c>
      <c r="O52" s="2">
        <v>0</v>
      </c>
      <c r="P52" s="2">
        <v>61.72</v>
      </c>
      <c r="Q52" s="2">
        <v>22.41</v>
      </c>
      <c r="R52" s="2">
        <v>12.69</v>
      </c>
      <c r="S52" s="2">
        <v>25.85</v>
      </c>
      <c r="T52" s="2">
        <v>60.36</v>
      </c>
      <c r="U52" s="2">
        <v>58.81</v>
      </c>
      <c r="V52" s="2">
        <v>44.74</v>
      </c>
      <c r="W52" s="2">
        <f t="shared" si="4"/>
        <v>6.427941332509481</v>
      </c>
      <c r="X52" s="2">
        <f t="shared" si="5"/>
        <v>5.9295543157328501</v>
      </c>
      <c r="Y52" s="2">
        <f t="shared" si="6"/>
        <v>7.3567600644092437</v>
      </c>
      <c r="Z52">
        <f t="shared" si="7"/>
        <v>-0.10503199429545582</v>
      </c>
      <c r="AA52">
        <f t="shared" si="8"/>
        <v>-0.25080234644681981</v>
      </c>
      <c r="AB52">
        <f t="shared" si="9"/>
        <v>5.6384497604519683E-2</v>
      </c>
    </row>
    <row r="53" spans="1:28" ht="13.9" x14ac:dyDescent="0.3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f t="shared" si="1"/>
        <v>1.7570232465074596</v>
      </c>
      <c r="L53" s="2">
        <f t="shared" si="2"/>
        <v>2.2660368939953175</v>
      </c>
      <c r="M53" s="2">
        <f t="shared" si="3"/>
        <v>2.4776773275653072</v>
      </c>
      <c r="N53" s="2">
        <v>9.57</v>
      </c>
      <c r="O53" s="2">
        <v>0</v>
      </c>
      <c r="P53" s="2">
        <v>0</v>
      </c>
      <c r="Q53" s="2">
        <v>0.33</v>
      </c>
      <c r="R53" s="2">
        <v>11.22</v>
      </c>
      <c r="S53" s="2">
        <v>8.56</v>
      </c>
      <c r="T53" s="2">
        <v>0</v>
      </c>
      <c r="U53" s="2">
        <v>0</v>
      </c>
      <c r="V53" s="2">
        <v>0</v>
      </c>
      <c r="W53" s="2">
        <f t="shared" si="4"/>
        <v>3.2585189247113013</v>
      </c>
      <c r="X53" s="2">
        <f t="shared" si="5"/>
        <v>4.3298411765306275</v>
      </c>
      <c r="Y53" s="2" t="e">
        <f t="shared" si="6"/>
        <v>#NUM!</v>
      </c>
      <c r="Z53">
        <f t="shared" si="7"/>
        <v>0.89108309458914647</v>
      </c>
      <c r="AA53">
        <f t="shared" si="8"/>
        <v>0.93414275595686946</v>
      </c>
      <c r="AB53" t="e">
        <f t="shared" si="9"/>
        <v>#NUM!</v>
      </c>
    </row>
    <row r="54" spans="1:28" ht="13.9" x14ac:dyDescent="0.3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f t="shared" si="1"/>
        <v>-1</v>
      </c>
      <c r="L54" s="2" t="e">
        <f t="shared" si="2"/>
        <v>#NUM!</v>
      </c>
      <c r="M54" s="2" t="e">
        <f t="shared" si="3"/>
        <v>#NUM!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 t="e">
        <f t="shared" si="4"/>
        <v>#NUM!</v>
      </c>
      <c r="X54" s="2" t="e">
        <f t="shared" si="5"/>
        <v>#NUM!</v>
      </c>
      <c r="Y54" s="2" t="e">
        <f t="shared" si="6"/>
        <v>#NUM!</v>
      </c>
      <c r="Z54" t="e">
        <f t="shared" si="7"/>
        <v>#NUM!</v>
      </c>
      <c r="AA54" t="e">
        <f t="shared" si="8"/>
        <v>#NUM!</v>
      </c>
      <c r="AB54" t="e">
        <f t="shared" si="9"/>
        <v>#NUM!</v>
      </c>
    </row>
    <row r="55" spans="1:28" ht="13.9" x14ac:dyDescent="0.3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f t="shared" si="1"/>
        <v>0.15055967657538141</v>
      </c>
      <c r="L55" s="2">
        <f t="shared" si="2"/>
        <v>-1.3959286763311392</v>
      </c>
      <c r="M55" s="2">
        <f t="shared" si="3"/>
        <v>-1.6896598793878495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 t="e">
        <f t="shared" si="4"/>
        <v>#NUM!</v>
      </c>
      <c r="X55" s="2" t="e">
        <f t="shared" si="5"/>
        <v>#NUM!</v>
      </c>
      <c r="Y55" s="2" t="e">
        <f t="shared" si="6"/>
        <v>#NUM!</v>
      </c>
      <c r="Z55" t="e">
        <f t="shared" si="7"/>
        <v>#NUM!</v>
      </c>
      <c r="AA55" t="e">
        <f t="shared" si="8"/>
        <v>#NUM!</v>
      </c>
      <c r="AB55" t="e">
        <f t="shared" si="9"/>
        <v>#NUM!</v>
      </c>
    </row>
    <row r="56" spans="1:28" ht="13.9" x14ac:dyDescent="0.3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f t="shared" si="1"/>
        <v>7.477758266443888</v>
      </c>
      <c r="L56" s="2">
        <f t="shared" si="2"/>
        <v>7.6957850747689598</v>
      </c>
      <c r="M56" s="2">
        <f t="shared" si="3"/>
        <v>7.0870384567669475</v>
      </c>
      <c r="N56" s="2">
        <v>27.01</v>
      </c>
      <c r="O56" s="2">
        <v>32.1</v>
      </c>
      <c r="P56" s="2">
        <v>0.52</v>
      </c>
      <c r="Q56" s="2">
        <v>77.13</v>
      </c>
      <c r="R56" s="2">
        <v>92.46</v>
      </c>
      <c r="S56" s="2">
        <v>38.78</v>
      </c>
      <c r="T56" s="2">
        <v>31.26</v>
      </c>
      <c r="U56" s="2">
        <v>54.62</v>
      </c>
      <c r="V56" s="2">
        <v>129.71</v>
      </c>
      <c r="W56" s="2">
        <f t="shared" si="4"/>
        <v>5.8979664316494453</v>
      </c>
      <c r="X56" s="2">
        <f t="shared" si="5"/>
        <v>7.7030037708136501</v>
      </c>
      <c r="Y56" s="2">
        <f t="shared" si="6"/>
        <v>7.752146450958854</v>
      </c>
      <c r="Z56">
        <f t="shared" si="7"/>
        <v>-0.34238822262890167</v>
      </c>
      <c r="AA56">
        <f t="shared" si="8"/>
        <v>1.3526229695949975E-3</v>
      </c>
      <c r="AB56">
        <f t="shared" si="9"/>
        <v>0.1294129482933645</v>
      </c>
    </row>
    <row r="57" spans="1:28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 t="e">
        <f t="shared" si="1"/>
        <v>#NUM!</v>
      </c>
      <c r="L57" s="2" t="e">
        <f t="shared" si="2"/>
        <v>#NUM!</v>
      </c>
      <c r="M57" s="2">
        <f t="shared" si="3"/>
        <v>-2.8365012677171206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0.18</v>
      </c>
      <c r="U57" s="2">
        <v>0</v>
      </c>
      <c r="V57" s="2">
        <v>0</v>
      </c>
      <c r="W57" s="2" t="e">
        <f t="shared" si="4"/>
        <v>#NUM!</v>
      </c>
      <c r="X57" s="2" t="e">
        <f t="shared" si="5"/>
        <v>#NUM!</v>
      </c>
      <c r="Y57" s="2">
        <f t="shared" si="6"/>
        <v>-2.4739311883324122</v>
      </c>
      <c r="Z57" t="e">
        <f t="shared" si="7"/>
        <v>#NUM!</v>
      </c>
      <c r="AA57" t="e">
        <f t="shared" si="8"/>
        <v>#NUM!</v>
      </c>
      <c r="AB57">
        <f t="shared" si="9"/>
        <v>-0.19730713605790229</v>
      </c>
    </row>
    <row r="58" spans="1:28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 t="e">
        <f t="shared" si="1"/>
        <v>#NUM!</v>
      </c>
      <c r="L58" s="2">
        <f t="shared" si="2"/>
        <v>-1.8889686876112561</v>
      </c>
      <c r="M58" s="2" t="e">
        <f t="shared" si="3"/>
        <v>#NUM!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 t="e">
        <f t="shared" si="4"/>
        <v>#NUM!</v>
      </c>
      <c r="X58" s="2" t="e">
        <f t="shared" si="5"/>
        <v>#NUM!</v>
      </c>
      <c r="Y58" s="2" t="e">
        <f t="shared" si="6"/>
        <v>#NUM!</v>
      </c>
      <c r="Z58" t="e">
        <f t="shared" si="7"/>
        <v>#NUM!</v>
      </c>
      <c r="AA58" t="e">
        <f t="shared" si="8"/>
        <v>#NUM!</v>
      </c>
      <c r="AB58" t="e">
        <f t="shared" si="9"/>
        <v>#NUM!</v>
      </c>
    </row>
    <row r="59" spans="1:28" ht="13.9" x14ac:dyDescent="0.3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f t="shared" si="1"/>
        <v>2.7158933705476049</v>
      </c>
      <c r="L59" s="2">
        <f t="shared" si="2"/>
        <v>3.8459917706645732</v>
      </c>
      <c r="M59" s="2">
        <f t="shared" si="3"/>
        <v>3.0443941193584534</v>
      </c>
      <c r="N59" s="2">
        <v>0</v>
      </c>
      <c r="O59" s="2">
        <v>0.57999999999999996</v>
      </c>
      <c r="P59" s="2">
        <v>0</v>
      </c>
      <c r="Q59" s="2">
        <v>0</v>
      </c>
      <c r="R59" s="2">
        <v>14.64</v>
      </c>
      <c r="S59" s="2">
        <v>0</v>
      </c>
      <c r="T59" s="2">
        <v>6.11</v>
      </c>
      <c r="U59" s="2">
        <v>0</v>
      </c>
      <c r="V59" s="2">
        <v>27.65</v>
      </c>
      <c r="W59" s="2">
        <f t="shared" si="4"/>
        <v>-0.78587519464715272</v>
      </c>
      <c r="X59" s="2">
        <f t="shared" si="5"/>
        <v>3.8718436485093184</v>
      </c>
      <c r="Y59" s="2">
        <f t="shared" si="6"/>
        <v>5.0772429989324603</v>
      </c>
      <c r="Z59" t="e">
        <f t="shared" si="7"/>
        <v>#NUM!</v>
      </c>
      <c r="AA59">
        <f t="shared" si="8"/>
        <v>9.6650196403792587E-3</v>
      </c>
      <c r="AB59">
        <f t="shared" si="9"/>
        <v>0.73789017121031675</v>
      </c>
    </row>
    <row r="60" spans="1:28" ht="13.9" x14ac:dyDescent="0.3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f t="shared" si="1"/>
        <v>0.23878685958711676</v>
      </c>
      <c r="L60" s="2">
        <f t="shared" si="2"/>
        <v>1.8953026213333066</v>
      </c>
      <c r="M60" s="2">
        <f t="shared" si="3"/>
        <v>9.0564209559134703</v>
      </c>
      <c r="N60" s="2">
        <v>13.24</v>
      </c>
      <c r="O60" s="2">
        <v>0.28999999999999998</v>
      </c>
      <c r="P60" s="2">
        <v>1.82</v>
      </c>
      <c r="Q60" s="2">
        <v>0.66</v>
      </c>
      <c r="R60" s="2">
        <v>17.57</v>
      </c>
      <c r="S60" s="2">
        <v>0.91</v>
      </c>
      <c r="T60" s="2">
        <v>2.52</v>
      </c>
      <c r="U60" s="2">
        <v>1.05</v>
      </c>
      <c r="V60" s="2">
        <v>1.51</v>
      </c>
      <c r="W60" s="2">
        <f t="shared" si="4"/>
        <v>3.9401667504828168</v>
      </c>
      <c r="X60" s="2">
        <f t="shared" si="5"/>
        <v>4.2585189247113009</v>
      </c>
      <c r="Y60" s="2">
        <f t="shared" si="6"/>
        <v>2.3448284969974416</v>
      </c>
      <c r="Z60">
        <f t="shared" si="7"/>
        <v>4.044461334228477</v>
      </c>
      <c r="AA60">
        <f t="shared" si="8"/>
        <v>1.1679235404245292</v>
      </c>
      <c r="AB60">
        <f t="shared" si="9"/>
        <v>-1.9494586118371826</v>
      </c>
    </row>
    <row r="61" spans="1:28" ht="13.9" x14ac:dyDescent="0.3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f t="shared" si="1"/>
        <v>0.75702324650745967</v>
      </c>
      <c r="L61" s="2">
        <f t="shared" si="2"/>
        <v>2.1407786557827961</v>
      </c>
      <c r="M61" s="2">
        <f t="shared" si="3"/>
        <v>9.058992870928293</v>
      </c>
      <c r="N61" s="2">
        <v>13.24</v>
      </c>
      <c r="O61" s="2">
        <v>0.28999999999999998</v>
      </c>
      <c r="P61" s="2">
        <v>1.82</v>
      </c>
      <c r="Q61" s="2">
        <v>0.66</v>
      </c>
      <c r="R61" s="2">
        <v>17.57</v>
      </c>
      <c r="S61" s="2">
        <v>1.64</v>
      </c>
      <c r="T61" s="2">
        <v>2.52</v>
      </c>
      <c r="U61" s="2">
        <v>1.05</v>
      </c>
      <c r="V61" s="2">
        <v>1.51</v>
      </c>
      <c r="W61" s="2">
        <f t="shared" si="4"/>
        <v>3.9401667504828168</v>
      </c>
      <c r="X61" s="2">
        <f t="shared" si="5"/>
        <v>4.3125199674749455</v>
      </c>
      <c r="Y61" s="2">
        <f t="shared" si="6"/>
        <v>2.3448284969974416</v>
      </c>
      <c r="Z61">
        <f t="shared" si="7"/>
        <v>2.3798471788155688</v>
      </c>
      <c r="AA61">
        <f t="shared" si="8"/>
        <v>1.0103954995880302</v>
      </c>
      <c r="AB61">
        <f t="shared" si="9"/>
        <v>-1.949868261773736</v>
      </c>
    </row>
    <row r="62" spans="1:28" ht="13.9" x14ac:dyDescent="0.3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f t="shared" si="1"/>
        <v>-2.9434164716336326</v>
      </c>
      <c r="L62" s="2" t="e">
        <f t="shared" si="2"/>
        <v>#NUM!</v>
      </c>
      <c r="M62" s="2">
        <f t="shared" si="3"/>
        <v>-2.8365012677171206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0.18</v>
      </c>
      <c r="U62" s="2">
        <v>0</v>
      </c>
      <c r="V62" s="2">
        <v>0</v>
      </c>
      <c r="W62" s="2" t="e">
        <f t="shared" si="4"/>
        <v>#NUM!</v>
      </c>
      <c r="X62" s="2" t="e">
        <f t="shared" si="5"/>
        <v>#NUM!</v>
      </c>
      <c r="Y62" s="2">
        <f t="shared" si="6"/>
        <v>-2.4739311883324122</v>
      </c>
      <c r="Z62" t="e">
        <f t="shared" si="7"/>
        <v>#NUM!</v>
      </c>
      <c r="AA62" t="e">
        <f t="shared" si="8"/>
        <v>#NUM!</v>
      </c>
      <c r="AB62">
        <f t="shared" si="9"/>
        <v>-0.19730713605790229</v>
      </c>
    </row>
    <row r="63" spans="1:28" ht="13.9" x14ac:dyDescent="0.3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f t="shared" si="1"/>
        <v>4.1578521691417381</v>
      </c>
      <c r="L63" s="2">
        <f t="shared" si="2"/>
        <v>4.0849146597679384</v>
      </c>
      <c r="M63" s="2">
        <f t="shared" si="3"/>
        <v>4.3554391972486854</v>
      </c>
      <c r="N63" s="2">
        <v>50.08</v>
      </c>
      <c r="O63" s="2">
        <v>46.85</v>
      </c>
      <c r="P63" s="2">
        <v>29.3</v>
      </c>
      <c r="Q63" s="2">
        <v>24.06</v>
      </c>
      <c r="R63" s="2">
        <v>30.25</v>
      </c>
      <c r="S63" s="2">
        <v>71.92</v>
      </c>
      <c r="T63" s="2">
        <v>48.87</v>
      </c>
      <c r="U63" s="2">
        <v>52.53</v>
      </c>
      <c r="V63" s="2">
        <v>88.99</v>
      </c>
      <c r="W63" s="2">
        <f t="shared" si="4"/>
        <v>6.9799110137855607</v>
      </c>
      <c r="X63" s="2">
        <f t="shared" si="5"/>
        <v>6.9799110137855607</v>
      </c>
      <c r="Y63" s="2">
        <f t="shared" si="6"/>
        <v>7.5728138946323407</v>
      </c>
      <c r="Z63">
        <f t="shared" si="7"/>
        <v>0.74737017913913295</v>
      </c>
      <c r="AA63">
        <f t="shared" si="8"/>
        <v>0.77290270523331617</v>
      </c>
      <c r="AB63">
        <f t="shared" si="9"/>
        <v>0.79801126846270143</v>
      </c>
    </row>
    <row r="64" spans="1:28" ht="13.9" x14ac:dyDescent="0.3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f t="shared" si="1"/>
        <v>11.182102556828056</v>
      </c>
      <c r="L64" s="2">
        <f t="shared" si="2"/>
        <v>11.077269707346389</v>
      </c>
      <c r="M64" s="2">
        <f t="shared" si="3"/>
        <v>11.292108779315599</v>
      </c>
      <c r="N64" s="2">
        <v>287.89</v>
      </c>
      <c r="O64" s="2">
        <v>350.2</v>
      </c>
      <c r="P64" s="2">
        <v>197.35</v>
      </c>
      <c r="Q64" s="2">
        <v>435.75</v>
      </c>
      <c r="R64" s="2">
        <v>336.42</v>
      </c>
      <c r="S64" s="2">
        <v>250.34</v>
      </c>
      <c r="T64" s="2">
        <v>417.34</v>
      </c>
      <c r="U64" s="2">
        <v>331.71</v>
      </c>
      <c r="V64" s="2">
        <v>276.01</v>
      </c>
      <c r="W64" s="2">
        <f t="shared" si="4"/>
        <v>9.706392409670114</v>
      </c>
      <c r="X64" s="2">
        <f t="shared" si="5"/>
        <v>9.9978992372470703</v>
      </c>
      <c r="Y64" s="2">
        <f t="shared" si="6"/>
        <v>10.001492642362603</v>
      </c>
      <c r="Z64">
        <f t="shared" si="7"/>
        <v>-0.2041843902255262</v>
      </c>
      <c r="AA64">
        <f t="shared" si="8"/>
        <v>-0.14790544183807258</v>
      </c>
      <c r="AB64">
        <f t="shared" si="9"/>
        <v>-0.17509960505564748</v>
      </c>
    </row>
    <row r="65" spans="1:28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 t="e">
        <f t="shared" si="1"/>
        <v>#NUM!</v>
      </c>
      <c r="L65" s="2">
        <f t="shared" si="2"/>
        <v>0.75702324650745967</v>
      </c>
      <c r="M65" s="2" t="e">
        <f t="shared" si="3"/>
        <v>#NUM!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 t="e">
        <f t="shared" si="4"/>
        <v>#NUM!</v>
      </c>
      <c r="X65" s="2" t="e">
        <f t="shared" si="5"/>
        <v>#NUM!</v>
      </c>
      <c r="Y65" s="2" t="e">
        <f t="shared" si="6"/>
        <v>#NUM!</v>
      </c>
      <c r="Z65" t="e">
        <f t="shared" si="7"/>
        <v>#NUM!</v>
      </c>
      <c r="AA65" t="e">
        <f t="shared" si="8"/>
        <v>#NUM!</v>
      </c>
      <c r="AB65" t="e">
        <f t="shared" si="9"/>
        <v>#NUM!</v>
      </c>
    </row>
    <row r="66" spans="1:28" ht="13.9" x14ac:dyDescent="0.3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f t="shared" si="1"/>
        <v>3.0976107966264221</v>
      </c>
      <c r="L66" s="2">
        <f t="shared" si="2"/>
        <v>3.5348086612317471</v>
      </c>
      <c r="M66" s="2">
        <f t="shared" si="3"/>
        <v>7.7195257250075571</v>
      </c>
      <c r="N66" s="2">
        <v>0</v>
      </c>
      <c r="O66" s="2">
        <v>0</v>
      </c>
      <c r="P66" s="2">
        <v>0.26</v>
      </c>
      <c r="Q66" s="2">
        <v>0</v>
      </c>
      <c r="R66" s="2">
        <v>0</v>
      </c>
      <c r="S66" s="2">
        <v>0</v>
      </c>
      <c r="T66" s="2">
        <v>0</v>
      </c>
      <c r="U66" s="2">
        <v>2.5099999999999998</v>
      </c>
      <c r="V66" s="2">
        <v>0</v>
      </c>
      <c r="W66" s="2">
        <f t="shared" si="4"/>
        <v>-1.9434164716336324</v>
      </c>
      <c r="X66" s="2" t="e">
        <f t="shared" si="5"/>
        <v>#NUM!</v>
      </c>
      <c r="Y66" s="2">
        <f t="shared" si="6"/>
        <v>1.3276873641760472</v>
      </c>
      <c r="Z66" t="e">
        <f t="shared" si="7"/>
        <v>#NUM!</v>
      </c>
      <c r="AA66" t="e">
        <f t="shared" si="8"/>
        <v>#NUM!</v>
      </c>
      <c r="AB66">
        <f t="shared" si="9"/>
        <v>-2.5395967438634619</v>
      </c>
    </row>
    <row r="67" spans="1:28" ht="13.9" x14ac:dyDescent="0.3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f t="shared" ref="K67:K130" si="10">LOG(SUM(B67:D67),2)</f>
        <v>3.0976107966264221</v>
      </c>
      <c r="L67" s="2">
        <f t="shared" ref="L67:L130" si="11">LOG(SUM(E67:G67),2)</f>
        <v>3.5348086612317471</v>
      </c>
      <c r="M67" s="2">
        <f t="shared" ref="M67:M130" si="12">LOG(SUM(H67:J67),2)</f>
        <v>7.7195257250075571</v>
      </c>
      <c r="N67" s="2">
        <v>0</v>
      </c>
      <c r="O67" s="2">
        <v>0</v>
      </c>
      <c r="P67" s="2">
        <v>0.26</v>
      </c>
      <c r="Q67" s="2">
        <v>0</v>
      </c>
      <c r="R67" s="2">
        <v>0</v>
      </c>
      <c r="S67" s="2">
        <v>0</v>
      </c>
      <c r="T67" s="2">
        <v>0</v>
      </c>
      <c r="U67" s="2">
        <v>2.5099999999999998</v>
      </c>
      <c r="V67" s="2">
        <v>0</v>
      </c>
      <c r="W67" s="2">
        <f t="shared" ref="W67:W130" si="13">LOG(SUM(N67:P67),2)</f>
        <v>-1.9434164716336324</v>
      </c>
      <c r="X67" s="2" t="e">
        <f t="shared" ref="X67:X130" si="14">LOG(SUM(Q67:S67),2)</f>
        <v>#NUM!</v>
      </c>
      <c r="Y67" s="2">
        <f t="shared" ref="Y67:Y130" si="15">LOG(SUM(T67:V67),2)</f>
        <v>1.3276873641760472</v>
      </c>
      <c r="Z67" t="e">
        <f t="shared" ref="Z67:Z130" si="16">LOG(W67/K67,2)</f>
        <v>#NUM!</v>
      </c>
      <c r="AA67" t="e">
        <f t="shared" ref="AA67:AA130" si="17">LOG(X67/L67,2)</f>
        <v>#NUM!</v>
      </c>
      <c r="AB67">
        <f t="shared" ref="AB67:AB130" si="18">LOG(Y67/M67,2)</f>
        <v>-2.5395967438634619</v>
      </c>
    </row>
    <row r="68" spans="1:28" ht="13.9" x14ac:dyDescent="0.3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f t="shared" si="10"/>
        <v>-0.45403163089470749</v>
      </c>
      <c r="L68" s="2">
        <f t="shared" si="11"/>
        <v>0.45417589318580209</v>
      </c>
      <c r="M68" s="2">
        <f t="shared" si="12"/>
        <v>-0.68965987938784945</v>
      </c>
      <c r="N68" s="2">
        <v>0.39</v>
      </c>
      <c r="O68" s="2">
        <v>0</v>
      </c>
      <c r="P68" s="2">
        <v>0</v>
      </c>
      <c r="Q68" s="2">
        <v>0</v>
      </c>
      <c r="R68" s="2">
        <v>0</v>
      </c>
      <c r="S68" s="2">
        <v>1.46</v>
      </c>
      <c r="T68" s="2">
        <v>1.08</v>
      </c>
      <c r="U68" s="2">
        <v>0</v>
      </c>
      <c r="V68" s="2">
        <v>0</v>
      </c>
      <c r="W68" s="2">
        <f t="shared" si="13"/>
        <v>-1.3584539709124763</v>
      </c>
      <c r="X68" s="2">
        <f t="shared" si="14"/>
        <v>0.54596836910529256</v>
      </c>
      <c r="Y68" s="2">
        <f t="shared" si="15"/>
        <v>0.11103131238874395</v>
      </c>
      <c r="Z68">
        <f t="shared" si="16"/>
        <v>1.5811009689615207</v>
      </c>
      <c r="AA68">
        <f t="shared" si="17"/>
        <v>0.265566237955495</v>
      </c>
      <c r="AB68" t="e">
        <f t="shared" si="18"/>
        <v>#NUM!</v>
      </c>
    </row>
    <row r="69" spans="1:28" ht="13.9" x14ac:dyDescent="0.3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f t="shared" si="10"/>
        <v>-1.1844245711374275</v>
      </c>
      <c r="L69" s="2">
        <f t="shared" si="11"/>
        <v>-2.9434164716336326</v>
      </c>
      <c r="M69" s="2">
        <f t="shared" si="12"/>
        <v>-3.3219280948873622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 t="e">
        <f t="shared" si="13"/>
        <v>#NUM!</v>
      </c>
      <c r="X69" s="2" t="e">
        <f t="shared" si="14"/>
        <v>#NUM!</v>
      </c>
      <c r="Y69" s="2" t="e">
        <f t="shared" si="15"/>
        <v>#NUM!</v>
      </c>
      <c r="Z69" t="e">
        <f t="shared" si="16"/>
        <v>#NUM!</v>
      </c>
      <c r="AA69" t="e">
        <f t="shared" si="17"/>
        <v>#NUM!</v>
      </c>
      <c r="AB69" t="e">
        <f t="shared" si="18"/>
        <v>#NUM!</v>
      </c>
    </row>
    <row r="70" spans="1:28" ht="13.9" x14ac:dyDescent="0.3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f t="shared" si="10"/>
        <v>5.0022524517313789</v>
      </c>
      <c r="L70" s="2">
        <f t="shared" si="11"/>
        <v>5.0152477736989374</v>
      </c>
      <c r="M70" s="2">
        <f t="shared" si="12"/>
        <v>7.5686401954192233</v>
      </c>
      <c r="N70" s="2">
        <v>0</v>
      </c>
      <c r="O70" s="2">
        <v>11.57</v>
      </c>
      <c r="P70" s="2">
        <v>0</v>
      </c>
      <c r="Q70" s="2">
        <v>9.56</v>
      </c>
      <c r="R70" s="2">
        <v>20.98</v>
      </c>
      <c r="S70" s="2">
        <v>0</v>
      </c>
      <c r="T70" s="2">
        <v>0.18</v>
      </c>
      <c r="U70" s="2">
        <v>5.23</v>
      </c>
      <c r="V70" s="2">
        <v>24.13</v>
      </c>
      <c r="W70" s="2">
        <f t="shared" si="13"/>
        <v>3.532316959332765</v>
      </c>
      <c r="X70" s="2">
        <f t="shared" si="14"/>
        <v>4.9326281570221271</v>
      </c>
      <c r="Y70" s="2">
        <f t="shared" si="15"/>
        <v>4.884597920990065</v>
      </c>
      <c r="Z70">
        <f t="shared" si="16"/>
        <v>-0.50196306505665156</v>
      </c>
      <c r="AA70">
        <f t="shared" si="17"/>
        <v>-2.3964442817913115E-2</v>
      </c>
      <c r="AB70">
        <f t="shared" si="18"/>
        <v>-0.63179431392291874</v>
      </c>
    </row>
    <row r="71" spans="1:28" ht="13.9" x14ac:dyDescent="0.3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f t="shared" si="10"/>
        <v>2.6644828403646827</v>
      </c>
      <c r="L71" s="2">
        <f t="shared" si="11"/>
        <v>2.8894735425311087</v>
      </c>
      <c r="M71" s="2">
        <f t="shared" si="12"/>
        <v>2.2868811477881614</v>
      </c>
      <c r="N71" s="2">
        <v>4.8499999999999996</v>
      </c>
      <c r="O71" s="2">
        <v>0</v>
      </c>
      <c r="P71" s="2">
        <v>8.82</v>
      </c>
      <c r="Q71" s="2">
        <v>3.63</v>
      </c>
      <c r="R71" s="2">
        <v>0</v>
      </c>
      <c r="S71" s="2">
        <v>12.02</v>
      </c>
      <c r="T71" s="2">
        <v>3.77</v>
      </c>
      <c r="U71" s="2">
        <v>7.95</v>
      </c>
      <c r="V71" s="2">
        <v>4.0199999999999996</v>
      </c>
      <c r="W71" s="2">
        <f t="shared" si="13"/>
        <v>3.7729413378313357</v>
      </c>
      <c r="X71" s="2">
        <f t="shared" si="14"/>
        <v>3.968090752045256</v>
      </c>
      <c r="Y71" s="2">
        <f t="shared" si="15"/>
        <v>3.9763636357327616</v>
      </c>
      <c r="Z71">
        <f t="shared" si="16"/>
        <v>0.50183412714388509</v>
      </c>
      <c r="AA71">
        <f t="shared" si="17"/>
        <v>0.45763836126101043</v>
      </c>
      <c r="AB71">
        <f t="shared" si="18"/>
        <v>0.79806830746224411</v>
      </c>
    </row>
    <row r="72" spans="1:28" ht="13.9" x14ac:dyDescent="0.3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f t="shared" si="10"/>
        <v>6.9730372056217664</v>
      </c>
      <c r="L72" s="2">
        <f t="shared" si="11"/>
        <v>6.8092858101989107</v>
      </c>
      <c r="M72" s="2">
        <f t="shared" si="12"/>
        <v>8.7685482615632022</v>
      </c>
      <c r="N72" s="2">
        <v>23.47</v>
      </c>
      <c r="O72" s="2">
        <v>67.67</v>
      </c>
      <c r="P72" s="2">
        <v>1.56</v>
      </c>
      <c r="Q72" s="2">
        <v>19.12</v>
      </c>
      <c r="R72" s="2">
        <v>46.6</v>
      </c>
      <c r="S72" s="2">
        <v>30.4</v>
      </c>
      <c r="T72" s="2">
        <v>21.92</v>
      </c>
      <c r="U72" s="2">
        <v>17.79</v>
      </c>
      <c r="V72" s="2">
        <v>34.19</v>
      </c>
      <c r="W72" s="2">
        <f t="shared" si="13"/>
        <v>6.534497433738168</v>
      </c>
      <c r="X72" s="2">
        <f t="shared" si="14"/>
        <v>6.5867647433551424</v>
      </c>
      <c r="Y72" s="2">
        <f t="shared" si="15"/>
        <v>6.2075024592587891</v>
      </c>
      <c r="Z72">
        <f t="shared" si="16"/>
        <v>-9.3710896308632219E-2</v>
      </c>
      <c r="AA72">
        <f t="shared" si="17"/>
        <v>-4.7933466630829452E-2</v>
      </c>
      <c r="AB72">
        <f t="shared" si="18"/>
        <v>-0.49832507899372969</v>
      </c>
    </row>
    <row r="73" spans="1:28" ht="13.9" x14ac:dyDescent="0.3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f t="shared" si="10"/>
        <v>-1.5994620704162712</v>
      </c>
      <c r="L73" s="2">
        <f t="shared" si="11"/>
        <v>-1.556393348524385</v>
      </c>
      <c r="M73" s="2">
        <f t="shared" si="12"/>
        <v>-2.0588936890535683</v>
      </c>
      <c r="N73" s="2">
        <v>0.26</v>
      </c>
      <c r="O73" s="2">
        <v>0.28999999999999998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17.09</v>
      </c>
      <c r="W73" s="2">
        <f t="shared" si="13"/>
        <v>-0.86249647625006509</v>
      </c>
      <c r="X73" s="2" t="e">
        <f t="shared" si="14"/>
        <v>#NUM!</v>
      </c>
      <c r="Y73" s="2">
        <f t="shared" si="15"/>
        <v>4.0950804919014141</v>
      </c>
      <c r="Z73">
        <f t="shared" si="16"/>
        <v>-0.8909963131051476</v>
      </c>
      <c r="AA73" t="e">
        <f t="shared" si="17"/>
        <v>#NUM!</v>
      </c>
      <c r="AB73" t="e">
        <f t="shared" si="18"/>
        <v>#NUM!</v>
      </c>
    </row>
    <row r="74" spans="1:28" ht="13.9" x14ac:dyDescent="0.3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f t="shared" si="10"/>
        <v>1.2570106182060239</v>
      </c>
      <c r="L74" s="2">
        <f t="shared" si="11"/>
        <v>-1.0291463456595165</v>
      </c>
      <c r="M74" s="2" t="e">
        <f t="shared" si="12"/>
        <v>#NUM!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 t="e">
        <f t="shared" si="13"/>
        <v>#NUM!</v>
      </c>
      <c r="X74" s="2" t="e">
        <f t="shared" si="14"/>
        <v>#NUM!</v>
      </c>
      <c r="Y74" s="2" t="e">
        <f t="shared" si="15"/>
        <v>#NUM!</v>
      </c>
      <c r="Z74" t="e">
        <f t="shared" si="16"/>
        <v>#NUM!</v>
      </c>
      <c r="AA74" t="e">
        <f t="shared" si="17"/>
        <v>#NUM!</v>
      </c>
      <c r="AB74" t="e">
        <f t="shared" si="18"/>
        <v>#NUM!</v>
      </c>
    </row>
    <row r="75" spans="1:28" ht="13.9" x14ac:dyDescent="0.3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f t="shared" si="10"/>
        <v>1.1176950426697545</v>
      </c>
      <c r="L75" s="2">
        <f t="shared" si="11"/>
        <v>-3.1844245711374275</v>
      </c>
      <c r="M75" s="2">
        <f t="shared" si="12"/>
        <v>-0.97143084780322919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 t="e">
        <f t="shared" si="13"/>
        <v>#NUM!</v>
      </c>
      <c r="X75" s="2" t="e">
        <f t="shared" si="14"/>
        <v>#NUM!</v>
      </c>
      <c r="Y75" s="2" t="e">
        <f t="shared" si="15"/>
        <v>#NUM!</v>
      </c>
      <c r="Z75" t="e">
        <f t="shared" si="16"/>
        <v>#NUM!</v>
      </c>
      <c r="AA75" t="e">
        <f t="shared" si="17"/>
        <v>#NUM!</v>
      </c>
      <c r="AB75" t="e">
        <f t="shared" si="18"/>
        <v>#NUM!</v>
      </c>
    </row>
    <row r="76" spans="1:28" ht="13.9" x14ac:dyDescent="0.3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f t="shared" si="10"/>
        <v>0.96347412397488608</v>
      </c>
      <c r="L76" s="2">
        <f t="shared" si="11"/>
        <v>1.8875252707415877</v>
      </c>
      <c r="M76" s="2">
        <f t="shared" si="12"/>
        <v>0.68706068833989242</v>
      </c>
      <c r="N76" s="2">
        <v>8.52</v>
      </c>
      <c r="O76" s="2">
        <v>0</v>
      </c>
      <c r="P76" s="2">
        <v>4.67</v>
      </c>
      <c r="Q76" s="2">
        <v>0.33</v>
      </c>
      <c r="R76" s="2">
        <v>0</v>
      </c>
      <c r="S76" s="2">
        <v>12.02</v>
      </c>
      <c r="T76" s="2">
        <v>0</v>
      </c>
      <c r="U76" s="2">
        <v>7.74</v>
      </c>
      <c r="V76" s="2">
        <v>0</v>
      </c>
      <c r="W76" s="2">
        <f t="shared" si="13"/>
        <v>3.7213726594768199</v>
      </c>
      <c r="X76" s="2">
        <f t="shared" si="14"/>
        <v>3.6264391366973152</v>
      </c>
      <c r="Y76" s="2">
        <f t="shared" si="15"/>
        <v>2.9523335663696861</v>
      </c>
      <c r="Z76">
        <f t="shared" si="16"/>
        <v>1.9495170439593905</v>
      </c>
      <c r="AA76">
        <f t="shared" si="17"/>
        <v>0.94205767626043124</v>
      </c>
      <c r="AB76">
        <f t="shared" si="18"/>
        <v>2.103346288418857</v>
      </c>
    </row>
    <row r="77" spans="1:28" ht="13.9" x14ac:dyDescent="0.3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f t="shared" si="10"/>
        <v>4.1093605594042302</v>
      </c>
      <c r="L77" s="2">
        <f t="shared" si="11"/>
        <v>4.3074285251922477</v>
      </c>
      <c r="M77" s="2">
        <f t="shared" si="12"/>
        <v>3.745237332129749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 t="e">
        <f t="shared" si="13"/>
        <v>#NUM!</v>
      </c>
      <c r="X77" s="2" t="e">
        <f t="shared" si="14"/>
        <v>#NUM!</v>
      </c>
      <c r="Y77" s="2" t="e">
        <f t="shared" si="15"/>
        <v>#NUM!</v>
      </c>
      <c r="Z77" t="e">
        <f t="shared" si="16"/>
        <v>#NUM!</v>
      </c>
      <c r="AA77" t="e">
        <f t="shared" si="17"/>
        <v>#NUM!</v>
      </c>
      <c r="AB77" t="e">
        <f t="shared" si="18"/>
        <v>#NUM!</v>
      </c>
    </row>
    <row r="78" spans="1:28" ht="13.9" x14ac:dyDescent="0.3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f t="shared" si="10"/>
        <v>1.1176950426697545</v>
      </c>
      <c r="L78" s="2">
        <f t="shared" si="11"/>
        <v>2.2509615735332189</v>
      </c>
      <c r="M78" s="2">
        <f t="shared" si="12"/>
        <v>-0.30400618689009989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3.82</v>
      </c>
      <c r="T78" s="2">
        <v>0</v>
      </c>
      <c r="U78" s="2">
        <v>0</v>
      </c>
      <c r="V78" s="2">
        <v>0</v>
      </c>
      <c r="W78" s="2" t="e">
        <f t="shared" si="13"/>
        <v>#NUM!</v>
      </c>
      <c r="X78" s="2">
        <f t="shared" si="14"/>
        <v>1.9335726382610239</v>
      </c>
      <c r="Y78" s="2" t="e">
        <f t="shared" si="15"/>
        <v>#NUM!</v>
      </c>
      <c r="Z78" t="e">
        <f t="shared" si="16"/>
        <v>#NUM!</v>
      </c>
      <c r="AA78">
        <f t="shared" si="17"/>
        <v>-0.21927246559416688</v>
      </c>
      <c r="AB78" t="e">
        <f t="shared" si="18"/>
        <v>#NUM!</v>
      </c>
    </row>
    <row r="79" spans="1:28" ht="13.9" x14ac:dyDescent="0.3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f t="shared" si="10"/>
        <v>-1.5994620704162712</v>
      </c>
      <c r="L79" s="2">
        <f t="shared" si="11"/>
        <v>-1.8889686876112561</v>
      </c>
      <c r="M79" s="2" t="e">
        <f t="shared" si="12"/>
        <v>#NUM!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 t="e">
        <f t="shared" si="13"/>
        <v>#NUM!</v>
      </c>
      <c r="X79" s="2" t="e">
        <f t="shared" si="14"/>
        <v>#NUM!</v>
      </c>
      <c r="Y79" s="2" t="e">
        <f t="shared" si="15"/>
        <v>#NUM!</v>
      </c>
      <c r="Z79" t="e">
        <f t="shared" si="16"/>
        <v>#NUM!</v>
      </c>
      <c r="AA79" t="e">
        <f t="shared" si="17"/>
        <v>#NUM!</v>
      </c>
      <c r="AB79" t="e">
        <f t="shared" si="18"/>
        <v>#NUM!</v>
      </c>
    </row>
    <row r="80" spans="1:28" ht="13.9" x14ac:dyDescent="0.3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f t="shared" si="10"/>
        <v>11.915647871927282</v>
      </c>
      <c r="L80" s="2">
        <f t="shared" si="11"/>
        <v>11.711804612321423</v>
      </c>
      <c r="M80" s="2">
        <f t="shared" si="12"/>
        <v>11.768692983634002</v>
      </c>
      <c r="N80" s="2">
        <v>543.39</v>
      </c>
      <c r="O80" s="2">
        <v>603.52</v>
      </c>
      <c r="P80" s="2">
        <v>459.01</v>
      </c>
      <c r="Q80" s="2">
        <v>668.13</v>
      </c>
      <c r="R80" s="2">
        <v>1068.31</v>
      </c>
      <c r="S80" s="2">
        <v>745.56</v>
      </c>
      <c r="T80" s="2">
        <v>519.91999999999996</v>
      </c>
      <c r="U80" s="2">
        <v>859.31</v>
      </c>
      <c r="V80" s="2">
        <v>1173.4000000000001</v>
      </c>
      <c r="W80" s="2">
        <f t="shared" si="13"/>
        <v>10.649184310470005</v>
      </c>
      <c r="X80" s="2">
        <f t="shared" si="14"/>
        <v>11.277287400130357</v>
      </c>
      <c r="Y80" s="2">
        <f t="shared" si="15"/>
        <v>11.31776872101667</v>
      </c>
      <c r="Z80">
        <f t="shared" si="16"/>
        <v>-0.16211446579859218</v>
      </c>
      <c r="AA80">
        <f t="shared" si="17"/>
        <v>-5.4543301928601094E-2</v>
      </c>
      <c r="AB80">
        <f t="shared" si="18"/>
        <v>-5.6364544047775814E-2</v>
      </c>
    </row>
    <row r="81" spans="1:28" ht="13.9" x14ac:dyDescent="0.3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f t="shared" si="10"/>
        <v>2.0531113364595623</v>
      </c>
      <c r="L81" s="2">
        <f t="shared" si="11"/>
        <v>1.6553518286125541</v>
      </c>
      <c r="M81" s="2">
        <f t="shared" si="12"/>
        <v>1.1763227726404628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15.59</v>
      </c>
      <c r="W81" s="2" t="e">
        <f t="shared" si="13"/>
        <v>#NUM!</v>
      </c>
      <c r="X81" s="2" t="e">
        <f t="shared" si="14"/>
        <v>#NUM!</v>
      </c>
      <c r="Y81" s="2">
        <f t="shared" si="15"/>
        <v>3.9625490229230604</v>
      </c>
      <c r="Z81" t="e">
        <f t="shared" si="16"/>
        <v>#NUM!</v>
      </c>
      <c r="AA81" t="e">
        <f t="shared" si="17"/>
        <v>#NUM!</v>
      </c>
      <c r="AB81">
        <f t="shared" si="18"/>
        <v>1.7521448064074505</v>
      </c>
    </row>
    <row r="82" spans="1:28" ht="13.9" x14ac:dyDescent="0.3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f t="shared" si="10"/>
        <v>4.0678107837896222</v>
      </c>
      <c r="L82" s="2">
        <f t="shared" si="11"/>
        <v>3.7333543406138276</v>
      </c>
      <c r="M82" s="2">
        <f t="shared" si="12"/>
        <v>3.5084286525318573</v>
      </c>
      <c r="N82" s="2">
        <v>0</v>
      </c>
      <c r="O82" s="2">
        <v>0</v>
      </c>
      <c r="P82" s="2">
        <v>0</v>
      </c>
      <c r="Q82" s="2">
        <v>5.93</v>
      </c>
      <c r="R82" s="2">
        <v>0</v>
      </c>
      <c r="S82" s="2">
        <v>10.01</v>
      </c>
      <c r="T82" s="2">
        <v>0</v>
      </c>
      <c r="U82" s="2">
        <v>6.7</v>
      </c>
      <c r="V82" s="2">
        <v>0</v>
      </c>
      <c r="W82" s="2" t="e">
        <f t="shared" si="13"/>
        <v>#NUM!</v>
      </c>
      <c r="X82" s="2">
        <f t="shared" si="14"/>
        <v>3.9945797242157468</v>
      </c>
      <c r="Y82" s="2">
        <f t="shared" si="15"/>
        <v>2.7441610955704103</v>
      </c>
      <c r="Z82" t="e">
        <f t="shared" si="16"/>
        <v>#NUM!</v>
      </c>
      <c r="AA82">
        <f t="shared" si="17"/>
        <v>9.7571278607504919E-2</v>
      </c>
      <c r="AB82">
        <f t="shared" si="18"/>
        <v>-0.35445984684219362</v>
      </c>
    </row>
    <row r="83" spans="1:28" ht="13.9" x14ac:dyDescent="0.3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f t="shared" si="10"/>
        <v>-1.5994620704162712</v>
      </c>
      <c r="L83" s="2">
        <f t="shared" si="11"/>
        <v>-2.9434164716336326</v>
      </c>
      <c r="M83" s="2" t="e">
        <f t="shared" si="12"/>
        <v>#NUM!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 t="e">
        <f t="shared" si="13"/>
        <v>#NUM!</v>
      </c>
      <c r="X83" s="2" t="e">
        <f t="shared" si="14"/>
        <v>#NUM!</v>
      </c>
      <c r="Y83" s="2" t="e">
        <f t="shared" si="15"/>
        <v>#NUM!</v>
      </c>
      <c r="Z83" t="e">
        <f t="shared" si="16"/>
        <v>#NUM!</v>
      </c>
      <c r="AA83" t="e">
        <f t="shared" si="17"/>
        <v>#NUM!</v>
      </c>
      <c r="AB83" t="e">
        <f t="shared" si="18"/>
        <v>#NUM!</v>
      </c>
    </row>
    <row r="84" spans="1:28" ht="13.9" x14ac:dyDescent="0.3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f t="shared" si="10"/>
        <v>1.875780063068488</v>
      </c>
      <c r="L84" s="2">
        <f t="shared" si="11"/>
        <v>1.8439838440483267</v>
      </c>
      <c r="M84" s="2">
        <f t="shared" si="12"/>
        <v>-1.2863041851566412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 t="e">
        <f t="shared" si="13"/>
        <v>#NUM!</v>
      </c>
      <c r="X84" s="2" t="e">
        <f t="shared" si="14"/>
        <v>#NUM!</v>
      </c>
      <c r="Y84" s="2" t="e">
        <f t="shared" si="15"/>
        <v>#NUM!</v>
      </c>
      <c r="Z84" t="e">
        <f t="shared" si="16"/>
        <v>#NUM!</v>
      </c>
      <c r="AA84" t="e">
        <f t="shared" si="17"/>
        <v>#NUM!</v>
      </c>
      <c r="AB84" t="e">
        <f t="shared" si="18"/>
        <v>#NUM!</v>
      </c>
    </row>
    <row r="85" spans="1:28" ht="13.9" x14ac:dyDescent="0.3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f t="shared" si="10"/>
        <v>2.5109619192773791</v>
      </c>
      <c r="L85" s="2">
        <f t="shared" si="11"/>
        <v>3.3362833878644325</v>
      </c>
      <c r="M85" s="2">
        <f t="shared" si="12"/>
        <v>2.5484366246960422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15.81</v>
      </c>
      <c r="U85" s="2">
        <v>0</v>
      </c>
      <c r="V85" s="2">
        <v>0</v>
      </c>
      <c r="W85" s="2" t="e">
        <f t="shared" si="13"/>
        <v>#NUM!</v>
      </c>
      <c r="X85" s="2" t="e">
        <f t="shared" si="14"/>
        <v>#NUM!</v>
      </c>
      <c r="Y85" s="2">
        <f t="shared" si="15"/>
        <v>3.9827654625836462</v>
      </c>
      <c r="Z85" t="e">
        <f t="shared" si="16"/>
        <v>#NUM!</v>
      </c>
      <c r="AA85" t="e">
        <f t="shared" si="17"/>
        <v>#NUM!</v>
      </c>
      <c r="AB85">
        <f t="shared" si="18"/>
        <v>0.64415804835421064</v>
      </c>
    </row>
    <row r="86" spans="1:28" ht="13.9" x14ac:dyDescent="0.3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f t="shared" si="10"/>
        <v>-0.10469737866669322</v>
      </c>
      <c r="L86" s="2" t="e">
        <f t="shared" si="11"/>
        <v>#NUM!</v>
      </c>
      <c r="M86" s="2" t="e">
        <f t="shared" si="12"/>
        <v>#NUM!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 t="e">
        <f t="shared" si="13"/>
        <v>#NUM!</v>
      </c>
      <c r="X86" s="2" t="e">
        <f t="shared" si="14"/>
        <v>#NUM!</v>
      </c>
      <c r="Y86" s="2" t="e">
        <f t="shared" si="15"/>
        <v>#NUM!</v>
      </c>
      <c r="Z86" t="e">
        <f t="shared" si="16"/>
        <v>#NUM!</v>
      </c>
      <c r="AA86" t="e">
        <f t="shared" si="17"/>
        <v>#NUM!</v>
      </c>
      <c r="AB86" t="e">
        <f t="shared" si="18"/>
        <v>#NUM!</v>
      </c>
    </row>
    <row r="87" spans="1:28" ht="13.9" x14ac:dyDescent="0.3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f t="shared" si="10"/>
        <v>4.5939512839484111</v>
      </c>
      <c r="L87" s="2">
        <f t="shared" si="11"/>
        <v>5.5897634869849773</v>
      </c>
      <c r="M87" s="2">
        <f t="shared" si="12"/>
        <v>5.6211727526834352</v>
      </c>
      <c r="N87" s="2">
        <v>30.68</v>
      </c>
      <c r="O87" s="2">
        <v>0</v>
      </c>
      <c r="P87" s="2">
        <v>4.1500000000000004</v>
      </c>
      <c r="Q87" s="2">
        <v>0</v>
      </c>
      <c r="R87" s="2">
        <v>14.15</v>
      </c>
      <c r="S87" s="2">
        <v>0</v>
      </c>
      <c r="T87" s="2">
        <v>9.52</v>
      </c>
      <c r="U87" s="2">
        <v>11.72</v>
      </c>
      <c r="V87" s="2">
        <v>24.13</v>
      </c>
      <c r="W87" s="2">
        <f t="shared" si="13"/>
        <v>5.1222585678119978</v>
      </c>
      <c r="X87" s="2">
        <f t="shared" si="14"/>
        <v>3.8227301479445206</v>
      </c>
      <c r="Y87" s="2">
        <f t="shared" si="15"/>
        <v>5.5036667545760203</v>
      </c>
      <c r="Z87">
        <f t="shared" si="16"/>
        <v>0.1570445230528707</v>
      </c>
      <c r="AA87">
        <f t="shared" si="17"/>
        <v>-0.54818387948486469</v>
      </c>
      <c r="AB87">
        <f t="shared" si="18"/>
        <v>-3.0478035298668452E-2</v>
      </c>
    </row>
    <row r="88" spans="1:28" ht="13.9" x14ac:dyDescent="0.3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f t="shared" si="10"/>
        <v>2.5385381636298043</v>
      </c>
      <c r="L88" s="2">
        <f t="shared" si="11"/>
        <v>1.8875252707415877</v>
      </c>
      <c r="M88" s="2">
        <f t="shared" si="12"/>
        <v>8.3787717010793088</v>
      </c>
      <c r="N88" s="2">
        <v>6.16</v>
      </c>
      <c r="O88" s="2">
        <v>0</v>
      </c>
      <c r="P88" s="2">
        <v>0</v>
      </c>
      <c r="Q88" s="2">
        <v>5.93</v>
      </c>
      <c r="R88" s="2">
        <v>0</v>
      </c>
      <c r="S88" s="2">
        <v>5.28</v>
      </c>
      <c r="T88" s="2">
        <v>0</v>
      </c>
      <c r="U88" s="2">
        <v>2.5099999999999998</v>
      </c>
      <c r="V88" s="2">
        <v>11.06</v>
      </c>
      <c r="W88" s="2">
        <f t="shared" si="13"/>
        <v>2.6229303509201771</v>
      </c>
      <c r="X88" s="2">
        <f t="shared" si="14"/>
        <v>3.4867143730307024</v>
      </c>
      <c r="Y88" s="2">
        <f t="shared" si="15"/>
        <v>3.7623488156441294</v>
      </c>
      <c r="Z88">
        <f t="shared" si="16"/>
        <v>4.7181549624500566E-2</v>
      </c>
      <c r="AA88">
        <f t="shared" si="17"/>
        <v>0.88537222551941408</v>
      </c>
      <c r="AB88">
        <f t="shared" si="18"/>
        <v>-1.1551051548312508</v>
      </c>
    </row>
    <row r="89" spans="1:28" ht="13.9" x14ac:dyDescent="0.3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f t="shared" si="10"/>
        <v>0.22650852980867975</v>
      </c>
      <c r="L89" s="2">
        <f t="shared" si="11"/>
        <v>-0.35845397091247633</v>
      </c>
      <c r="M89" s="2" t="e">
        <f t="shared" si="12"/>
        <v>#NUM!</v>
      </c>
      <c r="N89" s="2">
        <v>0</v>
      </c>
      <c r="O89" s="2">
        <v>13.59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f t="shared" si="13"/>
        <v>3.7644735509926668</v>
      </c>
      <c r="X89" s="2" t="e">
        <f t="shared" si="14"/>
        <v>#NUM!</v>
      </c>
      <c r="Y89" s="2" t="e">
        <f t="shared" si="15"/>
        <v>#NUM!</v>
      </c>
      <c r="Z89">
        <f t="shared" si="16"/>
        <v>4.0548108378364223</v>
      </c>
      <c r="AA89" t="e">
        <f t="shared" si="17"/>
        <v>#NUM!</v>
      </c>
      <c r="AB89" t="e">
        <f t="shared" si="18"/>
        <v>#NUM!</v>
      </c>
    </row>
    <row r="90" spans="1:28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 t="e">
        <f t="shared" si="10"/>
        <v>#NUM!</v>
      </c>
      <c r="L90" s="2" t="e">
        <f t="shared" si="11"/>
        <v>#NUM!</v>
      </c>
      <c r="M90" s="2" t="e">
        <f t="shared" si="12"/>
        <v>#NUM!</v>
      </c>
      <c r="N90" s="2">
        <v>3.02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f t="shared" si="13"/>
        <v>1.5945485495503544</v>
      </c>
      <c r="X90" s="2" t="e">
        <f t="shared" si="14"/>
        <v>#NUM!</v>
      </c>
      <c r="Y90" s="2" t="e">
        <f t="shared" si="15"/>
        <v>#NUM!</v>
      </c>
      <c r="Z90" t="e">
        <f t="shared" si="16"/>
        <v>#NUM!</v>
      </c>
      <c r="AA90" t="e">
        <f t="shared" si="17"/>
        <v>#NUM!</v>
      </c>
      <c r="AB90" t="e">
        <f t="shared" si="18"/>
        <v>#NUM!</v>
      </c>
    </row>
    <row r="91" spans="1:28" ht="13.9" x14ac:dyDescent="0.3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f t="shared" si="10"/>
        <v>4.9611602581366396</v>
      </c>
      <c r="L91" s="2">
        <f t="shared" si="11"/>
        <v>4.3638719248575297</v>
      </c>
      <c r="M91" s="2">
        <f t="shared" si="12"/>
        <v>4.1699250014423122</v>
      </c>
      <c r="N91" s="2">
        <v>12.19</v>
      </c>
      <c r="O91" s="2">
        <v>6.94</v>
      </c>
      <c r="P91" s="2">
        <v>0</v>
      </c>
      <c r="Q91" s="2">
        <v>20.11</v>
      </c>
      <c r="R91" s="2">
        <v>0</v>
      </c>
      <c r="S91" s="2">
        <v>5.64</v>
      </c>
      <c r="T91" s="2">
        <v>0</v>
      </c>
      <c r="U91" s="2">
        <v>4.3899999999999997</v>
      </c>
      <c r="V91" s="2">
        <v>28.15</v>
      </c>
      <c r="W91" s="2">
        <f t="shared" si="13"/>
        <v>4.2577649685713874</v>
      </c>
      <c r="X91" s="2">
        <f t="shared" si="14"/>
        <v>4.6865005271832185</v>
      </c>
      <c r="Y91" s="2">
        <f t="shared" si="15"/>
        <v>5.0241423458978032</v>
      </c>
      <c r="Z91">
        <f t="shared" si="16"/>
        <v>-0.22058124644235833</v>
      </c>
      <c r="AA91">
        <f t="shared" si="17"/>
        <v>0.10290228433761407</v>
      </c>
      <c r="AB91">
        <f t="shared" si="18"/>
        <v>0.26885590360611522</v>
      </c>
    </row>
    <row r="92" spans="1:28" ht="13.9" x14ac:dyDescent="0.3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f t="shared" si="10"/>
        <v>0.71369581484335898</v>
      </c>
      <c r="L92" s="2" t="e">
        <f t="shared" si="11"/>
        <v>#NUM!</v>
      </c>
      <c r="M92" s="2">
        <f t="shared" si="12"/>
        <v>-1.8889686876112561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 t="e">
        <f t="shared" si="13"/>
        <v>#NUM!</v>
      </c>
      <c r="X92" s="2" t="e">
        <f t="shared" si="14"/>
        <v>#NUM!</v>
      </c>
      <c r="Y92" s="2" t="e">
        <f t="shared" si="15"/>
        <v>#NUM!</v>
      </c>
      <c r="Z92" t="e">
        <f t="shared" si="16"/>
        <v>#NUM!</v>
      </c>
      <c r="AA92" t="e">
        <f t="shared" si="17"/>
        <v>#NUM!</v>
      </c>
      <c r="AB92" t="e">
        <f t="shared" si="18"/>
        <v>#NUM!</v>
      </c>
    </row>
    <row r="93" spans="1:28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 t="e">
        <f t="shared" si="10"/>
        <v>#NUM!</v>
      </c>
      <c r="L93" s="2">
        <f t="shared" si="11"/>
        <v>-1.6438561897747248</v>
      </c>
      <c r="M93" s="2" t="e">
        <f t="shared" si="12"/>
        <v>#NUM!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 t="e">
        <f t="shared" si="13"/>
        <v>#NUM!</v>
      </c>
      <c r="X93" s="2" t="e">
        <f t="shared" si="14"/>
        <v>#NUM!</v>
      </c>
      <c r="Y93" s="2" t="e">
        <f t="shared" si="15"/>
        <v>#NUM!</v>
      </c>
      <c r="Z93" t="e">
        <f t="shared" si="16"/>
        <v>#NUM!</v>
      </c>
      <c r="AA93" t="e">
        <f t="shared" si="17"/>
        <v>#NUM!</v>
      </c>
      <c r="AB93" t="e">
        <f t="shared" si="18"/>
        <v>#NUM!</v>
      </c>
    </row>
    <row r="94" spans="1:28" ht="13.9" x14ac:dyDescent="0.3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f t="shared" si="10"/>
        <v>0.35614381022527536</v>
      </c>
      <c r="L94" s="2">
        <f t="shared" si="11"/>
        <v>-0.57776699931695219</v>
      </c>
      <c r="M94" s="2">
        <f t="shared" si="12"/>
        <v>-1.2863041851566412</v>
      </c>
      <c r="N94" s="2">
        <v>0</v>
      </c>
      <c r="O94" s="2">
        <v>0</v>
      </c>
      <c r="P94" s="2">
        <v>9.85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f t="shared" si="13"/>
        <v>3.3001237245690143</v>
      </c>
      <c r="X94" s="2" t="e">
        <f t="shared" si="14"/>
        <v>#NUM!</v>
      </c>
      <c r="Y94" s="2" t="e">
        <f t="shared" si="15"/>
        <v>#NUM!</v>
      </c>
      <c r="Z94">
        <f t="shared" si="16"/>
        <v>3.2119882918058966</v>
      </c>
      <c r="AA94" t="e">
        <f t="shared" si="17"/>
        <v>#NUM!</v>
      </c>
      <c r="AB94" t="e">
        <f t="shared" si="18"/>
        <v>#NUM!</v>
      </c>
    </row>
    <row r="95" spans="1:28" ht="13.9" x14ac:dyDescent="0.3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f t="shared" si="10"/>
        <v>-3.1844245711374275</v>
      </c>
      <c r="L95" s="2">
        <f t="shared" si="11"/>
        <v>-1.6438561897747248</v>
      </c>
      <c r="M95" s="2" t="e">
        <f t="shared" si="12"/>
        <v>#NUM!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 t="e">
        <f t="shared" si="13"/>
        <v>#NUM!</v>
      </c>
      <c r="X95" s="2" t="e">
        <f t="shared" si="14"/>
        <v>#NUM!</v>
      </c>
      <c r="Y95" s="2" t="e">
        <f t="shared" si="15"/>
        <v>#NUM!</v>
      </c>
      <c r="Z95" t="e">
        <f t="shared" si="16"/>
        <v>#NUM!</v>
      </c>
      <c r="AA95" t="e">
        <f t="shared" si="17"/>
        <v>#NUM!</v>
      </c>
      <c r="AB95" t="e">
        <f t="shared" si="18"/>
        <v>#NUM!</v>
      </c>
    </row>
    <row r="96" spans="1:28" ht="13.9" x14ac:dyDescent="0.3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f t="shared" si="10"/>
        <v>1.4698859762744638</v>
      </c>
      <c r="L96" s="2">
        <f t="shared" si="11"/>
        <v>2.0496307677246004</v>
      </c>
      <c r="M96" s="2">
        <f t="shared" si="12"/>
        <v>0.2509615735332188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9.65</v>
      </c>
      <c r="T96" s="2">
        <v>0</v>
      </c>
      <c r="U96" s="2">
        <v>9.2100000000000009</v>
      </c>
      <c r="V96" s="2">
        <v>0</v>
      </c>
      <c r="W96" s="2" t="e">
        <f t="shared" si="13"/>
        <v>#NUM!</v>
      </c>
      <c r="X96" s="2">
        <f t="shared" si="14"/>
        <v>3.2705289423807185</v>
      </c>
      <c r="Y96" s="2">
        <f t="shared" si="15"/>
        <v>3.2032011563166112</v>
      </c>
      <c r="Z96" t="e">
        <f t="shared" si="16"/>
        <v>#NUM!</v>
      </c>
      <c r="AA96">
        <f t="shared" si="17"/>
        <v>0.67415994379058308</v>
      </c>
      <c r="AB96">
        <f t="shared" si="18"/>
        <v>3.6739760149250511</v>
      </c>
    </row>
    <row r="97" spans="1:28" ht="13.9" x14ac:dyDescent="0.3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f t="shared" si="10"/>
        <v>6.6194130105979374</v>
      </c>
      <c r="L97" s="2">
        <f t="shared" si="11"/>
        <v>6.8922695818255431</v>
      </c>
      <c r="M97" s="2">
        <f t="shared" si="12"/>
        <v>5.4649949272654288</v>
      </c>
      <c r="N97" s="2">
        <v>9.44</v>
      </c>
      <c r="O97" s="2">
        <v>7.81</v>
      </c>
      <c r="P97" s="2">
        <v>0</v>
      </c>
      <c r="Q97" s="2">
        <v>17.8</v>
      </c>
      <c r="R97" s="2">
        <v>5.37</v>
      </c>
      <c r="S97" s="2">
        <v>0.18</v>
      </c>
      <c r="T97" s="2">
        <v>0.18</v>
      </c>
      <c r="U97" s="2">
        <v>0</v>
      </c>
      <c r="V97" s="2">
        <v>0</v>
      </c>
      <c r="W97" s="2">
        <f t="shared" si="13"/>
        <v>4.1085244567781691</v>
      </c>
      <c r="X97" s="2">
        <f t="shared" si="14"/>
        <v>4.5453506448222996</v>
      </c>
      <c r="Y97" s="2">
        <f t="shared" si="15"/>
        <v>-2.4739311883324122</v>
      </c>
      <c r="Z97">
        <f t="shared" si="16"/>
        <v>-0.688082934190267</v>
      </c>
      <c r="AA97">
        <f t="shared" si="17"/>
        <v>-0.60058753829987621</v>
      </c>
      <c r="AB97" t="e">
        <f t="shared" si="18"/>
        <v>#NUM!</v>
      </c>
    </row>
    <row r="98" spans="1:28" ht="13.9" x14ac:dyDescent="0.3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f t="shared" si="10"/>
        <v>5.8765169465649993</v>
      </c>
      <c r="L98" s="2">
        <f t="shared" si="11"/>
        <v>5.7473873996527178</v>
      </c>
      <c r="M98" s="2">
        <f t="shared" si="12"/>
        <v>5.8858183719899175</v>
      </c>
      <c r="N98" s="2">
        <v>16.91</v>
      </c>
      <c r="O98" s="2">
        <v>25.74</v>
      </c>
      <c r="P98" s="2">
        <v>14</v>
      </c>
      <c r="Q98" s="2">
        <v>4.28</v>
      </c>
      <c r="R98" s="2">
        <v>23.91</v>
      </c>
      <c r="S98" s="2">
        <v>10.01</v>
      </c>
      <c r="T98" s="2">
        <v>4.13</v>
      </c>
      <c r="U98" s="2">
        <v>7.95</v>
      </c>
      <c r="V98" s="2">
        <v>0</v>
      </c>
      <c r="W98" s="2">
        <f t="shared" si="13"/>
        <v>5.8240040509331532</v>
      </c>
      <c r="X98" s="2">
        <f t="shared" si="14"/>
        <v>5.2555007331483861</v>
      </c>
      <c r="Y98" s="2">
        <f t="shared" si="15"/>
        <v>3.5945485495503542</v>
      </c>
      <c r="Z98">
        <f t="shared" si="16"/>
        <v>-1.2949953734297323E-2</v>
      </c>
      <c r="AA98">
        <f t="shared" si="17"/>
        <v>-0.12907806884763401</v>
      </c>
      <c r="AB98">
        <f t="shared" si="18"/>
        <v>-0.71143243392395672</v>
      </c>
    </row>
    <row r="99" spans="1:28" ht="13.9" x14ac:dyDescent="0.3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f t="shared" si="10"/>
        <v>2.232660756790275</v>
      </c>
      <c r="L99" s="2">
        <f t="shared" si="11"/>
        <v>-0.20091269392599642</v>
      </c>
      <c r="M99" s="2">
        <f t="shared" si="12"/>
        <v>1.0214797274104519</v>
      </c>
      <c r="N99" s="2">
        <v>8.65</v>
      </c>
      <c r="O99" s="2">
        <v>0</v>
      </c>
      <c r="P99" s="2">
        <v>0</v>
      </c>
      <c r="Q99" s="2">
        <v>2.97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f t="shared" si="13"/>
        <v>3.1127001327493624</v>
      </c>
      <c r="X99" s="2">
        <f t="shared" si="14"/>
        <v>1.5704629310260412</v>
      </c>
      <c r="Y99" s="2" t="e">
        <f t="shared" si="15"/>
        <v>#NUM!</v>
      </c>
      <c r="Z99">
        <f t="shared" si="16"/>
        <v>0.47940254252613601</v>
      </c>
      <c r="AA99" t="e">
        <f t="shared" si="17"/>
        <v>#NUM!</v>
      </c>
      <c r="AB99" t="e">
        <f t="shared" si="18"/>
        <v>#NUM!</v>
      </c>
    </row>
    <row r="100" spans="1:28" ht="13.9" x14ac:dyDescent="0.3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f t="shared" si="10"/>
        <v>7.2577649685713874</v>
      </c>
      <c r="L100" s="2">
        <f t="shared" si="11"/>
        <v>7.6569253397942463</v>
      </c>
      <c r="M100" s="2">
        <f t="shared" si="12"/>
        <v>7.2562558732027318</v>
      </c>
      <c r="N100" s="2">
        <v>26.61</v>
      </c>
      <c r="O100" s="2">
        <v>26.6</v>
      </c>
      <c r="P100" s="2">
        <v>12.19</v>
      </c>
      <c r="Q100" s="2">
        <v>22.41</v>
      </c>
      <c r="R100" s="2">
        <v>60.5</v>
      </c>
      <c r="S100" s="2">
        <v>18.39</v>
      </c>
      <c r="T100" s="2">
        <v>53.9</v>
      </c>
      <c r="U100" s="2">
        <v>22.39</v>
      </c>
      <c r="V100" s="2">
        <v>47.26</v>
      </c>
      <c r="W100" s="2">
        <f t="shared" si="13"/>
        <v>6.0312187306107203</v>
      </c>
      <c r="X100" s="2">
        <f t="shared" si="14"/>
        <v>6.6624903639137756</v>
      </c>
      <c r="Y100" s="2">
        <f t="shared" si="15"/>
        <v>6.9489512004414218</v>
      </c>
      <c r="Z100">
        <f t="shared" si="16"/>
        <v>-0.26707578063212767</v>
      </c>
      <c r="AA100">
        <f t="shared" si="17"/>
        <v>-0.2007036488485919</v>
      </c>
      <c r="AB100">
        <f t="shared" si="18"/>
        <v>-6.2430080217701772E-2</v>
      </c>
    </row>
    <row r="101" spans="1:28" ht="13.9" x14ac:dyDescent="0.3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f t="shared" si="10"/>
        <v>4.4019034716079588</v>
      </c>
      <c r="L101" s="2">
        <f t="shared" si="11"/>
        <v>4.663344619366085</v>
      </c>
      <c r="M101" s="2">
        <f t="shared" si="12"/>
        <v>4.2433644256936605</v>
      </c>
      <c r="N101" s="2">
        <v>0</v>
      </c>
      <c r="O101" s="2">
        <v>0</v>
      </c>
      <c r="P101" s="2">
        <v>0</v>
      </c>
      <c r="Q101" s="2">
        <v>4.9400000000000004</v>
      </c>
      <c r="R101" s="2">
        <v>0</v>
      </c>
      <c r="S101" s="2">
        <v>0</v>
      </c>
      <c r="T101" s="2">
        <v>10.06</v>
      </c>
      <c r="U101" s="2">
        <v>0</v>
      </c>
      <c r="V101" s="2">
        <v>24.13</v>
      </c>
      <c r="W101" s="2" t="e">
        <f t="shared" si="13"/>
        <v>#NUM!</v>
      </c>
      <c r="X101" s="2">
        <f t="shared" si="14"/>
        <v>2.304511041809953</v>
      </c>
      <c r="Y101" s="2">
        <f t="shared" si="15"/>
        <v>5.0955025176586695</v>
      </c>
      <c r="Z101" t="e">
        <f t="shared" si="16"/>
        <v>#NUM!</v>
      </c>
      <c r="AA101">
        <f t="shared" si="17"/>
        <v>-1.016904368018692</v>
      </c>
      <c r="AB101">
        <f t="shared" si="18"/>
        <v>0.26401584727714228</v>
      </c>
    </row>
    <row r="102" spans="1:28" ht="13.9" x14ac:dyDescent="0.3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f t="shared" si="10"/>
        <v>-2</v>
      </c>
      <c r="L102" s="2">
        <f t="shared" si="11"/>
        <v>-2.3219280948873622</v>
      </c>
      <c r="M102" s="2">
        <f t="shared" si="12"/>
        <v>4.2644337408493722E-2</v>
      </c>
      <c r="N102" s="2">
        <v>0.13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0.21</v>
      </c>
      <c r="V102" s="2">
        <v>0</v>
      </c>
      <c r="W102" s="2">
        <f t="shared" si="13"/>
        <v>-2.9434164716336326</v>
      </c>
      <c r="X102" s="2" t="e">
        <f t="shared" si="14"/>
        <v>#NUM!</v>
      </c>
      <c r="Y102" s="2">
        <f t="shared" si="15"/>
        <v>-2.2515387669959646</v>
      </c>
      <c r="Z102">
        <f t="shared" si="16"/>
        <v>0.5574916873857465</v>
      </c>
      <c r="AA102" t="e">
        <f t="shared" si="17"/>
        <v>#NUM!</v>
      </c>
      <c r="AB102" t="e">
        <f t="shared" si="18"/>
        <v>#NUM!</v>
      </c>
    </row>
    <row r="103" spans="1:28" ht="13.9" x14ac:dyDescent="0.3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f t="shared" si="10"/>
        <v>-2</v>
      </c>
      <c r="L103" s="2">
        <f t="shared" si="11"/>
        <v>-1.15200309344505</v>
      </c>
      <c r="M103" s="2">
        <f t="shared" si="12"/>
        <v>-1.8889686876112561</v>
      </c>
      <c r="N103" s="2">
        <v>0</v>
      </c>
      <c r="O103" s="2">
        <v>2.89</v>
      </c>
      <c r="P103" s="2">
        <v>2.0699999999999998</v>
      </c>
      <c r="Q103" s="2">
        <v>0</v>
      </c>
      <c r="R103" s="2">
        <v>0.73</v>
      </c>
      <c r="S103" s="2">
        <v>0</v>
      </c>
      <c r="T103" s="2">
        <v>0</v>
      </c>
      <c r="U103" s="2">
        <v>0</v>
      </c>
      <c r="V103" s="2">
        <v>0</v>
      </c>
      <c r="W103" s="2">
        <f t="shared" si="13"/>
        <v>2.3103401206121505</v>
      </c>
      <c r="X103" s="2">
        <f t="shared" si="14"/>
        <v>-0.45403163089470749</v>
      </c>
      <c r="Y103" s="2" t="e">
        <f t="shared" si="15"/>
        <v>#NUM!</v>
      </c>
      <c r="Z103" t="e">
        <f t="shared" si="16"/>
        <v>#NUM!</v>
      </c>
      <c r="AA103">
        <f t="shared" si="17"/>
        <v>-1.3432798768561494</v>
      </c>
      <c r="AB103" t="e">
        <f t="shared" si="18"/>
        <v>#NUM!</v>
      </c>
    </row>
    <row r="104" spans="1:28" ht="13.9" x14ac:dyDescent="0.3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f t="shared" si="10"/>
        <v>-2.0588936890535687</v>
      </c>
      <c r="L104" s="2">
        <f t="shared" si="11"/>
        <v>-0.10469737866669322</v>
      </c>
      <c r="M104" s="2">
        <f t="shared" si="12"/>
        <v>-0.7858751946471525</v>
      </c>
      <c r="N104" s="2">
        <v>0</v>
      </c>
      <c r="O104" s="2">
        <v>0</v>
      </c>
      <c r="P104" s="2">
        <v>0</v>
      </c>
      <c r="Q104" s="2">
        <v>4.28</v>
      </c>
      <c r="R104" s="2">
        <v>0</v>
      </c>
      <c r="S104" s="2">
        <v>0</v>
      </c>
      <c r="T104" s="2">
        <v>0</v>
      </c>
      <c r="U104" s="2">
        <v>0.21</v>
      </c>
      <c r="V104" s="2">
        <v>0</v>
      </c>
      <c r="W104" s="2" t="e">
        <f t="shared" si="13"/>
        <v>#NUM!</v>
      </c>
      <c r="X104" s="2">
        <f t="shared" si="14"/>
        <v>2.0976107966264221</v>
      </c>
      <c r="Y104" s="2">
        <f t="shared" si="15"/>
        <v>-2.2515387669959646</v>
      </c>
      <c r="Z104" t="e">
        <f t="shared" si="16"/>
        <v>#NUM!</v>
      </c>
      <c r="AA104" t="e">
        <f t="shared" si="17"/>
        <v>#NUM!</v>
      </c>
      <c r="AB104">
        <f t="shared" si="18"/>
        <v>1.5185391977717373</v>
      </c>
    </row>
    <row r="105" spans="1:28" ht="13.9" x14ac:dyDescent="0.3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f t="shared" si="10"/>
        <v>3.2720231890610485</v>
      </c>
      <c r="L105" s="2">
        <f t="shared" si="11"/>
        <v>2.5607149544744789</v>
      </c>
      <c r="M105" s="2">
        <f t="shared" si="12"/>
        <v>1.8318772411916731</v>
      </c>
      <c r="N105" s="2">
        <v>0</v>
      </c>
      <c r="O105" s="2">
        <v>9.83</v>
      </c>
      <c r="P105" s="2">
        <v>0</v>
      </c>
      <c r="Q105" s="2">
        <v>5.93</v>
      </c>
      <c r="R105" s="2">
        <v>9.27</v>
      </c>
      <c r="S105" s="2">
        <v>1.46</v>
      </c>
      <c r="T105" s="2">
        <v>0.36</v>
      </c>
      <c r="U105" s="2">
        <v>0</v>
      </c>
      <c r="V105" s="2">
        <v>0</v>
      </c>
      <c r="W105" s="2">
        <f t="shared" si="13"/>
        <v>3.2971914165658558</v>
      </c>
      <c r="X105" s="2">
        <f t="shared" si="14"/>
        <v>4.0583164955908231</v>
      </c>
      <c r="Y105" s="2">
        <f t="shared" si="15"/>
        <v>-1.4739311883324124</v>
      </c>
      <c r="Z105">
        <f t="shared" si="16"/>
        <v>1.10546714785092E-2</v>
      </c>
      <c r="AA105">
        <f t="shared" si="17"/>
        <v>0.66433471228669605</v>
      </c>
      <c r="AB105" t="e">
        <f t="shared" si="18"/>
        <v>#NUM!</v>
      </c>
    </row>
    <row r="106" spans="1:28" ht="13.9" x14ac:dyDescent="0.3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f t="shared" si="10"/>
        <v>0.72246602447109098</v>
      </c>
      <c r="L106" s="2">
        <f t="shared" si="11"/>
        <v>1.0635029423061579</v>
      </c>
      <c r="M106" s="2">
        <f t="shared" si="12"/>
        <v>0.66902676550963081</v>
      </c>
      <c r="N106" s="2">
        <v>0</v>
      </c>
      <c r="O106" s="2">
        <v>0</v>
      </c>
      <c r="P106" s="2">
        <v>14</v>
      </c>
      <c r="Q106" s="2">
        <v>0</v>
      </c>
      <c r="R106" s="2">
        <v>5.61</v>
      </c>
      <c r="S106" s="2">
        <v>3.64</v>
      </c>
      <c r="T106" s="2">
        <v>0</v>
      </c>
      <c r="U106" s="2">
        <v>0</v>
      </c>
      <c r="V106" s="2">
        <v>0</v>
      </c>
      <c r="W106" s="2">
        <f t="shared" si="13"/>
        <v>3.8073549220576037</v>
      </c>
      <c r="X106" s="2">
        <f t="shared" si="14"/>
        <v>3.2094533656289501</v>
      </c>
      <c r="Y106" s="2" t="e">
        <f t="shared" si="15"/>
        <v>#NUM!</v>
      </c>
      <c r="Z106">
        <f t="shared" si="16"/>
        <v>2.3977874159008543</v>
      </c>
      <c r="AA106">
        <f t="shared" si="17"/>
        <v>1.5935035736384053</v>
      </c>
      <c r="AB106" t="e">
        <f t="shared" si="18"/>
        <v>#NUM!</v>
      </c>
    </row>
    <row r="107" spans="1:28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 t="e">
        <f t="shared" si="10"/>
        <v>#NUM!</v>
      </c>
      <c r="L107" s="2">
        <f t="shared" si="11"/>
        <v>-0.57776699931695219</v>
      </c>
      <c r="M107" s="2" t="e">
        <f t="shared" si="12"/>
        <v>#NUM!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 t="e">
        <f t="shared" si="13"/>
        <v>#NUM!</v>
      </c>
      <c r="X107" s="2" t="e">
        <f t="shared" si="14"/>
        <v>#NUM!</v>
      </c>
      <c r="Y107" s="2" t="e">
        <f t="shared" si="15"/>
        <v>#NUM!</v>
      </c>
      <c r="Z107" t="e">
        <f t="shared" si="16"/>
        <v>#NUM!</v>
      </c>
      <c r="AA107" t="e">
        <f t="shared" si="17"/>
        <v>#NUM!</v>
      </c>
      <c r="AB107" t="e">
        <f t="shared" si="18"/>
        <v>#NUM!</v>
      </c>
    </row>
    <row r="108" spans="1:28" ht="13.9" x14ac:dyDescent="0.3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f t="shared" si="10"/>
        <v>-0.35845397091247633</v>
      </c>
      <c r="L108" s="2">
        <f t="shared" si="11"/>
        <v>0.23878685958711648</v>
      </c>
      <c r="M108" s="2" t="e">
        <f t="shared" si="12"/>
        <v>#NUM!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 t="e">
        <f t="shared" si="13"/>
        <v>#NUM!</v>
      </c>
      <c r="X108" s="2" t="e">
        <f t="shared" si="14"/>
        <v>#NUM!</v>
      </c>
      <c r="Y108" s="2" t="e">
        <f t="shared" si="15"/>
        <v>#NUM!</v>
      </c>
      <c r="Z108" t="e">
        <f t="shared" si="16"/>
        <v>#NUM!</v>
      </c>
      <c r="AA108" t="e">
        <f t="shared" si="17"/>
        <v>#NUM!</v>
      </c>
      <c r="AB108" t="e">
        <f t="shared" si="18"/>
        <v>#NUM!</v>
      </c>
    </row>
    <row r="109" spans="1:28" ht="13.9" x14ac:dyDescent="0.3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f t="shared" si="10"/>
        <v>3.6982184782244141</v>
      </c>
      <c r="L109" s="2">
        <f t="shared" si="11"/>
        <v>3.8042601156347384</v>
      </c>
      <c r="M109" s="2">
        <f t="shared" si="12"/>
        <v>3.4087118610294294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4.01</v>
      </c>
      <c r="T109" s="2">
        <v>0</v>
      </c>
      <c r="U109" s="2">
        <v>1.88</v>
      </c>
      <c r="V109" s="2">
        <v>0</v>
      </c>
      <c r="W109" s="2" t="e">
        <f t="shared" si="13"/>
        <v>#NUM!</v>
      </c>
      <c r="X109" s="2">
        <f t="shared" si="14"/>
        <v>2.0036022366801958</v>
      </c>
      <c r="Y109" s="2">
        <f t="shared" si="15"/>
        <v>0.91073266190291258</v>
      </c>
      <c r="Z109" t="e">
        <f t="shared" si="16"/>
        <v>#NUM!</v>
      </c>
      <c r="AA109">
        <f t="shared" si="17"/>
        <v>-0.92501976636535932</v>
      </c>
      <c r="AB109">
        <f t="shared" si="18"/>
        <v>-1.9041271233871058</v>
      </c>
    </row>
    <row r="110" spans="1:28" ht="13.9" x14ac:dyDescent="0.3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f t="shared" si="10"/>
        <v>-2.1202942337177118</v>
      </c>
      <c r="L110" s="2" t="e">
        <f t="shared" si="11"/>
        <v>#NUM!</v>
      </c>
      <c r="M110" s="2">
        <f t="shared" si="12"/>
        <v>-0.88896868761125614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 t="e">
        <f t="shared" si="13"/>
        <v>#NUM!</v>
      </c>
      <c r="X110" s="2" t="e">
        <f t="shared" si="14"/>
        <v>#NUM!</v>
      </c>
      <c r="Y110" s="2" t="e">
        <f t="shared" si="15"/>
        <v>#NUM!</v>
      </c>
      <c r="Z110" t="e">
        <f t="shared" si="16"/>
        <v>#NUM!</v>
      </c>
      <c r="AA110" t="e">
        <f t="shared" si="17"/>
        <v>#NUM!</v>
      </c>
      <c r="AB110" t="e">
        <f t="shared" si="18"/>
        <v>#NUM!</v>
      </c>
    </row>
    <row r="111" spans="1:28" ht="13.9" x14ac:dyDescent="0.3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f t="shared" si="10"/>
        <v>4.7403879324683533</v>
      </c>
      <c r="L111" s="2">
        <f t="shared" si="11"/>
        <v>4.3384244147835584</v>
      </c>
      <c r="M111" s="2">
        <f t="shared" si="12"/>
        <v>3.9335726382610243</v>
      </c>
      <c r="N111" s="2">
        <v>20.84</v>
      </c>
      <c r="O111" s="2">
        <v>0</v>
      </c>
      <c r="P111" s="2">
        <v>0</v>
      </c>
      <c r="Q111" s="2">
        <v>0</v>
      </c>
      <c r="R111" s="2">
        <v>14.39</v>
      </c>
      <c r="S111" s="2">
        <v>0</v>
      </c>
      <c r="T111" s="2">
        <v>3.95</v>
      </c>
      <c r="U111" s="2">
        <v>9.42</v>
      </c>
      <c r="V111" s="2">
        <v>20.61</v>
      </c>
      <c r="W111" s="2">
        <f t="shared" si="13"/>
        <v>4.3812833725037841</v>
      </c>
      <c r="X111" s="2">
        <f t="shared" si="14"/>
        <v>3.8469946869655733</v>
      </c>
      <c r="Y111" s="2">
        <f t="shared" si="15"/>
        <v>5.0866139474094965</v>
      </c>
      <c r="Z111">
        <f t="shared" si="16"/>
        <v>-0.11365159950060125</v>
      </c>
      <c r="AA111">
        <f t="shared" si="17"/>
        <v>-0.17343935720625367</v>
      </c>
      <c r="AB111">
        <f t="shared" si="18"/>
        <v>0.37086537888381349</v>
      </c>
    </row>
    <row r="112" spans="1:28" ht="13.9" x14ac:dyDescent="0.3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f t="shared" si="10"/>
        <v>1.411426245726465</v>
      </c>
      <c r="L112" s="2">
        <f t="shared" si="11"/>
        <v>-1.3584539709124763</v>
      </c>
      <c r="M112" s="2">
        <f t="shared" si="12"/>
        <v>-1.6896598793878495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 t="e">
        <f t="shared" si="13"/>
        <v>#NUM!</v>
      </c>
      <c r="X112" s="2" t="e">
        <f t="shared" si="14"/>
        <v>#NUM!</v>
      </c>
      <c r="Y112" s="2" t="e">
        <f t="shared" si="15"/>
        <v>#NUM!</v>
      </c>
      <c r="Z112" t="e">
        <f t="shared" si="16"/>
        <v>#NUM!</v>
      </c>
      <c r="AA112" t="e">
        <f t="shared" si="17"/>
        <v>#NUM!</v>
      </c>
      <c r="AB112" t="e">
        <f t="shared" si="18"/>
        <v>#NUM!</v>
      </c>
    </row>
    <row r="113" spans="1:28" ht="13.9" x14ac:dyDescent="0.3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f t="shared" si="10"/>
        <v>-0.16812275880832692</v>
      </c>
      <c r="L113" s="2" t="e">
        <f t="shared" si="11"/>
        <v>#NUM!</v>
      </c>
      <c r="M113" s="2" t="e">
        <f t="shared" si="12"/>
        <v>#NUM!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 t="e">
        <f t="shared" si="13"/>
        <v>#NUM!</v>
      </c>
      <c r="X113" s="2" t="e">
        <f t="shared" si="14"/>
        <v>#NUM!</v>
      </c>
      <c r="Y113" s="2" t="e">
        <f t="shared" si="15"/>
        <v>#NUM!</v>
      </c>
      <c r="Z113" t="e">
        <f t="shared" si="16"/>
        <v>#NUM!</v>
      </c>
      <c r="AA113" t="e">
        <f t="shared" si="17"/>
        <v>#NUM!</v>
      </c>
      <c r="AB113" t="e">
        <f t="shared" si="18"/>
        <v>#NUM!</v>
      </c>
    </row>
    <row r="114" spans="1:28" ht="13.9" x14ac:dyDescent="0.3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f t="shared" si="10"/>
        <v>-0.55639334852438527</v>
      </c>
      <c r="L114" s="2">
        <f t="shared" si="11"/>
        <v>-3.3219280948873622</v>
      </c>
      <c r="M114" s="2" t="e">
        <f t="shared" si="12"/>
        <v>#NUM!</v>
      </c>
      <c r="N114" s="2">
        <v>0</v>
      </c>
      <c r="O114" s="2">
        <v>0</v>
      </c>
      <c r="P114" s="2">
        <v>0</v>
      </c>
      <c r="Q114" s="2">
        <v>0.66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 t="e">
        <f t="shared" si="13"/>
        <v>#NUM!</v>
      </c>
      <c r="X114" s="2">
        <f t="shared" si="14"/>
        <v>-0.5994620704162712</v>
      </c>
      <c r="Y114" s="2" t="e">
        <f t="shared" si="15"/>
        <v>#NUM!</v>
      </c>
      <c r="Z114" t="e">
        <f t="shared" si="16"/>
        <v>#NUM!</v>
      </c>
      <c r="AA114">
        <f t="shared" si="17"/>
        <v>-2.470280467215217</v>
      </c>
      <c r="AB114" t="e">
        <f t="shared" si="18"/>
        <v>#NUM!</v>
      </c>
    </row>
    <row r="115" spans="1:28" ht="13.9" x14ac:dyDescent="0.3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f t="shared" si="10"/>
        <v>9.7610796626422344E-2</v>
      </c>
      <c r="L115" s="2">
        <f t="shared" si="11"/>
        <v>-1.2175914350726269</v>
      </c>
      <c r="M115" s="2">
        <f t="shared" si="12"/>
        <v>-0.47393118833241243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 t="e">
        <f t="shared" si="13"/>
        <v>#NUM!</v>
      </c>
      <c r="X115" s="2" t="e">
        <f t="shared" si="14"/>
        <v>#NUM!</v>
      </c>
      <c r="Y115" s="2" t="e">
        <f t="shared" si="15"/>
        <v>#NUM!</v>
      </c>
      <c r="Z115" t="e">
        <f t="shared" si="16"/>
        <v>#NUM!</v>
      </c>
      <c r="AA115" t="e">
        <f t="shared" si="17"/>
        <v>#NUM!</v>
      </c>
      <c r="AB115" t="e">
        <f t="shared" si="18"/>
        <v>#NUM!</v>
      </c>
    </row>
    <row r="116" spans="1:28" ht="13.9" x14ac:dyDescent="0.3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f t="shared" si="10"/>
        <v>4.1034976397033365</v>
      </c>
      <c r="L116" s="2">
        <f t="shared" si="11"/>
        <v>4.0143552929770703</v>
      </c>
      <c r="M116" s="2">
        <f t="shared" si="12"/>
        <v>3.4032677223393013</v>
      </c>
      <c r="N116" s="2">
        <v>12.06</v>
      </c>
      <c r="O116" s="2">
        <v>22.27</v>
      </c>
      <c r="P116" s="2">
        <v>4.67</v>
      </c>
      <c r="Q116" s="2">
        <v>9.56</v>
      </c>
      <c r="R116" s="2">
        <v>18.54</v>
      </c>
      <c r="S116" s="2">
        <v>32.770000000000003</v>
      </c>
      <c r="T116" s="2">
        <v>15.27</v>
      </c>
      <c r="U116" s="2">
        <v>12.14</v>
      </c>
      <c r="V116" s="2">
        <v>0</v>
      </c>
      <c r="W116" s="2">
        <f t="shared" si="13"/>
        <v>5.2854022188622487</v>
      </c>
      <c r="X116" s="2">
        <f t="shared" si="14"/>
        <v>5.9276594607030901</v>
      </c>
      <c r="Y116" s="2">
        <f t="shared" si="15"/>
        <v>4.776630423051051</v>
      </c>
      <c r="Z116">
        <f t="shared" si="16"/>
        <v>0.36515914133915173</v>
      </c>
      <c r="AA116">
        <f t="shared" si="17"/>
        <v>0.56229425938701738</v>
      </c>
      <c r="AB116">
        <f t="shared" si="18"/>
        <v>0.48907260988905582</v>
      </c>
    </row>
    <row r="117" spans="1:28" ht="13.9" x14ac:dyDescent="0.3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f t="shared" si="10"/>
        <v>4.6005076453457852</v>
      </c>
      <c r="L117" s="2">
        <f t="shared" si="11"/>
        <v>4.1834865144593909</v>
      </c>
      <c r="M117" s="2">
        <f t="shared" si="12"/>
        <v>5.7438919109365685</v>
      </c>
      <c r="N117" s="2">
        <v>4.33</v>
      </c>
      <c r="O117" s="2">
        <v>0.87</v>
      </c>
      <c r="P117" s="2">
        <v>0</v>
      </c>
      <c r="Q117" s="2">
        <v>0.33</v>
      </c>
      <c r="R117" s="2">
        <v>25.37</v>
      </c>
      <c r="S117" s="2">
        <v>0.18</v>
      </c>
      <c r="T117" s="2">
        <v>41.14</v>
      </c>
      <c r="U117" s="2">
        <v>26.79</v>
      </c>
      <c r="V117" s="2">
        <v>50.27</v>
      </c>
      <c r="W117" s="2">
        <f t="shared" si="13"/>
        <v>2.37851162325373</v>
      </c>
      <c r="X117" s="2">
        <f t="shared" si="14"/>
        <v>4.6937657122177834</v>
      </c>
      <c r="Y117" s="2">
        <f t="shared" si="15"/>
        <v>6.8850862252901708</v>
      </c>
      <c r="Z117">
        <f t="shared" si="16"/>
        <v>-0.9517339894231498</v>
      </c>
      <c r="AA117">
        <f t="shared" si="17"/>
        <v>0.16604004746391884</v>
      </c>
      <c r="AB117">
        <f t="shared" si="18"/>
        <v>0.26144612139228235</v>
      </c>
    </row>
    <row r="118" spans="1:28" ht="13.9" x14ac:dyDescent="0.3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f t="shared" si="10"/>
        <v>7.9734964798129555</v>
      </c>
      <c r="L118" s="2">
        <f t="shared" si="11"/>
        <v>8.0437928711560076</v>
      </c>
      <c r="M118" s="2">
        <f t="shared" si="12"/>
        <v>7.6538482380221673</v>
      </c>
      <c r="N118" s="2">
        <v>39.07</v>
      </c>
      <c r="O118" s="2">
        <v>63.62</v>
      </c>
      <c r="P118" s="2">
        <v>28.27</v>
      </c>
      <c r="Q118" s="2">
        <v>115.36</v>
      </c>
      <c r="R118" s="2">
        <v>23.66</v>
      </c>
      <c r="S118" s="2">
        <v>60.26</v>
      </c>
      <c r="T118" s="2">
        <v>43.84</v>
      </c>
      <c r="U118" s="2">
        <v>54.62</v>
      </c>
      <c r="V118" s="2">
        <v>58.32</v>
      </c>
      <c r="W118" s="2">
        <f t="shared" si="13"/>
        <v>7.0329824166994284</v>
      </c>
      <c r="X118" s="2">
        <f t="shared" si="14"/>
        <v>7.6386531164661129</v>
      </c>
      <c r="Y118" s="2">
        <f t="shared" si="15"/>
        <v>7.2925977202664534</v>
      </c>
      <c r="Z118">
        <f t="shared" si="16"/>
        <v>-0.18107589272695646</v>
      </c>
      <c r="AA118">
        <f t="shared" si="17"/>
        <v>-7.4557654657391947E-2</v>
      </c>
      <c r="AB118">
        <f t="shared" si="18"/>
        <v>-6.9752481995611751E-2</v>
      </c>
    </row>
    <row r="119" spans="1:28" ht="13.9" x14ac:dyDescent="0.3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f t="shared" si="10"/>
        <v>12.225487632453387</v>
      </c>
      <c r="L119" s="2">
        <f t="shared" si="11"/>
        <v>12.393897188818366</v>
      </c>
      <c r="M119" s="2">
        <f t="shared" si="12"/>
        <v>15.297250178499256</v>
      </c>
      <c r="N119" s="2">
        <v>906.79</v>
      </c>
      <c r="O119" s="2">
        <v>2020.22</v>
      </c>
      <c r="P119" s="2">
        <v>1235.95</v>
      </c>
      <c r="Q119" s="2">
        <v>1715.97</v>
      </c>
      <c r="R119" s="2">
        <v>2416.6799999999998</v>
      </c>
      <c r="S119" s="2">
        <v>1338.72</v>
      </c>
      <c r="T119" s="2">
        <v>1053.1300000000001</v>
      </c>
      <c r="U119" s="2">
        <v>1918.69</v>
      </c>
      <c r="V119" s="2">
        <v>2716.82</v>
      </c>
      <c r="W119" s="2">
        <f t="shared" si="13"/>
        <v>12.023393981002608</v>
      </c>
      <c r="X119" s="2">
        <f t="shared" si="14"/>
        <v>12.417686405565505</v>
      </c>
      <c r="Y119" s="2">
        <f t="shared" si="15"/>
        <v>12.473868069043629</v>
      </c>
      <c r="Z119">
        <f t="shared" si="16"/>
        <v>-2.4047810867884937E-2</v>
      </c>
      <c r="AA119">
        <f t="shared" si="17"/>
        <v>2.7664977863268597E-3</v>
      </c>
      <c r="AB119">
        <f t="shared" si="18"/>
        <v>-0.29436343319301156</v>
      </c>
    </row>
    <row r="120" spans="1:28" ht="13.9" x14ac:dyDescent="0.3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f t="shared" si="10"/>
        <v>7.1026581313637394</v>
      </c>
      <c r="L120" s="2">
        <f t="shared" si="11"/>
        <v>7.0689931886130841</v>
      </c>
      <c r="M120" s="2">
        <f t="shared" si="12"/>
        <v>7.0114509117357544</v>
      </c>
      <c r="N120" s="2">
        <v>9.44</v>
      </c>
      <c r="O120" s="2">
        <v>11.57</v>
      </c>
      <c r="P120" s="2">
        <v>26.71</v>
      </c>
      <c r="Q120" s="2">
        <v>48.45</v>
      </c>
      <c r="R120" s="2">
        <v>35.619999999999997</v>
      </c>
      <c r="S120" s="2">
        <v>41.33</v>
      </c>
      <c r="T120" s="2">
        <v>41.86</v>
      </c>
      <c r="U120" s="2">
        <v>52.53</v>
      </c>
      <c r="V120" s="2">
        <v>36.200000000000003</v>
      </c>
      <c r="W120" s="2">
        <f t="shared" si="13"/>
        <v>5.5765221379205032</v>
      </c>
      <c r="X120" s="2">
        <f t="shared" si="14"/>
        <v>6.9703935379146769</v>
      </c>
      <c r="Y120" s="2">
        <f t="shared" si="15"/>
        <v>7.028900615734333</v>
      </c>
      <c r="Z120">
        <f t="shared" si="16"/>
        <v>-0.34899339730792883</v>
      </c>
      <c r="AA120">
        <f t="shared" si="17"/>
        <v>-2.0264640996439161E-2</v>
      </c>
      <c r="AB120">
        <f t="shared" si="18"/>
        <v>3.5860376196669916E-3</v>
      </c>
    </row>
    <row r="121" spans="1:28" ht="13.9" x14ac:dyDescent="0.3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f t="shared" si="10"/>
        <v>2.67581593117227</v>
      </c>
      <c r="L121" s="2">
        <f t="shared" si="11"/>
        <v>1.8196681834964556</v>
      </c>
      <c r="M121" s="2">
        <f t="shared" si="12"/>
        <v>1.4382928515791469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0.21</v>
      </c>
      <c r="V121" s="2">
        <v>0</v>
      </c>
      <c r="W121" s="2" t="e">
        <f t="shared" si="13"/>
        <v>#NUM!</v>
      </c>
      <c r="X121" s="2" t="e">
        <f t="shared" si="14"/>
        <v>#NUM!</v>
      </c>
      <c r="Y121" s="2">
        <f t="shared" si="15"/>
        <v>-2.2515387669959646</v>
      </c>
      <c r="Z121" t="e">
        <f t="shared" si="16"/>
        <v>#NUM!</v>
      </c>
      <c r="AA121" t="e">
        <f t="shared" si="17"/>
        <v>#NUM!</v>
      </c>
      <c r="AB121" t="e">
        <f t="shared" si="18"/>
        <v>#NUM!</v>
      </c>
    </row>
    <row r="122" spans="1:28" ht="13.9" x14ac:dyDescent="0.3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f t="shared" si="10"/>
        <v>10.407543953351649</v>
      </c>
      <c r="L122" s="2">
        <f t="shared" si="11"/>
        <v>10.299711728711223</v>
      </c>
      <c r="M122" s="2">
        <f t="shared" si="12"/>
        <v>13.509306151212247</v>
      </c>
      <c r="N122" s="2">
        <v>488.2</v>
      </c>
      <c r="O122" s="2">
        <v>586.16999999999996</v>
      </c>
      <c r="P122" s="2">
        <v>548.22</v>
      </c>
      <c r="Q122" s="2">
        <v>1013.56</v>
      </c>
      <c r="R122" s="2">
        <v>413.51</v>
      </c>
      <c r="S122" s="2">
        <v>908.5</v>
      </c>
      <c r="T122" s="2">
        <v>525.66999999999996</v>
      </c>
      <c r="U122" s="2">
        <v>616.33000000000004</v>
      </c>
      <c r="V122" s="2">
        <v>843.1</v>
      </c>
      <c r="W122" s="2">
        <f t="shared" si="13"/>
        <v>10.664082786894287</v>
      </c>
      <c r="X122" s="2">
        <f t="shared" si="14"/>
        <v>11.189558969851346</v>
      </c>
      <c r="Y122" s="2">
        <f t="shared" si="15"/>
        <v>10.954995970050582</v>
      </c>
      <c r="Z122">
        <f t="shared" si="16"/>
        <v>3.5130234133624989E-2</v>
      </c>
      <c r="AA122">
        <f t="shared" si="17"/>
        <v>0.11954921501390173</v>
      </c>
      <c r="AB122">
        <f t="shared" si="18"/>
        <v>-0.30236462498063071</v>
      </c>
    </row>
    <row r="123" spans="1:28" ht="13.9" x14ac:dyDescent="0.3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f t="shared" si="10"/>
        <v>10.102736856026079</v>
      </c>
      <c r="L123" s="2">
        <f t="shared" si="11"/>
        <v>9.9005196743182218</v>
      </c>
      <c r="M123" s="2">
        <f t="shared" si="12"/>
        <v>15.394195045031246</v>
      </c>
      <c r="N123" s="2">
        <v>180.52</v>
      </c>
      <c r="O123" s="2">
        <v>252.74</v>
      </c>
      <c r="P123" s="2">
        <v>337.64</v>
      </c>
      <c r="Q123" s="2">
        <v>453.55</v>
      </c>
      <c r="R123" s="2">
        <v>400.58</v>
      </c>
      <c r="S123" s="2">
        <v>260.17</v>
      </c>
      <c r="T123" s="2">
        <v>229.78</v>
      </c>
      <c r="U123" s="2">
        <v>348.45</v>
      </c>
      <c r="V123" s="2">
        <v>358.46</v>
      </c>
      <c r="W123" s="2">
        <f t="shared" si="13"/>
        <v>9.5903999177997328</v>
      </c>
      <c r="X123" s="2">
        <f t="shared" si="14"/>
        <v>10.121921982551074</v>
      </c>
      <c r="Y123" s="2">
        <f t="shared" si="15"/>
        <v>9.8714278529618724</v>
      </c>
      <c r="Z123">
        <f t="shared" si="16"/>
        <v>-7.5083293814895632E-2</v>
      </c>
      <c r="AA123">
        <f t="shared" si="17"/>
        <v>3.1907100762135668E-2</v>
      </c>
      <c r="AB123">
        <f t="shared" si="18"/>
        <v>-0.64105574798017551</v>
      </c>
    </row>
    <row r="124" spans="1:28" ht="13.9" x14ac:dyDescent="0.3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f t="shared" si="10"/>
        <v>16.700867467122919</v>
      </c>
      <c r="L124" s="2">
        <f t="shared" si="11"/>
        <v>16.689545693798696</v>
      </c>
      <c r="M124" s="2">
        <f t="shared" si="12"/>
        <v>16.630186483174409</v>
      </c>
      <c r="N124" s="2">
        <v>17685.14</v>
      </c>
      <c r="O124" s="2">
        <v>21037.05</v>
      </c>
      <c r="P124" s="2">
        <v>19080.2</v>
      </c>
      <c r="Q124" s="2">
        <v>27666.15</v>
      </c>
      <c r="R124" s="2">
        <v>31697.439999999999</v>
      </c>
      <c r="S124" s="2">
        <v>27150.62</v>
      </c>
      <c r="T124" s="2">
        <v>22950.22</v>
      </c>
      <c r="U124" s="2">
        <v>34979.019999999997</v>
      </c>
      <c r="V124" s="2">
        <v>31510.86</v>
      </c>
      <c r="W124" s="2">
        <f t="shared" si="13"/>
        <v>15.81884152573323</v>
      </c>
      <c r="X124" s="2">
        <f t="shared" si="14"/>
        <v>16.400649495105913</v>
      </c>
      <c r="Y124" s="2">
        <f t="shared" si="15"/>
        <v>16.448634180760777</v>
      </c>
      <c r="Z124">
        <f t="shared" si="16"/>
        <v>-7.8279090701372164E-2</v>
      </c>
      <c r="AA124">
        <f t="shared" si="17"/>
        <v>-2.5191734343308649E-2</v>
      </c>
      <c r="AB124">
        <f t="shared" si="18"/>
        <v>-1.5836552280963513E-2</v>
      </c>
    </row>
    <row r="125" spans="1:28" ht="13.9" x14ac:dyDescent="0.3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f t="shared" si="10"/>
        <v>4.0205910947732466</v>
      </c>
      <c r="L125" s="2">
        <f t="shared" si="11"/>
        <v>4.1026581313637394</v>
      </c>
      <c r="M125" s="2">
        <f t="shared" si="12"/>
        <v>2.0285691521967708</v>
      </c>
      <c r="N125" s="2">
        <v>31.07</v>
      </c>
      <c r="O125" s="2">
        <v>32.68</v>
      </c>
      <c r="P125" s="2">
        <v>19.190000000000001</v>
      </c>
      <c r="Q125" s="2">
        <v>32.299999999999997</v>
      </c>
      <c r="R125" s="2">
        <v>0.24</v>
      </c>
      <c r="S125" s="2">
        <v>15.66</v>
      </c>
      <c r="T125" s="2">
        <v>20.3</v>
      </c>
      <c r="U125" s="2">
        <v>31.39</v>
      </c>
      <c r="V125" s="2">
        <v>10.56</v>
      </c>
      <c r="W125" s="2">
        <f t="shared" si="13"/>
        <v>6.3739961421312366</v>
      </c>
      <c r="X125" s="2">
        <f t="shared" si="14"/>
        <v>5.5909612413425993</v>
      </c>
      <c r="Y125" s="2">
        <f t="shared" si="15"/>
        <v>5.9600019320680806</v>
      </c>
      <c r="Z125">
        <f t="shared" si="16"/>
        <v>0.6647905283972344</v>
      </c>
      <c r="AA125">
        <f t="shared" si="17"/>
        <v>0.44653740217039173</v>
      </c>
      <c r="AB125">
        <f t="shared" si="18"/>
        <v>1.5548503147402559</v>
      </c>
    </row>
    <row r="126" spans="1:28" ht="13.9" x14ac:dyDescent="0.3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f t="shared" si="10"/>
        <v>-2.9434164716336326</v>
      </c>
      <c r="L126" s="2" t="e">
        <f t="shared" si="11"/>
        <v>#NUM!</v>
      </c>
      <c r="M126" s="2">
        <f t="shared" si="12"/>
        <v>-1.4344028241457749</v>
      </c>
      <c r="N126" s="2">
        <v>0</v>
      </c>
      <c r="O126" s="2">
        <v>0</v>
      </c>
      <c r="P126" s="2">
        <v>0.26</v>
      </c>
      <c r="Q126" s="2">
        <v>0.33</v>
      </c>
      <c r="R126" s="2">
        <v>0</v>
      </c>
      <c r="S126" s="2">
        <v>0</v>
      </c>
      <c r="T126" s="2">
        <v>0.18</v>
      </c>
      <c r="U126" s="2">
        <v>0.21</v>
      </c>
      <c r="V126" s="2">
        <v>0</v>
      </c>
      <c r="W126" s="2">
        <f t="shared" si="13"/>
        <v>-1.9434164716336324</v>
      </c>
      <c r="X126" s="2">
        <f t="shared" si="14"/>
        <v>-1.5994620704162712</v>
      </c>
      <c r="Y126" s="2">
        <f t="shared" si="15"/>
        <v>-1.3584539709124763</v>
      </c>
      <c r="Z126">
        <f t="shared" si="16"/>
        <v>-0.59889658565130588</v>
      </c>
      <c r="AA126" t="e">
        <f t="shared" si="17"/>
        <v>#NUM!</v>
      </c>
      <c r="AB126">
        <f t="shared" si="18"/>
        <v>-7.8484550870100256E-2</v>
      </c>
    </row>
    <row r="127" spans="1:28" ht="13.9" x14ac:dyDescent="0.3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f t="shared" si="10"/>
        <v>1.3219280948873624</v>
      </c>
      <c r="L127" s="2">
        <f t="shared" si="11"/>
        <v>1.0908534304511135</v>
      </c>
      <c r="M127" s="2">
        <f t="shared" si="12"/>
        <v>0.87970576628228814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1.05</v>
      </c>
      <c r="V127" s="2">
        <v>1.51</v>
      </c>
      <c r="W127" s="2" t="e">
        <f t="shared" si="13"/>
        <v>#NUM!</v>
      </c>
      <c r="X127" s="2" t="e">
        <f t="shared" si="14"/>
        <v>#NUM!</v>
      </c>
      <c r="Y127" s="2">
        <f t="shared" si="15"/>
        <v>1.3561438102252754</v>
      </c>
      <c r="Z127" t="e">
        <f t="shared" si="16"/>
        <v>#NUM!</v>
      </c>
      <c r="AA127" t="e">
        <f t="shared" si="17"/>
        <v>#NUM!</v>
      </c>
      <c r="AB127">
        <f t="shared" si="18"/>
        <v>0.6244172012651672</v>
      </c>
    </row>
    <row r="128" spans="1:28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 t="e">
        <f t="shared" si="10"/>
        <v>#NUM!</v>
      </c>
      <c r="L128" s="2" t="e">
        <f t="shared" si="11"/>
        <v>#NUM!</v>
      </c>
      <c r="M128" s="2">
        <f t="shared" si="12"/>
        <v>-0.30400618689009989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 t="e">
        <f t="shared" si="13"/>
        <v>#NUM!</v>
      </c>
      <c r="X128" s="2" t="e">
        <f t="shared" si="14"/>
        <v>#NUM!</v>
      </c>
      <c r="Y128" s="2" t="e">
        <f t="shared" si="15"/>
        <v>#NUM!</v>
      </c>
      <c r="Z128" t="e">
        <f t="shared" si="16"/>
        <v>#NUM!</v>
      </c>
      <c r="AA128" t="e">
        <f t="shared" si="17"/>
        <v>#NUM!</v>
      </c>
      <c r="AB128" t="e">
        <f t="shared" si="18"/>
        <v>#NUM!</v>
      </c>
    </row>
    <row r="129" spans="1:28" ht="13.9" x14ac:dyDescent="0.3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f t="shared" si="10"/>
        <v>-0.18442457113742744</v>
      </c>
      <c r="L129" s="2" t="e">
        <f t="shared" si="11"/>
        <v>#NUM!</v>
      </c>
      <c r="M129" s="2" t="e">
        <f t="shared" si="12"/>
        <v>#NUM!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 t="e">
        <f t="shared" si="13"/>
        <v>#NUM!</v>
      </c>
      <c r="X129" s="2" t="e">
        <f t="shared" si="14"/>
        <v>#NUM!</v>
      </c>
      <c r="Y129" s="2" t="e">
        <f t="shared" si="15"/>
        <v>#NUM!</v>
      </c>
      <c r="Z129" t="e">
        <f t="shared" si="16"/>
        <v>#NUM!</v>
      </c>
      <c r="AA129" t="e">
        <f t="shared" si="17"/>
        <v>#NUM!</v>
      </c>
      <c r="AB129" t="e">
        <f t="shared" si="18"/>
        <v>#NUM!</v>
      </c>
    </row>
    <row r="130" spans="1:28" ht="13.9" x14ac:dyDescent="0.3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f t="shared" si="10"/>
        <v>11.217945584504774</v>
      </c>
      <c r="L130" s="2">
        <f t="shared" si="11"/>
        <v>11.350674037114487</v>
      </c>
      <c r="M130" s="2">
        <f t="shared" si="12"/>
        <v>10.776013487712724</v>
      </c>
      <c r="N130" s="2">
        <v>302.95999999999998</v>
      </c>
      <c r="O130" s="2">
        <v>240.02</v>
      </c>
      <c r="P130" s="2">
        <v>149.63</v>
      </c>
      <c r="Q130" s="2">
        <v>441.35</v>
      </c>
      <c r="R130" s="2">
        <v>338.37</v>
      </c>
      <c r="S130" s="2">
        <v>330.63</v>
      </c>
      <c r="T130" s="2">
        <v>201.03</v>
      </c>
      <c r="U130" s="2">
        <v>279.18</v>
      </c>
      <c r="V130" s="2">
        <v>463.03</v>
      </c>
      <c r="W130" s="2">
        <f t="shared" si="13"/>
        <v>9.4358994072929132</v>
      </c>
      <c r="X130" s="2">
        <f t="shared" si="14"/>
        <v>10.116798793375189</v>
      </c>
      <c r="Y130" s="2">
        <f t="shared" si="15"/>
        <v>9.8814810897908849</v>
      </c>
      <c r="Z130">
        <f t="shared" si="16"/>
        <v>-0.24957654626793951</v>
      </c>
      <c r="AA130">
        <f t="shared" si="17"/>
        <v>-0.16602511395668826</v>
      </c>
      <c r="AB130">
        <f t="shared" si="18"/>
        <v>-0.12502435959229791</v>
      </c>
    </row>
    <row r="131" spans="1:28" ht="13.9" x14ac:dyDescent="0.3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f t="shared" ref="K131:K194" si="19">LOG(SUM(B131:D131),2)</f>
        <v>3.6870606883398924</v>
      </c>
      <c r="L131" s="2">
        <f t="shared" ref="L131:L194" si="20">LOG(SUM(E131:G131),2)</f>
        <v>3.051372101721026</v>
      </c>
      <c r="M131" s="2">
        <f t="shared" ref="M131:M194" si="21">LOG(SUM(H131:J131),2)</f>
        <v>2.1984941536390834</v>
      </c>
      <c r="N131" s="2">
        <v>0.13</v>
      </c>
      <c r="O131" s="2">
        <v>8.68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30.16</v>
      </c>
      <c r="W131" s="2">
        <f t="shared" ref="W131:W194" si="22">LOG(SUM(N131:P131),2)</f>
        <v>3.1391420191456891</v>
      </c>
      <c r="X131" s="2" t="e">
        <f t="shared" ref="X131:X194" si="23">LOG(SUM(Q131:S131),2)</f>
        <v>#NUM!</v>
      </c>
      <c r="Y131" s="2">
        <f t="shared" ref="Y131:Y194" si="24">LOG(SUM(T131:V131),2)</f>
        <v>4.9145645234939392</v>
      </c>
      <c r="Z131">
        <f t="shared" ref="Z131:Z194" si="25">LOG(W131/K131,2)</f>
        <v>-0.23210086319755344</v>
      </c>
      <c r="AA131" t="e">
        <f t="shared" ref="AA131:AA194" si="26">LOG(X131/L131,2)</f>
        <v>#NUM!</v>
      </c>
      <c r="AB131">
        <f t="shared" ref="AB131:AB194" si="27">LOG(Y131/M131,2)</f>
        <v>1.1605478898600996</v>
      </c>
    </row>
    <row r="132" spans="1:28" ht="13.9" x14ac:dyDescent="0.3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f t="shared" si="19"/>
        <v>15.49062778816084</v>
      </c>
      <c r="L132" s="2">
        <f t="shared" si="20"/>
        <v>15.315159470842062</v>
      </c>
      <c r="M132" s="2">
        <f t="shared" si="21"/>
        <v>14.892540445041131</v>
      </c>
      <c r="N132" s="2">
        <v>4968.68</v>
      </c>
      <c r="O132" s="2">
        <v>5582.06</v>
      </c>
      <c r="P132" s="2">
        <v>3309.26</v>
      </c>
      <c r="Q132" s="2">
        <v>4844.34</v>
      </c>
      <c r="R132" s="2">
        <v>7090.74</v>
      </c>
      <c r="S132" s="2">
        <v>5312.47</v>
      </c>
      <c r="T132" s="2">
        <v>4694.3500000000004</v>
      </c>
      <c r="U132" s="2">
        <v>7137.32</v>
      </c>
      <c r="V132" s="2">
        <v>6295.84</v>
      </c>
      <c r="W132" s="2">
        <f t="shared" si="22"/>
        <v>13.758639637024578</v>
      </c>
      <c r="X132" s="2">
        <f t="shared" si="23"/>
        <v>14.074103822374633</v>
      </c>
      <c r="Y132" s="2">
        <f t="shared" si="24"/>
        <v>14.145893149233787</v>
      </c>
      <c r="Z132">
        <f t="shared" si="25"/>
        <v>-0.17105778038608085</v>
      </c>
      <c r="AA132">
        <f t="shared" si="26"/>
        <v>-0.12191732854724116</v>
      </c>
      <c r="AB132">
        <f t="shared" si="27"/>
        <v>-7.4206608062145629E-2</v>
      </c>
    </row>
    <row r="133" spans="1:28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 t="e">
        <f t="shared" si="19"/>
        <v>#NUM!</v>
      </c>
      <c r="L133" s="2">
        <f t="shared" si="20"/>
        <v>-0.91593573521152549</v>
      </c>
      <c r="M133" s="2" t="e">
        <f t="shared" si="21"/>
        <v>#NUM!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 t="e">
        <f t="shared" si="22"/>
        <v>#NUM!</v>
      </c>
      <c r="X133" s="2" t="e">
        <f t="shared" si="23"/>
        <v>#NUM!</v>
      </c>
      <c r="Y133" s="2" t="e">
        <f t="shared" si="24"/>
        <v>#NUM!</v>
      </c>
      <c r="Z133" t="e">
        <f t="shared" si="25"/>
        <v>#NUM!</v>
      </c>
      <c r="AA133" t="e">
        <f t="shared" si="26"/>
        <v>#NUM!</v>
      </c>
      <c r="AB133" t="e">
        <f t="shared" si="27"/>
        <v>#NUM!</v>
      </c>
    </row>
    <row r="134" spans="1:28" ht="13.9" x14ac:dyDescent="0.3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f t="shared" si="19"/>
        <v>20.463368589620941</v>
      </c>
      <c r="L134" s="2">
        <f t="shared" si="20"/>
        <v>20.475646233977606</v>
      </c>
      <c r="M134" s="2">
        <f t="shared" si="21"/>
        <v>20.204505462591374</v>
      </c>
      <c r="N134" s="2">
        <v>111493.66</v>
      </c>
      <c r="O134" s="2">
        <v>203233.22</v>
      </c>
      <c r="P134" s="2">
        <v>71595.86</v>
      </c>
      <c r="Q134" s="2">
        <v>164978.38</v>
      </c>
      <c r="R134" s="2">
        <v>283447.26</v>
      </c>
      <c r="S134" s="2">
        <v>190839.22</v>
      </c>
      <c r="T134" s="2">
        <v>167017.59</v>
      </c>
      <c r="U134" s="2">
        <v>219498.55</v>
      </c>
      <c r="V134" s="2">
        <v>196217.17</v>
      </c>
      <c r="W134" s="2">
        <f t="shared" si="22"/>
        <v>18.559447075433162</v>
      </c>
      <c r="X134" s="2">
        <f t="shared" si="23"/>
        <v>19.286054266390451</v>
      </c>
      <c r="Y134" s="2">
        <f t="shared" si="24"/>
        <v>19.152476254314259</v>
      </c>
      <c r="Z134">
        <f t="shared" si="25"/>
        <v>-0.14088992452004886</v>
      </c>
      <c r="AA134">
        <f t="shared" si="26"/>
        <v>-8.6350973016077803E-2</v>
      </c>
      <c r="AB134">
        <f t="shared" si="27"/>
        <v>-7.7146107136787129E-2</v>
      </c>
    </row>
    <row r="135" spans="1:28" ht="13.9" x14ac:dyDescent="0.3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f t="shared" si="19"/>
        <v>0.42223300068304781</v>
      </c>
      <c r="L135" s="2">
        <f t="shared" si="20"/>
        <v>2.2110121934855123</v>
      </c>
      <c r="M135" s="2">
        <f t="shared" si="21"/>
        <v>-0.47393118833241243</v>
      </c>
      <c r="N135" s="2">
        <v>0</v>
      </c>
      <c r="O135" s="2">
        <v>3.76</v>
      </c>
      <c r="P135" s="2">
        <v>0</v>
      </c>
      <c r="Q135" s="2">
        <v>0</v>
      </c>
      <c r="R135" s="2">
        <v>0</v>
      </c>
      <c r="S135" s="2">
        <v>4.92</v>
      </c>
      <c r="T135" s="2">
        <v>0</v>
      </c>
      <c r="U135" s="2">
        <v>0</v>
      </c>
      <c r="V135" s="2">
        <v>12.57</v>
      </c>
      <c r="W135" s="2">
        <f t="shared" si="22"/>
        <v>1.9107326619029126</v>
      </c>
      <c r="X135" s="2">
        <f t="shared" si="23"/>
        <v>2.2986583155645151</v>
      </c>
      <c r="Y135" s="2">
        <f t="shared" si="24"/>
        <v>3.6519127446457831</v>
      </c>
      <c r="Z135">
        <f t="shared" si="25"/>
        <v>2.1780146936493816</v>
      </c>
      <c r="AA135">
        <f t="shared" si="26"/>
        <v>5.6085050878051525E-2</v>
      </c>
      <c r="AB135" t="e">
        <f t="shared" si="27"/>
        <v>#NUM!</v>
      </c>
    </row>
    <row r="136" spans="1:28" ht="13.9" x14ac:dyDescent="0.3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f t="shared" si="19"/>
        <v>12.146867747813882</v>
      </c>
      <c r="L136" s="2">
        <f t="shared" si="20"/>
        <v>12.172946235519479</v>
      </c>
      <c r="M136" s="2">
        <f t="shared" si="21"/>
        <v>11.855834011353148</v>
      </c>
      <c r="N136" s="2">
        <v>850.29</v>
      </c>
      <c r="O136" s="2">
        <v>2011.25</v>
      </c>
      <c r="P136" s="2">
        <v>842.55</v>
      </c>
      <c r="Q136" s="2">
        <v>1507.98</v>
      </c>
      <c r="R136" s="2">
        <v>1860.21</v>
      </c>
      <c r="S136" s="2">
        <v>1320.34</v>
      </c>
      <c r="T136" s="2">
        <v>894.32</v>
      </c>
      <c r="U136" s="2">
        <v>1642.86</v>
      </c>
      <c r="V136" s="2">
        <v>2201.5100000000002</v>
      </c>
      <c r="W136" s="2">
        <f t="shared" si="22"/>
        <v>11.854903437519482</v>
      </c>
      <c r="X136" s="2">
        <f t="shared" si="23"/>
        <v>12.194919948524754</v>
      </c>
      <c r="Y136" s="2">
        <f t="shared" si="24"/>
        <v>12.210272569162631</v>
      </c>
      <c r="Z136">
        <f t="shared" si="25"/>
        <v>-3.5100429621333556E-2</v>
      </c>
      <c r="AA136">
        <f t="shared" si="26"/>
        <v>2.6018999887703247E-3</v>
      </c>
      <c r="AB136">
        <f t="shared" si="27"/>
        <v>4.2498251558365459E-2</v>
      </c>
    </row>
    <row r="137" spans="1:28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 t="e">
        <f t="shared" si="19"/>
        <v>#NUM!</v>
      </c>
      <c r="L137" s="2">
        <f t="shared" si="20"/>
        <v>0.28688114778816154</v>
      </c>
      <c r="M137" s="2">
        <f t="shared" si="21"/>
        <v>-3.3219280948873622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 t="e">
        <f t="shared" si="22"/>
        <v>#NUM!</v>
      </c>
      <c r="X137" s="2" t="e">
        <f t="shared" si="23"/>
        <v>#NUM!</v>
      </c>
      <c r="Y137" s="2" t="e">
        <f t="shared" si="24"/>
        <v>#NUM!</v>
      </c>
      <c r="Z137" t="e">
        <f t="shared" si="25"/>
        <v>#NUM!</v>
      </c>
      <c r="AA137" t="e">
        <f t="shared" si="26"/>
        <v>#NUM!</v>
      </c>
      <c r="AB137" t="e">
        <f t="shared" si="27"/>
        <v>#NUM!</v>
      </c>
    </row>
    <row r="138" spans="1:28" ht="13.9" x14ac:dyDescent="0.3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f t="shared" si="19"/>
        <v>7.9467308601403097</v>
      </c>
      <c r="L138" s="2">
        <f t="shared" si="20"/>
        <v>7.8705496686306287</v>
      </c>
      <c r="M138" s="2">
        <f t="shared" si="21"/>
        <v>7.4862316779810127</v>
      </c>
      <c r="N138" s="2">
        <v>49.16</v>
      </c>
      <c r="O138" s="2">
        <v>57.26</v>
      </c>
      <c r="P138" s="2">
        <v>48.49</v>
      </c>
      <c r="Q138" s="2">
        <v>35.93</v>
      </c>
      <c r="R138" s="2">
        <v>53.92</v>
      </c>
      <c r="S138" s="2">
        <v>35.5</v>
      </c>
      <c r="T138" s="2">
        <v>16.89</v>
      </c>
      <c r="U138" s="2">
        <v>51.27</v>
      </c>
      <c r="V138" s="2">
        <v>80.44</v>
      </c>
      <c r="W138" s="2">
        <f t="shared" si="22"/>
        <v>7.2752864680838911</v>
      </c>
      <c r="X138" s="2">
        <f t="shared" si="23"/>
        <v>6.9698181859465773</v>
      </c>
      <c r="Y138" s="2">
        <f t="shared" si="24"/>
        <v>7.2152903056512336</v>
      </c>
      <c r="Z138">
        <f t="shared" si="25"/>
        <v>-0.127357428078095</v>
      </c>
      <c r="AA138">
        <f t="shared" si="26"/>
        <v>-0.17534337256672614</v>
      </c>
      <c r="AB138">
        <f t="shared" si="27"/>
        <v>-5.3182253906140217E-2</v>
      </c>
    </row>
    <row r="139" spans="1:28" ht="13.9" x14ac:dyDescent="0.3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f t="shared" si="19"/>
        <v>11.726103182005403</v>
      </c>
      <c r="L139" s="2">
        <f t="shared" si="20"/>
        <v>11.708062188292716</v>
      </c>
      <c r="M139" s="2">
        <f t="shared" si="21"/>
        <v>11.665131580141631</v>
      </c>
      <c r="N139" s="2">
        <v>3179.48</v>
      </c>
      <c r="O139" s="2">
        <v>8459.41</v>
      </c>
      <c r="P139" s="2">
        <v>2419.5100000000002</v>
      </c>
      <c r="Q139" s="2">
        <v>3702.55</v>
      </c>
      <c r="R139" s="2">
        <v>4780.18</v>
      </c>
      <c r="S139" s="2">
        <v>2205.9</v>
      </c>
      <c r="T139" s="2">
        <v>3477.38</v>
      </c>
      <c r="U139" s="2">
        <v>4315.37</v>
      </c>
      <c r="V139" s="2">
        <v>12846.57</v>
      </c>
      <c r="W139" s="2">
        <f t="shared" si="22"/>
        <v>13.779144788795172</v>
      </c>
      <c r="X139" s="2">
        <f t="shared" si="23"/>
        <v>13.383789329065509</v>
      </c>
      <c r="Y139" s="2">
        <f t="shared" si="24"/>
        <v>14.333107818877062</v>
      </c>
      <c r="Z139">
        <f t="shared" si="25"/>
        <v>0.23276269238283953</v>
      </c>
      <c r="AA139">
        <f t="shared" si="26"/>
        <v>0.19298432769221821</v>
      </c>
      <c r="AB139">
        <f t="shared" si="27"/>
        <v>0.29714887947683749</v>
      </c>
    </row>
    <row r="140" spans="1:28" ht="13.9" x14ac:dyDescent="0.3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f t="shared" si="19"/>
        <v>13.902630427810312</v>
      </c>
      <c r="L140" s="2">
        <f t="shared" si="20"/>
        <v>13.858700802750654</v>
      </c>
      <c r="M140" s="2">
        <f t="shared" si="21"/>
        <v>14.6415076455771</v>
      </c>
      <c r="N140" s="2">
        <v>1186.95</v>
      </c>
      <c r="O140" s="2">
        <v>1923.34</v>
      </c>
      <c r="P140" s="2">
        <v>641.57000000000005</v>
      </c>
      <c r="Q140" s="2">
        <v>1606.87</v>
      </c>
      <c r="R140" s="2">
        <v>2641.86</v>
      </c>
      <c r="S140" s="2">
        <v>1471.45</v>
      </c>
      <c r="T140" s="2">
        <v>1604.13</v>
      </c>
      <c r="U140" s="2">
        <v>2463.2399999999998</v>
      </c>
      <c r="V140" s="2">
        <v>1629.89</v>
      </c>
      <c r="W140" s="2">
        <f t="shared" si="22"/>
        <v>11.873390279606514</v>
      </c>
      <c r="X140" s="2">
        <f t="shared" si="23"/>
        <v>12.481844830445734</v>
      </c>
      <c r="Y140" s="2">
        <f t="shared" si="24"/>
        <v>12.476052531164045</v>
      </c>
      <c r="Z140">
        <f t="shared" si="25"/>
        <v>-0.22762593679714416</v>
      </c>
      <c r="AA140">
        <f t="shared" si="26"/>
        <v>-0.1509608350991461</v>
      </c>
      <c r="AB140">
        <f t="shared" si="27"/>
        <v>-0.23090258412767248</v>
      </c>
    </row>
    <row r="141" spans="1:28" ht="13.9" x14ac:dyDescent="0.3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f t="shared" si="19"/>
        <v>5.3466023752989855</v>
      </c>
      <c r="L141" s="2">
        <f t="shared" si="20"/>
        <v>5.1969217338203295</v>
      </c>
      <c r="M141" s="2">
        <f t="shared" si="21"/>
        <v>6.0080924209487216</v>
      </c>
      <c r="N141" s="2">
        <v>11.54</v>
      </c>
      <c r="O141" s="2">
        <v>9.25</v>
      </c>
      <c r="P141" s="2">
        <v>19.71</v>
      </c>
      <c r="Q141" s="2">
        <v>22.08</v>
      </c>
      <c r="R141" s="2">
        <v>17.079999999999998</v>
      </c>
      <c r="S141" s="2">
        <v>24.03</v>
      </c>
      <c r="T141" s="2">
        <v>9.34</v>
      </c>
      <c r="U141" s="2">
        <v>9.84</v>
      </c>
      <c r="V141" s="2">
        <v>38.21</v>
      </c>
      <c r="W141" s="2">
        <f t="shared" si="22"/>
        <v>5.3398500028846243</v>
      </c>
      <c r="X141" s="2">
        <f t="shared" si="23"/>
        <v>5.9816243606963555</v>
      </c>
      <c r="Y141" s="2">
        <f t="shared" si="24"/>
        <v>5.8427274692925435</v>
      </c>
      <c r="Z141">
        <f t="shared" si="25"/>
        <v>-1.8231710858077805E-3</v>
      </c>
      <c r="AA141">
        <f t="shared" si="26"/>
        <v>0.2028799816381584</v>
      </c>
      <c r="AB141">
        <f t="shared" si="27"/>
        <v>-4.02650084708326E-2</v>
      </c>
    </row>
    <row r="142" spans="1:28" ht="13.9" x14ac:dyDescent="0.3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f t="shared" si="19"/>
        <v>5.3466023752989855</v>
      </c>
      <c r="L142" s="2">
        <f t="shared" si="20"/>
        <v>5.1917995010650744</v>
      </c>
      <c r="M142" s="2">
        <f t="shared" si="21"/>
        <v>5.9988724539942746</v>
      </c>
      <c r="N142" s="2">
        <v>11.54</v>
      </c>
      <c r="O142" s="2">
        <v>9.25</v>
      </c>
      <c r="P142" s="2">
        <v>19.71</v>
      </c>
      <c r="Q142" s="2">
        <v>22.08</v>
      </c>
      <c r="R142" s="2">
        <v>17.079999999999998</v>
      </c>
      <c r="S142" s="2">
        <v>24.03</v>
      </c>
      <c r="T142" s="2">
        <v>9.34</v>
      </c>
      <c r="U142" s="2">
        <v>9.84</v>
      </c>
      <c r="V142" s="2">
        <v>38.21</v>
      </c>
      <c r="W142" s="2">
        <f t="shared" si="22"/>
        <v>5.3398500028846243</v>
      </c>
      <c r="X142" s="2">
        <f t="shared" si="23"/>
        <v>5.9816243606963555</v>
      </c>
      <c r="Y142" s="2">
        <f t="shared" si="24"/>
        <v>5.8427274692925435</v>
      </c>
      <c r="Z142">
        <f t="shared" si="25"/>
        <v>-1.8231710858077805E-3</v>
      </c>
      <c r="AA142">
        <f t="shared" si="26"/>
        <v>0.20430264381688859</v>
      </c>
      <c r="AB142">
        <f t="shared" si="27"/>
        <v>-3.8049360577247407E-2</v>
      </c>
    </row>
    <row r="143" spans="1:28" ht="13.9" x14ac:dyDescent="0.3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f t="shared" si="19"/>
        <v>9.2051089980606484</v>
      </c>
      <c r="L143" s="2">
        <f t="shared" si="20"/>
        <v>9.3179778224071192</v>
      </c>
      <c r="M143" s="2">
        <f t="shared" si="21"/>
        <v>9.0470148195175888</v>
      </c>
      <c r="N143" s="2">
        <v>62.53</v>
      </c>
      <c r="O143" s="2">
        <v>65.930000000000007</v>
      </c>
      <c r="P143" s="2">
        <v>34.75</v>
      </c>
      <c r="Q143" s="2">
        <v>135.13999999999999</v>
      </c>
      <c r="R143" s="2">
        <v>141.25</v>
      </c>
      <c r="S143" s="2">
        <v>102.68</v>
      </c>
      <c r="T143" s="2">
        <v>104.2</v>
      </c>
      <c r="U143" s="2">
        <v>169.52</v>
      </c>
      <c r="V143" s="2">
        <v>126.19</v>
      </c>
      <c r="W143" s="2">
        <f t="shared" si="22"/>
        <v>7.3505856448073246</v>
      </c>
      <c r="X143" s="2">
        <f t="shared" si="23"/>
        <v>8.5663204743924144</v>
      </c>
      <c r="Y143" s="2">
        <f t="shared" si="24"/>
        <v>8.6435315468668286</v>
      </c>
      <c r="Z143">
        <f t="shared" si="25"/>
        <v>-0.32457560600179419</v>
      </c>
      <c r="AA143">
        <f t="shared" si="26"/>
        <v>-0.12134124584631142</v>
      </c>
      <c r="AB143">
        <f t="shared" si="27"/>
        <v>-6.5820950048278565E-2</v>
      </c>
    </row>
    <row r="144" spans="1:28" ht="13.9" x14ac:dyDescent="0.3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f t="shared" si="19"/>
        <v>5.6583528366367514E-2</v>
      </c>
      <c r="L144" s="2">
        <f t="shared" si="20"/>
        <v>0.56559717585422531</v>
      </c>
      <c r="M144" s="2" t="e">
        <f t="shared" si="21"/>
        <v>#NUM!</v>
      </c>
      <c r="N144" s="2">
        <v>0</v>
      </c>
      <c r="O144" s="2">
        <v>11.57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f t="shared" si="22"/>
        <v>3.532316959332765</v>
      </c>
      <c r="X144" s="2" t="e">
        <f t="shared" si="23"/>
        <v>#NUM!</v>
      </c>
      <c r="Y144" s="2" t="e">
        <f t="shared" si="24"/>
        <v>#NUM!</v>
      </c>
      <c r="Z144">
        <f t="shared" si="25"/>
        <v>5.9640888520968138</v>
      </c>
      <c r="AA144" t="e">
        <f t="shared" si="26"/>
        <v>#NUM!</v>
      </c>
      <c r="AB144" t="e">
        <f t="shared" si="27"/>
        <v>#NUM!</v>
      </c>
    </row>
    <row r="145" spans="1:28" ht="13.9" x14ac:dyDescent="0.3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f t="shared" si="19"/>
        <v>-0.16812275880832692</v>
      </c>
      <c r="L145" s="2">
        <f t="shared" si="20"/>
        <v>-1.4499569695115091E-2</v>
      </c>
      <c r="M145" s="2" t="e">
        <f t="shared" si="21"/>
        <v>#NUM!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 t="e">
        <f t="shared" si="22"/>
        <v>#NUM!</v>
      </c>
      <c r="X145" s="2" t="e">
        <f t="shared" si="23"/>
        <v>#NUM!</v>
      </c>
      <c r="Y145" s="2" t="e">
        <f t="shared" si="24"/>
        <v>#NUM!</v>
      </c>
      <c r="Z145" t="e">
        <f t="shared" si="25"/>
        <v>#NUM!</v>
      </c>
      <c r="AA145" t="e">
        <f t="shared" si="26"/>
        <v>#NUM!</v>
      </c>
      <c r="AB145" t="e">
        <f t="shared" si="27"/>
        <v>#NUM!</v>
      </c>
    </row>
    <row r="146" spans="1:28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 t="e">
        <f t="shared" si="19"/>
        <v>#NUM!</v>
      </c>
      <c r="L146" s="2">
        <f t="shared" si="20"/>
        <v>-1.0291463456595165</v>
      </c>
      <c r="M146" s="2" t="e">
        <f t="shared" si="21"/>
        <v>#NUM!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 t="e">
        <f t="shared" si="22"/>
        <v>#NUM!</v>
      </c>
      <c r="X146" s="2" t="e">
        <f t="shared" si="23"/>
        <v>#NUM!</v>
      </c>
      <c r="Y146" s="2" t="e">
        <f t="shared" si="24"/>
        <v>#NUM!</v>
      </c>
      <c r="Z146" t="e">
        <f t="shared" si="25"/>
        <v>#NUM!</v>
      </c>
      <c r="AA146" t="e">
        <f t="shared" si="26"/>
        <v>#NUM!</v>
      </c>
      <c r="AB146" t="e">
        <f t="shared" si="27"/>
        <v>#NUM!</v>
      </c>
    </row>
    <row r="147" spans="1:28" ht="13.9" x14ac:dyDescent="0.3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f t="shared" si="19"/>
        <v>-0.83650126771712052</v>
      </c>
      <c r="L147" s="2">
        <f t="shared" si="20"/>
        <v>-1.8889686876112561</v>
      </c>
      <c r="M147" s="2">
        <f t="shared" si="21"/>
        <v>-0.97143084780322919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 t="e">
        <f t="shared" si="22"/>
        <v>#NUM!</v>
      </c>
      <c r="X147" s="2" t="e">
        <f t="shared" si="23"/>
        <v>#NUM!</v>
      </c>
      <c r="Y147" s="2" t="e">
        <f t="shared" si="24"/>
        <v>#NUM!</v>
      </c>
      <c r="Z147" t="e">
        <f t="shared" si="25"/>
        <v>#NUM!</v>
      </c>
      <c r="AA147" t="e">
        <f t="shared" si="26"/>
        <v>#NUM!</v>
      </c>
      <c r="AB147" t="e">
        <f t="shared" si="27"/>
        <v>#NUM!</v>
      </c>
    </row>
    <row r="148" spans="1:28" ht="13.9" x14ac:dyDescent="0.3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f t="shared" si="19"/>
        <v>11.216321473711915</v>
      </c>
      <c r="L148" s="2">
        <f t="shared" si="20"/>
        <v>11.226899832813842</v>
      </c>
      <c r="M148" s="2">
        <f t="shared" si="21"/>
        <v>10.857809975881084</v>
      </c>
      <c r="N148" s="2">
        <v>233.88</v>
      </c>
      <c r="O148" s="2">
        <v>296.12</v>
      </c>
      <c r="P148" s="2">
        <v>180.23</v>
      </c>
      <c r="Q148" s="2">
        <v>233.37</v>
      </c>
      <c r="R148" s="2">
        <v>414.25</v>
      </c>
      <c r="S148" s="2">
        <v>228.31</v>
      </c>
      <c r="T148" s="2">
        <v>199.06</v>
      </c>
      <c r="U148" s="2">
        <v>230</v>
      </c>
      <c r="V148" s="2">
        <v>257.91000000000003</v>
      </c>
      <c r="W148" s="2">
        <f t="shared" si="22"/>
        <v>9.4721424906251972</v>
      </c>
      <c r="X148" s="2">
        <f t="shared" si="23"/>
        <v>9.7746717711445381</v>
      </c>
      <c r="Y148" s="2">
        <f t="shared" si="24"/>
        <v>9.424103287659074</v>
      </c>
      <c r="Z148">
        <f t="shared" si="25"/>
        <v>-0.24383691560161688</v>
      </c>
      <c r="AA148">
        <f t="shared" si="26"/>
        <v>-0.19983943731318518</v>
      </c>
      <c r="AB148">
        <f t="shared" si="27"/>
        <v>-0.20430588415727646</v>
      </c>
    </row>
    <row r="149" spans="1:28" ht="13.9" x14ac:dyDescent="0.3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f t="shared" si="19"/>
        <v>-2.9434164716336326</v>
      </c>
      <c r="L149" s="2">
        <f t="shared" si="20"/>
        <v>0.77399632511117322</v>
      </c>
      <c r="M149" s="2">
        <f t="shared" si="21"/>
        <v>-3.3219280948873622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 t="e">
        <f t="shared" si="22"/>
        <v>#NUM!</v>
      </c>
      <c r="X149" s="2" t="e">
        <f t="shared" si="23"/>
        <v>#NUM!</v>
      </c>
      <c r="Y149" s="2" t="e">
        <f t="shared" si="24"/>
        <v>#NUM!</v>
      </c>
      <c r="Z149" t="e">
        <f t="shared" si="25"/>
        <v>#NUM!</v>
      </c>
      <c r="AA149" t="e">
        <f t="shared" si="26"/>
        <v>#NUM!</v>
      </c>
      <c r="AB149" t="e">
        <f t="shared" si="27"/>
        <v>#NUM!</v>
      </c>
    </row>
    <row r="150" spans="1:28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 t="e">
        <f t="shared" si="19"/>
        <v>#NUM!</v>
      </c>
      <c r="L150" s="2">
        <f t="shared" si="20"/>
        <v>-1.0291463456595165</v>
      </c>
      <c r="M150" s="2" t="e">
        <f t="shared" si="21"/>
        <v>#NUM!</v>
      </c>
      <c r="N150" s="2">
        <v>0</v>
      </c>
      <c r="O150" s="2">
        <v>0</v>
      </c>
      <c r="P150" s="2">
        <v>0</v>
      </c>
      <c r="Q150" s="2">
        <v>3.3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 t="e">
        <f t="shared" si="22"/>
        <v>#NUM!</v>
      </c>
      <c r="X150" s="2">
        <f t="shared" si="23"/>
        <v>1.7224660244710912</v>
      </c>
      <c r="Y150" s="2" t="e">
        <f t="shared" si="24"/>
        <v>#NUM!</v>
      </c>
      <c r="Z150" t="e">
        <f t="shared" si="25"/>
        <v>#NUM!</v>
      </c>
      <c r="AA150" t="e">
        <f t="shared" si="26"/>
        <v>#NUM!</v>
      </c>
      <c r="AB150" t="e">
        <f t="shared" si="27"/>
        <v>#NUM!</v>
      </c>
    </row>
    <row r="151" spans="1:28" ht="13.9" x14ac:dyDescent="0.3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f t="shared" si="19"/>
        <v>4.6763802554669249</v>
      </c>
      <c r="L151" s="2">
        <f t="shared" si="20"/>
        <v>4.3750394313469254</v>
      </c>
      <c r="M151" s="2">
        <f t="shared" si="21"/>
        <v>3.8124982253335644</v>
      </c>
      <c r="N151" s="2">
        <v>7.34</v>
      </c>
      <c r="O151" s="2">
        <v>23.13</v>
      </c>
      <c r="P151" s="2">
        <v>35.53</v>
      </c>
      <c r="Q151" s="2">
        <v>68.56</v>
      </c>
      <c r="R151" s="2">
        <v>8.7799999999999994</v>
      </c>
      <c r="S151" s="2">
        <v>48.43</v>
      </c>
      <c r="T151" s="2">
        <v>9.16</v>
      </c>
      <c r="U151" s="2">
        <v>34.53</v>
      </c>
      <c r="V151" s="2">
        <v>105.07</v>
      </c>
      <c r="W151" s="2">
        <f t="shared" si="22"/>
        <v>6.0443941193584534</v>
      </c>
      <c r="X151" s="2">
        <f t="shared" si="23"/>
        <v>6.9746440260402487</v>
      </c>
      <c r="Y151" s="2">
        <f t="shared" si="24"/>
        <v>7.2168428428372637</v>
      </c>
      <c r="Z151">
        <f t="shared" si="25"/>
        <v>0.37020548718934426</v>
      </c>
      <c r="AA151">
        <f t="shared" si="26"/>
        <v>0.67282356639885077</v>
      </c>
      <c r="AB151">
        <f t="shared" si="27"/>
        <v>0.92063117233219782</v>
      </c>
    </row>
    <row r="152" spans="1:28" ht="13.9" x14ac:dyDescent="0.3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f t="shared" si="19"/>
        <v>3.1826922975161902</v>
      </c>
      <c r="L152" s="2">
        <f t="shared" si="20"/>
        <v>3.2032011563166112</v>
      </c>
      <c r="M152" s="2">
        <f t="shared" si="21"/>
        <v>2.4005379295837286</v>
      </c>
      <c r="N152" s="2">
        <v>7.34</v>
      </c>
      <c r="O152" s="2">
        <v>0</v>
      </c>
      <c r="P152" s="2">
        <v>0</v>
      </c>
      <c r="Q152" s="2">
        <v>1.98</v>
      </c>
      <c r="R152" s="2">
        <v>2.93</v>
      </c>
      <c r="S152" s="2">
        <v>3.82</v>
      </c>
      <c r="T152" s="2">
        <v>1.44</v>
      </c>
      <c r="U152" s="2">
        <v>8.7899999999999991</v>
      </c>
      <c r="V152" s="2">
        <v>0</v>
      </c>
      <c r="W152" s="2">
        <f t="shared" si="22"/>
        <v>2.8757800630684884</v>
      </c>
      <c r="X152" s="2">
        <f t="shared" si="23"/>
        <v>3.1259816538547156</v>
      </c>
      <c r="Y152" s="2">
        <f t="shared" si="24"/>
        <v>3.3547342399706039</v>
      </c>
      <c r="Z152">
        <f t="shared" si="25"/>
        <v>-0.14629434000547706</v>
      </c>
      <c r="AA152">
        <f t="shared" si="26"/>
        <v>-3.5205088785506169E-2</v>
      </c>
      <c r="AB152">
        <f t="shared" si="27"/>
        <v>0.48284075010851796</v>
      </c>
    </row>
    <row r="153" spans="1:28" ht="13.9" x14ac:dyDescent="0.3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f t="shared" si="19"/>
        <v>4.0617761975866902</v>
      </c>
      <c r="L153" s="2">
        <f t="shared" si="20"/>
        <v>4.9588426752432406</v>
      </c>
      <c r="M153" s="2">
        <f t="shared" si="21"/>
        <v>4.8564877794956791</v>
      </c>
      <c r="N153" s="2">
        <v>25.17</v>
      </c>
      <c r="O153" s="2">
        <v>28.63</v>
      </c>
      <c r="P153" s="2">
        <v>49.79</v>
      </c>
      <c r="Q153" s="2">
        <v>30.65</v>
      </c>
      <c r="R153" s="2">
        <v>36.11</v>
      </c>
      <c r="S153" s="2">
        <v>37.869999999999997</v>
      </c>
      <c r="T153" s="2">
        <v>21.38</v>
      </c>
      <c r="U153" s="2">
        <v>36.21</v>
      </c>
      <c r="V153" s="2">
        <v>0</v>
      </c>
      <c r="W153" s="2">
        <f t="shared" si="22"/>
        <v>6.6947409297998188</v>
      </c>
      <c r="X153" s="2">
        <f t="shared" si="23"/>
        <v>6.7091527569025056</v>
      </c>
      <c r="Y153" s="2">
        <f t="shared" si="24"/>
        <v>5.8477464169213862</v>
      </c>
      <c r="Z153">
        <f t="shared" si="25"/>
        <v>0.72091747799456252</v>
      </c>
      <c r="AA153">
        <f t="shared" si="26"/>
        <v>0.43612713698592193</v>
      </c>
      <c r="AB153">
        <f t="shared" si="27"/>
        <v>0.2679674199350498</v>
      </c>
    </row>
    <row r="154" spans="1:28" ht="13.9" x14ac:dyDescent="0.3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f t="shared" si="19"/>
        <v>-2.9434164716336326</v>
      </c>
      <c r="L154" s="2">
        <f t="shared" si="20"/>
        <v>0.71369581484335898</v>
      </c>
      <c r="M154" s="2">
        <f t="shared" si="21"/>
        <v>0.87184364850931773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 t="e">
        <f t="shared" si="22"/>
        <v>#NUM!</v>
      </c>
      <c r="X154" s="2" t="e">
        <f t="shared" si="23"/>
        <v>#NUM!</v>
      </c>
      <c r="Y154" s="2" t="e">
        <f t="shared" si="24"/>
        <v>#NUM!</v>
      </c>
      <c r="Z154" t="e">
        <f t="shared" si="25"/>
        <v>#NUM!</v>
      </c>
      <c r="AA154" t="e">
        <f t="shared" si="26"/>
        <v>#NUM!</v>
      </c>
      <c r="AB154" t="e">
        <f t="shared" si="27"/>
        <v>#NUM!</v>
      </c>
    </row>
    <row r="155" spans="1:28" ht="13.9" x14ac:dyDescent="0.3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f t="shared" si="19"/>
        <v>2.6712933724815757</v>
      </c>
      <c r="L155" s="2">
        <f t="shared" si="20"/>
        <v>1.9708536543404835</v>
      </c>
      <c r="M155" s="2">
        <f t="shared" si="21"/>
        <v>2.3561438102252752</v>
      </c>
      <c r="N155" s="2">
        <v>0.13</v>
      </c>
      <c r="O155" s="2">
        <v>0</v>
      </c>
      <c r="P155" s="2">
        <v>0</v>
      </c>
      <c r="Q155" s="2">
        <v>2.31</v>
      </c>
      <c r="R155" s="2">
        <v>0.24</v>
      </c>
      <c r="S155" s="2">
        <v>0</v>
      </c>
      <c r="T155" s="2">
        <v>0.18</v>
      </c>
      <c r="U155" s="2">
        <v>1.05</v>
      </c>
      <c r="V155" s="2">
        <v>0</v>
      </c>
      <c r="W155" s="2">
        <f t="shared" si="22"/>
        <v>-2.9434164716336326</v>
      </c>
      <c r="X155" s="2">
        <f t="shared" si="23"/>
        <v>1.3504972470841332</v>
      </c>
      <c r="Y155" s="2">
        <f t="shared" si="24"/>
        <v>0.29865831556451516</v>
      </c>
      <c r="Z155" t="e">
        <f t="shared" si="25"/>
        <v>#NUM!</v>
      </c>
      <c r="AA155">
        <f t="shared" si="26"/>
        <v>-0.54532995410205665</v>
      </c>
      <c r="AB155">
        <f t="shared" si="27"/>
        <v>-2.9798598020660383</v>
      </c>
    </row>
    <row r="156" spans="1:28" ht="13.9" x14ac:dyDescent="0.3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f t="shared" si="19"/>
        <v>8.6801836815924904</v>
      </c>
      <c r="L156" s="2">
        <f t="shared" si="20"/>
        <v>8.7027267955229721</v>
      </c>
      <c r="M156" s="2">
        <f t="shared" si="21"/>
        <v>8.3777744813686716</v>
      </c>
      <c r="N156" s="2">
        <v>195.6</v>
      </c>
      <c r="O156" s="2">
        <v>383.16</v>
      </c>
      <c r="P156" s="2">
        <v>278.77999999999997</v>
      </c>
      <c r="Q156" s="2">
        <v>338.84</v>
      </c>
      <c r="R156" s="2">
        <v>329.59</v>
      </c>
      <c r="S156" s="2">
        <v>346.47</v>
      </c>
      <c r="T156" s="2">
        <v>194.21</v>
      </c>
      <c r="U156" s="2">
        <v>306.18</v>
      </c>
      <c r="V156" s="2">
        <v>540.45000000000005</v>
      </c>
      <c r="W156" s="2">
        <f t="shared" si="22"/>
        <v>9.7440601572184526</v>
      </c>
      <c r="X156" s="2">
        <f t="shared" si="23"/>
        <v>9.9871218676277831</v>
      </c>
      <c r="Y156" s="2">
        <f t="shared" si="24"/>
        <v>10.023532596385344</v>
      </c>
      <c r="Z156">
        <f t="shared" si="25"/>
        <v>0.16679746818461486</v>
      </c>
      <c r="AA156">
        <f t="shared" si="26"/>
        <v>0.19860146928033742</v>
      </c>
      <c r="AB156">
        <f t="shared" si="27"/>
        <v>0.25875209317237852</v>
      </c>
    </row>
    <row r="157" spans="1:28" ht="13.9" x14ac:dyDescent="0.3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f t="shared" si="19"/>
        <v>-0.86249647625006509</v>
      </c>
      <c r="L157" s="2">
        <f t="shared" si="20"/>
        <v>-1.4499569695115091E-2</v>
      </c>
      <c r="M157" s="2" t="e">
        <f t="shared" si="21"/>
        <v>#NUM!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30.67</v>
      </c>
      <c r="W157" s="2" t="e">
        <f t="shared" si="22"/>
        <v>#NUM!</v>
      </c>
      <c r="X157" s="2" t="e">
        <f t="shared" si="23"/>
        <v>#NUM!</v>
      </c>
      <c r="Y157" s="2">
        <f t="shared" si="24"/>
        <v>4.9387562614922951</v>
      </c>
      <c r="Z157" t="e">
        <f t="shared" si="25"/>
        <v>#NUM!</v>
      </c>
      <c r="AA157" t="e">
        <f t="shared" si="26"/>
        <v>#NUM!</v>
      </c>
      <c r="AB157" t="e">
        <f t="shared" si="27"/>
        <v>#NUM!</v>
      </c>
    </row>
    <row r="158" spans="1:28" ht="13.9" x14ac:dyDescent="0.3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f t="shared" si="19"/>
        <v>5.0827877317092698</v>
      </c>
      <c r="L158" s="2">
        <f t="shared" si="20"/>
        <v>5.1093605594042302</v>
      </c>
      <c r="M158" s="2">
        <f t="shared" si="21"/>
        <v>4.3110671022555955</v>
      </c>
      <c r="N158" s="2">
        <v>14.03</v>
      </c>
      <c r="O158" s="2">
        <v>17.059999999999999</v>
      </c>
      <c r="P158" s="2">
        <v>17.89</v>
      </c>
      <c r="Q158" s="2">
        <v>4.9400000000000004</v>
      </c>
      <c r="R158" s="2">
        <v>36.11</v>
      </c>
      <c r="S158" s="2">
        <v>12.02</v>
      </c>
      <c r="T158" s="2">
        <v>17.25</v>
      </c>
      <c r="U158" s="2">
        <v>47.09</v>
      </c>
      <c r="V158" s="2">
        <v>56.31</v>
      </c>
      <c r="W158" s="2">
        <f t="shared" si="22"/>
        <v>5.6141208687892536</v>
      </c>
      <c r="X158" s="2">
        <f t="shared" si="23"/>
        <v>5.7298246436368894</v>
      </c>
      <c r="Y158" s="2">
        <f t="shared" si="24"/>
        <v>6.9146841053283898</v>
      </c>
      <c r="Z158">
        <f t="shared" si="25"/>
        <v>0.14344014262224522</v>
      </c>
      <c r="AA158">
        <f t="shared" si="26"/>
        <v>0.16534823920286168</v>
      </c>
      <c r="AB158">
        <f t="shared" si="27"/>
        <v>0.68161832551021406</v>
      </c>
    </row>
    <row r="159" spans="1:28" ht="13.9" x14ac:dyDescent="0.3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f t="shared" si="19"/>
        <v>1.7782085763980877</v>
      </c>
      <c r="L159" s="2">
        <f t="shared" si="20"/>
        <v>-1</v>
      </c>
      <c r="M159" s="2">
        <f t="shared" si="21"/>
        <v>0.28688114778816154</v>
      </c>
      <c r="N159" s="2">
        <v>0</v>
      </c>
      <c r="O159" s="2">
        <v>1.1599999999999999</v>
      </c>
      <c r="P159" s="2">
        <v>0</v>
      </c>
      <c r="Q159" s="2">
        <v>0</v>
      </c>
      <c r="R159" s="2">
        <v>0</v>
      </c>
      <c r="S159" s="2">
        <v>0.18</v>
      </c>
      <c r="T159" s="2">
        <v>0</v>
      </c>
      <c r="U159" s="2">
        <v>0</v>
      </c>
      <c r="V159" s="2">
        <v>0</v>
      </c>
      <c r="W159" s="2">
        <f t="shared" si="22"/>
        <v>0.21412480535284734</v>
      </c>
      <c r="X159" s="2">
        <f t="shared" si="23"/>
        <v>-2.4739311883324122</v>
      </c>
      <c r="Y159" s="2" t="e">
        <f t="shared" si="24"/>
        <v>#NUM!</v>
      </c>
      <c r="Z159">
        <f t="shared" si="25"/>
        <v>-3.0539007162015981</v>
      </c>
      <c r="AA159">
        <f t="shared" si="26"/>
        <v>1.3068053727345683</v>
      </c>
      <c r="AB159" t="e">
        <f t="shared" si="27"/>
        <v>#NUM!</v>
      </c>
    </row>
    <row r="160" spans="1:28" ht="13.9" x14ac:dyDescent="0.3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f t="shared" si="19"/>
        <v>-0.10469737866669322</v>
      </c>
      <c r="L160" s="2">
        <f t="shared" si="20"/>
        <v>-0.32192809488736229</v>
      </c>
      <c r="M160" s="2">
        <f t="shared" si="21"/>
        <v>-0.55639334852438527</v>
      </c>
      <c r="N160" s="2">
        <v>0</v>
      </c>
      <c r="O160" s="2">
        <v>4.63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1.67</v>
      </c>
      <c r="V160" s="2">
        <v>0</v>
      </c>
      <c r="W160" s="2">
        <f t="shared" si="22"/>
        <v>2.2110121934855118</v>
      </c>
      <c r="X160" s="2" t="e">
        <f t="shared" si="23"/>
        <v>#NUM!</v>
      </c>
      <c r="Y160" s="2">
        <f t="shared" si="24"/>
        <v>0.73984810269932755</v>
      </c>
      <c r="Z160" t="e">
        <f t="shared" si="25"/>
        <v>#NUM!</v>
      </c>
      <c r="AA160" t="e">
        <f t="shared" si="26"/>
        <v>#NUM!</v>
      </c>
      <c r="AB160" t="e">
        <f t="shared" si="27"/>
        <v>#NUM!</v>
      </c>
    </row>
    <row r="161" spans="1:28" ht="13.9" x14ac:dyDescent="0.3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f t="shared" si="19"/>
        <v>1.0496307677246004</v>
      </c>
      <c r="L161" s="2" t="e">
        <f t="shared" si="20"/>
        <v>#NUM!</v>
      </c>
      <c r="M161" s="2">
        <f t="shared" si="21"/>
        <v>0.21412480535284761</v>
      </c>
      <c r="N161" s="2">
        <v>0.26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1.01</v>
      </c>
      <c r="W161" s="2">
        <f t="shared" si="22"/>
        <v>-1.9434164716336324</v>
      </c>
      <c r="X161" s="2" t="e">
        <f t="shared" si="23"/>
        <v>#NUM!</v>
      </c>
      <c r="Y161" s="2">
        <f t="shared" si="24"/>
        <v>1.4355292977070055E-2</v>
      </c>
      <c r="Z161" t="e">
        <f t="shared" si="25"/>
        <v>#NUM!</v>
      </c>
      <c r="AA161" t="e">
        <f t="shared" si="26"/>
        <v>#NUM!</v>
      </c>
      <c r="AB161">
        <f t="shared" si="27"/>
        <v>-3.898797254937366</v>
      </c>
    </row>
    <row r="162" spans="1:28" ht="13.9" x14ac:dyDescent="0.3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f t="shared" si="19"/>
        <v>-0.66657626627480826</v>
      </c>
      <c r="L162" s="2" t="e">
        <f t="shared" si="20"/>
        <v>#NUM!</v>
      </c>
      <c r="M162" s="2" t="e">
        <f t="shared" si="21"/>
        <v>#NUM!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 t="e">
        <f t="shared" si="22"/>
        <v>#NUM!</v>
      </c>
      <c r="X162" s="2" t="e">
        <f t="shared" si="23"/>
        <v>#NUM!</v>
      </c>
      <c r="Y162" s="2" t="e">
        <f t="shared" si="24"/>
        <v>#NUM!</v>
      </c>
      <c r="Z162" t="e">
        <f t="shared" si="25"/>
        <v>#NUM!</v>
      </c>
      <c r="AA162" t="e">
        <f t="shared" si="26"/>
        <v>#NUM!</v>
      </c>
      <c r="AB162" t="e">
        <f t="shared" si="27"/>
        <v>#NUM!</v>
      </c>
    </row>
    <row r="163" spans="1:28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 t="e">
        <f t="shared" si="19"/>
        <v>#NUM!</v>
      </c>
      <c r="L163" s="2" t="e">
        <f t="shared" si="20"/>
        <v>#NUM!</v>
      </c>
      <c r="M163" s="2" t="e">
        <f t="shared" si="21"/>
        <v>#NUM!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5.44</v>
      </c>
      <c r="V163" s="2">
        <v>0</v>
      </c>
      <c r="W163" s="2" t="e">
        <f t="shared" si="22"/>
        <v>#NUM!</v>
      </c>
      <c r="X163" s="2" t="e">
        <f t="shared" si="23"/>
        <v>#NUM!</v>
      </c>
      <c r="Y163" s="2">
        <f t="shared" si="24"/>
        <v>2.4436066514756147</v>
      </c>
      <c r="Z163" t="e">
        <f t="shared" si="25"/>
        <v>#NUM!</v>
      </c>
      <c r="AA163" t="e">
        <f t="shared" si="26"/>
        <v>#NUM!</v>
      </c>
      <c r="AB163" t="e">
        <f t="shared" si="27"/>
        <v>#NUM!</v>
      </c>
    </row>
    <row r="164" spans="1:28" ht="13.9" x14ac:dyDescent="0.3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f t="shared" si="19"/>
        <v>3.237257770900372</v>
      </c>
      <c r="L164" s="2">
        <f t="shared" si="20"/>
        <v>2.6484654430273142</v>
      </c>
      <c r="M164" s="2">
        <f t="shared" si="21"/>
        <v>0.92599941855622303</v>
      </c>
      <c r="N164" s="2">
        <v>2.1</v>
      </c>
      <c r="O164" s="2">
        <v>0</v>
      </c>
      <c r="P164" s="2">
        <v>0.26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5.03</v>
      </c>
      <c r="W164" s="2">
        <f t="shared" si="22"/>
        <v>1.2387868595871168</v>
      </c>
      <c r="X164" s="2" t="e">
        <f t="shared" si="23"/>
        <v>#NUM!</v>
      </c>
      <c r="Y164" s="2">
        <f t="shared" si="24"/>
        <v>2.3305584000308026</v>
      </c>
      <c r="Z164">
        <f t="shared" si="25"/>
        <v>-1.3858442617672</v>
      </c>
      <c r="AA164" t="e">
        <f t="shared" si="26"/>
        <v>#NUM!</v>
      </c>
      <c r="AB164">
        <f t="shared" si="27"/>
        <v>1.3315924722217014</v>
      </c>
    </row>
    <row r="165" spans="1:28" ht="13.9" x14ac:dyDescent="0.3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f t="shared" si="19"/>
        <v>-3.1844245711374275</v>
      </c>
      <c r="L165" s="2" t="e">
        <f t="shared" si="20"/>
        <v>#NUM!</v>
      </c>
      <c r="M165" s="2" t="e">
        <f t="shared" si="21"/>
        <v>#NUM!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 t="e">
        <f t="shared" si="22"/>
        <v>#NUM!</v>
      </c>
      <c r="X165" s="2" t="e">
        <f t="shared" si="23"/>
        <v>#NUM!</v>
      </c>
      <c r="Y165" s="2" t="e">
        <f t="shared" si="24"/>
        <v>#NUM!</v>
      </c>
      <c r="Z165" t="e">
        <f t="shared" si="25"/>
        <v>#NUM!</v>
      </c>
      <c r="AA165" t="e">
        <f t="shared" si="26"/>
        <v>#NUM!</v>
      </c>
      <c r="AB165" t="e">
        <f t="shared" si="27"/>
        <v>#NUM!</v>
      </c>
    </row>
    <row r="166" spans="1:28" ht="13.9" x14ac:dyDescent="0.3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f t="shared" si="19"/>
        <v>12.157530103052469</v>
      </c>
      <c r="L166" s="2">
        <f t="shared" si="20"/>
        <v>12.236800521507888</v>
      </c>
      <c r="M166" s="2">
        <f t="shared" si="21"/>
        <v>11.999228430887932</v>
      </c>
      <c r="N166" s="2">
        <v>453.72</v>
      </c>
      <c r="O166" s="2">
        <v>447.94</v>
      </c>
      <c r="P166" s="2">
        <v>307.56</v>
      </c>
      <c r="Q166" s="2">
        <v>614.4</v>
      </c>
      <c r="R166" s="2">
        <v>259.82</v>
      </c>
      <c r="S166" s="2">
        <v>531.80999999999995</v>
      </c>
      <c r="T166" s="2">
        <v>416.26</v>
      </c>
      <c r="U166" s="2">
        <v>407.47</v>
      </c>
      <c r="V166" s="2">
        <v>387.61</v>
      </c>
      <c r="W166" s="2">
        <f t="shared" si="22"/>
        <v>10.239861030518547</v>
      </c>
      <c r="X166" s="2">
        <f t="shared" si="23"/>
        <v>10.457411661710863</v>
      </c>
      <c r="Y166" s="2">
        <f t="shared" si="24"/>
        <v>10.242388143474825</v>
      </c>
      <c r="Z166">
        <f t="shared" si="25"/>
        <v>-0.24765402776687956</v>
      </c>
      <c r="AA166">
        <f t="shared" si="26"/>
        <v>-0.22670058406563945</v>
      </c>
      <c r="AB166">
        <f t="shared" si="27"/>
        <v>-0.2283895039582424</v>
      </c>
    </row>
    <row r="167" spans="1:28" ht="13.9" x14ac:dyDescent="0.3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f t="shared" si="19"/>
        <v>1.632268215499513</v>
      </c>
      <c r="L167" s="2">
        <f t="shared" si="20"/>
        <v>1.4750848829487828</v>
      </c>
      <c r="M167" s="2">
        <f t="shared" si="21"/>
        <v>1.1634987322828796</v>
      </c>
      <c r="N167" s="2">
        <v>5.77</v>
      </c>
      <c r="O167" s="2">
        <v>5.78</v>
      </c>
      <c r="P167" s="2">
        <v>5.45</v>
      </c>
      <c r="Q167" s="2">
        <v>1.98</v>
      </c>
      <c r="R167" s="2">
        <v>2.68</v>
      </c>
      <c r="S167" s="2">
        <v>3.28</v>
      </c>
      <c r="T167" s="2">
        <v>4.13</v>
      </c>
      <c r="U167" s="2">
        <v>3.77</v>
      </c>
      <c r="V167" s="2">
        <v>1.51</v>
      </c>
      <c r="W167" s="2">
        <f t="shared" si="22"/>
        <v>4.08746284125034</v>
      </c>
      <c r="X167" s="2">
        <f t="shared" si="23"/>
        <v>2.9891390073682333</v>
      </c>
      <c r="Y167" s="2">
        <f t="shared" si="24"/>
        <v>3.2341947229538124</v>
      </c>
      <c r="Z167">
        <f t="shared" si="25"/>
        <v>1.3243274737755453</v>
      </c>
      <c r="AA167">
        <f t="shared" si="26"/>
        <v>1.0189320139260551</v>
      </c>
      <c r="AB167">
        <f t="shared" si="27"/>
        <v>1.4749369037441169</v>
      </c>
    </row>
    <row r="168" spans="1:28" ht="13.9" x14ac:dyDescent="0.3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f t="shared" si="19"/>
        <v>10.61563883193587</v>
      </c>
      <c r="L168" s="2">
        <f t="shared" si="20"/>
        <v>10.345505045382508</v>
      </c>
      <c r="M168" s="2">
        <f t="shared" si="21"/>
        <v>10.157081616783254</v>
      </c>
      <c r="N168" s="2">
        <v>194.55</v>
      </c>
      <c r="O168" s="2">
        <v>103.53</v>
      </c>
      <c r="P168" s="2">
        <v>139.26</v>
      </c>
      <c r="Q168" s="2">
        <v>172.06</v>
      </c>
      <c r="R168" s="2">
        <v>132.22999999999999</v>
      </c>
      <c r="S168" s="2">
        <v>244.33</v>
      </c>
      <c r="T168" s="2">
        <v>149.11000000000001</v>
      </c>
      <c r="U168" s="2">
        <v>164.29</v>
      </c>
      <c r="V168" s="2">
        <v>348.9</v>
      </c>
      <c r="W168" s="2">
        <f t="shared" si="22"/>
        <v>8.7726114960317574</v>
      </c>
      <c r="X168" s="2">
        <f t="shared" si="23"/>
        <v>9.0996634065195661</v>
      </c>
      <c r="Y168" s="2">
        <f t="shared" si="24"/>
        <v>9.3713410480058439</v>
      </c>
      <c r="Z168">
        <f t="shared" si="25"/>
        <v>-0.27511290902879598</v>
      </c>
      <c r="AA168">
        <f t="shared" si="26"/>
        <v>-0.18511898958888515</v>
      </c>
      <c r="AB168">
        <f t="shared" si="27"/>
        <v>-0.11615852050237128</v>
      </c>
    </row>
    <row r="169" spans="1:28" ht="13.9" x14ac:dyDescent="0.3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f t="shared" si="19"/>
        <v>1.2265085298086797</v>
      </c>
      <c r="L169" s="2">
        <f t="shared" si="20"/>
        <v>1.6135316529179271</v>
      </c>
      <c r="M169" s="2">
        <f t="shared" si="21"/>
        <v>-0.68965987938784945</v>
      </c>
      <c r="N169" s="2">
        <v>0.13</v>
      </c>
      <c r="O169" s="2">
        <v>50.03</v>
      </c>
      <c r="P169" s="2">
        <v>9.08</v>
      </c>
      <c r="Q169" s="2">
        <v>0</v>
      </c>
      <c r="R169" s="2">
        <v>80.510000000000005</v>
      </c>
      <c r="S169" s="2">
        <v>0.18</v>
      </c>
      <c r="T169" s="2">
        <v>301.45999999999998</v>
      </c>
      <c r="U169" s="2">
        <v>28.67</v>
      </c>
      <c r="V169" s="2">
        <v>29.66</v>
      </c>
      <c r="W169" s="2">
        <f t="shared" si="22"/>
        <v>5.8884997355141229</v>
      </c>
      <c r="X169" s="2">
        <f t="shared" si="23"/>
        <v>6.3343179846934445</v>
      </c>
      <c r="Y169" s="2">
        <f t="shared" si="24"/>
        <v>8.4910112786684611</v>
      </c>
      <c r="Z169">
        <f t="shared" si="25"/>
        <v>2.2633428456434506</v>
      </c>
      <c r="AA169">
        <f t="shared" si="26"/>
        <v>1.9729674132245321</v>
      </c>
      <c r="AB169" t="e">
        <f t="shared" si="27"/>
        <v>#NUM!</v>
      </c>
    </row>
    <row r="170" spans="1:28" ht="13.9" x14ac:dyDescent="0.3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f t="shared" si="19"/>
        <v>7.2165518693499298</v>
      </c>
      <c r="L170" s="2">
        <f t="shared" si="20"/>
        <v>7.3719943931936518</v>
      </c>
      <c r="M170" s="2">
        <f t="shared" si="21"/>
        <v>7.153906645375864</v>
      </c>
      <c r="N170" s="2">
        <v>0.26</v>
      </c>
      <c r="O170" s="2">
        <v>68.540000000000006</v>
      </c>
      <c r="P170" s="2">
        <v>14.26</v>
      </c>
      <c r="Q170" s="2">
        <v>25.38</v>
      </c>
      <c r="R170" s="2">
        <v>59.53</v>
      </c>
      <c r="S170" s="2">
        <v>9.4700000000000006</v>
      </c>
      <c r="T170" s="2">
        <v>15.09</v>
      </c>
      <c r="U170" s="2">
        <v>4.8099999999999996</v>
      </c>
      <c r="V170" s="2">
        <v>15.08</v>
      </c>
      <c r="W170" s="2">
        <f t="shared" si="22"/>
        <v>6.3760819666500712</v>
      </c>
      <c r="X170" s="2">
        <f t="shared" si="23"/>
        <v>6.5604092663621181</v>
      </c>
      <c r="Y170" s="2">
        <f t="shared" si="24"/>
        <v>5.1284583841469278</v>
      </c>
      <c r="Z170">
        <f t="shared" si="25"/>
        <v>-0.17863949385458941</v>
      </c>
      <c r="AA170">
        <f t="shared" si="26"/>
        <v>-0.16826915458830186</v>
      </c>
      <c r="AB170">
        <f t="shared" si="27"/>
        <v>-0.48020607554756489</v>
      </c>
    </row>
    <row r="171" spans="1:28" ht="13.9" x14ac:dyDescent="0.3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f t="shared" si="19"/>
        <v>3.7037651787934101</v>
      </c>
      <c r="L171" s="2">
        <f t="shared" si="20"/>
        <v>3.8559896973084808</v>
      </c>
      <c r="M171" s="2">
        <f t="shared" si="21"/>
        <v>8.2345300607476961</v>
      </c>
      <c r="N171" s="2">
        <v>2.88</v>
      </c>
      <c r="O171" s="2">
        <v>0</v>
      </c>
      <c r="P171" s="2">
        <v>0</v>
      </c>
      <c r="Q171" s="2">
        <v>0</v>
      </c>
      <c r="R171" s="2">
        <v>0</v>
      </c>
      <c r="S171" s="2">
        <v>2.5499999999999998</v>
      </c>
      <c r="T171" s="2">
        <v>0</v>
      </c>
      <c r="U171" s="2">
        <v>4.5999999999999996</v>
      </c>
      <c r="V171" s="2">
        <v>0</v>
      </c>
      <c r="W171" s="2">
        <f t="shared" si="22"/>
        <v>1.5260688116675876</v>
      </c>
      <c r="X171" s="2">
        <f t="shared" si="23"/>
        <v>1.3504972470841332</v>
      </c>
      <c r="Y171" s="2">
        <f t="shared" si="24"/>
        <v>2.2016338611696504</v>
      </c>
      <c r="Z171">
        <f t="shared" si="25"/>
        <v>-1.2791726177439686</v>
      </c>
      <c r="AA171">
        <f t="shared" si="26"/>
        <v>-1.5136104978900169</v>
      </c>
      <c r="AB171">
        <f t="shared" si="27"/>
        <v>-1.9031117546374077</v>
      </c>
    </row>
    <row r="172" spans="1:28" ht="13.9" x14ac:dyDescent="0.3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f t="shared" si="19"/>
        <v>9.4623386692697977</v>
      </c>
      <c r="L172" s="2">
        <f t="shared" si="20"/>
        <v>9.6675018864453239</v>
      </c>
      <c r="M172" s="2">
        <f t="shared" si="21"/>
        <v>9.3113396259552168</v>
      </c>
      <c r="N172" s="2">
        <v>85.34</v>
      </c>
      <c r="O172" s="2">
        <v>141.99</v>
      </c>
      <c r="P172" s="2">
        <v>141.59</v>
      </c>
      <c r="Q172" s="2">
        <v>333.24</v>
      </c>
      <c r="R172" s="2">
        <v>230.79</v>
      </c>
      <c r="S172" s="2">
        <v>177.51</v>
      </c>
      <c r="T172" s="2">
        <v>113.9</v>
      </c>
      <c r="U172" s="2">
        <v>162.61000000000001</v>
      </c>
      <c r="V172" s="2">
        <v>261.93</v>
      </c>
      <c r="W172" s="2">
        <f t="shared" si="22"/>
        <v>8.5271641927372084</v>
      </c>
      <c r="X172" s="2">
        <f t="shared" si="23"/>
        <v>9.5343807061163659</v>
      </c>
      <c r="Y172" s="2">
        <f t="shared" si="24"/>
        <v>9.0726417796227778</v>
      </c>
      <c r="Z172">
        <f t="shared" si="25"/>
        <v>-0.15013076133302419</v>
      </c>
      <c r="AA172">
        <f t="shared" si="26"/>
        <v>-2.0003907712341219E-2</v>
      </c>
      <c r="AB172">
        <f t="shared" si="27"/>
        <v>-3.7466046691169784E-2</v>
      </c>
    </row>
    <row r="173" spans="1:28" ht="13.9" x14ac:dyDescent="0.3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f t="shared" si="19"/>
        <v>7.6890894512483818</v>
      </c>
      <c r="L173" s="2">
        <f t="shared" si="20"/>
        <v>7.5655210180670576</v>
      </c>
      <c r="M173" s="2">
        <f t="shared" si="21"/>
        <v>7.3386918198767006</v>
      </c>
      <c r="N173" s="2">
        <v>32.119999999999997</v>
      </c>
      <c r="O173" s="2">
        <v>50.61</v>
      </c>
      <c r="P173" s="2">
        <v>24.12</v>
      </c>
      <c r="Q173" s="2">
        <v>48.12</v>
      </c>
      <c r="R173" s="2">
        <v>49.28</v>
      </c>
      <c r="S173" s="2">
        <v>63.9</v>
      </c>
      <c r="T173" s="2">
        <v>17.61</v>
      </c>
      <c r="U173" s="2">
        <v>36.619999999999997</v>
      </c>
      <c r="V173" s="2">
        <v>63.35</v>
      </c>
      <c r="W173" s="2">
        <f t="shared" si="22"/>
        <v>6.7394430977724484</v>
      </c>
      <c r="X173" s="2">
        <f t="shared" si="23"/>
        <v>7.3336026282682809</v>
      </c>
      <c r="Y173" s="2">
        <f t="shared" si="24"/>
        <v>6.8774988727835344</v>
      </c>
      <c r="Z173">
        <f t="shared" si="25"/>
        <v>-0.19018338136128635</v>
      </c>
      <c r="AA173">
        <f t="shared" si="26"/>
        <v>-4.4917344934430142E-2</v>
      </c>
      <c r="AB173">
        <f t="shared" si="27"/>
        <v>-9.3638916048915943E-2</v>
      </c>
    </row>
    <row r="174" spans="1:28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 t="e">
        <f t="shared" si="19"/>
        <v>#NUM!</v>
      </c>
      <c r="L174" s="2">
        <f t="shared" si="20"/>
        <v>-1.8889686876112561</v>
      </c>
      <c r="M174" s="2" t="e">
        <f t="shared" si="21"/>
        <v>#NUM!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2.09</v>
      </c>
      <c r="V174" s="2">
        <v>0</v>
      </c>
      <c r="W174" s="2" t="e">
        <f t="shared" si="22"/>
        <v>#NUM!</v>
      </c>
      <c r="X174" s="2" t="e">
        <f t="shared" si="23"/>
        <v>#NUM!</v>
      </c>
      <c r="Y174" s="2">
        <f t="shared" si="24"/>
        <v>1.0635029423061579</v>
      </c>
      <c r="Z174" t="e">
        <f t="shared" si="25"/>
        <v>#NUM!</v>
      </c>
      <c r="AA174" t="e">
        <f t="shared" si="26"/>
        <v>#NUM!</v>
      </c>
      <c r="AB174" t="e">
        <f t="shared" si="27"/>
        <v>#NUM!</v>
      </c>
    </row>
    <row r="175" spans="1:28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 t="e">
        <f t="shared" si="19"/>
        <v>#NUM!</v>
      </c>
      <c r="L175" s="2">
        <f t="shared" si="20"/>
        <v>-1.8889686876112561</v>
      </c>
      <c r="M175" s="2">
        <f t="shared" si="21"/>
        <v>-2.8365012677171206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 t="e">
        <f t="shared" si="22"/>
        <v>#NUM!</v>
      </c>
      <c r="X175" s="2" t="e">
        <f t="shared" si="23"/>
        <v>#NUM!</v>
      </c>
      <c r="Y175" s="2" t="e">
        <f t="shared" si="24"/>
        <v>#NUM!</v>
      </c>
      <c r="Z175" t="e">
        <f t="shared" si="25"/>
        <v>#NUM!</v>
      </c>
      <c r="AA175" t="e">
        <f t="shared" si="26"/>
        <v>#NUM!</v>
      </c>
      <c r="AB175" t="e">
        <f t="shared" si="27"/>
        <v>#NUM!</v>
      </c>
    </row>
    <row r="176" spans="1:28" ht="13.9" x14ac:dyDescent="0.3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f t="shared" si="19"/>
        <v>1.1699250014423124</v>
      </c>
      <c r="L176" s="2">
        <f t="shared" si="20"/>
        <v>0.50589092972995731</v>
      </c>
      <c r="M176" s="2">
        <f t="shared" si="21"/>
        <v>0.88752527074158738</v>
      </c>
      <c r="N176" s="2">
        <v>0</v>
      </c>
      <c r="O176" s="2">
        <v>0</v>
      </c>
      <c r="P176" s="2">
        <v>0.52</v>
      </c>
      <c r="Q176" s="2">
        <v>13.84</v>
      </c>
      <c r="R176" s="2">
        <v>14.64</v>
      </c>
      <c r="S176" s="2">
        <v>8.3699999999999992</v>
      </c>
      <c r="T176" s="2">
        <v>0</v>
      </c>
      <c r="U176" s="2">
        <v>13.39</v>
      </c>
      <c r="V176" s="2">
        <v>15.59</v>
      </c>
      <c r="W176" s="2">
        <f t="shared" si="22"/>
        <v>-0.9434164716336324</v>
      </c>
      <c r="X176" s="2">
        <f t="shared" si="23"/>
        <v>5.2035927142077076</v>
      </c>
      <c r="Y176" s="2">
        <f t="shared" si="24"/>
        <v>4.8569856897822046</v>
      </c>
      <c r="Z176" t="e">
        <f t="shared" si="25"/>
        <v>#NUM!</v>
      </c>
      <c r="AA176">
        <f t="shared" si="26"/>
        <v>3.3626097685919367</v>
      </c>
      <c r="AB176">
        <f t="shared" si="27"/>
        <v>2.4522011322921617</v>
      </c>
    </row>
    <row r="177" spans="1:28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 t="e">
        <f t="shared" si="19"/>
        <v>#NUM!</v>
      </c>
      <c r="L177" s="2">
        <f t="shared" si="20"/>
        <v>-0.32192809488736229</v>
      </c>
      <c r="M177" s="2" t="e">
        <f t="shared" si="21"/>
        <v>#NUM!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0.18</v>
      </c>
      <c r="T177" s="2">
        <v>0</v>
      </c>
      <c r="U177" s="2">
        <v>0</v>
      </c>
      <c r="V177" s="2">
        <v>0.5</v>
      </c>
      <c r="W177" s="2" t="e">
        <f t="shared" si="22"/>
        <v>#NUM!</v>
      </c>
      <c r="X177" s="2">
        <f t="shared" si="23"/>
        <v>-2.4739311883324122</v>
      </c>
      <c r="Y177" s="2">
        <f t="shared" si="24"/>
        <v>-1</v>
      </c>
      <c r="Z177" t="e">
        <f t="shared" si="25"/>
        <v>#NUM!</v>
      </c>
      <c r="AA177">
        <f t="shared" si="26"/>
        <v>2.9419949803186816</v>
      </c>
      <c r="AB177" t="e">
        <f t="shared" si="27"/>
        <v>#NUM!</v>
      </c>
    </row>
    <row r="178" spans="1:28" ht="13.9" x14ac:dyDescent="0.3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f t="shared" si="19"/>
        <v>1.875780063068488</v>
      </c>
      <c r="L178" s="2">
        <f t="shared" si="20"/>
        <v>7.0389327891398012E-2</v>
      </c>
      <c r="M178" s="2">
        <f t="shared" si="21"/>
        <v>0.12432813500220179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9.0500000000000007</v>
      </c>
      <c r="W178" s="2" t="e">
        <f t="shared" si="22"/>
        <v>#NUM!</v>
      </c>
      <c r="X178" s="2" t="e">
        <f t="shared" si="23"/>
        <v>#NUM!</v>
      </c>
      <c r="Y178" s="2">
        <f t="shared" si="24"/>
        <v>3.177917792195843</v>
      </c>
      <c r="Z178" t="e">
        <f t="shared" si="25"/>
        <v>#NUM!</v>
      </c>
      <c r="AA178" t="e">
        <f t="shared" si="26"/>
        <v>#NUM!</v>
      </c>
      <c r="AB178">
        <f t="shared" si="27"/>
        <v>4.6758570898264091</v>
      </c>
    </row>
    <row r="179" spans="1:28" ht="13.9" x14ac:dyDescent="0.3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f t="shared" si="19"/>
        <v>0.15055967657538141</v>
      </c>
      <c r="L179" s="2">
        <f t="shared" si="20"/>
        <v>-0.16812275880832692</v>
      </c>
      <c r="M179" s="2" t="e">
        <f t="shared" si="21"/>
        <v>#NUM!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 t="e">
        <f t="shared" si="22"/>
        <v>#NUM!</v>
      </c>
      <c r="X179" s="2" t="e">
        <f t="shared" si="23"/>
        <v>#NUM!</v>
      </c>
      <c r="Y179" s="2" t="e">
        <f t="shared" si="24"/>
        <v>#NUM!</v>
      </c>
      <c r="Z179" t="e">
        <f t="shared" si="25"/>
        <v>#NUM!</v>
      </c>
      <c r="AA179" t="e">
        <f t="shared" si="26"/>
        <v>#NUM!</v>
      </c>
      <c r="AB179" t="e">
        <f t="shared" si="27"/>
        <v>#NUM!</v>
      </c>
    </row>
    <row r="180" spans="1:28" ht="13.9" x14ac:dyDescent="0.3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f t="shared" si="19"/>
        <v>6.6943230601253862</v>
      </c>
      <c r="L180" s="2">
        <f t="shared" si="20"/>
        <v>6.7051485282530194</v>
      </c>
      <c r="M180" s="2">
        <f t="shared" si="21"/>
        <v>6.8252768300548672</v>
      </c>
      <c r="N180" s="2">
        <v>0</v>
      </c>
      <c r="O180" s="2">
        <v>15.9</v>
      </c>
      <c r="P180" s="2">
        <v>8.0399999999999991</v>
      </c>
      <c r="Q180" s="2">
        <v>0.66</v>
      </c>
      <c r="R180" s="2">
        <v>7.56</v>
      </c>
      <c r="S180" s="2">
        <v>0</v>
      </c>
      <c r="T180" s="2">
        <v>0</v>
      </c>
      <c r="U180" s="2">
        <v>5.65</v>
      </c>
      <c r="V180" s="2">
        <v>1.01</v>
      </c>
      <c r="W180" s="2">
        <f t="shared" si="22"/>
        <v>4.5813512471687767</v>
      </c>
      <c r="X180" s="2">
        <f t="shared" si="23"/>
        <v>3.0391383939069581</v>
      </c>
      <c r="Y180" s="2">
        <f t="shared" si="24"/>
        <v>2.7355221772965375</v>
      </c>
      <c r="Z180">
        <f t="shared" si="25"/>
        <v>-0.54716499852272127</v>
      </c>
      <c r="AA180">
        <f t="shared" si="26"/>
        <v>-1.1416069174868211</v>
      </c>
      <c r="AB180">
        <f t="shared" si="27"/>
        <v>-1.3190713103421015</v>
      </c>
    </row>
    <row r="181" spans="1:28" ht="13.9" x14ac:dyDescent="0.3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f t="shared" si="19"/>
        <v>0.57531233068743703</v>
      </c>
      <c r="L181" s="2">
        <f t="shared" si="20"/>
        <v>0.12432813500220179</v>
      </c>
      <c r="M181" s="2" t="e">
        <f t="shared" si="21"/>
        <v>#NUM!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2.2999999999999998</v>
      </c>
      <c r="V181" s="2">
        <v>0</v>
      </c>
      <c r="W181" s="2" t="e">
        <f t="shared" si="22"/>
        <v>#NUM!</v>
      </c>
      <c r="X181" s="2" t="e">
        <f t="shared" si="23"/>
        <v>#NUM!</v>
      </c>
      <c r="Y181" s="2">
        <f t="shared" si="24"/>
        <v>1.2016338611696504</v>
      </c>
      <c r="Z181" t="e">
        <f t="shared" si="25"/>
        <v>#NUM!</v>
      </c>
      <c r="AA181" t="e">
        <f t="shared" si="26"/>
        <v>#NUM!</v>
      </c>
      <c r="AB181" t="e">
        <f t="shared" si="27"/>
        <v>#NUM!</v>
      </c>
    </row>
    <row r="182" spans="1:28" ht="13.9" x14ac:dyDescent="0.3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f t="shared" si="19"/>
        <v>10.651715465278849</v>
      </c>
      <c r="L182" s="2">
        <f t="shared" si="20"/>
        <v>10.807765452074715</v>
      </c>
      <c r="M182" s="2">
        <f t="shared" si="21"/>
        <v>11.180045890817153</v>
      </c>
      <c r="N182" s="2">
        <v>255.24</v>
      </c>
      <c r="O182" s="2">
        <v>353.96</v>
      </c>
      <c r="P182" s="2">
        <v>183.6</v>
      </c>
      <c r="Q182" s="2">
        <v>300.94</v>
      </c>
      <c r="R182" s="2">
        <v>443.77</v>
      </c>
      <c r="S182" s="2">
        <v>220.66</v>
      </c>
      <c r="T182" s="2">
        <v>167.44</v>
      </c>
      <c r="U182" s="2">
        <v>434.26</v>
      </c>
      <c r="V182" s="2">
        <v>582.17999999999995</v>
      </c>
      <c r="W182" s="2">
        <f t="shared" si="22"/>
        <v>9.630813152299126</v>
      </c>
      <c r="X182" s="2">
        <f t="shared" si="23"/>
        <v>9.9149381838208406</v>
      </c>
      <c r="Y182" s="2">
        <f t="shared" si="24"/>
        <v>10.209307139126716</v>
      </c>
      <c r="Z182">
        <f t="shared" si="25"/>
        <v>-0.14535627760659522</v>
      </c>
      <c r="AA182">
        <f t="shared" si="26"/>
        <v>-0.1243925881471941</v>
      </c>
      <c r="AB182">
        <f t="shared" si="27"/>
        <v>-0.13104114987771068</v>
      </c>
    </row>
    <row r="183" spans="1:28" ht="13.9" x14ac:dyDescent="0.3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f t="shared" si="19"/>
        <v>11.182897098405915</v>
      </c>
      <c r="L183" s="2">
        <f t="shared" si="20"/>
        <v>11.175742894991993</v>
      </c>
      <c r="M183" s="2">
        <f t="shared" si="21"/>
        <v>10.867155163107515</v>
      </c>
      <c r="N183" s="2">
        <v>286.18</v>
      </c>
      <c r="O183" s="2">
        <v>497.1</v>
      </c>
      <c r="P183" s="2">
        <v>372.39</v>
      </c>
      <c r="Q183" s="2">
        <v>415.64</v>
      </c>
      <c r="R183" s="2">
        <v>500.37</v>
      </c>
      <c r="S183" s="2">
        <v>281.11</v>
      </c>
      <c r="T183" s="2">
        <v>314.02999999999997</v>
      </c>
      <c r="U183" s="2">
        <v>483.86</v>
      </c>
      <c r="V183" s="2">
        <v>292.08999999999997</v>
      </c>
      <c r="W183" s="2">
        <f t="shared" si="22"/>
        <v>10.17451378169587</v>
      </c>
      <c r="X183" s="2">
        <f t="shared" si="23"/>
        <v>10.225352060776101</v>
      </c>
      <c r="Y183" s="2">
        <f t="shared" si="24"/>
        <v>10.090085947952788</v>
      </c>
      <c r="Z183">
        <f t="shared" si="25"/>
        <v>-0.13633413572301284</v>
      </c>
      <c r="AA183">
        <f t="shared" si="26"/>
        <v>-0.12822021985207604</v>
      </c>
      <c r="AB183">
        <f t="shared" si="27"/>
        <v>-0.10703585324130548</v>
      </c>
    </row>
    <row r="184" spans="1:28" ht="13.9" x14ac:dyDescent="0.3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f t="shared" si="19"/>
        <v>6.4068427546553011</v>
      </c>
      <c r="L184" s="2">
        <f t="shared" si="20"/>
        <v>6.3063351601979765</v>
      </c>
      <c r="M184" s="2">
        <f t="shared" si="21"/>
        <v>9.3629081714163043</v>
      </c>
      <c r="N184" s="2">
        <v>6.69</v>
      </c>
      <c r="O184" s="2">
        <v>44.82</v>
      </c>
      <c r="P184" s="2">
        <v>7.26</v>
      </c>
      <c r="Q184" s="2">
        <v>29.99</v>
      </c>
      <c r="R184" s="2">
        <v>43.91</v>
      </c>
      <c r="S184" s="2">
        <v>20.57</v>
      </c>
      <c r="T184" s="2">
        <v>1.26</v>
      </c>
      <c r="U184" s="2">
        <v>11.93</v>
      </c>
      <c r="V184" s="2">
        <v>65.36</v>
      </c>
      <c r="W184" s="2">
        <f t="shared" si="22"/>
        <v>5.8770079932140185</v>
      </c>
      <c r="X184" s="2">
        <f t="shared" si="23"/>
        <v>6.5617843530818423</v>
      </c>
      <c r="Y184" s="2">
        <f t="shared" si="24"/>
        <v>6.2955393704068339</v>
      </c>
      <c r="Z184">
        <f t="shared" si="25"/>
        <v>-0.12453172186438347</v>
      </c>
      <c r="AA184">
        <f t="shared" si="26"/>
        <v>5.7286335431378371E-2</v>
      </c>
      <c r="AB184">
        <f t="shared" si="27"/>
        <v>-0.57262672237577794</v>
      </c>
    </row>
    <row r="185" spans="1:28" ht="13.9" x14ac:dyDescent="0.3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f t="shared" si="19"/>
        <v>-1.3959286763311392</v>
      </c>
      <c r="L185" s="2">
        <f t="shared" si="20"/>
        <v>0.57531233068743692</v>
      </c>
      <c r="M185" s="2">
        <f t="shared" si="21"/>
        <v>-1.5145731728297585</v>
      </c>
      <c r="N185" s="2">
        <v>9.57</v>
      </c>
      <c r="O185" s="2">
        <v>2.31</v>
      </c>
      <c r="P185" s="2">
        <v>0</v>
      </c>
      <c r="Q185" s="2">
        <v>0</v>
      </c>
      <c r="R185" s="2">
        <v>0</v>
      </c>
      <c r="S185" s="2">
        <v>3.1</v>
      </c>
      <c r="T185" s="2">
        <v>0</v>
      </c>
      <c r="U185" s="2">
        <v>6.28</v>
      </c>
      <c r="V185" s="2">
        <v>0</v>
      </c>
      <c r="W185" s="2">
        <f t="shared" si="22"/>
        <v>3.5704629310260412</v>
      </c>
      <c r="X185" s="2">
        <f t="shared" si="23"/>
        <v>1.632268215499513</v>
      </c>
      <c r="Y185" s="2">
        <f t="shared" si="24"/>
        <v>2.6507645591169027</v>
      </c>
      <c r="Z185" t="e">
        <f t="shared" si="25"/>
        <v>#NUM!</v>
      </c>
      <c r="AA185">
        <f t="shared" si="26"/>
        <v>1.5044608444917948</v>
      </c>
      <c r="AB185" t="e">
        <f t="shared" si="27"/>
        <v>#NUM!</v>
      </c>
    </row>
    <row r="186" spans="1:28" ht="13.9" x14ac:dyDescent="0.3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f t="shared" si="19"/>
        <v>3.7268312170324926</v>
      </c>
      <c r="L186" s="2">
        <f t="shared" si="20"/>
        <v>3.5260688116675878</v>
      </c>
      <c r="M186" s="2">
        <f t="shared" si="21"/>
        <v>7.4600872401168328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5.83</v>
      </c>
      <c r="T186" s="2">
        <v>0</v>
      </c>
      <c r="U186" s="2">
        <v>1.67</v>
      </c>
      <c r="V186" s="2">
        <v>0.5</v>
      </c>
      <c r="W186" s="2" t="e">
        <f t="shared" si="22"/>
        <v>#NUM!</v>
      </c>
      <c r="X186" s="2">
        <f t="shared" si="23"/>
        <v>2.5434958834257717</v>
      </c>
      <c r="Y186" s="2">
        <f t="shared" si="24"/>
        <v>1.1176950426697545</v>
      </c>
      <c r="Z186" t="e">
        <f t="shared" si="25"/>
        <v>#NUM!</v>
      </c>
      <c r="AA186">
        <f t="shared" si="26"/>
        <v>-0.47124787006200758</v>
      </c>
      <c r="AB186">
        <f t="shared" si="27"/>
        <v>-2.738665891846729</v>
      </c>
    </row>
    <row r="187" spans="1:28" ht="13.9" x14ac:dyDescent="0.3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f t="shared" si="19"/>
        <v>5.6659043549548977</v>
      </c>
      <c r="L187" s="2">
        <f t="shared" si="20"/>
        <v>5.3733001966083878</v>
      </c>
      <c r="M187" s="2">
        <f t="shared" si="21"/>
        <v>4.811984719351674</v>
      </c>
      <c r="N187" s="2">
        <v>16.260000000000002</v>
      </c>
      <c r="O187" s="2">
        <v>29.5</v>
      </c>
      <c r="P187" s="2">
        <v>61.2</v>
      </c>
      <c r="Q187" s="2">
        <v>31.64</v>
      </c>
      <c r="R187" s="2">
        <v>18.3</v>
      </c>
      <c r="S187" s="2">
        <v>5.64</v>
      </c>
      <c r="T187" s="2">
        <v>0</v>
      </c>
      <c r="U187" s="2">
        <v>19.46</v>
      </c>
      <c r="V187" s="2">
        <v>28.15</v>
      </c>
      <c r="W187" s="2">
        <f t="shared" si="22"/>
        <v>6.7409275603186281</v>
      </c>
      <c r="X187" s="2">
        <f t="shared" si="23"/>
        <v>5.7964939294258375</v>
      </c>
      <c r="Y187" s="2">
        <f t="shared" si="24"/>
        <v>5.5731927237816139</v>
      </c>
      <c r="Z187">
        <f t="shared" si="25"/>
        <v>0.25064087369995436</v>
      </c>
      <c r="AA187">
        <f t="shared" si="26"/>
        <v>0.10937209363928681</v>
      </c>
      <c r="AB187">
        <f t="shared" si="27"/>
        <v>0.2118719822061273</v>
      </c>
    </row>
    <row r="188" spans="1:28" ht="13.9" x14ac:dyDescent="0.3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f t="shared" si="19"/>
        <v>-0.12029423371771177</v>
      </c>
      <c r="L188" s="2">
        <f t="shared" si="20"/>
        <v>-0.9434164716336324</v>
      </c>
      <c r="M188" s="2">
        <f t="shared" si="21"/>
        <v>-0.68965987938784945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 t="e">
        <f t="shared" si="22"/>
        <v>#NUM!</v>
      </c>
      <c r="X188" s="2" t="e">
        <f t="shared" si="23"/>
        <v>#NUM!</v>
      </c>
      <c r="Y188" s="2" t="e">
        <f t="shared" si="24"/>
        <v>#NUM!</v>
      </c>
      <c r="Z188" t="e">
        <f t="shared" si="25"/>
        <v>#NUM!</v>
      </c>
      <c r="AA188" t="e">
        <f t="shared" si="26"/>
        <v>#NUM!</v>
      </c>
      <c r="AB188" t="e">
        <f t="shared" si="27"/>
        <v>#NUM!</v>
      </c>
    </row>
    <row r="189" spans="1:28" ht="13.9" x14ac:dyDescent="0.3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f t="shared" si="19"/>
        <v>0.36737106564852945</v>
      </c>
      <c r="L189" s="2">
        <f t="shared" si="20"/>
        <v>-0.91593573521152549</v>
      </c>
      <c r="M189" s="2" t="e">
        <f t="shared" si="21"/>
        <v>#NUM!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0.21</v>
      </c>
      <c r="V189" s="2">
        <v>0</v>
      </c>
      <c r="W189" s="2" t="e">
        <f t="shared" si="22"/>
        <v>#NUM!</v>
      </c>
      <c r="X189" s="2" t="e">
        <f t="shared" si="23"/>
        <v>#NUM!</v>
      </c>
      <c r="Y189" s="2">
        <f t="shared" si="24"/>
        <v>-2.2515387669959646</v>
      </c>
      <c r="Z189" t="e">
        <f t="shared" si="25"/>
        <v>#NUM!</v>
      </c>
      <c r="AA189" t="e">
        <f t="shared" si="26"/>
        <v>#NUM!</v>
      </c>
      <c r="AB189" t="e">
        <f t="shared" si="27"/>
        <v>#NUM!</v>
      </c>
    </row>
    <row r="190" spans="1:28" ht="13.9" x14ac:dyDescent="0.3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f t="shared" si="19"/>
        <v>4.8860623383455994</v>
      </c>
      <c r="L190" s="2">
        <f t="shared" si="20"/>
        <v>5.1268077031420356</v>
      </c>
      <c r="M190" s="2">
        <f t="shared" si="21"/>
        <v>4.8991756304805136</v>
      </c>
      <c r="N190" s="2">
        <v>24.51</v>
      </c>
      <c r="O190" s="2">
        <v>0.28999999999999998</v>
      </c>
      <c r="P190" s="2">
        <v>52.12</v>
      </c>
      <c r="Q190" s="2">
        <v>16.809999999999999</v>
      </c>
      <c r="R190" s="2">
        <v>43.91</v>
      </c>
      <c r="S190" s="2">
        <v>44.06</v>
      </c>
      <c r="T190" s="2">
        <v>46.89</v>
      </c>
      <c r="U190" s="2">
        <v>9.42</v>
      </c>
      <c r="V190" s="2">
        <v>20.11</v>
      </c>
      <c r="W190" s="2">
        <f t="shared" si="22"/>
        <v>6.2652868575651723</v>
      </c>
      <c r="X190" s="2">
        <f t="shared" si="23"/>
        <v>6.7112195568943349</v>
      </c>
      <c r="Y190" s="2">
        <f t="shared" si="24"/>
        <v>6.2558783525827861</v>
      </c>
      <c r="Z190">
        <f t="shared" si="25"/>
        <v>0.35870829497030909</v>
      </c>
      <c r="AA190">
        <f t="shared" si="26"/>
        <v>0.38851416952967815</v>
      </c>
      <c r="AB190">
        <f t="shared" si="27"/>
        <v>0.35267344758067809</v>
      </c>
    </row>
    <row r="191" spans="1:28" ht="13.9" x14ac:dyDescent="0.3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f t="shared" si="19"/>
        <v>6.1671170302274394</v>
      </c>
      <c r="L191" s="2">
        <f t="shared" si="20"/>
        <v>5.8140376475399753</v>
      </c>
      <c r="M191" s="2">
        <f t="shared" si="21"/>
        <v>6.3664970757745296</v>
      </c>
      <c r="N191" s="2">
        <v>3.15</v>
      </c>
      <c r="O191" s="2">
        <v>13.3</v>
      </c>
      <c r="P191" s="2">
        <v>11.93</v>
      </c>
      <c r="Q191" s="2">
        <v>0.33</v>
      </c>
      <c r="R191" s="2">
        <v>0</v>
      </c>
      <c r="S191" s="2">
        <v>2.37</v>
      </c>
      <c r="T191" s="2">
        <v>0.36</v>
      </c>
      <c r="U191" s="2">
        <v>24.07</v>
      </c>
      <c r="V191" s="2">
        <v>32.18</v>
      </c>
      <c r="W191" s="2">
        <f t="shared" si="22"/>
        <v>4.8268026842858269</v>
      </c>
      <c r="X191" s="2">
        <f t="shared" si="23"/>
        <v>1.4329594072761063</v>
      </c>
      <c r="Y191" s="2">
        <f t="shared" si="24"/>
        <v>5.822985018546877</v>
      </c>
      <c r="Z191">
        <f t="shared" si="25"/>
        <v>-0.35352837205790472</v>
      </c>
      <c r="AA191">
        <f t="shared" si="26"/>
        <v>-2.0205426716982706</v>
      </c>
      <c r="AB191">
        <f t="shared" si="27"/>
        <v>-0.12874089540360362</v>
      </c>
    </row>
    <row r="192" spans="1:28" ht="13.9" x14ac:dyDescent="0.3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f t="shared" si="19"/>
        <v>-0.55639334852438527</v>
      </c>
      <c r="L192" s="2" t="e">
        <f t="shared" si="20"/>
        <v>#NUM!</v>
      </c>
      <c r="M192" s="2" t="e">
        <f t="shared" si="21"/>
        <v>#NUM!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 t="e">
        <f t="shared" si="22"/>
        <v>#NUM!</v>
      </c>
      <c r="X192" s="2" t="e">
        <f t="shared" si="23"/>
        <v>#NUM!</v>
      </c>
      <c r="Y192" s="2" t="e">
        <f t="shared" si="24"/>
        <v>#NUM!</v>
      </c>
      <c r="Z192" t="e">
        <f t="shared" si="25"/>
        <v>#NUM!</v>
      </c>
      <c r="AA192" t="e">
        <f t="shared" si="26"/>
        <v>#NUM!</v>
      </c>
      <c r="AB192" t="e">
        <f t="shared" si="27"/>
        <v>#NUM!</v>
      </c>
    </row>
    <row r="193" spans="1:28" ht="13.9" x14ac:dyDescent="0.3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f t="shared" si="19"/>
        <v>6.9475492778685046</v>
      </c>
      <c r="L193" s="2">
        <f t="shared" si="20"/>
        <v>6.8027102192913427</v>
      </c>
      <c r="M193" s="2">
        <f t="shared" si="21"/>
        <v>7.5828570348442383</v>
      </c>
      <c r="N193" s="2">
        <v>90.85</v>
      </c>
      <c r="O193" s="2">
        <v>360.32</v>
      </c>
      <c r="P193" s="2">
        <v>139.26</v>
      </c>
      <c r="Q193" s="2">
        <v>125.58</v>
      </c>
      <c r="R193" s="2">
        <v>257.62</v>
      </c>
      <c r="S193" s="2">
        <v>109.42</v>
      </c>
      <c r="T193" s="2">
        <v>91.62</v>
      </c>
      <c r="U193" s="2">
        <v>141.26</v>
      </c>
      <c r="V193" s="2">
        <v>432.36</v>
      </c>
      <c r="W193" s="2">
        <f t="shared" si="22"/>
        <v>9.2056222169854465</v>
      </c>
      <c r="X193" s="2">
        <f t="shared" si="23"/>
        <v>8.9443313911298414</v>
      </c>
      <c r="Y193" s="2">
        <f t="shared" si="24"/>
        <v>9.3777311083497779</v>
      </c>
      <c r="Z193">
        <f t="shared" si="25"/>
        <v>0.40601107576601525</v>
      </c>
      <c r="AA193">
        <f t="shared" si="26"/>
        <v>0.39486400687420198</v>
      </c>
      <c r="AB193">
        <f t="shared" si="27"/>
        <v>0.30649738965911316</v>
      </c>
    </row>
    <row r="194" spans="1:28" ht="13.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 t="e">
        <f t="shared" si="19"/>
        <v>#NUM!</v>
      </c>
      <c r="L194" s="2">
        <f t="shared" si="20"/>
        <v>-1.0291463456595165</v>
      </c>
      <c r="M194" s="2">
        <f t="shared" si="21"/>
        <v>7.6751102152452262</v>
      </c>
      <c r="N194" s="2">
        <v>2.4900000000000002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6.65</v>
      </c>
      <c r="U194" s="2">
        <v>6.28</v>
      </c>
      <c r="V194" s="2">
        <v>0</v>
      </c>
      <c r="W194" s="2">
        <f t="shared" si="22"/>
        <v>1.3161457422933565</v>
      </c>
      <c r="X194" s="2" t="e">
        <f t="shared" si="23"/>
        <v>#NUM!</v>
      </c>
      <c r="Y194" s="2">
        <f t="shared" si="24"/>
        <v>3.6926503700355298</v>
      </c>
      <c r="Z194" t="e">
        <f t="shared" si="25"/>
        <v>#NUM!</v>
      </c>
      <c r="AA194" t="e">
        <f t="shared" si="26"/>
        <v>#NUM!</v>
      </c>
      <c r="AB194">
        <f t="shared" si="27"/>
        <v>-1.0555307970530221</v>
      </c>
    </row>
    <row r="195" spans="1:28" ht="13.9" x14ac:dyDescent="0.3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f t="shared" ref="K195:K258" si="28">LOG(SUM(B195:D195),2)</f>
        <v>6.3572000848600538</v>
      </c>
      <c r="L195" s="2">
        <f t="shared" ref="L195:L258" si="29">LOG(SUM(E195:G195),2)</f>
        <v>6.19120730223037</v>
      </c>
      <c r="M195" s="2">
        <f t="shared" ref="M195:M258" si="30">LOG(SUM(H195:J195),2)</f>
        <v>6.5646830169636381</v>
      </c>
      <c r="N195" s="2">
        <v>22.42</v>
      </c>
      <c r="O195" s="2">
        <v>0</v>
      </c>
      <c r="P195" s="2">
        <v>15.04</v>
      </c>
      <c r="Q195" s="2">
        <v>14.17</v>
      </c>
      <c r="R195" s="2">
        <v>0</v>
      </c>
      <c r="S195" s="2">
        <v>15.29</v>
      </c>
      <c r="T195" s="2">
        <v>0</v>
      </c>
      <c r="U195" s="2">
        <v>8.58</v>
      </c>
      <c r="V195" s="2">
        <v>0</v>
      </c>
      <c r="W195" s="2">
        <f t="shared" ref="W195:W258" si="31">LOG(SUM(N195:P195),2)</f>
        <v>5.2272789944683211</v>
      </c>
      <c r="X195" s="2">
        <f t="shared" ref="X195:X258" si="32">LOG(SUM(Q195:S195),2)</f>
        <v>4.880685525261125</v>
      </c>
      <c r="Y195" s="2">
        <f t="shared" ref="Y195:Y258" si="33">LOG(SUM(T195:V195),2)</f>
        <v>3.1009776477248212</v>
      </c>
      <c r="Z195">
        <f t="shared" ref="Z195:Z258" si="34">LOG(W195/K195,2)</f>
        <v>-0.28233133414047573</v>
      </c>
      <c r="AA195">
        <f t="shared" ref="AA195:AA258" si="35">LOG(X195/L195,2)</f>
        <v>-0.34313696803518678</v>
      </c>
      <c r="AB195">
        <f t="shared" ref="AB195:AB258" si="36">LOG(Y195/M195,2)</f>
        <v>-1.082002223819011</v>
      </c>
    </row>
    <row r="196" spans="1:28" ht="13.9" x14ac:dyDescent="0.3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f t="shared" si="28"/>
        <v>-1.1202942337177118</v>
      </c>
      <c r="L196" s="2">
        <f t="shared" si="29"/>
        <v>-3.1844245711374275</v>
      </c>
      <c r="M196" s="2">
        <f t="shared" si="30"/>
        <v>-1.4344028241457749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 t="e">
        <f t="shared" si="31"/>
        <v>#NUM!</v>
      </c>
      <c r="X196" s="2" t="e">
        <f t="shared" si="32"/>
        <v>#NUM!</v>
      </c>
      <c r="Y196" s="2" t="e">
        <f t="shared" si="33"/>
        <v>#NUM!</v>
      </c>
      <c r="Z196" t="e">
        <f t="shared" si="34"/>
        <v>#NUM!</v>
      </c>
      <c r="AA196" t="e">
        <f t="shared" si="35"/>
        <v>#NUM!</v>
      </c>
      <c r="AB196" t="e">
        <f t="shared" si="36"/>
        <v>#NUM!</v>
      </c>
    </row>
    <row r="197" spans="1:28" ht="13.9" x14ac:dyDescent="0.3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f t="shared" si="28"/>
        <v>6.3572000848600538</v>
      </c>
      <c r="L197" s="2">
        <f t="shared" si="29"/>
        <v>6.19120730223037</v>
      </c>
      <c r="M197" s="2">
        <f t="shared" si="30"/>
        <v>6.5646830169636381</v>
      </c>
      <c r="N197" s="2">
        <v>22.42</v>
      </c>
      <c r="O197" s="2">
        <v>0</v>
      </c>
      <c r="P197" s="2">
        <v>15.04</v>
      </c>
      <c r="Q197" s="2">
        <v>14.17</v>
      </c>
      <c r="R197" s="2">
        <v>0</v>
      </c>
      <c r="S197" s="2">
        <v>15.29</v>
      </c>
      <c r="T197" s="2">
        <v>0</v>
      </c>
      <c r="U197" s="2">
        <v>8.58</v>
      </c>
      <c r="V197" s="2">
        <v>0</v>
      </c>
      <c r="W197" s="2">
        <f t="shared" si="31"/>
        <v>5.2272789944683211</v>
      </c>
      <c r="X197" s="2">
        <f t="shared" si="32"/>
        <v>4.880685525261125</v>
      </c>
      <c r="Y197" s="2">
        <f t="shared" si="33"/>
        <v>3.1009776477248212</v>
      </c>
      <c r="Z197">
        <f t="shared" si="34"/>
        <v>-0.28233133414047573</v>
      </c>
      <c r="AA197">
        <f t="shared" si="35"/>
        <v>-0.34313696803518678</v>
      </c>
      <c r="AB197">
        <f t="shared" si="36"/>
        <v>-1.082002223819011</v>
      </c>
    </row>
    <row r="198" spans="1:28" ht="13.9" x14ac:dyDescent="0.3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f t="shared" si="28"/>
        <v>1.3391373849195856</v>
      </c>
      <c r="L198" s="2">
        <f t="shared" si="29"/>
        <v>1.7048719644563528</v>
      </c>
      <c r="M198" s="2">
        <f t="shared" si="30"/>
        <v>0.77399632511117322</v>
      </c>
      <c r="N198" s="2">
        <v>0.13</v>
      </c>
      <c r="O198" s="2">
        <v>0.28999999999999998</v>
      </c>
      <c r="P198" s="2">
        <v>1.04</v>
      </c>
      <c r="Q198" s="2">
        <v>0.33</v>
      </c>
      <c r="R198" s="2">
        <v>0</v>
      </c>
      <c r="S198" s="2">
        <v>0.73</v>
      </c>
      <c r="T198" s="2">
        <v>0.18</v>
      </c>
      <c r="U198" s="2">
        <v>0.63</v>
      </c>
      <c r="V198" s="2">
        <v>0</v>
      </c>
      <c r="W198" s="2">
        <f t="shared" si="31"/>
        <v>0.54596836910529256</v>
      </c>
      <c r="X198" s="2">
        <f t="shared" si="32"/>
        <v>8.4064264788474549E-2</v>
      </c>
      <c r="Y198" s="2">
        <f t="shared" si="33"/>
        <v>-0.30400618689009989</v>
      </c>
      <c r="Z198">
        <f t="shared" si="34"/>
        <v>-1.2944147018046133</v>
      </c>
      <c r="AA198">
        <f t="shared" si="35"/>
        <v>-4.3420269371420988</v>
      </c>
      <c r="AB198" t="e">
        <f t="shared" si="36"/>
        <v>#NUM!</v>
      </c>
    </row>
    <row r="199" spans="1:28" ht="13.9" x14ac:dyDescent="0.3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f t="shared" si="28"/>
        <v>6.0154708076393808</v>
      </c>
      <c r="L199" s="2">
        <f t="shared" si="29"/>
        <v>5.9843614904487099</v>
      </c>
      <c r="M199" s="2">
        <f t="shared" si="30"/>
        <v>5.2585189247113009</v>
      </c>
      <c r="N199" s="2">
        <v>12.85</v>
      </c>
      <c r="O199" s="2">
        <v>4.63</v>
      </c>
      <c r="P199" s="2">
        <v>29.82</v>
      </c>
      <c r="Q199" s="2">
        <v>59.33</v>
      </c>
      <c r="R199" s="2">
        <v>40.25</v>
      </c>
      <c r="S199" s="2">
        <v>42.42</v>
      </c>
      <c r="T199" s="2">
        <v>30.54</v>
      </c>
      <c r="U199" s="2">
        <v>27.42</v>
      </c>
      <c r="V199" s="2">
        <v>124.68</v>
      </c>
      <c r="W199" s="2">
        <f t="shared" si="31"/>
        <v>5.5637682784520326</v>
      </c>
      <c r="X199" s="2">
        <f t="shared" si="32"/>
        <v>7.1497471195046822</v>
      </c>
      <c r="Y199" s="2">
        <f t="shared" si="33"/>
        <v>7.5128589544499773</v>
      </c>
      <c r="Z199">
        <f t="shared" si="34"/>
        <v>-0.11261532066191796</v>
      </c>
      <c r="AA199">
        <f t="shared" si="35"/>
        <v>0.25669489081318159</v>
      </c>
      <c r="AB199">
        <f t="shared" si="36"/>
        <v>0.51470549954256295</v>
      </c>
    </row>
    <row r="200" spans="1:28" ht="13.9" x14ac:dyDescent="0.3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f t="shared" si="28"/>
        <v>6.3607154253929323</v>
      </c>
      <c r="L200" s="2">
        <f t="shared" si="29"/>
        <v>6.1424134378737421</v>
      </c>
      <c r="M200" s="2">
        <f t="shared" si="30"/>
        <v>6.2927817492278466</v>
      </c>
      <c r="N200" s="2">
        <v>57.03</v>
      </c>
      <c r="O200" s="2">
        <v>118.28</v>
      </c>
      <c r="P200" s="2">
        <v>94.65</v>
      </c>
      <c r="Q200" s="2">
        <v>109.1</v>
      </c>
      <c r="R200" s="2">
        <v>96.61</v>
      </c>
      <c r="S200" s="2">
        <v>89.21</v>
      </c>
      <c r="T200" s="2">
        <v>68.989999999999995</v>
      </c>
      <c r="U200" s="2">
        <v>62.78</v>
      </c>
      <c r="V200" s="2">
        <v>130.21</v>
      </c>
      <c r="W200" s="2">
        <f t="shared" si="31"/>
        <v>8.0766018486185729</v>
      </c>
      <c r="X200" s="2">
        <f t="shared" si="32"/>
        <v>8.2041798518570879</v>
      </c>
      <c r="Y200" s="2">
        <f t="shared" si="33"/>
        <v>8.0333128679413903</v>
      </c>
      <c r="Z200">
        <f t="shared" si="34"/>
        <v>0.3445593781305098</v>
      </c>
      <c r="AA200">
        <f t="shared" si="35"/>
        <v>0.41755349738247799</v>
      </c>
      <c r="AB200">
        <f t="shared" si="36"/>
        <v>0.35229715807279016</v>
      </c>
    </row>
    <row r="201" spans="1:28" ht="13.9" x14ac:dyDescent="0.3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f t="shared" si="28"/>
        <v>5.6264391366973161</v>
      </c>
      <c r="L201" s="2">
        <f t="shared" si="29"/>
        <v>4.9694728645963293</v>
      </c>
      <c r="M201" s="2">
        <f t="shared" si="30"/>
        <v>4.6954371104053694</v>
      </c>
      <c r="N201" s="2">
        <v>12.06</v>
      </c>
      <c r="O201" s="2">
        <v>25.16</v>
      </c>
      <c r="P201" s="2">
        <v>0</v>
      </c>
      <c r="Q201" s="2">
        <v>28.68</v>
      </c>
      <c r="R201" s="2">
        <v>0</v>
      </c>
      <c r="S201" s="2">
        <v>1.82</v>
      </c>
      <c r="T201" s="2">
        <v>9.52</v>
      </c>
      <c r="U201" s="2">
        <v>4.1900000000000004</v>
      </c>
      <c r="V201" s="2">
        <v>0</v>
      </c>
      <c r="W201" s="2">
        <f t="shared" si="31"/>
        <v>5.2180061502844275</v>
      </c>
      <c r="X201" s="2">
        <f t="shared" si="32"/>
        <v>4.9307373375628867</v>
      </c>
      <c r="Y201" s="2">
        <f t="shared" si="33"/>
        <v>3.7771566660045015</v>
      </c>
      <c r="Z201">
        <f t="shared" si="34"/>
        <v>-0.10872351302011371</v>
      </c>
      <c r="AA201">
        <f t="shared" si="35"/>
        <v>-1.1289424523651571E-2</v>
      </c>
      <c r="AB201">
        <f t="shared" si="36"/>
        <v>-0.31395884433337873</v>
      </c>
    </row>
    <row r="202" spans="1:28" ht="13.9" x14ac:dyDescent="0.3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f t="shared" si="28"/>
        <v>1.867896463992655</v>
      </c>
      <c r="L202" s="2">
        <f t="shared" si="29"/>
        <v>2.0036022366801958</v>
      </c>
      <c r="M202" s="2">
        <f t="shared" si="30"/>
        <v>1.9335726382610243</v>
      </c>
      <c r="N202" s="2">
        <v>0</v>
      </c>
      <c r="O202" s="2">
        <v>0</v>
      </c>
      <c r="P202" s="2">
        <v>0</v>
      </c>
      <c r="Q202" s="2">
        <v>0</v>
      </c>
      <c r="R202" s="2">
        <v>3.17</v>
      </c>
      <c r="S202" s="2">
        <v>1.64</v>
      </c>
      <c r="T202" s="2">
        <v>0</v>
      </c>
      <c r="U202" s="2">
        <v>0.63</v>
      </c>
      <c r="V202" s="2">
        <v>0</v>
      </c>
      <c r="W202" s="2" t="e">
        <f t="shared" si="31"/>
        <v>#NUM!</v>
      </c>
      <c r="X202" s="2">
        <f t="shared" si="32"/>
        <v>2.266036893995317</v>
      </c>
      <c r="Y202" s="2">
        <f t="shared" si="33"/>
        <v>-0.66657626627480826</v>
      </c>
      <c r="Z202" t="e">
        <f t="shared" si="34"/>
        <v>#NUM!</v>
      </c>
      <c r="AA202">
        <f t="shared" si="35"/>
        <v>0.17757522304825121</v>
      </c>
      <c r="AB202" t="e">
        <f t="shared" si="36"/>
        <v>#NUM!</v>
      </c>
    </row>
    <row r="203" spans="1:28" ht="13.9" x14ac:dyDescent="0.3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f t="shared" si="28"/>
        <v>6.2781706496311731</v>
      </c>
      <c r="L203" s="2">
        <f t="shared" si="29"/>
        <v>6.0087647448634387</v>
      </c>
      <c r="M203" s="2">
        <f t="shared" si="30"/>
        <v>5.4880007708340681</v>
      </c>
      <c r="N203" s="2">
        <v>19.8</v>
      </c>
      <c r="O203" s="2">
        <v>12.15</v>
      </c>
      <c r="P203" s="2">
        <v>2.0699999999999998</v>
      </c>
      <c r="Q203" s="2">
        <v>7.91</v>
      </c>
      <c r="R203" s="2">
        <v>20.25</v>
      </c>
      <c r="S203" s="2">
        <v>18.75</v>
      </c>
      <c r="T203" s="2">
        <v>37.909999999999997</v>
      </c>
      <c r="U203" s="2">
        <v>10.050000000000001</v>
      </c>
      <c r="V203" s="2">
        <v>50.78</v>
      </c>
      <c r="W203" s="2">
        <f t="shared" si="31"/>
        <v>5.0883112358886606</v>
      </c>
      <c r="X203" s="2">
        <f t="shared" si="32"/>
        <v>5.5518235957212569</v>
      </c>
      <c r="Y203" s="2">
        <f t="shared" si="33"/>
        <v>6.6255627399663721</v>
      </c>
      <c r="Z203">
        <f t="shared" si="34"/>
        <v>-0.30315732555226105</v>
      </c>
      <c r="AA203">
        <f t="shared" si="35"/>
        <v>-0.11410671029924693</v>
      </c>
      <c r="AB203">
        <f t="shared" si="36"/>
        <v>0.27176231044147942</v>
      </c>
    </row>
    <row r="204" spans="1:28" ht="13.9" x14ac:dyDescent="0.3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f t="shared" si="28"/>
        <v>4.7191834404817889</v>
      </c>
      <c r="L204" s="2">
        <f t="shared" si="29"/>
        <v>4.9804823555382605</v>
      </c>
      <c r="M204" s="2">
        <f t="shared" si="30"/>
        <v>4.5014391451588729</v>
      </c>
      <c r="N204" s="2">
        <v>0</v>
      </c>
      <c r="O204" s="2">
        <v>16.190000000000001</v>
      </c>
      <c r="P204" s="2">
        <v>0.26</v>
      </c>
      <c r="Q204" s="2">
        <v>26.7</v>
      </c>
      <c r="R204" s="2">
        <v>64.650000000000006</v>
      </c>
      <c r="S204" s="2">
        <v>23.67</v>
      </c>
      <c r="T204" s="2">
        <v>0.18</v>
      </c>
      <c r="U204" s="2">
        <v>15.7</v>
      </c>
      <c r="V204" s="2">
        <v>0</v>
      </c>
      <c r="W204" s="2">
        <f t="shared" si="31"/>
        <v>4.0400156788478796</v>
      </c>
      <c r="X204" s="2">
        <f t="shared" si="32"/>
        <v>6.8457409326145822</v>
      </c>
      <c r="Y204" s="2">
        <f t="shared" si="33"/>
        <v>3.9891390073682333</v>
      </c>
      <c r="Z204">
        <f t="shared" si="34"/>
        <v>-0.22417635997499769</v>
      </c>
      <c r="AA204">
        <f t="shared" si="35"/>
        <v>0.45892122376263839</v>
      </c>
      <c r="AB204">
        <f t="shared" si="36"/>
        <v>-0.17430891891731259</v>
      </c>
    </row>
    <row r="205" spans="1:28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 t="e">
        <f t="shared" si="28"/>
        <v>#NUM!</v>
      </c>
      <c r="L205" s="2">
        <f t="shared" si="29"/>
        <v>0.74846123300403555</v>
      </c>
      <c r="M205" s="2" t="e">
        <f t="shared" si="30"/>
        <v>#NUM!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 t="e">
        <f t="shared" si="31"/>
        <v>#NUM!</v>
      </c>
      <c r="X205" s="2" t="e">
        <f t="shared" si="32"/>
        <v>#NUM!</v>
      </c>
      <c r="Y205" s="2" t="e">
        <f t="shared" si="33"/>
        <v>#NUM!</v>
      </c>
      <c r="Z205" t="e">
        <f t="shared" si="34"/>
        <v>#NUM!</v>
      </c>
      <c r="AA205" t="e">
        <f t="shared" si="35"/>
        <v>#NUM!</v>
      </c>
      <c r="AB205" t="e">
        <f t="shared" si="36"/>
        <v>#NUM!</v>
      </c>
    </row>
    <row r="206" spans="1:28" ht="13.9" x14ac:dyDescent="0.3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f t="shared" si="28"/>
        <v>0.32192809488736235</v>
      </c>
      <c r="L206" s="2">
        <f t="shared" si="29"/>
        <v>1.6959938131098999</v>
      </c>
      <c r="M206" s="2" t="e">
        <f t="shared" si="30"/>
        <v>#NUM!</v>
      </c>
      <c r="N206" s="2">
        <v>0</v>
      </c>
      <c r="O206" s="2">
        <v>0</v>
      </c>
      <c r="P206" s="2">
        <v>11.41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f t="shared" si="31"/>
        <v>3.5122268865139574</v>
      </c>
      <c r="X206" s="2" t="e">
        <f t="shared" si="32"/>
        <v>#NUM!</v>
      </c>
      <c r="Y206" s="2" t="e">
        <f t="shared" si="33"/>
        <v>#NUM!</v>
      </c>
      <c r="Z206">
        <f t="shared" si="34"/>
        <v>3.4475756521942187</v>
      </c>
      <c r="AA206" t="e">
        <f t="shared" si="35"/>
        <v>#NUM!</v>
      </c>
      <c r="AB206" t="e">
        <f t="shared" si="36"/>
        <v>#NUM!</v>
      </c>
    </row>
    <row r="207" spans="1:28" ht="13.9" x14ac:dyDescent="0.3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f t="shared" si="28"/>
        <v>-0.47393118833241243</v>
      </c>
      <c r="L207" s="2">
        <f t="shared" si="29"/>
        <v>-2.9434164716336326</v>
      </c>
      <c r="M207" s="2">
        <f t="shared" si="30"/>
        <v>-0.28630418515664108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5.86</v>
      </c>
      <c r="V207" s="2">
        <v>0</v>
      </c>
      <c r="W207" s="2" t="e">
        <f t="shared" si="31"/>
        <v>#NUM!</v>
      </c>
      <c r="X207" s="2" t="e">
        <f t="shared" si="32"/>
        <v>#NUM!</v>
      </c>
      <c r="Y207" s="2">
        <f t="shared" si="33"/>
        <v>2.5509006646475232</v>
      </c>
      <c r="Z207" t="e">
        <f t="shared" si="34"/>
        <v>#NUM!</v>
      </c>
      <c r="AA207" t="e">
        <f t="shared" si="35"/>
        <v>#NUM!</v>
      </c>
      <c r="AB207" t="e">
        <f t="shared" si="36"/>
        <v>#NUM!</v>
      </c>
    </row>
    <row r="208" spans="1:28" ht="13.9" x14ac:dyDescent="0.3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f t="shared" si="28"/>
        <v>2.301587646603187</v>
      </c>
      <c r="L208" s="2">
        <f t="shared" si="29"/>
        <v>2.1043366598147357</v>
      </c>
      <c r="M208" s="2">
        <f t="shared" si="30"/>
        <v>1.8953026213333068</v>
      </c>
      <c r="N208" s="2">
        <v>38.94</v>
      </c>
      <c r="O208" s="2">
        <v>52.34</v>
      </c>
      <c r="P208" s="2">
        <v>21.52</v>
      </c>
      <c r="Q208" s="2">
        <v>21.42</v>
      </c>
      <c r="R208" s="2">
        <v>20.49</v>
      </c>
      <c r="S208" s="2">
        <v>20.57</v>
      </c>
      <c r="T208" s="2">
        <v>8.08</v>
      </c>
      <c r="U208" s="2">
        <v>0</v>
      </c>
      <c r="V208" s="2">
        <v>0</v>
      </c>
      <c r="W208" s="2">
        <f t="shared" si="31"/>
        <v>6.8176232575114319</v>
      </c>
      <c r="X208" s="2">
        <f t="shared" si="32"/>
        <v>5.9653225483672552</v>
      </c>
      <c r="Y208" s="2">
        <f t="shared" si="33"/>
        <v>3.0143552929770703</v>
      </c>
      <c r="Z208">
        <f t="shared" si="34"/>
        <v>1.5666394954398535</v>
      </c>
      <c r="AA208">
        <f t="shared" si="35"/>
        <v>1.5032346164102695</v>
      </c>
      <c r="AB208">
        <f t="shared" si="36"/>
        <v>0.66942125241580896</v>
      </c>
    </row>
    <row r="209" spans="1:28" ht="13.9" x14ac:dyDescent="0.3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f t="shared" si="28"/>
        <v>7.3331553503106166</v>
      </c>
      <c r="L209" s="2">
        <f t="shared" si="29"/>
        <v>7.3315440005069688</v>
      </c>
      <c r="M209" s="2">
        <f t="shared" si="30"/>
        <v>6.6028844087184186</v>
      </c>
      <c r="N209" s="2">
        <v>74.2</v>
      </c>
      <c r="O209" s="2">
        <v>154.71</v>
      </c>
      <c r="P209" s="2">
        <v>136.41</v>
      </c>
      <c r="Q209" s="2">
        <v>147.01</v>
      </c>
      <c r="R209" s="2">
        <v>96.36</v>
      </c>
      <c r="S209" s="2">
        <v>88.12</v>
      </c>
      <c r="T209" s="2">
        <v>82.64</v>
      </c>
      <c r="U209" s="2">
        <v>139.80000000000001</v>
      </c>
      <c r="V209" s="2">
        <v>158.36000000000001</v>
      </c>
      <c r="W209" s="2">
        <f t="shared" si="31"/>
        <v>8.5130169281748422</v>
      </c>
      <c r="X209" s="2">
        <f t="shared" si="32"/>
        <v>8.3728215392437679</v>
      </c>
      <c r="Y209" s="2">
        <f t="shared" si="33"/>
        <v>8.5728896684205829</v>
      </c>
      <c r="Z209">
        <f t="shared" si="34"/>
        <v>0.21523639655385873</v>
      </c>
      <c r="AA209">
        <f t="shared" si="35"/>
        <v>0.19159681795787101</v>
      </c>
      <c r="AB209">
        <f t="shared" si="36"/>
        <v>0.3766851861950048</v>
      </c>
    </row>
    <row r="210" spans="1:28" ht="13.9" x14ac:dyDescent="0.3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f t="shared" si="28"/>
        <v>1.0840642647884746</v>
      </c>
      <c r="L210" s="2">
        <f t="shared" si="29"/>
        <v>0.96347412397488608</v>
      </c>
      <c r="M210" s="2">
        <f t="shared" si="30"/>
        <v>-1.2863041851566412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 t="e">
        <f t="shared" si="31"/>
        <v>#NUM!</v>
      </c>
      <c r="X210" s="2" t="e">
        <f t="shared" si="32"/>
        <v>#NUM!</v>
      </c>
      <c r="Y210" s="2" t="e">
        <f t="shared" si="33"/>
        <v>#NUM!</v>
      </c>
      <c r="Z210" t="e">
        <f t="shared" si="34"/>
        <v>#NUM!</v>
      </c>
      <c r="AA210" t="e">
        <f t="shared" si="35"/>
        <v>#NUM!</v>
      </c>
      <c r="AB210" t="e">
        <f t="shared" si="36"/>
        <v>#NUM!</v>
      </c>
    </row>
    <row r="211" spans="1:28" ht="13.9" x14ac:dyDescent="0.3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f t="shared" si="28"/>
        <v>-0.13606154957602837</v>
      </c>
      <c r="L211" s="2">
        <f t="shared" si="29"/>
        <v>2.0531113364595623</v>
      </c>
      <c r="M211" s="2">
        <f t="shared" si="30"/>
        <v>2.066950243924627</v>
      </c>
      <c r="N211" s="2">
        <v>4.9800000000000004</v>
      </c>
      <c r="O211" s="2">
        <v>0</v>
      </c>
      <c r="P211" s="2">
        <v>0</v>
      </c>
      <c r="Q211" s="2">
        <v>0</v>
      </c>
      <c r="R211" s="2">
        <v>0.24</v>
      </c>
      <c r="S211" s="2">
        <v>3.46</v>
      </c>
      <c r="T211" s="2">
        <v>6.29</v>
      </c>
      <c r="U211" s="2">
        <v>0</v>
      </c>
      <c r="V211" s="2">
        <v>0</v>
      </c>
      <c r="W211" s="2">
        <f t="shared" si="31"/>
        <v>2.3161457422933562</v>
      </c>
      <c r="X211" s="2">
        <f t="shared" si="32"/>
        <v>1.8875252707415877</v>
      </c>
      <c r="Y211" s="2">
        <f t="shared" si="33"/>
        <v>2.6530600171045644</v>
      </c>
      <c r="Z211" t="e">
        <f t="shared" si="34"/>
        <v>#NUM!</v>
      </c>
      <c r="AA211">
        <f t="shared" si="35"/>
        <v>-0.12131590448094529</v>
      </c>
      <c r="AB211">
        <f t="shared" si="36"/>
        <v>0.36015365204218869</v>
      </c>
    </row>
    <row r="212" spans="1:28" ht="13.9" x14ac:dyDescent="0.3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f t="shared" si="28"/>
        <v>-0.55639334852438527</v>
      </c>
      <c r="L212" s="2">
        <f t="shared" si="29"/>
        <v>0.50589092972995731</v>
      </c>
      <c r="M212" s="2">
        <f t="shared" si="30"/>
        <v>0.28688114778816154</v>
      </c>
      <c r="N212" s="2">
        <v>3.54</v>
      </c>
      <c r="O212" s="2">
        <v>0</v>
      </c>
      <c r="P212" s="2">
        <v>0</v>
      </c>
      <c r="Q212" s="2">
        <v>1.32</v>
      </c>
      <c r="R212" s="2">
        <v>0</v>
      </c>
      <c r="S212" s="2">
        <v>2.73</v>
      </c>
      <c r="T212" s="2">
        <v>0</v>
      </c>
      <c r="U212" s="2">
        <v>1.05</v>
      </c>
      <c r="V212" s="2">
        <v>5.03</v>
      </c>
      <c r="W212" s="2">
        <f t="shared" si="31"/>
        <v>1.8237493603082728</v>
      </c>
      <c r="X212" s="2">
        <f t="shared" si="32"/>
        <v>2.0179219079972626</v>
      </c>
      <c r="Y212" s="2">
        <f t="shared" si="33"/>
        <v>2.6040713236688608</v>
      </c>
      <c r="Z212" t="e">
        <f t="shared" si="34"/>
        <v>#NUM!</v>
      </c>
      <c r="AA212">
        <f t="shared" si="35"/>
        <v>1.9959720663744891</v>
      </c>
      <c r="AB212">
        <f t="shared" si="36"/>
        <v>3.1822438928911341</v>
      </c>
    </row>
    <row r="213" spans="1:28" ht="13.9" x14ac:dyDescent="0.3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f t="shared" si="28"/>
        <v>5.1210154009613662</v>
      </c>
      <c r="L213" s="2">
        <f t="shared" si="29"/>
        <v>4.946262984332451</v>
      </c>
      <c r="M213" s="2">
        <f t="shared" si="30"/>
        <v>7.8090285077118908</v>
      </c>
      <c r="N213" s="2">
        <v>18.22</v>
      </c>
      <c r="O213" s="2">
        <v>0</v>
      </c>
      <c r="P213" s="2">
        <v>12.45</v>
      </c>
      <c r="Q213" s="2">
        <v>22.74</v>
      </c>
      <c r="R213" s="2">
        <v>0.24</v>
      </c>
      <c r="S213" s="2">
        <v>0</v>
      </c>
      <c r="T213" s="2">
        <v>12.58</v>
      </c>
      <c r="U213" s="2">
        <v>15.49</v>
      </c>
      <c r="V213" s="2">
        <v>11.56</v>
      </c>
      <c r="W213" s="2">
        <f t="shared" si="31"/>
        <v>4.9387562614922951</v>
      </c>
      <c r="X213" s="2">
        <f t="shared" si="32"/>
        <v>4.5223068928713888</v>
      </c>
      <c r="Y213" s="2">
        <f t="shared" si="33"/>
        <v>5.3085210621932593</v>
      </c>
      <c r="Z213">
        <f t="shared" si="34"/>
        <v>-5.228212756700365E-2</v>
      </c>
      <c r="AA213">
        <f t="shared" si="35"/>
        <v>-0.1292800477835061</v>
      </c>
      <c r="AB213">
        <f t="shared" si="36"/>
        <v>-0.55683309262763014</v>
      </c>
    </row>
    <row r="214" spans="1:28" ht="13.9" x14ac:dyDescent="0.3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f t="shared" si="28"/>
        <v>2.8836208162856716</v>
      </c>
      <c r="L214" s="2">
        <f t="shared" si="29"/>
        <v>2.5385381636298039</v>
      </c>
      <c r="M214" s="2">
        <f t="shared" si="30"/>
        <v>1.411426245726465</v>
      </c>
      <c r="N214" s="2">
        <v>0</v>
      </c>
      <c r="O214" s="2">
        <v>0</v>
      </c>
      <c r="P214" s="2">
        <v>2.0699999999999998</v>
      </c>
      <c r="Q214" s="2">
        <v>0</v>
      </c>
      <c r="R214" s="2">
        <v>2.44</v>
      </c>
      <c r="S214" s="2">
        <v>0</v>
      </c>
      <c r="T214" s="2">
        <v>0</v>
      </c>
      <c r="U214" s="2">
        <v>0</v>
      </c>
      <c r="V214" s="2">
        <v>2.5099999999999998</v>
      </c>
      <c r="W214" s="2">
        <f t="shared" si="31"/>
        <v>1.0496307677246004</v>
      </c>
      <c r="X214" s="2">
        <f t="shared" si="32"/>
        <v>1.2868811477881617</v>
      </c>
      <c r="Y214" s="2">
        <f t="shared" si="33"/>
        <v>1.3276873641760472</v>
      </c>
      <c r="Z214">
        <f t="shared" si="34"/>
        <v>-1.457999553600118</v>
      </c>
      <c r="AA214">
        <f t="shared" si="35"/>
        <v>-0.98011913225156522</v>
      </c>
      <c r="AB214">
        <f t="shared" si="36"/>
        <v>-8.8238272991650379E-2</v>
      </c>
    </row>
    <row r="215" spans="1:28" ht="13.9" x14ac:dyDescent="0.3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f t="shared" si="28"/>
        <v>-7.4000581443776928E-2</v>
      </c>
      <c r="L215" s="2">
        <f t="shared" si="29"/>
        <v>-0.30400618689009989</v>
      </c>
      <c r="M215" s="2" t="e">
        <f t="shared" si="30"/>
        <v>#NUM!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 t="e">
        <f t="shared" si="31"/>
        <v>#NUM!</v>
      </c>
      <c r="X215" s="2" t="e">
        <f t="shared" si="32"/>
        <v>#NUM!</v>
      </c>
      <c r="Y215" s="2" t="e">
        <f t="shared" si="33"/>
        <v>#NUM!</v>
      </c>
      <c r="Z215" t="e">
        <f t="shared" si="34"/>
        <v>#NUM!</v>
      </c>
      <c r="AA215" t="e">
        <f t="shared" si="35"/>
        <v>#NUM!</v>
      </c>
      <c r="AB215" t="e">
        <f t="shared" si="36"/>
        <v>#NUM!</v>
      </c>
    </row>
    <row r="216" spans="1:28" ht="13.9" x14ac:dyDescent="0.3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f t="shared" si="28"/>
        <v>-0.18442457113742744</v>
      </c>
      <c r="L216" s="2" t="e">
        <f t="shared" si="29"/>
        <v>#NUM!</v>
      </c>
      <c r="M216" s="2" t="e">
        <f t="shared" si="30"/>
        <v>#NUM!</v>
      </c>
      <c r="N216" s="2">
        <v>0</v>
      </c>
      <c r="O216" s="2">
        <v>0</v>
      </c>
      <c r="P216" s="2">
        <v>11.15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f t="shared" si="31"/>
        <v>3.478971805032943</v>
      </c>
      <c r="X216" s="2" t="e">
        <f t="shared" si="32"/>
        <v>#NUM!</v>
      </c>
      <c r="Y216" s="2" t="e">
        <f t="shared" si="33"/>
        <v>#NUM!</v>
      </c>
      <c r="Z216" t="e">
        <f t="shared" si="34"/>
        <v>#NUM!</v>
      </c>
      <c r="AA216" t="e">
        <f t="shared" si="35"/>
        <v>#NUM!</v>
      </c>
      <c r="AB216" t="e">
        <f t="shared" si="36"/>
        <v>#NUM!</v>
      </c>
    </row>
    <row r="217" spans="1:28" ht="13.9" x14ac:dyDescent="0.3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f t="shared" si="28"/>
        <v>4.5795422249369038</v>
      </c>
      <c r="L217" s="2">
        <f t="shared" si="29"/>
        <v>5.0673805780190593</v>
      </c>
      <c r="M217" s="2">
        <f t="shared" si="30"/>
        <v>4.4127815253384766</v>
      </c>
      <c r="N217" s="2">
        <v>4.9800000000000004</v>
      </c>
      <c r="O217" s="2">
        <v>16.48</v>
      </c>
      <c r="P217" s="2">
        <v>9.85</v>
      </c>
      <c r="Q217" s="2">
        <v>19.45</v>
      </c>
      <c r="R217" s="2">
        <v>76.36</v>
      </c>
      <c r="S217" s="2">
        <v>34.770000000000003</v>
      </c>
      <c r="T217" s="2">
        <v>0</v>
      </c>
      <c r="U217" s="2">
        <v>35.159999999999997</v>
      </c>
      <c r="V217" s="2">
        <v>20.11</v>
      </c>
      <c r="W217" s="2">
        <f t="shared" si="31"/>
        <v>4.9685516033639461</v>
      </c>
      <c r="X217" s="2">
        <f t="shared" si="32"/>
        <v>7.028790136349901</v>
      </c>
      <c r="Y217" s="2">
        <f t="shared" si="33"/>
        <v>5.7884247074394359</v>
      </c>
      <c r="Z217">
        <f t="shared" si="34"/>
        <v>0.11762195646702962</v>
      </c>
      <c r="AA217">
        <f t="shared" si="35"/>
        <v>0.47203619560325305</v>
      </c>
      <c r="AB217">
        <f t="shared" si="36"/>
        <v>0.39148245700576872</v>
      </c>
    </row>
    <row r="218" spans="1:28" ht="13.9" x14ac:dyDescent="0.3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f t="shared" si="28"/>
        <v>5.8311171946164215</v>
      </c>
      <c r="L218" s="2">
        <f t="shared" si="29"/>
        <v>5.8933622107638719</v>
      </c>
      <c r="M218" s="2">
        <f t="shared" si="30"/>
        <v>6.1464923069771897</v>
      </c>
      <c r="N218" s="2">
        <v>2.4900000000000002</v>
      </c>
      <c r="O218" s="2">
        <v>0</v>
      </c>
      <c r="P218" s="2">
        <v>0</v>
      </c>
      <c r="Q218" s="2">
        <v>1.32</v>
      </c>
      <c r="R218" s="2">
        <v>16.100000000000001</v>
      </c>
      <c r="S218" s="2">
        <v>2.37</v>
      </c>
      <c r="T218" s="2">
        <v>0</v>
      </c>
      <c r="U218" s="2">
        <v>9.6300000000000008</v>
      </c>
      <c r="V218" s="2">
        <v>32.68</v>
      </c>
      <c r="W218" s="2">
        <f t="shared" si="31"/>
        <v>1.3161457422933565</v>
      </c>
      <c r="X218" s="2">
        <f t="shared" si="32"/>
        <v>4.3066997072727879</v>
      </c>
      <c r="Y218" s="2">
        <f t="shared" si="33"/>
        <v>5.4029267805816259</v>
      </c>
      <c r="Z218">
        <f t="shared" si="34"/>
        <v>-2.1474530649983512</v>
      </c>
      <c r="AA218">
        <f t="shared" si="35"/>
        <v>-0.45250820564286881</v>
      </c>
      <c r="AB218">
        <f t="shared" si="36"/>
        <v>-0.18602219410712076</v>
      </c>
    </row>
    <row r="219" spans="1:28" ht="13.9" x14ac:dyDescent="0.3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f t="shared" si="28"/>
        <v>16.902672818637857</v>
      </c>
      <c r="L219" s="2">
        <f t="shared" si="29"/>
        <v>17.016751060924804</v>
      </c>
      <c r="M219" s="2">
        <f t="shared" si="30"/>
        <v>16.728418793676489</v>
      </c>
      <c r="N219" s="2">
        <v>28541.61</v>
      </c>
      <c r="O219" s="2">
        <v>32223.73</v>
      </c>
      <c r="P219" s="2">
        <v>29320.21</v>
      </c>
      <c r="Q219" s="2">
        <v>46428.76</v>
      </c>
      <c r="R219" s="2">
        <v>37218.54</v>
      </c>
      <c r="S219" s="2">
        <v>34930.44</v>
      </c>
      <c r="T219" s="2">
        <v>33394.21</v>
      </c>
      <c r="U219" s="2">
        <v>43786.82</v>
      </c>
      <c r="V219" s="2">
        <v>41758.75</v>
      </c>
      <c r="W219" s="2">
        <f t="shared" si="31"/>
        <v>16.459008091412809</v>
      </c>
      <c r="X219" s="2">
        <f t="shared" si="32"/>
        <v>16.855473679887695</v>
      </c>
      <c r="Y219" s="2">
        <f t="shared" si="33"/>
        <v>16.859871786748329</v>
      </c>
      <c r="Z219">
        <f t="shared" si="34"/>
        <v>-3.8374004030873245E-2</v>
      </c>
      <c r="AA219">
        <f t="shared" si="35"/>
        <v>-1.3738444280339187E-2</v>
      </c>
      <c r="AB219">
        <f t="shared" si="36"/>
        <v>1.1292479980349341E-2</v>
      </c>
    </row>
    <row r="220" spans="1:28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 t="e">
        <f t="shared" si="28"/>
        <v>#NUM!</v>
      </c>
      <c r="L220" s="2">
        <f t="shared" si="29"/>
        <v>-1.6438561897747248</v>
      </c>
      <c r="M220" s="2" t="e">
        <f t="shared" si="30"/>
        <v>#NUM!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 t="e">
        <f t="shared" si="31"/>
        <v>#NUM!</v>
      </c>
      <c r="X220" s="2" t="e">
        <f t="shared" si="32"/>
        <v>#NUM!</v>
      </c>
      <c r="Y220" s="2" t="e">
        <f t="shared" si="33"/>
        <v>#NUM!</v>
      </c>
      <c r="Z220" t="e">
        <f t="shared" si="34"/>
        <v>#NUM!</v>
      </c>
      <c r="AA220" t="e">
        <f t="shared" si="35"/>
        <v>#NUM!</v>
      </c>
      <c r="AB220" t="e">
        <f t="shared" si="36"/>
        <v>#NUM!</v>
      </c>
    </row>
    <row r="221" spans="1:28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 t="e">
        <f t="shared" si="28"/>
        <v>#NUM!</v>
      </c>
      <c r="L221" s="2">
        <f t="shared" si="29"/>
        <v>-3.3219280948873622</v>
      </c>
      <c r="M221" s="2" t="e">
        <f t="shared" si="30"/>
        <v>#NUM!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 t="e">
        <f t="shared" si="31"/>
        <v>#NUM!</v>
      </c>
      <c r="X221" s="2" t="e">
        <f t="shared" si="32"/>
        <v>#NUM!</v>
      </c>
      <c r="Y221" s="2" t="e">
        <f t="shared" si="33"/>
        <v>#NUM!</v>
      </c>
      <c r="Z221" t="e">
        <f t="shared" si="34"/>
        <v>#NUM!</v>
      </c>
      <c r="AA221" t="e">
        <f t="shared" si="35"/>
        <v>#NUM!</v>
      </c>
      <c r="AB221" t="e">
        <f t="shared" si="36"/>
        <v>#NUM!</v>
      </c>
    </row>
    <row r="222" spans="1:28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 t="e">
        <f t="shared" si="28"/>
        <v>#NUM!</v>
      </c>
      <c r="L222" s="2">
        <f t="shared" si="29"/>
        <v>-1.2515387669959643</v>
      </c>
      <c r="M222" s="2" t="e">
        <f t="shared" si="30"/>
        <v>#NUM!</v>
      </c>
      <c r="N222" s="2">
        <v>0</v>
      </c>
      <c r="O222" s="2">
        <v>0</v>
      </c>
      <c r="P222" s="2">
        <v>0</v>
      </c>
      <c r="Q222" s="2">
        <v>10.220000000000001</v>
      </c>
      <c r="R222" s="2">
        <v>0</v>
      </c>
      <c r="S222" s="2">
        <v>0</v>
      </c>
      <c r="T222" s="2">
        <v>0</v>
      </c>
      <c r="U222" s="2">
        <v>0.21</v>
      </c>
      <c r="V222" s="2">
        <v>0</v>
      </c>
      <c r="W222" s="2" t="e">
        <f t="shared" si="31"/>
        <v>#NUM!</v>
      </c>
      <c r="X222" s="2">
        <f t="shared" si="32"/>
        <v>3.353323291162897</v>
      </c>
      <c r="Y222" s="2">
        <f t="shared" si="33"/>
        <v>-2.2515387669959646</v>
      </c>
      <c r="Z222" t="e">
        <f t="shared" si="34"/>
        <v>#NUM!</v>
      </c>
      <c r="AA222" t="e">
        <f t="shared" si="35"/>
        <v>#NUM!</v>
      </c>
      <c r="AB222" t="e">
        <f t="shared" si="36"/>
        <v>#NUM!</v>
      </c>
    </row>
    <row r="223" spans="1:28" ht="13.9" x14ac:dyDescent="0.3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f t="shared" si="28"/>
        <v>4.7650042462500357</v>
      </c>
      <c r="L223" s="2">
        <f t="shared" si="29"/>
        <v>4.9945797242157468</v>
      </c>
      <c r="M223" s="2">
        <f t="shared" si="30"/>
        <v>4.4154882710496999</v>
      </c>
      <c r="N223" s="2">
        <v>0</v>
      </c>
      <c r="O223" s="2">
        <v>0</v>
      </c>
      <c r="P223" s="2">
        <v>0</v>
      </c>
      <c r="Q223" s="2">
        <v>0</v>
      </c>
      <c r="R223" s="2">
        <v>0.24</v>
      </c>
      <c r="S223" s="2">
        <v>0</v>
      </c>
      <c r="T223" s="2">
        <v>9.34</v>
      </c>
      <c r="U223" s="2">
        <v>0</v>
      </c>
      <c r="V223" s="2">
        <v>0</v>
      </c>
      <c r="W223" s="2" t="e">
        <f t="shared" si="31"/>
        <v>#NUM!</v>
      </c>
      <c r="X223" s="2">
        <f t="shared" si="32"/>
        <v>-2.0588936890535687</v>
      </c>
      <c r="Y223" s="2">
        <f t="shared" si="33"/>
        <v>3.2234225499349369</v>
      </c>
      <c r="Z223" t="e">
        <f t="shared" si="34"/>
        <v>#NUM!</v>
      </c>
      <c r="AA223" t="e">
        <f t="shared" si="35"/>
        <v>#NUM!</v>
      </c>
      <c r="AB223">
        <f t="shared" si="36"/>
        <v>-0.45397966211923318</v>
      </c>
    </row>
    <row r="224" spans="1:28" ht="13.9" x14ac:dyDescent="0.3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f t="shared" si="28"/>
        <v>0.17632277264046289</v>
      </c>
      <c r="L224" s="2">
        <f t="shared" si="29"/>
        <v>0.75702324650745967</v>
      </c>
      <c r="M224" s="2" t="e">
        <f t="shared" si="30"/>
        <v>#NUM!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 t="e">
        <f t="shared" si="31"/>
        <v>#NUM!</v>
      </c>
      <c r="X224" s="2" t="e">
        <f t="shared" si="32"/>
        <v>#NUM!</v>
      </c>
      <c r="Y224" s="2" t="e">
        <f t="shared" si="33"/>
        <v>#NUM!</v>
      </c>
      <c r="Z224" t="e">
        <f t="shared" si="34"/>
        <v>#NUM!</v>
      </c>
      <c r="AA224" t="e">
        <f t="shared" si="35"/>
        <v>#NUM!</v>
      </c>
      <c r="AB224" t="e">
        <f t="shared" si="36"/>
        <v>#NUM!</v>
      </c>
    </row>
    <row r="225" spans="1:28" ht="13.9" x14ac:dyDescent="0.3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f t="shared" si="28"/>
        <v>1.3045110418099528</v>
      </c>
      <c r="L225" s="2">
        <f t="shared" si="29"/>
        <v>-1.8889686876112561</v>
      </c>
      <c r="M225" s="2">
        <f t="shared" si="30"/>
        <v>1.2750070474998698</v>
      </c>
      <c r="N225" s="2">
        <v>0</v>
      </c>
      <c r="O225" s="2">
        <v>0</v>
      </c>
      <c r="P225" s="2">
        <v>0</v>
      </c>
      <c r="Q225" s="2">
        <v>7.91</v>
      </c>
      <c r="R225" s="2">
        <v>0</v>
      </c>
      <c r="S225" s="2">
        <v>0.91</v>
      </c>
      <c r="T225" s="2">
        <v>0</v>
      </c>
      <c r="U225" s="2">
        <v>0</v>
      </c>
      <c r="V225" s="2">
        <v>0</v>
      </c>
      <c r="W225" s="2" t="e">
        <f t="shared" si="31"/>
        <v>#NUM!</v>
      </c>
      <c r="X225" s="2">
        <f t="shared" si="32"/>
        <v>3.1407786557827961</v>
      </c>
      <c r="Y225" s="2" t="e">
        <f t="shared" si="33"/>
        <v>#NUM!</v>
      </c>
      <c r="Z225" t="e">
        <f t="shared" si="34"/>
        <v>#NUM!</v>
      </c>
      <c r="AA225" t="e">
        <f t="shared" si="35"/>
        <v>#NUM!</v>
      </c>
      <c r="AB225" t="e">
        <f t="shared" si="36"/>
        <v>#NUM!</v>
      </c>
    </row>
    <row r="226" spans="1:28" ht="13.9" x14ac:dyDescent="0.3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f t="shared" si="28"/>
        <v>-0.81096617560998319</v>
      </c>
      <c r="L226" s="2" t="e">
        <f t="shared" si="29"/>
        <v>#NUM!</v>
      </c>
      <c r="M226" s="2">
        <f t="shared" si="30"/>
        <v>-2.8365012677171206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 t="e">
        <f t="shared" si="31"/>
        <v>#NUM!</v>
      </c>
      <c r="X226" s="2" t="e">
        <f t="shared" si="32"/>
        <v>#NUM!</v>
      </c>
      <c r="Y226" s="2" t="e">
        <f t="shared" si="33"/>
        <v>#NUM!</v>
      </c>
      <c r="Z226" t="e">
        <f t="shared" si="34"/>
        <v>#NUM!</v>
      </c>
      <c r="AA226" t="e">
        <f t="shared" si="35"/>
        <v>#NUM!</v>
      </c>
      <c r="AB226" t="e">
        <f t="shared" si="36"/>
        <v>#NUM!</v>
      </c>
    </row>
    <row r="227" spans="1:28" ht="13.9" x14ac:dyDescent="0.3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f t="shared" si="28"/>
        <v>-2.9434164716336326</v>
      </c>
      <c r="L227" s="2">
        <f t="shared" si="29"/>
        <v>0.70487196445635281</v>
      </c>
      <c r="M227" s="2">
        <f t="shared" si="30"/>
        <v>1.1953475983222193</v>
      </c>
      <c r="N227" s="2">
        <v>0</v>
      </c>
      <c r="O227" s="2">
        <v>0</v>
      </c>
      <c r="P227" s="2">
        <v>0</v>
      </c>
      <c r="Q227" s="2">
        <v>0</v>
      </c>
      <c r="R227" s="2">
        <v>0.24</v>
      </c>
      <c r="S227" s="2">
        <v>0</v>
      </c>
      <c r="T227" s="2">
        <v>0</v>
      </c>
      <c r="U227" s="2">
        <v>0</v>
      </c>
      <c r="V227" s="2">
        <v>0</v>
      </c>
      <c r="W227" s="2" t="e">
        <f t="shared" si="31"/>
        <v>#NUM!</v>
      </c>
      <c r="X227" s="2">
        <f t="shared" si="32"/>
        <v>-2.0588936890535687</v>
      </c>
      <c r="Y227" s="2" t="e">
        <f t="shared" si="33"/>
        <v>#NUM!</v>
      </c>
      <c r="Z227" t="e">
        <f t="shared" si="34"/>
        <v>#NUM!</v>
      </c>
      <c r="AA227" t="e">
        <f t="shared" si="35"/>
        <v>#NUM!</v>
      </c>
      <c r="AB227" t="e">
        <f t="shared" si="36"/>
        <v>#NUM!</v>
      </c>
    </row>
    <row r="228" spans="1:28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 t="e">
        <f t="shared" si="28"/>
        <v>#NUM!</v>
      </c>
      <c r="L228" s="2">
        <f t="shared" si="29"/>
        <v>0.12432813500220179</v>
      </c>
      <c r="M228" s="2" t="e">
        <f t="shared" si="30"/>
        <v>#NUM!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 t="e">
        <f t="shared" si="31"/>
        <v>#NUM!</v>
      </c>
      <c r="X228" s="2" t="e">
        <f t="shared" si="32"/>
        <v>#NUM!</v>
      </c>
      <c r="Y228" s="2" t="e">
        <f t="shared" si="33"/>
        <v>#NUM!</v>
      </c>
      <c r="Z228" t="e">
        <f t="shared" si="34"/>
        <v>#NUM!</v>
      </c>
      <c r="AA228" t="e">
        <f t="shared" si="35"/>
        <v>#NUM!</v>
      </c>
      <c r="AB228" t="e">
        <f t="shared" si="36"/>
        <v>#NUM!</v>
      </c>
    </row>
    <row r="229" spans="1:28" ht="13.9" x14ac:dyDescent="0.3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f t="shared" si="28"/>
        <v>11.17404556980596</v>
      </c>
      <c r="L229" s="2">
        <f t="shared" si="29"/>
        <v>11.331583186606705</v>
      </c>
      <c r="M229" s="2">
        <f t="shared" si="30"/>
        <v>12.277830778796615</v>
      </c>
      <c r="N229" s="2">
        <v>1963.43</v>
      </c>
      <c r="O229" s="2">
        <v>3034.09</v>
      </c>
      <c r="P229" s="2">
        <v>3363.98</v>
      </c>
      <c r="Q229" s="2">
        <v>3602.68</v>
      </c>
      <c r="R229" s="2">
        <v>2365.94</v>
      </c>
      <c r="S229" s="2">
        <v>1623.29</v>
      </c>
      <c r="T229" s="2">
        <v>1913.49</v>
      </c>
      <c r="U229" s="2">
        <v>3335.52</v>
      </c>
      <c r="V229" s="2">
        <v>7819.15</v>
      </c>
      <c r="W229" s="2">
        <f t="shared" si="31"/>
        <v>13.029546060513937</v>
      </c>
      <c r="X229" s="2">
        <f t="shared" si="32"/>
        <v>12.890247174370517</v>
      </c>
      <c r="Y229" s="2">
        <f t="shared" si="33"/>
        <v>13.673768403181057</v>
      </c>
      <c r="Z229">
        <f t="shared" si="34"/>
        <v>0.22163521339099582</v>
      </c>
      <c r="AA229">
        <f t="shared" si="35"/>
        <v>0.18593048740349005</v>
      </c>
      <c r="AB229">
        <f t="shared" si="36"/>
        <v>0.15535520436409886</v>
      </c>
    </row>
    <row r="230" spans="1:28" ht="13.9" x14ac:dyDescent="0.3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f t="shared" si="28"/>
        <v>9.8700564184729487</v>
      </c>
      <c r="L230" s="2">
        <f t="shared" si="29"/>
        <v>9.6316863663119978</v>
      </c>
      <c r="M230" s="2">
        <f t="shared" si="30"/>
        <v>11.86912726299072</v>
      </c>
      <c r="N230" s="2">
        <v>210.41</v>
      </c>
      <c r="O230" s="2">
        <v>126.66</v>
      </c>
      <c r="P230" s="2">
        <v>212.39</v>
      </c>
      <c r="Q230" s="2">
        <v>188.87</v>
      </c>
      <c r="R230" s="2">
        <v>121.74</v>
      </c>
      <c r="S230" s="2">
        <v>252.16</v>
      </c>
      <c r="T230" s="2">
        <v>207.86</v>
      </c>
      <c r="U230" s="2">
        <v>277.72000000000003</v>
      </c>
      <c r="V230" s="2">
        <v>179.48</v>
      </c>
      <c r="W230" s="2">
        <f t="shared" si="31"/>
        <v>9.1018706483794176</v>
      </c>
      <c r="X230" s="2">
        <f t="shared" si="32"/>
        <v>9.1364016135787214</v>
      </c>
      <c r="Y230" s="2">
        <f t="shared" si="33"/>
        <v>9.3773406924902805</v>
      </c>
      <c r="Z230">
        <f t="shared" si="34"/>
        <v>-0.11689524779989584</v>
      </c>
      <c r="AA230">
        <f t="shared" si="35"/>
        <v>-7.6162345426268471E-2</v>
      </c>
      <c r="AB230">
        <f t="shared" si="36"/>
        <v>-0.33996310360631471</v>
      </c>
    </row>
    <row r="231" spans="1:28" ht="13.9" x14ac:dyDescent="0.3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f t="shared" si="28"/>
        <v>7.7349805234358904</v>
      </c>
      <c r="L231" s="2">
        <f t="shared" si="29"/>
        <v>7.6746160086150184</v>
      </c>
      <c r="M231" s="2">
        <f t="shared" si="30"/>
        <v>9.5416580920649796</v>
      </c>
      <c r="N231" s="2">
        <v>80.23</v>
      </c>
      <c r="O231" s="2">
        <v>78.08</v>
      </c>
      <c r="P231" s="2">
        <v>60.42</v>
      </c>
      <c r="Q231" s="2">
        <v>137.12</v>
      </c>
      <c r="R231" s="2">
        <v>104.42</v>
      </c>
      <c r="S231" s="2">
        <v>78.290000000000006</v>
      </c>
      <c r="T231" s="2">
        <v>123.06</v>
      </c>
      <c r="U231" s="2">
        <v>153.82</v>
      </c>
      <c r="V231" s="2">
        <v>137.25</v>
      </c>
      <c r="W231" s="2">
        <f t="shared" si="31"/>
        <v>7.7730072971428523</v>
      </c>
      <c r="X231" s="2">
        <f t="shared" si="32"/>
        <v>8.3211614594913286</v>
      </c>
      <c r="Y231" s="2">
        <f t="shared" si="33"/>
        <v>8.693939906569776</v>
      </c>
      <c r="Z231">
        <f t="shared" si="34"/>
        <v>7.0752116183098925E-3</v>
      </c>
      <c r="AA231">
        <f t="shared" si="35"/>
        <v>0.11669034381779254</v>
      </c>
      <c r="AB231">
        <f t="shared" si="36"/>
        <v>-0.13422986730981415</v>
      </c>
    </row>
    <row r="232" spans="1:28" ht="13.9" x14ac:dyDescent="0.3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f t="shared" si="28"/>
        <v>5.219555769166913</v>
      </c>
      <c r="L232" s="2">
        <f t="shared" si="29"/>
        <v>5.3402061799117124</v>
      </c>
      <c r="M232" s="2">
        <f t="shared" si="30"/>
        <v>4.3526172989585028</v>
      </c>
      <c r="N232" s="2">
        <v>10.62</v>
      </c>
      <c r="O232" s="2">
        <v>4.05</v>
      </c>
      <c r="P232" s="2">
        <v>0</v>
      </c>
      <c r="Q232" s="2">
        <v>12.85</v>
      </c>
      <c r="R232" s="2">
        <v>5.12</v>
      </c>
      <c r="S232" s="2">
        <v>3.1</v>
      </c>
      <c r="T232" s="2">
        <v>2.87</v>
      </c>
      <c r="U232" s="2">
        <v>2.09</v>
      </c>
      <c r="V232" s="2">
        <v>10.56</v>
      </c>
      <c r="W232" s="2">
        <f t="shared" si="31"/>
        <v>3.874796965898665</v>
      </c>
      <c r="X232" s="2">
        <f t="shared" si="32"/>
        <v>4.397118409042581</v>
      </c>
      <c r="Y232" s="2">
        <f t="shared" si="33"/>
        <v>3.956056652412403</v>
      </c>
      <c r="Z232">
        <f t="shared" si="34"/>
        <v>-0.42980630867586295</v>
      </c>
      <c r="AA232">
        <f t="shared" si="35"/>
        <v>-0.28033706087785576</v>
      </c>
      <c r="AB232">
        <f t="shared" si="36"/>
        <v>-0.1378200914290249</v>
      </c>
    </row>
    <row r="233" spans="1:28" ht="13.9" x14ac:dyDescent="0.3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f t="shared" si="28"/>
        <v>-3.1844245711374275</v>
      </c>
      <c r="L233" s="2" t="e">
        <f t="shared" si="29"/>
        <v>#NUM!</v>
      </c>
      <c r="M233" s="2" t="e">
        <f t="shared" si="30"/>
        <v>#NUM!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 t="e">
        <f t="shared" si="31"/>
        <v>#NUM!</v>
      </c>
      <c r="X233" s="2" t="e">
        <f t="shared" si="32"/>
        <v>#NUM!</v>
      </c>
      <c r="Y233" s="2" t="e">
        <f t="shared" si="33"/>
        <v>#NUM!</v>
      </c>
      <c r="Z233" t="e">
        <f t="shared" si="34"/>
        <v>#NUM!</v>
      </c>
      <c r="AA233" t="e">
        <f t="shared" si="35"/>
        <v>#NUM!</v>
      </c>
      <c r="AB233" t="e">
        <f t="shared" si="36"/>
        <v>#NUM!</v>
      </c>
    </row>
    <row r="234" spans="1:28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 t="e">
        <f t="shared" si="28"/>
        <v>#NUM!</v>
      </c>
      <c r="L234" s="2" t="e">
        <f t="shared" si="29"/>
        <v>#NUM!</v>
      </c>
      <c r="M234" s="2" t="e">
        <f t="shared" si="30"/>
        <v>#NUM!</v>
      </c>
      <c r="N234" s="2">
        <v>0</v>
      </c>
      <c r="O234" s="2">
        <v>2.6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f t="shared" si="31"/>
        <v>1.3785116232537298</v>
      </c>
      <c r="X234" s="2" t="e">
        <f t="shared" si="32"/>
        <v>#NUM!</v>
      </c>
      <c r="Y234" s="2" t="e">
        <f t="shared" si="33"/>
        <v>#NUM!</v>
      </c>
      <c r="Z234" t="e">
        <f t="shared" si="34"/>
        <v>#NUM!</v>
      </c>
      <c r="AA234" t="e">
        <f t="shared" si="35"/>
        <v>#NUM!</v>
      </c>
      <c r="AB234" t="e">
        <f t="shared" si="36"/>
        <v>#NUM!</v>
      </c>
    </row>
    <row r="235" spans="1:28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 t="e">
        <f t="shared" si="28"/>
        <v>#NUM!</v>
      </c>
      <c r="L235" s="2" t="e">
        <f t="shared" si="29"/>
        <v>#NUM!</v>
      </c>
      <c r="M235" s="2" t="e">
        <f t="shared" si="30"/>
        <v>#NUM!</v>
      </c>
      <c r="N235" s="2">
        <v>0</v>
      </c>
      <c r="O235" s="2">
        <v>0</v>
      </c>
      <c r="P235" s="2">
        <v>0</v>
      </c>
      <c r="Q235" s="2">
        <v>0</v>
      </c>
      <c r="R235" s="2">
        <v>0.24</v>
      </c>
      <c r="S235" s="2">
        <v>0</v>
      </c>
      <c r="T235" s="2">
        <v>0</v>
      </c>
      <c r="U235" s="2">
        <v>0</v>
      </c>
      <c r="V235" s="2">
        <v>0</v>
      </c>
      <c r="W235" s="2" t="e">
        <f t="shared" si="31"/>
        <v>#NUM!</v>
      </c>
      <c r="X235" s="2">
        <f t="shared" si="32"/>
        <v>-2.0588936890535687</v>
      </c>
      <c r="Y235" s="2" t="e">
        <f t="shared" si="33"/>
        <v>#NUM!</v>
      </c>
      <c r="Z235" t="e">
        <f t="shared" si="34"/>
        <v>#NUM!</v>
      </c>
      <c r="AA235" t="e">
        <f t="shared" si="35"/>
        <v>#NUM!</v>
      </c>
      <c r="AB235" t="e">
        <f t="shared" si="36"/>
        <v>#NUM!</v>
      </c>
    </row>
    <row r="236" spans="1:28" ht="13.9" x14ac:dyDescent="0.3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f t="shared" si="28"/>
        <v>0.85598969730848073</v>
      </c>
      <c r="L236" s="2">
        <f t="shared" si="29"/>
        <v>3.5058909297299574</v>
      </c>
      <c r="M236" s="2">
        <f t="shared" si="30"/>
        <v>1.2570106182060239</v>
      </c>
      <c r="N236" s="2">
        <v>0</v>
      </c>
      <c r="O236" s="2">
        <v>0</v>
      </c>
      <c r="P236" s="2">
        <v>17.63</v>
      </c>
      <c r="Q236" s="2">
        <v>0.33</v>
      </c>
      <c r="R236" s="2">
        <v>0</v>
      </c>
      <c r="S236" s="2">
        <v>11.11</v>
      </c>
      <c r="T236" s="2">
        <v>10.42</v>
      </c>
      <c r="U236" s="2">
        <v>0</v>
      </c>
      <c r="V236" s="2">
        <v>0</v>
      </c>
      <c r="W236" s="2">
        <f t="shared" si="31"/>
        <v>4.1399605695454573</v>
      </c>
      <c r="X236" s="2">
        <f t="shared" si="32"/>
        <v>3.5160151470036647</v>
      </c>
      <c r="Y236" s="2">
        <f t="shared" si="33"/>
        <v>3.3812833725037836</v>
      </c>
      <c r="Z236">
        <f t="shared" si="34"/>
        <v>2.2739516894833232</v>
      </c>
      <c r="AA236">
        <f t="shared" si="35"/>
        <v>4.16017190066581E-3</v>
      </c>
      <c r="AB236">
        <f t="shared" si="36"/>
        <v>1.4275740915568877</v>
      </c>
    </row>
    <row r="237" spans="1:28" ht="13.9" x14ac:dyDescent="0.3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f t="shared" si="28"/>
        <v>-1.556393348524385</v>
      </c>
      <c r="L237" s="2" t="e">
        <f t="shared" si="29"/>
        <v>#NUM!</v>
      </c>
      <c r="M237" s="2" t="e">
        <f t="shared" si="30"/>
        <v>#NUM!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 t="e">
        <f t="shared" si="31"/>
        <v>#NUM!</v>
      </c>
      <c r="X237" s="2" t="e">
        <f t="shared" si="32"/>
        <v>#NUM!</v>
      </c>
      <c r="Y237" s="2" t="e">
        <f t="shared" si="33"/>
        <v>#NUM!</v>
      </c>
      <c r="Z237" t="e">
        <f t="shared" si="34"/>
        <v>#NUM!</v>
      </c>
      <c r="AA237" t="e">
        <f t="shared" si="35"/>
        <v>#NUM!</v>
      </c>
      <c r="AB237" t="e">
        <f t="shared" si="36"/>
        <v>#NUM!</v>
      </c>
    </row>
    <row r="238" spans="1:28" ht="13.9" x14ac:dyDescent="0.3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f t="shared" si="28"/>
        <v>5.1898245588800176</v>
      </c>
      <c r="L238" s="2">
        <f t="shared" si="29"/>
        <v>5.6971065744769751</v>
      </c>
      <c r="M238" s="2">
        <f t="shared" si="30"/>
        <v>8.8595347863826532</v>
      </c>
      <c r="N238" s="2">
        <v>13.5</v>
      </c>
      <c r="O238" s="2">
        <v>27.18</v>
      </c>
      <c r="P238" s="2">
        <v>8.3000000000000007</v>
      </c>
      <c r="Q238" s="2">
        <v>5.27</v>
      </c>
      <c r="R238" s="2">
        <v>31.47</v>
      </c>
      <c r="S238" s="2">
        <v>7.46</v>
      </c>
      <c r="T238" s="2">
        <v>0.36</v>
      </c>
      <c r="U238" s="2">
        <v>18</v>
      </c>
      <c r="V238" s="2">
        <v>17.09</v>
      </c>
      <c r="W238" s="2">
        <f t="shared" si="31"/>
        <v>5.6141208687892536</v>
      </c>
      <c r="X238" s="2">
        <f t="shared" si="32"/>
        <v>5.4659744645040691</v>
      </c>
      <c r="Y238" s="2">
        <f t="shared" si="33"/>
        <v>5.1477137223521536</v>
      </c>
      <c r="Z238">
        <f t="shared" si="34"/>
        <v>0.11337435522662682</v>
      </c>
      <c r="AA238">
        <f t="shared" si="35"/>
        <v>-5.975067461776494E-2</v>
      </c>
      <c r="AB238">
        <f t="shared" si="36"/>
        <v>-0.78329912114860756</v>
      </c>
    </row>
    <row r="239" spans="1:28" ht="13.9" x14ac:dyDescent="0.3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f t="shared" si="28"/>
        <v>-0.57776699931695219</v>
      </c>
      <c r="L239" s="2">
        <f t="shared" si="29"/>
        <v>-0.16812275880832692</v>
      </c>
      <c r="M239" s="2" t="e">
        <f t="shared" si="30"/>
        <v>#NUM!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 t="e">
        <f t="shared" si="31"/>
        <v>#NUM!</v>
      </c>
      <c r="X239" s="2" t="e">
        <f t="shared" si="32"/>
        <v>#NUM!</v>
      </c>
      <c r="Y239" s="2" t="e">
        <f t="shared" si="33"/>
        <v>#NUM!</v>
      </c>
      <c r="Z239" t="e">
        <f t="shared" si="34"/>
        <v>#NUM!</v>
      </c>
      <c r="AA239" t="e">
        <f t="shared" si="35"/>
        <v>#NUM!</v>
      </c>
      <c r="AB239" t="e">
        <f t="shared" si="36"/>
        <v>#NUM!</v>
      </c>
    </row>
    <row r="240" spans="1:28" ht="13.9" x14ac:dyDescent="0.3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f t="shared" si="28"/>
        <v>2.7420062108667365</v>
      </c>
      <c r="L240" s="2">
        <f t="shared" si="29"/>
        <v>3.3146965256562866</v>
      </c>
      <c r="M240" s="2">
        <f t="shared" si="30"/>
        <v>2.9690123075163162</v>
      </c>
      <c r="N240" s="2">
        <v>4.33</v>
      </c>
      <c r="O240" s="2">
        <v>18.22</v>
      </c>
      <c r="P240" s="2">
        <v>0</v>
      </c>
      <c r="Q240" s="2">
        <v>0.33</v>
      </c>
      <c r="R240" s="2">
        <v>0.24</v>
      </c>
      <c r="S240" s="2">
        <v>0</v>
      </c>
      <c r="T240" s="2">
        <v>0</v>
      </c>
      <c r="U240" s="2">
        <v>0</v>
      </c>
      <c r="V240" s="2">
        <v>0</v>
      </c>
      <c r="W240" s="2">
        <f t="shared" si="31"/>
        <v>4.4950555283680185</v>
      </c>
      <c r="X240" s="2">
        <f t="shared" si="32"/>
        <v>-0.81096617560998285</v>
      </c>
      <c r="Y240" s="2" t="e">
        <f t="shared" si="33"/>
        <v>#NUM!</v>
      </c>
      <c r="Z240">
        <f t="shared" si="34"/>
        <v>0.71310709882334455</v>
      </c>
      <c r="AA240" t="e">
        <f t="shared" si="35"/>
        <v>#NUM!</v>
      </c>
      <c r="AB240" t="e">
        <f t="shared" si="36"/>
        <v>#NUM!</v>
      </c>
    </row>
    <row r="241" spans="1:28" ht="13.9" x14ac:dyDescent="0.3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f t="shared" si="28"/>
        <v>4.347665656300971</v>
      </c>
      <c r="L241" s="2">
        <f t="shared" si="29"/>
        <v>4.2364926183813019</v>
      </c>
      <c r="M241" s="2">
        <f t="shared" si="30"/>
        <v>3.5197934862411002</v>
      </c>
      <c r="N241" s="2">
        <v>0</v>
      </c>
      <c r="O241" s="2">
        <v>0</v>
      </c>
      <c r="P241" s="2">
        <v>0</v>
      </c>
      <c r="Q241" s="2">
        <v>0</v>
      </c>
      <c r="R241" s="2">
        <v>0.24</v>
      </c>
      <c r="S241" s="2">
        <v>0</v>
      </c>
      <c r="T241" s="2">
        <v>4.3099999999999996</v>
      </c>
      <c r="U241" s="2">
        <v>5.65</v>
      </c>
      <c r="V241" s="2">
        <v>0</v>
      </c>
      <c r="W241" s="2" t="e">
        <f t="shared" si="31"/>
        <v>#NUM!</v>
      </c>
      <c r="X241" s="2">
        <f t="shared" si="32"/>
        <v>-2.0588936890535687</v>
      </c>
      <c r="Y241" s="2">
        <f t="shared" si="33"/>
        <v>3.3161457422933562</v>
      </c>
      <c r="Z241" t="e">
        <f t="shared" si="34"/>
        <v>#NUM!</v>
      </c>
      <c r="AA241" t="e">
        <f t="shared" si="35"/>
        <v>#NUM!</v>
      </c>
      <c r="AB241">
        <f t="shared" si="36"/>
        <v>-8.5983371695506947E-2</v>
      </c>
    </row>
    <row r="242" spans="1:28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 t="e">
        <f t="shared" si="28"/>
        <v>#NUM!</v>
      </c>
      <c r="L242" s="2">
        <f t="shared" si="29"/>
        <v>0.65992455840237829</v>
      </c>
      <c r="M242" s="2" t="e">
        <f t="shared" si="30"/>
        <v>#NUM!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 t="e">
        <f t="shared" si="31"/>
        <v>#NUM!</v>
      </c>
      <c r="X242" s="2" t="e">
        <f t="shared" si="32"/>
        <v>#NUM!</v>
      </c>
      <c r="Y242" s="2" t="e">
        <f t="shared" si="33"/>
        <v>#NUM!</v>
      </c>
      <c r="Z242" t="e">
        <f t="shared" si="34"/>
        <v>#NUM!</v>
      </c>
      <c r="AA242" t="e">
        <f t="shared" si="35"/>
        <v>#NUM!</v>
      </c>
      <c r="AB242" t="e">
        <f t="shared" si="36"/>
        <v>#NUM!</v>
      </c>
    </row>
    <row r="243" spans="1:28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 t="e">
        <f t="shared" si="28"/>
        <v>#NUM!</v>
      </c>
      <c r="L243" s="2">
        <f t="shared" si="29"/>
        <v>-3.3219280948873622</v>
      </c>
      <c r="M243" s="2" t="e">
        <f t="shared" si="30"/>
        <v>#NUM!</v>
      </c>
      <c r="N243" s="2">
        <v>0</v>
      </c>
      <c r="O243" s="2">
        <v>0</v>
      </c>
      <c r="P243" s="2">
        <v>0</v>
      </c>
      <c r="Q243" s="2">
        <v>5.6</v>
      </c>
      <c r="R243" s="2">
        <v>0.24</v>
      </c>
      <c r="S243" s="2">
        <v>0</v>
      </c>
      <c r="T243" s="2">
        <v>0</v>
      </c>
      <c r="U243" s="2">
        <v>0</v>
      </c>
      <c r="V243" s="2">
        <v>0</v>
      </c>
      <c r="W243" s="2" t="e">
        <f t="shared" si="31"/>
        <v>#NUM!</v>
      </c>
      <c r="X243" s="2">
        <f t="shared" si="32"/>
        <v>2.5459683691052923</v>
      </c>
      <c r="Y243" s="2" t="e">
        <f t="shared" si="33"/>
        <v>#NUM!</v>
      </c>
      <c r="Z243" t="e">
        <f t="shared" si="34"/>
        <v>#NUM!</v>
      </c>
      <c r="AA243" t="e">
        <f t="shared" si="35"/>
        <v>#NUM!</v>
      </c>
      <c r="AB243" t="e">
        <f t="shared" si="36"/>
        <v>#NUM!</v>
      </c>
    </row>
    <row r="244" spans="1:28" ht="13.9" x14ac:dyDescent="0.3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f t="shared" si="28"/>
        <v>3.5172756932095819</v>
      </c>
      <c r="L244" s="2">
        <f t="shared" si="29"/>
        <v>2.0426443374084937</v>
      </c>
      <c r="M244" s="2">
        <f t="shared" si="30"/>
        <v>5.5257556928294864</v>
      </c>
      <c r="N244" s="2">
        <v>0</v>
      </c>
      <c r="O244" s="2">
        <v>0</v>
      </c>
      <c r="P244" s="2">
        <v>0</v>
      </c>
      <c r="Q244" s="2">
        <v>3.96</v>
      </c>
      <c r="R244" s="2">
        <v>0</v>
      </c>
      <c r="S244" s="2">
        <v>10.56</v>
      </c>
      <c r="T244" s="2">
        <v>0</v>
      </c>
      <c r="U244" s="2">
        <v>2.72</v>
      </c>
      <c r="V244" s="2">
        <v>0</v>
      </c>
      <c r="W244" s="2" t="e">
        <f t="shared" si="31"/>
        <v>#NUM!</v>
      </c>
      <c r="X244" s="2">
        <f t="shared" si="32"/>
        <v>3.8599695482210259</v>
      </c>
      <c r="Y244" s="2">
        <f t="shared" si="33"/>
        <v>1.4436066514756147</v>
      </c>
      <c r="Z244" t="e">
        <f t="shared" si="34"/>
        <v>#NUM!</v>
      </c>
      <c r="AA244">
        <f t="shared" si="35"/>
        <v>0.91815144019558659</v>
      </c>
      <c r="AB244">
        <f t="shared" si="36"/>
        <v>-1.9364940828466091</v>
      </c>
    </row>
    <row r="245" spans="1:28" ht="13.9" x14ac:dyDescent="0.3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f t="shared" si="28"/>
        <v>10.62788038149159</v>
      </c>
      <c r="L245" s="2">
        <f t="shared" si="29"/>
        <v>10.660111802702691</v>
      </c>
      <c r="M245" s="2">
        <f t="shared" si="30"/>
        <v>11.308464179643646</v>
      </c>
      <c r="N245" s="2">
        <v>548.24</v>
      </c>
      <c r="O245" s="2">
        <v>896.75</v>
      </c>
      <c r="P245" s="2">
        <v>893.9</v>
      </c>
      <c r="Q245" s="2">
        <v>1060.7</v>
      </c>
      <c r="R245" s="2">
        <v>845.81</v>
      </c>
      <c r="S245" s="2">
        <v>940.91</v>
      </c>
      <c r="T245" s="2">
        <v>872.4</v>
      </c>
      <c r="U245" s="2">
        <v>1009.36</v>
      </c>
      <c r="V245" s="2">
        <v>1280.48</v>
      </c>
      <c r="W245" s="2">
        <f t="shared" si="31"/>
        <v>11.191608296764461</v>
      </c>
      <c r="X245" s="2">
        <f t="shared" si="32"/>
        <v>11.475439593768575</v>
      </c>
      <c r="Y245" s="2">
        <f t="shared" si="33"/>
        <v>11.626731150672788</v>
      </c>
      <c r="Z245">
        <f t="shared" si="34"/>
        <v>7.4563479299301197E-2</v>
      </c>
      <c r="AA245">
        <f t="shared" si="35"/>
        <v>0.10632685144494494</v>
      </c>
      <c r="AB245">
        <f t="shared" si="36"/>
        <v>4.004253292733527E-2</v>
      </c>
    </row>
    <row r="246" spans="1:28" ht="13.9" x14ac:dyDescent="0.3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f t="shared" si="28"/>
        <v>7.1851727751412495</v>
      </c>
      <c r="L246" s="2">
        <f t="shared" si="29"/>
        <v>6.7622159157277819</v>
      </c>
      <c r="M246" s="2">
        <f t="shared" si="30"/>
        <v>6.1253618063517807</v>
      </c>
      <c r="N246" s="2">
        <v>2.1</v>
      </c>
      <c r="O246" s="2">
        <v>20.53</v>
      </c>
      <c r="P246" s="2">
        <v>0.78</v>
      </c>
      <c r="Q246" s="2">
        <v>3.63</v>
      </c>
      <c r="R246" s="2">
        <v>18.79</v>
      </c>
      <c r="S246" s="2">
        <v>1.46</v>
      </c>
      <c r="T246" s="2">
        <v>1.08</v>
      </c>
      <c r="U246" s="2">
        <v>19.670000000000002</v>
      </c>
      <c r="V246" s="2">
        <v>2.5099999999999998</v>
      </c>
      <c r="W246" s="2">
        <f t="shared" si="31"/>
        <v>4.5490530293372879</v>
      </c>
      <c r="X246" s="2">
        <f t="shared" si="32"/>
        <v>4.5777309314900805</v>
      </c>
      <c r="Y246" s="2">
        <f t="shared" si="33"/>
        <v>4.5397791916984938</v>
      </c>
      <c r="Z246">
        <f t="shared" si="34"/>
        <v>-0.65945659569126835</v>
      </c>
      <c r="AA246">
        <f t="shared" si="35"/>
        <v>-0.56286341474498636</v>
      </c>
      <c r="AB246">
        <f t="shared" si="36"/>
        <v>-0.43217293358716319</v>
      </c>
    </row>
    <row r="247" spans="1:28" ht="13.9" x14ac:dyDescent="0.3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f t="shared" si="28"/>
        <v>3.2234225499349369</v>
      </c>
      <c r="L247" s="2">
        <f t="shared" si="29"/>
        <v>3.6040713236688608</v>
      </c>
      <c r="M247" s="2">
        <f t="shared" si="30"/>
        <v>2.8718436485093179</v>
      </c>
      <c r="N247" s="2">
        <v>4.72</v>
      </c>
      <c r="O247" s="2">
        <v>21.98</v>
      </c>
      <c r="P247" s="2">
        <v>0</v>
      </c>
      <c r="Q247" s="2">
        <v>4.6100000000000003</v>
      </c>
      <c r="R247" s="2">
        <v>7.07</v>
      </c>
      <c r="S247" s="2">
        <v>3.1</v>
      </c>
      <c r="T247" s="2">
        <v>3.95</v>
      </c>
      <c r="U247" s="2">
        <v>3.14</v>
      </c>
      <c r="V247" s="2">
        <v>6.03</v>
      </c>
      <c r="W247" s="2">
        <f t="shared" si="31"/>
        <v>4.738767836800192</v>
      </c>
      <c r="X247" s="2">
        <f t="shared" si="32"/>
        <v>3.885574364371426</v>
      </c>
      <c r="Y247" s="2">
        <f t="shared" si="33"/>
        <v>3.7136958148433594</v>
      </c>
      <c r="Z247">
        <f t="shared" si="34"/>
        <v>0.55591866186348249</v>
      </c>
      <c r="AA247">
        <f t="shared" si="35"/>
        <v>0.10850031111279632</v>
      </c>
      <c r="AB247">
        <f t="shared" si="36"/>
        <v>0.37087844358652389</v>
      </c>
    </row>
    <row r="248" spans="1:28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 t="e">
        <f t="shared" si="28"/>
        <v>#NUM!</v>
      </c>
      <c r="L248" s="2" t="e">
        <f t="shared" si="29"/>
        <v>#NUM!</v>
      </c>
      <c r="M248" s="2">
        <f t="shared" si="30"/>
        <v>-1.8889686876112561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 t="e">
        <f t="shared" si="31"/>
        <v>#NUM!</v>
      </c>
      <c r="X248" s="2" t="e">
        <f t="shared" si="32"/>
        <v>#NUM!</v>
      </c>
      <c r="Y248" s="2" t="e">
        <f t="shared" si="33"/>
        <v>#NUM!</v>
      </c>
      <c r="Z248" t="e">
        <f t="shared" si="34"/>
        <v>#NUM!</v>
      </c>
      <c r="AA248" t="e">
        <f t="shared" si="35"/>
        <v>#NUM!</v>
      </c>
      <c r="AB248" t="e">
        <f t="shared" si="36"/>
        <v>#NUM!</v>
      </c>
    </row>
    <row r="249" spans="1:28" ht="13.9" x14ac:dyDescent="0.3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f t="shared" si="28"/>
        <v>-0.35845397091247633</v>
      </c>
      <c r="L249" s="2">
        <f t="shared" si="29"/>
        <v>0.46466826700344421</v>
      </c>
      <c r="M249" s="2">
        <f t="shared" si="30"/>
        <v>-0.47393118833241243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 t="e">
        <f t="shared" si="31"/>
        <v>#NUM!</v>
      </c>
      <c r="X249" s="2" t="e">
        <f t="shared" si="32"/>
        <v>#NUM!</v>
      </c>
      <c r="Y249" s="2" t="e">
        <f t="shared" si="33"/>
        <v>#NUM!</v>
      </c>
      <c r="Z249" t="e">
        <f t="shared" si="34"/>
        <v>#NUM!</v>
      </c>
      <c r="AA249" t="e">
        <f t="shared" si="35"/>
        <v>#NUM!</v>
      </c>
      <c r="AB249" t="e">
        <f t="shared" si="36"/>
        <v>#NUM!</v>
      </c>
    </row>
    <row r="250" spans="1:28" ht="13.9" x14ac:dyDescent="0.3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f t="shared" si="28"/>
        <v>15.919509082497177</v>
      </c>
      <c r="L250" s="2">
        <f t="shared" si="29"/>
        <v>15.889034269571946</v>
      </c>
      <c r="M250" s="2">
        <f t="shared" si="30"/>
        <v>15.596763097172886</v>
      </c>
      <c r="N250" s="2">
        <v>7852.53</v>
      </c>
      <c r="O250" s="2">
        <v>10454.469999999999</v>
      </c>
      <c r="P250" s="2">
        <v>5392.69</v>
      </c>
      <c r="Q250" s="2">
        <v>8310.23</v>
      </c>
      <c r="R250" s="2">
        <v>12398.86</v>
      </c>
      <c r="S250" s="2">
        <v>8290.51</v>
      </c>
      <c r="T250" s="2">
        <v>5927.14</v>
      </c>
      <c r="U250" s="2">
        <v>11937.81</v>
      </c>
      <c r="V250" s="2">
        <v>13177.37</v>
      </c>
      <c r="W250" s="2">
        <f t="shared" si="31"/>
        <v>14.532580567854939</v>
      </c>
      <c r="X250" s="2">
        <f t="shared" si="32"/>
        <v>14.823745380410479</v>
      </c>
      <c r="Y250" s="2">
        <f t="shared" si="33"/>
        <v>14.921948763344398</v>
      </c>
      <c r="Z250">
        <f t="shared" si="34"/>
        <v>-0.13150494067501461</v>
      </c>
      <c r="AA250">
        <f t="shared" si="35"/>
        <v>-0.10012143452200757</v>
      </c>
      <c r="AB250">
        <f t="shared" si="36"/>
        <v>-6.38106880958237E-2</v>
      </c>
    </row>
    <row r="251" spans="1:28" ht="13.9" x14ac:dyDescent="0.3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f t="shared" si="28"/>
        <v>0.44360665147561484</v>
      </c>
      <c r="L251" s="2" t="e">
        <f t="shared" si="29"/>
        <v>#NUM!</v>
      </c>
      <c r="M251" s="2" t="e">
        <f t="shared" si="30"/>
        <v>#NUM!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 t="e">
        <f t="shared" si="31"/>
        <v>#NUM!</v>
      </c>
      <c r="X251" s="2" t="e">
        <f t="shared" si="32"/>
        <v>#NUM!</v>
      </c>
      <c r="Y251" s="2" t="e">
        <f t="shared" si="33"/>
        <v>#NUM!</v>
      </c>
      <c r="Z251" t="e">
        <f t="shared" si="34"/>
        <v>#NUM!</v>
      </c>
      <c r="AA251" t="e">
        <f t="shared" si="35"/>
        <v>#NUM!</v>
      </c>
      <c r="AB251" t="e">
        <f t="shared" si="36"/>
        <v>#NUM!</v>
      </c>
    </row>
    <row r="252" spans="1:28" ht="13.9" x14ac:dyDescent="0.3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f t="shared" si="28"/>
        <v>12.461875878153805</v>
      </c>
      <c r="L252" s="2">
        <f t="shared" si="29"/>
        <v>12.652840492575642</v>
      </c>
      <c r="M252" s="2">
        <f t="shared" si="30"/>
        <v>12.302344757636952</v>
      </c>
      <c r="N252" s="2">
        <v>632.15</v>
      </c>
      <c r="O252" s="2">
        <v>645.74</v>
      </c>
      <c r="P252" s="2">
        <v>815.58</v>
      </c>
      <c r="Q252" s="2">
        <v>952.25</v>
      </c>
      <c r="R252" s="2">
        <v>847.28</v>
      </c>
      <c r="S252" s="2">
        <v>604.09</v>
      </c>
      <c r="T252" s="2">
        <v>598.79</v>
      </c>
      <c r="U252" s="2">
        <v>878.98</v>
      </c>
      <c r="V252" s="2">
        <v>1117.5999999999999</v>
      </c>
      <c r="W252" s="2">
        <f t="shared" si="31"/>
        <v>11.031680528672313</v>
      </c>
      <c r="X252" s="2">
        <f t="shared" si="32"/>
        <v>11.230993116048554</v>
      </c>
      <c r="Y252" s="2">
        <f t="shared" si="33"/>
        <v>11.34172451076503</v>
      </c>
      <c r="Z252">
        <f t="shared" si="34"/>
        <v>-0.17586866974030296</v>
      </c>
      <c r="AA252">
        <f t="shared" si="35"/>
        <v>-0.17197579264438653</v>
      </c>
      <c r="AB252">
        <f t="shared" si="36"/>
        <v>-0.11729329238534736</v>
      </c>
    </row>
    <row r="253" spans="1:28" ht="13.9" x14ac:dyDescent="0.3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f t="shared" si="28"/>
        <v>11.87344795764629</v>
      </c>
      <c r="L253" s="2">
        <f t="shared" si="29"/>
        <v>11.827017128167871</v>
      </c>
      <c r="M253" s="2">
        <f t="shared" si="30"/>
        <v>11.871362392745281</v>
      </c>
      <c r="N253" s="2">
        <v>468.67</v>
      </c>
      <c r="O253" s="2">
        <v>844.7</v>
      </c>
      <c r="P253" s="2">
        <v>603.19000000000005</v>
      </c>
      <c r="Q253" s="2">
        <v>878.75</v>
      </c>
      <c r="R253" s="2">
        <v>1121.49</v>
      </c>
      <c r="S253" s="2">
        <v>659.8</v>
      </c>
      <c r="T253" s="2">
        <v>723.82</v>
      </c>
      <c r="U253" s="2">
        <v>842.15</v>
      </c>
      <c r="V253" s="2">
        <v>1039.67</v>
      </c>
      <c r="W253" s="2">
        <f t="shared" si="31"/>
        <v>10.90430344864841</v>
      </c>
      <c r="X253" s="2">
        <f t="shared" si="32"/>
        <v>11.377232224887704</v>
      </c>
      <c r="Y253" s="2">
        <f t="shared" si="33"/>
        <v>11.347422056944328</v>
      </c>
      <c r="Z253">
        <f t="shared" si="34"/>
        <v>-0.12284132770568314</v>
      </c>
      <c r="AA253">
        <f t="shared" si="35"/>
        <v>-5.5936628534509571E-2</v>
      </c>
      <c r="AB253">
        <f t="shared" si="36"/>
        <v>-6.5120933700370573E-2</v>
      </c>
    </row>
    <row r="254" spans="1:28" ht="13.9" x14ac:dyDescent="0.3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f t="shared" si="28"/>
        <v>10.748436074179741</v>
      </c>
      <c r="L254" s="2">
        <f t="shared" si="29"/>
        <v>10.932820054822384</v>
      </c>
      <c r="M254" s="2">
        <f t="shared" si="30"/>
        <v>15.925172622204361</v>
      </c>
      <c r="N254" s="2">
        <v>267.7</v>
      </c>
      <c r="O254" s="2">
        <v>288.31</v>
      </c>
      <c r="P254" s="2">
        <v>178.42</v>
      </c>
      <c r="Q254" s="2">
        <v>366.53</v>
      </c>
      <c r="R254" s="2">
        <v>419.86</v>
      </c>
      <c r="S254" s="2">
        <v>345.56</v>
      </c>
      <c r="T254" s="2">
        <v>350.5</v>
      </c>
      <c r="U254" s="2">
        <v>533.46</v>
      </c>
      <c r="V254" s="2">
        <v>381.08</v>
      </c>
      <c r="W254" s="2">
        <f t="shared" si="31"/>
        <v>9.5204811809437206</v>
      </c>
      <c r="X254" s="2">
        <f t="shared" si="32"/>
        <v>10.144594518145333</v>
      </c>
      <c r="Y254" s="2">
        <f t="shared" si="33"/>
        <v>10.304967287675964</v>
      </c>
      <c r="Z254">
        <f t="shared" si="34"/>
        <v>-0.17502036245437338</v>
      </c>
      <c r="AA254">
        <f t="shared" si="35"/>
        <v>-0.10795438209160116</v>
      </c>
      <c r="AB254">
        <f t="shared" si="36"/>
        <v>-0.62796908561633247</v>
      </c>
    </row>
    <row r="255" spans="1:28" ht="13.9" x14ac:dyDescent="0.3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f t="shared" si="28"/>
        <v>11.850882227224803</v>
      </c>
      <c r="L255" s="2">
        <f t="shared" si="29"/>
        <v>12.001689668404214</v>
      </c>
      <c r="M255" s="2">
        <f t="shared" si="30"/>
        <v>12.484848063181486</v>
      </c>
      <c r="N255" s="2">
        <v>428.03</v>
      </c>
      <c r="O255" s="2">
        <v>493.34</v>
      </c>
      <c r="P255" s="2">
        <v>442.41</v>
      </c>
      <c r="Q255" s="2">
        <v>776.9</v>
      </c>
      <c r="R255" s="2">
        <v>542.80999999999995</v>
      </c>
      <c r="S255" s="2">
        <v>425.49</v>
      </c>
      <c r="T255" s="2">
        <v>254.93</v>
      </c>
      <c r="U255" s="2">
        <v>634.54</v>
      </c>
      <c r="V255" s="2">
        <v>459</v>
      </c>
      <c r="W255" s="2">
        <f t="shared" si="31"/>
        <v>10.41339521750808</v>
      </c>
      <c r="X255" s="2">
        <f t="shared" si="32"/>
        <v>10.769176663489137</v>
      </c>
      <c r="Y255" s="2">
        <f t="shared" si="33"/>
        <v>10.397107710327063</v>
      </c>
      <c r="Z255">
        <f t="shared" si="34"/>
        <v>-0.18655393677299809</v>
      </c>
      <c r="AA255">
        <f t="shared" si="35"/>
        <v>-0.15632957557160757</v>
      </c>
      <c r="AB255">
        <f t="shared" si="36"/>
        <v>-0.26399601202755418</v>
      </c>
    </row>
    <row r="256" spans="1:28" ht="13.9" x14ac:dyDescent="0.3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f t="shared" si="28"/>
        <v>-3.1844245711374275</v>
      </c>
      <c r="L256" s="2" t="e">
        <f t="shared" si="29"/>
        <v>#NUM!</v>
      </c>
      <c r="M256" s="2" t="e">
        <f t="shared" si="30"/>
        <v>#NUM!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 t="e">
        <f t="shared" si="31"/>
        <v>#NUM!</v>
      </c>
      <c r="X256" s="2" t="e">
        <f t="shared" si="32"/>
        <v>#NUM!</v>
      </c>
      <c r="Y256" s="2" t="e">
        <f t="shared" si="33"/>
        <v>#NUM!</v>
      </c>
      <c r="Z256" t="e">
        <f t="shared" si="34"/>
        <v>#NUM!</v>
      </c>
      <c r="AA256" t="e">
        <f t="shared" si="35"/>
        <v>#NUM!</v>
      </c>
      <c r="AB256" t="e">
        <f t="shared" si="36"/>
        <v>#NUM!</v>
      </c>
    </row>
    <row r="257" spans="1:28" ht="13.9" x14ac:dyDescent="0.3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f t="shared" si="28"/>
        <v>5.4396231375571169</v>
      </c>
      <c r="L257" s="2">
        <f t="shared" si="29"/>
        <v>5.6624903639137765</v>
      </c>
      <c r="M257" s="2">
        <f t="shared" si="30"/>
        <v>7.7368754229082697</v>
      </c>
      <c r="N257" s="2">
        <v>4.2</v>
      </c>
      <c r="O257" s="2">
        <v>8.39</v>
      </c>
      <c r="P257" s="2">
        <v>1.82</v>
      </c>
      <c r="Q257" s="2">
        <v>0</v>
      </c>
      <c r="R257" s="2">
        <v>1.46</v>
      </c>
      <c r="S257" s="2">
        <v>0.18</v>
      </c>
      <c r="T257" s="2">
        <v>0.36</v>
      </c>
      <c r="U257" s="2">
        <v>6.7</v>
      </c>
      <c r="V257" s="2">
        <v>2.5099999999999998</v>
      </c>
      <c r="W257" s="2">
        <f t="shared" si="31"/>
        <v>3.8489984304000231</v>
      </c>
      <c r="X257" s="2">
        <f t="shared" si="32"/>
        <v>0.71369581484335898</v>
      </c>
      <c r="Y257" s="2">
        <f t="shared" si="33"/>
        <v>3.2585189247113013</v>
      </c>
      <c r="Z257">
        <f t="shared" si="34"/>
        <v>-0.49902362078002904</v>
      </c>
      <c r="AA257">
        <f t="shared" si="35"/>
        <v>-2.9880554725009261</v>
      </c>
      <c r="AB257">
        <f t="shared" si="36"/>
        <v>-1.247534670334902</v>
      </c>
    </row>
    <row r="258" spans="1:28" ht="13.9" x14ac:dyDescent="0.3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f t="shared" si="28"/>
        <v>6.2874353555064397</v>
      </c>
      <c r="L258" s="2">
        <f t="shared" si="29"/>
        <v>6.1141587687205474</v>
      </c>
      <c r="M258" s="2">
        <f t="shared" si="30"/>
        <v>5.4799419014771305</v>
      </c>
      <c r="N258" s="2">
        <v>26.87</v>
      </c>
      <c r="O258" s="2">
        <v>16.190000000000001</v>
      </c>
      <c r="P258" s="2">
        <v>6.74</v>
      </c>
      <c r="Q258" s="2">
        <v>12.85</v>
      </c>
      <c r="R258" s="2">
        <v>24.88</v>
      </c>
      <c r="S258" s="2">
        <v>28.95</v>
      </c>
      <c r="T258" s="2">
        <v>15.63</v>
      </c>
      <c r="U258" s="2">
        <v>22.6</v>
      </c>
      <c r="V258" s="2">
        <v>28.66</v>
      </c>
      <c r="W258" s="2">
        <f t="shared" si="31"/>
        <v>5.6380738371807189</v>
      </c>
      <c r="X258" s="2">
        <f t="shared" si="32"/>
        <v>6.0591821992116923</v>
      </c>
      <c r="Y258" s="2">
        <f t="shared" si="33"/>
        <v>6.0637186401522492</v>
      </c>
      <c r="Z258">
        <f t="shared" si="34"/>
        <v>-0.15726929005985013</v>
      </c>
      <c r="AA258">
        <f t="shared" si="35"/>
        <v>-1.3030927767788525E-2</v>
      </c>
      <c r="AB258">
        <f t="shared" si="36"/>
        <v>0.14604221545932716</v>
      </c>
    </row>
    <row r="259" spans="1:28" ht="13.9" x14ac:dyDescent="0.3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f t="shared" ref="K259:K322" si="37">LOG(SUM(B259:D259),2)</f>
        <v>1.5260688116675876</v>
      </c>
      <c r="L259" s="2">
        <f t="shared" ref="L259:L322" si="38">LOG(SUM(E259:G259),2)</f>
        <v>1.1634987322828796</v>
      </c>
      <c r="M259" s="2">
        <f t="shared" ref="M259:M322" si="39">LOG(SUM(H259:J259),2)</f>
        <v>0.28688114778816154</v>
      </c>
      <c r="N259" s="2">
        <v>0</v>
      </c>
      <c r="O259" s="2">
        <v>0</v>
      </c>
      <c r="P259" s="2">
        <v>0</v>
      </c>
      <c r="Q259" s="2">
        <v>1.65</v>
      </c>
      <c r="R259" s="2">
        <v>0</v>
      </c>
      <c r="S259" s="2">
        <v>0</v>
      </c>
      <c r="T259" s="2">
        <v>0</v>
      </c>
      <c r="U259" s="2">
        <v>3.98</v>
      </c>
      <c r="V259" s="2">
        <v>0</v>
      </c>
      <c r="W259" s="2" t="e">
        <f t="shared" ref="W259:W322" si="40">LOG(SUM(N259:P259),2)</f>
        <v>#NUM!</v>
      </c>
      <c r="X259" s="2">
        <f t="shared" ref="X259:X322" si="41">LOG(SUM(Q259:S259),2)</f>
        <v>0.72246602447109098</v>
      </c>
      <c r="Y259" s="2">
        <f t="shared" ref="Y259:Y322" si="42">LOG(SUM(T259:V259),2)</f>
        <v>1.9927684307689242</v>
      </c>
      <c r="Z259" t="e">
        <f t="shared" ref="Z259:Z322" si="43">LOG(W259/K259,2)</f>
        <v>#NUM!</v>
      </c>
      <c r="AA259">
        <f t="shared" ref="AA259:AA322" si="44">LOG(X259/L259,2)</f>
        <v>-0.68746799035863015</v>
      </c>
      <c r="AB259">
        <f t="shared" ref="AB259:AB322" si="45">LOG(Y259/M259,2)</f>
        <v>2.7962490012982695</v>
      </c>
    </row>
    <row r="260" spans="1:28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 t="e">
        <f t="shared" si="37"/>
        <v>#NUM!</v>
      </c>
      <c r="L260" s="2" t="e">
        <f t="shared" si="38"/>
        <v>#NUM!</v>
      </c>
      <c r="M260" s="2">
        <f t="shared" si="39"/>
        <v>-1.8889686876112561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 t="e">
        <f t="shared" si="40"/>
        <v>#NUM!</v>
      </c>
      <c r="X260" s="2" t="e">
        <f t="shared" si="41"/>
        <v>#NUM!</v>
      </c>
      <c r="Y260" s="2" t="e">
        <f t="shared" si="42"/>
        <v>#NUM!</v>
      </c>
      <c r="Z260" t="e">
        <f t="shared" si="43"/>
        <v>#NUM!</v>
      </c>
      <c r="AA260" t="e">
        <f t="shared" si="44"/>
        <v>#NUM!</v>
      </c>
      <c r="AB260" t="e">
        <f t="shared" si="45"/>
        <v>#NUM!</v>
      </c>
    </row>
    <row r="261" spans="1:28" ht="13.9" x14ac:dyDescent="0.3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f t="shared" si="37"/>
        <v>-0.13606154957602837</v>
      </c>
      <c r="L261" s="2" t="e">
        <f t="shared" si="38"/>
        <v>#NUM!</v>
      </c>
      <c r="M261" s="2" t="e">
        <f t="shared" si="39"/>
        <v>#NUM!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 t="e">
        <f t="shared" si="40"/>
        <v>#NUM!</v>
      </c>
      <c r="X261" s="2" t="e">
        <f t="shared" si="41"/>
        <v>#NUM!</v>
      </c>
      <c r="Y261" s="2" t="e">
        <f t="shared" si="42"/>
        <v>#NUM!</v>
      </c>
      <c r="Z261" t="e">
        <f t="shared" si="43"/>
        <v>#NUM!</v>
      </c>
      <c r="AA261" t="e">
        <f t="shared" si="44"/>
        <v>#NUM!</v>
      </c>
      <c r="AB261" t="e">
        <f t="shared" si="45"/>
        <v>#NUM!</v>
      </c>
    </row>
    <row r="262" spans="1:28" ht="13.9" x14ac:dyDescent="0.3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f t="shared" si="37"/>
        <v>8.5736850530079742</v>
      </c>
      <c r="L262" s="2">
        <f t="shared" si="38"/>
        <v>8.6956458990944476</v>
      </c>
      <c r="M262" s="2">
        <f t="shared" si="39"/>
        <v>8.4184008035373914</v>
      </c>
      <c r="N262" s="2">
        <v>133.72</v>
      </c>
      <c r="O262" s="2">
        <v>229.32</v>
      </c>
      <c r="P262" s="2">
        <v>261.92</v>
      </c>
      <c r="Q262" s="2">
        <v>187.55</v>
      </c>
      <c r="R262" s="2">
        <v>379.85</v>
      </c>
      <c r="S262" s="2">
        <v>177.7</v>
      </c>
      <c r="T262" s="2">
        <v>125.4</v>
      </c>
      <c r="U262" s="2">
        <v>228.53</v>
      </c>
      <c r="V262" s="2">
        <v>382.08</v>
      </c>
      <c r="W262" s="2">
        <f t="shared" si="40"/>
        <v>9.2876200441120673</v>
      </c>
      <c r="X262" s="2">
        <f t="shared" si="41"/>
        <v>9.5412902526950791</v>
      </c>
      <c r="Y262" s="2">
        <f t="shared" si="42"/>
        <v>9.5235815577586447</v>
      </c>
      <c r="Z262">
        <f t="shared" si="43"/>
        <v>0.11539353089818603</v>
      </c>
      <c r="AA262">
        <f t="shared" si="44"/>
        <v>0.13389117999365804</v>
      </c>
      <c r="AB262">
        <f t="shared" si="45"/>
        <v>0.17795803498551441</v>
      </c>
    </row>
    <row r="263" spans="1:28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 t="e">
        <f t="shared" si="37"/>
        <v>#NUM!</v>
      </c>
      <c r="L263" s="2">
        <f t="shared" si="38"/>
        <v>-2.9434164716336326</v>
      </c>
      <c r="M263" s="2" t="e">
        <f t="shared" si="39"/>
        <v>#NUM!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 t="e">
        <f t="shared" si="40"/>
        <v>#NUM!</v>
      </c>
      <c r="X263" s="2" t="e">
        <f t="shared" si="41"/>
        <v>#NUM!</v>
      </c>
      <c r="Y263" s="2" t="e">
        <f t="shared" si="42"/>
        <v>#NUM!</v>
      </c>
      <c r="Z263" t="e">
        <f t="shared" si="43"/>
        <v>#NUM!</v>
      </c>
      <c r="AA263" t="e">
        <f t="shared" si="44"/>
        <v>#NUM!</v>
      </c>
      <c r="AB263" t="e">
        <f t="shared" si="45"/>
        <v>#NUM!</v>
      </c>
    </row>
    <row r="264" spans="1:28" ht="13.9" x14ac:dyDescent="0.3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f t="shared" si="37"/>
        <v>-1.3959286763311392</v>
      </c>
      <c r="L264" s="2">
        <f t="shared" si="38"/>
        <v>-1.8889686876112561</v>
      </c>
      <c r="M264" s="2">
        <f t="shared" si="39"/>
        <v>0.11103131238874395</v>
      </c>
      <c r="N264" s="2">
        <v>0</v>
      </c>
      <c r="O264" s="2">
        <v>0</v>
      </c>
      <c r="P264" s="2">
        <v>0</v>
      </c>
      <c r="Q264" s="2">
        <v>0.66</v>
      </c>
      <c r="R264" s="2">
        <v>0</v>
      </c>
      <c r="S264" s="2">
        <v>0</v>
      </c>
      <c r="T264" s="2">
        <v>0</v>
      </c>
      <c r="U264" s="2">
        <v>1.05</v>
      </c>
      <c r="V264" s="2">
        <v>0</v>
      </c>
      <c r="W264" s="2" t="e">
        <f t="shared" si="40"/>
        <v>#NUM!</v>
      </c>
      <c r="X264" s="2">
        <f t="shared" si="41"/>
        <v>-0.5994620704162712</v>
      </c>
      <c r="Y264" s="2">
        <f t="shared" si="42"/>
        <v>7.0389327891398012E-2</v>
      </c>
      <c r="Z264" t="e">
        <f t="shared" si="43"/>
        <v>#NUM!</v>
      </c>
      <c r="AA264">
        <f t="shared" si="44"/>
        <v>-1.655858408737658</v>
      </c>
      <c r="AB264">
        <f t="shared" si="45"/>
        <v>-0.657537978491889</v>
      </c>
    </row>
    <row r="265" spans="1:28" ht="13.9" x14ac:dyDescent="0.3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f t="shared" si="37"/>
        <v>5.9264739112560729</v>
      </c>
      <c r="L265" s="2">
        <f t="shared" si="38"/>
        <v>6.178316271701453</v>
      </c>
      <c r="M265" s="2">
        <f t="shared" si="39"/>
        <v>5.6934869574993252</v>
      </c>
      <c r="N265" s="2">
        <v>23.6</v>
      </c>
      <c r="O265" s="2">
        <v>45.4</v>
      </c>
      <c r="P265" s="2">
        <v>32.159999999999997</v>
      </c>
      <c r="Q265" s="2">
        <v>57.35</v>
      </c>
      <c r="R265" s="2">
        <v>37.57</v>
      </c>
      <c r="S265" s="2">
        <v>57.9</v>
      </c>
      <c r="T265" s="2">
        <v>24.79</v>
      </c>
      <c r="U265" s="2">
        <v>39.340000000000003</v>
      </c>
      <c r="V265" s="2">
        <v>156.86000000000001</v>
      </c>
      <c r="W265" s="2">
        <f t="shared" si="40"/>
        <v>6.6604951318885144</v>
      </c>
      <c r="X265" s="2">
        <f t="shared" si="41"/>
        <v>7.2556895552206262</v>
      </c>
      <c r="Y265" s="2">
        <f t="shared" si="42"/>
        <v>7.7878372775958651</v>
      </c>
      <c r="Z265">
        <f t="shared" si="43"/>
        <v>0.16845543300536694</v>
      </c>
      <c r="AA265">
        <f t="shared" si="44"/>
        <v>0.23189900419399628</v>
      </c>
      <c r="AB265">
        <f t="shared" si="45"/>
        <v>0.45191024300457511</v>
      </c>
    </row>
    <row r="266" spans="1:28" ht="13.9" x14ac:dyDescent="0.3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f t="shared" si="37"/>
        <v>4.4718377624222869</v>
      </c>
      <c r="L266" s="2">
        <f t="shared" si="38"/>
        <v>4.0232553523003034</v>
      </c>
      <c r="M266" s="2">
        <f t="shared" si="39"/>
        <v>2.1667154449664223</v>
      </c>
      <c r="N266" s="2">
        <v>8.52</v>
      </c>
      <c r="O266" s="2">
        <v>19.09</v>
      </c>
      <c r="P266" s="2">
        <v>5.45</v>
      </c>
      <c r="Q266" s="2">
        <v>31.97</v>
      </c>
      <c r="R266" s="2">
        <v>38.549999999999997</v>
      </c>
      <c r="S266" s="2">
        <v>34.049999999999997</v>
      </c>
      <c r="T266" s="2">
        <v>57.67</v>
      </c>
      <c r="U266" s="2">
        <v>38.93</v>
      </c>
      <c r="V266" s="2">
        <v>137.75</v>
      </c>
      <c r="W266" s="2">
        <f t="shared" si="40"/>
        <v>5.0470148195175888</v>
      </c>
      <c r="X266" s="2">
        <f t="shared" si="41"/>
        <v>6.7083252071431678</v>
      </c>
      <c r="Y266" s="2">
        <f t="shared" si="42"/>
        <v>7.8725209845916622</v>
      </c>
      <c r="Z266">
        <f t="shared" si="43"/>
        <v>0.17456247443975781</v>
      </c>
      <c r="AA266">
        <f t="shared" si="44"/>
        <v>0.7375893223819957</v>
      </c>
      <c r="AB266">
        <f t="shared" si="45"/>
        <v>1.8613160014039491</v>
      </c>
    </row>
    <row r="267" spans="1:28" ht="13.9" x14ac:dyDescent="0.3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f t="shared" si="37"/>
        <v>3.4515408330178321</v>
      </c>
      <c r="L267" s="2">
        <f t="shared" si="38"/>
        <v>2.1276332797258739</v>
      </c>
      <c r="M267" s="2">
        <f t="shared" si="39"/>
        <v>3.0018022426339854</v>
      </c>
      <c r="N267" s="2">
        <v>0.13</v>
      </c>
      <c r="O267" s="2">
        <v>0</v>
      </c>
      <c r="P267" s="2">
        <v>0</v>
      </c>
      <c r="Q267" s="2">
        <v>8.9</v>
      </c>
      <c r="R267" s="2">
        <v>0</v>
      </c>
      <c r="S267" s="2">
        <v>0</v>
      </c>
      <c r="T267" s="2">
        <v>0</v>
      </c>
      <c r="U267" s="2">
        <v>23.86</v>
      </c>
      <c r="V267" s="2">
        <v>0</v>
      </c>
      <c r="W267" s="2">
        <f t="shared" si="40"/>
        <v>-2.9434164716336326</v>
      </c>
      <c r="X267" s="2">
        <f t="shared" si="41"/>
        <v>3.1538053360790355</v>
      </c>
      <c r="Y267" s="2">
        <f t="shared" si="42"/>
        <v>4.5765221379205032</v>
      </c>
      <c r="Z267" t="e">
        <f t="shared" si="43"/>
        <v>#NUM!</v>
      </c>
      <c r="AA267">
        <f t="shared" si="44"/>
        <v>0.56784410628257831</v>
      </c>
      <c r="AB267">
        <f t="shared" si="45"/>
        <v>0.60842272337865944</v>
      </c>
    </row>
    <row r="268" spans="1:28" ht="13.9" x14ac:dyDescent="0.3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f t="shared" si="37"/>
        <v>-0.35845397091247633</v>
      </c>
      <c r="L268" s="2">
        <f t="shared" si="38"/>
        <v>-0.91593573521152549</v>
      </c>
      <c r="M268" s="2" t="e">
        <f t="shared" si="39"/>
        <v>#NUM!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9.6999999999999993</v>
      </c>
      <c r="U268" s="2">
        <v>6.49</v>
      </c>
      <c r="V268" s="2">
        <v>0</v>
      </c>
      <c r="W268" s="2" t="e">
        <f t="shared" si="40"/>
        <v>#NUM!</v>
      </c>
      <c r="X268" s="2" t="e">
        <f t="shared" si="41"/>
        <v>#NUM!</v>
      </c>
      <c r="Y268" s="2">
        <f t="shared" si="42"/>
        <v>4.0170310805278415</v>
      </c>
      <c r="Z268" t="e">
        <f t="shared" si="43"/>
        <v>#NUM!</v>
      </c>
      <c r="AA268" t="e">
        <f t="shared" si="44"/>
        <v>#NUM!</v>
      </c>
      <c r="AB268" t="e">
        <f t="shared" si="45"/>
        <v>#NUM!</v>
      </c>
    </row>
    <row r="269" spans="1:28" ht="13.9" x14ac:dyDescent="0.3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f t="shared" si="37"/>
        <v>-1.1844245711374275</v>
      </c>
      <c r="L269" s="2">
        <f t="shared" si="38"/>
        <v>-1.8889686876112561</v>
      </c>
      <c r="M269" s="2" t="e">
        <f t="shared" si="39"/>
        <v>#NUM!</v>
      </c>
      <c r="N269" s="2">
        <v>7.73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f t="shared" si="40"/>
        <v>2.950468414150123</v>
      </c>
      <c r="X269" s="2" t="e">
        <f t="shared" si="41"/>
        <v>#NUM!</v>
      </c>
      <c r="Y269" s="2" t="e">
        <f t="shared" si="42"/>
        <v>#NUM!</v>
      </c>
      <c r="Z269" t="e">
        <f t="shared" si="43"/>
        <v>#NUM!</v>
      </c>
      <c r="AA269" t="e">
        <f t="shared" si="44"/>
        <v>#NUM!</v>
      </c>
      <c r="AB269" t="e">
        <f t="shared" si="45"/>
        <v>#NUM!</v>
      </c>
    </row>
    <row r="270" spans="1:28" ht="13.9" x14ac:dyDescent="0.3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f t="shared" si="37"/>
        <v>3.897240425574799</v>
      </c>
      <c r="L270" s="2">
        <f t="shared" si="38"/>
        <v>3.4711874603869854</v>
      </c>
      <c r="M270" s="2">
        <f t="shared" si="39"/>
        <v>2.821710215034674</v>
      </c>
      <c r="N270" s="2">
        <v>4.72</v>
      </c>
      <c r="O270" s="2">
        <v>0</v>
      </c>
      <c r="P270" s="2">
        <v>0.26</v>
      </c>
      <c r="Q270" s="2">
        <v>0</v>
      </c>
      <c r="R270" s="2">
        <v>0</v>
      </c>
      <c r="S270" s="2">
        <v>0</v>
      </c>
      <c r="T270" s="2">
        <v>0.18</v>
      </c>
      <c r="U270" s="2">
        <v>4.3899999999999997</v>
      </c>
      <c r="V270" s="2">
        <v>0</v>
      </c>
      <c r="W270" s="2">
        <f t="shared" si="40"/>
        <v>2.3161457422933562</v>
      </c>
      <c r="X270" s="2" t="e">
        <f t="shared" si="41"/>
        <v>#NUM!</v>
      </c>
      <c r="Y270" s="2">
        <f t="shared" si="42"/>
        <v>2.192194165283345</v>
      </c>
      <c r="Z270">
        <f t="shared" si="43"/>
        <v>-0.7507268988556679</v>
      </c>
      <c r="AA270" t="e">
        <f t="shared" si="44"/>
        <v>#NUM!</v>
      </c>
      <c r="AB270">
        <f t="shared" si="45"/>
        <v>-0.36419424795274563</v>
      </c>
    </row>
    <row r="271" spans="1:28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 t="e">
        <f t="shared" si="37"/>
        <v>#NUM!</v>
      </c>
      <c r="L271" s="2">
        <f t="shared" si="38"/>
        <v>-0.2515387669959645</v>
      </c>
      <c r="M271" s="2">
        <f t="shared" si="39"/>
        <v>7.3532350610285766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 t="e">
        <f t="shared" si="40"/>
        <v>#NUM!</v>
      </c>
      <c r="X271" s="2" t="e">
        <f t="shared" si="41"/>
        <v>#NUM!</v>
      </c>
      <c r="Y271" s="2" t="e">
        <f t="shared" si="42"/>
        <v>#NUM!</v>
      </c>
      <c r="Z271" t="e">
        <f t="shared" si="43"/>
        <v>#NUM!</v>
      </c>
      <c r="AA271" t="e">
        <f t="shared" si="44"/>
        <v>#NUM!</v>
      </c>
      <c r="AB271" t="e">
        <f t="shared" si="45"/>
        <v>#NUM!</v>
      </c>
    </row>
    <row r="272" spans="1:28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 t="e">
        <f t="shared" si="37"/>
        <v>#NUM!</v>
      </c>
      <c r="L272" s="2">
        <f t="shared" si="38"/>
        <v>-0.91593573521152549</v>
      </c>
      <c r="M272" s="2" t="e">
        <f t="shared" si="39"/>
        <v>#NUM!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 t="e">
        <f t="shared" si="40"/>
        <v>#NUM!</v>
      </c>
      <c r="X272" s="2" t="e">
        <f t="shared" si="41"/>
        <v>#NUM!</v>
      </c>
      <c r="Y272" s="2" t="e">
        <f t="shared" si="42"/>
        <v>#NUM!</v>
      </c>
      <c r="Z272" t="e">
        <f t="shared" si="43"/>
        <v>#NUM!</v>
      </c>
      <c r="AA272" t="e">
        <f t="shared" si="44"/>
        <v>#NUM!</v>
      </c>
      <c r="AB272" t="e">
        <f t="shared" si="45"/>
        <v>#NUM!</v>
      </c>
    </row>
    <row r="273" spans="1:28" ht="13.9" x14ac:dyDescent="0.3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f t="shared" si="37"/>
        <v>7.1369911120802296</v>
      </c>
      <c r="L273" s="2">
        <f t="shared" si="38"/>
        <v>7.2208136100655826</v>
      </c>
      <c r="M273" s="2">
        <f t="shared" si="39"/>
        <v>7.1784158743830409</v>
      </c>
      <c r="N273" s="2">
        <v>13.63</v>
      </c>
      <c r="O273" s="2">
        <v>0.28999999999999998</v>
      </c>
      <c r="P273" s="2">
        <v>1.3</v>
      </c>
      <c r="Q273" s="2">
        <v>23.73</v>
      </c>
      <c r="R273" s="2">
        <v>4.3899999999999997</v>
      </c>
      <c r="S273" s="2">
        <v>25.31</v>
      </c>
      <c r="T273" s="2">
        <v>10.42</v>
      </c>
      <c r="U273" s="2">
        <v>57.76</v>
      </c>
      <c r="V273" s="2">
        <v>13.07</v>
      </c>
      <c r="W273" s="2">
        <f t="shared" si="40"/>
        <v>3.9278964537288208</v>
      </c>
      <c r="X273" s="2">
        <f t="shared" si="41"/>
        <v>5.7395781120480507</v>
      </c>
      <c r="Y273" s="2">
        <f t="shared" si="42"/>
        <v>6.344295907915817</v>
      </c>
      <c r="Z273">
        <f t="shared" si="43"/>
        <v>-0.86155907768106454</v>
      </c>
      <c r="AA273">
        <f t="shared" si="44"/>
        <v>-0.33121670747921228</v>
      </c>
      <c r="AB273">
        <f t="shared" si="45"/>
        <v>-0.17820544450568029</v>
      </c>
    </row>
    <row r="274" spans="1:28" ht="13.9" x14ac:dyDescent="0.3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f t="shared" si="37"/>
        <v>7.7681181445874206</v>
      </c>
      <c r="L274" s="2">
        <f t="shared" si="38"/>
        <v>7.7365372304875617</v>
      </c>
      <c r="M274" s="2">
        <f t="shared" si="39"/>
        <v>8.1646052864248997</v>
      </c>
      <c r="N274" s="2">
        <v>65.55</v>
      </c>
      <c r="O274" s="2">
        <v>128.69</v>
      </c>
      <c r="P274" s="2">
        <v>98.28</v>
      </c>
      <c r="Q274" s="2">
        <v>95.26</v>
      </c>
      <c r="R274" s="2">
        <v>120.27</v>
      </c>
      <c r="S274" s="2">
        <v>32.229999999999997</v>
      </c>
      <c r="T274" s="2">
        <v>41.14</v>
      </c>
      <c r="U274" s="2">
        <v>26.58</v>
      </c>
      <c r="V274" s="2">
        <v>76.92</v>
      </c>
      <c r="W274" s="2">
        <f t="shared" si="40"/>
        <v>8.1923914569131764</v>
      </c>
      <c r="X274" s="2">
        <f t="shared" si="41"/>
        <v>7.952799477899938</v>
      </c>
      <c r="Y274" s="2">
        <f t="shared" si="42"/>
        <v>7.1763227726404626</v>
      </c>
      <c r="Z274">
        <f t="shared" si="43"/>
        <v>7.6719510520733891E-2</v>
      </c>
      <c r="AA274">
        <f t="shared" si="44"/>
        <v>3.9774815200211054E-2</v>
      </c>
      <c r="AB274">
        <f t="shared" si="45"/>
        <v>-0.18613836068631284</v>
      </c>
    </row>
    <row r="275" spans="1:28" ht="13.9" x14ac:dyDescent="0.3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f t="shared" si="37"/>
        <v>3.4369613378336026</v>
      </c>
      <c r="L275" s="2">
        <f t="shared" si="38"/>
        <v>2.8933622107638715</v>
      </c>
      <c r="M275" s="2">
        <f t="shared" si="39"/>
        <v>2.8155754288625725</v>
      </c>
      <c r="N275" s="2">
        <v>0</v>
      </c>
      <c r="O275" s="2">
        <v>10.119999999999999</v>
      </c>
      <c r="P275" s="2">
        <v>11.67</v>
      </c>
      <c r="Q275" s="2">
        <v>5.93</v>
      </c>
      <c r="R275" s="2">
        <v>0</v>
      </c>
      <c r="S275" s="2">
        <v>0</v>
      </c>
      <c r="T275" s="2">
        <v>3.05</v>
      </c>
      <c r="U275" s="2">
        <v>0</v>
      </c>
      <c r="V275" s="2">
        <v>0</v>
      </c>
      <c r="W275" s="2">
        <f t="shared" si="40"/>
        <v>4.4455942913411821</v>
      </c>
      <c r="X275" s="2">
        <f t="shared" si="41"/>
        <v>2.5680321047712789</v>
      </c>
      <c r="Y275" s="2">
        <f t="shared" si="42"/>
        <v>1.6088092426755241</v>
      </c>
      <c r="Z275">
        <f t="shared" si="43"/>
        <v>0.37124266980059223</v>
      </c>
      <c r="AA275">
        <f t="shared" si="44"/>
        <v>-0.17208370223651576</v>
      </c>
      <c r="AB275">
        <f t="shared" si="45"/>
        <v>-0.80743652587893744</v>
      </c>
    </row>
    <row r="276" spans="1:28" ht="13.9" x14ac:dyDescent="0.3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f t="shared" si="37"/>
        <v>6.4834933512843946</v>
      </c>
      <c r="L276" s="2">
        <f t="shared" si="38"/>
        <v>6.7964939294258375</v>
      </c>
      <c r="M276" s="2">
        <f t="shared" si="39"/>
        <v>9.488583292422069</v>
      </c>
      <c r="N276" s="2">
        <v>163.47999999999999</v>
      </c>
      <c r="O276" s="2">
        <v>141.99</v>
      </c>
      <c r="P276" s="2">
        <v>109.7</v>
      </c>
      <c r="Q276" s="2">
        <v>130.86000000000001</v>
      </c>
      <c r="R276" s="2">
        <v>81.239999999999995</v>
      </c>
      <c r="S276" s="2">
        <v>128.16999999999999</v>
      </c>
      <c r="T276" s="2">
        <v>22.1</v>
      </c>
      <c r="U276" s="2">
        <v>176.21</v>
      </c>
      <c r="V276" s="2">
        <v>173.95</v>
      </c>
      <c r="W276" s="2">
        <f t="shared" si="40"/>
        <v>8.6975583887332437</v>
      </c>
      <c r="X276" s="2">
        <f t="shared" si="41"/>
        <v>8.4105361510714616</v>
      </c>
      <c r="Y276" s="2">
        <f t="shared" si="42"/>
        <v>8.5401667941405481</v>
      </c>
      <c r="Z276">
        <f t="shared" si="43"/>
        <v>0.42383910230731459</v>
      </c>
      <c r="AA276">
        <f t="shared" si="44"/>
        <v>0.30740706871643847</v>
      </c>
      <c r="AB276">
        <f t="shared" si="45"/>
        <v>-0.15192845276873984</v>
      </c>
    </row>
    <row r="277" spans="1:28" ht="13.9" x14ac:dyDescent="0.3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f t="shared" si="37"/>
        <v>4.5103290194905723</v>
      </c>
      <c r="L277" s="2">
        <f t="shared" si="38"/>
        <v>3.9900472195737944</v>
      </c>
      <c r="M277" s="2">
        <f t="shared" si="39"/>
        <v>4.0321008431670249</v>
      </c>
      <c r="N277" s="2">
        <v>8.39</v>
      </c>
      <c r="O277" s="2">
        <v>13.88</v>
      </c>
      <c r="P277" s="2">
        <v>0</v>
      </c>
      <c r="Q277" s="2">
        <v>3.96</v>
      </c>
      <c r="R277" s="2">
        <v>24.88</v>
      </c>
      <c r="S277" s="2">
        <v>7.46</v>
      </c>
      <c r="T277" s="2">
        <v>3.23</v>
      </c>
      <c r="U277" s="2">
        <v>6.49</v>
      </c>
      <c r="V277" s="2">
        <v>0</v>
      </c>
      <c r="W277" s="2">
        <f t="shared" si="40"/>
        <v>4.4770296530130658</v>
      </c>
      <c r="X277" s="2">
        <f t="shared" si="41"/>
        <v>5.1818976431083881</v>
      </c>
      <c r="Y277" s="2">
        <f t="shared" si="42"/>
        <v>3.2809563138310565</v>
      </c>
      <c r="Z277">
        <f t="shared" si="43"/>
        <v>-1.0690805267567599E-2</v>
      </c>
      <c r="AA277">
        <f t="shared" si="44"/>
        <v>0.37707469866792698</v>
      </c>
      <c r="AB277">
        <f t="shared" si="45"/>
        <v>-0.29741533681213655</v>
      </c>
    </row>
    <row r="278" spans="1:28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 t="e">
        <f t="shared" si="37"/>
        <v>#NUM!</v>
      </c>
      <c r="L278" s="2">
        <f t="shared" si="38"/>
        <v>1.8559896973084806</v>
      </c>
      <c r="M278" s="2">
        <f t="shared" si="39"/>
        <v>-1.8889686876112561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 t="e">
        <f t="shared" si="40"/>
        <v>#NUM!</v>
      </c>
      <c r="X278" s="2" t="e">
        <f t="shared" si="41"/>
        <v>#NUM!</v>
      </c>
      <c r="Y278" s="2" t="e">
        <f t="shared" si="42"/>
        <v>#NUM!</v>
      </c>
      <c r="Z278" t="e">
        <f t="shared" si="43"/>
        <v>#NUM!</v>
      </c>
      <c r="AA278" t="e">
        <f t="shared" si="44"/>
        <v>#NUM!</v>
      </c>
      <c r="AB278" t="e">
        <f t="shared" si="45"/>
        <v>#NUM!</v>
      </c>
    </row>
    <row r="279" spans="1:28" ht="13.9" x14ac:dyDescent="0.3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f t="shared" si="37"/>
        <v>10.448302181128078</v>
      </c>
      <c r="L279" s="2">
        <f t="shared" si="38"/>
        <v>10.378934225914827</v>
      </c>
      <c r="M279" s="2">
        <f t="shared" si="39"/>
        <v>10.584821605653815</v>
      </c>
      <c r="N279" s="2">
        <v>731.25</v>
      </c>
      <c r="O279" s="2">
        <v>1529.48</v>
      </c>
      <c r="P279" s="2">
        <v>675.55</v>
      </c>
      <c r="Q279" s="2">
        <v>786.46</v>
      </c>
      <c r="R279" s="2">
        <v>1060.5</v>
      </c>
      <c r="S279" s="2">
        <v>457.53</v>
      </c>
      <c r="T279" s="2">
        <v>567.71</v>
      </c>
      <c r="U279" s="2">
        <v>931.93</v>
      </c>
      <c r="V279" s="2">
        <v>2455.89</v>
      </c>
      <c r="W279" s="2">
        <f t="shared" si="40"/>
        <v>11.519773833003475</v>
      </c>
      <c r="X279" s="2">
        <f t="shared" si="41"/>
        <v>11.170231791984421</v>
      </c>
      <c r="Y279" s="2">
        <f t="shared" si="42"/>
        <v>11.949655298486134</v>
      </c>
      <c r="Z279">
        <f t="shared" si="43"/>
        <v>0.14084386513525077</v>
      </c>
      <c r="AA279">
        <f t="shared" si="44"/>
        <v>0.10600081698044948</v>
      </c>
      <c r="AB279">
        <f t="shared" si="45"/>
        <v>0.17497204793985568</v>
      </c>
    </row>
    <row r="280" spans="1:28" ht="13.9" x14ac:dyDescent="0.3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f t="shared" si="37"/>
        <v>1.4355292977070055E-2</v>
      </c>
      <c r="L280" s="2">
        <f t="shared" si="38"/>
        <v>-1.3584539709124763</v>
      </c>
      <c r="M280" s="2">
        <f t="shared" si="39"/>
        <v>9.7610796626422344E-2</v>
      </c>
      <c r="N280" s="2">
        <v>0</v>
      </c>
      <c r="O280" s="2">
        <v>0</v>
      </c>
      <c r="P280" s="2">
        <v>0</v>
      </c>
      <c r="Q280" s="2">
        <v>0</v>
      </c>
      <c r="R280" s="2">
        <v>0.24</v>
      </c>
      <c r="S280" s="2">
        <v>0</v>
      </c>
      <c r="T280" s="2">
        <v>0</v>
      </c>
      <c r="U280" s="2">
        <v>0</v>
      </c>
      <c r="V280" s="2">
        <v>0</v>
      </c>
      <c r="W280" s="2" t="e">
        <f t="shared" si="40"/>
        <v>#NUM!</v>
      </c>
      <c r="X280" s="2">
        <f t="shared" si="41"/>
        <v>-2.0588936890535687</v>
      </c>
      <c r="Y280" s="2" t="e">
        <f t="shared" si="42"/>
        <v>#NUM!</v>
      </c>
      <c r="Z280" t="e">
        <f t="shared" si="43"/>
        <v>#NUM!</v>
      </c>
      <c r="AA280">
        <f t="shared" si="44"/>
        <v>0.59990365543171098</v>
      </c>
      <c r="AB280" t="e">
        <f t="shared" si="45"/>
        <v>#NUM!</v>
      </c>
    </row>
    <row r="281" spans="1:28" ht="13.9" x14ac:dyDescent="0.3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f t="shared" si="37"/>
        <v>13.916441188696556</v>
      </c>
      <c r="L281" s="2">
        <f t="shared" si="38"/>
        <v>13.906714004939543</v>
      </c>
      <c r="M281" s="2">
        <f t="shared" si="39"/>
        <v>14.262572042385703</v>
      </c>
      <c r="N281" s="2">
        <v>2152.08</v>
      </c>
      <c r="O281" s="2">
        <v>3143.69</v>
      </c>
      <c r="P281" s="2">
        <v>2112.21</v>
      </c>
      <c r="Q281" s="2">
        <v>2822.81</v>
      </c>
      <c r="R281" s="2">
        <v>3849.23</v>
      </c>
      <c r="S281" s="2">
        <v>2181.87</v>
      </c>
      <c r="T281" s="2">
        <v>1842.53</v>
      </c>
      <c r="U281" s="2">
        <v>3174.17</v>
      </c>
      <c r="V281" s="2">
        <v>4432.17</v>
      </c>
      <c r="W281" s="2">
        <f t="shared" si="40"/>
        <v>12.854864488289964</v>
      </c>
      <c r="X281" s="2">
        <f t="shared" si="41"/>
        <v>13.11209899317652</v>
      </c>
      <c r="Y281" s="2">
        <f t="shared" si="42"/>
        <v>13.205926090940382</v>
      </c>
      <c r="Z281">
        <f t="shared" si="43"/>
        <v>-0.11447592027695713</v>
      </c>
      <c r="AA281">
        <f t="shared" si="44"/>
        <v>-8.4882916470161454E-2</v>
      </c>
      <c r="AB281">
        <f t="shared" si="45"/>
        <v>-0.11104869698663099</v>
      </c>
    </row>
    <row r="282" spans="1:28" ht="13.9" x14ac:dyDescent="0.3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f t="shared" si="37"/>
        <v>9.8751810679666541</v>
      </c>
      <c r="L282" s="2">
        <f t="shared" si="38"/>
        <v>9.8949389930917118</v>
      </c>
      <c r="M282" s="2">
        <f t="shared" si="39"/>
        <v>13.088601100157245</v>
      </c>
      <c r="N282" s="2">
        <v>67.78</v>
      </c>
      <c r="O282" s="2">
        <v>117.12</v>
      </c>
      <c r="P282" s="2">
        <v>97.51</v>
      </c>
      <c r="Q282" s="2">
        <v>128.55000000000001</v>
      </c>
      <c r="R282" s="2">
        <v>186.87</v>
      </c>
      <c r="S282" s="2">
        <v>77.010000000000005</v>
      </c>
      <c r="T282" s="2">
        <v>134.02000000000001</v>
      </c>
      <c r="U282" s="2">
        <v>231.46</v>
      </c>
      <c r="V282" s="2">
        <v>117.64</v>
      </c>
      <c r="W282" s="2">
        <f t="shared" si="40"/>
        <v>8.1416473644142027</v>
      </c>
      <c r="X282" s="2">
        <f t="shared" si="41"/>
        <v>8.6162915249018166</v>
      </c>
      <c r="Y282" s="2">
        <f t="shared" si="42"/>
        <v>8.9162377678677718</v>
      </c>
      <c r="Z282">
        <f t="shared" si="43"/>
        <v>-0.27848646516964531</v>
      </c>
      <c r="AA282">
        <f t="shared" si="44"/>
        <v>-0.19962374934458429</v>
      </c>
      <c r="AB282">
        <f t="shared" si="45"/>
        <v>-0.55380391702344467</v>
      </c>
    </row>
    <row r="283" spans="1:28" ht="13.9" x14ac:dyDescent="0.3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f t="shared" si="37"/>
        <v>11.661769192219557</v>
      </c>
      <c r="L283" s="2">
        <f t="shared" si="38"/>
        <v>11.55638630409781</v>
      </c>
      <c r="M283" s="2">
        <f t="shared" si="39"/>
        <v>12.096685509765317</v>
      </c>
      <c r="N283" s="2">
        <v>1234.8</v>
      </c>
      <c r="O283" s="2">
        <v>1659.9</v>
      </c>
      <c r="P283" s="2">
        <v>1787.02</v>
      </c>
      <c r="Q283" s="2">
        <v>2638.23</v>
      </c>
      <c r="R283" s="2">
        <v>1727</v>
      </c>
      <c r="S283" s="2">
        <v>1790.24</v>
      </c>
      <c r="T283" s="2">
        <v>1446.57</v>
      </c>
      <c r="U283" s="2">
        <v>1822.63</v>
      </c>
      <c r="V283" s="2">
        <v>2028.06</v>
      </c>
      <c r="W283" s="2">
        <f t="shared" si="40"/>
        <v>12.192822938315157</v>
      </c>
      <c r="X283" s="2">
        <f t="shared" si="41"/>
        <v>12.587653302343666</v>
      </c>
      <c r="Y283" s="2">
        <f t="shared" si="42"/>
        <v>12.371030605361788</v>
      </c>
      <c r="Z283">
        <f t="shared" si="43"/>
        <v>6.4245509428898825E-2</v>
      </c>
      <c r="AA283">
        <f t="shared" si="44"/>
        <v>0.12331901273056324</v>
      </c>
      <c r="AB283">
        <f t="shared" si="45"/>
        <v>3.2353889911335754E-2</v>
      </c>
    </row>
    <row r="284" spans="1:28" ht="13.9" x14ac:dyDescent="0.3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f t="shared" si="37"/>
        <v>0.87184364850931773</v>
      </c>
      <c r="L284" s="2">
        <f t="shared" si="38"/>
        <v>-1.8889686876112561</v>
      </c>
      <c r="M284" s="2">
        <f t="shared" si="39"/>
        <v>-1.2863041851566412</v>
      </c>
      <c r="N284" s="2">
        <v>0</v>
      </c>
      <c r="O284" s="2">
        <v>0</v>
      </c>
      <c r="P284" s="2">
        <v>0</v>
      </c>
      <c r="Q284" s="2">
        <v>0</v>
      </c>
      <c r="R284" s="2">
        <v>4.3899999999999997</v>
      </c>
      <c r="S284" s="2">
        <v>0</v>
      </c>
      <c r="T284" s="2">
        <v>0</v>
      </c>
      <c r="U284" s="2">
        <v>0</v>
      </c>
      <c r="V284" s="2">
        <v>0</v>
      </c>
      <c r="W284" s="2" t="e">
        <f t="shared" si="40"/>
        <v>#NUM!</v>
      </c>
      <c r="X284" s="2">
        <f t="shared" si="41"/>
        <v>2.1342209397606333</v>
      </c>
      <c r="Y284" s="2" t="e">
        <f t="shared" si="42"/>
        <v>#NUM!</v>
      </c>
      <c r="Z284" t="e">
        <f t="shared" si="43"/>
        <v>#NUM!</v>
      </c>
      <c r="AA284" t="e">
        <f t="shared" si="44"/>
        <v>#NUM!</v>
      </c>
      <c r="AB284" t="e">
        <f t="shared" si="45"/>
        <v>#NUM!</v>
      </c>
    </row>
    <row r="285" spans="1:28" ht="13.9" x14ac:dyDescent="0.3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f t="shared" si="37"/>
        <v>-0.57776699931695219</v>
      </c>
      <c r="L285" s="2">
        <f t="shared" si="38"/>
        <v>2.3419857472286161</v>
      </c>
      <c r="M285" s="2">
        <f t="shared" si="39"/>
        <v>1.5558161550616398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 t="e">
        <f t="shared" si="40"/>
        <v>#NUM!</v>
      </c>
      <c r="X285" s="2" t="e">
        <f t="shared" si="41"/>
        <v>#NUM!</v>
      </c>
      <c r="Y285" s="2" t="e">
        <f t="shared" si="42"/>
        <v>#NUM!</v>
      </c>
      <c r="Z285" t="e">
        <f t="shared" si="43"/>
        <v>#NUM!</v>
      </c>
      <c r="AA285" t="e">
        <f t="shared" si="44"/>
        <v>#NUM!</v>
      </c>
      <c r="AB285" t="e">
        <f t="shared" si="45"/>
        <v>#NUM!</v>
      </c>
    </row>
    <row r="286" spans="1:28" ht="13.9" x14ac:dyDescent="0.3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f t="shared" si="37"/>
        <v>-2.1844245711374275</v>
      </c>
      <c r="L286" s="2" t="e">
        <f t="shared" si="38"/>
        <v>#NUM!</v>
      </c>
      <c r="M286" s="2" t="e">
        <f t="shared" si="39"/>
        <v>#NUM!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 t="e">
        <f t="shared" si="40"/>
        <v>#NUM!</v>
      </c>
      <c r="X286" s="2" t="e">
        <f t="shared" si="41"/>
        <v>#NUM!</v>
      </c>
      <c r="Y286" s="2" t="e">
        <f t="shared" si="42"/>
        <v>#NUM!</v>
      </c>
      <c r="Z286" t="e">
        <f t="shared" si="43"/>
        <v>#NUM!</v>
      </c>
      <c r="AA286" t="e">
        <f t="shared" si="44"/>
        <v>#NUM!</v>
      </c>
      <c r="AB286" t="e">
        <f t="shared" si="45"/>
        <v>#NUM!</v>
      </c>
    </row>
    <row r="287" spans="1:28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 t="e">
        <f t="shared" si="37"/>
        <v>#NUM!</v>
      </c>
      <c r="L287" s="2">
        <f t="shared" si="38"/>
        <v>-0.91593573521152549</v>
      </c>
      <c r="M287" s="2">
        <f t="shared" si="39"/>
        <v>-0.88896868761125614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 t="e">
        <f t="shared" si="40"/>
        <v>#NUM!</v>
      </c>
      <c r="X287" s="2" t="e">
        <f t="shared" si="41"/>
        <v>#NUM!</v>
      </c>
      <c r="Y287" s="2" t="e">
        <f t="shared" si="42"/>
        <v>#NUM!</v>
      </c>
      <c r="Z287" t="e">
        <f t="shared" si="43"/>
        <v>#NUM!</v>
      </c>
      <c r="AA287" t="e">
        <f t="shared" si="44"/>
        <v>#NUM!</v>
      </c>
      <c r="AB287" t="e">
        <f t="shared" si="45"/>
        <v>#NUM!</v>
      </c>
    </row>
    <row r="288" spans="1:28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 t="e">
        <f t="shared" si="37"/>
        <v>#NUM!</v>
      </c>
      <c r="L288" s="2">
        <f t="shared" si="38"/>
        <v>-8.9267338097087409E-2</v>
      </c>
      <c r="M288" s="2" t="e">
        <f t="shared" si="39"/>
        <v>#NUM!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 t="e">
        <f t="shared" si="40"/>
        <v>#NUM!</v>
      </c>
      <c r="X288" s="2" t="e">
        <f t="shared" si="41"/>
        <v>#NUM!</v>
      </c>
      <c r="Y288" s="2" t="e">
        <f t="shared" si="42"/>
        <v>#NUM!</v>
      </c>
      <c r="Z288" t="e">
        <f t="shared" si="43"/>
        <v>#NUM!</v>
      </c>
      <c r="AA288" t="e">
        <f t="shared" si="44"/>
        <v>#NUM!</v>
      </c>
      <c r="AB288" t="e">
        <f t="shared" si="45"/>
        <v>#NUM!</v>
      </c>
    </row>
    <row r="289" spans="1:28" ht="13.9" x14ac:dyDescent="0.3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f t="shared" si="37"/>
        <v>-2.1844245711374275</v>
      </c>
      <c r="L289" s="2" t="e">
        <f t="shared" si="38"/>
        <v>#NUM!</v>
      </c>
      <c r="M289" s="2" t="e">
        <f t="shared" si="39"/>
        <v>#NUM!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 t="e">
        <f t="shared" si="40"/>
        <v>#NUM!</v>
      </c>
      <c r="X289" s="2" t="e">
        <f t="shared" si="41"/>
        <v>#NUM!</v>
      </c>
      <c r="Y289" s="2" t="e">
        <f t="shared" si="42"/>
        <v>#NUM!</v>
      </c>
      <c r="Z289" t="e">
        <f t="shared" si="43"/>
        <v>#NUM!</v>
      </c>
      <c r="AA289" t="e">
        <f t="shared" si="44"/>
        <v>#NUM!</v>
      </c>
      <c r="AB289" t="e">
        <f t="shared" si="45"/>
        <v>#NUM!</v>
      </c>
    </row>
    <row r="290" spans="1:28" ht="13.9" x14ac:dyDescent="0.3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f t="shared" si="37"/>
        <v>1.4594316186372973</v>
      </c>
      <c r="L290" s="2">
        <f t="shared" si="38"/>
        <v>1.3391373849195856</v>
      </c>
      <c r="M290" s="2">
        <f t="shared" si="39"/>
        <v>1.1176950426697545</v>
      </c>
      <c r="N290" s="2">
        <v>0</v>
      </c>
      <c r="O290" s="2">
        <v>0</v>
      </c>
      <c r="P290" s="2">
        <v>0</v>
      </c>
      <c r="Q290" s="2">
        <v>4.6100000000000003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 t="e">
        <f t="shared" si="40"/>
        <v>#NUM!</v>
      </c>
      <c r="X290" s="2">
        <f t="shared" si="41"/>
        <v>2.2047667506546134</v>
      </c>
      <c r="Y290" s="2" t="e">
        <f t="shared" si="42"/>
        <v>#NUM!</v>
      </c>
      <c r="Z290" t="e">
        <f t="shared" si="43"/>
        <v>#NUM!</v>
      </c>
      <c r="AA290">
        <f t="shared" si="44"/>
        <v>0.71932205914825209</v>
      </c>
      <c r="AB290" t="e">
        <f t="shared" si="45"/>
        <v>#NUM!</v>
      </c>
    </row>
    <row r="291" spans="1:28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 t="e">
        <f t="shared" si="37"/>
        <v>#NUM!</v>
      </c>
      <c r="L291" s="2" t="e">
        <f t="shared" si="38"/>
        <v>#NUM!</v>
      </c>
      <c r="M291" s="2">
        <f t="shared" si="39"/>
        <v>-1.2863041851566412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 t="e">
        <f t="shared" si="40"/>
        <v>#NUM!</v>
      </c>
      <c r="X291" s="2" t="e">
        <f t="shared" si="41"/>
        <v>#NUM!</v>
      </c>
      <c r="Y291" s="2" t="e">
        <f t="shared" si="42"/>
        <v>#NUM!</v>
      </c>
      <c r="Z291" t="e">
        <f t="shared" si="43"/>
        <v>#NUM!</v>
      </c>
      <c r="AA291" t="e">
        <f t="shared" si="44"/>
        <v>#NUM!</v>
      </c>
      <c r="AB291" t="e">
        <f t="shared" si="45"/>
        <v>#NUM!</v>
      </c>
    </row>
    <row r="292" spans="1:28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 t="e">
        <f t="shared" si="37"/>
        <v>#NUM!</v>
      </c>
      <c r="L292" s="2" t="e">
        <f t="shared" si="38"/>
        <v>#NUM!</v>
      </c>
      <c r="M292" s="2" t="e">
        <f t="shared" si="39"/>
        <v>#NUM!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0.5</v>
      </c>
      <c r="W292" s="2" t="e">
        <f t="shared" si="40"/>
        <v>#NUM!</v>
      </c>
      <c r="X292" s="2" t="e">
        <f t="shared" si="41"/>
        <v>#NUM!</v>
      </c>
      <c r="Y292" s="2">
        <f t="shared" si="42"/>
        <v>-1</v>
      </c>
      <c r="Z292" t="e">
        <f t="shared" si="43"/>
        <v>#NUM!</v>
      </c>
      <c r="AA292" t="e">
        <f t="shared" si="44"/>
        <v>#NUM!</v>
      </c>
      <c r="AB292" t="e">
        <f t="shared" si="45"/>
        <v>#NUM!</v>
      </c>
    </row>
    <row r="293" spans="1:28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 t="e">
        <f t="shared" si="37"/>
        <v>#NUM!</v>
      </c>
      <c r="L293" s="2">
        <f t="shared" si="38"/>
        <v>-0.2515387669959645</v>
      </c>
      <c r="M293" s="2" t="e">
        <f t="shared" si="39"/>
        <v>#NUM!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 t="e">
        <f t="shared" si="40"/>
        <v>#NUM!</v>
      </c>
      <c r="X293" s="2" t="e">
        <f t="shared" si="41"/>
        <v>#NUM!</v>
      </c>
      <c r="Y293" s="2" t="e">
        <f t="shared" si="42"/>
        <v>#NUM!</v>
      </c>
      <c r="Z293" t="e">
        <f t="shared" si="43"/>
        <v>#NUM!</v>
      </c>
      <c r="AA293" t="e">
        <f t="shared" si="44"/>
        <v>#NUM!</v>
      </c>
      <c r="AB293" t="e">
        <f t="shared" si="45"/>
        <v>#NUM!</v>
      </c>
    </row>
    <row r="294" spans="1:28" ht="13.9" x14ac:dyDescent="0.3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f t="shared" si="37"/>
        <v>1.028569152196771</v>
      </c>
      <c r="L294" s="2" t="e">
        <f t="shared" si="38"/>
        <v>#NUM!</v>
      </c>
      <c r="M294" s="2" t="e">
        <f t="shared" si="39"/>
        <v>#NUM!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 t="e">
        <f t="shared" si="40"/>
        <v>#NUM!</v>
      </c>
      <c r="X294" s="2" t="e">
        <f t="shared" si="41"/>
        <v>#NUM!</v>
      </c>
      <c r="Y294" s="2" t="e">
        <f t="shared" si="42"/>
        <v>#NUM!</v>
      </c>
      <c r="Z294" t="e">
        <f t="shared" si="43"/>
        <v>#NUM!</v>
      </c>
      <c r="AA294" t="e">
        <f t="shared" si="44"/>
        <v>#NUM!</v>
      </c>
      <c r="AB294" t="e">
        <f t="shared" si="45"/>
        <v>#NUM!</v>
      </c>
    </row>
    <row r="295" spans="1:28" ht="13.9" x14ac:dyDescent="0.3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f t="shared" si="37"/>
        <v>0.46466826700344421</v>
      </c>
      <c r="L295" s="2">
        <f t="shared" si="38"/>
        <v>9.7610796626422344E-2</v>
      </c>
      <c r="M295" s="2">
        <f t="shared" si="39"/>
        <v>-0.97143084780322919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12.07</v>
      </c>
      <c r="W295" s="2" t="e">
        <f t="shared" si="40"/>
        <v>#NUM!</v>
      </c>
      <c r="X295" s="2" t="e">
        <f t="shared" si="41"/>
        <v>#NUM!</v>
      </c>
      <c r="Y295" s="2">
        <f t="shared" si="42"/>
        <v>3.593353770980297</v>
      </c>
      <c r="Z295" t="e">
        <f t="shared" si="43"/>
        <v>#NUM!</v>
      </c>
      <c r="AA295" t="e">
        <f t="shared" si="44"/>
        <v>#NUM!</v>
      </c>
      <c r="AB295" t="e">
        <f t="shared" si="45"/>
        <v>#NUM!</v>
      </c>
    </row>
    <row r="296" spans="1:28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 t="e">
        <f t="shared" si="37"/>
        <v>#NUM!</v>
      </c>
      <c r="L296" s="2">
        <f t="shared" si="38"/>
        <v>-1.3584539709124763</v>
      </c>
      <c r="M296" s="2" t="e">
        <f t="shared" si="39"/>
        <v>#NUM!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 t="e">
        <f t="shared" si="40"/>
        <v>#NUM!</v>
      </c>
      <c r="X296" s="2" t="e">
        <f t="shared" si="41"/>
        <v>#NUM!</v>
      </c>
      <c r="Y296" s="2" t="e">
        <f t="shared" si="42"/>
        <v>#NUM!</v>
      </c>
      <c r="Z296" t="e">
        <f t="shared" si="43"/>
        <v>#NUM!</v>
      </c>
      <c r="AA296" t="e">
        <f t="shared" si="44"/>
        <v>#NUM!</v>
      </c>
      <c r="AB296" t="e">
        <f t="shared" si="45"/>
        <v>#NUM!</v>
      </c>
    </row>
    <row r="297" spans="1:28" ht="13.9" x14ac:dyDescent="0.3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f t="shared" si="37"/>
        <v>-1.15200309344505</v>
      </c>
      <c r="L297" s="2">
        <f t="shared" si="38"/>
        <v>-1.2515387669959643</v>
      </c>
      <c r="M297" s="2">
        <f t="shared" si="39"/>
        <v>0.61353165291792711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0.18</v>
      </c>
      <c r="T297" s="2">
        <v>0</v>
      </c>
      <c r="U297" s="2">
        <v>0</v>
      </c>
      <c r="V297" s="2">
        <v>0</v>
      </c>
      <c r="W297" s="2" t="e">
        <f t="shared" si="40"/>
        <v>#NUM!</v>
      </c>
      <c r="X297" s="2">
        <f t="shared" si="41"/>
        <v>-2.4739311883324122</v>
      </c>
      <c r="Y297" s="2" t="e">
        <f t="shared" si="42"/>
        <v>#NUM!</v>
      </c>
      <c r="Z297" t="e">
        <f t="shared" si="43"/>
        <v>#NUM!</v>
      </c>
      <c r="AA297">
        <f t="shared" si="44"/>
        <v>0.9831023928656496</v>
      </c>
      <c r="AB297" t="e">
        <f t="shared" si="45"/>
        <v>#NUM!</v>
      </c>
    </row>
    <row r="298" spans="1:28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 t="e">
        <f t="shared" si="37"/>
        <v>#NUM!</v>
      </c>
      <c r="L298" s="2">
        <f t="shared" si="38"/>
        <v>-1.8889686876112561</v>
      </c>
      <c r="M298" s="2" t="e">
        <f t="shared" si="39"/>
        <v>#NUM!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 t="e">
        <f t="shared" si="40"/>
        <v>#NUM!</v>
      </c>
      <c r="X298" s="2" t="e">
        <f t="shared" si="41"/>
        <v>#NUM!</v>
      </c>
      <c r="Y298" s="2" t="e">
        <f t="shared" si="42"/>
        <v>#NUM!</v>
      </c>
      <c r="Z298" t="e">
        <f t="shared" si="43"/>
        <v>#NUM!</v>
      </c>
      <c r="AA298" t="e">
        <f t="shared" si="44"/>
        <v>#NUM!</v>
      </c>
      <c r="AB298" t="e">
        <f t="shared" si="45"/>
        <v>#NUM!</v>
      </c>
    </row>
    <row r="299" spans="1:28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 t="e">
        <f t="shared" si="37"/>
        <v>#NUM!</v>
      </c>
      <c r="L299" s="2" t="e">
        <f t="shared" si="38"/>
        <v>#NUM!</v>
      </c>
      <c r="M299" s="2">
        <f t="shared" si="39"/>
        <v>7.3532350610285766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 t="e">
        <f t="shared" si="40"/>
        <v>#NUM!</v>
      </c>
      <c r="X299" s="2" t="e">
        <f t="shared" si="41"/>
        <v>#NUM!</v>
      </c>
      <c r="Y299" s="2" t="e">
        <f t="shared" si="42"/>
        <v>#NUM!</v>
      </c>
      <c r="Z299" t="e">
        <f t="shared" si="43"/>
        <v>#NUM!</v>
      </c>
      <c r="AA299" t="e">
        <f t="shared" si="44"/>
        <v>#NUM!</v>
      </c>
      <c r="AB299" t="e">
        <f t="shared" si="45"/>
        <v>#NUM!</v>
      </c>
    </row>
    <row r="300" spans="1:28" ht="13.9" x14ac:dyDescent="0.3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f t="shared" si="37"/>
        <v>-3.1844245711374275</v>
      </c>
      <c r="L300" s="2" t="e">
        <f t="shared" si="38"/>
        <v>#NUM!</v>
      </c>
      <c r="M300" s="2" t="e">
        <f t="shared" si="39"/>
        <v>#NUM!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 t="e">
        <f t="shared" si="40"/>
        <v>#NUM!</v>
      </c>
      <c r="X300" s="2" t="e">
        <f t="shared" si="41"/>
        <v>#NUM!</v>
      </c>
      <c r="Y300" s="2" t="e">
        <f t="shared" si="42"/>
        <v>#NUM!</v>
      </c>
      <c r="Z300" t="e">
        <f t="shared" si="43"/>
        <v>#NUM!</v>
      </c>
      <c r="AA300" t="e">
        <f t="shared" si="44"/>
        <v>#NUM!</v>
      </c>
      <c r="AB300" t="e">
        <f t="shared" si="45"/>
        <v>#NUM!</v>
      </c>
    </row>
    <row r="301" spans="1:28" ht="13.9" x14ac:dyDescent="0.3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f t="shared" si="37"/>
        <v>-2.1844245711374275</v>
      </c>
      <c r="L301" s="2" t="e">
        <f t="shared" si="38"/>
        <v>#NUM!</v>
      </c>
      <c r="M301" s="2" t="e">
        <f t="shared" si="39"/>
        <v>#NUM!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 t="e">
        <f t="shared" si="40"/>
        <v>#NUM!</v>
      </c>
      <c r="X301" s="2" t="e">
        <f t="shared" si="41"/>
        <v>#NUM!</v>
      </c>
      <c r="Y301" s="2" t="e">
        <f t="shared" si="42"/>
        <v>#NUM!</v>
      </c>
      <c r="Z301" t="e">
        <f t="shared" si="43"/>
        <v>#NUM!</v>
      </c>
      <c r="AA301" t="e">
        <f t="shared" si="44"/>
        <v>#NUM!</v>
      </c>
      <c r="AB301" t="e">
        <f t="shared" si="45"/>
        <v>#NUM!</v>
      </c>
    </row>
    <row r="302" spans="1:28" ht="13.9" x14ac:dyDescent="0.3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f t="shared" si="37"/>
        <v>-3.1844245711374275</v>
      </c>
      <c r="L302" s="2">
        <f t="shared" si="38"/>
        <v>1.4541758931858022</v>
      </c>
      <c r="M302" s="2">
        <f t="shared" si="39"/>
        <v>-2.8365012677171206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 t="e">
        <f t="shared" si="40"/>
        <v>#NUM!</v>
      </c>
      <c r="X302" s="2" t="e">
        <f t="shared" si="41"/>
        <v>#NUM!</v>
      </c>
      <c r="Y302" s="2" t="e">
        <f t="shared" si="42"/>
        <v>#NUM!</v>
      </c>
      <c r="Z302" t="e">
        <f t="shared" si="43"/>
        <v>#NUM!</v>
      </c>
      <c r="AA302" t="e">
        <f t="shared" si="44"/>
        <v>#NUM!</v>
      </c>
      <c r="AB302" t="e">
        <f t="shared" si="45"/>
        <v>#NUM!</v>
      </c>
    </row>
    <row r="303" spans="1:28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 t="e">
        <f t="shared" si="37"/>
        <v>#NUM!</v>
      </c>
      <c r="L303" s="2">
        <f t="shared" si="38"/>
        <v>-1.0291463456595165</v>
      </c>
      <c r="M303" s="2">
        <f t="shared" si="39"/>
        <v>-0.47393118833241243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 t="e">
        <f t="shared" si="40"/>
        <v>#NUM!</v>
      </c>
      <c r="X303" s="2" t="e">
        <f t="shared" si="41"/>
        <v>#NUM!</v>
      </c>
      <c r="Y303" s="2" t="e">
        <f t="shared" si="42"/>
        <v>#NUM!</v>
      </c>
      <c r="Z303" t="e">
        <f t="shared" si="43"/>
        <v>#NUM!</v>
      </c>
      <c r="AA303" t="e">
        <f t="shared" si="44"/>
        <v>#NUM!</v>
      </c>
      <c r="AB303" t="e">
        <f t="shared" si="45"/>
        <v>#NUM!</v>
      </c>
    </row>
    <row r="304" spans="1:28" ht="13.9" x14ac:dyDescent="0.3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f t="shared" si="37"/>
        <v>3.9606970393043124</v>
      </c>
      <c r="L304" s="2">
        <f t="shared" si="38"/>
        <v>4.3840498067951605</v>
      </c>
      <c r="M304" s="2">
        <f t="shared" si="39"/>
        <v>3.8268026842858269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19.100000000000001</v>
      </c>
      <c r="W304" s="2" t="e">
        <f t="shared" si="40"/>
        <v>#NUM!</v>
      </c>
      <c r="X304" s="2" t="e">
        <f t="shared" si="41"/>
        <v>#NUM!</v>
      </c>
      <c r="Y304" s="2">
        <f t="shared" si="42"/>
        <v>4.2555007331483869</v>
      </c>
      <c r="Z304" t="e">
        <f t="shared" si="43"/>
        <v>#NUM!</v>
      </c>
      <c r="AA304" t="e">
        <f t="shared" si="44"/>
        <v>#NUM!</v>
      </c>
      <c r="AB304">
        <f t="shared" si="45"/>
        <v>0.15318938449121977</v>
      </c>
    </row>
    <row r="305" spans="1:28" ht="13.9" x14ac:dyDescent="0.3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f t="shared" si="37"/>
        <v>0.5945485495503543</v>
      </c>
      <c r="L305" s="2" t="e">
        <f t="shared" si="38"/>
        <v>#NUM!</v>
      </c>
      <c r="M305" s="2" t="e">
        <f t="shared" si="39"/>
        <v>#NUM!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 t="e">
        <f t="shared" si="40"/>
        <v>#NUM!</v>
      </c>
      <c r="X305" s="2" t="e">
        <f t="shared" si="41"/>
        <v>#NUM!</v>
      </c>
      <c r="Y305" s="2" t="e">
        <f t="shared" si="42"/>
        <v>#NUM!</v>
      </c>
      <c r="Z305" t="e">
        <f t="shared" si="43"/>
        <v>#NUM!</v>
      </c>
      <c r="AA305" t="e">
        <f t="shared" si="44"/>
        <v>#NUM!</v>
      </c>
      <c r="AB305" t="e">
        <f t="shared" si="45"/>
        <v>#NUM!</v>
      </c>
    </row>
    <row r="306" spans="1:28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 t="e">
        <f t="shared" si="37"/>
        <v>#NUM!</v>
      </c>
      <c r="L306" s="2">
        <f t="shared" si="38"/>
        <v>-0.81096617560998285</v>
      </c>
      <c r="M306" s="2">
        <f t="shared" si="39"/>
        <v>-2.8365012677171206</v>
      </c>
      <c r="N306" s="2">
        <v>0</v>
      </c>
      <c r="O306" s="2">
        <v>0.57999999999999996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f t="shared" si="40"/>
        <v>-0.78587519464715272</v>
      </c>
      <c r="X306" s="2" t="e">
        <f t="shared" si="41"/>
        <v>#NUM!</v>
      </c>
      <c r="Y306" s="2" t="e">
        <f t="shared" si="42"/>
        <v>#NUM!</v>
      </c>
      <c r="Z306" t="e">
        <f t="shared" si="43"/>
        <v>#NUM!</v>
      </c>
      <c r="AA306" t="e">
        <f t="shared" si="44"/>
        <v>#NUM!</v>
      </c>
      <c r="AB306" t="e">
        <f t="shared" si="45"/>
        <v>#NUM!</v>
      </c>
    </row>
    <row r="307" spans="1:28" ht="13.9" x14ac:dyDescent="0.3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f t="shared" si="37"/>
        <v>4.5777309314900805</v>
      </c>
      <c r="L307" s="2">
        <f t="shared" si="38"/>
        <v>4.1747259877061333</v>
      </c>
      <c r="M307" s="2">
        <f t="shared" si="39"/>
        <v>6.6024390637416186</v>
      </c>
      <c r="N307" s="2">
        <v>11.27</v>
      </c>
      <c r="O307" s="2">
        <v>0</v>
      </c>
      <c r="P307" s="2">
        <v>0</v>
      </c>
      <c r="Q307" s="2">
        <v>0</v>
      </c>
      <c r="R307" s="2">
        <v>14.15</v>
      </c>
      <c r="S307" s="2">
        <v>0</v>
      </c>
      <c r="T307" s="2">
        <v>0</v>
      </c>
      <c r="U307" s="2">
        <v>0</v>
      </c>
      <c r="V307" s="2">
        <v>0</v>
      </c>
      <c r="W307" s="2">
        <f t="shared" si="40"/>
        <v>3.4944156103974962</v>
      </c>
      <c r="X307" s="2">
        <f t="shared" si="41"/>
        <v>3.8227301479445206</v>
      </c>
      <c r="Y307" s="2" t="e">
        <f t="shared" si="42"/>
        <v>#NUM!</v>
      </c>
      <c r="Z307">
        <f t="shared" si="43"/>
        <v>-0.38958146083316675</v>
      </c>
      <c r="AA307">
        <f t="shared" si="44"/>
        <v>-0.12707814613436716</v>
      </c>
      <c r="AB307" t="e">
        <f t="shared" si="45"/>
        <v>#NUM!</v>
      </c>
    </row>
    <row r="308" spans="1:28" ht="13.9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 t="e">
        <f t="shared" si="37"/>
        <v>#NUM!</v>
      </c>
      <c r="L308" s="2">
        <f t="shared" si="38"/>
        <v>-0.68965987938784945</v>
      </c>
      <c r="M308" s="2">
        <f t="shared" si="39"/>
        <v>-2.2515387669959646</v>
      </c>
      <c r="N308" s="2">
        <v>0</v>
      </c>
      <c r="O308" s="2">
        <v>0</v>
      </c>
      <c r="P308" s="2">
        <v>7.52</v>
      </c>
      <c r="Q308" s="2">
        <v>0</v>
      </c>
      <c r="R308" s="2">
        <v>0</v>
      </c>
      <c r="S308" s="2">
        <v>5.28</v>
      </c>
      <c r="T308" s="2">
        <v>0</v>
      </c>
      <c r="U308" s="2">
        <v>0</v>
      </c>
      <c r="V308" s="2">
        <v>0</v>
      </c>
      <c r="W308" s="2">
        <f t="shared" si="40"/>
        <v>2.9107326619029124</v>
      </c>
      <c r="X308" s="2">
        <f t="shared" si="41"/>
        <v>2.400537929583729</v>
      </c>
      <c r="Y308" s="2" t="e">
        <f t="shared" si="42"/>
        <v>#NUM!</v>
      </c>
      <c r="Z308" t="e">
        <f t="shared" si="43"/>
        <v>#NUM!</v>
      </c>
      <c r="AA308" t="e">
        <f t="shared" si="44"/>
        <v>#NUM!</v>
      </c>
      <c r="AB308" t="e">
        <f t="shared" si="45"/>
        <v>#NUM!</v>
      </c>
    </row>
    <row r="309" spans="1:28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 t="e">
        <f t="shared" si="37"/>
        <v>#NUM!</v>
      </c>
      <c r="L309" s="2">
        <f t="shared" si="38"/>
        <v>-3.3219280948873622</v>
      </c>
      <c r="M309" s="2">
        <f t="shared" si="39"/>
        <v>-3.3219280948873622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 t="e">
        <f t="shared" si="40"/>
        <v>#NUM!</v>
      </c>
      <c r="X309" s="2" t="e">
        <f t="shared" si="41"/>
        <v>#NUM!</v>
      </c>
      <c r="Y309" s="2" t="e">
        <f t="shared" si="42"/>
        <v>#NUM!</v>
      </c>
      <c r="Z309" t="e">
        <f t="shared" si="43"/>
        <v>#NUM!</v>
      </c>
      <c r="AA309" t="e">
        <f t="shared" si="44"/>
        <v>#NUM!</v>
      </c>
      <c r="AB309" t="e">
        <f t="shared" si="45"/>
        <v>#NUM!</v>
      </c>
    </row>
    <row r="310" spans="1:28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 t="e">
        <f t="shared" si="37"/>
        <v>#NUM!</v>
      </c>
      <c r="L310" s="2">
        <f t="shared" si="38"/>
        <v>-3.3219280948873622</v>
      </c>
      <c r="M310" s="2">
        <f t="shared" si="39"/>
        <v>-3.3219280948873622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 t="e">
        <f t="shared" si="40"/>
        <v>#NUM!</v>
      </c>
      <c r="X310" s="2" t="e">
        <f t="shared" si="41"/>
        <v>#NUM!</v>
      </c>
      <c r="Y310" s="2" t="e">
        <f t="shared" si="42"/>
        <v>#NUM!</v>
      </c>
      <c r="Z310" t="e">
        <f t="shared" si="43"/>
        <v>#NUM!</v>
      </c>
      <c r="AA310" t="e">
        <f t="shared" si="44"/>
        <v>#NUM!</v>
      </c>
      <c r="AB310" t="e">
        <f t="shared" si="45"/>
        <v>#NUM!</v>
      </c>
    </row>
    <row r="311" spans="1:28" ht="13.9" x14ac:dyDescent="0.3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f t="shared" si="37"/>
        <v>-3.1844245711374275</v>
      </c>
      <c r="L311" s="2">
        <f t="shared" si="38"/>
        <v>9.7610796626422344E-2</v>
      </c>
      <c r="M311" s="2">
        <f t="shared" si="39"/>
        <v>4.2644337408493722E-2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2.93</v>
      </c>
      <c r="V311" s="2">
        <v>0</v>
      </c>
      <c r="W311" s="2" t="e">
        <f t="shared" si="40"/>
        <v>#NUM!</v>
      </c>
      <c r="X311" s="2" t="e">
        <f t="shared" si="41"/>
        <v>#NUM!</v>
      </c>
      <c r="Y311" s="2">
        <f t="shared" si="42"/>
        <v>1.5509006646475234</v>
      </c>
      <c r="Z311" t="e">
        <f t="shared" si="43"/>
        <v>#NUM!</v>
      </c>
      <c r="AA311" t="e">
        <f t="shared" si="44"/>
        <v>#NUM!</v>
      </c>
      <c r="AB311">
        <f t="shared" si="45"/>
        <v>5.1846082904735615</v>
      </c>
    </row>
    <row r="312" spans="1:28" ht="13.9" x14ac:dyDescent="0.3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f t="shared" si="37"/>
        <v>-1.5994620704162712</v>
      </c>
      <c r="L312" s="2" t="e">
        <f t="shared" si="38"/>
        <v>#NUM!</v>
      </c>
      <c r="M312" s="2" t="e">
        <f t="shared" si="39"/>
        <v>#NUM!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 t="e">
        <f t="shared" si="40"/>
        <v>#NUM!</v>
      </c>
      <c r="X312" s="2" t="e">
        <f t="shared" si="41"/>
        <v>#NUM!</v>
      </c>
      <c r="Y312" s="2" t="e">
        <f t="shared" si="42"/>
        <v>#NUM!</v>
      </c>
      <c r="Z312" t="e">
        <f t="shared" si="43"/>
        <v>#NUM!</v>
      </c>
      <c r="AA312" t="e">
        <f t="shared" si="44"/>
        <v>#NUM!</v>
      </c>
      <c r="AB312" t="e">
        <f t="shared" si="45"/>
        <v>#NUM!</v>
      </c>
    </row>
    <row r="313" spans="1:28" ht="13.9" x14ac:dyDescent="0.3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f t="shared" si="37"/>
        <v>4.5759173611181492</v>
      </c>
      <c r="L313" s="2">
        <f t="shared" si="38"/>
        <v>4.5619370596224327</v>
      </c>
      <c r="M313" s="2">
        <f t="shared" si="39"/>
        <v>3.9708536543404835</v>
      </c>
      <c r="N313" s="2">
        <v>0</v>
      </c>
      <c r="O313" s="2">
        <v>0.28999999999999998</v>
      </c>
      <c r="P313" s="2">
        <v>0.26</v>
      </c>
      <c r="Q313" s="2">
        <v>6.92</v>
      </c>
      <c r="R313" s="2">
        <v>8.2899999999999991</v>
      </c>
      <c r="S313" s="2">
        <v>2.1800000000000002</v>
      </c>
      <c r="T313" s="2">
        <v>0</v>
      </c>
      <c r="U313" s="2">
        <v>2.09</v>
      </c>
      <c r="V313" s="2">
        <v>5.03</v>
      </c>
      <c r="W313" s="2">
        <f t="shared" si="40"/>
        <v>-0.86249647625006509</v>
      </c>
      <c r="X313" s="2">
        <f t="shared" si="41"/>
        <v>4.1201860275318625</v>
      </c>
      <c r="Y313" s="2">
        <f t="shared" si="42"/>
        <v>2.8318772411916733</v>
      </c>
      <c r="Z313" t="e">
        <f t="shared" si="43"/>
        <v>#NUM!</v>
      </c>
      <c r="AA313">
        <f t="shared" si="44"/>
        <v>-0.14693706517838706</v>
      </c>
      <c r="AB313">
        <f t="shared" si="45"/>
        <v>-0.48769046386121695</v>
      </c>
    </row>
    <row r="314" spans="1:28" ht="13.9" x14ac:dyDescent="0.3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f t="shared" si="37"/>
        <v>1.9221978483963671</v>
      </c>
      <c r="L314" s="2">
        <f t="shared" si="38"/>
        <v>-0.45403163089470749</v>
      </c>
      <c r="M314" s="2">
        <f t="shared" si="39"/>
        <v>-1.2863041851566412</v>
      </c>
      <c r="N314" s="2">
        <v>6.82</v>
      </c>
      <c r="O314" s="2">
        <v>10.41</v>
      </c>
      <c r="P314" s="2">
        <v>7.52</v>
      </c>
      <c r="Q314" s="2">
        <v>4.28</v>
      </c>
      <c r="R314" s="2">
        <v>0</v>
      </c>
      <c r="S314" s="2">
        <v>0</v>
      </c>
      <c r="T314" s="2">
        <v>0</v>
      </c>
      <c r="U314" s="2">
        <v>0.21</v>
      </c>
      <c r="V314" s="2">
        <v>0.5</v>
      </c>
      <c r="W314" s="2">
        <f t="shared" si="40"/>
        <v>4.6293566200796104</v>
      </c>
      <c r="X314" s="2">
        <f t="shared" si="41"/>
        <v>2.0976107966264221</v>
      </c>
      <c r="Y314" s="2">
        <f t="shared" si="42"/>
        <v>-0.49410907027004275</v>
      </c>
      <c r="Z314">
        <f t="shared" si="43"/>
        <v>1.2680548663910221</v>
      </c>
      <c r="AA314" t="e">
        <f t="shared" si="44"/>
        <v>#NUM!</v>
      </c>
      <c r="AB314">
        <f t="shared" si="45"/>
        <v>-1.3803304070404832</v>
      </c>
    </row>
    <row r="315" spans="1:28" ht="13.9" x14ac:dyDescent="0.3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f t="shared" si="37"/>
        <v>-0.55639334852438527</v>
      </c>
      <c r="L315" s="2" t="e">
        <f t="shared" si="38"/>
        <v>#NUM!</v>
      </c>
      <c r="M315" s="2" t="e">
        <f t="shared" si="39"/>
        <v>#NUM!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 t="e">
        <f t="shared" si="40"/>
        <v>#NUM!</v>
      </c>
      <c r="X315" s="2" t="e">
        <f t="shared" si="41"/>
        <v>#NUM!</v>
      </c>
      <c r="Y315" s="2" t="e">
        <f t="shared" si="42"/>
        <v>#NUM!</v>
      </c>
      <c r="Z315" t="e">
        <f t="shared" si="43"/>
        <v>#NUM!</v>
      </c>
      <c r="AA315" t="e">
        <f t="shared" si="44"/>
        <v>#NUM!</v>
      </c>
      <c r="AB315" t="e">
        <f t="shared" si="45"/>
        <v>#NUM!</v>
      </c>
    </row>
    <row r="316" spans="1:28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 t="e">
        <f t="shared" si="37"/>
        <v>#NUM!</v>
      </c>
      <c r="L316" s="2">
        <f t="shared" si="38"/>
        <v>-0.66657626627480826</v>
      </c>
      <c r="M316" s="2" t="e">
        <f t="shared" si="39"/>
        <v>#NUM!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 t="e">
        <f t="shared" si="40"/>
        <v>#NUM!</v>
      </c>
      <c r="X316" s="2" t="e">
        <f t="shared" si="41"/>
        <v>#NUM!</v>
      </c>
      <c r="Y316" s="2" t="e">
        <f t="shared" si="42"/>
        <v>#NUM!</v>
      </c>
      <c r="Z316" t="e">
        <f t="shared" si="43"/>
        <v>#NUM!</v>
      </c>
      <c r="AA316" t="e">
        <f t="shared" si="44"/>
        <v>#NUM!</v>
      </c>
      <c r="AB316" t="e">
        <f t="shared" si="45"/>
        <v>#NUM!</v>
      </c>
    </row>
    <row r="317" spans="1:28" ht="13.9" x14ac:dyDescent="0.3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f t="shared" si="37"/>
        <v>2.485426827170242</v>
      </c>
      <c r="L317" s="2">
        <f t="shared" si="38"/>
        <v>1.4276061727818998</v>
      </c>
      <c r="M317" s="2">
        <f t="shared" si="39"/>
        <v>2.5509006646475232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 t="e">
        <f t="shared" si="40"/>
        <v>#NUM!</v>
      </c>
      <c r="X317" s="2" t="e">
        <f t="shared" si="41"/>
        <v>#NUM!</v>
      </c>
      <c r="Y317" s="2" t="e">
        <f t="shared" si="42"/>
        <v>#NUM!</v>
      </c>
      <c r="Z317" t="e">
        <f t="shared" si="43"/>
        <v>#NUM!</v>
      </c>
      <c r="AA317" t="e">
        <f t="shared" si="44"/>
        <v>#NUM!</v>
      </c>
      <c r="AB317" t="e">
        <f t="shared" si="45"/>
        <v>#NUM!</v>
      </c>
    </row>
    <row r="318" spans="1:28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 t="e">
        <f t="shared" si="37"/>
        <v>#NUM!</v>
      </c>
      <c r="L318" s="2">
        <f t="shared" si="38"/>
        <v>-0.43440282414577491</v>
      </c>
      <c r="M318" s="2" t="e">
        <f t="shared" si="39"/>
        <v>#NUM!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 t="e">
        <f t="shared" si="40"/>
        <v>#NUM!</v>
      </c>
      <c r="X318" s="2" t="e">
        <f t="shared" si="41"/>
        <v>#NUM!</v>
      </c>
      <c r="Y318" s="2" t="e">
        <f t="shared" si="42"/>
        <v>#NUM!</v>
      </c>
      <c r="Z318" t="e">
        <f t="shared" si="43"/>
        <v>#NUM!</v>
      </c>
      <c r="AA318" t="e">
        <f t="shared" si="44"/>
        <v>#NUM!</v>
      </c>
      <c r="AB318" t="e">
        <f t="shared" si="45"/>
        <v>#NUM!</v>
      </c>
    </row>
    <row r="319" spans="1:28" ht="13.9" x14ac:dyDescent="0.3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f t="shared" si="37"/>
        <v>-0.57776699931695219</v>
      </c>
      <c r="L319" s="2" t="e">
        <f t="shared" si="38"/>
        <v>#NUM!</v>
      </c>
      <c r="M319" s="2" t="e">
        <f t="shared" si="39"/>
        <v>#NUM!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 t="e">
        <f t="shared" si="40"/>
        <v>#NUM!</v>
      </c>
      <c r="X319" s="2" t="e">
        <f t="shared" si="41"/>
        <v>#NUM!</v>
      </c>
      <c r="Y319" s="2" t="e">
        <f t="shared" si="42"/>
        <v>#NUM!</v>
      </c>
      <c r="Z319" t="e">
        <f t="shared" si="43"/>
        <v>#NUM!</v>
      </c>
      <c r="AA319" t="e">
        <f t="shared" si="44"/>
        <v>#NUM!</v>
      </c>
      <c r="AB319" t="e">
        <f t="shared" si="45"/>
        <v>#NUM!</v>
      </c>
    </row>
    <row r="320" spans="1:28" ht="13.9" x14ac:dyDescent="0.3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 t="e">
        <f t="shared" si="37"/>
        <v>#NUM!</v>
      </c>
      <c r="L320" s="2" t="e">
        <f t="shared" si="38"/>
        <v>#NUM!</v>
      </c>
      <c r="M320" s="2" t="e">
        <f t="shared" si="39"/>
        <v>#NUM!</v>
      </c>
      <c r="N320" s="2">
        <v>0</v>
      </c>
      <c r="O320" s="2">
        <v>0.57999999999999996</v>
      </c>
      <c r="P320" s="2">
        <v>1.3</v>
      </c>
      <c r="Q320" s="2">
        <v>2.31</v>
      </c>
      <c r="R320" s="2">
        <v>0.24</v>
      </c>
      <c r="S320" s="2">
        <v>0</v>
      </c>
      <c r="T320" s="2">
        <v>0</v>
      </c>
      <c r="U320" s="2">
        <v>0.21</v>
      </c>
      <c r="V320" s="2">
        <v>0</v>
      </c>
      <c r="W320" s="2">
        <f t="shared" si="40"/>
        <v>0.91073266190291258</v>
      </c>
      <c r="X320" s="2">
        <f t="shared" si="41"/>
        <v>1.3504972470841332</v>
      </c>
      <c r="Y320" s="2">
        <f t="shared" si="42"/>
        <v>-2.2515387669959646</v>
      </c>
      <c r="Z320" t="e">
        <f t="shared" si="43"/>
        <v>#NUM!</v>
      </c>
      <c r="AA320" t="e">
        <f t="shared" si="44"/>
        <v>#NUM!</v>
      </c>
      <c r="AB320" t="e">
        <f t="shared" si="45"/>
        <v>#NUM!</v>
      </c>
    </row>
    <row r="321" spans="1:28" ht="13.9" x14ac:dyDescent="0.3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f t="shared" si="37"/>
        <v>1.7441610955704099</v>
      </c>
      <c r="L321" s="2">
        <f t="shared" si="38"/>
        <v>0.26303440583379406</v>
      </c>
      <c r="M321" s="2">
        <f t="shared" si="39"/>
        <v>1.3895668117627258</v>
      </c>
      <c r="N321" s="2">
        <v>0</v>
      </c>
      <c r="O321" s="2">
        <v>0</v>
      </c>
      <c r="P321" s="2">
        <v>0</v>
      </c>
      <c r="Q321" s="2">
        <v>0.99</v>
      </c>
      <c r="R321" s="2">
        <v>0</v>
      </c>
      <c r="S321" s="2">
        <v>7.1</v>
      </c>
      <c r="T321" s="2">
        <v>0</v>
      </c>
      <c r="U321" s="2">
        <v>0</v>
      </c>
      <c r="V321" s="2">
        <v>16.09</v>
      </c>
      <c r="W321" s="2" t="e">
        <f t="shared" si="40"/>
        <v>#NUM!</v>
      </c>
      <c r="X321" s="2">
        <f t="shared" si="41"/>
        <v>3.016139702655253</v>
      </c>
      <c r="Y321" s="2">
        <f t="shared" si="42"/>
        <v>4.0080924209487216</v>
      </c>
      <c r="Z321" t="e">
        <f t="shared" si="43"/>
        <v>#NUM!</v>
      </c>
      <c r="AA321">
        <f t="shared" si="44"/>
        <v>3.5193798268228673</v>
      </c>
      <c r="AB321">
        <f t="shared" si="45"/>
        <v>1.528280572998846</v>
      </c>
    </row>
    <row r="322" spans="1:28" ht="13.9" x14ac:dyDescent="0.3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f t="shared" si="37"/>
        <v>2.7506065048355928</v>
      </c>
      <c r="L322" s="2">
        <f t="shared" si="38"/>
        <v>3.9467308601403093</v>
      </c>
      <c r="M322" s="2">
        <f t="shared" si="39"/>
        <v>3.5631581304028077</v>
      </c>
      <c r="N322" s="2">
        <v>10.09</v>
      </c>
      <c r="O322" s="2">
        <v>0</v>
      </c>
      <c r="P322" s="2">
        <v>0</v>
      </c>
      <c r="Q322" s="2">
        <v>17.14</v>
      </c>
      <c r="R322" s="2">
        <v>6.59</v>
      </c>
      <c r="S322" s="2">
        <v>12.02</v>
      </c>
      <c r="T322" s="2">
        <v>23.18</v>
      </c>
      <c r="U322" s="2">
        <v>0</v>
      </c>
      <c r="V322" s="2">
        <v>15.08</v>
      </c>
      <c r="W322" s="2">
        <f t="shared" si="40"/>
        <v>3.3348542693316325</v>
      </c>
      <c r="X322" s="2">
        <f t="shared" si="41"/>
        <v>5.1598713367783899</v>
      </c>
      <c r="Y322" s="2">
        <f t="shared" si="42"/>
        <v>5.2577649685713874</v>
      </c>
      <c r="Z322">
        <f t="shared" si="43"/>
        <v>0.2778739521539132</v>
      </c>
      <c r="AA322">
        <f t="shared" si="44"/>
        <v>0.38667695126377222</v>
      </c>
      <c r="AB322">
        <f t="shared" si="45"/>
        <v>0.56129314170432121</v>
      </c>
    </row>
    <row r="323" spans="1:28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 t="e">
        <f t="shared" ref="K323:K386" si="46">LOG(SUM(B323:D323),2)</f>
        <v>#NUM!</v>
      </c>
      <c r="L323" s="2">
        <f t="shared" ref="L323:L386" si="47">LOG(SUM(E323:G323),2)</f>
        <v>-0.91593573521152549</v>
      </c>
      <c r="M323" s="2" t="e">
        <f t="shared" ref="M323:M386" si="48">LOG(SUM(H323:J323),2)</f>
        <v>#NUM!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 t="e">
        <f t="shared" ref="W323:W386" si="49">LOG(SUM(N323:P323),2)</f>
        <v>#NUM!</v>
      </c>
      <c r="X323" s="2" t="e">
        <f t="shared" ref="X323:X386" si="50">LOG(SUM(Q323:S323),2)</f>
        <v>#NUM!</v>
      </c>
      <c r="Y323" s="2" t="e">
        <f t="shared" ref="Y323:Y386" si="51">LOG(SUM(T323:V323),2)</f>
        <v>#NUM!</v>
      </c>
      <c r="Z323" t="e">
        <f t="shared" ref="Z323:Z386" si="52">LOG(W323/K323,2)</f>
        <v>#NUM!</v>
      </c>
      <c r="AA323" t="e">
        <f t="shared" ref="AA323:AA386" si="53">LOG(X323/L323,2)</f>
        <v>#NUM!</v>
      </c>
      <c r="AB323" t="e">
        <f t="shared" ref="AB323:AB386" si="54">LOG(Y323/M323,2)</f>
        <v>#NUM!</v>
      </c>
    </row>
    <row r="324" spans="1:28" ht="13.9" x14ac:dyDescent="0.3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f t="shared" si="46"/>
        <v>3.2063306478710496</v>
      </c>
      <c r="L324" s="2">
        <f t="shared" si="47"/>
        <v>3.7623488156441294</v>
      </c>
      <c r="M324" s="2">
        <f t="shared" si="48"/>
        <v>2.9297909977185972</v>
      </c>
      <c r="N324" s="2">
        <v>0</v>
      </c>
      <c r="O324" s="2">
        <v>0</v>
      </c>
      <c r="P324" s="2">
        <v>0</v>
      </c>
      <c r="Q324" s="2">
        <v>0.33</v>
      </c>
      <c r="R324" s="2">
        <v>0</v>
      </c>
      <c r="S324" s="2">
        <v>0</v>
      </c>
      <c r="T324" s="2">
        <v>0.18</v>
      </c>
      <c r="U324" s="2">
        <v>6.91</v>
      </c>
      <c r="V324" s="2">
        <v>0</v>
      </c>
      <c r="W324" s="2" t="e">
        <f t="shared" si="49"/>
        <v>#NUM!</v>
      </c>
      <c r="X324" s="2">
        <f t="shared" si="50"/>
        <v>-1.5994620704162712</v>
      </c>
      <c r="Y324" s="2">
        <f t="shared" si="51"/>
        <v>2.8257856274647914</v>
      </c>
      <c r="Z324" t="e">
        <f t="shared" si="52"/>
        <v>#NUM!</v>
      </c>
      <c r="AA324" t="e">
        <f t="shared" si="53"/>
        <v>#NUM!</v>
      </c>
      <c r="AB324">
        <f t="shared" si="54"/>
        <v>-5.2145728220370821E-2</v>
      </c>
    </row>
    <row r="325" spans="1:28" ht="13.9" x14ac:dyDescent="0.3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f t="shared" si="46"/>
        <v>-0.57776699931695219</v>
      </c>
      <c r="L325" s="2">
        <f t="shared" si="47"/>
        <v>0.28688114778816154</v>
      </c>
      <c r="M325" s="2">
        <f t="shared" si="48"/>
        <v>-3.3219280948873622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 t="e">
        <f t="shared" si="49"/>
        <v>#NUM!</v>
      </c>
      <c r="X325" s="2" t="e">
        <f t="shared" si="50"/>
        <v>#NUM!</v>
      </c>
      <c r="Y325" s="2" t="e">
        <f t="shared" si="51"/>
        <v>#NUM!</v>
      </c>
      <c r="Z325" t="e">
        <f t="shared" si="52"/>
        <v>#NUM!</v>
      </c>
      <c r="AA325" t="e">
        <f t="shared" si="53"/>
        <v>#NUM!</v>
      </c>
      <c r="AB325" t="e">
        <f t="shared" si="54"/>
        <v>#NUM!</v>
      </c>
    </row>
    <row r="326" spans="1:28" ht="13.9" x14ac:dyDescent="0.3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f t="shared" si="46"/>
        <v>-0.66657626627480826</v>
      </c>
      <c r="L326" s="2">
        <f t="shared" si="47"/>
        <v>-1.7369655941662063</v>
      </c>
      <c r="M326" s="2" t="e">
        <f t="shared" si="48"/>
        <v>#NUM!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 t="e">
        <f t="shared" si="49"/>
        <v>#NUM!</v>
      </c>
      <c r="X326" s="2" t="e">
        <f t="shared" si="50"/>
        <v>#NUM!</v>
      </c>
      <c r="Y326" s="2" t="e">
        <f t="shared" si="51"/>
        <v>#NUM!</v>
      </c>
      <c r="Z326" t="e">
        <f t="shared" si="52"/>
        <v>#NUM!</v>
      </c>
      <c r="AA326" t="e">
        <f t="shared" si="53"/>
        <v>#NUM!</v>
      </c>
      <c r="AB326" t="e">
        <f t="shared" si="54"/>
        <v>#NUM!</v>
      </c>
    </row>
    <row r="327" spans="1:28" ht="13.9" x14ac:dyDescent="0.3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f t="shared" si="46"/>
        <v>-0.66657626627480826</v>
      </c>
      <c r="L327" s="2">
        <f t="shared" si="47"/>
        <v>-1.7369655941662063</v>
      </c>
      <c r="M327" s="2" t="e">
        <f t="shared" si="48"/>
        <v>#NUM!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 t="e">
        <f t="shared" si="49"/>
        <v>#NUM!</v>
      </c>
      <c r="X327" s="2" t="e">
        <f t="shared" si="50"/>
        <v>#NUM!</v>
      </c>
      <c r="Y327" s="2" t="e">
        <f t="shared" si="51"/>
        <v>#NUM!</v>
      </c>
      <c r="Z327" t="e">
        <f t="shared" si="52"/>
        <v>#NUM!</v>
      </c>
      <c r="AA327" t="e">
        <f t="shared" si="53"/>
        <v>#NUM!</v>
      </c>
      <c r="AB327" t="e">
        <f t="shared" si="54"/>
        <v>#NUM!</v>
      </c>
    </row>
    <row r="328" spans="1:28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 t="e">
        <f t="shared" si="46"/>
        <v>#NUM!</v>
      </c>
      <c r="L328" s="2" t="e">
        <f t="shared" si="47"/>
        <v>#NUM!</v>
      </c>
      <c r="M328" s="2">
        <f t="shared" si="48"/>
        <v>-2.2515387669959646</v>
      </c>
      <c r="N328" s="2">
        <v>0</v>
      </c>
      <c r="O328" s="2">
        <v>0</v>
      </c>
      <c r="P328" s="2">
        <v>0</v>
      </c>
      <c r="Q328" s="2">
        <v>4.9400000000000004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 t="e">
        <f t="shared" si="49"/>
        <v>#NUM!</v>
      </c>
      <c r="X328" s="2">
        <f t="shared" si="50"/>
        <v>2.304511041809953</v>
      </c>
      <c r="Y328" s="2" t="e">
        <f t="shared" si="51"/>
        <v>#NUM!</v>
      </c>
      <c r="Z328" t="e">
        <f t="shared" si="52"/>
        <v>#NUM!</v>
      </c>
      <c r="AA328" t="e">
        <f t="shared" si="53"/>
        <v>#NUM!</v>
      </c>
      <c r="AB328" t="e">
        <f t="shared" si="54"/>
        <v>#NUM!</v>
      </c>
    </row>
    <row r="329" spans="1:28" ht="13.9" x14ac:dyDescent="0.3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f t="shared" si="46"/>
        <v>0.15055967657538141</v>
      </c>
      <c r="L329" s="2">
        <f t="shared" si="47"/>
        <v>0.91073266190291258</v>
      </c>
      <c r="M329" s="2">
        <f t="shared" si="48"/>
        <v>0.61353165291792711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 t="e">
        <f t="shared" si="49"/>
        <v>#NUM!</v>
      </c>
      <c r="X329" s="2" t="e">
        <f t="shared" si="50"/>
        <v>#NUM!</v>
      </c>
      <c r="Y329" s="2" t="e">
        <f t="shared" si="51"/>
        <v>#NUM!</v>
      </c>
      <c r="Z329" t="e">
        <f t="shared" si="52"/>
        <v>#NUM!</v>
      </c>
      <c r="AA329" t="e">
        <f t="shared" si="53"/>
        <v>#NUM!</v>
      </c>
      <c r="AB329" t="e">
        <f t="shared" si="54"/>
        <v>#NUM!</v>
      </c>
    </row>
    <row r="330" spans="1:28" ht="13.9" x14ac:dyDescent="0.3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f t="shared" si="46"/>
        <v>-1.15200309344505</v>
      </c>
      <c r="L330" s="2">
        <f t="shared" si="47"/>
        <v>-1.2515387669959643</v>
      </c>
      <c r="M330" s="2" t="e">
        <f t="shared" si="48"/>
        <v>#NUM!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 t="e">
        <f t="shared" si="49"/>
        <v>#NUM!</v>
      </c>
      <c r="X330" s="2" t="e">
        <f t="shared" si="50"/>
        <v>#NUM!</v>
      </c>
      <c r="Y330" s="2" t="e">
        <f t="shared" si="51"/>
        <v>#NUM!</v>
      </c>
      <c r="Z330" t="e">
        <f t="shared" si="52"/>
        <v>#NUM!</v>
      </c>
      <c r="AA330" t="e">
        <f t="shared" si="53"/>
        <v>#NUM!</v>
      </c>
      <c r="AB330" t="e">
        <f t="shared" si="54"/>
        <v>#NUM!</v>
      </c>
    </row>
    <row r="331" spans="1:28" ht="13.9" x14ac:dyDescent="0.3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f t="shared" si="46"/>
        <v>-2</v>
      </c>
      <c r="L331" s="2" t="e">
        <f t="shared" si="47"/>
        <v>#NUM!</v>
      </c>
      <c r="M331" s="2" t="e">
        <f t="shared" si="48"/>
        <v>#NUM!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 t="e">
        <f t="shared" si="49"/>
        <v>#NUM!</v>
      </c>
      <c r="X331" s="2" t="e">
        <f t="shared" si="50"/>
        <v>#NUM!</v>
      </c>
      <c r="Y331" s="2" t="e">
        <f t="shared" si="51"/>
        <v>#NUM!</v>
      </c>
      <c r="Z331" t="e">
        <f t="shared" si="52"/>
        <v>#NUM!</v>
      </c>
      <c r="AA331" t="e">
        <f t="shared" si="53"/>
        <v>#NUM!</v>
      </c>
      <c r="AB331" t="e">
        <f t="shared" si="54"/>
        <v>#NUM!</v>
      </c>
    </row>
    <row r="332" spans="1:28" ht="13.9" x14ac:dyDescent="0.3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f t="shared" si="46"/>
        <v>-3.1844245711374275</v>
      </c>
      <c r="L332" s="2">
        <f t="shared" si="47"/>
        <v>1.5801454844233804</v>
      </c>
      <c r="M332" s="2">
        <f t="shared" si="48"/>
        <v>-2.2515387669959646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 t="e">
        <f t="shared" si="49"/>
        <v>#NUM!</v>
      </c>
      <c r="X332" s="2" t="e">
        <f t="shared" si="50"/>
        <v>#NUM!</v>
      </c>
      <c r="Y332" s="2" t="e">
        <f t="shared" si="51"/>
        <v>#NUM!</v>
      </c>
      <c r="Z332" t="e">
        <f t="shared" si="52"/>
        <v>#NUM!</v>
      </c>
      <c r="AA332" t="e">
        <f t="shared" si="53"/>
        <v>#NUM!</v>
      </c>
      <c r="AB332" t="e">
        <f t="shared" si="54"/>
        <v>#NUM!</v>
      </c>
    </row>
    <row r="333" spans="1:28" ht="13.9" x14ac:dyDescent="0.3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f t="shared" si="46"/>
        <v>1.3729520979118293</v>
      </c>
      <c r="L333" s="2">
        <f t="shared" si="47"/>
        <v>1.8519988371124465</v>
      </c>
      <c r="M333" s="2">
        <f t="shared" si="48"/>
        <v>0.44360665147561462</v>
      </c>
      <c r="N333" s="2">
        <v>4.8499999999999996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f t="shared" si="49"/>
        <v>2.2779847472997652</v>
      </c>
      <c r="X333" s="2" t="e">
        <f t="shared" si="50"/>
        <v>#NUM!</v>
      </c>
      <c r="Y333" s="2" t="e">
        <f t="shared" si="51"/>
        <v>#NUM!</v>
      </c>
      <c r="Z333">
        <f t="shared" si="52"/>
        <v>0.7304767962722627</v>
      </c>
      <c r="AA333" t="e">
        <f t="shared" si="53"/>
        <v>#NUM!</v>
      </c>
      <c r="AB333" t="e">
        <f t="shared" si="54"/>
        <v>#NUM!</v>
      </c>
    </row>
    <row r="334" spans="1:28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 t="e">
        <f t="shared" si="46"/>
        <v>#NUM!</v>
      </c>
      <c r="L334" s="2" t="e">
        <f t="shared" si="47"/>
        <v>#NUM!</v>
      </c>
      <c r="M334" s="2">
        <f t="shared" si="48"/>
        <v>-2.8365012677171206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 t="e">
        <f t="shared" si="49"/>
        <v>#NUM!</v>
      </c>
      <c r="X334" s="2" t="e">
        <f t="shared" si="50"/>
        <v>#NUM!</v>
      </c>
      <c r="Y334" s="2" t="e">
        <f t="shared" si="51"/>
        <v>#NUM!</v>
      </c>
      <c r="Z334" t="e">
        <f t="shared" si="52"/>
        <v>#NUM!</v>
      </c>
      <c r="AA334" t="e">
        <f t="shared" si="53"/>
        <v>#NUM!</v>
      </c>
      <c r="AB334" t="e">
        <f t="shared" si="54"/>
        <v>#NUM!</v>
      </c>
    </row>
    <row r="335" spans="1:28" ht="13.9" x14ac:dyDescent="0.3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f t="shared" si="46"/>
        <v>1.2927817492278462</v>
      </c>
      <c r="L335" s="2">
        <f t="shared" si="47"/>
        <v>1.7865963618908067</v>
      </c>
      <c r="M335" s="2">
        <f t="shared" si="48"/>
        <v>1.1176950426697545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 t="e">
        <f t="shared" si="49"/>
        <v>#NUM!</v>
      </c>
      <c r="X335" s="2" t="e">
        <f t="shared" si="50"/>
        <v>#NUM!</v>
      </c>
      <c r="Y335" s="2" t="e">
        <f t="shared" si="51"/>
        <v>#NUM!</v>
      </c>
      <c r="Z335" t="e">
        <f t="shared" si="52"/>
        <v>#NUM!</v>
      </c>
      <c r="AA335" t="e">
        <f t="shared" si="53"/>
        <v>#NUM!</v>
      </c>
      <c r="AB335" t="e">
        <f t="shared" si="54"/>
        <v>#NUM!</v>
      </c>
    </row>
    <row r="336" spans="1:28" ht="13.9" x14ac:dyDescent="0.3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f t="shared" si="46"/>
        <v>-1.5994620704162712</v>
      </c>
      <c r="L336" s="2" t="e">
        <f t="shared" si="47"/>
        <v>#NUM!</v>
      </c>
      <c r="M336" s="2" t="e">
        <f t="shared" si="48"/>
        <v>#NUM!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7.01</v>
      </c>
      <c r="U336" s="2">
        <v>0</v>
      </c>
      <c r="V336" s="2">
        <v>0</v>
      </c>
      <c r="W336" s="2" t="e">
        <f t="shared" si="49"/>
        <v>#NUM!</v>
      </c>
      <c r="X336" s="2" t="e">
        <f t="shared" si="50"/>
        <v>#NUM!</v>
      </c>
      <c r="Y336" s="2">
        <f t="shared" si="51"/>
        <v>2.8094144442358986</v>
      </c>
      <c r="Z336" t="e">
        <f t="shared" si="52"/>
        <v>#NUM!</v>
      </c>
      <c r="AA336" t="e">
        <f t="shared" si="53"/>
        <v>#NUM!</v>
      </c>
      <c r="AB336" t="e">
        <f t="shared" si="54"/>
        <v>#NUM!</v>
      </c>
    </row>
    <row r="337" spans="1:28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 t="e">
        <f t="shared" si="46"/>
        <v>#NUM!</v>
      </c>
      <c r="L337" s="2">
        <f t="shared" si="47"/>
        <v>-7.4000581443776928E-2</v>
      </c>
      <c r="M337" s="2" t="e">
        <f t="shared" si="48"/>
        <v>#NUM!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 t="e">
        <f t="shared" si="49"/>
        <v>#NUM!</v>
      </c>
      <c r="X337" s="2" t="e">
        <f t="shared" si="50"/>
        <v>#NUM!</v>
      </c>
      <c r="Y337" s="2" t="e">
        <f t="shared" si="51"/>
        <v>#NUM!</v>
      </c>
      <c r="Z337" t="e">
        <f t="shared" si="52"/>
        <v>#NUM!</v>
      </c>
      <c r="AA337" t="e">
        <f t="shared" si="53"/>
        <v>#NUM!</v>
      </c>
      <c r="AB337" t="e">
        <f t="shared" si="54"/>
        <v>#NUM!</v>
      </c>
    </row>
    <row r="338" spans="1:28" ht="13.9" x14ac:dyDescent="0.3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f t="shared" si="46"/>
        <v>1.636914580355878</v>
      </c>
      <c r="L338" s="2">
        <f t="shared" si="47"/>
        <v>1.0908534304511135</v>
      </c>
      <c r="M338" s="2">
        <f t="shared" si="48"/>
        <v>1.9927684307689242</v>
      </c>
      <c r="N338" s="2">
        <v>6.03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10.24</v>
      </c>
      <c r="U338" s="2">
        <v>0</v>
      </c>
      <c r="V338" s="2">
        <v>0</v>
      </c>
      <c r="W338" s="2">
        <f t="shared" si="49"/>
        <v>2.5921580021253603</v>
      </c>
      <c r="X338" s="2" t="e">
        <f t="shared" si="50"/>
        <v>#NUM!</v>
      </c>
      <c r="Y338" s="2">
        <f t="shared" si="51"/>
        <v>3.3561438102252756</v>
      </c>
      <c r="Z338">
        <f t="shared" si="52"/>
        <v>0.66317461963066915</v>
      </c>
      <c r="AA338" t="e">
        <f t="shared" si="53"/>
        <v>#NUM!</v>
      </c>
      <c r="AB338">
        <f t="shared" si="54"/>
        <v>0.75203046450690281</v>
      </c>
    </row>
    <row r="339" spans="1:28" ht="13.9" x14ac:dyDescent="0.3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f t="shared" si="46"/>
        <v>1.0143552929770701</v>
      </c>
      <c r="L339" s="2">
        <f t="shared" si="47"/>
        <v>1</v>
      </c>
      <c r="M339" s="2">
        <f t="shared" si="48"/>
        <v>7.0389327891398012E-2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5.28</v>
      </c>
      <c r="T339" s="2">
        <v>1.08</v>
      </c>
      <c r="U339" s="2">
        <v>0</v>
      </c>
      <c r="V339" s="2">
        <v>0</v>
      </c>
      <c r="W339" s="2" t="e">
        <f t="shared" si="49"/>
        <v>#NUM!</v>
      </c>
      <c r="X339" s="2">
        <f t="shared" si="50"/>
        <v>2.400537929583729</v>
      </c>
      <c r="Y339" s="2">
        <f t="shared" si="51"/>
        <v>0.11103131238874395</v>
      </c>
      <c r="Z339" t="e">
        <f t="shared" si="52"/>
        <v>#NUM!</v>
      </c>
      <c r="AA339">
        <f t="shared" si="53"/>
        <v>1.2633577314099793</v>
      </c>
      <c r="AB339">
        <f t="shared" si="54"/>
        <v>0.657537978491889</v>
      </c>
    </row>
    <row r="340" spans="1:28" ht="13.9" x14ac:dyDescent="0.3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f t="shared" si="46"/>
        <v>-0.71311885221183846</v>
      </c>
      <c r="L340" s="2">
        <f t="shared" si="47"/>
        <v>-1.0291463456595165</v>
      </c>
      <c r="M340" s="2" t="e">
        <f t="shared" si="48"/>
        <v>#NUM!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 t="e">
        <f t="shared" si="49"/>
        <v>#NUM!</v>
      </c>
      <c r="X340" s="2" t="e">
        <f t="shared" si="50"/>
        <v>#NUM!</v>
      </c>
      <c r="Y340" s="2" t="e">
        <f t="shared" si="51"/>
        <v>#NUM!</v>
      </c>
      <c r="Z340" t="e">
        <f t="shared" si="52"/>
        <v>#NUM!</v>
      </c>
      <c r="AA340" t="e">
        <f t="shared" si="53"/>
        <v>#NUM!</v>
      </c>
      <c r="AB340" t="e">
        <f t="shared" si="54"/>
        <v>#NUM!</v>
      </c>
    </row>
    <row r="341" spans="1:28" ht="13.9" x14ac:dyDescent="0.3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f t="shared" si="46"/>
        <v>-1.0291463456595165</v>
      </c>
      <c r="L341" s="2">
        <f t="shared" si="47"/>
        <v>-3.3219280948873622</v>
      </c>
      <c r="M341" s="2" t="e">
        <f t="shared" si="48"/>
        <v>#NUM!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 t="e">
        <f t="shared" si="49"/>
        <v>#NUM!</v>
      </c>
      <c r="X341" s="2" t="e">
        <f t="shared" si="50"/>
        <v>#NUM!</v>
      </c>
      <c r="Y341" s="2" t="e">
        <f t="shared" si="51"/>
        <v>#NUM!</v>
      </c>
      <c r="Z341" t="e">
        <f t="shared" si="52"/>
        <v>#NUM!</v>
      </c>
      <c r="AA341" t="e">
        <f t="shared" si="53"/>
        <v>#NUM!</v>
      </c>
      <c r="AB341" t="e">
        <f t="shared" si="54"/>
        <v>#NUM!</v>
      </c>
    </row>
    <row r="342" spans="1:28" ht="13.9" x14ac:dyDescent="0.3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f t="shared" si="46"/>
        <v>-2.9434164716336326</v>
      </c>
      <c r="L342" s="2">
        <f t="shared" si="47"/>
        <v>-3.3219280948873622</v>
      </c>
      <c r="M342" s="2" t="e">
        <f t="shared" si="48"/>
        <v>#NUM!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 t="e">
        <f t="shared" si="49"/>
        <v>#NUM!</v>
      </c>
      <c r="X342" s="2" t="e">
        <f t="shared" si="50"/>
        <v>#NUM!</v>
      </c>
      <c r="Y342" s="2" t="e">
        <f t="shared" si="51"/>
        <v>#NUM!</v>
      </c>
      <c r="Z342" t="e">
        <f t="shared" si="52"/>
        <v>#NUM!</v>
      </c>
      <c r="AA342" t="e">
        <f t="shared" si="53"/>
        <v>#NUM!</v>
      </c>
      <c r="AB342" t="e">
        <f t="shared" si="54"/>
        <v>#NUM!</v>
      </c>
    </row>
    <row r="343" spans="1:28" ht="13.9" x14ac:dyDescent="0.3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f t="shared" si="46"/>
        <v>2.6135316529179273</v>
      </c>
      <c r="L343" s="2">
        <f t="shared" si="47"/>
        <v>1.5410191531335593</v>
      </c>
      <c r="M343" s="2">
        <f t="shared" si="48"/>
        <v>1.3840498067951599</v>
      </c>
      <c r="N343" s="2">
        <v>0</v>
      </c>
      <c r="O343" s="2">
        <v>0</v>
      </c>
      <c r="P343" s="2">
        <v>0</v>
      </c>
      <c r="Q343" s="2">
        <v>0.99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 t="e">
        <f t="shared" si="49"/>
        <v>#NUM!</v>
      </c>
      <c r="X343" s="2">
        <f t="shared" si="50"/>
        <v>-1.4499569695115091E-2</v>
      </c>
      <c r="Y343" s="2" t="e">
        <f t="shared" si="51"/>
        <v>#NUM!</v>
      </c>
      <c r="Z343" t="e">
        <f t="shared" si="52"/>
        <v>#NUM!</v>
      </c>
      <c r="AA343" t="e">
        <f t="shared" si="53"/>
        <v>#NUM!</v>
      </c>
      <c r="AB343" t="e">
        <f t="shared" si="54"/>
        <v>#NUM!</v>
      </c>
    </row>
    <row r="344" spans="1:28" ht="13.9" x14ac:dyDescent="0.3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f t="shared" si="46"/>
        <v>1.1309308698264486</v>
      </c>
      <c r="L344" s="2">
        <f t="shared" si="47"/>
        <v>0.91838623444634793</v>
      </c>
      <c r="M344" s="2">
        <f t="shared" si="48"/>
        <v>-1.4499569695115091E-2</v>
      </c>
      <c r="N344" s="2">
        <v>0</v>
      </c>
      <c r="O344" s="2">
        <v>0</v>
      </c>
      <c r="P344" s="2">
        <v>0</v>
      </c>
      <c r="Q344" s="2">
        <v>0</v>
      </c>
      <c r="R344" s="2">
        <v>0.98</v>
      </c>
      <c r="S344" s="2">
        <v>0</v>
      </c>
      <c r="T344" s="2">
        <v>0</v>
      </c>
      <c r="U344" s="2">
        <v>0</v>
      </c>
      <c r="V344" s="2">
        <v>0</v>
      </c>
      <c r="W344" s="2" t="e">
        <f t="shared" si="49"/>
        <v>#NUM!</v>
      </c>
      <c r="X344" s="2">
        <f t="shared" si="50"/>
        <v>-2.9146345659516508E-2</v>
      </c>
      <c r="Y344" s="2" t="e">
        <f t="shared" si="51"/>
        <v>#NUM!</v>
      </c>
      <c r="Z344" t="e">
        <f t="shared" si="52"/>
        <v>#NUM!</v>
      </c>
      <c r="AA344" t="e">
        <f t="shared" si="53"/>
        <v>#NUM!</v>
      </c>
      <c r="AB344" t="e">
        <f t="shared" si="54"/>
        <v>#NUM!</v>
      </c>
    </row>
    <row r="345" spans="1:28" ht="13.9" x14ac:dyDescent="0.3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f t="shared" si="46"/>
        <v>-0.49410907027004275</v>
      </c>
      <c r="L345" s="2">
        <f t="shared" si="47"/>
        <v>-1.0588936890535685</v>
      </c>
      <c r="M345" s="2">
        <f t="shared" si="48"/>
        <v>-1.8889686876112561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 t="e">
        <f t="shared" si="49"/>
        <v>#NUM!</v>
      </c>
      <c r="X345" s="2" t="e">
        <f t="shared" si="50"/>
        <v>#NUM!</v>
      </c>
      <c r="Y345" s="2" t="e">
        <f t="shared" si="51"/>
        <v>#NUM!</v>
      </c>
      <c r="Z345" t="e">
        <f t="shared" si="52"/>
        <v>#NUM!</v>
      </c>
      <c r="AA345" t="e">
        <f t="shared" si="53"/>
        <v>#NUM!</v>
      </c>
      <c r="AB345" t="e">
        <f t="shared" si="54"/>
        <v>#NUM!</v>
      </c>
    </row>
    <row r="346" spans="1:28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 t="e">
        <f t="shared" si="46"/>
        <v>#NUM!</v>
      </c>
      <c r="L346" s="2" t="e">
        <f t="shared" si="47"/>
        <v>#NUM!</v>
      </c>
      <c r="M346" s="2">
        <f t="shared" si="48"/>
        <v>0.40053792958372886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5.21</v>
      </c>
      <c r="U346" s="2">
        <v>0</v>
      </c>
      <c r="V346" s="2">
        <v>0</v>
      </c>
      <c r="W346" s="2" t="e">
        <f t="shared" si="49"/>
        <v>#NUM!</v>
      </c>
      <c r="X346" s="2" t="e">
        <f t="shared" si="50"/>
        <v>#NUM!</v>
      </c>
      <c r="Y346" s="2">
        <f t="shared" si="51"/>
        <v>2.3812833725037836</v>
      </c>
      <c r="Z346" t="e">
        <f t="shared" si="52"/>
        <v>#NUM!</v>
      </c>
      <c r="AA346" t="e">
        <f t="shared" si="53"/>
        <v>#NUM!</v>
      </c>
      <c r="AB346">
        <f t="shared" si="54"/>
        <v>2.5717285388581632</v>
      </c>
    </row>
    <row r="347" spans="1:28" ht="13.9" x14ac:dyDescent="0.3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f t="shared" si="46"/>
        <v>5.7068067985975333</v>
      </c>
      <c r="L347" s="2">
        <f t="shared" si="47"/>
        <v>6.3330658780763551</v>
      </c>
      <c r="M347" s="2">
        <f t="shared" si="48"/>
        <v>5.0491951056222746</v>
      </c>
      <c r="N347" s="2">
        <v>19.14</v>
      </c>
      <c r="O347" s="2">
        <v>19.09</v>
      </c>
      <c r="P347" s="2">
        <v>40.450000000000003</v>
      </c>
      <c r="Q347" s="2">
        <v>37.25</v>
      </c>
      <c r="R347" s="2">
        <v>0</v>
      </c>
      <c r="S347" s="2">
        <v>18.02</v>
      </c>
      <c r="T347" s="2">
        <v>11.14</v>
      </c>
      <c r="U347" s="2">
        <v>3.35</v>
      </c>
      <c r="V347" s="2">
        <v>25.64</v>
      </c>
      <c r="W347" s="2">
        <f t="shared" si="49"/>
        <v>6.297925052503806</v>
      </c>
      <c r="X347" s="2">
        <f t="shared" si="50"/>
        <v>5.7884247074394359</v>
      </c>
      <c r="Y347" s="2">
        <f t="shared" si="51"/>
        <v>5.3266092510052703</v>
      </c>
      <c r="Z347">
        <f t="shared" si="52"/>
        <v>0.14219286696021802</v>
      </c>
      <c r="AA347">
        <f t="shared" si="53"/>
        <v>-0.12973330778572181</v>
      </c>
      <c r="AB347">
        <f t="shared" si="54"/>
        <v>7.7164026115976586E-2</v>
      </c>
    </row>
    <row r="348" spans="1:28" ht="13.9" x14ac:dyDescent="0.3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f t="shared" si="46"/>
        <v>-2.9434164716336326</v>
      </c>
      <c r="L348" s="2">
        <f t="shared" si="47"/>
        <v>-2.1202942337177118</v>
      </c>
      <c r="M348" s="2" t="e">
        <f t="shared" si="48"/>
        <v>#NUM!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0.9</v>
      </c>
      <c r="U348" s="2">
        <v>0</v>
      </c>
      <c r="V348" s="2">
        <v>0</v>
      </c>
      <c r="W348" s="2" t="e">
        <f t="shared" si="49"/>
        <v>#NUM!</v>
      </c>
      <c r="X348" s="2" t="e">
        <f t="shared" si="50"/>
        <v>#NUM!</v>
      </c>
      <c r="Y348" s="2">
        <f t="shared" si="51"/>
        <v>-0.15200309344504997</v>
      </c>
      <c r="Z348" t="e">
        <f t="shared" si="52"/>
        <v>#NUM!</v>
      </c>
      <c r="AA348" t="e">
        <f t="shared" si="53"/>
        <v>#NUM!</v>
      </c>
      <c r="AB348" t="e">
        <f t="shared" si="54"/>
        <v>#NUM!</v>
      </c>
    </row>
    <row r="349" spans="1:28" ht="13.9" x14ac:dyDescent="0.3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f t="shared" si="46"/>
        <v>5.102238193930738</v>
      </c>
      <c r="L349" s="2">
        <f t="shared" si="47"/>
        <v>4.797012977836145</v>
      </c>
      <c r="M349" s="2">
        <f t="shared" si="48"/>
        <v>4.4931349223055053</v>
      </c>
      <c r="N349" s="2">
        <v>3.41</v>
      </c>
      <c r="O349" s="2">
        <v>18.510000000000002</v>
      </c>
      <c r="P349" s="2">
        <v>0</v>
      </c>
      <c r="Q349" s="2">
        <v>41.2</v>
      </c>
      <c r="R349" s="2">
        <v>14.39</v>
      </c>
      <c r="S349" s="2">
        <v>7.65</v>
      </c>
      <c r="T349" s="2">
        <v>7.19</v>
      </c>
      <c r="U349" s="2">
        <v>12.77</v>
      </c>
      <c r="V349" s="2">
        <v>24.63</v>
      </c>
      <c r="W349" s="2">
        <f t="shared" si="49"/>
        <v>4.454175893185802</v>
      </c>
      <c r="X349" s="2">
        <f t="shared" si="50"/>
        <v>5.9827654625836466</v>
      </c>
      <c r="Y349" s="2">
        <f t="shared" si="51"/>
        <v>5.4786482945391803</v>
      </c>
      <c r="Z349">
        <f t="shared" si="52"/>
        <v>-0.19597172102406576</v>
      </c>
      <c r="AA349">
        <f t="shared" si="53"/>
        <v>0.31867616470748994</v>
      </c>
      <c r="AB349">
        <f t="shared" si="54"/>
        <v>0.2860976073063366</v>
      </c>
    </row>
    <row r="350" spans="1:28" ht="13.9" x14ac:dyDescent="0.3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f t="shared" si="46"/>
        <v>3.5594918132050379</v>
      </c>
      <c r="L350" s="2">
        <f t="shared" si="47"/>
        <v>3.5096958419333868</v>
      </c>
      <c r="M350" s="2">
        <f t="shared" si="48"/>
        <v>3.1586601753464985</v>
      </c>
      <c r="N350" s="2">
        <v>2.88</v>
      </c>
      <c r="O350" s="2">
        <v>12.15</v>
      </c>
      <c r="P350" s="2">
        <v>1.82</v>
      </c>
      <c r="Q350" s="2">
        <v>2.97</v>
      </c>
      <c r="R350" s="2">
        <v>0</v>
      </c>
      <c r="S350" s="2">
        <v>0</v>
      </c>
      <c r="T350" s="2">
        <v>0</v>
      </c>
      <c r="U350" s="2">
        <v>7.74</v>
      </c>
      <c r="V350" s="2">
        <v>13.07</v>
      </c>
      <c r="W350" s="2">
        <f t="shared" si="49"/>
        <v>4.0746766862944961</v>
      </c>
      <c r="X350" s="2">
        <f t="shared" si="50"/>
        <v>1.5704629310260412</v>
      </c>
      <c r="Y350" s="2">
        <f t="shared" si="51"/>
        <v>4.3792050599606105</v>
      </c>
      <c r="Z350">
        <f t="shared" si="52"/>
        <v>0.19501430717029969</v>
      </c>
      <c r="AA350">
        <f t="shared" si="53"/>
        <v>-1.1601561185462004</v>
      </c>
      <c r="AB350">
        <f t="shared" si="54"/>
        <v>0.47135627378432871</v>
      </c>
    </row>
    <row r="351" spans="1:28" ht="13.9" x14ac:dyDescent="0.3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f t="shared" si="46"/>
        <v>5.1671170302274394</v>
      </c>
      <c r="L351" s="2">
        <f t="shared" si="47"/>
        <v>4.9193400824420124</v>
      </c>
      <c r="M351" s="2">
        <f t="shared" si="48"/>
        <v>4.2846621854831657</v>
      </c>
      <c r="N351" s="2">
        <v>0</v>
      </c>
      <c r="O351" s="2">
        <v>0</v>
      </c>
      <c r="P351" s="2">
        <v>0.26</v>
      </c>
      <c r="Q351" s="2">
        <v>0</v>
      </c>
      <c r="R351" s="2">
        <v>0</v>
      </c>
      <c r="S351" s="2">
        <v>26.76</v>
      </c>
      <c r="T351" s="2">
        <v>8.8000000000000007</v>
      </c>
      <c r="U351" s="2">
        <v>9.42</v>
      </c>
      <c r="V351" s="2">
        <v>25.64</v>
      </c>
      <c r="W351" s="2">
        <f t="shared" si="49"/>
        <v>-1.9434164716336324</v>
      </c>
      <c r="X351" s="2">
        <f t="shared" si="50"/>
        <v>4.7420062108667365</v>
      </c>
      <c r="Y351" s="2">
        <f t="shared" si="51"/>
        <v>5.4548339068988687</v>
      </c>
      <c r="Z351" t="e">
        <f t="shared" si="52"/>
        <v>#NUM!</v>
      </c>
      <c r="AA351">
        <f t="shared" si="53"/>
        <v>-5.2967242100400498E-2</v>
      </c>
      <c r="AB351">
        <f t="shared" si="54"/>
        <v>0.34835380610879657</v>
      </c>
    </row>
    <row r="352" spans="1:28" ht="13.9" x14ac:dyDescent="0.3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f t="shared" si="46"/>
        <v>-2.9434164716336326</v>
      </c>
      <c r="L352" s="2">
        <f t="shared" si="47"/>
        <v>-3.1844245711374275</v>
      </c>
      <c r="M352" s="2">
        <f t="shared" si="48"/>
        <v>-3.3219280948873622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4.8099999999999996</v>
      </c>
      <c r="V352" s="2">
        <v>0</v>
      </c>
      <c r="W352" s="2" t="e">
        <f t="shared" si="49"/>
        <v>#NUM!</v>
      </c>
      <c r="X352" s="2" t="e">
        <f t="shared" si="50"/>
        <v>#NUM!</v>
      </c>
      <c r="Y352" s="2">
        <f t="shared" si="51"/>
        <v>2.266036893995317</v>
      </c>
      <c r="Z352" t="e">
        <f t="shared" si="52"/>
        <v>#NUM!</v>
      </c>
      <c r="AA352" t="e">
        <f t="shared" si="53"/>
        <v>#NUM!</v>
      </c>
      <c r="AB352" t="e">
        <f t="shared" si="54"/>
        <v>#NUM!</v>
      </c>
    </row>
    <row r="353" spans="1:28" ht="13.9" x14ac:dyDescent="0.3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f t="shared" si="46"/>
        <v>1.2927817492278462</v>
      </c>
      <c r="L353" s="2">
        <f t="shared" si="47"/>
        <v>-2.9434164716336326</v>
      </c>
      <c r="M353" s="2">
        <f t="shared" si="48"/>
        <v>-1.2863041851566412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 t="e">
        <f t="shared" si="49"/>
        <v>#NUM!</v>
      </c>
      <c r="X353" s="2" t="e">
        <f t="shared" si="50"/>
        <v>#NUM!</v>
      </c>
      <c r="Y353" s="2" t="e">
        <f t="shared" si="51"/>
        <v>#NUM!</v>
      </c>
      <c r="Z353" t="e">
        <f t="shared" si="52"/>
        <v>#NUM!</v>
      </c>
      <c r="AA353" t="e">
        <f t="shared" si="53"/>
        <v>#NUM!</v>
      </c>
      <c r="AB353" t="e">
        <f t="shared" si="54"/>
        <v>#NUM!</v>
      </c>
    </row>
    <row r="354" spans="1:28" ht="13.9" x14ac:dyDescent="0.3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f t="shared" si="46"/>
        <v>7.5179055535299515</v>
      </c>
      <c r="L354" s="2">
        <f t="shared" si="47"/>
        <v>7.1790133461092314</v>
      </c>
      <c r="M354" s="2">
        <f t="shared" si="48"/>
        <v>7.1618876823768947</v>
      </c>
      <c r="N354" s="2">
        <v>19.010000000000002</v>
      </c>
      <c r="O354" s="2">
        <v>14.75</v>
      </c>
      <c r="P354" s="2">
        <v>0</v>
      </c>
      <c r="Q354" s="2">
        <v>39.22</v>
      </c>
      <c r="R354" s="2">
        <v>24.88</v>
      </c>
      <c r="S354" s="2">
        <v>22.58</v>
      </c>
      <c r="T354" s="2">
        <v>13.11</v>
      </c>
      <c r="U354" s="2">
        <v>28.25</v>
      </c>
      <c r="V354" s="2">
        <v>13.07</v>
      </c>
      <c r="W354" s="2">
        <f t="shared" si="49"/>
        <v>5.0772429989324603</v>
      </c>
      <c r="X354" s="2">
        <f t="shared" si="50"/>
        <v>6.4376272483189485</v>
      </c>
      <c r="Y354" s="2">
        <f t="shared" si="51"/>
        <v>5.7663301309503687</v>
      </c>
      <c r="Z354">
        <f t="shared" si="52"/>
        <v>-0.56628548140821833</v>
      </c>
      <c r="AA354">
        <f t="shared" si="53"/>
        <v>-0.15725653537163267</v>
      </c>
      <c r="AB354">
        <f t="shared" si="54"/>
        <v>-0.31268645787743615</v>
      </c>
    </row>
    <row r="355" spans="1:28" ht="13.9" x14ac:dyDescent="0.3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f t="shared" si="46"/>
        <v>2.6915341649192004</v>
      </c>
      <c r="L355" s="2">
        <f t="shared" si="47"/>
        <v>2.5655971758542253</v>
      </c>
      <c r="M355" s="2">
        <f t="shared" si="48"/>
        <v>-0.47393118833241243</v>
      </c>
      <c r="N355" s="2">
        <v>0</v>
      </c>
      <c r="O355" s="2">
        <v>0</v>
      </c>
      <c r="P355" s="2">
        <v>24.12</v>
      </c>
      <c r="Q355" s="2">
        <v>0</v>
      </c>
      <c r="R355" s="2">
        <v>15.13</v>
      </c>
      <c r="S355" s="2">
        <v>0</v>
      </c>
      <c r="T355" s="2">
        <v>10.24</v>
      </c>
      <c r="U355" s="2">
        <v>4.8099999999999996</v>
      </c>
      <c r="V355" s="2">
        <v>0</v>
      </c>
      <c r="W355" s="2">
        <f t="shared" si="49"/>
        <v>4.5921580021253607</v>
      </c>
      <c r="X355" s="2">
        <f t="shared" si="50"/>
        <v>3.9193400824420124</v>
      </c>
      <c r="Y355" s="2">
        <f t="shared" si="51"/>
        <v>3.9116915818723403</v>
      </c>
      <c r="Z355">
        <f t="shared" si="52"/>
        <v>0.77074354331003203</v>
      </c>
      <c r="AA355">
        <f t="shared" si="53"/>
        <v>0.61131609068974457</v>
      </c>
      <c r="AB355" t="e">
        <f t="shared" si="54"/>
        <v>#NUM!</v>
      </c>
    </row>
    <row r="356" spans="1:28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 t="e">
        <f t="shared" si="46"/>
        <v>#NUM!</v>
      </c>
      <c r="L356" s="2" t="e">
        <f t="shared" si="47"/>
        <v>#NUM!</v>
      </c>
      <c r="M356" s="2">
        <f t="shared" si="48"/>
        <v>-0.68965987938784945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 t="e">
        <f t="shared" si="49"/>
        <v>#NUM!</v>
      </c>
      <c r="X356" s="2" t="e">
        <f t="shared" si="50"/>
        <v>#NUM!</v>
      </c>
      <c r="Y356" s="2" t="e">
        <f t="shared" si="51"/>
        <v>#NUM!</v>
      </c>
      <c r="Z356" t="e">
        <f t="shared" si="52"/>
        <v>#NUM!</v>
      </c>
      <c r="AA356" t="e">
        <f t="shared" si="53"/>
        <v>#NUM!</v>
      </c>
      <c r="AB356" t="e">
        <f t="shared" si="54"/>
        <v>#NUM!</v>
      </c>
    </row>
    <row r="357" spans="1:28" ht="13.9" x14ac:dyDescent="0.3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f t="shared" si="46"/>
        <v>3.3377110921282895</v>
      </c>
      <c r="L357" s="2">
        <f t="shared" si="47"/>
        <v>3.2203299548795559</v>
      </c>
      <c r="M357" s="2">
        <f t="shared" si="48"/>
        <v>2.1570437101455799</v>
      </c>
      <c r="N357" s="2">
        <v>0</v>
      </c>
      <c r="O357" s="2">
        <v>0</v>
      </c>
      <c r="P357" s="2">
        <v>23.6</v>
      </c>
      <c r="Q357" s="2">
        <v>35.93</v>
      </c>
      <c r="R357" s="2">
        <v>15.13</v>
      </c>
      <c r="S357" s="2">
        <v>11.65</v>
      </c>
      <c r="T357" s="2">
        <v>11.14</v>
      </c>
      <c r="U357" s="2">
        <v>23.23</v>
      </c>
      <c r="V357" s="2">
        <v>5.03</v>
      </c>
      <c r="W357" s="2">
        <f t="shared" si="49"/>
        <v>4.5607149544744789</v>
      </c>
      <c r="X357" s="2">
        <f t="shared" si="50"/>
        <v>5.9706236144706049</v>
      </c>
      <c r="Y357" s="2">
        <f t="shared" si="51"/>
        <v>5.3001237245690147</v>
      </c>
      <c r="Z357">
        <f t="shared" si="52"/>
        <v>0.4504009219831514</v>
      </c>
      <c r="AA357">
        <f t="shared" si="53"/>
        <v>0.8906731103192711</v>
      </c>
      <c r="AB357">
        <f t="shared" si="54"/>
        <v>1.2969706264873959</v>
      </c>
    </row>
    <row r="358" spans="1:28" ht="13.9" x14ac:dyDescent="0.3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f t="shared" si="46"/>
        <v>-3.1844245711374275</v>
      </c>
      <c r="L358" s="2">
        <f t="shared" si="47"/>
        <v>-0.34007544159762171</v>
      </c>
      <c r="M358" s="2">
        <f t="shared" si="48"/>
        <v>-2.8365012677171206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 t="e">
        <f t="shared" si="49"/>
        <v>#NUM!</v>
      </c>
      <c r="X358" s="2" t="e">
        <f t="shared" si="50"/>
        <v>#NUM!</v>
      </c>
      <c r="Y358" s="2" t="e">
        <f t="shared" si="51"/>
        <v>#NUM!</v>
      </c>
      <c r="Z358" t="e">
        <f t="shared" si="52"/>
        <v>#NUM!</v>
      </c>
      <c r="AA358" t="e">
        <f t="shared" si="53"/>
        <v>#NUM!</v>
      </c>
      <c r="AB358" t="e">
        <f t="shared" si="54"/>
        <v>#NUM!</v>
      </c>
    </row>
    <row r="359" spans="1:28" ht="13.9" x14ac:dyDescent="0.3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f t="shared" si="46"/>
        <v>4.0950804919014141</v>
      </c>
      <c r="L359" s="2">
        <f t="shared" si="47"/>
        <v>3.428946344769483</v>
      </c>
      <c r="M359" s="2">
        <f t="shared" si="48"/>
        <v>5.7279204545631996</v>
      </c>
      <c r="N359" s="2">
        <v>9.18</v>
      </c>
      <c r="O359" s="2">
        <v>18.22</v>
      </c>
      <c r="P359" s="2">
        <v>0.26</v>
      </c>
      <c r="Q359" s="2">
        <v>5.93</v>
      </c>
      <c r="R359" s="2">
        <v>4.6399999999999997</v>
      </c>
      <c r="S359" s="2">
        <v>2.73</v>
      </c>
      <c r="T359" s="2">
        <v>11.32</v>
      </c>
      <c r="U359" s="2">
        <v>5.65</v>
      </c>
      <c r="V359" s="2">
        <v>0</v>
      </c>
      <c r="W359" s="2">
        <f t="shared" si="49"/>
        <v>4.7897292513757694</v>
      </c>
      <c r="X359" s="2">
        <f t="shared" si="50"/>
        <v>3.7333543406138276</v>
      </c>
      <c r="Y359" s="2">
        <f t="shared" si="51"/>
        <v>4.0849146597679384</v>
      </c>
      <c r="Z359">
        <f t="shared" si="52"/>
        <v>0.22605229775839622</v>
      </c>
      <c r="AA359">
        <f t="shared" si="53"/>
        <v>0.12270711485325418</v>
      </c>
      <c r="AB359">
        <f t="shared" si="54"/>
        <v>-0.48770551904202908</v>
      </c>
    </row>
    <row r="360" spans="1:28" ht="13.9" x14ac:dyDescent="0.3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f t="shared" si="46"/>
        <v>3.3405622690264134</v>
      </c>
      <c r="L360" s="2">
        <f t="shared" si="47"/>
        <v>3.5484366246960422</v>
      </c>
      <c r="M360" s="2">
        <f t="shared" si="48"/>
        <v>8.1918981772417752</v>
      </c>
      <c r="N360" s="2">
        <v>21.37</v>
      </c>
      <c r="O360" s="2">
        <v>19.09</v>
      </c>
      <c r="P360" s="2">
        <v>12.45</v>
      </c>
      <c r="Q360" s="2">
        <v>3.63</v>
      </c>
      <c r="R360" s="2">
        <v>6.59</v>
      </c>
      <c r="S360" s="2">
        <v>4.37</v>
      </c>
      <c r="T360" s="2">
        <v>0.18</v>
      </c>
      <c r="U360" s="2">
        <v>4.8099999999999996</v>
      </c>
      <c r="V360" s="2">
        <v>27.65</v>
      </c>
      <c r="W360" s="2">
        <f t="shared" si="49"/>
        <v>5.7254685126326148</v>
      </c>
      <c r="X360" s="2">
        <f t="shared" si="50"/>
        <v>3.8669079781431663</v>
      </c>
      <c r="Y360" s="2">
        <f t="shared" si="51"/>
        <v>5.0285691521967708</v>
      </c>
      <c r="Z360">
        <f t="shared" si="52"/>
        <v>0.7773028018149456</v>
      </c>
      <c r="AA360">
        <f t="shared" si="53"/>
        <v>0.12399689267898402</v>
      </c>
      <c r="AB360">
        <f t="shared" si="54"/>
        <v>-0.70404983459539661</v>
      </c>
    </row>
    <row r="361" spans="1:28" ht="13.9" x14ac:dyDescent="0.3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f t="shared" si="46"/>
        <v>9.2364447828720593</v>
      </c>
      <c r="L361" s="2">
        <f t="shared" si="47"/>
        <v>9.178117045706399</v>
      </c>
      <c r="M361" s="2">
        <f t="shared" si="48"/>
        <v>9.2333320676865718</v>
      </c>
      <c r="N361" s="2">
        <v>105.79</v>
      </c>
      <c r="O361" s="2">
        <v>24</v>
      </c>
      <c r="P361" s="2">
        <v>68.98</v>
      </c>
      <c r="Q361" s="2">
        <v>127.56</v>
      </c>
      <c r="R361" s="2">
        <v>216.39</v>
      </c>
      <c r="S361" s="2">
        <v>144.74</v>
      </c>
      <c r="T361" s="2">
        <v>90.73</v>
      </c>
      <c r="U361" s="2">
        <v>105.48</v>
      </c>
      <c r="V361" s="2">
        <v>198.58</v>
      </c>
      <c r="W361" s="2">
        <f t="shared" si="49"/>
        <v>7.6349562197271723</v>
      </c>
      <c r="X361" s="2">
        <f t="shared" si="50"/>
        <v>8.9327757729801096</v>
      </c>
      <c r="Y361" s="2">
        <f t="shared" si="51"/>
        <v>8.6249416366786509</v>
      </c>
      <c r="Z361">
        <f t="shared" si="52"/>
        <v>-0.274717763695626</v>
      </c>
      <c r="AA361">
        <f t="shared" si="53"/>
        <v>-3.9089656681951211E-2</v>
      </c>
      <c r="AB361">
        <f t="shared" si="54"/>
        <v>-9.833667831386235E-2</v>
      </c>
    </row>
    <row r="362" spans="1:28" ht="13.9" x14ac:dyDescent="0.3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f t="shared" si="46"/>
        <v>11.010521112679807</v>
      </c>
      <c r="L362" s="2">
        <f t="shared" si="47"/>
        <v>10.996155679492842</v>
      </c>
      <c r="M362" s="2">
        <f t="shared" si="48"/>
        <v>10.30690472452917</v>
      </c>
      <c r="N362" s="2">
        <v>370.61</v>
      </c>
      <c r="O362" s="2">
        <v>550.6</v>
      </c>
      <c r="P362" s="2">
        <v>530.58000000000004</v>
      </c>
      <c r="Q362" s="2">
        <v>563.97</v>
      </c>
      <c r="R362" s="2">
        <v>528.66</v>
      </c>
      <c r="S362" s="2">
        <v>417.29</v>
      </c>
      <c r="T362" s="2">
        <v>407.63</v>
      </c>
      <c r="U362" s="2">
        <v>679.74</v>
      </c>
      <c r="V362" s="2">
        <v>454.98</v>
      </c>
      <c r="W362" s="2">
        <f t="shared" si="49"/>
        <v>10.503617068664212</v>
      </c>
      <c r="X362" s="2">
        <f t="shared" si="50"/>
        <v>10.560256398013273</v>
      </c>
      <c r="Y362" s="2">
        <f t="shared" si="51"/>
        <v>10.590914472721446</v>
      </c>
      <c r="Z362">
        <f t="shared" si="52"/>
        <v>-6.7996525435665964E-2</v>
      </c>
      <c r="AA362">
        <f t="shared" si="53"/>
        <v>-5.835437417680979E-2</v>
      </c>
      <c r="AB362">
        <f t="shared" si="54"/>
        <v>3.9216023487051339E-2</v>
      </c>
    </row>
    <row r="363" spans="1:28" ht="13.9" x14ac:dyDescent="0.3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f t="shared" si="46"/>
        <v>8.1944121420731868</v>
      </c>
      <c r="L363" s="2">
        <f t="shared" si="47"/>
        <v>8.1054371337373912</v>
      </c>
      <c r="M363" s="2">
        <f t="shared" si="48"/>
        <v>8.1859160875596135</v>
      </c>
      <c r="N363" s="2">
        <v>241.74</v>
      </c>
      <c r="O363" s="2">
        <v>978.3</v>
      </c>
      <c r="P363" s="2">
        <v>71.83</v>
      </c>
      <c r="Q363" s="2">
        <v>336.87</v>
      </c>
      <c r="R363" s="2">
        <v>789.95</v>
      </c>
      <c r="S363" s="2">
        <v>227.95</v>
      </c>
      <c r="T363" s="2">
        <v>227.62</v>
      </c>
      <c r="U363" s="2">
        <v>391.36</v>
      </c>
      <c r="V363" s="2">
        <v>1056.76</v>
      </c>
      <c r="W363" s="2">
        <f t="shared" si="49"/>
        <v>10.335245184576641</v>
      </c>
      <c r="X363" s="2">
        <f t="shared" si="50"/>
        <v>10.403832229950146</v>
      </c>
      <c r="Y363" s="2">
        <f t="shared" si="51"/>
        <v>10.710582609231235</v>
      </c>
      <c r="Z363">
        <f t="shared" si="52"/>
        <v>0.33486025361373289</v>
      </c>
      <c r="AA363">
        <f t="shared" si="53"/>
        <v>0.36015314114448588</v>
      </c>
      <c r="AB363">
        <f t="shared" si="54"/>
        <v>0.38782117542768024</v>
      </c>
    </row>
    <row r="364" spans="1:28" ht="13.9" x14ac:dyDescent="0.3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f t="shared" si="46"/>
        <v>8.9204124081607858</v>
      </c>
      <c r="L364" s="2">
        <f t="shared" si="47"/>
        <v>8.3390482829190695</v>
      </c>
      <c r="M364" s="2">
        <f t="shared" si="48"/>
        <v>9.3447397458029933</v>
      </c>
      <c r="N364" s="2">
        <v>290.12</v>
      </c>
      <c r="O364" s="2">
        <v>330.24</v>
      </c>
      <c r="P364" s="2">
        <v>239.88</v>
      </c>
      <c r="Q364" s="2">
        <v>177.33</v>
      </c>
      <c r="R364" s="2">
        <v>193.22</v>
      </c>
      <c r="S364" s="2">
        <v>216.48</v>
      </c>
      <c r="T364" s="2">
        <v>155.58000000000001</v>
      </c>
      <c r="U364" s="2">
        <v>106.52</v>
      </c>
      <c r="V364" s="2">
        <v>171.44</v>
      </c>
      <c r="W364" s="2">
        <f t="shared" si="49"/>
        <v>9.7485954059909634</v>
      </c>
      <c r="X364" s="2">
        <f t="shared" si="50"/>
        <v>9.1972904235108714</v>
      </c>
      <c r="Y364" s="2">
        <f t="shared" si="51"/>
        <v>8.7600212977302228</v>
      </c>
      <c r="Z364">
        <f t="shared" si="52"/>
        <v>0.12808395760098543</v>
      </c>
      <c r="AA364">
        <f t="shared" si="53"/>
        <v>0.14132615574054669</v>
      </c>
      <c r="AB364">
        <f t="shared" si="54"/>
        <v>-9.3220107608519495E-2</v>
      </c>
    </row>
    <row r="365" spans="1:28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 t="e">
        <f t="shared" si="46"/>
        <v>#NUM!</v>
      </c>
      <c r="L365" s="2" t="e">
        <f t="shared" si="47"/>
        <v>#NUM!</v>
      </c>
      <c r="M365" s="2" t="e">
        <f t="shared" si="48"/>
        <v>#NUM!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0.5</v>
      </c>
      <c r="W365" s="2" t="e">
        <f t="shared" si="49"/>
        <v>#NUM!</v>
      </c>
      <c r="X365" s="2" t="e">
        <f t="shared" si="50"/>
        <v>#NUM!</v>
      </c>
      <c r="Y365" s="2">
        <f t="shared" si="51"/>
        <v>-1</v>
      </c>
      <c r="Z365" t="e">
        <f t="shared" si="52"/>
        <v>#NUM!</v>
      </c>
      <c r="AA365" t="e">
        <f t="shared" si="53"/>
        <v>#NUM!</v>
      </c>
      <c r="AB365" t="e">
        <f t="shared" si="54"/>
        <v>#NUM!</v>
      </c>
    </row>
    <row r="366" spans="1:28" ht="13.9" x14ac:dyDescent="0.3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f t="shared" si="46"/>
        <v>-0.66657626627480826</v>
      </c>
      <c r="L366" s="2">
        <f t="shared" si="47"/>
        <v>1.2509615735332189</v>
      </c>
      <c r="M366" s="2">
        <f t="shared" si="48"/>
        <v>1.1176950426697545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 t="e">
        <f t="shared" si="49"/>
        <v>#NUM!</v>
      </c>
      <c r="X366" s="2" t="e">
        <f t="shared" si="50"/>
        <v>#NUM!</v>
      </c>
      <c r="Y366" s="2" t="e">
        <f t="shared" si="51"/>
        <v>#NUM!</v>
      </c>
      <c r="Z366" t="e">
        <f t="shared" si="52"/>
        <v>#NUM!</v>
      </c>
      <c r="AA366" t="e">
        <f t="shared" si="53"/>
        <v>#NUM!</v>
      </c>
      <c r="AB366" t="e">
        <f t="shared" si="54"/>
        <v>#NUM!</v>
      </c>
    </row>
    <row r="367" spans="1:28" ht="13.9" x14ac:dyDescent="0.3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f t="shared" si="46"/>
        <v>3.7676547982373467</v>
      </c>
      <c r="L367" s="2">
        <f t="shared" si="47"/>
        <v>3.6322682154995132</v>
      </c>
      <c r="M367" s="2">
        <f t="shared" si="48"/>
        <v>5.60229058486114</v>
      </c>
      <c r="N367" s="2">
        <v>0</v>
      </c>
      <c r="O367" s="2">
        <v>0</v>
      </c>
      <c r="P367" s="2">
        <v>0</v>
      </c>
      <c r="Q367" s="2">
        <v>0</v>
      </c>
      <c r="R367" s="2">
        <v>6.34</v>
      </c>
      <c r="S367" s="2">
        <v>0</v>
      </c>
      <c r="T367" s="2">
        <v>0</v>
      </c>
      <c r="U367" s="2">
        <v>0</v>
      </c>
      <c r="V367" s="2">
        <v>17.600000000000001</v>
      </c>
      <c r="W367" s="2" t="e">
        <f t="shared" si="49"/>
        <v>#NUM!</v>
      </c>
      <c r="X367" s="2">
        <f t="shared" si="50"/>
        <v>2.6644828403646827</v>
      </c>
      <c r="Y367" s="2">
        <f t="shared" si="51"/>
        <v>4.1375035237499356</v>
      </c>
      <c r="Z367" t="e">
        <f t="shared" si="52"/>
        <v>#NUM!</v>
      </c>
      <c r="AA367">
        <f t="shared" si="53"/>
        <v>-0.44701519669142087</v>
      </c>
      <c r="AB367">
        <f t="shared" si="54"/>
        <v>-0.43725627580501708</v>
      </c>
    </row>
    <row r="368" spans="1:28" ht="13.9" x14ac:dyDescent="0.3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f t="shared" si="46"/>
        <v>6.7134208848680847</v>
      </c>
      <c r="L368" s="2">
        <f t="shared" si="47"/>
        <v>6.569703737701734</v>
      </c>
      <c r="M368" s="2">
        <f t="shared" si="48"/>
        <v>6.2121802100444308</v>
      </c>
      <c r="N368" s="2">
        <v>1.57</v>
      </c>
      <c r="O368" s="2">
        <v>0.28999999999999998</v>
      </c>
      <c r="P368" s="2">
        <v>15.56</v>
      </c>
      <c r="Q368" s="2">
        <v>6.59</v>
      </c>
      <c r="R368" s="2">
        <v>0.24</v>
      </c>
      <c r="S368" s="2">
        <v>13.65</v>
      </c>
      <c r="T368" s="2">
        <v>11.5</v>
      </c>
      <c r="U368" s="2">
        <v>15.49</v>
      </c>
      <c r="V368" s="2">
        <v>0</v>
      </c>
      <c r="W368" s="2">
        <f t="shared" si="49"/>
        <v>4.1226727188241403</v>
      </c>
      <c r="X368" s="2">
        <f t="shared" si="50"/>
        <v>4.3561438102252756</v>
      </c>
      <c r="Y368" s="2">
        <f t="shared" si="51"/>
        <v>4.754353071692127</v>
      </c>
      <c r="Z368">
        <f t="shared" si="52"/>
        <v>-0.70346815576387556</v>
      </c>
      <c r="AA368">
        <f t="shared" si="53"/>
        <v>-0.59277673053661206</v>
      </c>
      <c r="AB368">
        <f t="shared" si="54"/>
        <v>-0.38585063581503842</v>
      </c>
    </row>
    <row r="369" spans="1:28" ht="13.9" x14ac:dyDescent="0.3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f t="shared" si="46"/>
        <v>3.1747259877061338</v>
      </c>
      <c r="L369" s="2">
        <f t="shared" si="47"/>
        <v>3.2448870591235348</v>
      </c>
      <c r="M369" s="2">
        <f t="shared" si="48"/>
        <v>3.0268000593437154</v>
      </c>
      <c r="N369" s="2">
        <v>1.57</v>
      </c>
      <c r="O369" s="2">
        <v>21.11</v>
      </c>
      <c r="P369" s="2">
        <v>13.74</v>
      </c>
      <c r="Q369" s="2">
        <v>2.31</v>
      </c>
      <c r="R369" s="2">
        <v>0.73</v>
      </c>
      <c r="S369" s="2">
        <v>10.74</v>
      </c>
      <c r="T369" s="2">
        <v>7.37</v>
      </c>
      <c r="U369" s="2">
        <v>14.23</v>
      </c>
      <c r="V369" s="2">
        <v>1.01</v>
      </c>
      <c r="W369" s="2">
        <f t="shared" si="49"/>
        <v>5.1866590172021141</v>
      </c>
      <c r="X369" s="2">
        <f t="shared" si="50"/>
        <v>3.784503982929567</v>
      </c>
      <c r="Y369" s="2">
        <f t="shared" si="51"/>
        <v>4.4988890869768046</v>
      </c>
      <c r="Z369">
        <f t="shared" si="52"/>
        <v>0.70817344927575909</v>
      </c>
      <c r="AA369">
        <f t="shared" si="53"/>
        <v>0.22193596042402081</v>
      </c>
      <c r="AB369">
        <f t="shared" si="54"/>
        <v>0.57177542145345672</v>
      </c>
    </row>
    <row r="370" spans="1:28" ht="13.9" x14ac:dyDescent="0.3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f t="shared" si="46"/>
        <v>1.6135316529179271</v>
      </c>
      <c r="L370" s="2">
        <f t="shared" si="47"/>
        <v>1.6735564239901448</v>
      </c>
      <c r="M370" s="2">
        <f t="shared" si="48"/>
        <v>-0.55639334852438527</v>
      </c>
      <c r="N370" s="2">
        <v>2.75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f t="shared" si="49"/>
        <v>1.4594316186372973</v>
      </c>
      <c r="X370" s="2" t="e">
        <f t="shared" si="50"/>
        <v>#NUM!</v>
      </c>
      <c r="Y370" s="2" t="e">
        <f t="shared" si="51"/>
        <v>#NUM!</v>
      </c>
      <c r="Z370">
        <f t="shared" si="52"/>
        <v>-0.1448152644403469</v>
      </c>
      <c r="AA370" t="e">
        <f t="shared" si="53"/>
        <v>#NUM!</v>
      </c>
      <c r="AB370" t="e">
        <f t="shared" si="54"/>
        <v>#NUM!</v>
      </c>
    </row>
    <row r="371" spans="1:28" ht="13.9" x14ac:dyDescent="0.3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f t="shared" si="46"/>
        <v>6.0430819818956625</v>
      </c>
      <c r="L371" s="2">
        <f t="shared" si="47"/>
        <v>5.5084286525318573</v>
      </c>
      <c r="M371" s="2">
        <f t="shared" si="48"/>
        <v>4.5601035134647381</v>
      </c>
      <c r="N371" s="2">
        <v>16.78</v>
      </c>
      <c r="O371" s="2">
        <v>0</v>
      </c>
      <c r="P371" s="2">
        <v>0</v>
      </c>
      <c r="Q371" s="2">
        <v>0.33</v>
      </c>
      <c r="R371" s="2">
        <v>12.44</v>
      </c>
      <c r="S371" s="2">
        <v>3.1</v>
      </c>
      <c r="T371" s="2">
        <v>4.8499999999999996</v>
      </c>
      <c r="U371" s="2">
        <v>3.98</v>
      </c>
      <c r="V371" s="2">
        <v>25.14</v>
      </c>
      <c r="W371" s="2">
        <f t="shared" si="49"/>
        <v>4.0686708106650986</v>
      </c>
      <c r="X371" s="2">
        <f t="shared" si="50"/>
        <v>3.9882302230604569</v>
      </c>
      <c r="Y371" s="2">
        <f t="shared" si="51"/>
        <v>5.0861893131044766</v>
      </c>
      <c r="Z371">
        <f t="shared" si="52"/>
        <v>-0.57072695502027826</v>
      </c>
      <c r="AA371">
        <f t="shared" si="53"/>
        <v>-0.4658921382585664</v>
      </c>
      <c r="AB371">
        <f t="shared" si="54"/>
        <v>0.15751858793513174</v>
      </c>
    </row>
    <row r="372" spans="1:28" ht="13.9" x14ac:dyDescent="0.3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f t="shared" si="46"/>
        <v>9.4509431578710981</v>
      </c>
      <c r="L372" s="2">
        <f t="shared" si="47"/>
        <v>9.6047941214332422</v>
      </c>
      <c r="M372" s="2">
        <f t="shared" si="48"/>
        <v>11.355064731585658</v>
      </c>
      <c r="N372" s="2">
        <v>36.840000000000003</v>
      </c>
      <c r="O372" s="2">
        <v>189.41</v>
      </c>
      <c r="P372" s="2">
        <v>57.83</v>
      </c>
      <c r="Q372" s="2">
        <v>57.35</v>
      </c>
      <c r="R372" s="2">
        <v>157.11000000000001</v>
      </c>
      <c r="S372" s="2">
        <v>147.29</v>
      </c>
      <c r="T372" s="2">
        <v>72.22</v>
      </c>
      <c r="U372" s="2">
        <v>137.71</v>
      </c>
      <c r="V372" s="2">
        <v>235.28</v>
      </c>
      <c r="W372" s="2">
        <f t="shared" si="49"/>
        <v>8.1501534552462473</v>
      </c>
      <c r="X372" s="2">
        <f t="shared" si="50"/>
        <v>8.4988492065317249</v>
      </c>
      <c r="Y372" s="2">
        <f t="shared" si="51"/>
        <v>8.7983421876396459</v>
      </c>
      <c r="Z372">
        <f t="shared" si="52"/>
        <v>-0.21363108702466244</v>
      </c>
      <c r="AA372">
        <f t="shared" si="53"/>
        <v>-0.1764871848833679</v>
      </c>
      <c r="AB372">
        <f t="shared" si="54"/>
        <v>-0.36803231325061408</v>
      </c>
    </row>
    <row r="373" spans="1:28" ht="13.9" x14ac:dyDescent="0.3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f t="shared" si="46"/>
        <v>0.94860084749335571</v>
      </c>
      <c r="L373" s="2">
        <f t="shared" si="47"/>
        <v>-2.2515387669959646</v>
      </c>
      <c r="M373" s="2" t="e">
        <f t="shared" si="48"/>
        <v>#NUM!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 t="e">
        <f t="shared" si="49"/>
        <v>#NUM!</v>
      </c>
      <c r="X373" s="2" t="e">
        <f t="shared" si="50"/>
        <v>#NUM!</v>
      </c>
      <c r="Y373" s="2" t="e">
        <f t="shared" si="51"/>
        <v>#NUM!</v>
      </c>
      <c r="Z373" t="e">
        <f t="shared" si="52"/>
        <v>#NUM!</v>
      </c>
      <c r="AA373" t="e">
        <f t="shared" si="53"/>
        <v>#NUM!</v>
      </c>
      <c r="AB373" t="e">
        <f t="shared" si="54"/>
        <v>#NUM!</v>
      </c>
    </row>
    <row r="374" spans="1:28" ht="13.9" x14ac:dyDescent="0.3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f t="shared" si="46"/>
        <v>5.3001237245690138</v>
      </c>
      <c r="L374" s="2">
        <f t="shared" si="47"/>
        <v>5.1590640088105459</v>
      </c>
      <c r="M374" s="2">
        <f t="shared" si="48"/>
        <v>9.036832979585478</v>
      </c>
      <c r="N374" s="2">
        <v>6.55</v>
      </c>
      <c r="O374" s="2">
        <v>0.57999999999999996</v>
      </c>
      <c r="P374" s="2">
        <v>2.0699999999999998</v>
      </c>
      <c r="Q374" s="2">
        <v>2.31</v>
      </c>
      <c r="R374" s="2">
        <v>7.56</v>
      </c>
      <c r="S374" s="2">
        <v>1.46</v>
      </c>
      <c r="T374" s="2">
        <v>1.62</v>
      </c>
      <c r="U374" s="2">
        <v>9</v>
      </c>
      <c r="V374" s="2">
        <v>4.0199999999999996</v>
      </c>
      <c r="W374" s="2">
        <f t="shared" si="49"/>
        <v>3.2016338611696504</v>
      </c>
      <c r="X374" s="2">
        <f t="shared" si="50"/>
        <v>3.5020759560457906</v>
      </c>
      <c r="Y374" s="2">
        <f t="shared" si="51"/>
        <v>3.8718436485093184</v>
      </c>
      <c r="Z374">
        <f t="shared" si="52"/>
        <v>-0.72721770723780543</v>
      </c>
      <c r="AA374">
        <f t="shared" si="53"/>
        <v>-0.5588989716778785</v>
      </c>
      <c r="AB374">
        <f t="shared" si="54"/>
        <v>-1.2227965634313303</v>
      </c>
    </row>
    <row r="375" spans="1:28" ht="13.9" x14ac:dyDescent="0.3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f t="shared" si="46"/>
        <v>7.8965745989062528</v>
      </c>
      <c r="L375" s="2">
        <f t="shared" si="47"/>
        <v>8.0925457415435655</v>
      </c>
      <c r="M375" s="2">
        <f t="shared" si="48"/>
        <v>8.1048607997081987</v>
      </c>
      <c r="N375" s="2">
        <v>36.049999999999997</v>
      </c>
      <c r="O375" s="2">
        <v>46.56</v>
      </c>
      <c r="P375" s="2">
        <v>24.38</v>
      </c>
      <c r="Q375" s="2">
        <v>63.62</v>
      </c>
      <c r="R375" s="2">
        <v>83.43</v>
      </c>
      <c r="S375" s="2">
        <v>45.7</v>
      </c>
      <c r="T375" s="2">
        <v>48.87</v>
      </c>
      <c r="U375" s="2">
        <v>130.59</v>
      </c>
      <c r="V375" s="2">
        <v>164.9</v>
      </c>
      <c r="W375" s="2">
        <f t="shared" si="49"/>
        <v>6.7413321487879934</v>
      </c>
      <c r="X375" s="2">
        <f t="shared" si="50"/>
        <v>7.590587049915035</v>
      </c>
      <c r="Y375" s="2">
        <f t="shared" si="51"/>
        <v>8.4277737623785214</v>
      </c>
      <c r="Z375">
        <f t="shared" si="52"/>
        <v>-0.22819326287672509</v>
      </c>
      <c r="AA375">
        <f t="shared" si="53"/>
        <v>-9.238214817803643E-2</v>
      </c>
      <c r="AB375">
        <f t="shared" si="54"/>
        <v>5.6364178756265884E-2</v>
      </c>
    </row>
    <row r="376" spans="1:28" ht="13.9" x14ac:dyDescent="0.3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f t="shared" si="46"/>
        <v>5.6533466927221774</v>
      </c>
      <c r="L376" s="2">
        <f t="shared" si="47"/>
        <v>6.2197493545467264</v>
      </c>
      <c r="M376" s="2">
        <f t="shared" si="48"/>
        <v>6.0474511404163893</v>
      </c>
      <c r="N376" s="2">
        <v>18.48</v>
      </c>
      <c r="O376" s="2">
        <v>0</v>
      </c>
      <c r="P376" s="2">
        <v>42.53</v>
      </c>
      <c r="Q376" s="2">
        <v>9.89</v>
      </c>
      <c r="R376" s="2">
        <v>46.84</v>
      </c>
      <c r="S376" s="2">
        <v>0</v>
      </c>
      <c r="T376" s="2">
        <v>6.29</v>
      </c>
      <c r="U376" s="2">
        <v>12.98</v>
      </c>
      <c r="V376" s="2">
        <v>31.17</v>
      </c>
      <c r="W376" s="2">
        <f t="shared" si="49"/>
        <v>5.9309738255629059</v>
      </c>
      <c r="X376" s="2">
        <f t="shared" si="50"/>
        <v>5.8260399588961933</v>
      </c>
      <c r="Y376" s="2">
        <f t="shared" si="51"/>
        <v>5.6564963705534952</v>
      </c>
      <c r="Z376">
        <f t="shared" si="52"/>
        <v>6.916383163866166E-2</v>
      </c>
      <c r="AA376">
        <f t="shared" si="53"/>
        <v>-9.4340846856015834E-2</v>
      </c>
      <c r="AB376">
        <f t="shared" si="54"/>
        <v>-9.6418482680968629E-2</v>
      </c>
    </row>
    <row r="377" spans="1:28" ht="13.9" x14ac:dyDescent="0.3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f t="shared" si="46"/>
        <v>3.0214797274104517</v>
      </c>
      <c r="L377" s="2">
        <f t="shared" si="47"/>
        <v>2.7865963618908069</v>
      </c>
      <c r="M377" s="2">
        <f t="shared" si="48"/>
        <v>1.2570106182060239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2.72</v>
      </c>
      <c r="V377" s="2">
        <v>0</v>
      </c>
      <c r="W377" s="2" t="e">
        <f t="shared" si="49"/>
        <v>#NUM!</v>
      </c>
      <c r="X377" s="2" t="e">
        <f t="shared" si="50"/>
        <v>#NUM!</v>
      </c>
      <c r="Y377" s="2">
        <f t="shared" si="51"/>
        <v>1.4436066514756147</v>
      </c>
      <c r="Z377" t="e">
        <f t="shared" si="52"/>
        <v>#NUM!</v>
      </c>
      <c r="AA377" t="e">
        <f t="shared" si="53"/>
        <v>#NUM!</v>
      </c>
      <c r="AB377">
        <f t="shared" si="54"/>
        <v>0.19968085911113609</v>
      </c>
    </row>
    <row r="378" spans="1:28" ht="13.9" x14ac:dyDescent="0.3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f t="shared" si="46"/>
        <v>-0.55639334852438549</v>
      </c>
      <c r="L378" s="2">
        <f t="shared" si="47"/>
        <v>-2.1202942337177118</v>
      </c>
      <c r="M378" s="2" t="e">
        <f t="shared" si="48"/>
        <v>#NUM!</v>
      </c>
      <c r="N378" s="2">
        <v>0</v>
      </c>
      <c r="O378" s="2">
        <v>0</v>
      </c>
      <c r="P378" s="2">
        <v>0.26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f t="shared" si="49"/>
        <v>-1.9434164716336324</v>
      </c>
      <c r="X378" s="2" t="e">
        <f t="shared" si="50"/>
        <v>#NUM!</v>
      </c>
      <c r="Y378" s="2" t="e">
        <f t="shared" si="51"/>
        <v>#NUM!</v>
      </c>
      <c r="Z378">
        <f t="shared" si="52"/>
        <v>1.8044180235213814</v>
      </c>
      <c r="AA378" t="e">
        <f t="shared" si="53"/>
        <v>#NUM!</v>
      </c>
      <c r="AB378" t="e">
        <f t="shared" si="54"/>
        <v>#NUM!</v>
      </c>
    </row>
    <row r="379" spans="1:28" ht="13.9" x14ac:dyDescent="0.3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f t="shared" si="46"/>
        <v>2.0738202332916713</v>
      </c>
      <c r="L379" s="2">
        <f t="shared" si="47"/>
        <v>1.713695814843359</v>
      </c>
      <c r="M379" s="2">
        <f t="shared" si="48"/>
        <v>8.6765565615494484</v>
      </c>
      <c r="N379" s="2">
        <v>0</v>
      </c>
      <c r="O379" s="2">
        <v>6.94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f t="shared" si="49"/>
        <v>2.7949356628035362</v>
      </c>
      <c r="X379" s="2" t="e">
        <f t="shared" si="50"/>
        <v>#NUM!</v>
      </c>
      <c r="Y379" s="2" t="e">
        <f t="shared" si="51"/>
        <v>#NUM!</v>
      </c>
      <c r="Z379">
        <f t="shared" si="52"/>
        <v>0.43052423253795369</v>
      </c>
      <c r="AA379" t="e">
        <f t="shared" si="53"/>
        <v>#NUM!</v>
      </c>
      <c r="AB379" t="e">
        <f t="shared" si="54"/>
        <v>#NUM!</v>
      </c>
    </row>
    <row r="380" spans="1:28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 t="e">
        <f t="shared" si="46"/>
        <v>#NUM!</v>
      </c>
      <c r="L380" s="2" t="e">
        <f t="shared" si="47"/>
        <v>#NUM!</v>
      </c>
      <c r="M380" s="2" t="e">
        <f t="shared" si="48"/>
        <v>#NUM!</v>
      </c>
      <c r="N380" s="2">
        <v>0.66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f t="shared" si="49"/>
        <v>-0.5994620704162712</v>
      </c>
      <c r="X380" s="2" t="e">
        <f t="shared" si="50"/>
        <v>#NUM!</v>
      </c>
      <c r="Y380" s="2" t="e">
        <f t="shared" si="51"/>
        <v>#NUM!</v>
      </c>
      <c r="Z380" t="e">
        <f t="shared" si="52"/>
        <v>#NUM!</v>
      </c>
      <c r="AA380" t="e">
        <f t="shared" si="53"/>
        <v>#NUM!</v>
      </c>
      <c r="AB380" t="e">
        <f t="shared" si="54"/>
        <v>#NUM!</v>
      </c>
    </row>
    <row r="381" spans="1:28" ht="13.9" x14ac:dyDescent="0.3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f t="shared" si="46"/>
        <v>1.4168397419128294</v>
      </c>
      <c r="L381" s="2">
        <f t="shared" si="47"/>
        <v>1.3391373849195856</v>
      </c>
      <c r="M381" s="2">
        <f t="shared" si="48"/>
        <v>1.5058909297299574</v>
      </c>
      <c r="N381" s="2">
        <v>0</v>
      </c>
      <c r="O381" s="2">
        <v>0</v>
      </c>
      <c r="P381" s="2">
        <v>7.26</v>
      </c>
      <c r="Q381" s="2">
        <v>0.33</v>
      </c>
      <c r="R381" s="2">
        <v>0</v>
      </c>
      <c r="S381" s="2">
        <v>8.19</v>
      </c>
      <c r="T381" s="2">
        <v>0</v>
      </c>
      <c r="U381" s="2">
        <v>6.49</v>
      </c>
      <c r="V381" s="2">
        <v>0</v>
      </c>
      <c r="W381" s="2">
        <f t="shared" si="49"/>
        <v>2.8599695482210259</v>
      </c>
      <c r="X381" s="2">
        <f t="shared" si="50"/>
        <v>3.0908534304511139</v>
      </c>
      <c r="Y381" s="2">
        <f t="shared" si="51"/>
        <v>2.6982184782244136</v>
      </c>
      <c r="Z381">
        <f t="shared" si="52"/>
        <v>1.0133232009463442</v>
      </c>
      <c r="AA381">
        <f t="shared" si="53"/>
        <v>1.2067012652500013</v>
      </c>
      <c r="AB381">
        <f t="shared" si="54"/>
        <v>0.84138988914808033</v>
      </c>
    </row>
    <row r="382" spans="1:28" ht="13.9" x14ac:dyDescent="0.3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f t="shared" si="46"/>
        <v>-0.43440282414577491</v>
      </c>
      <c r="L382" s="2">
        <f t="shared" si="47"/>
        <v>-1.7369655941662063</v>
      </c>
      <c r="M382" s="2" t="e">
        <f t="shared" si="48"/>
        <v>#NUM!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4.55</v>
      </c>
      <c r="T382" s="2">
        <v>0</v>
      </c>
      <c r="U382" s="2">
        <v>0</v>
      </c>
      <c r="V382" s="2">
        <v>0</v>
      </c>
      <c r="W382" s="2" t="e">
        <f t="shared" si="49"/>
        <v>#NUM!</v>
      </c>
      <c r="X382" s="2">
        <f t="shared" si="50"/>
        <v>2.1858665453113342</v>
      </c>
      <c r="Y382" s="2" t="e">
        <f t="shared" si="51"/>
        <v>#NUM!</v>
      </c>
      <c r="Z382" t="e">
        <f t="shared" si="52"/>
        <v>#NUM!</v>
      </c>
      <c r="AA382" t="e">
        <f t="shared" si="53"/>
        <v>#NUM!</v>
      </c>
      <c r="AB382" t="e">
        <f t="shared" si="54"/>
        <v>#NUM!</v>
      </c>
    </row>
    <row r="383" spans="1:28" ht="13.9" x14ac:dyDescent="0.3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f t="shared" si="46"/>
        <v>1.4168397419128294</v>
      </c>
      <c r="L383" s="2">
        <f t="shared" si="47"/>
        <v>1.3391373849195856</v>
      </c>
      <c r="M383" s="2">
        <f t="shared" si="48"/>
        <v>1.5058909297299574</v>
      </c>
      <c r="N383" s="2">
        <v>0</v>
      </c>
      <c r="O383" s="2">
        <v>0</v>
      </c>
      <c r="P383" s="2">
        <v>7.26</v>
      </c>
      <c r="Q383" s="2">
        <v>0.33</v>
      </c>
      <c r="R383" s="2">
        <v>0</v>
      </c>
      <c r="S383" s="2">
        <v>8.19</v>
      </c>
      <c r="T383" s="2">
        <v>0</v>
      </c>
      <c r="U383" s="2">
        <v>6.49</v>
      </c>
      <c r="V383" s="2">
        <v>0</v>
      </c>
      <c r="W383" s="2">
        <f t="shared" si="49"/>
        <v>2.8599695482210259</v>
      </c>
      <c r="X383" s="2">
        <f t="shared" si="50"/>
        <v>3.0908534304511139</v>
      </c>
      <c r="Y383" s="2">
        <f t="shared" si="51"/>
        <v>2.6982184782244136</v>
      </c>
      <c r="Z383">
        <f t="shared" si="52"/>
        <v>1.0133232009463442</v>
      </c>
      <c r="AA383">
        <f t="shared" si="53"/>
        <v>1.2067012652500013</v>
      </c>
      <c r="AB383">
        <f t="shared" si="54"/>
        <v>0.84138988914808033</v>
      </c>
    </row>
    <row r="384" spans="1:28" ht="13.9" x14ac:dyDescent="0.3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f t="shared" si="46"/>
        <v>-1.4739311883324124</v>
      </c>
      <c r="L384" s="2">
        <f t="shared" si="47"/>
        <v>1.3103401206121505</v>
      </c>
      <c r="M384" s="2">
        <f t="shared" si="48"/>
        <v>1.4382928515791469</v>
      </c>
      <c r="N384" s="2">
        <v>0</v>
      </c>
      <c r="O384" s="2">
        <v>0</v>
      </c>
      <c r="P384" s="2">
        <v>0</v>
      </c>
      <c r="Q384" s="2">
        <v>2.64</v>
      </c>
      <c r="R384" s="2">
        <v>0</v>
      </c>
      <c r="S384" s="2">
        <v>0</v>
      </c>
      <c r="T384" s="2">
        <v>2.16</v>
      </c>
      <c r="U384" s="2">
        <v>0.84</v>
      </c>
      <c r="V384" s="2">
        <v>0</v>
      </c>
      <c r="W384" s="2" t="e">
        <f t="shared" si="49"/>
        <v>#NUM!</v>
      </c>
      <c r="X384" s="2">
        <f t="shared" si="50"/>
        <v>1.4005379295837288</v>
      </c>
      <c r="Y384" s="2">
        <f t="shared" si="51"/>
        <v>1.5849625007211563</v>
      </c>
      <c r="Z384" t="e">
        <f t="shared" si="52"/>
        <v>#NUM!</v>
      </c>
      <c r="AA384">
        <f t="shared" si="53"/>
        <v>9.6039719321677708E-2</v>
      </c>
      <c r="AB384">
        <f t="shared" si="54"/>
        <v>0.14009125385625995</v>
      </c>
    </row>
    <row r="385" spans="1:28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 t="e">
        <f t="shared" si="46"/>
        <v>#NUM!</v>
      </c>
      <c r="L385" s="2">
        <f t="shared" si="47"/>
        <v>-2.9434164716336326</v>
      </c>
      <c r="M385" s="2">
        <f t="shared" si="48"/>
        <v>-0.23446525363702278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 t="e">
        <f t="shared" si="49"/>
        <v>#NUM!</v>
      </c>
      <c r="X385" s="2" t="e">
        <f t="shared" si="50"/>
        <v>#NUM!</v>
      </c>
      <c r="Y385" s="2" t="e">
        <f t="shared" si="51"/>
        <v>#NUM!</v>
      </c>
      <c r="Z385" t="e">
        <f t="shared" si="52"/>
        <v>#NUM!</v>
      </c>
      <c r="AA385" t="e">
        <f t="shared" si="53"/>
        <v>#NUM!</v>
      </c>
      <c r="AB385" t="e">
        <f t="shared" si="54"/>
        <v>#NUM!</v>
      </c>
    </row>
    <row r="386" spans="1:28" ht="13.9" x14ac:dyDescent="0.3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f t="shared" si="46"/>
        <v>-0.25153876699596428</v>
      </c>
      <c r="L386" s="2">
        <f t="shared" si="47"/>
        <v>0.83995958748953181</v>
      </c>
      <c r="M386" s="2">
        <f t="shared" si="48"/>
        <v>0.17632277264046289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 t="e">
        <f t="shared" si="49"/>
        <v>#NUM!</v>
      </c>
      <c r="X386" s="2" t="e">
        <f t="shared" si="50"/>
        <v>#NUM!</v>
      </c>
      <c r="Y386" s="2" t="e">
        <f t="shared" si="51"/>
        <v>#NUM!</v>
      </c>
      <c r="Z386" t="e">
        <f t="shared" si="52"/>
        <v>#NUM!</v>
      </c>
      <c r="AA386" t="e">
        <f t="shared" si="53"/>
        <v>#NUM!</v>
      </c>
      <c r="AB386" t="e">
        <f t="shared" si="54"/>
        <v>#NUM!</v>
      </c>
    </row>
    <row r="387" spans="1:28" ht="13.9" x14ac:dyDescent="0.3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f t="shared" ref="K387:K450" si="55">LOG(SUM(B387:D387),2)</f>
        <v>-0.57776699931695219</v>
      </c>
      <c r="L387" s="2">
        <f t="shared" ref="L387:L450" si="56">LOG(SUM(E387:G387),2)</f>
        <v>-0.45403163089470749</v>
      </c>
      <c r="M387" s="2">
        <f t="shared" ref="M387:M450" si="57">LOG(SUM(H387:J387),2)</f>
        <v>2.1984941536390834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 t="e">
        <f t="shared" ref="W387:W450" si="58">LOG(SUM(N387:P387),2)</f>
        <v>#NUM!</v>
      </c>
      <c r="X387" s="2" t="e">
        <f t="shared" ref="X387:X450" si="59">LOG(SUM(Q387:S387),2)</f>
        <v>#NUM!</v>
      </c>
      <c r="Y387" s="2" t="e">
        <f t="shared" ref="Y387:Y450" si="60">LOG(SUM(T387:V387),2)</f>
        <v>#NUM!</v>
      </c>
      <c r="Z387" t="e">
        <f t="shared" ref="Z387:Z450" si="61">LOG(W387/K387,2)</f>
        <v>#NUM!</v>
      </c>
      <c r="AA387" t="e">
        <f t="shared" ref="AA387:AA450" si="62">LOG(X387/L387,2)</f>
        <v>#NUM!</v>
      </c>
      <c r="AB387" t="e">
        <f t="shared" ref="AB387:AB450" si="63">LOG(Y387/M387,2)</f>
        <v>#NUM!</v>
      </c>
    </row>
    <row r="388" spans="1:28" ht="13.9" x14ac:dyDescent="0.3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f t="shared" si="55"/>
        <v>0.52606881166758768</v>
      </c>
      <c r="L388" s="2">
        <f t="shared" si="56"/>
        <v>0.75702324650745978</v>
      </c>
      <c r="M388" s="2">
        <f t="shared" si="57"/>
        <v>1.3161457422933565</v>
      </c>
      <c r="N388" s="2">
        <v>0</v>
      </c>
      <c r="O388" s="2">
        <v>0</v>
      </c>
      <c r="P388" s="2">
        <v>0</v>
      </c>
      <c r="Q388" s="2">
        <v>4.6100000000000003</v>
      </c>
      <c r="R388" s="2">
        <v>0</v>
      </c>
      <c r="S388" s="2">
        <v>3.28</v>
      </c>
      <c r="T388" s="2">
        <v>4.13</v>
      </c>
      <c r="U388" s="2">
        <v>0.21</v>
      </c>
      <c r="V388" s="2">
        <v>2.0099999999999998</v>
      </c>
      <c r="W388" s="2" t="e">
        <f t="shared" si="58"/>
        <v>#NUM!</v>
      </c>
      <c r="X388" s="2">
        <f t="shared" si="59"/>
        <v>2.9800253002387338</v>
      </c>
      <c r="Y388" s="2">
        <f t="shared" si="60"/>
        <v>2.6667565918848033</v>
      </c>
      <c r="Z388" t="e">
        <f t="shared" si="61"/>
        <v>#NUM!</v>
      </c>
      <c r="AA388">
        <f t="shared" si="62"/>
        <v>1.9769150711613916</v>
      </c>
      <c r="AB388">
        <f t="shared" si="63"/>
        <v>1.0187668954157543</v>
      </c>
    </row>
    <row r="389" spans="1:28" ht="13.9" x14ac:dyDescent="0.3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f t="shared" si="55"/>
        <v>0</v>
      </c>
      <c r="L389" s="2" t="e">
        <f t="shared" si="56"/>
        <v>#NUM!</v>
      </c>
      <c r="M389" s="2" t="e">
        <f t="shared" si="57"/>
        <v>#NUM!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 t="e">
        <f t="shared" si="58"/>
        <v>#NUM!</v>
      </c>
      <c r="X389" s="2" t="e">
        <f t="shared" si="59"/>
        <v>#NUM!</v>
      </c>
      <c r="Y389" s="2" t="e">
        <f t="shared" si="60"/>
        <v>#NUM!</v>
      </c>
      <c r="Z389" t="e">
        <f t="shared" si="61"/>
        <v>#NUM!</v>
      </c>
      <c r="AA389" t="e">
        <f t="shared" si="62"/>
        <v>#NUM!</v>
      </c>
      <c r="AB389" t="e">
        <f t="shared" si="63"/>
        <v>#NUM!</v>
      </c>
    </row>
    <row r="390" spans="1:28" ht="13.9" x14ac:dyDescent="0.3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f t="shared" si="55"/>
        <v>0.84799690655495008</v>
      </c>
      <c r="L390" s="2">
        <f t="shared" si="56"/>
        <v>2.5631581304028082</v>
      </c>
      <c r="M390" s="2">
        <f t="shared" si="57"/>
        <v>1.7782085763980877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 t="e">
        <f t="shared" si="58"/>
        <v>#NUM!</v>
      </c>
      <c r="X390" s="2" t="e">
        <f t="shared" si="59"/>
        <v>#NUM!</v>
      </c>
      <c r="Y390" s="2" t="e">
        <f t="shared" si="60"/>
        <v>#NUM!</v>
      </c>
      <c r="Z390" t="e">
        <f t="shared" si="61"/>
        <v>#NUM!</v>
      </c>
      <c r="AA390" t="e">
        <f t="shared" si="62"/>
        <v>#NUM!</v>
      </c>
      <c r="AB390" t="e">
        <f t="shared" si="63"/>
        <v>#NUM!</v>
      </c>
    </row>
    <row r="391" spans="1:28" ht="13.9" x14ac:dyDescent="0.3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f t="shared" si="55"/>
        <v>-3.1844245711374275</v>
      </c>
      <c r="L391" s="2">
        <f t="shared" si="56"/>
        <v>0.34482849699744117</v>
      </c>
      <c r="M391" s="2" t="e">
        <f t="shared" si="57"/>
        <v>#NUM!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4.01</v>
      </c>
      <c r="T391" s="2">
        <v>0</v>
      </c>
      <c r="U391" s="2">
        <v>0</v>
      </c>
      <c r="V391" s="2">
        <v>0</v>
      </c>
      <c r="W391" s="2" t="e">
        <f t="shared" si="58"/>
        <v>#NUM!</v>
      </c>
      <c r="X391" s="2">
        <f t="shared" si="59"/>
        <v>2.0036022366801958</v>
      </c>
      <c r="Y391" s="2" t="e">
        <f t="shared" si="60"/>
        <v>#NUM!</v>
      </c>
      <c r="Z391" t="e">
        <f t="shared" si="61"/>
        <v>#NUM!</v>
      </c>
      <c r="AA391">
        <f t="shared" si="62"/>
        <v>2.5386452168978582</v>
      </c>
      <c r="AB391" t="e">
        <f t="shared" si="63"/>
        <v>#NUM!</v>
      </c>
    </row>
    <row r="392" spans="1:28" ht="13.9" x14ac:dyDescent="0.3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f t="shared" si="55"/>
        <v>2.4515408330178317</v>
      </c>
      <c r="L392" s="2">
        <f t="shared" si="56"/>
        <v>2.4724877714627436</v>
      </c>
      <c r="M392" s="2">
        <f t="shared" si="57"/>
        <v>0.82374936030827284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 t="e">
        <f t="shared" si="58"/>
        <v>#NUM!</v>
      </c>
      <c r="X392" s="2" t="e">
        <f t="shared" si="59"/>
        <v>#NUM!</v>
      </c>
      <c r="Y392" s="2" t="e">
        <f t="shared" si="60"/>
        <v>#NUM!</v>
      </c>
      <c r="Z392" t="e">
        <f t="shared" si="61"/>
        <v>#NUM!</v>
      </c>
      <c r="AA392" t="e">
        <f t="shared" si="62"/>
        <v>#NUM!</v>
      </c>
      <c r="AB392" t="e">
        <f t="shared" si="63"/>
        <v>#NUM!</v>
      </c>
    </row>
    <row r="393" spans="1:28" ht="13.9" x14ac:dyDescent="0.3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f t="shared" si="55"/>
        <v>-2.1844245711374275</v>
      </c>
      <c r="L393" s="2">
        <f t="shared" si="56"/>
        <v>-1.8889686876112561</v>
      </c>
      <c r="M393" s="2" t="e">
        <f t="shared" si="57"/>
        <v>#NUM!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 t="e">
        <f t="shared" si="58"/>
        <v>#NUM!</v>
      </c>
      <c r="X393" s="2" t="e">
        <f t="shared" si="59"/>
        <v>#NUM!</v>
      </c>
      <c r="Y393" s="2" t="e">
        <f t="shared" si="60"/>
        <v>#NUM!</v>
      </c>
      <c r="Z393" t="e">
        <f t="shared" si="61"/>
        <v>#NUM!</v>
      </c>
      <c r="AA393" t="e">
        <f t="shared" si="62"/>
        <v>#NUM!</v>
      </c>
      <c r="AB393" t="e">
        <f t="shared" si="63"/>
        <v>#NUM!</v>
      </c>
    </row>
    <row r="394" spans="1:28" ht="13.9" x14ac:dyDescent="0.3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f t="shared" si="55"/>
        <v>-5.8893689053568565E-2</v>
      </c>
      <c r="L394" s="2">
        <f t="shared" si="56"/>
        <v>1.7398481026993275</v>
      </c>
      <c r="M394" s="2">
        <f t="shared" si="57"/>
        <v>1.6415460290875239</v>
      </c>
      <c r="N394" s="2">
        <v>5.37</v>
      </c>
      <c r="O394" s="2">
        <v>0</v>
      </c>
      <c r="P394" s="2">
        <v>0</v>
      </c>
      <c r="Q394" s="2">
        <v>0.33</v>
      </c>
      <c r="R394" s="2">
        <v>5.61</v>
      </c>
      <c r="S394" s="2">
        <v>0</v>
      </c>
      <c r="T394" s="2">
        <v>0</v>
      </c>
      <c r="U394" s="2">
        <v>0</v>
      </c>
      <c r="V394" s="2">
        <v>0</v>
      </c>
      <c r="W394" s="2">
        <f t="shared" si="58"/>
        <v>2.4249220882106881</v>
      </c>
      <c r="X394" s="2">
        <f t="shared" si="59"/>
        <v>2.5704629310260412</v>
      </c>
      <c r="Y394" s="2" t="e">
        <f t="shared" si="60"/>
        <v>#NUM!</v>
      </c>
      <c r="Z394" t="e">
        <f t="shared" si="61"/>
        <v>#NUM!</v>
      </c>
      <c r="AA394">
        <f t="shared" si="62"/>
        <v>0.56306684975322874</v>
      </c>
      <c r="AB394" t="e">
        <f t="shared" si="63"/>
        <v>#NUM!</v>
      </c>
    </row>
    <row r="395" spans="1:28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 t="e">
        <f t="shared" si="55"/>
        <v>#NUM!</v>
      </c>
      <c r="L395" s="2" t="e">
        <f t="shared" si="56"/>
        <v>#NUM!</v>
      </c>
      <c r="M395" s="2">
        <f t="shared" si="57"/>
        <v>-1.2863041851566412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 t="e">
        <f t="shared" si="58"/>
        <v>#NUM!</v>
      </c>
      <c r="X395" s="2" t="e">
        <f t="shared" si="59"/>
        <v>#NUM!</v>
      </c>
      <c r="Y395" s="2" t="e">
        <f t="shared" si="60"/>
        <v>#NUM!</v>
      </c>
      <c r="Z395" t="e">
        <f t="shared" si="61"/>
        <v>#NUM!</v>
      </c>
      <c r="AA395" t="e">
        <f t="shared" si="62"/>
        <v>#NUM!</v>
      </c>
      <c r="AB395" t="e">
        <f t="shared" si="63"/>
        <v>#NUM!</v>
      </c>
    </row>
    <row r="396" spans="1:28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 t="e">
        <f t="shared" si="55"/>
        <v>#NUM!</v>
      </c>
      <c r="L396" s="2">
        <f t="shared" si="56"/>
        <v>0.63226821549951295</v>
      </c>
      <c r="M396" s="2">
        <f t="shared" si="57"/>
        <v>-1.8889686876112561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 t="e">
        <f t="shared" si="58"/>
        <v>#NUM!</v>
      </c>
      <c r="X396" s="2" t="e">
        <f t="shared" si="59"/>
        <v>#NUM!</v>
      </c>
      <c r="Y396" s="2" t="e">
        <f t="shared" si="60"/>
        <v>#NUM!</v>
      </c>
      <c r="Z396" t="e">
        <f t="shared" si="61"/>
        <v>#NUM!</v>
      </c>
      <c r="AA396" t="e">
        <f t="shared" si="62"/>
        <v>#NUM!</v>
      </c>
      <c r="AB396" t="e">
        <f t="shared" si="63"/>
        <v>#NUM!</v>
      </c>
    </row>
    <row r="397" spans="1:28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 t="e">
        <f t="shared" si="55"/>
        <v>#NUM!</v>
      </c>
      <c r="L397" s="2" t="e">
        <f t="shared" si="56"/>
        <v>#NUM!</v>
      </c>
      <c r="M397" s="2" t="e">
        <f t="shared" si="57"/>
        <v>#NUM!</v>
      </c>
      <c r="N397" s="2">
        <v>2.88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f t="shared" si="58"/>
        <v>1.5260688116675876</v>
      </c>
      <c r="X397" s="2" t="e">
        <f t="shared" si="59"/>
        <v>#NUM!</v>
      </c>
      <c r="Y397" s="2" t="e">
        <f t="shared" si="60"/>
        <v>#NUM!</v>
      </c>
      <c r="Z397" t="e">
        <f t="shared" si="61"/>
        <v>#NUM!</v>
      </c>
      <c r="AA397" t="e">
        <f t="shared" si="62"/>
        <v>#NUM!</v>
      </c>
      <c r="AB397" t="e">
        <f t="shared" si="63"/>
        <v>#NUM!</v>
      </c>
    </row>
    <row r="398" spans="1:28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 t="e">
        <f t="shared" si="55"/>
        <v>#NUM!</v>
      </c>
      <c r="L398" s="2">
        <f t="shared" si="56"/>
        <v>-1.3219280948873622</v>
      </c>
      <c r="M398" s="2" t="e">
        <f t="shared" si="57"/>
        <v>#NUM!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 t="e">
        <f t="shared" si="58"/>
        <v>#NUM!</v>
      </c>
      <c r="X398" s="2" t="e">
        <f t="shared" si="59"/>
        <v>#NUM!</v>
      </c>
      <c r="Y398" s="2" t="e">
        <f t="shared" si="60"/>
        <v>#NUM!</v>
      </c>
      <c r="Z398" t="e">
        <f t="shared" si="61"/>
        <v>#NUM!</v>
      </c>
      <c r="AA398" t="e">
        <f t="shared" si="62"/>
        <v>#NUM!</v>
      </c>
      <c r="AB398" t="e">
        <f t="shared" si="63"/>
        <v>#NUM!</v>
      </c>
    </row>
    <row r="399" spans="1:28" ht="13.9" x14ac:dyDescent="0.3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f t="shared" si="55"/>
        <v>3.1683211157397229</v>
      </c>
      <c r="L399" s="2">
        <f t="shared" si="56"/>
        <v>3.865918814552213</v>
      </c>
      <c r="M399" s="2">
        <f t="shared" si="57"/>
        <v>2.3362833878644325</v>
      </c>
      <c r="N399" s="2">
        <v>0</v>
      </c>
      <c r="O399" s="2">
        <v>0</v>
      </c>
      <c r="P399" s="2">
        <v>0</v>
      </c>
      <c r="Q399" s="2">
        <v>22.74</v>
      </c>
      <c r="R399" s="2">
        <v>0</v>
      </c>
      <c r="S399" s="2">
        <v>8.92</v>
      </c>
      <c r="T399" s="2">
        <v>3.41</v>
      </c>
      <c r="U399" s="2">
        <v>0</v>
      </c>
      <c r="V399" s="2">
        <v>0</v>
      </c>
      <c r="W399" s="2" t="e">
        <f t="shared" si="58"/>
        <v>#NUM!</v>
      </c>
      <c r="X399" s="2">
        <f t="shared" si="59"/>
        <v>4.9845893503624561</v>
      </c>
      <c r="Y399" s="2">
        <f t="shared" si="60"/>
        <v>1.7697717392494476</v>
      </c>
      <c r="Z399" t="e">
        <f t="shared" si="61"/>
        <v>#NUM!</v>
      </c>
      <c r="AA399">
        <f t="shared" si="62"/>
        <v>0.36666331391285722</v>
      </c>
      <c r="AB399">
        <f t="shared" si="63"/>
        <v>-0.40065198460210705</v>
      </c>
    </row>
    <row r="400" spans="1:28" ht="13.9" x14ac:dyDescent="0.3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f t="shared" si="55"/>
        <v>6.4399555174781566</v>
      </c>
      <c r="L400" s="2">
        <f t="shared" si="56"/>
        <v>6.0228116509156324</v>
      </c>
      <c r="M400" s="2">
        <f t="shared" si="57"/>
        <v>5.5027124859660619</v>
      </c>
      <c r="N400" s="2">
        <v>52.7</v>
      </c>
      <c r="O400" s="2">
        <v>34.99</v>
      </c>
      <c r="P400" s="2">
        <v>82.73</v>
      </c>
      <c r="Q400" s="2">
        <v>68.89</v>
      </c>
      <c r="R400" s="2">
        <v>57.09</v>
      </c>
      <c r="S400" s="2">
        <v>59.35</v>
      </c>
      <c r="T400" s="2">
        <v>35.93</v>
      </c>
      <c r="U400" s="2">
        <v>36.409999999999997</v>
      </c>
      <c r="V400" s="2">
        <v>69.88</v>
      </c>
      <c r="W400" s="2">
        <f t="shared" si="58"/>
        <v>7.4129508458058835</v>
      </c>
      <c r="X400" s="2">
        <f t="shared" si="59"/>
        <v>7.5339526240164725</v>
      </c>
      <c r="Y400" s="2">
        <f t="shared" si="60"/>
        <v>7.1519805511589247</v>
      </c>
      <c r="Z400">
        <f t="shared" si="61"/>
        <v>0.2029972218316877</v>
      </c>
      <c r="AA400">
        <f t="shared" si="62"/>
        <v>0.32296981839437738</v>
      </c>
      <c r="AB400">
        <f t="shared" si="63"/>
        <v>0.37819986278630374</v>
      </c>
    </row>
    <row r="401" spans="1:28" ht="13.9" x14ac:dyDescent="0.3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f t="shared" si="55"/>
        <v>1.3334237337251917</v>
      </c>
      <c r="L401" s="2">
        <f t="shared" si="56"/>
        <v>1.2868811477881617</v>
      </c>
      <c r="M401" s="2" t="e">
        <f t="shared" si="57"/>
        <v>#NUM!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e">
        <f t="shared" si="58"/>
        <v>#NUM!</v>
      </c>
      <c r="X401" s="2" t="e">
        <f t="shared" si="59"/>
        <v>#NUM!</v>
      </c>
      <c r="Y401" s="2" t="e">
        <f t="shared" si="60"/>
        <v>#NUM!</v>
      </c>
      <c r="Z401" t="e">
        <f t="shared" si="61"/>
        <v>#NUM!</v>
      </c>
      <c r="AA401" t="e">
        <f t="shared" si="62"/>
        <v>#NUM!</v>
      </c>
      <c r="AB401" t="e">
        <f t="shared" si="63"/>
        <v>#NUM!</v>
      </c>
    </row>
    <row r="402" spans="1:28" ht="13.9" x14ac:dyDescent="0.3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f t="shared" si="55"/>
        <v>0.32192809488736235</v>
      </c>
      <c r="L402" s="2">
        <f t="shared" si="56"/>
        <v>0.37851162325372983</v>
      </c>
      <c r="M402" s="2">
        <f t="shared" si="57"/>
        <v>-2.8365012677171206</v>
      </c>
      <c r="N402" s="2">
        <v>0.13</v>
      </c>
      <c r="O402" s="2">
        <v>9.5399999999999991</v>
      </c>
      <c r="P402" s="2">
        <v>0.78</v>
      </c>
      <c r="Q402" s="2">
        <v>0.33</v>
      </c>
      <c r="R402" s="2">
        <v>0</v>
      </c>
      <c r="S402" s="2">
        <v>0</v>
      </c>
      <c r="T402" s="2">
        <v>0.18</v>
      </c>
      <c r="U402" s="2">
        <v>0</v>
      </c>
      <c r="V402" s="2">
        <v>0</v>
      </c>
      <c r="W402" s="2">
        <f t="shared" si="58"/>
        <v>3.3854310371935208</v>
      </c>
      <c r="X402" s="2">
        <f t="shared" si="59"/>
        <v>-1.5994620704162712</v>
      </c>
      <c r="Y402" s="2">
        <f t="shared" si="60"/>
        <v>-2.4739311883324122</v>
      </c>
      <c r="Z402">
        <f t="shared" si="61"/>
        <v>3.3945291387646424</v>
      </c>
      <c r="AA402" t="e">
        <f t="shared" si="62"/>
        <v>#NUM!</v>
      </c>
      <c r="AB402">
        <f t="shared" si="63"/>
        <v>-0.19730713605790229</v>
      </c>
    </row>
    <row r="403" spans="1:28" ht="13.9" x14ac:dyDescent="0.3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f t="shared" si="55"/>
        <v>-0.81096617560998319</v>
      </c>
      <c r="L403" s="2">
        <f t="shared" si="56"/>
        <v>0.26303440583379406</v>
      </c>
      <c r="M403" s="2" t="e">
        <f t="shared" si="57"/>
        <v>#NUM!</v>
      </c>
      <c r="N403" s="2">
        <v>0</v>
      </c>
      <c r="O403" s="2">
        <v>9.5399999999999991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f t="shared" si="58"/>
        <v>3.253989266230787</v>
      </c>
      <c r="X403" s="2" t="e">
        <f t="shared" si="59"/>
        <v>#NUM!</v>
      </c>
      <c r="Y403" s="2" t="e">
        <f t="shared" si="60"/>
        <v>#NUM!</v>
      </c>
      <c r="Z403" t="e">
        <f t="shared" si="61"/>
        <v>#NUM!</v>
      </c>
      <c r="AA403" t="e">
        <f t="shared" si="62"/>
        <v>#NUM!</v>
      </c>
      <c r="AB403" t="e">
        <f t="shared" si="63"/>
        <v>#NUM!</v>
      </c>
    </row>
    <row r="404" spans="1:28" ht="13.9" x14ac:dyDescent="0.3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f t="shared" si="55"/>
        <v>0.47508488294878287</v>
      </c>
      <c r="L404" s="2">
        <f t="shared" si="56"/>
        <v>-1.4499569695115091E-2</v>
      </c>
      <c r="M404" s="2">
        <f t="shared" si="57"/>
        <v>2.2539892662307865</v>
      </c>
      <c r="N404" s="2">
        <v>3.8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5.93</v>
      </c>
      <c r="U404" s="2">
        <v>4.3899999999999997</v>
      </c>
      <c r="V404" s="2">
        <v>0</v>
      </c>
      <c r="W404" s="2">
        <f t="shared" si="58"/>
        <v>1.925999418556223</v>
      </c>
      <c r="X404" s="2" t="e">
        <f t="shared" si="59"/>
        <v>#NUM!</v>
      </c>
      <c r="Y404" s="2">
        <f t="shared" si="60"/>
        <v>3.3673710656485296</v>
      </c>
      <c r="Z404">
        <f t="shared" si="61"/>
        <v>2.0193500611530668</v>
      </c>
      <c r="AA404" t="e">
        <f t="shared" si="62"/>
        <v>#NUM!</v>
      </c>
      <c r="AB404">
        <f t="shared" si="63"/>
        <v>0.57914206169325289</v>
      </c>
    </row>
    <row r="405" spans="1:28" ht="13.9" x14ac:dyDescent="0.3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f t="shared" si="55"/>
        <v>4.5046203924035533</v>
      </c>
      <c r="L405" s="2">
        <f t="shared" si="56"/>
        <v>5.3543816321133217</v>
      </c>
      <c r="M405" s="2">
        <f t="shared" si="57"/>
        <v>7.8236856806260269</v>
      </c>
      <c r="N405" s="2">
        <v>10.09</v>
      </c>
      <c r="O405" s="2">
        <v>31.81</v>
      </c>
      <c r="P405" s="2">
        <v>14.78</v>
      </c>
      <c r="Q405" s="2">
        <v>15.16</v>
      </c>
      <c r="R405" s="2">
        <v>15.61</v>
      </c>
      <c r="S405" s="2">
        <v>14.38</v>
      </c>
      <c r="T405" s="2">
        <v>25.51</v>
      </c>
      <c r="U405" s="2">
        <v>21.35</v>
      </c>
      <c r="V405" s="2">
        <v>22.62</v>
      </c>
      <c r="W405" s="2">
        <f t="shared" si="58"/>
        <v>5.8247678531432943</v>
      </c>
      <c r="X405" s="2">
        <f t="shared" si="59"/>
        <v>5.496654082593496</v>
      </c>
      <c r="Y405" s="2">
        <f t="shared" si="60"/>
        <v>6.1185258489356693</v>
      </c>
      <c r="Z405">
        <f t="shared" si="61"/>
        <v>0.37079501790633301</v>
      </c>
      <c r="AA405">
        <f t="shared" si="62"/>
        <v>3.7833719685508783E-2</v>
      </c>
      <c r="AB405">
        <f t="shared" si="63"/>
        <v>-0.35466430784640762</v>
      </c>
    </row>
    <row r="406" spans="1:28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 t="e">
        <f t="shared" si="55"/>
        <v>#NUM!</v>
      </c>
      <c r="L406" s="2">
        <f t="shared" si="56"/>
        <v>0.91838623444634815</v>
      </c>
      <c r="M406" s="2" t="e">
        <f t="shared" si="57"/>
        <v>#NUM!</v>
      </c>
      <c r="N406" s="2">
        <v>0</v>
      </c>
      <c r="O406" s="2">
        <v>8.1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f t="shared" si="58"/>
        <v>3.0179219079972626</v>
      </c>
      <c r="X406" s="2" t="e">
        <f t="shared" si="59"/>
        <v>#NUM!</v>
      </c>
      <c r="Y406" s="2" t="e">
        <f t="shared" si="60"/>
        <v>#NUM!</v>
      </c>
      <c r="Z406" t="e">
        <f t="shared" si="61"/>
        <v>#NUM!</v>
      </c>
      <c r="AA406" t="e">
        <f t="shared" si="62"/>
        <v>#NUM!</v>
      </c>
      <c r="AB406" t="e">
        <f t="shared" si="63"/>
        <v>#NUM!</v>
      </c>
    </row>
    <row r="407" spans="1:28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 t="e">
        <f t="shared" si="55"/>
        <v>#NUM!</v>
      </c>
      <c r="L407" s="2" t="e">
        <f t="shared" si="56"/>
        <v>#NUM!</v>
      </c>
      <c r="M407" s="2" t="e">
        <f t="shared" si="57"/>
        <v>#NUM!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0.21</v>
      </c>
      <c r="V407" s="2">
        <v>0</v>
      </c>
      <c r="W407" s="2" t="e">
        <f t="shared" si="58"/>
        <v>#NUM!</v>
      </c>
      <c r="X407" s="2" t="e">
        <f t="shared" si="59"/>
        <v>#NUM!</v>
      </c>
      <c r="Y407" s="2">
        <f t="shared" si="60"/>
        <v>-2.2515387669959646</v>
      </c>
      <c r="Z407" t="e">
        <f t="shared" si="61"/>
        <v>#NUM!</v>
      </c>
      <c r="AA407" t="e">
        <f t="shared" si="62"/>
        <v>#NUM!</v>
      </c>
      <c r="AB407" t="e">
        <f t="shared" si="63"/>
        <v>#NUM!</v>
      </c>
    </row>
    <row r="408" spans="1:28" ht="13.9" x14ac:dyDescent="0.3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f t="shared" si="55"/>
        <v>-2.1844245711374275</v>
      </c>
      <c r="L408" s="2">
        <f t="shared" si="56"/>
        <v>-0.32192809488736251</v>
      </c>
      <c r="M408" s="2" t="e">
        <f t="shared" si="57"/>
        <v>#NUM!</v>
      </c>
      <c r="N408" s="2">
        <v>0</v>
      </c>
      <c r="O408" s="2">
        <v>2.89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0.21</v>
      </c>
      <c r="V408" s="2">
        <v>0</v>
      </c>
      <c r="W408" s="2">
        <f t="shared" si="58"/>
        <v>1.5310694927259541</v>
      </c>
      <c r="X408" s="2" t="e">
        <f t="shared" si="59"/>
        <v>#NUM!</v>
      </c>
      <c r="Y408" s="2">
        <f t="shared" si="60"/>
        <v>-2.2515387669959646</v>
      </c>
      <c r="Z408" t="e">
        <f t="shared" si="61"/>
        <v>#NUM!</v>
      </c>
      <c r="AA408" t="e">
        <f t="shared" si="62"/>
        <v>#NUM!</v>
      </c>
      <c r="AB408" t="e">
        <f t="shared" si="63"/>
        <v>#NUM!</v>
      </c>
    </row>
    <row r="409" spans="1:28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 t="e">
        <f t="shared" si="55"/>
        <v>#NUM!</v>
      </c>
      <c r="L409" s="2">
        <f t="shared" si="56"/>
        <v>-3.1844245711374275</v>
      </c>
      <c r="M409" s="2" t="e">
        <f t="shared" si="57"/>
        <v>#NUM!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 t="e">
        <f t="shared" si="58"/>
        <v>#NUM!</v>
      </c>
      <c r="X409" s="2" t="e">
        <f t="shared" si="59"/>
        <v>#NUM!</v>
      </c>
      <c r="Y409" s="2" t="e">
        <f t="shared" si="60"/>
        <v>#NUM!</v>
      </c>
      <c r="Z409" t="e">
        <f t="shared" si="61"/>
        <v>#NUM!</v>
      </c>
      <c r="AA409" t="e">
        <f t="shared" si="62"/>
        <v>#NUM!</v>
      </c>
      <c r="AB409" t="e">
        <f t="shared" si="63"/>
        <v>#NUM!</v>
      </c>
    </row>
    <row r="410" spans="1:28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 t="e">
        <f t="shared" si="55"/>
        <v>#NUM!</v>
      </c>
      <c r="L410" s="2">
        <f t="shared" si="56"/>
        <v>-3.1844245711374275</v>
      </c>
      <c r="M410" s="2" t="e">
        <f t="shared" si="57"/>
        <v>#NUM!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 t="e">
        <f t="shared" si="58"/>
        <v>#NUM!</v>
      </c>
      <c r="X410" s="2" t="e">
        <f t="shared" si="59"/>
        <v>#NUM!</v>
      </c>
      <c r="Y410" s="2" t="e">
        <f t="shared" si="60"/>
        <v>#NUM!</v>
      </c>
      <c r="Z410" t="e">
        <f t="shared" si="61"/>
        <v>#NUM!</v>
      </c>
      <c r="AA410" t="e">
        <f t="shared" si="62"/>
        <v>#NUM!</v>
      </c>
      <c r="AB410" t="e">
        <f t="shared" si="63"/>
        <v>#NUM!</v>
      </c>
    </row>
    <row r="411" spans="1:28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 t="e">
        <f t="shared" si="55"/>
        <v>#NUM!</v>
      </c>
      <c r="L411" s="2">
        <f t="shared" si="56"/>
        <v>-3.3219280948873622</v>
      </c>
      <c r="M411" s="2" t="e">
        <f t="shared" si="57"/>
        <v>#NUM!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 t="e">
        <f t="shared" si="58"/>
        <v>#NUM!</v>
      </c>
      <c r="X411" s="2" t="e">
        <f t="shared" si="59"/>
        <v>#NUM!</v>
      </c>
      <c r="Y411" s="2" t="e">
        <f t="shared" si="60"/>
        <v>#NUM!</v>
      </c>
      <c r="Z411" t="e">
        <f t="shared" si="61"/>
        <v>#NUM!</v>
      </c>
      <c r="AA411" t="e">
        <f t="shared" si="62"/>
        <v>#NUM!</v>
      </c>
      <c r="AB411" t="e">
        <f t="shared" si="63"/>
        <v>#NUM!</v>
      </c>
    </row>
    <row r="412" spans="1:28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 t="e">
        <f t="shared" si="55"/>
        <v>#NUM!</v>
      </c>
      <c r="L412" s="2" t="e">
        <f t="shared" si="56"/>
        <v>#NUM!</v>
      </c>
      <c r="M412" s="2" t="e">
        <f t="shared" si="57"/>
        <v>#NUM!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0.18</v>
      </c>
      <c r="U412" s="2">
        <v>0.21</v>
      </c>
      <c r="V412" s="2">
        <v>0</v>
      </c>
      <c r="W412" s="2" t="e">
        <f t="shared" si="58"/>
        <v>#NUM!</v>
      </c>
      <c r="X412" s="2" t="e">
        <f t="shared" si="59"/>
        <v>#NUM!</v>
      </c>
      <c r="Y412" s="2">
        <f t="shared" si="60"/>
        <v>-1.3584539709124763</v>
      </c>
      <c r="Z412" t="e">
        <f t="shared" si="61"/>
        <v>#NUM!</v>
      </c>
      <c r="AA412" t="e">
        <f t="shared" si="62"/>
        <v>#NUM!</v>
      </c>
      <c r="AB412" t="e">
        <f t="shared" si="63"/>
        <v>#NUM!</v>
      </c>
    </row>
    <row r="413" spans="1:28" ht="13.9" x14ac:dyDescent="0.3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f t="shared" si="55"/>
        <v>-2.0588936890535687</v>
      </c>
      <c r="L413" s="2" t="e">
        <f t="shared" si="56"/>
        <v>#NUM!</v>
      </c>
      <c r="M413" s="2">
        <f t="shared" si="57"/>
        <v>-2.0588936890535683</v>
      </c>
      <c r="N413" s="2">
        <v>0</v>
      </c>
      <c r="O413" s="2">
        <v>0.28999999999999998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f t="shared" si="58"/>
        <v>-1.7858751946471527</v>
      </c>
      <c r="X413" s="2" t="e">
        <f t="shared" si="59"/>
        <v>#NUM!</v>
      </c>
      <c r="Y413" s="2" t="e">
        <f t="shared" si="60"/>
        <v>#NUM!</v>
      </c>
      <c r="Z413">
        <f t="shared" si="61"/>
        <v>-0.20523807668405836</v>
      </c>
      <c r="AA413" t="e">
        <f t="shared" si="62"/>
        <v>#NUM!</v>
      </c>
      <c r="AB413" t="e">
        <f t="shared" si="63"/>
        <v>#NUM!</v>
      </c>
    </row>
    <row r="414" spans="1:28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 t="e">
        <f t="shared" si="55"/>
        <v>#NUM!</v>
      </c>
      <c r="L414" s="2">
        <f t="shared" si="56"/>
        <v>1.4222330006830479</v>
      </c>
      <c r="M414" s="2">
        <f t="shared" si="57"/>
        <v>0.69599381310990016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 t="e">
        <f t="shared" si="58"/>
        <v>#NUM!</v>
      </c>
      <c r="X414" s="2" t="e">
        <f t="shared" si="59"/>
        <v>#NUM!</v>
      </c>
      <c r="Y414" s="2" t="e">
        <f t="shared" si="60"/>
        <v>#NUM!</v>
      </c>
      <c r="Z414" t="e">
        <f t="shared" si="61"/>
        <v>#NUM!</v>
      </c>
      <c r="AA414" t="e">
        <f t="shared" si="62"/>
        <v>#NUM!</v>
      </c>
      <c r="AB414" t="e">
        <f t="shared" si="63"/>
        <v>#NUM!</v>
      </c>
    </row>
    <row r="415" spans="1:28" ht="13.9" x14ac:dyDescent="0.3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f t="shared" si="55"/>
        <v>9.3859917845293452</v>
      </c>
      <c r="L415" s="2">
        <f t="shared" si="56"/>
        <v>9.2329724756970499</v>
      </c>
      <c r="M415" s="2">
        <f t="shared" si="57"/>
        <v>9.0910121689714796</v>
      </c>
      <c r="N415" s="2">
        <v>182.62</v>
      </c>
      <c r="O415" s="2">
        <v>183.63</v>
      </c>
      <c r="P415" s="2">
        <v>133.03</v>
      </c>
      <c r="Q415" s="2">
        <v>150.63</v>
      </c>
      <c r="R415" s="2">
        <v>149.06</v>
      </c>
      <c r="S415" s="2">
        <v>79.02</v>
      </c>
      <c r="T415" s="2">
        <v>151.44999999999999</v>
      </c>
      <c r="U415" s="2">
        <v>109.87</v>
      </c>
      <c r="V415" s="2">
        <v>112.61</v>
      </c>
      <c r="W415" s="2">
        <f t="shared" si="58"/>
        <v>8.9637053065794809</v>
      </c>
      <c r="X415" s="2">
        <f t="shared" si="59"/>
        <v>8.5649497064814302</v>
      </c>
      <c r="Y415" s="2">
        <f t="shared" si="60"/>
        <v>8.5466244114789429</v>
      </c>
      <c r="Z415">
        <f t="shared" si="61"/>
        <v>-6.6413978429171003E-2</v>
      </c>
      <c r="AA415">
        <f t="shared" si="62"/>
        <v>-0.1083504110463633</v>
      </c>
      <c r="AB415">
        <f t="shared" si="63"/>
        <v>-8.9086205825733983E-2</v>
      </c>
    </row>
    <row r="416" spans="1:28" ht="13.9" x14ac:dyDescent="0.3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f t="shared" si="55"/>
        <v>7.0839579301622324</v>
      </c>
      <c r="L416" s="2">
        <f t="shared" si="56"/>
        <v>6.9456779261140884</v>
      </c>
      <c r="M416" s="2">
        <f t="shared" si="57"/>
        <v>6.7434880397891854</v>
      </c>
      <c r="N416" s="2">
        <v>13.24</v>
      </c>
      <c r="O416" s="2">
        <v>30.94</v>
      </c>
      <c r="P416" s="2">
        <v>0</v>
      </c>
      <c r="Q416" s="2">
        <v>25.05</v>
      </c>
      <c r="R416" s="2">
        <v>61.97</v>
      </c>
      <c r="S416" s="2">
        <v>35.14</v>
      </c>
      <c r="T416" s="2">
        <v>37.729999999999997</v>
      </c>
      <c r="U416" s="2">
        <v>10.46</v>
      </c>
      <c r="V416" s="2">
        <v>50.78</v>
      </c>
      <c r="W416" s="2">
        <f t="shared" si="58"/>
        <v>5.46532151358055</v>
      </c>
      <c r="X416" s="2">
        <f t="shared" si="59"/>
        <v>6.9326281570221271</v>
      </c>
      <c r="Y416" s="2">
        <f t="shared" si="60"/>
        <v>6.628919373511363</v>
      </c>
      <c r="Z416">
        <f t="shared" si="61"/>
        <v>-0.37424927514940753</v>
      </c>
      <c r="AA416">
        <f t="shared" si="62"/>
        <v>-2.7131326531654376E-3</v>
      </c>
      <c r="AB416">
        <f t="shared" si="63"/>
        <v>-2.4721306484423132E-2</v>
      </c>
    </row>
    <row r="417" spans="1:28" ht="13.9" x14ac:dyDescent="0.3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f t="shared" si="55"/>
        <v>-1.4739311883324124</v>
      </c>
      <c r="L417" s="2">
        <f t="shared" si="56"/>
        <v>-0.91593573521152549</v>
      </c>
      <c r="M417" s="2">
        <f t="shared" si="57"/>
        <v>0.53605290024021002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0.73</v>
      </c>
      <c r="T417" s="2">
        <v>0</v>
      </c>
      <c r="U417" s="2">
        <v>0</v>
      </c>
      <c r="V417" s="2">
        <v>0</v>
      </c>
      <c r="W417" s="2" t="e">
        <f t="shared" si="58"/>
        <v>#NUM!</v>
      </c>
      <c r="X417" s="2">
        <f t="shared" si="59"/>
        <v>-0.45403163089470749</v>
      </c>
      <c r="Y417" s="2" t="e">
        <f t="shared" si="60"/>
        <v>#NUM!</v>
      </c>
      <c r="Z417" t="e">
        <f t="shared" si="61"/>
        <v>#NUM!</v>
      </c>
      <c r="AA417">
        <f t="shared" si="62"/>
        <v>-1.0124535692280492</v>
      </c>
      <c r="AB417" t="e">
        <f t="shared" si="63"/>
        <v>#NUM!</v>
      </c>
    </row>
    <row r="418" spans="1:28" ht="13.9" x14ac:dyDescent="0.3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f t="shared" si="55"/>
        <v>3.5071603491175236</v>
      </c>
      <c r="L418" s="2">
        <f t="shared" si="56"/>
        <v>4.0583164955908231</v>
      </c>
      <c r="M418" s="2">
        <f t="shared" si="57"/>
        <v>3.593353770980297</v>
      </c>
      <c r="N418" s="2">
        <v>0</v>
      </c>
      <c r="O418" s="2">
        <v>6.94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6.49</v>
      </c>
      <c r="V418" s="2">
        <v>0</v>
      </c>
      <c r="W418" s="2">
        <f t="shared" si="58"/>
        <v>2.7949356628035362</v>
      </c>
      <c r="X418" s="2" t="e">
        <f t="shared" si="59"/>
        <v>#NUM!</v>
      </c>
      <c r="Y418" s="2">
        <f t="shared" si="60"/>
        <v>2.6982184782244136</v>
      </c>
      <c r="Z418">
        <f t="shared" si="61"/>
        <v>-0.32748831907623832</v>
      </c>
      <c r="AA418" t="e">
        <f t="shared" si="62"/>
        <v>#NUM!</v>
      </c>
      <c r="AB418">
        <f t="shared" si="63"/>
        <v>-0.41332380789670747</v>
      </c>
    </row>
    <row r="419" spans="1:28" ht="13.9" x14ac:dyDescent="0.3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f t="shared" si="55"/>
        <v>-0.55639334852438527</v>
      </c>
      <c r="L419" s="2" t="e">
        <f t="shared" si="56"/>
        <v>#NUM!</v>
      </c>
      <c r="M419" s="2" t="e">
        <f t="shared" si="57"/>
        <v>#NUM!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 t="e">
        <f t="shared" si="58"/>
        <v>#NUM!</v>
      </c>
      <c r="X419" s="2" t="e">
        <f t="shared" si="59"/>
        <v>#NUM!</v>
      </c>
      <c r="Y419" s="2" t="e">
        <f t="shared" si="60"/>
        <v>#NUM!</v>
      </c>
      <c r="Z419" t="e">
        <f t="shared" si="61"/>
        <v>#NUM!</v>
      </c>
      <c r="AA419" t="e">
        <f t="shared" si="62"/>
        <v>#NUM!</v>
      </c>
      <c r="AB419" t="e">
        <f t="shared" si="63"/>
        <v>#NUM!</v>
      </c>
    </row>
    <row r="420" spans="1:28" ht="13.9" x14ac:dyDescent="0.3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f t="shared" si="55"/>
        <v>1.7441610955704101</v>
      </c>
      <c r="L420" s="2">
        <f t="shared" si="56"/>
        <v>1.0976107966264224</v>
      </c>
      <c r="M420" s="2">
        <f t="shared" si="57"/>
        <v>0.79077203786200001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 t="e">
        <f t="shared" si="58"/>
        <v>#NUM!</v>
      </c>
      <c r="X420" s="2" t="e">
        <f t="shared" si="59"/>
        <v>#NUM!</v>
      </c>
      <c r="Y420" s="2" t="e">
        <f t="shared" si="60"/>
        <v>#NUM!</v>
      </c>
      <c r="Z420" t="e">
        <f t="shared" si="61"/>
        <v>#NUM!</v>
      </c>
      <c r="AA420" t="e">
        <f t="shared" si="62"/>
        <v>#NUM!</v>
      </c>
      <c r="AB420" t="e">
        <f t="shared" si="63"/>
        <v>#NUM!</v>
      </c>
    </row>
    <row r="421" spans="1:28" ht="13.9" x14ac:dyDescent="0.3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f t="shared" si="55"/>
        <v>6.3226492621310166</v>
      </c>
      <c r="L421" s="2">
        <f t="shared" si="56"/>
        <v>5.9639364521444858</v>
      </c>
      <c r="M421" s="2">
        <f t="shared" si="57"/>
        <v>6.1448621429157333</v>
      </c>
      <c r="N421" s="2">
        <v>0</v>
      </c>
      <c r="O421" s="2">
        <v>27.76</v>
      </c>
      <c r="P421" s="2">
        <v>12.97</v>
      </c>
      <c r="Q421" s="2">
        <v>12.2</v>
      </c>
      <c r="R421" s="2">
        <v>7.07</v>
      </c>
      <c r="S421" s="2">
        <v>0</v>
      </c>
      <c r="T421" s="2">
        <v>11.32</v>
      </c>
      <c r="U421" s="2">
        <v>5.44</v>
      </c>
      <c r="V421" s="2">
        <v>0</v>
      </c>
      <c r="W421" s="2">
        <f t="shared" si="58"/>
        <v>5.3480199092286904</v>
      </c>
      <c r="X421" s="2">
        <f t="shared" si="59"/>
        <v>4.2682846665209961</v>
      </c>
      <c r="Y421" s="2">
        <f t="shared" si="60"/>
        <v>4.0669502439246266</v>
      </c>
      <c r="Z421">
        <f t="shared" si="61"/>
        <v>-0.24152435455284385</v>
      </c>
      <c r="AA421">
        <f t="shared" si="62"/>
        <v>-0.48260848763276742</v>
      </c>
      <c r="AB421">
        <f t="shared" si="63"/>
        <v>-0.59543330415813511</v>
      </c>
    </row>
    <row r="422" spans="1:28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 t="e">
        <f t="shared" si="55"/>
        <v>#NUM!</v>
      </c>
      <c r="L422" s="2">
        <f t="shared" si="56"/>
        <v>-3.1844245711374275</v>
      </c>
      <c r="M422" s="2" t="e">
        <f t="shared" si="57"/>
        <v>#NUM!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 t="e">
        <f t="shared" si="58"/>
        <v>#NUM!</v>
      </c>
      <c r="X422" s="2" t="e">
        <f t="shared" si="59"/>
        <v>#NUM!</v>
      </c>
      <c r="Y422" s="2" t="e">
        <f t="shared" si="60"/>
        <v>#NUM!</v>
      </c>
      <c r="Z422" t="e">
        <f t="shared" si="61"/>
        <v>#NUM!</v>
      </c>
      <c r="AA422" t="e">
        <f t="shared" si="62"/>
        <v>#NUM!</v>
      </c>
      <c r="AB422" t="e">
        <f t="shared" si="63"/>
        <v>#NUM!</v>
      </c>
    </row>
    <row r="423" spans="1:28" ht="13.9" x14ac:dyDescent="0.3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f t="shared" si="55"/>
        <v>-0.39592867633113921</v>
      </c>
      <c r="L423" s="2">
        <f t="shared" si="56"/>
        <v>0.66902676550963081</v>
      </c>
      <c r="M423" s="2">
        <f t="shared" si="57"/>
        <v>1.0214797274104515</v>
      </c>
      <c r="N423" s="2">
        <v>0</v>
      </c>
      <c r="O423" s="2">
        <v>0</v>
      </c>
      <c r="P423" s="2">
        <v>0</v>
      </c>
      <c r="Q423" s="2">
        <v>4.9400000000000004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 t="e">
        <f t="shared" si="58"/>
        <v>#NUM!</v>
      </c>
      <c r="X423" s="2">
        <f t="shared" si="59"/>
        <v>2.304511041809953</v>
      </c>
      <c r="Y423" s="2" t="e">
        <f t="shared" si="60"/>
        <v>#NUM!</v>
      </c>
      <c r="Z423" t="e">
        <f t="shared" si="61"/>
        <v>#NUM!</v>
      </c>
      <c r="AA423">
        <f t="shared" si="62"/>
        <v>1.7843248456970591</v>
      </c>
      <c r="AB423" t="e">
        <f t="shared" si="63"/>
        <v>#NUM!</v>
      </c>
    </row>
    <row r="424" spans="1:28" ht="13.9" x14ac:dyDescent="0.3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f t="shared" si="55"/>
        <v>2.0036022366801958</v>
      </c>
      <c r="L424" s="2">
        <f t="shared" si="56"/>
        <v>1.4005379295837288</v>
      </c>
      <c r="M424" s="2">
        <f t="shared" si="57"/>
        <v>1.6644828403646825</v>
      </c>
      <c r="N424" s="2">
        <v>0</v>
      </c>
      <c r="O424" s="2">
        <v>0</v>
      </c>
      <c r="P424" s="2">
        <v>6.48</v>
      </c>
      <c r="Q424" s="2">
        <v>0</v>
      </c>
      <c r="R424" s="2">
        <v>0</v>
      </c>
      <c r="S424" s="2">
        <v>0</v>
      </c>
      <c r="T424" s="2">
        <v>0</v>
      </c>
      <c r="U424" s="2">
        <v>10.46</v>
      </c>
      <c r="V424" s="2">
        <v>1.01</v>
      </c>
      <c r="W424" s="2">
        <f t="shared" si="58"/>
        <v>2.6959938131098999</v>
      </c>
      <c r="X424" s="2" t="e">
        <f t="shared" si="59"/>
        <v>#NUM!</v>
      </c>
      <c r="Y424" s="2">
        <f t="shared" si="60"/>
        <v>3.5197934862411002</v>
      </c>
      <c r="Z424">
        <f t="shared" si="61"/>
        <v>0.42822105852858167</v>
      </c>
      <c r="AA424" t="e">
        <f t="shared" si="62"/>
        <v>#NUM!</v>
      </c>
      <c r="AB424">
        <f t="shared" si="63"/>
        <v>1.0804167879695874</v>
      </c>
    </row>
    <row r="425" spans="1:28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 t="e">
        <f t="shared" si="55"/>
        <v>#NUM!</v>
      </c>
      <c r="L425" s="2">
        <f t="shared" si="56"/>
        <v>-3.1844245711374275</v>
      </c>
      <c r="M425" s="2" t="e">
        <f t="shared" si="57"/>
        <v>#NUM!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6.37</v>
      </c>
      <c r="T425" s="2">
        <v>0</v>
      </c>
      <c r="U425" s="2">
        <v>0</v>
      </c>
      <c r="V425" s="2">
        <v>0</v>
      </c>
      <c r="W425" s="2" t="e">
        <f t="shared" si="58"/>
        <v>#NUM!</v>
      </c>
      <c r="X425" s="2">
        <f t="shared" si="59"/>
        <v>2.6712933724815757</v>
      </c>
      <c r="Y425" s="2" t="e">
        <f t="shared" si="60"/>
        <v>#NUM!</v>
      </c>
      <c r="Z425" t="e">
        <f t="shared" si="61"/>
        <v>#NUM!</v>
      </c>
      <c r="AA425" t="e">
        <f t="shared" si="62"/>
        <v>#NUM!</v>
      </c>
      <c r="AB425" t="e">
        <f t="shared" si="63"/>
        <v>#NUM!</v>
      </c>
    </row>
    <row r="426" spans="1:28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 t="e">
        <f t="shared" si="55"/>
        <v>#NUM!</v>
      </c>
      <c r="L426" s="2">
        <f t="shared" si="56"/>
        <v>-0.66657626627480826</v>
      </c>
      <c r="M426" s="2">
        <f t="shared" si="57"/>
        <v>-1.2863041851566412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 t="e">
        <f t="shared" si="58"/>
        <v>#NUM!</v>
      </c>
      <c r="X426" s="2" t="e">
        <f t="shared" si="59"/>
        <v>#NUM!</v>
      </c>
      <c r="Y426" s="2" t="e">
        <f t="shared" si="60"/>
        <v>#NUM!</v>
      </c>
      <c r="Z426" t="e">
        <f t="shared" si="61"/>
        <v>#NUM!</v>
      </c>
      <c r="AA426" t="e">
        <f t="shared" si="62"/>
        <v>#NUM!</v>
      </c>
      <c r="AB426" t="e">
        <f t="shared" si="63"/>
        <v>#NUM!</v>
      </c>
    </row>
    <row r="427" spans="1:28" ht="13.9" x14ac:dyDescent="0.3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f t="shared" si="55"/>
        <v>-1.3959286763311392</v>
      </c>
      <c r="L427" s="2" t="e">
        <f t="shared" si="56"/>
        <v>#NUM!</v>
      </c>
      <c r="M427" s="2">
        <f t="shared" si="57"/>
        <v>-0.35845397091247633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 t="e">
        <f t="shared" si="58"/>
        <v>#NUM!</v>
      </c>
      <c r="X427" s="2" t="e">
        <f t="shared" si="59"/>
        <v>#NUM!</v>
      </c>
      <c r="Y427" s="2" t="e">
        <f t="shared" si="60"/>
        <v>#NUM!</v>
      </c>
      <c r="Z427" t="e">
        <f t="shared" si="61"/>
        <v>#NUM!</v>
      </c>
      <c r="AA427" t="e">
        <f t="shared" si="62"/>
        <v>#NUM!</v>
      </c>
      <c r="AB427" t="e">
        <f t="shared" si="63"/>
        <v>#NUM!</v>
      </c>
    </row>
    <row r="428" spans="1:28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 t="e">
        <f t="shared" si="55"/>
        <v>#NUM!</v>
      </c>
      <c r="L428" s="2">
        <f t="shared" si="56"/>
        <v>-2.9434164716336326</v>
      </c>
      <c r="M428" s="2" t="e">
        <f t="shared" si="57"/>
        <v>#NUM!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 t="e">
        <f t="shared" si="58"/>
        <v>#NUM!</v>
      </c>
      <c r="X428" s="2" t="e">
        <f t="shared" si="59"/>
        <v>#NUM!</v>
      </c>
      <c r="Y428" s="2" t="e">
        <f t="shared" si="60"/>
        <v>#NUM!</v>
      </c>
      <c r="Z428" t="e">
        <f t="shared" si="61"/>
        <v>#NUM!</v>
      </c>
      <c r="AA428" t="e">
        <f t="shared" si="62"/>
        <v>#NUM!</v>
      </c>
      <c r="AB428" t="e">
        <f t="shared" si="63"/>
        <v>#NUM!</v>
      </c>
    </row>
    <row r="429" spans="1:28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 t="e">
        <f t="shared" si="55"/>
        <v>#NUM!</v>
      </c>
      <c r="L429" s="2">
        <f t="shared" si="56"/>
        <v>-0.91593573521152549</v>
      </c>
      <c r="M429" s="2" t="e">
        <f t="shared" si="57"/>
        <v>#NUM!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 t="e">
        <f t="shared" si="58"/>
        <v>#NUM!</v>
      </c>
      <c r="X429" s="2" t="e">
        <f t="shared" si="59"/>
        <v>#NUM!</v>
      </c>
      <c r="Y429" s="2" t="e">
        <f t="shared" si="60"/>
        <v>#NUM!</v>
      </c>
      <c r="Z429" t="e">
        <f t="shared" si="61"/>
        <v>#NUM!</v>
      </c>
      <c r="AA429" t="e">
        <f t="shared" si="62"/>
        <v>#NUM!</v>
      </c>
      <c r="AB429" t="e">
        <f t="shared" si="63"/>
        <v>#NUM!</v>
      </c>
    </row>
    <row r="430" spans="1:28" ht="13.9" x14ac:dyDescent="0.3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f t="shared" si="55"/>
        <v>-3.1844245711374275</v>
      </c>
      <c r="L430" s="2">
        <f t="shared" si="56"/>
        <v>-8.9267338097087409E-2</v>
      </c>
      <c r="M430" s="2">
        <f t="shared" si="57"/>
        <v>7.67581593117227</v>
      </c>
      <c r="N430" s="2">
        <v>1.31</v>
      </c>
      <c r="O430" s="2">
        <v>0.28999999999999998</v>
      </c>
      <c r="P430" s="2">
        <v>0.52</v>
      </c>
      <c r="Q430" s="2">
        <v>0</v>
      </c>
      <c r="R430" s="2">
        <v>0.49</v>
      </c>
      <c r="S430" s="2">
        <v>4.01</v>
      </c>
      <c r="T430" s="2">
        <v>0</v>
      </c>
      <c r="U430" s="2">
        <v>0</v>
      </c>
      <c r="V430" s="2">
        <v>6.03</v>
      </c>
      <c r="W430" s="2">
        <f t="shared" si="58"/>
        <v>1.0840642647884746</v>
      </c>
      <c r="X430" s="2">
        <f t="shared" si="59"/>
        <v>2.1699250014423126</v>
      </c>
      <c r="Y430" s="2">
        <f t="shared" si="60"/>
        <v>2.5921580021253603</v>
      </c>
      <c r="Z430" t="e">
        <f t="shared" si="61"/>
        <v>#NUM!</v>
      </c>
      <c r="AA430" t="e">
        <f t="shared" si="62"/>
        <v>#NUM!</v>
      </c>
      <c r="AB430">
        <f t="shared" si="63"/>
        <v>-1.5661664568179248</v>
      </c>
    </row>
    <row r="431" spans="1:28" ht="13.9" x14ac:dyDescent="0.3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f t="shared" si="55"/>
        <v>6.1270141415828094</v>
      </c>
      <c r="L431" s="2">
        <f t="shared" si="56"/>
        <v>5.532005193790571</v>
      </c>
      <c r="M431" s="2">
        <f t="shared" si="57"/>
        <v>4.8928767000606896</v>
      </c>
      <c r="N431" s="2">
        <v>2.4900000000000002</v>
      </c>
      <c r="O431" s="2">
        <v>13.01</v>
      </c>
      <c r="P431" s="2">
        <v>0</v>
      </c>
      <c r="Q431" s="2">
        <v>9.56</v>
      </c>
      <c r="R431" s="2">
        <v>7.07</v>
      </c>
      <c r="S431" s="2">
        <v>2.37</v>
      </c>
      <c r="T431" s="2">
        <v>0</v>
      </c>
      <c r="U431" s="2">
        <v>3.77</v>
      </c>
      <c r="V431" s="2">
        <v>0.5</v>
      </c>
      <c r="W431" s="2">
        <f t="shared" si="58"/>
        <v>3.9541963103868754</v>
      </c>
      <c r="X431" s="2">
        <f t="shared" si="59"/>
        <v>4.2479275134435861</v>
      </c>
      <c r="Y431" s="2">
        <f t="shared" si="60"/>
        <v>2.0942360698457656</v>
      </c>
      <c r="Z431">
        <f t="shared" si="61"/>
        <v>-0.63179968414816412</v>
      </c>
      <c r="AA431">
        <f t="shared" si="62"/>
        <v>-0.38104336275023598</v>
      </c>
      <c r="AB431">
        <f t="shared" si="63"/>
        <v>-1.2242588502516836</v>
      </c>
    </row>
    <row r="432" spans="1:28" ht="13.9" x14ac:dyDescent="0.3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f t="shared" si="55"/>
        <v>1.4355292977070055E-2</v>
      </c>
      <c r="L432" s="2">
        <f t="shared" si="56"/>
        <v>0.3334237337251918</v>
      </c>
      <c r="M432" s="2">
        <f t="shared" si="57"/>
        <v>0.57531233068743692</v>
      </c>
      <c r="N432" s="2">
        <v>0</v>
      </c>
      <c r="O432" s="2">
        <v>0.28999999999999998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6.49</v>
      </c>
      <c r="V432" s="2">
        <v>0</v>
      </c>
      <c r="W432" s="2">
        <f t="shared" si="58"/>
        <v>-1.7858751946471527</v>
      </c>
      <c r="X432" s="2" t="e">
        <f t="shared" si="59"/>
        <v>#NUM!</v>
      </c>
      <c r="Y432" s="2">
        <f t="shared" si="60"/>
        <v>2.6982184782244136</v>
      </c>
      <c r="Z432" t="e">
        <f t="shared" si="61"/>
        <v>#NUM!</v>
      </c>
      <c r="AA432" t="e">
        <f t="shared" si="62"/>
        <v>#NUM!</v>
      </c>
      <c r="AB432">
        <f t="shared" si="63"/>
        <v>2.2295898728961729</v>
      </c>
    </row>
    <row r="433" spans="1:28" ht="13.9" x14ac:dyDescent="0.3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f t="shared" si="55"/>
        <v>1.7355221772965377</v>
      </c>
      <c r="L433" s="2">
        <f t="shared" si="56"/>
        <v>0.97819562968165163</v>
      </c>
      <c r="M433" s="2">
        <f t="shared" si="57"/>
        <v>-0.28630418515664108</v>
      </c>
      <c r="N433" s="2">
        <v>0.13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10.56</v>
      </c>
      <c r="W433" s="2">
        <f t="shared" si="58"/>
        <v>-2.9434164716336326</v>
      </c>
      <c r="X433" s="2" t="e">
        <f t="shared" si="59"/>
        <v>#NUM!</v>
      </c>
      <c r="Y433" s="2">
        <f t="shared" si="60"/>
        <v>3.400537929583729</v>
      </c>
      <c r="Z433" t="e">
        <f t="shared" si="61"/>
        <v>#NUM!</v>
      </c>
      <c r="AA433" t="e">
        <f t="shared" si="62"/>
        <v>#NUM!</v>
      </c>
      <c r="AB433" t="e">
        <f t="shared" si="63"/>
        <v>#NUM!</v>
      </c>
    </row>
    <row r="434" spans="1:28" ht="13.9" x14ac:dyDescent="0.3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f t="shared" si="55"/>
        <v>3.0976107966264221</v>
      </c>
      <c r="L434" s="2">
        <f t="shared" si="56"/>
        <v>1.9107326619029126</v>
      </c>
      <c r="M434" s="2">
        <f t="shared" si="57"/>
        <v>1.411426245726465</v>
      </c>
      <c r="N434" s="2">
        <v>3.54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f t="shared" si="58"/>
        <v>1.8237493603082728</v>
      </c>
      <c r="X434" s="2" t="e">
        <f t="shared" si="59"/>
        <v>#NUM!</v>
      </c>
      <c r="Y434" s="2" t="e">
        <f t="shared" si="60"/>
        <v>#NUM!</v>
      </c>
      <c r="Z434">
        <f t="shared" si="61"/>
        <v>-0.76424841409399535</v>
      </c>
      <c r="AA434" t="e">
        <f t="shared" si="62"/>
        <v>#NUM!</v>
      </c>
      <c r="AB434" t="e">
        <f t="shared" si="63"/>
        <v>#NUM!</v>
      </c>
    </row>
    <row r="435" spans="1:28" ht="13.9" x14ac:dyDescent="0.3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f t="shared" si="55"/>
        <v>-0.86249647625006509</v>
      </c>
      <c r="L435" s="2">
        <f t="shared" si="56"/>
        <v>1.9183862344463478</v>
      </c>
      <c r="M435" s="2" t="e">
        <f t="shared" si="57"/>
        <v>#NUM!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7.53</v>
      </c>
      <c r="V435" s="2">
        <v>0</v>
      </c>
      <c r="W435" s="2" t="e">
        <f t="shared" si="58"/>
        <v>#NUM!</v>
      </c>
      <c r="X435" s="2" t="e">
        <f t="shared" si="59"/>
        <v>#NUM!</v>
      </c>
      <c r="Y435" s="2">
        <f t="shared" si="60"/>
        <v>2.9126498648972032</v>
      </c>
      <c r="Z435" t="e">
        <f t="shared" si="61"/>
        <v>#NUM!</v>
      </c>
      <c r="AA435" t="e">
        <f t="shared" si="62"/>
        <v>#NUM!</v>
      </c>
      <c r="AB435" t="e">
        <f t="shared" si="63"/>
        <v>#NUM!</v>
      </c>
    </row>
    <row r="436" spans="1:28" ht="13.9" x14ac:dyDescent="0.3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f t="shared" si="55"/>
        <v>2.2479275134435857</v>
      </c>
      <c r="L436" s="2">
        <f t="shared" si="56"/>
        <v>1.2690331464552369</v>
      </c>
      <c r="M436" s="2">
        <f t="shared" si="57"/>
        <v>-1.2863041851566412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 t="e">
        <f t="shared" si="58"/>
        <v>#NUM!</v>
      </c>
      <c r="X436" s="2" t="e">
        <f t="shared" si="59"/>
        <v>#NUM!</v>
      </c>
      <c r="Y436" s="2" t="e">
        <f t="shared" si="60"/>
        <v>#NUM!</v>
      </c>
      <c r="Z436" t="e">
        <f t="shared" si="61"/>
        <v>#NUM!</v>
      </c>
      <c r="AA436" t="e">
        <f t="shared" si="62"/>
        <v>#NUM!</v>
      </c>
      <c r="AB436" t="e">
        <f t="shared" si="63"/>
        <v>#NUM!</v>
      </c>
    </row>
    <row r="437" spans="1:28" ht="13.9" x14ac:dyDescent="0.3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f t="shared" si="55"/>
        <v>5.9742998580037341</v>
      </c>
      <c r="L437" s="2">
        <f t="shared" si="56"/>
        <v>5.704041954821288</v>
      </c>
      <c r="M437" s="2">
        <f t="shared" si="57"/>
        <v>7.7311832415722002</v>
      </c>
      <c r="N437" s="2">
        <v>6.29</v>
      </c>
      <c r="O437" s="2">
        <v>9.5399999999999991</v>
      </c>
      <c r="P437" s="2">
        <v>12.97</v>
      </c>
      <c r="Q437" s="2">
        <v>15.49</v>
      </c>
      <c r="R437" s="2">
        <v>20</v>
      </c>
      <c r="S437" s="2">
        <v>12.02</v>
      </c>
      <c r="T437" s="2">
        <v>7.9</v>
      </c>
      <c r="U437" s="2">
        <v>44.37</v>
      </c>
      <c r="V437" s="2">
        <v>39.72</v>
      </c>
      <c r="W437" s="2">
        <f t="shared" si="58"/>
        <v>4.8479969065549504</v>
      </c>
      <c r="X437" s="2">
        <f t="shared" si="59"/>
        <v>5.5701593016361199</v>
      </c>
      <c r="Y437" s="2">
        <f t="shared" si="60"/>
        <v>6.5234051328555012</v>
      </c>
      <c r="Z437">
        <f t="shared" si="61"/>
        <v>-0.30138087199046426</v>
      </c>
      <c r="AA437">
        <f t="shared" si="62"/>
        <v>-3.4266005286480508E-2</v>
      </c>
      <c r="AB437">
        <f t="shared" si="63"/>
        <v>-0.24506400336759238</v>
      </c>
    </row>
    <row r="438" spans="1:28" ht="13.9" x14ac:dyDescent="0.3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f t="shared" si="55"/>
        <v>12.942813203190649</v>
      </c>
      <c r="L438" s="2">
        <f t="shared" si="56"/>
        <v>12.707723642640191</v>
      </c>
      <c r="M438" s="2">
        <f t="shared" si="57"/>
        <v>15.457629686597691</v>
      </c>
      <c r="N438" s="2">
        <v>4133.7299999999996</v>
      </c>
      <c r="O438" s="2">
        <v>4278.72</v>
      </c>
      <c r="P438" s="2">
        <v>2628.01</v>
      </c>
      <c r="Q438" s="2">
        <v>4066.78</v>
      </c>
      <c r="R438" s="2">
        <v>4570.38</v>
      </c>
      <c r="S438" s="2">
        <v>4024.91</v>
      </c>
      <c r="T438" s="2">
        <v>3613.73</v>
      </c>
      <c r="U438" s="2">
        <v>4070.1</v>
      </c>
      <c r="V438" s="2">
        <v>6064.58</v>
      </c>
      <c r="W438" s="2">
        <f t="shared" si="58"/>
        <v>13.430512662706599</v>
      </c>
      <c r="X438" s="2">
        <f t="shared" si="59"/>
        <v>13.628225655928199</v>
      </c>
      <c r="Y438" s="2">
        <f t="shared" si="60"/>
        <v>13.746977160531946</v>
      </c>
      <c r="Z438">
        <f t="shared" si="61"/>
        <v>5.3363145234065976E-2</v>
      </c>
      <c r="AA438">
        <f t="shared" si="62"/>
        <v>0.10089211993154824</v>
      </c>
      <c r="AB438">
        <f t="shared" si="63"/>
        <v>-0.16920469203848051</v>
      </c>
    </row>
    <row r="439" spans="1:28" ht="13.9" x14ac:dyDescent="0.3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f t="shared" si="55"/>
        <v>5.6624903639137765</v>
      </c>
      <c r="L439" s="2">
        <f t="shared" si="56"/>
        <v>5.3712103434555667</v>
      </c>
      <c r="M439" s="2">
        <f t="shared" si="57"/>
        <v>5.3736482113346904</v>
      </c>
      <c r="N439" s="2">
        <v>2.75</v>
      </c>
      <c r="O439" s="2">
        <v>9.25</v>
      </c>
      <c r="P439" s="2">
        <v>5.96</v>
      </c>
      <c r="Q439" s="2">
        <v>9.56</v>
      </c>
      <c r="R439" s="2">
        <v>14.88</v>
      </c>
      <c r="S439" s="2">
        <v>6.37</v>
      </c>
      <c r="T439" s="2">
        <v>14.37</v>
      </c>
      <c r="U439" s="2">
        <v>5.65</v>
      </c>
      <c r="V439" s="2">
        <v>11.56</v>
      </c>
      <c r="W439" s="2">
        <f t="shared" si="58"/>
        <v>4.1667154449664228</v>
      </c>
      <c r="X439" s="2">
        <f t="shared" si="59"/>
        <v>4.9453267772646265</v>
      </c>
      <c r="Y439" s="2">
        <f t="shared" si="60"/>
        <v>4.9809392660855121</v>
      </c>
      <c r="Z439">
        <f t="shared" si="61"/>
        <v>-0.44252611178374751</v>
      </c>
      <c r="AA439">
        <f t="shared" si="62"/>
        <v>-0.11918136585379761</v>
      </c>
      <c r="AB439">
        <f t="shared" si="63"/>
        <v>-0.10948405770964956</v>
      </c>
    </row>
    <row r="440" spans="1:28" ht="13.9" x14ac:dyDescent="0.3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f t="shared" si="55"/>
        <v>3.749534267669262</v>
      </c>
      <c r="L440" s="2">
        <f t="shared" si="56"/>
        <v>3.460742563789645</v>
      </c>
      <c r="M440" s="2">
        <f t="shared" si="57"/>
        <v>2.3617683594191532</v>
      </c>
      <c r="N440" s="2">
        <v>0</v>
      </c>
      <c r="O440" s="2">
        <v>34.119999999999997</v>
      </c>
      <c r="P440" s="2">
        <v>40.200000000000003</v>
      </c>
      <c r="Q440" s="2">
        <v>24.06</v>
      </c>
      <c r="R440" s="2">
        <v>18.79</v>
      </c>
      <c r="S440" s="2">
        <v>14.75</v>
      </c>
      <c r="T440" s="2">
        <v>1.98</v>
      </c>
      <c r="U440" s="2">
        <v>4.3899999999999997</v>
      </c>
      <c r="V440" s="2">
        <v>56.81</v>
      </c>
      <c r="W440" s="2">
        <f t="shared" si="58"/>
        <v>6.215678596607928</v>
      </c>
      <c r="X440" s="2">
        <f t="shared" si="59"/>
        <v>5.8479969065549504</v>
      </c>
      <c r="Y440" s="2">
        <f t="shared" si="60"/>
        <v>5.9813960319721486</v>
      </c>
      <c r="Z440">
        <f t="shared" si="61"/>
        <v>0.72920049752865934</v>
      </c>
      <c r="AA440">
        <f t="shared" si="62"/>
        <v>0.75686092121624982</v>
      </c>
      <c r="AB440">
        <f t="shared" si="63"/>
        <v>1.340614769350658</v>
      </c>
    </row>
    <row r="441" spans="1:28" ht="13.9" x14ac:dyDescent="0.3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f t="shared" si="55"/>
        <v>3.4276061727818998</v>
      </c>
      <c r="L441" s="2">
        <f t="shared" si="56"/>
        <v>3.6076262208454875</v>
      </c>
      <c r="M441" s="2">
        <f t="shared" si="57"/>
        <v>3.2125693388508059</v>
      </c>
      <c r="N441" s="2">
        <v>0</v>
      </c>
      <c r="O441" s="2">
        <v>0</v>
      </c>
      <c r="P441" s="2">
        <v>8.56</v>
      </c>
      <c r="Q441" s="2">
        <v>19.45</v>
      </c>
      <c r="R441" s="2">
        <v>5.12</v>
      </c>
      <c r="S441" s="2">
        <v>0</v>
      </c>
      <c r="T441" s="2">
        <v>0</v>
      </c>
      <c r="U441" s="2">
        <v>2.2999999999999998</v>
      </c>
      <c r="V441" s="2">
        <v>13.57</v>
      </c>
      <c r="W441" s="2">
        <f t="shared" si="58"/>
        <v>3.0976107966264221</v>
      </c>
      <c r="X441" s="2">
        <f t="shared" si="59"/>
        <v>4.6188259525874402</v>
      </c>
      <c r="Y441" s="2">
        <f t="shared" si="60"/>
        <v>3.9882302230604569</v>
      </c>
      <c r="Z441">
        <f t="shared" si="61"/>
        <v>-0.14604546910109978</v>
      </c>
      <c r="AA441">
        <f t="shared" si="62"/>
        <v>0.35647631182114853</v>
      </c>
      <c r="AB441">
        <f t="shared" si="63"/>
        <v>0.31202109939207745</v>
      </c>
    </row>
    <row r="442" spans="1:28" ht="13.9" x14ac:dyDescent="0.3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f t="shared" si="55"/>
        <v>2.5631581304028082</v>
      </c>
      <c r="L442" s="2">
        <f t="shared" si="56"/>
        <v>2.835924074254375</v>
      </c>
      <c r="M442" s="2">
        <f t="shared" si="57"/>
        <v>2.711494906650088</v>
      </c>
      <c r="N442" s="2">
        <v>1.57</v>
      </c>
      <c r="O442" s="2">
        <v>28.34</v>
      </c>
      <c r="P442" s="2">
        <v>2.33</v>
      </c>
      <c r="Q442" s="2">
        <v>1.32</v>
      </c>
      <c r="R442" s="2">
        <v>2.93</v>
      </c>
      <c r="S442" s="2">
        <v>1.64</v>
      </c>
      <c r="T442" s="2">
        <v>2.16</v>
      </c>
      <c r="U442" s="2">
        <v>7.53</v>
      </c>
      <c r="V442" s="2">
        <v>33.68</v>
      </c>
      <c r="W442" s="2">
        <f t="shared" si="58"/>
        <v>5.0107798387532423</v>
      </c>
      <c r="X442" s="2">
        <f t="shared" si="59"/>
        <v>2.5582676340557358</v>
      </c>
      <c r="Y442" s="2">
        <f t="shared" si="60"/>
        <v>5.4386255380883792</v>
      </c>
      <c r="Z442">
        <f t="shared" si="61"/>
        <v>0.96711266431771348</v>
      </c>
      <c r="AA442">
        <f t="shared" si="62"/>
        <v>-0.14865170789204998</v>
      </c>
      <c r="AB442">
        <f t="shared" si="63"/>
        <v>1.0041536359859424</v>
      </c>
    </row>
    <row r="443" spans="1:28" ht="13.9" x14ac:dyDescent="0.3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f t="shared" si="55"/>
        <v>1.5360529002402097</v>
      </c>
      <c r="L443" s="2">
        <f t="shared" si="56"/>
        <v>-0.32192809488736229</v>
      </c>
      <c r="M443" s="2" t="e">
        <f t="shared" si="57"/>
        <v>#NUM!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10.06</v>
      </c>
      <c r="U443" s="2">
        <v>0</v>
      </c>
      <c r="V443" s="2">
        <v>0</v>
      </c>
      <c r="W443" s="2" t="e">
        <f t="shared" si="58"/>
        <v>#NUM!</v>
      </c>
      <c r="X443" s="2" t="e">
        <f t="shared" si="59"/>
        <v>#NUM!</v>
      </c>
      <c r="Y443" s="2">
        <f t="shared" si="60"/>
        <v>3.3305584000308026</v>
      </c>
      <c r="Z443" t="e">
        <f t="shared" si="61"/>
        <v>#NUM!</v>
      </c>
      <c r="AA443" t="e">
        <f t="shared" si="62"/>
        <v>#NUM!</v>
      </c>
      <c r="AB443" t="e">
        <f t="shared" si="63"/>
        <v>#NUM!</v>
      </c>
    </row>
    <row r="444" spans="1:28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 t="e">
        <f t="shared" si="55"/>
        <v>#NUM!</v>
      </c>
      <c r="L444" s="2">
        <f t="shared" si="56"/>
        <v>-3.1844245711374275</v>
      </c>
      <c r="M444" s="2" t="e">
        <f t="shared" si="57"/>
        <v>#NUM!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 t="e">
        <f t="shared" si="58"/>
        <v>#NUM!</v>
      </c>
      <c r="X444" s="2" t="e">
        <f t="shared" si="59"/>
        <v>#NUM!</v>
      </c>
      <c r="Y444" s="2" t="e">
        <f t="shared" si="60"/>
        <v>#NUM!</v>
      </c>
      <c r="Z444" t="e">
        <f t="shared" si="61"/>
        <v>#NUM!</v>
      </c>
      <c r="AA444" t="e">
        <f t="shared" si="62"/>
        <v>#NUM!</v>
      </c>
      <c r="AB444" t="e">
        <f t="shared" si="63"/>
        <v>#NUM!</v>
      </c>
    </row>
    <row r="445" spans="1:28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 t="e">
        <f t="shared" si="55"/>
        <v>#NUM!</v>
      </c>
      <c r="L445" s="2" t="e">
        <f t="shared" si="56"/>
        <v>#NUM!</v>
      </c>
      <c r="M445" s="2">
        <f t="shared" si="57"/>
        <v>0.11103131238874395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 t="e">
        <f t="shared" si="58"/>
        <v>#NUM!</v>
      </c>
      <c r="X445" s="2" t="e">
        <f t="shared" si="59"/>
        <v>#NUM!</v>
      </c>
      <c r="Y445" s="2" t="e">
        <f t="shared" si="60"/>
        <v>#NUM!</v>
      </c>
      <c r="Z445" t="e">
        <f t="shared" si="61"/>
        <v>#NUM!</v>
      </c>
      <c r="AA445" t="e">
        <f t="shared" si="62"/>
        <v>#NUM!</v>
      </c>
      <c r="AB445" t="e">
        <f t="shared" si="63"/>
        <v>#NUM!</v>
      </c>
    </row>
    <row r="446" spans="1:28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 t="e">
        <f t="shared" si="55"/>
        <v>#NUM!</v>
      </c>
      <c r="L446" s="2">
        <f t="shared" si="56"/>
        <v>-1.3584539709124763</v>
      </c>
      <c r="M446" s="2">
        <f t="shared" si="57"/>
        <v>-2.2515387669959646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 t="e">
        <f t="shared" si="58"/>
        <v>#NUM!</v>
      </c>
      <c r="X446" s="2" t="e">
        <f t="shared" si="59"/>
        <v>#NUM!</v>
      </c>
      <c r="Y446" s="2" t="e">
        <f t="shared" si="60"/>
        <v>#NUM!</v>
      </c>
      <c r="Z446" t="e">
        <f t="shared" si="61"/>
        <v>#NUM!</v>
      </c>
      <c r="AA446" t="e">
        <f t="shared" si="62"/>
        <v>#NUM!</v>
      </c>
      <c r="AB446" t="e">
        <f t="shared" si="63"/>
        <v>#NUM!</v>
      </c>
    </row>
    <row r="447" spans="1:28" ht="13.9" x14ac:dyDescent="0.3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f t="shared" si="55"/>
        <v>-2.9434164716336326</v>
      </c>
      <c r="L447" s="2">
        <f t="shared" si="56"/>
        <v>-2.1202942337177118</v>
      </c>
      <c r="M447" s="2">
        <f t="shared" si="57"/>
        <v>-2.8365012677171206</v>
      </c>
      <c r="N447" s="2">
        <v>0</v>
      </c>
      <c r="O447" s="2">
        <v>0.28999999999999998</v>
      </c>
      <c r="P447" s="2">
        <v>0</v>
      </c>
      <c r="Q447" s="2">
        <v>0.33</v>
      </c>
      <c r="R447" s="2">
        <v>0</v>
      </c>
      <c r="S447" s="2">
        <v>0.18</v>
      </c>
      <c r="T447" s="2">
        <v>0.18</v>
      </c>
      <c r="U447" s="2">
        <v>0</v>
      </c>
      <c r="V447" s="2">
        <v>0.5</v>
      </c>
      <c r="W447" s="2">
        <f t="shared" si="58"/>
        <v>-1.7858751946471527</v>
      </c>
      <c r="X447" s="2">
        <f t="shared" si="59"/>
        <v>-0.97143084780322919</v>
      </c>
      <c r="Y447" s="2">
        <f t="shared" si="60"/>
        <v>-0.55639334852438549</v>
      </c>
      <c r="Z447">
        <f t="shared" si="61"/>
        <v>-0.72086042571444087</v>
      </c>
      <c r="AA447">
        <f t="shared" si="62"/>
        <v>-1.1260812767955546</v>
      </c>
      <c r="AB447">
        <f t="shared" si="63"/>
        <v>-2.3499354305794111</v>
      </c>
    </row>
    <row r="448" spans="1:28" ht="13.9" x14ac:dyDescent="0.3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f t="shared" si="55"/>
        <v>5.7430840555495859</v>
      </c>
      <c r="L448" s="2">
        <f t="shared" si="56"/>
        <v>5.145677455195635</v>
      </c>
      <c r="M448" s="2">
        <f t="shared" si="57"/>
        <v>6.2630344058337943</v>
      </c>
      <c r="N448" s="2">
        <v>69.349999999999994</v>
      </c>
      <c r="O448" s="2">
        <v>0.28999999999999998</v>
      </c>
      <c r="P448" s="2">
        <v>51.09</v>
      </c>
      <c r="Q448" s="2">
        <v>10.55</v>
      </c>
      <c r="R448" s="2">
        <v>29.28</v>
      </c>
      <c r="S448" s="2">
        <v>27.67</v>
      </c>
      <c r="T448" s="2">
        <v>19.22</v>
      </c>
      <c r="U448" s="2">
        <v>24.49</v>
      </c>
      <c r="V448" s="2">
        <v>65.86</v>
      </c>
      <c r="W448" s="2">
        <f t="shared" si="58"/>
        <v>6.915640403343942</v>
      </c>
      <c r="X448" s="2">
        <f t="shared" si="59"/>
        <v>6.0768155970508309</v>
      </c>
      <c r="Y448" s="2">
        <f t="shared" si="60"/>
        <v>6.7757090357393874</v>
      </c>
      <c r="Z448">
        <f t="shared" si="61"/>
        <v>0.2680371771550511</v>
      </c>
      <c r="AA448">
        <f t="shared" si="62"/>
        <v>0.23995448556815638</v>
      </c>
      <c r="AB448">
        <f t="shared" si="63"/>
        <v>0.11351011903830206</v>
      </c>
    </row>
    <row r="449" spans="1:28" ht="13.9" x14ac:dyDescent="0.3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f t="shared" si="55"/>
        <v>4.7420062108667365</v>
      </c>
      <c r="L449" s="2">
        <f t="shared" si="56"/>
        <v>4.3045110418099535</v>
      </c>
      <c r="M449" s="2">
        <f t="shared" si="57"/>
        <v>4.6842577050589318</v>
      </c>
      <c r="N449" s="2">
        <v>0</v>
      </c>
      <c r="O449" s="2">
        <v>0</v>
      </c>
      <c r="P449" s="2">
        <v>0</v>
      </c>
      <c r="Q449" s="2">
        <v>0.33</v>
      </c>
      <c r="R449" s="2">
        <v>13.91</v>
      </c>
      <c r="S449" s="2">
        <v>0</v>
      </c>
      <c r="T449" s="2">
        <v>7.01</v>
      </c>
      <c r="U449" s="2">
        <v>11.09</v>
      </c>
      <c r="V449" s="2">
        <v>0</v>
      </c>
      <c r="W449" s="2" t="e">
        <f t="shared" si="58"/>
        <v>#NUM!</v>
      </c>
      <c r="X449" s="2">
        <f t="shared" si="59"/>
        <v>3.8318772411916733</v>
      </c>
      <c r="Y449" s="2">
        <f t="shared" si="60"/>
        <v>4.177917792195843</v>
      </c>
      <c r="Z449" t="e">
        <f t="shared" si="61"/>
        <v>#NUM!</v>
      </c>
      <c r="AA449">
        <f t="shared" si="62"/>
        <v>-0.16779802491739876</v>
      </c>
      <c r="AB449">
        <f t="shared" si="63"/>
        <v>-0.16503634293312025</v>
      </c>
    </row>
    <row r="450" spans="1:28" ht="13.9" x14ac:dyDescent="0.3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f t="shared" si="55"/>
        <v>1.0426443374084939</v>
      </c>
      <c r="L450" s="2">
        <f t="shared" si="56"/>
        <v>-1.3219280948873622</v>
      </c>
      <c r="M450" s="2" t="e">
        <f t="shared" si="57"/>
        <v>#NUM!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 t="e">
        <f t="shared" si="58"/>
        <v>#NUM!</v>
      </c>
      <c r="X450" s="2" t="e">
        <f t="shared" si="59"/>
        <v>#NUM!</v>
      </c>
      <c r="Y450" s="2" t="e">
        <f t="shared" si="60"/>
        <v>#NUM!</v>
      </c>
      <c r="Z450" t="e">
        <f t="shared" si="61"/>
        <v>#NUM!</v>
      </c>
      <c r="AA450" t="e">
        <f t="shared" si="62"/>
        <v>#NUM!</v>
      </c>
      <c r="AB450" t="e">
        <f t="shared" si="63"/>
        <v>#NUM!</v>
      </c>
    </row>
    <row r="451" spans="1:28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 t="e">
        <f t="shared" ref="K451:K514" si="64">LOG(SUM(B451:D451),2)</f>
        <v>#NUM!</v>
      </c>
      <c r="L451" s="2" t="e">
        <f t="shared" ref="L451:L514" si="65">LOG(SUM(E451:G451),2)</f>
        <v>#NUM!</v>
      </c>
      <c r="M451" s="2" t="e">
        <f t="shared" ref="M451:M514" si="66">LOG(SUM(H451:J451),2)</f>
        <v>#NUM!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0.72</v>
      </c>
      <c r="U451" s="2">
        <v>0</v>
      </c>
      <c r="V451" s="2">
        <v>0</v>
      </c>
      <c r="W451" s="2" t="e">
        <f t="shared" ref="W451:W514" si="67">LOG(SUM(N451:P451),2)</f>
        <v>#NUM!</v>
      </c>
      <c r="X451" s="2" t="e">
        <f t="shared" ref="X451:X514" si="68">LOG(SUM(Q451:S451),2)</f>
        <v>#NUM!</v>
      </c>
      <c r="Y451" s="2">
        <f t="shared" ref="Y451:Y514" si="69">LOG(SUM(T451:V451),2)</f>
        <v>-0.47393118833241243</v>
      </c>
      <c r="Z451" t="e">
        <f t="shared" ref="Z451:Z514" si="70">LOG(W451/K451,2)</f>
        <v>#NUM!</v>
      </c>
      <c r="AA451" t="e">
        <f t="shared" ref="AA451:AA514" si="71">LOG(X451/L451,2)</f>
        <v>#NUM!</v>
      </c>
      <c r="AB451" t="e">
        <f t="shared" ref="AB451:AB514" si="72">LOG(Y451/M451,2)</f>
        <v>#NUM!</v>
      </c>
    </row>
    <row r="452" spans="1:28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 t="e">
        <f t="shared" si="64"/>
        <v>#NUM!</v>
      </c>
      <c r="L452" s="2" t="e">
        <f t="shared" si="65"/>
        <v>#NUM!</v>
      </c>
      <c r="M452" s="2">
        <f t="shared" si="66"/>
        <v>-0.28630418515664108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 t="e">
        <f t="shared" si="67"/>
        <v>#NUM!</v>
      </c>
      <c r="X452" s="2" t="e">
        <f t="shared" si="68"/>
        <v>#NUM!</v>
      </c>
      <c r="Y452" s="2" t="e">
        <f t="shared" si="69"/>
        <v>#NUM!</v>
      </c>
      <c r="Z452" t="e">
        <f t="shared" si="70"/>
        <v>#NUM!</v>
      </c>
      <c r="AA452" t="e">
        <f t="shared" si="71"/>
        <v>#NUM!</v>
      </c>
      <c r="AB452" t="e">
        <f t="shared" si="72"/>
        <v>#NUM!</v>
      </c>
    </row>
    <row r="453" spans="1:28" ht="13.9" x14ac:dyDescent="0.3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f t="shared" si="64"/>
        <v>-3.1844245711374275</v>
      </c>
      <c r="L453" s="2">
        <f t="shared" si="65"/>
        <v>-1.2515387669959643</v>
      </c>
      <c r="M453" s="2">
        <f t="shared" si="66"/>
        <v>-0.88896868761125614</v>
      </c>
      <c r="N453" s="2">
        <v>0.13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f t="shared" si="67"/>
        <v>-2.9434164716336326</v>
      </c>
      <c r="X453" s="2" t="e">
        <f t="shared" si="68"/>
        <v>#NUM!</v>
      </c>
      <c r="Y453" s="2" t="e">
        <f t="shared" si="69"/>
        <v>#NUM!</v>
      </c>
      <c r="Z453">
        <f t="shared" si="70"/>
        <v>-0.11354101213882829</v>
      </c>
      <c r="AA453" t="e">
        <f t="shared" si="71"/>
        <v>#NUM!</v>
      </c>
      <c r="AB453" t="e">
        <f t="shared" si="72"/>
        <v>#NUM!</v>
      </c>
    </row>
    <row r="454" spans="1:28" ht="13.9" x14ac:dyDescent="0.3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f t="shared" si="64"/>
        <v>5.9198167700527895</v>
      </c>
      <c r="L454" s="2">
        <f t="shared" si="65"/>
        <v>5.2257376534660596</v>
      </c>
      <c r="M454" s="2">
        <f t="shared" si="66"/>
        <v>7.8224114963604778</v>
      </c>
      <c r="N454" s="2">
        <v>34.090000000000003</v>
      </c>
      <c r="O454" s="2">
        <v>24.58</v>
      </c>
      <c r="P454" s="2">
        <v>21.52</v>
      </c>
      <c r="Q454" s="2">
        <v>55.05</v>
      </c>
      <c r="R454" s="2">
        <v>32.200000000000003</v>
      </c>
      <c r="S454" s="2">
        <v>14.75</v>
      </c>
      <c r="T454" s="2">
        <v>11.68</v>
      </c>
      <c r="U454" s="2">
        <v>27.42</v>
      </c>
      <c r="V454" s="2">
        <v>31.67</v>
      </c>
      <c r="W454" s="2">
        <f t="shared" si="67"/>
        <v>6.3253504331895094</v>
      </c>
      <c r="X454" s="2">
        <f t="shared" si="68"/>
        <v>6.6724253419714952</v>
      </c>
      <c r="Y454" s="2">
        <f t="shared" si="69"/>
        <v>6.1450660141858942</v>
      </c>
      <c r="Z454">
        <f t="shared" si="70"/>
        <v>9.5592887025524223E-2</v>
      </c>
      <c r="AA454">
        <f t="shared" si="71"/>
        <v>0.35257655890549994</v>
      </c>
      <c r="AB454">
        <f t="shared" si="72"/>
        <v>-0.34818492172148713</v>
      </c>
    </row>
    <row r="455" spans="1:28" ht="13.9" x14ac:dyDescent="0.3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f t="shared" si="64"/>
        <v>2.3448284969974416</v>
      </c>
      <c r="L455" s="2">
        <f t="shared" si="65"/>
        <v>2.7048719644563528</v>
      </c>
      <c r="M455" s="2">
        <f t="shared" si="66"/>
        <v>1.1505596765753812</v>
      </c>
      <c r="N455" s="2">
        <v>11.14</v>
      </c>
      <c r="O455" s="2">
        <v>36.15</v>
      </c>
      <c r="P455" s="2">
        <v>4.93</v>
      </c>
      <c r="Q455" s="2">
        <v>4.6100000000000003</v>
      </c>
      <c r="R455" s="2">
        <v>22.44</v>
      </c>
      <c r="S455" s="2">
        <v>3.82</v>
      </c>
      <c r="T455" s="2">
        <v>8.44</v>
      </c>
      <c r="U455" s="2">
        <v>20.09</v>
      </c>
      <c r="V455" s="2">
        <v>14.58</v>
      </c>
      <c r="W455" s="2">
        <f t="shared" si="67"/>
        <v>5.7065305525381174</v>
      </c>
      <c r="X455" s="2">
        <f t="shared" si="68"/>
        <v>4.9481335778404008</v>
      </c>
      <c r="Y455" s="2">
        <f t="shared" si="69"/>
        <v>5.4299506574037677</v>
      </c>
      <c r="Z455">
        <f t="shared" si="70"/>
        <v>1.2831314781555421</v>
      </c>
      <c r="AA455">
        <f t="shared" si="71"/>
        <v>0.87132414179024231</v>
      </c>
      <c r="AB455">
        <f t="shared" si="72"/>
        <v>2.2386032737616728</v>
      </c>
    </row>
    <row r="456" spans="1:28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 t="e">
        <f t="shared" si="64"/>
        <v>#NUM!</v>
      </c>
      <c r="L456" s="2" t="e">
        <f t="shared" si="65"/>
        <v>#NUM!</v>
      </c>
      <c r="M456" s="2">
        <f t="shared" si="66"/>
        <v>-1.8889686876112561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 t="e">
        <f t="shared" si="67"/>
        <v>#NUM!</v>
      </c>
      <c r="X456" s="2" t="e">
        <f t="shared" si="68"/>
        <v>#NUM!</v>
      </c>
      <c r="Y456" s="2" t="e">
        <f t="shared" si="69"/>
        <v>#NUM!</v>
      </c>
      <c r="Z456" t="e">
        <f t="shared" si="70"/>
        <v>#NUM!</v>
      </c>
      <c r="AA456" t="e">
        <f t="shared" si="71"/>
        <v>#NUM!</v>
      </c>
      <c r="AB456" t="e">
        <f t="shared" si="72"/>
        <v>#NUM!</v>
      </c>
    </row>
    <row r="457" spans="1:28" ht="13.9" x14ac:dyDescent="0.3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f t="shared" si="64"/>
        <v>-2.1202942337177118</v>
      </c>
      <c r="L457" s="2">
        <f t="shared" si="65"/>
        <v>-2.9434164716336326</v>
      </c>
      <c r="M457" s="2">
        <f t="shared" si="66"/>
        <v>0.58496250072115619</v>
      </c>
      <c r="N457" s="2">
        <v>0</v>
      </c>
      <c r="O457" s="2">
        <v>0</v>
      </c>
      <c r="P457" s="2">
        <v>0</v>
      </c>
      <c r="Q457" s="2">
        <v>5.6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 t="e">
        <f t="shared" si="67"/>
        <v>#NUM!</v>
      </c>
      <c r="X457" s="2">
        <f t="shared" si="68"/>
        <v>2.485426827170242</v>
      </c>
      <c r="Y457" s="2" t="e">
        <f t="shared" si="69"/>
        <v>#NUM!</v>
      </c>
      <c r="Z457" t="e">
        <f t="shared" si="70"/>
        <v>#NUM!</v>
      </c>
      <c r="AA457" t="e">
        <f t="shared" si="71"/>
        <v>#NUM!</v>
      </c>
      <c r="AB457" t="e">
        <f t="shared" si="72"/>
        <v>#NUM!</v>
      </c>
    </row>
    <row r="458" spans="1:28" ht="13.9" x14ac:dyDescent="0.3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f t="shared" si="64"/>
        <v>-0.18442457113742744</v>
      </c>
      <c r="L458" s="2">
        <f t="shared" si="65"/>
        <v>-1.6438561897747248</v>
      </c>
      <c r="M458" s="2">
        <f t="shared" si="66"/>
        <v>-7.4000581443776928E-2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0.18</v>
      </c>
      <c r="T458" s="2">
        <v>0</v>
      </c>
      <c r="U458" s="2">
        <v>0</v>
      </c>
      <c r="V458" s="2">
        <v>0</v>
      </c>
      <c r="W458" s="2" t="e">
        <f t="shared" si="67"/>
        <v>#NUM!</v>
      </c>
      <c r="X458" s="2">
        <f t="shared" si="68"/>
        <v>-2.4739311883324122</v>
      </c>
      <c r="Y458" s="2" t="e">
        <f t="shared" si="69"/>
        <v>#NUM!</v>
      </c>
      <c r="Z458" t="e">
        <f t="shared" si="70"/>
        <v>#NUM!</v>
      </c>
      <c r="AA458">
        <f t="shared" si="71"/>
        <v>0.58972128014675684</v>
      </c>
      <c r="AB458" t="e">
        <f t="shared" si="72"/>
        <v>#NUM!</v>
      </c>
    </row>
    <row r="459" spans="1:28" ht="13.9" x14ac:dyDescent="0.3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f t="shared" si="64"/>
        <v>3.1505596765753814</v>
      </c>
      <c r="L459" s="2">
        <f t="shared" si="65"/>
        <v>3.198494153639083</v>
      </c>
      <c r="M459" s="2">
        <f t="shared" si="66"/>
        <v>8.3668030324608615</v>
      </c>
      <c r="N459" s="2">
        <v>4.72</v>
      </c>
      <c r="O459" s="2">
        <v>16.48</v>
      </c>
      <c r="P459" s="2">
        <v>0</v>
      </c>
      <c r="Q459" s="2">
        <v>20.77</v>
      </c>
      <c r="R459" s="2">
        <v>34.15</v>
      </c>
      <c r="S459" s="2">
        <v>0.18</v>
      </c>
      <c r="T459" s="2">
        <v>7.01</v>
      </c>
      <c r="U459" s="2">
        <v>20.93</v>
      </c>
      <c r="V459" s="2">
        <v>1.01</v>
      </c>
      <c r="W459" s="2">
        <f t="shared" si="67"/>
        <v>4.405992359675837</v>
      </c>
      <c r="X459" s="2">
        <f t="shared" si="68"/>
        <v>5.7839804136837953</v>
      </c>
      <c r="Y459" s="2">
        <f t="shared" si="69"/>
        <v>4.8554914431018741</v>
      </c>
      <c r="Z459">
        <f t="shared" si="70"/>
        <v>0.48385885646474464</v>
      </c>
      <c r="AA459">
        <f t="shared" si="71"/>
        <v>0.85466982065453867</v>
      </c>
      <c r="AB459">
        <f t="shared" si="72"/>
        <v>-0.78505914841548385</v>
      </c>
    </row>
    <row r="460" spans="1:28" ht="13.9" x14ac:dyDescent="0.3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f t="shared" si="64"/>
        <v>4.0798047546352585</v>
      </c>
      <c r="L460" s="2">
        <f t="shared" si="65"/>
        <v>4.1858665453113337</v>
      </c>
      <c r="M460" s="2">
        <f t="shared" si="66"/>
        <v>3.0925457415435651</v>
      </c>
      <c r="N460" s="2">
        <v>8.91</v>
      </c>
      <c r="O460" s="2">
        <v>5.21</v>
      </c>
      <c r="P460" s="2">
        <v>0</v>
      </c>
      <c r="Q460" s="2">
        <v>3.96</v>
      </c>
      <c r="R460" s="2">
        <v>10.49</v>
      </c>
      <c r="S460" s="2">
        <v>7.65</v>
      </c>
      <c r="T460" s="2">
        <v>0</v>
      </c>
      <c r="U460" s="2">
        <v>2.2999999999999998</v>
      </c>
      <c r="V460" s="2">
        <v>8.5500000000000007</v>
      </c>
      <c r="W460" s="2">
        <f t="shared" si="67"/>
        <v>3.8196681834964559</v>
      </c>
      <c r="X460" s="2">
        <f t="shared" si="68"/>
        <v>4.4659744645040691</v>
      </c>
      <c r="Y460" s="2">
        <f t="shared" si="69"/>
        <v>3.4396231375571173</v>
      </c>
      <c r="Z460">
        <f t="shared" si="70"/>
        <v>-9.5052795389133568E-2</v>
      </c>
      <c r="AA460">
        <f t="shared" si="71"/>
        <v>9.3448686143048867E-2</v>
      </c>
      <c r="AB460">
        <f t="shared" si="72"/>
        <v>0.15345557052625192</v>
      </c>
    </row>
    <row r="461" spans="1:28" ht="13.9" x14ac:dyDescent="0.3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f t="shared" si="64"/>
        <v>-3.1844245711374275</v>
      </c>
      <c r="L461" s="2" t="e">
        <f t="shared" si="65"/>
        <v>#NUM!</v>
      </c>
      <c r="M461" s="2" t="e">
        <f t="shared" si="66"/>
        <v>#NUM!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 t="e">
        <f t="shared" si="67"/>
        <v>#NUM!</v>
      </c>
      <c r="X461" s="2" t="e">
        <f t="shared" si="68"/>
        <v>#NUM!</v>
      </c>
      <c r="Y461" s="2" t="e">
        <f t="shared" si="69"/>
        <v>#NUM!</v>
      </c>
      <c r="Z461" t="e">
        <f t="shared" si="70"/>
        <v>#NUM!</v>
      </c>
      <c r="AA461" t="e">
        <f t="shared" si="71"/>
        <v>#NUM!</v>
      </c>
      <c r="AB461" t="e">
        <f t="shared" si="72"/>
        <v>#NUM!</v>
      </c>
    </row>
    <row r="462" spans="1:28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 t="e">
        <f t="shared" si="64"/>
        <v>#NUM!</v>
      </c>
      <c r="L462" s="2" t="e">
        <f t="shared" si="65"/>
        <v>#NUM!</v>
      </c>
      <c r="M462" s="2" t="e">
        <f t="shared" si="66"/>
        <v>#NUM!</v>
      </c>
      <c r="N462" s="2">
        <v>0</v>
      </c>
      <c r="O462" s="2">
        <v>0</v>
      </c>
      <c r="P462" s="2">
        <v>0</v>
      </c>
      <c r="Q462" s="2">
        <v>3.3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 t="e">
        <f t="shared" si="67"/>
        <v>#NUM!</v>
      </c>
      <c r="X462" s="2">
        <f t="shared" si="68"/>
        <v>1.7224660244710912</v>
      </c>
      <c r="Y462" s="2" t="e">
        <f t="shared" si="69"/>
        <v>#NUM!</v>
      </c>
      <c r="Z462" t="e">
        <f t="shared" si="70"/>
        <v>#NUM!</v>
      </c>
      <c r="AA462" t="e">
        <f t="shared" si="71"/>
        <v>#NUM!</v>
      </c>
      <c r="AB462" t="e">
        <f t="shared" si="72"/>
        <v>#NUM!</v>
      </c>
    </row>
    <row r="463" spans="1:28" ht="13.9" x14ac:dyDescent="0.3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f t="shared" si="64"/>
        <v>-0.35845397091247633</v>
      </c>
      <c r="L463" s="2">
        <f t="shared" si="65"/>
        <v>-0.91593573521152549</v>
      </c>
      <c r="M463" s="2">
        <f t="shared" si="66"/>
        <v>0.81557542886257262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 t="e">
        <f t="shared" si="67"/>
        <v>#NUM!</v>
      </c>
      <c r="X463" s="2" t="e">
        <f t="shared" si="68"/>
        <v>#NUM!</v>
      </c>
      <c r="Y463" s="2" t="e">
        <f t="shared" si="69"/>
        <v>#NUM!</v>
      </c>
      <c r="Z463" t="e">
        <f t="shared" si="70"/>
        <v>#NUM!</v>
      </c>
      <c r="AA463" t="e">
        <f t="shared" si="71"/>
        <v>#NUM!</v>
      </c>
      <c r="AB463" t="e">
        <f t="shared" si="72"/>
        <v>#NUM!</v>
      </c>
    </row>
    <row r="464" spans="1:28" ht="13.9" x14ac:dyDescent="0.3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f t="shared" si="64"/>
        <v>0.63226821549951295</v>
      </c>
      <c r="L464" s="2">
        <f t="shared" si="65"/>
        <v>1</v>
      </c>
      <c r="M464" s="2">
        <f t="shared" si="66"/>
        <v>-0.68965987938784945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 t="e">
        <f t="shared" si="67"/>
        <v>#NUM!</v>
      </c>
      <c r="X464" s="2" t="e">
        <f t="shared" si="68"/>
        <v>#NUM!</v>
      </c>
      <c r="Y464" s="2" t="e">
        <f t="shared" si="69"/>
        <v>#NUM!</v>
      </c>
      <c r="Z464" t="e">
        <f t="shared" si="70"/>
        <v>#NUM!</v>
      </c>
      <c r="AA464" t="e">
        <f t="shared" si="71"/>
        <v>#NUM!</v>
      </c>
      <c r="AB464" t="e">
        <f t="shared" si="72"/>
        <v>#NUM!</v>
      </c>
    </row>
    <row r="465" spans="1:28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 t="e">
        <f t="shared" si="64"/>
        <v>#NUM!</v>
      </c>
      <c r="L465" s="2">
        <f t="shared" si="65"/>
        <v>-7.4000581443776928E-2</v>
      </c>
      <c r="M465" s="2" t="e">
        <f t="shared" si="66"/>
        <v>#NUM!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 t="e">
        <f t="shared" si="67"/>
        <v>#NUM!</v>
      </c>
      <c r="X465" s="2" t="e">
        <f t="shared" si="68"/>
        <v>#NUM!</v>
      </c>
      <c r="Y465" s="2" t="e">
        <f t="shared" si="69"/>
        <v>#NUM!</v>
      </c>
      <c r="Z465" t="e">
        <f t="shared" si="70"/>
        <v>#NUM!</v>
      </c>
      <c r="AA465" t="e">
        <f t="shared" si="71"/>
        <v>#NUM!</v>
      </c>
      <c r="AB465" t="e">
        <f t="shared" si="72"/>
        <v>#NUM!</v>
      </c>
    </row>
    <row r="466" spans="1:28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 t="e">
        <f t="shared" si="64"/>
        <v>#NUM!</v>
      </c>
      <c r="L466" s="2" t="e">
        <f t="shared" si="65"/>
        <v>#NUM!</v>
      </c>
      <c r="M466" s="2">
        <f t="shared" si="66"/>
        <v>-1.2863041851566412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 t="e">
        <f t="shared" si="67"/>
        <v>#NUM!</v>
      </c>
      <c r="X466" s="2" t="e">
        <f t="shared" si="68"/>
        <v>#NUM!</v>
      </c>
      <c r="Y466" s="2" t="e">
        <f t="shared" si="69"/>
        <v>#NUM!</v>
      </c>
      <c r="Z466" t="e">
        <f t="shared" si="70"/>
        <v>#NUM!</v>
      </c>
      <c r="AA466" t="e">
        <f t="shared" si="71"/>
        <v>#NUM!</v>
      </c>
      <c r="AB466" t="e">
        <f t="shared" si="72"/>
        <v>#NUM!</v>
      </c>
    </row>
    <row r="467" spans="1:28" ht="13.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 t="e">
        <f t="shared" si="64"/>
        <v>#NUM!</v>
      </c>
      <c r="L467" s="2" t="e">
        <f t="shared" si="65"/>
        <v>#NUM!</v>
      </c>
      <c r="M467" s="2" t="e">
        <f t="shared" si="66"/>
        <v>#NUM!</v>
      </c>
      <c r="N467" s="2">
        <v>0</v>
      </c>
      <c r="O467" s="2">
        <v>4.34</v>
      </c>
      <c r="P467" s="2">
        <v>0</v>
      </c>
      <c r="Q467" s="2">
        <v>0</v>
      </c>
      <c r="R467" s="2">
        <v>0</v>
      </c>
      <c r="S467" s="2">
        <v>0</v>
      </c>
      <c r="T467" s="2">
        <v>0.36</v>
      </c>
      <c r="U467" s="2">
        <v>0</v>
      </c>
      <c r="V467" s="2">
        <v>0</v>
      </c>
      <c r="W467" s="2">
        <f t="shared" si="67"/>
        <v>2.1176950426697547</v>
      </c>
      <c r="X467" s="2" t="e">
        <f t="shared" si="68"/>
        <v>#NUM!</v>
      </c>
      <c r="Y467" s="2">
        <f t="shared" si="69"/>
        <v>-1.4739311883324124</v>
      </c>
      <c r="Z467" t="e">
        <f t="shared" si="70"/>
        <v>#NUM!</v>
      </c>
      <c r="AA467" t="e">
        <f t="shared" si="71"/>
        <v>#NUM!</v>
      </c>
      <c r="AB467" t="e">
        <f t="shared" si="72"/>
        <v>#NUM!</v>
      </c>
    </row>
    <row r="468" spans="1:28" ht="13.9" x14ac:dyDescent="0.3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f t="shared" si="64"/>
        <v>-1</v>
      </c>
      <c r="L468" s="2">
        <f t="shared" si="65"/>
        <v>-1.2515387669959643</v>
      </c>
      <c r="M468" s="2">
        <f t="shared" si="66"/>
        <v>-0.97143084780322919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 t="e">
        <f t="shared" si="67"/>
        <v>#NUM!</v>
      </c>
      <c r="X468" s="2" t="e">
        <f t="shared" si="68"/>
        <v>#NUM!</v>
      </c>
      <c r="Y468" s="2" t="e">
        <f t="shared" si="69"/>
        <v>#NUM!</v>
      </c>
      <c r="Z468" t="e">
        <f t="shared" si="70"/>
        <v>#NUM!</v>
      </c>
      <c r="AA468" t="e">
        <f t="shared" si="71"/>
        <v>#NUM!</v>
      </c>
      <c r="AB468" t="e">
        <f t="shared" si="72"/>
        <v>#NUM!</v>
      </c>
    </row>
    <row r="469" spans="1:28" ht="13.9" x14ac:dyDescent="0.3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f t="shared" si="64"/>
        <v>1.2570106182060239</v>
      </c>
      <c r="L469" s="2">
        <f t="shared" si="65"/>
        <v>1.4382928515791469</v>
      </c>
      <c r="M469" s="2">
        <f t="shared" si="66"/>
        <v>0.12432813500220148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 t="e">
        <f t="shared" si="67"/>
        <v>#NUM!</v>
      </c>
      <c r="X469" s="2" t="e">
        <f t="shared" si="68"/>
        <v>#NUM!</v>
      </c>
      <c r="Y469" s="2" t="e">
        <f t="shared" si="69"/>
        <v>#NUM!</v>
      </c>
      <c r="Z469" t="e">
        <f t="shared" si="70"/>
        <v>#NUM!</v>
      </c>
      <c r="AA469" t="e">
        <f t="shared" si="71"/>
        <v>#NUM!</v>
      </c>
      <c r="AB469" t="e">
        <f t="shared" si="72"/>
        <v>#NUM!</v>
      </c>
    </row>
    <row r="470" spans="1:28" ht="13.9" x14ac:dyDescent="0.3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f t="shared" si="64"/>
        <v>-0.66657626627480826</v>
      </c>
      <c r="L470" s="2">
        <f t="shared" si="65"/>
        <v>-1.3219280948873622</v>
      </c>
      <c r="M470" s="2" t="e">
        <f t="shared" si="66"/>
        <v>#NUM!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 t="e">
        <f t="shared" si="67"/>
        <v>#NUM!</v>
      </c>
      <c r="X470" s="2" t="e">
        <f t="shared" si="68"/>
        <v>#NUM!</v>
      </c>
      <c r="Y470" s="2" t="e">
        <f t="shared" si="69"/>
        <v>#NUM!</v>
      </c>
      <c r="Z470" t="e">
        <f t="shared" si="70"/>
        <v>#NUM!</v>
      </c>
      <c r="AA470" t="e">
        <f t="shared" si="71"/>
        <v>#NUM!</v>
      </c>
      <c r="AB470" t="e">
        <f t="shared" si="72"/>
        <v>#NUM!</v>
      </c>
    </row>
    <row r="471" spans="1:28" ht="13.9" x14ac:dyDescent="0.3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f t="shared" si="64"/>
        <v>0.15055967657538141</v>
      </c>
      <c r="L471" s="2" t="e">
        <f t="shared" si="65"/>
        <v>#NUM!</v>
      </c>
      <c r="M471" s="2" t="e">
        <f t="shared" si="66"/>
        <v>#NUM!</v>
      </c>
      <c r="N471" s="2">
        <v>0</v>
      </c>
      <c r="O471" s="2">
        <v>0</v>
      </c>
      <c r="P471" s="2">
        <v>0.26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f t="shared" si="67"/>
        <v>-1.9434164716336324</v>
      </c>
      <c r="X471" s="2" t="e">
        <f t="shared" si="68"/>
        <v>#NUM!</v>
      </c>
      <c r="Y471" s="2" t="e">
        <f t="shared" si="69"/>
        <v>#NUM!</v>
      </c>
      <c r="Z471" t="e">
        <f t="shared" si="70"/>
        <v>#NUM!</v>
      </c>
      <c r="AA471" t="e">
        <f t="shared" si="71"/>
        <v>#NUM!</v>
      </c>
      <c r="AB471" t="e">
        <f t="shared" si="72"/>
        <v>#NUM!</v>
      </c>
    </row>
    <row r="472" spans="1:28" ht="13.9" x14ac:dyDescent="0.3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f t="shared" si="64"/>
        <v>-0.13606154957602837</v>
      </c>
      <c r="L472" s="2">
        <f t="shared" si="65"/>
        <v>2.3219280948873622</v>
      </c>
      <c r="M472" s="2">
        <f t="shared" si="66"/>
        <v>1.5260688116675876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 t="e">
        <f t="shared" si="67"/>
        <v>#NUM!</v>
      </c>
      <c r="X472" s="2" t="e">
        <f t="shared" si="68"/>
        <v>#NUM!</v>
      </c>
      <c r="Y472" s="2" t="e">
        <f t="shared" si="69"/>
        <v>#NUM!</v>
      </c>
      <c r="Z472" t="e">
        <f t="shared" si="70"/>
        <v>#NUM!</v>
      </c>
      <c r="AA472" t="e">
        <f t="shared" si="71"/>
        <v>#NUM!</v>
      </c>
      <c r="AB472" t="e">
        <f t="shared" si="72"/>
        <v>#NUM!</v>
      </c>
    </row>
    <row r="473" spans="1:28" ht="13.9" x14ac:dyDescent="0.3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f t="shared" si="64"/>
        <v>-3.1844245711374275</v>
      </c>
      <c r="L473" s="2" t="e">
        <f t="shared" si="65"/>
        <v>#NUM!</v>
      </c>
      <c r="M473" s="2" t="e">
        <f t="shared" si="66"/>
        <v>#NUM!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3.52</v>
      </c>
      <c r="W473" s="2" t="e">
        <f t="shared" si="67"/>
        <v>#NUM!</v>
      </c>
      <c r="X473" s="2" t="e">
        <f t="shared" si="68"/>
        <v>#NUM!</v>
      </c>
      <c r="Y473" s="2">
        <f t="shared" si="69"/>
        <v>1.8155754288625725</v>
      </c>
      <c r="Z473" t="e">
        <f t="shared" si="70"/>
        <v>#NUM!</v>
      </c>
      <c r="AA473" t="e">
        <f t="shared" si="71"/>
        <v>#NUM!</v>
      </c>
      <c r="AB473" t="e">
        <f t="shared" si="72"/>
        <v>#NUM!</v>
      </c>
    </row>
    <row r="474" spans="1:28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 t="e">
        <f t="shared" si="64"/>
        <v>#NUM!</v>
      </c>
      <c r="L474" s="2">
        <f t="shared" si="65"/>
        <v>-1.8889686876112561</v>
      </c>
      <c r="M474" s="2" t="e">
        <f t="shared" si="66"/>
        <v>#NUM!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 t="e">
        <f t="shared" si="67"/>
        <v>#NUM!</v>
      </c>
      <c r="X474" s="2" t="e">
        <f t="shared" si="68"/>
        <v>#NUM!</v>
      </c>
      <c r="Y474" s="2" t="e">
        <f t="shared" si="69"/>
        <v>#NUM!</v>
      </c>
      <c r="Z474" t="e">
        <f t="shared" si="70"/>
        <v>#NUM!</v>
      </c>
      <c r="AA474" t="e">
        <f t="shared" si="71"/>
        <v>#NUM!</v>
      </c>
      <c r="AB474" t="e">
        <f t="shared" si="72"/>
        <v>#NUM!</v>
      </c>
    </row>
    <row r="475" spans="1:28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 t="e">
        <f t="shared" si="64"/>
        <v>#NUM!</v>
      </c>
      <c r="L475" s="2">
        <f t="shared" si="65"/>
        <v>0.23878685958711648</v>
      </c>
      <c r="M475" s="2">
        <f t="shared" si="66"/>
        <v>-0.55639334852438527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 t="e">
        <f t="shared" si="67"/>
        <v>#NUM!</v>
      </c>
      <c r="X475" s="2" t="e">
        <f t="shared" si="68"/>
        <v>#NUM!</v>
      </c>
      <c r="Y475" s="2" t="e">
        <f t="shared" si="69"/>
        <v>#NUM!</v>
      </c>
      <c r="Z475" t="e">
        <f t="shared" si="70"/>
        <v>#NUM!</v>
      </c>
      <c r="AA475" t="e">
        <f t="shared" si="71"/>
        <v>#NUM!</v>
      </c>
      <c r="AB475" t="e">
        <f t="shared" si="72"/>
        <v>#NUM!</v>
      </c>
    </row>
    <row r="476" spans="1:28" ht="13.9" x14ac:dyDescent="0.3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f t="shared" si="64"/>
        <v>1.6507645591169022</v>
      </c>
      <c r="L476" s="2">
        <f t="shared" si="65"/>
        <v>0.94860084749335583</v>
      </c>
      <c r="M476" s="2">
        <f t="shared" si="66"/>
        <v>-2.2515387669959646</v>
      </c>
      <c r="N476" s="2">
        <v>0</v>
      </c>
      <c r="O476" s="2">
        <v>0</v>
      </c>
      <c r="P476" s="2">
        <v>0</v>
      </c>
      <c r="Q476" s="2">
        <v>10.55</v>
      </c>
      <c r="R476" s="2">
        <v>0</v>
      </c>
      <c r="S476" s="2">
        <v>0</v>
      </c>
      <c r="T476" s="2">
        <v>0.18</v>
      </c>
      <c r="U476" s="2">
        <v>0</v>
      </c>
      <c r="V476" s="2">
        <v>0</v>
      </c>
      <c r="W476" s="2" t="e">
        <f t="shared" si="67"/>
        <v>#NUM!</v>
      </c>
      <c r="X476" s="2">
        <f t="shared" si="68"/>
        <v>3.3991710938198225</v>
      </c>
      <c r="Y476" s="2">
        <f t="shared" si="69"/>
        <v>-2.4739311883324122</v>
      </c>
      <c r="Z476" t="e">
        <f t="shared" si="70"/>
        <v>#NUM!</v>
      </c>
      <c r="AA476">
        <f t="shared" si="71"/>
        <v>1.841309917840033</v>
      </c>
      <c r="AB476">
        <f t="shared" si="72"/>
        <v>0.13589405451679903</v>
      </c>
    </row>
    <row r="477" spans="1:28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 t="e">
        <f t="shared" si="64"/>
        <v>#NUM!</v>
      </c>
      <c r="L477" s="2">
        <f t="shared" si="65"/>
        <v>-0.66657626627480826</v>
      </c>
      <c r="M477" s="2">
        <f t="shared" si="66"/>
        <v>-3.3219280948873622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 t="e">
        <f t="shared" si="67"/>
        <v>#NUM!</v>
      </c>
      <c r="X477" s="2" t="e">
        <f t="shared" si="68"/>
        <v>#NUM!</v>
      </c>
      <c r="Y477" s="2" t="e">
        <f t="shared" si="69"/>
        <v>#NUM!</v>
      </c>
      <c r="Z477" t="e">
        <f t="shared" si="70"/>
        <v>#NUM!</v>
      </c>
      <c r="AA477" t="e">
        <f t="shared" si="71"/>
        <v>#NUM!</v>
      </c>
      <c r="AB477" t="e">
        <f t="shared" si="72"/>
        <v>#NUM!</v>
      </c>
    </row>
    <row r="478" spans="1:28" ht="13.9" x14ac:dyDescent="0.3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f t="shared" si="64"/>
        <v>-0.7858751946471525</v>
      </c>
      <c r="L478" s="2">
        <f t="shared" si="65"/>
        <v>-7.4000581443776928E-2</v>
      </c>
      <c r="M478" s="2">
        <f t="shared" si="66"/>
        <v>9.815527397999098</v>
      </c>
      <c r="N478" s="2">
        <v>2.75</v>
      </c>
      <c r="O478" s="2">
        <v>0.57999999999999996</v>
      </c>
      <c r="P478" s="2">
        <v>4.41</v>
      </c>
      <c r="Q478" s="2">
        <v>0</v>
      </c>
      <c r="R478" s="2">
        <v>4.88</v>
      </c>
      <c r="S478" s="2">
        <v>3.64</v>
      </c>
      <c r="T478" s="2">
        <v>3.23</v>
      </c>
      <c r="U478" s="2">
        <v>1.26</v>
      </c>
      <c r="V478" s="2">
        <v>3.52</v>
      </c>
      <c r="W478" s="2">
        <f t="shared" si="67"/>
        <v>2.9523335663696861</v>
      </c>
      <c r="X478" s="2">
        <f t="shared" si="68"/>
        <v>3.0908534304511139</v>
      </c>
      <c r="Y478" s="2">
        <f t="shared" si="69"/>
        <v>3.0018022426339854</v>
      </c>
      <c r="Z478" t="e">
        <f t="shared" si="70"/>
        <v>#NUM!</v>
      </c>
      <c r="AA478" t="e">
        <f t="shared" si="71"/>
        <v>#NUM!</v>
      </c>
      <c r="AB478">
        <f t="shared" si="72"/>
        <v>-1.7092368512098073</v>
      </c>
    </row>
    <row r="479" spans="1:28" ht="13.9" x14ac:dyDescent="0.3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f t="shared" si="64"/>
        <v>-0.57776699931695219</v>
      </c>
      <c r="L479" s="2">
        <f t="shared" si="65"/>
        <v>-2.9434164716336326</v>
      </c>
      <c r="M479" s="2">
        <f t="shared" si="66"/>
        <v>7.6801836815924904</v>
      </c>
      <c r="N479" s="2">
        <v>0</v>
      </c>
      <c r="O479" s="2">
        <v>0</v>
      </c>
      <c r="P479" s="2">
        <v>0.26</v>
      </c>
      <c r="Q479" s="2">
        <v>0</v>
      </c>
      <c r="R479" s="2">
        <v>0</v>
      </c>
      <c r="S479" s="2">
        <v>4.55</v>
      </c>
      <c r="T479" s="2">
        <v>0</v>
      </c>
      <c r="U479" s="2">
        <v>0</v>
      </c>
      <c r="V479" s="2">
        <v>0</v>
      </c>
      <c r="W479" s="2">
        <f t="shared" si="67"/>
        <v>-1.9434164716336324</v>
      </c>
      <c r="X479" s="2">
        <f t="shared" si="68"/>
        <v>2.1858665453113342</v>
      </c>
      <c r="Y479" s="2" t="e">
        <f t="shared" si="69"/>
        <v>#NUM!</v>
      </c>
      <c r="Z479">
        <f t="shared" si="70"/>
        <v>1.7500353936909538</v>
      </c>
      <c r="AA479" t="e">
        <f t="shared" si="71"/>
        <v>#NUM!</v>
      </c>
      <c r="AB479" t="e">
        <f t="shared" si="72"/>
        <v>#NUM!</v>
      </c>
    </row>
    <row r="480" spans="1:28" ht="13.9" x14ac:dyDescent="0.3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f t="shared" si="64"/>
        <v>2.1858665453113342</v>
      </c>
      <c r="L480" s="2">
        <f t="shared" si="65"/>
        <v>1.6780719051126378</v>
      </c>
      <c r="M480" s="2">
        <f t="shared" si="66"/>
        <v>-2.8365012677171206</v>
      </c>
      <c r="N480" s="2">
        <v>0</v>
      </c>
      <c r="O480" s="2">
        <v>0</v>
      </c>
      <c r="P480" s="2">
        <v>0</v>
      </c>
      <c r="Q480" s="2">
        <v>0</v>
      </c>
      <c r="R480" s="2">
        <v>0.98</v>
      </c>
      <c r="S480" s="2">
        <v>3.82</v>
      </c>
      <c r="T480" s="2">
        <v>0</v>
      </c>
      <c r="U480" s="2">
        <v>0</v>
      </c>
      <c r="V480" s="2">
        <v>0.5</v>
      </c>
      <c r="W480" s="2" t="e">
        <f t="shared" si="67"/>
        <v>#NUM!</v>
      </c>
      <c r="X480" s="2">
        <f t="shared" si="68"/>
        <v>2.2630344058337939</v>
      </c>
      <c r="Y480" s="2">
        <f t="shared" si="69"/>
        <v>-1</v>
      </c>
      <c r="Z480" t="e">
        <f t="shared" si="70"/>
        <v>#NUM!</v>
      </c>
      <c r="AA480">
        <f t="shared" si="71"/>
        <v>0.43145398229793736</v>
      </c>
      <c r="AB480">
        <f t="shared" si="72"/>
        <v>-1.5041125087924705</v>
      </c>
    </row>
    <row r="481" spans="1:28" ht="13.9" x14ac:dyDescent="0.3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f t="shared" si="64"/>
        <v>-0.66657626627480826</v>
      </c>
      <c r="L481" s="2">
        <f t="shared" si="65"/>
        <v>-1.6438561897747248</v>
      </c>
      <c r="M481" s="2" t="e">
        <f t="shared" si="66"/>
        <v>#NUM!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 t="e">
        <f t="shared" si="67"/>
        <v>#NUM!</v>
      </c>
      <c r="X481" s="2" t="e">
        <f t="shared" si="68"/>
        <v>#NUM!</v>
      </c>
      <c r="Y481" s="2" t="e">
        <f t="shared" si="69"/>
        <v>#NUM!</v>
      </c>
      <c r="Z481" t="e">
        <f t="shared" si="70"/>
        <v>#NUM!</v>
      </c>
      <c r="AA481" t="e">
        <f t="shared" si="71"/>
        <v>#NUM!</v>
      </c>
      <c r="AB481" t="e">
        <f t="shared" si="72"/>
        <v>#NUM!</v>
      </c>
    </row>
    <row r="482" spans="1:28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 t="e">
        <f t="shared" si="64"/>
        <v>#NUM!</v>
      </c>
      <c r="L482" s="2" t="e">
        <f t="shared" si="65"/>
        <v>#NUM!</v>
      </c>
      <c r="M482" s="2" t="e">
        <f t="shared" si="66"/>
        <v>#NUM!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0.21</v>
      </c>
      <c r="V482" s="2">
        <v>0</v>
      </c>
      <c r="W482" s="2" t="e">
        <f t="shared" si="67"/>
        <v>#NUM!</v>
      </c>
      <c r="X482" s="2" t="e">
        <f t="shared" si="68"/>
        <v>#NUM!</v>
      </c>
      <c r="Y482" s="2">
        <f t="shared" si="69"/>
        <v>-2.2515387669959646</v>
      </c>
      <c r="Z482" t="e">
        <f t="shared" si="70"/>
        <v>#NUM!</v>
      </c>
      <c r="AA482" t="e">
        <f t="shared" si="71"/>
        <v>#NUM!</v>
      </c>
      <c r="AB482" t="e">
        <f t="shared" si="72"/>
        <v>#NUM!</v>
      </c>
    </row>
    <row r="483" spans="1:28" ht="13.9" x14ac:dyDescent="0.3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f t="shared" si="64"/>
        <v>-1.5994620704162712</v>
      </c>
      <c r="L483" s="2" t="e">
        <f t="shared" si="65"/>
        <v>#NUM!</v>
      </c>
      <c r="M483" s="2">
        <f t="shared" si="66"/>
        <v>-0.68965987938784945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 t="e">
        <f t="shared" si="67"/>
        <v>#NUM!</v>
      </c>
      <c r="X483" s="2" t="e">
        <f t="shared" si="68"/>
        <v>#NUM!</v>
      </c>
      <c r="Y483" s="2" t="e">
        <f t="shared" si="69"/>
        <v>#NUM!</v>
      </c>
      <c r="Z483" t="e">
        <f t="shared" si="70"/>
        <v>#NUM!</v>
      </c>
      <c r="AA483" t="e">
        <f t="shared" si="71"/>
        <v>#NUM!</v>
      </c>
      <c r="AB483" t="e">
        <f t="shared" si="72"/>
        <v>#NUM!</v>
      </c>
    </row>
    <row r="484" spans="1:28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 t="e">
        <f t="shared" si="64"/>
        <v>#NUM!</v>
      </c>
      <c r="L484" s="2">
        <f t="shared" si="65"/>
        <v>-1.0291463456595165</v>
      </c>
      <c r="M484" s="2" t="e">
        <f t="shared" si="66"/>
        <v>#NUM!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 t="e">
        <f t="shared" si="67"/>
        <v>#NUM!</v>
      </c>
      <c r="X484" s="2" t="e">
        <f t="shared" si="68"/>
        <v>#NUM!</v>
      </c>
      <c r="Y484" s="2" t="e">
        <f t="shared" si="69"/>
        <v>#NUM!</v>
      </c>
      <c r="Z484" t="e">
        <f t="shared" si="70"/>
        <v>#NUM!</v>
      </c>
      <c r="AA484" t="e">
        <f t="shared" si="71"/>
        <v>#NUM!</v>
      </c>
      <c r="AB484" t="e">
        <f t="shared" si="72"/>
        <v>#NUM!</v>
      </c>
    </row>
    <row r="485" spans="1:28" ht="13.9" x14ac:dyDescent="0.3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f t="shared" si="64"/>
        <v>-0.18442457113742744</v>
      </c>
      <c r="L485" s="2" t="e">
        <f t="shared" si="65"/>
        <v>#NUM!</v>
      </c>
      <c r="M485" s="2" t="e">
        <f t="shared" si="66"/>
        <v>#NUM!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10.24</v>
      </c>
      <c r="U485" s="2">
        <v>0</v>
      </c>
      <c r="V485" s="2">
        <v>0</v>
      </c>
      <c r="W485" s="2" t="e">
        <f t="shared" si="67"/>
        <v>#NUM!</v>
      </c>
      <c r="X485" s="2" t="e">
        <f t="shared" si="68"/>
        <v>#NUM!</v>
      </c>
      <c r="Y485" s="2">
        <f t="shared" si="69"/>
        <v>3.3561438102252756</v>
      </c>
      <c r="Z485" t="e">
        <f t="shared" si="70"/>
        <v>#NUM!</v>
      </c>
      <c r="AA485" t="e">
        <f t="shared" si="71"/>
        <v>#NUM!</v>
      </c>
      <c r="AB485" t="e">
        <f t="shared" si="72"/>
        <v>#NUM!</v>
      </c>
    </row>
    <row r="486" spans="1:28" ht="13.9" x14ac:dyDescent="0.3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f t="shared" si="64"/>
        <v>-0.39592867633113921</v>
      </c>
      <c r="L486" s="2" t="e">
        <f t="shared" si="65"/>
        <v>#NUM!</v>
      </c>
      <c r="M486" s="2" t="e">
        <f t="shared" si="66"/>
        <v>#NUM!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 t="e">
        <f t="shared" si="67"/>
        <v>#NUM!</v>
      </c>
      <c r="X486" s="2" t="e">
        <f t="shared" si="68"/>
        <v>#NUM!</v>
      </c>
      <c r="Y486" s="2" t="e">
        <f t="shared" si="69"/>
        <v>#NUM!</v>
      </c>
      <c r="Z486" t="e">
        <f t="shared" si="70"/>
        <v>#NUM!</v>
      </c>
      <c r="AA486" t="e">
        <f t="shared" si="71"/>
        <v>#NUM!</v>
      </c>
      <c r="AB486" t="e">
        <f t="shared" si="72"/>
        <v>#NUM!</v>
      </c>
    </row>
    <row r="487" spans="1:28" ht="13.9" x14ac:dyDescent="0.3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f t="shared" si="64"/>
        <v>3.5582676340557362</v>
      </c>
      <c r="L487" s="2">
        <f t="shared" si="65"/>
        <v>3.9145645234939401</v>
      </c>
      <c r="M487" s="2">
        <f t="shared" si="66"/>
        <v>3.1210154009613658</v>
      </c>
      <c r="N487" s="2">
        <v>10.23</v>
      </c>
      <c r="O487" s="2">
        <v>0</v>
      </c>
      <c r="P487" s="2">
        <v>0</v>
      </c>
      <c r="Q487" s="2">
        <v>0</v>
      </c>
      <c r="R487" s="2">
        <v>3.66</v>
      </c>
      <c r="S487" s="2">
        <v>0</v>
      </c>
      <c r="T487" s="2">
        <v>3.41</v>
      </c>
      <c r="U487" s="2">
        <v>0</v>
      </c>
      <c r="V487" s="2">
        <v>0</v>
      </c>
      <c r="W487" s="2">
        <f t="shared" si="67"/>
        <v>3.3547342399706039</v>
      </c>
      <c r="X487" s="2">
        <f t="shared" si="68"/>
        <v>1.8718436485093179</v>
      </c>
      <c r="Y487" s="2">
        <f t="shared" si="69"/>
        <v>1.7697717392494476</v>
      </c>
      <c r="Z487">
        <f t="shared" si="70"/>
        <v>-8.4976545051691513E-2</v>
      </c>
      <c r="AA487">
        <f t="shared" si="71"/>
        <v>-1.064391889128137</v>
      </c>
      <c r="AB487">
        <f t="shared" si="72"/>
        <v>-0.81845217930279057</v>
      </c>
    </row>
    <row r="488" spans="1:28" ht="13.9" x14ac:dyDescent="0.3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f t="shared" si="64"/>
        <v>0.11103131238874395</v>
      </c>
      <c r="L488" s="2">
        <f t="shared" si="65"/>
        <v>1.5607149544744789</v>
      </c>
      <c r="M488" s="2">
        <f t="shared" si="66"/>
        <v>7.0389327891398012E-2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 t="e">
        <f t="shared" si="67"/>
        <v>#NUM!</v>
      </c>
      <c r="X488" s="2" t="e">
        <f t="shared" si="68"/>
        <v>#NUM!</v>
      </c>
      <c r="Y488" s="2" t="e">
        <f t="shared" si="69"/>
        <v>#NUM!</v>
      </c>
      <c r="Z488" t="e">
        <f t="shared" si="70"/>
        <v>#NUM!</v>
      </c>
      <c r="AA488" t="e">
        <f t="shared" si="71"/>
        <v>#NUM!</v>
      </c>
      <c r="AB488" t="e">
        <f t="shared" si="72"/>
        <v>#NUM!</v>
      </c>
    </row>
    <row r="489" spans="1:28" ht="13.9" x14ac:dyDescent="0.3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f t="shared" si="64"/>
        <v>-0.81096617560998319</v>
      </c>
      <c r="L489" s="2">
        <f t="shared" si="65"/>
        <v>-3.3219280948873622</v>
      </c>
      <c r="M489" s="2" t="e">
        <f t="shared" si="66"/>
        <v>#NUM!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 t="e">
        <f t="shared" si="67"/>
        <v>#NUM!</v>
      </c>
      <c r="X489" s="2" t="e">
        <f t="shared" si="68"/>
        <v>#NUM!</v>
      </c>
      <c r="Y489" s="2" t="e">
        <f t="shared" si="69"/>
        <v>#NUM!</v>
      </c>
      <c r="Z489" t="e">
        <f t="shared" si="70"/>
        <v>#NUM!</v>
      </c>
      <c r="AA489" t="e">
        <f t="shared" si="71"/>
        <v>#NUM!</v>
      </c>
      <c r="AB489" t="e">
        <f t="shared" si="72"/>
        <v>#NUM!</v>
      </c>
    </row>
    <row r="490" spans="1:28" ht="13.9" x14ac:dyDescent="0.3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f t="shared" si="64"/>
        <v>0.18903382439001684</v>
      </c>
      <c r="L490" s="2">
        <f t="shared" si="65"/>
        <v>1.3161457422933565</v>
      </c>
      <c r="M490" s="2">
        <f t="shared" si="66"/>
        <v>-0.47393118833241243</v>
      </c>
      <c r="N490" s="2">
        <v>0.66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f t="shared" si="67"/>
        <v>-0.5994620704162712</v>
      </c>
      <c r="X490" s="2" t="e">
        <f t="shared" si="68"/>
        <v>#NUM!</v>
      </c>
      <c r="Y490" s="2" t="e">
        <f t="shared" si="69"/>
        <v>#NUM!</v>
      </c>
      <c r="Z490" t="e">
        <f t="shared" si="70"/>
        <v>#NUM!</v>
      </c>
      <c r="AA490" t="e">
        <f t="shared" si="71"/>
        <v>#NUM!</v>
      </c>
      <c r="AB490" t="e">
        <f t="shared" si="72"/>
        <v>#NUM!</v>
      </c>
    </row>
    <row r="491" spans="1:28" ht="13.9" x14ac:dyDescent="0.3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f t="shared" si="64"/>
        <v>-2</v>
      </c>
      <c r="L491" s="2" t="e">
        <f t="shared" si="65"/>
        <v>#NUM!</v>
      </c>
      <c r="M491" s="2" t="e">
        <f t="shared" si="66"/>
        <v>#NUM!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 t="e">
        <f t="shared" si="67"/>
        <v>#NUM!</v>
      </c>
      <c r="X491" s="2" t="e">
        <f t="shared" si="68"/>
        <v>#NUM!</v>
      </c>
      <c r="Y491" s="2" t="e">
        <f t="shared" si="69"/>
        <v>#NUM!</v>
      </c>
      <c r="Z491" t="e">
        <f t="shared" si="70"/>
        <v>#NUM!</v>
      </c>
      <c r="AA491" t="e">
        <f t="shared" si="71"/>
        <v>#NUM!</v>
      </c>
      <c r="AB491" t="e">
        <f t="shared" si="72"/>
        <v>#NUM!</v>
      </c>
    </row>
    <row r="492" spans="1:28" ht="13.9" x14ac:dyDescent="0.3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f t="shared" si="64"/>
        <v>1.6553518286125541</v>
      </c>
      <c r="L492" s="2">
        <f t="shared" si="65"/>
        <v>1.3276873641760472</v>
      </c>
      <c r="M492" s="2" t="e">
        <f t="shared" si="66"/>
        <v>#NUM!</v>
      </c>
      <c r="N492" s="2">
        <v>0</v>
      </c>
      <c r="O492" s="2">
        <v>15.9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f t="shared" si="67"/>
        <v>3.9909548603969935</v>
      </c>
      <c r="X492" s="2" t="e">
        <f t="shared" si="68"/>
        <v>#NUM!</v>
      </c>
      <c r="Y492" s="2" t="e">
        <f t="shared" si="69"/>
        <v>#NUM!</v>
      </c>
      <c r="Z492">
        <f t="shared" si="70"/>
        <v>1.2695960812281299</v>
      </c>
      <c r="AA492" t="e">
        <f t="shared" si="71"/>
        <v>#NUM!</v>
      </c>
      <c r="AB492" t="e">
        <f t="shared" si="72"/>
        <v>#NUM!</v>
      </c>
    </row>
    <row r="493" spans="1:28" ht="13.9" x14ac:dyDescent="0.3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f t="shared" si="64"/>
        <v>7.5704629310260421</v>
      </c>
      <c r="L493" s="2">
        <f t="shared" si="65"/>
        <v>7.3856898707392125</v>
      </c>
      <c r="M493" s="2">
        <f t="shared" si="66"/>
        <v>6.8464933159645627</v>
      </c>
      <c r="N493" s="2">
        <v>39.07</v>
      </c>
      <c r="O493" s="2">
        <v>52.34</v>
      </c>
      <c r="P493" s="2">
        <v>46.94</v>
      </c>
      <c r="Q493" s="2">
        <v>11.87</v>
      </c>
      <c r="R493" s="2">
        <v>15.61</v>
      </c>
      <c r="S493" s="2">
        <v>49.34</v>
      </c>
      <c r="T493" s="2">
        <v>11.5</v>
      </c>
      <c r="U493" s="2">
        <v>43.32</v>
      </c>
      <c r="V493" s="2">
        <v>41.73</v>
      </c>
      <c r="W493" s="2">
        <f t="shared" si="67"/>
        <v>7.1121788337225933</v>
      </c>
      <c r="X493" s="2">
        <f t="shared" si="68"/>
        <v>6.2634100587563406</v>
      </c>
      <c r="Y493" s="2">
        <f t="shared" si="69"/>
        <v>6.5932043540632881</v>
      </c>
      <c r="Z493">
        <f t="shared" si="70"/>
        <v>-9.0089922397989866E-2</v>
      </c>
      <c r="AA493">
        <f t="shared" si="71"/>
        <v>-0.23778435050564145</v>
      </c>
      <c r="AB493">
        <f t="shared" si="72"/>
        <v>-5.4385449893913758E-2</v>
      </c>
    </row>
    <row r="494" spans="1:28" ht="13.9" x14ac:dyDescent="0.3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f t="shared" si="64"/>
        <v>9.7508242056680565</v>
      </c>
      <c r="L494" s="2">
        <f t="shared" si="65"/>
        <v>9.8548216429229409</v>
      </c>
      <c r="M494" s="2">
        <f t="shared" si="66"/>
        <v>9.5196755627992342</v>
      </c>
      <c r="N494" s="2">
        <v>113.79</v>
      </c>
      <c r="O494" s="2">
        <v>246.67</v>
      </c>
      <c r="P494" s="2">
        <v>332.72</v>
      </c>
      <c r="Q494" s="2">
        <v>339.83</v>
      </c>
      <c r="R494" s="2">
        <v>161.99</v>
      </c>
      <c r="S494" s="2">
        <v>352.84</v>
      </c>
      <c r="T494" s="2">
        <v>129.71</v>
      </c>
      <c r="U494" s="2">
        <v>328.57</v>
      </c>
      <c r="V494" s="2">
        <v>268.45999999999998</v>
      </c>
      <c r="W494" s="2">
        <f t="shared" si="67"/>
        <v>9.4370862194645735</v>
      </c>
      <c r="X494" s="2">
        <f t="shared" si="68"/>
        <v>9.7392067923822356</v>
      </c>
      <c r="Y494" s="2">
        <f t="shared" si="69"/>
        <v>9.5052955046747094</v>
      </c>
      <c r="Z494">
        <f t="shared" si="70"/>
        <v>-4.7182686376087087E-2</v>
      </c>
      <c r="AA494">
        <f t="shared" si="71"/>
        <v>-1.7025483846554532E-2</v>
      </c>
      <c r="AB494">
        <f t="shared" si="72"/>
        <v>-2.1809276262433827E-3</v>
      </c>
    </row>
    <row r="495" spans="1:28" ht="13.9" x14ac:dyDescent="0.3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f t="shared" si="64"/>
        <v>-2.1202942337177118</v>
      </c>
      <c r="L495" s="2">
        <f t="shared" si="65"/>
        <v>-3.1844245711374275</v>
      </c>
      <c r="M495" s="2" t="e">
        <f t="shared" si="66"/>
        <v>#NUM!</v>
      </c>
      <c r="N495" s="2">
        <v>0.13</v>
      </c>
      <c r="O495" s="2">
        <v>0</v>
      </c>
      <c r="P495" s="2">
        <v>0.26</v>
      </c>
      <c r="Q495" s="2">
        <v>0.33</v>
      </c>
      <c r="R495" s="2">
        <v>0.24</v>
      </c>
      <c r="S495" s="2">
        <v>0</v>
      </c>
      <c r="T495" s="2">
        <v>0</v>
      </c>
      <c r="U495" s="2">
        <v>0</v>
      </c>
      <c r="V495" s="2">
        <v>0</v>
      </c>
      <c r="W495" s="2">
        <f t="shared" si="67"/>
        <v>-1.3584539709124763</v>
      </c>
      <c r="X495" s="2">
        <f t="shared" si="68"/>
        <v>-0.81096617560998285</v>
      </c>
      <c r="Y495" s="2" t="e">
        <f t="shared" si="69"/>
        <v>#NUM!</v>
      </c>
      <c r="Z495">
        <f t="shared" si="70"/>
        <v>-0.64229879887934427</v>
      </c>
      <c r="AA495">
        <f t="shared" si="71"/>
        <v>-1.9733190517294166</v>
      </c>
      <c r="AB495" t="e">
        <f t="shared" si="72"/>
        <v>#NUM!</v>
      </c>
    </row>
    <row r="496" spans="1:28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 t="e">
        <f t="shared" si="64"/>
        <v>#NUM!</v>
      </c>
      <c r="L496" s="2">
        <f t="shared" si="65"/>
        <v>-2.3219280948873622</v>
      </c>
      <c r="M496" s="2" t="e">
        <f t="shared" si="66"/>
        <v>#NUM!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 t="e">
        <f t="shared" si="67"/>
        <v>#NUM!</v>
      </c>
      <c r="X496" s="2" t="e">
        <f t="shared" si="68"/>
        <v>#NUM!</v>
      </c>
      <c r="Y496" s="2" t="e">
        <f t="shared" si="69"/>
        <v>#NUM!</v>
      </c>
      <c r="Z496" t="e">
        <f t="shared" si="70"/>
        <v>#NUM!</v>
      </c>
      <c r="AA496" t="e">
        <f t="shared" si="71"/>
        <v>#NUM!</v>
      </c>
      <c r="AB496" t="e">
        <f t="shared" si="72"/>
        <v>#NUM!</v>
      </c>
    </row>
    <row r="497" spans="1:28" ht="13.9" x14ac:dyDescent="0.3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f t="shared" si="64"/>
        <v>-0.83650126771712052</v>
      </c>
      <c r="L497" s="2" t="e">
        <f t="shared" si="65"/>
        <v>#NUM!</v>
      </c>
      <c r="M497" s="2">
        <f t="shared" si="66"/>
        <v>7.6751102152452262</v>
      </c>
      <c r="N497" s="2">
        <v>0</v>
      </c>
      <c r="O497" s="2">
        <v>0</v>
      </c>
      <c r="P497" s="2">
        <v>1.04</v>
      </c>
      <c r="Q497" s="2">
        <v>0</v>
      </c>
      <c r="R497" s="2">
        <v>1.95</v>
      </c>
      <c r="S497" s="2">
        <v>0.18</v>
      </c>
      <c r="T497" s="2">
        <v>0</v>
      </c>
      <c r="U497" s="2">
        <v>0</v>
      </c>
      <c r="V497" s="2">
        <v>0</v>
      </c>
      <c r="W497" s="2">
        <f t="shared" si="67"/>
        <v>5.6583528366367514E-2</v>
      </c>
      <c r="X497" s="2">
        <f t="shared" si="68"/>
        <v>1.0908534304511135</v>
      </c>
      <c r="Y497" s="2" t="e">
        <f t="shared" si="69"/>
        <v>#NUM!</v>
      </c>
      <c r="Z497" t="e">
        <f t="shared" si="70"/>
        <v>#NUM!</v>
      </c>
      <c r="AA497" t="e">
        <f t="shared" si="71"/>
        <v>#NUM!</v>
      </c>
      <c r="AB497" t="e">
        <f t="shared" si="72"/>
        <v>#NUM!</v>
      </c>
    </row>
    <row r="498" spans="1:28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 t="e">
        <f t="shared" si="64"/>
        <v>#NUM!</v>
      </c>
      <c r="L498" s="2">
        <f t="shared" si="65"/>
        <v>-1.3584539709124763</v>
      </c>
      <c r="M498" s="2" t="e">
        <f t="shared" si="66"/>
        <v>#NUM!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 t="e">
        <f t="shared" si="67"/>
        <v>#NUM!</v>
      </c>
      <c r="X498" s="2" t="e">
        <f t="shared" si="68"/>
        <v>#NUM!</v>
      </c>
      <c r="Y498" s="2" t="e">
        <f t="shared" si="69"/>
        <v>#NUM!</v>
      </c>
      <c r="Z498" t="e">
        <f t="shared" si="70"/>
        <v>#NUM!</v>
      </c>
      <c r="AA498" t="e">
        <f t="shared" si="71"/>
        <v>#NUM!</v>
      </c>
      <c r="AB498" t="e">
        <f t="shared" si="72"/>
        <v>#NUM!</v>
      </c>
    </row>
    <row r="499" spans="1:28" ht="13.9" x14ac:dyDescent="0.3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f t="shared" si="64"/>
        <v>1.5945485495503544</v>
      </c>
      <c r="L499" s="2">
        <f t="shared" si="65"/>
        <v>1.9221978483963671</v>
      </c>
      <c r="M499" s="2">
        <f t="shared" si="66"/>
        <v>0.94110631094643149</v>
      </c>
      <c r="N499" s="2">
        <v>7.6</v>
      </c>
      <c r="O499" s="2">
        <v>3.47</v>
      </c>
      <c r="P499" s="2">
        <v>0.52</v>
      </c>
      <c r="Q499" s="2">
        <v>0.33</v>
      </c>
      <c r="R499" s="2">
        <v>4.1500000000000004</v>
      </c>
      <c r="S499" s="2">
        <v>8.01</v>
      </c>
      <c r="T499" s="2">
        <v>0.18</v>
      </c>
      <c r="U499" s="2">
        <v>7.53</v>
      </c>
      <c r="V499" s="2">
        <v>1.01</v>
      </c>
      <c r="W499" s="2">
        <f t="shared" si="67"/>
        <v>3.5348086612317471</v>
      </c>
      <c r="X499" s="2">
        <f t="shared" si="68"/>
        <v>3.6427015718332325</v>
      </c>
      <c r="Y499" s="2">
        <f t="shared" si="69"/>
        <v>3.1243281350022016</v>
      </c>
      <c r="Z499">
        <f t="shared" si="70"/>
        <v>1.1484840999449162</v>
      </c>
      <c r="AA499">
        <f t="shared" si="71"/>
        <v>0.92225196941197873</v>
      </c>
      <c r="AB499">
        <f t="shared" si="72"/>
        <v>1.7311163720222498</v>
      </c>
    </row>
    <row r="500" spans="1:28" ht="13.9" x14ac:dyDescent="0.3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f t="shared" si="64"/>
        <v>-1.5994620704162712</v>
      </c>
      <c r="L500" s="2">
        <f t="shared" si="65"/>
        <v>0.79908730607400358</v>
      </c>
      <c r="M500" s="2" t="e">
        <f t="shared" si="66"/>
        <v>#NUM!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 t="e">
        <f t="shared" si="67"/>
        <v>#NUM!</v>
      </c>
      <c r="X500" s="2" t="e">
        <f t="shared" si="68"/>
        <v>#NUM!</v>
      </c>
      <c r="Y500" s="2" t="e">
        <f t="shared" si="69"/>
        <v>#NUM!</v>
      </c>
      <c r="Z500" t="e">
        <f t="shared" si="70"/>
        <v>#NUM!</v>
      </c>
      <c r="AA500" t="e">
        <f t="shared" si="71"/>
        <v>#NUM!</v>
      </c>
      <c r="AB500" t="e">
        <f t="shared" si="72"/>
        <v>#NUM!</v>
      </c>
    </row>
    <row r="501" spans="1:28" ht="13.9" x14ac:dyDescent="0.3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f t="shared" si="64"/>
        <v>-1.5994620704162712</v>
      </c>
      <c r="L501" s="2">
        <f t="shared" si="65"/>
        <v>1.0071955014042038</v>
      </c>
      <c r="M501" s="2" t="e">
        <f t="shared" si="66"/>
        <v>#NUM!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 t="e">
        <f t="shared" si="67"/>
        <v>#NUM!</v>
      </c>
      <c r="X501" s="2" t="e">
        <f t="shared" si="68"/>
        <v>#NUM!</v>
      </c>
      <c r="Y501" s="2" t="e">
        <f t="shared" si="69"/>
        <v>#NUM!</v>
      </c>
      <c r="Z501" t="e">
        <f t="shared" si="70"/>
        <v>#NUM!</v>
      </c>
      <c r="AA501" t="e">
        <f t="shared" si="71"/>
        <v>#NUM!</v>
      </c>
      <c r="AB501" t="e">
        <f t="shared" si="72"/>
        <v>#NUM!</v>
      </c>
    </row>
    <row r="502" spans="1:28" ht="13.9" x14ac:dyDescent="0.3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f t="shared" si="64"/>
        <v>-1.15200309344505</v>
      </c>
      <c r="L502" s="2">
        <f t="shared" si="65"/>
        <v>0.79908730607400358</v>
      </c>
      <c r="M502" s="2" t="e">
        <f t="shared" si="66"/>
        <v>#NUM!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 t="e">
        <f t="shared" si="67"/>
        <v>#NUM!</v>
      </c>
      <c r="X502" s="2" t="e">
        <f t="shared" si="68"/>
        <v>#NUM!</v>
      </c>
      <c r="Y502" s="2" t="e">
        <f t="shared" si="69"/>
        <v>#NUM!</v>
      </c>
      <c r="Z502" t="e">
        <f t="shared" si="70"/>
        <v>#NUM!</v>
      </c>
      <c r="AA502" t="e">
        <f t="shared" si="71"/>
        <v>#NUM!</v>
      </c>
      <c r="AB502" t="e">
        <f t="shared" si="72"/>
        <v>#NUM!</v>
      </c>
    </row>
    <row r="503" spans="1:28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 t="e">
        <f t="shared" si="64"/>
        <v>#NUM!</v>
      </c>
      <c r="L503" s="2">
        <f t="shared" si="65"/>
        <v>-2.3219280948873622</v>
      </c>
      <c r="M503" s="2" t="e">
        <f t="shared" si="66"/>
        <v>#NUM!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 t="e">
        <f t="shared" si="67"/>
        <v>#NUM!</v>
      </c>
      <c r="X503" s="2" t="e">
        <f t="shared" si="68"/>
        <v>#NUM!</v>
      </c>
      <c r="Y503" s="2" t="e">
        <f t="shared" si="69"/>
        <v>#NUM!</v>
      </c>
      <c r="Z503" t="e">
        <f t="shared" si="70"/>
        <v>#NUM!</v>
      </c>
      <c r="AA503" t="e">
        <f t="shared" si="71"/>
        <v>#NUM!</v>
      </c>
      <c r="AB503" t="e">
        <f t="shared" si="72"/>
        <v>#NUM!</v>
      </c>
    </row>
    <row r="504" spans="1:28" ht="13.9" x14ac:dyDescent="0.3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f t="shared" si="64"/>
        <v>0.73118324157220005</v>
      </c>
      <c r="L504" s="2">
        <f t="shared" si="65"/>
        <v>-0.91593573521152549</v>
      </c>
      <c r="M504" s="2" t="e">
        <f t="shared" si="66"/>
        <v>#NUM!</v>
      </c>
      <c r="N504" s="2">
        <v>0</v>
      </c>
      <c r="O504" s="2">
        <v>0</v>
      </c>
      <c r="P504" s="2">
        <v>0</v>
      </c>
      <c r="Q504" s="2">
        <v>13.84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 t="e">
        <f t="shared" si="67"/>
        <v>#NUM!</v>
      </c>
      <c r="X504" s="2">
        <f t="shared" si="68"/>
        <v>3.7907720378620002</v>
      </c>
      <c r="Y504" s="2" t="e">
        <f t="shared" si="69"/>
        <v>#NUM!</v>
      </c>
      <c r="Z504" t="e">
        <f t="shared" si="70"/>
        <v>#NUM!</v>
      </c>
      <c r="AA504" t="e">
        <f t="shared" si="71"/>
        <v>#NUM!</v>
      </c>
      <c r="AB504" t="e">
        <f t="shared" si="72"/>
        <v>#NUM!</v>
      </c>
    </row>
    <row r="505" spans="1:28" ht="13.9" x14ac:dyDescent="0.3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f t="shared" si="64"/>
        <v>-3.1844245711374275</v>
      </c>
      <c r="L505" s="2" t="e">
        <f t="shared" si="65"/>
        <v>#NUM!</v>
      </c>
      <c r="M505" s="2">
        <f t="shared" si="66"/>
        <v>-0.30400618689009989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 t="e">
        <f t="shared" si="67"/>
        <v>#NUM!</v>
      </c>
      <c r="X505" s="2" t="e">
        <f t="shared" si="68"/>
        <v>#NUM!</v>
      </c>
      <c r="Y505" s="2" t="e">
        <f t="shared" si="69"/>
        <v>#NUM!</v>
      </c>
      <c r="Z505" t="e">
        <f t="shared" si="70"/>
        <v>#NUM!</v>
      </c>
      <c r="AA505" t="e">
        <f t="shared" si="71"/>
        <v>#NUM!</v>
      </c>
      <c r="AB505" t="e">
        <f t="shared" si="72"/>
        <v>#NUM!</v>
      </c>
    </row>
    <row r="506" spans="1:28" ht="13.9" x14ac:dyDescent="0.3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f t="shared" si="64"/>
        <v>0.28688114778816154</v>
      </c>
      <c r="L506" s="2">
        <f t="shared" si="65"/>
        <v>0.69599381310990016</v>
      </c>
      <c r="M506" s="2">
        <f t="shared" si="66"/>
        <v>0.11103131238874395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 t="e">
        <f t="shared" si="67"/>
        <v>#NUM!</v>
      </c>
      <c r="X506" s="2" t="e">
        <f t="shared" si="68"/>
        <v>#NUM!</v>
      </c>
      <c r="Y506" s="2" t="e">
        <f t="shared" si="69"/>
        <v>#NUM!</v>
      </c>
      <c r="Z506" t="e">
        <f t="shared" si="70"/>
        <v>#NUM!</v>
      </c>
      <c r="AA506" t="e">
        <f t="shared" si="71"/>
        <v>#NUM!</v>
      </c>
      <c r="AB506" t="e">
        <f t="shared" si="72"/>
        <v>#NUM!</v>
      </c>
    </row>
    <row r="507" spans="1:28" ht="13.9" x14ac:dyDescent="0.3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f t="shared" si="64"/>
        <v>-0.81096617560998319</v>
      </c>
      <c r="L507" s="2" t="e">
        <f t="shared" si="65"/>
        <v>#NUM!</v>
      </c>
      <c r="M507" s="2" t="e">
        <f t="shared" si="66"/>
        <v>#NUM!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 t="e">
        <f t="shared" si="67"/>
        <v>#NUM!</v>
      </c>
      <c r="X507" s="2" t="e">
        <f t="shared" si="68"/>
        <v>#NUM!</v>
      </c>
      <c r="Y507" s="2" t="e">
        <f t="shared" si="69"/>
        <v>#NUM!</v>
      </c>
      <c r="Z507" t="e">
        <f t="shared" si="70"/>
        <v>#NUM!</v>
      </c>
      <c r="AA507" t="e">
        <f t="shared" si="71"/>
        <v>#NUM!</v>
      </c>
      <c r="AB507" t="e">
        <f t="shared" si="72"/>
        <v>#NUM!</v>
      </c>
    </row>
    <row r="508" spans="1:28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 t="e">
        <f t="shared" si="64"/>
        <v>#NUM!</v>
      </c>
      <c r="L508" s="2" t="e">
        <f t="shared" si="65"/>
        <v>#NUM!</v>
      </c>
      <c r="M508" s="2" t="e">
        <f t="shared" si="66"/>
        <v>#NUM!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24.13</v>
      </c>
      <c r="W508" s="2" t="e">
        <f t="shared" si="67"/>
        <v>#NUM!</v>
      </c>
      <c r="X508" s="2" t="e">
        <f t="shared" si="68"/>
        <v>#NUM!</v>
      </c>
      <c r="Y508" s="2">
        <f t="shared" si="69"/>
        <v>4.5927560104410272</v>
      </c>
      <c r="Z508" t="e">
        <f t="shared" si="70"/>
        <v>#NUM!</v>
      </c>
      <c r="AA508" t="e">
        <f t="shared" si="71"/>
        <v>#NUM!</v>
      </c>
      <c r="AB508" t="e">
        <f t="shared" si="72"/>
        <v>#NUM!</v>
      </c>
    </row>
    <row r="509" spans="1:28" ht="13.9" x14ac:dyDescent="0.3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f t="shared" si="64"/>
        <v>4.5873649909364609</v>
      </c>
      <c r="L509" s="2">
        <f t="shared" si="65"/>
        <v>4.2441259432837297</v>
      </c>
      <c r="M509" s="2">
        <f t="shared" si="66"/>
        <v>3.6519127446457831</v>
      </c>
      <c r="N509" s="2">
        <v>9.83</v>
      </c>
      <c r="O509" s="2">
        <v>0</v>
      </c>
      <c r="P509" s="2">
        <v>0</v>
      </c>
      <c r="Q509" s="2">
        <v>26.04</v>
      </c>
      <c r="R509" s="2">
        <v>16.350000000000001</v>
      </c>
      <c r="S509" s="2">
        <v>0.18</v>
      </c>
      <c r="T509" s="2">
        <v>0.18</v>
      </c>
      <c r="U509" s="2">
        <v>3.77</v>
      </c>
      <c r="V509" s="2">
        <v>0</v>
      </c>
      <c r="W509" s="2">
        <f t="shared" si="67"/>
        <v>3.2971914165658558</v>
      </c>
      <c r="X509" s="2">
        <f t="shared" si="68"/>
        <v>5.411765185006983</v>
      </c>
      <c r="Y509" s="2">
        <f t="shared" si="69"/>
        <v>1.9818526532897409</v>
      </c>
      <c r="Z509">
        <f t="shared" si="70"/>
        <v>-0.47642805487306822</v>
      </c>
      <c r="AA509">
        <f t="shared" si="71"/>
        <v>0.35063177406299806</v>
      </c>
      <c r="AB509">
        <f t="shared" si="72"/>
        <v>-0.88180259026893582</v>
      </c>
    </row>
    <row r="510" spans="1:28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 t="e">
        <f t="shared" si="64"/>
        <v>#NUM!</v>
      </c>
      <c r="L510" s="2">
        <f t="shared" si="65"/>
        <v>0.57531233068743703</v>
      </c>
      <c r="M510" s="2" t="e">
        <f t="shared" si="66"/>
        <v>#NUM!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 t="e">
        <f t="shared" si="67"/>
        <v>#NUM!</v>
      </c>
      <c r="X510" s="2" t="e">
        <f t="shared" si="68"/>
        <v>#NUM!</v>
      </c>
      <c r="Y510" s="2" t="e">
        <f t="shared" si="69"/>
        <v>#NUM!</v>
      </c>
      <c r="Z510" t="e">
        <f t="shared" si="70"/>
        <v>#NUM!</v>
      </c>
      <c r="AA510" t="e">
        <f t="shared" si="71"/>
        <v>#NUM!</v>
      </c>
      <c r="AB510" t="e">
        <f t="shared" si="72"/>
        <v>#NUM!</v>
      </c>
    </row>
    <row r="511" spans="1:28" ht="13.9" x14ac:dyDescent="0.3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f t="shared" si="64"/>
        <v>-3.1844245711374275</v>
      </c>
      <c r="L511" s="2" t="e">
        <f t="shared" si="65"/>
        <v>#NUM!</v>
      </c>
      <c r="M511" s="2" t="e">
        <f t="shared" si="66"/>
        <v>#NUM!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 t="e">
        <f t="shared" si="67"/>
        <v>#NUM!</v>
      </c>
      <c r="X511" s="2" t="e">
        <f t="shared" si="68"/>
        <v>#NUM!</v>
      </c>
      <c r="Y511" s="2" t="e">
        <f t="shared" si="69"/>
        <v>#NUM!</v>
      </c>
      <c r="Z511" t="e">
        <f t="shared" si="70"/>
        <v>#NUM!</v>
      </c>
      <c r="AA511" t="e">
        <f t="shared" si="71"/>
        <v>#NUM!</v>
      </c>
      <c r="AB511" t="e">
        <f t="shared" si="72"/>
        <v>#NUM!</v>
      </c>
    </row>
    <row r="512" spans="1:28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 t="e">
        <f t="shared" si="64"/>
        <v>#NUM!</v>
      </c>
      <c r="L512" s="2">
        <f t="shared" si="65"/>
        <v>0.26303440583379378</v>
      </c>
      <c r="M512" s="2" t="e">
        <f t="shared" si="66"/>
        <v>#NUM!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 t="e">
        <f t="shared" si="67"/>
        <v>#NUM!</v>
      </c>
      <c r="X512" s="2" t="e">
        <f t="shared" si="68"/>
        <v>#NUM!</v>
      </c>
      <c r="Y512" s="2" t="e">
        <f t="shared" si="69"/>
        <v>#NUM!</v>
      </c>
      <c r="Z512" t="e">
        <f t="shared" si="70"/>
        <v>#NUM!</v>
      </c>
      <c r="AA512" t="e">
        <f t="shared" si="71"/>
        <v>#NUM!</v>
      </c>
      <c r="AB512" t="e">
        <f t="shared" si="72"/>
        <v>#NUM!</v>
      </c>
    </row>
    <row r="513" spans="1:28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 t="e">
        <f t="shared" si="64"/>
        <v>#NUM!</v>
      </c>
      <c r="L513" s="2" t="e">
        <f t="shared" si="65"/>
        <v>#NUM!</v>
      </c>
      <c r="M513" s="2">
        <f t="shared" si="66"/>
        <v>-2.8365012677171206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 t="e">
        <f t="shared" si="67"/>
        <v>#NUM!</v>
      </c>
      <c r="X513" s="2" t="e">
        <f t="shared" si="68"/>
        <v>#NUM!</v>
      </c>
      <c r="Y513" s="2" t="e">
        <f t="shared" si="69"/>
        <v>#NUM!</v>
      </c>
      <c r="Z513" t="e">
        <f t="shared" si="70"/>
        <v>#NUM!</v>
      </c>
      <c r="AA513" t="e">
        <f t="shared" si="71"/>
        <v>#NUM!</v>
      </c>
      <c r="AB513" t="e">
        <f t="shared" si="72"/>
        <v>#NUM!</v>
      </c>
    </row>
    <row r="514" spans="1:28" ht="13.9" x14ac:dyDescent="0.3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f t="shared" si="64"/>
        <v>1.2265085298086797</v>
      </c>
      <c r="L514" s="2">
        <f t="shared" si="65"/>
        <v>0.41142624572646502</v>
      </c>
      <c r="M514" s="2">
        <f t="shared" si="66"/>
        <v>-7.4000581443776928E-2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 t="e">
        <f t="shared" si="67"/>
        <v>#NUM!</v>
      </c>
      <c r="X514" s="2" t="e">
        <f t="shared" si="68"/>
        <v>#NUM!</v>
      </c>
      <c r="Y514" s="2" t="e">
        <f t="shared" si="69"/>
        <v>#NUM!</v>
      </c>
      <c r="Z514" t="e">
        <f t="shared" si="70"/>
        <v>#NUM!</v>
      </c>
      <c r="AA514" t="e">
        <f t="shared" si="71"/>
        <v>#NUM!</v>
      </c>
      <c r="AB514" t="e">
        <f t="shared" si="72"/>
        <v>#NUM!</v>
      </c>
    </row>
    <row r="515" spans="1:28" ht="13.9" x14ac:dyDescent="0.3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f t="shared" ref="K515:K578" si="73">LOG(SUM(B515:D515),2)</f>
        <v>-3.1844245711374275</v>
      </c>
      <c r="L515" s="2" t="e">
        <f t="shared" ref="L515:L578" si="74">LOG(SUM(E515:G515),2)</f>
        <v>#NUM!</v>
      </c>
      <c r="M515" s="2" t="e">
        <f t="shared" ref="M515:M578" si="75">LOG(SUM(H515:J515),2)</f>
        <v>#NUM!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 t="e">
        <f t="shared" ref="W515:W578" si="76">LOG(SUM(N515:P515),2)</f>
        <v>#NUM!</v>
      </c>
      <c r="X515" s="2" t="e">
        <f t="shared" ref="X515:X578" si="77">LOG(SUM(Q515:S515),2)</f>
        <v>#NUM!</v>
      </c>
      <c r="Y515" s="2" t="e">
        <f t="shared" ref="Y515:Y578" si="78">LOG(SUM(T515:V515),2)</f>
        <v>#NUM!</v>
      </c>
      <c r="Z515" t="e">
        <f t="shared" ref="Z515:Z578" si="79">LOG(W515/K515,2)</f>
        <v>#NUM!</v>
      </c>
      <c r="AA515" t="e">
        <f t="shared" ref="AA515:AA578" si="80">LOG(X515/L515,2)</f>
        <v>#NUM!</v>
      </c>
      <c r="AB515" t="e">
        <f t="shared" ref="AB515:AB578" si="81">LOG(Y515/M515,2)</f>
        <v>#NUM!</v>
      </c>
    </row>
    <row r="516" spans="1:28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 t="e">
        <f t="shared" si="73"/>
        <v>#NUM!</v>
      </c>
      <c r="L516" s="2" t="e">
        <f t="shared" si="74"/>
        <v>#NUM!</v>
      </c>
      <c r="M516" s="2" t="e">
        <f t="shared" si="75"/>
        <v>#NUM!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4.49</v>
      </c>
      <c r="U516" s="2">
        <v>0</v>
      </c>
      <c r="V516" s="2">
        <v>0</v>
      </c>
      <c r="W516" s="2" t="e">
        <f t="shared" si="76"/>
        <v>#NUM!</v>
      </c>
      <c r="X516" s="2" t="e">
        <f t="shared" si="77"/>
        <v>#NUM!</v>
      </c>
      <c r="Y516" s="2">
        <f t="shared" si="78"/>
        <v>2.1667154449664223</v>
      </c>
      <c r="Z516" t="e">
        <f t="shared" si="79"/>
        <v>#NUM!</v>
      </c>
      <c r="AA516" t="e">
        <f t="shared" si="80"/>
        <v>#NUM!</v>
      </c>
      <c r="AB516" t="e">
        <f t="shared" si="81"/>
        <v>#NUM!</v>
      </c>
    </row>
    <row r="517" spans="1:28" ht="13.9" x14ac:dyDescent="0.3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f t="shared" si="73"/>
        <v>1.6644828403646825</v>
      </c>
      <c r="L517" s="2">
        <f t="shared" si="74"/>
        <v>1.5655971758542251</v>
      </c>
      <c r="M517" s="2">
        <f t="shared" si="75"/>
        <v>0.28688114778816154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 t="e">
        <f t="shared" si="76"/>
        <v>#NUM!</v>
      </c>
      <c r="X517" s="2" t="e">
        <f t="shared" si="77"/>
        <v>#NUM!</v>
      </c>
      <c r="Y517" s="2" t="e">
        <f t="shared" si="78"/>
        <v>#NUM!</v>
      </c>
      <c r="Z517" t="e">
        <f t="shared" si="79"/>
        <v>#NUM!</v>
      </c>
      <c r="AA517" t="e">
        <f t="shared" si="80"/>
        <v>#NUM!</v>
      </c>
      <c r="AB517" t="e">
        <f t="shared" si="81"/>
        <v>#NUM!</v>
      </c>
    </row>
    <row r="518" spans="1:28" ht="13.9" x14ac:dyDescent="0.3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f t="shared" si="73"/>
        <v>-1.3959286763311392</v>
      </c>
      <c r="L518" s="2">
        <f t="shared" si="74"/>
        <v>-0.91593573521152549</v>
      </c>
      <c r="M518" s="2">
        <f t="shared" si="75"/>
        <v>-0.10469737866669322</v>
      </c>
      <c r="N518" s="2">
        <v>0.39</v>
      </c>
      <c r="O518" s="2">
        <v>0</v>
      </c>
      <c r="P518" s="2">
        <v>0</v>
      </c>
      <c r="Q518" s="2">
        <v>0.33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f t="shared" si="76"/>
        <v>-1.3584539709124763</v>
      </c>
      <c r="X518" s="2">
        <f t="shared" si="77"/>
        <v>-1.5994620704162712</v>
      </c>
      <c r="Y518" s="2" t="e">
        <f t="shared" si="78"/>
        <v>#NUM!</v>
      </c>
      <c r="Z518">
        <f t="shared" si="79"/>
        <v>-3.9259547354524534E-2</v>
      </c>
      <c r="AA518">
        <f t="shared" si="80"/>
        <v>0.80426849765279751</v>
      </c>
      <c r="AB518" t="e">
        <f t="shared" si="81"/>
        <v>#NUM!</v>
      </c>
    </row>
    <row r="519" spans="1:28" ht="13.9" x14ac:dyDescent="0.3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f t="shared" si="73"/>
        <v>0.28688114778816154</v>
      </c>
      <c r="L519" s="2">
        <f t="shared" si="74"/>
        <v>-0.91593573521152549</v>
      </c>
      <c r="M519" s="2" t="e">
        <f t="shared" si="75"/>
        <v>#NUM!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 t="e">
        <f t="shared" si="76"/>
        <v>#NUM!</v>
      </c>
      <c r="X519" s="2" t="e">
        <f t="shared" si="77"/>
        <v>#NUM!</v>
      </c>
      <c r="Y519" s="2" t="e">
        <f t="shared" si="78"/>
        <v>#NUM!</v>
      </c>
      <c r="Z519" t="e">
        <f t="shared" si="79"/>
        <v>#NUM!</v>
      </c>
      <c r="AA519" t="e">
        <f t="shared" si="80"/>
        <v>#NUM!</v>
      </c>
      <c r="AB519" t="e">
        <f t="shared" si="81"/>
        <v>#NUM!</v>
      </c>
    </row>
    <row r="520" spans="1:28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 t="e">
        <f t="shared" si="73"/>
        <v>#NUM!</v>
      </c>
      <c r="L520" s="2">
        <f t="shared" si="74"/>
        <v>1.9523335663696855</v>
      </c>
      <c r="M520" s="2" t="e">
        <f t="shared" si="75"/>
        <v>#NUM!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9.2899999999999991</v>
      </c>
      <c r="T520" s="2">
        <v>0</v>
      </c>
      <c r="U520" s="2">
        <v>0</v>
      </c>
      <c r="V520" s="2">
        <v>0</v>
      </c>
      <c r="W520" s="2" t="e">
        <f t="shared" si="76"/>
        <v>#NUM!</v>
      </c>
      <c r="X520" s="2">
        <f t="shared" si="77"/>
        <v>3.2156785966079284</v>
      </c>
      <c r="Y520" s="2" t="e">
        <f t="shared" si="78"/>
        <v>#NUM!</v>
      </c>
      <c r="Z520" t="e">
        <f t="shared" si="79"/>
        <v>#NUM!</v>
      </c>
      <c r="AA520">
        <f t="shared" si="80"/>
        <v>0.71992365207511122</v>
      </c>
      <c r="AB520" t="e">
        <f t="shared" si="81"/>
        <v>#NUM!</v>
      </c>
    </row>
    <row r="521" spans="1:28" ht="13.9" x14ac:dyDescent="0.3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f t="shared" si="73"/>
        <v>-0.55639334852438527</v>
      </c>
      <c r="L521" s="2" t="e">
        <f t="shared" si="74"/>
        <v>#NUM!</v>
      </c>
      <c r="M521" s="2">
        <f t="shared" si="75"/>
        <v>-2.8365012677171206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 t="e">
        <f t="shared" si="76"/>
        <v>#NUM!</v>
      </c>
      <c r="X521" s="2" t="e">
        <f t="shared" si="77"/>
        <v>#NUM!</v>
      </c>
      <c r="Y521" s="2" t="e">
        <f t="shared" si="78"/>
        <v>#NUM!</v>
      </c>
      <c r="Z521" t="e">
        <f t="shared" si="79"/>
        <v>#NUM!</v>
      </c>
      <c r="AA521" t="e">
        <f t="shared" si="80"/>
        <v>#NUM!</v>
      </c>
      <c r="AB521" t="e">
        <f t="shared" si="81"/>
        <v>#NUM!</v>
      </c>
    </row>
    <row r="522" spans="1:28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 t="e">
        <f t="shared" si="73"/>
        <v>#NUM!</v>
      </c>
      <c r="L522" s="2">
        <f t="shared" si="74"/>
        <v>0.23878685958711676</v>
      </c>
      <c r="M522" s="2">
        <f t="shared" si="75"/>
        <v>0.91838623444634793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 t="e">
        <f t="shared" si="76"/>
        <v>#NUM!</v>
      </c>
      <c r="X522" s="2" t="e">
        <f t="shared" si="77"/>
        <v>#NUM!</v>
      </c>
      <c r="Y522" s="2" t="e">
        <f t="shared" si="78"/>
        <v>#NUM!</v>
      </c>
      <c r="Z522" t="e">
        <f t="shared" si="79"/>
        <v>#NUM!</v>
      </c>
      <c r="AA522" t="e">
        <f t="shared" si="80"/>
        <v>#NUM!</v>
      </c>
      <c r="AB522" t="e">
        <f t="shared" si="81"/>
        <v>#NUM!</v>
      </c>
    </row>
    <row r="523" spans="1:28" ht="13.9" x14ac:dyDescent="0.3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f t="shared" si="73"/>
        <v>0.28688114778816154</v>
      </c>
      <c r="L523" s="2">
        <f t="shared" si="74"/>
        <v>-2.2515387669959646</v>
      </c>
      <c r="M523" s="2">
        <f t="shared" si="75"/>
        <v>-1.2863041851566412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 t="e">
        <f t="shared" si="76"/>
        <v>#NUM!</v>
      </c>
      <c r="X523" s="2" t="e">
        <f t="shared" si="77"/>
        <v>#NUM!</v>
      </c>
      <c r="Y523" s="2" t="e">
        <f t="shared" si="78"/>
        <v>#NUM!</v>
      </c>
      <c r="Z523" t="e">
        <f t="shared" si="79"/>
        <v>#NUM!</v>
      </c>
      <c r="AA523" t="e">
        <f t="shared" si="80"/>
        <v>#NUM!</v>
      </c>
      <c r="AB523" t="e">
        <f t="shared" si="81"/>
        <v>#NUM!</v>
      </c>
    </row>
    <row r="524" spans="1:28" ht="13.9" x14ac:dyDescent="0.3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f t="shared" si="73"/>
        <v>0.17632277264046289</v>
      </c>
      <c r="L524" s="2" t="e">
        <f t="shared" si="74"/>
        <v>#NUM!</v>
      </c>
      <c r="M524" s="2" t="e">
        <f t="shared" si="75"/>
        <v>#NUM!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 t="e">
        <f t="shared" si="76"/>
        <v>#NUM!</v>
      </c>
      <c r="X524" s="2" t="e">
        <f t="shared" si="77"/>
        <v>#NUM!</v>
      </c>
      <c r="Y524" s="2" t="e">
        <f t="shared" si="78"/>
        <v>#NUM!</v>
      </c>
      <c r="Z524" t="e">
        <f t="shared" si="79"/>
        <v>#NUM!</v>
      </c>
      <c r="AA524" t="e">
        <f t="shared" si="80"/>
        <v>#NUM!</v>
      </c>
      <c r="AB524" t="e">
        <f t="shared" si="81"/>
        <v>#NUM!</v>
      </c>
    </row>
    <row r="525" spans="1:28" ht="13.9" x14ac:dyDescent="0.3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f t="shared" si="73"/>
        <v>-0.86249647625006509</v>
      </c>
      <c r="L525" s="2" t="e">
        <f t="shared" si="74"/>
        <v>#NUM!</v>
      </c>
      <c r="M525" s="2" t="e">
        <f t="shared" si="75"/>
        <v>#NUM!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 t="e">
        <f t="shared" si="76"/>
        <v>#NUM!</v>
      </c>
      <c r="X525" s="2" t="e">
        <f t="shared" si="77"/>
        <v>#NUM!</v>
      </c>
      <c r="Y525" s="2" t="e">
        <f t="shared" si="78"/>
        <v>#NUM!</v>
      </c>
      <c r="Z525" t="e">
        <f t="shared" si="79"/>
        <v>#NUM!</v>
      </c>
      <c r="AA525" t="e">
        <f t="shared" si="80"/>
        <v>#NUM!</v>
      </c>
      <c r="AB525" t="e">
        <f t="shared" si="81"/>
        <v>#NUM!</v>
      </c>
    </row>
    <row r="526" spans="1:28" ht="13.9" x14ac:dyDescent="0.3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f t="shared" si="73"/>
        <v>2.4828482830684653</v>
      </c>
      <c r="L526" s="2">
        <f t="shared" si="74"/>
        <v>2.3504972470841334</v>
      </c>
      <c r="M526" s="2">
        <f t="shared" si="75"/>
        <v>2.5385381636298039</v>
      </c>
      <c r="N526" s="2">
        <v>0</v>
      </c>
      <c r="O526" s="2">
        <v>0</v>
      </c>
      <c r="P526" s="2">
        <v>0</v>
      </c>
      <c r="Q526" s="2">
        <v>5.6</v>
      </c>
      <c r="R526" s="2">
        <v>0</v>
      </c>
      <c r="S526" s="2">
        <v>0</v>
      </c>
      <c r="T526" s="2">
        <v>10.24</v>
      </c>
      <c r="U526" s="2">
        <v>0</v>
      </c>
      <c r="V526" s="2">
        <v>0</v>
      </c>
      <c r="W526" s="2" t="e">
        <f t="shared" si="76"/>
        <v>#NUM!</v>
      </c>
      <c r="X526" s="2">
        <f t="shared" si="77"/>
        <v>2.485426827170242</v>
      </c>
      <c r="Y526" s="2">
        <f t="shared" si="78"/>
        <v>3.3561438102252756</v>
      </c>
      <c r="Z526" t="e">
        <f t="shared" si="79"/>
        <v>#NUM!</v>
      </c>
      <c r="AA526">
        <f t="shared" si="80"/>
        <v>8.0527639041851062E-2</v>
      </c>
      <c r="AB526">
        <f t="shared" si="81"/>
        <v>0.40280658707401157</v>
      </c>
    </row>
    <row r="527" spans="1:28" ht="13.9" x14ac:dyDescent="0.3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f t="shared" si="73"/>
        <v>0.45417589318580209</v>
      </c>
      <c r="L527" s="2">
        <f t="shared" si="74"/>
        <v>-1.3584539709124763</v>
      </c>
      <c r="M527" s="2">
        <f t="shared" si="75"/>
        <v>0.81557542886257262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 t="e">
        <f t="shared" si="76"/>
        <v>#NUM!</v>
      </c>
      <c r="X527" s="2" t="e">
        <f t="shared" si="77"/>
        <v>#NUM!</v>
      </c>
      <c r="Y527" s="2" t="e">
        <f t="shared" si="78"/>
        <v>#NUM!</v>
      </c>
      <c r="Z527" t="e">
        <f t="shared" si="79"/>
        <v>#NUM!</v>
      </c>
      <c r="AA527" t="e">
        <f t="shared" si="80"/>
        <v>#NUM!</v>
      </c>
      <c r="AB527" t="e">
        <f t="shared" si="81"/>
        <v>#NUM!</v>
      </c>
    </row>
    <row r="528" spans="1:28" ht="13.9" x14ac:dyDescent="0.3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f t="shared" si="73"/>
        <v>0.42223300068304781</v>
      </c>
      <c r="L528" s="2">
        <f t="shared" si="74"/>
        <v>1.1634987322828796</v>
      </c>
      <c r="M528" s="2">
        <f t="shared" si="75"/>
        <v>-0.47393118833241243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 t="e">
        <f t="shared" si="76"/>
        <v>#NUM!</v>
      </c>
      <c r="X528" s="2" t="e">
        <f t="shared" si="77"/>
        <v>#NUM!</v>
      </c>
      <c r="Y528" s="2" t="e">
        <f t="shared" si="78"/>
        <v>#NUM!</v>
      </c>
      <c r="Z528" t="e">
        <f t="shared" si="79"/>
        <v>#NUM!</v>
      </c>
      <c r="AA528" t="e">
        <f t="shared" si="80"/>
        <v>#NUM!</v>
      </c>
      <c r="AB528" t="e">
        <f t="shared" si="81"/>
        <v>#NUM!</v>
      </c>
    </row>
    <row r="529" spans="1:28" ht="13.9" x14ac:dyDescent="0.3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f t="shared" si="73"/>
        <v>-0.53533173299655579</v>
      </c>
      <c r="L529" s="2">
        <f t="shared" si="74"/>
        <v>0.26303440583379378</v>
      </c>
      <c r="M529" s="2">
        <f t="shared" si="75"/>
        <v>0.43295940727610632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 t="e">
        <f t="shared" si="76"/>
        <v>#NUM!</v>
      </c>
      <c r="X529" s="2" t="e">
        <f t="shared" si="77"/>
        <v>#NUM!</v>
      </c>
      <c r="Y529" s="2" t="e">
        <f t="shared" si="78"/>
        <v>#NUM!</v>
      </c>
      <c r="Z529" t="e">
        <f t="shared" si="79"/>
        <v>#NUM!</v>
      </c>
      <c r="AA529" t="e">
        <f t="shared" si="80"/>
        <v>#NUM!</v>
      </c>
      <c r="AB529" t="e">
        <f t="shared" si="81"/>
        <v>#NUM!</v>
      </c>
    </row>
    <row r="530" spans="1:28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 t="e">
        <f t="shared" si="73"/>
        <v>#NUM!</v>
      </c>
      <c r="L530" s="2" t="e">
        <f t="shared" si="74"/>
        <v>#NUM!</v>
      </c>
      <c r="M530" s="2">
        <f t="shared" si="75"/>
        <v>-1.8889686876112561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 t="e">
        <f t="shared" si="76"/>
        <v>#NUM!</v>
      </c>
      <c r="X530" s="2" t="e">
        <f t="shared" si="77"/>
        <v>#NUM!</v>
      </c>
      <c r="Y530" s="2" t="e">
        <f t="shared" si="78"/>
        <v>#NUM!</v>
      </c>
      <c r="Z530" t="e">
        <f t="shared" si="79"/>
        <v>#NUM!</v>
      </c>
      <c r="AA530" t="e">
        <f t="shared" si="80"/>
        <v>#NUM!</v>
      </c>
      <c r="AB530" t="e">
        <f t="shared" si="81"/>
        <v>#NUM!</v>
      </c>
    </row>
    <row r="531" spans="1:28" ht="13.9" x14ac:dyDescent="0.3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f t="shared" si="73"/>
        <v>-0.81096617560998319</v>
      </c>
      <c r="L531" s="2" t="e">
        <f t="shared" si="74"/>
        <v>#NUM!</v>
      </c>
      <c r="M531" s="2">
        <f t="shared" si="75"/>
        <v>-0.47393118833241243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 t="e">
        <f t="shared" si="76"/>
        <v>#NUM!</v>
      </c>
      <c r="X531" s="2" t="e">
        <f t="shared" si="77"/>
        <v>#NUM!</v>
      </c>
      <c r="Y531" s="2" t="e">
        <f t="shared" si="78"/>
        <v>#NUM!</v>
      </c>
      <c r="Z531" t="e">
        <f t="shared" si="79"/>
        <v>#NUM!</v>
      </c>
      <c r="AA531" t="e">
        <f t="shared" si="80"/>
        <v>#NUM!</v>
      </c>
      <c r="AB531" t="e">
        <f t="shared" si="81"/>
        <v>#NUM!</v>
      </c>
    </row>
    <row r="532" spans="1:28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 t="e">
        <f t="shared" si="73"/>
        <v>#NUM!</v>
      </c>
      <c r="L532" s="2">
        <f t="shared" si="74"/>
        <v>-0.91593573521152549</v>
      </c>
      <c r="M532" s="2" t="e">
        <f t="shared" si="75"/>
        <v>#NUM!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 t="e">
        <f t="shared" si="76"/>
        <v>#NUM!</v>
      </c>
      <c r="X532" s="2" t="e">
        <f t="shared" si="77"/>
        <v>#NUM!</v>
      </c>
      <c r="Y532" s="2" t="e">
        <f t="shared" si="78"/>
        <v>#NUM!</v>
      </c>
      <c r="Z532" t="e">
        <f t="shared" si="79"/>
        <v>#NUM!</v>
      </c>
      <c r="AA532" t="e">
        <f t="shared" si="80"/>
        <v>#NUM!</v>
      </c>
      <c r="AB532" t="e">
        <f t="shared" si="81"/>
        <v>#NUM!</v>
      </c>
    </row>
    <row r="533" spans="1:28" ht="13.9" x14ac:dyDescent="0.3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f t="shared" si="73"/>
        <v>-0.35845397091247633</v>
      </c>
      <c r="L533" s="2">
        <f t="shared" si="74"/>
        <v>-3.1844245711374275</v>
      </c>
      <c r="M533" s="2">
        <f t="shared" si="75"/>
        <v>0.28688114778816154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 t="e">
        <f t="shared" si="76"/>
        <v>#NUM!</v>
      </c>
      <c r="X533" s="2" t="e">
        <f t="shared" si="77"/>
        <v>#NUM!</v>
      </c>
      <c r="Y533" s="2" t="e">
        <f t="shared" si="78"/>
        <v>#NUM!</v>
      </c>
      <c r="Z533" t="e">
        <f t="shared" si="79"/>
        <v>#NUM!</v>
      </c>
      <c r="AA533" t="e">
        <f t="shared" si="80"/>
        <v>#NUM!</v>
      </c>
      <c r="AB533" t="e">
        <f t="shared" si="81"/>
        <v>#NUM!</v>
      </c>
    </row>
    <row r="534" spans="1:28" ht="13.9" x14ac:dyDescent="0.3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f t="shared" si="73"/>
        <v>6.4548339068988687</v>
      </c>
      <c r="L534" s="2">
        <f t="shared" si="74"/>
        <v>6.5897634869849773</v>
      </c>
      <c r="M534" s="2">
        <f t="shared" si="75"/>
        <v>6.2240016741981057</v>
      </c>
      <c r="N534" s="2">
        <v>0</v>
      </c>
      <c r="O534" s="2">
        <v>32.39</v>
      </c>
      <c r="P534" s="2">
        <v>30.6</v>
      </c>
      <c r="Q534" s="2">
        <v>30.98</v>
      </c>
      <c r="R534" s="2">
        <v>30.25</v>
      </c>
      <c r="S534" s="2">
        <v>14.57</v>
      </c>
      <c r="T534" s="2">
        <v>10.24</v>
      </c>
      <c r="U534" s="2">
        <v>12.56</v>
      </c>
      <c r="V534" s="2">
        <v>9.0500000000000007</v>
      </c>
      <c r="W534" s="2">
        <f t="shared" si="76"/>
        <v>5.9770509061106125</v>
      </c>
      <c r="X534" s="2">
        <f t="shared" si="77"/>
        <v>6.2441259432837297</v>
      </c>
      <c r="Y534" s="2">
        <f t="shared" si="78"/>
        <v>4.9932214673689383</v>
      </c>
      <c r="Z534">
        <f t="shared" si="79"/>
        <v>-0.11094614303614049</v>
      </c>
      <c r="AA534">
        <f t="shared" si="80"/>
        <v>-7.7727049837504503E-2</v>
      </c>
      <c r="AB534">
        <f t="shared" si="81"/>
        <v>-0.31787155158357705</v>
      </c>
    </row>
    <row r="535" spans="1:28" ht="13.9" x14ac:dyDescent="0.3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f t="shared" si="73"/>
        <v>1.232660756790275</v>
      </c>
      <c r="L535" s="2">
        <f t="shared" si="74"/>
        <v>1.5753123306874368</v>
      </c>
      <c r="M535" s="2">
        <f t="shared" si="75"/>
        <v>-1.4499569695115091E-2</v>
      </c>
      <c r="N535" s="2">
        <v>0</v>
      </c>
      <c r="O535" s="2">
        <v>0</v>
      </c>
      <c r="P535" s="2">
        <v>0</v>
      </c>
      <c r="Q535" s="2">
        <v>0</v>
      </c>
      <c r="R535" s="2">
        <v>0.24</v>
      </c>
      <c r="S535" s="2">
        <v>0</v>
      </c>
      <c r="T535" s="2">
        <v>0</v>
      </c>
      <c r="U535" s="2">
        <v>0</v>
      </c>
      <c r="V535" s="2">
        <v>0</v>
      </c>
      <c r="W535" s="2" t="e">
        <f t="shared" si="76"/>
        <v>#NUM!</v>
      </c>
      <c r="X535" s="2">
        <f t="shared" si="77"/>
        <v>-2.0588936890535687</v>
      </c>
      <c r="Y535" s="2" t="e">
        <f t="shared" si="78"/>
        <v>#NUM!</v>
      </c>
      <c r="Z535" t="e">
        <f t="shared" si="79"/>
        <v>#NUM!</v>
      </c>
      <c r="AA535" t="e">
        <f t="shared" si="80"/>
        <v>#NUM!</v>
      </c>
      <c r="AB535" t="e">
        <f t="shared" si="81"/>
        <v>#NUM!</v>
      </c>
    </row>
    <row r="536" spans="1:28" ht="13.9" x14ac:dyDescent="0.3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f t="shared" si="73"/>
        <v>-0.66657626627480826</v>
      </c>
      <c r="L536" s="2">
        <f t="shared" si="74"/>
        <v>-1.2515387669959643</v>
      </c>
      <c r="M536" s="2" t="e">
        <f t="shared" si="75"/>
        <v>#NUM!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 t="e">
        <f t="shared" si="76"/>
        <v>#NUM!</v>
      </c>
      <c r="X536" s="2" t="e">
        <f t="shared" si="77"/>
        <v>#NUM!</v>
      </c>
      <c r="Y536" s="2" t="e">
        <f t="shared" si="78"/>
        <v>#NUM!</v>
      </c>
      <c r="Z536" t="e">
        <f t="shared" si="79"/>
        <v>#NUM!</v>
      </c>
      <c r="AA536" t="e">
        <f t="shared" si="80"/>
        <v>#NUM!</v>
      </c>
      <c r="AB536" t="e">
        <f t="shared" si="81"/>
        <v>#NUM!</v>
      </c>
    </row>
    <row r="537" spans="1:28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 t="e">
        <f t="shared" si="73"/>
        <v>#NUM!</v>
      </c>
      <c r="L537" s="2">
        <f t="shared" si="74"/>
        <v>0.23878685958711648</v>
      </c>
      <c r="M537" s="2">
        <f t="shared" si="75"/>
        <v>0.11103131238874395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 t="e">
        <f t="shared" si="76"/>
        <v>#NUM!</v>
      </c>
      <c r="X537" s="2" t="e">
        <f t="shared" si="77"/>
        <v>#NUM!</v>
      </c>
      <c r="Y537" s="2" t="e">
        <f t="shared" si="78"/>
        <v>#NUM!</v>
      </c>
      <c r="Z537" t="e">
        <f t="shared" si="79"/>
        <v>#NUM!</v>
      </c>
      <c r="AA537" t="e">
        <f t="shared" si="80"/>
        <v>#NUM!</v>
      </c>
      <c r="AB537" t="e">
        <f t="shared" si="81"/>
        <v>#NUM!</v>
      </c>
    </row>
    <row r="538" spans="1:28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 t="e">
        <f t="shared" si="73"/>
        <v>#NUM!</v>
      </c>
      <c r="L538" s="2" t="e">
        <f t="shared" si="74"/>
        <v>#NUM!</v>
      </c>
      <c r="M538" s="2" t="e">
        <f t="shared" si="75"/>
        <v>#NUM!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6.03</v>
      </c>
      <c r="W538" s="2" t="e">
        <f t="shared" si="76"/>
        <v>#NUM!</v>
      </c>
      <c r="X538" s="2" t="e">
        <f t="shared" si="77"/>
        <v>#NUM!</v>
      </c>
      <c r="Y538" s="2">
        <f t="shared" si="78"/>
        <v>2.5921580021253603</v>
      </c>
      <c r="Z538" t="e">
        <f t="shared" si="79"/>
        <v>#NUM!</v>
      </c>
      <c r="AA538" t="e">
        <f t="shared" si="80"/>
        <v>#NUM!</v>
      </c>
      <c r="AB538" t="e">
        <f t="shared" si="81"/>
        <v>#NUM!</v>
      </c>
    </row>
    <row r="539" spans="1:28" ht="13.9" x14ac:dyDescent="0.3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f t="shared" si="73"/>
        <v>-2.9434164716336326</v>
      </c>
      <c r="L539" s="2">
        <f t="shared" si="74"/>
        <v>-2.9434164716336326</v>
      </c>
      <c r="M539" s="2" t="e">
        <f t="shared" si="75"/>
        <v>#NUM!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 t="e">
        <f t="shared" si="76"/>
        <v>#NUM!</v>
      </c>
      <c r="X539" s="2" t="e">
        <f t="shared" si="77"/>
        <v>#NUM!</v>
      </c>
      <c r="Y539" s="2" t="e">
        <f t="shared" si="78"/>
        <v>#NUM!</v>
      </c>
      <c r="Z539" t="e">
        <f t="shared" si="79"/>
        <v>#NUM!</v>
      </c>
      <c r="AA539" t="e">
        <f t="shared" si="80"/>
        <v>#NUM!</v>
      </c>
      <c r="AB539" t="e">
        <f t="shared" si="81"/>
        <v>#NUM!</v>
      </c>
    </row>
    <row r="540" spans="1:28" ht="13.9" x14ac:dyDescent="0.3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f t="shared" si="73"/>
        <v>-0.86249647625006509</v>
      </c>
      <c r="L540" s="2" t="e">
        <f t="shared" si="74"/>
        <v>#NUM!</v>
      </c>
      <c r="M540" s="2">
        <f t="shared" si="75"/>
        <v>0.11103131238874395</v>
      </c>
      <c r="N540" s="2">
        <v>3.8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f t="shared" si="76"/>
        <v>1.925999418556223</v>
      </c>
      <c r="X540" s="2" t="e">
        <f t="shared" si="77"/>
        <v>#NUM!</v>
      </c>
      <c r="Y540" s="2" t="e">
        <f t="shared" si="78"/>
        <v>#NUM!</v>
      </c>
      <c r="Z540" t="e">
        <f t="shared" si="79"/>
        <v>#NUM!</v>
      </c>
      <c r="AA540" t="e">
        <f t="shared" si="80"/>
        <v>#NUM!</v>
      </c>
      <c r="AB540" t="e">
        <f t="shared" si="81"/>
        <v>#NUM!</v>
      </c>
    </row>
    <row r="541" spans="1:28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 t="e">
        <f t="shared" si="73"/>
        <v>#NUM!</v>
      </c>
      <c r="L541" s="2" t="e">
        <f t="shared" si="74"/>
        <v>#NUM!</v>
      </c>
      <c r="M541" s="2" t="e">
        <f t="shared" si="75"/>
        <v>#NUM!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1.62</v>
      </c>
      <c r="U541" s="2">
        <v>0</v>
      </c>
      <c r="V541" s="2">
        <v>0</v>
      </c>
      <c r="W541" s="2" t="e">
        <f t="shared" si="76"/>
        <v>#NUM!</v>
      </c>
      <c r="X541" s="2" t="e">
        <f t="shared" si="77"/>
        <v>#NUM!</v>
      </c>
      <c r="Y541" s="2">
        <f t="shared" si="78"/>
        <v>0.69599381310990016</v>
      </c>
      <c r="Z541" t="e">
        <f t="shared" si="79"/>
        <v>#NUM!</v>
      </c>
      <c r="AA541" t="e">
        <f t="shared" si="80"/>
        <v>#NUM!</v>
      </c>
      <c r="AB541" t="e">
        <f t="shared" si="81"/>
        <v>#NUM!</v>
      </c>
    </row>
    <row r="542" spans="1:28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 t="e">
        <f t="shared" si="73"/>
        <v>#NUM!</v>
      </c>
      <c r="L542" s="2">
        <f t="shared" si="74"/>
        <v>-2.3219280948873622</v>
      </c>
      <c r="M542" s="2" t="e">
        <f t="shared" si="75"/>
        <v>#NUM!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 t="e">
        <f t="shared" si="76"/>
        <v>#NUM!</v>
      </c>
      <c r="X542" s="2" t="e">
        <f t="shared" si="77"/>
        <v>#NUM!</v>
      </c>
      <c r="Y542" s="2" t="e">
        <f t="shared" si="78"/>
        <v>#NUM!</v>
      </c>
      <c r="Z542" t="e">
        <f t="shared" si="79"/>
        <v>#NUM!</v>
      </c>
      <c r="AA542" t="e">
        <f t="shared" si="80"/>
        <v>#NUM!</v>
      </c>
      <c r="AB542" t="e">
        <f t="shared" si="81"/>
        <v>#NUM!</v>
      </c>
    </row>
    <row r="543" spans="1:28" ht="13.9" x14ac:dyDescent="0.3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f t="shared" si="73"/>
        <v>0.95605665241240312</v>
      </c>
      <c r="L543" s="2">
        <f t="shared" si="74"/>
        <v>-5.8893689053568565E-2</v>
      </c>
      <c r="M543" s="2" t="e">
        <f t="shared" si="75"/>
        <v>#NUM!</v>
      </c>
      <c r="N543" s="2">
        <v>4.0599999999999996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f t="shared" si="76"/>
        <v>2.0214797274104517</v>
      </c>
      <c r="X543" s="2" t="e">
        <f t="shared" si="77"/>
        <v>#NUM!</v>
      </c>
      <c r="Y543" s="2" t="e">
        <f t="shared" si="78"/>
        <v>#NUM!</v>
      </c>
      <c r="Z543">
        <f t="shared" si="79"/>
        <v>1.0802437208154319</v>
      </c>
      <c r="AA543" t="e">
        <f t="shared" si="80"/>
        <v>#NUM!</v>
      </c>
      <c r="AB543" t="e">
        <f t="shared" si="81"/>
        <v>#NUM!</v>
      </c>
    </row>
    <row r="544" spans="1:28" ht="13.9" x14ac:dyDescent="0.3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f t="shared" si="73"/>
        <v>-0.57776699931695219</v>
      </c>
      <c r="L544" s="2">
        <f t="shared" si="74"/>
        <v>0.93357263826102388</v>
      </c>
      <c r="M544" s="2">
        <f t="shared" si="75"/>
        <v>-2.2515387669959646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 t="e">
        <f t="shared" si="76"/>
        <v>#NUM!</v>
      </c>
      <c r="X544" s="2" t="e">
        <f t="shared" si="77"/>
        <v>#NUM!</v>
      </c>
      <c r="Y544" s="2" t="e">
        <f t="shared" si="78"/>
        <v>#NUM!</v>
      </c>
      <c r="Z544" t="e">
        <f t="shared" si="79"/>
        <v>#NUM!</v>
      </c>
      <c r="AA544" t="e">
        <f t="shared" si="80"/>
        <v>#NUM!</v>
      </c>
      <c r="AB544" t="e">
        <f t="shared" si="81"/>
        <v>#NUM!</v>
      </c>
    </row>
    <row r="545" spans="1:28" ht="13.9" x14ac:dyDescent="0.3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f t="shared" si="73"/>
        <v>-2.1844245711374275</v>
      </c>
      <c r="L545" s="2" t="e">
        <f t="shared" si="74"/>
        <v>#NUM!</v>
      </c>
      <c r="M545" s="2">
        <f t="shared" si="75"/>
        <v>-7.4000581443776928E-2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 t="e">
        <f t="shared" si="76"/>
        <v>#NUM!</v>
      </c>
      <c r="X545" s="2" t="e">
        <f t="shared" si="77"/>
        <v>#NUM!</v>
      </c>
      <c r="Y545" s="2" t="e">
        <f t="shared" si="78"/>
        <v>#NUM!</v>
      </c>
      <c r="Z545" t="e">
        <f t="shared" si="79"/>
        <v>#NUM!</v>
      </c>
      <c r="AA545" t="e">
        <f t="shared" si="80"/>
        <v>#NUM!</v>
      </c>
      <c r="AB545" t="e">
        <f t="shared" si="81"/>
        <v>#NUM!</v>
      </c>
    </row>
    <row r="546" spans="1:28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 t="e">
        <f t="shared" si="73"/>
        <v>#NUM!</v>
      </c>
      <c r="L546" s="2">
        <f t="shared" si="74"/>
        <v>-1.6438561897747248</v>
      </c>
      <c r="M546" s="2">
        <f t="shared" si="75"/>
        <v>-3.3219280948873622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 t="e">
        <f t="shared" si="76"/>
        <v>#NUM!</v>
      </c>
      <c r="X546" s="2" t="e">
        <f t="shared" si="77"/>
        <v>#NUM!</v>
      </c>
      <c r="Y546" s="2" t="e">
        <f t="shared" si="78"/>
        <v>#NUM!</v>
      </c>
      <c r="Z546" t="e">
        <f t="shared" si="79"/>
        <v>#NUM!</v>
      </c>
      <c r="AA546" t="e">
        <f t="shared" si="80"/>
        <v>#NUM!</v>
      </c>
      <c r="AB546" t="e">
        <f t="shared" si="81"/>
        <v>#NUM!</v>
      </c>
    </row>
    <row r="547" spans="1:28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 t="e">
        <f t="shared" si="73"/>
        <v>#NUM!</v>
      </c>
      <c r="L547" s="2" t="e">
        <f t="shared" si="74"/>
        <v>#NUM!</v>
      </c>
      <c r="M547" s="2">
        <f t="shared" si="75"/>
        <v>-3.3219280948873622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 t="e">
        <f t="shared" si="76"/>
        <v>#NUM!</v>
      </c>
      <c r="X547" s="2" t="e">
        <f t="shared" si="77"/>
        <v>#NUM!</v>
      </c>
      <c r="Y547" s="2" t="e">
        <f t="shared" si="78"/>
        <v>#NUM!</v>
      </c>
      <c r="Z547" t="e">
        <f t="shared" si="79"/>
        <v>#NUM!</v>
      </c>
      <c r="AA547" t="e">
        <f t="shared" si="80"/>
        <v>#NUM!</v>
      </c>
      <c r="AB547" t="e">
        <f t="shared" si="81"/>
        <v>#NUM!</v>
      </c>
    </row>
    <row r="548" spans="1:28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 t="e">
        <f t="shared" si="73"/>
        <v>#NUM!</v>
      </c>
      <c r="L548" s="2" t="e">
        <f t="shared" si="74"/>
        <v>#NUM!</v>
      </c>
      <c r="M548" s="2">
        <f t="shared" si="75"/>
        <v>-1.6896598793878495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 t="e">
        <f t="shared" si="76"/>
        <v>#NUM!</v>
      </c>
      <c r="X548" s="2" t="e">
        <f t="shared" si="77"/>
        <v>#NUM!</v>
      </c>
      <c r="Y548" s="2" t="e">
        <f t="shared" si="78"/>
        <v>#NUM!</v>
      </c>
      <c r="Z548" t="e">
        <f t="shared" si="79"/>
        <v>#NUM!</v>
      </c>
      <c r="AA548" t="e">
        <f t="shared" si="80"/>
        <v>#NUM!</v>
      </c>
      <c r="AB548" t="e">
        <f t="shared" si="81"/>
        <v>#NUM!</v>
      </c>
    </row>
    <row r="549" spans="1:28" ht="13.9" x14ac:dyDescent="0.3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f t="shared" si="73"/>
        <v>0.82374936030827284</v>
      </c>
      <c r="L549" s="2">
        <f t="shared" si="74"/>
        <v>8.4064264788474549E-2</v>
      </c>
      <c r="M549" s="2" t="e">
        <f t="shared" si="75"/>
        <v>#NUM!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 t="e">
        <f t="shared" si="76"/>
        <v>#NUM!</v>
      </c>
      <c r="X549" s="2" t="e">
        <f t="shared" si="77"/>
        <v>#NUM!</v>
      </c>
      <c r="Y549" s="2" t="e">
        <f t="shared" si="78"/>
        <v>#NUM!</v>
      </c>
      <c r="Z549" t="e">
        <f t="shared" si="79"/>
        <v>#NUM!</v>
      </c>
      <c r="AA549" t="e">
        <f t="shared" si="80"/>
        <v>#NUM!</v>
      </c>
      <c r="AB549" t="e">
        <f t="shared" si="81"/>
        <v>#NUM!</v>
      </c>
    </row>
    <row r="550" spans="1:28" ht="13.9" x14ac:dyDescent="0.3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f t="shared" si="73"/>
        <v>0.17632277264046289</v>
      </c>
      <c r="L550" s="2" t="e">
        <f t="shared" si="74"/>
        <v>#NUM!</v>
      </c>
      <c r="M550" s="2">
        <f t="shared" si="75"/>
        <v>0.29865831556451516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 t="e">
        <f t="shared" si="76"/>
        <v>#NUM!</v>
      </c>
      <c r="X550" s="2" t="e">
        <f t="shared" si="77"/>
        <v>#NUM!</v>
      </c>
      <c r="Y550" s="2" t="e">
        <f t="shared" si="78"/>
        <v>#NUM!</v>
      </c>
      <c r="Z550" t="e">
        <f t="shared" si="79"/>
        <v>#NUM!</v>
      </c>
      <c r="AA550" t="e">
        <f t="shared" si="80"/>
        <v>#NUM!</v>
      </c>
      <c r="AB550" t="e">
        <f t="shared" si="81"/>
        <v>#NUM!</v>
      </c>
    </row>
    <row r="551" spans="1:28" ht="13.9" x14ac:dyDescent="0.3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f t="shared" si="73"/>
        <v>-0.81096617560998319</v>
      </c>
      <c r="L551" s="2">
        <f t="shared" si="74"/>
        <v>-0.51457317282975834</v>
      </c>
      <c r="M551" s="2" t="e">
        <f t="shared" si="75"/>
        <v>#NUM!</v>
      </c>
      <c r="N551" s="2">
        <v>0</v>
      </c>
      <c r="O551" s="2">
        <v>8.1</v>
      </c>
      <c r="P551" s="2">
        <v>7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f t="shared" si="76"/>
        <v>3.9164766444377168</v>
      </c>
      <c r="X551" s="2" t="e">
        <f t="shared" si="77"/>
        <v>#NUM!</v>
      </c>
      <c r="Y551" s="2" t="e">
        <f t="shared" si="78"/>
        <v>#NUM!</v>
      </c>
      <c r="Z551" t="e">
        <f t="shared" si="79"/>
        <v>#NUM!</v>
      </c>
      <c r="AA551" t="e">
        <f t="shared" si="80"/>
        <v>#NUM!</v>
      </c>
      <c r="AB551" t="e">
        <f t="shared" si="81"/>
        <v>#NUM!</v>
      </c>
    </row>
    <row r="552" spans="1:28" ht="13.9" x14ac:dyDescent="0.3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f t="shared" si="73"/>
        <v>-1.1844245711374275</v>
      </c>
      <c r="L552" s="2" t="e">
        <f t="shared" si="74"/>
        <v>#NUM!</v>
      </c>
      <c r="M552" s="2" t="e">
        <f t="shared" si="75"/>
        <v>#NUM!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 t="e">
        <f t="shared" si="76"/>
        <v>#NUM!</v>
      </c>
      <c r="X552" s="2" t="e">
        <f t="shared" si="77"/>
        <v>#NUM!</v>
      </c>
      <c r="Y552" s="2" t="e">
        <f t="shared" si="78"/>
        <v>#NUM!</v>
      </c>
      <c r="Z552" t="e">
        <f t="shared" si="79"/>
        <v>#NUM!</v>
      </c>
      <c r="AA552" t="e">
        <f t="shared" si="80"/>
        <v>#NUM!</v>
      </c>
      <c r="AB552" t="e">
        <f t="shared" si="81"/>
        <v>#NUM!</v>
      </c>
    </row>
    <row r="553" spans="1:28" ht="13.9" x14ac:dyDescent="0.3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f t="shared" si="73"/>
        <v>-0.66657626627480826</v>
      </c>
      <c r="L553" s="2">
        <f t="shared" si="74"/>
        <v>0.47508488294878265</v>
      </c>
      <c r="M553" s="2" t="e">
        <f t="shared" si="75"/>
        <v>#NUM!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 t="e">
        <f t="shared" si="76"/>
        <v>#NUM!</v>
      </c>
      <c r="X553" s="2" t="e">
        <f t="shared" si="77"/>
        <v>#NUM!</v>
      </c>
      <c r="Y553" s="2" t="e">
        <f t="shared" si="78"/>
        <v>#NUM!</v>
      </c>
      <c r="Z553" t="e">
        <f t="shared" si="79"/>
        <v>#NUM!</v>
      </c>
      <c r="AA553" t="e">
        <f t="shared" si="80"/>
        <v>#NUM!</v>
      </c>
      <c r="AB553" t="e">
        <f t="shared" si="81"/>
        <v>#NUM!</v>
      </c>
    </row>
    <row r="554" spans="1:28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 t="e">
        <f t="shared" si="73"/>
        <v>#NUM!</v>
      </c>
      <c r="L554" s="2">
        <f t="shared" si="74"/>
        <v>-0.68965987938784945</v>
      </c>
      <c r="M554" s="2">
        <f t="shared" si="75"/>
        <v>-1.6896598793878495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 t="e">
        <f t="shared" si="76"/>
        <v>#NUM!</v>
      </c>
      <c r="X554" s="2" t="e">
        <f t="shared" si="77"/>
        <v>#NUM!</v>
      </c>
      <c r="Y554" s="2" t="e">
        <f t="shared" si="78"/>
        <v>#NUM!</v>
      </c>
      <c r="Z554" t="e">
        <f t="shared" si="79"/>
        <v>#NUM!</v>
      </c>
      <c r="AA554" t="e">
        <f t="shared" si="80"/>
        <v>#NUM!</v>
      </c>
      <c r="AB554" t="e">
        <f t="shared" si="81"/>
        <v>#NUM!</v>
      </c>
    </row>
    <row r="555" spans="1:28" ht="13.9" x14ac:dyDescent="0.3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f t="shared" si="73"/>
        <v>1.3895668117627258</v>
      </c>
      <c r="L555" s="2" t="e">
        <f t="shared" si="74"/>
        <v>#NUM!</v>
      </c>
      <c r="M555" s="2">
        <f t="shared" si="75"/>
        <v>-0.30400618689009989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 t="e">
        <f t="shared" si="76"/>
        <v>#NUM!</v>
      </c>
      <c r="X555" s="2" t="e">
        <f t="shared" si="77"/>
        <v>#NUM!</v>
      </c>
      <c r="Y555" s="2" t="e">
        <f t="shared" si="78"/>
        <v>#NUM!</v>
      </c>
      <c r="Z555" t="e">
        <f t="shared" si="79"/>
        <v>#NUM!</v>
      </c>
      <c r="AA555" t="e">
        <f t="shared" si="80"/>
        <v>#NUM!</v>
      </c>
      <c r="AB555" t="e">
        <f t="shared" si="81"/>
        <v>#NUM!</v>
      </c>
    </row>
    <row r="556" spans="1:28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 t="e">
        <f t="shared" si="73"/>
        <v>#NUM!</v>
      </c>
      <c r="L556" s="2">
        <f t="shared" si="74"/>
        <v>-1.7369655941662063</v>
      </c>
      <c r="M556" s="2">
        <f t="shared" si="75"/>
        <v>-1.8889686876112561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 t="e">
        <f t="shared" si="76"/>
        <v>#NUM!</v>
      </c>
      <c r="X556" s="2" t="e">
        <f t="shared" si="77"/>
        <v>#NUM!</v>
      </c>
      <c r="Y556" s="2" t="e">
        <f t="shared" si="78"/>
        <v>#NUM!</v>
      </c>
      <c r="Z556" t="e">
        <f t="shared" si="79"/>
        <v>#NUM!</v>
      </c>
      <c r="AA556" t="e">
        <f t="shared" si="80"/>
        <v>#NUM!</v>
      </c>
      <c r="AB556" t="e">
        <f t="shared" si="81"/>
        <v>#NUM!</v>
      </c>
    </row>
    <row r="557" spans="1:28" ht="13.9" x14ac:dyDescent="0.3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f t="shared" si="73"/>
        <v>0.75702324650745967</v>
      </c>
      <c r="L557" s="2">
        <f t="shared" si="74"/>
        <v>7.0389327891398012E-2</v>
      </c>
      <c r="M557" s="2" t="e">
        <f t="shared" si="75"/>
        <v>#NUM!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 t="e">
        <f t="shared" si="76"/>
        <v>#NUM!</v>
      </c>
      <c r="X557" s="2" t="e">
        <f t="shared" si="77"/>
        <v>#NUM!</v>
      </c>
      <c r="Y557" s="2" t="e">
        <f t="shared" si="78"/>
        <v>#NUM!</v>
      </c>
      <c r="Z557" t="e">
        <f t="shared" si="79"/>
        <v>#NUM!</v>
      </c>
      <c r="AA557" t="e">
        <f t="shared" si="80"/>
        <v>#NUM!</v>
      </c>
      <c r="AB557" t="e">
        <f t="shared" si="81"/>
        <v>#NUM!</v>
      </c>
    </row>
    <row r="558" spans="1:28" ht="13.9" x14ac:dyDescent="0.3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f t="shared" si="73"/>
        <v>-3.1844245711374275</v>
      </c>
      <c r="L558" s="2">
        <f t="shared" si="74"/>
        <v>-0.9434164716336324</v>
      </c>
      <c r="M558" s="2" t="e">
        <f t="shared" si="75"/>
        <v>#NUM!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 t="e">
        <f t="shared" si="76"/>
        <v>#NUM!</v>
      </c>
      <c r="X558" s="2" t="e">
        <f t="shared" si="77"/>
        <v>#NUM!</v>
      </c>
      <c r="Y558" s="2" t="e">
        <f t="shared" si="78"/>
        <v>#NUM!</v>
      </c>
      <c r="Z558" t="e">
        <f t="shared" si="79"/>
        <v>#NUM!</v>
      </c>
      <c r="AA558" t="e">
        <f t="shared" si="80"/>
        <v>#NUM!</v>
      </c>
      <c r="AB558" t="e">
        <f t="shared" si="81"/>
        <v>#NUM!</v>
      </c>
    </row>
    <row r="559" spans="1:28" ht="13.9" x14ac:dyDescent="0.3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f t="shared" si="73"/>
        <v>2.9726926540042644</v>
      </c>
      <c r="L559" s="2">
        <f t="shared" si="74"/>
        <v>3.3059705209843862</v>
      </c>
      <c r="M559" s="2">
        <f t="shared" si="75"/>
        <v>3.377123749129487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3.56</v>
      </c>
      <c r="V559" s="2">
        <v>12.07</v>
      </c>
      <c r="W559" s="2" t="e">
        <f t="shared" si="76"/>
        <v>#NUM!</v>
      </c>
      <c r="X559" s="2" t="e">
        <f t="shared" si="77"/>
        <v>#NUM!</v>
      </c>
      <c r="Y559" s="2">
        <f t="shared" si="78"/>
        <v>3.9662458732249397</v>
      </c>
      <c r="Z559" t="e">
        <f t="shared" si="79"/>
        <v>#NUM!</v>
      </c>
      <c r="AA559" t="e">
        <f t="shared" si="80"/>
        <v>#NUM!</v>
      </c>
      <c r="AB559">
        <f t="shared" si="81"/>
        <v>0.23197906956309641</v>
      </c>
    </row>
    <row r="560" spans="1:28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 t="e">
        <f t="shared" si="73"/>
        <v>#NUM!</v>
      </c>
      <c r="L560" s="2">
        <f t="shared" si="74"/>
        <v>-1.6438561897747248</v>
      </c>
      <c r="M560" s="2" t="e">
        <f t="shared" si="75"/>
        <v>#NUM!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 t="e">
        <f t="shared" si="76"/>
        <v>#NUM!</v>
      </c>
      <c r="X560" s="2" t="e">
        <f t="shared" si="77"/>
        <v>#NUM!</v>
      </c>
      <c r="Y560" s="2" t="e">
        <f t="shared" si="78"/>
        <v>#NUM!</v>
      </c>
      <c r="Z560" t="e">
        <f t="shared" si="79"/>
        <v>#NUM!</v>
      </c>
      <c r="AA560" t="e">
        <f t="shared" si="80"/>
        <v>#NUM!</v>
      </c>
      <c r="AB560" t="e">
        <f t="shared" si="81"/>
        <v>#NUM!</v>
      </c>
    </row>
    <row r="561" spans="1:28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 t="e">
        <f t="shared" si="73"/>
        <v>#NUM!</v>
      </c>
      <c r="L561" s="2">
        <f t="shared" si="74"/>
        <v>-1.0291463456595165</v>
      </c>
      <c r="M561" s="2" t="e">
        <f t="shared" si="75"/>
        <v>#NUM!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 t="e">
        <f t="shared" si="76"/>
        <v>#NUM!</v>
      </c>
      <c r="X561" s="2" t="e">
        <f t="shared" si="77"/>
        <v>#NUM!</v>
      </c>
      <c r="Y561" s="2" t="e">
        <f t="shared" si="78"/>
        <v>#NUM!</v>
      </c>
      <c r="Z561" t="e">
        <f t="shared" si="79"/>
        <v>#NUM!</v>
      </c>
      <c r="AA561" t="e">
        <f t="shared" si="80"/>
        <v>#NUM!</v>
      </c>
      <c r="AB561" t="e">
        <f t="shared" si="81"/>
        <v>#NUM!</v>
      </c>
    </row>
    <row r="562" spans="1:28" ht="13.9" x14ac:dyDescent="0.3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f t="shared" si="73"/>
        <v>-0.81096617560998319</v>
      </c>
      <c r="L562" s="2" t="e">
        <f t="shared" si="74"/>
        <v>#NUM!</v>
      </c>
      <c r="M562" s="2" t="e">
        <f t="shared" si="75"/>
        <v>#NUM!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3.23</v>
      </c>
      <c r="U562" s="2">
        <v>0</v>
      </c>
      <c r="V562" s="2">
        <v>0</v>
      </c>
      <c r="W562" s="2" t="e">
        <f t="shared" si="76"/>
        <v>#NUM!</v>
      </c>
      <c r="X562" s="2" t="e">
        <f t="shared" si="77"/>
        <v>#NUM!</v>
      </c>
      <c r="Y562" s="2">
        <f t="shared" si="78"/>
        <v>1.6915341649192002</v>
      </c>
      <c r="Z562" t="e">
        <f t="shared" si="79"/>
        <v>#NUM!</v>
      </c>
      <c r="AA562" t="e">
        <f t="shared" si="80"/>
        <v>#NUM!</v>
      </c>
      <c r="AB562" t="e">
        <f t="shared" si="81"/>
        <v>#NUM!</v>
      </c>
    </row>
    <row r="563" spans="1:28" ht="13.9" x14ac:dyDescent="0.3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f t="shared" si="73"/>
        <v>-2.1844245711374275</v>
      </c>
      <c r="L563" s="2">
        <f t="shared" si="74"/>
        <v>-0.91593573521152549</v>
      </c>
      <c r="M563" s="2">
        <f t="shared" si="75"/>
        <v>0.17632277264046289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 t="e">
        <f t="shared" si="76"/>
        <v>#NUM!</v>
      </c>
      <c r="X563" s="2" t="e">
        <f t="shared" si="77"/>
        <v>#NUM!</v>
      </c>
      <c r="Y563" s="2" t="e">
        <f t="shared" si="78"/>
        <v>#NUM!</v>
      </c>
      <c r="Z563" t="e">
        <f t="shared" si="79"/>
        <v>#NUM!</v>
      </c>
      <c r="AA563" t="e">
        <f t="shared" si="80"/>
        <v>#NUM!</v>
      </c>
      <c r="AB563" t="e">
        <f t="shared" si="81"/>
        <v>#NUM!</v>
      </c>
    </row>
    <row r="564" spans="1:28" ht="13.9" x14ac:dyDescent="0.3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f t="shared" si="73"/>
        <v>-0.39592867633113921</v>
      </c>
      <c r="L564" s="2">
        <f t="shared" si="74"/>
        <v>-0.53533173299655579</v>
      </c>
      <c r="M564" s="2">
        <f t="shared" si="75"/>
        <v>-1.6896598793878495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 t="e">
        <f t="shared" si="76"/>
        <v>#NUM!</v>
      </c>
      <c r="X564" s="2" t="e">
        <f t="shared" si="77"/>
        <v>#NUM!</v>
      </c>
      <c r="Y564" s="2" t="e">
        <f t="shared" si="78"/>
        <v>#NUM!</v>
      </c>
      <c r="Z564" t="e">
        <f t="shared" si="79"/>
        <v>#NUM!</v>
      </c>
      <c r="AA564" t="e">
        <f t="shared" si="80"/>
        <v>#NUM!</v>
      </c>
      <c r="AB564" t="e">
        <f t="shared" si="81"/>
        <v>#NUM!</v>
      </c>
    </row>
    <row r="565" spans="1:28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 t="e">
        <f t="shared" si="73"/>
        <v>#NUM!</v>
      </c>
      <c r="L565" s="2">
        <f t="shared" si="74"/>
        <v>0.67807190511263782</v>
      </c>
      <c r="M565" s="2" t="e">
        <f t="shared" si="75"/>
        <v>#NUM!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 t="e">
        <f t="shared" si="76"/>
        <v>#NUM!</v>
      </c>
      <c r="X565" s="2" t="e">
        <f t="shared" si="77"/>
        <v>#NUM!</v>
      </c>
      <c r="Y565" s="2" t="e">
        <f t="shared" si="78"/>
        <v>#NUM!</v>
      </c>
      <c r="Z565" t="e">
        <f t="shared" si="79"/>
        <v>#NUM!</v>
      </c>
      <c r="AA565" t="e">
        <f t="shared" si="80"/>
        <v>#NUM!</v>
      </c>
      <c r="AB565" t="e">
        <f t="shared" si="81"/>
        <v>#NUM!</v>
      </c>
    </row>
    <row r="566" spans="1:28" ht="13.9" x14ac:dyDescent="0.3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f t="shared" si="73"/>
        <v>-3.1844245711374275</v>
      </c>
      <c r="L566" s="2" t="e">
        <f t="shared" si="74"/>
        <v>#NUM!</v>
      </c>
      <c r="M566" s="2" t="e">
        <f t="shared" si="75"/>
        <v>#NUM!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3.05</v>
      </c>
      <c r="U566" s="2">
        <v>0</v>
      </c>
      <c r="V566" s="2">
        <v>0</v>
      </c>
      <c r="W566" s="2" t="e">
        <f t="shared" si="76"/>
        <v>#NUM!</v>
      </c>
      <c r="X566" s="2" t="e">
        <f t="shared" si="77"/>
        <v>#NUM!</v>
      </c>
      <c r="Y566" s="2">
        <f t="shared" si="78"/>
        <v>1.6088092426755241</v>
      </c>
      <c r="Z566" t="e">
        <f t="shared" si="79"/>
        <v>#NUM!</v>
      </c>
      <c r="AA566" t="e">
        <f t="shared" si="80"/>
        <v>#NUM!</v>
      </c>
      <c r="AB566" t="e">
        <f t="shared" si="81"/>
        <v>#NUM!</v>
      </c>
    </row>
    <row r="567" spans="1:28" ht="13.9" x14ac:dyDescent="0.3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f t="shared" si="73"/>
        <v>1.790772037862</v>
      </c>
      <c r="L567" s="2">
        <f t="shared" si="74"/>
        <v>0.65992455840237829</v>
      </c>
      <c r="M567" s="2" t="e">
        <f t="shared" si="75"/>
        <v>#NUM!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 t="e">
        <f t="shared" si="76"/>
        <v>#NUM!</v>
      </c>
      <c r="X567" s="2" t="e">
        <f t="shared" si="77"/>
        <v>#NUM!</v>
      </c>
      <c r="Y567" s="2" t="e">
        <f t="shared" si="78"/>
        <v>#NUM!</v>
      </c>
      <c r="Z567" t="e">
        <f t="shared" si="79"/>
        <v>#NUM!</v>
      </c>
      <c r="AA567" t="e">
        <f t="shared" si="80"/>
        <v>#NUM!</v>
      </c>
      <c r="AB567" t="e">
        <f t="shared" si="81"/>
        <v>#NUM!</v>
      </c>
    </row>
    <row r="568" spans="1:28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 t="e">
        <f t="shared" si="73"/>
        <v>#NUM!</v>
      </c>
      <c r="L568" s="2">
        <f t="shared" si="74"/>
        <v>-0.2515387669959645</v>
      </c>
      <c r="M568" s="2" t="e">
        <f t="shared" si="75"/>
        <v>#NUM!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 t="e">
        <f t="shared" si="76"/>
        <v>#NUM!</v>
      </c>
      <c r="X568" s="2" t="e">
        <f t="shared" si="77"/>
        <v>#NUM!</v>
      </c>
      <c r="Y568" s="2" t="e">
        <f t="shared" si="78"/>
        <v>#NUM!</v>
      </c>
      <c r="Z568" t="e">
        <f t="shared" si="79"/>
        <v>#NUM!</v>
      </c>
      <c r="AA568" t="e">
        <f t="shared" si="80"/>
        <v>#NUM!</v>
      </c>
      <c r="AB568" t="e">
        <f t="shared" si="81"/>
        <v>#NUM!</v>
      </c>
    </row>
    <row r="569" spans="1:28" ht="13.9" x14ac:dyDescent="0.3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f t="shared" si="73"/>
        <v>3.1570437101455799</v>
      </c>
      <c r="L569" s="2">
        <f t="shared" si="74"/>
        <v>3.9551267812613666</v>
      </c>
      <c r="M569" s="2">
        <f t="shared" si="75"/>
        <v>2.5385381636298039</v>
      </c>
      <c r="N569" s="2">
        <v>0</v>
      </c>
      <c r="O569" s="2">
        <v>0</v>
      </c>
      <c r="P569" s="2">
        <v>7.52</v>
      </c>
      <c r="Q569" s="2">
        <v>0.33</v>
      </c>
      <c r="R569" s="2">
        <v>0</v>
      </c>
      <c r="S569" s="2">
        <v>9.2899999999999991</v>
      </c>
      <c r="T569" s="2">
        <v>0</v>
      </c>
      <c r="U569" s="2">
        <v>0</v>
      </c>
      <c r="V569" s="2">
        <v>0</v>
      </c>
      <c r="W569" s="2">
        <f t="shared" si="76"/>
        <v>2.9107326619029124</v>
      </c>
      <c r="X569" s="2">
        <f t="shared" si="77"/>
        <v>3.2660368939953175</v>
      </c>
      <c r="Y569" s="2" t="e">
        <f t="shared" si="78"/>
        <v>#NUM!</v>
      </c>
      <c r="Z569">
        <f t="shared" si="79"/>
        <v>-0.11719189500256876</v>
      </c>
      <c r="AA569">
        <f t="shared" si="80"/>
        <v>-0.27618285286229566</v>
      </c>
      <c r="AB569" t="e">
        <f t="shared" si="81"/>
        <v>#NUM!</v>
      </c>
    </row>
    <row r="570" spans="1:28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 t="e">
        <f t="shared" si="73"/>
        <v>#NUM!</v>
      </c>
      <c r="L570" s="2" t="e">
        <f t="shared" si="74"/>
        <v>#NUM!</v>
      </c>
      <c r="M570" s="2">
        <f t="shared" si="75"/>
        <v>1.0703893278913981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 t="e">
        <f t="shared" si="76"/>
        <v>#NUM!</v>
      </c>
      <c r="X570" s="2" t="e">
        <f t="shared" si="77"/>
        <v>#NUM!</v>
      </c>
      <c r="Y570" s="2" t="e">
        <f t="shared" si="78"/>
        <v>#NUM!</v>
      </c>
      <c r="Z570" t="e">
        <f t="shared" si="79"/>
        <v>#NUM!</v>
      </c>
      <c r="AA570" t="e">
        <f t="shared" si="80"/>
        <v>#NUM!</v>
      </c>
      <c r="AB570" t="e">
        <f t="shared" si="81"/>
        <v>#NUM!</v>
      </c>
    </row>
    <row r="571" spans="1:28" ht="13.9" x14ac:dyDescent="0.3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f t="shared" si="73"/>
        <v>2.0635029423061582</v>
      </c>
      <c r="L571" s="2">
        <f t="shared" si="74"/>
        <v>-0.91593573521152549</v>
      </c>
      <c r="M571" s="2">
        <f t="shared" si="75"/>
        <v>0.17632277264046289</v>
      </c>
      <c r="N571" s="2">
        <v>5.77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6.28</v>
      </c>
      <c r="V571" s="2">
        <v>0</v>
      </c>
      <c r="W571" s="2">
        <f t="shared" si="76"/>
        <v>2.5285713188707577</v>
      </c>
      <c r="X571" s="2" t="e">
        <f t="shared" si="77"/>
        <v>#NUM!</v>
      </c>
      <c r="Y571" s="2">
        <f t="shared" si="78"/>
        <v>2.6507645591169027</v>
      </c>
      <c r="Z571">
        <f t="shared" si="79"/>
        <v>0.29322697509207607</v>
      </c>
      <c r="AA571" t="e">
        <f t="shared" si="80"/>
        <v>#NUM!</v>
      </c>
      <c r="AB571">
        <f t="shared" si="81"/>
        <v>3.9101178153308984</v>
      </c>
    </row>
    <row r="572" spans="1:28" ht="13.9" x14ac:dyDescent="0.3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f t="shared" si="73"/>
        <v>0.93357263826102388</v>
      </c>
      <c r="L572" s="2">
        <f t="shared" si="74"/>
        <v>1.8439838440483267</v>
      </c>
      <c r="M572" s="2">
        <f t="shared" si="75"/>
        <v>1.6553518286125541</v>
      </c>
      <c r="N572" s="2">
        <v>0</v>
      </c>
      <c r="O572" s="2">
        <v>0</v>
      </c>
      <c r="P572" s="2">
        <v>0</v>
      </c>
      <c r="Q572" s="2">
        <v>0.99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 t="e">
        <f t="shared" si="76"/>
        <v>#NUM!</v>
      </c>
      <c r="X572" s="2">
        <f t="shared" si="77"/>
        <v>-1.4499569695115091E-2</v>
      </c>
      <c r="Y572" s="2" t="e">
        <f t="shared" si="78"/>
        <v>#NUM!</v>
      </c>
      <c r="Z572" t="e">
        <f t="shared" si="79"/>
        <v>#NUM!</v>
      </c>
      <c r="AA572" t="e">
        <f t="shared" si="80"/>
        <v>#NUM!</v>
      </c>
      <c r="AB572" t="e">
        <f t="shared" si="81"/>
        <v>#NUM!</v>
      </c>
    </row>
    <row r="573" spans="1:28" ht="13.9" x14ac:dyDescent="0.3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f t="shared" si="73"/>
        <v>2.5434958834257717</v>
      </c>
      <c r="L573" s="2">
        <f t="shared" si="74"/>
        <v>1.6135316529179271</v>
      </c>
      <c r="M573" s="2" t="e">
        <f t="shared" si="75"/>
        <v>#NUM!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4.7300000000000004</v>
      </c>
      <c r="T573" s="2">
        <v>1.26</v>
      </c>
      <c r="U573" s="2">
        <v>4.8099999999999996</v>
      </c>
      <c r="V573" s="2">
        <v>0</v>
      </c>
      <c r="W573" s="2" t="e">
        <f t="shared" si="76"/>
        <v>#NUM!</v>
      </c>
      <c r="X573" s="2">
        <f t="shared" si="77"/>
        <v>2.2418401835646709</v>
      </c>
      <c r="Y573" s="2">
        <f t="shared" si="78"/>
        <v>2.6016965164809571</v>
      </c>
      <c r="Z573" t="e">
        <f t="shared" si="79"/>
        <v>#NUM!</v>
      </c>
      <c r="AA573">
        <f t="shared" si="80"/>
        <v>0.47446155518957067</v>
      </c>
      <c r="AB573" t="e">
        <f t="shared" si="81"/>
        <v>#NUM!</v>
      </c>
    </row>
    <row r="574" spans="1:28" ht="13.9" x14ac:dyDescent="0.3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f t="shared" si="73"/>
        <v>-2</v>
      </c>
      <c r="L574" s="2">
        <f t="shared" si="74"/>
        <v>-3.1844245711374275</v>
      </c>
      <c r="M574" s="2">
        <f t="shared" si="75"/>
        <v>7.0389327891398012E-2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 t="e">
        <f t="shared" si="76"/>
        <v>#NUM!</v>
      </c>
      <c r="X574" s="2" t="e">
        <f t="shared" si="77"/>
        <v>#NUM!</v>
      </c>
      <c r="Y574" s="2" t="e">
        <f t="shared" si="78"/>
        <v>#NUM!</v>
      </c>
      <c r="Z574" t="e">
        <f t="shared" si="79"/>
        <v>#NUM!</v>
      </c>
      <c r="AA574" t="e">
        <f t="shared" si="80"/>
        <v>#NUM!</v>
      </c>
      <c r="AB574" t="e">
        <f t="shared" si="81"/>
        <v>#NUM!</v>
      </c>
    </row>
    <row r="575" spans="1:28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 t="e">
        <f t="shared" si="73"/>
        <v>#NUM!</v>
      </c>
      <c r="L575" s="2">
        <f t="shared" si="74"/>
        <v>-2.9434164716336326</v>
      </c>
      <c r="M575" s="2" t="e">
        <f t="shared" si="75"/>
        <v>#NUM!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 t="e">
        <f t="shared" si="76"/>
        <v>#NUM!</v>
      </c>
      <c r="X575" s="2" t="e">
        <f t="shared" si="77"/>
        <v>#NUM!</v>
      </c>
      <c r="Y575" s="2" t="e">
        <f t="shared" si="78"/>
        <v>#NUM!</v>
      </c>
      <c r="Z575" t="e">
        <f t="shared" si="79"/>
        <v>#NUM!</v>
      </c>
      <c r="AA575" t="e">
        <f t="shared" si="80"/>
        <v>#NUM!</v>
      </c>
      <c r="AB575" t="e">
        <f t="shared" si="81"/>
        <v>#NUM!</v>
      </c>
    </row>
    <row r="576" spans="1:28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 t="e">
        <f t="shared" si="73"/>
        <v>#NUM!</v>
      </c>
      <c r="L576" s="2" t="e">
        <f t="shared" si="74"/>
        <v>#NUM!</v>
      </c>
      <c r="M576" s="2">
        <f t="shared" si="75"/>
        <v>6.9381681505058417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 t="e">
        <f t="shared" si="76"/>
        <v>#NUM!</v>
      </c>
      <c r="X576" s="2" t="e">
        <f t="shared" si="77"/>
        <v>#NUM!</v>
      </c>
      <c r="Y576" s="2" t="e">
        <f t="shared" si="78"/>
        <v>#NUM!</v>
      </c>
      <c r="Z576" t="e">
        <f t="shared" si="79"/>
        <v>#NUM!</v>
      </c>
      <c r="AA576" t="e">
        <f t="shared" si="80"/>
        <v>#NUM!</v>
      </c>
      <c r="AB576" t="e">
        <f t="shared" si="81"/>
        <v>#NUM!</v>
      </c>
    </row>
    <row r="577" spans="1:28" ht="13.9" x14ac:dyDescent="0.3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f t="shared" si="73"/>
        <v>7.7616177145550829</v>
      </c>
      <c r="L577" s="2">
        <f t="shared" si="74"/>
        <v>8.1251034579384172</v>
      </c>
      <c r="M577" s="2">
        <f t="shared" si="75"/>
        <v>7.3194914905422408</v>
      </c>
      <c r="N577" s="2">
        <v>5.9</v>
      </c>
      <c r="O577" s="2">
        <v>0.28999999999999998</v>
      </c>
      <c r="P577" s="2">
        <v>1.04</v>
      </c>
      <c r="Q577" s="2">
        <v>17.47</v>
      </c>
      <c r="R577" s="2">
        <v>16.350000000000001</v>
      </c>
      <c r="S577" s="2">
        <v>4.7300000000000004</v>
      </c>
      <c r="T577" s="2">
        <v>0.18</v>
      </c>
      <c r="U577" s="2">
        <v>9.84</v>
      </c>
      <c r="V577" s="2">
        <v>1.01</v>
      </c>
      <c r="W577" s="2">
        <f t="shared" si="76"/>
        <v>2.8539956471763932</v>
      </c>
      <c r="X577" s="2">
        <f t="shared" si="77"/>
        <v>5.2686589550276723</v>
      </c>
      <c r="Y577" s="2">
        <f t="shared" si="78"/>
        <v>3.463360885816658</v>
      </c>
      <c r="Z577">
        <f t="shared" si="79"/>
        <v>-1.443374242889323</v>
      </c>
      <c r="AA577">
        <f t="shared" si="80"/>
        <v>-0.62495038735546127</v>
      </c>
      <c r="AB577">
        <f t="shared" si="81"/>
        <v>-1.0795706974641399</v>
      </c>
    </row>
    <row r="578" spans="1:28" ht="13.9" x14ac:dyDescent="0.3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f t="shared" si="73"/>
        <v>-0.13606154957602837</v>
      </c>
      <c r="L578" s="2">
        <f t="shared" si="74"/>
        <v>0.93357263826102388</v>
      </c>
      <c r="M578" s="2">
        <f t="shared" si="75"/>
        <v>4.2644337408493722E-2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 t="e">
        <f t="shared" si="76"/>
        <v>#NUM!</v>
      </c>
      <c r="X578" s="2" t="e">
        <f t="shared" si="77"/>
        <v>#NUM!</v>
      </c>
      <c r="Y578" s="2" t="e">
        <f t="shared" si="78"/>
        <v>#NUM!</v>
      </c>
      <c r="Z578" t="e">
        <f t="shared" si="79"/>
        <v>#NUM!</v>
      </c>
      <c r="AA578" t="e">
        <f t="shared" si="80"/>
        <v>#NUM!</v>
      </c>
      <c r="AB578" t="e">
        <f t="shared" si="81"/>
        <v>#NUM!</v>
      </c>
    </row>
    <row r="579" spans="1:28" ht="13.9" x14ac:dyDescent="0.3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f t="shared" ref="K579:K642" si="82">LOG(SUM(B579:D579),2)</f>
        <v>3.147306698780294</v>
      </c>
      <c r="L579" s="2">
        <f t="shared" ref="L579:L642" si="83">LOG(SUM(E579:G579),2)</f>
        <v>3.1586601753464985</v>
      </c>
      <c r="M579" s="2">
        <f t="shared" ref="M579:M642" si="84">LOG(SUM(H579:J579),2)</f>
        <v>2.5434958834257717</v>
      </c>
      <c r="N579" s="2">
        <v>3.67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0.21</v>
      </c>
      <c r="V579" s="2">
        <v>25.64</v>
      </c>
      <c r="W579" s="2">
        <f t="shared" ref="W579:W642" si="85">LOG(SUM(N579:P579),2)</f>
        <v>1.875780063068488</v>
      </c>
      <c r="X579" s="2" t="e">
        <f t="shared" ref="X579:X642" si="86">LOG(SUM(Q579:S579),2)</f>
        <v>#NUM!</v>
      </c>
      <c r="Y579" s="2">
        <f t="shared" ref="Y579:Y642" si="87">LOG(SUM(T579:V579),2)</f>
        <v>4.6920923754275723</v>
      </c>
      <c r="Z579">
        <f t="shared" ref="Z579:Z642" si="88">LOG(W579/K579,2)</f>
        <v>-0.74662709279644457</v>
      </c>
      <c r="AA579" t="e">
        <f t="shared" ref="AA579:AA642" si="89">LOG(X579/L579,2)</f>
        <v>#NUM!</v>
      </c>
      <c r="AB579">
        <f t="shared" ref="AB579:AB642" si="90">LOG(Y579/M579,2)</f>
        <v>0.88341865741885828</v>
      </c>
    </row>
    <row r="580" spans="1:28" ht="13.9" x14ac:dyDescent="0.3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f t="shared" si="82"/>
        <v>0.72246602447109098</v>
      </c>
      <c r="L580" s="2">
        <f t="shared" si="83"/>
        <v>1.1634987322828796</v>
      </c>
      <c r="M580" s="2">
        <f t="shared" si="84"/>
        <v>-0.10469737866669322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 t="e">
        <f t="shared" si="85"/>
        <v>#NUM!</v>
      </c>
      <c r="X580" s="2" t="e">
        <f t="shared" si="86"/>
        <v>#NUM!</v>
      </c>
      <c r="Y580" s="2" t="e">
        <f t="shared" si="87"/>
        <v>#NUM!</v>
      </c>
      <c r="Z580" t="e">
        <f t="shared" si="88"/>
        <v>#NUM!</v>
      </c>
      <c r="AA580" t="e">
        <f t="shared" si="89"/>
        <v>#NUM!</v>
      </c>
      <c r="AB580" t="e">
        <f t="shared" si="90"/>
        <v>#NUM!</v>
      </c>
    </row>
    <row r="581" spans="1:28" ht="13.9" x14ac:dyDescent="0.3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f t="shared" si="82"/>
        <v>-2.1844245711374275</v>
      </c>
      <c r="L581" s="2">
        <f t="shared" si="83"/>
        <v>-2.9434164716336326</v>
      </c>
      <c r="M581" s="2" t="e">
        <f t="shared" si="84"/>
        <v>#NUM!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 t="e">
        <f t="shared" si="85"/>
        <v>#NUM!</v>
      </c>
      <c r="X581" s="2" t="e">
        <f t="shared" si="86"/>
        <v>#NUM!</v>
      </c>
      <c r="Y581" s="2" t="e">
        <f t="shared" si="87"/>
        <v>#NUM!</v>
      </c>
      <c r="Z581" t="e">
        <f t="shared" si="88"/>
        <v>#NUM!</v>
      </c>
      <c r="AA581" t="e">
        <f t="shared" si="89"/>
        <v>#NUM!</v>
      </c>
      <c r="AB581" t="e">
        <f t="shared" si="90"/>
        <v>#NUM!</v>
      </c>
    </row>
    <row r="582" spans="1:28" ht="13.9" x14ac:dyDescent="0.3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f t="shared" si="82"/>
        <v>0.12432813500220179</v>
      </c>
      <c r="L582" s="2" t="e">
        <f t="shared" si="83"/>
        <v>#NUM!</v>
      </c>
      <c r="M582" s="2">
        <f t="shared" si="84"/>
        <v>-3.3219280948873622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 t="e">
        <f t="shared" si="85"/>
        <v>#NUM!</v>
      </c>
      <c r="X582" s="2" t="e">
        <f t="shared" si="86"/>
        <v>#NUM!</v>
      </c>
      <c r="Y582" s="2" t="e">
        <f t="shared" si="87"/>
        <v>#NUM!</v>
      </c>
      <c r="Z582" t="e">
        <f t="shared" si="88"/>
        <v>#NUM!</v>
      </c>
      <c r="AA582" t="e">
        <f t="shared" si="89"/>
        <v>#NUM!</v>
      </c>
      <c r="AB582" t="e">
        <f t="shared" si="90"/>
        <v>#NUM!</v>
      </c>
    </row>
    <row r="583" spans="1:28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 t="e">
        <f t="shared" si="82"/>
        <v>#NUM!</v>
      </c>
      <c r="L583" s="2" t="e">
        <f t="shared" si="83"/>
        <v>#NUM!</v>
      </c>
      <c r="M583" s="2">
        <f t="shared" si="84"/>
        <v>-1.2863041851566412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 t="e">
        <f t="shared" si="85"/>
        <v>#NUM!</v>
      </c>
      <c r="X583" s="2" t="e">
        <f t="shared" si="86"/>
        <v>#NUM!</v>
      </c>
      <c r="Y583" s="2" t="e">
        <f t="shared" si="87"/>
        <v>#NUM!</v>
      </c>
      <c r="Z583" t="e">
        <f t="shared" si="88"/>
        <v>#NUM!</v>
      </c>
      <c r="AA583" t="e">
        <f t="shared" si="89"/>
        <v>#NUM!</v>
      </c>
      <c r="AB583" t="e">
        <f t="shared" si="90"/>
        <v>#NUM!</v>
      </c>
    </row>
    <row r="584" spans="1:28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 t="e">
        <f t="shared" si="82"/>
        <v>#NUM!</v>
      </c>
      <c r="L584" s="2">
        <f t="shared" si="83"/>
        <v>-1.4499569695115091E-2</v>
      </c>
      <c r="M584" s="2" t="e">
        <f t="shared" si="84"/>
        <v>#NUM!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 t="e">
        <f t="shared" si="85"/>
        <v>#NUM!</v>
      </c>
      <c r="X584" s="2" t="e">
        <f t="shared" si="86"/>
        <v>#NUM!</v>
      </c>
      <c r="Y584" s="2" t="e">
        <f t="shared" si="87"/>
        <v>#NUM!</v>
      </c>
      <c r="Z584" t="e">
        <f t="shared" si="88"/>
        <v>#NUM!</v>
      </c>
      <c r="AA584" t="e">
        <f t="shared" si="89"/>
        <v>#NUM!</v>
      </c>
      <c r="AB584" t="e">
        <f t="shared" si="90"/>
        <v>#NUM!</v>
      </c>
    </row>
    <row r="585" spans="1:28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 t="e">
        <f t="shared" si="82"/>
        <v>#NUM!</v>
      </c>
      <c r="L585" s="2">
        <f t="shared" si="83"/>
        <v>0.88752527074158749</v>
      </c>
      <c r="M585" s="2">
        <f t="shared" si="84"/>
        <v>-2.8365012677171206</v>
      </c>
      <c r="N585" s="2">
        <v>0</v>
      </c>
      <c r="O585" s="2">
        <v>0</v>
      </c>
      <c r="P585" s="2">
        <v>0</v>
      </c>
      <c r="Q585" s="2">
        <v>0</v>
      </c>
      <c r="R585" s="2">
        <v>15.13</v>
      </c>
      <c r="S585" s="2">
        <v>0</v>
      </c>
      <c r="T585" s="2">
        <v>0</v>
      </c>
      <c r="U585" s="2">
        <v>11.51</v>
      </c>
      <c r="V585" s="2">
        <v>0</v>
      </c>
      <c r="W585" s="2" t="e">
        <f t="shared" si="85"/>
        <v>#NUM!</v>
      </c>
      <c r="X585" s="2">
        <f t="shared" si="86"/>
        <v>3.9193400824420124</v>
      </c>
      <c r="Y585" s="2">
        <f t="shared" si="87"/>
        <v>3.5248159283575062</v>
      </c>
      <c r="Z585" t="e">
        <f t="shared" si="88"/>
        <v>#NUM!</v>
      </c>
      <c r="AA585">
        <f t="shared" si="89"/>
        <v>2.142750658060558</v>
      </c>
      <c r="AB585" t="e">
        <f t="shared" si="90"/>
        <v>#NUM!</v>
      </c>
    </row>
    <row r="586" spans="1:28" ht="13.9" x14ac:dyDescent="0.3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f t="shared" si="82"/>
        <v>6.3542052958616955</v>
      </c>
      <c r="L586" s="2">
        <f t="shared" si="83"/>
        <v>6.2605902747309958</v>
      </c>
      <c r="M586" s="2">
        <f t="shared" si="84"/>
        <v>7.1122831085982039</v>
      </c>
      <c r="N586" s="2">
        <v>101.34</v>
      </c>
      <c r="O586" s="2">
        <v>106.71</v>
      </c>
      <c r="P586" s="2">
        <v>93.62</v>
      </c>
      <c r="Q586" s="2">
        <v>94.6</v>
      </c>
      <c r="R586" s="2">
        <v>174.68</v>
      </c>
      <c r="S586" s="2">
        <v>54.26</v>
      </c>
      <c r="T586" s="2">
        <v>64.14</v>
      </c>
      <c r="U586" s="2">
        <v>130.16999999999999</v>
      </c>
      <c r="V586" s="2">
        <v>289.08</v>
      </c>
      <c r="W586" s="2">
        <f t="shared" si="85"/>
        <v>8.2368274225430067</v>
      </c>
      <c r="X586" s="2">
        <f t="shared" si="86"/>
        <v>8.3378002767505102</v>
      </c>
      <c r="Y586" s="2">
        <f t="shared" si="87"/>
        <v>8.9170438178231226</v>
      </c>
      <c r="Z586">
        <f t="shared" si="88"/>
        <v>0.37437705943796368</v>
      </c>
      <c r="AA586">
        <f t="shared" si="89"/>
        <v>0.41336812740043877</v>
      </c>
      <c r="AB586">
        <f t="shared" si="90"/>
        <v>0.32625275389943603</v>
      </c>
    </row>
    <row r="587" spans="1:28" ht="13.9" x14ac:dyDescent="0.3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f t="shared" si="82"/>
        <v>5.5394690347498869</v>
      </c>
      <c r="L587" s="2">
        <f t="shared" si="83"/>
        <v>5.5530532527664125</v>
      </c>
      <c r="M587" s="2">
        <f t="shared" si="84"/>
        <v>4.7729413378313357</v>
      </c>
      <c r="N587" s="2">
        <v>22.94</v>
      </c>
      <c r="O587" s="2">
        <v>12.15</v>
      </c>
      <c r="P587" s="2">
        <v>0.26</v>
      </c>
      <c r="Q587" s="2">
        <v>10.55</v>
      </c>
      <c r="R587" s="2">
        <v>31.72</v>
      </c>
      <c r="S587" s="2">
        <v>0</v>
      </c>
      <c r="T587" s="2">
        <v>0.18</v>
      </c>
      <c r="U587" s="2">
        <v>16.95</v>
      </c>
      <c r="V587" s="2">
        <v>11.06</v>
      </c>
      <c r="W587" s="2">
        <f t="shared" si="85"/>
        <v>5.1436383099220366</v>
      </c>
      <c r="X587" s="2">
        <f t="shared" si="86"/>
        <v>5.4015622072560685</v>
      </c>
      <c r="Y587" s="2">
        <f t="shared" si="87"/>
        <v>4.8171115727956968</v>
      </c>
      <c r="Z587">
        <f t="shared" si="88"/>
        <v>-0.10695849984005004</v>
      </c>
      <c r="AA587">
        <f t="shared" si="89"/>
        <v>-3.9904515991405105E-2</v>
      </c>
      <c r="AB587">
        <f t="shared" si="90"/>
        <v>1.3289734717244185E-2</v>
      </c>
    </row>
    <row r="588" spans="1:28" ht="13.9" x14ac:dyDescent="0.3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f t="shared" si="82"/>
        <v>12.149096108903917</v>
      </c>
      <c r="L588" s="2">
        <f t="shared" si="83"/>
        <v>11.834814695987918</v>
      </c>
      <c r="M588" s="2">
        <f t="shared" si="84"/>
        <v>12.353400488104398</v>
      </c>
      <c r="N588" s="2">
        <v>1025.3</v>
      </c>
      <c r="O588" s="2">
        <v>1275.8699999999999</v>
      </c>
      <c r="P588" s="2">
        <v>578.04</v>
      </c>
      <c r="Q588" s="2">
        <v>1203.42</v>
      </c>
      <c r="R588" s="2">
        <v>1086.1199999999999</v>
      </c>
      <c r="S588" s="2">
        <v>896.85</v>
      </c>
      <c r="T588" s="2">
        <v>851.74</v>
      </c>
      <c r="U588" s="2">
        <v>801.34</v>
      </c>
      <c r="V588" s="2">
        <v>1492.64</v>
      </c>
      <c r="W588" s="2">
        <f t="shared" si="85"/>
        <v>11.491457302778318</v>
      </c>
      <c r="X588" s="2">
        <f t="shared" si="86"/>
        <v>11.637707141805143</v>
      </c>
      <c r="Y588" s="2">
        <f t="shared" si="87"/>
        <v>11.619174547091184</v>
      </c>
      <c r="Z588">
        <f t="shared" si="88"/>
        <v>-8.028721484162199E-2</v>
      </c>
      <c r="AA588">
        <f t="shared" si="89"/>
        <v>-2.4230270381615196E-2</v>
      </c>
      <c r="AB588">
        <f t="shared" si="90"/>
        <v>-8.8400643346560337E-2</v>
      </c>
    </row>
    <row r="589" spans="1:28" ht="13.9" x14ac:dyDescent="0.3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f t="shared" si="82"/>
        <v>4.7697717392494479</v>
      </c>
      <c r="L589" s="2">
        <f t="shared" si="83"/>
        <v>4.2141248053528475</v>
      </c>
      <c r="M589" s="2">
        <f t="shared" si="84"/>
        <v>8.7244797464510544</v>
      </c>
      <c r="N589" s="2">
        <v>0</v>
      </c>
      <c r="O589" s="2">
        <v>2.31</v>
      </c>
      <c r="P589" s="2">
        <v>0</v>
      </c>
      <c r="Q589" s="2">
        <v>0</v>
      </c>
      <c r="R589" s="2">
        <v>15.61</v>
      </c>
      <c r="S589" s="2">
        <v>0</v>
      </c>
      <c r="T589" s="2">
        <v>0</v>
      </c>
      <c r="U589" s="2">
        <v>3.56</v>
      </c>
      <c r="V589" s="2">
        <v>0</v>
      </c>
      <c r="W589" s="2">
        <f t="shared" si="85"/>
        <v>1.207892851641333</v>
      </c>
      <c r="X589" s="2">
        <f t="shared" si="86"/>
        <v>3.9643986322031841</v>
      </c>
      <c r="Y589" s="2">
        <f t="shared" si="87"/>
        <v>1.8318772411916731</v>
      </c>
      <c r="Z589">
        <f t="shared" si="88"/>
        <v>-1.9814277432863439</v>
      </c>
      <c r="AA589">
        <f t="shared" si="89"/>
        <v>-8.8131004444125943E-2</v>
      </c>
      <c r="AB589">
        <f t="shared" si="90"/>
        <v>-2.2517462758951909</v>
      </c>
    </row>
    <row r="590" spans="1:28" ht="13.9" x14ac:dyDescent="0.3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f t="shared" si="82"/>
        <v>7.8452391256387797</v>
      </c>
      <c r="L590" s="2">
        <f t="shared" si="83"/>
        <v>7.7341676611507619</v>
      </c>
      <c r="M590" s="2">
        <f t="shared" si="84"/>
        <v>6.9246937583864963</v>
      </c>
      <c r="N590" s="2">
        <v>24.78</v>
      </c>
      <c r="O590" s="2">
        <v>0</v>
      </c>
      <c r="P590" s="2">
        <v>7.26</v>
      </c>
      <c r="Q590" s="2">
        <v>6.59</v>
      </c>
      <c r="R590" s="2">
        <v>5.86</v>
      </c>
      <c r="S590" s="2">
        <v>15.11</v>
      </c>
      <c r="T590" s="2">
        <v>9.16</v>
      </c>
      <c r="U590" s="2">
        <v>11.93</v>
      </c>
      <c r="V590" s="2">
        <v>39.72</v>
      </c>
      <c r="W590" s="2">
        <f t="shared" si="85"/>
        <v>5.0018022426339854</v>
      </c>
      <c r="X590" s="2">
        <f t="shared" si="86"/>
        <v>4.784503982929567</v>
      </c>
      <c r="Y590" s="2">
        <f t="shared" si="87"/>
        <v>5.9262366844133298</v>
      </c>
      <c r="Z590">
        <f t="shared" si="88"/>
        <v>-0.64936940322190617</v>
      </c>
      <c r="AA590">
        <f t="shared" si="89"/>
        <v>-0.69287667348303894</v>
      </c>
      <c r="AB590">
        <f t="shared" si="90"/>
        <v>-0.22463402362079823</v>
      </c>
    </row>
    <row r="591" spans="1:28" ht="13.9" x14ac:dyDescent="0.3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f t="shared" si="82"/>
        <v>1.028569152196771</v>
      </c>
      <c r="L591" s="2">
        <f t="shared" si="83"/>
        <v>-1.6438561897747248</v>
      </c>
      <c r="M591" s="2">
        <f t="shared" si="84"/>
        <v>1.4168397419128294</v>
      </c>
      <c r="N591" s="2">
        <v>4.9800000000000004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f t="shared" si="85"/>
        <v>2.3161457422933562</v>
      </c>
      <c r="X591" s="2" t="e">
        <f t="shared" si="86"/>
        <v>#NUM!</v>
      </c>
      <c r="Y591" s="2" t="e">
        <f t="shared" si="87"/>
        <v>#NUM!</v>
      </c>
      <c r="Z591">
        <f t="shared" si="88"/>
        <v>1.1710872454306684</v>
      </c>
      <c r="AA591" t="e">
        <f t="shared" si="89"/>
        <v>#NUM!</v>
      </c>
      <c r="AB591" t="e">
        <f t="shared" si="90"/>
        <v>#NUM!</v>
      </c>
    </row>
    <row r="592" spans="1:28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 t="e">
        <f t="shared" si="82"/>
        <v>#NUM!</v>
      </c>
      <c r="L592" s="2" t="e">
        <f t="shared" si="83"/>
        <v>#NUM!</v>
      </c>
      <c r="M592" s="2" t="e">
        <f t="shared" si="84"/>
        <v>#NUM!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7.53</v>
      </c>
      <c r="V592" s="2">
        <v>0</v>
      </c>
      <c r="W592" s="2" t="e">
        <f t="shared" si="85"/>
        <v>#NUM!</v>
      </c>
      <c r="X592" s="2" t="e">
        <f t="shared" si="86"/>
        <v>#NUM!</v>
      </c>
      <c r="Y592" s="2">
        <f t="shared" si="87"/>
        <v>2.9126498648972032</v>
      </c>
      <c r="Z592" t="e">
        <f t="shared" si="88"/>
        <v>#NUM!</v>
      </c>
      <c r="AA592" t="e">
        <f t="shared" si="89"/>
        <v>#NUM!</v>
      </c>
      <c r="AB592" t="e">
        <f t="shared" si="90"/>
        <v>#NUM!</v>
      </c>
    </row>
    <row r="593" spans="1:28" ht="13.9" x14ac:dyDescent="0.3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f t="shared" si="82"/>
        <v>2.7697717392494479</v>
      </c>
      <c r="L593" s="2">
        <f t="shared" si="83"/>
        <v>3.1043366598147353</v>
      </c>
      <c r="M593" s="2">
        <f t="shared" si="84"/>
        <v>1.6182386555954549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10.56</v>
      </c>
      <c r="W593" s="2" t="e">
        <f t="shared" si="85"/>
        <v>#NUM!</v>
      </c>
      <c r="X593" s="2" t="e">
        <f t="shared" si="86"/>
        <v>#NUM!</v>
      </c>
      <c r="Y593" s="2">
        <f t="shared" si="87"/>
        <v>3.400537929583729</v>
      </c>
      <c r="Z593" t="e">
        <f t="shared" si="88"/>
        <v>#NUM!</v>
      </c>
      <c r="AA593" t="e">
        <f t="shared" si="89"/>
        <v>#NUM!</v>
      </c>
      <c r="AB593">
        <f t="shared" si="90"/>
        <v>1.0713385935781459</v>
      </c>
    </row>
    <row r="594" spans="1:28" ht="13.9" x14ac:dyDescent="0.3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f t="shared" si="82"/>
        <v>4.0992952043377748</v>
      </c>
      <c r="L594" s="2">
        <f t="shared" si="83"/>
        <v>3.8609627978581167</v>
      </c>
      <c r="M594" s="2">
        <f t="shared" si="84"/>
        <v>2.4620523187964327</v>
      </c>
      <c r="N594" s="2">
        <v>0</v>
      </c>
      <c r="O594" s="2">
        <v>0</v>
      </c>
      <c r="P594" s="2">
        <v>0</v>
      </c>
      <c r="Q594" s="2">
        <v>7.58</v>
      </c>
      <c r="R594" s="2">
        <v>19.52</v>
      </c>
      <c r="S594" s="2">
        <v>6.55</v>
      </c>
      <c r="T594" s="2">
        <v>0</v>
      </c>
      <c r="U594" s="2">
        <v>0</v>
      </c>
      <c r="V594" s="2">
        <v>0</v>
      </c>
      <c r="W594" s="2" t="e">
        <f t="shared" si="85"/>
        <v>#NUM!</v>
      </c>
      <c r="X594" s="2">
        <f t="shared" si="86"/>
        <v>5.072534599722955</v>
      </c>
      <c r="Y594" s="2" t="e">
        <f t="shared" si="87"/>
        <v>#NUM!</v>
      </c>
      <c r="Z594" t="e">
        <f t="shared" si="88"/>
        <v>#NUM!</v>
      </c>
      <c r="AA594">
        <f t="shared" si="89"/>
        <v>0.39374614730787116</v>
      </c>
      <c r="AB594" t="e">
        <f t="shared" si="90"/>
        <v>#NUM!</v>
      </c>
    </row>
    <row r="595" spans="1:28" ht="13.9" x14ac:dyDescent="0.3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f t="shared" si="82"/>
        <v>1.9448584458075393</v>
      </c>
      <c r="L595" s="2">
        <f t="shared" si="83"/>
        <v>2.5285713188707577</v>
      </c>
      <c r="M595" s="2">
        <f t="shared" si="84"/>
        <v>1.632268215499513</v>
      </c>
      <c r="N595" s="2">
        <v>0</v>
      </c>
      <c r="O595" s="2">
        <v>0</v>
      </c>
      <c r="P595" s="2">
        <v>0</v>
      </c>
      <c r="Q595" s="2">
        <v>0.33</v>
      </c>
      <c r="R595" s="2">
        <v>0</v>
      </c>
      <c r="S595" s="2">
        <v>0</v>
      </c>
      <c r="T595" s="2">
        <v>0</v>
      </c>
      <c r="U595" s="2">
        <v>8.7899999999999991</v>
      </c>
      <c r="V595" s="2">
        <v>0</v>
      </c>
      <c r="W595" s="2" t="e">
        <f t="shared" si="85"/>
        <v>#NUM!</v>
      </c>
      <c r="X595" s="2">
        <f t="shared" si="86"/>
        <v>-1.5994620704162712</v>
      </c>
      <c r="Y595" s="2">
        <f t="shared" si="87"/>
        <v>3.1358631653686793</v>
      </c>
      <c r="Z595" t="e">
        <f t="shared" si="88"/>
        <v>#NUM!</v>
      </c>
      <c r="AA595" t="e">
        <f t="shared" si="89"/>
        <v>#NUM!</v>
      </c>
      <c r="AB595">
        <f t="shared" si="90"/>
        <v>0.94198446677046566</v>
      </c>
    </row>
    <row r="596" spans="1:28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 t="e">
        <f t="shared" si="82"/>
        <v>#NUM!</v>
      </c>
      <c r="L596" s="2" t="e">
        <f t="shared" si="83"/>
        <v>#NUM!</v>
      </c>
      <c r="M596" s="2" t="e">
        <f t="shared" si="84"/>
        <v>#NUM!</v>
      </c>
      <c r="N596" s="2">
        <v>9.18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f t="shared" si="85"/>
        <v>3.198494153639083</v>
      </c>
      <c r="X596" s="2" t="e">
        <f t="shared" si="86"/>
        <v>#NUM!</v>
      </c>
      <c r="Y596" s="2" t="e">
        <f t="shared" si="87"/>
        <v>#NUM!</v>
      </c>
      <c r="Z596" t="e">
        <f t="shared" si="88"/>
        <v>#NUM!</v>
      </c>
      <c r="AA596" t="e">
        <f t="shared" si="89"/>
        <v>#NUM!</v>
      </c>
      <c r="AB596" t="e">
        <f t="shared" si="90"/>
        <v>#NUM!</v>
      </c>
    </row>
    <row r="597" spans="1:28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 t="e">
        <f t="shared" si="82"/>
        <v>#NUM!</v>
      </c>
      <c r="L597" s="2">
        <f t="shared" si="83"/>
        <v>-1.6438561897747248</v>
      </c>
      <c r="M597" s="2">
        <f t="shared" si="84"/>
        <v>-1.8889686876112561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 t="e">
        <f t="shared" si="85"/>
        <v>#NUM!</v>
      </c>
      <c r="X597" s="2" t="e">
        <f t="shared" si="86"/>
        <v>#NUM!</v>
      </c>
      <c r="Y597" s="2" t="e">
        <f t="shared" si="87"/>
        <v>#NUM!</v>
      </c>
      <c r="Z597" t="e">
        <f t="shared" si="88"/>
        <v>#NUM!</v>
      </c>
      <c r="AA597" t="e">
        <f t="shared" si="89"/>
        <v>#NUM!</v>
      </c>
      <c r="AB597" t="e">
        <f t="shared" si="90"/>
        <v>#NUM!</v>
      </c>
    </row>
    <row r="598" spans="1:28" ht="13.9" x14ac:dyDescent="0.3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f t="shared" si="82"/>
        <v>-0.86249647625006509</v>
      </c>
      <c r="L598" s="2">
        <f t="shared" si="83"/>
        <v>-1.8889686876112561</v>
      </c>
      <c r="M598" s="2" t="e">
        <f t="shared" si="84"/>
        <v>#NUM!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 t="e">
        <f t="shared" si="85"/>
        <v>#NUM!</v>
      </c>
      <c r="X598" s="2" t="e">
        <f t="shared" si="86"/>
        <v>#NUM!</v>
      </c>
      <c r="Y598" s="2" t="e">
        <f t="shared" si="87"/>
        <v>#NUM!</v>
      </c>
      <c r="Z598" t="e">
        <f t="shared" si="88"/>
        <v>#NUM!</v>
      </c>
      <c r="AA598" t="e">
        <f t="shared" si="89"/>
        <v>#NUM!</v>
      </c>
      <c r="AB598" t="e">
        <f t="shared" si="90"/>
        <v>#NUM!</v>
      </c>
    </row>
    <row r="599" spans="1:28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 t="e">
        <f t="shared" si="82"/>
        <v>#NUM!</v>
      </c>
      <c r="L599" s="2" t="e">
        <f t="shared" si="83"/>
        <v>#NUM!</v>
      </c>
      <c r="M599" s="2">
        <f t="shared" si="84"/>
        <v>-1.2863041851566412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 t="e">
        <f t="shared" si="85"/>
        <v>#NUM!</v>
      </c>
      <c r="X599" s="2" t="e">
        <f t="shared" si="86"/>
        <v>#NUM!</v>
      </c>
      <c r="Y599" s="2" t="e">
        <f t="shared" si="87"/>
        <v>#NUM!</v>
      </c>
      <c r="Z599" t="e">
        <f t="shared" si="88"/>
        <v>#NUM!</v>
      </c>
      <c r="AA599" t="e">
        <f t="shared" si="89"/>
        <v>#NUM!</v>
      </c>
      <c r="AB599" t="e">
        <f t="shared" si="90"/>
        <v>#NUM!</v>
      </c>
    </row>
    <row r="600" spans="1:28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 t="e">
        <f t="shared" si="82"/>
        <v>#NUM!</v>
      </c>
      <c r="L600" s="2">
        <f t="shared" si="83"/>
        <v>9.7610796626422344E-2</v>
      </c>
      <c r="M600" s="2" t="e">
        <f t="shared" si="84"/>
        <v>#NUM!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 t="e">
        <f t="shared" si="85"/>
        <v>#NUM!</v>
      </c>
      <c r="X600" s="2" t="e">
        <f t="shared" si="86"/>
        <v>#NUM!</v>
      </c>
      <c r="Y600" s="2" t="e">
        <f t="shared" si="87"/>
        <v>#NUM!</v>
      </c>
      <c r="Z600" t="e">
        <f t="shared" si="88"/>
        <v>#NUM!</v>
      </c>
      <c r="AA600" t="e">
        <f t="shared" si="89"/>
        <v>#NUM!</v>
      </c>
      <c r="AB600" t="e">
        <f t="shared" si="90"/>
        <v>#NUM!</v>
      </c>
    </row>
    <row r="601" spans="1:28" ht="13.9" x14ac:dyDescent="0.3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f t="shared" si="82"/>
        <v>5.2284339205133659</v>
      </c>
      <c r="L601" s="2">
        <f t="shared" si="83"/>
        <v>5.6834157470304305</v>
      </c>
      <c r="M601" s="2">
        <f t="shared" si="84"/>
        <v>5.5607149544744789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12.2</v>
      </c>
      <c r="T601" s="2">
        <v>5.21</v>
      </c>
      <c r="U601" s="2">
        <v>9.6300000000000008</v>
      </c>
      <c r="V601" s="2">
        <v>5.53</v>
      </c>
      <c r="W601" s="2" t="e">
        <f t="shared" si="85"/>
        <v>#NUM!</v>
      </c>
      <c r="X601" s="2">
        <f t="shared" si="86"/>
        <v>3.6088092426755241</v>
      </c>
      <c r="Y601" s="2">
        <f t="shared" si="87"/>
        <v>4.3483740751911633</v>
      </c>
      <c r="Z601" t="e">
        <f t="shared" si="88"/>
        <v>#NUM!</v>
      </c>
      <c r="AA601">
        <f t="shared" si="89"/>
        <v>-0.65523536758110046</v>
      </c>
      <c r="AB601">
        <f t="shared" si="90"/>
        <v>-0.35479433000125504</v>
      </c>
    </row>
    <row r="602" spans="1:28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 t="e">
        <f t="shared" si="82"/>
        <v>#NUM!</v>
      </c>
      <c r="L602" s="2">
        <f t="shared" si="83"/>
        <v>-0.76121314041288324</v>
      </c>
      <c r="M602" s="2" t="e">
        <f t="shared" si="84"/>
        <v>#NUM!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 t="e">
        <f t="shared" si="85"/>
        <v>#NUM!</v>
      </c>
      <c r="X602" s="2" t="e">
        <f t="shared" si="86"/>
        <v>#NUM!</v>
      </c>
      <c r="Y602" s="2" t="e">
        <f t="shared" si="87"/>
        <v>#NUM!</v>
      </c>
      <c r="Z602" t="e">
        <f t="shared" si="88"/>
        <v>#NUM!</v>
      </c>
      <c r="AA602" t="e">
        <f t="shared" si="89"/>
        <v>#NUM!</v>
      </c>
      <c r="AB602" t="e">
        <f t="shared" si="90"/>
        <v>#NUM!</v>
      </c>
    </row>
    <row r="603" spans="1:28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 t="e">
        <f t="shared" si="82"/>
        <v>#NUM!</v>
      </c>
      <c r="L603" s="2" t="e">
        <f t="shared" si="83"/>
        <v>#NUM!</v>
      </c>
      <c r="M603" s="2" t="e">
        <f t="shared" si="84"/>
        <v>#NUM!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4.1900000000000004</v>
      </c>
      <c r="V603" s="2">
        <v>0</v>
      </c>
      <c r="W603" s="2" t="e">
        <f t="shared" si="85"/>
        <v>#NUM!</v>
      </c>
      <c r="X603" s="2" t="e">
        <f t="shared" si="86"/>
        <v>#NUM!</v>
      </c>
      <c r="Y603" s="2">
        <f t="shared" si="87"/>
        <v>2.066950243924627</v>
      </c>
      <c r="Z603" t="e">
        <f t="shared" si="88"/>
        <v>#NUM!</v>
      </c>
      <c r="AA603" t="e">
        <f t="shared" si="89"/>
        <v>#NUM!</v>
      </c>
      <c r="AB603" t="e">
        <f t="shared" si="90"/>
        <v>#NUM!</v>
      </c>
    </row>
    <row r="604" spans="1:28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 t="e">
        <f t="shared" si="82"/>
        <v>#NUM!</v>
      </c>
      <c r="L604" s="2">
        <f t="shared" si="83"/>
        <v>-1.2175914350726269</v>
      </c>
      <c r="M604" s="2" t="e">
        <f t="shared" si="84"/>
        <v>#NUM!</v>
      </c>
      <c r="N604" s="2">
        <v>0</v>
      </c>
      <c r="O604" s="2">
        <v>0</v>
      </c>
      <c r="P604" s="2">
        <v>0</v>
      </c>
      <c r="Q604" s="2">
        <v>0.33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 t="e">
        <f t="shared" si="85"/>
        <v>#NUM!</v>
      </c>
      <c r="X604" s="2">
        <f t="shared" si="86"/>
        <v>-1.5994620704162712</v>
      </c>
      <c r="Y604" s="2" t="e">
        <f t="shared" si="87"/>
        <v>#NUM!</v>
      </c>
      <c r="Z604" t="e">
        <f t="shared" si="88"/>
        <v>#NUM!</v>
      </c>
      <c r="AA604">
        <f t="shared" si="89"/>
        <v>0.39355666523128341</v>
      </c>
      <c r="AB604" t="e">
        <f t="shared" si="90"/>
        <v>#NUM!</v>
      </c>
    </row>
    <row r="605" spans="1:28" ht="13.9" x14ac:dyDescent="0.3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f t="shared" si="82"/>
        <v>3.2957230245399685</v>
      </c>
      <c r="L605" s="2">
        <f t="shared" si="83"/>
        <v>1.8399595874895318</v>
      </c>
      <c r="M605" s="2">
        <f t="shared" si="84"/>
        <v>2.8073549220576042</v>
      </c>
      <c r="N605" s="2">
        <v>0</v>
      </c>
      <c r="O605" s="2">
        <v>0</v>
      </c>
      <c r="P605" s="2">
        <v>0</v>
      </c>
      <c r="Q605" s="2">
        <v>0</v>
      </c>
      <c r="R605" s="2">
        <v>22.2</v>
      </c>
      <c r="S605" s="2">
        <v>0</v>
      </c>
      <c r="T605" s="2">
        <v>0</v>
      </c>
      <c r="U605" s="2">
        <v>0</v>
      </c>
      <c r="V605" s="2">
        <v>0</v>
      </c>
      <c r="W605" s="2" t="e">
        <f t="shared" si="85"/>
        <v>#NUM!</v>
      </c>
      <c r="X605" s="2">
        <f t="shared" si="86"/>
        <v>4.4724877714627436</v>
      </c>
      <c r="Y605" s="2" t="e">
        <f t="shared" si="87"/>
        <v>#NUM!</v>
      </c>
      <c r="Z605" t="e">
        <f t="shared" si="88"/>
        <v>#NUM!</v>
      </c>
      <c r="AA605">
        <f t="shared" si="89"/>
        <v>1.2814034581504101</v>
      </c>
      <c r="AB605" t="e">
        <f t="shared" si="90"/>
        <v>#NUM!</v>
      </c>
    </row>
    <row r="606" spans="1:28" ht="13.9" x14ac:dyDescent="0.3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f t="shared" si="82"/>
        <v>-0.55639334852438527</v>
      </c>
      <c r="L606" s="2">
        <f t="shared" si="83"/>
        <v>-1.0291463456595165</v>
      </c>
      <c r="M606" s="2" t="e">
        <f t="shared" si="84"/>
        <v>#NUM!</v>
      </c>
      <c r="N606" s="2">
        <v>0</v>
      </c>
      <c r="O606" s="2">
        <v>0</v>
      </c>
      <c r="P606" s="2">
        <v>8.0399999999999991</v>
      </c>
      <c r="Q606" s="2">
        <v>0</v>
      </c>
      <c r="R606" s="2">
        <v>5.61</v>
      </c>
      <c r="S606" s="2">
        <v>0</v>
      </c>
      <c r="T606" s="2">
        <v>0</v>
      </c>
      <c r="U606" s="2">
        <v>0</v>
      </c>
      <c r="V606" s="2">
        <v>0</v>
      </c>
      <c r="W606" s="2">
        <f t="shared" si="85"/>
        <v>3.0071955014042038</v>
      </c>
      <c r="X606" s="2">
        <f t="shared" si="86"/>
        <v>2.4880007708340686</v>
      </c>
      <c r="Y606" s="2" t="e">
        <f t="shared" si="87"/>
        <v>#NUM!</v>
      </c>
      <c r="Z606" t="e">
        <f t="shared" si="88"/>
        <v>#NUM!</v>
      </c>
      <c r="AA606" t="e">
        <f t="shared" si="89"/>
        <v>#NUM!</v>
      </c>
      <c r="AB606" t="e">
        <f t="shared" si="90"/>
        <v>#NUM!</v>
      </c>
    </row>
    <row r="607" spans="1:28" ht="13.9" x14ac:dyDescent="0.3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f t="shared" si="82"/>
        <v>-1.5145731728297585</v>
      </c>
      <c r="L607" s="2">
        <f t="shared" si="83"/>
        <v>-2.2515387669959646</v>
      </c>
      <c r="M607" s="2">
        <f t="shared" si="84"/>
        <v>0.66902676550963081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 t="e">
        <f t="shared" si="85"/>
        <v>#NUM!</v>
      </c>
      <c r="X607" s="2" t="e">
        <f t="shared" si="86"/>
        <v>#NUM!</v>
      </c>
      <c r="Y607" s="2" t="e">
        <f t="shared" si="87"/>
        <v>#NUM!</v>
      </c>
      <c r="Z607" t="e">
        <f t="shared" si="88"/>
        <v>#NUM!</v>
      </c>
      <c r="AA607" t="e">
        <f t="shared" si="89"/>
        <v>#NUM!</v>
      </c>
      <c r="AB607" t="e">
        <f t="shared" si="90"/>
        <v>#NUM!</v>
      </c>
    </row>
    <row r="608" spans="1:28" ht="13.9" x14ac:dyDescent="0.3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f t="shared" si="82"/>
        <v>5.7175393433911648</v>
      </c>
      <c r="L608" s="2">
        <f t="shared" si="83"/>
        <v>5.5680321047712793</v>
      </c>
      <c r="M608" s="2">
        <f t="shared" si="84"/>
        <v>5.3543816321133217</v>
      </c>
      <c r="N608" s="2">
        <v>0.13</v>
      </c>
      <c r="O608" s="2">
        <v>10.119999999999999</v>
      </c>
      <c r="P608" s="2">
        <v>0.26</v>
      </c>
      <c r="Q608" s="2">
        <v>10.220000000000001</v>
      </c>
      <c r="R608" s="2">
        <v>0.24</v>
      </c>
      <c r="S608" s="2">
        <v>4.01</v>
      </c>
      <c r="T608" s="2">
        <v>3.95</v>
      </c>
      <c r="U608" s="2">
        <v>8.16</v>
      </c>
      <c r="V608" s="2">
        <v>0</v>
      </c>
      <c r="W608" s="2">
        <f t="shared" si="85"/>
        <v>3.3936907641874536</v>
      </c>
      <c r="X608" s="2">
        <f t="shared" si="86"/>
        <v>3.8549930167570001</v>
      </c>
      <c r="Y608" s="2">
        <f t="shared" si="87"/>
        <v>3.5981269599196044</v>
      </c>
      <c r="Z608">
        <f t="shared" si="88"/>
        <v>-0.75253927676341514</v>
      </c>
      <c r="AA608">
        <f t="shared" si="89"/>
        <v>-0.53043928293083076</v>
      </c>
      <c r="AB608">
        <f t="shared" si="90"/>
        <v>-0.5734738773591147</v>
      </c>
    </row>
    <row r="609" spans="1:28" ht="13.9" x14ac:dyDescent="0.3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f t="shared" si="82"/>
        <v>-0.78587519464715272</v>
      </c>
      <c r="L609" s="2">
        <f t="shared" si="83"/>
        <v>-0.34007544159762171</v>
      </c>
      <c r="M609" s="2">
        <f t="shared" si="84"/>
        <v>-0.97143084780322919</v>
      </c>
      <c r="N609" s="2">
        <v>0</v>
      </c>
      <c r="O609" s="2">
        <v>0</v>
      </c>
      <c r="P609" s="2">
        <v>0</v>
      </c>
      <c r="Q609" s="2">
        <v>0</v>
      </c>
      <c r="R609" s="2">
        <v>0.73</v>
      </c>
      <c r="S609" s="2">
        <v>1.0900000000000001</v>
      </c>
      <c r="T609" s="2">
        <v>0</v>
      </c>
      <c r="U609" s="2">
        <v>0</v>
      </c>
      <c r="V609" s="2">
        <v>2.5099999999999998</v>
      </c>
      <c r="W609" s="2" t="e">
        <f t="shared" si="85"/>
        <v>#NUM!</v>
      </c>
      <c r="X609" s="2">
        <f t="shared" si="86"/>
        <v>0.86393845042397166</v>
      </c>
      <c r="Y609" s="2">
        <f t="shared" si="87"/>
        <v>1.3276873641760472</v>
      </c>
      <c r="Z609" t="e">
        <f t="shared" si="88"/>
        <v>#NUM!</v>
      </c>
      <c r="AA609" t="e">
        <f t="shared" si="89"/>
        <v>#NUM!</v>
      </c>
      <c r="AB609" t="e">
        <f t="shared" si="90"/>
        <v>#NUM!</v>
      </c>
    </row>
    <row r="610" spans="1:28" ht="13.9" x14ac:dyDescent="0.3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f t="shared" si="82"/>
        <v>2.5945485495503542</v>
      </c>
      <c r="L610" s="2">
        <f t="shared" si="83"/>
        <v>2.9221978483963671</v>
      </c>
      <c r="M610" s="2">
        <f t="shared" si="84"/>
        <v>2.6415460290875239</v>
      </c>
      <c r="N610" s="2">
        <v>0</v>
      </c>
      <c r="O610" s="2">
        <v>2.6</v>
      </c>
      <c r="P610" s="2">
        <v>8.82</v>
      </c>
      <c r="Q610" s="2">
        <v>0</v>
      </c>
      <c r="R610" s="2">
        <v>1.22</v>
      </c>
      <c r="S610" s="2">
        <v>0.18</v>
      </c>
      <c r="T610" s="2">
        <v>0</v>
      </c>
      <c r="U610" s="2">
        <v>10.88</v>
      </c>
      <c r="V610" s="2">
        <v>2.5099999999999998</v>
      </c>
      <c r="W610" s="2">
        <f t="shared" si="85"/>
        <v>3.5134907455881179</v>
      </c>
      <c r="X610" s="2">
        <f t="shared" si="86"/>
        <v>0.48542682717024171</v>
      </c>
      <c r="Y610" s="2">
        <f t="shared" si="87"/>
        <v>3.7430840555495859</v>
      </c>
      <c r="Z610">
        <f t="shared" si="88"/>
        <v>0.43742156652056763</v>
      </c>
      <c r="AA610">
        <f t="shared" si="89"/>
        <v>-2.5897281130905565</v>
      </c>
      <c r="AB610">
        <f t="shared" si="90"/>
        <v>0.5028448969394459</v>
      </c>
    </row>
    <row r="611" spans="1:28" ht="13.9" x14ac:dyDescent="0.3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f t="shared" si="82"/>
        <v>1.2016338611696504</v>
      </c>
      <c r="L611" s="2">
        <f t="shared" si="83"/>
        <v>2.6322682154995127</v>
      </c>
      <c r="M611" s="2">
        <f t="shared" si="84"/>
        <v>1.8114710305298358</v>
      </c>
      <c r="N611" s="2">
        <v>5.64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20.61</v>
      </c>
      <c r="W611" s="2">
        <f t="shared" si="85"/>
        <v>2.4956951626240689</v>
      </c>
      <c r="X611" s="2" t="e">
        <f t="shared" si="86"/>
        <v>#NUM!</v>
      </c>
      <c r="Y611" s="2">
        <f t="shared" si="87"/>
        <v>4.3652725997645314</v>
      </c>
      <c r="Z611">
        <f t="shared" si="88"/>
        <v>1.0544443539403128</v>
      </c>
      <c r="AA611" t="e">
        <f t="shared" si="89"/>
        <v>#NUM!</v>
      </c>
      <c r="AB611">
        <f t="shared" si="90"/>
        <v>1.268910015111639</v>
      </c>
    </row>
    <row r="612" spans="1:28" ht="13.9" x14ac:dyDescent="0.3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f t="shared" si="82"/>
        <v>2.3589588258323295</v>
      </c>
      <c r="L612" s="2">
        <f t="shared" si="83"/>
        <v>3.711494906650088</v>
      </c>
      <c r="M612" s="2">
        <f t="shared" si="84"/>
        <v>1.6780719051126378</v>
      </c>
      <c r="N612" s="2">
        <v>0</v>
      </c>
      <c r="O612" s="2">
        <v>0.28999999999999998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4.8099999999999996</v>
      </c>
      <c r="V612" s="2">
        <v>0</v>
      </c>
      <c r="W612" s="2">
        <f t="shared" si="85"/>
        <v>-1.7858751946471527</v>
      </c>
      <c r="X612" s="2" t="e">
        <f t="shared" si="86"/>
        <v>#NUM!</v>
      </c>
      <c r="Y612" s="2">
        <f t="shared" si="87"/>
        <v>2.266036893995317</v>
      </c>
      <c r="Z612" t="e">
        <f t="shared" si="88"/>
        <v>#NUM!</v>
      </c>
      <c r="AA612" t="e">
        <f t="shared" si="89"/>
        <v>#NUM!</v>
      </c>
      <c r="AB612">
        <f t="shared" si="90"/>
        <v>0.43336681392665982</v>
      </c>
    </row>
    <row r="613" spans="1:28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 t="e">
        <f t="shared" si="82"/>
        <v>#NUM!</v>
      </c>
      <c r="L613" s="2">
        <f t="shared" si="83"/>
        <v>-1.7369655941662063</v>
      </c>
      <c r="M613" s="2" t="e">
        <f t="shared" si="84"/>
        <v>#NUM!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 t="e">
        <f t="shared" si="85"/>
        <v>#NUM!</v>
      </c>
      <c r="X613" s="2" t="e">
        <f t="shared" si="86"/>
        <v>#NUM!</v>
      </c>
      <c r="Y613" s="2" t="e">
        <f t="shared" si="87"/>
        <v>#NUM!</v>
      </c>
      <c r="Z613" t="e">
        <f t="shared" si="88"/>
        <v>#NUM!</v>
      </c>
      <c r="AA613" t="e">
        <f t="shared" si="89"/>
        <v>#NUM!</v>
      </c>
      <c r="AB613" t="e">
        <f t="shared" si="90"/>
        <v>#NUM!</v>
      </c>
    </row>
    <row r="614" spans="1:28" ht="13.9" x14ac:dyDescent="0.3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f t="shared" si="82"/>
        <v>-0.86249647625006509</v>
      </c>
      <c r="L614" s="2">
        <f t="shared" si="83"/>
        <v>-0.53533173299655579</v>
      </c>
      <c r="M614" s="2" t="e">
        <f t="shared" si="84"/>
        <v>#NUM!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 t="e">
        <f t="shared" si="85"/>
        <v>#NUM!</v>
      </c>
      <c r="X614" s="2" t="e">
        <f t="shared" si="86"/>
        <v>#NUM!</v>
      </c>
      <c r="Y614" s="2" t="e">
        <f t="shared" si="87"/>
        <v>#NUM!</v>
      </c>
      <c r="Z614" t="e">
        <f t="shared" si="88"/>
        <v>#NUM!</v>
      </c>
      <c r="AA614" t="e">
        <f t="shared" si="89"/>
        <v>#NUM!</v>
      </c>
      <c r="AB614" t="e">
        <f t="shared" si="90"/>
        <v>#NUM!</v>
      </c>
    </row>
    <row r="615" spans="1:28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 t="e">
        <f t="shared" si="82"/>
        <v>#NUM!</v>
      </c>
      <c r="L615" s="2">
        <f t="shared" si="83"/>
        <v>-2.9434164716336326</v>
      </c>
      <c r="M615" s="2" t="e">
        <f t="shared" si="84"/>
        <v>#NUM!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 t="e">
        <f t="shared" si="85"/>
        <v>#NUM!</v>
      </c>
      <c r="X615" s="2" t="e">
        <f t="shared" si="86"/>
        <v>#NUM!</v>
      </c>
      <c r="Y615" s="2" t="e">
        <f t="shared" si="87"/>
        <v>#NUM!</v>
      </c>
      <c r="Z615" t="e">
        <f t="shared" si="88"/>
        <v>#NUM!</v>
      </c>
      <c r="AA615" t="e">
        <f t="shared" si="89"/>
        <v>#NUM!</v>
      </c>
      <c r="AB615" t="e">
        <f t="shared" si="90"/>
        <v>#NUM!</v>
      </c>
    </row>
    <row r="616" spans="1:28" ht="13.9" x14ac:dyDescent="0.3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f t="shared" si="82"/>
        <v>0.73984810269932755</v>
      </c>
      <c r="L616" s="2">
        <f t="shared" si="83"/>
        <v>1.2986583155645153</v>
      </c>
      <c r="M616" s="2">
        <f t="shared" si="84"/>
        <v>4.2644337408493722E-2</v>
      </c>
      <c r="N616" s="2">
        <v>0</v>
      </c>
      <c r="O616" s="2">
        <v>3.47</v>
      </c>
      <c r="P616" s="2">
        <v>0</v>
      </c>
      <c r="Q616" s="2">
        <v>0</v>
      </c>
      <c r="R616" s="2">
        <v>0</v>
      </c>
      <c r="S616" s="2">
        <v>0</v>
      </c>
      <c r="T616" s="2">
        <v>3.05</v>
      </c>
      <c r="U616" s="2">
        <v>9</v>
      </c>
      <c r="V616" s="2">
        <v>0</v>
      </c>
      <c r="W616" s="2">
        <f t="shared" si="85"/>
        <v>1.7949356628035364</v>
      </c>
      <c r="X616" s="2" t="e">
        <f t="shared" si="86"/>
        <v>#NUM!</v>
      </c>
      <c r="Y616" s="2">
        <f t="shared" si="87"/>
        <v>3.5909612413425993</v>
      </c>
      <c r="Z616">
        <f t="shared" si="88"/>
        <v>1.278631125079623</v>
      </c>
      <c r="AA616" t="e">
        <f t="shared" si="89"/>
        <v>#NUM!</v>
      </c>
      <c r="AB616">
        <f t="shared" si="90"/>
        <v>6.3958720874226431</v>
      </c>
    </row>
    <row r="617" spans="1:28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 t="e">
        <f t="shared" si="82"/>
        <v>#NUM!</v>
      </c>
      <c r="L617" s="2">
        <f t="shared" si="83"/>
        <v>-2.3219280948873622</v>
      </c>
      <c r="M617" s="2" t="e">
        <f t="shared" si="84"/>
        <v>#NUM!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 t="e">
        <f t="shared" si="85"/>
        <v>#NUM!</v>
      </c>
      <c r="X617" s="2" t="e">
        <f t="shared" si="86"/>
        <v>#NUM!</v>
      </c>
      <c r="Y617" s="2" t="e">
        <f t="shared" si="87"/>
        <v>#NUM!</v>
      </c>
      <c r="Z617" t="e">
        <f t="shared" si="88"/>
        <v>#NUM!</v>
      </c>
      <c r="AA617" t="e">
        <f t="shared" si="89"/>
        <v>#NUM!</v>
      </c>
      <c r="AB617" t="e">
        <f t="shared" si="90"/>
        <v>#NUM!</v>
      </c>
    </row>
    <row r="618" spans="1:28" ht="13.9" x14ac:dyDescent="0.3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f t="shared" si="82"/>
        <v>-0.15200309344504997</v>
      </c>
      <c r="L618" s="2">
        <f t="shared" si="83"/>
        <v>2.3248106034204836</v>
      </c>
      <c r="M618" s="2">
        <f t="shared" si="84"/>
        <v>1.5109619192773793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9.0500000000000007</v>
      </c>
      <c r="W618" s="2" t="e">
        <f t="shared" si="85"/>
        <v>#NUM!</v>
      </c>
      <c r="X618" s="2" t="e">
        <f t="shared" si="86"/>
        <v>#NUM!</v>
      </c>
      <c r="Y618" s="2">
        <f t="shared" si="87"/>
        <v>3.177917792195843</v>
      </c>
      <c r="Z618" t="e">
        <f t="shared" si="88"/>
        <v>#NUM!</v>
      </c>
      <c r="AA618" t="e">
        <f t="shared" si="89"/>
        <v>#NUM!</v>
      </c>
      <c r="AB618">
        <f t="shared" si="90"/>
        <v>1.0726145041199706</v>
      </c>
    </row>
    <row r="619" spans="1:28" ht="13.9" x14ac:dyDescent="0.3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f t="shared" si="82"/>
        <v>2.080657663345225</v>
      </c>
      <c r="L619" s="2">
        <f t="shared" si="83"/>
        <v>2.9800253002387338</v>
      </c>
      <c r="M619" s="2">
        <f t="shared" si="84"/>
        <v>2.2172307162206693</v>
      </c>
      <c r="N619" s="2">
        <v>7.34</v>
      </c>
      <c r="O619" s="2">
        <v>0</v>
      </c>
      <c r="P619" s="2">
        <v>0</v>
      </c>
      <c r="Q619" s="2">
        <v>13.18</v>
      </c>
      <c r="R619" s="2">
        <v>7.07</v>
      </c>
      <c r="S619" s="2">
        <v>0</v>
      </c>
      <c r="T619" s="2">
        <v>0</v>
      </c>
      <c r="U619" s="2">
        <v>1.88</v>
      </c>
      <c r="V619" s="2">
        <v>0</v>
      </c>
      <c r="W619" s="2">
        <f t="shared" si="85"/>
        <v>2.8757800630684884</v>
      </c>
      <c r="X619" s="2">
        <f t="shared" si="86"/>
        <v>4.3398500028846252</v>
      </c>
      <c r="Y619" s="2">
        <f t="shared" si="87"/>
        <v>0.91073266190291258</v>
      </c>
      <c r="Z619">
        <f t="shared" si="88"/>
        <v>0.46691373025876837</v>
      </c>
      <c r="AA619">
        <f t="shared" si="89"/>
        <v>0.5423206009000674</v>
      </c>
      <c r="AB619">
        <f t="shared" si="90"/>
        <v>-1.2836593691340912</v>
      </c>
    </row>
    <row r="620" spans="1:28" ht="13.9" x14ac:dyDescent="0.3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f t="shared" si="82"/>
        <v>0.82374936030827284</v>
      </c>
      <c r="L620" s="2">
        <f t="shared" si="83"/>
        <v>-1.0291463456595165</v>
      </c>
      <c r="M620" s="2">
        <f t="shared" si="84"/>
        <v>-0.55639334852438527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 t="e">
        <f t="shared" si="85"/>
        <v>#NUM!</v>
      </c>
      <c r="X620" s="2" t="e">
        <f t="shared" si="86"/>
        <v>#NUM!</v>
      </c>
      <c r="Y620" s="2" t="e">
        <f t="shared" si="87"/>
        <v>#NUM!</v>
      </c>
      <c r="Z620" t="e">
        <f t="shared" si="88"/>
        <v>#NUM!</v>
      </c>
      <c r="AA620" t="e">
        <f t="shared" si="89"/>
        <v>#NUM!</v>
      </c>
      <c r="AB620" t="e">
        <f t="shared" si="90"/>
        <v>#NUM!</v>
      </c>
    </row>
    <row r="621" spans="1:28" ht="13.9" x14ac:dyDescent="0.3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f t="shared" si="82"/>
        <v>2.3448284969974416</v>
      </c>
      <c r="L621" s="2">
        <f t="shared" si="83"/>
        <v>2.339137384919586</v>
      </c>
      <c r="M621" s="2">
        <f t="shared" si="84"/>
        <v>8.1722274677354427</v>
      </c>
      <c r="N621" s="2">
        <v>11.93</v>
      </c>
      <c r="O621" s="2">
        <v>2.6</v>
      </c>
      <c r="P621" s="2">
        <v>1.3</v>
      </c>
      <c r="Q621" s="2">
        <v>0</v>
      </c>
      <c r="R621" s="2">
        <v>10</v>
      </c>
      <c r="S621" s="2">
        <v>1.27</v>
      </c>
      <c r="T621" s="2">
        <v>11.32</v>
      </c>
      <c r="U621" s="2">
        <v>2.72</v>
      </c>
      <c r="V621" s="2">
        <v>0</v>
      </c>
      <c r="W621" s="2">
        <f t="shared" si="85"/>
        <v>3.9845893503624565</v>
      </c>
      <c r="X621" s="2">
        <f t="shared" si="86"/>
        <v>3.4944156103974962</v>
      </c>
      <c r="Y621" s="2">
        <f t="shared" si="87"/>
        <v>3.8114710305298365</v>
      </c>
      <c r="Z621">
        <f t="shared" si="88"/>
        <v>0.76494864199904866</v>
      </c>
      <c r="AA621">
        <f t="shared" si="89"/>
        <v>0.57907460804071798</v>
      </c>
      <c r="AB621">
        <f t="shared" si="90"/>
        <v>-1.1003814501442408</v>
      </c>
    </row>
    <row r="622" spans="1:28" ht="13.9" x14ac:dyDescent="0.3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f t="shared" si="82"/>
        <v>-3.1844245711374275</v>
      </c>
      <c r="L622" s="2" t="e">
        <f t="shared" si="83"/>
        <v>#NUM!</v>
      </c>
      <c r="M622" s="2" t="e">
        <f t="shared" si="84"/>
        <v>#NUM!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 t="e">
        <f t="shared" si="85"/>
        <v>#NUM!</v>
      </c>
      <c r="X622" s="2" t="e">
        <f t="shared" si="86"/>
        <v>#NUM!</v>
      </c>
      <c r="Y622" s="2" t="e">
        <f t="shared" si="87"/>
        <v>#NUM!</v>
      </c>
      <c r="Z622" t="e">
        <f t="shared" si="88"/>
        <v>#NUM!</v>
      </c>
      <c r="AA622" t="e">
        <f t="shared" si="89"/>
        <v>#NUM!</v>
      </c>
      <c r="AB622" t="e">
        <f t="shared" si="90"/>
        <v>#NUM!</v>
      </c>
    </row>
    <row r="623" spans="1:28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 t="e">
        <f t="shared" si="82"/>
        <v>#NUM!</v>
      </c>
      <c r="L623" s="2">
        <f t="shared" si="83"/>
        <v>-8.9267338097087409E-2</v>
      </c>
      <c r="M623" s="2" t="e">
        <f t="shared" si="84"/>
        <v>#NUM!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 t="e">
        <f t="shared" si="85"/>
        <v>#NUM!</v>
      </c>
      <c r="X623" s="2" t="e">
        <f t="shared" si="86"/>
        <v>#NUM!</v>
      </c>
      <c r="Y623" s="2" t="e">
        <f t="shared" si="87"/>
        <v>#NUM!</v>
      </c>
      <c r="Z623" t="e">
        <f t="shared" si="88"/>
        <v>#NUM!</v>
      </c>
      <c r="AA623" t="e">
        <f t="shared" si="89"/>
        <v>#NUM!</v>
      </c>
      <c r="AB623" t="e">
        <f t="shared" si="90"/>
        <v>#NUM!</v>
      </c>
    </row>
    <row r="624" spans="1:28" ht="13.9" x14ac:dyDescent="0.3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f t="shared" si="82"/>
        <v>1.5008020530571577</v>
      </c>
      <c r="L624" s="2">
        <f t="shared" si="83"/>
        <v>1.9373443921502327</v>
      </c>
      <c r="M624" s="2">
        <f t="shared" si="84"/>
        <v>7.3628205255342634</v>
      </c>
      <c r="N624" s="2">
        <v>0</v>
      </c>
      <c r="O624" s="2">
        <v>0</v>
      </c>
      <c r="P624" s="2">
        <v>0</v>
      </c>
      <c r="Q624" s="2">
        <v>0</v>
      </c>
      <c r="R624" s="2">
        <v>7.07</v>
      </c>
      <c r="S624" s="2">
        <v>18.39</v>
      </c>
      <c r="T624" s="2">
        <v>0</v>
      </c>
      <c r="U624" s="2">
        <v>0</v>
      </c>
      <c r="V624" s="2">
        <v>0</v>
      </c>
      <c r="W624" s="2" t="e">
        <f t="shared" si="85"/>
        <v>#NUM!</v>
      </c>
      <c r="X624" s="2">
        <f t="shared" si="86"/>
        <v>4.6701605141266338</v>
      </c>
      <c r="Y624" s="2" t="e">
        <f t="shared" si="87"/>
        <v>#NUM!</v>
      </c>
      <c r="Z624" t="e">
        <f t="shared" si="88"/>
        <v>#NUM!</v>
      </c>
      <c r="AA624">
        <f t="shared" si="89"/>
        <v>1.2693916989195988</v>
      </c>
      <c r="AB624" t="e">
        <f t="shared" si="90"/>
        <v>#NUM!</v>
      </c>
    </row>
    <row r="625" spans="1:28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 t="e">
        <f t="shared" si="82"/>
        <v>#NUM!</v>
      </c>
      <c r="L625" s="2">
        <f t="shared" si="83"/>
        <v>-1.0291463456595165</v>
      </c>
      <c r="M625" s="2" t="e">
        <f t="shared" si="84"/>
        <v>#NUM!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 t="e">
        <f t="shared" si="85"/>
        <v>#NUM!</v>
      </c>
      <c r="X625" s="2" t="e">
        <f t="shared" si="86"/>
        <v>#NUM!</v>
      </c>
      <c r="Y625" s="2" t="e">
        <f t="shared" si="87"/>
        <v>#NUM!</v>
      </c>
      <c r="Z625" t="e">
        <f t="shared" si="88"/>
        <v>#NUM!</v>
      </c>
      <c r="AA625" t="e">
        <f t="shared" si="89"/>
        <v>#NUM!</v>
      </c>
      <c r="AB625" t="e">
        <f t="shared" si="90"/>
        <v>#NUM!</v>
      </c>
    </row>
    <row r="626" spans="1:28" ht="13.9" x14ac:dyDescent="0.3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f t="shared" si="82"/>
        <v>-0.57776699931695219</v>
      </c>
      <c r="L626" s="2" t="e">
        <f t="shared" si="83"/>
        <v>#NUM!</v>
      </c>
      <c r="M626" s="2" t="e">
        <f t="shared" si="84"/>
        <v>#NUM!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 t="e">
        <f t="shared" si="85"/>
        <v>#NUM!</v>
      </c>
      <c r="X626" s="2" t="e">
        <f t="shared" si="86"/>
        <v>#NUM!</v>
      </c>
      <c r="Y626" s="2" t="e">
        <f t="shared" si="87"/>
        <v>#NUM!</v>
      </c>
      <c r="Z626" t="e">
        <f t="shared" si="88"/>
        <v>#NUM!</v>
      </c>
      <c r="AA626" t="e">
        <f t="shared" si="89"/>
        <v>#NUM!</v>
      </c>
      <c r="AB626" t="e">
        <f t="shared" si="90"/>
        <v>#NUM!</v>
      </c>
    </row>
    <row r="627" spans="1:28" ht="13.9" x14ac:dyDescent="0.3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f t="shared" si="82"/>
        <v>0.21412480535284761</v>
      </c>
      <c r="L627" s="2" t="e">
        <f t="shared" si="83"/>
        <v>#NUM!</v>
      </c>
      <c r="M627" s="2" t="e">
        <f t="shared" si="84"/>
        <v>#NUM!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 t="e">
        <f t="shared" si="85"/>
        <v>#NUM!</v>
      </c>
      <c r="X627" s="2" t="e">
        <f t="shared" si="86"/>
        <v>#NUM!</v>
      </c>
      <c r="Y627" s="2" t="e">
        <f t="shared" si="87"/>
        <v>#NUM!</v>
      </c>
      <c r="Z627" t="e">
        <f t="shared" si="88"/>
        <v>#NUM!</v>
      </c>
      <c r="AA627" t="e">
        <f t="shared" si="89"/>
        <v>#NUM!</v>
      </c>
      <c r="AB627" t="e">
        <f t="shared" si="90"/>
        <v>#NUM!</v>
      </c>
    </row>
    <row r="628" spans="1:28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 t="e">
        <f t="shared" si="82"/>
        <v>#NUM!</v>
      </c>
      <c r="L628" s="2">
        <f t="shared" si="83"/>
        <v>-0.57776699931695219</v>
      </c>
      <c r="M628" s="2" t="e">
        <f t="shared" si="84"/>
        <v>#NUM!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 t="e">
        <f t="shared" si="85"/>
        <v>#NUM!</v>
      </c>
      <c r="X628" s="2" t="e">
        <f t="shared" si="86"/>
        <v>#NUM!</v>
      </c>
      <c r="Y628" s="2" t="e">
        <f t="shared" si="87"/>
        <v>#NUM!</v>
      </c>
      <c r="Z628" t="e">
        <f t="shared" si="88"/>
        <v>#NUM!</v>
      </c>
      <c r="AA628" t="e">
        <f t="shared" si="89"/>
        <v>#NUM!</v>
      </c>
      <c r="AB628" t="e">
        <f t="shared" si="90"/>
        <v>#NUM!</v>
      </c>
    </row>
    <row r="629" spans="1:28" ht="13.9" x14ac:dyDescent="0.3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f t="shared" si="82"/>
        <v>0.63226821549951295</v>
      </c>
      <c r="L629" s="2">
        <f t="shared" si="83"/>
        <v>-1.0291463456595165</v>
      </c>
      <c r="M629" s="2" t="e">
        <f t="shared" si="84"/>
        <v>#NUM!</v>
      </c>
      <c r="N629" s="2">
        <v>0</v>
      </c>
      <c r="O629" s="2">
        <v>0</v>
      </c>
      <c r="P629" s="2">
        <v>0</v>
      </c>
      <c r="Q629" s="2">
        <v>0.33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 t="e">
        <f t="shared" si="85"/>
        <v>#NUM!</v>
      </c>
      <c r="X629" s="2">
        <f t="shared" si="86"/>
        <v>-1.5994620704162712</v>
      </c>
      <c r="Y629" s="2" t="e">
        <f t="shared" si="87"/>
        <v>#NUM!</v>
      </c>
      <c r="Z629" t="e">
        <f t="shared" si="88"/>
        <v>#NUM!</v>
      </c>
      <c r="AA629">
        <f t="shared" si="89"/>
        <v>0.63613863131768222</v>
      </c>
      <c r="AB629" t="e">
        <f t="shared" si="90"/>
        <v>#NUM!</v>
      </c>
    </row>
    <row r="630" spans="1:28" ht="13.9" x14ac:dyDescent="0.3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f t="shared" si="82"/>
        <v>0.15055967657538141</v>
      </c>
      <c r="L630" s="2" t="e">
        <f t="shared" si="83"/>
        <v>#NUM!</v>
      </c>
      <c r="M630" s="2">
        <f t="shared" si="84"/>
        <v>-0.10469737866669322</v>
      </c>
      <c r="N630" s="2">
        <v>11.01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f t="shared" si="85"/>
        <v>3.4607425637896441</v>
      </c>
      <c r="X630" s="2" t="e">
        <f t="shared" si="86"/>
        <v>#NUM!</v>
      </c>
      <c r="Y630" s="2" t="e">
        <f t="shared" si="87"/>
        <v>#NUM!</v>
      </c>
      <c r="Z630">
        <f t="shared" si="88"/>
        <v>4.522674287753329</v>
      </c>
      <c r="AA630" t="e">
        <f t="shared" si="89"/>
        <v>#NUM!</v>
      </c>
      <c r="AB630" t="e">
        <f t="shared" si="90"/>
        <v>#NUM!</v>
      </c>
    </row>
    <row r="631" spans="1:28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 t="e">
        <f t="shared" si="82"/>
        <v>#NUM!</v>
      </c>
      <c r="L631" s="2">
        <f t="shared" si="83"/>
        <v>-1.0291463456595165</v>
      </c>
      <c r="M631" s="2" t="e">
        <f t="shared" si="84"/>
        <v>#NUM!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 t="e">
        <f t="shared" si="85"/>
        <v>#NUM!</v>
      </c>
      <c r="X631" s="2" t="e">
        <f t="shared" si="86"/>
        <v>#NUM!</v>
      </c>
      <c r="Y631" s="2" t="e">
        <f t="shared" si="87"/>
        <v>#NUM!</v>
      </c>
      <c r="Z631" t="e">
        <f t="shared" si="88"/>
        <v>#NUM!</v>
      </c>
      <c r="AA631" t="e">
        <f t="shared" si="89"/>
        <v>#NUM!</v>
      </c>
      <c r="AB631" t="e">
        <f t="shared" si="90"/>
        <v>#NUM!</v>
      </c>
    </row>
    <row r="632" spans="1:28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 t="e">
        <f t="shared" si="82"/>
        <v>#NUM!</v>
      </c>
      <c r="L632" s="2" t="e">
        <f t="shared" si="83"/>
        <v>#NUM!</v>
      </c>
      <c r="M632" s="2" t="e">
        <f t="shared" si="84"/>
        <v>#NUM!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0.72</v>
      </c>
      <c r="U632" s="2">
        <v>0</v>
      </c>
      <c r="V632" s="2">
        <v>0</v>
      </c>
      <c r="W632" s="2" t="e">
        <f t="shared" si="85"/>
        <v>#NUM!</v>
      </c>
      <c r="X632" s="2" t="e">
        <f t="shared" si="86"/>
        <v>#NUM!</v>
      </c>
      <c r="Y632" s="2">
        <f t="shared" si="87"/>
        <v>-0.47393118833241243</v>
      </c>
      <c r="Z632" t="e">
        <f t="shared" si="88"/>
        <v>#NUM!</v>
      </c>
      <c r="AA632" t="e">
        <f t="shared" si="89"/>
        <v>#NUM!</v>
      </c>
      <c r="AB632" t="e">
        <f t="shared" si="90"/>
        <v>#NUM!</v>
      </c>
    </row>
    <row r="633" spans="1:28" ht="13.9" x14ac:dyDescent="0.3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f t="shared" si="82"/>
        <v>10.783546689027226</v>
      </c>
      <c r="L633" s="2">
        <f t="shared" si="83"/>
        <v>10.830340900506167</v>
      </c>
      <c r="M633" s="2">
        <f t="shared" si="84"/>
        <v>10.666836463291977</v>
      </c>
      <c r="N633" s="2">
        <v>234.01</v>
      </c>
      <c r="O633" s="2">
        <v>286</v>
      </c>
      <c r="P633" s="2">
        <v>109.95</v>
      </c>
      <c r="Q633" s="2">
        <v>278.85000000000002</v>
      </c>
      <c r="R633" s="2">
        <v>442.55</v>
      </c>
      <c r="S633" s="2">
        <v>256.52999999999997</v>
      </c>
      <c r="T633" s="2">
        <v>283.49</v>
      </c>
      <c r="U633" s="2">
        <v>579.91999999999996</v>
      </c>
      <c r="V633" s="2">
        <v>525.37</v>
      </c>
      <c r="W633" s="2">
        <f t="shared" si="85"/>
        <v>9.299116415794094</v>
      </c>
      <c r="X633" s="2">
        <f t="shared" si="86"/>
        <v>9.9335873908753953</v>
      </c>
      <c r="Y633" s="2">
        <f t="shared" si="87"/>
        <v>10.439602361269257</v>
      </c>
      <c r="Z633">
        <f t="shared" si="88"/>
        <v>-0.21366621020166773</v>
      </c>
      <c r="AA633">
        <f t="shared" si="89"/>
        <v>-0.12469192631391975</v>
      </c>
      <c r="AB633">
        <f t="shared" si="90"/>
        <v>-3.1065608162829796E-2</v>
      </c>
    </row>
    <row r="634" spans="1:28" ht="13.9" x14ac:dyDescent="0.3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f t="shared" si="82"/>
        <v>0.16349873228287956</v>
      </c>
      <c r="L634" s="2" t="e">
        <f t="shared" si="83"/>
        <v>#NUM!</v>
      </c>
      <c r="M634" s="2" t="e">
        <f t="shared" si="84"/>
        <v>#NUM!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 t="e">
        <f t="shared" si="85"/>
        <v>#NUM!</v>
      </c>
      <c r="X634" s="2" t="e">
        <f t="shared" si="86"/>
        <v>#NUM!</v>
      </c>
      <c r="Y634" s="2" t="e">
        <f t="shared" si="87"/>
        <v>#NUM!</v>
      </c>
      <c r="Z634" t="e">
        <f t="shared" si="88"/>
        <v>#NUM!</v>
      </c>
      <c r="AA634" t="e">
        <f t="shared" si="89"/>
        <v>#NUM!</v>
      </c>
      <c r="AB634" t="e">
        <f t="shared" si="90"/>
        <v>#NUM!</v>
      </c>
    </row>
    <row r="635" spans="1:28" ht="13.9" x14ac:dyDescent="0.3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f t="shared" si="82"/>
        <v>8.5637682784520326</v>
      </c>
      <c r="L635" s="2">
        <f t="shared" si="83"/>
        <v>8.647494403438774</v>
      </c>
      <c r="M635" s="2">
        <f t="shared" si="84"/>
        <v>8.3366404464087349</v>
      </c>
      <c r="N635" s="2">
        <v>71.97</v>
      </c>
      <c r="O635" s="2">
        <v>130.13</v>
      </c>
      <c r="P635" s="2">
        <v>136.66</v>
      </c>
      <c r="Q635" s="2">
        <v>155.58000000000001</v>
      </c>
      <c r="R635" s="2">
        <v>146.13</v>
      </c>
      <c r="S635" s="2">
        <v>140.01</v>
      </c>
      <c r="T635" s="2">
        <v>107.43</v>
      </c>
      <c r="U635" s="2">
        <v>159.68</v>
      </c>
      <c r="V635" s="2">
        <v>130.21</v>
      </c>
      <c r="W635" s="2">
        <f t="shared" si="85"/>
        <v>8.404119724396125</v>
      </c>
      <c r="X635" s="2">
        <f t="shared" si="86"/>
        <v>8.786988345330494</v>
      </c>
      <c r="Y635" s="2">
        <f t="shared" si="87"/>
        <v>8.6341576063434307</v>
      </c>
      <c r="Z635">
        <f t="shared" si="88"/>
        <v>-2.7149044614038123E-2</v>
      </c>
      <c r="AA635">
        <f t="shared" si="89"/>
        <v>2.3086605510853283E-2</v>
      </c>
      <c r="AB635">
        <f t="shared" si="90"/>
        <v>5.0589313580114856E-2</v>
      </c>
    </row>
    <row r="636" spans="1:28" ht="13.9" x14ac:dyDescent="0.3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f t="shared" si="82"/>
        <v>0.63226821549951295</v>
      </c>
      <c r="L636" s="2">
        <f t="shared" si="83"/>
        <v>-0.2515387669959645</v>
      </c>
      <c r="M636" s="2" t="e">
        <f t="shared" si="84"/>
        <v>#NUM!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 t="e">
        <f t="shared" si="85"/>
        <v>#NUM!</v>
      </c>
      <c r="X636" s="2" t="e">
        <f t="shared" si="86"/>
        <v>#NUM!</v>
      </c>
      <c r="Y636" s="2" t="e">
        <f t="shared" si="87"/>
        <v>#NUM!</v>
      </c>
      <c r="Z636" t="e">
        <f t="shared" si="88"/>
        <v>#NUM!</v>
      </c>
      <c r="AA636" t="e">
        <f t="shared" si="89"/>
        <v>#NUM!</v>
      </c>
      <c r="AB636" t="e">
        <f t="shared" si="90"/>
        <v>#NUM!</v>
      </c>
    </row>
    <row r="637" spans="1:28" ht="13.9" x14ac:dyDescent="0.3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f t="shared" si="82"/>
        <v>-2.9434164716336326</v>
      </c>
      <c r="L637" s="2" t="e">
        <f t="shared" si="83"/>
        <v>#NUM!</v>
      </c>
      <c r="M637" s="2" t="e">
        <f t="shared" si="84"/>
        <v>#NUM!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 t="e">
        <f t="shared" si="85"/>
        <v>#NUM!</v>
      </c>
      <c r="X637" s="2" t="e">
        <f t="shared" si="86"/>
        <v>#NUM!</v>
      </c>
      <c r="Y637" s="2" t="e">
        <f t="shared" si="87"/>
        <v>#NUM!</v>
      </c>
      <c r="Z637" t="e">
        <f t="shared" si="88"/>
        <v>#NUM!</v>
      </c>
      <c r="AA637" t="e">
        <f t="shared" si="89"/>
        <v>#NUM!</v>
      </c>
      <c r="AB637" t="e">
        <f t="shared" si="90"/>
        <v>#NUM!</v>
      </c>
    </row>
    <row r="638" spans="1:28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 t="e">
        <f t="shared" si="82"/>
        <v>#NUM!</v>
      </c>
      <c r="L638" s="2" t="e">
        <f t="shared" si="83"/>
        <v>#NUM!</v>
      </c>
      <c r="M638" s="2" t="e">
        <f t="shared" si="84"/>
        <v>#NUM!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4.01</v>
      </c>
      <c r="T638" s="2">
        <v>0</v>
      </c>
      <c r="U638" s="2">
        <v>0</v>
      </c>
      <c r="V638" s="2">
        <v>0</v>
      </c>
      <c r="W638" s="2" t="e">
        <f t="shared" si="85"/>
        <v>#NUM!</v>
      </c>
      <c r="X638" s="2">
        <f t="shared" si="86"/>
        <v>2.0036022366801958</v>
      </c>
      <c r="Y638" s="2" t="e">
        <f t="shared" si="87"/>
        <v>#NUM!</v>
      </c>
      <c r="Z638" t="e">
        <f t="shared" si="88"/>
        <v>#NUM!</v>
      </c>
      <c r="AA638" t="e">
        <f t="shared" si="89"/>
        <v>#NUM!</v>
      </c>
      <c r="AB638" t="e">
        <f t="shared" si="90"/>
        <v>#NUM!</v>
      </c>
    </row>
    <row r="639" spans="1:28" ht="13.9" x14ac:dyDescent="0.3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f t="shared" si="82"/>
        <v>-1.5994620704162712</v>
      </c>
      <c r="L639" s="2">
        <f t="shared" si="83"/>
        <v>-1.7369655941662063</v>
      </c>
      <c r="M639" s="2">
        <f t="shared" si="84"/>
        <v>7.0389327891398012E-2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 t="e">
        <f t="shared" si="85"/>
        <v>#NUM!</v>
      </c>
      <c r="X639" s="2" t="e">
        <f t="shared" si="86"/>
        <v>#NUM!</v>
      </c>
      <c r="Y639" s="2" t="e">
        <f t="shared" si="87"/>
        <v>#NUM!</v>
      </c>
      <c r="Z639" t="e">
        <f t="shared" si="88"/>
        <v>#NUM!</v>
      </c>
      <c r="AA639" t="e">
        <f t="shared" si="89"/>
        <v>#NUM!</v>
      </c>
      <c r="AB639" t="e">
        <f t="shared" si="90"/>
        <v>#NUM!</v>
      </c>
    </row>
    <row r="640" spans="1:28" ht="13.9" x14ac:dyDescent="0.3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f t="shared" si="82"/>
        <v>-2.1844245711374275</v>
      </c>
      <c r="L640" s="2" t="e">
        <f t="shared" si="83"/>
        <v>#NUM!</v>
      </c>
      <c r="M640" s="2" t="e">
        <f t="shared" si="84"/>
        <v>#NUM!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 t="e">
        <f t="shared" si="85"/>
        <v>#NUM!</v>
      </c>
      <c r="X640" s="2" t="e">
        <f t="shared" si="86"/>
        <v>#NUM!</v>
      </c>
      <c r="Y640" s="2" t="e">
        <f t="shared" si="87"/>
        <v>#NUM!</v>
      </c>
      <c r="Z640" t="e">
        <f t="shared" si="88"/>
        <v>#NUM!</v>
      </c>
      <c r="AA640" t="e">
        <f t="shared" si="89"/>
        <v>#NUM!</v>
      </c>
      <c r="AB640" t="e">
        <f t="shared" si="90"/>
        <v>#NUM!</v>
      </c>
    </row>
    <row r="641" spans="1:28" ht="13.9" x14ac:dyDescent="0.3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f t="shared" si="82"/>
        <v>-1.15200309344505</v>
      </c>
      <c r="L641" s="2" t="e">
        <f t="shared" si="83"/>
        <v>#NUM!</v>
      </c>
      <c r="M641" s="2" t="e">
        <f t="shared" si="84"/>
        <v>#NUM!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 t="e">
        <f t="shared" si="85"/>
        <v>#NUM!</v>
      </c>
      <c r="X641" s="2" t="e">
        <f t="shared" si="86"/>
        <v>#NUM!</v>
      </c>
      <c r="Y641" s="2" t="e">
        <f t="shared" si="87"/>
        <v>#NUM!</v>
      </c>
      <c r="Z641" t="e">
        <f t="shared" si="88"/>
        <v>#NUM!</v>
      </c>
      <c r="AA641" t="e">
        <f t="shared" si="89"/>
        <v>#NUM!</v>
      </c>
      <c r="AB641" t="e">
        <f t="shared" si="90"/>
        <v>#NUM!</v>
      </c>
    </row>
    <row r="642" spans="1:28" ht="13.9" x14ac:dyDescent="0.3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f t="shared" si="82"/>
        <v>0.84799690655494997</v>
      </c>
      <c r="L642" s="2">
        <f t="shared" si="83"/>
        <v>-0.37706964907982332</v>
      </c>
      <c r="M642" s="2">
        <f t="shared" si="84"/>
        <v>0.48542682717024171</v>
      </c>
      <c r="N642" s="2">
        <v>0</v>
      </c>
      <c r="O642" s="2">
        <v>0</v>
      </c>
      <c r="P642" s="2">
        <v>0</v>
      </c>
      <c r="Q642" s="2">
        <v>0</v>
      </c>
      <c r="R642" s="2">
        <v>1.22</v>
      </c>
      <c r="S642" s="2">
        <v>0</v>
      </c>
      <c r="T642" s="2">
        <v>0</v>
      </c>
      <c r="U642" s="2">
        <v>0</v>
      </c>
      <c r="V642" s="2">
        <v>0</v>
      </c>
      <c r="W642" s="2" t="e">
        <f t="shared" si="85"/>
        <v>#NUM!</v>
      </c>
      <c r="X642" s="2">
        <f t="shared" si="86"/>
        <v>0.28688114778816154</v>
      </c>
      <c r="Y642" s="2" t="e">
        <f t="shared" si="87"/>
        <v>#NUM!</v>
      </c>
      <c r="Z642" t="e">
        <f t="shared" si="88"/>
        <v>#NUM!</v>
      </c>
      <c r="AA642" t="e">
        <f t="shared" si="89"/>
        <v>#NUM!</v>
      </c>
      <c r="AB642" t="e">
        <f t="shared" si="90"/>
        <v>#NUM!</v>
      </c>
    </row>
    <row r="643" spans="1:28" ht="13.9" x14ac:dyDescent="0.3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f t="shared" ref="K643:K706" si="91">LOG(SUM(B643:D643),2)</f>
        <v>0.84799690655494997</v>
      </c>
      <c r="L643" s="2">
        <f t="shared" ref="L643:L706" si="92">LOG(SUM(E643:G643),2)</f>
        <v>-0.37706964907982332</v>
      </c>
      <c r="M643" s="2">
        <f t="shared" ref="M643:M706" si="93">LOG(SUM(H643:J643),2)</f>
        <v>0.48542682717024171</v>
      </c>
      <c r="N643" s="2">
        <v>0</v>
      </c>
      <c r="O643" s="2">
        <v>0</v>
      </c>
      <c r="P643" s="2">
        <v>0</v>
      </c>
      <c r="Q643" s="2">
        <v>0</v>
      </c>
      <c r="R643" s="2">
        <v>1.22</v>
      </c>
      <c r="S643" s="2">
        <v>0</v>
      </c>
      <c r="T643" s="2">
        <v>0</v>
      </c>
      <c r="U643" s="2">
        <v>0</v>
      </c>
      <c r="V643" s="2">
        <v>0</v>
      </c>
      <c r="W643" s="2" t="e">
        <f t="shared" ref="W643:W706" si="94">LOG(SUM(N643:P643),2)</f>
        <v>#NUM!</v>
      </c>
      <c r="X643" s="2">
        <f t="shared" ref="X643:X706" si="95">LOG(SUM(Q643:S643),2)</f>
        <v>0.28688114778816154</v>
      </c>
      <c r="Y643" s="2" t="e">
        <f t="shared" ref="Y643:Y706" si="96">LOG(SUM(T643:V643),2)</f>
        <v>#NUM!</v>
      </c>
      <c r="Z643" t="e">
        <f t="shared" ref="Z643:Z706" si="97">LOG(W643/K643,2)</f>
        <v>#NUM!</v>
      </c>
      <c r="AA643" t="e">
        <f t="shared" ref="AA643:AA706" si="98">LOG(X643/L643,2)</f>
        <v>#NUM!</v>
      </c>
      <c r="AB643" t="e">
        <f t="shared" ref="AB643:AB706" si="99">LOG(Y643/M643,2)</f>
        <v>#NUM!</v>
      </c>
    </row>
    <row r="644" spans="1:28" ht="13.9" x14ac:dyDescent="0.3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f t="shared" si="91"/>
        <v>3.4854268271702415</v>
      </c>
      <c r="L644" s="2">
        <f t="shared" si="92"/>
        <v>2.2600256559614555</v>
      </c>
      <c r="M644" s="2">
        <f t="shared" si="93"/>
        <v>2.3248106034204836</v>
      </c>
      <c r="N644" s="2">
        <v>5.1100000000000003</v>
      </c>
      <c r="O644" s="2">
        <v>10.41</v>
      </c>
      <c r="P644" s="2">
        <v>0</v>
      </c>
      <c r="Q644" s="2">
        <v>0</v>
      </c>
      <c r="R644" s="2">
        <v>0.24</v>
      </c>
      <c r="S644" s="2">
        <v>0</v>
      </c>
      <c r="T644" s="2">
        <v>0.18</v>
      </c>
      <c r="U644" s="2">
        <v>0</v>
      </c>
      <c r="V644" s="2">
        <v>7.04</v>
      </c>
      <c r="W644" s="2">
        <f t="shared" si="94"/>
        <v>3.956056652412403</v>
      </c>
      <c r="X644" s="2">
        <f t="shared" si="95"/>
        <v>-2.0588936890535687</v>
      </c>
      <c r="Y644" s="2">
        <f t="shared" si="96"/>
        <v>2.8519988371124461</v>
      </c>
      <c r="Z644">
        <f t="shared" si="97"/>
        <v>0.18272774615851797</v>
      </c>
      <c r="AA644" t="e">
        <f t="shared" si="98"/>
        <v>#NUM!</v>
      </c>
      <c r="AB644">
        <f t="shared" si="99"/>
        <v>0.29486020532535612</v>
      </c>
    </row>
    <row r="645" spans="1:28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 t="e">
        <f t="shared" si="91"/>
        <v>#NUM!</v>
      </c>
      <c r="L645" s="2">
        <f t="shared" si="92"/>
        <v>-3.3219280948873622</v>
      </c>
      <c r="M645" s="2" t="e">
        <f t="shared" si="93"/>
        <v>#NUM!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 t="e">
        <f t="shared" si="94"/>
        <v>#NUM!</v>
      </c>
      <c r="X645" s="2" t="e">
        <f t="shared" si="95"/>
        <v>#NUM!</v>
      </c>
      <c r="Y645" s="2" t="e">
        <f t="shared" si="96"/>
        <v>#NUM!</v>
      </c>
      <c r="Z645" t="e">
        <f t="shared" si="97"/>
        <v>#NUM!</v>
      </c>
      <c r="AA645" t="e">
        <f t="shared" si="98"/>
        <v>#NUM!</v>
      </c>
      <c r="AB645" t="e">
        <f t="shared" si="99"/>
        <v>#NUM!</v>
      </c>
    </row>
    <row r="646" spans="1:28" ht="13.9" x14ac:dyDescent="0.3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f t="shared" si="91"/>
        <v>1.8639384504239718</v>
      </c>
      <c r="L646" s="2">
        <f t="shared" si="92"/>
        <v>0.12432813500220148</v>
      </c>
      <c r="M646" s="2">
        <f t="shared" si="93"/>
        <v>1.1634987322828794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 t="e">
        <f t="shared" si="94"/>
        <v>#NUM!</v>
      </c>
      <c r="X646" s="2" t="e">
        <f t="shared" si="95"/>
        <v>#NUM!</v>
      </c>
      <c r="Y646" s="2" t="e">
        <f t="shared" si="96"/>
        <v>#NUM!</v>
      </c>
      <c r="Z646" t="e">
        <f t="shared" si="97"/>
        <v>#NUM!</v>
      </c>
      <c r="AA646" t="e">
        <f t="shared" si="98"/>
        <v>#NUM!</v>
      </c>
      <c r="AB646" t="e">
        <f t="shared" si="99"/>
        <v>#NUM!</v>
      </c>
    </row>
    <row r="647" spans="1:28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 t="e">
        <f t="shared" si="91"/>
        <v>#NUM!</v>
      </c>
      <c r="L647" s="2" t="e">
        <f t="shared" si="92"/>
        <v>#NUM!</v>
      </c>
      <c r="M647" s="2" t="e">
        <f t="shared" si="93"/>
        <v>#NUM!</v>
      </c>
      <c r="N647" s="2">
        <v>0</v>
      </c>
      <c r="O647" s="2">
        <v>0</v>
      </c>
      <c r="P647" s="2">
        <v>0</v>
      </c>
      <c r="Q647" s="2">
        <v>0</v>
      </c>
      <c r="R647" s="2">
        <v>1.95</v>
      </c>
      <c r="S647" s="2">
        <v>0</v>
      </c>
      <c r="T647" s="2">
        <v>0</v>
      </c>
      <c r="U647" s="2">
        <v>0</v>
      </c>
      <c r="V647" s="2">
        <v>0</v>
      </c>
      <c r="W647" s="2" t="e">
        <f t="shared" si="94"/>
        <v>#NUM!</v>
      </c>
      <c r="X647" s="2">
        <f t="shared" si="95"/>
        <v>0.96347412397488608</v>
      </c>
      <c r="Y647" s="2" t="e">
        <f t="shared" si="96"/>
        <v>#NUM!</v>
      </c>
      <c r="Z647" t="e">
        <f t="shared" si="97"/>
        <v>#NUM!</v>
      </c>
      <c r="AA647" t="e">
        <f t="shared" si="98"/>
        <v>#NUM!</v>
      </c>
      <c r="AB647" t="e">
        <f t="shared" si="99"/>
        <v>#NUM!</v>
      </c>
    </row>
    <row r="648" spans="1:28" ht="13.9" x14ac:dyDescent="0.3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f t="shared" si="91"/>
        <v>2.7048719644563533</v>
      </c>
      <c r="L648" s="2">
        <f t="shared" si="92"/>
        <v>1.9448584458075391</v>
      </c>
      <c r="M648" s="2">
        <f t="shared" si="93"/>
        <v>-0.39592867633113921</v>
      </c>
      <c r="N648" s="2">
        <v>0</v>
      </c>
      <c r="O648" s="2">
        <v>0.28999999999999998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f t="shared" si="94"/>
        <v>-1.7858751946471527</v>
      </c>
      <c r="X648" s="2" t="e">
        <f t="shared" si="95"/>
        <v>#NUM!</v>
      </c>
      <c r="Y648" s="2" t="e">
        <f t="shared" si="96"/>
        <v>#NUM!</v>
      </c>
      <c r="Z648" t="e">
        <f t="shared" si="97"/>
        <v>#NUM!</v>
      </c>
      <c r="AA648" t="e">
        <f t="shared" si="98"/>
        <v>#NUM!</v>
      </c>
      <c r="AB648" t="e">
        <f t="shared" si="99"/>
        <v>#NUM!</v>
      </c>
    </row>
    <row r="649" spans="1:28" ht="13.9" x14ac:dyDescent="0.3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f t="shared" si="91"/>
        <v>1.5410191531335593</v>
      </c>
      <c r="L649" s="2">
        <f t="shared" si="92"/>
        <v>-0.81096617560998285</v>
      </c>
      <c r="M649" s="2">
        <f t="shared" si="93"/>
        <v>1.3840498067951599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7.95</v>
      </c>
      <c r="V649" s="2">
        <v>0</v>
      </c>
      <c r="W649" s="2" t="e">
        <f t="shared" si="94"/>
        <v>#NUM!</v>
      </c>
      <c r="X649" s="2" t="e">
        <f t="shared" si="95"/>
        <v>#NUM!</v>
      </c>
      <c r="Y649" s="2">
        <f t="shared" si="96"/>
        <v>2.9909548603969931</v>
      </c>
      <c r="Z649" t="e">
        <f t="shared" si="97"/>
        <v>#NUM!</v>
      </c>
      <c r="AA649" t="e">
        <f t="shared" si="98"/>
        <v>#NUM!</v>
      </c>
      <c r="AB649">
        <f t="shared" si="99"/>
        <v>1.1117102762864428</v>
      </c>
    </row>
    <row r="650" spans="1:28" ht="13.9" x14ac:dyDescent="0.3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f t="shared" si="91"/>
        <v>1.2448870591235344</v>
      </c>
      <c r="L650" s="2">
        <f t="shared" si="92"/>
        <v>1.1309308698264486</v>
      </c>
      <c r="M650" s="2">
        <f t="shared" si="93"/>
        <v>0.16349873228287956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0.36</v>
      </c>
      <c r="U650" s="2">
        <v>0</v>
      </c>
      <c r="V650" s="2">
        <v>0</v>
      </c>
      <c r="W650" s="2" t="e">
        <f t="shared" si="94"/>
        <v>#NUM!</v>
      </c>
      <c r="X650" s="2" t="e">
        <f t="shared" si="95"/>
        <v>#NUM!</v>
      </c>
      <c r="Y650" s="2">
        <f t="shared" si="96"/>
        <v>-1.4739311883324124</v>
      </c>
      <c r="Z650" t="e">
        <f t="shared" si="97"/>
        <v>#NUM!</v>
      </c>
      <c r="AA650" t="e">
        <f t="shared" si="98"/>
        <v>#NUM!</v>
      </c>
      <c r="AB650" t="e">
        <f t="shared" si="99"/>
        <v>#NUM!</v>
      </c>
    </row>
    <row r="651" spans="1:28" ht="13.9" x14ac:dyDescent="0.3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f t="shared" si="91"/>
        <v>2.2898344651775089</v>
      </c>
      <c r="L651" s="2">
        <f t="shared" si="92"/>
        <v>1.1375035237499347</v>
      </c>
      <c r="M651" s="2">
        <f t="shared" si="93"/>
        <v>5.4222330006830486</v>
      </c>
      <c r="N651" s="2">
        <v>0.79</v>
      </c>
      <c r="O651" s="2">
        <v>0</v>
      </c>
      <c r="P651" s="2">
        <v>0</v>
      </c>
      <c r="Q651" s="2">
        <v>0</v>
      </c>
      <c r="R651" s="2">
        <v>0</v>
      </c>
      <c r="S651" s="2">
        <v>10.92</v>
      </c>
      <c r="T651" s="2">
        <v>0</v>
      </c>
      <c r="U651" s="2">
        <v>0</v>
      </c>
      <c r="V651" s="2">
        <v>0.5</v>
      </c>
      <c r="W651" s="2">
        <f t="shared" si="94"/>
        <v>-0.34007544159762171</v>
      </c>
      <c r="X651" s="2">
        <f t="shared" si="95"/>
        <v>3.4489009511451281</v>
      </c>
      <c r="Y651" s="2">
        <f t="shared" si="96"/>
        <v>-1</v>
      </c>
      <c r="Z651" t="e">
        <f t="shared" si="97"/>
        <v>#NUM!</v>
      </c>
      <c r="AA651">
        <f t="shared" si="98"/>
        <v>1.6002656822016563</v>
      </c>
      <c r="AB651" t="e">
        <f t="shared" si="99"/>
        <v>#NUM!</v>
      </c>
    </row>
    <row r="652" spans="1:28" ht="13.9" x14ac:dyDescent="0.3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f t="shared" si="91"/>
        <v>-0.55639334852438527</v>
      </c>
      <c r="L652" s="2" t="e">
        <f t="shared" si="92"/>
        <v>#NUM!</v>
      </c>
      <c r="M652" s="2" t="e">
        <f t="shared" si="93"/>
        <v>#NUM!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 t="e">
        <f t="shared" si="94"/>
        <v>#NUM!</v>
      </c>
      <c r="X652" s="2" t="e">
        <f t="shared" si="95"/>
        <v>#NUM!</v>
      </c>
      <c r="Y652" s="2" t="e">
        <f t="shared" si="96"/>
        <v>#NUM!</v>
      </c>
      <c r="Z652" t="e">
        <f t="shared" si="97"/>
        <v>#NUM!</v>
      </c>
      <c r="AA652" t="e">
        <f t="shared" si="98"/>
        <v>#NUM!</v>
      </c>
      <c r="AB652" t="e">
        <f t="shared" si="99"/>
        <v>#NUM!</v>
      </c>
    </row>
    <row r="653" spans="1:28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 t="e">
        <f t="shared" si="91"/>
        <v>#NUM!</v>
      </c>
      <c r="L653" s="2" t="e">
        <f t="shared" si="92"/>
        <v>#NUM!</v>
      </c>
      <c r="M653" s="2">
        <f t="shared" si="93"/>
        <v>-2.0588936890535683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 t="e">
        <f t="shared" si="94"/>
        <v>#NUM!</v>
      </c>
      <c r="X653" s="2" t="e">
        <f t="shared" si="95"/>
        <v>#NUM!</v>
      </c>
      <c r="Y653" s="2" t="e">
        <f t="shared" si="96"/>
        <v>#NUM!</v>
      </c>
      <c r="Z653" t="e">
        <f t="shared" si="97"/>
        <v>#NUM!</v>
      </c>
      <c r="AA653" t="e">
        <f t="shared" si="98"/>
        <v>#NUM!</v>
      </c>
      <c r="AB653" t="e">
        <f t="shared" si="99"/>
        <v>#NUM!</v>
      </c>
    </row>
    <row r="654" spans="1:28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 t="e">
        <f t="shared" si="91"/>
        <v>#NUM!</v>
      </c>
      <c r="L654" s="2" t="e">
        <f t="shared" si="92"/>
        <v>#NUM!</v>
      </c>
      <c r="M654" s="2" t="e">
        <f t="shared" si="93"/>
        <v>#NUM!</v>
      </c>
      <c r="N654" s="2">
        <v>0</v>
      </c>
      <c r="O654" s="2">
        <v>0</v>
      </c>
      <c r="P654" s="2">
        <v>0</v>
      </c>
      <c r="Q654" s="2">
        <v>0</v>
      </c>
      <c r="R654" s="2">
        <v>1.95</v>
      </c>
      <c r="S654" s="2">
        <v>0</v>
      </c>
      <c r="T654" s="2">
        <v>0</v>
      </c>
      <c r="U654" s="2">
        <v>0</v>
      </c>
      <c r="V654" s="2">
        <v>0</v>
      </c>
      <c r="W654" s="2" t="e">
        <f t="shared" si="94"/>
        <v>#NUM!</v>
      </c>
      <c r="X654" s="2">
        <f t="shared" si="95"/>
        <v>0.96347412397488608</v>
      </c>
      <c r="Y654" s="2" t="e">
        <f t="shared" si="96"/>
        <v>#NUM!</v>
      </c>
      <c r="Z654" t="e">
        <f t="shared" si="97"/>
        <v>#NUM!</v>
      </c>
      <c r="AA654" t="e">
        <f t="shared" si="98"/>
        <v>#NUM!</v>
      </c>
      <c r="AB654" t="e">
        <f t="shared" si="99"/>
        <v>#NUM!</v>
      </c>
    </row>
    <row r="655" spans="1:28" ht="13.9" x14ac:dyDescent="0.3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f t="shared" si="91"/>
        <v>4.0531113364595628</v>
      </c>
      <c r="L655" s="2">
        <f t="shared" si="92"/>
        <v>3.6380738371807184</v>
      </c>
      <c r="M655" s="2">
        <f t="shared" si="93"/>
        <v>3.2600256559614555</v>
      </c>
      <c r="N655" s="2">
        <v>5.1100000000000003</v>
      </c>
      <c r="O655" s="2">
        <v>10.41</v>
      </c>
      <c r="P655" s="2">
        <v>1.04</v>
      </c>
      <c r="Q655" s="2">
        <v>8.57</v>
      </c>
      <c r="R655" s="2">
        <v>0.98</v>
      </c>
      <c r="S655" s="2">
        <v>0.18</v>
      </c>
      <c r="T655" s="2">
        <v>0.18</v>
      </c>
      <c r="U655" s="2">
        <v>4.1900000000000004</v>
      </c>
      <c r="V655" s="2">
        <v>7.04</v>
      </c>
      <c r="W655" s="2">
        <f t="shared" si="94"/>
        <v>4.0496307677246008</v>
      </c>
      <c r="X655" s="2">
        <f t="shared" si="95"/>
        <v>3.282439805006387</v>
      </c>
      <c r="Y655" s="2">
        <f t="shared" si="96"/>
        <v>3.5122268865139574</v>
      </c>
      <c r="Z655">
        <f t="shared" si="97"/>
        <v>-1.2394321570853067E-3</v>
      </c>
      <c r="AA655">
        <f t="shared" si="98"/>
        <v>-0.14840626925237344</v>
      </c>
      <c r="AB655">
        <f t="shared" si="99"/>
        <v>0.10750272629402464</v>
      </c>
    </row>
    <row r="656" spans="1:28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 t="e">
        <f t="shared" si="91"/>
        <v>#NUM!</v>
      </c>
      <c r="L656" s="2">
        <f t="shared" si="92"/>
        <v>-0.66657626627480826</v>
      </c>
      <c r="M656" s="2">
        <f t="shared" si="93"/>
        <v>-0.68965987938784945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 t="e">
        <f t="shared" si="94"/>
        <v>#NUM!</v>
      </c>
      <c r="X656" s="2" t="e">
        <f t="shared" si="95"/>
        <v>#NUM!</v>
      </c>
      <c r="Y656" s="2" t="e">
        <f t="shared" si="96"/>
        <v>#NUM!</v>
      </c>
      <c r="Z656" t="e">
        <f t="shared" si="97"/>
        <v>#NUM!</v>
      </c>
      <c r="AA656" t="e">
        <f t="shared" si="98"/>
        <v>#NUM!</v>
      </c>
      <c r="AB656" t="e">
        <f t="shared" si="99"/>
        <v>#NUM!</v>
      </c>
    </row>
    <row r="657" spans="1:28" ht="13.9" x14ac:dyDescent="0.3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f t="shared" si="91"/>
        <v>0.84799690655494997</v>
      </c>
      <c r="L657" s="2">
        <f t="shared" si="92"/>
        <v>-0.37706964907982332</v>
      </c>
      <c r="M657" s="2">
        <f t="shared" si="93"/>
        <v>0.48542682717024171</v>
      </c>
      <c r="N657" s="2">
        <v>0</v>
      </c>
      <c r="O657" s="2">
        <v>0</v>
      </c>
      <c r="P657" s="2">
        <v>0</v>
      </c>
      <c r="Q657" s="2">
        <v>0</v>
      </c>
      <c r="R657" s="2">
        <v>1.22</v>
      </c>
      <c r="S657" s="2">
        <v>0</v>
      </c>
      <c r="T657" s="2">
        <v>0</v>
      </c>
      <c r="U657" s="2">
        <v>0</v>
      </c>
      <c r="V657" s="2">
        <v>0</v>
      </c>
      <c r="W657" s="2" t="e">
        <f t="shared" si="94"/>
        <v>#NUM!</v>
      </c>
      <c r="X657" s="2">
        <f t="shared" si="95"/>
        <v>0.28688114778816154</v>
      </c>
      <c r="Y657" s="2" t="e">
        <f t="shared" si="96"/>
        <v>#NUM!</v>
      </c>
      <c r="Z657" t="e">
        <f t="shared" si="97"/>
        <v>#NUM!</v>
      </c>
      <c r="AA657" t="e">
        <f t="shared" si="98"/>
        <v>#NUM!</v>
      </c>
      <c r="AB657" t="e">
        <f t="shared" si="99"/>
        <v>#NUM!</v>
      </c>
    </row>
    <row r="658" spans="1:28" ht="13.9" x14ac:dyDescent="0.3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f t="shared" si="91"/>
        <v>0.13750352374993502</v>
      </c>
      <c r="L658" s="2">
        <f t="shared" si="92"/>
        <v>-0.66657626627480826</v>
      </c>
      <c r="M658" s="2">
        <f t="shared" si="93"/>
        <v>0.17632277264046289</v>
      </c>
      <c r="N658" s="2">
        <v>0</v>
      </c>
      <c r="O658" s="2">
        <v>0</v>
      </c>
      <c r="P658" s="2">
        <v>0</v>
      </c>
      <c r="Q658" s="2">
        <v>0</v>
      </c>
      <c r="R658" s="2">
        <v>1.22</v>
      </c>
      <c r="S658" s="2">
        <v>0</v>
      </c>
      <c r="T658" s="2">
        <v>0</v>
      </c>
      <c r="U658" s="2">
        <v>0</v>
      </c>
      <c r="V658" s="2">
        <v>0</v>
      </c>
      <c r="W658" s="2" t="e">
        <f t="shared" si="94"/>
        <v>#NUM!</v>
      </c>
      <c r="X658" s="2">
        <f t="shared" si="95"/>
        <v>0.28688114778816154</v>
      </c>
      <c r="Y658" s="2" t="e">
        <f t="shared" si="96"/>
        <v>#NUM!</v>
      </c>
      <c r="Z658" t="e">
        <f t="shared" si="97"/>
        <v>#NUM!</v>
      </c>
      <c r="AA658" t="e">
        <f t="shared" si="98"/>
        <v>#NUM!</v>
      </c>
      <c r="AB658" t="e">
        <f t="shared" si="99"/>
        <v>#NUM!</v>
      </c>
    </row>
    <row r="659" spans="1:28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 t="e">
        <f t="shared" si="91"/>
        <v>#NUM!</v>
      </c>
      <c r="L659" s="2" t="e">
        <f t="shared" si="92"/>
        <v>#NUM!</v>
      </c>
      <c r="M659" s="2">
        <f t="shared" si="93"/>
        <v>-1.8889686876112561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 t="e">
        <f t="shared" si="94"/>
        <v>#NUM!</v>
      </c>
      <c r="X659" s="2" t="e">
        <f t="shared" si="95"/>
        <v>#NUM!</v>
      </c>
      <c r="Y659" s="2" t="e">
        <f t="shared" si="96"/>
        <v>#NUM!</v>
      </c>
      <c r="Z659" t="e">
        <f t="shared" si="97"/>
        <v>#NUM!</v>
      </c>
      <c r="AA659" t="e">
        <f t="shared" si="98"/>
        <v>#NUM!</v>
      </c>
      <c r="AB659" t="e">
        <f t="shared" si="99"/>
        <v>#NUM!</v>
      </c>
    </row>
    <row r="660" spans="1:28" ht="13.9" x14ac:dyDescent="0.3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f t="shared" si="91"/>
        <v>-1.556393348524385</v>
      </c>
      <c r="L660" s="2" t="e">
        <f t="shared" si="92"/>
        <v>#NUM!</v>
      </c>
      <c r="M660" s="2" t="e">
        <f t="shared" si="93"/>
        <v>#NUM!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 t="e">
        <f t="shared" si="94"/>
        <v>#NUM!</v>
      </c>
      <c r="X660" s="2" t="e">
        <f t="shared" si="95"/>
        <v>#NUM!</v>
      </c>
      <c r="Y660" s="2" t="e">
        <f t="shared" si="96"/>
        <v>#NUM!</v>
      </c>
      <c r="Z660" t="e">
        <f t="shared" si="97"/>
        <v>#NUM!</v>
      </c>
      <c r="AA660" t="e">
        <f t="shared" si="98"/>
        <v>#NUM!</v>
      </c>
      <c r="AB660" t="e">
        <f t="shared" si="99"/>
        <v>#NUM!</v>
      </c>
    </row>
    <row r="661" spans="1:28" ht="13.9" x14ac:dyDescent="0.3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f t="shared" si="91"/>
        <v>1.8155754288625727</v>
      </c>
      <c r="L661" s="2">
        <f t="shared" si="92"/>
        <v>2.8318772411916728</v>
      </c>
      <c r="M661" s="2">
        <f t="shared" si="93"/>
        <v>0.98550043030488488</v>
      </c>
      <c r="N661" s="2">
        <v>0</v>
      </c>
      <c r="O661" s="2">
        <v>0</v>
      </c>
      <c r="P661" s="2">
        <v>0</v>
      </c>
      <c r="Q661" s="2">
        <v>5.6</v>
      </c>
      <c r="R661" s="2">
        <v>0</v>
      </c>
      <c r="S661" s="2">
        <v>4.92</v>
      </c>
      <c r="T661" s="2">
        <v>0</v>
      </c>
      <c r="U661" s="2">
        <v>0</v>
      </c>
      <c r="V661" s="2">
        <v>9.0500000000000007</v>
      </c>
      <c r="W661" s="2" t="e">
        <f t="shared" si="94"/>
        <v>#NUM!</v>
      </c>
      <c r="X661" s="2">
        <f t="shared" si="95"/>
        <v>3.3950627995175777</v>
      </c>
      <c r="Y661" s="2">
        <f t="shared" si="96"/>
        <v>3.177917792195843</v>
      </c>
      <c r="Z661" t="e">
        <f t="shared" si="97"/>
        <v>#NUM!</v>
      </c>
      <c r="AA661">
        <f t="shared" si="98"/>
        <v>0.26167953317894205</v>
      </c>
      <c r="AB661">
        <f t="shared" si="99"/>
        <v>1.6891533985721157</v>
      </c>
    </row>
    <row r="662" spans="1:28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 t="e">
        <f t="shared" si="91"/>
        <v>#NUM!</v>
      </c>
      <c r="L662" s="2" t="e">
        <f t="shared" si="92"/>
        <v>#NUM!</v>
      </c>
      <c r="M662" s="2" t="e">
        <f t="shared" si="93"/>
        <v>#NUM!</v>
      </c>
      <c r="N662" s="2">
        <v>0</v>
      </c>
      <c r="O662" s="2">
        <v>0</v>
      </c>
      <c r="P662" s="2">
        <v>0</v>
      </c>
      <c r="Q662" s="2">
        <v>0</v>
      </c>
      <c r="R662" s="2">
        <v>1.95</v>
      </c>
      <c r="S662" s="2">
        <v>0</v>
      </c>
      <c r="T662" s="2">
        <v>0</v>
      </c>
      <c r="U662" s="2">
        <v>0</v>
      </c>
      <c r="V662" s="2">
        <v>0</v>
      </c>
      <c r="W662" s="2" t="e">
        <f t="shared" si="94"/>
        <v>#NUM!</v>
      </c>
      <c r="X662" s="2">
        <f t="shared" si="95"/>
        <v>0.96347412397488608</v>
      </c>
      <c r="Y662" s="2" t="e">
        <f t="shared" si="96"/>
        <v>#NUM!</v>
      </c>
      <c r="Z662" t="e">
        <f t="shared" si="97"/>
        <v>#NUM!</v>
      </c>
      <c r="AA662" t="e">
        <f t="shared" si="98"/>
        <v>#NUM!</v>
      </c>
      <c r="AB662" t="e">
        <f t="shared" si="99"/>
        <v>#NUM!</v>
      </c>
    </row>
    <row r="663" spans="1:28" ht="13.9" x14ac:dyDescent="0.3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f t="shared" si="91"/>
        <v>0.84799690655494997</v>
      </c>
      <c r="L663" s="2">
        <f t="shared" si="92"/>
        <v>-0.37706964907982332</v>
      </c>
      <c r="M663" s="2">
        <f t="shared" si="93"/>
        <v>0.48542682717024171</v>
      </c>
      <c r="N663" s="2">
        <v>0</v>
      </c>
      <c r="O663" s="2">
        <v>0</v>
      </c>
      <c r="P663" s="2">
        <v>0</v>
      </c>
      <c r="Q663" s="2">
        <v>0</v>
      </c>
      <c r="R663" s="2">
        <v>1.22</v>
      </c>
      <c r="S663" s="2">
        <v>0</v>
      </c>
      <c r="T663" s="2">
        <v>0</v>
      </c>
      <c r="U663" s="2">
        <v>0</v>
      </c>
      <c r="V663" s="2">
        <v>0</v>
      </c>
      <c r="W663" s="2" t="e">
        <f t="shared" si="94"/>
        <v>#NUM!</v>
      </c>
      <c r="X663" s="2">
        <f t="shared" si="95"/>
        <v>0.28688114778816154</v>
      </c>
      <c r="Y663" s="2" t="e">
        <f t="shared" si="96"/>
        <v>#NUM!</v>
      </c>
      <c r="Z663" t="e">
        <f t="shared" si="97"/>
        <v>#NUM!</v>
      </c>
      <c r="AA663" t="e">
        <f t="shared" si="98"/>
        <v>#NUM!</v>
      </c>
      <c r="AB663" t="e">
        <f t="shared" si="99"/>
        <v>#NUM!</v>
      </c>
    </row>
    <row r="664" spans="1:28" ht="13.9" x14ac:dyDescent="0.3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f t="shared" si="91"/>
        <v>1.3276873641760474</v>
      </c>
      <c r="L664" s="2">
        <f t="shared" si="92"/>
        <v>2.6088092426755241</v>
      </c>
      <c r="M664" s="2">
        <f t="shared" si="93"/>
        <v>1.0143552929770701</v>
      </c>
      <c r="N664" s="2">
        <v>0</v>
      </c>
      <c r="O664" s="2">
        <v>0</v>
      </c>
      <c r="P664" s="2">
        <v>0</v>
      </c>
      <c r="Q664" s="2">
        <v>3.63</v>
      </c>
      <c r="R664" s="2">
        <v>0</v>
      </c>
      <c r="S664" s="2">
        <v>0</v>
      </c>
      <c r="T664" s="2">
        <v>0.54</v>
      </c>
      <c r="U664" s="2">
        <v>0</v>
      </c>
      <c r="V664" s="2">
        <v>7.04</v>
      </c>
      <c r="W664" s="2" t="e">
        <f t="shared" si="94"/>
        <v>#NUM!</v>
      </c>
      <c r="X664" s="2">
        <f t="shared" si="95"/>
        <v>1.8599695482210259</v>
      </c>
      <c r="Y664" s="2">
        <f t="shared" si="96"/>
        <v>2.9221978483963671</v>
      </c>
      <c r="Z664" t="e">
        <f t="shared" si="97"/>
        <v>#NUM!</v>
      </c>
      <c r="AA664">
        <f t="shared" si="98"/>
        <v>-0.48811245604486686</v>
      </c>
      <c r="AB664">
        <f t="shared" si="99"/>
        <v>1.526490793421462</v>
      </c>
    </row>
    <row r="665" spans="1:28" ht="13.9" x14ac:dyDescent="0.3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f t="shared" si="91"/>
        <v>6.2585189247113009</v>
      </c>
      <c r="L665" s="2">
        <f t="shared" si="92"/>
        <v>6.1274269298662798</v>
      </c>
      <c r="M665" s="2">
        <f t="shared" si="93"/>
        <v>5.394033895367782</v>
      </c>
      <c r="N665" s="2">
        <v>4.46</v>
      </c>
      <c r="O665" s="2">
        <v>8.1</v>
      </c>
      <c r="P665" s="2">
        <v>4.41</v>
      </c>
      <c r="Q665" s="2">
        <v>10.55</v>
      </c>
      <c r="R665" s="2">
        <v>10.49</v>
      </c>
      <c r="S665" s="2">
        <v>7.83</v>
      </c>
      <c r="T665" s="2">
        <v>10.6</v>
      </c>
      <c r="U665" s="2">
        <v>18.21</v>
      </c>
      <c r="V665" s="2">
        <v>12.07</v>
      </c>
      <c r="W665" s="2">
        <f t="shared" si="94"/>
        <v>4.0849146597679384</v>
      </c>
      <c r="X665" s="2">
        <f t="shared" si="95"/>
        <v>4.8514992024612571</v>
      </c>
      <c r="Y665" s="2">
        <f t="shared" si="96"/>
        <v>5.353323291162897</v>
      </c>
      <c r="Z665">
        <f t="shared" si="97"/>
        <v>-0.615515345970295</v>
      </c>
      <c r="AA665">
        <f t="shared" si="98"/>
        <v>-0.33685073943014276</v>
      </c>
      <c r="AB665">
        <f t="shared" si="99"/>
        <v>-1.0929806592354941E-2</v>
      </c>
    </row>
    <row r="666" spans="1:28" ht="13.9" x14ac:dyDescent="0.3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f t="shared" si="91"/>
        <v>0.42223300068304781</v>
      </c>
      <c r="L666" s="2">
        <f t="shared" si="92"/>
        <v>0.36737106564852945</v>
      </c>
      <c r="M666" s="2">
        <f t="shared" si="93"/>
        <v>1.028569152196771</v>
      </c>
      <c r="N666" s="2">
        <v>0</v>
      </c>
      <c r="O666" s="2">
        <v>0</v>
      </c>
      <c r="P666" s="2">
        <v>0</v>
      </c>
      <c r="Q666" s="2">
        <v>0</v>
      </c>
      <c r="R666" s="2">
        <v>2.68</v>
      </c>
      <c r="S666" s="2">
        <v>0</v>
      </c>
      <c r="T666" s="2">
        <v>0</v>
      </c>
      <c r="U666" s="2">
        <v>0</v>
      </c>
      <c r="V666" s="2">
        <v>0</v>
      </c>
      <c r="W666" s="2" t="e">
        <f t="shared" si="94"/>
        <v>#NUM!</v>
      </c>
      <c r="X666" s="2">
        <f t="shared" si="95"/>
        <v>1.4222330006830479</v>
      </c>
      <c r="Y666" s="2" t="e">
        <f t="shared" si="96"/>
        <v>#NUM!</v>
      </c>
      <c r="Z666" t="e">
        <f t="shared" si="97"/>
        <v>#NUM!</v>
      </c>
      <c r="AA666">
        <f t="shared" si="98"/>
        <v>1.9528479286805189</v>
      </c>
      <c r="AB666" t="e">
        <f t="shared" si="99"/>
        <v>#NUM!</v>
      </c>
    </row>
    <row r="667" spans="1:28" ht="13.9" x14ac:dyDescent="0.3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f t="shared" si="91"/>
        <v>-2.1844245711374275</v>
      </c>
      <c r="L667" s="2">
        <f t="shared" si="92"/>
        <v>-3.3219280948873622</v>
      </c>
      <c r="M667" s="2" t="e">
        <f t="shared" si="93"/>
        <v>#NUM!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 t="e">
        <f t="shared" si="94"/>
        <v>#NUM!</v>
      </c>
      <c r="X667" s="2" t="e">
        <f t="shared" si="95"/>
        <v>#NUM!</v>
      </c>
      <c r="Y667" s="2" t="e">
        <f t="shared" si="96"/>
        <v>#NUM!</v>
      </c>
      <c r="Z667" t="e">
        <f t="shared" si="97"/>
        <v>#NUM!</v>
      </c>
      <c r="AA667" t="e">
        <f t="shared" si="98"/>
        <v>#NUM!</v>
      </c>
      <c r="AB667" t="e">
        <f t="shared" si="99"/>
        <v>#NUM!</v>
      </c>
    </row>
    <row r="668" spans="1:28" ht="13.9" x14ac:dyDescent="0.3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f t="shared" si="91"/>
        <v>1.4059923596758368</v>
      </c>
      <c r="L668" s="2">
        <f t="shared" si="92"/>
        <v>0.91838623444634815</v>
      </c>
      <c r="M668" s="2">
        <f t="shared" si="93"/>
        <v>1.232660756790275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 t="e">
        <f t="shared" si="94"/>
        <v>#NUM!</v>
      </c>
      <c r="X668" s="2" t="e">
        <f t="shared" si="95"/>
        <v>#NUM!</v>
      </c>
      <c r="Y668" s="2" t="e">
        <f t="shared" si="96"/>
        <v>#NUM!</v>
      </c>
      <c r="Z668" t="e">
        <f t="shared" si="97"/>
        <v>#NUM!</v>
      </c>
      <c r="AA668" t="e">
        <f t="shared" si="98"/>
        <v>#NUM!</v>
      </c>
      <c r="AB668" t="e">
        <f t="shared" si="99"/>
        <v>#NUM!</v>
      </c>
    </row>
    <row r="669" spans="1:28" ht="13.9" x14ac:dyDescent="0.3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f t="shared" si="91"/>
        <v>1.5410191531335593</v>
      </c>
      <c r="L669" s="2">
        <f t="shared" si="92"/>
        <v>-0.81096617560998285</v>
      </c>
      <c r="M669" s="2">
        <f t="shared" si="93"/>
        <v>1.3840498067951599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7.95</v>
      </c>
      <c r="V669" s="2">
        <v>0</v>
      </c>
      <c r="W669" s="2" t="e">
        <f t="shared" si="94"/>
        <v>#NUM!</v>
      </c>
      <c r="X669" s="2" t="e">
        <f t="shared" si="95"/>
        <v>#NUM!</v>
      </c>
      <c r="Y669" s="2">
        <f t="shared" si="96"/>
        <v>2.9909548603969931</v>
      </c>
      <c r="Z669" t="e">
        <f t="shared" si="97"/>
        <v>#NUM!</v>
      </c>
      <c r="AA669" t="e">
        <f t="shared" si="98"/>
        <v>#NUM!</v>
      </c>
      <c r="AB669">
        <f t="shared" si="99"/>
        <v>1.1117102762864428</v>
      </c>
    </row>
    <row r="670" spans="1:28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 t="e">
        <f t="shared" si="91"/>
        <v>#NUM!</v>
      </c>
      <c r="L670" s="2">
        <f t="shared" si="92"/>
        <v>-2.9434164716336326</v>
      </c>
      <c r="M670" s="2">
        <f t="shared" si="93"/>
        <v>-0.88896868761125614</v>
      </c>
      <c r="N670" s="2">
        <v>0</v>
      </c>
      <c r="O670" s="2">
        <v>0</v>
      </c>
      <c r="P670" s="2">
        <v>0</v>
      </c>
      <c r="Q670" s="2">
        <v>0</v>
      </c>
      <c r="R670" s="2">
        <v>2.2000000000000002</v>
      </c>
      <c r="S670" s="2">
        <v>0</v>
      </c>
      <c r="T670" s="2">
        <v>0</v>
      </c>
      <c r="U670" s="2">
        <v>0</v>
      </c>
      <c r="V670" s="2">
        <v>0</v>
      </c>
      <c r="W670" s="2" t="e">
        <f t="shared" si="94"/>
        <v>#NUM!</v>
      </c>
      <c r="X670" s="2">
        <f t="shared" si="95"/>
        <v>1.1375035237499351</v>
      </c>
      <c r="Y670" s="2" t="e">
        <f t="shared" si="96"/>
        <v>#NUM!</v>
      </c>
      <c r="Z670" t="e">
        <f t="shared" si="97"/>
        <v>#NUM!</v>
      </c>
      <c r="AA670" t="e">
        <f t="shared" si="98"/>
        <v>#NUM!</v>
      </c>
      <c r="AB670" t="e">
        <f t="shared" si="99"/>
        <v>#NUM!</v>
      </c>
    </row>
    <row r="671" spans="1:28" ht="13.9" x14ac:dyDescent="0.3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f t="shared" si="91"/>
        <v>-2.1844245711374275</v>
      </c>
      <c r="L671" s="2" t="e">
        <f t="shared" si="92"/>
        <v>#NUM!</v>
      </c>
      <c r="M671" s="2" t="e">
        <f t="shared" si="93"/>
        <v>#NUM!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 t="e">
        <f t="shared" si="94"/>
        <v>#NUM!</v>
      </c>
      <c r="X671" s="2" t="e">
        <f t="shared" si="95"/>
        <v>#NUM!</v>
      </c>
      <c r="Y671" s="2" t="e">
        <f t="shared" si="96"/>
        <v>#NUM!</v>
      </c>
      <c r="Z671" t="e">
        <f t="shared" si="97"/>
        <v>#NUM!</v>
      </c>
      <c r="AA671" t="e">
        <f t="shared" si="98"/>
        <v>#NUM!</v>
      </c>
      <c r="AB671" t="e">
        <f t="shared" si="99"/>
        <v>#NUM!</v>
      </c>
    </row>
    <row r="672" spans="1:28" ht="13.9" x14ac:dyDescent="0.3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f t="shared" si="91"/>
        <v>4.0531113364595628</v>
      </c>
      <c r="L672" s="2">
        <f t="shared" si="92"/>
        <v>3.6380738371807184</v>
      </c>
      <c r="M672" s="2">
        <f t="shared" si="93"/>
        <v>3.2600256559614555</v>
      </c>
      <c r="N672" s="2">
        <v>4.46</v>
      </c>
      <c r="O672" s="2">
        <v>10.41</v>
      </c>
      <c r="P672" s="2">
        <v>1.04</v>
      </c>
      <c r="Q672" s="2">
        <v>8.57</v>
      </c>
      <c r="R672" s="2">
        <v>0.98</v>
      </c>
      <c r="S672" s="2">
        <v>0.18</v>
      </c>
      <c r="T672" s="2">
        <v>0.18</v>
      </c>
      <c r="U672" s="2">
        <v>4.1900000000000004</v>
      </c>
      <c r="V672" s="2">
        <v>1.51</v>
      </c>
      <c r="W672" s="2">
        <f t="shared" si="94"/>
        <v>3.9918619305563228</v>
      </c>
      <c r="X672" s="2">
        <f t="shared" si="95"/>
        <v>3.282439805006387</v>
      </c>
      <c r="Y672" s="2">
        <f t="shared" si="96"/>
        <v>2.5558161550616396</v>
      </c>
      <c r="Z672">
        <f t="shared" si="97"/>
        <v>-2.1967983877630607E-2</v>
      </c>
      <c r="AA672">
        <f t="shared" si="98"/>
        <v>-0.14840626925237344</v>
      </c>
      <c r="AB672">
        <f t="shared" si="99"/>
        <v>-0.35109925422208749</v>
      </c>
    </row>
    <row r="673" spans="1:28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 t="e">
        <f t="shared" si="91"/>
        <v>#NUM!</v>
      </c>
      <c r="L673" s="2" t="e">
        <f t="shared" si="92"/>
        <v>#NUM!</v>
      </c>
      <c r="M673" s="2" t="e">
        <f t="shared" si="93"/>
        <v>#NUM!</v>
      </c>
      <c r="N673" s="2">
        <v>0</v>
      </c>
      <c r="O673" s="2">
        <v>0</v>
      </c>
      <c r="P673" s="2">
        <v>0</v>
      </c>
      <c r="Q673" s="2">
        <v>0</v>
      </c>
      <c r="R673" s="2">
        <v>1.95</v>
      </c>
      <c r="S673" s="2">
        <v>0</v>
      </c>
      <c r="T673" s="2">
        <v>0</v>
      </c>
      <c r="U673" s="2">
        <v>0</v>
      </c>
      <c r="V673" s="2">
        <v>0</v>
      </c>
      <c r="W673" s="2" t="e">
        <f t="shared" si="94"/>
        <v>#NUM!</v>
      </c>
      <c r="X673" s="2">
        <f t="shared" si="95"/>
        <v>0.96347412397488608</v>
      </c>
      <c r="Y673" s="2" t="e">
        <f t="shared" si="96"/>
        <v>#NUM!</v>
      </c>
      <c r="Z673" t="e">
        <f t="shared" si="97"/>
        <v>#NUM!</v>
      </c>
      <c r="AA673" t="e">
        <f t="shared" si="98"/>
        <v>#NUM!</v>
      </c>
      <c r="AB673" t="e">
        <f t="shared" si="99"/>
        <v>#NUM!</v>
      </c>
    </row>
    <row r="674" spans="1:28" ht="13.9" x14ac:dyDescent="0.3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f t="shared" si="91"/>
        <v>3.4854268271702415</v>
      </c>
      <c r="L674" s="2">
        <f t="shared" si="92"/>
        <v>2.2600256559614555</v>
      </c>
      <c r="M674" s="2">
        <f t="shared" si="93"/>
        <v>2.3248106034204836</v>
      </c>
      <c r="N674" s="2">
        <v>5.1100000000000003</v>
      </c>
      <c r="O674" s="2">
        <v>10.41</v>
      </c>
      <c r="P674" s="2">
        <v>0</v>
      </c>
      <c r="Q674" s="2">
        <v>0</v>
      </c>
      <c r="R674" s="2">
        <v>0.24</v>
      </c>
      <c r="S674" s="2">
        <v>0</v>
      </c>
      <c r="T674" s="2">
        <v>0.18</v>
      </c>
      <c r="U674" s="2">
        <v>0</v>
      </c>
      <c r="V674" s="2">
        <v>7.04</v>
      </c>
      <c r="W674" s="2">
        <f t="shared" si="94"/>
        <v>3.956056652412403</v>
      </c>
      <c r="X674" s="2">
        <f t="shared" si="95"/>
        <v>-2.0588936890535687</v>
      </c>
      <c r="Y674" s="2">
        <f t="shared" si="96"/>
        <v>2.8519988371124461</v>
      </c>
      <c r="Z674">
        <f t="shared" si="97"/>
        <v>0.18272774615851797</v>
      </c>
      <c r="AA674" t="e">
        <f t="shared" si="98"/>
        <v>#NUM!</v>
      </c>
      <c r="AB674">
        <f t="shared" si="99"/>
        <v>0.29486020532535612</v>
      </c>
    </row>
    <row r="675" spans="1:28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 t="e">
        <f t="shared" si="91"/>
        <v>#NUM!</v>
      </c>
      <c r="L675" s="2">
        <f t="shared" si="92"/>
        <v>-0.16812275880832692</v>
      </c>
      <c r="M675" s="2">
        <f t="shared" si="93"/>
        <v>0.12432813500220179</v>
      </c>
      <c r="N675" s="2">
        <v>0</v>
      </c>
      <c r="O675" s="2">
        <v>0</v>
      </c>
      <c r="P675" s="2">
        <v>0</v>
      </c>
      <c r="Q675" s="2">
        <v>6.26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 t="e">
        <f t="shared" si="94"/>
        <v>#NUM!</v>
      </c>
      <c r="X675" s="2">
        <f t="shared" si="95"/>
        <v>2.6461626571578938</v>
      </c>
      <c r="Y675" s="2" t="e">
        <f t="shared" si="96"/>
        <v>#NUM!</v>
      </c>
      <c r="Z675" t="e">
        <f t="shared" si="97"/>
        <v>#NUM!</v>
      </c>
      <c r="AA675" t="e">
        <f t="shared" si="98"/>
        <v>#NUM!</v>
      </c>
      <c r="AB675" t="e">
        <f t="shared" si="99"/>
        <v>#NUM!</v>
      </c>
    </row>
    <row r="676" spans="1:28" ht="13.9" x14ac:dyDescent="0.3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f t="shared" si="91"/>
        <v>2.2570106182060239</v>
      </c>
      <c r="L676" s="2">
        <f t="shared" si="92"/>
        <v>1.0703893278913981</v>
      </c>
      <c r="M676" s="2">
        <f t="shared" si="93"/>
        <v>5.4426118036893438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10.92</v>
      </c>
      <c r="T676" s="2">
        <v>0</v>
      </c>
      <c r="U676" s="2">
        <v>0</v>
      </c>
      <c r="V676" s="2">
        <v>0</v>
      </c>
      <c r="W676" s="2" t="e">
        <f t="shared" si="94"/>
        <v>#NUM!</v>
      </c>
      <c r="X676" s="2">
        <f t="shared" si="95"/>
        <v>3.4489009511451281</v>
      </c>
      <c r="Y676" s="2" t="e">
        <f t="shared" si="96"/>
        <v>#NUM!</v>
      </c>
      <c r="Z676" t="e">
        <f t="shared" si="97"/>
        <v>#NUM!</v>
      </c>
      <c r="AA676">
        <f t="shared" si="98"/>
        <v>1.688001059636435</v>
      </c>
      <c r="AB676" t="e">
        <f t="shared" si="99"/>
        <v>#NUM!</v>
      </c>
    </row>
    <row r="677" spans="1:28" ht="13.9" x14ac:dyDescent="0.3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f t="shared" si="91"/>
        <v>1.1375035237499351</v>
      </c>
      <c r="L677" s="2" t="e">
        <f t="shared" si="92"/>
        <v>#NUM!</v>
      </c>
      <c r="M677" s="2">
        <f t="shared" si="93"/>
        <v>-0.30400618689009989</v>
      </c>
      <c r="N677" s="2">
        <v>0</v>
      </c>
      <c r="O677" s="2">
        <v>0</v>
      </c>
      <c r="P677" s="2">
        <v>0</v>
      </c>
      <c r="Q677" s="2">
        <v>5.6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 t="e">
        <f t="shared" si="94"/>
        <v>#NUM!</v>
      </c>
      <c r="X677" s="2">
        <f t="shared" si="95"/>
        <v>2.485426827170242</v>
      </c>
      <c r="Y677" s="2" t="e">
        <f t="shared" si="96"/>
        <v>#NUM!</v>
      </c>
      <c r="Z677" t="e">
        <f t="shared" si="97"/>
        <v>#NUM!</v>
      </c>
      <c r="AA677" t="e">
        <f t="shared" si="98"/>
        <v>#NUM!</v>
      </c>
      <c r="AB677" t="e">
        <f t="shared" si="99"/>
        <v>#NUM!</v>
      </c>
    </row>
    <row r="678" spans="1:28" ht="13.9" x14ac:dyDescent="0.3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f t="shared" si="91"/>
        <v>2.4620523187964327</v>
      </c>
      <c r="L678" s="2">
        <f t="shared" si="92"/>
        <v>1.5160151470036647</v>
      </c>
      <c r="M678" s="2">
        <f t="shared" si="93"/>
        <v>1.9818526532897405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4.92</v>
      </c>
      <c r="T678" s="2">
        <v>0</v>
      </c>
      <c r="U678" s="2">
        <v>0</v>
      </c>
      <c r="V678" s="2">
        <v>0</v>
      </c>
      <c r="W678" s="2" t="e">
        <f t="shared" si="94"/>
        <v>#NUM!</v>
      </c>
      <c r="X678" s="2">
        <f t="shared" si="95"/>
        <v>2.2986583155645151</v>
      </c>
      <c r="Y678" s="2" t="e">
        <f t="shared" si="96"/>
        <v>#NUM!</v>
      </c>
      <c r="Z678" t="e">
        <f t="shared" si="97"/>
        <v>#NUM!</v>
      </c>
      <c r="AA678">
        <f t="shared" si="98"/>
        <v>0.60050786433678982</v>
      </c>
      <c r="AB678" t="e">
        <f t="shared" si="99"/>
        <v>#NUM!</v>
      </c>
    </row>
    <row r="679" spans="1:28" ht="13.9" x14ac:dyDescent="0.3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f t="shared" si="91"/>
        <v>-1.556393348524385</v>
      </c>
      <c r="L679" s="2" t="e">
        <f t="shared" si="92"/>
        <v>#NUM!</v>
      </c>
      <c r="M679" s="2">
        <f t="shared" si="93"/>
        <v>-2.2515387669959646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 t="e">
        <f t="shared" si="94"/>
        <v>#NUM!</v>
      </c>
      <c r="X679" s="2" t="e">
        <f t="shared" si="95"/>
        <v>#NUM!</v>
      </c>
      <c r="Y679" s="2" t="e">
        <f t="shared" si="96"/>
        <v>#NUM!</v>
      </c>
      <c r="Z679" t="e">
        <f t="shared" si="97"/>
        <v>#NUM!</v>
      </c>
      <c r="AA679" t="e">
        <f t="shared" si="98"/>
        <v>#NUM!</v>
      </c>
      <c r="AB679" t="e">
        <f t="shared" si="99"/>
        <v>#NUM!</v>
      </c>
    </row>
    <row r="680" spans="1:28" ht="13.9" x14ac:dyDescent="0.3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f t="shared" si="91"/>
        <v>-0.66657626627480826</v>
      </c>
      <c r="L680" s="2" t="e">
        <f t="shared" si="92"/>
        <v>#NUM!</v>
      </c>
      <c r="M680" s="2">
        <f t="shared" si="93"/>
        <v>-1.8889686876112561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 t="e">
        <f t="shared" si="94"/>
        <v>#NUM!</v>
      </c>
      <c r="X680" s="2" t="e">
        <f t="shared" si="95"/>
        <v>#NUM!</v>
      </c>
      <c r="Y680" s="2" t="e">
        <f t="shared" si="96"/>
        <v>#NUM!</v>
      </c>
      <c r="Z680" t="e">
        <f t="shared" si="97"/>
        <v>#NUM!</v>
      </c>
      <c r="AA680" t="e">
        <f t="shared" si="98"/>
        <v>#NUM!</v>
      </c>
      <c r="AB680" t="e">
        <f t="shared" si="99"/>
        <v>#NUM!</v>
      </c>
    </row>
    <row r="681" spans="1:28" ht="13.9" x14ac:dyDescent="0.3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f t="shared" si="91"/>
        <v>-2.1844245711374275</v>
      </c>
      <c r="L681" s="2">
        <f t="shared" si="92"/>
        <v>-3.3219280948873622</v>
      </c>
      <c r="M681" s="2" t="e">
        <f t="shared" si="93"/>
        <v>#NUM!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 t="e">
        <f t="shared" si="94"/>
        <v>#NUM!</v>
      </c>
      <c r="X681" s="2" t="e">
        <f t="shared" si="95"/>
        <v>#NUM!</v>
      </c>
      <c r="Y681" s="2" t="e">
        <f t="shared" si="96"/>
        <v>#NUM!</v>
      </c>
      <c r="Z681" t="e">
        <f t="shared" si="97"/>
        <v>#NUM!</v>
      </c>
      <c r="AA681" t="e">
        <f t="shared" si="98"/>
        <v>#NUM!</v>
      </c>
      <c r="AB681" t="e">
        <f t="shared" si="99"/>
        <v>#NUM!</v>
      </c>
    </row>
    <row r="682" spans="1:28" ht="13.9" x14ac:dyDescent="0.3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f t="shared" si="91"/>
        <v>1.2509615735332189</v>
      </c>
      <c r="L682" s="2" t="e">
        <f t="shared" si="92"/>
        <v>#NUM!</v>
      </c>
      <c r="M682" s="2">
        <f t="shared" si="93"/>
        <v>-1.4344028241457749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0.18</v>
      </c>
      <c r="T682" s="2">
        <v>0</v>
      </c>
      <c r="U682" s="2">
        <v>0.21</v>
      </c>
      <c r="V682" s="2">
        <v>0</v>
      </c>
      <c r="W682" s="2" t="e">
        <f t="shared" si="94"/>
        <v>#NUM!</v>
      </c>
      <c r="X682" s="2">
        <f t="shared" si="95"/>
        <v>-2.4739311883324122</v>
      </c>
      <c r="Y682" s="2">
        <f t="shared" si="96"/>
        <v>-2.2515387669959646</v>
      </c>
      <c r="Z682" t="e">
        <f t="shared" si="97"/>
        <v>#NUM!</v>
      </c>
      <c r="AA682" t="e">
        <f t="shared" si="98"/>
        <v>#NUM!</v>
      </c>
      <c r="AB682">
        <f t="shared" si="99"/>
        <v>0.65046108442401573</v>
      </c>
    </row>
    <row r="683" spans="1:28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 t="e">
        <f t="shared" si="91"/>
        <v>#NUM!</v>
      </c>
      <c r="L683" s="2">
        <f t="shared" si="92"/>
        <v>-0.66657626627480826</v>
      </c>
      <c r="M683" s="2" t="e">
        <f t="shared" si="93"/>
        <v>#NUM!</v>
      </c>
      <c r="N683" s="2">
        <v>0</v>
      </c>
      <c r="O683" s="2">
        <v>0</v>
      </c>
      <c r="P683" s="2">
        <v>0</v>
      </c>
      <c r="Q683" s="2">
        <v>0</v>
      </c>
      <c r="R683" s="2">
        <v>12.69</v>
      </c>
      <c r="S683" s="2">
        <v>0</v>
      </c>
      <c r="T683" s="2">
        <v>0</v>
      </c>
      <c r="U683" s="2">
        <v>0</v>
      </c>
      <c r="V683" s="2">
        <v>0</v>
      </c>
      <c r="W683" s="2" t="e">
        <f t="shared" si="94"/>
        <v>#NUM!</v>
      </c>
      <c r="X683" s="2">
        <f t="shared" si="95"/>
        <v>3.665620164066381</v>
      </c>
      <c r="Y683" s="2" t="e">
        <f t="shared" si="96"/>
        <v>#NUM!</v>
      </c>
      <c r="Z683" t="e">
        <f t="shared" si="97"/>
        <v>#NUM!</v>
      </c>
      <c r="AA683" t="e">
        <f t="shared" si="98"/>
        <v>#NUM!</v>
      </c>
      <c r="AB683" t="e">
        <f t="shared" si="99"/>
        <v>#NUM!</v>
      </c>
    </row>
    <row r="684" spans="1:28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 t="e">
        <f t="shared" si="91"/>
        <v>#NUM!</v>
      </c>
      <c r="L684" s="2" t="e">
        <f t="shared" si="92"/>
        <v>#NUM!</v>
      </c>
      <c r="M684" s="2">
        <f t="shared" si="93"/>
        <v>-3.3219280948873622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 t="e">
        <f t="shared" si="94"/>
        <v>#NUM!</v>
      </c>
      <c r="X684" s="2" t="e">
        <f t="shared" si="95"/>
        <v>#NUM!</v>
      </c>
      <c r="Y684" s="2" t="e">
        <f t="shared" si="96"/>
        <v>#NUM!</v>
      </c>
      <c r="Z684" t="e">
        <f t="shared" si="97"/>
        <v>#NUM!</v>
      </c>
      <c r="AA684" t="e">
        <f t="shared" si="98"/>
        <v>#NUM!</v>
      </c>
      <c r="AB684" t="e">
        <f t="shared" si="99"/>
        <v>#NUM!</v>
      </c>
    </row>
    <row r="685" spans="1:28" ht="13.9" x14ac:dyDescent="0.3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f t="shared" si="91"/>
        <v>0.17632277264046289</v>
      </c>
      <c r="L685" s="2" t="e">
        <f t="shared" si="92"/>
        <v>#NUM!</v>
      </c>
      <c r="M685" s="2" t="e">
        <f t="shared" si="93"/>
        <v>#NUM!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0.21</v>
      </c>
      <c r="V685" s="2">
        <v>0</v>
      </c>
      <c r="W685" s="2" t="e">
        <f t="shared" si="94"/>
        <v>#NUM!</v>
      </c>
      <c r="X685" s="2" t="e">
        <f t="shared" si="95"/>
        <v>#NUM!</v>
      </c>
      <c r="Y685" s="2">
        <f t="shared" si="96"/>
        <v>-2.2515387669959646</v>
      </c>
      <c r="Z685" t="e">
        <f t="shared" si="97"/>
        <v>#NUM!</v>
      </c>
      <c r="AA685" t="e">
        <f t="shared" si="98"/>
        <v>#NUM!</v>
      </c>
      <c r="AB685" t="e">
        <f t="shared" si="99"/>
        <v>#NUM!</v>
      </c>
    </row>
    <row r="686" spans="1:28" ht="13.9" x14ac:dyDescent="0.3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f t="shared" si="91"/>
        <v>-0.57776699931695219</v>
      </c>
      <c r="L686" s="2">
        <f t="shared" si="92"/>
        <v>-2.2515387669959646</v>
      </c>
      <c r="M686" s="2">
        <f t="shared" si="93"/>
        <v>-1.8889686876112561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 t="e">
        <f t="shared" si="94"/>
        <v>#NUM!</v>
      </c>
      <c r="X686" s="2" t="e">
        <f t="shared" si="95"/>
        <v>#NUM!</v>
      </c>
      <c r="Y686" s="2" t="e">
        <f t="shared" si="96"/>
        <v>#NUM!</v>
      </c>
      <c r="Z686" t="e">
        <f t="shared" si="97"/>
        <v>#NUM!</v>
      </c>
      <c r="AA686" t="e">
        <f t="shared" si="98"/>
        <v>#NUM!</v>
      </c>
      <c r="AB686" t="e">
        <f t="shared" si="99"/>
        <v>#NUM!</v>
      </c>
    </row>
    <row r="687" spans="1:28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 t="e">
        <f t="shared" si="91"/>
        <v>#NUM!</v>
      </c>
      <c r="L687" s="2" t="e">
        <f t="shared" si="92"/>
        <v>#NUM!</v>
      </c>
      <c r="M687" s="2" t="e">
        <f t="shared" si="93"/>
        <v>#NUM!</v>
      </c>
      <c r="N687" s="2">
        <v>0</v>
      </c>
      <c r="O687" s="2">
        <v>2.02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f t="shared" si="94"/>
        <v>1.0143552929770701</v>
      </c>
      <c r="X687" s="2" t="e">
        <f t="shared" si="95"/>
        <v>#NUM!</v>
      </c>
      <c r="Y687" s="2" t="e">
        <f t="shared" si="96"/>
        <v>#NUM!</v>
      </c>
      <c r="Z687" t="e">
        <f t="shared" si="97"/>
        <v>#NUM!</v>
      </c>
      <c r="AA687" t="e">
        <f t="shared" si="98"/>
        <v>#NUM!</v>
      </c>
      <c r="AB687" t="e">
        <f t="shared" si="99"/>
        <v>#NUM!</v>
      </c>
    </row>
    <row r="688" spans="1:28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 t="e">
        <f t="shared" si="91"/>
        <v>#NUM!</v>
      </c>
      <c r="L688" s="2">
        <f t="shared" si="92"/>
        <v>0.46466826700344421</v>
      </c>
      <c r="M688" s="2" t="e">
        <f t="shared" si="93"/>
        <v>#NUM!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 t="e">
        <f t="shared" si="94"/>
        <v>#NUM!</v>
      </c>
      <c r="X688" s="2" t="e">
        <f t="shared" si="95"/>
        <v>#NUM!</v>
      </c>
      <c r="Y688" s="2" t="e">
        <f t="shared" si="96"/>
        <v>#NUM!</v>
      </c>
      <c r="Z688" t="e">
        <f t="shared" si="97"/>
        <v>#NUM!</v>
      </c>
      <c r="AA688" t="e">
        <f t="shared" si="98"/>
        <v>#NUM!</v>
      </c>
      <c r="AB688" t="e">
        <f t="shared" si="99"/>
        <v>#NUM!</v>
      </c>
    </row>
    <row r="689" spans="1:28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 t="e">
        <f t="shared" si="91"/>
        <v>#NUM!</v>
      </c>
      <c r="L689" s="2">
        <f t="shared" si="92"/>
        <v>-0.2515387669959645</v>
      </c>
      <c r="M689" s="2" t="e">
        <f t="shared" si="93"/>
        <v>#NUM!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 t="e">
        <f t="shared" si="94"/>
        <v>#NUM!</v>
      </c>
      <c r="X689" s="2" t="e">
        <f t="shared" si="95"/>
        <v>#NUM!</v>
      </c>
      <c r="Y689" s="2" t="e">
        <f t="shared" si="96"/>
        <v>#NUM!</v>
      </c>
      <c r="Z689" t="e">
        <f t="shared" si="97"/>
        <v>#NUM!</v>
      </c>
      <c r="AA689" t="e">
        <f t="shared" si="98"/>
        <v>#NUM!</v>
      </c>
      <c r="AB689" t="e">
        <f t="shared" si="99"/>
        <v>#NUM!</v>
      </c>
    </row>
    <row r="690" spans="1:28" ht="13.9" x14ac:dyDescent="0.3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f t="shared" si="91"/>
        <v>0.15055967657538141</v>
      </c>
      <c r="L690" s="2">
        <f t="shared" si="92"/>
        <v>0.15055967657538111</v>
      </c>
      <c r="M690" s="2">
        <f t="shared" si="93"/>
        <v>1.5945485495503544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 t="e">
        <f t="shared" si="94"/>
        <v>#NUM!</v>
      </c>
      <c r="X690" s="2" t="e">
        <f t="shared" si="95"/>
        <v>#NUM!</v>
      </c>
      <c r="Y690" s="2" t="e">
        <f t="shared" si="96"/>
        <v>#NUM!</v>
      </c>
      <c r="Z690" t="e">
        <f t="shared" si="97"/>
        <v>#NUM!</v>
      </c>
      <c r="AA690" t="e">
        <f t="shared" si="98"/>
        <v>#NUM!</v>
      </c>
      <c r="AB690" t="e">
        <f t="shared" si="99"/>
        <v>#NUM!</v>
      </c>
    </row>
    <row r="691" spans="1:28" ht="13.9" x14ac:dyDescent="0.3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f t="shared" si="91"/>
        <v>-2.9434164716336326</v>
      </c>
      <c r="L691" s="2" t="e">
        <f t="shared" si="92"/>
        <v>#NUM!</v>
      </c>
      <c r="M691" s="2">
        <f t="shared" si="93"/>
        <v>-2.8365012677171206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 t="e">
        <f t="shared" si="94"/>
        <v>#NUM!</v>
      </c>
      <c r="X691" s="2" t="e">
        <f t="shared" si="95"/>
        <v>#NUM!</v>
      </c>
      <c r="Y691" s="2" t="e">
        <f t="shared" si="96"/>
        <v>#NUM!</v>
      </c>
      <c r="Z691" t="e">
        <f t="shared" si="97"/>
        <v>#NUM!</v>
      </c>
      <c r="AA691" t="e">
        <f t="shared" si="98"/>
        <v>#NUM!</v>
      </c>
      <c r="AB691" t="e">
        <f t="shared" si="99"/>
        <v>#NUM!</v>
      </c>
    </row>
    <row r="692" spans="1:28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 t="e">
        <f t="shared" si="91"/>
        <v>#NUM!</v>
      </c>
      <c r="L692" s="2" t="e">
        <f t="shared" si="92"/>
        <v>#NUM!</v>
      </c>
      <c r="M692" s="2">
        <f t="shared" si="93"/>
        <v>-0.97143084780322919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 t="e">
        <f t="shared" si="94"/>
        <v>#NUM!</v>
      </c>
      <c r="X692" s="2" t="e">
        <f t="shared" si="95"/>
        <v>#NUM!</v>
      </c>
      <c r="Y692" s="2" t="e">
        <f t="shared" si="96"/>
        <v>#NUM!</v>
      </c>
      <c r="Z692" t="e">
        <f t="shared" si="97"/>
        <v>#NUM!</v>
      </c>
      <c r="AA692" t="e">
        <f t="shared" si="98"/>
        <v>#NUM!</v>
      </c>
      <c r="AB692" t="e">
        <f t="shared" si="99"/>
        <v>#NUM!</v>
      </c>
    </row>
    <row r="693" spans="1:28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 t="e">
        <f t="shared" si="91"/>
        <v>#NUM!</v>
      </c>
      <c r="L693" s="2" t="e">
        <f t="shared" si="92"/>
        <v>#NUM!</v>
      </c>
      <c r="M693" s="2" t="e">
        <f t="shared" si="93"/>
        <v>#NUM!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13.47</v>
      </c>
      <c r="T693" s="2">
        <v>0</v>
      </c>
      <c r="U693" s="2">
        <v>0</v>
      </c>
      <c r="V693" s="2">
        <v>0</v>
      </c>
      <c r="W693" s="2" t="e">
        <f t="shared" si="94"/>
        <v>#NUM!</v>
      </c>
      <c r="X693" s="2">
        <f t="shared" si="95"/>
        <v>3.7516779456875788</v>
      </c>
      <c r="Y693" s="2" t="e">
        <f t="shared" si="96"/>
        <v>#NUM!</v>
      </c>
      <c r="Z693" t="e">
        <f t="shared" si="97"/>
        <v>#NUM!</v>
      </c>
      <c r="AA693" t="e">
        <f t="shared" si="98"/>
        <v>#NUM!</v>
      </c>
      <c r="AB693" t="e">
        <f t="shared" si="99"/>
        <v>#NUM!</v>
      </c>
    </row>
    <row r="694" spans="1:28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 t="e">
        <f t="shared" si="91"/>
        <v>#NUM!</v>
      </c>
      <c r="L694" s="2">
        <f t="shared" si="92"/>
        <v>-2.9434164716336326</v>
      </c>
      <c r="M694" s="2" t="e">
        <f t="shared" si="93"/>
        <v>#NUM!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 t="e">
        <f t="shared" si="94"/>
        <v>#NUM!</v>
      </c>
      <c r="X694" s="2" t="e">
        <f t="shared" si="95"/>
        <v>#NUM!</v>
      </c>
      <c r="Y694" s="2" t="e">
        <f t="shared" si="96"/>
        <v>#NUM!</v>
      </c>
      <c r="Z694" t="e">
        <f t="shared" si="97"/>
        <v>#NUM!</v>
      </c>
      <c r="AA694" t="e">
        <f t="shared" si="98"/>
        <v>#NUM!</v>
      </c>
      <c r="AB694" t="e">
        <f t="shared" si="99"/>
        <v>#NUM!</v>
      </c>
    </row>
    <row r="695" spans="1:28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 t="e">
        <f t="shared" si="91"/>
        <v>#NUM!</v>
      </c>
      <c r="L695" s="2" t="e">
        <f t="shared" si="92"/>
        <v>#NUM!</v>
      </c>
      <c r="M695" s="2" t="e">
        <f t="shared" si="93"/>
        <v>#NUM!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9.52</v>
      </c>
      <c r="U695" s="2">
        <v>0</v>
      </c>
      <c r="V695" s="2">
        <v>0</v>
      </c>
      <c r="W695" s="2" t="e">
        <f t="shared" si="94"/>
        <v>#NUM!</v>
      </c>
      <c r="X695" s="2" t="e">
        <f t="shared" si="95"/>
        <v>#NUM!</v>
      </c>
      <c r="Y695" s="2">
        <f t="shared" si="96"/>
        <v>3.2509615735332189</v>
      </c>
      <c r="Z695" t="e">
        <f t="shared" si="97"/>
        <v>#NUM!</v>
      </c>
      <c r="AA695" t="e">
        <f t="shared" si="98"/>
        <v>#NUM!</v>
      </c>
      <c r="AB695" t="e">
        <f t="shared" si="99"/>
        <v>#NUM!</v>
      </c>
    </row>
    <row r="696" spans="1:28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 t="e">
        <f t="shared" si="91"/>
        <v>#NUM!</v>
      </c>
      <c r="L696" s="2">
        <f t="shared" si="92"/>
        <v>-0.91593573521152549</v>
      </c>
      <c r="M696" s="2" t="e">
        <f t="shared" si="93"/>
        <v>#NUM!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 t="e">
        <f t="shared" si="94"/>
        <v>#NUM!</v>
      </c>
      <c r="X696" s="2" t="e">
        <f t="shared" si="95"/>
        <v>#NUM!</v>
      </c>
      <c r="Y696" s="2" t="e">
        <f t="shared" si="96"/>
        <v>#NUM!</v>
      </c>
      <c r="Z696" t="e">
        <f t="shared" si="97"/>
        <v>#NUM!</v>
      </c>
      <c r="AA696" t="e">
        <f t="shared" si="98"/>
        <v>#NUM!</v>
      </c>
      <c r="AB696" t="e">
        <f t="shared" si="99"/>
        <v>#NUM!</v>
      </c>
    </row>
    <row r="697" spans="1:28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 t="e">
        <f t="shared" si="91"/>
        <v>#NUM!</v>
      </c>
      <c r="L697" s="2">
        <f t="shared" si="92"/>
        <v>-0.91593573521152549</v>
      </c>
      <c r="M697" s="2" t="e">
        <f t="shared" si="93"/>
        <v>#NUM!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 t="e">
        <f t="shared" si="94"/>
        <v>#NUM!</v>
      </c>
      <c r="X697" s="2" t="e">
        <f t="shared" si="95"/>
        <v>#NUM!</v>
      </c>
      <c r="Y697" s="2" t="e">
        <f t="shared" si="96"/>
        <v>#NUM!</v>
      </c>
      <c r="Z697" t="e">
        <f t="shared" si="97"/>
        <v>#NUM!</v>
      </c>
      <c r="AA697" t="e">
        <f t="shared" si="98"/>
        <v>#NUM!</v>
      </c>
      <c r="AB697" t="e">
        <f t="shared" si="99"/>
        <v>#NUM!</v>
      </c>
    </row>
    <row r="698" spans="1:28" ht="13.9" x14ac:dyDescent="0.3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f t="shared" si="91"/>
        <v>5.1013979521825314</v>
      </c>
      <c r="L698" s="2">
        <f t="shared" si="92"/>
        <v>5.0058490756966876</v>
      </c>
      <c r="M698" s="2">
        <f t="shared" si="93"/>
        <v>6.7357929279853099</v>
      </c>
      <c r="N698" s="2">
        <v>0.13</v>
      </c>
      <c r="O698" s="2">
        <v>4.34</v>
      </c>
      <c r="P698" s="2">
        <v>16.86</v>
      </c>
      <c r="Q698" s="2">
        <v>5.6</v>
      </c>
      <c r="R698" s="2">
        <v>12.69</v>
      </c>
      <c r="S698" s="2">
        <v>5.46</v>
      </c>
      <c r="T698" s="2">
        <v>6.47</v>
      </c>
      <c r="U698" s="2">
        <v>20.3</v>
      </c>
      <c r="V698" s="2">
        <v>34.19</v>
      </c>
      <c r="W698" s="2">
        <f t="shared" si="94"/>
        <v>4.414812060565847</v>
      </c>
      <c r="X698" s="2">
        <f t="shared" si="95"/>
        <v>4.5698556083309487</v>
      </c>
      <c r="Y698" s="2">
        <f t="shared" si="96"/>
        <v>5.9297909977185981</v>
      </c>
      <c r="Z698">
        <f t="shared" si="97"/>
        <v>-0.20854062417476424</v>
      </c>
      <c r="AA698">
        <f t="shared" si="98"/>
        <v>-0.13146621319803314</v>
      </c>
      <c r="AB698">
        <f t="shared" si="99"/>
        <v>-0.18386653147075188</v>
      </c>
    </row>
    <row r="699" spans="1:28" ht="13.9" x14ac:dyDescent="0.3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f t="shared" si="91"/>
        <v>-2.1202942337177118</v>
      </c>
      <c r="L699" s="2">
        <f t="shared" si="92"/>
        <v>0.22650852980867975</v>
      </c>
      <c r="M699" s="2">
        <f t="shared" si="93"/>
        <v>1.2750070474998698</v>
      </c>
      <c r="N699" s="2">
        <v>3.02</v>
      </c>
      <c r="O699" s="2">
        <v>0</v>
      </c>
      <c r="P699" s="2">
        <v>0</v>
      </c>
      <c r="Q699" s="2">
        <v>1.32</v>
      </c>
      <c r="R699" s="2">
        <v>0</v>
      </c>
      <c r="S699" s="2">
        <v>0</v>
      </c>
      <c r="T699" s="2">
        <v>1.62</v>
      </c>
      <c r="U699" s="2">
        <v>0</v>
      </c>
      <c r="V699" s="2">
        <v>7.04</v>
      </c>
      <c r="W699" s="2">
        <f t="shared" si="94"/>
        <v>1.5945485495503544</v>
      </c>
      <c r="X699" s="2">
        <f t="shared" si="95"/>
        <v>0.40053792958372886</v>
      </c>
      <c r="Y699" s="2">
        <f t="shared" si="96"/>
        <v>3.1143670249520001</v>
      </c>
      <c r="Z699" t="e">
        <f t="shared" si="97"/>
        <v>#NUM!</v>
      </c>
      <c r="AA699">
        <f t="shared" si="98"/>
        <v>0.82237348744248262</v>
      </c>
      <c r="AB699">
        <f t="shared" si="99"/>
        <v>1.2884337530753502</v>
      </c>
    </row>
    <row r="700" spans="1:28" ht="13.9" x14ac:dyDescent="0.3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f t="shared" si="91"/>
        <v>7.0209243961587866</v>
      </c>
      <c r="L700" s="2">
        <f t="shared" si="92"/>
        <v>6.94192792470872</v>
      </c>
      <c r="M700" s="2">
        <f t="shared" si="93"/>
        <v>10.313676672857426</v>
      </c>
      <c r="N700" s="2">
        <v>405.61</v>
      </c>
      <c r="O700" s="2">
        <v>192.02</v>
      </c>
      <c r="P700" s="2">
        <v>351.39</v>
      </c>
      <c r="Q700" s="2">
        <v>317.08999999999997</v>
      </c>
      <c r="R700" s="2">
        <v>119.05</v>
      </c>
      <c r="S700" s="2">
        <v>336.64</v>
      </c>
      <c r="T700" s="2">
        <v>204.45</v>
      </c>
      <c r="U700" s="2">
        <v>114.06</v>
      </c>
      <c r="V700" s="2">
        <v>280.52999999999997</v>
      </c>
      <c r="W700" s="2">
        <f t="shared" si="94"/>
        <v>9.8902946812326764</v>
      </c>
      <c r="X700" s="2">
        <f t="shared" si="95"/>
        <v>9.5939139466370857</v>
      </c>
      <c r="Y700" s="2">
        <f t="shared" si="96"/>
        <v>9.2265085298086795</v>
      </c>
      <c r="Z700">
        <f t="shared" si="97"/>
        <v>0.49435251407749475</v>
      </c>
      <c r="AA700">
        <f t="shared" si="98"/>
        <v>0.46678311291875069</v>
      </c>
      <c r="AB700">
        <f t="shared" si="99"/>
        <v>-0.16070200826321843</v>
      </c>
    </row>
    <row r="701" spans="1:28" ht="13.9" x14ac:dyDescent="0.3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f t="shared" si="91"/>
        <v>5.428611418467133</v>
      </c>
      <c r="L701" s="2">
        <f t="shared" si="92"/>
        <v>5.4202128906107845</v>
      </c>
      <c r="M701" s="2">
        <f t="shared" si="93"/>
        <v>4.9768218523606853</v>
      </c>
      <c r="N701" s="2">
        <v>4.46</v>
      </c>
      <c r="O701" s="2">
        <v>6.94</v>
      </c>
      <c r="P701" s="2">
        <v>10.63</v>
      </c>
      <c r="Q701" s="2">
        <v>9.23</v>
      </c>
      <c r="R701" s="2">
        <v>0</v>
      </c>
      <c r="S701" s="2">
        <v>11.11</v>
      </c>
      <c r="T701" s="2">
        <v>4.8499999999999996</v>
      </c>
      <c r="U701" s="2">
        <v>14.23</v>
      </c>
      <c r="V701" s="2">
        <v>8.5500000000000007</v>
      </c>
      <c r="W701" s="2">
        <f t="shared" si="94"/>
        <v>4.4613975899261593</v>
      </c>
      <c r="X701" s="2">
        <f t="shared" si="95"/>
        <v>4.3462477740827756</v>
      </c>
      <c r="Y701" s="2">
        <f t="shared" si="96"/>
        <v>4.7881636570377673</v>
      </c>
      <c r="Z701">
        <f t="shared" si="97"/>
        <v>-0.283087495401037</v>
      </c>
      <c r="AA701">
        <f t="shared" si="98"/>
        <v>-0.31857909458575351</v>
      </c>
      <c r="AB701">
        <f t="shared" si="99"/>
        <v>-5.5752282284440374E-2</v>
      </c>
    </row>
    <row r="702" spans="1:28" ht="13.9" x14ac:dyDescent="0.3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f t="shared" si="91"/>
        <v>-1</v>
      </c>
      <c r="L702" s="2">
        <f t="shared" si="92"/>
        <v>0.67807190511263782</v>
      </c>
      <c r="M702" s="2">
        <f t="shared" si="93"/>
        <v>0.69599381310990016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 t="e">
        <f t="shared" si="94"/>
        <v>#NUM!</v>
      </c>
      <c r="X702" s="2" t="e">
        <f t="shared" si="95"/>
        <v>#NUM!</v>
      </c>
      <c r="Y702" s="2" t="e">
        <f t="shared" si="96"/>
        <v>#NUM!</v>
      </c>
      <c r="Z702" t="e">
        <f t="shared" si="97"/>
        <v>#NUM!</v>
      </c>
      <c r="AA702" t="e">
        <f t="shared" si="98"/>
        <v>#NUM!</v>
      </c>
      <c r="AB702" t="e">
        <f t="shared" si="99"/>
        <v>#NUM!</v>
      </c>
    </row>
    <row r="703" spans="1:28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 t="e">
        <f t="shared" si="91"/>
        <v>#NUM!</v>
      </c>
      <c r="L703" s="2">
        <f t="shared" si="92"/>
        <v>0.44360665147561484</v>
      </c>
      <c r="M703" s="2">
        <f t="shared" si="93"/>
        <v>-0.97143084780322919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 t="e">
        <f t="shared" si="94"/>
        <v>#NUM!</v>
      </c>
      <c r="X703" s="2" t="e">
        <f t="shared" si="95"/>
        <v>#NUM!</v>
      </c>
      <c r="Y703" s="2" t="e">
        <f t="shared" si="96"/>
        <v>#NUM!</v>
      </c>
      <c r="Z703" t="e">
        <f t="shared" si="97"/>
        <v>#NUM!</v>
      </c>
      <c r="AA703" t="e">
        <f t="shared" si="98"/>
        <v>#NUM!</v>
      </c>
      <c r="AB703" t="e">
        <f t="shared" si="99"/>
        <v>#NUM!</v>
      </c>
    </row>
    <row r="704" spans="1:28" ht="13.9" x14ac:dyDescent="0.3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f t="shared" si="91"/>
        <v>3.0197019144425483</v>
      </c>
      <c r="L704" s="2">
        <f t="shared" si="92"/>
        <v>4.1276332797258739</v>
      </c>
      <c r="M704" s="2">
        <f t="shared" si="93"/>
        <v>2.5459683691052923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 t="e">
        <f t="shared" si="94"/>
        <v>#NUM!</v>
      </c>
      <c r="X704" s="2" t="e">
        <f t="shared" si="95"/>
        <v>#NUM!</v>
      </c>
      <c r="Y704" s="2" t="e">
        <f t="shared" si="96"/>
        <v>#NUM!</v>
      </c>
      <c r="Z704" t="e">
        <f t="shared" si="97"/>
        <v>#NUM!</v>
      </c>
      <c r="AA704" t="e">
        <f t="shared" si="98"/>
        <v>#NUM!</v>
      </c>
      <c r="AB704" t="e">
        <f t="shared" si="99"/>
        <v>#NUM!</v>
      </c>
    </row>
    <row r="705" spans="1:28" ht="13.9" x14ac:dyDescent="0.3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f t="shared" si="91"/>
        <v>11.520402603852382</v>
      </c>
      <c r="L705" s="2">
        <f t="shared" si="92"/>
        <v>11.66630834250951</v>
      </c>
      <c r="M705" s="2">
        <f t="shared" si="93"/>
        <v>11.700695461720418</v>
      </c>
      <c r="N705" s="2">
        <v>304.54000000000002</v>
      </c>
      <c r="O705" s="2">
        <v>721.8</v>
      </c>
      <c r="P705" s="2">
        <v>391.06</v>
      </c>
      <c r="Q705" s="2">
        <v>592.32000000000005</v>
      </c>
      <c r="R705" s="2">
        <v>865.58</v>
      </c>
      <c r="S705" s="2">
        <v>589.53</v>
      </c>
      <c r="T705" s="2">
        <v>473.39</v>
      </c>
      <c r="U705" s="2">
        <v>674.51</v>
      </c>
      <c r="V705" s="2">
        <v>627.91999999999996</v>
      </c>
      <c r="W705" s="2">
        <f t="shared" si="94"/>
        <v>10.469031238811461</v>
      </c>
      <c r="X705" s="2">
        <f t="shared" si="95"/>
        <v>10.999598412777845</v>
      </c>
      <c r="Y705" s="2">
        <f t="shared" si="96"/>
        <v>10.794269639847872</v>
      </c>
      <c r="Z705">
        <f t="shared" si="97"/>
        <v>-0.13806318820118066</v>
      </c>
      <c r="AA705">
        <f t="shared" si="98"/>
        <v>-8.4897257463067324E-2</v>
      </c>
      <c r="AB705">
        <f t="shared" si="99"/>
        <v>-0.11632865148438662</v>
      </c>
    </row>
    <row r="706" spans="1:28" ht="13.9" x14ac:dyDescent="0.3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f t="shared" si="91"/>
        <v>1.6088092426755241</v>
      </c>
      <c r="L706" s="2">
        <f t="shared" si="92"/>
        <v>1.7527485914071339</v>
      </c>
      <c r="M706" s="2">
        <f t="shared" si="93"/>
        <v>1.7990873060740036</v>
      </c>
      <c r="N706" s="2">
        <v>0</v>
      </c>
      <c r="O706" s="2">
        <v>0</v>
      </c>
      <c r="P706" s="2">
        <v>14.78</v>
      </c>
      <c r="Q706" s="2">
        <v>18.79</v>
      </c>
      <c r="R706" s="2">
        <v>0</v>
      </c>
      <c r="S706" s="2">
        <v>9.2899999999999991</v>
      </c>
      <c r="T706" s="2">
        <v>9.8800000000000008</v>
      </c>
      <c r="U706" s="2">
        <v>0</v>
      </c>
      <c r="V706" s="2">
        <v>58.32</v>
      </c>
      <c r="W706" s="2">
        <f t="shared" si="94"/>
        <v>3.885574364371426</v>
      </c>
      <c r="X706" s="2">
        <f t="shared" si="95"/>
        <v>4.8114710305298356</v>
      </c>
      <c r="Y706" s="2">
        <f t="shared" si="96"/>
        <v>6.0916998341368105</v>
      </c>
      <c r="Z706">
        <f t="shared" si="97"/>
        <v>1.2721345979980072</v>
      </c>
      <c r="AA706">
        <f t="shared" si="98"/>
        <v>1.4568589670117291</v>
      </c>
      <c r="AB706">
        <f t="shared" si="99"/>
        <v>1.7595796560398633</v>
      </c>
    </row>
    <row r="707" spans="1:28" ht="13.9" x14ac:dyDescent="0.3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f t="shared" ref="K707:K770" si="100">LOG(SUM(B707:D707),2)</f>
        <v>9.9264739112560747</v>
      </c>
      <c r="L707" s="2">
        <f t="shared" ref="L707:L770" si="101">LOG(SUM(E707:G707),2)</f>
        <v>9.9776233814329487</v>
      </c>
      <c r="M707" s="2">
        <f t="shared" ref="M707:M770" si="102">LOG(SUM(H707:J707),2)</f>
        <v>9.6643939491798125</v>
      </c>
      <c r="N707" s="2">
        <v>187.73</v>
      </c>
      <c r="O707" s="2">
        <v>314.33999999999997</v>
      </c>
      <c r="P707" s="2">
        <v>88.17</v>
      </c>
      <c r="Q707" s="2">
        <v>197.11</v>
      </c>
      <c r="R707" s="2">
        <v>134.91</v>
      </c>
      <c r="S707" s="2">
        <v>168.96</v>
      </c>
      <c r="T707" s="2">
        <v>88.21</v>
      </c>
      <c r="U707" s="2">
        <v>157.59</v>
      </c>
      <c r="V707" s="2">
        <v>240.31</v>
      </c>
      <c r="W707" s="2">
        <f t="shared" ref="W707:W770" si="103">LOG(SUM(N707:P707),2)</f>
        <v>9.2051578839200943</v>
      </c>
      <c r="X707" s="2">
        <f t="shared" ref="X707:X770" si="104">LOG(SUM(Q707:S707),2)</f>
        <v>8.9686091994292223</v>
      </c>
      <c r="Y707" s="2">
        <f t="shared" ref="Y707:Y770" si="105">LOG(SUM(T707:V707),2)</f>
        <v>8.9251390025723083</v>
      </c>
      <c r="Z707">
        <f t="shared" ref="Z707:Z770" si="106">LOG(W707/K707,2)</f>
        <v>-0.10883886721881053</v>
      </c>
      <c r="AA707">
        <f t="shared" ref="AA707:AA770" si="107">LOG(X707/L707,2)</f>
        <v>-0.15381193634311338</v>
      </c>
      <c r="AB707">
        <f t="shared" ref="AB707:AB770" si="108">LOG(Y707/M707,2)</f>
        <v>-0.11480462611682568</v>
      </c>
    </row>
    <row r="708" spans="1:28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 t="e">
        <f t="shared" si="100"/>
        <v>#NUM!</v>
      </c>
      <c r="L708" s="2" t="e">
        <f t="shared" si="101"/>
        <v>#NUM!</v>
      </c>
      <c r="M708" s="2">
        <f t="shared" si="102"/>
        <v>-0.47393118833241243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 t="e">
        <f t="shared" si="103"/>
        <v>#NUM!</v>
      </c>
      <c r="X708" s="2" t="e">
        <f t="shared" si="104"/>
        <v>#NUM!</v>
      </c>
      <c r="Y708" s="2" t="e">
        <f t="shared" si="105"/>
        <v>#NUM!</v>
      </c>
      <c r="Z708" t="e">
        <f t="shared" si="106"/>
        <v>#NUM!</v>
      </c>
      <c r="AA708" t="e">
        <f t="shared" si="107"/>
        <v>#NUM!</v>
      </c>
      <c r="AB708" t="e">
        <f t="shared" si="108"/>
        <v>#NUM!</v>
      </c>
    </row>
    <row r="709" spans="1:28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 t="e">
        <f t="shared" si="100"/>
        <v>#NUM!</v>
      </c>
      <c r="L709" s="2">
        <f t="shared" si="101"/>
        <v>-1.0291463456595165</v>
      </c>
      <c r="M709" s="2" t="e">
        <f t="shared" si="102"/>
        <v>#NUM!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 t="e">
        <f t="shared" si="103"/>
        <v>#NUM!</v>
      </c>
      <c r="X709" s="2" t="e">
        <f t="shared" si="104"/>
        <v>#NUM!</v>
      </c>
      <c r="Y709" s="2" t="e">
        <f t="shared" si="105"/>
        <v>#NUM!</v>
      </c>
      <c r="Z709" t="e">
        <f t="shared" si="106"/>
        <v>#NUM!</v>
      </c>
      <c r="AA709" t="e">
        <f t="shared" si="107"/>
        <v>#NUM!</v>
      </c>
      <c r="AB709" t="e">
        <f t="shared" si="108"/>
        <v>#NUM!</v>
      </c>
    </row>
    <row r="710" spans="1:28" ht="13.9" x14ac:dyDescent="0.3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f t="shared" si="100"/>
        <v>7.1082107933263652</v>
      </c>
      <c r="L710" s="2">
        <f t="shared" si="101"/>
        <v>7.0394674382785274</v>
      </c>
      <c r="M710" s="2">
        <f t="shared" si="102"/>
        <v>8.8210404919862579</v>
      </c>
      <c r="N710" s="2">
        <v>16.649999999999999</v>
      </c>
      <c r="O710" s="2">
        <v>0.28999999999999998</v>
      </c>
      <c r="P710" s="2">
        <v>0.26</v>
      </c>
      <c r="Q710" s="2">
        <v>1.32</v>
      </c>
      <c r="R710" s="2">
        <v>34.64</v>
      </c>
      <c r="S710" s="2">
        <v>11.29</v>
      </c>
      <c r="T710" s="2">
        <v>20.66</v>
      </c>
      <c r="U710" s="2">
        <v>32.44</v>
      </c>
      <c r="V710" s="2">
        <v>81.44</v>
      </c>
      <c r="W710" s="2">
        <f t="shared" si="103"/>
        <v>4.1043366598147353</v>
      </c>
      <c r="X710" s="2">
        <f t="shared" si="104"/>
        <v>5.5622424242210728</v>
      </c>
      <c r="Y710" s="2">
        <f t="shared" si="105"/>
        <v>7.0718913530566301</v>
      </c>
      <c r="Z710">
        <f t="shared" si="106"/>
        <v>-0.79233739156570371</v>
      </c>
      <c r="AA710">
        <f t="shared" si="107"/>
        <v>-0.33979966344842533</v>
      </c>
      <c r="AB710">
        <f t="shared" si="108"/>
        <v>-0.31885272944582649</v>
      </c>
    </row>
    <row r="711" spans="1:28" ht="13.9" x14ac:dyDescent="0.3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f t="shared" si="100"/>
        <v>2.3504972470841334</v>
      </c>
      <c r="L711" s="2">
        <f t="shared" si="101"/>
        <v>2.9049657186840268</v>
      </c>
      <c r="M711" s="2">
        <f t="shared" si="102"/>
        <v>2.4005379295837286</v>
      </c>
      <c r="N711" s="2">
        <v>9.31</v>
      </c>
      <c r="O711" s="2">
        <v>0</v>
      </c>
      <c r="P711" s="2">
        <v>0</v>
      </c>
      <c r="Q711" s="2">
        <v>5.93</v>
      </c>
      <c r="R711" s="2">
        <v>0</v>
      </c>
      <c r="S711" s="2">
        <v>6.01</v>
      </c>
      <c r="T711" s="2">
        <v>0</v>
      </c>
      <c r="U711" s="2">
        <v>0</v>
      </c>
      <c r="V711" s="2">
        <v>0</v>
      </c>
      <c r="W711" s="2">
        <f t="shared" si="103"/>
        <v>3.2187811677840692</v>
      </c>
      <c r="X711" s="2">
        <f t="shared" si="104"/>
        <v>3.57773093149008</v>
      </c>
      <c r="Y711" s="2" t="e">
        <f t="shared" si="105"/>
        <v>#NUM!</v>
      </c>
      <c r="Z711">
        <f t="shared" si="106"/>
        <v>0.45354850617313502</v>
      </c>
      <c r="AA711">
        <f t="shared" si="107"/>
        <v>0.30052375289219052</v>
      </c>
      <c r="AB711" t="e">
        <f t="shared" si="108"/>
        <v>#NUM!</v>
      </c>
    </row>
    <row r="712" spans="1:28" ht="13.9" x14ac:dyDescent="0.3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f t="shared" si="100"/>
        <v>-2.9434164716336326</v>
      </c>
      <c r="L712" s="2">
        <f t="shared" si="101"/>
        <v>-3.1844245711374275</v>
      </c>
      <c r="M712" s="2" t="e">
        <f t="shared" si="102"/>
        <v>#NUM!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 t="e">
        <f t="shared" si="103"/>
        <v>#NUM!</v>
      </c>
      <c r="X712" s="2" t="e">
        <f t="shared" si="104"/>
        <v>#NUM!</v>
      </c>
      <c r="Y712" s="2" t="e">
        <f t="shared" si="105"/>
        <v>#NUM!</v>
      </c>
      <c r="Z712" t="e">
        <f t="shared" si="106"/>
        <v>#NUM!</v>
      </c>
      <c r="AA712" t="e">
        <f t="shared" si="107"/>
        <v>#NUM!</v>
      </c>
      <c r="AB712" t="e">
        <f t="shared" si="108"/>
        <v>#NUM!</v>
      </c>
    </row>
    <row r="713" spans="1:28" ht="13.9" x14ac:dyDescent="0.3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f t="shared" si="100"/>
        <v>3.023255352300303</v>
      </c>
      <c r="L713" s="2">
        <f t="shared" si="101"/>
        <v>3.6311042823658766</v>
      </c>
      <c r="M713" s="2">
        <f t="shared" si="102"/>
        <v>2.2927817492278457</v>
      </c>
      <c r="N713" s="2">
        <v>0</v>
      </c>
      <c r="O713" s="2">
        <v>0</v>
      </c>
      <c r="P713" s="2">
        <v>0</v>
      </c>
      <c r="Q713" s="2">
        <v>13.18</v>
      </c>
      <c r="R713" s="2">
        <v>0</v>
      </c>
      <c r="S713" s="2">
        <v>0</v>
      </c>
      <c r="T713" s="2">
        <v>11.32</v>
      </c>
      <c r="U713" s="2">
        <v>0</v>
      </c>
      <c r="V713" s="2">
        <v>0</v>
      </c>
      <c r="W713" s="2" t="e">
        <f t="shared" si="103"/>
        <v>#NUM!</v>
      </c>
      <c r="X713" s="2">
        <f t="shared" si="104"/>
        <v>3.7202784652333274</v>
      </c>
      <c r="Y713" s="2">
        <f t="shared" si="105"/>
        <v>3.5008020530571575</v>
      </c>
      <c r="Z713" t="e">
        <f t="shared" si="106"/>
        <v>#NUM!</v>
      </c>
      <c r="AA713">
        <f t="shared" si="107"/>
        <v>3.5002248262718583E-2</v>
      </c>
      <c r="AB713">
        <f t="shared" si="108"/>
        <v>0.61058645855520988</v>
      </c>
    </row>
    <row r="714" spans="1:28" ht="13.9" x14ac:dyDescent="0.3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f t="shared" si="100"/>
        <v>-2.0588936890535687</v>
      </c>
      <c r="L714" s="2" t="e">
        <f t="shared" si="101"/>
        <v>#NUM!</v>
      </c>
      <c r="M714" s="2">
        <f t="shared" si="102"/>
        <v>-3.3219280948873622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0.36</v>
      </c>
      <c r="T714" s="2">
        <v>0</v>
      </c>
      <c r="U714" s="2">
        <v>0</v>
      </c>
      <c r="V714" s="2">
        <v>0</v>
      </c>
      <c r="W714" s="2" t="e">
        <f t="shared" si="103"/>
        <v>#NUM!</v>
      </c>
      <c r="X714" s="2">
        <f t="shared" si="104"/>
        <v>-1.4739311883324124</v>
      </c>
      <c r="Y714" s="2" t="e">
        <f t="shared" si="105"/>
        <v>#NUM!</v>
      </c>
      <c r="Z714" t="e">
        <f t="shared" si="106"/>
        <v>#NUM!</v>
      </c>
      <c r="AA714" t="e">
        <f t="shared" si="107"/>
        <v>#NUM!</v>
      </c>
      <c r="AB714" t="e">
        <f t="shared" si="108"/>
        <v>#NUM!</v>
      </c>
    </row>
    <row r="715" spans="1:28" ht="13.9" x14ac:dyDescent="0.3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f t="shared" si="100"/>
        <v>-0.81096617560998319</v>
      </c>
      <c r="L715" s="2">
        <f t="shared" si="101"/>
        <v>0.21412480535284734</v>
      </c>
      <c r="M715" s="2" t="e">
        <f t="shared" si="102"/>
        <v>#NUM!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 t="e">
        <f t="shared" si="103"/>
        <v>#NUM!</v>
      </c>
      <c r="X715" s="2" t="e">
        <f t="shared" si="104"/>
        <v>#NUM!</v>
      </c>
      <c r="Y715" s="2" t="e">
        <f t="shared" si="105"/>
        <v>#NUM!</v>
      </c>
      <c r="Z715" t="e">
        <f t="shared" si="106"/>
        <v>#NUM!</v>
      </c>
      <c r="AA715" t="e">
        <f t="shared" si="107"/>
        <v>#NUM!</v>
      </c>
      <c r="AB715" t="e">
        <f t="shared" si="108"/>
        <v>#NUM!</v>
      </c>
    </row>
    <row r="716" spans="1:28" ht="13.9" x14ac:dyDescent="0.3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f t="shared" si="100"/>
        <v>-3.1844245711374275</v>
      </c>
      <c r="L716" s="2">
        <f t="shared" si="101"/>
        <v>-1.3219280948873622</v>
      </c>
      <c r="M716" s="2" t="e">
        <f t="shared" si="102"/>
        <v>#NUM!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 t="e">
        <f t="shared" si="103"/>
        <v>#NUM!</v>
      </c>
      <c r="X716" s="2" t="e">
        <f t="shared" si="104"/>
        <v>#NUM!</v>
      </c>
      <c r="Y716" s="2" t="e">
        <f t="shared" si="105"/>
        <v>#NUM!</v>
      </c>
      <c r="Z716" t="e">
        <f t="shared" si="106"/>
        <v>#NUM!</v>
      </c>
      <c r="AA716" t="e">
        <f t="shared" si="107"/>
        <v>#NUM!</v>
      </c>
      <c r="AB716" t="e">
        <f t="shared" si="108"/>
        <v>#NUM!</v>
      </c>
    </row>
    <row r="717" spans="1:28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 t="e">
        <f t="shared" si="100"/>
        <v>#NUM!</v>
      </c>
      <c r="L717" s="2">
        <f t="shared" si="101"/>
        <v>-1.6438561897747248</v>
      </c>
      <c r="M717" s="2">
        <f t="shared" si="102"/>
        <v>-0.55639334852438527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 t="e">
        <f t="shared" si="103"/>
        <v>#NUM!</v>
      </c>
      <c r="X717" s="2" t="e">
        <f t="shared" si="104"/>
        <v>#NUM!</v>
      </c>
      <c r="Y717" s="2" t="e">
        <f t="shared" si="105"/>
        <v>#NUM!</v>
      </c>
      <c r="Z717" t="e">
        <f t="shared" si="106"/>
        <v>#NUM!</v>
      </c>
      <c r="AA717" t="e">
        <f t="shared" si="107"/>
        <v>#NUM!</v>
      </c>
      <c r="AB717" t="e">
        <f t="shared" si="108"/>
        <v>#NUM!</v>
      </c>
    </row>
    <row r="718" spans="1:28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 t="e">
        <f t="shared" si="100"/>
        <v>#NUM!</v>
      </c>
      <c r="L718" s="2">
        <f t="shared" si="101"/>
        <v>-0.91593573521152549</v>
      </c>
      <c r="M718" s="2" t="e">
        <f t="shared" si="102"/>
        <v>#NUM!</v>
      </c>
      <c r="N718" s="2">
        <v>0</v>
      </c>
      <c r="O718" s="2">
        <v>0</v>
      </c>
      <c r="P718" s="2">
        <v>0</v>
      </c>
      <c r="Q718" s="2">
        <v>1.98</v>
      </c>
      <c r="R718" s="2">
        <v>0</v>
      </c>
      <c r="S718" s="2">
        <v>4.7300000000000004</v>
      </c>
      <c r="T718" s="2">
        <v>0</v>
      </c>
      <c r="U718" s="2">
        <v>1.88</v>
      </c>
      <c r="V718" s="2">
        <v>0</v>
      </c>
      <c r="W718" s="2" t="e">
        <f t="shared" si="103"/>
        <v>#NUM!</v>
      </c>
      <c r="X718" s="2">
        <f t="shared" si="104"/>
        <v>2.7463127664254587</v>
      </c>
      <c r="Y718" s="2">
        <f t="shared" si="105"/>
        <v>0.91073266190291258</v>
      </c>
      <c r="Z718" t="e">
        <f t="shared" si="106"/>
        <v>#NUM!</v>
      </c>
      <c r="AA718" t="e">
        <f t="shared" si="107"/>
        <v>#NUM!</v>
      </c>
      <c r="AB718" t="e">
        <f t="shared" si="108"/>
        <v>#NUM!</v>
      </c>
    </row>
    <row r="719" spans="1:28" ht="13.9" x14ac:dyDescent="0.3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f t="shared" si="100"/>
        <v>-2.9434164716336326</v>
      </c>
      <c r="L719" s="2" t="e">
        <f t="shared" si="101"/>
        <v>#NUM!</v>
      </c>
      <c r="M719" s="2" t="e">
        <f t="shared" si="102"/>
        <v>#NUM!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 t="e">
        <f t="shared" si="103"/>
        <v>#NUM!</v>
      </c>
      <c r="X719" s="2" t="e">
        <f t="shared" si="104"/>
        <v>#NUM!</v>
      </c>
      <c r="Y719" s="2" t="e">
        <f t="shared" si="105"/>
        <v>#NUM!</v>
      </c>
      <c r="Z719" t="e">
        <f t="shared" si="106"/>
        <v>#NUM!</v>
      </c>
      <c r="AA719" t="e">
        <f t="shared" si="107"/>
        <v>#NUM!</v>
      </c>
      <c r="AB719" t="e">
        <f t="shared" si="108"/>
        <v>#NUM!</v>
      </c>
    </row>
    <row r="720" spans="1:28" ht="13.9" x14ac:dyDescent="0.3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f t="shared" si="100"/>
        <v>-0.53533173299655556</v>
      </c>
      <c r="L720" s="2">
        <f t="shared" si="101"/>
        <v>-2.2515387669959646</v>
      </c>
      <c r="M720" s="2">
        <f t="shared" si="102"/>
        <v>-3.3219280948873622</v>
      </c>
      <c r="N720" s="2">
        <v>0.39</v>
      </c>
      <c r="O720" s="2">
        <v>0</v>
      </c>
      <c r="P720" s="2">
        <v>0.26</v>
      </c>
      <c r="Q720" s="2">
        <v>4.28</v>
      </c>
      <c r="R720" s="2">
        <v>0.24</v>
      </c>
      <c r="S720" s="2">
        <v>9.4700000000000006</v>
      </c>
      <c r="T720" s="2">
        <v>0.18</v>
      </c>
      <c r="U720" s="2">
        <v>1.05</v>
      </c>
      <c r="V720" s="2">
        <v>0</v>
      </c>
      <c r="W720" s="2">
        <f t="shared" si="103"/>
        <v>-0.62148837674627011</v>
      </c>
      <c r="X720" s="2">
        <f t="shared" si="104"/>
        <v>3.8063240573900288</v>
      </c>
      <c r="Y720" s="2">
        <f t="shared" si="105"/>
        <v>0.29865831556451516</v>
      </c>
      <c r="Z720">
        <f t="shared" si="106"/>
        <v>0.21529423564201106</v>
      </c>
      <c r="AA720" t="e">
        <f t="shared" si="107"/>
        <v>#NUM!</v>
      </c>
      <c r="AB720" t="e">
        <f t="shared" si="108"/>
        <v>#NUM!</v>
      </c>
    </row>
    <row r="721" spans="1:28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 t="e">
        <f t="shared" si="100"/>
        <v>#NUM!</v>
      </c>
      <c r="L721" s="2" t="e">
        <f t="shared" si="101"/>
        <v>#NUM!</v>
      </c>
      <c r="M721" s="2" t="e">
        <f t="shared" si="102"/>
        <v>#NUM!</v>
      </c>
      <c r="N721" s="2">
        <v>0.13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f t="shared" si="103"/>
        <v>-2.9434164716336326</v>
      </c>
      <c r="X721" s="2" t="e">
        <f t="shared" si="104"/>
        <v>#NUM!</v>
      </c>
      <c r="Y721" s="2" t="e">
        <f t="shared" si="105"/>
        <v>#NUM!</v>
      </c>
      <c r="Z721" t="e">
        <f t="shared" si="106"/>
        <v>#NUM!</v>
      </c>
      <c r="AA721" t="e">
        <f t="shared" si="107"/>
        <v>#NUM!</v>
      </c>
      <c r="AB721" t="e">
        <f t="shared" si="108"/>
        <v>#NUM!</v>
      </c>
    </row>
    <row r="722" spans="1:28" ht="13.9" x14ac:dyDescent="0.3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f t="shared" si="100"/>
        <v>-0.30400618689009989</v>
      </c>
      <c r="L722" s="2">
        <f t="shared" si="101"/>
        <v>1.4222330006830475</v>
      </c>
      <c r="M722" s="2">
        <f t="shared" si="102"/>
        <v>-1.6896598793878495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5.86</v>
      </c>
      <c r="V722" s="2">
        <v>0</v>
      </c>
      <c r="W722" s="2" t="e">
        <f t="shared" si="103"/>
        <v>#NUM!</v>
      </c>
      <c r="X722" s="2" t="e">
        <f t="shared" si="104"/>
        <v>#NUM!</v>
      </c>
      <c r="Y722" s="2">
        <f t="shared" si="105"/>
        <v>2.5509006646475232</v>
      </c>
      <c r="Z722" t="e">
        <f t="shared" si="106"/>
        <v>#NUM!</v>
      </c>
      <c r="AA722" t="e">
        <f t="shared" si="107"/>
        <v>#NUM!</v>
      </c>
      <c r="AB722" t="e">
        <f t="shared" si="108"/>
        <v>#NUM!</v>
      </c>
    </row>
    <row r="723" spans="1:28" ht="13.9" x14ac:dyDescent="0.3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f t="shared" si="100"/>
        <v>0.22650852980867975</v>
      </c>
      <c r="L723" s="2">
        <f t="shared" si="101"/>
        <v>1.469885976274464</v>
      </c>
      <c r="M723" s="2">
        <f t="shared" si="102"/>
        <v>0.37851162325372983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 t="e">
        <f t="shared" si="103"/>
        <v>#NUM!</v>
      </c>
      <c r="X723" s="2" t="e">
        <f t="shared" si="104"/>
        <v>#NUM!</v>
      </c>
      <c r="Y723" s="2" t="e">
        <f t="shared" si="105"/>
        <v>#NUM!</v>
      </c>
      <c r="Z723" t="e">
        <f t="shared" si="106"/>
        <v>#NUM!</v>
      </c>
      <c r="AA723" t="e">
        <f t="shared" si="107"/>
        <v>#NUM!</v>
      </c>
      <c r="AB723" t="e">
        <f t="shared" si="108"/>
        <v>#NUM!</v>
      </c>
    </row>
    <row r="724" spans="1:28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 t="e">
        <f t="shared" si="100"/>
        <v>#NUM!</v>
      </c>
      <c r="L724" s="2" t="e">
        <f t="shared" si="101"/>
        <v>#NUM!</v>
      </c>
      <c r="M724" s="2">
        <f t="shared" si="102"/>
        <v>-0.28630418515664108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 t="e">
        <f t="shared" si="103"/>
        <v>#NUM!</v>
      </c>
      <c r="X724" s="2" t="e">
        <f t="shared" si="104"/>
        <v>#NUM!</v>
      </c>
      <c r="Y724" s="2" t="e">
        <f t="shared" si="105"/>
        <v>#NUM!</v>
      </c>
      <c r="Z724" t="e">
        <f t="shared" si="106"/>
        <v>#NUM!</v>
      </c>
      <c r="AA724" t="e">
        <f t="shared" si="107"/>
        <v>#NUM!</v>
      </c>
      <c r="AB724" t="e">
        <f t="shared" si="108"/>
        <v>#NUM!</v>
      </c>
    </row>
    <row r="725" spans="1:28" ht="13.9" x14ac:dyDescent="0.3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f t="shared" si="100"/>
        <v>-2.1202942337177118</v>
      </c>
      <c r="L725" s="2" t="e">
        <f t="shared" si="101"/>
        <v>#NUM!</v>
      </c>
      <c r="M725" s="2" t="e">
        <f t="shared" si="102"/>
        <v>#NUM!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 t="e">
        <f t="shared" si="103"/>
        <v>#NUM!</v>
      </c>
      <c r="X725" s="2" t="e">
        <f t="shared" si="104"/>
        <v>#NUM!</v>
      </c>
      <c r="Y725" s="2" t="e">
        <f t="shared" si="105"/>
        <v>#NUM!</v>
      </c>
      <c r="Z725" t="e">
        <f t="shared" si="106"/>
        <v>#NUM!</v>
      </c>
      <c r="AA725" t="e">
        <f t="shared" si="107"/>
        <v>#NUM!</v>
      </c>
      <c r="AB725" t="e">
        <f t="shared" si="108"/>
        <v>#NUM!</v>
      </c>
    </row>
    <row r="726" spans="1:28" ht="13.9" x14ac:dyDescent="0.3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f t="shared" si="100"/>
        <v>4.3312752671466157</v>
      </c>
      <c r="L726" s="2">
        <f t="shared" si="101"/>
        <v>4.463360885816658</v>
      </c>
      <c r="M726" s="2">
        <f t="shared" si="102"/>
        <v>11.316372050948214</v>
      </c>
      <c r="N726" s="2">
        <v>0</v>
      </c>
      <c r="O726" s="2">
        <v>11.86</v>
      </c>
      <c r="P726" s="2">
        <v>0</v>
      </c>
      <c r="Q726" s="2">
        <v>0</v>
      </c>
      <c r="R726" s="2">
        <v>9.27</v>
      </c>
      <c r="S726" s="2">
        <v>5.83</v>
      </c>
      <c r="T726" s="2">
        <v>3.23</v>
      </c>
      <c r="U726" s="2">
        <v>5.23</v>
      </c>
      <c r="V726" s="2">
        <v>0</v>
      </c>
      <c r="W726" s="2">
        <f t="shared" si="103"/>
        <v>3.5680321047712789</v>
      </c>
      <c r="X726" s="2">
        <f t="shared" si="104"/>
        <v>3.9164766444377168</v>
      </c>
      <c r="Y726" s="2">
        <f t="shared" si="105"/>
        <v>3.0806576633452254</v>
      </c>
      <c r="Z726">
        <f t="shared" si="106"/>
        <v>-0.27966326692090709</v>
      </c>
      <c r="AA726">
        <f t="shared" si="107"/>
        <v>-0.18857410564980512</v>
      </c>
      <c r="AB726">
        <f t="shared" si="108"/>
        <v>-1.8771012368615845</v>
      </c>
    </row>
    <row r="727" spans="1:28" ht="13.9" x14ac:dyDescent="0.3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f t="shared" si="100"/>
        <v>0.5945485495503543</v>
      </c>
      <c r="L727" s="2" t="e">
        <f t="shared" si="101"/>
        <v>#NUM!</v>
      </c>
      <c r="M727" s="2" t="e">
        <f t="shared" si="102"/>
        <v>#NUM!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 t="e">
        <f t="shared" si="103"/>
        <v>#NUM!</v>
      </c>
      <c r="X727" s="2" t="e">
        <f t="shared" si="104"/>
        <v>#NUM!</v>
      </c>
      <c r="Y727" s="2" t="e">
        <f t="shared" si="105"/>
        <v>#NUM!</v>
      </c>
      <c r="Z727" t="e">
        <f t="shared" si="106"/>
        <v>#NUM!</v>
      </c>
      <c r="AA727" t="e">
        <f t="shared" si="107"/>
        <v>#NUM!</v>
      </c>
      <c r="AB727" t="e">
        <f t="shared" si="108"/>
        <v>#NUM!</v>
      </c>
    </row>
    <row r="728" spans="1:28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 t="e">
        <f t="shared" si="100"/>
        <v>#NUM!</v>
      </c>
      <c r="L728" s="2" t="e">
        <f t="shared" si="101"/>
        <v>#NUM!</v>
      </c>
      <c r="M728" s="2">
        <f t="shared" si="102"/>
        <v>-1.6896598793878495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0.18</v>
      </c>
      <c r="U728" s="2">
        <v>0</v>
      </c>
      <c r="V728" s="2">
        <v>0</v>
      </c>
      <c r="W728" s="2" t="e">
        <f t="shared" si="103"/>
        <v>#NUM!</v>
      </c>
      <c r="X728" s="2" t="e">
        <f t="shared" si="104"/>
        <v>#NUM!</v>
      </c>
      <c r="Y728" s="2">
        <f t="shared" si="105"/>
        <v>-2.4739311883324122</v>
      </c>
      <c r="Z728" t="e">
        <f t="shared" si="106"/>
        <v>#NUM!</v>
      </c>
      <c r="AA728" t="e">
        <f t="shared" si="107"/>
        <v>#NUM!</v>
      </c>
      <c r="AB728">
        <f t="shared" si="108"/>
        <v>0.55007250475016811</v>
      </c>
    </row>
    <row r="729" spans="1:28" ht="13.9" x14ac:dyDescent="0.3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f t="shared" si="100"/>
        <v>0.88752527074158749</v>
      </c>
      <c r="L729" s="2">
        <f t="shared" si="101"/>
        <v>0.26303440583379406</v>
      </c>
      <c r="M729" s="2">
        <f t="shared" si="102"/>
        <v>0.58496250072115619</v>
      </c>
      <c r="N729" s="2">
        <v>0</v>
      </c>
      <c r="O729" s="2">
        <v>0</v>
      </c>
      <c r="P729" s="2">
        <v>0</v>
      </c>
      <c r="Q729" s="2">
        <v>0</v>
      </c>
      <c r="R729" s="2">
        <v>7.07</v>
      </c>
      <c r="S729" s="2">
        <v>0</v>
      </c>
      <c r="T729" s="2">
        <v>0</v>
      </c>
      <c r="U729" s="2">
        <v>5.86</v>
      </c>
      <c r="V729" s="2">
        <v>0</v>
      </c>
      <c r="W729" s="2" t="e">
        <f t="shared" si="103"/>
        <v>#NUM!</v>
      </c>
      <c r="X729" s="2">
        <f t="shared" si="104"/>
        <v>2.821710215034674</v>
      </c>
      <c r="Y729" s="2">
        <f t="shared" si="105"/>
        <v>2.5509006646475232</v>
      </c>
      <c r="Z729" t="e">
        <f t="shared" si="106"/>
        <v>#NUM!</v>
      </c>
      <c r="AA729">
        <f t="shared" si="107"/>
        <v>3.4232464065468702</v>
      </c>
      <c r="AB729">
        <f t="shared" si="108"/>
        <v>2.1245906714622627</v>
      </c>
    </row>
    <row r="730" spans="1:28" ht="13.9" x14ac:dyDescent="0.3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f t="shared" si="100"/>
        <v>0.56559717585422509</v>
      </c>
      <c r="L730" s="2">
        <f t="shared" si="101"/>
        <v>2.7824085649273731</v>
      </c>
      <c r="M730" s="2">
        <f t="shared" si="102"/>
        <v>-0.47393118833241243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 t="e">
        <f t="shared" si="103"/>
        <v>#NUM!</v>
      </c>
      <c r="X730" s="2" t="e">
        <f t="shared" si="104"/>
        <v>#NUM!</v>
      </c>
      <c r="Y730" s="2" t="e">
        <f t="shared" si="105"/>
        <v>#NUM!</v>
      </c>
      <c r="Z730" t="e">
        <f t="shared" si="106"/>
        <v>#NUM!</v>
      </c>
      <c r="AA730" t="e">
        <f t="shared" si="107"/>
        <v>#NUM!</v>
      </c>
      <c r="AB730" t="e">
        <f t="shared" si="108"/>
        <v>#NUM!</v>
      </c>
    </row>
    <row r="731" spans="1:28" ht="13.9" x14ac:dyDescent="0.3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f t="shared" si="100"/>
        <v>5.96254902292306</v>
      </c>
      <c r="L731" s="2">
        <f t="shared" si="101"/>
        <v>5.8996590263774431</v>
      </c>
      <c r="M731" s="2">
        <f t="shared" si="102"/>
        <v>5.4947356048627958</v>
      </c>
      <c r="N731" s="2">
        <v>30.28</v>
      </c>
      <c r="O731" s="2">
        <v>0</v>
      </c>
      <c r="P731" s="2">
        <v>0</v>
      </c>
      <c r="Q731" s="2">
        <v>5.6</v>
      </c>
      <c r="R731" s="2">
        <v>5.86</v>
      </c>
      <c r="S731" s="2">
        <v>0</v>
      </c>
      <c r="T731" s="2">
        <v>31.26</v>
      </c>
      <c r="U731" s="2">
        <v>19.88</v>
      </c>
      <c r="V731" s="2">
        <v>31.17</v>
      </c>
      <c r="W731" s="2">
        <f t="shared" si="103"/>
        <v>4.9202933002110072</v>
      </c>
      <c r="X731" s="2">
        <f t="shared" si="104"/>
        <v>3.5185351389821804</v>
      </c>
      <c r="Y731" s="2">
        <f t="shared" si="105"/>
        <v>6.3629958119740504</v>
      </c>
      <c r="Z731">
        <f t="shared" si="106"/>
        <v>-0.2771849050989913</v>
      </c>
      <c r="AA731">
        <f t="shared" si="107"/>
        <v>-0.74565665460677533</v>
      </c>
      <c r="AB731">
        <f t="shared" si="108"/>
        <v>0.21165610864104853</v>
      </c>
    </row>
    <row r="732" spans="1:28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 t="e">
        <f t="shared" si="100"/>
        <v>#NUM!</v>
      </c>
      <c r="L732" s="2" t="e">
        <f t="shared" si="101"/>
        <v>#NUM!</v>
      </c>
      <c r="M732" s="2" t="e">
        <f t="shared" si="102"/>
        <v>#NUM!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9.6999999999999993</v>
      </c>
      <c r="U732" s="2">
        <v>0</v>
      </c>
      <c r="V732" s="2">
        <v>0</v>
      </c>
      <c r="W732" s="2" t="e">
        <f t="shared" si="103"/>
        <v>#NUM!</v>
      </c>
      <c r="X732" s="2" t="e">
        <f t="shared" si="104"/>
        <v>#NUM!</v>
      </c>
      <c r="Y732" s="2">
        <f t="shared" si="105"/>
        <v>3.2779847472997652</v>
      </c>
      <c r="Z732" t="e">
        <f t="shared" si="106"/>
        <v>#NUM!</v>
      </c>
      <c r="AA732" t="e">
        <f t="shared" si="107"/>
        <v>#NUM!</v>
      </c>
      <c r="AB732" t="e">
        <f t="shared" si="108"/>
        <v>#NUM!</v>
      </c>
    </row>
    <row r="733" spans="1:28" ht="13.9" x14ac:dyDescent="0.3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f t="shared" si="100"/>
        <v>0.17632277264046289</v>
      </c>
      <c r="L733" s="2" t="e">
        <f t="shared" si="101"/>
        <v>#NUM!</v>
      </c>
      <c r="M733" s="2" t="e">
        <f t="shared" si="102"/>
        <v>#NUM!</v>
      </c>
      <c r="N733" s="2">
        <v>4.9800000000000004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f t="shared" si="103"/>
        <v>2.3161457422933562</v>
      </c>
      <c r="X733" s="2" t="e">
        <f t="shared" si="104"/>
        <v>#NUM!</v>
      </c>
      <c r="Y733" s="2" t="e">
        <f t="shared" si="105"/>
        <v>#NUM!</v>
      </c>
      <c r="Z733">
        <f t="shared" si="106"/>
        <v>3.7154353166307139</v>
      </c>
      <c r="AA733" t="e">
        <f t="shared" si="107"/>
        <v>#NUM!</v>
      </c>
      <c r="AB733" t="e">
        <f t="shared" si="108"/>
        <v>#NUM!</v>
      </c>
    </row>
    <row r="734" spans="1:28" ht="13.9" x14ac:dyDescent="0.3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f t="shared" si="100"/>
        <v>10.126485083929522</v>
      </c>
      <c r="L734" s="2">
        <f t="shared" si="101"/>
        <v>10.107465569201134</v>
      </c>
      <c r="M734" s="2">
        <f t="shared" si="102"/>
        <v>10.453229472366635</v>
      </c>
      <c r="N734" s="2">
        <v>188.12</v>
      </c>
      <c r="O734" s="2">
        <v>199.53</v>
      </c>
      <c r="P734" s="2">
        <v>155.86000000000001</v>
      </c>
      <c r="Q734" s="2">
        <v>257.10000000000002</v>
      </c>
      <c r="R734" s="2">
        <v>272.26</v>
      </c>
      <c r="S734" s="2">
        <v>153.47999999999999</v>
      </c>
      <c r="T734" s="2">
        <v>238.94</v>
      </c>
      <c r="U734" s="2">
        <v>229.58</v>
      </c>
      <c r="V734" s="2">
        <v>282.04000000000002</v>
      </c>
      <c r="W734" s="2">
        <f t="shared" si="103"/>
        <v>9.0861627693100839</v>
      </c>
      <c r="X734" s="2">
        <f t="shared" si="104"/>
        <v>9.4154037620703317</v>
      </c>
      <c r="Y734" s="2">
        <f t="shared" si="105"/>
        <v>9.5518235957212561</v>
      </c>
      <c r="Z734">
        <f t="shared" si="106"/>
        <v>-0.15639044456724574</v>
      </c>
      <c r="AA734">
        <f t="shared" si="107"/>
        <v>-0.10232642054665782</v>
      </c>
      <c r="AB734">
        <f t="shared" si="108"/>
        <v>-0.13010062641759257</v>
      </c>
    </row>
    <row r="735" spans="1:28" ht="13.9" x14ac:dyDescent="0.3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f t="shared" si="100"/>
        <v>1.3840498067951599</v>
      </c>
      <c r="L735" s="2">
        <f t="shared" si="101"/>
        <v>0.85598969730848073</v>
      </c>
      <c r="M735" s="2">
        <f t="shared" si="102"/>
        <v>-0.97143084780322919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5.0199999999999996</v>
      </c>
      <c r="V735" s="2">
        <v>0</v>
      </c>
      <c r="W735" s="2" t="e">
        <f t="shared" si="103"/>
        <v>#NUM!</v>
      </c>
      <c r="X735" s="2" t="e">
        <f t="shared" si="104"/>
        <v>#NUM!</v>
      </c>
      <c r="Y735" s="2">
        <f t="shared" si="105"/>
        <v>2.3276873641760472</v>
      </c>
      <c r="Z735" t="e">
        <f t="shared" si="106"/>
        <v>#NUM!</v>
      </c>
      <c r="AA735" t="e">
        <f t="shared" si="107"/>
        <v>#NUM!</v>
      </c>
      <c r="AB735" t="e">
        <f t="shared" si="108"/>
        <v>#NUM!</v>
      </c>
    </row>
    <row r="736" spans="1:28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 t="e">
        <f t="shared" si="100"/>
        <v>#NUM!</v>
      </c>
      <c r="L736" s="2">
        <f t="shared" si="101"/>
        <v>-1.2863041851566412</v>
      </c>
      <c r="M736" s="2" t="e">
        <f t="shared" si="102"/>
        <v>#NUM!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 t="e">
        <f t="shared" si="103"/>
        <v>#NUM!</v>
      </c>
      <c r="X736" s="2" t="e">
        <f t="shared" si="104"/>
        <v>#NUM!</v>
      </c>
      <c r="Y736" s="2" t="e">
        <f t="shared" si="105"/>
        <v>#NUM!</v>
      </c>
      <c r="Z736" t="e">
        <f t="shared" si="106"/>
        <v>#NUM!</v>
      </c>
      <c r="AA736" t="e">
        <f t="shared" si="107"/>
        <v>#NUM!</v>
      </c>
      <c r="AB736" t="e">
        <f t="shared" si="108"/>
        <v>#NUM!</v>
      </c>
    </row>
    <row r="737" spans="1:28" ht="13.9" x14ac:dyDescent="0.3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f t="shared" si="100"/>
        <v>2.5134907455881184</v>
      </c>
      <c r="L737" s="2">
        <f t="shared" si="101"/>
        <v>2.5484366246960422</v>
      </c>
      <c r="M737" s="2">
        <f t="shared" si="102"/>
        <v>2.0738202332916713</v>
      </c>
      <c r="N737" s="2">
        <v>0</v>
      </c>
      <c r="O737" s="2">
        <v>5.78</v>
      </c>
      <c r="P737" s="2">
        <v>0</v>
      </c>
      <c r="Q737" s="2">
        <v>0</v>
      </c>
      <c r="R737" s="2">
        <v>0.24</v>
      </c>
      <c r="S737" s="2">
        <v>0</v>
      </c>
      <c r="T737" s="2">
        <v>0</v>
      </c>
      <c r="U737" s="2">
        <v>0</v>
      </c>
      <c r="V737" s="2">
        <v>0</v>
      </c>
      <c r="W737" s="2">
        <f t="shared" si="103"/>
        <v>2.5310694927259543</v>
      </c>
      <c r="X737" s="2">
        <f t="shared" si="104"/>
        <v>-2.0588936890535687</v>
      </c>
      <c r="Y737" s="2" t="e">
        <f t="shared" si="105"/>
        <v>#NUM!</v>
      </c>
      <c r="Z737">
        <f t="shared" si="106"/>
        <v>1.0054741256387544E-2</v>
      </c>
      <c r="AA737" t="e">
        <f t="shared" si="107"/>
        <v>#NUM!</v>
      </c>
      <c r="AB737" t="e">
        <f t="shared" si="108"/>
        <v>#NUM!</v>
      </c>
    </row>
    <row r="738" spans="1:28" ht="13.9" x14ac:dyDescent="0.3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f t="shared" si="100"/>
        <v>0.98550043030488488</v>
      </c>
      <c r="L738" s="2" t="e">
        <f t="shared" si="101"/>
        <v>#NUM!</v>
      </c>
      <c r="M738" s="2" t="e">
        <f t="shared" si="102"/>
        <v>#NUM!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 t="e">
        <f t="shared" si="103"/>
        <v>#NUM!</v>
      </c>
      <c r="X738" s="2" t="e">
        <f t="shared" si="104"/>
        <v>#NUM!</v>
      </c>
      <c r="Y738" s="2" t="e">
        <f t="shared" si="105"/>
        <v>#NUM!</v>
      </c>
      <c r="Z738" t="e">
        <f t="shared" si="106"/>
        <v>#NUM!</v>
      </c>
      <c r="AA738" t="e">
        <f t="shared" si="107"/>
        <v>#NUM!</v>
      </c>
      <c r="AB738" t="e">
        <f t="shared" si="108"/>
        <v>#NUM!</v>
      </c>
    </row>
    <row r="739" spans="1:28" ht="13.9" x14ac:dyDescent="0.3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f t="shared" si="100"/>
        <v>-0.13606154957602837</v>
      </c>
      <c r="L739" s="2" t="e">
        <f t="shared" si="101"/>
        <v>#NUM!</v>
      </c>
      <c r="M739" s="2" t="e">
        <f t="shared" si="102"/>
        <v>#NUM!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 t="e">
        <f t="shared" si="103"/>
        <v>#NUM!</v>
      </c>
      <c r="X739" s="2" t="e">
        <f t="shared" si="104"/>
        <v>#NUM!</v>
      </c>
      <c r="Y739" s="2" t="e">
        <f t="shared" si="105"/>
        <v>#NUM!</v>
      </c>
      <c r="Z739" t="e">
        <f t="shared" si="106"/>
        <v>#NUM!</v>
      </c>
      <c r="AA739" t="e">
        <f t="shared" si="107"/>
        <v>#NUM!</v>
      </c>
      <c r="AB739" t="e">
        <f t="shared" si="108"/>
        <v>#NUM!</v>
      </c>
    </row>
    <row r="740" spans="1:28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 t="e">
        <f t="shared" si="100"/>
        <v>#NUM!</v>
      </c>
      <c r="L740" s="2">
        <f t="shared" si="101"/>
        <v>0.42223300068304781</v>
      </c>
      <c r="M740" s="2">
        <f t="shared" si="102"/>
        <v>-0.55639334852438527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 t="e">
        <f t="shared" si="103"/>
        <v>#NUM!</v>
      </c>
      <c r="X740" s="2" t="e">
        <f t="shared" si="104"/>
        <v>#NUM!</v>
      </c>
      <c r="Y740" s="2" t="e">
        <f t="shared" si="105"/>
        <v>#NUM!</v>
      </c>
      <c r="Z740" t="e">
        <f t="shared" si="106"/>
        <v>#NUM!</v>
      </c>
      <c r="AA740" t="e">
        <f t="shared" si="107"/>
        <v>#NUM!</v>
      </c>
      <c r="AB740" t="e">
        <f t="shared" si="108"/>
        <v>#NUM!</v>
      </c>
    </row>
    <row r="741" spans="1:28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 t="e">
        <f t="shared" si="100"/>
        <v>#NUM!</v>
      </c>
      <c r="L741" s="2">
        <f t="shared" si="101"/>
        <v>-0.32192809488736229</v>
      </c>
      <c r="M741" s="2" t="e">
        <f t="shared" si="102"/>
        <v>#NUM!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 t="e">
        <f t="shared" si="103"/>
        <v>#NUM!</v>
      </c>
      <c r="X741" s="2" t="e">
        <f t="shared" si="104"/>
        <v>#NUM!</v>
      </c>
      <c r="Y741" s="2" t="e">
        <f t="shared" si="105"/>
        <v>#NUM!</v>
      </c>
      <c r="Z741" t="e">
        <f t="shared" si="106"/>
        <v>#NUM!</v>
      </c>
      <c r="AA741" t="e">
        <f t="shared" si="107"/>
        <v>#NUM!</v>
      </c>
      <c r="AB741" t="e">
        <f t="shared" si="108"/>
        <v>#NUM!</v>
      </c>
    </row>
    <row r="742" spans="1:28" ht="13.9" x14ac:dyDescent="0.3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f t="shared" si="100"/>
        <v>-1.556393348524385</v>
      </c>
      <c r="L742" s="2" t="e">
        <f t="shared" si="101"/>
        <v>#NUM!</v>
      </c>
      <c r="M742" s="2" t="e">
        <f t="shared" si="102"/>
        <v>#NUM!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 t="e">
        <f t="shared" si="103"/>
        <v>#NUM!</v>
      </c>
      <c r="X742" s="2" t="e">
        <f t="shared" si="104"/>
        <v>#NUM!</v>
      </c>
      <c r="Y742" s="2" t="e">
        <f t="shared" si="105"/>
        <v>#NUM!</v>
      </c>
      <c r="Z742" t="e">
        <f t="shared" si="106"/>
        <v>#NUM!</v>
      </c>
      <c r="AA742" t="e">
        <f t="shared" si="107"/>
        <v>#NUM!</v>
      </c>
      <c r="AB742" t="e">
        <f t="shared" si="108"/>
        <v>#NUM!</v>
      </c>
    </row>
    <row r="743" spans="1:28" ht="13.9" x14ac:dyDescent="0.3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f t="shared" si="100"/>
        <v>-1.15200309344505</v>
      </c>
      <c r="L743" s="2" t="e">
        <f t="shared" si="101"/>
        <v>#NUM!</v>
      </c>
      <c r="M743" s="2" t="e">
        <f t="shared" si="102"/>
        <v>#NUM!</v>
      </c>
      <c r="N743" s="2">
        <v>0</v>
      </c>
      <c r="O743" s="2">
        <v>0</v>
      </c>
      <c r="P743" s="2">
        <v>0</v>
      </c>
      <c r="Q743" s="2">
        <v>5.93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 t="e">
        <f t="shared" si="103"/>
        <v>#NUM!</v>
      </c>
      <c r="X743" s="2">
        <f t="shared" si="104"/>
        <v>2.5680321047712789</v>
      </c>
      <c r="Y743" s="2" t="e">
        <f t="shared" si="105"/>
        <v>#NUM!</v>
      </c>
      <c r="Z743" t="e">
        <f t="shared" si="106"/>
        <v>#NUM!</v>
      </c>
      <c r="AA743" t="e">
        <f t="shared" si="107"/>
        <v>#NUM!</v>
      </c>
      <c r="AB743" t="e">
        <f t="shared" si="108"/>
        <v>#NUM!</v>
      </c>
    </row>
    <row r="744" spans="1:28" ht="13.9" x14ac:dyDescent="0.3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f t="shared" si="100"/>
        <v>-0.7858751946471525</v>
      </c>
      <c r="L744" s="2" t="e">
        <f t="shared" si="101"/>
        <v>#NUM!</v>
      </c>
      <c r="M744" s="2" t="e">
        <f t="shared" si="102"/>
        <v>#NUM!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 t="e">
        <f t="shared" si="103"/>
        <v>#NUM!</v>
      </c>
      <c r="X744" s="2" t="e">
        <f t="shared" si="104"/>
        <v>#NUM!</v>
      </c>
      <c r="Y744" s="2" t="e">
        <f t="shared" si="105"/>
        <v>#NUM!</v>
      </c>
      <c r="Z744" t="e">
        <f t="shared" si="106"/>
        <v>#NUM!</v>
      </c>
      <c r="AA744" t="e">
        <f t="shared" si="107"/>
        <v>#NUM!</v>
      </c>
      <c r="AB744" t="e">
        <f t="shared" si="108"/>
        <v>#NUM!</v>
      </c>
    </row>
    <row r="745" spans="1:28" ht="13.9" x14ac:dyDescent="0.3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f t="shared" si="100"/>
        <v>-1.15200309344505</v>
      </c>
      <c r="L745" s="2" t="e">
        <f t="shared" si="101"/>
        <v>#NUM!</v>
      </c>
      <c r="M745" s="2" t="e">
        <f t="shared" si="102"/>
        <v>#NUM!</v>
      </c>
      <c r="N745" s="2">
        <v>0</v>
      </c>
      <c r="O745" s="2">
        <v>0</v>
      </c>
      <c r="P745" s="2">
        <v>0</v>
      </c>
      <c r="Q745" s="2">
        <v>5.93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 t="e">
        <f t="shared" si="103"/>
        <v>#NUM!</v>
      </c>
      <c r="X745" s="2">
        <f t="shared" si="104"/>
        <v>2.5680321047712789</v>
      </c>
      <c r="Y745" s="2" t="e">
        <f t="shared" si="105"/>
        <v>#NUM!</v>
      </c>
      <c r="Z745" t="e">
        <f t="shared" si="106"/>
        <v>#NUM!</v>
      </c>
      <c r="AA745" t="e">
        <f t="shared" si="107"/>
        <v>#NUM!</v>
      </c>
      <c r="AB745" t="e">
        <f t="shared" si="108"/>
        <v>#NUM!</v>
      </c>
    </row>
    <row r="746" spans="1:28" ht="13.9" x14ac:dyDescent="0.3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f t="shared" si="100"/>
        <v>-0.55639334852438527</v>
      </c>
      <c r="L746" s="2">
        <f t="shared" si="101"/>
        <v>-0.21759143507262679</v>
      </c>
      <c r="M746" s="2">
        <f t="shared" si="102"/>
        <v>-1.6896598793878495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 t="e">
        <f t="shared" si="103"/>
        <v>#NUM!</v>
      </c>
      <c r="X746" s="2" t="e">
        <f t="shared" si="104"/>
        <v>#NUM!</v>
      </c>
      <c r="Y746" s="2" t="e">
        <f t="shared" si="105"/>
        <v>#NUM!</v>
      </c>
      <c r="Z746" t="e">
        <f t="shared" si="106"/>
        <v>#NUM!</v>
      </c>
      <c r="AA746" t="e">
        <f t="shared" si="107"/>
        <v>#NUM!</v>
      </c>
      <c r="AB746" t="e">
        <f t="shared" si="108"/>
        <v>#NUM!</v>
      </c>
    </row>
    <row r="747" spans="1:28" ht="13.9" x14ac:dyDescent="0.3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f t="shared" si="100"/>
        <v>3.6158870739160567</v>
      </c>
      <c r="L747" s="2">
        <f t="shared" si="101"/>
        <v>3.8429788317883258</v>
      </c>
      <c r="M747" s="2">
        <f t="shared" si="102"/>
        <v>2.5008020530571575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 t="e">
        <f t="shared" si="103"/>
        <v>#NUM!</v>
      </c>
      <c r="X747" s="2" t="e">
        <f t="shared" si="104"/>
        <v>#NUM!</v>
      </c>
      <c r="Y747" s="2" t="e">
        <f t="shared" si="105"/>
        <v>#NUM!</v>
      </c>
      <c r="Z747" t="e">
        <f t="shared" si="106"/>
        <v>#NUM!</v>
      </c>
      <c r="AA747" t="e">
        <f t="shared" si="107"/>
        <v>#NUM!</v>
      </c>
      <c r="AB747" t="e">
        <f t="shared" si="108"/>
        <v>#NUM!</v>
      </c>
    </row>
    <row r="748" spans="1:28" ht="13.9" x14ac:dyDescent="0.3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f t="shared" si="100"/>
        <v>2.372952097911829</v>
      </c>
      <c r="L748" s="2">
        <f t="shared" si="101"/>
        <v>2.8559896973084808</v>
      </c>
      <c r="M748" s="2">
        <f t="shared" si="102"/>
        <v>1.6135316529179271</v>
      </c>
      <c r="N748" s="2">
        <v>29.37</v>
      </c>
      <c r="O748" s="2">
        <v>13.01</v>
      </c>
      <c r="P748" s="2">
        <v>18.93</v>
      </c>
      <c r="Q748" s="2">
        <v>7.91</v>
      </c>
      <c r="R748" s="2">
        <v>10.73</v>
      </c>
      <c r="S748" s="2">
        <v>29.13</v>
      </c>
      <c r="T748" s="2">
        <v>8.98</v>
      </c>
      <c r="U748" s="2">
        <v>28.25</v>
      </c>
      <c r="V748" s="2">
        <v>11.56</v>
      </c>
      <c r="W748" s="2">
        <f t="shared" si="103"/>
        <v>5.9380504995340431</v>
      </c>
      <c r="X748" s="2">
        <f t="shared" si="104"/>
        <v>5.5780329716965404</v>
      </c>
      <c r="Y748" s="2">
        <f t="shared" si="105"/>
        <v>5.6085135781513022</v>
      </c>
      <c r="Z748">
        <f t="shared" si="106"/>
        <v>1.3233063850628841</v>
      </c>
      <c r="AA748">
        <f t="shared" si="107"/>
        <v>0.96576568714604383</v>
      </c>
      <c r="AB748">
        <f t="shared" si="108"/>
        <v>1.7973965849804632</v>
      </c>
    </row>
    <row r="749" spans="1:28" ht="13.9" x14ac:dyDescent="0.3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f t="shared" si="100"/>
        <v>6.2763105474641474</v>
      </c>
      <c r="L749" s="2">
        <f t="shared" si="101"/>
        <v>6.1590640088105451</v>
      </c>
      <c r="M749" s="2">
        <f t="shared" si="102"/>
        <v>5.6895787255093255</v>
      </c>
      <c r="N749" s="2">
        <v>10.09</v>
      </c>
      <c r="O749" s="2">
        <v>6.36</v>
      </c>
      <c r="P749" s="2">
        <v>24.38</v>
      </c>
      <c r="Q749" s="2">
        <v>18.79</v>
      </c>
      <c r="R749" s="2">
        <v>55.87</v>
      </c>
      <c r="S749" s="2">
        <v>28.77</v>
      </c>
      <c r="T749" s="2">
        <v>0.54</v>
      </c>
      <c r="U749" s="2">
        <v>8.58</v>
      </c>
      <c r="V749" s="2">
        <v>17.600000000000001</v>
      </c>
      <c r="W749" s="2">
        <f t="shared" si="103"/>
        <v>5.3515576624504257</v>
      </c>
      <c r="X749" s="2">
        <f t="shared" si="104"/>
        <v>6.6925108916150711</v>
      </c>
      <c r="Y749" s="2">
        <f t="shared" si="105"/>
        <v>4.7398481026993284</v>
      </c>
      <c r="Z749">
        <f t="shared" si="106"/>
        <v>-0.22995786389363015</v>
      </c>
      <c r="AA749">
        <f t="shared" si="107"/>
        <v>0.11983646013128772</v>
      </c>
      <c r="AB749">
        <f t="shared" si="108"/>
        <v>-0.26348100875808256</v>
      </c>
    </row>
    <row r="750" spans="1:28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 t="e">
        <f t="shared" si="100"/>
        <v>#NUM!</v>
      </c>
      <c r="L750" s="2" t="e">
        <f t="shared" si="101"/>
        <v>#NUM!</v>
      </c>
      <c r="M750" s="2" t="e">
        <f t="shared" si="102"/>
        <v>#NUM!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5.0999999999999996</v>
      </c>
      <c r="T750" s="2">
        <v>0</v>
      </c>
      <c r="U750" s="2">
        <v>0</v>
      </c>
      <c r="V750" s="2">
        <v>0</v>
      </c>
      <c r="W750" s="2" t="e">
        <f t="shared" si="103"/>
        <v>#NUM!</v>
      </c>
      <c r="X750" s="2">
        <f t="shared" si="104"/>
        <v>2.3504972470841334</v>
      </c>
      <c r="Y750" s="2" t="e">
        <f t="shared" si="105"/>
        <v>#NUM!</v>
      </c>
      <c r="Z750" t="e">
        <f t="shared" si="106"/>
        <v>#NUM!</v>
      </c>
      <c r="AA750" t="e">
        <f t="shared" si="107"/>
        <v>#NUM!</v>
      </c>
      <c r="AB750" t="e">
        <f t="shared" si="108"/>
        <v>#NUM!</v>
      </c>
    </row>
    <row r="751" spans="1:28" ht="13.9" x14ac:dyDescent="0.3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f t="shared" si="100"/>
        <v>-0.49410907027004275</v>
      </c>
      <c r="L751" s="2">
        <f t="shared" si="101"/>
        <v>-4.3943347587597055E-2</v>
      </c>
      <c r="M751" s="2">
        <f t="shared" si="102"/>
        <v>-1.2863041851566412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0.36</v>
      </c>
      <c r="U751" s="2">
        <v>0.21</v>
      </c>
      <c r="V751" s="2">
        <v>1.01</v>
      </c>
      <c r="W751" s="2" t="e">
        <f t="shared" si="103"/>
        <v>#NUM!</v>
      </c>
      <c r="X751" s="2" t="e">
        <f t="shared" si="104"/>
        <v>#NUM!</v>
      </c>
      <c r="Y751" s="2">
        <f t="shared" si="105"/>
        <v>0.65992455840237829</v>
      </c>
      <c r="Z751" t="e">
        <f t="shared" si="106"/>
        <v>#NUM!</v>
      </c>
      <c r="AA751" t="e">
        <f t="shared" si="107"/>
        <v>#NUM!</v>
      </c>
      <c r="AB751" t="e">
        <f t="shared" si="108"/>
        <v>#NUM!</v>
      </c>
    </row>
    <row r="752" spans="1:28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 t="e">
        <f t="shared" si="100"/>
        <v>#NUM!</v>
      </c>
      <c r="L752" s="2" t="e">
        <f t="shared" si="101"/>
        <v>#NUM!</v>
      </c>
      <c r="M752" s="2">
        <f t="shared" si="102"/>
        <v>-3.3219280948873622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 t="e">
        <f t="shared" si="103"/>
        <v>#NUM!</v>
      </c>
      <c r="X752" s="2" t="e">
        <f t="shared" si="104"/>
        <v>#NUM!</v>
      </c>
      <c r="Y752" s="2" t="e">
        <f t="shared" si="105"/>
        <v>#NUM!</v>
      </c>
      <c r="Z752" t="e">
        <f t="shared" si="106"/>
        <v>#NUM!</v>
      </c>
      <c r="AA752" t="e">
        <f t="shared" si="107"/>
        <v>#NUM!</v>
      </c>
      <c r="AB752" t="e">
        <f t="shared" si="108"/>
        <v>#NUM!</v>
      </c>
    </row>
    <row r="753" spans="1:28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 t="e">
        <f t="shared" si="100"/>
        <v>#NUM!</v>
      </c>
      <c r="L753" s="2" t="e">
        <f t="shared" si="101"/>
        <v>#NUM!</v>
      </c>
      <c r="M753" s="2" t="e">
        <f t="shared" si="102"/>
        <v>#NUM!</v>
      </c>
      <c r="N753" s="2">
        <v>10.36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f t="shared" si="103"/>
        <v>3.372952097911829</v>
      </c>
      <c r="X753" s="2" t="e">
        <f t="shared" si="104"/>
        <v>#NUM!</v>
      </c>
      <c r="Y753" s="2" t="e">
        <f t="shared" si="105"/>
        <v>#NUM!</v>
      </c>
      <c r="Z753" t="e">
        <f t="shared" si="106"/>
        <v>#NUM!</v>
      </c>
      <c r="AA753" t="e">
        <f t="shared" si="107"/>
        <v>#NUM!</v>
      </c>
      <c r="AB753" t="e">
        <f t="shared" si="108"/>
        <v>#NUM!</v>
      </c>
    </row>
    <row r="754" spans="1:28" ht="13.9" x14ac:dyDescent="0.3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f t="shared" si="100"/>
        <v>3.968090752045256</v>
      </c>
      <c r="L754" s="2">
        <f t="shared" si="101"/>
        <v>4.1424134378737412</v>
      </c>
      <c r="M754" s="2">
        <f t="shared" si="102"/>
        <v>2.9855004303048851</v>
      </c>
      <c r="N754" s="2">
        <v>3.93</v>
      </c>
      <c r="O754" s="2">
        <v>6.94</v>
      </c>
      <c r="P754" s="2">
        <v>0</v>
      </c>
      <c r="Q754" s="2">
        <v>0</v>
      </c>
      <c r="R754" s="2">
        <v>14.39</v>
      </c>
      <c r="S754" s="2">
        <v>0</v>
      </c>
      <c r="T754" s="2">
        <v>0</v>
      </c>
      <c r="U754" s="2">
        <v>0</v>
      </c>
      <c r="V754" s="2">
        <v>0</v>
      </c>
      <c r="W754" s="2">
        <f t="shared" si="103"/>
        <v>3.4422800352525851</v>
      </c>
      <c r="X754" s="2">
        <f t="shared" si="104"/>
        <v>3.8469946869655733</v>
      </c>
      <c r="Y754" s="2" t="e">
        <f t="shared" si="105"/>
        <v>#NUM!</v>
      </c>
      <c r="Z754">
        <f t="shared" si="106"/>
        <v>-0.20508055338278158</v>
      </c>
      <c r="AA754">
        <f t="shared" si="107"/>
        <v>-0.1067397132722472</v>
      </c>
      <c r="AB754" t="e">
        <f t="shared" si="108"/>
        <v>#NUM!</v>
      </c>
    </row>
    <row r="755" spans="1:28" ht="13.9" x14ac:dyDescent="0.3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f t="shared" si="100"/>
        <v>4.3582555867051278</v>
      </c>
      <c r="L755" s="2">
        <f t="shared" si="101"/>
        <v>4.1771205028465168</v>
      </c>
      <c r="M755" s="2">
        <f t="shared" si="102"/>
        <v>5.7101176320434464</v>
      </c>
      <c r="N755" s="2">
        <v>1.18</v>
      </c>
      <c r="O755" s="2">
        <v>0</v>
      </c>
      <c r="P755" s="2">
        <v>0.26</v>
      </c>
      <c r="Q755" s="2">
        <v>0</v>
      </c>
      <c r="R755" s="2">
        <v>0.24</v>
      </c>
      <c r="S755" s="2">
        <v>0</v>
      </c>
      <c r="T755" s="2">
        <v>8.98</v>
      </c>
      <c r="U755" s="2">
        <v>8.58</v>
      </c>
      <c r="V755" s="2">
        <v>0</v>
      </c>
      <c r="W755" s="2">
        <f t="shared" si="103"/>
        <v>0.52606881166758768</v>
      </c>
      <c r="X755" s="2">
        <f t="shared" si="104"/>
        <v>-2.0588936890535687</v>
      </c>
      <c r="Y755" s="2">
        <f t="shared" si="105"/>
        <v>4.1342209397606338</v>
      </c>
      <c r="Z755">
        <f t="shared" si="106"/>
        <v>-3.0504273781234783</v>
      </c>
      <c r="AA755" t="e">
        <f t="shared" si="107"/>
        <v>#NUM!</v>
      </c>
      <c r="AB755">
        <f t="shared" si="108"/>
        <v>-0.46590497543964782</v>
      </c>
    </row>
    <row r="756" spans="1:28" ht="13.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 t="e">
        <f t="shared" si="100"/>
        <v>#NUM!</v>
      </c>
      <c r="L756" s="2" t="e">
        <f t="shared" si="101"/>
        <v>#NUM!</v>
      </c>
      <c r="M756" s="2" t="e">
        <f t="shared" si="102"/>
        <v>#NUM!</v>
      </c>
      <c r="N756" s="2">
        <v>0</v>
      </c>
      <c r="O756" s="2">
        <v>0.28999999999999998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3.98</v>
      </c>
      <c r="V756" s="2">
        <v>0</v>
      </c>
      <c r="W756" s="2">
        <f t="shared" si="103"/>
        <v>-1.7858751946471527</v>
      </c>
      <c r="X756" s="2" t="e">
        <f t="shared" si="104"/>
        <v>#NUM!</v>
      </c>
      <c r="Y756" s="2">
        <f t="shared" si="105"/>
        <v>1.9927684307689242</v>
      </c>
      <c r="Z756" t="e">
        <f t="shared" si="106"/>
        <v>#NUM!</v>
      </c>
      <c r="AA756" t="e">
        <f t="shared" si="107"/>
        <v>#NUM!</v>
      </c>
      <c r="AB756" t="e">
        <f t="shared" si="108"/>
        <v>#NUM!</v>
      </c>
    </row>
    <row r="757" spans="1:28" ht="13.9" x14ac:dyDescent="0.3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f t="shared" si="100"/>
        <v>5.1034976397033374</v>
      </c>
      <c r="L757" s="2">
        <f t="shared" si="101"/>
        <v>4.88801258540283</v>
      </c>
      <c r="M757" s="2">
        <f t="shared" si="102"/>
        <v>4.7371459197762018</v>
      </c>
      <c r="N757" s="2">
        <v>0</v>
      </c>
      <c r="O757" s="2">
        <v>0</v>
      </c>
      <c r="P757" s="2">
        <v>0</v>
      </c>
      <c r="Q757" s="2">
        <v>0</v>
      </c>
      <c r="R757" s="2">
        <v>3.9</v>
      </c>
      <c r="S757" s="2">
        <v>0</v>
      </c>
      <c r="T757" s="2">
        <v>0</v>
      </c>
      <c r="U757" s="2">
        <v>0</v>
      </c>
      <c r="V757" s="2">
        <v>0</v>
      </c>
      <c r="W757" s="2" t="e">
        <f t="shared" si="103"/>
        <v>#NUM!</v>
      </c>
      <c r="X757" s="2">
        <f t="shared" si="104"/>
        <v>1.9634741239748859</v>
      </c>
      <c r="Y757" s="2" t="e">
        <f t="shared" si="105"/>
        <v>#NUM!</v>
      </c>
      <c r="Z757" t="e">
        <f t="shared" si="106"/>
        <v>#NUM!</v>
      </c>
      <c r="AA757">
        <f t="shared" si="107"/>
        <v>-1.3158394144454699</v>
      </c>
      <c r="AB757" t="e">
        <f t="shared" si="108"/>
        <v>#NUM!</v>
      </c>
    </row>
    <row r="758" spans="1:28" ht="13.9" x14ac:dyDescent="0.3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f t="shared" si="100"/>
        <v>6.1133254430419903</v>
      </c>
      <c r="L758" s="2">
        <f t="shared" si="101"/>
        <v>6.1133254430419903</v>
      </c>
      <c r="M758" s="2">
        <f t="shared" si="102"/>
        <v>5.1826922975161906</v>
      </c>
      <c r="N758" s="2">
        <v>20.98</v>
      </c>
      <c r="O758" s="2">
        <v>22.27</v>
      </c>
      <c r="P758" s="2">
        <v>11.41</v>
      </c>
      <c r="Q758" s="2">
        <v>9.89</v>
      </c>
      <c r="R758" s="2">
        <v>51.23</v>
      </c>
      <c r="S758" s="2">
        <v>19.48</v>
      </c>
      <c r="T758" s="2">
        <v>31.08</v>
      </c>
      <c r="U758" s="2">
        <v>47.72</v>
      </c>
      <c r="V758" s="2">
        <v>0.5</v>
      </c>
      <c r="W758" s="2">
        <f t="shared" si="103"/>
        <v>5.7724135547484821</v>
      </c>
      <c r="X758" s="2">
        <f t="shared" si="104"/>
        <v>6.3327079336406058</v>
      </c>
      <c r="Y758" s="2">
        <f t="shared" si="105"/>
        <v>6.3092489608166167</v>
      </c>
      <c r="Z758">
        <f t="shared" si="106"/>
        <v>-8.2782708092316193E-2</v>
      </c>
      <c r="AA758">
        <f t="shared" si="107"/>
        <v>5.0865172363508682E-2</v>
      </c>
      <c r="AB758">
        <f t="shared" si="108"/>
        <v>0.28376653839064025</v>
      </c>
    </row>
    <row r="759" spans="1:28" ht="13.9" x14ac:dyDescent="0.3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f t="shared" si="100"/>
        <v>4.2039841658559887</v>
      </c>
      <c r="L759" s="2">
        <f t="shared" si="101"/>
        <v>4.2241946639704331</v>
      </c>
      <c r="M759" s="2">
        <f t="shared" si="102"/>
        <v>4.2509615735332194</v>
      </c>
      <c r="N759" s="2">
        <v>26.74</v>
      </c>
      <c r="O759" s="2">
        <v>14.75</v>
      </c>
      <c r="P759" s="2">
        <v>0</v>
      </c>
      <c r="Q759" s="2">
        <v>28.68</v>
      </c>
      <c r="R759" s="2">
        <v>29.03</v>
      </c>
      <c r="S759" s="2">
        <v>0</v>
      </c>
      <c r="T759" s="2">
        <v>8.98</v>
      </c>
      <c r="U759" s="2">
        <v>27.42</v>
      </c>
      <c r="V759" s="2">
        <v>53.29</v>
      </c>
      <c r="W759" s="2">
        <f t="shared" si="103"/>
        <v>5.3746917520969255</v>
      </c>
      <c r="X759" s="2">
        <f t="shared" si="104"/>
        <v>5.8507494258964963</v>
      </c>
      <c r="Y759" s="2">
        <f t="shared" si="105"/>
        <v>6.4868752354984922</v>
      </c>
      <c r="Z759">
        <f t="shared" si="106"/>
        <v>0.35442478055423027</v>
      </c>
      <c r="AA759">
        <f t="shared" si="107"/>
        <v>0.46994511209601053</v>
      </c>
      <c r="AB759">
        <f t="shared" si="108"/>
        <v>0.60973447336065401</v>
      </c>
    </row>
    <row r="760" spans="1:28" ht="13.9" x14ac:dyDescent="0.3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f t="shared" si="100"/>
        <v>5.6803243568440163</v>
      </c>
      <c r="L760" s="2">
        <f t="shared" si="101"/>
        <v>5.7897292513757694</v>
      </c>
      <c r="M760" s="2">
        <f t="shared" si="102"/>
        <v>5.2798426935203482</v>
      </c>
      <c r="N760" s="2">
        <v>0</v>
      </c>
      <c r="O760" s="2">
        <v>0</v>
      </c>
      <c r="P760" s="2">
        <v>6.48</v>
      </c>
      <c r="Q760" s="2">
        <v>1.65</v>
      </c>
      <c r="R760" s="2">
        <v>5.12</v>
      </c>
      <c r="S760" s="2">
        <v>0</v>
      </c>
      <c r="T760" s="2">
        <v>10.6</v>
      </c>
      <c r="U760" s="2">
        <v>7.53</v>
      </c>
      <c r="V760" s="2">
        <v>0</v>
      </c>
      <c r="W760" s="2">
        <f t="shared" si="103"/>
        <v>2.6959938131098999</v>
      </c>
      <c r="X760" s="2">
        <f t="shared" si="104"/>
        <v>2.7591558338002722</v>
      </c>
      <c r="Y760" s="2">
        <f t="shared" si="105"/>
        <v>4.1803070199694332</v>
      </c>
      <c r="Z760">
        <f t="shared" si="106"/>
        <v>-1.0751561268299243</v>
      </c>
      <c r="AA760">
        <f t="shared" si="107"/>
        <v>-1.0692689434962073</v>
      </c>
      <c r="AB760">
        <f t="shared" si="108"/>
        <v>-0.33688604287335483</v>
      </c>
    </row>
    <row r="761" spans="1:28" ht="13.9" x14ac:dyDescent="0.3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f t="shared" si="100"/>
        <v>-3.1844245711374275</v>
      </c>
      <c r="L761" s="2" t="e">
        <f t="shared" si="101"/>
        <v>#NUM!</v>
      </c>
      <c r="M761" s="2" t="e">
        <f t="shared" si="102"/>
        <v>#NUM!</v>
      </c>
      <c r="N761" s="2">
        <v>0</v>
      </c>
      <c r="O761" s="2">
        <v>0</v>
      </c>
      <c r="P761" s="2">
        <v>0</v>
      </c>
      <c r="Q761" s="2">
        <v>8.57</v>
      </c>
      <c r="R761" s="2">
        <v>0</v>
      </c>
      <c r="S761" s="2">
        <v>0</v>
      </c>
      <c r="T761" s="2">
        <v>0</v>
      </c>
      <c r="U761" s="2">
        <v>8.3699999999999992</v>
      </c>
      <c r="V761" s="2">
        <v>28.66</v>
      </c>
      <c r="W761" s="2" t="e">
        <f t="shared" si="103"/>
        <v>#NUM!</v>
      </c>
      <c r="X761" s="2">
        <f t="shared" si="104"/>
        <v>3.0992952043377757</v>
      </c>
      <c r="Y761" s="2">
        <f t="shared" si="105"/>
        <v>5.2106226443969055</v>
      </c>
      <c r="Z761" t="e">
        <f t="shared" si="106"/>
        <v>#NUM!</v>
      </c>
      <c r="AA761" t="e">
        <f t="shared" si="107"/>
        <v>#NUM!</v>
      </c>
      <c r="AB761" t="e">
        <f t="shared" si="108"/>
        <v>#NUM!</v>
      </c>
    </row>
    <row r="762" spans="1:28" ht="13.9" x14ac:dyDescent="0.3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f t="shared" si="100"/>
        <v>3.6380738371807184</v>
      </c>
      <c r="L762" s="2">
        <f t="shared" si="101"/>
        <v>2.7441610955704099</v>
      </c>
      <c r="M762" s="2">
        <f t="shared" si="102"/>
        <v>0.51601514700366469</v>
      </c>
      <c r="N762" s="2">
        <v>31.07</v>
      </c>
      <c r="O762" s="2">
        <v>0</v>
      </c>
      <c r="P762" s="2">
        <v>5.71</v>
      </c>
      <c r="Q762" s="2">
        <v>3.3</v>
      </c>
      <c r="R762" s="2">
        <v>5.37</v>
      </c>
      <c r="S762" s="2">
        <v>20.21</v>
      </c>
      <c r="T762" s="2">
        <v>6.47</v>
      </c>
      <c r="U762" s="2">
        <v>2.5099999999999998</v>
      </c>
      <c r="V762" s="2">
        <v>8.5500000000000007</v>
      </c>
      <c r="W762" s="2">
        <f t="shared" si="103"/>
        <v>5.2008495746372132</v>
      </c>
      <c r="X762" s="2">
        <f t="shared" si="104"/>
        <v>4.8519988371124461</v>
      </c>
      <c r="Y762" s="2">
        <f t="shared" si="105"/>
        <v>4.1317540909848134</v>
      </c>
      <c r="Z762">
        <f t="shared" si="106"/>
        <v>0.51557248737587735</v>
      </c>
      <c r="AA762">
        <f t="shared" si="107"/>
        <v>0.82221402748973993</v>
      </c>
      <c r="AB762">
        <f t="shared" si="108"/>
        <v>3.0012690721248929</v>
      </c>
    </row>
    <row r="763" spans="1:28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 t="e">
        <f t="shared" si="100"/>
        <v>#NUM!</v>
      </c>
      <c r="L763" s="2">
        <f t="shared" si="101"/>
        <v>-3.1844245711374275</v>
      </c>
      <c r="M763" s="2" t="e">
        <f t="shared" si="102"/>
        <v>#NUM!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 t="e">
        <f t="shared" si="103"/>
        <v>#NUM!</v>
      </c>
      <c r="X763" s="2" t="e">
        <f t="shared" si="104"/>
        <v>#NUM!</v>
      </c>
      <c r="Y763" s="2" t="e">
        <f t="shared" si="105"/>
        <v>#NUM!</v>
      </c>
      <c r="Z763" t="e">
        <f t="shared" si="106"/>
        <v>#NUM!</v>
      </c>
      <c r="AA763" t="e">
        <f t="shared" si="107"/>
        <v>#NUM!</v>
      </c>
      <c r="AB763" t="e">
        <f t="shared" si="108"/>
        <v>#NUM!</v>
      </c>
    </row>
    <row r="764" spans="1:28" ht="13.9" x14ac:dyDescent="0.3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f t="shared" si="100"/>
        <v>7.4405369981416332</v>
      </c>
      <c r="L764" s="2">
        <f t="shared" si="101"/>
        <v>7.309794643874584</v>
      </c>
      <c r="M764" s="2">
        <f t="shared" si="102"/>
        <v>10.373006493869958</v>
      </c>
      <c r="N764" s="2">
        <v>8.65</v>
      </c>
      <c r="O764" s="2">
        <v>84.73</v>
      </c>
      <c r="P764" s="2">
        <v>5.96</v>
      </c>
      <c r="Q764" s="2">
        <v>75.48</v>
      </c>
      <c r="R764" s="2">
        <v>57.82</v>
      </c>
      <c r="S764" s="2">
        <v>19.48</v>
      </c>
      <c r="T764" s="2">
        <v>11.68</v>
      </c>
      <c r="U764" s="2">
        <v>31.18</v>
      </c>
      <c r="V764" s="2">
        <v>45.25</v>
      </c>
      <c r="W764" s="2">
        <f t="shared" si="103"/>
        <v>6.6343028416625129</v>
      </c>
      <c r="X764" s="2">
        <f t="shared" si="104"/>
        <v>7.2553118863595989</v>
      </c>
      <c r="Y764" s="2">
        <f t="shared" si="105"/>
        <v>6.4612338612712827</v>
      </c>
      <c r="Z764">
        <f t="shared" si="106"/>
        <v>-0.1654618776639771</v>
      </c>
      <c r="AA764">
        <f t="shared" si="107"/>
        <v>-1.0793243500114569E-2</v>
      </c>
      <c r="AB764">
        <f t="shared" si="108"/>
        <v>-0.68295250418511289</v>
      </c>
    </row>
    <row r="765" spans="1:28" ht="13.9" x14ac:dyDescent="0.3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f t="shared" si="100"/>
        <v>1.2448870591235344</v>
      </c>
      <c r="L765" s="2">
        <f t="shared" si="101"/>
        <v>-0.41503749927884381</v>
      </c>
      <c r="M765" s="2">
        <f t="shared" si="102"/>
        <v>-7.4000581443776928E-2</v>
      </c>
      <c r="N765" s="2">
        <v>7.47</v>
      </c>
      <c r="O765" s="2">
        <v>0</v>
      </c>
      <c r="P765" s="2">
        <v>11.67</v>
      </c>
      <c r="Q765" s="2">
        <v>14.83</v>
      </c>
      <c r="R765" s="2">
        <v>2.44</v>
      </c>
      <c r="S765" s="2">
        <v>3.28</v>
      </c>
      <c r="T765" s="2">
        <v>2.87</v>
      </c>
      <c r="U765" s="2">
        <v>13.81</v>
      </c>
      <c r="V765" s="2">
        <v>6.03</v>
      </c>
      <c r="W765" s="2">
        <f t="shared" si="103"/>
        <v>4.2585189247113009</v>
      </c>
      <c r="X765" s="2">
        <f t="shared" si="104"/>
        <v>4.3610664887943207</v>
      </c>
      <c r="Y765" s="2">
        <f t="shared" si="105"/>
        <v>4.5052558009321633</v>
      </c>
      <c r="Z765">
        <f t="shared" si="106"/>
        <v>1.7743368996214197</v>
      </c>
      <c r="AA765" t="e">
        <f t="shared" si="107"/>
        <v>#NUM!</v>
      </c>
      <c r="AB765" t="e">
        <f t="shared" si="108"/>
        <v>#NUM!</v>
      </c>
    </row>
    <row r="766" spans="1:28" ht="13.9" x14ac:dyDescent="0.3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f t="shared" si="100"/>
        <v>0.87970576628228825</v>
      </c>
      <c r="L766" s="2">
        <f t="shared" si="101"/>
        <v>-0.66657626627480826</v>
      </c>
      <c r="M766" s="2" t="e">
        <f t="shared" si="102"/>
        <v>#NUM!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 t="e">
        <f t="shared" si="103"/>
        <v>#NUM!</v>
      </c>
      <c r="X766" s="2" t="e">
        <f t="shared" si="104"/>
        <v>#NUM!</v>
      </c>
      <c r="Y766" s="2" t="e">
        <f t="shared" si="105"/>
        <v>#NUM!</v>
      </c>
      <c r="Z766" t="e">
        <f t="shared" si="106"/>
        <v>#NUM!</v>
      </c>
      <c r="AA766" t="e">
        <f t="shared" si="107"/>
        <v>#NUM!</v>
      </c>
      <c r="AB766" t="e">
        <f t="shared" si="108"/>
        <v>#NUM!</v>
      </c>
    </row>
    <row r="767" spans="1:28" ht="13.9" x14ac:dyDescent="0.3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f t="shared" si="100"/>
        <v>2.7886857106135339</v>
      </c>
      <c r="L767" s="2">
        <f t="shared" si="101"/>
        <v>3.8206895605592144</v>
      </c>
      <c r="M767" s="2">
        <f t="shared" si="102"/>
        <v>2.2078928516413328</v>
      </c>
      <c r="N767" s="2">
        <v>0</v>
      </c>
      <c r="O767" s="2">
        <v>22.85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f t="shared" si="103"/>
        <v>4.5141222601707076</v>
      </c>
      <c r="X767" s="2" t="e">
        <f t="shared" si="104"/>
        <v>#NUM!</v>
      </c>
      <c r="Y767" s="2" t="e">
        <f t="shared" si="105"/>
        <v>#NUM!</v>
      </c>
      <c r="Z767">
        <f t="shared" si="106"/>
        <v>0.69486014344505098</v>
      </c>
      <c r="AA767" t="e">
        <f t="shared" si="107"/>
        <v>#NUM!</v>
      </c>
      <c r="AB767" t="e">
        <f t="shared" si="108"/>
        <v>#NUM!</v>
      </c>
    </row>
    <row r="768" spans="1:28" ht="13.9" x14ac:dyDescent="0.3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f t="shared" si="100"/>
        <v>1.1826922975161904</v>
      </c>
      <c r="L768" s="2">
        <f t="shared" si="101"/>
        <v>1.7824085649273731</v>
      </c>
      <c r="M768" s="2">
        <f t="shared" si="102"/>
        <v>-1.2863041851566412</v>
      </c>
      <c r="N768" s="2">
        <v>4.2</v>
      </c>
      <c r="O768" s="2">
        <v>0</v>
      </c>
      <c r="P768" s="2">
        <v>0</v>
      </c>
      <c r="Q768" s="2">
        <v>0</v>
      </c>
      <c r="R768" s="2">
        <v>3.9</v>
      </c>
      <c r="S768" s="2">
        <v>0</v>
      </c>
      <c r="T768" s="2">
        <v>0</v>
      </c>
      <c r="U768" s="2">
        <v>0</v>
      </c>
      <c r="V768" s="2">
        <v>0</v>
      </c>
      <c r="W768" s="2">
        <f t="shared" si="103"/>
        <v>2.0703893278913981</v>
      </c>
      <c r="X768" s="2">
        <f t="shared" si="104"/>
        <v>1.9634741239748859</v>
      </c>
      <c r="Y768" s="2" t="e">
        <f t="shared" si="105"/>
        <v>#NUM!</v>
      </c>
      <c r="Z768">
        <f t="shared" si="106"/>
        <v>0.8078273111058637</v>
      </c>
      <c r="AA768">
        <f t="shared" si="107"/>
        <v>0.13958051496821769</v>
      </c>
      <c r="AB768" t="e">
        <f t="shared" si="108"/>
        <v>#NUM!</v>
      </c>
    </row>
    <row r="769" spans="1:28" ht="13.9" x14ac:dyDescent="0.3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f t="shared" si="100"/>
        <v>-1.3959286763311392</v>
      </c>
      <c r="L769" s="2" t="e">
        <f t="shared" si="101"/>
        <v>#NUM!</v>
      </c>
      <c r="M769" s="2">
        <f t="shared" si="102"/>
        <v>-3.3219280948873622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 t="e">
        <f t="shared" si="103"/>
        <v>#NUM!</v>
      </c>
      <c r="X769" s="2" t="e">
        <f t="shared" si="104"/>
        <v>#NUM!</v>
      </c>
      <c r="Y769" s="2" t="e">
        <f t="shared" si="105"/>
        <v>#NUM!</v>
      </c>
      <c r="Z769" t="e">
        <f t="shared" si="106"/>
        <v>#NUM!</v>
      </c>
      <c r="AA769" t="e">
        <f t="shared" si="107"/>
        <v>#NUM!</v>
      </c>
      <c r="AB769" t="e">
        <f t="shared" si="108"/>
        <v>#NUM!</v>
      </c>
    </row>
    <row r="770" spans="1:28" ht="13.9" x14ac:dyDescent="0.3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f t="shared" si="100"/>
        <v>-3.1844245711374275</v>
      </c>
      <c r="L770" s="2">
        <f t="shared" si="101"/>
        <v>-2.3219280948873622</v>
      </c>
      <c r="M770" s="2" t="e">
        <f t="shared" si="102"/>
        <v>#NUM!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 t="e">
        <f t="shared" si="103"/>
        <v>#NUM!</v>
      </c>
      <c r="X770" s="2" t="e">
        <f t="shared" si="104"/>
        <v>#NUM!</v>
      </c>
      <c r="Y770" s="2" t="e">
        <f t="shared" si="105"/>
        <v>#NUM!</v>
      </c>
      <c r="Z770" t="e">
        <f t="shared" si="106"/>
        <v>#NUM!</v>
      </c>
      <c r="AA770" t="e">
        <f t="shared" si="107"/>
        <v>#NUM!</v>
      </c>
      <c r="AB770" t="e">
        <f t="shared" si="108"/>
        <v>#NUM!</v>
      </c>
    </row>
    <row r="771" spans="1:28" ht="13.9" x14ac:dyDescent="0.3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f t="shared" ref="K771:K834" si="109">LOG(SUM(B771:D771),2)</f>
        <v>-2.1844245711374275</v>
      </c>
      <c r="L771" s="2">
        <f t="shared" ref="L771:L834" si="110">LOG(SUM(E771:G771),2)</f>
        <v>-1.7369655941662063</v>
      </c>
      <c r="M771" s="2" t="e">
        <f t="shared" ref="M771:M834" si="111">LOG(SUM(H771:J771),2)</f>
        <v>#NUM!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1.67</v>
      </c>
      <c r="V771" s="2">
        <v>0</v>
      </c>
      <c r="W771" s="2" t="e">
        <f t="shared" ref="W771:W834" si="112">LOG(SUM(N771:P771),2)</f>
        <v>#NUM!</v>
      </c>
      <c r="X771" s="2" t="e">
        <f t="shared" ref="X771:X834" si="113">LOG(SUM(Q771:S771),2)</f>
        <v>#NUM!</v>
      </c>
      <c r="Y771" s="2">
        <f t="shared" ref="Y771:Y834" si="114">LOG(SUM(T771:V771),2)</f>
        <v>0.73984810269932755</v>
      </c>
      <c r="Z771" t="e">
        <f t="shared" ref="Z771:Z834" si="115">LOG(W771/K771,2)</f>
        <v>#NUM!</v>
      </c>
      <c r="AA771" t="e">
        <f t="shared" ref="AA771:AA834" si="116">LOG(X771/L771,2)</f>
        <v>#NUM!</v>
      </c>
      <c r="AB771" t="e">
        <f t="shared" ref="AB771:AB834" si="117">LOG(Y771/M771,2)</f>
        <v>#NUM!</v>
      </c>
    </row>
    <row r="772" spans="1:28" ht="13.9" x14ac:dyDescent="0.3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f t="shared" si="109"/>
        <v>9.7610796626422039E-2</v>
      </c>
      <c r="L772" s="2" t="e">
        <f t="shared" si="110"/>
        <v>#NUM!</v>
      </c>
      <c r="M772" s="2" t="e">
        <f t="shared" si="111"/>
        <v>#NUM!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 t="e">
        <f t="shared" si="112"/>
        <v>#NUM!</v>
      </c>
      <c r="X772" s="2" t="e">
        <f t="shared" si="113"/>
        <v>#NUM!</v>
      </c>
      <c r="Y772" s="2" t="e">
        <f t="shared" si="114"/>
        <v>#NUM!</v>
      </c>
      <c r="Z772" t="e">
        <f t="shared" si="115"/>
        <v>#NUM!</v>
      </c>
      <c r="AA772" t="e">
        <f t="shared" si="116"/>
        <v>#NUM!</v>
      </c>
      <c r="AB772" t="e">
        <f t="shared" si="117"/>
        <v>#NUM!</v>
      </c>
    </row>
    <row r="773" spans="1:28" ht="13.9" x14ac:dyDescent="0.3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f t="shared" si="109"/>
        <v>-0.71311885221183846</v>
      </c>
      <c r="L773" s="2">
        <f t="shared" si="110"/>
        <v>7.0389327891398012E-2</v>
      </c>
      <c r="M773" s="2">
        <f t="shared" si="111"/>
        <v>1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 t="e">
        <f t="shared" si="112"/>
        <v>#NUM!</v>
      </c>
      <c r="X773" s="2" t="e">
        <f t="shared" si="113"/>
        <v>#NUM!</v>
      </c>
      <c r="Y773" s="2" t="e">
        <f t="shared" si="114"/>
        <v>#NUM!</v>
      </c>
      <c r="Z773" t="e">
        <f t="shared" si="115"/>
        <v>#NUM!</v>
      </c>
      <c r="AA773" t="e">
        <f t="shared" si="116"/>
        <v>#NUM!</v>
      </c>
      <c r="AB773" t="e">
        <f t="shared" si="117"/>
        <v>#NUM!</v>
      </c>
    </row>
    <row r="774" spans="1:28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 t="e">
        <f t="shared" si="109"/>
        <v>#NUM!</v>
      </c>
      <c r="L774" s="2" t="e">
        <f t="shared" si="110"/>
        <v>#NUM!</v>
      </c>
      <c r="M774" s="2">
        <f t="shared" si="111"/>
        <v>-1.6896598793878495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 t="e">
        <f t="shared" si="112"/>
        <v>#NUM!</v>
      </c>
      <c r="X774" s="2" t="e">
        <f t="shared" si="113"/>
        <v>#NUM!</v>
      </c>
      <c r="Y774" s="2" t="e">
        <f t="shared" si="114"/>
        <v>#NUM!</v>
      </c>
      <c r="Z774" t="e">
        <f t="shared" si="115"/>
        <v>#NUM!</v>
      </c>
      <c r="AA774" t="e">
        <f t="shared" si="116"/>
        <v>#NUM!</v>
      </c>
      <c r="AB774" t="e">
        <f t="shared" si="117"/>
        <v>#NUM!</v>
      </c>
    </row>
    <row r="775" spans="1:28" ht="13.9" x14ac:dyDescent="0.3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f t="shared" si="109"/>
        <v>0.73118324157220005</v>
      </c>
      <c r="L775" s="2">
        <f t="shared" si="110"/>
        <v>1.3673710656485296</v>
      </c>
      <c r="M775" s="2">
        <f t="shared" si="111"/>
        <v>-7.4000581443776928E-2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 t="e">
        <f t="shared" si="112"/>
        <v>#NUM!</v>
      </c>
      <c r="X775" s="2" t="e">
        <f t="shared" si="113"/>
        <v>#NUM!</v>
      </c>
      <c r="Y775" s="2" t="e">
        <f t="shared" si="114"/>
        <v>#NUM!</v>
      </c>
      <c r="Z775" t="e">
        <f t="shared" si="115"/>
        <v>#NUM!</v>
      </c>
      <c r="AA775" t="e">
        <f t="shared" si="116"/>
        <v>#NUM!</v>
      </c>
      <c r="AB775" t="e">
        <f t="shared" si="117"/>
        <v>#NUM!</v>
      </c>
    </row>
    <row r="776" spans="1:28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 t="e">
        <f t="shared" si="109"/>
        <v>#NUM!</v>
      </c>
      <c r="L776" s="2">
        <f t="shared" si="110"/>
        <v>-1.286304185156641</v>
      </c>
      <c r="M776" s="2" t="e">
        <f t="shared" si="111"/>
        <v>#NUM!</v>
      </c>
      <c r="N776" s="2">
        <v>2.88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f t="shared" si="112"/>
        <v>1.5260688116675876</v>
      </c>
      <c r="X776" s="2" t="e">
        <f t="shared" si="113"/>
        <v>#NUM!</v>
      </c>
      <c r="Y776" s="2" t="e">
        <f t="shared" si="114"/>
        <v>#NUM!</v>
      </c>
      <c r="Z776" t="e">
        <f t="shared" si="115"/>
        <v>#NUM!</v>
      </c>
      <c r="AA776" t="e">
        <f t="shared" si="116"/>
        <v>#NUM!</v>
      </c>
      <c r="AB776" t="e">
        <f t="shared" si="117"/>
        <v>#NUM!</v>
      </c>
    </row>
    <row r="777" spans="1:28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 t="e">
        <f t="shared" si="109"/>
        <v>#NUM!</v>
      </c>
      <c r="L777" s="2" t="e">
        <f t="shared" si="110"/>
        <v>#NUM!</v>
      </c>
      <c r="M777" s="2">
        <f t="shared" si="111"/>
        <v>-1.8889686876112561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 t="e">
        <f t="shared" si="112"/>
        <v>#NUM!</v>
      </c>
      <c r="X777" s="2" t="e">
        <f t="shared" si="113"/>
        <v>#NUM!</v>
      </c>
      <c r="Y777" s="2" t="e">
        <f t="shared" si="114"/>
        <v>#NUM!</v>
      </c>
      <c r="Z777" t="e">
        <f t="shared" si="115"/>
        <v>#NUM!</v>
      </c>
      <c r="AA777" t="e">
        <f t="shared" si="116"/>
        <v>#NUM!</v>
      </c>
      <c r="AB777" t="e">
        <f t="shared" si="117"/>
        <v>#NUM!</v>
      </c>
    </row>
    <row r="778" spans="1:28" ht="13.9" x14ac:dyDescent="0.3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f t="shared" si="109"/>
        <v>-1.556393348524385</v>
      </c>
      <c r="L778" s="2">
        <f t="shared" si="110"/>
        <v>-0.43440282414577491</v>
      </c>
      <c r="M778" s="2" t="e">
        <f t="shared" si="111"/>
        <v>#NUM!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 t="e">
        <f t="shared" si="112"/>
        <v>#NUM!</v>
      </c>
      <c r="X778" s="2" t="e">
        <f t="shared" si="113"/>
        <v>#NUM!</v>
      </c>
      <c r="Y778" s="2" t="e">
        <f t="shared" si="114"/>
        <v>#NUM!</v>
      </c>
      <c r="Z778" t="e">
        <f t="shared" si="115"/>
        <v>#NUM!</v>
      </c>
      <c r="AA778" t="e">
        <f t="shared" si="116"/>
        <v>#NUM!</v>
      </c>
      <c r="AB778" t="e">
        <f t="shared" si="117"/>
        <v>#NUM!</v>
      </c>
    </row>
    <row r="779" spans="1:28" ht="13.9" x14ac:dyDescent="0.3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f t="shared" si="109"/>
        <v>-2</v>
      </c>
      <c r="L779" s="2">
        <f t="shared" si="110"/>
        <v>0.3334237337251918</v>
      </c>
      <c r="M779" s="2" t="e">
        <f t="shared" si="111"/>
        <v>#NUM!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 t="e">
        <f t="shared" si="112"/>
        <v>#NUM!</v>
      </c>
      <c r="X779" s="2" t="e">
        <f t="shared" si="113"/>
        <v>#NUM!</v>
      </c>
      <c r="Y779" s="2" t="e">
        <f t="shared" si="114"/>
        <v>#NUM!</v>
      </c>
      <c r="Z779" t="e">
        <f t="shared" si="115"/>
        <v>#NUM!</v>
      </c>
      <c r="AA779" t="e">
        <f t="shared" si="116"/>
        <v>#NUM!</v>
      </c>
      <c r="AB779" t="e">
        <f t="shared" si="117"/>
        <v>#NUM!</v>
      </c>
    </row>
    <row r="780" spans="1:28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 t="e">
        <f t="shared" si="109"/>
        <v>#NUM!</v>
      </c>
      <c r="L780" s="2">
        <f t="shared" si="110"/>
        <v>-3.3219280948873622</v>
      </c>
      <c r="M780" s="2" t="e">
        <f t="shared" si="111"/>
        <v>#NUM!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 t="e">
        <f t="shared" si="112"/>
        <v>#NUM!</v>
      </c>
      <c r="X780" s="2" t="e">
        <f t="shared" si="113"/>
        <v>#NUM!</v>
      </c>
      <c r="Y780" s="2" t="e">
        <f t="shared" si="114"/>
        <v>#NUM!</v>
      </c>
      <c r="Z780" t="e">
        <f t="shared" si="115"/>
        <v>#NUM!</v>
      </c>
      <c r="AA780" t="e">
        <f t="shared" si="116"/>
        <v>#NUM!</v>
      </c>
      <c r="AB780" t="e">
        <f t="shared" si="117"/>
        <v>#NUM!</v>
      </c>
    </row>
    <row r="781" spans="1:28" ht="13.9" x14ac:dyDescent="0.3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f t="shared" si="109"/>
        <v>-2.1844245711374275</v>
      </c>
      <c r="L781" s="2">
        <f t="shared" si="110"/>
        <v>-1.0291463456595165</v>
      </c>
      <c r="M781" s="2">
        <f t="shared" si="111"/>
        <v>-0.30400618689009989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 t="e">
        <f t="shared" si="112"/>
        <v>#NUM!</v>
      </c>
      <c r="X781" s="2" t="e">
        <f t="shared" si="113"/>
        <v>#NUM!</v>
      </c>
      <c r="Y781" s="2" t="e">
        <f t="shared" si="114"/>
        <v>#NUM!</v>
      </c>
      <c r="Z781" t="e">
        <f t="shared" si="115"/>
        <v>#NUM!</v>
      </c>
      <c r="AA781" t="e">
        <f t="shared" si="116"/>
        <v>#NUM!</v>
      </c>
      <c r="AB781" t="e">
        <f t="shared" si="117"/>
        <v>#NUM!</v>
      </c>
    </row>
    <row r="782" spans="1:28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 t="e">
        <f t="shared" si="109"/>
        <v>#NUM!</v>
      </c>
      <c r="L782" s="2" t="e">
        <f t="shared" si="110"/>
        <v>#NUM!</v>
      </c>
      <c r="M782" s="2">
        <f t="shared" si="111"/>
        <v>-0.68965987938784945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 t="e">
        <f t="shared" si="112"/>
        <v>#NUM!</v>
      </c>
      <c r="X782" s="2" t="e">
        <f t="shared" si="113"/>
        <v>#NUM!</v>
      </c>
      <c r="Y782" s="2" t="e">
        <f t="shared" si="114"/>
        <v>#NUM!</v>
      </c>
      <c r="Z782" t="e">
        <f t="shared" si="115"/>
        <v>#NUM!</v>
      </c>
      <c r="AA782" t="e">
        <f t="shared" si="116"/>
        <v>#NUM!</v>
      </c>
      <c r="AB782" t="e">
        <f t="shared" si="117"/>
        <v>#NUM!</v>
      </c>
    </row>
    <row r="783" spans="1:28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 t="e">
        <f t="shared" si="109"/>
        <v>#NUM!</v>
      </c>
      <c r="L783" s="2">
        <f t="shared" si="110"/>
        <v>-1.3584539709124763</v>
      </c>
      <c r="M783" s="2" t="e">
        <f t="shared" si="111"/>
        <v>#NUM!</v>
      </c>
      <c r="N783" s="2">
        <v>0</v>
      </c>
      <c r="O783" s="2">
        <v>0</v>
      </c>
      <c r="P783" s="2">
        <v>0</v>
      </c>
      <c r="Q783" s="2">
        <v>7.58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 t="e">
        <f t="shared" si="112"/>
        <v>#NUM!</v>
      </c>
      <c r="X783" s="2">
        <f t="shared" si="113"/>
        <v>2.9221978483963671</v>
      </c>
      <c r="Y783" s="2" t="e">
        <f t="shared" si="114"/>
        <v>#NUM!</v>
      </c>
      <c r="Z783" t="e">
        <f t="shared" si="115"/>
        <v>#NUM!</v>
      </c>
      <c r="AA783" t="e">
        <f t="shared" si="116"/>
        <v>#NUM!</v>
      </c>
      <c r="AB783" t="e">
        <f t="shared" si="117"/>
        <v>#NUM!</v>
      </c>
    </row>
    <row r="784" spans="1:28" ht="13.9" x14ac:dyDescent="0.3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f t="shared" si="109"/>
        <v>-2.1202942337177118</v>
      </c>
      <c r="L784" s="2" t="e">
        <f t="shared" si="110"/>
        <v>#NUM!</v>
      </c>
      <c r="M784" s="2" t="e">
        <f t="shared" si="111"/>
        <v>#NUM!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 t="e">
        <f t="shared" si="112"/>
        <v>#NUM!</v>
      </c>
      <c r="X784" s="2" t="e">
        <f t="shared" si="113"/>
        <v>#NUM!</v>
      </c>
      <c r="Y784" s="2" t="e">
        <f t="shared" si="114"/>
        <v>#NUM!</v>
      </c>
      <c r="Z784" t="e">
        <f t="shared" si="115"/>
        <v>#NUM!</v>
      </c>
      <c r="AA784" t="e">
        <f t="shared" si="116"/>
        <v>#NUM!</v>
      </c>
      <c r="AB784" t="e">
        <f t="shared" si="117"/>
        <v>#NUM!</v>
      </c>
    </row>
    <row r="785" spans="1:28" ht="13.9" x14ac:dyDescent="0.3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f t="shared" si="109"/>
        <v>-1.3959286763311392</v>
      </c>
      <c r="L785" s="2">
        <f t="shared" si="110"/>
        <v>-3.3219280948873622</v>
      </c>
      <c r="M785" s="2" t="e">
        <f t="shared" si="111"/>
        <v>#NUM!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 t="e">
        <f t="shared" si="112"/>
        <v>#NUM!</v>
      </c>
      <c r="X785" s="2" t="e">
        <f t="shared" si="113"/>
        <v>#NUM!</v>
      </c>
      <c r="Y785" s="2" t="e">
        <f t="shared" si="114"/>
        <v>#NUM!</v>
      </c>
      <c r="Z785" t="e">
        <f t="shared" si="115"/>
        <v>#NUM!</v>
      </c>
      <c r="AA785" t="e">
        <f t="shared" si="116"/>
        <v>#NUM!</v>
      </c>
      <c r="AB785" t="e">
        <f t="shared" si="117"/>
        <v>#NUM!</v>
      </c>
    </row>
    <row r="786" spans="1:28" ht="13.9" x14ac:dyDescent="0.3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f t="shared" si="109"/>
        <v>1.0356239097307214</v>
      </c>
      <c r="L786" s="2">
        <f t="shared" si="110"/>
        <v>-1.3219280948873622</v>
      </c>
      <c r="M786" s="2">
        <f t="shared" si="111"/>
        <v>-7.4000581443776928E-2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 t="e">
        <f t="shared" si="112"/>
        <v>#NUM!</v>
      </c>
      <c r="X786" s="2" t="e">
        <f t="shared" si="113"/>
        <v>#NUM!</v>
      </c>
      <c r="Y786" s="2" t="e">
        <f t="shared" si="114"/>
        <v>#NUM!</v>
      </c>
      <c r="Z786" t="e">
        <f t="shared" si="115"/>
        <v>#NUM!</v>
      </c>
      <c r="AA786" t="e">
        <f t="shared" si="116"/>
        <v>#NUM!</v>
      </c>
      <c r="AB786" t="e">
        <f t="shared" si="117"/>
        <v>#NUM!</v>
      </c>
    </row>
    <row r="787" spans="1:28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 t="e">
        <f t="shared" si="109"/>
        <v>#NUM!</v>
      </c>
      <c r="L787" s="2">
        <f t="shared" si="110"/>
        <v>-0.91593573521152549</v>
      </c>
      <c r="M787" s="2" t="e">
        <f t="shared" si="111"/>
        <v>#NUM!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 t="e">
        <f t="shared" si="112"/>
        <v>#NUM!</v>
      </c>
      <c r="X787" s="2" t="e">
        <f t="shared" si="113"/>
        <v>#NUM!</v>
      </c>
      <c r="Y787" s="2" t="e">
        <f t="shared" si="114"/>
        <v>#NUM!</v>
      </c>
      <c r="Z787" t="e">
        <f t="shared" si="115"/>
        <v>#NUM!</v>
      </c>
      <c r="AA787" t="e">
        <f t="shared" si="116"/>
        <v>#NUM!</v>
      </c>
      <c r="AB787" t="e">
        <f t="shared" si="117"/>
        <v>#NUM!</v>
      </c>
    </row>
    <row r="788" spans="1:28" ht="13.9" x14ac:dyDescent="0.3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f t="shared" si="109"/>
        <v>2.9579145986329856</v>
      </c>
      <c r="L788" s="2">
        <f t="shared" si="110"/>
        <v>2.7570232465074596</v>
      </c>
      <c r="M788" s="2">
        <f t="shared" si="111"/>
        <v>1.9411063109464317</v>
      </c>
      <c r="N788" s="2">
        <v>0</v>
      </c>
      <c r="O788" s="2">
        <v>0</v>
      </c>
      <c r="P788" s="2">
        <v>6.74</v>
      </c>
      <c r="Q788" s="2">
        <v>0</v>
      </c>
      <c r="R788" s="2">
        <v>0</v>
      </c>
      <c r="S788" s="2">
        <v>0</v>
      </c>
      <c r="T788" s="2">
        <v>0</v>
      </c>
      <c r="U788" s="2">
        <v>7.53</v>
      </c>
      <c r="V788" s="2">
        <v>0.5</v>
      </c>
      <c r="W788" s="2">
        <f t="shared" si="112"/>
        <v>2.7527485914071339</v>
      </c>
      <c r="X788" s="2" t="e">
        <f t="shared" si="113"/>
        <v>#NUM!</v>
      </c>
      <c r="Y788" s="2">
        <f t="shared" si="114"/>
        <v>3.0053999877425897</v>
      </c>
      <c r="Z788">
        <f t="shared" si="115"/>
        <v>-0.10370754474594332</v>
      </c>
      <c r="AA788" t="e">
        <f t="shared" si="116"/>
        <v>#NUM!</v>
      </c>
      <c r="AB788">
        <f t="shared" si="117"/>
        <v>0.63067787748420701</v>
      </c>
    </row>
    <row r="789" spans="1:28" ht="13.9" x14ac:dyDescent="0.3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f t="shared" si="109"/>
        <v>-0.86249647625006509</v>
      </c>
      <c r="L789" s="2">
        <f t="shared" si="110"/>
        <v>0.96347412397488608</v>
      </c>
      <c r="M789" s="2" t="e">
        <f t="shared" si="111"/>
        <v>#NUM!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 t="e">
        <f t="shared" si="112"/>
        <v>#NUM!</v>
      </c>
      <c r="X789" s="2" t="e">
        <f t="shared" si="113"/>
        <v>#NUM!</v>
      </c>
      <c r="Y789" s="2" t="e">
        <f t="shared" si="114"/>
        <v>#NUM!</v>
      </c>
      <c r="Z789" t="e">
        <f t="shared" si="115"/>
        <v>#NUM!</v>
      </c>
      <c r="AA789" t="e">
        <f t="shared" si="116"/>
        <v>#NUM!</v>
      </c>
      <c r="AB789" t="e">
        <f t="shared" si="117"/>
        <v>#NUM!</v>
      </c>
    </row>
    <row r="790" spans="1:28" ht="13.9" x14ac:dyDescent="0.3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f t="shared" si="109"/>
        <v>-3.1844245711374275</v>
      </c>
      <c r="L790" s="2">
        <f t="shared" si="110"/>
        <v>-2.9434164716336326</v>
      </c>
      <c r="M790" s="2">
        <f t="shared" si="111"/>
        <v>-3.3219280948873622</v>
      </c>
      <c r="N790" s="2">
        <v>0</v>
      </c>
      <c r="O790" s="2">
        <v>0</v>
      </c>
      <c r="P790" s="2">
        <v>0</v>
      </c>
      <c r="Q790" s="2">
        <v>0</v>
      </c>
      <c r="R790" s="2">
        <v>2.68</v>
      </c>
      <c r="S790" s="2">
        <v>0</v>
      </c>
      <c r="T790" s="2">
        <v>0</v>
      </c>
      <c r="U790" s="2">
        <v>0</v>
      </c>
      <c r="V790" s="2">
        <v>0</v>
      </c>
      <c r="W790" s="2" t="e">
        <f t="shared" si="112"/>
        <v>#NUM!</v>
      </c>
      <c r="X790" s="2">
        <f t="shared" si="113"/>
        <v>1.4222330006830479</v>
      </c>
      <c r="Y790" s="2" t="e">
        <f t="shared" si="114"/>
        <v>#NUM!</v>
      </c>
      <c r="Z790" t="e">
        <f t="shared" si="115"/>
        <v>#NUM!</v>
      </c>
      <c r="AA790" t="e">
        <f t="shared" si="116"/>
        <v>#NUM!</v>
      </c>
      <c r="AB790" t="e">
        <f t="shared" si="117"/>
        <v>#NUM!</v>
      </c>
    </row>
    <row r="791" spans="1:28" ht="13.9" x14ac:dyDescent="0.3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f t="shared" si="109"/>
        <v>-2</v>
      </c>
      <c r="L791" s="2">
        <f t="shared" si="110"/>
        <v>-1.286304185156641</v>
      </c>
      <c r="M791" s="2">
        <f t="shared" si="111"/>
        <v>-2.8365012677171206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 t="e">
        <f t="shared" si="112"/>
        <v>#NUM!</v>
      </c>
      <c r="X791" s="2" t="e">
        <f t="shared" si="113"/>
        <v>#NUM!</v>
      </c>
      <c r="Y791" s="2" t="e">
        <f t="shared" si="114"/>
        <v>#NUM!</v>
      </c>
      <c r="Z791" t="e">
        <f t="shared" si="115"/>
        <v>#NUM!</v>
      </c>
      <c r="AA791" t="e">
        <f t="shared" si="116"/>
        <v>#NUM!</v>
      </c>
      <c r="AB791" t="e">
        <f t="shared" si="117"/>
        <v>#NUM!</v>
      </c>
    </row>
    <row r="792" spans="1:28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 t="e">
        <f t="shared" si="109"/>
        <v>#NUM!</v>
      </c>
      <c r="L792" s="2">
        <f t="shared" si="110"/>
        <v>-3.1844245711374275</v>
      </c>
      <c r="M792" s="2">
        <f t="shared" si="111"/>
        <v>0.21412480535284761</v>
      </c>
      <c r="N792" s="2">
        <v>0</v>
      </c>
      <c r="O792" s="2">
        <v>0</v>
      </c>
      <c r="P792" s="2">
        <v>0</v>
      </c>
      <c r="Q792" s="2">
        <v>0</v>
      </c>
      <c r="R792" s="2">
        <v>6.1</v>
      </c>
      <c r="S792" s="2">
        <v>0</v>
      </c>
      <c r="T792" s="2">
        <v>0</v>
      </c>
      <c r="U792" s="2">
        <v>0</v>
      </c>
      <c r="V792" s="2">
        <v>0</v>
      </c>
      <c r="W792" s="2" t="e">
        <f t="shared" si="112"/>
        <v>#NUM!</v>
      </c>
      <c r="X792" s="2">
        <f t="shared" si="113"/>
        <v>2.6088092426755241</v>
      </c>
      <c r="Y792" s="2" t="e">
        <f t="shared" si="114"/>
        <v>#NUM!</v>
      </c>
      <c r="Z792" t="e">
        <f t="shared" si="115"/>
        <v>#NUM!</v>
      </c>
      <c r="AA792" t="e">
        <f t="shared" si="116"/>
        <v>#NUM!</v>
      </c>
      <c r="AB792" t="e">
        <f t="shared" si="117"/>
        <v>#NUM!</v>
      </c>
    </row>
    <row r="793" spans="1:28" ht="13.9" x14ac:dyDescent="0.3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f t="shared" si="109"/>
        <v>-0.66657626627480826</v>
      </c>
      <c r="L793" s="2">
        <f t="shared" si="110"/>
        <v>-0.68965987938784945</v>
      </c>
      <c r="M793" s="2">
        <f t="shared" si="111"/>
        <v>1.1375035237499347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 t="e">
        <f t="shared" si="112"/>
        <v>#NUM!</v>
      </c>
      <c r="X793" s="2" t="e">
        <f t="shared" si="113"/>
        <v>#NUM!</v>
      </c>
      <c r="Y793" s="2" t="e">
        <f t="shared" si="114"/>
        <v>#NUM!</v>
      </c>
      <c r="Z793" t="e">
        <f t="shared" si="115"/>
        <v>#NUM!</v>
      </c>
      <c r="AA793" t="e">
        <f t="shared" si="116"/>
        <v>#NUM!</v>
      </c>
      <c r="AB793" t="e">
        <f t="shared" si="117"/>
        <v>#NUM!</v>
      </c>
    </row>
    <row r="794" spans="1:28" ht="13.9" x14ac:dyDescent="0.3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f t="shared" si="109"/>
        <v>2.4982508675278257</v>
      </c>
      <c r="L794" s="2">
        <f t="shared" si="110"/>
        <v>0.81557542886257262</v>
      </c>
      <c r="M794" s="2">
        <f t="shared" si="111"/>
        <v>0.52606881166758768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 t="e">
        <f t="shared" si="112"/>
        <v>#NUM!</v>
      </c>
      <c r="X794" s="2" t="e">
        <f t="shared" si="113"/>
        <v>#NUM!</v>
      </c>
      <c r="Y794" s="2" t="e">
        <f t="shared" si="114"/>
        <v>#NUM!</v>
      </c>
      <c r="Z794" t="e">
        <f t="shared" si="115"/>
        <v>#NUM!</v>
      </c>
      <c r="AA794" t="e">
        <f t="shared" si="116"/>
        <v>#NUM!</v>
      </c>
      <c r="AB794" t="e">
        <f t="shared" si="117"/>
        <v>#NUM!</v>
      </c>
    </row>
    <row r="795" spans="1:28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 t="e">
        <f t="shared" si="109"/>
        <v>#NUM!</v>
      </c>
      <c r="L795" s="2" t="e">
        <f t="shared" si="110"/>
        <v>#NUM!</v>
      </c>
      <c r="M795" s="2">
        <f t="shared" si="111"/>
        <v>-2.8365012677171206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 t="e">
        <f t="shared" si="112"/>
        <v>#NUM!</v>
      </c>
      <c r="X795" s="2" t="e">
        <f t="shared" si="113"/>
        <v>#NUM!</v>
      </c>
      <c r="Y795" s="2" t="e">
        <f t="shared" si="114"/>
        <v>#NUM!</v>
      </c>
      <c r="Z795" t="e">
        <f t="shared" si="115"/>
        <v>#NUM!</v>
      </c>
      <c r="AA795" t="e">
        <f t="shared" si="116"/>
        <v>#NUM!</v>
      </c>
      <c r="AB795" t="e">
        <f t="shared" si="117"/>
        <v>#NUM!</v>
      </c>
    </row>
    <row r="796" spans="1:28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 t="e">
        <f t="shared" si="109"/>
        <v>#NUM!</v>
      </c>
      <c r="L796" s="2">
        <f t="shared" si="110"/>
        <v>-2.3219280948873622</v>
      </c>
      <c r="M796" s="2" t="e">
        <f t="shared" si="111"/>
        <v>#NUM!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 t="e">
        <f t="shared" si="112"/>
        <v>#NUM!</v>
      </c>
      <c r="X796" s="2" t="e">
        <f t="shared" si="113"/>
        <v>#NUM!</v>
      </c>
      <c r="Y796" s="2" t="e">
        <f t="shared" si="114"/>
        <v>#NUM!</v>
      </c>
      <c r="Z796" t="e">
        <f t="shared" si="115"/>
        <v>#NUM!</v>
      </c>
      <c r="AA796" t="e">
        <f t="shared" si="116"/>
        <v>#NUM!</v>
      </c>
      <c r="AB796" t="e">
        <f t="shared" si="117"/>
        <v>#NUM!</v>
      </c>
    </row>
    <row r="797" spans="1:28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 t="e">
        <f t="shared" si="109"/>
        <v>#NUM!</v>
      </c>
      <c r="L797" s="2">
        <f t="shared" si="110"/>
        <v>-1.0892673380970872</v>
      </c>
      <c r="M797" s="2">
        <f t="shared" si="111"/>
        <v>0.61353165291792711</v>
      </c>
      <c r="N797" s="2">
        <v>3.15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f t="shared" si="112"/>
        <v>1.6553518286125541</v>
      </c>
      <c r="X797" s="2" t="e">
        <f t="shared" si="113"/>
        <v>#NUM!</v>
      </c>
      <c r="Y797" s="2" t="e">
        <f t="shared" si="114"/>
        <v>#NUM!</v>
      </c>
      <c r="Z797" t="e">
        <f t="shared" si="115"/>
        <v>#NUM!</v>
      </c>
      <c r="AA797" t="e">
        <f t="shared" si="116"/>
        <v>#NUM!</v>
      </c>
      <c r="AB797" t="e">
        <f t="shared" si="117"/>
        <v>#NUM!</v>
      </c>
    </row>
    <row r="798" spans="1:28" ht="13.9" x14ac:dyDescent="0.3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f t="shared" si="109"/>
        <v>1.4355292977070055E-2</v>
      </c>
      <c r="L798" s="2">
        <f t="shared" si="110"/>
        <v>-0.32192809488736229</v>
      </c>
      <c r="M798" s="2">
        <f t="shared" si="111"/>
        <v>-1.2863041851566412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 t="e">
        <f t="shared" si="112"/>
        <v>#NUM!</v>
      </c>
      <c r="X798" s="2" t="e">
        <f t="shared" si="113"/>
        <v>#NUM!</v>
      </c>
      <c r="Y798" s="2" t="e">
        <f t="shared" si="114"/>
        <v>#NUM!</v>
      </c>
      <c r="Z798" t="e">
        <f t="shared" si="115"/>
        <v>#NUM!</v>
      </c>
      <c r="AA798" t="e">
        <f t="shared" si="116"/>
        <v>#NUM!</v>
      </c>
      <c r="AB798" t="e">
        <f t="shared" si="117"/>
        <v>#NUM!</v>
      </c>
    </row>
    <row r="799" spans="1:28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 t="e">
        <f t="shared" si="109"/>
        <v>#NUM!</v>
      </c>
      <c r="L799" s="2" t="e">
        <f t="shared" si="110"/>
        <v>#NUM!</v>
      </c>
      <c r="M799" s="2" t="e">
        <f t="shared" si="111"/>
        <v>#NUM!</v>
      </c>
      <c r="N799" s="2">
        <v>2.75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f t="shared" si="112"/>
        <v>1.4594316186372973</v>
      </c>
      <c r="X799" s="2" t="e">
        <f t="shared" si="113"/>
        <v>#NUM!</v>
      </c>
      <c r="Y799" s="2" t="e">
        <f t="shared" si="114"/>
        <v>#NUM!</v>
      </c>
      <c r="Z799" t="e">
        <f t="shared" si="115"/>
        <v>#NUM!</v>
      </c>
      <c r="AA799" t="e">
        <f t="shared" si="116"/>
        <v>#NUM!</v>
      </c>
      <c r="AB799" t="e">
        <f t="shared" si="117"/>
        <v>#NUM!</v>
      </c>
    </row>
    <row r="800" spans="1:28" ht="13.9" x14ac:dyDescent="0.3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f t="shared" si="109"/>
        <v>-2.1202942337177118</v>
      </c>
      <c r="L800" s="2">
        <f t="shared" si="110"/>
        <v>1.6735564239901448</v>
      </c>
      <c r="M800" s="2" t="e">
        <f t="shared" si="111"/>
        <v>#NUM!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 t="e">
        <f t="shared" si="112"/>
        <v>#NUM!</v>
      </c>
      <c r="X800" s="2" t="e">
        <f t="shared" si="113"/>
        <v>#NUM!</v>
      </c>
      <c r="Y800" s="2" t="e">
        <f t="shared" si="114"/>
        <v>#NUM!</v>
      </c>
      <c r="Z800" t="e">
        <f t="shared" si="115"/>
        <v>#NUM!</v>
      </c>
      <c r="AA800" t="e">
        <f t="shared" si="116"/>
        <v>#NUM!</v>
      </c>
      <c r="AB800" t="e">
        <f t="shared" si="117"/>
        <v>#NUM!</v>
      </c>
    </row>
    <row r="801" spans="1:28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 t="e">
        <f t="shared" si="109"/>
        <v>#NUM!</v>
      </c>
      <c r="L801" s="2">
        <f t="shared" si="110"/>
        <v>-2.9434164716336326</v>
      </c>
      <c r="M801" s="2" t="e">
        <f t="shared" si="111"/>
        <v>#NUM!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 t="e">
        <f t="shared" si="112"/>
        <v>#NUM!</v>
      </c>
      <c r="X801" s="2" t="e">
        <f t="shared" si="113"/>
        <v>#NUM!</v>
      </c>
      <c r="Y801" s="2" t="e">
        <f t="shared" si="114"/>
        <v>#NUM!</v>
      </c>
      <c r="Z801" t="e">
        <f t="shared" si="115"/>
        <v>#NUM!</v>
      </c>
      <c r="AA801" t="e">
        <f t="shared" si="116"/>
        <v>#NUM!</v>
      </c>
      <c r="AB801" t="e">
        <f t="shared" si="117"/>
        <v>#NUM!</v>
      </c>
    </row>
    <row r="802" spans="1:28" ht="13.9" x14ac:dyDescent="0.3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f t="shared" si="109"/>
        <v>1.1699250014423124</v>
      </c>
      <c r="L802" s="2">
        <f t="shared" si="110"/>
        <v>0.45417589318580209</v>
      </c>
      <c r="M802" s="2">
        <f t="shared" si="111"/>
        <v>0.89530262133330685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0.18</v>
      </c>
      <c r="U802" s="2">
        <v>0</v>
      </c>
      <c r="V802" s="2">
        <v>0</v>
      </c>
      <c r="W802" s="2" t="e">
        <f t="shared" si="112"/>
        <v>#NUM!</v>
      </c>
      <c r="X802" s="2" t="e">
        <f t="shared" si="113"/>
        <v>#NUM!</v>
      </c>
      <c r="Y802" s="2">
        <f t="shared" si="114"/>
        <v>-2.4739311883324122</v>
      </c>
      <c r="Z802" t="e">
        <f t="shared" si="115"/>
        <v>#NUM!</v>
      </c>
      <c r="AA802" t="e">
        <f t="shared" si="116"/>
        <v>#NUM!</v>
      </c>
      <c r="AB802" t="e">
        <f t="shared" si="117"/>
        <v>#NUM!</v>
      </c>
    </row>
    <row r="803" spans="1:28" ht="13.9" x14ac:dyDescent="0.3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f t="shared" si="109"/>
        <v>-0.86249647625006509</v>
      </c>
      <c r="L803" s="2">
        <f t="shared" si="110"/>
        <v>-2.9434164716336326</v>
      </c>
      <c r="M803" s="2">
        <f t="shared" si="111"/>
        <v>-1.6896598793878495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 t="e">
        <f t="shared" si="112"/>
        <v>#NUM!</v>
      </c>
      <c r="X803" s="2" t="e">
        <f t="shared" si="113"/>
        <v>#NUM!</v>
      </c>
      <c r="Y803" s="2" t="e">
        <f t="shared" si="114"/>
        <v>#NUM!</v>
      </c>
      <c r="Z803" t="e">
        <f t="shared" si="115"/>
        <v>#NUM!</v>
      </c>
      <c r="AA803" t="e">
        <f t="shared" si="116"/>
        <v>#NUM!</v>
      </c>
      <c r="AB803" t="e">
        <f t="shared" si="117"/>
        <v>#NUM!</v>
      </c>
    </row>
    <row r="804" spans="1:28" ht="13.9" x14ac:dyDescent="0.3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f t="shared" si="109"/>
        <v>-2.0588936890535687</v>
      </c>
      <c r="L804" s="2">
        <f t="shared" si="110"/>
        <v>-1.8889686876112561</v>
      </c>
      <c r="M804" s="2" t="e">
        <f t="shared" si="111"/>
        <v>#NUM!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4.92</v>
      </c>
      <c r="T804" s="2">
        <v>0</v>
      </c>
      <c r="U804" s="2">
        <v>0</v>
      </c>
      <c r="V804" s="2">
        <v>0</v>
      </c>
      <c r="W804" s="2" t="e">
        <f t="shared" si="112"/>
        <v>#NUM!</v>
      </c>
      <c r="X804" s="2">
        <f t="shared" si="113"/>
        <v>2.2986583155645151</v>
      </c>
      <c r="Y804" s="2" t="e">
        <f t="shared" si="114"/>
        <v>#NUM!</v>
      </c>
      <c r="Z804" t="e">
        <f t="shared" si="115"/>
        <v>#NUM!</v>
      </c>
      <c r="AA804" t="e">
        <f t="shared" si="116"/>
        <v>#NUM!</v>
      </c>
      <c r="AB804" t="e">
        <f t="shared" si="117"/>
        <v>#NUM!</v>
      </c>
    </row>
    <row r="805" spans="1:28" ht="13.9" x14ac:dyDescent="0.3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f t="shared" si="109"/>
        <v>-1</v>
      </c>
      <c r="L805" s="2">
        <f t="shared" si="110"/>
        <v>-2.9434164716336326</v>
      </c>
      <c r="M805" s="2" t="e">
        <f t="shared" si="111"/>
        <v>#NUM!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 t="e">
        <f t="shared" si="112"/>
        <v>#NUM!</v>
      </c>
      <c r="X805" s="2" t="e">
        <f t="shared" si="113"/>
        <v>#NUM!</v>
      </c>
      <c r="Y805" s="2" t="e">
        <f t="shared" si="114"/>
        <v>#NUM!</v>
      </c>
      <c r="Z805" t="e">
        <f t="shared" si="115"/>
        <v>#NUM!</v>
      </c>
      <c r="AA805" t="e">
        <f t="shared" si="116"/>
        <v>#NUM!</v>
      </c>
      <c r="AB805" t="e">
        <f t="shared" si="117"/>
        <v>#NUM!</v>
      </c>
    </row>
    <row r="806" spans="1:28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 t="e">
        <f t="shared" si="109"/>
        <v>#NUM!</v>
      </c>
      <c r="L806" s="2">
        <f t="shared" si="110"/>
        <v>-3.3219280948873622</v>
      </c>
      <c r="M806" s="2" t="e">
        <f t="shared" si="111"/>
        <v>#NUM!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 t="e">
        <f t="shared" si="112"/>
        <v>#NUM!</v>
      </c>
      <c r="X806" s="2" t="e">
        <f t="shared" si="113"/>
        <v>#NUM!</v>
      </c>
      <c r="Y806" s="2" t="e">
        <f t="shared" si="114"/>
        <v>#NUM!</v>
      </c>
      <c r="Z806" t="e">
        <f t="shared" si="115"/>
        <v>#NUM!</v>
      </c>
      <c r="AA806" t="e">
        <f t="shared" si="116"/>
        <v>#NUM!</v>
      </c>
      <c r="AB806" t="e">
        <f t="shared" si="117"/>
        <v>#NUM!</v>
      </c>
    </row>
    <row r="807" spans="1:28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 t="e">
        <f t="shared" si="109"/>
        <v>#NUM!</v>
      </c>
      <c r="L807" s="2">
        <f t="shared" si="110"/>
        <v>-2.9434164716336326</v>
      </c>
      <c r="M807" s="2" t="e">
        <f t="shared" si="111"/>
        <v>#NUM!</v>
      </c>
      <c r="N807" s="2">
        <v>0</v>
      </c>
      <c r="O807" s="2">
        <v>14.75</v>
      </c>
      <c r="P807" s="2">
        <v>0.26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f t="shared" si="112"/>
        <v>3.9078520718459635</v>
      </c>
      <c r="X807" s="2" t="e">
        <f t="shared" si="113"/>
        <v>#NUM!</v>
      </c>
      <c r="Y807" s="2" t="e">
        <f t="shared" si="114"/>
        <v>#NUM!</v>
      </c>
      <c r="Z807" t="e">
        <f t="shared" si="115"/>
        <v>#NUM!</v>
      </c>
      <c r="AA807" t="e">
        <f t="shared" si="116"/>
        <v>#NUM!</v>
      </c>
      <c r="AB807" t="e">
        <f t="shared" si="117"/>
        <v>#NUM!</v>
      </c>
    </row>
    <row r="808" spans="1:28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 t="e">
        <f t="shared" si="109"/>
        <v>#NUM!</v>
      </c>
      <c r="L808" s="2">
        <f t="shared" si="110"/>
        <v>-1.6438561897747248</v>
      </c>
      <c r="M808" s="2" t="e">
        <f t="shared" si="111"/>
        <v>#NUM!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 t="e">
        <f t="shared" si="112"/>
        <v>#NUM!</v>
      </c>
      <c r="X808" s="2" t="e">
        <f t="shared" si="113"/>
        <v>#NUM!</v>
      </c>
      <c r="Y808" s="2" t="e">
        <f t="shared" si="114"/>
        <v>#NUM!</v>
      </c>
      <c r="Z808" t="e">
        <f t="shared" si="115"/>
        <v>#NUM!</v>
      </c>
      <c r="AA808" t="e">
        <f t="shared" si="116"/>
        <v>#NUM!</v>
      </c>
      <c r="AB808" t="e">
        <f t="shared" si="117"/>
        <v>#NUM!</v>
      </c>
    </row>
    <row r="809" spans="1:28" ht="13.9" x14ac:dyDescent="0.3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f t="shared" si="109"/>
        <v>-3.1844245711374275</v>
      </c>
      <c r="L809" s="2" t="e">
        <f t="shared" si="110"/>
        <v>#NUM!</v>
      </c>
      <c r="M809" s="2" t="e">
        <f t="shared" si="111"/>
        <v>#NUM!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 t="e">
        <f t="shared" si="112"/>
        <v>#NUM!</v>
      </c>
      <c r="X809" s="2" t="e">
        <f t="shared" si="113"/>
        <v>#NUM!</v>
      </c>
      <c r="Y809" s="2" t="e">
        <f t="shared" si="114"/>
        <v>#NUM!</v>
      </c>
      <c r="Z809" t="e">
        <f t="shared" si="115"/>
        <v>#NUM!</v>
      </c>
      <c r="AA809" t="e">
        <f t="shared" si="116"/>
        <v>#NUM!</v>
      </c>
      <c r="AB809" t="e">
        <f t="shared" si="117"/>
        <v>#NUM!</v>
      </c>
    </row>
    <row r="810" spans="1:28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 t="e">
        <f t="shared" si="109"/>
        <v>#NUM!</v>
      </c>
      <c r="L810" s="2">
        <f t="shared" si="110"/>
        <v>-1.3219280948873622</v>
      </c>
      <c r="M810" s="2" t="e">
        <f t="shared" si="111"/>
        <v>#NUM!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 t="e">
        <f t="shared" si="112"/>
        <v>#NUM!</v>
      </c>
      <c r="X810" s="2" t="e">
        <f t="shared" si="113"/>
        <v>#NUM!</v>
      </c>
      <c r="Y810" s="2" t="e">
        <f t="shared" si="114"/>
        <v>#NUM!</v>
      </c>
      <c r="Z810" t="e">
        <f t="shared" si="115"/>
        <v>#NUM!</v>
      </c>
      <c r="AA810" t="e">
        <f t="shared" si="116"/>
        <v>#NUM!</v>
      </c>
      <c r="AB810" t="e">
        <f t="shared" si="117"/>
        <v>#NUM!</v>
      </c>
    </row>
    <row r="811" spans="1:28" ht="13.9" x14ac:dyDescent="0.3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f t="shared" si="109"/>
        <v>0.98550043030488488</v>
      </c>
      <c r="L811" s="2">
        <f t="shared" si="110"/>
        <v>0.97085365434048376</v>
      </c>
      <c r="M811" s="2">
        <f t="shared" si="111"/>
        <v>-0.97143084780322919</v>
      </c>
      <c r="N811" s="2">
        <v>3.67</v>
      </c>
      <c r="O811" s="2">
        <v>0</v>
      </c>
      <c r="P811" s="2">
        <v>0</v>
      </c>
      <c r="Q811" s="2">
        <v>0</v>
      </c>
      <c r="R811" s="2">
        <v>0</v>
      </c>
      <c r="S811" s="2">
        <v>2.73</v>
      </c>
      <c r="T811" s="2">
        <v>12.04</v>
      </c>
      <c r="U811" s="2">
        <v>3.98</v>
      </c>
      <c r="V811" s="2">
        <v>0</v>
      </c>
      <c r="W811" s="2">
        <f t="shared" si="112"/>
        <v>1.875780063068488</v>
      </c>
      <c r="X811" s="2">
        <f t="shared" si="113"/>
        <v>1.4489009511451278</v>
      </c>
      <c r="Y811" s="2">
        <f t="shared" si="114"/>
        <v>4.0018022426339854</v>
      </c>
      <c r="Z811">
        <f t="shared" si="115"/>
        <v>0.92856227413968273</v>
      </c>
      <c r="AA811">
        <f t="shared" si="116"/>
        <v>0.57763322714071064</v>
      </c>
      <c r="AB811" t="e">
        <f t="shared" si="117"/>
        <v>#NUM!</v>
      </c>
    </row>
    <row r="812" spans="1:28" ht="13.9" x14ac:dyDescent="0.3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f t="shared" si="109"/>
        <v>1.4355292977070055E-2</v>
      </c>
      <c r="L812" s="2">
        <f t="shared" si="110"/>
        <v>0.82374936030827284</v>
      </c>
      <c r="M812" s="2">
        <f t="shared" si="111"/>
        <v>1.2570106182060239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 t="e">
        <f t="shared" si="112"/>
        <v>#NUM!</v>
      </c>
      <c r="X812" s="2" t="e">
        <f t="shared" si="113"/>
        <v>#NUM!</v>
      </c>
      <c r="Y812" s="2" t="e">
        <f t="shared" si="114"/>
        <v>#NUM!</v>
      </c>
      <c r="Z812" t="e">
        <f t="shared" si="115"/>
        <v>#NUM!</v>
      </c>
      <c r="AA812" t="e">
        <f t="shared" si="116"/>
        <v>#NUM!</v>
      </c>
      <c r="AB812" t="e">
        <f t="shared" si="117"/>
        <v>#NUM!</v>
      </c>
    </row>
    <row r="813" spans="1:28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 t="e">
        <f t="shared" si="109"/>
        <v>#NUM!</v>
      </c>
      <c r="L813" s="2" t="e">
        <f t="shared" si="110"/>
        <v>#NUM!</v>
      </c>
      <c r="M813" s="2" t="e">
        <f t="shared" si="111"/>
        <v>#NUM!</v>
      </c>
      <c r="N813" s="2">
        <v>0</v>
      </c>
      <c r="O813" s="2">
        <v>0</v>
      </c>
      <c r="P813" s="2">
        <v>0</v>
      </c>
      <c r="Q813" s="2">
        <v>5.93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 t="e">
        <f t="shared" si="112"/>
        <v>#NUM!</v>
      </c>
      <c r="X813" s="2">
        <f t="shared" si="113"/>
        <v>2.5680321047712789</v>
      </c>
      <c r="Y813" s="2" t="e">
        <f t="shared" si="114"/>
        <v>#NUM!</v>
      </c>
      <c r="Z813" t="e">
        <f t="shared" si="115"/>
        <v>#NUM!</v>
      </c>
      <c r="AA813" t="e">
        <f t="shared" si="116"/>
        <v>#NUM!</v>
      </c>
      <c r="AB813" t="e">
        <f t="shared" si="117"/>
        <v>#NUM!</v>
      </c>
    </row>
    <row r="814" spans="1:28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 t="e">
        <f t="shared" si="109"/>
        <v>#NUM!</v>
      </c>
      <c r="L814" s="2">
        <f t="shared" si="110"/>
        <v>-1.3219280948873622</v>
      </c>
      <c r="M814" s="2" t="e">
        <f t="shared" si="111"/>
        <v>#NUM!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 t="e">
        <f t="shared" si="112"/>
        <v>#NUM!</v>
      </c>
      <c r="X814" s="2" t="e">
        <f t="shared" si="113"/>
        <v>#NUM!</v>
      </c>
      <c r="Y814" s="2" t="e">
        <f t="shared" si="114"/>
        <v>#NUM!</v>
      </c>
      <c r="Z814" t="e">
        <f t="shared" si="115"/>
        <v>#NUM!</v>
      </c>
      <c r="AA814" t="e">
        <f t="shared" si="116"/>
        <v>#NUM!</v>
      </c>
      <c r="AB814" t="e">
        <f t="shared" si="117"/>
        <v>#NUM!</v>
      </c>
    </row>
    <row r="815" spans="1:28" ht="13.9" x14ac:dyDescent="0.3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f t="shared" si="109"/>
        <v>1.6959938131098999</v>
      </c>
      <c r="L815" s="2">
        <f t="shared" si="110"/>
        <v>1.1176950426697545</v>
      </c>
      <c r="M815" s="2">
        <f t="shared" si="111"/>
        <v>0.40053792958372886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0.55000000000000004</v>
      </c>
      <c r="T815" s="2">
        <v>0</v>
      </c>
      <c r="U815" s="2">
        <v>0</v>
      </c>
      <c r="V815" s="2">
        <v>0</v>
      </c>
      <c r="W815" s="2" t="e">
        <f t="shared" si="112"/>
        <v>#NUM!</v>
      </c>
      <c r="X815" s="2">
        <f t="shared" si="113"/>
        <v>-0.86249647625006509</v>
      </c>
      <c r="Y815" s="2" t="e">
        <f t="shared" si="114"/>
        <v>#NUM!</v>
      </c>
      <c r="Z815" t="e">
        <f t="shared" si="115"/>
        <v>#NUM!</v>
      </c>
      <c r="AA815" t="e">
        <f t="shared" si="116"/>
        <v>#NUM!</v>
      </c>
      <c r="AB815" t="e">
        <f t="shared" si="117"/>
        <v>#NUM!</v>
      </c>
    </row>
    <row r="816" spans="1:28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 t="e">
        <f t="shared" si="109"/>
        <v>#NUM!</v>
      </c>
      <c r="L816" s="2">
        <f t="shared" si="110"/>
        <v>-2.2515387669959646</v>
      </c>
      <c r="M816" s="2" t="e">
        <f t="shared" si="111"/>
        <v>#NUM!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 t="e">
        <f t="shared" si="112"/>
        <v>#NUM!</v>
      </c>
      <c r="X816" s="2" t="e">
        <f t="shared" si="113"/>
        <v>#NUM!</v>
      </c>
      <c r="Y816" s="2" t="e">
        <f t="shared" si="114"/>
        <v>#NUM!</v>
      </c>
      <c r="Z816" t="e">
        <f t="shared" si="115"/>
        <v>#NUM!</v>
      </c>
      <c r="AA816" t="e">
        <f t="shared" si="116"/>
        <v>#NUM!</v>
      </c>
      <c r="AB816" t="e">
        <f t="shared" si="117"/>
        <v>#NUM!</v>
      </c>
    </row>
    <row r="817" spans="1:28" ht="13.9" x14ac:dyDescent="0.3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f t="shared" si="109"/>
        <v>2.3561438102252756</v>
      </c>
      <c r="L817" s="2">
        <f t="shared" si="110"/>
        <v>2.3729520979118295</v>
      </c>
      <c r="M817" s="2">
        <f t="shared" si="111"/>
        <v>2.9011082430145128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4.3899999999999997</v>
      </c>
      <c r="V817" s="2">
        <v>19.61</v>
      </c>
      <c r="W817" s="2" t="e">
        <f t="shared" si="112"/>
        <v>#NUM!</v>
      </c>
      <c r="X817" s="2" t="e">
        <f t="shared" si="113"/>
        <v>#NUM!</v>
      </c>
      <c r="Y817" s="2">
        <f t="shared" si="114"/>
        <v>4.584962500721157</v>
      </c>
      <c r="Z817" t="e">
        <f t="shared" si="115"/>
        <v>#NUM!</v>
      </c>
      <c r="AA817" t="e">
        <f t="shared" si="116"/>
        <v>#NUM!</v>
      </c>
      <c r="AB817">
        <f t="shared" si="117"/>
        <v>0.66030580960336993</v>
      </c>
    </row>
    <row r="818" spans="1:28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 t="e">
        <f t="shared" si="109"/>
        <v>#NUM!</v>
      </c>
      <c r="L818" s="2" t="e">
        <f t="shared" si="110"/>
        <v>#NUM!</v>
      </c>
      <c r="M818" s="2">
        <f t="shared" si="111"/>
        <v>-3.3219280948873622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 t="e">
        <f t="shared" si="112"/>
        <v>#NUM!</v>
      </c>
      <c r="X818" s="2" t="e">
        <f t="shared" si="113"/>
        <v>#NUM!</v>
      </c>
      <c r="Y818" s="2" t="e">
        <f t="shared" si="114"/>
        <v>#NUM!</v>
      </c>
      <c r="Z818" t="e">
        <f t="shared" si="115"/>
        <v>#NUM!</v>
      </c>
      <c r="AA818" t="e">
        <f t="shared" si="116"/>
        <v>#NUM!</v>
      </c>
      <c r="AB818" t="e">
        <f t="shared" si="117"/>
        <v>#NUM!</v>
      </c>
    </row>
    <row r="819" spans="1:28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 t="e">
        <f t="shared" si="109"/>
        <v>#NUM!</v>
      </c>
      <c r="L819" s="2">
        <f t="shared" si="110"/>
        <v>-3.3219280948873622</v>
      </c>
      <c r="M819" s="2" t="e">
        <f t="shared" si="111"/>
        <v>#NUM!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 t="e">
        <f t="shared" si="112"/>
        <v>#NUM!</v>
      </c>
      <c r="X819" s="2" t="e">
        <f t="shared" si="113"/>
        <v>#NUM!</v>
      </c>
      <c r="Y819" s="2" t="e">
        <f t="shared" si="114"/>
        <v>#NUM!</v>
      </c>
      <c r="Z819" t="e">
        <f t="shared" si="115"/>
        <v>#NUM!</v>
      </c>
      <c r="AA819" t="e">
        <f t="shared" si="116"/>
        <v>#NUM!</v>
      </c>
      <c r="AB819" t="e">
        <f t="shared" si="117"/>
        <v>#NUM!</v>
      </c>
    </row>
    <row r="820" spans="1:28" ht="13.9" x14ac:dyDescent="0.3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f t="shared" si="109"/>
        <v>-1</v>
      </c>
      <c r="L820" s="2">
        <f t="shared" si="110"/>
        <v>-2.3219280948873622</v>
      </c>
      <c r="M820" s="2" t="e">
        <f t="shared" si="111"/>
        <v>#NUM!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 t="e">
        <f t="shared" si="112"/>
        <v>#NUM!</v>
      </c>
      <c r="X820" s="2" t="e">
        <f t="shared" si="113"/>
        <v>#NUM!</v>
      </c>
      <c r="Y820" s="2" t="e">
        <f t="shared" si="114"/>
        <v>#NUM!</v>
      </c>
      <c r="Z820" t="e">
        <f t="shared" si="115"/>
        <v>#NUM!</v>
      </c>
      <c r="AA820" t="e">
        <f t="shared" si="116"/>
        <v>#NUM!</v>
      </c>
      <c r="AB820" t="e">
        <f t="shared" si="117"/>
        <v>#NUM!</v>
      </c>
    </row>
    <row r="821" spans="1:28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 t="e">
        <f t="shared" si="109"/>
        <v>#NUM!</v>
      </c>
      <c r="L821" s="2">
        <f t="shared" si="110"/>
        <v>-1.2515387669959643</v>
      </c>
      <c r="M821" s="2" t="e">
        <f t="shared" si="111"/>
        <v>#NUM!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 t="e">
        <f t="shared" si="112"/>
        <v>#NUM!</v>
      </c>
      <c r="X821" s="2" t="e">
        <f t="shared" si="113"/>
        <v>#NUM!</v>
      </c>
      <c r="Y821" s="2" t="e">
        <f t="shared" si="114"/>
        <v>#NUM!</v>
      </c>
      <c r="Z821" t="e">
        <f t="shared" si="115"/>
        <v>#NUM!</v>
      </c>
      <c r="AA821" t="e">
        <f t="shared" si="116"/>
        <v>#NUM!</v>
      </c>
      <c r="AB821" t="e">
        <f t="shared" si="117"/>
        <v>#NUM!</v>
      </c>
    </row>
    <row r="822" spans="1:28" ht="13.9" x14ac:dyDescent="0.3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f t="shared" si="109"/>
        <v>-1.5994620704162712</v>
      </c>
      <c r="L822" s="2" t="e">
        <f t="shared" si="110"/>
        <v>#NUM!</v>
      </c>
      <c r="M822" s="2" t="e">
        <f t="shared" si="111"/>
        <v>#NUM!</v>
      </c>
      <c r="N822" s="2">
        <v>5.24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f t="shared" si="112"/>
        <v>2.3895668117627258</v>
      </c>
      <c r="X822" s="2" t="e">
        <f t="shared" si="113"/>
        <v>#NUM!</v>
      </c>
      <c r="Y822" s="2" t="e">
        <f t="shared" si="114"/>
        <v>#NUM!</v>
      </c>
      <c r="Z822" t="e">
        <f t="shared" si="115"/>
        <v>#NUM!</v>
      </c>
      <c r="AA822" t="e">
        <f t="shared" si="116"/>
        <v>#NUM!</v>
      </c>
      <c r="AB822" t="e">
        <f t="shared" si="117"/>
        <v>#NUM!</v>
      </c>
    </row>
    <row r="823" spans="1:28" ht="13.9" x14ac:dyDescent="0.3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f t="shared" si="109"/>
        <v>-0.66657626627480826</v>
      </c>
      <c r="L823" s="2" t="e">
        <f t="shared" si="110"/>
        <v>#NUM!</v>
      </c>
      <c r="M823" s="2" t="e">
        <f t="shared" si="111"/>
        <v>#NUM!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 t="e">
        <f t="shared" si="112"/>
        <v>#NUM!</v>
      </c>
      <c r="X823" s="2" t="e">
        <f t="shared" si="113"/>
        <v>#NUM!</v>
      </c>
      <c r="Y823" s="2" t="e">
        <f t="shared" si="114"/>
        <v>#NUM!</v>
      </c>
      <c r="Z823" t="e">
        <f t="shared" si="115"/>
        <v>#NUM!</v>
      </c>
      <c r="AA823" t="e">
        <f t="shared" si="116"/>
        <v>#NUM!</v>
      </c>
      <c r="AB823" t="e">
        <f t="shared" si="117"/>
        <v>#NUM!</v>
      </c>
    </row>
    <row r="824" spans="1:28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 t="e">
        <f t="shared" si="109"/>
        <v>#NUM!</v>
      </c>
      <c r="L824" s="2">
        <f t="shared" si="110"/>
        <v>-0.91593573521152549</v>
      </c>
      <c r="M824" s="2" t="e">
        <f t="shared" si="111"/>
        <v>#NUM!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 t="e">
        <f t="shared" si="112"/>
        <v>#NUM!</v>
      </c>
      <c r="X824" s="2" t="e">
        <f t="shared" si="113"/>
        <v>#NUM!</v>
      </c>
      <c r="Y824" s="2" t="e">
        <f t="shared" si="114"/>
        <v>#NUM!</v>
      </c>
      <c r="Z824" t="e">
        <f t="shared" si="115"/>
        <v>#NUM!</v>
      </c>
      <c r="AA824" t="e">
        <f t="shared" si="116"/>
        <v>#NUM!</v>
      </c>
      <c r="AB824" t="e">
        <f t="shared" si="117"/>
        <v>#NUM!</v>
      </c>
    </row>
    <row r="825" spans="1:28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 t="e">
        <f t="shared" si="109"/>
        <v>#NUM!</v>
      </c>
      <c r="L825" s="2">
        <f t="shared" si="110"/>
        <v>-0.76121314041288357</v>
      </c>
      <c r="M825" s="2" t="e">
        <f t="shared" si="111"/>
        <v>#NUM!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 t="e">
        <f t="shared" si="112"/>
        <v>#NUM!</v>
      </c>
      <c r="X825" s="2" t="e">
        <f t="shared" si="113"/>
        <v>#NUM!</v>
      </c>
      <c r="Y825" s="2" t="e">
        <f t="shared" si="114"/>
        <v>#NUM!</v>
      </c>
      <c r="Z825" t="e">
        <f t="shared" si="115"/>
        <v>#NUM!</v>
      </c>
      <c r="AA825" t="e">
        <f t="shared" si="116"/>
        <v>#NUM!</v>
      </c>
      <c r="AB825" t="e">
        <f t="shared" si="117"/>
        <v>#NUM!</v>
      </c>
    </row>
    <row r="826" spans="1:28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 t="e">
        <f t="shared" si="109"/>
        <v>#NUM!</v>
      </c>
      <c r="L826" s="2" t="e">
        <f t="shared" si="110"/>
        <v>#NUM!</v>
      </c>
      <c r="M826" s="2" t="e">
        <f t="shared" si="111"/>
        <v>#NUM!</v>
      </c>
      <c r="N826" s="2">
        <v>0</v>
      </c>
      <c r="O826" s="2">
        <v>0</v>
      </c>
      <c r="P826" s="2">
        <v>0</v>
      </c>
      <c r="Q826" s="2">
        <v>6.26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 t="e">
        <f t="shared" si="112"/>
        <v>#NUM!</v>
      </c>
      <c r="X826" s="2">
        <f t="shared" si="113"/>
        <v>2.6461626571578938</v>
      </c>
      <c r="Y826" s="2" t="e">
        <f t="shared" si="114"/>
        <v>#NUM!</v>
      </c>
      <c r="Z826" t="e">
        <f t="shared" si="115"/>
        <v>#NUM!</v>
      </c>
      <c r="AA826" t="e">
        <f t="shared" si="116"/>
        <v>#NUM!</v>
      </c>
      <c r="AB826" t="e">
        <f t="shared" si="117"/>
        <v>#NUM!</v>
      </c>
    </row>
    <row r="827" spans="1:28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 t="e">
        <f t="shared" si="109"/>
        <v>#NUM!</v>
      </c>
      <c r="L827" s="2">
        <f t="shared" si="110"/>
        <v>-3.3219280948873622</v>
      </c>
      <c r="M827" s="2">
        <f t="shared" si="111"/>
        <v>-0.55639334852438527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 t="e">
        <f t="shared" si="112"/>
        <v>#NUM!</v>
      </c>
      <c r="X827" s="2" t="e">
        <f t="shared" si="113"/>
        <v>#NUM!</v>
      </c>
      <c r="Y827" s="2" t="e">
        <f t="shared" si="114"/>
        <v>#NUM!</v>
      </c>
      <c r="Z827" t="e">
        <f t="shared" si="115"/>
        <v>#NUM!</v>
      </c>
      <c r="AA827" t="e">
        <f t="shared" si="116"/>
        <v>#NUM!</v>
      </c>
      <c r="AB827" t="e">
        <f t="shared" si="117"/>
        <v>#NUM!</v>
      </c>
    </row>
    <row r="828" spans="1:28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 t="e">
        <f t="shared" si="109"/>
        <v>#NUM!</v>
      </c>
      <c r="L828" s="2" t="e">
        <f t="shared" si="110"/>
        <v>#NUM!</v>
      </c>
      <c r="M828" s="2" t="e">
        <f t="shared" si="111"/>
        <v>#NUM!</v>
      </c>
      <c r="N828" s="2">
        <v>0</v>
      </c>
      <c r="O828" s="2">
        <v>0</v>
      </c>
      <c r="P828" s="2">
        <v>0</v>
      </c>
      <c r="Q828" s="2">
        <v>1.98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 t="e">
        <f t="shared" si="112"/>
        <v>#NUM!</v>
      </c>
      <c r="X828" s="2">
        <f t="shared" si="113"/>
        <v>0.98550043030488488</v>
      </c>
      <c r="Y828" s="2" t="e">
        <f t="shared" si="114"/>
        <v>#NUM!</v>
      </c>
      <c r="Z828" t="e">
        <f t="shared" si="115"/>
        <v>#NUM!</v>
      </c>
      <c r="AA828" t="e">
        <f t="shared" si="116"/>
        <v>#NUM!</v>
      </c>
      <c r="AB828" t="e">
        <f t="shared" si="117"/>
        <v>#NUM!</v>
      </c>
    </row>
    <row r="829" spans="1:28" ht="13.9" x14ac:dyDescent="0.3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f t="shared" si="109"/>
        <v>2.0531113364595623</v>
      </c>
      <c r="L829" s="2">
        <f t="shared" si="110"/>
        <v>2.2986583155645151</v>
      </c>
      <c r="M829" s="2">
        <f t="shared" si="111"/>
        <v>1.232660756790275</v>
      </c>
      <c r="N829" s="2">
        <v>0.13</v>
      </c>
      <c r="O829" s="2">
        <v>0.28999999999999998</v>
      </c>
      <c r="P829" s="2">
        <v>0</v>
      </c>
      <c r="Q829" s="2">
        <v>25.05</v>
      </c>
      <c r="R829" s="2">
        <v>15.86</v>
      </c>
      <c r="S829" s="2">
        <v>0</v>
      </c>
      <c r="T829" s="2">
        <v>0</v>
      </c>
      <c r="U829" s="2">
        <v>0</v>
      </c>
      <c r="V829" s="2">
        <v>0</v>
      </c>
      <c r="W829" s="2">
        <f t="shared" si="112"/>
        <v>-1.2515387669959643</v>
      </c>
      <c r="X829" s="2">
        <f t="shared" si="113"/>
        <v>5.3543816321133217</v>
      </c>
      <c r="Y829" s="2" t="e">
        <f t="shared" si="114"/>
        <v>#NUM!</v>
      </c>
      <c r="Z829" t="e">
        <f t="shared" si="115"/>
        <v>#NUM!</v>
      </c>
      <c r="AA829">
        <f t="shared" si="116"/>
        <v>1.2199279379888033</v>
      </c>
      <c r="AB829" t="e">
        <f t="shared" si="117"/>
        <v>#NUM!</v>
      </c>
    </row>
    <row r="830" spans="1:28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 t="e">
        <f t="shared" si="109"/>
        <v>#NUM!</v>
      </c>
      <c r="L830" s="2">
        <f t="shared" si="110"/>
        <v>-1.3219280948873622</v>
      </c>
      <c r="M830" s="2" t="e">
        <f t="shared" si="111"/>
        <v>#NUM!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 t="e">
        <f t="shared" si="112"/>
        <v>#NUM!</v>
      </c>
      <c r="X830" s="2" t="e">
        <f t="shared" si="113"/>
        <v>#NUM!</v>
      </c>
      <c r="Y830" s="2" t="e">
        <f t="shared" si="114"/>
        <v>#NUM!</v>
      </c>
      <c r="Z830" t="e">
        <f t="shared" si="115"/>
        <v>#NUM!</v>
      </c>
      <c r="AA830" t="e">
        <f t="shared" si="116"/>
        <v>#NUM!</v>
      </c>
      <c r="AB830" t="e">
        <f t="shared" si="117"/>
        <v>#NUM!</v>
      </c>
    </row>
    <row r="831" spans="1:28" ht="13.9" x14ac:dyDescent="0.3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f t="shared" si="109"/>
        <v>6.66746640495737</v>
      </c>
      <c r="L831" s="2">
        <f t="shared" si="110"/>
        <v>6.8332696208083972</v>
      </c>
      <c r="M831" s="2">
        <f t="shared" si="111"/>
        <v>6.7459095725039129</v>
      </c>
      <c r="N831" s="2">
        <v>8.1300000000000008</v>
      </c>
      <c r="O831" s="2">
        <v>30.07</v>
      </c>
      <c r="P831" s="2">
        <v>0</v>
      </c>
      <c r="Q831" s="2">
        <v>12.2</v>
      </c>
      <c r="R831" s="2">
        <v>44.64</v>
      </c>
      <c r="S831" s="2">
        <v>23.85</v>
      </c>
      <c r="T831" s="2">
        <v>15.45</v>
      </c>
      <c r="U831" s="2">
        <v>11.72</v>
      </c>
      <c r="V831" s="2">
        <v>58.82</v>
      </c>
      <c r="W831" s="2">
        <f t="shared" si="112"/>
        <v>5.2555007331483861</v>
      </c>
      <c r="X831" s="2">
        <f t="shared" si="113"/>
        <v>6.3343179846934428</v>
      </c>
      <c r="Y831" s="2">
        <f t="shared" si="114"/>
        <v>6.4260969897108176</v>
      </c>
      <c r="Z831">
        <f t="shared" si="115"/>
        <v>-0.3433104228457039</v>
      </c>
      <c r="AA831">
        <f t="shared" si="116"/>
        <v>-0.10938675954230526</v>
      </c>
      <c r="AB831">
        <f t="shared" si="117"/>
        <v>-7.0070223751581701E-2</v>
      </c>
    </row>
    <row r="832" spans="1:28" ht="13.9" x14ac:dyDescent="0.3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f t="shared" si="109"/>
        <v>1.5160151470036647</v>
      </c>
      <c r="L832" s="2">
        <f t="shared" si="110"/>
        <v>1.3729520979118293</v>
      </c>
      <c r="M832" s="2">
        <f t="shared" si="111"/>
        <v>0.70487196445635281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 t="e">
        <f t="shared" si="112"/>
        <v>#NUM!</v>
      </c>
      <c r="X832" s="2" t="e">
        <f t="shared" si="113"/>
        <v>#NUM!</v>
      </c>
      <c r="Y832" s="2" t="e">
        <f t="shared" si="114"/>
        <v>#NUM!</v>
      </c>
      <c r="Z832" t="e">
        <f t="shared" si="115"/>
        <v>#NUM!</v>
      </c>
      <c r="AA832" t="e">
        <f t="shared" si="116"/>
        <v>#NUM!</v>
      </c>
      <c r="AB832" t="e">
        <f t="shared" si="117"/>
        <v>#NUM!</v>
      </c>
    </row>
    <row r="833" spans="1:28" ht="13.9" x14ac:dyDescent="0.3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f t="shared" si="109"/>
        <v>0.3334237337251918</v>
      </c>
      <c r="L833" s="2" t="e">
        <f t="shared" si="110"/>
        <v>#NUM!</v>
      </c>
      <c r="M833" s="2" t="e">
        <f t="shared" si="111"/>
        <v>#NUM!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 t="e">
        <f t="shared" si="112"/>
        <v>#NUM!</v>
      </c>
      <c r="X833" s="2" t="e">
        <f t="shared" si="113"/>
        <v>#NUM!</v>
      </c>
      <c r="Y833" s="2" t="e">
        <f t="shared" si="114"/>
        <v>#NUM!</v>
      </c>
      <c r="Z833" t="e">
        <f t="shared" si="115"/>
        <v>#NUM!</v>
      </c>
      <c r="AA833" t="e">
        <f t="shared" si="116"/>
        <v>#NUM!</v>
      </c>
      <c r="AB833" t="e">
        <f t="shared" si="117"/>
        <v>#NUM!</v>
      </c>
    </row>
    <row r="834" spans="1:28" ht="13.9" x14ac:dyDescent="0.3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f t="shared" si="109"/>
        <v>-1.15200309344505</v>
      </c>
      <c r="L834" s="2" t="e">
        <f t="shared" si="110"/>
        <v>#NUM!</v>
      </c>
      <c r="M834" s="2" t="e">
        <f t="shared" si="111"/>
        <v>#NUM!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 t="e">
        <f t="shared" si="112"/>
        <v>#NUM!</v>
      </c>
      <c r="X834" s="2" t="e">
        <f t="shared" si="113"/>
        <v>#NUM!</v>
      </c>
      <c r="Y834" s="2" t="e">
        <f t="shared" si="114"/>
        <v>#NUM!</v>
      </c>
      <c r="Z834" t="e">
        <f t="shared" si="115"/>
        <v>#NUM!</v>
      </c>
      <c r="AA834" t="e">
        <f t="shared" si="116"/>
        <v>#NUM!</v>
      </c>
      <c r="AB834" t="e">
        <f t="shared" si="117"/>
        <v>#NUM!</v>
      </c>
    </row>
    <row r="835" spans="1:28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 t="e">
        <f t="shared" ref="K835:K898" si="118">LOG(SUM(B835:D835),2)</f>
        <v>#NUM!</v>
      </c>
      <c r="L835" s="2">
        <f t="shared" ref="L835:L898" si="119">LOG(SUM(E835:G835),2)</f>
        <v>-1</v>
      </c>
      <c r="M835" s="2">
        <f t="shared" ref="M835:M898" si="120">LOG(SUM(H835:J835),2)</f>
        <v>-0.28630418515664108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 t="e">
        <f t="shared" ref="W835:W898" si="121">LOG(SUM(N835:P835),2)</f>
        <v>#NUM!</v>
      </c>
      <c r="X835" s="2" t="e">
        <f t="shared" ref="X835:X898" si="122">LOG(SUM(Q835:S835),2)</f>
        <v>#NUM!</v>
      </c>
      <c r="Y835" s="2" t="e">
        <f t="shared" ref="Y835:Y898" si="123">LOG(SUM(T835:V835),2)</f>
        <v>#NUM!</v>
      </c>
      <c r="Z835" t="e">
        <f t="shared" ref="Z835:Z898" si="124">LOG(W835/K835,2)</f>
        <v>#NUM!</v>
      </c>
      <c r="AA835" t="e">
        <f t="shared" ref="AA835:AA898" si="125">LOG(X835/L835,2)</f>
        <v>#NUM!</v>
      </c>
      <c r="AB835" t="e">
        <f t="shared" ref="AB835:AB898" si="126">LOG(Y835/M835,2)</f>
        <v>#NUM!</v>
      </c>
    </row>
    <row r="836" spans="1:28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 t="e">
        <f t="shared" si="118"/>
        <v>#NUM!</v>
      </c>
      <c r="L836" s="2" t="e">
        <f t="shared" si="119"/>
        <v>#NUM!</v>
      </c>
      <c r="M836" s="2">
        <f t="shared" si="120"/>
        <v>-3.3219280948873622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 t="e">
        <f t="shared" si="121"/>
        <v>#NUM!</v>
      </c>
      <c r="X836" s="2" t="e">
        <f t="shared" si="122"/>
        <v>#NUM!</v>
      </c>
      <c r="Y836" s="2" t="e">
        <f t="shared" si="123"/>
        <v>#NUM!</v>
      </c>
      <c r="Z836" t="e">
        <f t="shared" si="124"/>
        <v>#NUM!</v>
      </c>
      <c r="AA836" t="e">
        <f t="shared" si="125"/>
        <v>#NUM!</v>
      </c>
      <c r="AB836" t="e">
        <f t="shared" si="126"/>
        <v>#NUM!</v>
      </c>
    </row>
    <row r="837" spans="1:28" ht="13.9" x14ac:dyDescent="0.3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f t="shared" si="118"/>
        <v>2.8569152196770919E-2</v>
      </c>
      <c r="L837" s="2">
        <f t="shared" si="119"/>
        <v>0.31034012061215049</v>
      </c>
      <c r="M837" s="2" t="e">
        <f t="shared" si="120"/>
        <v>#NUM!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 t="e">
        <f t="shared" si="121"/>
        <v>#NUM!</v>
      </c>
      <c r="X837" s="2" t="e">
        <f t="shared" si="122"/>
        <v>#NUM!</v>
      </c>
      <c r="Y837" s="2" t="e">
        <f t="shared" si="123"/>
        <v>#NUM!</v>
      </c>
      <c r="Z837" t="e">
        <f t="shared" si="124"/>
        <v>#NUM!</v>
      </c>
      <c r="AA837" t="e">
        <f t="shared" si="125"/>
        <v>#NUM!</v>
      </c>
      <c r="AB837" t="e">
        <f t="shared" si="126"/>
        <v>#NUM!</v>
      </c>
    </row>
    <row r="838" spans="1:28" ht="13.9" x14ac:dyDescent="0.3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f t="shared" si="118"/>
        <v>-0.26881675842779984</v>
      </c>
      <c r="L838" s="2" t="e">
        <f t="shared" si="119"/>
        <v>#NUM!</v>
      </c>
      <c r="M838" s="2">
        <f t="shared" si="120"/>
        <v>-0.55639334852438527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 t="e">
        <f t="shared" si="121"/>
        <v>#NUM!</v>
      </c>
      <c r="X838" s="2" t="e">
        <f t="shared" si="122"/>
        <v>#NUM!</v>
      </c>
      <c r="Y838" s="2" t="e">
        <f t="shared" si="123"/>
        <v>#NUM!</v>
      </c>
      <c r="Z838" t="e">
        <f t="shared" si="124"/>
        <v>#NUM!</v>
      </c>
      <c r="AA838" t="e">
        <f t="shared" si="125"/>
        <v>#NUM!</v>
      </c>
      <c r="AB838" t="e">
        <f t="shared" si="126"/>
        <v>#NUM!</v>
      </c>
    </row>
    <row r="839" spans="1:28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 t="e">
        <f t="shared" si="118"/>
        <v>#NUM!</v>
      </c>
      <c r="L839" s="2">
        <f t="shared" si="119"/>
        <v>-0.91593573521152549</v>
      </c>
      <c r="M839" s="2" t="e">
        <f t="shared" si="120"/>
        <v>#NUM!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 t="e">
        <f t="shared" si="121"/>
        <v>#NUM!</v>
      </c>
      <c r="X839" s="2" t="e">
        <f t="shared" si="122"/>
        <v>#NUM!</v>
      </c>
      <c r="Y839" s="2" t="e">
        <f t="shared" si="123"/>
        <v>#NUM!</v>
      </c>
      <c r="Z839" t="e">
        <f t="shared" si="124"/>
        <v>#NUM!</v>
      </c>
      <c r="AA839" t="e">
        <f t="shared" si="125"/>
        <v>#NUM!</v>
      </c>
      <c r="AB839" t="e">
        <f t="shared" si="126"/>
        <v>#NUM!</v>
      </c>
    </row>
    <row r="840" spans="1:28" ht="13.9" x14ac:dyDescent="0.3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f t="shared" si="118"/>
        <v>-0.86249647625006509</v>
      </c>
      <c r="L840" s="2">
        <f t="shared" si="119"/>
        <v>-2.9434164716336326</v>
      </c>
      <c r="M840" s="2" t="e">
        <f t="shared" si="120"/>
        <v>#NUM!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 t="e">
        <f t="shared" si="121"/>
        <v>#NUM!</v>
      </c>
      <c r="X840" s="2" t="e">
        <f t="shared" si="122"/>
        <v>#NUM!</v>
      </c>
      <c r="Y840" s="2" t="e">
        <f t="shared" si="123"/>
        <v>#NUM!</v>
      </c>
      <c r="Z840" t="e">
        <f t="shared" si="124"/>
        <v>#NUM!</v>
      </c>
      <c r="AA840" t="e">
        <f t="shared" si="125"/>
        <v>#NUM!</v>
      </c>
      <c r="AB840" t="e">
        <f t="shared" si="126"/>
        <v>#NUM!</v>
      </c>
    </row>
    <row r="841" spans="1:28" ht="13.9" x14ac:dyDescent="0.3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f t="shared" si="118"/>
        <v>2.3132458517875616</v>
      </c>
      <c r="L841" s="2">
        <f t="shared" si="119"/>
        <v>-2.9146345659516508E-2</v>
      </c>
      <c r="M841" s="2">
        <f t="shared" si="120"/>
        <v>1.6229303509201767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14.08</v>
      </c>
      <c r="W841" s="2" t="e">
        <f t="shared" si="121"/>
        <v>#NUM!</v>
      </c>
      <c r="X841" s="2" t="e">
        <f t="shared" si="122"/>
        <v>#NUM!</v>
      </c>
      <c r="Y841" s="2">
        <f t="shared" si="123"/>
        <v>3.8155754288625725</v>
      </c>
      <c r="Z841" t="e">
        <f t="shared" si="124"/>
        <v>#NUM!</v>
      </c>
      <c r="AA841" t="e">
        <f t="shared" si="125"/>
        <v>#NUM!</v>
      </c>
      <c r="AB841">
        <f t="shared" si="126"/>
        <v>1.2332995599907237</v>
      </c>
    </row>
    <row r="842" spans="1:28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 t="e">
        <f t="shared" si="118"/>
        <v>#NUM!</v>
      </c>
      <c r="L842" s="2" t="e">
        <f t="shared" si="119"/>
        <v>#NUM!</v>
      </c>
      <c r="M842" s="2" t="e">
        <f t="shared" si="120"/>
        <v>#NUM!</v>
      </c>
      <c r="N842" s="2">
        <v>0</v>
      </c>
      <c r="O842" s="2">
        <v>0</v>
      </c>
      <c r="P842" s="2">
        <v>0.26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f t="shared" si="121"/>
        <v>-1.9434164716336324</v>
      </c>
      <c r="X842" s="2" t="e">
        <f t="shared" si="122"/>
        <v>#NUM!</v>
      </c>
      <c r="Y842" s="2" t="e">
        <f t="shared" si="123"/>
        <v>#NUM!</v>
      </c>
      <c r="Z842" t="e">
        <f t="shared" si="124"/>
        <v>#NUM!</v>
      </c>
      <c r="AA842" t="e">
        <f t="shared" si="125"/>
        <v>#NUM!</v>
      </c>
      <c r="AB842" t="e">
        <f t="shared" si="126"/>
        <v>#NUM!</v>
      </c>
    </row>
    <row r="843" spans="1:28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 t="e">
        <f t="shared" si="118"/>
        <v>#NUM!</v>
      </c>
      <c r="L843" s="2" t="e">
        <f t="shared" si="119"/>
        <v>#NUM!</v>
      </c>
      <c r="M843" s="2">
        <f t="shared" si="120"/>
        <v>1.1440463696167069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 t="e">
        <f t="shared" si="121"/>
        <v>#NUM!</v>
      </c>
      <c r="X843" s="2" t="e">
        <f t="shared" si="122"/>
        <v>#NUM!</v>
      </c>
      <c r="Y843" s="2" t="e">
        <f t="shared" si="123"/>
        <v>#NUM!</v>
      </c>
      <c r="Z843" t="e">
        <f t="shared" si="124"/>
        <v>#NUM!</v>
      </c>
      <c r="AA843" t="e">
        <f t="shared" si="125"/>
        <v>#NUM!</v>
      </c>
      <c r="AB843" t="e">
        <f t="shared" si="126"/>
        <v>#NUM!</v>
      </c>
    </row>
    <row r="844" spans="1:28" ht="13.9" x14ac:dyDescent="0.3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f t="shared" si="118"/>
        <v>-1.1844245711374275</v>
      </c>
      <c r="L844" s="2" t="e">
        <f t="shared" si="119"/>
        <v>#NUM!</v>
      </c>
      <c r="M844" s="2">
        <f t="shared" si="120"/>
        <v>-2.2515387669959646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 t="e">
        <f t="shared" si="121"/>
        <v>#NUM!</v>
      </c>
      <c r="X844" s="2" t="e">
        <f t="shared" si="122"/>
        <v>#NUM!</v>
      </c>
      <c r="Y844" s="2" t="e">
        <f t="shared" si="123"/>
        <v>#NUM!</v>
      </c>
      <c r="Z844" t="e">
        <f t="shared" si="124"/>
        <v>#NUM!</v>
      </c>
      <c r="AA844" t="e">
        <f t="shared" si="125"/>
        <v>#NUM!</v>
      </c>
      <c r="AB844" t="e">
        <f t="shared" si="126"/>
        <v>#NUM!</v>
      </c>
    </row>
    <row r="845" spans="1:28" ht="13.9" x14ac:dyDescent="0.3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f t="shared" si="118"/>
        <v>-2.9434164716336326</v>
      </c>
      <c r="L845" s="2" t="e">
        <f t="shared" si="119"/>
        <v>#NUM!</v>
      </c>
      <c r="M845" s="2" t="e">
        <f t="shared" si="120"/>
        <v>#NUM!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 t="e">
        <f t="shared" si="121"/>
        <v>#NUM!</v>
      </c>
      <c r="X845" s="2" t="e">
        <f t="shared" si="122"/>
        <v>#NUM!</v>
      </c>
      <c r="Y845" s="2" t="e">
        <f t="shared" si="123"/>
        <v>#NUM!</v>
      </c>
      <c r="Z845" t="e">
        <f t="shared" si="124"/>
        <v>#NUM!</v>
      </c>
      <c r="AA845" t="e">
        <f t="shared" si="125"/>
        <v>#NUM!</v>
      </c>
      <c r="AB845" t="e">
        <f t="shared" si="126"/>
        <v>#NUM!</v>
      </c>
    </row>
    <row r="846" spans="1:28" ht="13.9" x14ac:dyDescent="0.3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f t="shared" si="118"/>
        <v>-2.1844245711374275</v>
      </c>
      <c r="L846" s="2">
        <f t="shared" si="119"/>
        <v>-1.3584539709124763</v>
      </c>
      <c r="M846" s="2" t="e">
        <f t="shared" si="120"/>
        <v>#NUM!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 t="e">
        <f t="shared" si="121"/>
        <v>#NUM!</v>
      </c>
      <c r="X846" s="2" t="e">
        <f t="shared" si="122"/>
        <v>#NUM!</v>
      </c>
      <c r="Y846" s="2" t="e">
        <f t="shared" si="123"/>
        <v>#NUM!</v>
      </c>
      <c r="Z846" t="e">
        <f t="shared" si="124"/>
        <v>#NUM!</v>
      </c>
      <c r="AA846" t="e">
        <f t="shared" si="125"/>
        <v>#NUM!</v>
      </c>
      <c r="AB846" t="e">
        <f t="shared" si="126"/>
        <v>#NUM!</v>
      </c>
    </row>
    <row r="847" spans="1:28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 t="e">
        <f t="shared" si="118"/>
        <v>#NUM!</v>
      </c>
      <c r="L847" s="2">
        <f t="shared" si="119"/>
        <v>-1.3959286763311392</v>
      </c>
      <c r="M847" s="2" t="e">
        <f t="shared" si="120"/>
        <v>#NUM!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 t="e">
        <f t="shared" si="121"/>
        <v>#NUM!</v>
      </c>
      <c r="X847" s="2" t="e">
        <f t="shared" si="122"/>
        <v>#NUM!</v>
      </c>
      <c r="Y847" s="2" t="e">
        <f t="shared" si="123"/>
        <v>#NUM!</v>
      </c>
      <c r="Z847" t="e">
        <f t="shared" si="124"/>
        <v>#NUM!</v>
      </c>
      <c r="AA847" t="e">
        <f t="shared" si="125"/>
        <v>#NUM!</v>
      </c>
      <c r="AB847" t="e">
        <f t="shared" si="126"/>
        <v>#NUM!</v>
      </c>
    </row>
    <row r="848" spans="1:28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 t="e">
        <f t="shared" si="118"/>
        <v>#NUM!</v>
      </c>
      <c r="L848" s="2" t="e">
        <f t="shared" si="119"/>
        <v>#NUM!</v>
      </c>
      <c r="M848" s="2" t="e">
        <f t="shared" si="120"/>
        <v>#NUM!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6.74</v>
      </c>
      <c r="T848" s="2">
        <v>0</v>
      </c>
      <c r="U848" s="2">
        <v>0</v>
      </c>
      <c r="V848" s="2">
        <v>0</v>
      </c>
      <c r="W848" s="2" t="e">
        <f t="shared" si="121"/>
        <v>#NUM!</v>
      </c>
      <c r="X848" s="2">
        <f t="shared" si="122"/>
        <v>2.7527485914071339</v>
      </c>
      <c r="Y848" s="2" t="e">
        <f t="shared" si="123"/>
        <v>#NUM!</v>
      </c>
      <c r="Z848" t="e">
        <f t="shared" si="124"/>
        <v>#NUM!</v>
      </c>
      <c r="AA848" t="e">
        <f t="shared" si="125"/>
        <v>#NUM!</v>
      </c>
      <c r="AB848" t="e">
        <f t="shared" si="126"/>
        <v>#NUM!</v>
      </c>
    </row>
    <row r="849" spans="1:28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 t="e">
        <f t="shared" si="118"/>
        <v>#NUM!</v>
      </c>
      <c r="L849" s="2">
        <f t="shared" si="119"/>
        <v>-1.3584539709124763</v>
      </c>
      <c r="M849" s="2" t="e">
        <f t="shared" si="120"/>
        <v>#NUM!</v>
      </c>
      <c r="N849" s="2">
        <v>0</v>
      </c>
      <c r="O849" s="2">
        <v>0</v>
      </c>
      <c r="P849" s="2">
        <v>0</v>
      </c>
      <c r="Q849" s="2">
        <v>0</v>
      </c>
      <c r="R849" s="2">
        <v>7.07</v>
      </c>
      <c r="S849" s="2">
        <v>0</v>
      </c>
      <c r="T849" s="2">
        <v>0</v>
      </c>
      <c r="U849" s="2">
        <v>0</v>
      </c>
      <c r="V849" s="2">
        <v>0</v>
      </c>
      <c r="W849" s="2" t="e">
        <f t="shared" si="121"/>
        <v>#NUM!</v>
      </c>
      <c r="X849" s="2">
        <f t="shared" si="122"/>
        <v>2.821710215034674</v>
      </c>
      <c r="Y849" s="2" t="e">
        <f t="shared" si="123"/>
        <v>#NUM!</v>
      </c>
      <c r="Z849" t="e">
        <f t="shared" si="124"/>
        <v>#NUM!</v>
      </c>
      <c r="AA849" t="e">
        <f t="shared" si="125"/>
        <v>#NUM!</v>
      </c>
      <c r="AB849" t="e">
        <f t="shared" si="126"/>
        <v>#NUM!</v>
      </c>
    </row>
    <row r="850" spans="1:28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 t="e">
        <f t="shared" si="118"/>
        <v>#NUM!</v>
      </c>
      <c r="L850" s="2" t="e">
        <f t="shared" si="119"/>
        <v>#NUM!</v>
      </c>
      <c r="M850" s="2">
        <f t="shared" si="120"/>
        <v>-1.6896598793878495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 t="e">
        <f t="shared" si="121"/>
        <v>#NUM!</v>
      </c>
      <c r="X850" s="2" t="e">
        <f t="shared" si="122"/>
        <v>#NUM!</v>
      </c>
      <c r="Y850" s="2" t="e">
        <f t="shared" si="123"/>
        <v>#NUM!</v>
      </c>
      <c r="Z850" t="e">
        <f t="shared" si="124"/>
        <v>#NUM!</v>
      </c>
      <c r="AA850" t="e">
        <f t="shared" si="125"/>
        <v>#NUM!</v>
      </c>
      <c r="AB850" t="e">
        <f t="shared" si="126"/>
        <v>#NUM!</v>
      </c>
    </row>
    <row r="851" spans="1:28" ht="13.9" x14ac:dyDescent="0.3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f t="shared" si="118"/>
        <v>5.0780974230266613</v>
      </c>
      <c r="L851" s="2">
        <f t="shared" si="119"/>
        <v>5.3380677975426156</v>
      </c>
      <c r="M851" s="2">
        <f t="shared" si="120"/>
        <v>3.8104431038451749</v>
      </c>
      <c r="N851" s="2">
        <v>0</v>
      </c>
      <c r="O851" s="2">
        <v>0.28999999999999998</v>
      </c>
      <c r="P851" s="2">
        <v>0</v>
      </c>
      <c r="Q851" s="2">
        <v>15.49</v>
      </c>
      <c r="R851" s="2">
        <v>8.2899999999999991</v>
      </c>
      <c r="S851" s="2">
        <v>10.01</v>
      </c>
      <c r="T851" s="2">
        <v>0</v>
      </c>
      <c r="U851" s="2">
        <v>0</v>
      </c>
      <c r="V851" s="2">
        <v>28.15</v>
      </c>
      <c r="W851" s="2">
        <f t="shared" si="121"/>
        <v>-1.7858751946471527</v>
      </c>
      <c r="X851" s="2">
        <f t="shared" si="122"/>
        <v>5.0785244453890765</v>
      </c>
      <c r="Y851" s="2">
        <f t="shared" si="123"/>
        <v>4.815063017192867</v>
      </c>
      <c r="Z851" t="e">
        <f t="shared" si="124"/>
        <v>#NUM!</v>
      </c>
      <c r="AA851">
        <f t="shared" si="125"/>
        <v>-7.1908243059913071E-2</v>
      </c>
      <c r="AB851">
        <f t="shared" si="126"/>
        <v>0.33759590576442267</v>
      </c>
    </row>
    <row r="852" spans="1:28" ht="13.9" x14ac:dyDescent="0.3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f t="shared" si="118"/>
        <v>2.4409521980296369</v>
      </c>
      <c r="L852" s="2">
        <f t="shared" si="119"/>
        <v>2.8816646193203455</v>
      </c>
      <c r="M852" s="2">
        <f t="shared" si="120"/>
        <v>1.899175630480513</v>
      </c>
      <c r="N852" s="2">
        <v>4.8499999999999996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0.21</v>
      </c>
      <c r="V852" s="2">
        <v>0</v>
      </c>
      <c r="W852" s="2">
        <f t="shared" si="121"/>
        <v>2.2779847472997652</v>
      </c>
      <c r="X852" s="2" t="e">
        <f t="shared" si="122"/>
        <v>#NUM!</v>
      </c>
      <c r="Y852" s="2">
        <f t="shared" si="123"/>
        <v>-2.2515387669959646</v>
      </c>
      <c r="Z852">
        <f t="shared" si="124"/>
        <v>-9.968595539724226E-2</v>
      </c>
      <c r="AA852" t="e">
        <f t="shared" si="125"/>
        <v>#NUM!</v>
      </c>
      <c r="AB852" t="e">
        <f t="shared" si="126"/>
        <v>#NUM!</v>
      </c>
    </row>
    <row r="853" spans="1:28" ht="13.9" x14ac:dyDescent="0.3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f t="shared" si="118"/>
        <v>1.304511041809953</v>
      </c>
      <c r="L853" s="2">
        <f t="shared" si="119"/>
        <v>0.3334237337251918</v>
      </c>
      <c r="M853" s="2" t="e">
        <f t="shared" si="120"/>
        <v>#NUM!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 t="e">
        <f t="shared" si="121"/>
        <v>#NUM!</v>
      </c>
      <c r="X853" s="2" t="e">
        <f t="shared" si="122"/>
        <v>#NUM!</v>
      </c>
      <c r="Y853" s="2" t="e">
        <f t="shared" si="123"/>
        <v>#NUM!</v>
      </c>
      <c r="Z853" t="e">
        <f t="shared" si="124"/>
        <v>#NUM!</v>
      </c>
      <c r="AA853" t="e">
        <f t="shared" si="125"/>
        <v>#NUM!</v>
      </c>
      <c r="AB853" t="e">
        <f t="shared" si="126"/>
        <v>#NUM!</v>
      </c>
    </row>
    <row r="854" spans="1:28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 t="e">
        <f t="shared" si="118"/>
        <v>#NUM!</v>
      </c>
      <c r="L854" s="2">
        <f t="shared" si="119"/>
        <v>-1.3219280948873622</v>
      </c>
      <c r="M854" s="2">
        <f t="shared" si="120"/>
        <v>-0.68965987938784945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 t="e">
        <f t="shared" si="121"/>
        <v>#NUM!</v>
      </c>
      <c r="X854" s="2" t="e">
        <f t="shared" si="122"/>
        <v>#NUM!</v>
      </c>
      <c r="Y854" s="2" t="e">
        <f t="shared" si="123"/>
        <v>#NUM!</v>
      </c>
      <c r="Z854" t="e">
        <f t="shared" si="124"/>
        <v>#NUM!</v>
      </c>
      <c r="AA854" t="e">
        <f t="shared" si="125"/>
        <v>#NUM!</v>
      </c>
      <c r="AB854" t="e">
        <f t="shared" si="126"/>
        <v>#NUM!</v>
      </c>
    </row>
    <row r="855" spans="1:28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 t="e">
        <f t="shared" si="118"/>
        <v>#NUM!</v>
      </c>
      <c r="L855" s="2" t="e">
        <f t="shared" si="119"/>
        <v>#NUM!</v>
      </c>
      <c r="M855" s="2">
        <f t="shared" si="120"/>
        <v>-3.3219280948873622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 t="e">
        <f t="shared" si="121"/>
        <v>#NUM!</v>
      </c>
      <c r="X855" s="2" t="e">
        <f t="shared" si="122"/>
        <v>#NUM!</v>
      </c>
      <c r="Y855" s="2" t="e">
        <f t="shared" si="123"/>
        <v>#NUM!</v>
      </c>
      <c r="Z855" t="e">
        <f t="shared" si="124"/>
        <v>#NUM!</v>
      </c>
      <c r="AA855" t="e">
        <f t="shared" si="125"/>
        <v>#NUM!</v>
      </c>
      <c r="AB855" t="e">
        <f t="shared" si="126"/>
        <v>#NUM!</v>
      </c>
    </row>
    <row r="856" spans="1:28" ht="13.9" x14ac:dyDescent="0.3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f t="shared" si="118"/>
        <v>-0.57776699931695219</v>
      </c>
      <c r="L856" s="2">
        <f t="shared" si="119"/>
        <v>0.47508488294878287</v>
      </c>
      <c r="M856" s="2" t="e">
        <f t="shared" si="120"/>
        <v>#NUM!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 t="e">
        <f t="shared" si="121"/>
        <v>#NUM!</v>
      </c>
      <c r="X856" s="2" t="e">
        <f t="shared" si="122"/>
        <v>#NUM!</v>
      </c>
      <c r="Y856" s="2" t="e">
        <f t="shared" si="123"/>
        <v>#NUM!</v>
      </c>
      <c r="Z856" t="e">
        <f t="shared" si="124"/>
        <v>#NUM!</v>
      </c>
      <c r="AA856" t="e">
        <f t="shared" si="125"/>
        <v>#NUM!</v>
      </c>
      <c r="AB856" t="e">
        <f t="shared" si="126"/>
        <v>#NUM!</v>
      </c>
    </row>
    <row r="857" spans="1:28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 t="e">
        <f t="shared" si="118"/>
        <v>#NUM!</v>
      </c>
      <c r="L857" s="2">
        <f t="shared" si="119"/>
        <v>-1.8889686876112561</v>
      </c>
      <c r="M857" s="2" t="e">
        <f t="shared" si="120"/>
        <v>#NUM!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 t="e">
        <f t="shared" si="121"/>
        <v>#NUM!</v>
      </c>
      <c r="X857" s="2" t="e">
        <f t="shared" si="122"/>
        <v>#NUM!</v>
      </c>
      <c r="Y857" s="2" t="e">
        <f t="shared" si="123"/>
        <v>#NUM!</v>
      </c>
      <c r="Z857" t="e">
        <f t="shared" si="124"/>
        <v>#NUM!</v>
      </c>
      <c r="AA857" t="e">
        <f t="shared" si="125"/>
        <v>#NUM!</v>
      </c>
      <c r="AB857" t="e">
        <f t="shared" si="126"/>
        <v>#NUM!</v>
      </c>
    </row>
    <row r="858" spans="1:28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 t="e">
        <f t="shared" si="118"/>
        <v>#NUM!</v>
      </c>
      <c r="L858" s="2" t="e">
        <f t="shared" si="119"/>
        <v>#NUM!</v>
      </c>
      <c r="M858" s="2">
        <f t="shared" si="120"/>
        <v>-1.6896598793878495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 t="e">
        <f t="shared" si="121"/>
        <v>#NUM!</v>
      </c>
      <c r="X858" s="2" t="e">
        <f t="shared" si="122"/>
        <v>#NUM!</v>
      </c>
      <c r="Y858" s="2" t="e">
        <f t="shared" si="123"/>
        <v>#NUM!</v>
      </c>
      <c r="Z858" t="e">
        <f t="shared" si="124"/>
        <v>#NUM!</v>
      </c>
      <c r="AA858" t="e">
        <f t="shared" si="125"/>
        <v>#NUM!</v>
      </c>
      <c r="AB858" t="e">
        <f t="shared" si="126"/>
        <v>#NUM!</v>
      </c>
    </row>
    <row r="859" spans="1:28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 t="e">
        <f t="shared" si="118"/>
        <v>#NUM!</v>
      </c>
      <c r="L859" s="2">
        <f t="shared" si="119"/>
        <v>-7.4000581443776928E-2</v>
      </c>
      <c r="M859" s="2" t="e">
        <f t="shared" si="120"/>
        <v>#NUM!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 t="e">
        <f t="shared" si="121"/>
        <v>#NUM!</v>
      </c>
      <c r="X859" s="2" t="e">
        <f t="shared" si="122"/>
        <v>#NUM!</v>
      </c>
      <c r="Y859" s="2" t="e">
        <f t="shared" si="123"/>
        <v>#NUM!</v>
      </c>
      <c r="Z859" t="e">
        <f t="shared" si="124"/>
        <v>#NUM!</v>
      </c>
      <c r="AA859" t="e">
        <f t="shared" si="125"/>
        <v>#NUM!</v>
      </c>
      <c r="AB859" t="e">
        <f t="shared" si="126"/>
        <v>#NUM!</v>
      </c>
    </row>
    <row r="860" spans="1:28" ht="13.9" x14ac:dyDescent="0.3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f t="shared" si="118"/>
        <v>4.532940288372874</v>
      </c>
      <c r="L860" s="2">
        <f t="shared" si="119"/>
        <v>3.9345165015860801</v>
      </c>
      <c r="M860" s="2">
        <f t="shared" si="120"/>
        <v>3.5147534984397537</v>
      </c>
      <c r="N860" s="2">
        <v>0</v>
      </c>
      <c r="O860" s="2">
        <v>0</v>
      </c>
      <c r="P860" s="2">
        <v>0</v>
      </c>
      <c r="Q860" s="2">
        <v>0</v>
      </c>
      <c r="R860" s="2">
        <v>12.44</v>
      </c>
      <c r="S860" s="2">
        <v>0</v>
      </c>
      <c r="T860" s="2">
        <v>6.29</v>
      </c>
      <c r="U860" s="2">
        <v>0</v>
      </c>
      <c r="V860" s="2">
        <v>0</v>
      </c>
      <c r="W860" s="2" t="e">
        <f t="shared" si="121"/>
        <v>#NUM!</v>
      </c>
      <c r="X860" s="2">
        <f t="shared" si="122"/>
        <v>3.636914580355878</v>
      </c>
      <c r="Y860" s="2">
        <f t="shared" si="123"/>
        <v>2.6530600171045644</v>
      </c>
      <c r="Z860" t="e">
        <f t="shared" si="124"/>
        <v>#NUM!</v>
      </c>
      <c r="AA860">
        <f t="shared" si="125"/>
        <v>-0.11347131724325236</v>
      </c>
      <c r="AB860">
        <f t="shared" si="126"/>
        <v>-0.40576619940395314</v>
      </c>
    </row>
    <row r="861" spans="1:28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 t="e">
        <f t="shared" si="118"/>
        <v>#NUM!</v>
      </c>
      <c r="L861" s="2">
        <f t="shared" si="119"/>
        <v>-1.2515387669959643</v>
      </c>
      <c r="M861" s="2" t="e">
        <f t="shared" si="120"/>
        <v>#NUM!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 t="e">
        <f t="shared" si="121"/>
        <v>#NUM!</v>
      </c>
      <c r="X861" s="2" t="e">
        <f t="shared" si="122"/>
        <v>#NUM!</v>
      </c>
      <c r="Y861" s="2" t="e">
        <f t="shared" si="123"/>
        <v>#NUM!</v>
      </c>
      <c r="Z861" t="e">
        <f t="shared" si="124"/>
        <v>#NUM!</v>
      </c>
      <c r="AA861" t="e">
        <f t="shared" si="125"/>
        <v>#NUM!</v>
      </c>
      <c r="AB861" t="e">
        <f t="shared" si="126"/>
        <v>#NUM!</v>
      </c>
    </row>
    <row r="862" spans="1:28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 t="e">
        <f t="shared" si="118"/>
        <v>#NUM!</v>
      </c>
      <c r="L862" s="2">
        <f t="shared" si="119"/>
        <v>-3.1844245711374275</v>
      </c>
      <c r="M862" s="2" t="e">
        <f t="shared" si="120"/>
        <v>#NUM!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 t="e">
        <f t="shared" si="121"/>
        <v>#NUM!</v>
      </c>
      <c r="X862" s="2" t="e">
        <f t="shared" si="122"/>
        <v>#NUM!</v>
      </c>
      <c r="Y862" s="2" t="e">
        <f t="shared" si="123"/>
        <v>#NUM!</v>
      </c>
      <c r="Z862" t="e">
        <f t="shared" si="124"/>
        <v>#NUM!</v>
      </c>
      <c r="AA862" t="e">
        <f t="shared" si="125"/>
        <v>#NUM!</v>
      </c>
      <c r="AB862" t="e">
        <f t="shared" si="126"/>
        <v>#NUM!</v>
      </c>
    </row>
    <row r="863" spans="1:28" ht="13.9" x14ac:dyDescent="0.3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f t="shared" si="118"/>
        <v>-2.1844245711374275</v>
      </c>
      <c r="L863" s="2" t="e">
        <f t="shared" si="119"/>
        <v>#NUM!</v>
      </c>
      <c r="M863" s="2" t="e">
        <f t="shared" si="120"/>
        <v>#NUM!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 t="e">
        <f t="shared" si="121"/>
        <v>#NUM!</v>
      </c>
      <c r="X863" s="2" t="e">
        <f t="shared" si="122"/>
        <v>#NUM!</v>
      </c>
      <c r="Y863" s="2" t="e">
        <f t="shared" si="123"/>
        <v>#NUM!</v>
      </c>
      <c r="Z863" t="e">
        <f t="shared" si="124"/>
        <v>#NUM!</v>
      </c>
      <c r="AA863" t="e">
        <f t="shared" si="125"/>
        <v>#NUM!</v>
      </c>
      <c r="AB863" t="e">
        <f t="shared" si="126"/>
        <v>#NUM!</v>
      </c>
    </row>
    <row r="864" spans="1:28" ht="13.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 t="e">
        <f t="shared" si="118"/>
        <v>#NUM!</v>
      </c>
      <c r="L864" s="2">
        <f t="shared" si="119"/>
        <v>-0.76121314041288357</v>
      </c>
      <c r="M864" s="2" t="e">
        <f t="shared" si="120"/>
        <v>#NUM!</v>
      </c>
      <c r="N864" s="2">
        <v>5.1100000000000003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0.18</v>
      </c>
      <c r="U864" s="2">
        <v>0</v>
      </c>
      <c r="V864" s="2">
        <v>0</v>
      </c>
      <c r="W864" s="2">
        <f t="shared" si="121"/>
        <v>2.3533232911628965</v>
      </c>
      <c r="X864" s="2" t="e">
        <f t="shared" si="122"/>
        <v>#NUM!</v>
      </c>
      <c r="Y864" s="2">
        <f t="shared" si="123"/>
        <v>-2.4739311883324122</v>
      </c>
      <c r="Z864" t="e">
        <f t="shared" si="124"/>
        <v>#NUM!</v>
      </c>
      <c r="AA864" t="e">
        <f t="shared" si="125"/>
        <v>#NUM!</v>
      </c>
      <c r="AB864" t="e">
        <f t="shared" si="126"/>
        <v>#NUM!</v>
      </c>
    </row>
    <row r="865" spans="1:28" ht="13.9" x14ac:dyDescent="0.3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f t="shared" si="118"/>
        <v>-1.3959286763311392</v>
      </c>
      <c r="L865" s="2">
        <f t="shared" si="119"/>
        <v>-1.7369655941662063</v>
      </c>
      <c r="M865" s="2">
        <f t="shared" si="120"/>
        <v>-0.30400618689009989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 t="e">
        <f t="shared" si="121"/>
        <v>#NUM!</v>
      </c>
      <c r="X865" s="2" t="e">
        <f t="shared" si="122"/>
        <v>#NUM!</v>
      </c>
      <c r="Y865" s="2" t="e">
        <f t="shared" si="123"/>
        <v>#NUM!</v>
      </c>
      <c r="Z865" t="e">
        <f t="shared" si="124"/>
        <v>#NUM!</v>
      </c>
      <c r="AA865" t="e">
        <f t="shared" si="125"/>
        <v>#NUM!</v>
      </c>
      <c r="AB865" t="e">
        <f t="shared" si="126"/>
        <v>#NUM!</v>
      </c>
    </row>
    <row r="866" spans="1:28" ht="13.9" x14ac:dyDescent="0.3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f t="shared" si="118"/>
        <v>0.64154602908752378</v>
      </c>
      <c r="L866" s="2">
        <f t="shared" si="119"/>
        <v>1.8318772411916731</v>
      </c>
      <c r="M866" s="2">
        <f t="shared" si="120"/>
        <v>1.790772037862</v>
      </c>
      <c r="N866" s="2">
        <v>2.36</v>
      </c>
      <c r="O866" s="2">
        <v>0</v>
      </c>
      <c r="P866" s="2">
        <v>0</v>
      </c>
      <c r="Q866" s="2">
        <v>0</v>
      </c>
      <c r="R866" s="2">
        <v>0</v>
      </c>
      <c r="S866" s="2">
        <v>2.91</v>
      </c>
      <c r="T866" s="2">
        <v>0</v>
      </c>
      <c r="U866" s="2">
        <v>0</v>
      </c>
      <c r="V866" s="2">
        <v>0</v>
      </c>
      <c r="W866" s="2">
        <f t="shared" si="121"/>
        <v>1.2387868595871165</v>
      </c>
      <c r="X866" s="2">
        <f t="shared" si="122"/>
        <v>1.5410191531335593</v>
      </c>
      <c r="Y866" s="2" t="e">
        <f t="shared" si="123"/>
        <v>#NUM!</v>
      </c>
      <c r="Z866">
        <f t="shared" si="124"/>
        <v>0.94930330146823749</v>
      </c>
      <c r="AA866">
        <f t="shared" si="125"/>
        <v>-0.2494380349269</v>
      </c>
      <c r="AB866" t="e">
        <f t="shared" si="126"/>
        <v>#NUM!</v>
      </c>
    </row>
    <row r="867" spans="1:28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 t="e">
        <f t="shared" si="118"/>
        <v>#NUM!</v>
      </c>
      <c r="L867" s="2">
        <f t="shared" si="119"/>
        <v>-0.32192809488736229</v>
      </c>
      <c r="M867" s="2" t="e">
        <f t="shared" si="120"/>
        <v>#NUM!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 t="e">
        <f t="shared" si="121"/>
        <v>#NUM!</v>
      </c>
      <c r="X867" s="2" t="e">
        <f t="shared" si="122"/>
        <v>#NUM!</v>
      </c>
      <c r="Y867" s="2" t="e">
        <f t="shared" si="123"/>
        <v>#NUM!</v>
      </c>
      <c r="Z867" t="e">
        <f t="shared" si="124"/>
        <v>#NUM!</v>
      </c>
      <c r="AA867" t="e">
        <f t="shared" si="125"/>
        <v>#NUM!</v>
      </c>
      <c r="AB867" t="e">
        <f t="shared" si="126"/>
        <v>#NUM!</v>
      </c>
    </row>
    <row r="868" spans="1:28" ht="13.9" x14ac:dyDescent="0.3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f t="shared" si="118"/>
        <v>-1.1844245711374275</v>
      </c>
      <c r="L868" s="2" t="e">
        <f t="shared" si="119"/>
        <v>#NUM!</v>
      </c>
      <c r="M868" s="2" t="e">
        <f t="shared" si="120"/>
        <v>#NUM!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 t="e">
        <f t="shared" si="121"/>
        <v>#NUM!</v>
      </c>
      <c r="X868" s="2" t="e">
        <f t="shared" si="122"/>
        <v>#NUM!</v>
      </c>
      <c r="Y868" s="2" t="e">
        <f t="shared" si="123"/>
        <v>#NUM!</v>
      </c>
      <c r="Z868" t="e">
        <f t="shared" si="124"/>
        <v>#NUM!</v>
      </c>
      <c r="AA868" t="e">
        <f t="shared" si="125"/>
        <v>#NUM!</v>
      </c>
      <c r="AB868" t="e">
        <f t="shared" si="126"/>
        <v>#NUM!</v>
      </c>
    </row>
    <row r="869" spans="1:28" ht="13.9" x14ac:dyDescent="0.3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f t="shared" si="118"/>
        <v>8.5956304636230083</v>
      </c>
      <c r="L869" s="2">
        <f t="shared" si="119"/>
        <v>8.6888797114732235</v>
      </c>
      <c r="M869" s="2">
        <f t="shared" si="120"/>
        <v>8.5280242662228218</v>
      </c>
      <c r="N869" s="2">
        <v>136.34</v>
      </c>
      <c r="O869" s="2">
        <v>205.61</v>
      </c>
      <c r="P869" s="2">
        <v>55.5</v>
      </c>
      <c r="Q869" s="2">
        <v>110.09</v>
      </c>
      <c r="R869" s="2">
        <v>204.44</v>
      </c>
      <c r="S869" s="2">
        <v>129.63</v>
      </c>
      <c r="T869" s="2">
        <v>72.58</v>
      </c>
      <c r="U869" s="2">
        <v>108.83</v>
      </c>
      <c r="V869" s="2">
        <v>213.16</v>
      </c>
      <c r="W869" s="2">
        <f t="shared" si="121"/>
        <v>8.6346295676831595</v>
      </c>
      <c r="X869" s="2">
        <f t="shared" si="122"/>
        <v>8.7949356628035371</v>
      </c>
      <c r="Y869" s="2">
        <f t="shared" si="123"/>
        <v>8.6241374588200976</v>
      </c>
      <c r="Z869">
        <f t="shared" si="124"/>
        <v>6.5308254204957776E-3</v>
      </c>
      <c r="AA869">
        <f t="shared" si="125"/>
        <v>1.7502846886527954E-2</v>
      </c>
      <c r="AB869">
        <f t="shared" si="126"/>
        <v>1.616862992536101E-2</v>
      </c>
    </row>
    <row r="870" spans="1:28" ht="13.9" x14ac:dyDescent="0.3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f t="shared" si="118"/>
        <v>-0.66657626627480826</v>
      </c>
      <c r="L870" s="2">
        <f t="shared" si="119"/>
        <v>1.4646682670034445</v>
      </c>
      <c r="M870" s="2">
        <f t="shared" si="120"/>
        <v>0.61353165291792711</v>
      </c>
      <c r="N870" s="2">
        <v>3.93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7.54</v>
      </c>
      <c r="W870" s="2">
        <f t="shared" si="121"/>
        <v>1.9745293124838819</v>
      </c>
      <c r="X870" s="2" t="e">
        <f t="shared" si="122"/>
        <v>#NUM!</v>
      </c>
      <c r="Y870" s="2">
        <f t="shared" si="123"/>
        <v>2.9145645234939401</v>
      </c>
      <c r="Z870" t="e">
        <f t="shared" si="124"/>
        <v>#NUM!</v>
      </c>
      <c r="AA870" t="e">
        <f t="shared" si="125"/>
        <v>#NUM!</v>
      </c>
      <c r="AB870">
        <f t="shared" si="126"/>
        <v>2.2480706593225861</v>
      </c>
    </row>
    <row r="871" spans="1:28" ht="13.9" x14ac:dyDescent="0.3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f t="shared" si="118"/>
        <v>13.378270467547662</v>
      </c>
      <c r="L871" s="2">
        <f t="shared" si="119"/>
        <v>13.449860529494458</v>
      </c>
      <c r="M871" s="2">
        <f t="shared" si="120"/>
        <v>13.519023124597524</v>
      </c>
      <c r="N871" s="2">
        <v>972.87</v>
      </c>
      <c r="O871" s="2">
        <v>883.16</v>
      </c>
      <c r="P871" s="2">
        <v>555.48</v>
      </c>
      <c r="Q871" s="2">
        <v>1019.17</v>
      </c>
      <c r="R871" s="2">
        <v>1207.3699999999999</v>
      </c>
      <c r="S871" s="2">
        <v>1104.5899999999999</v>
      </c>
      <c r="T871" s="2">
        <v>1335.37</v>
      </c>
      <c r="U871" s="2">
        <v>1104.79</v>
      </c>
      <c r="V871" s="2">
        <v>915.49</v>
      </c>
      <c r="W871" s="2">
        <f t="shared" si="121"/>
        <v>11.235721077312382</v>
      </c>
      <c r="X871" s="2">
        <f t="shared" si="122"/>
        <v>11.70179594209543</v>
      </c>
      <c r="Y871" s="2">
        <f t="shared" si="123"/>
        <v>11.712376532741189</v>
      </c>
      <c r="Z871">
        <f t="shared" si="124"/>
        <v>-0.25179890189392834</v>
      </c>
      <c r="AA871">
        <f t="shared" si="125"/>
        <v>-0.20086124707166364</v>
      </c>
      <c r="AB871">
        <f t="shared" si="126"/>
        <v>-0.20695706758349347</v>
      </c>
    </row>
    <row r="872" spans="1:28" ht="13.9" x14ac:dyDescent="0.3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f t="shared" si="118"/>
        <v>0.59454854955035408</v>
      </c>
      <c r="L872" s="2">
        <f t="shared" si="119"/>
        <v>0.74846123300403555</v>
      </c>
      <c r="M872" s="2">
        <f t="shared" si="120"/>
        <v>1.4382928515791469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 t="e">
        <f t="shared" si="121"/>
        <v>#NUM!</v>
      </c>
      <c r="X872" s="2" t="e">
        <f t="shared" si="122"/>
        <v>#NUM!</v>
      </c>
      <c r="Y872" s="2" t="e">
        <f t="shared" si="123"/>
        <v>#NUM!</v>
      </c>
      <c r="Z872" t="e">
        <f t="shared" si="124"/>
        <v>#NUM!</v>
      </c>
      <c r="AA872" t="e">
        <f t="shared" si="125"/>
        <v>#NUM!</v>
      </c>
      <c r="AB872" t="e">
        <f t="shared" si="126"/>
        <v>#NUM!</v>
      </c>
    </row>
    <row r="873" spans="1:28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 t="e">
        <f t="shared" si="118"/>
        <v>#NUM!</v>
      </c>
      <c r="L873" s="2">
        <f t="shared" si="119"/>
        <v>-0.76121314041288357</v>
      </c>
      <c r="M873" s="2" t="e">
        <f t="shared" si="120"/>
        <v>#NUM!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 t="e">
        <f t="shared" si="121"/>
        <v>#NUM!</v>
      </c>
      <c r="X873" s="2" t="e">
        <f t="shared" si="122"/>
        <v>#NUM!</v>
      </c>
      <c r="Y873" s="2" t="e">
        <f t="shared" si="123"/>
        <v>#NUM!</v>
      </c>
      <c r="Z873" t="e">
        <f t="shared" si="124"/>
        <v>#NUM!</v>
      </c>
      <c r="AA873" t="e">
        <f t="shared" si="125"/>
        <v>#NUM!</v>
      </c>
      <c r="AB873" t="e">
        <f t="shared" si="126"/>
        <v>#NUM!</v>
      </c>
    </row>
    <row r="874" spans="1:28" ht="13.9" x14ac:dyDescent="0.3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f t="shared" si="118"/>
        <v>-0.32192809488736229</v>
      </c>
      <c r="L874" s="2">
        <f t="shared" si="119"/>
        <v>0.49569516262406882</v>
      </c>
      <c r="M874" s="2">
        <f t="shared" si="120"/>
        <v>1.2868811477881617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 t="e">
        <f t="shared" si="121"/>
        <v>#NUM!</v>
      </c>
      <c r="X874" s="2" t="e">
        <f t="shared" si="122"/>
        <v>#NUM!</v>
      </c>
      <c r="Y874" s="2" t="e">
        <f t="shared" si="123"/>
        <v>#NUM!</v>
      </c>
      <c r="Z874" t="e">
        <f t="shared" si="124"/>
        <v>#NUM!</v>
      </c>
      <c r="AA874" t="e">
        <f t="shared" si="125"/>
        <v>#NUM!</v>
      </c>
      <c r="AB874" t="e">
        <f t="shared" si="126"/>
        <v>#NUM!</v>
      </c>
    </row>
    <row r="875" spans="1:28" ht="13.9" x14ac:dyDescent="0.3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f t="shared" si="118"/>
        <v>8.9937309635530092</v>
      </c>
      <c r="L875" s="2">
        <f t="shared" si="119"/>
        <v>9.2220945126979856</v>
      </c>
      <c r="M875" s="2">
        <f t="shared" si="120"/>
        <v>8.5671194879516701</v>
      </c>
      <c r="N875" s="2">
        <v>108.02</v>
      </c>
      <c r="O875" s="2">
        <v>219.2</v>
      </c>
      <c r="P875" s="2">
        <v>116.18</v>
      </c>
      <c r="Q875" s="2">
        <v>167.44</v>
      </c>
      <c r="R875" s="2">
        <v>186.14</v>
      </c>
      <c r="S875" s="2">
        <v>265.45</v>
      </c>
      <c r="T875" s="2">
        <v>84.8</v>
      </c>
      <c r="U875" s="2">
        <v>202.58</v>
      </c>
      <c r="V875" s="2">
        <v>256.89999999999998</v>
      </c>
      <c r="W875" s="2">
        <f t="shared" si="121"/>
        <v>8.7924649599799451</v>
      </c>
      <c r="X875" s="2">
        <f t="shared" si="122"/>
        <v>9.2738655181196794</v>
      </c>
      <c r="Y875" s="2">
        <f t="shared" si="123"/>
        <v>9.0882052138389433</v>
      </c>
      <c r="Z875">
        <f t="shared" si="124"/>
        <v>-3.2652047810756923E-2</v>
      </c>
      <c r="AA875">
        <f t="shared" si="125"/>
        <v>8.0763548057183315E-3</v>
      </c>
      <c r="AB875">
        <f t="shared" si="126"/>
        <v>8.5185201319605594E-2</v>
      </c>
    </row>
    <row r="876" spans="1:28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 t="e">
        <f t="shared" si="118"/>
        <v>#NUM!</v>
      </c>
      <c r="L876" s="2">
        <f t="shared" si="119"/>
        <v>-0.43440282414577491</v>
      </c>
      <c r="M876" s="2" t="e">
        <f t="shared" si="120"/>
        <v>#NUM!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 t="e">
        <f t="shared" si="121"/>
        <v>#NUM!</v>
      </c>
      <c r="X876" s="2" t="e">
        <f t="shared" si="122"/>
        <v>#NUM!</v>
      </c>
      <c r="Y876" s="2" t="e">
        <f t="shared" si="123"/>
        <v>#NUM!</v>
      </c>
      <c r="Z876" t="e">
        <f t="shared" si="124"/>
        <v>#NUM!</v>
      </c>
      <c r="AA876" t="e">
        <f t="shared" si="125"/>
        <v>#NUM!</v>
      </c>
      <c r="AB876" t="e">
        <f t="shared" si="126"/>
        <v>#NUM!</v>
      </c>
    </row>
    <row r="877" spans="1:28" ht="13.9" x14ac:dyDescent="0.3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f t="shared" si="118"/>
        <v>1.5008020530571577</v>
      </c>
      <c r="L877" s="2">
        <f t="shared" si="119"/>
        <v>0.90303827011291216</v>
      </c>
      <c r="M877" s="2">
        <f t="shared" si="120"/>
        <v>1.925999418556223</v>
      </c>
      <c r="N877" s="2">
        <v>3.8</v>
      </c>
      <c r="O877" s="2">
        <v>0</v>
      </c>
      <c r="P877" s="2">
        <v>5.19</v>
      </c>
      <c r="Q877" s="2">
        <v>0</v>
      </c>
      <c r="R877" s="2">
        <v>0.24</v>
      </c>
      <c r="S877" s="2">
        <v>0</v>
      </c>
      <c r="T877" s="2">
        <v>0</v>
      </c>
      <c r="U877" s="2">
        <v>0</v>
      </c>
      <c r="V877" s="2">
        <v>6.54</v>
      </c>
      <c r="W877" s="2">
        <f t="shared" si="121"/>
        <v>3.1683211157397229</v>
      </c>
      <c r="X877" s="2">
        <f t="shared" si="122"/>
        <v>-2.0588936890535687</v>
      </c>
      <c r="Y877" s="2">
        <f t="shared" si="123"/>
        <v>2.7092906357233577</v>
      </c>
      <c r="Z877">
        <f t="shared" si="124"/>
        <v>1.0779848563464742</v>
      </c>
      <c r="AA877" t="e">
        <f t="shared" si="125"/>
        <v>#NUM!</v>
      </c>
      <c r="AB877">
        <f t="shared" si="126"/>
        <v>0.49230789748242026</v>
      </c>
    </row>
    <row r="878" spans="1:28" ht="13.9" x14ac:dyDescent="0.3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f t="shared" si="118"/>
        <v>1.9068905956085187</v>
      </c>
      <c r="L878" s="2">
        <f t="shared" si="119"/>
        <v>1.3617683594191534</v>
      </c>
      <c r="M878" s="2">
        <f t="shared" si="120"/>
        <v>1.7224660244710912</v>
      </c>
      <c r="N878" s="2">
        <v>0</v>
      </c>
      <c r="O878" s="2">
        <v>0</v>
      </c>
      <c r="P878" s="2">
        <v>0</v>
      </c>
      <c r="Q878" s="2">
        <v>0</v>
      </c>
      <c r="R878" s="2">
        <v>2.44</v>
      </c>
      <c r="S878" s="2">
        <v>2.37</v>
      </c>
      <c r="T878" s="2">
        <v>3.41</v>
      </c>
      <c r="U878" s="2">
        <v>1.46</v>
      </c>
      <c r="V878" s="2">
        <v>0.5</v>
      </c>
      <c r="W878" s="2" t="e">
        <f t="shared" si="121"/>
        <v>#NUM!</v>
      </c>
      <c r="X878" s="2">
        <f t="shared" si="122"/>
        <v>2.2660368939953175</v>
      </c>
      <c r="Y878" s="2">
        <f t="shared" si="123"/>
        <v>2.4249220882106881</v>
      </c>
      <c r="Z878" t="e">
        <f t="shared" si="124"/>
        <v>#NUM!</v>
      </c>
      <c r="AA878">
        <f t="shared" si="125"/>
        <v>0.734690032494972</v>
      </c>
      <c r="AB878">
        <f t="shared" si="126"/>
        <v>0.49346286867679134</v>
      </c>
    </row>
    <row r="879" spans="1:28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 t="e">
        <f t="shared" si="118"/>
        <v>#NUM!</v>
      </c>
      <c r="L879" s="2" t="e">
        <f t="shared" si="119"/>
        <v>#NUM!</v>
      </c>
      <c r="M879" s="2">
        <f t="shared" si="120"/>
        <v>6.9461459916679988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 t="e">
        <f t="shared" si="121"/>
        <v>#NUM!</v>
      </c>
      <c r="X879" s="2" t="e">
        <f t="shared" si="122"/>
        <v>#NUM!</v>
      </c>
      <c r="Y879" s="2" t="e">
        <f t="shared" si="123"/>
        <v>#NUM!</v>
      </c>
      <c r="Z879" t="e">
        <f t="shared" si="124"/>
        <v>#NUM!</v>
      </c>
      <c r="AA879" t="e">
        <f t="shared" si="125"/>
        <v>#NUM!</v>
      </c>
      <c r="AB879" t="e">
        <f t="shared" si="126"/>
        <v>#NUM!</v>
      </c>
    </row>
    <row r="880" spans="1:28" ht="13.9" x14ac:dyDescent="0.3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f t="shared" si="118"/>
        <v>-2</v>
      </c>
      <c r="L880" s="2">
        <f t="shared" si="119"/>
        <v>-1.3219280948873622</v>
      </c>
      <c r="M880" s="2">
        <f t="shared" si="120"/>
        <v>-7.4000581443776928E-2</v>
      </c>
      <c r="N880" s="2">
        <v>0</v>
      </c>
      <c r="O880" s="2">
        <v>0</v>
      </c>
      <c r="P880" s="2">
        <v>0</v>
      </c>
      <c r="Q880" s="2">
        <v>0</v>
      </c>
      <c r="R880" s="2">
        <v>7.07</v>
      </c>
      <c r="S880" s="2">
        <v>0</v>
      </c>
      <c r="T880" s="2">
        <v>0</v>
      </c>
      <c r="U880" s="2">
        <v>0</v>
      </c>
      <c r="V880" s="2">
        <v>0</v>
      </c>
      <c r="W880" s="2" t="e">
        <f t="shared" si="121"/>
        <v>#NUM!</v>
      </c>
      <c r="X880" s="2">
        <f t="shared" si="122"/>
        <v>2.821710215034674</v>
      </c>
      <c r="Y880" s="2" t="e">
        <f t="shared" si="123"/>
        <v>#NUM!</v>
      </c>
      <c r="Z880" t="e">
        <f t="shared" si="124"/>
        <v>#NUM!</v>
      </c>
      <c r="AA880" t="e">
        <f t="shared" si="125"/>
        <v>#NUM!</v>
      </c>
      <c r="AB880" t="e">
        <f t="shared" si="126"/>
        <v>#NUM!</v>
      </c>
    </row>
    <row r="881" spans="1:28" ht="13.9" x14ac:dyDescent="0.3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f t="shared" si="118"/>
        <v>1.007195501404204</v>
      </c>
      <c r="L881" s="2">
        <f t="shared" si="119"/>
        <v>0.11103131238874395</v>
      </c>
      <c r="M881" s="2">
        <f t="shared" si="120"/>
        <v>-0.55639334852438527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1.0900000000000001</v>
      </c>
      <c r="T881" s="2">
        <v>1.26</v>
      </c>
      <c r="U881" s="2">
        <v>0</v>
      </c>
      <c r="V881" s="2">
        <v>0</v>
      </c>
      <c r="W881" s="2" t="e">
        <f t="shared" si="121"/>
        <v>#NUM!</v>
      </c>
      <c r="X881" s="2">
        <f t="shared" si="122"/>
        <v>0.12432813500220179</v>
      </c>
      <c r="Y881" s="2">
        <f t="shared" si="123"/>
        <v>0.3334237337251918</v>
      </c>
      <c r="Z881" t="e">
        <f t="shared" si="124"/>
        <v>#NUM!</v>
      </c>
      <c r="AA881">
        <f t="shared" si="125"/>
        <v>0.16318621573676734</v>
      </c>
      <c r="AB881" t="e">
        <f t="shared" si="126"/>
        <v>#NUM!</v>
      </c>
    </row>
    <row r="882" spans="1:28" ht="13.9" x14ac:dyDescent="0.3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f t="shared" si="118"/>
        <v>-3.1844245711374275</v>
      </c>
      <c r="L882" s="2">
        <f t="shared" si="119"/>
        <v>-3.1844245711374275</v>
      </c>
      <c r="M882" s="2">
        <f t="shared" si="120"/>
        <v>-0.30400618689009989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 t="e">
        <f t="shared" si="121"/>
        <v>#NUM!</v>
      </c>
      <c r="X882" s="2" t="e">
        <f t="shared" si="122"/>
        <v>#NUM!</v>
      </c>
      <c r="Y882" s="2" t="e">
        <f t="shared" si="123"/>
        <v>#NUM!</v>
      </c>
      <c r="Z882" t="e">
        <f t="shared" si="124"/>
        <v>#NUM!</v>
      </c>
      <c r="AA882" t="e">
        <f t="shared" si="125"/>
        <v>#NUM!</v>
      </c>
      <c r="AB882" t="e">
        <f t="shared" si="126"/>
        <v>#NUM!</v>
      </c>
    </row>
    <row r="883" spans="1:28" ht="13.9" x14ac:dyDescent="0.3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f t="shared" si="118"/>
        <v>0.46466826700344421</v>
      </c>
      <c r="L883" s="2">
        <f t="shared" si="119"/>
        <v>-0.66657626627480826</v>
      </c>
      <c r="M883" s="2" t="e">
        <f t="shared" si="120"/>
        <v>#NUM!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 t="e">
        <f t="shared" si="121"/>
        <v>#NUM!</v>
      </c>
      <c r="X883" s="2" t="e">
        <f t="shared" si="122"/>
        <v>#NUM!</v>
      </c>
      <c r="Y883" s="2" t="e">
        <f t="shared" si="123"/>
        <v>#NUM!</v>
      </c>
      <c r="Z883" t="e">
        <f t="shared" si="124"/>
        <v>#NUM!</v>
      </c>
      <c r="AA883" t="e">
        <f t="shared" si="125"/>
        <v>#NUM!</v>
      </c>
      <c r="AB883" t="e">
        <f t="shared" si="126"/>
        <v>#NUM!</v>
      </c>
    </row>
    <row r="884" spans="1:28" ht="13.9" x14ac:dyDescent="0.3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f t="shared" si="118"/>
        <v>2.1110313123887439</v>
      </c>
      <c r="L884" s="2">
        <f t="shared" si="119"/>
        <v>2.5753123306874368</v>
      </c>
      <c r="M884" s="2">
        <f t="shared" si="120"/>
        <v>1.794935662803536</v>
      </c>
      <c r="N884" s="2">
        <v>4.59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4.5999999999999996</v>
      </c>
      <c r="V884" s="2">
        <v>0</v>
      </c>
      <c r="W884" s="2">
        <f t="shared" si="121"/>
        <v>2.1984941536390834</v>
      </c>
      <c r="X884" s="2" t="e">
        <f t="shared" si="122"/>
        <v>#NUM!</v>
      </c>
      <c r="Y884" s="2">
        <f t="shared" si="123"/>
        <v>2.2016338611696504</v>
      </c>
      <c r="Z884">
        <f t="shared" si="124"/>
        <v>5.8567718087653028E-2</v>
      </c>
      <c r="AA884" t="e">
        <f t="shared" si="125"/>
        <v>#NUM!</v>
      </c>
      <c r="AB884">
        <f t="shared" si="126"/>
        <v>0.29464243060202078</v>
      </c>
    </row>
    <row r="885" spans="1:28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 t="e">
        <f t="shared" si="118"/>
        <v>#NUM!</v>
      </c>
      <c r="L885" s="2">
        <f t="shared" si="119"/>
        <v>-2.9434164716336326</v>
      </c>
      <c r="M885" s="2" t="e">
        <f t="shared" si="120"/>
        <v>#NUM!</v>
      </c>
      <c r="N885" s="2">
        <v>0</v>
      </c>
      <c r="O885" s="2">
        <v>0</v>
      </c>
      <c r="P885" s="2">
        <v>6.48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f t="shared" si="121"/>
        <v>2.6959938131098999</v>
      </c>
      <c r="X885" s="2" t="e">
        <f t="shared" si="122"/>
        <v>#NUM!</v>
      </c>
      <c r="Y885" s="2" t="e">
        <f t="shared" si="123"/>
        <v>#NUM!</v>
      </c>
      <c r="Z885" t="e">
        <f t="shared" si="124"/>
        <v>#NUM!</v>
      </c>
      <c r="AA885" t="e">
        <f t="shared" si="125"/>
        <v>#NUM!</v>
      </c>
      <c r="AB885" t="e">
        <f t="shared" si="126"/>
        <v>#NUM!</v>
      </c>
    </row>
    <row r="886" spans="1:28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 t="e">
        <f t="shared" si="118"/>
        <v>#NUM!</v>
      </c>
      <c r="L886" s="2" t="e">
        <f t="shared" si="119"/>
        <v>#NUM!</v>
      </c>
      <c r="M886" s="2">
        <f t="shared" si="120"/>
        <v>-2.2515387669959646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 t="e">
        <f t="shared" si="121"/>
        <v>#NUM!</v>
      </c>
      <c r="X886" s="2" t="e">
        <f t="shared" si="122"/>
        <v>#NUM!</v>
      </c>
      <c r="Y886" s="2" t="e">
        <f t="shared" si="123"/>
        <v>#NUM!</v>
      </c>
      <c r="Z886" t="e">
        <f t="shared" si="124"/>
        <v>#NUM!</v>
      </c>
      <c r="AA886" t="e">
        <f t="shared" si="125"/>
        <v>#NUM!</v>
      </c>
      <c r="AB886" t="e">
        <f t="shared" si="126"/>
        <v>#NUM!</v>
      </c>
    </row>
    <row r="887" spans="1:28" ht="13.9" x14ac:dyDescent="0.3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f t="shared" si="118"/>
        <v>1.4276061727818994</v>
      </c>
      <c r="L887" s="2">
        <f t="shared" si="119"/>
        <v>1.304511041809953</v>
      </c>
      <c r="M887" s="2">
        <f t="shared" si="120"/>
        <v>-7.4000581443776928E-2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 t="e">
        <f t="shared" si="121"/>
        <v>#NUM!</v>
      </c>
      <c r="X887" s="2" t="e">
        <f t="shared" si="122"/>
        <v>#NUM!</v>
      </c>
      <c r="Y887" s="2" t="e">
        <f t="shared" si="123"/>
        <v>#NUM!</v>
      </c>
      <c r="Z887" t="e">
        <f t="shared" si="124"/>
        <v>#NUM!</v>
      </c>
      <c r="AA887" t="e">
        <f t="shared" si="125"/>
        <v>#NUM!</v>
      </c>
      <c r="AB887" t="e">
        <f t="shared" si="126"/>
        <v>#NUM!</v>
      </c>
    </row>
    <row r="888" spans="1:28" ht="13.9" x14ac:dyDescent="0.3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f t="shared" si="118"/>
        <v>0.73118324157220005</v>
      </c>
      <c r="L888" s="2">
        <f t="shared" si="119"/>
        <v>0.11103131238874395</v>
      </c>
      <c r="M888" s="2">
        <f t="shared" si="120"/>
        <v>-1.2863041851566412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 t="e">
        <f t="shared" si="121"/>
        <v>#NUM!</v>
      </c>
      <c r="X888" s="2" t="e">
        <f t="shared" si="122"/>
        <v>#NUM!</v>
      </c>
      <c r="Y888" s="2" t="e">
        <f t="shared" si="123"/>
        <v>#NUM!</v>
      </c>
      <c r="Z888" t="e">
        <f t="shared" si="124"/>
        <v>#NUM!</v>
      </c>
      <c r="AA888" t="e">
        <f t="shared" si="125"/>
        <v>#NUM!</v>
      </c>
      <c r="AB888" t="e">
        <f t="shared" si="126"/>
        <v>#NUM!</v>
      </c>
    </row>
    <row r="889" spans="1:28" ht="13.9" x14ac:dyDescent="0.3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f t="shared" si="118"/>
        <v>-3.1844245711374275</v>
      </c>
      <c r="L889" s="2">
        <f t="shared" si="119"/>
        <v>-1.6438561897747248</v>
      </c>
      <c r="M889" s="2">
        <f t="shared" si="120"/>
        <v>-2.8365012677171206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 t="e">
        <f t="shared" si="121"/>
        <v>#NUM!</v>
      </c>
      <c r="X889" s="2" t="e">
        <f t="shared" si="122"/>
        <v>#NUM!</v>
      </c>
      <c r="Y889" s="2" t="e">
        <f t="shared" si="123"/>
        <v>#NUM!</v>
      </c>
      <c r="Z889" t="e">
        <f t="shared" si="124"/>
        <v>#NUM!</v>
      </c>
      <c r="AA889" t="e">
        <f t="shared" si="125"/>
        <v>#NUM!</v>
      </c>
      <c r="AB889" t="e">
        <f t="shared" si="126"/>
        <v>#NUM!</v>
      </c>
    </row>
    <row r="890" spans="1:28" ht="13.9" x14ac:dyDescent="0.3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f t="shared" si="118"/>
        <v>1.1763227726404628</v>
      </c>
      <c r="L890" s="2">
        <f t="shared" si="119"/>
        <v>1.1309308698264486</v>
      </c>
      <c r="M890" s="2">
        <f t="shared" si="120"/>
        <v>2.0214797274104517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 t="e">
        <f t="shared" si="121"/>
        <v>#NUM!</v>
      </c>
      <c r="X890" s="2" t="e">
        <f t="shared" si="122"/>
        <v>#NUM!</v>
      </c>
      <c r="Y890" s="2" t="e">
        <f t="shared" si="123"/>
        <v>#NUM!</v>
      </c>
      <c r="Z890" t="e">
        <f t="shared" si="124"/>
        <v>#NUM!</v>
      </c>
      <c r="AA890" t="e">
        <f t="shared" si="125"/>
        <v>#NUM!</v>
      </c>
      <c r="AB890" t="e">
        <f t="shared" si="126"/>
        <v>#NUM!</v>
      </c>
    </row>
    <row r="891" spans="1:28" ht="13.9" x14ac:dyDescent="0.3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f t="shared" si="118"/>
        <v>0.87184364850931773</v>
      </c>
      <c r="L891" s="2">
        <f t="shared" si="119"/>
        <v>1.3334237337251917</v>
      </c>
      <c r="M891" s="2">
        <f t="shared" si="120"/>
        <v>0.95605665241240301</v>
      </c>
      <c r="N891" s="2">
        <v>0.13</v>
      </c>
      <c r="O891" s="2">
        <v>0</v>
      </c>
      <c r="P891" s="2">
        <v>16.079999999999998</v>
      </c>
      <c r="Q891" s="2">
        <v>4.9400000000000004</v>
      </c>
      <c r="R891" s="2">
        <v>0</v>
      </c>
      <c r="S891" s="2">
        <v>0</v>
      </c>
      <c r="T891" s="2">
        <v>4.8499999999999996</v>
      </c>
      <c r="U891" s="2">
        <v>0.21</v>
      </c>
      <c r="V891" s="2">
        <v>23.63</v>
      </c>
      <c r="W891" s="2">
        <f t="shared" si="121"/>
        <v>4.0188121857428163</v>
      </c>
      <c r="X891" s="2">
        <f t="shared" si="122"/>
        <v>2.304511041809953</v>
      </c>
      <c r="Y891" s="2">
        <f t="shared" si="123"/>
        <v>4.8424760629939394</v>
      </c>
      <c r="Z891">
        <f t="shared" si="124"/>
        <v>2.204627817816871</v>
      </c>
      <c r="AA891">
        <f t="shared" si="125"/>
        <v>0.78932536909414097</v>
      </c>
      <c r="AB891">
        <f t="shared" si="126"/>
        <v>2.3405769027408763</v>
      </c>
    </row>
    <row r="892" spans="1:28" ht="13.9" x14ac:dyDescent="0.3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f t="shared" si="118"/>
        <v>-0.23446525363702297</v>
      </c>
      <c r="L892" s="2">
        <f t="shared" si="119"/>
        <v>-0.57776699931695219</v>
      </c>
      <c r="M892" s="2">
        <f t="shared" si="120"/>
        <v>-2.2515387669959646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 t="e">
        <f t="shared" si="121"/>
        <v>#NUM!</v>
      </c>
      <c r="X892" s="2" t="e">
        <f t="shared" si="122"/>
        <v>#NUM!</v>
      </c>
      <c r="Y892" s="2" t="e">
        <f t="shared" si="123"/>
        <v>#NUM!</v>
      </c>
      <c r="Z892" t="e">
        <f t="shared" si="124"/>
        <v>#NUM!</v>
      </c>
      <c r="AA892" t="e">
        <f t="shared" si="125"/>
        <v>#NUM!</v>
      </c>
      <c r="AB892" t="e">
        <f t="shared" si="126"/>
        <v>#NUM!</v>
      </c>
    </row>
    <row r="893" spans="1:28" s="15" customFormat="1" ht="13.9" x14ac:dyDescent="0.3">
      <c r="A893" s="8" t="s">
        <v>910</v>
      </c>
      <c r="B893" s="8">
        <v>0</v>
      </c>
      <c r="C893" s="8">
        <v>0.44</v>
      </c>
      <c r="D893" s="8">
        <v>0</v>
      </c>
      <c r="E893" s="8">
        <v>0</v>
      </c>
      <c r="F893" s="8">
        <v>0</v>
      </c>
      <c r="G893" s="8">
        <v>0.11</v>
      </c>
      <c r="H893" s="8">
        <v>0</v>
      </c>
      <c r="I893" s="8">
        <v>0</v>
      </c>
      <c r="J893" s="8">
        <v>0</v>
      </c>
      <c r="K893" s="8">
        <f t="shared" si="118"/>
        <v>-1.1844245711374275</v>
      </c>
      <c r="L893" s="8">
        <f t="shared" si="119"/>
        <v>-3.1844245711374275</v>
      </c>
      <c r="M893" s="8" t="e">
        <f t="shared" si="120"/>
        <v>#NUM!</v>
      </c>
      <c r="N893" s="8">
        <v>33.43</v>
      </c>
      <c r="O893" s="8">
        <v>8.1</v>
      </c>
      <c r="P893" s="8">
        <v>28.53</v>
      </c>
      <c r="Q893" s="8">
        <v>35.270000000000003</v>
      </c>
      <c r="R893" s="8">
        <v>11.95</v>
      </c>
      <c r="S893" s="8">
        <v>26.76</v>
      </c>
      <c r="T893" s="8">
        <v>42.58</v>
      </c>
      <c r="U893" s="8">
        <v>42.27</v>
      </c>
      <c r="V893" s="8">
        <v>125.18</v>
      </c>
      <c r="W893" s="8">
        <f t="shared" si="121"/>
        <v>6.1305190830273384</v>
      </c>
      <c r="X893" s="8">
        <f t="shared" si="122"/>
        <v>6.2090633953492702</v>
      </c>
      <c r="Y893" s="8">
        <f t="shared" si="123"/>
        <v>7.7144516022377019</v>
      </c>
      <c r="Z893" s="15" t="e">
        <f>LZ2W893/Z3</f>
        <v>#NAME?</v>
      </c>
      <c r="AA893" s="15" t="e">
        <f t="shared" si="125"/>
        <v>#NUM!</v>
      </c>
      <c r="AB893" s="15" t="e">
        <f t="shared" si="126"/>
        <v>#NUM!</v>
      </c>
    </row>
    <row r="894" spans="1:28" ht="13.9" x14ac:dyDescent="0.3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f t="shared" si="118"/>
        <v>1.1826922975161904</v>
      </c>
      <c r="L894" s="2">
        <f t="shared" si="119"/>
        <v>-0.57776699931695219</v>
      </c>
      <c r="M894" s="2">
        <f t="shared" si="120"/>
        <v>0.61353165291792711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0.18</v>
      </c>
      <c r="T894" s="2">
        <v>0</v>
      </c>
      <c r="U894" s="2">
        <v>0</v>
      </c>
      <c r="V894" s="2">
        <v>0</v>
      </c>
      <c r="W894" s="2" t="e">
        <f t="shared" si="121"/>
        <v>#NUM!</v>
      </c>
      <c r="X894" s="2">
        <f t="shared" si="122"/>
        <v>-2.4739311883324122</v>
      </c>
      <c r="Y894" s="2" t="e">
        <f t="shared" si="123"/>
        <v>#NUM!</v>
      </c>
      <c r="Z894" t="e">
        <f t="shared" si="124"/>
        <v>#NUM!</v>
      </c>
      <c r="AA894">
        <f t="shared" si="125"/>
        <v>2.0982456646910812</v>
      </c>
      <c r="AB894" t="e">
        <f t="shared" si="126"/>
        <v>#NUM!</v>
      </c>
    </row>
    <row r="895" spans="1:28" ht="13.9" x14ac:dyDescent="0.3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f t="shared" si="118"/>
        <v>5.285032249622911</v>
      </c>
      <c r="L895" s="2">
        <f t="shared" si="119"/>
        <v>5.9092930858238226</v>
      </c>
      <c r="M895" s="2">
        <f t="shared" si="120"/>
        <v>6.9029177190335949</v>
      </c>
      <c r="N895" s="2">
        <v>0.79</v>
      </c>
      <c r="O895" s="2">
        <v>17.64</v>
      </c>
      <c r="P895" s="2">
        <v>0</v>
      </c>
      <c r="Q895" s="2">
        <v>0</v>
      </c>
      <c r="R895" s="2">
        <v>19.760000000000002</v>
      </c>
      <c r="S895" s="2">
        <v>0.18</v>
      </c>
      <c r="T895" s="2">
        <v>0.18</v>
      </c>
      <c r="U895" s="2">
        <v>7.12</v>
      </c>
      <c r="V895" s="2">
        <v>0.5</v>
      </c>
      <c r="W895" s="2">
        <f t="shared" si="121"/>
        <v>4.2039841658559887</v>
      </c>
      <c r="X895" s="2">
        <f t="shared" si="122"/>
        <v>4.3175935046234715</v>
      </c>
      <c r="Y895" s="2">
        <f t="shared" si="123"/>
        <v>2.9634741239748865</v>
      </c>
      <c r="Z895">
        <f t="shared" si="124"/>
        <v>-0.33015503960200426</v>
      </c>
      <c r="AA895">
        <f t="shared" si="125"/>
        <v>-0.45275813263276504</v>
      </c>
      <c r="AB895">
        <f t="shared" si="126"/>
        <v>-1.2199168273903214</v>
      </c>
    </row>
    <row r="896" spans="1:28" ht="13.9" x14ac:dyDescent="0.3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f t="shared" si="118"/>
        <v>-0.49410907027004275</v>
      </c>
      <c r="L896" s="2">
        <f t="shared" si="119"/>
        <v>0.50589092972995753</v>
      </c>
      <c r="M896" s="2">
        <f t="shared" si="120"/>
        <v>0.28688114778816154</v>
      </c>
      <c r="N896" s="2">
        <v>0</v>
      </c>
      <c r="O896" s="2">
        <v>0</v>
      </c>
      <c r="P896" s="2">
        <v>0</v>
      </c>
      <c r="Q896" s="2">
        <v>0</v>
      </c>
      <c r="R896" s="2">
        <v>7.56</v>
      </c>
      <c r="S896" s="2">
        <v>0</v>
      </c>
      <c r="T896" s="2">
        <v>0</v>
      </c>
      <c r="U896" s="2">
        <v>0</v>
      </c>
      <c r="V896" s="2">
        <v>4.5199999999999996</v>
      </c>
      <c r="W896" s="2" t="e">
        <f t="shared" si="121"/>
        <v>#NUM!</v>
      </c>
      <c r="X896" s="2">
        <f t="shared" si="122"/>
        <v>2.918386234446348</v>
      </c>
      <c r="Y896" s="2">
        <f t="shared" si="123"/>
        <v>2.176322772640463</v>
      </c>
      <c r="Z896" t="e">
        <f t="shared" si="124"/>
        <v>#NUM!</v>
      </c>
      <c r="AA896">
        <f t="shared" si="125"/>
        <v>2.528272551695173</v>
      </c>
      <c r="AB896">
        <f t="shared" si="126"/>
        <v>2.9233674694745231</v>
      </c>
    </row>
    <row r="897" spans="1:28" ht="13.9" x14ac:dyDescent="0.3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f t="shared" si="118"/>
        <v>0.64154602908752378</v>
      </c>
      <c r="L897" s="2">
        <f t="shared" si="119"/>
        <v>-2.0588936890535687</v>
      </c>
      <c r="M897" s="2">
        <f t="shared" si="120"/>
        <v>-0.97143084780322919</v>
      </c>
      <c r="N897" s="2">
        <v>8.65</v>
      </c>
      <c r="O897" s="2">
        <v>0</v>
      </c>
      <c r="P897" s="2">
        <v>0</v>
      </c>
      <c r="Q897" s="2">
        <v>0</v>
      </c>
      <c r="R897" s="2">
        <v>7.81</v>
      </c>
      <c r="S897" s="2">
        <v>0</v>
      </c>
      <c r="T897" s="2">
        <v>2.34</v>
      </c>
      <c r="U897" s="2">
        <v>0</v>
      </c>
      <c r="V897" s="2">
        <v>17.09</v>
      </c>
      <c r="W897" s="2">
        <f t="shared" si="121"/>
        <v>3.1127001327493624</v>
      </c>
      <c r="X897" s="2">
        <f t="shared" si="122"/>
        <v>2.9653225483672552</v>
      </c>
      <c r="Y897" s="2">
        <f t="shared" si="123"/>
        <v>4.2802139958106196</v>
      </c>
      <c r="Z897">
        <f t="shared" si="124"/>
        <v>2.2785419156534825</v>
      </c>
      <c r="AA897" t="e">
        <f t="shared" si="125"/>
        <v>#NUM!</v>
      </c>
      <c r="AB897" t="e">
        <f t="shared" si="126"/>
        <v>#NUM!</v>
      </c>
    </row>
    <row r="898" spans="1:28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 t="e">
        <f t="shared" si="118"/>
        <v>#NUM!</v>
      </c>
      <c r="L898" s="2" t="e">
        <f t="shared" si="119"/>
        <v>#NUM!</v>
      </c>
      <c r="M898" s="2">
        <f t="shared" si="120"/>
        <v>-1.6896598793878495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 t="e">
        <f t="shared" si="121"/>
        <v>#NUM!</v>
      </c>
      <c r="X898" s="2" t="e">
        <f t="shared" si="122"/>
        <v>#NUM!</v>
      </c>
      <c r="Y898" s="2" t="e">
        <f t="shared" si="123"/>
        <v>#NUM!</v>
      </c>
      <c r="Z898" t="e">
        <f t="shared" si="124"/>
        <v>#NUM!</v>
      </c>
      <c r="AA898" t="e">
        <f t="shared" si="125"/>
        <v>#NUM!</v>
      </c>
      <c r="AB898" t="e">
        <f t="shared" si="126"/>
        <v>#NUM!</v>
      </c>
    </row>
    <row r="899" spans="1:28" ht="13.9" x14ac:dyDescent="0.3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f t="shared" ref="K899:K926" si="127">LOG(SUM(B899:D899),2)</f>
        <v>6.1931803537426156</v>
      </c>
      <c r="L899" s="2">
        <f t="shared" ref="L899:L926" si="128">LOG(SUM(E899:G899),2)</f>
        <v>6.0197019144425488</v>
      </c>
      <c r="M899" s="2">
        <f t="shared" ref="M899:M926" si="129">LOG(SUM(H899:J899),2)</f>
        <v>5.0853396693573698</v>
      </c>
      <c r="N899" s="2">
        <v>9.18</v>
      </c>
      <c r="O899" s="2">
        <v>0</v>
      </c>
      <c r="P899" s="2">
        <v>0</v>
      </c>
      <c r="Q899" s="2">
        <v>14.17</v>
      </c>
      <c r="R899" s="2">
        <v>0</v>
      </c>
      <c r="S899" s="2">
        <v>0.91</v>
      </c>
      <c r="T899" s="2">
        <v>9.8800000000000008</v>
      </c>
      <c r="U899" s="2">
        <v>9.2100000000000009</v>
      </c>
      <c r="V899" s="2">
        <v>0</v>
      </c>
      <c r="W899" s="2">
        <f t="shared" ref="W899:W926" si="130">LOG(SUM(N899:P899),2)</f>
        <v>3.198494153639083</v>
      </c>
      <c r="X899" s="2">
        <f t="shared" ref="X899:X926" si="131">LOG(SUM(Q899:S899),2)</f>
        <v>3.9145645234939397</v>
      </c>
      <c r="Y899" s="2">
        <f t="shared" ref="Y899:Y926" si="132">LOG(SUM(T899:V899),2)</f>
        <v>4.2547451976292132</v>
      </c>
      <c r="Z899">
        <f t="shared" ref="Z899:Z927" si="133">LOG(W899/K899,2)</f>
        <v>-0.95328761364868675</v>
      </c>
      <c r="AA899">
        <f t="shared" ref="AA899:AA927" si="134">LOG(X899/L899,2)</f>
        <v>-0.62084022536440175</v>
      </c>
      <c r="AB899">
        <f t="shared" ref="AB899:AB927" si="135">LOG(Y899/M899,2)</f>
        <v>-0.25727140409344723</v>
      </c>
    </row>
    <row r="900" spans="1:28" ht="13.9" x14ac:dyDescent="0.3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f t="shared" si="127"/>
        <v>0.68706068833989242</v>
      </c>
      <c r="L900" s="2">
        <f t="shared" si="128"/>
        <v>1.028569152196771</v>
      </c>
      <c r="M900" s="2" t="e">
        <f t="shared" si="129"/>
        <v>#NUM!</v>
      </c>
      <c r="N900" s="2">
        <v>0</v>
      </c>
      <c r="O900" s="2">
        <v>12.72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f t="shared" si="130"/>
        <v>3.6690267655096305</v>
      </c>
      <c r="X900" s="2" t="e">
        <f t="shared" si="131"/>
        <v>#NUM!</v>
      </c>
      <c r="Y900" s="2" t="e">
        <f t="shared" si="132"/>
        <v>#NUM!</v>
      </c>
      <c r="Z900">
        <f t="shared" si="133"/>
        <v>2.4168879854662877</v>
      </c>
      <c r="AA900" t="e">
        <f t="shared" si="134"/>
        <v>#NUM!</v>
      </c>
      <c r="AB900" t="e">
        <f t="shared" si="135"/>
        <v>#NUM!</v>
      </c>
    </row>
    <row r="901" spans="1:28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 t="e">
        <f t="shared" si="127"/>
        <v>#NUM!</v>
      </c>
      <c r="L901" s="2">
        <f t="shared" si="128"/>
        <v>-1.3219280948873622</v>
      </c>
      <c r="M901" s="2" t="e">
        <f t="shared" si="129"/>
        <v>#NUM!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 t="e">
        <f t="shared" si="130"/>
        <v>#NUM!</v>
      </c>
      <c r="X901" s="2" t="e">
        <f t="shared" si="131"/>
        <v>#NUM!</v>
      </c>
      <c r="Y901" s="2" t="e">
        <f t="shared" si="132"/>
        <v>#NUM!</v>
      </c>
      <c r="Z901" t="e">
        <f t="shared" si="133"/>
        <v>#NUM!</v>
      </c>
      <c r="AA901" t="e">
        <f t="shared" si="134"/>
        <v>#NUM!</v>
      </c>
      <c r="AB901" t="e">
        <f t="shared" si="135"/>
        <v>#NUM!</v>
      </c>
    </row>
    <row r="902" spans="1:28" ht="13.9" x14ac:dyDescent="0.3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f t="shared" si="127"/>
        <v>15.211448409256986</v>
      </c>
      <c r="L902" s="2">
        <f t="shared" si="128"/>
        <v>15.205352647069239</v>
      </c>
      <c r="M902" s="2">
        <f t="shared" si="129"/>
        <v>15.048759737563863</v>
      </c>
      <c r="N902" s="2">
        <v>6155.23</v>
      </c>
      <c r="O902" s="2">
        <v>6502.81</v>
      </c>
      <c r="P902" s="2">
        <v>3138.37</v>
      </c>
      <c r="Q902" s="2">
        <v>6769.61</v>
      </c>
      <c r="R902" s="2">
        <v>7978.28</v>
      </c>
      <c r="S902" s="2">
        <v>4862.2299999999996</v>
      </c>
      <c r="T902" s="2">
        <v>3747.76</v>
      </c>
      <c r="U902" s="2">
        <v>6779.66</v>
      </c>
      <c r="V902" s="2">
        <v>9669.24</v>
      </c>
      <c r="W902" s="2">
        <f t="shared" si="130"/>
        <v>13.947309098477719</v>
      </c>
      <c r="X902" s="2">
        <f t="shared" si="131"/>
        <v>14.259310743375035</v>
      </c>
      <c r="Y902" s="2">
        <f t="shared" si="132"/>
        <v>14.301829108177511</v>
      </c>
      <c r="Z902">
        <f t="shared" si="133"/>
        <v>-0.1251707257992358</v>
      </c>
      <c r="AA902">
        <f t="shared" si="134"/>
        <v>-9.2675028690233349E-2</v>
      </c>
      <c r="AB902">
        <f t="shared" si="135"/>
        <v>-7.3444920521550411E-2</v>
      </c>
    </row>
    <row r="903" spans="1:28" ht="13.9" x14ac:dyDescent="0.3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f t="shared" si="127"/>
        <v>4.6158870739160571</v>
      </c>
      <c r="L903" s="2">
        <f t="shared" si="128"/>
        <v>4.869377924031328</v>
      </c>
      <c r="M903" s="2">
        <f t="shared" si="129"/>
        <v>5.7729413378313357</v>
      </c>
      <c r="N903" s="2">
        <v>0.52</v>
      </c>
      <c r="O903" s="2">
        <v>0.28999999999999998</v>
      </c>
      <c r="P903" s="2">
        <v>0.26</v>
      </c>
      <c r="Q903" s="2">
        <v>14.17</v>
      </c>
      <c r="R903" s="2">
        <v>18.3</v>
      </c>
      <c r="S903" s="2">
        <v>18.02</v>
      </c>
      <c r="T903" s="2">
        <v>14.01</v>
      </c>
      <c r="U903" s="2">
        <v>7.95</v>
      </c>
      <c r="V903" s="2">
        <v>12.57</v>
      </c>
      <c r="W903" s="2">
        <f t="shared" si="130"/>
        <v>9.7610796626422344E-2</v>
      </c>
      <c r="X903" s="2">
        <f t="shared" si="131"/>
        <v>5.6579257722763803</v>
      </c>
      <c r="Y903" s="2">
        <f t="shared" si="132"/>
        <v>5.1097784290786619</v>
      </c>
      <c r="Z903">
        <f t="shared" si="133"/>
        <v>-5.5634233875752379</v>
      </c>
      <c r="AA903">
        <f t="shared" si="134"/>
        <v>0.21653577383171763</v>
      </c>
      <c r="AB903">
        <f t="shared" si="135"/>
        <v>-0.17604583119162889</v>
      </c>
    </row>
    <row r="904" spans="1:28" ht="13.9" x14ac:dyDescent="0.3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f t="shared" si="127"/>
        <v>2.6461626571578938</v>
      </c>
      <c r="L904" s="2">
        <f t="shared" si="128"/>
        <v>1.4594316186372973</v>
      </c>
      <c r="M904" s="2">
        <f t="shared" si="129"/>
        <v>1.7739963251111734</v>
      </c>
      <c r="N904" s="2">
        <v>3.41</v>
      </c>
      <c r="O904" s="2">
        <v>0</v>
      </c>
      <c r="P904" s="2">
        <v>0</v>
      </c>
      <c r="Q904" s="2">
        <v>3.96</v>
      </c>
      <c r="R904" s="2">
        <v>0</v>
      </c>
      <c r="S904" s="2">
        <v>7.28</v>
      </c>
      <c r="T904" s="2">
        <v>6.11</v>
      </c>
      <c r="U904" s="2">
        <v>0</v>
      </c>
      <c r="V904" s="2">
        <v>8.5500000000000007</v>
      </c>
      <c r="W904" s="2">
        <f t="shared" si="130"/>
        <v>1.7697717392494476</v>
      </c>
      <c r="X904" s="2">
        <f t="shared" si="131"/>
        <v>3.4905701304462013</v>
      </c>
      <c r="Y904" s="2">
        <f t="shared" si="132"/>
        <v>3.8738131983590871</v>
      </c>
      <c r="Z904">
        <f t="shared" si="133"/>
        <v>-0.58033844837061233</v>
      </c>
      <c r="AA904">
        <f t="shared" si="134"/>
        <v>1.2580560822711166</v>
      </c>
      <c r="AB904">
        <f t="shared" si="135"/>
        <v>1.1267513654376322</v>
      </c>
    </row>
    <row r="905" spans="1:28" ht="13.9" x14ac:dyDescent="0.3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f t="shared" si="127"/>
        <v>-2.1844245711374275</v>
      </c>
      <c r="L905" s="2">
        <f t="shared" si="128"/>
        <v>-8.9267338097087409E-2</v>
      </c>
      <c r="M905" s="2">
        <f t="shared" si="129"/>
        <v>1.7004397181410922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 t="e">
        <f t="shared" si="130"/>
        <v>#NUM!</v>
      </c>
      <c r="X905" s="2" t="e">
        <f t="shared" si="131"/>
        <v>#NUM!</v>
      </c>
      <c r="Y905" s="2" t="e">
        <f t="shared" si="132"/>
        <v>#NUM!</v>
      </c>
      <c r="Z905" t="e">
        <f t="shared" si="133"/>
        <v>#NUM!</v>
      </c>
      <c r="AA905" t="e">
        <f t="shared" si="134"/>
        <v>#NUM!</v>
      </c>
      <c r="AB905" t="e">
        <f t="shared" si="135"/>
        <v>#NUM!</v>
      </c>
    </row>
    <row r="906" spans="1:28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 t="e">
        <f t="shared" si="127"/>
        <v>#NUM!</v>
      </c>
      <c r="L906" s="2">
        <f t="shared" si="128"/>
        <v>-0.30400618689009989</v>
      </c>
      <c r="M906" s="2" t="e">
        <f t="shared" si="129"/>
        <v>#NUM!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 t="e">
        <f t="shared" si="130"/>
        <v>#NUM!</v>
      </c>
      <c r="X906" s="2" t="e">
        <f t="shared" si="131"/>
        <v>#NUM!</v>
      </c>
      <c r="Y906" s="2" t="e">
        <f t="shared" si="132"/>
        <v>#NUM!</v>
      </c>
      <c r="Z906" t="e">
        <f t="shared" si="133"/>
        <v>#NUM!</v>
      </c>
      <c r="AA906" t="e">
        <f t="shared" si="134"/>
        <v>#NUM!</v>
      </c>
      <c r="AB906" t="e">
        <f t="shared" si="135"/>
        <v>#NUM!</v>
      </c>
    </row>
    <row r="907" spans="1:28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 t="e">
        <f t="shared" si="127"/>
        <v>#NUM!</v>
      </c>
      <c r="L907" s="2" t="e">
        <f t="shared" si="128"/>
        <v>#NUM!</v>
      </c>
      <c r="M907" s="2" t="e">
        <f t="shared" si="129"/>
        <v>#NUM!</v>
      </c>
      <c r="N907" s="2">
        <v>0</v>
      </c>
      <c r="O907" s="2">
        <v>7.52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f t="shared" si="130"/>
        <v>2.9107326619029124</v>
      </c>
      <c r="X907" s="2" t="e">
        <f t="shared" si="131"/>
        <v>#NUM!</v>
      </c>
      <c r="Y907" s="2" t="e">
        <f t="shared" si="132"/>
        <v>#NUM!</v>
      </c>
      <c r="Z907" t="e">
        <f t="shared" si="133"/>
        <v>#NUM!</v>
      </c>
      <c r="AA907" t="e">
        <f t="shared" si="134"/>
        <v>#NUM!</v>
      </c>
      <c r="AB907" t="e">
        <f t="shared" si="135"/>
        <v>#NUM!</v>
      </c>
    </row>
    <row r="908" spans="1:28" ht="13.9" x14ac:dyDescent="0.3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f t="shared" si="127"/>
        <v>7.7411972985714259</v>
      </c>
      <c r="L908" s="2">
        <f t="shared" si="128"/>
        <v>7.6964807518201921</v>
      </c>
      <c r="M908" s="2">
        <f t="shared" si="129"/>
        <v>7.9864109352520449</v>
      </c>
      <c r="N908" s="2">
        <v>82.33</v>
      </c>
      <c r="O908" s="2">
        <v>54.37</v>
      </c>
      <c r="P908" s="2">
        <v>105.29</v>
      </c>
      <c r="Q908" s="2">
        <v>140.09</v>
      </c>
      <c r="R908" s="2">
        <v>126.86</v>
      </c>
      <c r="S908" s="2">
        <v>60.26</v>
      </c>
      <c r="T908" s="2">
        <v>84.08</v>
      </c>
      <c r="U908" s="2">
        <v>125.57</v>
      </c>
      <c r="V908" s="2">
        <v>225.23</v>
      </c>
      <c r="W908" s="2">
        <f t="shared" si="130"/>
        <v>7.9188036205452779</v>
      </c>
      <c r="X908" s="2">
        <f t="shared" si="131"/>
        <v>8.3540730295273473</v>
      </c>
      <c r="Y908" s="2">
        <f t="shared" si="132"/>
        <v>8.7644735509926672</v>
      </c>
      <c r="Z908">
        <f t="shared" si="133"/>
        <v>3.2725763970239387E-2</v>
      </c>
      <c r="AA908">
        <f t="shared" si="134"/>
        <v>0.11828083707925169</v>
      </c>
      <c r="AB908">
        <f t="shared" si="135"/>
        <v>0.13412012955834587</v>
      </c>
    </row>
    <row r="909" spans="1:28" ht="13.9" x14ac:dyDescent="0.3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f t="shared" si="127"/>
        <v>-0.20091269392599642</v>
      </c>
      <c r="L909" s="2">
        <f t="shared" si="128"/>
        <v>-3.3219280948873622</v>
      </c>
      <c r="M909" s="2" t="e">
        <f t="shared" si="129"/>
        <v>#NUM!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 t="e">
        <f t="shared" si="130"/>
        <v>#NUM!</v>
      </c>
      <c r="X909" s="2" t="e">
        <f t="shared" si="131"/>
        <v>#NUM!</v>
      </c>
      <c r="Y909" s="2" t="e">
        <f t="shared" si="132"/>
        <v>#NUM!</v>
      </c>
      <c r="Z909" t="e">
        <f t="shared" si="133"/>
        <v>#NUM!</v>
      </c>
      <c r="AA909" t="e">
        <f t="shared" si="134"/>
        <v>#NUM!</v>
      </c>
      <c r="AB909" t="e">
        <f t="shared" si="135"/>
        <v>#NUM!</v>
      </c>
    </row>
    <row r="910" spans="1:28" ht="13.9" x14ac:dyDescent="0.3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f t="shared" si="127"/>
        <v>1.4329594072761063</v>
      </c>
      <c r="L910" s="2">
        <f t="shared" si="128"/>
        <v>1.6690267655096309</v>
      </c>
      <c r="M910" s="2">
        <f t="shared" si="129"/>
        <v>1.3561438102252754</v>
      </c>
      <c r="N910" s="2">
        <v>2.1</v>
      </c>
      <c r="O910" s="2">
        <v>0</v>
      </c>
      <c r="P910" s="2">
        <v>7</v>
      </c>
      <c r="Q910" s="2">
        <v>0</v>
      </c>
      <c r="R910" s="2">
        <v>0</v>
      </c>
      <c r="S910" s="2">
        <v>0</v>
      </c>
      <c r="T910" s="2">
        <v>0</v>
      </c>
      <c r="U910" s="2">
        <v>3.77</v>
      </c>
      <c r="V910" s="2">
        <v>0</v>
      </c>
      <c r="W910" s="2">
        <f t="shared" si="130"/>
        <v>3.1858665453113337</v>
      </c>
      <c r="X910" s="2" t="e">
        <f t="shared" si="131"/>
        <v>#NUM!</v>
      </c>
      <c r="Y910" s="2">
        <f t="shared" si="132"/>
        <v>1.9145645234939395</v>
      </c>
      <c r="Z910">
        <f t="shared" si="133"/>
        <v>1.1526880925396927</v>
      </c>
      <c r="AA910" t="e">
        <f t="shared" si="134"/>
        <v>#NUM!</v>
      </c>
      <c r="AB910">
        <f t="shared" si="135"/>
        <v>0.49750610683527557</v>
      </c>
    </row>
    <row r="911" spans="1:28" ht="13.9" x14ac:dyDescent="0.3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f t="shared" si="127"/>
        <v>-1.5994620704162712</v>
      </c>
      <c r="L911" s="2" t="e">
        <f t="shared" si="128"/>
        <v>#NUM!</v>
      </c>
      <c r="M911" s="2">
        <f t="shared" si="129"/>
        <v>-1.8889686876112561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 t="e">
        <f t="shared" si="130"/>
        <v>#NUM!</v>
      </c>
      <c r="X911" s="2" t="e">
        <f t="shared" si="131"/>
        <v>#NUM!</v>
      </c>
      <c r="Y911" s="2" t="e">
        <f t="shared" si="132"/>
        <v>#NUM!</v>
      </c>
      <c r="Z911" t="e">
        <f t="shared" si="133"/>
        <v>#NUM!</v>
      </c>
      <c r="AA911" t="e">
        <f t="shared" si="134"/>
        <v>#NUM!</v>
      </c>
      <c r="AB911" t="e">
        <f t="shared" si="135"/>
        <v>#NUM!</v>
      </c>
    </row>
    <row r="912" spans="1:28" ht="13.9" x14ac:dyDescent="0.3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f t="shared" si="127"/>
        <v>9.3638938208642823</v>
      </c>
      <c r="L912" s="2">
        <f t="shared" si="128"/>
        <v>9.556391094311623</v>
      </c>
      <c r="M912" s="2">
        <f t="shared" si="129"/>
        <v>9.7193032493034632</v>
      </c>
      <c r="N912" s="2">
        <v>88.88</v>
      </c>
      <c r="O912" s="2">
        <v>115.67</v>
      </c>
      <c r="P912" s="2">
        <v>30.86</v>
      </c>
      <c r="Q912" s="2">
        <v>106.47</v>
      </c>
      <c r="R912" s="2">
        <v>206.15</v>
      </c>
      <c r="S912" s="2">
        <v>118.16</v>
      </c>
      <c r="T912" s="2">
        <v>63.96</v>
      </c>
      <c r="U912" s="2">
        <v>135.61000000000001</v>
      </c>
      <c r="V912" s="2">
        <v>249.86</v>
      </c>
      <c r="W912" s="2">
        <f t="shared" si="130"/>
        <v>7.8790317958094631</v>
      </c>
      <c r="X912" s="2">
        <f t="shared" si="131"/>
        <v>8.750807460616425</v>
      </c>
      <c r="Y912" s="2">
        <f t="shared" si="132"/>
        <v>8.8119526191582995</v>
      </c>
      <c r="Z912">
        <f t="shared" si="133"/>
        <v>-0.24909021858413016</v>
      </c>
      <c r="AA912">
        <f t="shared" si="134"/>
        <v>-0.1270497526956455</v>
      </c>
      <c r="AB912">
        <f t="shared" si="135"/>
        <v>-0.14139115675591793</v>
      </c>
    </row>
    <row r="913" spans="1:28" ht="13.9" x14ac:dyDescent="0.3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f t="shared" si="127"/>
        <v>0.41142624572646502</v>
      </c>
      <c r="L913" s="2">
        <f t="shared" si="128"/>
        <v>-0.91593573521152549</v>
      </c>
      <c r="M913" s="2" t="e">
        <f t="shared" si="129"/>
        <v>#NUM!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 t="e">
        <f t="shared" si="130"/>
        <v>#NUM!</v>
      </c>
      <c r="X913" s="2" t="e">
        <f t="shared" si="131"/>
        <v>#NUM!</v>
      </c>
      <c r="Y913" s="2" t="e">
        <f t="shared" si="132"/>
        <v>#NUM!</v>
      </c>
      <c r="Z913" t="e">
        <f t="shared" si="133"/>
        <v>#NUM!</v>
      </c>
      <c r="AA913" t="e">
        <f t="shared" si="134"/>
        <v>#NUM!</v>
      </c>
      <c r="AB913" t="e">
        <f t="shared" si="135"/>
        <v>#NUM!</v>
      </c>
    </row>
    <row r="914" spans="1:28" ht="13.9" x14ac:dyDescent="0.3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f t="shared" si="127"/>
        <v>5.3208456676457221</v>
      </c>
      <c r="L914" s="2">
        <f t="shared" si="128"/>
        <v>5.2426025059289802</v>
      </c>
      <c r="M914" s="2">
        <f t="shared" si="129"/>
        <v>4.7371459197762018</v>
      </c>
      <c r="N914" s="2">
        <v>9.57</v>
      </c>
      <c r="O914" s="2">
        <v>8.9600000000000009</v>
      </c>
      <c r="P914" s="2">
        <v>1.3</v>
      </c>
      <c r="Q914" s="2">
        <v>0</v>
      </c>
      <c r="R914" s="2">
        <v>13.17</v>
      </c>
      <c r="S914" s="2">
        <v>0.18</v>
      </c>
      <c r="T914" s="2">
        <v>8.6199999999999992</v>
      </c>
      <c r="U914" s="2">
        <v>0</v>
      </c>
      <c r="V914" s="2">
        <v>0</v>
      </c>
      <c r="W914" s="2">
        <f t="shared" si="130"/>
        <v>4.3096127724541233</v>
      </c>
      <c r="X914" s="2">
        <f t="shared" si="131"/>
        <v>3.7387678368001915</v>
      </c>
      <c r="Y914" s="2">
        <f t="shared" si="132"/>
        <v>3.1076878693143732</v>
      </c>
      <c r="Z914">
        <f t="shared" si="133"/>
        <v>-0.30409731239613402</v>
      </c>
      <c r="AA914">
        <f t="shared" si="134"/>
        <v>-0.48772027675009</v>
      </c>
      <c r="AB914">
        <f t="shared" si="135"/>
        <v>-0.60817650310901916</v>
      </c>
    </row>
    <row r="915" spans="1:28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 t="e">
        <f t="shared" si="127"/>
        <v>#NUM!</v>
      </c>
      <c r="L915" s="2">
        <f t="shared" si="128"/>
        <v>-1.0588936890535685</v>
      </c>
      <c r="M915" s="2" t="e">
        <f t="shared" si="129"/>
        <v>#NUM!</v>
      </c>
      <c r="N915" s="2">
        <v>0.79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f t="shared" si="130"/>
        <v>-0.34007544159762171</v>
      </c>
      <c r="X915" s="2" t="e">
        <f t="shared" si="131"/>
        <v>#NUM!</v>
      </c>
      <c r="Y915" s="2" t="e">
        <f t="shared" si="132"/>
        <v>#NUM!</v>
      </c>
      <c r="Z915" t="e">
        <f t="shared" si="133"/>
        <v>#NUM!</v>
      </c>
      <c r="AA915" t="e">
        <f t="shared" si="134"/>
        <v>#NUM!</v>
      </c>
      <c r="AB915" t="e">
        <f t="shared" si="135"/>
        <v>#NUM!</v>
      </c>
    </row>
    <row r="916" spans="1:28" ht="13.9" x14ac:dyDescent="0.3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f t="shared" si="127"/>
        <v>6.1232937225101285</v>
      </c>
      <c r="L916" s="2">
        <f t="shared" si="128"/>
        <v>6.1253618063517807</v>
      </c>
      <c r="M916" s="2">
        <f t="shared" si="129"/>
        <v>5.0870384567669475</v>
      </c>
      <c r="N916" s="2">
        <v>0</v>
      </c>
      <c r="O916" s="2">
        <v>11.28</v>
      </c>
      <c r="P916" s="2">
        <v>6.74</v>
      </c>
      <c r="Q916" s="2">
        <v>0.66</v>
      </c>
      <c r="R916" s="2">
        <v>9.27</v>
      </c>
      <c r="S916" s="2">
        <v>16.57</v>
      </c>
      <c r="T916" s="2">
        <v>0.18</v>
      </c>
      <c r="U916" s="2">
        <v>14.23</v>
      </c>
      <c r="V916" s="2">
        <v>25.14</v>
      </c>
      <c r="W916" s="2">
        <f t="shared" si="130"/>
        <v>4.1715271060388135</v>
      </c>
      <c r="X916" s="2">
        <f t="shared" si="131"/>
        <v>4.7279204545631996</v>
      </c>
      <c r="Y916" s="2">
        <f t="shared" si="132"/>
        <v>5.3056057895854298</v>
      </c>
      <c r="Z916">
        <f t="shared" si="133"/>
        <v>-0.55373226815107335</v>
      </c>
      <c r="AA916">
        <f t="shared" si="134"/>
        <v>-0.37358929927478157</v>
      </c>
      <c r="AB916">
        <f t="shared" si="135"/>
        <v>6.069148558192685E-2</v>
      </c>
    </row>
    <row r="917" spans="1:28" ht="13.9" x14ac:dyDescent="0.3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f t="shared" si="127"/>
        <v>6.8626993409765982</v>
      </c>
      <c r="L917" s="2">
        <f t="shared" si="128"/>
        <v>6.9850449622534656</v>
      </c>
      <c r="M917" s="2">
        <f t="shared" si="129"/>
        <v>7.2851247508277579</v>
      </c>
      <c r="N917" s="2">
        <v>0</v>
      </c>
      <c r="O917" s="2">
        <v>31.23</v>
      </c>
      <c r="P917" s="2">
        <v>2.0699999999999998</v>
      </c>
      <c r="Q917" s="2">
        <v>45.82</v>
      </c>
      <c r="R917" s="2">
        <v>41.72</v>
      </c>
      <c r="S917" s="2">
        <v>12.56</v>
      </c>
      <c r="T917" s="2">
        <v>39.340000000000003</v>
      </c>
      <c r="U917" s="2">
        <v>21.35</v>
      </c>
      <c r="V917" s="2">
        <v>0</v>
      </c>
      <c r="W917" s="2">
        <f t="shared" si="130"/>
        <v>5.0574502721838996</v>
      </c>
      <c r="X917" s="2">
        <f t="shared" si="131"/>
        <v>6.645298163948631</v>
      </c>
      <c r="Y917" s="2">
        <f t="shared" si="132"/>
        <v>5.9233869155047145</v>
      </c>
      <c r="Z917">
        <f t="shared" si="133"/>
        <v>-0.44036592129076391</v>
      </c>
      <c r="AA917">
        <f t="shared" si="134"/>
        <v>-7.193546981000816E-2</v>
      </c>
      <c r="AB917">
        <f t="shared" si="135"/>
        <v>-0.29853135126124059</v>
      </c>
    </row>
    <row r="918" spans="1:28" ht="13.9" x14ac:dyDescent="0.3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f t="shared" si="127"/>
        <v>2.9164766444377168</v>
      </c>
      <c r="L918" s="2">
        <f t="shared" si="128"/>
        <v>3.1424134378737416</v>
      </c>
      <c r="M918" s="2">
        <f t="shared" si="129"/>
        <v>1.5310694927259541</v>
      </c>
      <c r="N918" s="2">
        <v>0</v>
      </c>
      <c r="O918" s="2">
        <v>0</v>
      </c>
      <c r="P918" s="2">
        <v>0</v>
      </c>
      <c r="Q918" s="2">
        <v>0</v>
      </c>
      <c r="R918" s="2">
        <v>13.66</v>
      </c>
      <c r="S918" s="2">
        <v>10.74</v>
      </c>
      <c r="T918" s="2">
        <v>0.18</v>
      </c>
      <c r="U918" s="2">
        <v>8.3699999999999992</v>
      </c>
      <c r="V918" s="2">
        <v>0</v>
      </c>
      <c r="W918" s="2" t="e">
        <f t="shared" si="130"/>
        <v>#NUM!</v>
      </c>
      <c r="X918" s="2">
        <f t="shared" si="131"/>
        <v>4.6088092426755241</v>
      </c>
      <c r="Y918" s="2">
        <f t="shared" si="132"/>
        <v>3.0959244199985352</v>
      </c>
      <c r="Z918" t="e">
        <f t="shared" si="133"/>
        <v>#NUM!</v>
      </c>
      <c r="AA918">
        <f t="shared" si="134"/>
        <v>0.55252105200436896</v>
      </c>
      <c r="AB918">
        <f t="shared" si="135"/>
        <v>1.0158304858929041</v>
      </c>
    </row>
    <row r="919" spans="1:28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 t="e">
        <f t="shared" si="127"/>
        <v>#NUM!</v>
      </c>
      <c r="L919" s="2">
        <f t="shared" si="128"/>
        <v>0.31034012061215049</v>
      </c>
      <c r="M919" s="2">
        <f t="shared" si="129"/>
        <v>0.43295940727610632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 t="e">
        <f t="shared" si="130"/>
        <v>#NUM!</v>
      </c>
      <c r="X919" s="2" t="e">
        <f t="shared" si="131"/>
        <v>#NUM!</v>
      </c>
      <c r="Y919" s="2" t="e">
        <f t="shared" si="132"/>
        <v>#NUM!</v>
      </c>
      <c r="Z919" t="e">
        <f t="shared" si="133"/>
        <v>#NUM!</v>
      </c>
      <c r="AA919" t="e">
        <f t="shared" si="134"/>
        <v>#NUM!</v>
      </c>
      <c r="AB919" t="e">
        <f t="shared" si="135"/>
        <v>#NUM!</v>
      </c>
    </row>
    <row r="920" spans="1:28" s="15" customFormat="1" ht="13.9" x14ac:dyDescent="0.3">
      <c r="A920" s="8" t="s">
        <v>937</v>
      </c>
      <c r="B920" s="8">
        <v>386.07</v>
      </c>
      <c r="C920" s="8">
        <v>407.72</v>
      </c>
      <c r="D920" s="8">
        <v>385.27</v>
      </c>
      <c r="E920" s="8">
        <v>421.81</v>
      </c>
      <c r="F920" s="8">
        <v>371.57</v>
      </c>
      <c r="G920" s="8">
        <v>419.75</v>
      </c>
      <c r="H920" s="8">
        <v>376.37</v>
      </c>
      <c r="I920" s="8">
        <v>204.38</v>
      </c>
      <c r="J920" s="8">
        <v>382.49</v>
      </c>
      <c r="K920" s="8">
        <f t="shared" si="127"/>
        <v>10.203421420706599</v>
      </c>
      <c r="L920" s="8">
        <f t="shared" si="128"/>
        <v>10.244518443781626</v>
      </c>
      <c r="M920" s="8">
        <f t="shared" si="129"/>
        <v>9.9117514932130959</v>
      </c>
      <c r="N920" s="8">
        <v>810.57</v>
      </c>
      <c r="O920" s="8">
        <v>475.12</v>
      </c>
      <c r="P920" s="8">
        <v>709.26</v>
      </c>
      <c r="Q920" s="8">
        <v>638.13</v>
      </c>
      <c r="R920" s="8">
        <v>557.94000000000005</v>
      </c>
      <c r="S920" s="8">
        <v>643.04999999999995</v>
      </c>
      <c r="T920" s="8">
        <v>676.4</v>
      </c>
      <c r="U920" s="8">
        <v>549.15</v>
      </c>
      <c r="V920" s="8">
        <v>536.42999999999995</v>
      </c>
      <c r="W920" s="8">
        <f t="shared" si="130"/>
        <v>10.962136872886148</v>
      </c>
      <c r="X920" s="8">
        <f t="shared" si="131"/>
        <v>10.844799901310664</v>
      </c>
      <c r="Y920" s="8">
        <f t="shared" si="132"/>
        <v>10.782981833174345</v>
      </c>
      <c r="Z920" s="15">
        <f t="shared" si="133"/>
        <v>0.10347605419665303</v>
      </c>
      <c r="AA920" s="15">
        <f t="shared" si="134"/>
        <v>8.2151263634326746E-2</v>
      </c>
      <c r="AB920" s="15">
        <f t="shared" si="135"/>
        <v>0.1215442618675296</v>
      </c>
    </row>
    <row r="921" spans="1:28" ht="13.9" x14ac:dyDescent="0.3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f t="shared" si="127"/>
        <v>1.4956951626240689</v>
      </c>
      <c r="L921" s="2">
        <f t="shared" si="128"/>
        <v>-0.32192809488736229</v>
      </c>
      <c r="M921" s="2" t="e">
        <f t="shared" si="129"/>
        <v>#NUM!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 t="e">
        <f t="shared" si="130"/>
        <v>#NUM!</v>
      </c>
      <c r="X921" s="2" t="e">
        <f t="shared" si="131"/>
        <v>#NUM!</v>
      </c>
      <c r="Y921" s="2" t="e">
        <f t="shared" si="132"/>
        <v>#NUM!</v>
      </c>
      <c r="Z921" t="e">
        <f t="shared" si="133"/>
        <v>#NUM!</v>
      </c>
      <c r="AA921" t="e">
        <f t="shared" si="134"/>
        <v>#NUM!</v>
      </c>
      <c r="AB921" t="e">
        <f t="shared" si="135"/>
        <v>#NUM!</v>
      </c>
    </row>
    <row r="922" spans="1:28" ht="13.9" x14ac:dyDescent="0.3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f t="shared" si="127"/>
        <v>-1.15200309344505</v>
      </c>
      <c r="L922" s="2">
        <f t="shared" si="128"/>
        <v>-1.3584539709124763</v>
      </c>
      <c r="M922" s="2" t="e">
        <f t="shared" si="129"/>
        <v>#NUM!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 t="e">
        <f t="shared" si="130"/>
        <v>#NUM!</v>
      </c>
      <c r="X922" s="2" t="e">
        <f t="shared" si="131"/>
        <v>#NUM!</v>
      </c>
      <c r="Y922" s="2" t="e">
        <f t="shared" si="132"/>
        <v>#NUM!</v>
      </c>
      <c r="Z922" t="e">
        <f t="shared" si="133"/>
        <v>#NUM!</v>
      </c>
      <c r="AA922" t="e">
        <f t="shared" si="134"/>
        <v>#NUM!</v>
      </c>
      <c r="AB922" t="e">
        <f t="shared" si="135"/>
        <v>#NUM!</v>
      </c>
    </row>
    <row r="923" spans="1:28" ht="13.9" x14ac:dyDescent="0.3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f t="shared" si="127"/>
        <v>3.2630344058337939</v>
      </c>
      <c r="L923" s="2">
        <f t="shared" si="128"/>
        <v>3.3687683490903351</v>
      </c>
      <c r="M923" s="2">
        <f t="shared" si="129"/>
        <v>3.0565835283663678</v>
      </c>
      <c r="N923" s="2">
        <v>0</v>
      </c>
      <c r="O923" s="2">
        <v>0.57999999999999996</v>
      </c>
      <c r="P923" s="2">
        <v>0.26</v>
      </c>
      <c r="Q923" s="2">
        <v>0</v>
      </c>
      <c r="R923" s="2">
        <v>0.24</v>
      </c>
      <c r="S923" s="2">
        <v>0</v>
      </c>
      <c r="T923" s="2">
        <v>0</v>
      </c>
      <c r="U923" s="2">
        <v>0.21</v>
      </c>
      <c r="V923" s="2">
        <v>0</v>
      </c>
      <c r="W923" s="2">
        <f t="shared" si="130"/>
        <v>-0.2515387669959645</v>
      </c>
      <c r="X923" s="2">
        <f t="shared" si="131"/>
        <v>-2.0588936890535687</v>
      </c>
      <c r="Y923" s="2">
        <f t="shared" si="132"/>
        <v>-2.2515387669959646</v>
      </c>
      <c r="Z923" t="e">
        <f t="shared" si="133"/>
        <v>#NUM!</v>
      </c>
      <c r="AA923" t="e">
        <f t="shared" si="134"/>
        <v>#NUM!</v>
      </c>
      <c r="AB923" t="e">
        <f t="shared" si="135"/>
        <v>#NUM!</v>
      </c>
    </row>
    <row r="924" spans="1:28" ht="13.9" x14ac:dyDescent="0.3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f t="shared" si="127"/>
        <v>6.3023190509488343</v>
      </c>
      <c r="L924" s="2">
        <f t="shared" si="128"/>
        <v>6.0559331286074123</v>
      </c>
      <c r="M924" s="2">
        <f t="shared" si="129"/>
        <v>5.2667865406949019</v>
      </c>
      <c r="N924" s="2">
        <v>3.41</v>
      </c>
      <c r="O924" s="2">
        <v>17.64</v>
      </c>
      <c r="P924" s="2">
        <v>5.96</v>
      </c>
      <c r="Q924" s="2">
        <v>9.89</v>
      </c>
      <c r="R924" s="2">
        <v>48.3</v>
      </c>
      <c r="S924" s="2">
        <v>16.39</v>
      </c>
      <c r="T924" s="2">
        <v>7.19</v>
      </c>
      <c r="U924" s="2">
        <v>8.3699999999999992</v>
      </c>
      <c r="V924" s="2">
        <v>33.68</v>
      </c>
      <c r="W924" s="2">
        <f t="shared" si="130"/>
        <v>4.7554217347342425</v>
      </c>
      <c r="X924" s="2">
        <f t="shared" si="131"/>
        <v>6.2207168919989169</v>
      </c>
      <c r="Y924" s="2">
        <f t="shared" si="132"/>
        <v>5.6217588567097332</v>
      </c>
      <c r="Z924">
        <f t="shared" si="133"/>
        <v>-0.40630949951857948</v>
      </c>
      <c r="AA924">
        <f t="shared" si="134"/>
        <v>3.8731575210286723E-2</v>
      </c>
      <c r="AB924">
        <f t="shared" si="135"/>
        <v>9.4098581949186924E-2</v>
      </c>
    </row>
    <row r="925" spans="1:28" ht="13.9" x14ac:dyDescent="0.3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f t="shared" si="127"/>
        <v>3.4316229597132923</v>
      </c>
      <c r="L925" s="2">
        <f t="shared" si="128"/>
        <v>3.37851162325373</v>
      </c>
      <c r="M925" s="2">
        <f t="shared" si="129"/>
        <v>2.3219280948873622</v>
      </c>
      <c r="N925" s="2">
        <v>0</v>
      </c>
      <c r="O925" s="2">
        <v>0</v>
      </c>
      <c r="P925" s="2">
        <v>0</v>
      </c>
      <c r="Q925" s="2">
        <v>7.91</v>
      </c>
      <c r="R925" s="2">
        <v>3.66</v>
      </c>
      <c r="S925" s="2">
        <v>0</v>
      </c>
      <c r="T925" s="2">
        <v>1.44</v>
      </c>
      <c r="U925" s="2">
        <v>0.42</v>
      </c>
      <c r="V925" s="2">
        <v>1.51</v>
      </c>
      <c r="W925" s="2" t="e">
        <f t="shared" si="130"/>
        <v>#NUM!</v>
      </c>
      <c r="X925" s="2">
        <f t="shared" si="131"/>
        <v>3.532316959332765</v>
      </c>
      <c r="Y925" s="2">
        <f t="shared" si="132"/>
        <v>1.7527485914071339</v>
      </c>
      <c r="Z925" t="e">
        <f t="shared" si="133"/>
        <v>#NUM!</v>
      </c>
      <c r="AA925">
        <f t="shared" si="134"/>
        <v>6.4226985171358233E-2</v>
      </c>
      <c r="AB925">
        <f t="shared" si="135"/>
        <v>-0.40570422031338355</v>
      </c>
    </row>
    <row r="926" spans="1:28" ht="13.9" x14ac:dyDescent="0.3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f t="shared" si="127"/>
        <v>8.0595067041894541</v>
      </c>
      <c r="L926" s="2">
        <f t="shared" si="128"/>
        <v>8.2265085298086795</v>
      </c>
      <c r="M926" s="2">
        <f t="shared" si="129"/>
        <v>7.6007306333223577</v>
      </c>
      <c r="N926" s="2">
        <v>39.33</v>
      </c>
      <c r="O926" s="2">
        <v>20.82</v>
      </c>
      <c r="P926" s="2">
        <v>4.41</v>
      </c>
      <c r="Q926" s="2">
        <v>46.15</v>
      </c>
      <c r="R926" s="2">
        <v>110.03</v>
      </c>
      <c r="S926" s="2">
        <v>17.3</v>
      </c>
      <c r="T926" s="2">
        <v>28.56</v>
      </c>
      <c r="U926" s="2">
        <v>51.9</v>
      </c>
      <c r="V926" s="2">
        <v>30.67</v>
      </c>
      <c r="W926" s="2">
        <f t="shared" si="130"/>
        <v>6.0125686735030559</v>
      </c>
      <c r="X926" s="2">
        <f t="shared" si="131"/>
        <v>7.4386255380883792</v>
      </c>
      <c r="Y926" s="2">
        <f t="shared" si="132"/>
        <v>6.7961045205321451</v>
      </c>
      <c r="Z926">
        <f t="shared" si="133"/>
        <v>-0.42271007190652005</v>
      </c>
      <c r="AA926">
        <f t="shared" si="134"/>
        <v>-0.14524418227901673</v>
      </c>
      <c r="AB926">
        <f t="shared" si="135"/>
        <v>-0.16143006617987646</v>
      </c>
    </row>
    <row r="927" spans="1:28" x14ac:dyDescent="0.3">
      <c r="Z927" t="e">
        <f t="shared" si="133"/>
        <v>#DIV/0!</v>
      </c>
      <c r="AA927" t="e">
        <f t="shared" si="134"/>
        <v>#DIV/0!</v>
      </c>
      <c r="AB927" t="e">
        <f t="shared" si="135"/>
        <v>#DIV/0!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1"/>
  <sheetViews>
    <sheetView topLeftCell="D12" zoomScale="83" workbookViewId="0">
      <selection activeCell="R2" sqref="R2:R44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</cols>
  <sheetData>
    <row r="1" spans="1:20" ht="13.9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 t="s">
        <v>13</v>
      </c>
      <c r="K1" s="2" t="s">
        <v>14</v>
      </c>
      <c r="L1" s="2" t="s">
        <v>15</v>
      </c>
      <c r="M1" s="2" t="s">
        <v>4</v>
      </c>
      <c r="N1" s="2" t="s">
        <v>5</v>
      </c>
      <c r="O1" s="2" t="s">
        <v>6</v>
      </c>
      <c r="P1" s="3" t="s">
        <v>946</v>
      </c>
      <c r="Q1" s="3" t="s">
        <v>947</v>
      </c>
      <c r="R1" s="4" t="s">
        <v>954</v>
      </c>
      <c r="S1" s="4" t="s">
        <v>955</v>
      </c>
      <c r="T1" t="s">
        <v>958</v>
      </c>
    </row>
    <row r="2" spans="1:20" ht="13.5" customHeight="1" x14ac:dyDescent="0.3">
      <c r="A2" s="2" t="s">
        <v>381</v>
      </c>
      <c r="B2" s="2">
        <v>290.12</v>
      </c>
      <c r="C2" s="2">
        <v>330.24</v>
      </c>
      <c r="D2" s="2">
        <v>239.88</v>
      </c>
      <c r="E2" s="2">
        <v>186.93</v>
      </c>
      <c r="F2" s="2">
        <v>156.46</v>
      </c>
      <c r="G2" s="2">
        <v>141.13</v>
      </c>
      <c r="H2" s="2">
        <f t="shared" ref="H2:H44" si="0">LOG(SUM(B2:D2)/SUM(E2:G2),2)</f>
        <v>0.82818299783017546</v>
      </c>
      <c r="I2" s="2">
        <f t="shared" ref="I2:I44" si="1">_xlfn.T.TEST(B2:D2,E2:G2,2,2)</f>
        <v>1.3056714670193963E-2</v>
      </c>
      <c r="J2" s="2">
        <v>177.33</v>
      </c>
      <c r="K2" s="2">
        <v>193.22</v>
      </c>
      <c r="L2" s="2">
        <v>216.48</v>
      </c>
      <c r="M2" s="2">
        <v>97.93</v>
      </c>
      <c r="N2" s="2">
        <v>111.65</v>
      </c>
      <c r="O2" s="2">
        <v>114.24</v>
      </c>
      <c r="P2" s="2">
        <f t="shared" ref="P2:P44" si="2">LOG(SUM(J2:L2)/SUM(M2:O2),2)</f>
        <v>0.85824214059180015</v>
      </c>
      <c r="Q2" s="2">
        <f t="shared" ref="Q2:Q44" si="3">_xlfn.T.TEST(J2:L2,M2:O2,2,2)</f>
        <v>2.133598156241175E-3</v>
      </c>
      <c r="R2" s="2">
        <f t="shared" ref="R2:R44" si="4">P2-H2</f>
        <v>3.0059142761624691E-2</v>
      </c>
      <c r="S2">
        <f t="shared" ref="S2:S44" si="5">P2/H2</f>
        <v>1.0362952908238627</v>
      </c>
      <c r="T2">
        <v>9.1972904235108714</v>
      </c>
    </row>
    <row r="3" spans="1:20" ht="13.9" x14ac:dyDescent="0.3">
      <c r="A3" s="2" t="s">
        <v>186</v>
      </c>
      <c r="B3" s="2">
        <v>0.13</v>
      </c>
      <c r="C3" s="2">
        <v>50.03</v>
      </c>
      <c r="D3" s="2">
        <v>9.08</v>
      </c>
      <c r="E3" s="2">
        <v>0.88</v>
      </c>
      <c r="F3" s="2">
        <v>0.44</v>
      </c>
      <c r="G3" s="2">
        <v>1.02</v>
      </c>
      <c r="H3" s="2">
        <f t="shared" si="0"/>
        <v>4.6619912057054433</v>
      </c>
      <c r="I3" s="2">
        <f t="shared" si="1"/>
        <v>0.2845188899430493</v>
      </c>
      <c r="J3" s="2">
        <v>0</v>
      </c>
      <c r="K3" s="2">
        <v>80.510000000000005</v>
      </c>
      <c r="L3" s="2">
        <v>0.18</v>
      </c>
      <c r="M3" s="2">
        <v>0</v>
      </c>
      <c r="N3" s="2">
        <v>2.0099999999999998</v>
      </c>
      <c r="O3" s="2">
        <v>1.05</v>
      </c>
      <c r="P3" s="2">
        <f t="shared" si="2"/>
        <v>4.7207863317755168</v>
      </c>
      <c r="Q3" s="2">
        <f t="shared" si="3"/>
        <v>0.38915632105579978</v>
      </c>
      <c r="R3" s="2">
        <f t="shared" si="4"/>
        <v>5.8795126070073422E-2</v>
      </c>
      <c r="S3">
        <f t="shared" si="5"/>
        <v>1.0126115909438265</v>
      </c>
      <c r="T3">
        <v>6.3343179846934445</v>
      </c>
    </row>
    <row r="4" spans="1:20" ht="13.9" x14ac:dyDescent="0.3">
      <c r="A4" s="2" t="s">
        <v>886</v>
      </c>
      <c r="B4" s="2">
        <v>136.34</v>
      </c>
      <c r="C4" s="2">
        <v>205.61</v>
      </c>
      <c r="D4" s="2">
        <v>55.5</v>
      </c>
      <c r="E4" s="2">
        <v>125.75</v>
      </c>
      <c r="F4" s="2">
        <v>135.16999999999999</v>
      </c>
      <c r="G4" s="2">
        <v>125.93</v>
      </c>
      <c r="H4" s="2">
        <f t="shared" si="0"/>
        <v>3.8999104060152098E-2</v>
      </c>
      <c r="I4" s="2">
        <f t="shared" si="1"/>
        <v>0.93914631631798473</v>
      </c>
      <c r="J4" s="2">
        <v>110.09</v>
      </c>
      <c r="K4" s="2">
        <v>204.44</v>
      </c>
      <c r="L4" s="2">
        <v>129.63</v>
      </c>
      <c r="M4" s="2">
        <v>117.47</v>
      </c>
      <c r="N4" s="2">
        <v>171.28</v>
      </c>
      <c r="O4" s="2">
        <v>123.93</v>
      </c>
      <c r="P4" s="2">
        <f t="shared" si="2"/>
        <v>0.10605595133031381</v>
      </c>
      <c r="Q4" s="2">
        <f t="shared" si="3"/>
        <v>0.76898078532208669</v>
      </c>
      <c r="R4" s="2">
        <f t="shared" si="4"/>
        <v>6.7056847270161715E-2</v>
      </c>
      <c r="S4">
        <f t="shared" si="5"/>
        <v>2.7194458407745326</v>
      </c>
      <c r="T4">
        <v>8.7949356628035371</v>
      </c>
    </row>
    <row r="5" spans="1:20" ht="13.9" x14ac:dyDescent="0.3">
      <c r="A5" s="2" t="s">
        <v>80</v>
      </c>
      <c r="B5" s="2">
        <v>50.08</v>
      </c>
      <c r="C5" s="2">
        <v>46.85</v>
      </c>
      <c r="D5" s="2">
        <v>29.3</v>
      </c>
      <c r="E5" s="2">
        <v>4.1500000000000004</v>
      </c>
      <c r="F5" s="2">
        <v>11.09</v>
      </c>
      <c r="G5" s="2">
        <v>2.61</v>
      </c>
      <c r="H5" s="2">
        <f t="shared" si="0"/>
        <v>2.8220588446438226</v>
      </c>
      <c r="I5" s="2">
        <f t="shared" si="1"/>
        <v>6.5682172845136092E-3</v>
      </c>
      <c r="J5" s="2">
        <v>24.06</v>
      </c>
      <c r="K5" s="2">
        <v>30.25</v>
      </c>
      <c r="L5" s="2">
        <v>71.92</v>
      </c>
      <c r="M5" s="2">
        <v>7.7</v>
      </c>
      <c r="N5" s="2">
        <v>5.48</v>
      </c>
      <c r="O5" s="2">
        <v>3.79</v>
      </c>
      <c r="P5" s="2">
        <f t="shared" si="2"/>
        <v>2.8949963540176213</v>
      </c>
      <c r="Q5" s="2">
        <f t="shared" si="3"/>
        <v>7.3032471420022171E-2</v>
      </c>
      <c r="R5" s="2">
        <f t="shared" si="4"/>
        <v>7.2937509373798726E-2</v>
      </c>
      <c r="S5">
        <f t="shared" si="5"/>
        <v>1.0258454955722245</v>
      </c>
      <c r="T5">
        <v>6.9799110137855607</v>
      </c>
    </row>
    <row r="6" spans="1:20" ht="13.9" x14ac:dyDescent="0.3">
      <c r="A6" s="2" t="s">
        <v>175</v>
      </c>
      <c r="B6" s="2">
        <v>14.03</v>
      </c>
      <c r="C6" s="2">
        <v>17.059999999999999</v>
      </c>
      <c r="D6" s="2">
        <v>17.89</v>
      </c>
      <c r="E6" s="2">
        <v>10.32</v>
      </c>
      <c r="F6" s="2">
        <v>15.52</v>
      </c>
      <c r="G6" s="2">
        <v>8.0500000000000007</v>
      </c>
      <c r="H6" s="2">
        <f t="shared" si="0"/>
        <v>0.53133313707998375</v>
      </c>
      <c r="I6" s="2">
        <f t="shared" si="1"/>
        <v>0.11484471847111179</v>
      </c>
      <c r="J6" s="2">
        <v>4.9400000000000004</v>
      </c>
      <c r="K6" s="2">
        <v>36.11</v>
      </c>
      <c r="L6" s="2">
        <v>12.02</v>
      </c>
      <c r="M6" s="2">
        <v>16.09</v>
      </c>
      <c r="N6" s="2">
        <v>9.89</v>
      </c>
      <c r="O6" s="2">
        <v>8.5399999999999991</v>
      </c>
      <c r="P6" s="2">
        <f t="shared" si="2"/>
        <v>0.62046408423265953</v>
      </c>
      <c r="Q6" s="2">
        <f t="shared" si="3"/>
        <v>0.55911436286277616</v>
      </c>
      <c r="R6" s="2">
        <f t="shared" si="4"/>
        <v>8.9130947152675777E-2</v>
      </c>
      <c r="S6">
        <f t="shared" si="5"/>
        <v>1.1677496488220318</v>
      </c>
      <c r="T6">
        <v>5.7298246436368894</v>
      </c>
    </row>
    <row r="7" spans="1:20" ht="13.9" x14ac:dyDescent="0.3">
      <c r="A7" s="2" t="s">
        <v>279</v>
      </c>
      <c r="B7" s="2">
        <v>133.72</v>
      </c>
      <c r="C7" s="2">
        <v>229.32</v>
      </c>
      <c r="D7" s="2">
        <v>261.92</v>
      </c>
      <c r="E7" s="2">
        <v>136.33000000000001</v>
      </c>
      <c r="F7" s="2">
        <v>133.84</v>
      </c>
      <c r="G7" s="2">
        <v>110.84</v>
      </c>
      <c r="H7" s="2">
        <f t="shared" si="0"/>
        <v>0.71393499110409375</v>
      </c>
      <c r="I7" s="2">
        <f t="shared" si="1"/>
        <v>0.10743353852565017</v>
      </c>
      <c r="J7" s="2">
        <v>187.55</v>
      </c>
      <c r="K7" s="2">
        <v>379.85</v>
      </c>
      <c r="L7" s="2">
        <v>177.7</v>
      </c>
      <c r="M7" s="2">
        <v>131.88</v>
      </c>
      <c r="N7" s="2">
        <v>131.30000000000001</v>
      </c>
      <c r="O7" s="2">
        <v>151.44</v>
      </c>
      <c r="P7" s="2">
        <f t="shared" si="2"/>
        <v>0.84564435360063217</v>
      </c>
      <c r="Q7" s="2">
        <f t="shared" si="3"/>
        <v>0.17110692123607038</v>
      </c>
      <c r="R7" s="2">
        <f t="shared" si="4"/>
        <v>0.13170936249653842</v>
      </c>
      <c r="S7">
        <f t="shared" si="5"/>
        <v>1.1844836912851844</v>
      </c>
      <c r="T7">
        <v>9.5412902526950791</v>
      </c>
    </row>
    <row r="8" spans="1:20" ht="13.9" x14ac:dyDescent="0.3">
      <c r="A8" s="2" t="s">
        <v>380</v>
      </c>
      <c r="B8" s="2">
        <v>241.74</v>
      </c>
      <c r="C8" s="2">
        <v>978.3</v>
      </c>
      <c r="D8" s="2">
        <v>71.83</v>
      </c>
      <c r="E8" s="2">
        <v>81.95</v>
      </c>
      <c r="F8" s="2">
        <v>133.61000000000001</v>
      </c>
      <c r="G8" s="2">
        <v>77.37</v>
      </c>
      <c r="H8" s="2">
        <f t="shared" si="0"/>
        <v>2.1408330425034539</v>
      </c>
      <c r="I8" s="2">
        <f t="shared" si="1"/>
        <v>0.29829829693674442</v>
      </c>
      <c r="J8" s="2">
        <v>336.87</v>
      </c>
      <c r="K8" s="2">
        <v>789.95</v>
      </c>
      <c r="L8" s="2">
        <v>227.95</v>
      </c>
      <c r="M8" s="2">
        <v>62.68</v>
      </c>
      <c r="N8" s="2">
        <v>139.59</v>
      </c>
      <c r="O8" s="2">
        <v>73.14</v>
      </c>
      <c r="P8" s="2">
        <f t="shared" si="2"/>
        <v>2.2983950962127544</v>
      </c>
      <c r="Q8" s="2">
        <f t="shared" si="3"/>
        <v>0.10714941627010582</v>
      </c>
      <c r="R8" s="2">
        <f t="shared" si="4"/>
        <v>0.15756205370930054</v>
      </c>
      <c r="S8">
        <f t="shared" si="5"/>
        <v>1.0735984780602275</v>
      </c>
      <c r="T8">
        <v>10.403832229950146</v>
      </c>
    </row>
    <row r="9" spans="1:20" ht="13.9" x14ac:dyDescent="0.3">
      <c r="A9" s="2" t="s">
        <v>603</v>
      </c>
      <c r="B9" s="2">
        <v>101.34</v>
      </c>
      <c r="C9" s="2">
        <v>106.71</v>
      </c>
      <c r="D9" s="2">
        <v>93.62</v>
      </c>
      <c r="E9" s="2">
        <v>34.99</v>
      </c>
      <c r="F9" s="2">
        <v>25.95</v>
      </c>
      <c r="G9" s="2">
        <v>20.87</v>
      </c>
      <c r="H9" s="2">
        <f t="shared" si="0"/>
        <v>1.882622126681311</v>
      </c>
      <c r="I9" s="2">
        <f t="shared" si="1"/>
        <v>1.9833876481801515E-4</v>
      </c>
      <c r="J9" s="2">
        <v>94.6</v>
      </c>
      <c r="K9" s="2">
        <v>174.68</v>
      </c>
      <c r="L9" s="2">
        <v>54.26</v>
      </c>
      <c r="M9" s="2">
        <v>15.79</v>
      </c>
      <c r="N9" s="2">
        <v>36.64</v>
      </c>
      <c r="O9" s="2">
        <v>24.24</v>
      </c>
      <c r="P9" s="2">
        <f t="shared" si="2"/>
        <v>2.0772100020195148</v>
      </c>
      <c r="Q9" s="2">
        <f t="shared" si="3"/>
        <v>8.3665021614219098E-2</v>
      </c>
      <c r="R9" s="2">
        <f t="shared" si="4"/>
        <v>0.19458787533820376</v>
      </c>
      <c r="S9">
        <f t="shared" si="5"/>
        <v>1.1033600277933753</v>
      </c>
      <c r="T9">
        <v>8.3378002767505102</v>
      </c>
    </row>
    <row r="10" spans="1:20" ht="13.9" x14ac:dyDescent="0.3">
      <c r="A10" s="2" t="s">
        <v>207</v>
      </c>
      <c r="B10" s="2">
        <v>24.51</v>
      </c>
      <c r="C10" s="2">
        <v>0.28999999999999998</v>
      </c>
      <c r="D10" s="2">
        <v>52.12</v>
      </c>
      <c r="E10" s="2">
        <v>9.94</v>
      </c>
      <c r="F10" s="2">
        <v>9.65</v>
      </c>
      <c r="G10" s="2">
        <v>9.98</v>
      </c>
      <c r="H10" s="2">
        <f t="shared" si="0"/>
        <v>1.3792245192195731</v>
      </c>
      <c r="I10" s="2">
        <f t="shared" si="1"/>
        <v>0.35129163569391897</v>
      </c>
      <c r="J10" s="2">
        <v>16.809999999999999</v>
      </c>
      <c r="K10" s="2">
        <v>43.91</v>
      </c>
      <c r="L10" s="2">
        <v>44.06</v>
      </c>
      <c r="M10" s="2">
        <v>10.27</v>
      </c>
      <c r="N10" s="2">
        <v>11.5</v>
      </c>
      <c r="O10" s="2">
        <v>13.17</v>
      </c>
      <c r="P10" s="2">
        <f t="shared" si="2"/>
        <v>1.5844118537523004</v>
      </c>
      <c r="Q10" s="2">
        <f t="shared" si="3"/>
        <v>6.2705018700918838E-2</v>
      </c>
      <c r="R10" s="2">
        <f t="shared" si="4"/>
        <v>0.20518733453272731</v>
      </c>
      <c r="S10">
        <f t="shared" si="5"/>
        <v>1.148770074540751</v>
      </c>
      <c r="T10">
        <v>6.7112195568943349</v>
      </c>
    </row>
    <row r="11" spans="1:20" ht="13.9" x14ac:dyDescent="0.3">
      <c r="A11" s="2" t="s">
        <v>173</v>
      </c>
      <c r="B11" s="2">
        <v>195.6</v>
      </c>
      <c r="C11" s="2">
        <v>383.16</v>
      </c>
      <c r="D11" s="2">
        <v>278.77999999999997</v>
      </c>
      <c r="E11" s="2">
        <v>145.52000000000001</v>
      </c>
      <c r="F11" s="2">
        <v>141.82</v>
      </c>
      <c r="G11" s="2">
        <v>122.86</v>
      </c>
      <c r="H11" s="2">
        <f t="shared" si="0"/>
        <v>1.0638764756259622</v>
      </c>
      <c r="I11" s="2">
        <f t="shared" si="1"/>
        <v>5.2688702084236878E-2</v>
      </c>
      <c r="J11" s="2">
        <v>338.84</v>
      </c>
      <c r="K11" s="2">
        <v>329.59</v>
      </c>
      <c r="L11" s="2">
        <v>346.47</v>
      </c>
      <c r="M11" s="2">
        <v>135.63</v>
      </c>
      <c r="N11" s="2">
        <v>145.61000000000001</v>
      </c>
      <c r="O11" s="2">
        <v>135.41999999999999</v>
      </c>
      <c r="P11" s="2">
        <f t="shared" si="2"/>
        <v>1.2843950721048101</v>
      </c>
      <c r="Q11" s="2">
        <f t="shared" si="3"/>
        <v>4.6530517957086457E-6</v>
      </c>
      <c r="R11" s="2">
        <f t="shared" si="4"/>
        <v>0.22051859647884786</v>
      </c>
      <c r="S11">
        <f t="shared" si="5"/>
        <v>1.2072783838453609</v>
      </c>
      <c r="T11">
        <v>9.9871218676277831</v>
      </c>
    </row>
    <row r="12" spans="1:20" ht="13.9" x14ac:dyDescent="0.3">
      <c r="A12" s="2" t="s">
        <v>262</v>
      </c>
      <c r="B12" s="2">
        <v>548.24</v>
      </c>
      <c r="C12" s="2">
        <v>896.75</v>
      </c>
      <c r="D12" s="2">
        <v>893.9</v>
      </c>
      <c r="E12" s="2">
        <v>540.77</v>
      </c>
      <c r="F12" s="2">
        <v>488.55</v>
      </c>
      <c r="G12" s="2">
        <v>553.05999999999995</v>
      </c>
      <c r="H12" s="2">
        <f t="shared" si="0"/>
        <v>0.56372791527287036</v>
      </c>
      <c r="I12" s="2">
        <f t="shared" si="1"/>
        <v>9.8157963174418369E-2</v>
      </c>
      <c r="J12" s="2">
        <v>1060.7</v>
      </c>
      <c r="K12" s="2">
        <v>845.81</v>
      </c>
      <c r="L12" s="2">
        <v>940.91</v>
      </c>
      <c r="M12" s="2">
        <v>506.01</v>
      </c>
      <c r="N12" s="2">
        <v>594.46</v>
      </c>
      <c r="O12" s="2">
        <v>517.66</v>
      </c>
      <c r="P12" s="2">
        <f t="shared" si="2"/>
        <v>0.81532779106588626</v>
      </c>
      <c r="Q12" s="2">
        <f t="shared" si="3"/>
        <v>3.8382092093988537E-3</v>
      </c>
      <c r="R12" s="2">
        <f t="shared" si="4"/>
        <v>0.2515998757930159</v>
      </c>
      <c r="S12">
        <f t="shared" si="5"/>
        <v>1.4463143814179042</v>
      </c>
      <c r="T12">
        <v>11.475439593768575</v>
      </c>
    </row>
    <row r="13" spans="1:20" ht="13.9" x14ac:dyDescent="0.3">
      <c r="A13" s="2" t="s">
        <v>398</v>
      </c>
      <c r="B13" s="2">
        <v>0</v>
      </c>
      <c r="C13" s="2">
        <v>0</v>
      </c>
      <c r="D13" s="2">
        <v>7.26</v>
      </c>
      <c r="E13" s="2">
        <v>1.01</v>
      </c>
      <c r="F13" s="2">
        <v>1.66</v>
      </c>
      <c r="G13" s="2">
        <v>0</v>
      </c>
      <c r="H13" s="2">
        <f t="shared" si="0"/>
        <v>1.443129806308197</v>
      </c>
      <c r="I13" s="2">
        <f t="shared" si="1"/>
        <v>0.56882844746197914</v>
      </c>
      <c r="J13" s="2">
        <v>0.33</v>
      </c>
      <c r="K13" s="2">
        <v>0</v>
      </c>
      <c r="L13" s="2">
        <v>8.19</v>
      </c>
      <c r="M13" s="2">
        <v>0</v>
      </c>
      <c r="N13" s="2">
        <v>0.53</v>
      </c>
      <c r="O13" s="2">
        <v>2</v>
      </c>
      <c r="P13" s="2">
        <f t="shared" si="2"/>
        <v>1.7517160455315282</v>
      </c>
      <c r="Q13" s="2">
        <f t="shared" si="3"/>
        <v>0.50694988264520413</v>
      </c>
      <c r="R13" s="2">
        <f t="shared" si="4"/>
        <v>0.30858623922333117</v>
      </c>
      <c r="S13">
        <f t="shared" si="5"/>
        <v>1.2138312422586253</v>
      </c>
      <c r="T13">
        <v>3.0908534304511139</v>
      </c>
    </row>
    <row r="14" spans="1:20" ht="13.9" x14ac:dyDescent="0.3">
      <c r="A14" s="2" t="s">
        <v>400</v>
      </c>
      <c r="B14" s="2">
        <v>0</v>
      </c>
      <c r="C14" s="2">
        <v>0</v>
      </c>
      <c r="D14" s="2">
        <v>7.26</v>
      </c>
      <c r="E14" s="2">
        <v>1.01</v>
      </c>
      <c r="F14" s="2">
        <v>1.66</v>
      </c>
      <c r="G14" s="2">
        <v>0</v>
      </c>
      <c r="H14" s="2">
        <f t="shared" si="0"/>
        <v>1.443129806308197</v>
      </c>
      <c r="I14" s="2">
        <f t="shared" si="1"/>
        <v>0.56882844746197914</v>
      </c>
      <c r="J14" s="2">
        <v>0.33</v>
      </c>
      <c r="K14" s="2">
        <v>0</v>
      </c>
      <c r="L14" s="2">
        <v>8.19</v>
      </c>
      <c r="M14" s="2">
        <v>0</v>
      </c>
      <c r="N14" s="2">
        <v>0.53</v>
      </c>
      <c r="O14" s="2">
        <v>2</v>
      </c>
      <c r="P14" s="2">
        <f t="shared" si="2"/>
        <v>1.7517160455315282</v>
      </c>
      <c r="Q14" s="2">
        <f t="shared" si="3"/>
        <v>0.50694988264520413</v>
      </c>
      <c r="R14" s="2">
        <f t="shared" si="4"/>
        <v>0.30858623922333117</v>
      </c>
      <c r="S14">
        <f t="shared" si="5"/>
        <v>1.2138312422586253</v>
      </c>
      <c r="T14">
        <v>3.0908534304511139</v>
      </c>
    </row>
    <row r="15" spans="1:20" ht="13.9" x14ac:dyDescent="0.3">
      <c r="A15" s="2" t="s">
        <v>282</v>
      </c>
      <c r="B15" s="2">
        <v>23.6</v>
      </c>
      <c r="C15" s="2">
        <v>45.4</v>
      </c>
      <c r="D15" s="2">
        <v>32.159999999999997</v>
      </c>
      <c r="E15" s="2">
        <v>24.8</v>
      </c>
      <c r="F15" s="2">
        <v>21.95</v>
      </c>
      <c r="G15" s="2">
        <v>14.07</v>
      </c>
      <c r="H15" s="2">
        <f t="shared" si="0"/>
        <v>0.73402122063244069</v>
      </c>
      <c r="I15" s="2">
        <f t="shared" si="1"/>
        <v>0.13144050647057537</v>
      </c>
      <c r="J15" s="2">
        <v>57.35</v>
      </c>
      <c r="K15" s="2">
        <v>37.57</v>
      </c>
      <c r="L15" s="2">
        <v>57.9</v>
      </c>
      <c r="M15" s="2">
        <v>24.97</v>
      </c>
      <c r="N15" s="2">
        <v>17.52</v>
      </c>
      <c r="O15" s="2">
        <v>29.93</v>
      </c>
      <c r="P15" s="2">
        <f t="shared" si="2"/>
        <v>1.0773732835191736</v>
      </c>
      <c r="Q15" s="2">
        <f t="shared" si="3"/>
        <v>2.4284842045341207E-2</v>
      </c>
      <c r="R15" s="2">
        <f t="shared" si="4"/>
        <v>0.34335206288673292</v>
      </c>
      <c r="S15">
        <f t="shared" si="5"/>
        <v>1.467768578394637</v>
      </c>
      <c r="T15">
        <v>7.2556895552206262</v>
      </c>
    </row>
    <row r="16" spans="1:20" ht="13.9" x14ac:dyDescent="0.3">
      <c r="A16" s="2" t="s">
        <v>217</v>
      </c>
      <c r="B16" s="2">
        <v>57.03</v>
      </c>
      <c r="C16" s="2">
        <v>118.28</v>
      </c>
      <c r="D16" s="2">
        <v>94.65</v>
      </c>
      <c r="E16" s="2">
        <v>23.67</v>
      </c>
      <c r="F16" s="2">
        <v>26.06</v>
      </c>
      <c r="G16" s="2">
        <v>32.450000000000003</v>
      </c>
      <c r="H16" s="2">
        <f t="shared" si="0"/>
        <v>1.715886423225641</v>
      </c>
      <c r="I16" s="2">
        <f t="shared" si="1"/>
        <v>2.5527826185763675E-2</v>
      </c>
      <c r="J16" s="2">
        <v>109.1</v>
      </c>
      <c r="K16" s="2">
        <v>96.61</v>
      </c>
      <c r="L16" s="2">
        <v>89.21</v>
      </c>
      <c r="M16" s="2">
        <v>19.64</v>
      </c>
      <c r="N16" s="2">
        <v>22.86</v>
      </c>
      <c r="O16" s="2">
        <v>28.14</v>
      </c>
      <c r="P16" s="2">
        <f t="shared" si="2"/>
        <v>2.0617664139833458</v>
      </c>
      <c r="Q16" s="2">
        <f t="shared" si="3"/>
        <v>2.9070615458903385E-4</v>
      </c>
      <c r="R16" s="2">
        <f t="shared" si="4"/>
        <v>0.34587999075770481</v>
      </c>
      <c r="S16">
        <f t="shared" si="5"/>
        <v>1.2015751078136605</v>
      </c>
      <c r="T16">
        <v>8.2041798518570879</v>
      </c>
    </row>
    <row r="17" spans="1:20" ht="13.9" x14ac:dyDescent="0.3">
      <c r="A17" s="2" t="s">
        <v>455</v>
      </c>
      <c r="B17" s="2">
        <v>4133.7299999999996</v>
      </c>
      <c r="C17" s="2">
        <v>4278.72</v>
      </c>
      <c r="D17" s="2">
        <v>2628.01</v>
      </c>
      <c r="E17" s="2">
        <v>2929.69</v>
      </c>
      <c r="F17" s="2">
        <v>2766.3</v>
      </c>
      <c r="G17" s="2">
        <v>2177.64</v>
      </c>
      <c r="H17" s="2">
        <f t="shared" si="0"/>
        <v>0.4876994595159474</v>
      </c>
      <c r="I17" s="2">
        <f t="shared" si="1"/>
        <v>0.14028829502779649</v>
      </c>
      <c r="J17" s="2">
        <v>4066.78</v>
      </c>
      <c r="K17" s="2">
        <v>4570.38</v>
      </c>
      <c r="L17" s="2">
        <v>4024.91</v>
      </c>
      <c r="M17" s="2">
        <v>2126.7199999999998</v>
      </c>
      <c r="N17" s="2">
        <v>2502.9899999999998</v>
      </c>
      <c r="O17" s="2">
        <v>2059.98</v>
      </c>
      <c r="P17" s="2">
        <f t="shared" si="2"/>
        <v>0.9205020132880074</v>
      </c>
      <c r="Q17" s="2">
        <f t="shared" si="3"/>
        <v>8.7066497256331813E-4</v>
      </c>
      <c r="R17" s="2">
        <f t="shared" si="4"/>
        <v>0.43280255377206001</v>
      </c>
      <c r="S17">
        <f t="shared" si="5"/>
        <v>1.8874370174648669</v>
      </c>
      <c r="T17">
        <v>13.628225655928199</v>
      </c>
    </row>
    <row r="18" spans="1:20" ht="13.9" x14ac:dyDescent="0.3">
      <c r="A18" s="2" t="s">
        <v>34</v>
      </c>
      <c r="B18" s="2">
        <v>15793.03</v>
      </c>
      <c r="C18" s="2">
        <v>31048.5</v>
      </c>
      <c r="D18" s="2">
        <v>33802.67</v>
      </c>
      <c r="E18" s="2">
        <v>23919.759999999998</v>
      </c>
      <c r="F18" s="2">
        <v>19157.759999999998</v>
      </c>
      <c r="G18" s="2">
        <v>24993.58</v>
      </c>
      <c r="H18" s="2">
        <f t="shared" si="0"/>
        <v>0.24452835399030939</v>
      </c>
      <c r="I18" s="2">
        <f t="shared" si="1"/>
        <v>0.51543329036163166</v>
      </c>
      <c r="J18" s="2">
        <v>42567.01</v>
      </c>
      <c r="K18" s="2">
        <v>35176.58</v>
      </c>
      <c r="L18" s="2">
        <v>32349.85</v>
      </c>
      <c r="M18" s="2">
        <v>24656.6</v>
      </c>
      <c r="N18" s="2">
        <v>17876.98</v>
      </c>
      <c r="O18" s="2">
        <v>25804.61</v>
      </c>
      <c r="P18" s="2">
        <f t="shared" si="2"/>
        <v>0.68796456512290549</v>
      </c>
      <c r="Q18" s="2">
        <f t="shared" si="3"/>
        <v>2.3858430602871725E-2</v>
      </c>
      <c r="R18" s="2">
        <f t="shared" si="4"/>
        <v>0.44343621113259613</v>
      </c>
      <c r="S18">
        <f t="shared" si="5"/>
        <v>2.8134347362848948</v>
      </c>
      <c r="T18">
        <v>16.748368981836599</v>
      </c>
    </row>
    <row r="19" spans="1:20" ht="13.9" x14ac:dyDescent="0.3">
      <c r="A19" s="2" t="s">
        <v>776</v>
      </c>
      <c r="B19" s="2">
        <v>26.74</v>
      </c>
      <c r="C19" s="2">
        <v>14.75</v>
      </c>
      <c r="D19" s="2">
        <v>0</v>
      </c>
      <c r="E19" s="2">
        <v>2.27</v>
      </c>
      <c r="F19" s="2">
        <v>12.64</v>
      </c>
      <c r="G19" s="2">
        <v>3.52</v>
      </c>
      <c r="H19" s="2">
        <f t="shared" si="0"/>
        <v>1.1707075862409371</v>
      </c>
      <c r="I19" s="2">
        <f t="shared" si="1"/>
        <v>0.41167869936054463</v>
      </c>
      <c r="J19" s="2">
        <v>28.68</v>
      </c>
      <c r="K19" s="2">
        <v>29.03</v>
      </c>
      <c r="L19" s="2">
        <v>0</v>
      </c>
      <c r="M19" s="2">
        <v>4.84</v>
      </c>
      <c r="N19" s="2">
        <v>8.69</v>
      </c>
      <c r="O19" s="2">
        <v>5.16</v>
      </c>
      <c r="P19" s="2">
        <f t="shared" si="2"/>
        <v>1.6265547619260632</v>
      </c>
      <c r="Q19" s="2">
        <f t="shared" si="3"/>
        <v>0.25093959073553379</v>
      </c>
      <c r="R19" s="2">
        <f t="shared" si="4"/>
        <v>0.45584717568512612</v>
      </c>
      <c r="S19">
        <f t="shared" si="5"/>
        <v>1.3893774850719305</v>
      </c>
      <c r="T19">
        <v>5.8507494258964963</v>
      </c>
    </row>
    <row r="20" spans="1:20" ht="13.9" x14ac:dyDescent="0.3">
      <c r="A20" s="2" t="s">
        <v>925</v>
      </c>
      <c r="B20" s="2">
        <v>82.33</v>
      </c>
      <c r="C20" s="2">
        <v>54.37</v>
      </c>
      <c r="D20" s="2">
        <v>105.29</v>
      </c>
      <c r="E20" s="2">
        <v>77.540000000000006</v>
      </c>
      <c r="F20" s="2">
        <v>76.180000000000007</v>
      </c>
      <c r="G20" s="2">
        <v>60.24</v>
      </c>
      <c r="H20" s="2">
        <f t="shared" si="0"/>
        <v>0.17760632197385146</v>
      </c>
      <c r="I20" s="2">
        <f t="shared" si="1"/>
        <v>0.58461704214038379</v>
      </c>
      <c r="J20" s="2">
        <v>140.09</v>
      </c>
      <c r="K20" s="2">
        <v>126.86</v>
      </c>
      <c r="L20" s="2">
        <v>60.26</v>
      </c>
      <c r="M20" s="2">
        <v>61.1</v>
      </c>
      <c r="N20" s="2">
        <v>86.37</v>
      </c>
      <c r="O20" s="2">
        <v>59.96</v>
      </c>
      <c r="P20" s="2">
        <f t="shared" si="2"/>
        <v>0.657592277707155</v>
      </c>
      <c r="Q20" s="2">
        <f t="shared" si="3"/>
        <v>0.20168759659041899</v>
      </c>
      <c r="R20" s="2">
        <f t="shared" si="4"/>
        <v>0.47998595573330355</v>
      </c>
      <c r="S20">
        <f t="shared" si="5"/>
        <v>3.7025274235675614</v>
      </c>
      <c r="T20">
        <v>8.3540730295273473</v>
      </c>
    </row>
    <row r="21" spans="1:20" ht="13.9" x14ac:dyDescent="0.3">
      <c r="A21" s="2" t="s">
        <v>300</v>
      </c>
      <c r="B21" s="2">
        <v>1234.8</v>
      </c>
      <c r="C21" s="2">
        <v>1659.9</v>
      </c>
      <c r="D21" s="2">
        <v>1787.02</v>
      </c>
      <c r="E21" s="2">
        <v>1149.9000000000001</v>
      </c>
      <c r="F21" s="2">
        <v>945.27</v>
      </c>
      <c r="G21" s="2">
        <v>1144.81</v>
      </c>
      <c r="H21" s="2">
        <f t="shared" si="0"/>
        <v>0.53105374609559919</v>
      </c>
      <c r="I21" s="2">
        <f t="shared" si="1"/>
        <v>5.5856591810254423E-2</v>
      </c>
      <c r="J21" s="2">
        <v>2638.23</v>
      </c>
      <c r="K21" s="2">
        <v>1727</v>
      </c>
      <c r="L21" s="2">
        <v>1790.24</v>
      </c>
      <c r="M21" s="2">
        <v>1092.78</v>
      </c>
      <c r="N21" s="2">
        <v>847.3</v>
      </c>
      <c r="O21" s="2">
        <v>1071.67</v>
      </c>
      <c r="P21" s="2">
        <f t="shared" si="2"/>
        <v>1.0312669982458591</v>
      </c>
      <c r="Q21" s="2">
        <f t="shared" si="3"/>
        <v>2.6148912757686181E-2</v>
      </c>
      <c r="R21" s="2">
        <f t="shared" si="4"/>
        <v>0.50021325215025991</v>
      </c>
      <c r="S21">
        <f t="shared" si="5"/>
        <v>1.9419258518142768</v>
      </c>
      <c r="T21">
        <v>12.587653302343666</v>
      </c>
    </row>
    <row r="22" spans="1:20" ht="13.9" x14ac:dyDescent="0.3">
      <c r="A22" s="2" t="s">
        <v>417</v>
      </c>
      <c r="B22" s="2">
        <v>52.7</v>
      </c>
      <c r="C22" s="2">
        <v>34.99</v>
      </c>
      <c r="D22" s="2">
        <v>82.73</v>
      </c>
      <c r="E22" s="2">
        <v>46.32</v>
      </c>
      <c r="F22" s="2">
        <v>14.41</v>
      </c>
      <c r="G22" s="2">
        <v>26.09</v>
      </c>
      <c r="H22" s="2">
        <f t="shared" si="0"/>
        <v>0.97299532832772728</v>
      </c>
      <c r="I22" s="2">
        <f t="shared" si="1"/>
        <v>0.17178580199589713</v>
      </c>
      <c r="J22" s="2">
        <v>68.89</v>
      </c>
      <c r="K22" s="2">
        <v>57.09</v>
      </c>
      <c r="L22" s="2">
        <v>59.35</v>
      </c>
      <c r="M22" s="2">
        <v>24.78</v>
      </c>
      <c r="N22" s="2">
        <v>14.84</v>
      </c>
      <c r="O22" s="2">
        <v>25.4</v>
      </c>
      <c r="P22" s="2">
        <f t="shared" si="2"/>
        <v>1.5111409731008403</v>
      </c>
      <c r="Q22" s="2">
        <f t="shared" si="3"/>
        <v>1.289219892799E-3</v>
      </c>
      <c r="R22" s="2">
        <f t="shared" si="4"/>
        <v>0.538145644773113</v>
      </c>
      <c r="S22">
        <f t="shared" si="5"/>
        <v>1.5530814271205351</v>
      </c>
      <c r="T22">
        <v>7.5339526240164725</v>
      </c>
    </row>
    <row r="23" spans="1:20" ht="13.9" x14ac:dyDescent="0.3">
      <c r="A23" s="2" t="s">
        <v>779</v>
      </c>
      <c r="B23" s="2">
        <v>31.07</v>
      </c>
      <c r="C23" s="2">
        <v>0</v>
      </c>
      <c r="D23" s="2">
        <v>5.71</v>
      </c>
      <c r="E23" s="2">
        <v>1.64</v>
      </c>
      <c r="F23" s="2">
        <v>3.44</v>
      </c>
      <c r="G23" s="2">
        <v>7.37</v>
      </c>
      <c r="H23" s="2">
        <f t="shared" si="0"/>
        <v>1.5627757374564946</v>
      </c>
      <c r="I23" s="2">
        <f t="shared" si="1"/>
        <v>0.45001795662234856</v>
      </c>
      <c r="J23" s="2">
        <v>3.3</v>
      </c>
      <c r="K23" s="2">
        <v>5.37</v>
      </c>
      <c r="L23" s="2">
        <v>20.21</v>
      </c>
      <c r="M23" s="2">
        <v>2.57</v>
      </c>
      <c r="N23" s="2">
        <v>1.07</v>
      </c>
      <c r="O23" s="2">
        <v>3.06</v>
      </c>
      <c r="P23" s="2">
        <f t="shared" si="2"/>
        <v>2.1078377415420366</v>
      </c>
      <c r="Q23" s="2">
        <f t="shared" si="3"/>
        <v>0.23979973578290725</v>
      </c>
      <c r="R23" s="2">
        <f t="shared" si="4"/>
        <v>0.54506200408554206</v>
      </c>
      <c r="S23">
        <f t="shared" si="5"/>
        <v>1.3487781330497626</v>
      </c>
      <c r="T23">
        <v>4.8519988371124461</v>
      </c>
    </row>
    <row r="24" spans="1:20" ht="13.9" x14ac:dyDescent="0.3">
      <c r="A24" s="2" t="s">
        <v>70</v>
      </c>
      <c r="B24" s="2">
        <v>9.57</v>
      </c>
      <c r="C24" s="2">
        <v>0</v>
      </c>
      <c r="D24" s="2">
        <v>0</v>
      </c>
      <c r="E24" s="2">
        <v>1.38</v>
      </c>
      <c r="F24" s="2">
        <v>2</v>
      </c>
      <c r="G24" s="2">
        <v>0</v>
      </c>
      <c r="H24" s="2">
        <f t="shared" si="0"/>
        <v>1.5014956782038413</v>
      </c>
      <c r="I24" s="2">
        <f t="shared" si="1"/>
        <v>0.55935342233215279</v>
      </c>
      <c r="J24" s="2">
        <v>0.33</v>
      </c>
      <c r="K24" s="2">
        <v>11.22</v>
      </c>
      <c r="L24" s="2">
        <v>8.56</v>
      </c>
      <c r="M24" s="2">
        <v>0</v>
      </c>
      <c r="N24" s="2">
        <v>2.81</v>
      </c>
      <c r="O24" s="2">
        <v>2</v>
      </c>
      <c r="P24" s="2">
        <f t="shared" si="2"/>
        <v>2.06380428253531</v>
      </c>
      <c r="Q24" s="2">
        <f t="shared" si="3"/>
        <v>0.20610990674349255</v>
      </c>
      <c r="R24" s="2">
        <f t="shared" si="4"/>
        <v>0.56230860433146868</v>
      </c>
      <c r="S24">
        <f t="shared" si="5"/>
        <v>1.3744989829102461</v>
      </c>
      <c r="T24">
        <v>4.3298411765306275</v>
      </c>
    </row>
    <row r="25" spans="1:20" ht="13.9" x14ac:dyDescent="0.3">
      <c r="A25" s="2" t="s">
        <v>636</v>
      </c>
      <c r="B25" s="2">
        <v>7.34</v>
      </c>
      <c r="C25" s="2">
        <v>0</v>
      </c>
      <c r="D25" s="2">
        <v>0</v>
      </c>
      <c r="E25" s="2">
        <v>1.64</v>
      </c>
      <c r="F25" s="2">
        <v>0.89</v>
      </c>
      <c r="G25" s="2">
        <v>1.7</v>
      </c>
      <c r="H25" s="2">
        <f t="shared" si="0"/>
        <v>0.79512239972326304</v>
      </c>
      <c r="I25" s="2">
        <f t="shared" si="1"/>
        <v>0.69517394513127972</v>
      </c>
      <c r="J25" s="2">
        <v>13.18</v>
      </c>
      <c r="K25" s="2">
        <v>7.07</v>
      </c>
      <c r="L25" s="2">
        <v>0</v>
      </c>
      <c r="M25" s="2">
        <v>2.57</v>
      </c>
      <c r="N25" s="2">
        <v>3.21</v>
      </c>
      <c r="O25" s="2">
        <v>2.11</v>
      </c>
      <c r="P25" s="2">
        <f t="shared" si="2"/>
        <v>1.3598247026458914</v>
      </c>
      <c r="Q25" s="2">
        <f t="shared" si="3"/>
        <v>0.34165385211749782</v>
      </c>
      <c r="R25" s="2">
        <f t="shared" si="4"/>
        <v>0.56470230292262835</v>
      </c>
      <c r="S25">
        <f t="shared" si="5"/>
        <v>1.7102080171797061</v>
      </c>
      <c r="T25">
        <v>4.3398500028846252</v>
      </c>
    </row>
    <row r="26" spans="1:20" ht="13.9" x14ac:dyDescent="0.3">
      <c r="A26" s="2" t="s">
        <v>248</v>
      </c>
      <c r="B26" s="2">
        <v>80.23</v>
      </c>
      <c r="C26" s="2">
        <v>78.08</v>
      </c>
      <c r="D26" s="2">
        <v>60.42</v>
      </c>
      <c r="E26" s="2">
        <v>77.92</v>
      </c>
      <c r="F26" s="2">
        <v>63.87</v>
      </c>
      <c r="G26" s="2">
        <v>71.25</v>
      </c>
      <c r="H26" s="2">
        <f t="shared" si="0"/>
        <v>3.8026773706962343E-2</v>
      </c>
      <c r="I26" s="2">
        <f t="shared" si="1"/>
        <v>0.81216620131704387</v>
      </c>
      <c r="J26" s="2">
        <v>137.12</v>
      </c>
      <c r="K26" s="2">
        <v>104.42</v>
      </c>
      <c r="L26" s="2">
        <v>78.290000000000006</v>
      </c>
      <c r="M26" s="2">
        <v>72.36</v>
      </c>
      <c r="N26" s="2">
        <v>66.72</v>
      </c>
      <c r="O26" s="2">
        <v>65.23</v>
      </c>
      <c r="P26" s="2">
        <f t="shared" si="2"/>
        <v>0.6465454508763101</v>
      </c>
      <c r="Q26" s="2">
        <f t="shared" si="3"/>
        <v>8.8180597144386322E-2</v>
      </c>
      <c r="R26" s="2">
        <f t="shared" si="4"/>
        <v>0.60851867716934771</v>
      </c>
      <c r="S26">
        <f t="shared" si="5"/>
        <v>17.002374586354502</v>
      </c>
      <c r="T26">
        <v>8.3211614594913286</v>
      </c>
    </row>
    <row r="27" spans="1:20" ht="13.9" x14ac:dyDescent="0.3">
      <c r="A27" s="2" t="s">
        <v>339</v>
      </c>
      <c r="B27" s="2">
        <v>10.09</v>
      </c>
      <c r="C27" s="2">
        <v>0</v>
      </c>
      <c r="D27" s="2">
        <v>0</v>
      </c>
      <c r="E27" s="2">
        <v>3.02</v>
      </c>
      <c r="F27" s="2">
        <v>1.89</v>
      </c>
      <c r="G27" s="2">
        <v>1.82</v>
      </c>
      <c r="H27" s="2">
        <f t="shared" si="0"/>
        <v>0.58424776449603999</v>
      </c>
      <c r="I27" s="2">
        <f t="shared" si="1"/>
        <v>0.75739869366381773</v>
      </c>
      <c r="J27" s="2">
        <v>17.14</v>
      </c>
      <c r="K27" s="2">
        <v>6.59</v>
      </c>
      <c r="L27" s="2">
        <v>12.02</v>
      </c>
      <c r="M27" s="2">
        <v>2.86</v>
      </c>
      <c r="N27" s="2">
        <v>6.55</v>
      </c>
      <c r="O27" s="2">
        <v>6.01</v>
      </c>
      <c r="P27" s="2">
        <f t="shared" si="2"/>
        <v>1.21314047663808</v>
      </c>
      <c r="Q27" s="2">
        <f t="shared" si="3"/>
        <v>0.1058716506010056</v>
      </c>
      <c r="R27" s="2">
        <f t="shared" si="4"/>
        <v>0.62889271214204001</v>
      </c>
      <c r="S27">
        <f t="shared" si="5"/>
        <v>2.0764144090213335</v>
      </c>
      <c r="T27">
        <v>5.1598713367783899</v>
      </c>
    </row>
    <row r="28" spans="1:20" ht="13.9" x14ac:dyDescent="0.3">
      <c r="A28" s="2" t="s">
        <v>139</v>
      </c>
      <c r="B28" s="2">
        <v>488.2</v>
      </c>
      <c r="C28" s="2">
        <v>586.16999999999996</v>
      </c>
      <c r="D28" s="2">
        <v>548.22</v>
      </c>
      <c r="E28" s="2">
        <v>481.36</v>
      </c>
      <c r="F28" s="2">
        <v>331.1</v>
      </c>
      <c r="G28" s="2">
        <v>545.79999999999995</v>
      </c>
      <c r="H28" s="2">
        <f t="shared" si="0"/>
        <v>0.2565388335426384</v>
      </c>
      <c r="I28" s="2">
        <f t="shared" si="1"/>
        <v>0.27487963231398543</v>
      </c>
      <c r="J28" s="2">
        <v>1013.56</v>
      </c>
      <c r="K28" s="2">
        <v>413.51</v>
      </c>
      <c r="L28" s="2">
        <v>908.5</v>
      </c>
      <c r="M28" s="2">
        <v>496.64</v>
      </c>
      <c r="N28" s="2">
        <v>315.27999999999997</v>
      </c>
      <c r="O28" s="2">
        <v>448.52</v>
      </c>
      <c r="P28" s="2">
        <f t="shared" si="2"/>
        <v>0.88984724114012403</v>
      </c>
      <c r="Q28" s="2">
        <f t="shared" si="3"/>
        <v>0.13658555889718541</v>
      </c>
      <c r="R28" s="2">
        <f t="shared" si="4"/>
        <v>0.63330840759748563</v>
      </c>
      <c r="S28">
        <f t="shared" si="5"/>
        <v>3.4686648756131717</v>
      </c>
      <c r="T28">
        <v>11.189558969851346</v>
      </c>
    </row>
    <row r="29" spans="1:20" ht="13.9" x14ac:dyDescent="0.3">
      <c r="A29" s="2" t="s">
        <v>133</v>
      </c>
      <c r="B29" s="2">
        <v>12.06</v>
      </c>
      <c r="C29" s="2">
        <v>22.27</v>
      </c>
      <c r="D29" s="2">
        <v>4.67</v>
      </c>
      <c r="E29" s="2">
        <v>7.93</v>
      </c>
      <c r="F29" s="2">
        <v>6.65</v>
      </c>
      <c r="G29" s="2">
        <v>2.61</v>
      </c>
      <c r="H29" s="2">
        <f t="shared" si="0"/>
        <v>1.1819045791589118</v>
      </c>
      <c r="I29" s="2">
        <f t="shared" si="1"/>
        <v>0.24563451436141778</v>
      </c>
      <c r="J29" s="2">
        <v>9.56</v>
      </c>
      <c r="K29" s="2">
        <v>18.54</v>
      </c>
      <c r="L29" s="2">
        <v>32.770000000000003</v>
      </c>
      <c r="M29" s="2">
        <v>4.9400000000000004</v>
      </c>
      <c r="N29" s="2">
        <v>7.22</v>
      </c>
      <c r="O29" s="2">
        <v>4</v>
      </c>
      <c r="P29" s="2">
        <f t="shared" si="2"/>
        <v>1.9133041677260203</v>
      </c>
      <c r="Q29" s="2">
        <f t="shared" si="3"/>
        <v>9.4337614919119947E-2</v>
      </c>
      <c r="R29" s="2">
        <f t="shared" si="4"/>
        <v>0.73139958856710852</v>
      </c>
      <c r="S29">
        <f t="shared" si="5"/>
        <v>1.6188313350030341</v>
      </c>
      <c r="T29">
        <v>5.9276594607030901</v>
      </c>
    </row>
    <row r="30" spans="1:20" ht="13.9" x14ac:dyDescent="0.3">
      <c r="A30" s="2" t="s">
        <v>50</v>
      </c>
      <c r="B30" s="2">
        <v>57.68</v>
      </c>
      <c r="C30" s="2">
        <v>58.99</v>
      </c>
      <c r="D30" s="2">
        <v>66.91</v>
      </c>
      <c r="E30" s="2">
        <v>61.81</v>
      </c>
      <c r="F30" s="2">
        <v>43.58</v>
      </c>
      <c r="G30" s="2">
        <v>45.72</v>
      </c>
      <c r="H30" s="2">
        <f t="shared" si="0"/>
        <v>0.28080975703895628</v>
      </c>
      <c r="I30" s="2">
        <f t="shared" si="1"/>
        <v>0.16788639829871357</v>
      </c>
      <c r="J30" s="2">
        <v>124.26</v>
      </c>
      <c r="K30" s="2">
        <v>74.900000000000006</v>
      </c>
      <c r="L30" s="2">
        <v>84.66</v>
      </c>
      <c r="M30" s="2">
        <v>50.05</v>
      </c>
      <c r="N30" s="2">
        <v>34.76</v>
      </c>
      <c r="O30" s="2">
        <v>52.9</v>
      </c>
      <c r="P30" s="2">
        <f t="shared" si="2"/>
        <v>1.0433429291065459</v>
      </c>
      <c r="Q30" s="2">
        <f t="shared" si="3"/>
        <v>3.9031563421113753E-2</v>
      </c>
      <c r="R30" s="2">
        <f t="shared" si="4"/>
        <v>0.76253317206758964</v>
      </c>
      <c r="S30">
        <f t="shared" si="5"/>
        <v>3.7154796190425987</v>
      </c>
      <c r="T30">
        <v>8.1488324454317063</v>
      </c>
    </row>
    <row r="31" spans="1:20" ht="13.9" x14ac:dyDescent="0.3">
      <c r="A31" s="2" t="s">
        <v>723</v>
      </c>
      <c r="B31" s="2">
        <v>0</v>
      </c>
      <c r="C31" s="2">
        <v>0</v>
      </c>
      <c r="D31" s="2">
        <v>14.78</v>
      </c>
      <c r="E31" s="2">
        <v>1.26</v>
      </c>
      <c r="F31" s="2">
        <v>1.22</v>
      </c>
      <c r="G31" s="2">
        <v>0.56999999999999995</v>
      </c>
      <c r="H31" s="2">
        <f t="shared" si="0"/>
        <v>2.2767651216959024</v>
      </c>
      <c r="I31" s="2">
        <f t="shared" si="1"/>
        <v>0.47225241240358101</v>
      </c>
      <c r="J31" s="2">
        <v>18.79</v>
      </c>
      <c r="K31" s="2">
        <v>0</v>
      </c>
      <c r="L31" s="2">
        <v>9.2899999999999991</v>
      </c>
      <c r="M31" s="2">
        <v>1.48</v>
      </c>
      <c r="N31" s="2">
        <v>1.47</v>
      </c>
      <c r="O31" s="2">
        <v>0.42</v>
      </c>
      <c r="P31" s="2">
        <f t="shared" si="2"/>
        <v>3.0587224391227026</v>
      </c>
      <c r="Q31" s="2">
        <f t="shared" si="3"/>
        <v>0.20427688500186333</v>
      </c>
      <c r="R31" s="2">
        <f t="shared" si="4"/>
        <v>0.78195731742680019</v>
      </c>
      <c r="S31">
        <f t="shared" si="5"/>
        <v>1.343451026184177</v>
      </c>
      <c r="T31">
        <v>4.8114710305298356</v>
      </c>
    </row>
    <row r="32" spans="1:20" ht="13.9" x14ac:dyDescent="0.3">
      <c r="A32" s="2" t="s">
        <v>116</v>
      </c>
      <c r="B32" s="2">
        <v>8.65</v>
      </c>
      <c r="C32" s="2">
        <v>0</v>
      </c>
      <c r="D32" s="2">
        <v>0</v>
      </c>
      <c r="E32" s="2">
        <v>3.02</v>
      </c>
      <c r="F32" s="2">
        <v>0.55000000000000004</v>
      </c>
      <c r="G32" s="2">
        <v>1.1299999999999999</v>
      </c>
      <c r="H32" s="2">
        <f t="shared" si="0"/>
        <v>0.88003937595908743</v>
      </c>
      <c r="I32" s="2">
        <f t="shared" si="1"/>
        <v>0.68126747206795046</v>
      </c>
      <c r="J32" s="2">
        <v>2.97</v>
      </c>
      <c r="K32" s="2">
        <v>0</v>
      </c>
      <c r="L32" s="2">
        <v>0</v>
      </c>
      <c r="M32" s="2">
        <v>0.49</v>
      </c>
      <c r="N32" s="2">
        <v>0.27</v>
      </c>
      <c r="O32" s="2">
        <v>0.11</v>
      </c>
      <c r="P32" s="2">
        <f t="shared" si="2"/>
        <v>1.7713756249520378</v>
      </c>
      <c r="Q32" s="2">
        <f t="shared" si="3"/>
        <v>0.52096564153707081</v>
      </c>
      <c r="R32" s="2">
        <f t="shared" si="4"/>
        <v>0.89133624899295039</v>
      </c>
      <c r="S32">
        <f t="shared" si="5"/>
        <v>2.0128367813332799</v>
      </c>
      <c r="T32">
        <v>1.5704629310260412</v>
      </c>
    </row>
    <row r="33" spans="1:20" ht="13.9" x14ac:dyDescent="0.3">
      <c r="A33" s="2" t="s">
        <v>471</v>
      </c>
      <c r="B33" s="2">
        <v>34.090000000000003</v>
      </c>
      <c r="C33" s="2">
        <v>24.58</v>
      </c>
      <c r="D33" s="2">
        <v>21.52</v>
      </c>
      <c r="E33" s="2">
        <v>34.74</v>
      </c>
      <c r="F33" s="2">
        <v>12.75</v>
      </c>
      <c r="G33" s="2">
        <v>13.05</v>
      </c>
      <c r="H33" s="2">
        <f t="shared" si="0"/>
        <v>0.40553366313672068</v>
      </c>
      <c r="I33" s="2">
        <f t="shared" si="1"/>
        <v>0.46943099753633794</v>
      </c>
      <c r="J33" s="2">
        <v>55.05</v>
      </c>
      <c r="K33" s="2">
        <v>32.200000000000003</v>
      </c>
      <c r="L33" s="2">
        <v>14.75</v>
      </c>
      <c r="M33" s="2">
        <v>10.07</v>
      </c>
      <c r="N33" s="2">
        <v>16.18</v>
      </c>
      <c r="O33" s="2">
        <v>11.17</v>
      </c>
      <c r="P33" s="2">
        <f t="shared" si="2"/>
        <v>1.4466876885054361</v>
      </c>
      <c r="Q33" s="2">
        <f t="shared" si="3"/>
        <v>0.14264894142214396</v>
      </c>
      <c r="R33" s="2">
        <f t="shared" si="4"/>
        <v>1.0411540253687153</v>
      </c>
      <c r="S33">
        <f t="shared" si="5"/>
        <v>3.5673676935118039</v>
      </c>
      <c r="T33">
        <v>6.6724253419714952</v>
      </c>
    </row>
    <row r="34" spans="1:20" ht="13.9" x14ac:dyDescent="0.3">
      <c r="A34" s="2" t="s">
        <v>168</v>
      </c>
      <c r="B34" s="2">
        <v>7.34</v>
      </c>
      <c r="C34" s="2">
        <v>23.13</v>
      </c>
      <c r="D34" s="2">
        <v>35.53</v>
      </c>
      <c r="E34" s="2">
        <v>7.43</v>
      </c>
      <c r="F34" s="2">
        <v>10.31</v>
      </c>
      <c r="G34" s="2">
        <v>7.83</v>
      </c>
      <c r="H34" s="2">
        <f t="shared" si="0"/>
        <v>1.3680138638915293</v>
      </c>
      <c r="I34" s="2">
        <f t="shared" si="1"/>
        <v>0.17591186989064511</v>
      </c>
      <c r="J34" s="2">
        <v>68.56</v>
      </c>
      <c r="K34" s="2">
        <v>8.7799999999999994</v>
      </c>
      <c r="L34" s="2">
        <v>48.43</v>
      </c>
      <c r="M34" s="2">
        <v>6.81</v>
      </c>
      <c r="N34" s="2">
        <v>7.62</v>
      </c>
      <c r="O34" s="2">
        <v>6.32</v>
      </c>
      <c r="P34" s="2">
        <f t="shared" si="2"/>
        <v>2.5996045946933242</v>
      </c>
      <c r="Q34" s="2">
        <f t="shared" si="3"/>
        <v>0.11705270498177957</v>
      </c>
      <c r="R34" s="2">
        <f t="shared" si="4"/>
        <v>1.2315907308017948</v>
      </c>
      <c r="S34">
        <f t="shared" si="5"/>
        <v>1.9002764981477178</v>
      </c>
      <c r="T34">
        <v>6.9746440260402487</v>
      </c>
    </row>
    <row r="35" spans="1:20" ht="13.9" x14ac:dyDescent="0.3">
      <c r="A35" s="2" t="s">
        <v>476</v>
      </c>
      <c r="B35" s="2">
        <v>4.72</v>
      </c>
      <c r="C35" s="2">
        <v>16.48</v>
      </c>
      <c r="D35" s="2">
        <v>0</v>
      </c>
      <c r="E35" s="2">
        <v>0.38</v>
      </c>
      <c r="F35" s="2">
        <v>5.0999999999999996</v>
      </c>
      <c r="G35" s="2">
        <v>3.4</v>
      </c>
      <c r="H35" s="2">
        <f t="shared" si="0"/>
        <v>1.2554326831004556</v>
      </c>
      <c r="I35" s="2">
        <f t="shared" si="1"/>
        <v>0.46506155743296879</v>
      </c>
      <c r="J35" s="2">
        <v>20.77</v>
      </c>
      <c r="K35" s="2">
        <v>34.15</v>
      </c>
      <c r="L35" s="2">
        <v>0.18</v>
      </c>
      <c r="M35" s="2">
        <v>2.27</v>
      </c>
      <c r="N35" s="2">
        <v>4.28</v>
      </c>
      <c r="O35" s="2">
        <v>2.63</v>
      </c>
      <c r="P35" s="2">
        <f t="shared" si="2"/>
        <v>2.5854862600447124</v>
      </c>
      <c r="Q35" s="2">
        <f t="shared" si="3"/>
        <v>0.19693637402103595</v>
      </c>
      <c r="R35" s="2">
        <f t="shared" si="4"/>
        <v>1.3300535769442567</v>
      </c>
      <c r="S35">
        <f t="shared" si="5"/>
        <v>2.0594383871379827</v>
      </c>
      <c r="T35">
        <v>5.7839804136837953</v>
      </c>
    </row>
    <row r="36" spans="1:20" ht="13.9" x14ac:dyDescent="0.3">
      <c r="A36" s="2" t="s">
        <v>122</v>
      </c>
      <c r="B36" s="2">
        <v>0</v>
      </c>
      <c r="C36" s="2">
        <v>9.83</v>
      </c>
      <c r="D36" s="2">
        <v>0</v>
      </c>
      <c r="E36" s="2">
        <v>3.15</v>
      </c>
      <c r="F36" s="2">
        <v>2.77</v>
      </c>
      <c r="G36" s="2">
        <v>3.74</v>
      </c>
      <c r="H36" s="2">
        <f t="shared" si="0"/>
        <v>2.5168227504807475E-2</v>
      </c>
      <c r="I36" s="2">
        <f t="shared" si="1"/>
        <v>0.9870781361227372</v>
      </c>
      <c r="J36" s="2">
        <v>5.93</v>
      </c>
      <c r="K36" s="2">
        <v>9.27</v>
      </c>
      <c r="L36" s="2">
        <v>1.46</v>
      </c>
      <c r="M36" s="2">
        <v>1.78</v>
      </c>
      <c r="N36" s="2">
        <v>2.54</v>
      </c>
      <c r="O36" s="2">
        <v>1.58</v>
      </c>
      <c r="P36" s="2">
        <f t="shared" si="2"/>
        <v>1.4976015411163437</v>
      </c>
      <c r="Q36" s="2">
        <f t="shared" si="3"/>
        <v>0.19099388192462532</v>
      </c>
      <c r="R36" s="2">
        <f t="shared" si="4"/>
        <v>1.4724333136115362</v>
      </c>
      <c r="S36">
        <f t="shared" si="5"/>
        <v>59.503655584418148</v>
      </c>
      <c r="T36">
        <v>4.0583164955908231</v>
      </c>
    </row>
    <row r="37" spans="1:20" ht="13.9" x14ac:dyDescent="0.3">
      <c r="A37" s="2" t="s">
        <v>105</v>
      </c>
      <c r="B37" s="2">
        <v>6.16</v>
      </c>
      <c r="C37" s="2">
        <v>0</v>
      </c>
      <c r="D37" s="2">
        <v>0</v>
      </c>
      <c r="E37" s="2">
        <v>2.9</v>
      </c>
      <c r="F37" s="2">
        <v>1.89</v>
      </c>
      <c r="G37" s="2">
        <v>1.02</v>
      </c>
      <c r="H37" s="2">
        <f t="shared" si="0"/>
        <v>8.4392187290372317E-2</v>
      </c>
      <c r="I37" s="2">
        <f t="shared" si="1"/>
        <v>0.95882946760140619</v>
      </c>
      <c r="J37" s="2">
        <v>5.93</v>
      </c>
      <c r="K37" s="2">
        <v>0</v>
      </c>
      <c r="L37" s="2">
        <v>5.28</v>
      </c>
      <c r="M37" s="2">
        <v>1.0900000000000001</v>
      </c>
      <c r="N37" s="2">
        <v>0.4</v>
      </c>
      <c r="O37" s="2">
        <v>2.21</v>
      </c>
      <c r="P37" s="2">
        <f t="shared" si="2"/>
        <v>1.5991891022891145</v>
      </c>
      <c r="Q37" s="2">
        <f t="shared" si="3"/>
        <v>0.26862654179777762</v>
      </c>
      <c r="R37" s="2">
        <f t="shared" si="4"/>
        <v>1.5147969149987421</v>
      </c>
      <c r="S37">
        <f t="shared" si="5"/>
        <v>18.949492288743585</v>
      </c>
      <c r="T37">
        <v>3.4867143730307024</v>
      </c>
    </row>
    <row r="38" spans="1:20" ht="13.9" x14ac:dyDescent="0.3">
      <c r="A38" s="2" t="s">
        <v>374</v>
      </c>
      <c r="B38" s="2">
        <v>0</v>
      </c>
      <c r="C38" s="2">
        <v>0</v>
      </c>
      <c r="D38" s="2">
        <v>23.6</v>
      </c>
      <c r="E38" s="2">
        <v>4.03</v>
      </c>
      <c r="F38" s="2">
        <v>1.66</v>
      </c>
      <c r="G38" s="2">
        <v>4.42</v>
      </c>
      <c r="H38" s="2">
        <f t="shared" si="0"/>
        <v>1.2230038623461892</v>
      </c>
      <c r="I38" s="2">
        <f t="shared" si="1"/>
        <v>0.60027355737712229</v>
      </c>
      <c r="J38" s="2">
        <v>35.93</v>
      </c>
      <c r="K38" s="2">
        <v>15.13</v>
      </c>
      <c r="L38" s="2">
        <v>11.65</v>
      </c>
      <c r="M38" s="2">
        <v>1.88</v>
      </c>
      <c r="N38" s="2">
        <v>5.75</v>
      </c>
      <c r="O38" s="2">
        <v>1.69</v>
      </c>
      <c r="P38" s="2">
        <f t="shared" si="2"/>
        <v>2.750293659591049</v>
      </c>
      <c r="Q38" s="2">
        <f t="shared" si="3"/>
        <v>8.1777517524053184E-2</v>
      </c>
      <c r="R38" s="2">
        <f t="shared" si="4"/>
        <v>1.5272897972448598</v>
      </c>
      <c r="S38">
        <f t="shared" si="5"/>
        <v>2.2488021046106379</v>
      </c>
      <c r="T38">
        <v>5.9706236144706049</v>
      </c>
    </row>
    <row r="39" spans="1:20" ht="13.9" x14ac:dyDescent="0.3">
      <c r="A39" s="2" t="s">
        <v>234</v>
      </c>
      <c r="B39" s="2">
        <v>4.9800000000000004</v>
      </c>
      <c r="C39" s="2">
        <v>16.48</v>
      </c>
      <c r="D39" s="2">
        <v>9.85</v>
      </c>
      <c r="E39" s="2">
        <v>12.71</v>
      </c>
      <c r="F39" s="2">
        <v>6.32</v>
      </c>
      <c r="G39" s="2">
        <v>4.88</v>
      </c>
      <c r="H39" s="2">
        <f t="shared" si="0"/>
        <v>0.38900937842704214</v>
      </c>
      <c r="I39" s="2">
        <f t="shared" si="1"/>
        <v>0.58079117019477577</v>
      </c>
      <c r="J39" s="2">
        <v>19.45</v>
      </c>
      <c r="K39" s="2">
        <v>76.36</v>
      </c>
      <c r="L39" s="2">
        <v>34.770000000000003</v>
      </c>
      <c r="M39" s="2">
        <v>15.2</v>
      </c>
      <c r="N39" s="2">
        <v>6.42</v>
      </c>
      <c r="O39" s="2">
        <v>11.91</v>
      </c>
      <c r="P39" s="2">
        <f t="shared" si="2"/>
        <v>1.9614095583308413</v>
      </c>
      <c r="Q39" s="2">
        <f t="shared" si="3"/>
        <v>0.13305023106314517</v>
      </c>
      <c r="R39" s="2">
        <f t="shared" si="4"/>
        <v>1.5724001799037992</v>
      </c>
      <c r="S39">
        <f t="shared" si="5"/>
        <v>5.0420623951581653</v>
      </c>
      <c r="T39">
        <v>7.028790136349901</v>
      </c>
    </row>
    <row r="40" spans="1:20" ht="13.9" x14ac:dyDescent="0.3">
      <c r="A40" s="2" t="s">
        <v>512</v>
      </c>
      <c r="B40" s="2">
        <v>0.13</v>
      </c>
      <c r="C40" s="2">
        <v>0</v>
      </c>
      <c r="D40" s="2">
        <v>0.26</v>
      </c>
      <c r="E40" s="2">
        <v>0</v>
      </c>
      <c r="F40" s="2">
        <v>0</v>
      </c>
      <c r="G40" s="2">
        <v>0.23</v>
      </c>
      <c r="H40" s="2">
        <f t="shared" si="0"/>
        <v>0.76184026280523554</v>
      </c>
      <c r="I40" s="2">
        <f t="shared" si="1"/>
        <v>0.6452033777986752</v>
      </c>
      <c r="J40" s="2">
        <v>0.33</v>
      </c>
      <c r="K40" s="2">
        <v>0.24</v>
      </c>
      <c r="L40" s="2">
        <v>0</v>
      </c>
      <c r="M40" s="2">
        <v>0</v>
      </c>
      <c r="N40" s="2">
        <v>0</v>
      </c>
      <c r="O40" s="2">
        <v>0.11</v>
      </c>
      <c r="P40" s="2">
        <f t="shared" si="2"/>
        <v>2.3734583955274449</v>
      </c>
      <c r="Q40" s="2">
        <f t="shared" si="3"/>
        <v>0.21831936970950383</v>
      </c>
      <c r="R40" s="2">
        <f t="shared" si="4"/>
        <v>1.6116181327222092</v>
      </c>
      <c r="S40">
        <f t="shared" si="5"/>
        <v>3.115427880889277</v>
      </c>
      <c r="T40">
        <v>-0.81096617560998285</v>
      </c>
    </row>
    <row r="41" spans="1:20" ht="13.9" x14ac:dyDescent="0.3">
      <c r="A41" s="2" t="s">
        <v>782</v>
      </c>
      <c r="B41" s="2">
        <v>7.47</v>
      </c>
      <c r="C41" s="2">
        <v>0</v>
      </c>
      <c r="D41" s="2">
        <v>11.67</v>
      </c>
      <c r="E41" s="2">
        <v>1.26</v>
      </c>
      <c r="F41" s="2">
        <v>1.1100000000000001</v>
      </c>
      <c r="G41" s="2">
        <v>0</v>
      </c>
      <c r="H41" s="2">
        <f t="shared" si="0"/>
        <v>3.0136318655877665</v>
      </c>
      <c r="I41" s="2">
        <f t="shared" si="1"/>
        <v>0.17905821504412833</v>
      </c>
      <c r="J41" s="2">
        <v>14.83</v>
      </c>
      <c r="K41" s="2">
        <v>2.44</v>
      </c>
      <c r="L41" s="2">
        <v>3.28</v>
      </c>
      <c r="M41" s="2">
        <v>0.2</v>
      </c>
      <c r="N41" s="2">
        <v>0.13</v>
      </c>
      <c r="O41" s="2">
        <v>0.42</v>
      </c>
      <c r="P41" s="2">
        <f t="shared" si="2"/>
        <v>4.7761039880731646</v>
      </c>
      <c r="Q41" s="2">
        <f t="shared" si="3"/>
        <v>0.17414553631537935</v>
      </c>
      <c r="R41" s="2">
        <f t="shared" si="4"/>
        <v>1.7624721224853981</v>
      </c>
      <c r="S41">
        <f t="shared" si="5"/>
        <v>1.5848332514036689</v>
      </c>
      <c r="T41">
        <v>4.3610664887943207</v>
      </c>
    </row>
    <row r="42" spans="1:20" ht="13.9" x14ac:dyDescent="0.3">
      <c r="A42" s="8" t="s">
        <v>910</v>
      </c>
      <c r="B42" s="2">
        <v>33.43</v>
      </c>
      <c r="C42" s="2">
        <v>8.1</v>
      </c>
      <c r="D42" s="2">
        <v>28.53</v>
      </c>
      <c r="E42" s="2">
        <v>0</v>
      </c>
      <c r="F42" s="2">
        <v>0.44</v>
      </c>
      <c r="G42" s="2">
        <v>0</v>
      </c>
      <c r="H42" s="2">
        <f t="shared" si="0"/>
        <v>7.3149436541647663</v>
      </c>
      <c r="I42" s="2">
        <f t="shared" si="1"/>
        <v>4.0287338441343155E-2</v>
      </c>
      <c r="J42" s="2">
        <v>35.270000000000003</v>
      </c>
      <c r="K42" s="2">
        <v>11.95</v>
      </c>
      <c r="L42" s="2">
        <v>26.76</v>
      </c>
      <c r="M42" s="2">
        <v>0</v>
      </c>
      <c r="N42" s="2">
        <v>0</v>
      </c>
      <c r="O42" s="2">
        <v>0.11</v>
      </c>
      <c r="P42" s="2">
        <f t="shared" si="2"/>
        <v>9.393487966486699</v>
      </c>
      <c r="Q42" s="2">
        <f t="shared" si="3"/>
        <v>2.247741987351291E-2</v>
      </c>
      <c r="R42" s="2">
        <f t="shared" si="4"/>
        <v>2.0785443123219327</v>
      </c>
      <c r="S42">
        <f t="shared" si="5"/>
        <v>1.2841504200977014</v>
      </c>
      <c r="T42">
        <v>6.2090633953492702</v>
      </c>
    </row>
    <row r="43" spans="1:20" ht="13.9" x14ac:dyDescent="0.3">
      <c r="A43" s="2" t="s">
        <v>283</v>
      </c>
      <c r="B43" s="2">
        <v>8.52</v>
      </c>
      <c r="C43" s="2">
        <v>19.09</v>
      </c>
      <c r="D43" s="2">
        <v>5.45</v>
      </c>
      <c r="E43" s="2">
        <v>6.92</v>
      </c>
      <c r="F43" s="2">
        <v>6.76</v>
      </c>
      <c r="G43" s="2">
        <v>8.51</v>
      </c>
      <c r="H43" s="2">
        <f t="shared" si="0"/>
        <v>0.57517705709530265</v>
      </c>
      <c r="I43" s="2">
        <f t="shared" si="1"/>
        <v>0.43380264963883836</v>
      </c>
      <c r="J43" s="2">
        <v>31.97</v>
      </c>
      <c r="K43" s="2">
        <v>38.549999999999997</v>
      </c>
      <c r="L43" s="2">
        <v>34.049999999999997</v>
      </c>
      <c r="M43" s="2">
        <v>5.53</v>
      </c>
      <c r="N43" s="2">
        <v>3.88</v>
      </c>
      <c r="O43" s="2">
        <v>6.85</v>
      </c>
      <c r="P43" s="2">
        <f t="shared" si="2"/>
        <v>2.685069854842864</v>
      </c>
      <c r="Q43" s="2">
        <f t="shared" si="3"/>
        <v>1.5696533293844142E-4</v>
      </c>
      <c r="R43" s="2">
        <f t="shared" si="4"/>
        <v>2.1098927977475612</v>
      </c>
      <c r="S43">
        <f t="shared" si="5"/>
        <v>4.6682492316413233</v>
      </c>
      <c r="T43">
        <v>6.7083252071431678</v>
      </c>
    </row>
    <row r="44" spans="1:20" ht="13.9" x14ac:dyDescent="0.3">
      <c r="A44" s="2" t="s">
        <v>914</v>
      </c>
      <c r="B44" s="2">
        <v>8.65</v>
      </c>
      <c r="C44" s="2">
        <v>0</v>
      </c>
      <c r="D44" s="2">
        <v>0</v>
      </c>
      <c r="E44" s="2">
        <v>1.01</v>
      </c>
      <c r="F44" s="2">
        <v>0.55000000000000004</v>
      </c>
      <c r="G44" s="2">
        <v>0</v>
      </c>
      <c r="H44" s="2">
        <f t="shared" si="0"/>
        <v>2.4711541036618385</v>
      </c>
      <c r="I44" s="2">
        <f t="shared" si="1"/>
        <v>0.46056776880674916</v>
      </c>
      <c r="J44" s="2">
        <v>0</v>
      </c>
      <c r="K44" s="2">
        <v>7.81</v>
      </c>
      <c r="L44" s="2">
        <v>0</v>
      </c>
      <c r="M44" s="2">
        <v>0</v>
      </c>
      <c r="N44" s="2">
        <v>0.13</v>
      </c>
      <c r="O44" s="2">
        <v>0.11</v>
      </c>
      <c r="P44" s="2">
        <f t="shared" si="2"/>
        <v>5.0242162374208235</v>
      </c>
      <c r="Q44" s="2">
        <f t="shared" si="3"/>
        <v>0.38734925488208344</v>
      </c>
      <c r="R44" s="2">
        <f t="shared" si="4"/>
        <v>2.5530621337589849</v>
      </c>
      <c r="S44">
        <f t="shared" si="5"/>
        <v>2.0331456585308754</v>
      </c>
      <c r="T44">
        <v>2.9653225483672552</v>
      </c>
    </row>
    <row r="45" spans="1:20" ht="13.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20" ht="13.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0" ht="13.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20" ht="13.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3.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3.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3.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3.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3.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3.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3.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9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3.9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3.9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3.9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3.9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3.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3.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3.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9" x14ac:dyDescent="0.3">
      <c r="A164" s="2"/>
      <c r="B164" s="2"/>
      <c r="C164" s="2"/>
      <c r="D164" s="2"/>
      <c r="E164" s="2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3.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</sheetData>
  <sortState xmlns:xlrd2="http://schemas.microsoft.com/office/spreadsheetml/2017/richdata2" ref="A2:T271">
    <sortCondition ref="R2:R271"/>
  </sortState>
  <phoneticPr fontId="1" type="noConversion"/>
  <conditionalFormatting sqref="I1:I1048576 Q1:Q1048576">
    <cfRule type="cellIs" dxfId="7" priority="2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26"/>
  <sheetViews>
    <sheetView topLeftCell="A53" zoomScale="76" workbookViewId="0">
      <selection activeCell="R2" sqref="R2:R70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  <col min="19" max="19" width="14.9296875" customWidth="1"/>
  </cols>
  <sheetData>
    <row r="1" spans="1:20" ht="13.9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948</v>
      </c>
      <c r="I1" s="3" t="s">
        <v>949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946</v>
      </c>
      <c r="Q1" s="3" t="s">
        <v>949</v>
      </c>
      <c r="R1" s="4" t="s">
        <v>950</v>
      </c>
      <c r="S1" s="4" t="s">
        <v>955</v>
      </c>
      <c r="T1" t="s">
        <v>958</v>
      </c>
    </row>
    <row r="2" spans="1:20" ht="13.9" x14ac:dyDescent="0.3">
      <c r="A2" s="2" t="s">
        <v>401</v>
      </c>
      <c r="B2" s="2">
        <v>2.64</v>
      </c>
      <c r="C2" s="2">
        <v>0</v>
      </c>
      <c r="D2" s="2">
        <v>0</v>
      </c>
      <c r="E2" s="2">
        <v>0.59</v>
      </c>
      <c r="F2" s="2">
        <v>1.47</v>
      </c>
      <c r="G2" s="2">
        <v>0.42</v>
      </c>
      <c r="H2" s="2">
        <f t="shared" ref="H2:H33" si="0">LOG(SUM(B2:D2)/SUM(E2:G2),2)</f>
        <v>9.0197808971578447E-2</v>
      </c>
      <c r="I2" s="2">
        <f t="shared" ref="I2:I33" si="1">_xlfn.T.TEST(B2:D2,E2:G2,2,2)</f>
        <v>0.95739526094456839</v>
      </c>
      <c r="J2" s="2">
        <v>2.16</v>
      </c>
      <c r="K2" s="2">
        <v>0.84</v>
      </c>
      <c r="L2" s="2">
        <v>0</v>
      </c>
      <c r="M2" s="2">
        <v>0.82</v>
      </c>
      <c r="N2" s="2">
        <v>0</v>
      </c>
      <c r="O2" s="2">
        <v>1.89</v>
      </c>
      <c r="P2" s="2">
        <f t="shared" ref="P2:P33" si="2">LOG(SUM(J2:L2)/SUM(M2:O2),2)</f>
        <v>0.14666964914200947</v>
      </c>
      <c r="Q2" s="2">
        <f t="shared" ref="Q2:Q33" si="3">_xlfn.T.TEST(J2:L2,M2:O2,2,2)</f>
        <v>0.91325338248676702</v>
      </c>
      <c r="R2" s="2">
        <f t="shared" ref="R2:R33" si="4">P2-H2</f>
        <v>5.6471840170431026E-2</v>
      </c>
      <c r="S2">
        <f t="shared" ref="S2:S33" si="5">P2/H2</f>
        <v>1.6260888242665124</v>
      </c>
      <c r="T2">
        <v>1.5849625007211563</v>
      </c>
    </row>
    <row r="3" spans="1:20" ht="13.9" x14ac:dyDescent="0.3">
      <c r="A3" s="2" t="s">
        <v>477</v>
      </c>
      <c r="B3" s="2">
        <v>3.96</v>
      </c>
      <c r="C3" s="2">
        <v>10.49</v>
      </c>
      <c r="D3" s="2">
        <v>7.65</v>
      </c>
      <c r="E3" s="2">
        <v>7.21</v>
      </c>
      <c r="F3" s="2">
        <v>7.62</v>
      </c>
      <c r="G3" s="2">
        <v>3.37</v>
      </c>
      <c r="H3" s="2">
        <f t="shared" si="0"/>
        <v>0.28010791919273548</v>
      </c>
      <c r="I3" s="2">
        <f t="shared" si="1"/>
        <v>0.60588619252758913</v>
      </c>
      <c r="J3" s="2">
        <v>0</v>
      </c>
      <c r="K3" s="2">
        <v>2.2999999999999998</v>
      </c>
      <c r="L3" s="2">
        <v>8.5500000000000007</v>
      </c>
      <c r="M3" s="2">
        <v>2.98</v>
      </c>
      <c r="N3" s="2">
        <v>0</v>
      </c>
      <c r="O3" s="2">
        <v>5.55</v>
      </c>
      <c r="P3" s="2">
        <f t="shared" si="2"/>
        <v>0.34707739601355175</v>
      </c>
      <c r="Q3" s="2">
        <f t="shared" si="3"/>
        <v>0.81028744411067888</v>
      </c>
      <c r="R3" s="2">
        <f t="shared" si="4"/>
        <v>6.6969476820816276E-2</v>
      </c>
      <c r="S3">
        <f t="shared" si="5"/>
        <v>1.2390845536028425</v>
      </c>
      <c r="T3">
        <v>3.4396231375571173</v>
      </c>
    </row>
    <row r="4" spans="1:20" ht="13.9" x14ac:dyDescent="0.3">
      <c r="A4" s="2" t="s">
        <v>921</v>
      </c>
      <c r="B4" s="2">
        <v>3.96</v>
      </c>
      <c r="C4" s="2">
        <v>0</v>
      </c>
      <c r="D4" s="2">
        <v>7.28</v>
      </c>
      <c r="E4" s="2">
        <v>1.18</v>
      </c>
      <c r="F4" s="2">
        <v>0.94</v>
      </c>
      <c r="G4" s="2">
        <v>0.63</v>
      </c>
      <c r="H4" s="2">
        <f t="shared" si="0"/>
        <v>2.031138511808904</v>
      </c>
      <c r="I4" s="2">
        <f t="shared" si="1"/>
        <v>0.25098800208308375</v>
      </c>
      <c r="J4" s="2">
        <v>6.11</v>
      </c>
      <c r="K4" s="2">
        <v>0</v>
      </c>
      <c r="L4" s="2">
        <v>8.5500000000000007</v>
      </c>
      <c r="M4" s="2">
        <v>2.88</v>
      </c>
      <c r="N4" s="2">
        <v>0</v>
      </c>
      <c r="O4" s="2">
        <v>0.54</v>
      </c>
      <c r="P4" s="2">
        <f t="shared" si="2"/>
        <v>2.0998168732479141</v>
      </c>
      <c r="Q4" s="2">
        <f t="shared" si="3"/>
        <v>0.23639640620828056</v>
      </c>
      <c r="R4" s="2">
        <f t="shared" si="4"/>
        <v>6.8678361439010072E-2</v>
      </c>
      <c r="S4">
        <f t="shared" si="5"/>
        <v>1.0338127414943485</v>
      </c>
      <c r="T4">
        <v>3.8738131983590871</v>
      </c>
    </row>
    <row r="5" spans="1:20" ht="13.9" x14ac:dyDescent="0.3">
      <c r="A5" s="2" t="s">
        <v>935</v>
      </c>
      <c r="B5" s="2">
        <v>0</v>
      </c>
      <c r="C5" s="2">
        <v>13.66</v>
      </c>
      <c r="D5" s="2">
        <v>10.74</v>
      </c>
      <c r="E5" s="2">
        <v>2.37</v>
      </c>
      <c r="F5" s="2">
        <v>3.61</v>
      </c>
      <c r="G5" s="2">
        <v>2.85</v>
      </c>
      <c r="H5" s="2">
        <f t="shared" si="0"/>
        <v>1.4663958048017824</v>
      </c>
      <c r="I5" s="2">
        <f t="shared" si="1"/>
        <v>0.28109782696036167</v>
      </c>
      <c r="J5" s="2">
        <v>0.18</v>
      </c>
      <c r="K5" s="2">
        <v>8.3699999999999992</v>
      </c>
      <c r="L5" s="2">
        <v>0</v>
      </c>
      <c r="M5" s="2">
        <v>1.54</v>
      </c>
      <c r="N5" s="2">
        <v>0</v>
      </c>
      <c r="O5" s="2">
        <v>1.35</v>
      </c>
      <c r="P5" s="2">
        <f t="shared" si="2"/>
        <v>1.5648549272725811</v>
      </c>
      <c r="Q5" s="2">
        <f t="shared" si="3"/>
        <v>0.53774087447562358</v>
      </c>
      <c r="R5" s="2">
        <f t="shared" si="4"/>
        <v>9.8459122470798688E-2</v>
      </c>
      <c r="S5">
        <f t="shared" si="5"/>
        <v>1.0671436198524229</v>
      </c>
      <c r="T5">
        <v>3.0959244199985352</v>
      </c>
    </row>
    <row r="6" spans="1:20" ht="13.9" x14ac:dyDescent="0.3">
      <c r="A6" s="2" t="s">
        <v>34</v>
      </c>
      <c r="B6" s="2">
        <v>42567.01</v>
      </c>
      <c r="C6" s="2">
        <v>35176.58</v>
      </c>
      <c r="D6" s="2">
        <v>32349.85</v>
      </c>
      <c r="E6" s="2">
        <v>24656.6</v>
      </c>
      <c r="F6" s="2">
        <v>17876.98</v>
      </c>
      <c r="G6" s="2">
        <v>25804.61</v>
      </c>
      <c r="H6" s="2">
        <f t="shared" si="0"/>
        <v>0.68796456512290549</v>
      </c>
      <c r="I6" s="2">
        <f t="shared" si="1"/>
        <v>2.3858430602871725E-2</v>
      </c>
      <c r="J6" s="2">
        <v>20037.14</v>
      </c>
      <c r="K6" s="2">
        <v>29137.57</v>
      </c>
      <c r="L6" s="2">
        <v>30471.19</v>
      </c>
      <c r="M6" s="2">
        <v>19933.310000000001</v>
      </c>
      <c r="N6" s="2">
        <v>11363.64</v>
      </c>
      <c r="O6" s="2">
        <v>14278.52</v>
      </c>
      <c r="P6" s="2">
        <f t="shared" si="2"/>
        <v>0.80534256258999137</v>
      </c>
      <c r="Q6" s="2">
        <f t="shared" si="3"/>
        <v>5.1466965013160358E-2</v>
      </c>
      <c r="R6" s="2">
        <f t="shared" si="4"/>
        <v>0.11737799746708588</v>
      </c>
      <c r="S6">
        <f t="shared" si="5"/>
        <v>1.1706163419130695</v>
      </c>
      <c r="T6">
        <v>16.281312476367052</v>
      </c>
    </row>
    <row r="7" spans="1:20" ht="13.9" x14ac:dyDescent="0.3">
      <c r="A7" s="2" t="s">
        <v>925</v>
      </c>
      <c r="B7" s="2">
        <v>140.09</v>
      </c>
      <c r="C7" s="2">
        <v>126.86</v>
      </c>
      <c r="D7" s="2">
        <v>60.26</v>
      </c>
      <c r="E7" s="2">
        <v>61.1</v>
      </c>
      <c r="F7" s="2">
        <v>86.37</v>
      </c>
      <c r="G7" s="2">
        <v>59.96</v>
      </c>
      <c r="H7" s="2">
        <f t="shared" si="0"/>
        <v>0.657592277707155</v>
      </c>
      <c r="I7" s="2">
        <f t="shared" si="1"/>
        <v>0.20168759659041899</v>
      </c>
      <c r="J7" s="2">
        <v>84.08</v>
      </c>
      <c r="K7" s="2">
        <v>125.57</v>
      </c>
      <c r="L7" s="2">
        <v>225.23</v>
      </c>
      <c r="M7" s="2">
        <v>62.35</v>
      </c>
      <c r="N7" s="2">
        <v>81.75</v>
      </c>
      <c r="O7" s="2">
        <v>109.5</v>
      </c>
      <c r="P7" s="2">
        <f t="shared" si="2"/>
        <v>0.77806261574062185</v>
      </c>
      <c r="Q7" s="2">
        <f t="shared" si="3"/>
        <v>0.24215038720913507</v>
      </c>
      <c r="R7" s="2">
        <f t="shared" si="4"/>
        <v>0.12047033803346685</v>
      </c>
      <c r="S7">
        <f t="shared" si="5"/>
        <v>1.1831991373948521</v>
      </c>
      <c r="T7">
        <v>8.7644735509926672</v>
      </c>
    </row>
    <row r="8" spans="1:20" ht="13.9" x14ac:dyDescent="0.3">
      <c r="A8" s="2" t="s">
        <v>417</v>
      </c>
      <c r="B8" s="2">
        <v>68.89</v>
      </c>
      <c r="C8" s="2">
        <v>57.09</v>
      </c>
      <c r="D8" s="2">
        <v>59.35</v>
      </c>
      <c r="E8" s="2">
        <v>24.78</v>
      </c>
      <c r="F8" s="2">
        <v>14.84</v>
      </c>
      <c r="G8" s="2">
        <v>25.4</v>
      </c>
      <c r="H8" s="2">
        <f t="shared" si="0"/>
        <v>1.5111409731008403</v>
      </c>
      <c r="I8" s="2">
        <f t="shared" si="1"/>
        <v>1.289219892799E-3</v>
      </c>
      <c r="J8" s="2">
        <v>35.93</v>
      </c>
      <c r="K8" s="2">
        <v>36.409999999999997</v>
      </c>
      <c r="L8" s="2">
        <v>69.88</v>
      </c>
      <c r="M8" s="2">
        <v>24.9</v>
      </c>
      <c r="N8" s="2">
        <v>0</v>
      </c>
      <c r="O8" s="2">
        <v>20.440000000000001</v>
      </c>
      <c r="P8" s="2">
        <f t="shared" si="2"/>
        <v>1.6492680651928628</v>
      </c>
      <c r="Q8" s="2">
        <f t="shared" si="3"/>
        <v>7.6488788007032141E-2</v>
      </c>
      <c r="R8" s="2">
        <f t="shared" si="4"/>
        <v>0.13812709209202256</v>
      </c>
      <c r="S8">
        <f t="shared" si="5"/>
        <v>1.0914058281462566</v>
      </c>
      <c r="T8">
        <v>7.1519805511589247</v>
      </c>
    </row>
    <row r="9" spans="1:20" ht="13.9" x14ac:dyDescent="0.3">
      <c r="A9" s="2" t="s">
        <v>652</v>
      </c>
      <c r="B9" s="2">
        <v>155.58000000000001</v>
      </c>
      <c r="C9" s="2">
        <v>146.13</v>
      </c>
      <c r="D9" s="2">
        <v>140.01</v>
      </c>
      <c r="E9" s="2">
        <v>143.33000000000001</v>
      </c>
      <c r="F9" s="2">
        <v>102.55</v>
      </c>
      <c r="G9" s="2">
        <v>155.13</v>
      </c>
      <c r="H9" s="2">
        <f t="shared" si="0"/>
        <v>0.13949394189172024</v>
      </c>
      <c r="I9" s="2">
        <f t="shared" si="1"/>
        <v>0.45854385961549815</v>
      </c>
      <c r="J9" s="2">
        <v>107.43</v>
      </c>
      <c r="K9" s="2">
        <v>159.68</v>
      </c>
      <c r="L9" s="2">
        <v>130.21</v>
      </c>
      <c r="M9" s="2">
        <v>123.78</v>
      </c>
      <c r="N9" s="2">
        <v>81.75</v>
      </c>
      <c r="O9" s="2">
        <v>117.75</v>
      </c>
      <c r="P9" s="2">
        <f t="shared" si="2"/>
        <v>0.29751715993469657</v>
      </c>
      <c r="Q9" s="2">
        <f t="shared" si="3"/>
        <v>0.28521800208406456</v>
      </c>
      <c r="R9" s="2">
        <f t="shared" si="4"/>
        <v>0.15802321804297634</v>
      </c>
      <c r="S9">
        <f t="shared" si="5"/>
        <v>2.1328321208790495</v>
      </c>
      <c r="T9">
        <v>8.6341576063434307</v>
      </c>
    </row>
    <row r="10" spans="1:20" ht="13.9" x14ac:dyDescent="0.3">
      <c r="A10" s="2" t="s">
        <v>941</v>
      </c>
      <c r="B10" s="2">
        <v>9.89</v>
      </c>
      <c r="C10" s="2">
        <v>48.3</v>
      </c>
      <c r="D10" s="2">
        <v>16.39</v>
      </c>
      <c r="E10" s="2">
        <v>24.68</v>
      </c>
      <c r="F10" s="2">
        <v>25.94</v>
      </c>
      <c r="G10" s="2">
        <v>15.91</v>
      </c>
      <c r="H10" s="2">
        <f t="shared" si="0"/>
        <v>0.16478376339150472</v>
      </c>
      <c r="I10" s="2">
        <f t="shared" si="1"/>
        <v>0.83774199332111476</v>
      </c>
      <c r="J10" s="2">
        <v>7.19</v>
      </c>
      <c r="K10" s="2">
        <v>8.3699999999999992</v>
      </c>
      <c r="L10" s="2">
        <v>33.68</v>
      </c>
      <c r="M10" s="2">
        <v>16.98</v>
      </c>
      <c r="N10" s="2">
        <v>0</v>
      </c>
      <c r="O10" s="2">
        <v>21.52</v>
      </c>
      <c r="P10" s="2">
        <f t="shared" si="2"/>
        <v>0.3549723160148312</v>
      </c>
      <c r="Q10" s="2">
        <f t="shared" si="3"/>
        <v>0.75781364161661102</v>
      </c>
      <c r="R10" s="2">
        <f t="shared" si="4"/>
        <v>0.19018855262332648</v>
      </c>
      <c r="S10">
        <f t="shared" si="5"/>
        <v>2.1541704638184727</v>
      </c>
      <c r="T10">
        <v>5.6217588567097332</v>
      </c>
    </row>
    <row r="11" spans="1:20" ht="13.9" x14ac:dyDescent="0.3">
      <c r="A11" s="2" t="s">
        <v>380</v>
      </c>
      <c r="B11" s="2">
        <v>336.87</v>
      </c>
      <c r="C11" s="2">
        <v>789.95</v>
      </c>
      <c r="D11" s="2">
        <v>227.95</v>
      </c>
      <c r="E11" s="2">
        <v>62.68</v>
      </c>
      <c r="F11" s="2">
        <v>139.59</v>
      </c>
      <c r="G11" s="2">
        <v>73.14</v>
      </c>
      <c r="H11" s="2">
        <f t="shared" si="0"/>
        <v>2.2983950962127544</v>
      </c>
      <c r="I11" s="2">
        <f t="shared" si="1"/>
        <v>0.10714941627010582</v>
      </c>
      <c r="J11" s="2">
        <v>227.62</v>
      </c>
      <c r="K11" s="2">
        <v>391.36</v>
      </c>
      <c r="L11" s="2">
        <v>1056.76</v>
      </c>
      <c r="M11" s="2">
        <v>56.38</v>
      </c>
      <c r="N11" s="2">
        <v>40.880000000000003</v>
      </c>
      <c r="O11" s="2">
        <v>193.95</v>
      </c>
      <c r="P11" s="2">
        <f t="shared" si="2"/>
        <v>2.5246665216716209</v>
      </c>
      <c r="Q11" s="2">
        <f t="shared" si="3"/>
        <v>0.14834906119181837</v>
      </c>
      <c r="R11" s="2">
        <f t="shared" si="4"/>
        <v>0.22627142545886647</v>
      </c>
      <c r="S11">
        <f t="shared" si="5"/>
        <v>1.0984475758026597</v>
      </c>
      <c r="T11">
        <v>10.710582609231235</v>
      </c>
    </row>
    <row r="12" spans="1:20" ht="13.9" x14ac:dyDescent="0.3">
      <c r="A12" s="2" t="s">
        <v>914</v>
      </c>
      <c r="B12" s="2">
        <v>0</v>
      </c>
      <c r="C12" s="2">
        <v>7.81</v>
      </c>
      <c r="D12" s="2">
        <v>0</v>
      </c>
      <c r="E12" s="2">
        <v>0</v>
      </c>
      <c r="F12" s="2">
        <v>0.13</v>
      </c>
      <c r="G12" s="2">
        <v>0.11</v>
      </c>
      <c r="H12" s="2">
        <f t="shared" si="0"/>
        <v>5.0242162374208235</v>
      </c>
      <c r="I12" s="2">
        <f t="shared" si="1"/>
        <v>0.38734925488208344</v>
      </c>
      <c r="J12" s="2">
        <v>2.34</v>
      </c>
      <c r="K12" s="2">
        <v>0</v>
      </c>
      <c r="L12" s="2">
        <v>17.09</v>
      </c>
      <c r="M12" s="2">
        <v>0.51</v>
      </c>
      <c r="N12" s="2">
        <v>0</v>
      </c>
      <c r="O12" s="2">
        <v>0</v>
      </c>
      <c r="P12" s="2">
        <f t="shared" si="2"/>
        <v>5.2516448436138488</v>
      </c>
      <c r="Q12" s="2">
        <f t="shared" si="3"/>
        <v>0.30397514946033127</v>
      </c>
      <c r="R12" s="2">
        <f t="shared" si="4"/>
        <v>0.2274286061930253</v>
      </c>
      <c r="S12">
        <f t="shared" si="5"/>
        <v>1.0452664844516675</v>
      </c>
      <c r="T12">
        <v>4.2802139958106196</v>
      </c>
    </row>
    <row r="13" spans="1:20" ht="13.9" x14ac:dyDescent="0.3">
      <c r="A13" s="2" t="s">
        <v>279</v>
      </c>
      <c r="B13" s="2">
        <v>187.55</v>
      </c>
      <c r="C13" s="2">
        <v>379.85</v>
      </c>
      <c r="D13" s="2">
        <v>177.7</v>
      </c>
      <c r="E13" s="2">
        <v>131.88</v>
      </c>
      <c r="F13" s="2">
        <v>131.30000000000001</v>
      </c>
      <c r="G13" s="2">
        <v>151.44</v>
      </c>
      <c r="H13" s="2">
        <f t="shared" si="0"/>
        <v>0.84564435360063217</v>
      </c>
      <c r="I13" s="2">
        <f t="shared" si="1"/>
        <v>0.17110692123607038</v>
      </c>
      <c r="J13" s="2">
        <v>125.4</v>
      </c>
      <c r="K13" s="2">
        <v>228.53</v>
      </c>
      <c r="L13" s="2">
        <v>382.08</v>
      </c>
      <c r="M13" s="2">
        <v>92.81</v>
      </c>
      <c r="N13" s="2">
        <v>122.63</v>
      </c>
      <c r="O13" s="2">
        <v>126.69</v>
      </c>
      <c r="P13" s="2">
        <f t="shared" si="2"/>
        <v>1.1051807542212533</v>
      </c>
      <c r="Q13" s="2">
        <f t="shared" si="3"/>
        <v>0.15631919622006016</v>
      </c>
      <c r="R13" s="2">
        <f t="shared" si="4"/>
        <v>0.25953640062062111</v>
      </c>
      <c r="S13">
        <f t="shared" si="5"/>
        <v>1.3069096358481582</v>
      </c>
      <c r="T13">
        <v>9.5235815577586447</v>
      </c>
    </row>
    <row r="14" spans="1:20" ht="13.9" x14ac:dyDescent="0.3">
      <c r="A14" s="2" t="s">
        <v>937</v>
      </c>
      <c r="B14" s="2">
        <v>638.13</v>
      </c>
      <c r="C14" s="2">
        <v>557.94000000000005</v>
      </c>
      <c r="D14" s="2">
        <v>643.04999999999995</v>
      </c>
      <c r="E14" s="2">
        <v>421.81</v>
      </c>
      <c r="F14" s="2">
        <v>371.57</v>
      </c>
      <c r="G14" s="2">
        <v>419.75</v>
      </c>
      <c r="H14" s="2">
        <f t="shared" si="0"/>
        <v>0.60028145752903717</v>
      </c>
      <c r="I14" s="2">
        <f t="shared" si="1"/>
        <v>2.8894919469125251E-3</v>
      </c>
      <c r="J14" s="2">
        <v>676.4</v>
      </c>
      <c r="K14" s="2">
        <v>549.15</v>
      </c>
      <c r="L14" s="2">
        <v>536.42999999999995</v>
      </c>
      <c r="M14" s="2">
        <v>376.37</v>
      </c>
      <c r="N14" s="2">
        <v>204.38</v>
      </c>
      <c r="O14" s="2">
        <v>382.49</v>
      </c>
      <c r="P14" s="2">
        <f t="shared" si="2"/>
        <v>0.87123033996124688</v>
      </c>
      <c r="Q14" s="2">
        <f t="shared" si="3"/>
        <v>2.2326774858584607E-2</v>
      </c>
      <c r="R14" s="2">
        <f t="shared" si="4"/>
        <v>0.27094888243220971</v>
      </c>
      <c r="S14">
        <f t="shared" si="5"/>
        <v>1.4513697350365069</v>
      </c>
      <c r="T14">
        <v>10.782981833174345</v>
      </c>
    </row>
    <row r="15" spans="1:20" ht="13.9" x14ac:dyDescent="0.3">
      <c r="A15" s="2" t="s">
        <v>80</v>
      </c>
      <c r="B15" s="2">
        <v>24.06</v>
      </c>
      <c r="C15" s="2">
        <v>30.25</v>
      </c>
      <c r="D15" s="2">
        <v>71.92</v>
      </c>
      <c r="E15" s="2">
        <v>7.7</v>
      </c>
      <c r="F15" s="2">
        <v>5.48</v>
      </c>
      <c r="G15" s="2">
        <v>3.79</v>
      </c>
      <c r="H15" s="2">
        <f t="shared" si="0"/>
        <v>2.8949963540176213</v>
      </c>
      <c r="I15" s="2">
        <f t="shared" si="1"/>
        <v>7.3032471420022171E-2</v>
      </c>
      <c r="J15" s="2">
        <v>48.87</v>
      </c>
      <c r="K15" s="2">
        <v>52.53</v>
      </c>
      <c r="L15" s="2">
        <v>88.99</v>
      </c>
      <c r="M15" s="2">
        <v>7.61</v>
      </c>
      <c r="N15" s="2">
        <v>0</v>
      </c>
      <c r="O15" s="2">
        <v>12.86</v>
      </c>
      <c r="P15" s="2">
        <f t="shared" si="2"/>
        <v>3.2173746973836539</v>
      </c>
      <c r="Q15" s="2">
        <f t="shared" si="3"/>
        <v>1.3201403217838312E-2</v>
      </c>
      <c r="R15" s="2">
        <f t="shared" si="4"/>
        <v>0.32237834336603255</v>
      </c>
      <c r="S15">
        <f t="shared" si="5"/>
        <v>1.1113570809575086</v>
      </c>
      <c r="T15">
        <v>7.5728138946323407</v>
      </c>
    </row>
    <row r="16" spans="1:20" ht="13.9" x14ac:dyDescent="0.3">
      <c r="A16" s="2" t="s">
        <v>153</v>
      </c>
      <c r="B16" s="2">
        <v>1507.98</v>
      </c>
      <c r="C16" s="2">
        <v>1860.21</v>
      </c>
      <c r="D16" s="2">
        <v>1320.34</v>
      </c>
      <c r="E16" s="2">
        <v>1494.45</v>
      </c>
      <c r="F16" s="2">
        <v>1615.98</v>
      </c>
      <c r="G16" s="2">
        <v>1507.23</v>
      </c>
      <c r="H16" s="2">
        <f t="shared" si="0"/>
        <v>2.1973713005274158E-2</v>
      </c>
      <c r="I16" s="2">
        <f t="shared" si="1"/>
        <v>0.89169269643824378</v>
      </c>
      <c r="J16" s="2">
        <v>894.32</v>
      </c>
      <c r="K16" s="2">
        <v>1642.86</v>
      </c>
      <c r="L16" s="2">
        <v>2201.5100000000002</v>
      </c>
      <c r="M16" s="2">
        <v>1373.47</v>
      </c>
      <c r="N16" s="2">
        <v>490.52</v>
      </c>
      <c r="O16" s="2">
        <v>1842.49</v>
      </c>
      <c r="P16" s="2">
        <f t="shared" si="2"/>
        <v>0.35443855780948397</v>
      </c>
      <c r="Q16" s="2">
        <f t="shared" si="3"/>
        <v>0.56426148138273435</v>
      </c>
      <c r="R16" s="2">
        <f t="shared" si="4"/>
        <v>0.33246484480420979</v>
      </c>
      <c r="S16">
        <f t="shared" si="5"/>
        <v>16.130116822969846</v>
      </c>
      <c r="T16">
        <v>12.210272569162631</v>
      </c>
    </row>
    <row r="17" spans="1:20" ht="13.9" x14ac:dyDescent="0.3">
      <c r="A17" s="2" t="s">
        <v>204</v>
      </c>
      <c r="B17" s="2">
        <v>31.64</v>
      </c>
      <c r="C17" s="2">
        <v>18.3</v>
      </c>
      <c r="D17" s="2">
        <v>5.64</v>
      </c>
      <c r="E17" s="2">
        <v>15.5</v>
      </c>
      <c r="F17" s="2">
        <v>10.56</v>
      </c>
      <c r="G17" s="2">
        <v>15.39</v>
      </c>
      <c r="H17" s="2">
        <f t="shared" si="0"/>
        <v>0.42319373281744893</v>
      </c>
      <c r="I17" s="2">
        <f t="shared" si="1"/>
        <v>0.57289824187579652</v>
      </c>
      <c r="J17" s="2">
        <v>0</v>
      </c>
      <c r="K17" s="2">
        <v>19.46</v>
      </c>
      <c r="L17" s="2">
        <v>28.15</v>
      </c>
      <c r="M17" s="2">
        <v>10.49</v>
      </c>
      <c r="N17" s="2">
        <v>0</v>
      </c>
      <c r="O17" s="2">
        <v>17.600000000000001</v>
      </c>
      <c r="P17" s="2">
        <f t="shared" si="2"/>
        <v>0.76120800442993963</v>
      </c>
      <c r="Q17" s="2">
        <f t="shared" si="3"/>
        <v>0.54173231644861497</v>
      </c>
      <c r="R17" s="2">
        <f t="shared" si="4"/>
        <v>0.3380142716124907</v>
      </c>
      <c r="S17">
        <f t="shared" si="5"/>
        <v>1.7987222999786208</v>
      </c>
      <c r="T17">
        <v>5.5731927237816139</v>
      </c>
    </row>
    <row r="18" spans="1:20" ht="13.9" x14ac:dyDescent="0.3">
      <c r="A18" s="2" t="s">
        <v>173</v>
      </c>
      <c r="B18" s="2">
        <v>338.84</v>
      </c>
      <c r="C18" s="2">
        <v>329.59</v>
      </c>
      <c r="D18" s="2">
        <v>346.47</v>
      </c>
      <c r="E18" s="2">
        <v>135.63</v>
      </c>
      <c r="F18" s="2">
        <v>145.61000000000001</v>
      </c>
      <c r="G18" s="2">
        <v>135.41999999999999</v>
      </c>
      <c r="H18" s="2">
        <f t="shared" si="0"/>
        <v>1.2843950721048101</v>
      </c>
      <c r="I18" s="2">
        <f t="shared" si="1"/>
        <v>4.6530517957086457E-6</v>
      </c>
      <c r="J18" s="2">
        <v>194.21</v>
      </c>
      <c r="K18" s="2">
        <v>306.18</v>
      </c>
      <c r="L18" s="2">
        <v>540.45000000000005</v>
      </c>
      <c r="M18" s="2">
        <v>104.02</v>
      </c>
      <c r="N18" s="2">
        <v>40.880000000000003</v>
      </c>
      <c r="O18" s="2">
        <v>187.73</v>
      </c>
      <c r="P18" s="2">
        <f t="shared" si="2"/>
        <v>1.645758115016672</v>
      </c>
      <c r="Q18" s="2">
        <f t="shared" si="3"/>
        <v>9.9533130060959374E-2</v>
      </c>
      <c r="R18" s="2">
        <f t="shared" si="4"/>
        <v>0.36136304291186194</v>
      </c>
      <c r="S18">
        <f t="shared" si="5"/>
        <v>1.2813488238627979</v>
      </c>
      <c r="T18">
        <v>10.023532596385344</v>
      </c>
    </row>
    <row r="19" spans="1:20" ht="13.9" x14ac:dyDescent="0.3">
      <c r="A19" s="2" t="s">
        <v>374</v>
      </c>
      <c r="B19" s="2">
        <v>35.93</v>
      </c>
      <c r="C19" s="2">
        <v>15.13</v>
      </c>
      <c r="D19" s="2">
        <v>11.65</v>
      </c>
      <c r="E19" s="2">
        <v>1.88</v>
      </c>
      <c r="F19" s="2">
        <v>5.75</v>
      </c>
      <c r="G19" s="2">
        <v>1.69</v>
      </c>
      <c r="H19" s="2">
        <f t="shared" si="0"/>
        <v>2.750293659591049</v>
      </c>
      <c r="I19" s="2">
        <f t="shared" si="1"/>
        <v>8.1777517524053184E-2</v>
      </c>
      <c r="J19" s="2">
        <v>11.14</v>
      </c>
      <c r="K19" s="2">
        <v>23.23</v>
      </c>
      <c r="L19" s="2">
        <v>5.03</v>
      </c>
      <c r="M19" s="2">
        <v>2.16</v>
      </c>
      <c r="N19" s="2">
        <v>0</v>
      </c>
      <c r="O19" s="2">
        <v>2.2999999999999998</v>
      </c>
      <c r="P19" s="2">
        <f t="shared" si="2"/>
        <v>3.1430800144234343</v>
      </c>
      <c r="Q19" s="2">
        <f t="shared" si="3"/>
        <v>9.720143008466231E-2</v>
      </c>
      <c r="R19" s="2">
        <f t="shared" si="4"/>
        <v>0.39278635483238533</v>
      </c>
      <c r="S19">
        <f t="shared" si="5"/>
        <v>1.1428161510908585</v>
      </c>
      <c r="T19">
        <v>5.3001237245690147</v>
      </c>
    </row>
    <row r="20" spans="1:20" ht="13.9" x14ac:dyDescent="0.3">
      <c r="A20" s="2" t="s">
        <v>516</v>
      </c>
      <c r="B20" s="2">
        <v>0.33</v>
      </c>
      <c r="C20" s="2">
        <v>4.1500000000000004</v>
      </c>
      <c r="D20" s="2">
        <v>8.01</v>
      </c>
      <c r="E20" s="2">
        <v>1.78</v>
      </c>
      <c r="F20" s="2">
        <v>0.53</v>
      </c>
      <c r="G20" s="2">
        <v>1.48</v>
      </c>
      <c r="H20" s="2">
        <f t="shared" si="0"/>
        <v>1.7205037234368656</v>
      </c>
      <c r="I20" s="2">
        <f t="shared" si="1"/>
        <v>0.26671364012844462</v>
      </c>
      <c r="J20" s="2">
        <v>0.18</v>
      </c>
      <c r="K20" s="2">
        <v>7.53</v>
      </c>
      <c r="L20" s="2">
        <v>1.01</v>
      </c>
      <c r="M20" s="2">
        <v>1.65</v>
      </c>
      <c r="N20" s="2">
        <v>0</v>
      </c>
      <c r="O20" s="2">
        <v>0.27</v>
      </c>
      <c r="P20" s="2">
        <f t="shared" si="2"/>
        <v>2.1832218240557704</v>
      </c>
      <c r="Q20" s="2">
        <f t="shared" si="3"/>
        <v>0.39475568117069526</v>
      </c>
      <c r="R20" s="2">
        <f t="shared" si="4"/>
        <v>0.46271810061890473</v>
      </c>
      <c r="S20">
        <f t="shared" si="5"/>
        <v>1.2689433880994936</v>
      </c>
      <c r="T20">
        <v>3.1243281350022016</v>
      </c>
    </row>
    <row r="21" spans="1:20" ht="13.9" x14ac:dyDescent="0.3">
      <c r="A21" s="2" t="s">
        <v>24</v>
      </c>
      <c r="B21" s="2">
        <v>107.45</v>
      </c>
      <c r="C21" s="2">
        <v>106.86</v>
      </c>
      <c r="D21" s="2">
        <v>129.44999999999999</v>
      </c>
      <c r="E21" s="2">
        <v>48.57</v>
      </c>
      <c r="F21" s="2">
        <v>60.7</v>
      </c>
      <c r="G21" s="2">
        <v>56.59</v>
      </c>
      <c r="H21" s="2">
        <f t="shared" si="0"/>
        <v>1.0514356847775612</v>
      </c>
      <c r="I21" s="2">
        <f t="shared" si="1"/>
        <v>1.9782209796550508E-3</v>
      </c>
      <c r="J21" s="2">
        <v>153.6</v>
      </c>
      <c r="K21" s="2">
        <v>136.03</v>
      </c>
      <c r="L21" s="2">
        <v>126.19</v>
      </c>
      <c r="M21" s="2">
        <v>46.51</v>
      </c>
      <c r="N21" s="2">
        <v>40.880000000000003</v>
      </c>
      <c r="O21" s="2">
        <v>57.79</v>
      </c>
      <c r="P21" s="2">
        <f t="shared" si="2"/>
        <v>1.5181164289068962</v>
      </c>
      <c r="Q21" s="2">
        <f t="shared" si="3"/>
        <v>6.6786070443664838E-4</v>
      </c>
      <c r="R21" s="2">
        <f t="shared" si="4"/>
        <v>0.46668074412933502</v>
      </c>
      <c r="S21">
        <f t="shared" si="5"/>
        <v>1.4438509657659799</v>
      </c>
      <c r="T21">
        <v>8.6998153400030009</v>
      </c>
    </row>
    <row r="22" spans="1:20" ht="13.9" x14ac:dyDescent="0.3">
      <c r="A22" s="2" t="s">
        <v>892</v>
      </c>
      <c r="B22" s="2">
        <v>167.44</v>
      </c>
      <c r="C22" s="2">
        <v>186.14</v>
      </c>
      <c r="D22" s="2">
        <v>265.45</v>
      </c>
      <c r="E22" s="2">
        <v>176.11</v>
      </c>
      <c r="F22" s="2">
        <v>228.77</v>
      </c>
      <c r="G22" s="2">
        <v>192.33</v>
      </c>
      <c r="H22" s="2">
        <f t="shared" si="0"/>
        <v>5.1771005421692926E-2</v>
      </c>
      <c r="I22" s="2">
        <f t="shared" si="1"/>
        <v>0.84032221678176844</v>
      </c>
      <c r="J22" s="2">
        <v>84.8</v>
      </c>
      <c r="K22" s="2">
        <v>202.58</v>
      </c>
      <c r="L22" s="2">
        <v>256.89999999999998</v>
      </c>
      <c r="M22" s="2">
        <v>146.62</v>
      </c>
      <c r="N22" s="2">
        <v>0</v>
      </c>
      <c r="O22" s="2">
        <v>232.66</v>
      </c>
      <c r="P22" s="2">
        <f t="shared" si="2"/>
        <v>0.52108572588727164</v>
      </c>
      <c r="Q22" s="2">
        <f t="shared" si="3"/>
        <v>0.55201013626092155</v>
      </c>
      <c r="R22" s="2">
        <f t="shared" si="4"/>
        <v>0.46931472046557871</v>
      </c>
      <c r="S22">
        <f t="shared" si="5"/>
        <v>10.065203904054911</v>
      </c>
      <c r="T22">
        <v>9.0882052138389433</v>
      </c>
    </row>
    <row r="23" spans="1:20" ht="13.9" x14ac:dyDescent="0.3">
      <c r="A23" s="2" t="s">
        <v>339</v>
      </c>
      <c r="B23" s="2">
        <v>17.14</v>
      </c>
      <c r="C23" s="2">
        <v>6.59</v>
      </c>
      <c r="D23" s="2">
        <v>12.02</v>
      </c>
      <c r="E23" s="2">
        <v>2.86</v>
      </c>
      <c r="F23" s="2">
        <v>6.55</v>
      </c>
      <c r="G23" s="2">
        <v>6.01</v>
      </c>
      <c r="H23" s="2">
        <f t="shared" si="0"/>
        <v>1.21314047663808</v>
      </c>
      <c r="I23" s="2">
        <f t="shared" si="1"/>
        <v>0.1058716506010056</v>
      </c>
      <c r="J23" s="2">
        <v>23.18</v>
      </c>
      <c r="K23" s="2">
        <v>0</v>
      </c>
      <c r="L23" s="2">
        <v>15.08</v>
      </c>
      <c r="M23" s="2">
        <v>5.86</v>
      </c>
      <c r="N23" s="2">
        <v>0</v>
      </c>
      <c r="O23" s="2">
        <v>5.96</v>
      </c>
      <c r="P23" s="2">
        <f t="shared" si="2"/>
        <v>1.6946068381685799</v>
      </c>
      <c r="Q23" s="2">
        <f t="shared" si="3"/>
        <v>0.28067386011978523</v>
      </c>
      <c r="R23" s="2">
        <f t="shared" si="4"/>
        <v>0.48146636153049993</v>
      </c>
      <c r="S23">
        <f t="shared" si="5"/>
        <v>1.3968760179074771</v>
      </c>
      <c r="T23">
        <v>5.2577649685713874</v>
      </c>
    </row>
    <row r="24" spans="1:20" ht="13.9" x14ac:dyDescent="0.3">
      <c r="A24" s="2" t="s">
        <v>93</v>
      </c>
      <c r="B24" s="2">
        <v>0.33</v>
      </c>
      <c r="C24" s="2">
        <v>0</v>
      </c>
      <c r="D24" s="2">
        <v>12.02</v>
      </c>
      <c r="E24" s="2">
        <v>1.58</v>
      </c>
      <c r="F24" s="2">
        <v>1.07</v>
      </c>
      <c r="G24" s="2">
        <v>1.05</v>
      </c>
      <c r="H24" s="2">
        <f t="shared" si="0"/>
        <v>1.7389138659557279</v>
      </c>
      <c r="I24" s="2">
        <f t="shared" si="1"/>
        <v>0.5065366212550495</v>
      </c>
      <c r="J24" s="2">
        <v>0</v>
      </c>
      <c r="K24" s="2">
        <v>7.74</v>
      </c>
      <c r="L24" s="2">
        <v>0</v>
      </c>
      <c r="M24" s="2">
        <v>1.34</v>
      </c>
      <c r="N24" s="2">
        <v>0</v>
      </c>
      <c r="O24" s="2">
        <v>0.27</v>
      </c>
      <c r="P24" s="2">
        <f t="shared" si="2"/>
        <v>2.2652728780297933</v>
      </c>
      <c r="Q24" s="2">
        <f t="shared" si="3"/>
        <v>0.47780192817935047</v>
      </c>
      <c r="R24" s="2">
        <f t="shared" si="4"/>
        <v>0.52635901207406532</v>
      </c>
      <c r="S24">
        <f t="shared" si="5"/>
        <v>1.302694125556801</v>
      </c>
      <c r="T24">
        <v>2.9523335663696861</v>
      </c>
    </row>
    <row r="25" spans="1:20" ht="13.9" x14ac:dyDescent="0.3">
      <c r="A25" s="2" t="s">
        <v>108</v>
      </c>
      <c r="B25" s="2">
        <v>20.11</v>
      </c>
      <c r="C25" s="2">
        <v>0</v>
      </c>
      <c r="D25" s="2">
        <v>5.64</v>
      </c>
      <c r="E25" s="2">
        <v>8.2899999999999991</v>
      </c>
      <c r="F25" s="2">
        <v>7.35</v>
      </c>
      <c r="G25" s="2">
        <v>4.95</v>
      </c>
      <c r="H25" s="2">
        <f t="shared" si="0"/>
        <v>0.3226286023256888</v>
      </c>
      <c r="I25" s="2">
        <f t="shared" si="1"/>
        <v>0.790990562420122</v>
      </c>
      <c r="J25" s="2">
        <v>0</v>
      </c>
      <c r="K25" s="2">
        <v>4.3899999999999997</v>
      </c>
      <c r="L25" s="2">
        <v>28.15</v>
      </c>
      <c r="M25" s="2">
        <v>7.31</v>
      </c>
      <c r="N25" s="2">
        <v>0</v>
      </c>
      <c r="O25" s="2">
        <v>10.69</v>
      </c>
      <c r="P25" s="2">
        <f t="shared" si="2"/>
        <v>0.8542173444554908</v>
      </c>
      <c r="Q25" s="2">
        <f t="shared" si="3"/>
        <v>0.62963103510123863</v>
      </c>
      <c r="R25" s="2">
        <f t="shared" si="4"/>
        <v>0.53158874212980201</v>
      </c>
      <c r="S25">
        <f t="shared" si="5"/>
        <v>2.6476801445929183</v>
      </c>
      <c r="T25">
        <v>5.0241423458978032</v>
      </c>
    </row>
    <row r="26" spans="1:20" ht="13.9" x14ac:dyDescent="0.3">
      <c r="A26" s="2" t="s">
        <v>284</v>
      </c>
      <c r="B26" s="2">
        <v>8.9</v>
      </c>
      <c r="C26" s="2">
        <v>0</v>
      </c>
      <c r="D26" s="2">
        <v>0</v>
      </c>
      <c r="E26" s="2">
        <v>2.17</v>
      </c>
      <c r="F26" s="2">
        <v>0.94</v>
      </c>
      <c r="G26" s="2">
        <v>1.26</v>
      </c>
      <c r="H26" s="5">
        <f t="shared" si="0"/>
        <v>1.0261720563531616</v>
      </c>
      <c r="I26" s="5">
        <f t="shared" si="1"/>
        <v>0.64004244451426262</v>
      </c>
      <c r="J26" s="5">
        <v>0</v>
      </c>
      <c r="K26" s="5">
        <v>23.86</v>
      </c>
      <c r="L26" s="5">
        <v>0</v>
      </c>
      <c r="M26" s="5">
        <v>4.63</v>
      </c>
      <c r="N26" s="5">
        <v>0</v>
      </c>
      <c r="O26" s="5">
        <v>3.38</v>
      </c>
      <c r="P26" s="5">
        <f t="shared" si="2"/>
        <v>1.574719895286518</v>
      </c>
      <c r="Q26" s="5">
        <f t="shared" si="3"/>
        <v>0.54852997292041072</v>
      </c>
      <c r="R26" s="5">
        <f t="shared" si="4"/>
        <v>0.54854783893335646</v>
      </c>
      <c r="S26">
        <f t="shared" si="5"/>
        <v>1.5345573732369997</v>
      </c>
      <c r="T26">
        <v>4.5765221379205032</v>
      </c>
    </row>
    <row r="27" spans="1:20" ht="13.9" x14ac:dyDescent="0.3">
      <c r="A27" s="2" t="s">
        <v>184</v>
      </c>
      <c r="B27" s="2">
        <v>1.98</v>
      </c>
      <c r="C27" s="2">
        <v>2.68</v>
      </c>
      <c r="D27" s="2">
        <v>3.28</v>
      </c>
      <c r="E27" s="2">
        <v>0.99</v>
      </c>
      <c r="F27" s="2">
        <v>0.53</v>
      </c>
      <c r="G27" s="2">
        <v>1.26</v>
      </c>
      <c r="H27" s="2">
        <f t="shared" si="0"/>
        <v>1.5140541244194503</v>
      </c>
      <c r="I27" s="2">
        <f t="shared" si="1"/>
        <v>1.6366022311988405E-2</v>
      </c>
      <c r="J27" s="2">
        <v>4.13</v>
      </c>
      <c r="K27" s="2">
        <v>3.77</v>
      </c>
      <c r="L27" s="2">
        <v>1.51</v>
      </c>
      <c r="M27" s="2">
        <v>0.62</v>
      </c>
      <c r="N27" s="2">
        <v>0</v>
      </c>
      <c r="O27" s="2">
        <v>1.62</v>
      </c>
      <c r="P27" s="2">
        <f t="shared" si="2"/>
        <v>2.0706959906709326</v>
      </c>
      <c r="Q27" s="2">
        <f t="shared" si="3"/>
        <v>6.4921338139876619E-2</v>
      </c>
      <c r="R27" s="2">
        <f t="shared" si="4"/>
        <v>0.55664186625148226</v>
      </c>
      <c r="S27">
        <f t="shared" si="5"/>
        <v>1.3676499124262953</v>
      </c>
      <c r="T27">
        <v>3.2341947229538124</v>
      </c>
    </row>
    <row r="28" spans="1:20" ht="13.9" x14ac:dyDescent="0.3">
      <c r="A28" s="2" t="s">
        <v>264</v>
      </c>
      <c r="B28" s="2">
        <v>4.6100000000000003</v>
      </c>
      <c r="C28" s="2">
        <v>7.07</v>
      </c>
      <c r="D28" s="2">
        <v>3.1</v>
      </c>
      <c r="E28" s="2">
        <v>3.06</v>
      </c>
      <c r="F28" s="2">
        <v>2.67</v>
      </c>
      <c r="G28" s="2">
        <v>6.43</v>
      </c>
      <c r="H28" s="2">
        <f t="shared" si="0"/>
        <v>0.28150304070256538</v>
      </c>
      <c r="I28" s="2">
        <f t="shared" si="1"/>
        <v>0.62710034970769135</v>
      </c>
      <c r="J28" s="2">
        <v>3.95</v>
      </c>
      <c r="K28" s="2">
        <v>3.14</v>
      </c>
      <c r="L28" s="2">
        <v>6.03</v>
      </c>
      <c r="M28" s="2">
        <v>1.23</v>
      </c>
      <c r="N28" s="2">
        <v>0</v>
      </c>
      <c r="O28" s="2">
        <v>6.09</v>
      </c>
      <c r="P28" s="2">
        <f t="shared" si="2"/>
        <v>0.84185216633404125</v>
      </c>
      <c r="Q28" s="2">
        <f t="shared" si="3"/>
        <v>0.39877999371988826</v>
      </c>
      <c r="R28" s="2">
        <f t="shared" si="4"/>
        <v>0.56034912563147588</v>
      </c>
      <c r="S28">
        <f t="shared" si="5"/>
        <v>2.9905615379250476</v>
      </c>
      <c r="T28">
        <v>3.7136958148433594</v>
      </c>
    </row>
    <row r="29" spans="1:20" ht="13.9" x14ac:dyDescent="0.3">
      <c r="A29" s="2" t="s">
        <v>296</v>
      </c>
      <c r="B29" s="2">
        <v>786.46</v>
      </c>
      <c r="C29" s="2">
        <v>1060.5</v>
      </c>
      <c r="D29" s="2">
        <v>457.53</v>
      </c>
      <c r="E29" s="2">
        <v>395.06</v>
      </c>
      <c r="F29" s="2">
        <v>541.65</v>
      </c>
      <c r="G29" s="2">
        <v>394.88</v>
      </c>
      <c r="H29" s="2">
        <f t="shared" si="0"/>
        <v>0.79129756606959434</v>
      </c>
      <c r="I29" s="2">
        <f t="shared" si="1"/>
        <v>0.1477075122383584</v>
      </c>
      <c r="J29" s="2">
        <v>567.71</v>
      </c>
      <c r="K29" s="2">
        <v>931.93</v>
      </c>
      <c r="L29" s="2">
        <v>2455.89</v>
      </c>
      <c r="M29" s="2">
        <v>346.53</v>
      </c>
      <c r="N29" s="2">
        <v>490.52</v>
      </c>
      <c r="O29" s="2">
        <v>698.8</v>
      </c>
      <c r="P29" s="2">
        <f t="shared" si="2"/>
        <v>1.3648336928323177</v>
      </c>
      <c r="Q29" s="2">
        <f t="shared" si="3"/>
        <v>0.24159533499851471</v>
      </c>
      <c r="R29" s="2">
        <f t="shared" si="4"/>
        <v>0.57353612676272336</v>
      </c>
      <c r="S29">
        <f t="shared" si="5"/>
        <v>1.724804613783282</v>
      </c>
      <c r="T29">
        <v>11.949655298486134</v>
      </c>
    </row>
    <row r="30" spans="1:20" ht="13.9" x14ac:dyDescent="0.3">
      <c r="A30" s="2" t="s">
        <v>776</v>
      </c>
      <c r="B30" s="2">
        <v>28.68</v>
      </c>
      <c r="C30" s="2">
        <v>29.03</v>
      </c>
      <c r="D30" s="2">
        <v>0</v>
      </c>
      <c r="E30" s="2">
        <v>4.84</v>
      </c>
      <c r="F30" s="2">
        <v>8.69</v>
      </c>
      <c r="G30" s="2">
        <v>5.16</v>
      </c>
      <c r="H30" s="2">
        <f t="shared" si="0"/>
        <v>1.6265547619260632</v>
      </c>
      <c r="I30" s="2">
        <f t="shared" si="1"/>
        <v>0.25093959073553379</v>
      </c>
      <c r="J30" s="2">
        <v>8.98</v>
      </c>
      <c r="K30" s="2">
        <v>27.42</v>
      </c>
      <c r="L30" s="2">
        <v>53.29</v>
      </c>
      <c r="M30" s="2">
        <v>4.42</v>
      </c>
      <c r="N30" s="2">
        <v>0</v>
      </c>
      <c r="O30" s="2">
        <v>14.62</v>
      </c>
      <c r="P30" s="2">
        <f t="shared" si="2"/>
        <v>2.2359136619652742</v>
      </c>
      <c r="Q30" s="2">
        <f t="shared" si="3"/>
        <v>0.15745216759394998</v>
      </c>
      <c r="R30" s="2">
        <f t="shared" si="4"/>
        <v>0.609358900039211</v>
      </c>
      <c r="S30">
        <f t="shared" si="5"/>
        <v>1.3746316535433745</v>
      </c>
      <c r="T30">
        <v>6.4868752354984922</v>
      </c>
    </row>
    <row r="31" spans="1:20" ht="13.9" x14ac:dyDescent="0.3">
      <c r="A31" s="2" t="s">
        <v>88</v>
      </c>
      <c r="B31" s="2">
        <v>3.63</v>
      </c>
      <c r="C31" s="2">
        <v>0</v>
      </c>
      <c r="D31" s="2">
        <v>12.02</v>
      </c>
      <c r="E31" s="2">
        <v>3.55</v>
      </c>
      <c r="F31" s="2">
        <v>2.81</v>
      </c>
      <c r="G31" s="2">
        <v>1.05</v>
      </c>
      <c r="H31" s="2">
        <f t="shared" si="0"/>
        <v>1.0786172095141469</v>
      </c>
      <c r="I31" s="2">
        <f t="shared" si="1"/>
        <v>0.49202565782410657</v>
      </c>
      <c r="J31" s="2">
        <v>3.77</v>
      </c>
      <c r="K31" s="2">
        <v>7.95</v>
      </c>
      <c r="L31" s="2">
        <v>4.0199999999999996</v>
      </c>
      <c r="M31" s="2">
        <v>1.23</v>
      </c>
      <c r="N31" s="2">
        <v>0</v>
      </c>
      <c r="O31" s="2">
        <v>3.65</v>
      </c>
      <c r="P31" s="2">
        <f t="shared" si="2"/>
        <v>1.6894824879446002</v>
      </c>
      <c r="Q31" s="2">
        <f t="shared" si="3"/>
        <v>0.10407637598537672</v>
      </c>
      <c r="R31" s="2">
        <f t="shared" si="4"/>
        <v>0.61086527843045335</v>
      </c>
      <c r="S31">
        <f t="shared" si="5"/>
        <v>1.566341119947096</v>
      </c>
      <c r="T31">
        <v>3.9763636357327616</v>
      </c>
    </row>
    <row r="32" spans="1:20" ht="13.9" x14ac:dyDescent="0.3">
      <c r="A32" s="2" t="s">
        <v>134</v>
      </c>
      <c r="B32" s="2">
        <v>0.33</v>
      </c>
      <c r="C32" s="2">
        <v>25.37</v>
      </c>
      <c r="D32" s="2">
        <v>0.18</v>
      </c>
      <c r="E32" s="2">
        <v>4.84</v>
      </c>
      <c r="F32" s="2">
        <v>7.22</v>
      </c>
      <c r="G32" s="2">
        <v>6.11</v>
      </c>
      <c r="H32" s="2">
        <f t="shared" si="0"/>
        <v>0.51027919775839192</v>
      </c>
      <c r="I32" s="2">
        <f t="shared" si="1"/>
        <v>0.77490244281197251</v>
      </c>
      <c r="J32" s="2">
        <v>41.14</v>
      </c>
      <c r="K32" s="2">
        <v>26.79</v>
      </c>
      <c r="L32" s="2">
        <v>50.27</v>
      </c>
      <c r="M32" s="2">
        <v>3.91</v>
      </c>
      <c r="N32" s="2">
        <v>40.880000000000003</v>
      </c>
      <c r="O32" s="2">
        <v>8.8000000000000007</v>
      </c>
      <c r="P32" s="2">
        <f t="shared" si="2"/>
        <v>1.1411943143536019</v>
      </c>
      <c r="Q32" s="2">
        <f t="shared" si="3"/>
        <v>0.18480205764301669</v>
      </c>
      <c r="R32" s="2">
        <f t="shared" si="4"/>
        <v>0.63091511659520993</v>
      </c>
      <c r="S32">
        <f t="shared" si="5"/>
        <v>2.2364115946069529</v>
      </c>
      <c r="T32">
        <v>6.8850862252901708</v>
      </c>
    </row>
    <row r="33" spans="1:20" ht="13.9" x14ac:dyDescent="0.3">
      <c r="A33" s="2" t="s">
        <v>73</v>
      </c>
      <c r="B33" s="2">
        <v>77.13</v>
      </c>
      <c r="C33" s="2">
        <v>92.46</v>
      </c>
      <c r="D33" s="2">
        <v>38.78</v>
      </c>
      <c r="E33" s="2">
        <v>63.28</v>
      </c>
      <c r="F33" s="2">
        <v>76.08</v>
      </c>
      <c r="G33" s="2">
        <v>67.97</v>
      </c>
      <c r="H33" s="2">
        <f t="shared" si="0"/>
        <v>7.2186960446899004E-3</v>
      </c>
      <c r="I33" s="2">
        <f t="shared" si="1"/>
        <v>0.98414389037345162</v>
      </c>
      <c r="J33" s="2">
        <v>31.26</v>
      </c>
      <c r="K33" s="2">
        <v>54.62</v>
      </c>
      <c r="L33" s="2">
        <v>129.71</v>
      </c>
      <c r="M33" s="2">
        <v>45.68</v>
      </c>
      <c r="N33" s="2">
        <v>40.880000000000003</v>
      </c>
      <c r="O33" s="2">
        <v>49.4</v>
      </c>
      <c r="P33" s="2">
        <f t="shared" si="2"/>
        <v>0.66510799419190647</v>
      </c>
      <c r="Q33" s="2">
        <f t="shared" si="3"/>
        <v>0.42343379205848997</v>
      </c>
      <c r="R33" s="2">
        <f t="shared" si="4"/>
        <v>0.65788929814721653</v>
      </c>
      <c r="S33">
        <f t="shared" si="5"/>
        <v>92.136861016770808</v>
      </c>
      <c r="T33">
        <v>7.752146450958854</v>
      </c>
    </row>
    <row r="34" spans="1:20" ht="13.9" x14ac:dyDescent="0.3">
      <c r="A34" s="2" t="s">
        <v>543</v>
      </c>
      <c r="B34" s="2">
        <v>5.6</v>
      </c>
      <c r="C34" s="2">
        <v>0</v>
      </c>
      <c r="D34" s="2">
        <v>0</v>
      </c>
      <c r="E34" s="2">
        <v>1.48</v>
      </c>
      <c r="F34" s="2">
        <v>2.14</v>
      </c>
      <c r="G34" s="2">
        <v>1.48</v>
      </c>
      <c r="H34" s="2">
        <f t="shared" ref="H34:H65" si="6">LOG(SUM(B34:D34)/SUM(E34:G34),2)</f>
        <v>0.13492958008610864</v>
      </c>
      <c r="I34" s="2">
        <f t="shared" ref="I34:I70" si="7">_xlfn.T.TEST(B34:D34,E34:G34,2,2)</f>
        <v>0.93360471551484903</v>
      </c>
      <c r="J34" s="2">
        <v>10.24</v>
      </c>
      <c r="K34" s="2">
        <v>0</v>
      </c>
      <c r="L34" s="2">
        <v>0</v>
      </c>
      <c r="M34" s="2">
        <v>1.34</v>
      </c>
      <c r="N34" s="2">
        <v>0</v>
      </c>
      <c r="O34" s="2">
        <v>4.47</v>
      </c>
      <c r="P34" s="2">
        <f t="shared" ref="P34:P65" si="8">LOG(SUM(J34:L34)/SUM(M34:O34),2)</f>
        <v>0.81760564659547119</v>
      </c>
      <c r="Q34" s="2">
        <f t="shared" ref="Q34:Q70" si="9">_xlfn.T.TEST(J34:L34,M34:O34,2,2)</f>
        <v>0.70734127239009736</v>
      </c>
      <c r="R34" s="2">
        <f t="shared" ref="R34:R70" si="10">P34-H34</f>
        <v>0.68267606650936252</v>
      </c>
      <c r="S34">
        <f t="shared" ref="S34:S70" si="11">P34/H34</f>
        <v>6.0594989332487064</v>
      </c>
      <c r="T34">
        <v>3.3561438102252756</v>
      </c>
    </row>
    <row r="35" spans="1:20" ht="13.9" x14ac:dyDescent="0.3">
      <c r="A35" s="2" t="s">
        <v>85</v>
      </c>
      <c r="B35" s="2">
        <v>0</v>
      </c>
      <c r="C35" s="2">
        <v>0</v>
      </c>
      <c r="D35" s="2">
        <v>1.46</v>
      </c>
      <c r="E35" s="2">
        <v>0</v>
      </c>
      <c r="F35" s="2">
        <v>0</v>
      </c>
      <c r="G35" s="2">
        <v>1.37</v>
      </c>
      <c r="H35" s="2">
        <f t="shared" si="6"/>
        <v>9.179247591949026E-2</v>
      </c>
      <c r="I35" s="2">
        <f t="shared" si="7"/>
        <v>0.96629998781771875</v>
      </c>
      <c r="J35" s="2">
        <v>1.08</v>
      </c>
      <c r="K35" s="2">
        <v>0</v>
      </c>
      <c r="L35" s="2">
        <v>0</v>
      </c>
      <c r="M35" s="2">
        <v>0.21</v>
      </c>
      <c r="N35" s="2">
        <v>0</v>
      </c>
      <c r="O35" s="2">
        <v>0.41</v>
      </c>
      <c r="P35" s="2">
        <f t="shared" si="8"/>
        <v>0.80069119177659354</v>
      </c>
      <c r="Q35" s="2">
        <f t="shared" si="9"/>
        <v>0.70646241179113889</v>
      </c>
      <c r="R35" s="2">
        <f t="shared" si="10"/>
        <v>0.70889871585710329</v>
      </c>
      <c r="S35">
        <f t="shared" si="11"/>
        <v>8.7228412106332893</v>
      </c>
      <c r="T35">
        <v>0.11103131238874395</v>
      </c>
    </row>
    <row r="36" spans="1:20" ht="13.9" x14ac:dyDescent="0.3">
      <c r="A36" s="2" t="s">
        <v>168</v>
      </c>
      <c r="B36" s="2">
        <v>68.56</v>
      </c>
      <c r="C36" s="2">
        <v>8.7799999999999994</v>
      </c>
      <c r="D36" s="2">
        <v>48.43</v>
      </c>
      <c r="E36" s="2">
        <v>6.81</v>
      </c>
      <c r="F36" s="2">
        <v>7.62</v>
      </c>
      <c r="G36" s="2">
        <v>6.32</v>
      </c>
      <c r="H36" s="2">
        <f t="shared" si="6"/>
        <v>2.5996045946933242</v>
      </c>
      <c r="I36" s="2">
        <f t="shared" si="7"/>
        <v>0.11705270498177957</v>
      </c>
      <c r="J36" s="2">
        <v>9.16</v>
      </c>
      <c r="K36" s="2">
        <v>34.53</v>
      </c>
      <c r="L36" s="2">
        <v>105.07</v>
      </c>
      <c r="M36" s="2">
        <v>5.25</v>
      </c>
      <c r="N36" s="2">
        <v>0</v>
      </c>
      <c r="O36" s="2">
        <v>8.8000000000000007</v>
      </c>
      <c r="P36" s="2">
        <f t="shared" si="8"/>
        <v>3.4043446175036993</v>
      </c>
      <c r="Q36" s="2">
        <f t="shared" si="9"/>
        <v>0.19404141165173255</v>
      </c>
      <c r="R36" s="2">
        <f t="shared" si="10"/>
        <v>0.80474002281037516</v>
      </c>
      <c r="S36">
        <f t="shared" si="11"/>
        <v>1.3095624713285716</v>
      </c>
      <c r="T36">
        <v>7.2168428428372637</v>
      </c>
    </row>
    <row r="37" spans="1:20" ht="13.9" x14ac:dyDescent="0.3">
      <c r="A37" s="2" t="s">
        <v>229</v>
      </c>
      <c r="B37" s="2">
        <v>1.32</v>
      </c>
      <c r="C37" s="2">
        <v>0</v>
      </c>
      <c r="D37" s="2">
        <v>2.73</v>
      </c>
      <c r="E37" s="2">
        <v>0.1</v>
      </c>
      <c r="F37" s="2">
        <v>0.27</v>
      </c>
      <c r="G37" s="2">
        <v>1.05</v>
      </c>
      <c r="H37" s="2">
        <f t="shared" si="6"/>
        <v>1.5120309782673049</v>
      </c>
      <c r="I37" s="2">
        <f t="shared" si="7"/>
        <v>0.35594482690175799</v>
      </c>
      <c r="J37" s="2">
        <v>0</v>
      </c>
      <c r="K37" s="2">
        <v>1.05</v>
      </c>
      <c r="L37" s="2">
        <v>5.03</v>
      </c>
      <c r="M37" s="2">
        <v>0</v>
      </c>
      <c r="N37" s="2">
        <v>0</v>
      </c>
      <c r="O37" s="2">
        <v>1.22</v>
      </c>
      <c r="P37" s="2">
        <f t="shared" si="8"/>
        <v>2.3171901758806994</v>
      </c>
      <c r="Q37" s="2">
        <f t="shared" si="9"/>
        <v>0.36452756980615481</v>
      </c>
      <c r="R37" s="2">
        <f t="shared" si="10"/>
        <v>0.8051591976133945</v>
      </c>
      <c r="S37">
        <f t="shared" si="11"/>
        <v>1.5325017867927928</v>
      </c>
      <c r="T37">
        <v>2.6040713236688608</v>
      </c>
    </row>
    <row r="38" spans="1:20" ht="13.9" x14ac:dyDescent="0.3">
      <c r="A38" s="2" t="s">
        <v>898</v>
      </c>
      <c r="B38" s="2">
        <v>0</v>
      </c>
      <c r="C38" s="2">
        <v>0</v>
      </c>
      <c r="D38" s="2">
        <v>1.0900000000000001</v>
      </c>
      <c r="E38" s="2">
        <v>0.39</v>
      </c>
      <c r="F38" s="2">
        <v>0.27</v>
      </c>
      <c r="G38" s="2">
        <v>0.42</v>
      </c>
      <c r="H38" s="2">
        <f t="shared" si="6"/>
        <v>1.3296822613457873E-2</v>
      </c>
      <c r="I38" s="2">
        <f t="shared" si="7"/>
        <v>0.99317346796901795</v>
      </c>
      <c r="J38" s="2">
        <v>1.26</v>
      </c>
      <c r="K38" s="2">
        <v>0</v>
      </c>
      <c r="L38" s="2">
        <v>0</v>
      </c>
      <c r="M38" s="2">
        <v>0</v>
      </c>
      <c r="N38" s="2">
        <v>0</v>
      </c>
      <c r="O38" s="2">
        <v>0.68</v>
      </c>
      <c r="P38" s="2">
        <f t="shared" si="8"/>
        <v>0.88981708224957701</v>
      </c>
      <c r="Q38" s="2">
        <f t="shared" si="9"/>
        <v>0.7061408468350745</v>
      </c>
      <c r="R38" s="2">
        <f t="shared" si="10"/>
        <v>0.87652025963611913</v>
      </c>
      <c r="S38">
        <f t="shared" si="11"/>
        <v>66.919527177040209</v>
      </c>
      <c r="T38">
        <v>0.3334237337251918</v>
      </c>
    </row>
    <row r="39" spans="1:20" ht="13.9" x14ac:dyDescent="0.3">
      <c r="A39" s="2" t="s">
        <v>775</v>
      </c>
      <c r="B39" s="2">
        <v>9.89</v>
      </c>
      <c r="C39" s="2">
        <v>51.23</v>
      </c>
      <c r="D39" s="2">
        <v>19.48</v>
      </c>
      <c r="E39" s="2">
        <v>23.3</v>
      </c>
      <c r="F39" s="2">
        <v>18.850000000000001</v>
      </c>
      <c r="G39" s="2">
        <v>27.08</v>
      </c>
      <c r="H39" s="2">
        <f t="shared" si="6"/>
        <v>0.21938249059861475</v>
      </c>
      <c r="I39" s="2">
        <f t="shared" si="7"/>
        <v>0.78051677617057247</v>
      </c>
      <c r="J39" s="2">
        <v>31.08</v>
      </c>
      <c r="K39" s="2">
        <v>47.72</v>
      </c>
      <c r="L39" s="2">
        <v>0.5</v>
      </c>
      <c r="M39" s="2">
        <v>20.48</v>
      </c>
      <c r="N39" s="2">
        <v>0</v>
      </c>
      <c r="O39" s="2">
        <v>15.84</v>
      </c>
      <c r="P39" s="2">
        <f t="shared" si="8"/>
        <v>1.1265566633004256</v>
      </c>
      <c r="Q39" s="2">
        <f t="shared" si="9"/>
        <v>0.39798591110721776</v>
      </c>
      <c r="R39" s="2">
        <f t="shared" si="10"/>
        <v>0.90717417270181078</v>
      </c>
      <c r="S39">
        <f t="shared" si="11"/>
        <v>5.1351256895044974</v>
      </c>
      <c r="T39">
        <v>6.3092489608166167</v>
      </c>
    </row>
    <row r="40" spans="1:20" ht="13.9" x14ac:dyDescent="0.3">
      <c r="A40" s="2" t="s">
        <v>226</v>
      </c>
      <c r="B40" s="2">
        <v>147.01</v>
      </c>
      <c r="C40" s="2">
        <v>96.36</v>
      </c>
      <c r="D40" s="2">
        <v>88.12</v>
      </c>
      <c r="E40" s="2">
        <v>53.01</v>
      </c>
      <c r="F40" s="2">
        <v>41.98</v>
      </c>
      <c r="G40" s="2">
        <v>66.08</v>
      </c>
      <c r="H40" s="2">
        <f t="shared" si="6"/>
        <v>1.0412775387367972</v>
      </c>
      <c r="I40" s="2">
        <f t="shared" si="7"/>
        <v>4.4748907030911528E-2</v>
      </c>
      <c r="J40" s="2">
        <v>82.64</v>
      </c>
      <c r="K40" s="2">
        <v>139.80000000000001</v>
      </c>
      <c r="L40" s="2">
        <v>158.36000000000001</v>
      </c>
      <c r="M40" s="2">
        <v>47.53</v>
      </c>
      <c r="N40" s="2">
        <v>0</v>
      </c>
      <c r="O40" s="2">
        <v>49.67</v>
      </c>
      <c r="P40" s="2">
        <f t="shared" si="8"/>
        <v>1.9700052597021627</v>
      </c>
      <c r="Q40" s="2">
        <f t="shared" si="9"/>
        <v>2.777263054979728E-2</v>
      </c>
      <c r="R40" s="2">
        <f t="shared" si="10"/>
        <v>0.92872772096536549</v>
      </c>
      <c r="S40">
        <f t="shared" si="11"/>
        <v>1.891911797206373</v>
      </c>
      <c r="T40">
        <v>8.5728896684205829</v>
      </c>
    </row>
    <row r="41" spans="1:20" ht="13.9" x14ac:dyDescent="0.3">
      <c r="A41" s="2" t="s">
        <v>386</v>
      </c>
      <c r="B41" s="2">
        <v>2.31</v>
      </c>
      <c r="C41" s="2">
        <v>0.73</v>
      </c>
      <c r="D41" s="2">
        <v>10.74</v>
      </c>
      <c r="E41" s="2">
        <v>3.95</v>
      </c>
      <c r="F41" s="2">
        <v>3.74</v>
      </c>
      <c r="G41" s="2">
        <v>1.79</v>
      </c>
      <c r="H41" s="2">
        <f t="shared" si="6"/>
        <v>0.53961692380603232</v>
      </c>
      <c r="I41" s="2">
        <f t="shared" si="7"/>
        <v>0.67573930661578718</v>
      </c>
      <c r="J41" s="2">
        <v>7.37</v>
      </c>
      <c r="K41" s="2">
        <v>14.23</v>
      </c>
      <c r="L41" s="2">
        <v>1.01</v>
      </c>
      <c r="M41" s="2">
        <v>2.06</v>
      </c>
      <c r="N41" s="2">
        <v>0</v>
      </c>
      <c r="O41" s="2">
        <v>6.09</v>
      </c>
      <c r="P41" s="2">
        <f t="shared" si="8"/>
        <v>1.4720890276330894</v>
      </c>
      <c r="Q41" s="2">
        <f t="shared" si="9"/>
        <v>0.31664253772273421</v>
      </c>
      <c r="R41" s="2">
        <f t="shared" si="10"/>
        <v>0.93247210382705703</v>
      </c>
      <c r="S41">
        <f t="shared" si="11"/>
        <v>2.7280260545761501</v>
      </c>
      <c r="T41">
        <v>4.4988890869768046</v>
      </c>
    </row>
    <row r="42" spans="1:20" ht="13.9" x14ac:dyDescent="0.3">
      <c r="A42" s="2" t="s">
        <v>156</v>
      </c>
      <c r="B42" s="2">
        <v>3702.55</v>
      </c>
      <c r="C42" s="2">
        <v>4780.18</v>
      </c>
      <c r="D42" s="2">
        <v>2205.9</v>
      </c>
      <c r="E42" s="2">
        <v>935.62</v>
      </c>
      <c r="F42" s="2">
        <v>1416.22</v>
      </c>
      <c r="G42" s="2">
        <v>993.79</v>
      </c>
      <c r="H42" s="2">
        <f t="shared" si="6"/>
        <v>1.6757271407727921</v>
      </c>
      <c r="I42" s="2">
        <f t="shared" si="7"/>
        <v>3.2471500234047233E-2</v>
      </c>
      <c r="J42" s="2">
        <v>3477.38</v>
      </c>
      <c r="K42" s="2">
        <v>4315.37</v>
      </c>
      <c r="L42" s="2">
        <v>12846.57</v>
      </c>
      <c r="M42" s="2">
        <v>596.86</v>
      </c>
      <c r="N42" s="2">
        <v>981.03</v>
      </c>
      <c r="O42" s="2">
        <v>1669.65</v>
      </c>
      <c r="P42" s="2">
        <f t="shared" si="8"/>
        <v>2.6679762387354313</v>
      </c>
      <c r="Q42" s="2">
        <f t="shared" si="9"/>
        <v>0.12635802904097465</v>
      </c>
      <c r="R42" s="2">
        <f t="shared" si="10"/>
        <v>0.99224909796263927</v>
      </c>
      <c r="S42">
        <f t="shared" si="11"/>
        <v>1.5921304691079035</v>
      </c>
      <c r="T42">
        <v>14.333107818877062</v>
      </c>
    </row>
    <row r="43" spans="1:20" ht="13.9" x14ac:dyDescent="0.3">
      <c r="A43" s="2" t="s">
        <v>282</v>
      </c>
      <c r="B43" s="2">
        <v>57.35</v>
      </c>
      <c r="C43" s="2">
        <v>37.57</v>
      </c>
      <c r="D43" s="2">
        <v>57.9</v>
      </c>
      <c r="E43" s="2">
        <v>24.97</v>
      </c>
      <c r="F43" s="2">
        <v>17.52</v>
      </c>
      <c r="G43" s="2">
        <v>29.93</v>
      </c>
      <c r="H43" s="2">
        <f t="shared" si="6"/>
        <v>1.0773732835191736</v>
      </c>
      <c r="I43" s="2">
        <f t="shared" si="7"/>
        <v>2.4284842045341207E-2</v>
      </c>
      <c r="J43" s="2">
        <v>24.79</v>
      </c>
      <c r="K43" s="2">
        <v>39.340000000000003</v>
      </c>
      <c r="L43" s="2">
        <v>156.86000000000001</v>
      </c>
      <c r="M43" s="2">
        <v>20.48</v>
      </c>
      <c r="N43" s="2">
        <v>0</v>
      </c>
      <c r="O43" s="2">
        <v>31.27</v>
      </c>
      <c r="P43" s="2">
        <f t="shared" si="8"/>
        <v>2.0943503200965394</v>
      </c>
      <c r="Q43" s="2">
        <f t="shared" si="9"/>
        <v>0.25792879310517408</v>
      </c>
      <c r="R43" s="2">
        <f t="shared" si="10"/>
        <v>1.0169770365773658</v>
      </c>
      <c r="S43">
        <f t="shared" si="11"/>
        <v>1.9439412060186538</v>
      </c>
      <c r="T43">
        <v>7.7878372775958651</v>
      </c>
    </row>
    <row r="44" spans="1:20" ht="13.9" x14ac:dyDescent="0.3">
      <c r="A44" s="2" t="s">
        <v>216</v>
      </c>
      <c r="B44" s="2">
        <v>59.33</v>
      </c>
      <c r="C44" s="2">
        <v>40.25</v>
      </c>
      <c r="D44" s="2">
        <v>42.42</v>
      </c>
      <c r="E44" s="2">
        <v>23.59</v>
      </c>
      <c r="F44" s="2">
        <v>16.850000000000001</v>
      </c>
      <c r="G44" s="2">
        <v>22.87</v>
      </c>
      <c r="H44" s="2">
        <f t="shared" si="6"/>
        <v>1.1653856290559723</v>
      </c>
      <c r="I44" s="2">
        <f t="shared" si="7"/>
        <v>1.4858842453652888E-2</v>
      </c>
      <c r="J44" s="2">
        <v>30.54</v>
      </c>
      <c r="K44" s="2">
        <v>27.42</v>
      </c>
      <c r="L44" s="2">
        <v>124.68</v>
      </c>
      <c r="M44" s="2">
        <v>23.66</v>
      </c>
      <c r="N44" s="2">
        <v>0</v>
      </c>
      <c r="O44" s="2">
        <v>14.62</v>
      </c>
      <c r="P44" s="2">
        <f t="shared" si="8"/>
        <v>2.254340029738676</v>
      </c>
      <c r="Q44" s="2">
        <f t="shared" si="9"/>
        <v>0.21452247901835059</v>
      </c>
      <c r="R44" s="2">
        <f t="shared" si="10"/>
        <v>1.0889544006827037</v>
      </c>
      <c r="S44">
        <f t="shared" si="11"/>
        <v>1.9344155046470048</v>
      </c>
      <c r="T44">
        <v>7.5128589544499773</v>
      </c>
    </row>
    <row r="45" spans="1:20" ht="13.9" x14ac:dyDescent="0.3">
      <c r="A45" s="2" t="s">
        <v>626</v>
      </c>
      <c r="B45" s="2">
        <v>0</v>
      </c>
      <c r="C45" s="2">
        <v>0.73</v>
      </c>
      <c r="D45" s="2">
        <v>1.0900000000000001</v>
      </c>
      <c r="E45" s="2">
        <v>0.2</v>
      </c>
      <c r="F45" s="2">
        <v>0.27</v>
      </c>
      <c r="G45" s="2">
        <v>0.32</v>
      </c>
      <c r="H45" s="2">
        <f t="shared" si="6"/>
        <v>1.2040138920215933</v>
      </c>
      <c r="I45" s="2">
        <f t="shared" si="7"/>
        <v>0.34708723640261196</v>
      </c>
      <c r="J45" s="2">
        <v>0</v>
      </c>
      <c r="K45" s="2">
        <v>0</v>
      </c>
      <c r="L45" s="2">
        <v>2.5099999999999998</v>
      </c>
      <c r="M45" s="2">
        <v>0.1</v>
      </c>
      <c r="N45" s="2">
        <v>0</v>
      </c>
      <c r="O45" s="2">
        <v>0.41</v>
      </c>
      <c r="P45" s="2">
        <f t="shared" si="8"/>
        <v>2.2991182119792763</v>
      </c>
      <c r="Q45" s="2">
        <f t="shared" si="9"/>
        <v>0.47462201605889431</v>
      </c>
      <c r="R45" s="2">
        <f t="shared" si="10"/>
        <v>1.0951043199576831</v>
      </c>
      <c r="S45">
        <f t="shared" si="11"/>
        <v>1.9095445884922091</v>
      </c>
      <c r="T45">
        <v>1.3276873641760472</v>
      </c>
    </row>
    <row r="46" spans="1:20" ht="13.9" x14ac:dyDescent="0.3">
      <c r="A46" s="2" t="s">
        <v>56</v>
      </c>
      <c r="B46" s="2">
        <v>0</v>
      </c>
      <c r="C46" s="2">
        <v>12.2</v>
      </c>
      <c r="D46" s="2">
        <v>0.18</v>
      </c>
      <c r="E46" s="2">
        <v>1.58</v>
      </c>
      <c r="F46" s="2">
        <v>1.74</v>
      </c>
      <c r="G46" s="2">
        <v>1.58</v>
      </c>
      <c r="H46" s="2">
        <f t="shared" si="6"/>
        <v>1.3371576602116939</v>
      </c>
      <c r="I46" s="2">
        <f t="shared" si="7"/>
        <v>0.57028437000971732</v>
      </c>
      <c r="J46" s="2">
        <v>0</v>
      </c>
      <c r="K46" s="2">
        <v>0</v>
      </c>
      <c r="L46" s="2">
        <v>25.14</v>
      </c>
      <c r="M46" s="2">
        <v>1.23</v>
      </c>
      <c r="N46" s="2">
        <v>0</v>
      </c>
      <c r="O46" s="2">
        <v>3.38</v>
      </c>
      <c r="P46" s="2">
        <f t="shared" si="8"/>
        <v>2.4471459939911702</v>
      </c>
      <c r="Q46" s="2">
        <f t="shared" si="9"/>
        <v>0.46285483888094681</v>
      </c>
      <c r="R46" s="2">
        <f t="shared" si="10"/>
        <v>1.1099883337794763</v>
      </c>
      <c r="S46">
        <f t="shared" si="11"/>
        <v>1.830110290512599</v>
      </c>
      <c r="T46">
        <v>4.6519127446457835</v>
      </c>
    </row>
    <row r="47" spans="1:20" ht="13.9" x14ac:dyDescent="0.3">
      <c r="A47" s="2" t="s">
        <v>730</v>
      </c>
      <c r="B47" s="2">
        <v>13.18</v>
      </c>
      <c r="C47" s="2">
        <v>0</v>
      </c>
      <c r="D47" s="2">
        <v>0</v>
      </c>
      <c r="E47" s="2">
        <v>4.34</v>
      </c>
      <c r="F47" s="2">
        <v>4.68</v>
      </c>
      <c r="G47" s="2">
        <v>3.37</v>
      </c>
      <c r="H47" s="2">
        <f t="shared" si="6"/>
        <v>8.9174182867450186E-2</v>
      </c>
      <c r="I47" s="2">
        <f t="shared" si="7"/>
        <v>0.95525705284041806</v>
      </c>
      <c r="J47" s="2">
        <v>11.32</v>
      </c>
      <c r="K47" s="2">
        <v>0</v>
      </c>
      <c r="L47" s="2">
        <v>0</v>
      </c>
      <c r="M47" s="2">
        <v>4.22</v>
      </c>
      <c r="N47" s="2">
        <v>0</v>
      </c>
      <c r="O47" s="2">
        <v>0.68</v>
      </c>
      <c r="P47" s="2">
        <f t="shared" si="8"/>
        <v>1.2080203038293118</v>
      </c>
      <c r="Q47" s="2">
        <f t="shared" si="9"/>
        <v>0.62047083684639537</v>
      </c>
      <c r="R47" s="2">
        <f t="shared" si="10"/>
        <v>1.1188461209618616</v>
      </c>
      <c r="S47">
        <f t="shared" si="11"/>
        <v>13.546749350368939</v>
      </c>
      <c r="T47">
        <v>3.5008020530571575</v>
      </c>
    </row>
    <row r="48" spans="1:20" ht="13.9" x14ac:dyDescent="0.3">
      <c r="A48" s="2" t="s">
        <v>464</v>
      </c>
      <c r="B48" s="2">
        <v>0.33</v>
      </c>
      <c r="C48" s="2">
        <v>0</v>
      </c>
      <c r="D48" s="2">
        <v>0.18</v>
      </c>
      <c r="E48" s="2">
        <v>0.1</v>
      </c>
      <c r="F48" s="2">
        <v>0.13</v>
      </c>
      <c r="G48" s="2">
        <v>0</v>
      </c>
      <c r="H48" s="2">
        <f t="shared" si="6"/>
        <v>1.1488633859144828</v>
      </c>
      <c r="I48" s="2">
        <f t="shared" si="7"/>
        <v>0.41681612509882349</v>
      </c>
      <c r="J48" s="2">
        <v>0.18</v>
      </c>
      <c r="K48" s="2">
        <v>0</v>
      </c>
      <c r="L48" s="2">
        <v>0.5</v>
      </c>
      <c r="M48" s="2">
        <v>0</v>
      </c>
      <c r="N48" s="2">
        <v>0</v>
      </c>
      <c r="O48" s="2">
        <v>0.14000000000000001</v>
      </c>
      <c r="P48" s="2">
        <f t="shared" si="8"/>
        <v>2.2801079191927349</v>
      </c>
      <c r="Q48" s="2">
        <f t="shared" si="9"/>
        <v>0.30594999652180999</v>
      </c>
      <c r="R48" s="2">
        <f t="shared" si="10"/>
        <v>1.1312445332782521</v>
      </c>
      <c r="S48">
        <f t="shared" si="11"/>
        <v>1.9846641011870996</v>
      </c>
      <c r="T48">
        <v>-0.55639334852438549</v>
      </c>
    </row>
    <row r="49" spans="1:20" ht="13.9" x14ac:dyDescent="0.3">
      <c r="A49" s="2" t="s">
        <v>457</v>
      </c>
      <c r="B49" s="2">
        <v>24.06</v>
      </c>
      <c r="C49" s="2">
        <v>18.79</v>
      </c>
      <c r="D49" s="2">
        <v>14.75</v>
      </c>
      <c r="E49" s="2">
        <v>6.32</v>
      </c>
      <c r="F49" s="2">
        <v>1.74</v>
      </c>
      <c r="G49" s="2">
        <v>2.95</v>
      </c>
      <c r="H49" s="2">
        <f t="shared" si="6"/>
        <v>2.3872543427653055</v>
      </c>
      <c r="I49" s="2">
        <f t="shared" si="7"/>
        <v>6.8095668303332644E-3</v>
      </c>
      <c r="J49" s="2">
        <v>1.98</v>
      </c>
      <c r="K49" s="2">
        <v>4.3899999999999997</v>
      </c>
      <c r="L49" s="2">
        <v>56.81</v>
      </c>
      <c r="M49" s="2">
        <v>2.57</v>
      </c>
      <c r="N49" s="2">
        <v>0</v>
      </c>
      <c r="O49" s="2">
        <v>2.57</v>
      </c>
      <c r="P49" s="2">
        <f t="shared" si="8"/>
        <v>3.619627672552995</v>
      </c>
      <c r="Q49" s="2">
        <f t="shared" si="9"/>
        <v>0.34080454920591313</v>
      </c>
      <c r="R49" s="2">
        <f t="shared" si="10"/>
        <v>1.2323733297876895</v>
      </c>
      <c r="S49">
        <f t="shared" si="11"/>
        <v>1.5162304274458476</v>
      </c>
      <c r="T49">
        <v>5.9813960319721486</v>
      </c>
    </row>
    <row r="50" spans="1:20" ht="13.9" x14ac:dyDescent="0.3">
      <c r="A50" s="2" t="s">
        <v>723</v>
      </c>
      <c r="B50" s="2">
        <v>18.79</v>
      </c>
      <c r="C50" s="2">
        <v>0</v>
      </c>
      <c r="D50" s="2">
        <v>9.2899999999999991</v>
      </c>
      <c r="E50" s="2">
        <v>1.48</v>
      </c>
      <c r="F50" s="2">
        <v>1.47</v>
      </c>
      <c r="G50" s="2">
        <v>0.42</v>
      </c>
      <c r="H50" s="2">
        <f t="shared" si="6"/>
        <v>3.0587224391227026</v>
      </c>
      <c r="I50" s="2">
        <f t="shared" si="7"/>
        <v>0.20427688500186333</v>
      </c>
      <c r="J50" s="2">
        <v>9.8800000000000008</v>
      </c>
      <c r="K50" s="2">
        <v>0</v>
      </c>
      <c r="L50" s="2">
        <v>58.32</v>
      </c>
      <c r="M50" s="2">
        <v>2.2599999999999998</v>
      </c>
      <c r="N50" s="2">
        <v>0</v>
      </c>
      <c r="O50" s="2">
        <v>1.22</v>
      </c>
      <c r="P50" s="2">
        <f t="shared" si="8"/>
        <v>4.2926125280628069</v>
      </c>
      <c r="Q50" s="2">
        <f t="shared" si="9"/>
        <v>0.29761546605266603</v>
      </c>
      <c r="R50" s="2">
        <f t="shared" si="10"/>
        <v>1.2338900889401043</v>
      </c>
      <c r="S50">
        <f t="shared" si="11"/>
        <v>1.4034004763420138</v>
      </c>
      <c r="T50">
        <v>6.0916998341368105</v>
      </c>
    </row>
    <row r="51" spans="1:20" ht="13.9" x14ac:dyDescent="0.3">
      <c r="A51" s="2" t="s">
        <v>497</v>
      </c>
      <c r="B51" s="2">
        <v>0</v>
      </c>
      <c r="C51" s="2">
        <v>0.98</v>
      </c>
      <c r="D51" s="2">
        <v>3.82</v>
      </c>
      <c r="E51" s="2">
        <v>1.18</v>
      </c>
      <c r="F51" s="2">
        <v>1.6</v>
      </c>
      <c r="G51" s="2">
        <v>0.42</v>
      </c>
      <c r="H51" s="2">
        <f t="shared" si="6"/>
        <v>0.58496250072115596</v>
      </c>
      <c r="I51" s="2">
        <f t="shared" si="7"/>
        <v>0.67882023288896054</v>
      </c>
      <c r="J51" s="2">
        <v>0</v>
      </c>
      <c r="K51" s="2">
        <v>0</v>
      </c>
      <c r="L51" s="2">
        <v>0.5</v>
      </c>
      <c r="M51" s="2">
        <v>0</v>
      </c>
      <c r="N51" s="2">
        <v>0</v>
      </c>
      <c r="O51" s="2">
        <v>0.14000000000000001</v>
      </c>
      <c r="P51" s="2">
        <f t="shared" si="8"/>
        <v>1.8365012677171204</v>
      </c>
      <c r="Q51" s="2">
        <f t="shared" si="9"/>
        <v>0.5262549116472891</v>
      </c>
      <c r="R51" s="2">
        <f t="shared" si="10"/>
        <v>1.2515387669959646</v>
      </c>
      <c r="S51">
        <f t="shared" si="11"/>
        <v>3.1395196537436796</v>
      </c>
      <c r="T51">
        <v>-1</v>
      </c>
    </row>
    <row r="52" spans="1:20" ht="13.9" x14ac:dyDescent="0.3">
      <c r="A52" s="2" t="s">
        <v>765</v>
      </c>
      <c r="B52" s="2">
        <v>7.91</v>
      </c>
      <c r="C52" s="2">
        <v>10.73</v>
      </c>
      <c r="D52" s="2">
        <v>29.13</v>
      </c>
      <c r="E52" s="2">
        <v>2.0699999999999998</v>
      </c>
      <c r="F52" s="2">
        <v>2.0099999999999998</v>
      </c>
      <c r="G52" s="2">
        <v>3.16</v>
      </c>
      <c r="H52" s="2">
        <f t="shared" si="6"/>
        <v>2.72204327438806</v>
      </c>
      <c r="I52" s="2">
        <f t="shared" si="7"/>
        <v>0.11254934861117806</v>
      </c>
      <c r="J52" s="2">
        <v>8.98</v>
      </c>
      <c r="K52" s="2">
        <v>28.25</v>
      </c>
      <c r="L52" s="2">
        <v>11.56</v>
      </c>
      <c r="M52" s="2">
        <v>1.03</v>
      </c>
      <c r="N52" s="2">
        <v>0</v>
      </c>
      <c r="O52" s="2">
        <v>2.0299999999999998</v>
      </c>
      <c r="P52" s="2">
        <f t="shared" si="8"/>
        <v>3.9949819252333758</v>
      </c>
      <c r="Q52" s="2">
        <f t="shared" si="9"/>
        <v>6.5904700739158453E-2</v>
      </c>
      <c r="R52" s="2">
        <f t="shared" si="10"/>
        <v>1.2729386508453158</v>
      </c>
      <c r="S52">
        <f t="shared" si="11"/>
        <v>1.4676408574479713</v>
      </c>
      <c r="T52">
        <v>5.6085135781513022</v>
      </c>
    </row>
    <row r="53" spans="1:20" ht="13.9" x14ac:dyDescent="0.3">
      <c r="A53" s="2" t="s">
        <v>779</v>
      </c>
      <c r="B53" s="2">
        <v>3.3</v>
      </c>
      <c r="C53" s="2">
        <v>5.37</v>
      </c>
      <c r="D53" s="2">
        <v>20.21</v>
      </c>
      <c r="E53" s="2">
        <v>2.57</v>
      </c>
      <c r="F53" s="2">
        <v>1.07</v>
      </c>
      <c r="G53" s="2">
        <v>3.06</v>
      </c>
      <c r="H53" s="2">
        <f t="shared" si="6"/>
        <v>2.1078377415420366</v>
      </c>
      <c r="I53" s="2">
        <f t="shared" si="7"/>
        <v>0.23979973578290725</v>
      </c>
      <c r="J53" s="2">
        <v>6.47</v>
      </c>
      <c r="K53" s="2">
        <v>2.5099999999999998</v>
      </c>
      <c r="L53" s="2">
        <v>8.5500000000000007</v>
      </c>
      <c r="M53" s="2">
        <v>0.21</v>
      </c>
      <c r="N53" s="2">
        <v>0</v>
      </c>
      <c r="O53" s="2">
        <v>1.22</v>
      </c>
      <c r="P53" s="2">
        <f t="shared" si="8"/>
        <v>3.6157389439811491</v>
      </c>
      <c r="Q53" s="2">
        <f t="shared" si="9"/>
        <v>4.1423052852190043E-2</v>
      </c>
      <c r="R53" s="2">
        <f t="shared" si="10"/>
        <v>1.5079012024391125</v>
      </c>
      <c r="S53">
        <f t="shared" si="11"/>
        <v>1.7153782156571373</v>
      </c>
      <c r="T53">
        <v>4.1317540909848134</v>
      </c>
    </row>
    <row r="54" spans="1:20" ht="13.9" x14ac:dyDescent="0.3">
      <c r="A54" s="2" t="s">
        <v>678</v>
      </c>
      <c r="B54" s="2">
        <v>5.6</v>
      </c>
      <c r="C54" s="2">
        <v>0</v>
      </c>
      <c r="D54" s="2">
        <v>4.92</v>
      </c>
      <c r="E54" s="2">
        <v>3.26</v>
      </c>
      <c r="F54" s="2">
        <v>0.8</v>
      </c>
      <c r="G54" s="2">
        <v>3.06</v>
      </c>
      <c r="H54" s="2">
        <f t="shared" si="6"/>
        <v>0.56318555832590478</v>
      </c>
      <c r="I54" s="2">
        <f t="shared" si="7"/>
        <v>0.58908209358109409</v>
      </c>
      <c r="J54" s="2">
        <v>0</v>
      </c>
      <c r="K54" s="2">
        <v>0</v>
      </c>
      <c r="L54" s="2">
        <v>9.0500000000000007</v>
      </c>
      <c r="M54" s="2">
        <v>1.44</v>
      </c>
      <c r="N54" s="2">
        <v>0</v>
      </c>
      <c r="O54" s="2">
        <v>0.54</v>
      </c>
      <c r="P54" s="2">
        <f t="shared" si="8"/>
        <v>2.1924173618909584</v>
      </c>
      <c r="Q54" s="2">
        <f t="shared" si="9"/>
        <v>0.4822641301737548</v>
      </c>
      <c r="R54" s="2">
        <f t="shared" si="10"/>
        <v>1.6292318035650535</v>
      </c>
      <c r="S54">
        <f t="shared" si="11"/>
        <v>3.8928863311197479</v>
      </c>
      <c r="T54">
        <v>3.177917792195843</v>
      </c>
    </row>
    <row r="55" spans="1:20" ht="13.9" x14ac:dyDescent="0.3">
      <c r="A55" s="2" t="s">
        <v>716</v>
      </c>
      <c r="B55" s="2">
        <v>1.32</v>
      </c>
      <c r="C55" s="2">
        <v>0</v>
      </c>
      <c r="D55" s="2">
        <v>0</v>
      </c>
      <c r="E55" s="2">
        <v>0.69</v>
      </c>
      <c r="F55" s="2">
        <v>0.27</v>
      </c>
      <c r="G55" s="2">
        <v>0.21</v>
      </c>
      <c r="H55" s="2">
        <f t="shared" si="6"/>
        <v>0.17402939977504919</v>
      </c>
      <c r="I55" s="2">
        <f t="shared" si="7"/>
        <v>0.919580886065819</v>
      </c>
      <c r="J55" s="2">
        <v>1.62</v>
      </c>
      <c r="K55" s="2">
        <v>0</v>
      </c>
      <c r="L55" s="2">
        <v>7.04</v>
      </c>
      <c r="M55" s="2">
        <v>1.34</v>
      </c>
      <c r="N55" s="2">
        <v>0</v>
      </c>
      <c r="O55" s="2">
        <v>1.08</v>
      </c>
      <c r="P55" s="2">
        <f t="shared" si="8"/>
        <v>1.8393599774521305</v>
      </c>
      <c r="Q55" s="2">
        <f t="shared" si="9"/>
        <v>0.391652459367127</v>
      </c>
      <c r="R55" s="2">
        <f t="shared" si="10"/>
        <v>1.6653305776770813</v>
      </c>
      <c r="S55">
        <f t="shared" si="11"/>
        <v>10.569248528292873</v>
      </c>
      <c r="T55">
        <v>3.1143670249520001</v>
      </c>
    </row>
    <row r="56" spans="1:20" ht="13.9" x14ac:dyDescent="0.3">
      <c r="A56" s="2" t="s">
        <v>113</v>
      </c>
      <c r="B56" s="2">
        <v>0</v>
      </c>
      <c r="C56" s="2">
        <v>0</v>
      </c>
      <c r="D56" s="2">
        <v>9.65</v>
      </c>
      <c r="E56" s="2">
        <v>1.68</v>
      </c>
      <c r="F56" s="2">
        <v>1.2</v>
      </c>
      <c r="G56" s="2">
        <v>1.26</v>
      </c>
      <c r="H56" s="2">
        <f t="shared" si="6"/>
        <v>1.2208981746561176</v>
      </c>
      <c r="I56" s="2">
        <f t="shared" si="7"/>
        <v>0.59894626373702375</v>
      </c>
      <c r="J56" s="2">
        <v>0</v>
      </c>
      <c r="K56" s="2">
        <v>9.2100000000000009</v>
      </c>
      <c r="L56" s="2">
        <v>0</v>
      </c>
      <c r="M56" s="2">
        <v>0.51</v>
      </c>
      <c r="N56" s="2">
        <v>0</v>
      </c>
      <c r="O56" s="2">
        <v>0.68</v>
      </c>
      <c r="P56" s="2">
        <f t="shared" si="8"/>
        <v>2.9522395827833923</v>
      </c>
      <c r="Q56" s="2">
        <f t="shared" si="9"/>
        <v>0.43394412493357398</v>
      </c>
      <c r="R56" s="2">
        <f t="shared" si="10"/>
        <v>1.7313414081272747</v>
      </c>
      <c r="S56">
        <f t="shared" si="11"/>
        <v>2.4180882927562162</v>
      </c>
      <c r="T56">
        <v>3.2032011563166112</v>
      </c>
    </row>
    <row r="57" spans="1:20" ht="13.9" x14ac:dyDescent="0.3">
      <c r="A57" s="2" t="s">
        <v>175</v>
      </c>
      <c r="B57" s="2">
        <v>4.9400000000000004</v>
      </c>
      <c r="C57" s="2">
        <v>36.11</v>
      </c>
      <c r="D57" s="2">
        <v>12.02</v>
      </c>
      <c r="E57" s="2">
        <v>16.09</v>
      </c>
      <c r="F57" s="2">
        <v>9.89</v>
      </c>
      <c r="G57" s="2">
        <v>8.5399999999999991</v>
      </c>
      <c r="H57" s="2">
        <f t="shared" si="6"/>
        <v>0.62046408423265953</v>
      </c>
      <c r="I57" s="2">
        <f t="shared" si="7"/>
        <v>0.55911436286277616</v>
      </c>
      <c r="J57" s="2">
        <v>17.25</v>
      </c>
      <c r="K57" s="2">
        <v>47.09</v>
      </c>
      <c r="L57" s="2">
        <v>56.31</v>
      </c>
      <c r="M57" s="2">
        <v>9.16</v>
      </c>
      <c r="N57" s="2">
        <v>0</v>
      </c>
      <c r="O57" s="2">
        <v>10.69</v>
      </c>
      <c r="P57" s="2">
        <f t="shared" si="8"/>
        <v>2.6036170030727939</v>
      </c>
      <c r="Q57" s="2">
        <f t="shared" si="9"/>
        <v>5.1767062843889579E-2</v>
      </c>
      <c r="R57" s="2">
        <f t="shared" si="10"/>
        <v>1.9831529188401342</v>
      </c>
      <c r="S57">
        <f t="shared" si="11"/>
        <v>4.1962412800939797</v>
      </c>
      <c r="T57">
        <v>6.9146841053283898</v>
      </c>
    </row>
    <row r="58" spans="1:20" ht="13.9" x14ac:dyDescent="0.3">
      <c r="A58" s="2" t="s">
        <v>76</v>
      </c>
      <c r="B58" s="2">
        <v>0</v>
      </c>
      <c r="C58" s="2">
        <v>14.64</v>
      </c>
      <c r="D58" s="2">
        <v>0</v>
      </c>
      <c r="E58" s="2">
        <v>6.22</v>
      </c>
      <c r="F58" s="2">
        <v>3.21</v>
      </c>
      <c r="G58" s="2">
        <v>4.95</v>
      </c>
      <c r="H58" s="2">
        <f t="shared" si="6"/>
        <v>2.5851877844744801E-2</v>
      </c>
      <c r="I58" s="2">
        <f t="shared" si="7"/>
        <v>0.98688905091376777</v>
      </c>
      <c r="J58" s="2">
        <v>6.11</v>
      </c>
      <c r="K58" s="2">
        <v>0</v>
      </c>
      <c r="L58" s="2">
        <v>27.65</v>
      </c>
      <c r="M58" s="2">
        <v>5.14</v>
      </c>
      <c r="N58" s="2">
        <v>0</v>
      </c>
      <c r="O58" s="2">
        <v>3.11</v>
      </c>
      <c r="P58" s="2">
        <f t="shared" si="8"/>
        <v>2.032848879574007</v>
      </c>
      <c r="Q58" s="2">
        <f t="shared" si="9"/>
        <v>0.37464493741162036</v>
      </c>
      <c r="R58" s="2">
        <f t="shared" si="10"/>
        <v>2.0069970017292622</v>
      </c>
      <c r="S58">
        <f t="shared" si="11"/>
        <v>78.634476450121667</v>
      </c>
      <c r="T58">
        <v>5.0772429989324603</v>
      </c>
    </row>
    <row r="59" spans="1:20" ht="13.9" x14ac:dyDescent="0.3">
      <c r="A59" s="2" t="s">
        <v>472</v>
      </c>
      <c r="B59" s="2">
        <v>4.6100000000000003</v>
      </c>
      <c r="C59" s="2">
        <v>22.44</v>
      </c>
      <c r="D59" s="2">
        <v>3.82</v>
      </c>
      <c r="E59" s="2">
        <v>0.69</v>
      </c>
      <c r="F59" s="2">
        <v>2.67</v>
      </c>
      <c r="G59" s="2">
        <v>3.16</v>
      </c>
      <c r="H59" s="2">
        <f t="shared" si="6"/>
        <v>2.2432616133840471</v>
      </c>
      <c r="I59" s="2">
        <f t="shared" si="7"/>
        <v>0.25580575574608266</v>
      </c>
      <c r="J59" s="2">
        <v>8.44</v>
      </c>
      <c r="K59" s="2">
        <v>20.09</v>
      </c>
      <c r="L59" s="2">
        <v>14.58</v>
      </c>
      <c r="M59" s="2">
        <v>1.95</v>
      </c>
      <c r="N59" s="2">
        <v>0</v>
      </c>
      <c r="O59" s="2">
        <v>0.27</v>
      </c>
      <c r="P59" s="2">
        <f t="shared" si="8"/>
        <v>4.2793909808283868</v>
      </c>
      <c r="Q59" s="2">
        <f t="shared" si="9"/>
        <v>1.6320565669332394E-2</v>
      </c>
      <c r="R59" s="2">
        <f t="shared" si="10"/>
        <v>2.0361293674443397</v>
      </c>
      <c r="S59">
        <f t="shared" si="11"/>
        <v>1.907664694699946</v>
      </c>
      <c r="T59">
        <v>5.4299506574037677</v>
      </c>
    </row>
    <row r="60" spans="1:20" ht="13.9" x14ac:dyDescent="0.3">
      <c r="A60" s="2" t="s">
        <v>253</v>
      </c>
      <c r="B60" s="2">
        <v>0.33</v>
      </c>
      <c r="C60" s="2">
        <v>0</v>
      </c>
      <c r="D60" s="2">
        <v>11.11</v>
      </c>
      <c r="E60" s="2">
        <v>2.37</v>
      </c>
      <c r="F60" s="2">
        <v>5.62</v>
      </c>
      <c r="G60" s="2">
        <v>3.37</v>
      </c>
      <c r="H60" s="2">
        <f t="shared" si="6"/>
        <v>1.0124217273707341E-2</v>
      </c>
      <c r="I60" s="2">
        <f t="shared" si="7"/>
        <v>0.99470062805235471</v>
      </c>
      <c r="J60" s="2">
        <v>10.42</v>
      </c>
      <c r="K60" s="2">
        <v>0</v>
      </c>
      <c r="L60" s="2">
        <v>0</v>
      </c>
      <c r="M60" s="2">
        <v>1.44</v>
      </c>
      <c r="N60" s="2">
        <v>0</v>
      </c>
      <c r="O60" s="2">
        <v>0.95</v>
      </c>
      <c r="P60" s="2">
        <f t="shared" si="8"/>
        <v>2.1242727542977602</v>
      </c>
      <c r="Q60" s="2">
        <f t="shared" si="9"/>
        <v>0.48691869150981276</v>
      </c>
      <c r="R60" s="2">
        <f t="shared" si="10"/>
        <v>2.1141485370240529</v>
      </c>
      <c r="S60">
        <f t="shared" si="11"/>
        <v>209.82093695425823</v>
      </c>
      <c r="T60">
        <v>3.3812833725037836</v>
      </c>
    </row>
    <row r="61" spans="1:20" ht="13.9" x14ac:dyDescent="0.3">
      <c r="A61" s="2" t="s">
        <v>48</v>
      </c>
      <c r="B61" s="2">
        <v>4.6100000000000003</v>
      </c>
      <c r="C61" s="2">
        <v>18.3</v>
      </c>
      <c r="D61" s="2">
        <v>12.02</v>
      </c>
      <c r="E61" s="2">
        <v>14.51</v>
      </c>
      <c r="F61" s="2">
        <v>9.23</v>
      </c>
      <c r="G61" s="2">
        <v>7.59</v>
      </c>
      <c r="H61" s="2">
        <f t="shared" si="6"/>
        <v>0.15692187302381091</v>
      </c>
      <c r="I61" s="2">
        <f t="shared" si="7"/>
        <v>0.80177458226550069</v>
      </c>
      <c r="J61" s="2">
        <v>17.25</v>
      </c>
      <c r="K61" s="2">
        <v>30.56</v>
      </c>
      <c r="L61" s="2">
        <v>56.81</v>
      </c>
      <c r="M61" s="2">
        <v>8.23</v>
      </c>
      <c r="N61" s="2">
        <v>0</v>
      </c>
      <c r="O61" s="2">
        <v>9.8800000000000008</v>
      </c>
      <c r="P61" s="2">
        <f t="shared" si="8"/>
        <v>2.5303002237278287</v>
      </c>
      <c r="Q61" s="2">
        <f t="shared" si="9"/>
        <v>7.4381569235697123E-2</v>
      </c>
      <c r="R61" s="2">
        <f t="shared" si="10"/>
        <v>2.3733783507040176</v>
      </c>
      <c r="S61">
        <f t="shared" si="11"/>
        <v>16.124585916355251</v>
      </c>
      <c r="T61">
        <v>6.7090148649032724</v>
      </c>
    </row>
    <row r="62" spans="1:20" ht="13.9" x14ac:dyDescent="0.3">
      <c r="A62" s="2" t="s">
        <v>142</v>
      </c>
      <c r="B62" s="2">
        <v>32.299999999999997</v>
      </c>
      <c r="C62" s="2">
        <v>0.24</v>
      </c>
      <c r="D62" s="2">
        <v>15.66</v>
      </c>
      <c r="E62" s="2">
        <v>10.96</v>
      </c>
      <c r="F62" s="2">
        <v>0.53</v>
      </c>
      <c r="G62" s="2">
        <v>5.69</v>
      </c>
      <c r="H62" s="2">
        <f t="shared" si="6"/>
        <v>1.4883031099788604</v>
      </c>
      <c r="I62" s="2">
        <f t="shared" si="7"/>
        <v>0.34802006366188409</v>
      </c>
      <c r="J62" s="2">
        <v>20.3</v>
      </c>
      <c r="K62" s="2">
        <v>31.39</v>
      </c>
      <c r="L62" s="2">
        <v>10.56</v>
      </c>
      <c r="M62" s="2">
        <v>3.4</v>
      </c>
      <c r="N62" s="2">
        <v>0</v>
      </c>
      <c r="O62" s="2">
        <v>0.68</v>
      </c>
      <c r="P62" s="2">
        <f t="shared" si="8"/>
        <v>3.9314327798713098</v>
      </c>
      <c r="Q62" s="2">
        <f t="shared" si="9"/>
        <v>3.3682949519537216E-2</v>
      </c>
      <c r="R62" s="2">
        <f t="shared" si="10"/>
        <v>2.4431296698924494</v>
      </c>
      <c r="S62">
        <f t="shared" si="11"/>
        <v>2.6415538296679038</v>
      </c>
      <c r="T62">
        <v>5.9600019320680806</v>
      </c>
    </row>
    <row r="63" spans="1:20" ht="13.9" x14ac:dyDescent="0.3">
      <c r="A63" s="2" t="s">
        <v>908</v>
      </c>
      <c r="B63" s="2">
        <v>4.9400000000000004</v>
      </c>
      <c r="C63" s="2">
        <v>0</v>
      </c>
      <c r="D63" s="2">
        <v>0</v>
      </c>
      <c r="E63" s="2">
        <v>0.1</v>
      </c>
      <c r="F63" s="2">
        <v>0</v>
      </c>
      <c r="G63" s="2">
        <v>2.42</v>
      </c>
      <c r="H63" s="2">
        <f t="shared" si="6"/>
        <v>0.97108730808476129</v>
      </c>
      <c r="I63" s="2">
        <f t="shared" si="7"/>
        <v>0.68158548371259953</v>
      </c>
      <c r="J63" s="2">
        <v>4.8499999999999996</v>
      </c>
      <c r="K63" s="2">
        <v>0.21</v>
      </c>
      <c r="L63" s="2">
        <v>23.63</v>
      </c>
      <c r="M63" s="2">
        <v>1.1299999999999999</v>
      </c>
      <c r="N63" s="2">
        <v>0</v>
      </c>
      <c r="O63" s="2">
        <v>0.81</v>
      </c>
      <c r="P63" s="2">
        <f t="shared" si="8"/>
        <v>3.8864194105815368</v>
      </c>
      <c r="Q63" s="2">
        <f t="shared" si="9"/>
        <v>0.28141362252671959</v>
      </c>
      <c r="R63" s="2">
        <f t="shared" si="10"/>
        <v>2.9153321024967758</v>
      </c>
      <c r="S63">
        <f t="shared" si="11"/>
        <v>4.0021318147454474</v>
      </c>
      <c r="T63">
        <v>4.8424760629939394</v>
      </c>
    </row>
    <row r="64" spans="1:20" ht="13.9" x14ac:dyDescent="0.3">
      <c r="A64" s="2" t="s">
        <v>283</v>
      </c>
      <c r="B64" s="2">
        <v>31.97</v>
      </c>
      <c r="C64" s="2">
        <v>38.549999999999997</v>
      </c>
      <c r="D64" s="2">
        <v>34.049999999999997</v>
      </c>
      <c r="E64" s="2">
        <v>5.53</v>
      </c>
      <c r="F64" s="2">
        <v>3.88</v>
      </c>
      <c r="G64" s="2">
        <v>6.85</v>
      </c>
      <c r="H64" s="2">
        <f t="shared" si="6"/>
        <v>2.685069854842864</v>
      </c>
      <c r="I64" s="2">
        <f t="shared" si="7"/>
        <v>1.5696533293844142E-4</v>
      </c>
      <c r="J64" s="2">
        <v>57.67</v>
      </c>
      <c r="K64" s="2">
        <v>38.93</v>
      </c>
      <c r="L64" s="2">
        <v>137.75</v>
      </c>
      <c r="M64" s="2">
        <v>1.65</v>
      </c>
      <c r="N64" s="2">
        <v>0</v>
      </c>
      <c r="O64" s="2">
        <v>2.84</v>
      </c>
      <c r="P64" s="2">
        <f t="shared" si="8"/>
        <v>5.7058055396252403</v>
      </c>
      <c r="Q64" s="2">
        <f t="shared" si="9"/>
        <v>6.4837458158012007E-2</v>
      </c>
      <c r="R64" s="2">
        <f t="shared" si="10"/>
        <v>3.0207356847823763</v>
      </c>
      <c r="S64">
        <f t="shared" si="11"/>
        <v>2.1250119542827148</v>
      </c>
      <c r="T64">
        <v>7.8725209845916622</v>
      </c>
    </row>
    <row r="65" spans="1:20" ht="13.9" x14ac:dyDescent="0.3">
      <c r="A65" s="2" t="s">
        <v>372</v>
      </c>
      <c r="B65" s="2">
        <v>0</v>
      </c>
      <c r="C65" s="2">
        <v>15.13</v>
      </c>
      <c r="D65" s="2">
        <v>0</v>
      </c>
      <c r="E65" s="2">
        <v>2.57</v>
      </c>
      <c r="F65" s="2">
        <v>1.87</v>
      </c>
      <c r="G65" s="2">
        <v>1.48</v>
      </c>
      <c r="H65" s="2">
        <f t="shared" si="6"/>
        <v>1.3537429065877875</v>
      </c>
      <c r="I65" s="2">
        <f t="shared" si="7"/>
        <v>0.57631128328093895</v>
      </c>
      <c r="J65" s="2">
        <v>10.24</v>
      </c>
      <c r="K65" s="2">
        <v>4.8099999999999996</v>
      </c>
      <c r="L65" s="2">
        <v>0</v>
      </c>
      <c r="M65" s="2">
        <v>0.72</v>
      </c>
      <c r="N65" s="2">
        <v>0</v>
      </c>
      <c r="O65" s="2">
        <v>0</v>
      </c>
      <c r="P65" s="2">
        <f t="shared" si="8"/>
        <v>4.3856227702047521</v>
      </c>
      <c r="Q65" s="2">
        <f t="shared" si="9"/>
        <v>0.18276499298380758</v>
      </c>
      <c r="R65" s="2">
        <f t="shared" si="10"/>
        <v>3.0318798636169646</v>
      </c>
      <c r="S65">
        <f t="shared" si="11"/>
        <v>3.2396275163199557</v>
      </c>
      <c r="T65">
        <v>3.9116915818723403</v>
      </c>
    </row>
    <row r="66" spans="1:20" ht="13.9" x14ac:dyDescent="0.3">
      <c r="A66" s="2" t="s">
        <v>202</v>
      </c>
      <c r="B66" s="2">
        <v>0</v>
      </c>
      <c r="C66" s="2">
        <v>0</v>
      </c>
      <c r="D66" s="2">
        <v>3.1</v>
      </c>
      <c r="E66" s="2">
        <v>0</v>
      </c>
      <c r="F66" s="2">
        <v>1.07</v>
      </c>
      <c r="G66" s="2">
        <v>0.42</v>
      </c>
      <c r="H66" s="2">
        <f t="shared" ref="H66:H97" si="12">LOG(SUM(B66:D66)/SUM(E66:G66),2)</f>
        <v>1.0569558848120759</v>
      </c>
      <c r="I66" s="2">
        <f t="shared" si="7"/>
        <v>0.64508086360408778</v>
      </c>
      <c r="J66" s="2">
        <v>0</v>
      </c>
      <c r="K66" s="2">
        <v>6.28</v>
      </c>
      <c r="L66" s="2">
        <v>0</v>
      </c>
      <c r="M66" s="2">
        <v>0.21</v>
      </c>
      <c r="N66" s="2">
        <v>0</v>
      </c>
      <c r="O66" s="2">
        <v>0.14000000000000001</v>
      </c>
      <c r="P66" s="2">
        <f t="shared" ref="P66:P97" si="13">LOG(SUM(J66:L66)/SUM(M66:O66),2)</f>
        <v>4.1653377319466607</v>
      </c>
      <c r="Q66" s="2">
        <f t="shared" si="9"/>
        <v>0.39868586814394236</v>
      </c>
      <c r="R66" s="2">
        <f t="shared" si="10"/>
        <v>3.1083818471345848</v>
      </c>
      <c r="S66">
        <f t="shared" si="11"/>
        <v>3.9408813478409717</v>
      </c>
      <c r="T66">
        <v>2.6507645591169027</v>
      </c>
    </row>
    <row r="67" spans="1:20" ht="13.9" x14ac:dyDescent="0.3">
      <c r="A67" s="2" t="s">
        <v>602</v>
      </c>
      <c r="B67" s="2">
        <v>0</v>
      </c>
      <c r="C67" s="2">
        <v>15.13</v>
      </c>
      <c r="D67" s="2">
        <v>0</v>
      </c>
      <c r="E67" s="2">
        <v>1.18</v>
      </c>
      <c r="F67" s="2">
        <v>0.67</v>
      </c>
      <c r="G67" s="2">
        <v>0</v>
      </c>
      <c r="H67" s="2">
        <f t="shared" si="12"/>
        <v>3.0318148117004249</v>
      </c>
      <c r="I67" s="2">
        <f t="shared" si="7"/>
        <v>0.43062076076485833</v>
      </c>
      <c r="J67" s="2">
        <v>0</v>
      </c>
      <c r="K67" s="2">
        <v>11.51</v>
      </c>
      <c r="L67" s="2">
        <v>0</v>
      </c>
      <c r="M67" s="2">
        <v>0</v>
      </c>
      <c r="N67" s="2">
        <v>0</v>
      </c>
      <c r="O67" s="2">
        <v>0.14000000000000001</v>
      </c>
      <c r="P67" s="2">
        <f t="shared" si="13"/>
        <v>6.3613171960746264</v>
      </c>
      <c r="Q67" s="2">
        <f t="shared" si="9"/>
        <v>0.37918655318526179</v>
      </c>
      <c r="R67" s="2">
        <f t="shared" si="10"/>
        <v>3.3295023843742015</v>
      </c>
      <c r="S67">
        <f t="shared" si="11"/>
        <v>2.0981879142238293</v>
      </c>
      <c r="T67">
        <v>3.5248159283575062</v>
      </c>
    </row>
    <row r="68" spans="1:20" ht="13.9" x14ac:dyDescent="0.3">
      <c r="A68" s="2" t="s">
        <v>152</v>
      </c>
      <c r="B68" s="2">
        <v>0</v>
      </c>
      <c r="C68" s="2">
        <v>0</v>
      </c>
      <c r="D68" s="2">
        <v>4.92</v>
      </c>
      <c r="E68" s="2">
        <v>1.28</v>
      </c>
      <c r="F68" s="2">
        <v>1.87</v>
      </c>
      <c r="G68" s="2">
        <v>1.48</v>
      </c>
      <c r="H68" s="2">
        <f t="shared" si="12"/>
        <v>8.7646122079003241E-2</v>
      </c>
      <c r="I68" s="2">
        <f t="shared" si="7"/>
        <v>0.95606871624694367</v>
      </c>
      <c r="J68" s="2">
        <v>0</v>
      </c>
      <c r="K68" s="2">
        <v>0</v>
      </c>
      <c r="L68" s="2">
        <v>12.57</v>
      </c>
      <c r="M68" s="2">
        <v>0.72</v>
      </c>
      <c r="N68" s="2">
        <v>0</v>
      </c>
      <c r="O68" s="2">
        <v>0</v>
      </c>
      <c r="P68" s="2">
        <f t="shared" si="13"/>
        <v>4.1258439329781957</v>
      </c>
      <c r="Q68" s="2">
        <f t="shared" si="9"/>
        <v>0.39990288398116736</v>
      </c>
      <c r="R68" s="2">
        <f t="shared" si="10"/>
        <v>4.0381978108991925</v>
      </c>
      <c r="S68">
        <f t="shared" si="11"/>
        <v>47.073890265894548</v>
      </c>
      <c r="T68">
        <v>3.6519127446457831</v>
      </c>
    </row>
    <row r="69" spans="1:20" ht="13.9" x14ac:dyDescent="0.3">
      <c r="A69" s="2" t="s">
        <v>186</v>
      </c>
      <c r="B69" s="2">
        <v>0</v>
      </c>
      <c r="C69" s="2">
        <v>80.510000000000005</v>
      </c>
      <c r="D69" s="2">
        <v>0.18</v>
      </c>
      <c r="E69" s="2">
        <v>0</v>
      </c>
      <c r="F69" s="2">
        <v>2.0099999999999998</v>
      </c>
      <c r="G69" s="2">
        <v>1.05</v>
      </c>
      <c r="H69" s="2">
        <f t="shared" si="12"/>
        <v>4.7207863317755168</v>
      </c>
      <c r="I69" s="2">
        <f t="shared" si="7"/>
        <v>0.38915632105579978</v>
      </c>
      <c r="J69" s="2">
        <v>301.45999999999998</v>
      </c>
      <c r="K69" s="2">
        <v>28.67</v>
      </c>
      <c r="L69" s="2">
        <v>29.66</v>
      </c>
      <c r="M69" s="2">
        <v>0.62</v>
      </c>
      <c r="N69" s="2">
        <v>0</v>
      </c>
      <c r="O69" s="2">
        <v>0</v>
      </c>
      <c r="P69" s="2">
        <f t="shared" si="13"/>
        <v>9.1806711580563096</v>
      </c>
      <c r="Q69" s="2">
        <f t="shared" si="9"/>
        <v>0.2575994508293698</v>
      </c>
      <c r="R69" s="2">
        <f t="shared" si="10"/>
        <v>4.4598848262807929</v>
      </c>
      <c r="S69">
        <f t="shared" si="11"/>
        <v>1.9447334644784491</v>
      </c>
      <c r="T69">
        <v>8.4910112786684611</v>
      </c>
    </row>
    <row r="70" spans="1:20" ht="13.9" x14ac:dyDescent="0.3">
      <c r="A70" s="2" t="s">
        <v>828</v>
      </c>
      <c r="B70" s="2">
        <v>0</v>
      </c>
      <c r="C70" s="2">
        <v>0</v>
      </c>
      <c r="D70" s="2">
        <v>2.73</v>
      </c>
      <c r="E70" s="2">
        <v>1.18</v>
      </c>
      <c r="F70" s="2">
        <v>0.67</v>
      </c>
      <c r="G70" s="2">
        <v>0.11</v>
      </c>
      <c r="H70" s="2">
        <f t="shared" si="12"/>
        <v>0.47804729680464414</v>
      </c>
      <c r="I70" s="2">
        <f t="shared" si="7"/>
        <v>0.80261587885638042</v>
      </c>
      <c r="J70" s="2">
        <v>12.04</v>
      </c>
      <c r="K70" s="2">
        <v>3.98</v>
      </c>
      <c r="L70" s="2">
        <v>0</v>
      </c>
      <c r="M70" s="2">
        <v>0.51</v>
      </c>
      <c r="N70" s="2">
        <v>0</v>
      </c>
      <c r="O70" s="2">
        <v>0</v>
      </c>
      <c r="P70" s="2">
        <f t="shared" si="13"/>
        <v>4.9732330904372146</v>
      </c>
      <c r="Q70" s="2">
        <f t="shared" si="9"/>
        <v>0.21855049341514293</v>
      </c>
      <c r="R70" s="2">
        <f t="shared" si="10"/>
        <v>4.4951857936325705</v>
      </c>
      <c r="S70">
        <f t="shared" si="11"/>
        <v>10.403223956456229</v>
      </c>
      <c r="T70">
        <v>4.0018022426339854</v>
      </c>
    </row>
    <row r="71" spans="1:20" ht="13.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20" ht="13.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20" ht="13.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20" ht="13.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20" ht="13.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20" ht="13.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20" ht="13.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20" ht="13.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20" ht="13.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20" ht="13.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.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9" x14ac:dyDescent="0.3">
      <c r="A481" s="2"/>
      <c r="B481" s="2"/>
      <c r="C481" s="2"/>
      <c r="D481" s="2"/>
      <c r="E481" s="2"/>
      <c r="F481" s="2"/>
      <c r="G481" s="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3.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9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</sheetData>
  <sortState xmlns:xlrd2="http://schemas.microsoft.com/office/spreadsheetml/2017/richdata2" ref="A2:T926">
    <sortCondition ref="R2:R926"/>
  </sortState>
  <phoneticPr fontId="1" type="noConversion"/>
  <conditionalFormatting sqref="I1:I1048576">
    <cfRule type="cellIs" dxfId="6" priority="2" operator="lessThan">
      <formula>0.05</formula>
    </cfRule>
  </conditionalFormatting>
  <conditionalFormatting sqref="Q1:Q104857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26"/>
  <sheetViews>
    <sheetView tabSelected="1" zoomScale="72" workbookViewId="0">
      <selection activeCell="R2" sqref="R2:R55"/>
    </sheetView>
  </sheetViews>
  <sheetFormatPr defaultRowHeight="13.5" x14ac:dyDescent="0.3"/>
  <cols>
    <col min="1" max="1" width="18.3984375" style="17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</cols>
  <sheetData>
    <row r="1" spans="1:20" ht="13.9" x14ac:dyDescent="0.3">
      <c r="A1" s="16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951</v>
      </c>
      <c r="I1" s="3" t="s">
        <v>952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953</v>
      </c>
      <c r="Q1" s="3" t="s">
        <v>949</v>
      </c>
      <c r="R1" s="4" t="s">
        <v>950</v>
      </c>
      <c r="S1" s="4" t="s">
        <v>955</v>
      </c>
      <c r="T1" t="s">
        <v>958</v>
      </c>
    </row>
    <row r="2" spans="1:20" ht="13.9" x14ac:dyDescent="0.3">
      <c r="A2" s="16" t="s">
        <v>50</v>
      </c>
      <c r="B2" s="2">
        <v>57.68</v>
      </c>
      <c r="C2" s="2">
        <v>58.99</v>
      </c>
      <c r="D2" s="2">
        <v>66.91</v>
      </c>
      <c r="E2" s="2">
        <v>61.81</v>
      </c>
      <c r="F2" s="2">
        <v>43.58</v>
      </c>
      <c r="G2" s="2">
        <v>45.72</v>
      </c>
      <c r="H2" s="2">
        <f t="shared" ref="H2:H33" si="0">LOG(SUM(B2:D2)/SUM(E2:G2),2)</f>
        <v>0.28080975703895628</v>
      </c>
      <c r="I2" s="2">
        <f t="shared" ref="I2:I33" si="1">_xlfn.T.TEST(B2:D2,E2:G2,2,2)</f>
        <v>0.16788639829871357</v>
      </c>
      <c r="J2" s="2">
        <v>18.5</v>
      </c>
      <c r="K2" s="2">
        <v>50.23</v>
      </c>
      <c r="L2" s="2">
        <v>94.01</v>
      </c>
      <c r="M2" s="2">
        <v>51.34</v>
      </c>
      <c r="N2" s="2">
        <v>40.880000000000003</v>
      </c>
      <c r="O2" s="2">
        <v>40.880000000000003</v>
      </c>
      <c r="P2" s="2">
        <f t="shared" ref="P2:P33" si="2">LOG(SUM(J2:L2)/SUM(M2:O2),2)</f>
        <v>0.29005832456106734</v>
      </c>
      <c r="Q2" s="2">
        <f t="shared" ref="Q2:Q33" si="3">_xlfn.T.TEST(J2:L2,M2:O2,2,2)</f>
        <v>0.678857294467063</v>
      </c>
      <c r="R2" s="2">
        <f t="shared" ref="R2:R33" si="4">P2-H2</f>
        <v>9.2485675221110619E-3</v>
      </c>
      <c r="S2">
        <f t="shared" ref="S2:S33" si="5">P2/H2</f>
        <v>1.0329353496104767</v>
      </c>
      <c r="T2">
        <v>7.3464250855855964</v>
      </c>
    </row>
    <row r="3" spans="1:20" ht="13.9" x14ac:dyDescent="0.3">
      <c r="A3" s="16" t="s">
        <v>217</v>
      </c>
      <c r="B3" s="2">
        <v>57.03</v>
      </c>
      <c r="C3" s="2">
        <v>118.28</v>
      </c>
      <c r="D3" s="2">
        <v>94.65</v>
      </c>
      <c r="E3" s="2">
        <v>23.67</v>
      </c>
      <c r="F3" s="2">
        <v>26.06</v>
      </c>
      <c r="G3" s="2">
        <v>32.450000000000003</v>
      </c>
      <c r="H3" s="2">
        <f t="shared" si="0"/>
        <v>1.715886423225641</v>
      </c>
      <c r="I3" s="2">
        <f t="shared" si="1"/>
        <v>2.5527826185763675E-2</v>
      </c>
      <c r="J3" s="2">
        <v>68.989999999999995</v>
      </c>
      <c r="K3" s="2">
        <v>62.78</v>
      </c>
      <c r="L3" s="2">
        <v>130.21</v>
      </c>
      <c r="M3" s="2">
        <v>20.059999999999999</v>
      </c>
      <c r="N3" s="2">
        <v>40.880000000000003</v>
      </c>
      <c r="O3" s="2">
        <v>17.46</v>
      </c>
      <c r="P3" s="2">
        <f t="shared" si="2"/>
        <v>1.7405311187135442</v>
      </c>
      <c r="Q3" s="2">
        <f t="shared" si="3"/>
        <v>5.4716445573451615E-2</v>
      </c>
      <c r="R3" s="2">
        <f t="shared" si="4"/>
        <v>2.4644695487903157E-2</v>
      </c>
      <c r="S3">
        <f t="shared" si="5"/>
        <v>1.0143626612777636</v>
      </c>
      <c r="T3">
        <v>8.0333128679413903</v>
      </c>
    </row>
    <row r="4" spans="1:20" ht="13.9" x14ac:dyDescent="0.3">
      <c r="A4" s="16" t="s">
        <v>661</v>
      </c>
      <c r="B4" s="2">
        <v>5.1100000000000003</v>
      </c>
      <c r="C4" s="2">
        <v>10.41</v>
      </c>
      <c r="D4" s="2">
        <v>0</v>
      </c>
      <c r="E4" s="2">
        <v>3.9</v>
      </c>
      <c r="F4" s="2">
        <v>3.22</v>
      </c>
      <c r="G4" s="2">
        <v>4.08</v>
      </c>
      <c r="H4" s="2">
        <f t="shared" si="0"/>
        <v>0.47062982524216118</v>
      </c>
      <c r="I4" s="2">
        <f t="shared" si="1"/>
        <v>0.65802567873628204</v>
      </c>
      <c r="J4" s="2">
        <v>0.18</v>
      </c>
      <c r="K4" s="2">
        <v>0</v>
      </c>
      <c r="L4" s="2">
        <v>7.04</v>
      </c>
      <c r="M4" s="2">
        <v>2.57</v>
      </c>
      <c r="N4" s="2">
        <v>0</v>
      </c>
      <c r="O4" s="2">
        <v>2.44</v>
      </c>
      <c r="P4" s="2">
        <f t="shared" si="2"/>
        <v>0.52718823369196277</v>
      </c>
      <c r="Q4" s="2">
        <f t="shared" si="3"/>
        <v>0.77979818840065651</v>
      </c>
      <c r="R4" s="2">
        <f t="shared" si="4"/>
        <v>5.6558408449801589E-2</v>
      </c>
      <c r="S4">
        <f t="shared" si="5"/>
        <v>1.1201759969647049</v>
      </c>
      <c r="T4">
        <v>2.8519988371124461</v>
      </c>
    </row>
    <row r="5" spans="1:20" ht="13.9" x14ac:dyDescent="0.3">
      <c r="A5" s="16" t="s">
        <v>691</v>
      </c>
      <c r="B5" s="2">
        <v>5.1100000000000003</v>
      </c>
      <c r="C5" s="2">
        <v>10.41</v>
      </c>
      <c r="D5" s="2">
        <v>0</v>
      </c>
      <c r="E5" s="2">
        <v>3.9</v>
      </c>
      <c r="F5" s="2">
        <v>3.22</v>
      </c>
      <c r="G5" s="2">
        <v>4.08</v>
      </c>
      <c r="H5" s="2">
        <f t="shared" si="0"/>
        <v>0.47062982524216118</v>
      </c>
      <c r="I5" s="2">
        <f t="shared" si="1"/>
        <v>0.65802567873628204</v>
      </c>
      <c r="J5" s="2">
        <v>0.18</v>
      </c>
      <c r="K5" s="2">
        <v>0</v>
      </c>
      <c r="L5" s="2">
        <v>7.04</v>
      </c>
      <c r="M5" s="2">
        <v>2.57</v>
      </c>
      <c r="N5" s="2">
        <v>0</v>
      </c>
      <c r="O5" s="2">
        <v>2.44</v>
      </c>
      <c r="P5" s="2">
        <f t="shared" si="2"/>
        <v>0.52718823369196277</v>
      </c>
      <c r="Q5" s="2">
        <f t="shared" si="3"/>
        <v>0.77979818840065651</v>
      </c>
      <c r="R5" s="2">
        <f t="shared" si="4"/>
        <v>5.6558408449801589E-2</v>
      </c>
      <c r="S5">
        <f t="shared" si="5"/>
        <v>1.1201759969647049</v>
      </c>
      <c r="T5">
        <v>2.8519988371124461</v>
      </c>
    </row>
    <row r="6" spans="1:20" ht="13.9" x14ac:dyDescent="0.3">
      <c r="A6" s="16" t="s">
        <v>886</v>
      </c>
      <c r="B6" s="2">
        <v>136.34</v>
      </c>
      <c r="C6" s="2">
        <v>205.61</v>
      </c>
      <c r="D6" s="2">
        <v>55.5</v>
      </c>
      <c r="E6" s="2">
        <v>125.75</v>
      </c>
      <c r="F6" s="2">
        <v>135.16999999999999</v>
      </c>
      <c r="G6" s="2">
        <v>125.93</v>
      </c>
      <c r="H6" s="2">
        <f t="shared" si="0"/>
        <v>3.8999104060152098E-2</v>
      </c>
      <c r="I6" s="2">
        <f t="shared" si="1"/>
        <v>0.93914631631798473</v>
      </c>
      <c r="J6" s="2">
        <v>72.58</v>
      </c>
      <c r="K6" s="2">
        <v>108.83</v>
      </c>
      <c r="L6" s="2">
        <v>213.16</v>
      </c>
      <c r="M6" s="2">
        <v>104.54</v>
      </c>
      <c r="N6" s="2">
        <v>81.75</v>
      </c>
      <c r="O6" s="2">
        <v>182.85</v>
      </c>
      <c r="P6" s="2">
        <f t="shared" si="2"/>
        <v>9.6113192597275646E-2</v>
      </c>
      <c r="Q6" s="2">
        <f t="shared" si="3"/>
        <v>0.87861290229443356</v>
      </c>
      <c r="R6" s="2">
        <f t="shared" si="4"/>
        <v>5.7114088537123547E-2</v>
      </c>
      <c r="S6">
        <f t="shared" si="5"/>
        <v>2.4644974522755945</v>
      </c>
      <c r="T6">
        <v>8.6241374588200976</v>
      </c>
    </row>
    <row r="7" spans="1:20" ht="13.9" x14ac:dyDescent="0.3">
      <c r="A7" s="16" t="s">
        <v>937</v>
      </c>
      <c r="B7" s="2">
        <v>810.57</v>
      </c>
      <c r="C7" s="2">
        <v>475.12</v>
      </c>
      <c r="D7" s="2">
        <v>709.26</v>
      </c>
      <c r="E7" s="2">
        <v>386.07</v>
      </c>
      <c r="F7" s="2">
        <v>407.72</v>
      </c>
      <c r="G7" s="2">
        <v>385.27</v>
      </c>
      <c r="H7" s="2">
        <f t="shared" si="0"/>
        <v>0.75871545217954828</v>
      </c>
      <c r="I7" s="2">
        <f t="shared" si="1"/>
        <v>5.2422215251804266E-2</v>
      </c>
      <c r="J7" s="2">
        <v>676.4</v>
      </c>
      <c r="K7" s="2">
        <v>549.15</v>
      </c>
      <c r="L7" s="2">
        <v>536.42999999999995</v>
      </c>
      <c r="M7" s="2">
        <v>376.37</v>
      </c>
      <c r="N7" s="2">
        <v>204.38</v>
      </c>
      <c r="O7" s="2">
        <v>382.49</v>
      </c>
      <c r="P7" s="2">
        <f t="shared" si="2"/>
        <v>0.87123033996124688</v>
      </c>
      <c r="Q7" s="2">
        <f t="shared" si="3"/>
        <v>2.2326774858584607E-2</v>
      </c>
      <c r="R7" s="2">
        <f t="shared" si="4"/>
        <v>0.1125148877816986</v>
      </c>
      <c r="S7">
        <f t="shared" si="5"/>
        <v>1.1482965549976334</v>
      </c>
      <c r="T7">
        <v>10.782981833174345</v>
      </c>
    </row>
    <row r="8" spans="1:20" ht="13.9" x14ac:dyDescent="0.3">
      <c r="A8" s="16" t="s">
        <v>24</v>
      </c>
      <c r="B8" s="2">
        <v>147.61000000000001</v>
      </c>
      <c r="C8" s="2">
        <v>150.37</v>
      </c>
      <c r="D8" s="2">
        <v>170.12</v>
      </c>
      <c r="E8" s="2">
        <v>57.78</v>
      </c>
      <c r="F8" s="2">
        <v>63.09</v>
      </c>
      <c r="G8" s="2">
        <v>56.5</v>
      </c>
      <c r="H8" s="2">
        <f t="shared" si="0"/>
        <v>1.4000547492735609</v>
      </c>
      <c r="I8" s="2">
        <f t="shared" si="1"/>
        <v>1.9316611737983609E-4</v>
      </c>
      <c r="J8" s="2">
        <v>153.6</v>
      </c>
      <c r="K8" s="2">
        <v>136.03</v>
      </c>
      <c r="L8" s="2">
        <v>126.19</v>
      </c>
      <c r="M8" s="2">
        <v>46.51</v>
      </c>
      <c r="N8" s="2">
        <v>40.880000000000003</v>
      </c>
      <c r="O8" s="2">
        <v>57.79</v>
      </c>
      <c r="P8" s="2">
        <f t="shared" si="2"/>
        <v>1.5181164289068962</v>
      </c>
      <c r="Q8" s="2">
        <f t="shared" si="3"/>
        <v>6.6786070443664838E-4</v>
      </c>
      <c r="R8" s="2">
        <f t="shared" si="4"/>
        <v>0.11806167963333536</v>
      </c>
      <c r="S8">
        <f t="shared" si="5"/>
        <v>1.0843264734429803</v>
      </c>
      <c r="T8">
        <v>8.6998153400030009</v>
      </c>
    </row>
    <row r="9" spans="1:20" ht="13.9" x14ac:dyDescent="0.3">
      <c r="A9" s="16" t="s">
        <v>627</v>
      </c>
      <c r="B9" s="2">
        <v>0</v>
      </c>
      <c r="C9" s="2">
        <v>2.6</v>
      </c>
      <c r="D9" s="2">
        <v>8.82</v>
      </c>
      <c r="E9" s="2">
        <v>1.76</v>
      </c>
      <c r="F9" s="2">
        <v>1.22</v>
      </c>
      <c r="G9" s="2">
        <v>3.06</v>
      </c>
      <c r="H9" s="2">
        <f t="shared" si="0"/>
        <v>0.91894219603776395</v>
      </c>
      <c r="I9" s="2">
        <f t="shared" si="1"/>
        <v>0.53902896687007529</v>
      </c>
      <c r="J9" s="2">
        <v>0</v>
      </c>
      <c r="K9" s="2">
        <v>10.88</v>
      </c>
      <c r="L9" s="2">
        <v>2.5099999999999998</v>
      </c>
      <c r="M9" s="2">
        <v>1.23</v>
      </c>
      <c r="N9" s="2">
        <v>0</v>
      </c>
      <c r="O9" s="2">
        <v>5.01</v>
      </c>
      <c r="P9" s="2">
        <f t="shared" si="2"/>
        <v>1.1015380264620624</v>
      </c>
      <c r="Q9" s="2">
        <f t="shared" si="3"/>
        <v>0.5460611959227859</v>
      </c>
      <c r="R9" s="2">
        <f t="shared" si="4"/>
        <v>0.1825958304242985</v>
      </c>
      <c r="S9">
        <f t="shared" si="5"/>
        <v>1.1987021939046911</v>
      </c>
      <c r="T9">
        <v>3.7430840555495859</v>
      </c>
    </row>
    <row r="10" spans="1:20" ht="13.9" x14ac:dyDescent="0.3">
      <c r="A10" s="16" t="s">
        <v>133</v>
      </c>
      <c r="B10" s="2">
        <v>12.06</v>
      </c>
      <c r="C10" s="2">
        <v>22.27</v>
      </c>
      <c r="D10" s="2">
        <v>4.67</v>
      </c>
      <c r="E10" s="2">
        <v>7.93</v>
      </c>
      <c r="F10" s="2">
        <v>6.65</v>
      </c>
      <c r="G10" s="2">
        <v>2.61</v>
      </c>
      <c r="H10" s="2">
        <f t="shared" si="0"/>
        <v>1.1819045791589118</v>
      </c>
      <c r="I10" s="2">
        <f t="shared" si="1"/>
        <v>0.24563451436141778</v>
      </c>
      <c r="J10" s="2">
        <v>15.27</v>
      </c>
      <c r="K10" s="2">
        <v>12.14</v>
      </c>
      <c r="L10" s="2">
        <v>0</v>
      </c>
      <c r="M10" s="2">
        <v>7.2</v>
      </c>
      <c r="N10" s="2">
        <v>0</v>
      </c>
      <c r="O10" s="2">
        <v>3.38</v>
      </c>
      <c r="P10" s="2">
        <f t="shared" si="2"/>
        <v>1.3733627007117495</v>
      </c>
      <c r="Q10" s="2">
        <f t="shared" si="3"/>
        <v>0.33309557176078197</v>
      </c>
      <c r="R10" s="2">
        <f t="shared" si="4"/>
        <v>0.1914581215528377</v>
      </c>
      <c r="S10">
        <f t="shared" si="5"/>
        <v>1.1619911834922296</v>
      </c>
      <c r="T10">
        <v>4.776630423051051</v>
      </c>
    </row>
    <row r="11" spans="1:20" ht="13.9" x14ac:dyDescent="0.3">
      <c r="A11" s="16" t="s">
        <v>516</v>
      </c>
      <c r="B11" s="2">
        <v>7.6</v>
      </c>
      <c r="C11" s="2">
        <v>3.47</v>
      </c>
      <c r="D11" s="2">
        <v>0.52</v>
      </c>
      <c r="E11" s="2">
        <v>0.76</v>
      </c>
      <c r="F11" s="2">
        <v>0.33</v>
      </c>
      <c r="G11" s="2">
        <v>1.93</v>
      </c>
      <c r="H11" s="2">
        <f t="shared" si="0"/>
        <v>1.9402601116813927</v>
      </c>
      <c r="I11" s="2">
        <f t="shared" si="1"/>
        <v>0.24687682142932413</v>
      </c>
      <c r="J11" s="2">
        <v>0.18</v>
      </c>
      <c r="K11" s="2">
        <v>7.53</v>
      </c>
      <c r="L11" s="2">
        <v>1.01</v>
      </c>
      <c r="M11" s="2">
        <v>1.65</v>
      </c>
      <c r="N11" s="2">
        <v>0</v>
      </c>
      <c r="O11" s="2">
        <v>0.27</v>
      </c>
      <c r="P11" s="2">
        <f t="shared" si="2"/>
        <v>2.1832218240557704</v>
      </c>
      <c r="Q11" s="2">
        <f t="shared" si="3"/>
        <v>0.39475568117069526</v>
      </c>
      <c r="R11" s="2">
        <f t="shared" si="4"/>
        <v>0.24296171237437769</v>
      </c>
      <c r="S11">
        <f t="shared" si="5"/>
        <v>1.1252212066369967</v>
      </c>
      <c r="T11">
        <v>3.1243281350022016</v>
      </c>
    </row>
    <row r="12" spans="1:20" ht="13.9" x14ac:dyDescent="0.3">
      <c r="A12" s="16" t="s">
        <v>459</v>
      </c>
      <c r="B12" s="2">
        <v>1.57</v>
      </c>
      <c r="C12" s="2">
        <v>28.34</v>
      </c>
      <c r="D12" s="2">
        <v>2.33</v>
      </c>
      <c r="E12" s="2">
        <v>3.9</v>
      </c>
      <c r="F12" s="2">
        <v>1.33</v>
      </c>
      <c r="G12" s="2">
        <v>0.68</v>
      </c>
      <c r="H12" s="2">
        <f t="shared" si="0"/>
        <v>2.447621708350435</v>
      </c>
      <c r="I12" s="2">
        <f t="shared" si="1"/>
        <v>0.37767431297334664</v>
      </c>
      <c r="J12" s="2">
        <v>2.16</v>
      </c>
      <c r="K12" s="2">
        <v>7.53</v>
      </c>
      <c r="L12" s="2">
        <v>33.68</v>
      </c>
      <c r="M12" s="2">
        <v>1.54</v>
      </c>
      <c r="N12" s="2">
        <v>0</v>
      </c>
      <c r="O12" s="2">
        <v>5.01</v>
      </c>
      <c r="P12" s="2">
        <f t="shared" si="2"/>
        <v>2.7271306314382904</v>
      </c>
      <c r="Q12" s="2">
        <f t="shared" si="3"/>
        <v>0.28066512115867109</v>
      </c>
      <c r="R12" s="2">
        <f t="shared" si="4"/>
        <v>0.27950892308785535</v>
      </c>
      <c r="S12">
        <f t="shared" si="5"/>
        <v>1.1141961284843438</v>
      </c>
      <c r="T12">
        <v>5.4386255380883792</v>
      </c>
    </row>
    <row r="13" spans="1:20" ht="13.9" x14ac:dyDescent="0.3">
      <c r="A13" s="16" t="s">
        <v>296</v>
      </c>
      <c r="B13" s="2">
        <v>731.25</v>
      </c>
      <c r="C13" s="2">
        <v>1529.48</v>
      </c>
      <c r="D13" s="2">
        <v>675.55</v>
      </c>
      <c r="E13" s="2">
        <v>459.46</v>
      </c>
      <c r="F13" s="2">
        <v>560.62</v>
      </c>
      <c r="G13" s="2">
        <v>377.1</v>
      </c>
      <c r="H13" s="2">
        <f t="shared" si="0"/>
        <v>1.0714716518753986</v>
      </c>
      <c r="I13" s="2">
        <f t="shared" si="1"/>
        <v>0.14180770459125874</v>
      </c>
      <c r="J13" s="2">
        <v>567.71</v>
      </c>
      <c r="K13" s="2">
        <v>931.93</v>
      </c>
      <c r="L13" s="2">
        <v>2455.89</v>
      </c>
      <c r="M13" s="2">
        <v>346.53</v>
      </c>
      <c r="N13" s="2">
        <v>490.52</v>
      </c>
      <c r="O13" s="2">
        <v>698.8</v>
      </c>
      <c r="P13" s="2">
        <f t="shared" si="2"/>
        <v>1.3648336928323177</v>
      </c>
      <c r="Q13" s="2">
        <f t="shared" si="3"/>
        <v>0.24159533499851471</v>
      </c>
      <c r="R13" s="2">
        <f t="shared" si="4"/>
        <v>0.29336204095691909</v>
      </c>
      <c r="S13">
        <f t="shared" si="5"/>
        <v>1.2737935627540373</v>
      </c>
      <c r="T13">
        <v>11.949655298486134</v>
      </c>
    </row>
    <row r="14" spans="1:20" ht="13.9" x14ac:dyDescent="0.3">
      <c r="A14" s="16" t="s">
        <v>901</v>
      </c>
      <c r="B14" s="2">
        <v>4.59</v>
      </c>
      <c r="C14" s="2">
        <v>0</v>
      </c>
      <c r="D14" s="2">
        <v>0</v>
      </c>
      <c r="E14" s="2">
        <v>2.77</v>
      </c>
      <c r="F14" s="2">
        <v>1.55</v>
      </c>
      <c r="G14" s="2">
        <v>0</v>
      </c>
      <c r="H14" s="2">
        <f t="shared" si="0"/>
        <v>8.7462841250339401E-2</v>
      </c>
      <c r="I14" s="2">
        <f t="shared" si="1"/>
        <v>0.96094223997988926</v>
      </c>
      <c r="J14" s="2">
        <v>0</v>
      </c>
      <c r="K14" s="2">
        <v>4.5999999999999996</v>
      </c>
      <c r="L14" s="2">
        <v>0</v>
      </c>
      <c r="M14" s="2">
        <v>1.44</v>
      </c>
      <c r="N14" s="2">
        <v>0</v>
      </c>
      <c r="O14" s="2">
        <v>2.0299999999999998</v>
      </c>
      <c r="P14" s="2">
        <f t="shared" si="2"/>
        <v>0.40669819836611426</v>
      </c>
      <c r="Q14" s="2">
        <f t="shared" si="3"/>
        <v>0.83038028086068039</v>
      </c>
      <c r="R14" s="2">
        <f t="shared" si="4"/>
        <v>0.31923535711577489</v>
      </c>
      <c r="S14">
        <f t="shared" si="5"/>
        <v>4.6499541125361743</v>
      </c>
      <c r="T14">
        <v>2.2016338611696504</v>
      </c>
    </row>
    <row r="15" spans="1:20" ht="13.9" x14ac:dyDescent="0.3">
      <c r="A15" s="16" t="s">
        <v>380</v>
      </c>
      <c r="B15" s="2">
        <v>241.74</v>
      </c>
      <c r="C15" s="2">
        <v>978.3</v>
      </c>
      <c r="D15" s="2">
        <v>71.83</v>
      </c>
      <c r="E15" s="2">
        <v>81.95</v>
      </c>
      <c r="F15" s="2">
        <v>133.61000000000001</v>
      </c>
      <c r="G15" s="2">
        <v>77.37</v>
      </c>
      <c r="H15" s="2">
        <f t="shared" si="0"/>
        <v>2.1408330425034539</v>
      </c>
      <c r="I15" s="2">
        <f t="shared" si="1"/>
        <v>0.29829829693674442</v>
      </c>
      <c r="J15" s="2">
        <v>227.62</v>
      </c>
      <c r="K15" s="2">
        <v>391.36</v>
      </c>
      <c r="L15" s="2">
        <v>1056.76</v>
      </c>
      <c r="M15" s="2">
        <v>56.38</v>
      </c>
      <c r="N15" s="2">
        <v>40.880000000000003</v>
      </c>
      <c r="O15" s="2">
        <v>193.95</v>
      </c>
      <c r="P15" s="2">
        <f t="shared" si="2"/>
        <v>2.5246665216716209</v>
      </c>
      <c r="Q15" s="2">
        <f t="shared" si="3"/>
        <v>0.14834906119181837</v>
      </c>
      <c r="R15" s="2">
        <f t="shared" si="4"/>
        <v>0.38383347916816701</v>
      </c>
      <c r="S15">
        <f t="shared" si="5"/>
        <v>1.1792916456106819</v>
      </c>
      <c r="T15">
        <v>10.710582609231235</v>
      </c>
    </row>
    <row r="16" spans="1:20" ht="13.9" x14ac:dyDescent="0.3">
      <c r="A16" s="16" t="s">
        <v>279</v>
      </c>
      <c r="B16" s="2">
        <v>133.72</v>
      </c>
      <c r="C16" s="2">
        <v>229.32</v>
      </c>
      <c r="D16" s="2">
        <v>261.92</v>
      </c>
      <c r="E16" s="2">
        <v>136.33000000000001</v>
      </c>
      <c r="F16" s="2">
        <v>133.84</v>
      </c>
      <c r="G16" s="2">
        <v>110.84</v>
      </c>
      <c r="H16" s="2">
        <f t="shared" si="0"/>
        <v>0.71393499110409375</v>
      </c>
      <c r="I16" s="2">
        <f t="shared" si="1"/>
        <v>0.10743353852565017</v>
      </c>
      <c r="J16" s="2">
        <v>125.4</v>
      </c>
      <c r="K16" s="2">
        <v>228.53</v>
      </c>
      <c r="L16" s="2">
        <v>382.08</v>
      </c>
      <c r="M16" s="2">
        <v>92.81</v>
      </c>
      <c r="N16" s="2">
        <v>122.63</v>
      </c>
      <c r="O16" s="2">
        <v>126.69</v>
      </c>
      <c r="P16" s="2">
        <f t="shared" si="2"/>
        <v>1.1051807542212533</v>
      </c>
      <c r="Q16" s="2">
        <f t="shared" si="3"/>
        <v>0.15631919622006016</v>
      </c>
      <c r="R16" s="2">
        <f t="shared" si="4"/>
        <v>0.39124576311715953</v>
      </c>
      <c r="S16">
        <f t="shared" si="5"/>
        <v>1.5480131496456024</v>
      </c>
      <c r="T16">
        <v>9.5235815577586447</v>
      </c>
    </row>
    <row r="17" spans="1:20" ht="13.9" x14ac:dyDescent="0.3">
      <c r="A17" s="16" t="s">
        <v>80</v>
      </c>
      <c r="B17" s="2">
        <v>50.08</v>
      </c>
      <c r="C17" s="2">
        <v>46.85</v>
      </c>
      <c r="D17" s="2">
        <v>29.3</v>
      </c>
      <c r="E17" s="2">
        <v>4.1500000000000004</v>
      </c>
      <c r="F17" s="2">
        <v>11.09</v>
      </c>
      <c r="G17" s="2">
        <v>2.61</v>
      </c>
      <c r="H17" s="2">
        <f t="shared" si="0"/>
        <v>2.8220588446438226</v>
      </c>
      <c r="I17" s="2">
        <f t="shared" si="1"/>
        <v>6.5682172845136092E-3</v>
      </c>
      <c r="J17" s="2">
        <v>48.87</v>
      </c>
      <c r="K17" s="2">
        <v>52.53</v>
      </c>
      <c r="L17" s="2">
        <v>88.99</v>
      </c>
      <c r="M17" s="2">
        <v>7.61</v>
      </c>
      <c r="N17" s="2">
        <v>0</v>
      </c>
      <c r="O17" s="2">
        <v>12.86</v>
      </c>
      <c r="P17" s="2">
        <f t="shared" si="2"/>
        <v>3.2173746973836539</v>
      </c>
      <c r="Q17" s="2">
        <f t="shared" si="3"/>
        <v>1.3201403217838312E-2</v>
      </c>
      <c r="R17" s="2">
        <f t="shared" si="4"/>
        <v>0.39531585273983127</v>
      </c>
      <c r="S17">
        <f t="shared" si="5"/>
        <v>1.1400806554725562</v>
      </c>
      <c r="T17">
        <v>7.5728138946323407</v>
      </c>
    </row>
    <row r="18" spans="1:20" ht="13.9" x14ac:dyDescent="0.3">
      <c r="A18" s="16" t="s">
        <v>355</v>
      </c>
      <c r="B18" s="2">
        <v>6.03</v>
      </c>
      <c r="C18" s="2">
        <v>0</v>
      </c>
      <c r="D18" s="2">
        <v>0</v>
      </c>
      <c r="E18" s="2">
        <v>1.64</v>
      </c>
      <c r="F18" s="2">
        <v>0.11</v>
      </c>
      <c r="G18" s="2">
        <v>1.36</v>
      </c>
      <c r="H18" s="2">
        <f t="shared" si="0"/>
        <v>0.95524342176948218</v>
      </c>
      <c r="I18" s="2">
        <f t="shared" si="1"/>
        <v>0.66184521303888411</v>
      </c>
      <c r="J18" s="2">
        <v>10.24</v>
      </c>
      <c r="K18" s="2">
        <v>0</v>
      </c>
      <c r="L18" s="2">
        <v>0</v>
      </c>
      <c r="M18" s="2">
        <v>1.54</v>
      </c>
      <c r="N18" s="2">
        <v>0</v>
      </c>
      <c r="O18" s="2">
        <v>2.44</v>
      </c>
      <c r="P18" s="2">
        <f t="shared" si="2"/>
        <v>1.3633753794563512</v>
      </c>
      <c r="Q18" s="2">
        <f t="shared" si="3"/>
        <v>0.58178903140539717</v>
      </c>
      <c r="R18" s="2">
        <f t="shared" si="4"/>
        <v>0.40813195768686905</v>
      </c>
      <c r="S18">
        <f t="shared" si="5"/>
        <v>1.4272544027896574</v>
      </c>
      <c r="T18">
        <v>3.3561438102252756</v>
      </c>
    </row>
    <row r="19" spans="1:20" ht="13.9" x14ac:dyDescent="0.3">
      <c r="A19" s="16" t="s">
        <v>765</v>
      </c>
      <c r="B19" s="2">
        <v>29.37</v>
      </c>
      <c r="C19" s="2">
        <v>13.01</v>
      </c>
      <c r="D19" s="2">
        <v>18.93</v>
      </c>
      <c r="E19" s="2">
        <v>2.14</v>
      </c>
      <c r="F19" s="2">
        <v>1.1100000000000001</v>
      </c>
      <c r="G19" s="2">
        <v>1.93</v>
      </c>
      <c r="H19" s="2">
        <f t="shared" si="0"/>
        <v>3.565098401622214</v>
      </c>
      <c r="I19" s="2">
        <f t="shared" si="1"/>
        <v>1.7484917737720897E-2</v>
      </c>
      <c r="J19" s="2">
        <v>8.98</v>
      </c>
      <c r="K19" s="2">
        <v>28.25</v>
      </c>
      <c r="L19" s="2">
        <v>11.56</v>
      </c>
      <c r="M19" s="2">
        <v>1.03</v>
      </c>
      <c r="N19" s="2">
        <v>0</v>
      </c>
      <c r="O19" s="2">
        <v>2.0299999999999998</v>
      </c>
      <c r="P19" s="2">
        <f t="shared" si="2"/>
        <v>3.9949819252333758</v>
      </c>
      <c r="Q19" s="2">
        <f t="shared" si="3"/>
        <v>6.5904700739158453E-2</v>
      </c>
      <c r="R19" s="2">
        <f t="shared" si="4"/>
        <v>0.42988352361116178</v>
      </c>
      <c r="S19">
        <f t="shared" si="5"/>
        <v>1.1205811103041514</v>
      </c>
      <c r="T19">
        <v>5.6085135781513022</v>
      </c>
    </row>
    <row r="20" spans="1:20" ht="13.9" x14ac:dyDescent="0.3">
      <c r="A20" s="16" t="s">
        <v>34</v>
      </c>
      <c r="B20" s="2">
        <v>15793.03</v>
      </c>
      <c r="C20" s="2">
        <v>31048.5</v>
      </c>
      <c r="D20" s="2">
        <v>33802.67</v>
      </c>
      <c r="E20" s="2">
        <v>23919.759999999998</v>
      </c>
      <c r="F20" s="2">
        <v>19157.759999999998</v>
      </c>
      <c r="G20" s="2">
        <v>24993.58</v>
      </c>
      <c r="H20" s="2">
        <f t="shared" si="0"/>
        <v>0.24452835399030939</v>
      </c>
      <c r="I20" s="2">
        <f t="shared" si="1"/>
        <v>0.51543329036163166</v>
      </c>
      <c r="J20" s="2">
        <v>20037.14</v>
      </c>
      <c r="K20" s="2">
        <v>29137.57</v>
      </c>
      <c r="L20" s="2">
        <v>30471.19</v>
      </c>
      <c r="M20" s="2">
        <v>19933.310000000001</v>
      </c>
      <c r="N20" s="2">
        <v>11363.64</v>
      </c>
      <c r="O20" s="2">
        <v>14278.52</v>
      </c>
      <c r="P20" s="2">
        <f t="shared" si="2"/>
        <v>0.80534256258999137</v>
      </c>
      <c r="Q20" s="2">
        <f t="shared" si="3"/>
        <v>5.1466965013160358E-2</v>
      </c>
      <c r="R20" s="2">
        <f t="shared" si="4"/>
        <v>0.56081420859968201</v>
      </c>
      <c r="S20">
        <f t="shared" si="5"/>
        <v>3.2934526792009851</v>
      </c>
      <c r="T20">
        <v>16.281312476367052</v>
      </c>
    </row>
    <row r="21" spans="1:20" ht="13.9" x14ac:dyDescent="0.3">
      <c r="A21" s="16" t="s">
        <v>88</v>
      </c>
      <c r="B21" s="2">
        <v>4.8499999999999996</v>
      </c>
      <c r="C21" s="2">
        <v>0</v>
      </c>
      <c r="D21" s="2">
        <v>8.82</v>
      </c>
      <c r="E21" s="2">
        <v>2.77</v>
      </c>
      <c r="F21" s="2">
        <v>2.5499999999999998</v>
      </c>
      <c r="G21" s="2">
        <v>1.02</v>
      </c>
      <c r="H21" s="2">
        <f t="shared" si="0"/>
        <v>1.1084584974666527</v>
      </c>
      <c r="I21" s="2">
        <f t="shared" si="1"/>
        <v>0.40204118748993639</v>
      </c>
      <c r="J21" s="2">
        <v>3.77</v>
      </c>
      <c r="K21" s="2">
        <v>7.95</v>
      </c>
      <c r="L21" s="2">
        <v>4.0199999999999996</v>
      </c>
      <c r="M21" s="2">
        <v>1.23</v>
      </c>
      <c r="N21" s="2">
        <v>0</v>
      </c>
      <c r="O21" s="2">
        <v>3.65</v>
      </c>
      <c r="P21" s="2">
        <f t="shared" si="2"/>
        <v>1.6894824879446002</v>
      </c>
      <c r="Q21" s="2">
        <f t="shared" si="3"/>
        <v>0.10407637598537672</v>
      </c>
      <c r="R21" s="2">
        <f t="shared" si="4"/>
        <v>0.58102399047794751</v>
      </c>
      <c r="S21">
        <f t="shared" si="5"/>
        <v>1.5241729769818715</v>
      </c>
      <c r="T21">
        <v>3.9763636357327616</v>
      </c>
    </row>
    <row r="22" spans="1:20" ht="13.9" x14ac:dyDescent="0.3">
      <c r="A22" s="16" t="s">
        <v>173</v>
      </c>
      <c r="B22" s="2">
        <v>195.6</v>
      </c>
      <c r="C22" s="2">
        <v>383.16</v>
      </c>
      <c r="D22" s="2">
        <v>278.77999999999997</v>
      </c>
      <c r="E22" s="2">
        <v>145.52000000000001</v>
      </c>
      <c r="F22" s="2">
        <v>141.82</v>
      </c>
      <c r="G22" s="2">
        <v>122.86</v>
      </c>
      <c r="H22" s="2">
        <f t="shared" si="0"/>
        <v>1.0638764756259622</v>
      </c>
      <c r="I22" s="2">
        <f t="shared" si="1"/>
        <v>5.2688702084236878E-2</v>
      </c>
      <c r="J22" s="2">
        <v>194.21</v>
      </c>
      <c r="K22" s="2">
        <v>306.18</v>
      </c>
      <c r="L22" s="2">
        <v>540.45000000000005</v>
      </c>
      <c r="M22" s="2">
        <v>104.02</v>
      </c>
      <c r="N22" s="2">
        <v>40.880000000000003</v>
      </c>
      <c r="O22" s="2">
        <v>187.73</v>
      </c>
      <c r="P22" s="2">
        <f t="shared" si="2"/>
        <v>1.645758115016672</v>
      </c>
      <c r="Q22" s="2">
        <f t="shared" si="3"/>
        <v>9.9533130060959374E-2</v>
      </c>
      <c r="R22" s="2">
        <f t="shared" si="4"/>
        <v>0.5818816393907098</v>
      </c>
      <c r="S22">
        <f t="shared" si="5"/>
        <v>1.5469447372152327</v>
      </c>
      <c r="T22">
        <v>10.023532596385344</v>
      </c>
    </row>
    <row r="23" spans="1:20" ht="13.9" x14ac:dyDescent="0.3">
      <c r="A23" s="16" t="s">
        <v>925</v>
      </c>
      <c r="B23" s="2">
        <v>82.33</v>
      </c>
      <c r="C23" s="2">
        <v>54.37</v>
      </c>
      <c r="D23" s="2">
        <v>105.29</v>
      </c>
      <c r="E23" s="2">
        <v>77.540000000000006</v>
      </c>
      <c r="F23" s="2">
        <v>76.180000000000007</v>
      </c>
      <c r="G23" s="2">
        <v>60.24</v>
      </c>
      <c r="H23" s="2">
        <f t="shared" si="0"/>
        <v>0.17760632197385146</v>
      </c>
      <c r="I23" s="2">
        <f t="shared" si="1"/>
        <v>0.58461704214038379</v>
      </c>
      <c r="J23" s="2">
        <v>84.08</v>
      </c>
      <c r="K23" s="2">
        <v>125.57</v>
      </c>
      <c r="L23" s="2">
        <v>225.23</v>
      </c>
      <c r="M23" s="2">
        <v>62.35</v>
      </c>
      <c r="N23" s="2">
        <v>81.75</v>
      </c>
      <c r="O23" s="2">
        <v>109.5</v>
      </c>
      <c r="P23" s="2">
        <f t="shared" si="2"/>
        <v>0.77806261574062185</v>
      </c>
      <c r="Q23" s="2">
        <f t="shared" si="3"/>
        <v>0.24215038720913507</v>
      </c>
      <c r="R23" s="2">
        <f t="shared" si="4"/>
        <v>0.60045629376677034</v>
      </c>
      <c r="S23">
        <f t="shared" si="5"/>
        <v>4.380827253745923</v>
      </c>
      <c r="T23">
        <v>8.7644735509926672</v>
      </c>
    </row>
    <row r="24" spans="1:20" ht="13.9" x14ac:dyDescent="0.3">
      <c r="A24" s="16" t="s">
        <v>156</v>
      </c>
      <c r="B24" s="2">
        <v>3179.48</v>
      </c>
      <c r="C24" s="2">
        <v>8459.41</v>
      </c>
      <c r="D24" s="2">
        <v>2419.5100000000002</v>
      </c>
      <c r="E24" s="2">
        <v>1159.3399999999999</v>
      </c>
      <c r="F24" s="2">
        <v>1439.81</v>
      </c>
      <c r="G24" s="2">
        <v>788.58</v>
      </c>
      <c r="H24" s="2">
        <f t="shared" si="0"/>
        <v>2.0530416067897694</v>
      </c>
      <c r="I24" s="2">
        <f t="shared" si="1"/>
        <v>0.13584532654305193</v>
      </c>
      <c r="J24" s="2">
        <v>3477.38</v>
      </c>
      <c r="K24" s="2">
        <v>4315.37</v>
      </c>
      <c r="L24" s="2">
        <v>12846.57</v>
      </c>
      <c r="M24" s="2">
        <v>596.86</v>
      </c>
      <c r="N24" s="2">
        <v>981.03</v>
      </c>
      <c r="O24" s="2">
        <v>1669.65</v>
      </c>
      <c r="P24" s="2">
        <f t="shared" si="2"/>
        <v>2.6679762387354313</v>
      </c>
      <c r="Q24" s="2">
        <f t="shared" si="3"/>
        <v>0.12635802904097465</v>
      </c>
      <c r="R24" s="2">
        <f t="shared" si="4"/>
        <v>0.61493463194566189</v>
      </c>
      <c r="S24">
        <f t="shared" si="5"/>
        <v>1.2995237066370038</v>
      </c>
      <c r="T24">
        <v>14.333107818877062</v>
      </c>
    </row>
    <row r="25" spans="1:20" ht="13.9" x14ac:dyDescent="0.3">
      <c r="A25" s="16" t="s">
        <v>417</v>
      </c>
      <c r="B25" s="2">
        <v>52.7</v>
      </c>
      <c r="C25" s="2">
        <v>34.99</v>
      </c>
      <c r="D25" s="2">
        <v>82.73</v>
      </c>
      <c r="E25" s="2">
        <v>46.32</v>
      </c>
      <c r="F25" s="2">
        <v>14.41</v>
      </c>
      <c r="G25" s="2">
        <v>26.09</v>
      </c>
      <c r="H25" s="2">
        <f t="shared" si="0"/>
        <v>0.97299532832772728</v>
      </c>
      <c r="I25" s="2">
        <f t="shared" si="1"/>
        <v>0.17178580199589713</v>
      </c>
      <c r="J25" s="2">
        <v>35.93</v>
      </c>
      <c r="K25" s="2">
        <v>36.409999999999997</v>
      </c>
      <c r="L25" s="2">
        <v>69.88</v>
      </c>
      <c r="M25" s="2">
        <v>24.9</v>
      </c>
      <c r="N25" s="2">
        <v>0</v>
      </c>
      <c r="O25" s="2">
        <v>20.440000000000001</v>
      </c>
      <c r="P25" s="2">
        <f t="shared" si="2"/>
        <v>1.6492680651928628</v>
      </c>
      <c r="Q25" s="2">
        <f t="shared" si="3"/>
        <v>7.6488788007032141E-2</v>
      </c>
      <c r="R25" s="2">
        <f t="shared" si="4"/>
        <v>0.67627273686513556</v>
      </c>
      <c r="S25">
        <f t="shared" si="5"/>
        <v>1.6950421211450579</v>
      </c>
      <c r="T25">
        <v>7.1519805511589247</v>
      </c>
    </row>
    <row r="26" spans="1:20" ht="13.9" x14ac:dyDescent="0.3">
      <c r="A26" s="16" t="s">
        <v>367</v>
      </c>
      <c r="B26" s="2">
        <v>2.88</v>
      </c>
      <c r="C26" s="2">
        <v>12.15</v>
      </c>
      <c r="D26" s="2">
        <v>1.82</v>
      </c>
      <c r="E26" s="2">
        <v>3.27</v>
      </c>
      <c r="F26" s="2">
        <v>4.32</v>
      </c>
      <c r="G26" s="2">
        <v>4.2</v>
      </c>
      <c r="H26" s="2">
        <f t="shared" si="0"/>
        <v>0.51518487308945837</v>
      </c>
      <c r="I26" s="2">
        <f t="shared" si="1"/>
        <v>0.63596415847709675</v>
      </c>
      <c r="J26" s="2">
        <v>0</v>
      </c>
      <c r="K26" s="2">
        <v>7.74</v>
      </c>
      <c r="L26" s="2">
        <v>13.07</v>
      </c>
      <c r="M26" s="2">
        <v>2.57</v>
      </c>
      <c r="N26" s="2">
        <v>0</v>
      </c>
      <c r="O26" s="2">
        <v>6.36</v>
      </c>
      <c r="P26" s="2">
        <f t="shared" si="2"/>
        <v>1.2205448846141118</v>
      </c>
      <c r="Q26" s="2">
        <f t="shared" si="3"/>
        <v>0.40117924157544738</v>
      </c>
      <c r="R26" s="2">
        <f t="shared" si="4"/>
        <v>0.70536001152465344</v>
      </c>
      <c r="S26">
        <f t="shared" si="5"/>
        <v>2.3691396008868693</v>
      </c>
      <c r="T26">
        <v>4.3792050599606105</v>
      </c>
    </row>
    <row r="27" spans="1:20" ht="13.9" x14ac:dyDescent="0.3">
      <c r="A27" s="16" t="s">
        <v>908</v>
      </c>
      <c r="B27" s="2">
        <v>0.13</v>
      </c>
      <c r="C27" s="2">
        <v>0</v>
      </c>
      <c r="D27" s="2">
        <v>16.079999999999998</v>
      </c>
      <c r="E27" s="2">
        <v>1.26</v>
      </c>
      <c r="F27" s="2">
        <v>0</v>
      </c>
      <c r="G27" s="2">
        <v>0.56999999999999995</v>
      </c>
      <c r="H27" s="2">
        <f t="shared" si="0"/>
        <v>3.1469685372334988</v>
      </c>
      <c r="I27" s="2">
        <f t="shared" si="1"/>
        <v>0.42099458977280946</v>
      </c>
      <c r="J27" s="2">
        <v>4.8499999999999996</v>
      </c>
      <c r="K27" s="2">
        <v>0.21</v>
      </c>
      <c r="L27" s="2">
        <v>23.63</v>
      </c>
      <c r="M27" s="2">
        <v>1.1299999999999999</v>
      </c>
      <c r="N27" s="2">
        <v>0</v>
      </c>
      <c r="O27" s="2">
        <v>0.81</v>
      </c>
      <c r="P27" s="2">
        <f t="shared" si="2"/>
        <v>3.8864194105815368</v>
      </c>
      <c r="Q27" s="2">
        <f t="shared" si="3"/>
        <v>0.28141362252671959</v>
      </c>
      <c r="R27" s="2">
        <f t="shared" si="4"/>
        <v>0.73945087334803805</v>
      </c>
      <c r="S27">
        <f t="shared" si="5"/>
        <v>1.2349724392218073</v>
      </c>
      <c r="T27">
        <v>4.8424760629939394</v>
      </c>
    </row>
    <row r="28" spans="1:20" ht="13.9" x14ac:dyDescent="0.3">
      <c r="A28" s="16" t="s">
        <v>226</v>
      </c>
      <c r="B28" s="2">
        <v>74.2</v>
      </c>
      <c r="C28" s="2">
        <v>154.71</v>
      </c>
      <c r="D28" s="2">
        <v>136.41</v>
      </c>
      <c r="E28" s="2">
        <v>50.23</v>
      </c>
      <c r="F28" s="2">
        <v>46.35</v>
      </c>
      <c r="G28" s="2">
        <v>64.67</v>
      </c>
      <c r="H28" s="2">
        <f t="shared" si="0"/>
        <v>1.1798615778642259</v>
      </c>
      <c r="I28" s="2">
        <f t="shared" si="1"/>
        <v>5.2909551889095081E-2</v>
      </c>
      <c r="J28" s="2">
        <v>82.64</v>
      </c>
      <c r="K28" s="2">
        <v>139.80000000000001</v>
      </c>
      <c r="L28" s="2">
        <v>158.36000000000001</v>
      </c>
      <c r="M28" s="2">
        <v>47.53</v>
      </c>
      <c r="N28" s="2">
        <v>0</v>
      </c>
      <c r="O28" s="2">
        <v>49.67</v>
      </c>
      <c r="P28" s="2">
        <f t="shared" si="2"/>
        <v>1.9700052597021627</v>
      </c>
      <c r="Q28" s="2">
        <f t="shared" si="3"/>
        <v>2.777263054979728E-2</v>
      </c>
      <c r="R28" s="2">
        <f t="shared" si="4"/>
        <v>0.79014368183793682</v>
      </c>
      <c r="S28">
        <f t="shared" si="5"/>
        <v>1.6696918491644142</v>
      </c>
      <c r="T28">
        <v>8.5728896684205829</v>
      </c>
    </row>
    <row r="29" spans="1:20" ht="13.9" x14ac:dyDescent="0.3">
      <c r="A29" s="16" t="s">
        <v>472</v>
      </c>
      <c r="B29" s="2">
        <v>11.14</v>
      </c>
      <c r="C29" s="2">
        <v>36.15</v>
      </c>
      <c r="D29" s="2">
        <v>4.93</v>
      </c>
      <c r="E29" s="2">
        <v>1.01</v>
      </c>
      <c r="F29" s="2">
        <v>0.55000000000000004</v>
      </c>
      <c r="G29" s="2">
        <v>3.52</v>
      </c>
      <c r="H29" s="2">
        <f t="shared" si="0"/>
        <v>3.3617020555406762</v>
      </c>
      <c r="I29" s="2">
        <f t="shared" si="1"/>
        <v>0.1765195672763242</v>
      </c>
      <c r="J29" s="2">
        <v>8.44</v>
      </c>
      <c r="K29" s="2">
        <v>20.09</v>
      </c>
      <c r="L29" s="2">
        <v>14.58</v>
      </c>
      <c r="M29" s="2">
        <v>1.95</v>
      </c>
      <c r="N29" s="2">
        <v>0</v>
      </c>
      <c r="O29" s="2">
        <v>0.27</v>
      </c>
      <c r="P29" s="2">
        <f t="shared" si="2"/>
        <v>4.2793909808283868</v>
      </c>
      <c r="Q29" s="2">
        <f t="shared" si="3"/>
        <v>1.6320565669332394E-2</v>
      </c>
      <c r="R29" s="2">
        <f t="shared" si="4"/>
        <v>0.91768892528771051</v>
      </c>
      <c r="S29">
        <f t="shared" si="5"/>
        <v>1.2729834203406569</v>
      </c>
      <c r="T29">
        <v>5.4299506574037677</v>
      </c>
    </row>
    <row r="30" spans="1:20" ht="13.9" x14ac:dyDescent="0.3">
      <c r="A30" s="16" t="s">
        <v>234</v>
      </c>
      <c r="B30" s="2">
        <v>4.9800000000000004</v>
      </c>
      <c r="C30" s="2">
        <v>16.48</v>
      </c>
      <c r="D30" s="2">
        <v>9.85</v>
      </c>
      <c r="E30" s="2">
        <v>12.71</v>
      </c>
      <c r="F30" s="2">
        <v>6.32</v>
      </c>
      <c r="G30" s="2">
        <v>4.88</v>
      </c>
      <c r="H30" s="2">
        <f t="shared" si="0"/>
        <v>0.38900937842704214</v>
      </c>
      <c r="I30" s="2">
        <f t="shared" si="1"/>
        <v>0.58079117019477577</v>
      </c>
      <c r="J30" s="2">
        <v>0</v>
      </c>
      <c r="K30" s="2">
        <v>35.159999999999997</v>
      </c>
      <c r="L30" s="2">
        <v>20.11</v>
      </c>
      <c r="M30" s="2">
        <v>11.83</v>
      </c>
      <c r="N30" s="2">
        <v>0</v>
      </c>
      <c r="O30" s="2">
        <v>9.4700000000000006</v>
      </c>
      <c r="P30" s="2">
        <f t="shared" si="2"/>
        <v>1.3756431821009603</v>
      </c>
      <c r="Q30" s="2">
        <f t="shared" si="3"/>
        <v>0.35388545065804283</v>
      </c>
      <c r="R30" s="2">
        <f t="shared" si="4"/>
        <v>0.98663380367391817</v>
      </c>
      <c r="S30">
        <f t="shared" si="5"/>
        <v>3.5362725383726428</v>
      </c>
      <c r="T30">
        <v>5.7884247074394359</v>
      </c>
    </row>
    <row r="31" spans="1:20" ht="13.9" x14ac:dyDescent="0.3">
      <c r="A31" s="16" t="s">
        <v>776</v>
      </c>
      <c r="B31" s="2">
        <v>26.74</v>
      </c>
      <c r="C31" s="2">
        <v>14.75</v>
      </c>
      <c r="D31" s="2">
        <v>0</v>
      </c>
      <c r="E31" s="2">
        <v>2.27</v>
      </c>
      <c r="F31" s="2">
        <v>12.64</v>
      </c>
      <c r="G31" s="2">
        <v>3.52</v>
      </c>
      <c r="H31" s="2">
        <f t="shared" si="0"/>
        <v>1.1707075862409371</v>
      </c>
      <c r="I31" s="2">
        <f t="shared" si="1"/>
        <v>0.41167869936054463</v>
      </c>
      <c r="J31" s="2">
        <v>8.98</v>
      </c>
      <c r="K31" s="2">
        <v>27.42</v>
      </c>
      <c r="L31" s="2">
        <v>53.29</v>
      </c>
      <c r="M31" s="2">
        <v>4.42</v>
      </c>
      <c r="N31" s="2">
        <v>0</v>
      </c>
      <c r="O31" s="2">
        <v>14.62</v>
      </c>
      <c r="P31" s="2">
        <f t="shared" si="2"/>
        <v>2.2359136619652742</v>
      </c>
      <c r="Q31" s="2">
        <f t="shared" si="3"/>
        <v>0.15745216759394998</v>
      </c>
      <c r="R31" s="2">
        <f t="shared" si="4"/>
        <v>1.0652060757243371</v>
      </c>
      <c r="S31">
        <f t="shared" si="5"/>
        <v>1.9098822697003628</v>
      </c>
      <c r="T31">
        <v>6.4868752354984922</v>
      </c>
    </row>
    <row r="32" spans="1:20" ht="13.9" x14ac:dyDescent="0.3">
      <c r="A32" s="16" t="s">
        <v>339</v>
      </c>
      <c r="B32" s="2">
        <v>10.09</v>
      </c>
      <c r="C32" s="2">
        <v>0</v>
      </c>
      <c r="D32" s="2">
        <v>0</v>
      </c>
      <c r="E32" s="2">
        <v>3.02</v>
      </c>
      <c r="F32" s="2">
        <v>1.89</v>
      </c>
      <c r="G32" s="2">
        <v>1.82</v>
      </c>
      <c r="H32" s="2">
        <f t="shared" si="0"/>
        <v>0.58424776449603999</v>
      </c>
      <c r="I32" s="2">
        <f t="shared" si="1"/>
        <v>0.75739869366381773</v>
      </c>
      <c r="J32" s="2">
        <v>23.18</v>
      </c>
      <c r="K32" s="2">
        <v>0</v>
      </c>
      <c r="L32" s="2">
        <v>15.08</v>
      </c>
      <c r="M32" s="2">
        <v>5.86</v>
      </c>
      <c r="N32" s="2">
        <v>0</v>
      </c>
      <c r="O32" s="2">
        <v>5.96</v>
      </c>
      <c r="P32" s="2">
        <f t="shared" si="2"/>
        <v>1.6946068381685799</v>
      </c>
      <c r="Q32" s="2">
        <f t="shared" si="3"/>
        <v>0.28067386011978523</v>
      </c>
      <c r="R32" s="2">
        <f t="shared" si="4"/>
        <v>1.1103590736725399</v>
      </c>
      <c r="S32">
        <f t="shared" si="5"/>
        <v>2.9004934911994273</v>
      </c>
      <c r="T32">
        <v>5.2577649685713874</v>
      </c>
    </row>
    <row r="33" spans="1:20" ht="13.9" x14ac:dyDescent="0.3">
      <c r="A33" s="16" t="s">
        <v>464</v>
      </c>
      <c r="B33" s="2">
        <v>0</v>
      </c>
      <c r="C33" s="2">
        <v>0.28999999999999998</v>
      </c>
      <c r="D33" s="2">
        <v>0</v>
      </c>
      <c r="E33" s="2">
        <v>0.13</v>
      </c>
      <c r="F33" s="2">
        <v>0</v>
      </c>
      <c r="G33" s="2">
        <v>0</v>
      </c>
      <c r="H33" s="2">
        <f t="shared" si="0"/>
        <v>1.1575412769864797</v>
      </c>
      <c r="I33" s="2">
        <f t="shared" si="1"/>
        <v>0.64110641558133286</v>
      </c>
      <c r="J33" s="2">
        <v>0.18</v>
      </c>
      <c r="K33" s="2">
        <v>0</v>
      </c>
      <c r="L33" s="2">
        <v>0.5</v>
      </c>
      <c r="M33" s="2">
        <v>0</v>
      </c>
      <c r="N33" s="2">
        <v>0</v>
      </c>
      <c r="O33" s="2">
        <v>0.14000000000000001</v>
      </c>
      <c r="P33" s="2">
        <f t="shared" si="2"/>
        <v>2.2801079191927349</v>
      </c>
      <c r="Q33" s="2">
        <f t="shared" si="3"/>
        <v>0.30594999652180999</v>
      </c>
      <c r="R33" s="2">
        <f t="shared" si="4"/>
        <v>1.1225666422062552</v>
      </c>
      <c r="S33">
        <f t="shared" si="5"/>
        <v>1.9697854102695356</v>
      </c>
      <c r="T33">
        <v>-0.55639334852438549</v>
      </c>
    </row>
    <row r="34" spans="1:20" ht="13.9" x14ac:dyDescent="0.3">
      <c r="A34" s="16" t="s">
        <v>457</v>
      </c>
      <c r="B34" s="2">
        <v>0</v>
      </c>
      <c r="C34" s="2">
        <v>34.119999999999997</v>
      </c>
      <c r="D34" s="2">
        <v>40.200000000000003</v>
      </c>
      <c r="E34" s="2">
        <v>3.4</v>
      </c>
      <c r="F34" s="2">
        <v>6.99</v>
      </c>
      <c r="G34" s="2">
        <v>3.06</v>
      </c>
      <c r="H34" s="2">
        <f t="shared" ref="H34:H65" si="6">LOG(SUM(B34:D34)/SUM(E34:G34),2)</f>
        <v>2.4661443289386664</v>
      </c>
      <c r="I34" s="2">
        <f t="shared" ref="I34:I55" si="7">_xlfn.T.TEST(B34:D34,E34:G34,2,2)</f>
        <v>0.18188577486415103</v>
      </c>
      <c r="J34" s="2">
        <v>1.98</v>
      </c>
      <c r="K34" s="2">
        <v>4.3899999999999997</v>
      </c>
      <c r="L34" s="2">
        <v>56.81</v>
      </c>
      <c r="M34" s="2">
        <v>2.57</v>
      </c>
      <c r="N34" s="2">
        <v>0</v>
      </c>
      <c r="O34" s="2">
        <v>2.57</v>
      </c>
      <c r="P34" s="2">
        <f t="shared" ref="P34:P65" si="8">LOG(SUM(J34:L34)/SUM(M34:O34),2)</f>
        <v>3.619627672552995</v>
      </c>
      <c r="Q34" s="2">
        <f t="shared" ref="Q34:Q55" si="9">_xlfn.T.TEST(J34:L34,M34:O34,2,2)</f>
        <v>0.34080454920591313</v>
      </c>
      <c r="R34" s="2">
        <f t="shared" ref="R34:R55" si="10">P34-H34</f>
        <v>1.1534833436143286</v>
      </c>
      <c r="S34">
        <f t="shared" ref="S34:S55" si="11">P34/H34</f>
        <v>1.4677274278228247</v>
      </c>
      <c r="T34">
        <v>5.9813960319721486</v>
      </c>
    </row>
    <row r="35" spans="1:20" ht="13.9" x14ac:dyDescent="0.3">
      <c r="A35" s="16" t="s">
        <v>441</v>
      </c>
      <c r="B35" s="2">
        <v>0</v>
      </c>
      <c r="C35" s="2">
        <v>0</v>
      </c>
      <c r="D35" s="2">
        <v>6.48</v>
      </c>
      <c r="E35" s="2">
        <v>0</v>
      </c>
      <c r="F35" s="2">
        <v>3.1</v>
      </c>
      <c r="G35" s="2">
        <v>0.91</v>
      </c>
      <c r="H35" s="2">
        <f t="shared" si="6"/>
        <v>0.69239157642970461</v>
      </c>
      <c r="I35" s="2">
        <f t="shared" si="7"/>
        <v>0.74351085865579347</v>
      </c>
      <c r="J35" s="2">
        <v>0</v>
      </c>
      <c r="K35" s="2">
        <v>10.46</v>
      </c>
      <c r="L35" s="2">
        <v>1.01</v>
      </c>
      <c r="M35" s="2">
        <v>1.95</v>
      </c>
      <c r="N35" s="2">
        <v>0</v>
      </c>
      <c r="O35" s="2">
        <v>1.22</v>
      </c>
      <c r="P35" s="2">
        <f t="shared" si="8"/>
        <v>1.8553106458764179</v>
      </c>
      <c r="Q35" s="2">
        <f t="shared" si="9"/>
        <v>0.45892670773721561</v>
      </c>
      <c r="R35" s="2">
        <f t="shared" si="10"/>
        <v>1.1629190694467133</v>
      </c>
      <c r="S35">
        <f t="shared" si="11"/>
        <v>2.6795684826832655</v>
      </c>
      <c r="T35">
        <v>3.5197934862411002</v>
      </c>
    </row>
    <row r="36" spans="1:20" ht="13.9" x14ac:dyDescent="0.3">
      <c r="A36" s="16" t="s">
        <v>36</v>
      </c>
      <c r="B36" s="2">
        <v>3.67</v>
      </c>
      <c r="C36" s="2">
        <v>0</v>
      </c>
      <c r="D36" s="2">
        <v>0</v>
      </c>
      <c r="E36" s="2">
        <v>0.63</v>
      </c>
      <c r="F36" s="2">
        <v>0.67</v>
      </c>
      <c r="G36" s="2">
        <v>1.1299999999999999</v>
      </c>
      <c r="H36" s="2">
        <f t="shared" si="6"/>
        <v>0.59482374923743198</v>
      </c>
      <c r="I36" s="2">
        <f t="shared" si="7"/>
        <v>0.7544515966329739</v>
      </c>
      <c r="J36" s="2">
        <v>0</v>
      </c>
      <c r="K36" s="2">
        <v>2.2999999999999998</v>
      </c>
      <c r="L36" s="2">
        <v>0</v>
      </c>
      <c r="M36" s="2">
        <v>0.41</v>
      </c>
      <c r="N36" s="2">
        <v>0</v>
      </c>
      <c r="O36" s="2">
        <v>0.27</v>
      </c>
      <c r="P36" s="2">
        <f t="shared" si="8"/>
        <v>1.7580272096940357</v>
      </c>
      <c r="Q36" s="2">
        <f t="shared" si="9"/>
        <v>0.52484656742480496</v>
      </c>
      <c r="R36" s="2">
        <f t="shared" si="10"/>
        <v>1.1632034604566037</v>
      </c>
      <c r="S36">
        <f t="shared" si="11"/>
        <v>2.9555430696031193</v>
      </c>
      <c r="T36">
        <v>1.2016338611696504</v>
      </c>
    </row>
    <row r="37" spans="1:20" ht="13.9" x14ac:dyDescent="0.3">
      <c r="A37" s="16" t="s">
        <v>628</v>
      </c>
      <c r="B37" s="2">
        <v>5.64</v>
      </c>
      <c r="C37" s="2">
        <v>0</v>
      </c>
      <c r="D37" s="2">
        <v>0</v>
      </c>
      <c r="E37" s="2">
        <v>0.5</v>
      </c>
      <c r="F37" s="2">
        <v>0.78</v>
      </c>
      <c r="G37" s="2">
        <v>1.02</v>
      </c>
      <c r="H37" s="2">
        <f t="shared" si="6"/>
        <v>1.2940613014544184</v>
      </c>
      <c r="I37" s="2">
        <f t="shared" si="7"/>
        <v>0.58671586200790871</v>
      </c>
      <c r="J37" s="2">
        <v>0</v>
      </c>
      <c r="K37" s="2">
        <v>0</v>
      </c>
      <c r="L37" s="2">
        <v>20.61</v>
      </c>
      <c r="M37" s="2">
        <v>1.75</v>
      </c>
      <c r="N37" s="2">
        <v>0</v>
      </c>
      <c r="O37" s="2">
        <v>1.76</v>
      </c>
      <c r="P37" s="2">
        <f t="shared" si="8"/>
        <v>2.5538015692346958</v>
      </c>
      <c r="Q37" s="2">
        <f t="shared" si="9"/>
        <v>0.45486751291604094</v>
      </c>
      <c r="R37" s="2">
        <f t="shared" si="10"/>
        <v>1.2597402677802774</v>
      </c>
      <c r="S37">
        <f t="shared" si="11"/>
        <v>1.9734780464916406</v>
      </c>
      <c r="T37">
        <v>4.3652725997645314</v>
      </c>
    </row>
    <row r="38" spans="1:20" ht="13.9" x14ac:dyDescent="0.3">
      <c r="A38" s="16" t="s">
        <v>282</v>
      </c>
      <c r="B38" s="2">
        <v>23.6</v>
      </c>
      <c r="C38" s="2">
        <v>45.4</v>
      </c>
      <c r="D38" s="2">
        <v>32.159999999999997</v>
      </c>
      <c r="E38" s="2">
        <v>24.8</v>
      </c>
      <c r="F38" s="2">
        <v>21.95</v>
      </c>
      <c r="G38" s="2">
        <v>14.07</v>
      </c>
      <c r="H38" s="2">
        <f t="shared" si="6"/>
        <v>0.73402122063244069</v>
      </c>
      <c r="I38" s="2">
        <f t="shared" si="7"/>
        <v>0.13144050647057537</v>
      </c>
      <c r="J38" s="2">
        <v>24.79</v>
      </c>
      <c r="K38" s="2">
        <v>39.340000000000003</v>
      </c>
      <c r="L38" s="2">
        <v>156.86000000000001</v>
      </c>
      <c r="M38" s="2">
        <v>20.48</v>
      </c>
      <c r="N38" s="2">
        <v>0</v>
      </c>
      <c r="O38" s="2">
        <v>31.27</v>
      </c>
      <c r="P38" s="2">
        <f t="shared" si="8"/>
        <v>2.0943503200965394</v>
      </c>
      <c r="Q38" s="2">
        <f t="shared" si="9"/>
        <v>0.25792879310517408</v>
      </c>
      <c r="R38" s="2">
        <f t="shared" si="10"/>
        <v>1.3603290994640989</v>
      </c>
      <c r="S38">
        <f t="shared" si="11"/>
        <v>2.8532558204407557</v>
      </c>
      <c r="T38">
        <v>7.7878372775958651</v>
      </c>
    </row>
    <row r="39" spans="1:20" ht="13.9" x14ac:dyDescent="0.3">
      <c r="A39" s="16" t="s">
        <v>782</v>
      </c>
      <c r="B39" s="2">
        <v>7.47</v>
      </c>
      <c r="C39" s="2">
        <v>0</v>
      </c>
      <c r="D39" s="2">
        <v>11.67</v>
      </c>
      <c r="E39" s="2">
        <v>1.26</v>
      </c>
      <c r="F39" s="2">
        <v>1.1100000000000001</v>
      </c>
      <c r="G39" s="2">
        <v>0</v>
      </c>
      <c r="H39" s="2">
        <f t="shared" si="6"/>
        <v>3.0136318655877665</v>
      </c>
      <c r="I39" s="2">
        <f t="shared" si="7"/>
        <v>0.17905821504412833</v>
      </c>
      <c r="J39" s="2">
        <v>2.87</v>
      </c>
      <c r="K39" s="2">
        <v>13.81</v>
      </c>
      <c r="L39" s="2">
        <v>6.03</v>
      </c>
      <c r="M39" s="2">
        <v>0.41</v>
      </c>
      <c r="N39" s="2">
        <v>0</v>
      </c>
      <c r="O39" s="2">
        <v>0.54</v>
      </c>
      <c r="P39" s="2">
        <f t="shared" si="8"/>
        <v>4.5792563823759407</v>
      </c>
      <c r="Q39" s="2">
        <f t="shared" si="9"/>
        <v>8.9752503308364207E-2</v>
      </c>
      <c r="R39" s="2">
        <f t="shared" si="10"/>
        <v>1.5656245167881742</v>
      </c>
      <c r="S39">
        <f t="shared" si="11"/>
        <v>1.5195141897276232</v>
      </c>
      <c r="T39">
        <v>4.5052558009321633</v>
      </c>
    </row>
    <row r="40" spans="1:20" ht="13.9" x14ac:dyDescent="0.3">
      <c r="A40" s="16" t="s">
        <v>142</v>
      </c>
      <c r="B40" s="2">
        <v>31.07</v>
      </c>
      <c r="C40" s="2">
        <v>32.68</v>
      </c>
      <c r="D40" s="2">
        <v>19.190000000000001</v>
      </c>
      <c r="E40" s="2">
        <v>7.43</v>
      </c>
      <c r="F40" s="2">
        <v>2.33</v>
      </c>
      <c r="G40" s="2">
        <v>6.47</v>
      </c>
      <c r="H40" s="2">
        <f t="shared" si="6"/>
        <v>2.3534050473579899</v>
      </c>
      <c r="I40" s="2">
        <f t="shared" si="7"/>
        <v>8.0088845136886619E-3</v>
      </c>
      <c r="J40" s="2">
        <v>20.3</v>
      </c>
      <c r="K40" s="2">
        <v>31.39</v>
      </c>
      <c r="L40" s="2">
        <v>10.56</v>
      </c>
      <c r="M40" s="2">
        <v>3.4</v>
      </c>
      <c r="N40" s="2">
        <v>0</v>
      </c>
      <c r="O40" s="2">
        <v>0.68</v>
      </c>
      <c r="P40" s="2">
        <f t="shared" si="8"/>
        <v>3.9314327798713098</v>
      </c>
      <c r="Q40" s="2">
        <f t="shared" si="9"/>
        <v>3.3682949519537216E-2</v>
      </c>
      <c r="R40" s="2">
        <f t="shared" si="10"/>
        <v>1.5780277325133198</v>
      </c>
      <c r="S40">
        <f t="shared" si="11"/>
        <v>1.6705295946759635</v>
      </c>
      <c r="T40">
        <v>5.9600019320680806</v>
      </c>
    </row>
    <row r="41" spans="1:20" ht="13.9" x14ac:dyDescent="0.3">
      <c r="A41" s="16" t="s">
        <v>48</v>
      </c>
      <c r="B41" s="2">
        <v>12.06</v>
      </c>
      <c r="C41" s="2">
        <v>17.059999999999999</v>
      </c>
      <c r="D41" s="2">
        <v>18.149999999999999</v>
      </c>
      <c r="E41" s="2">
        <v>9.94</v>
      </c>
      <c r="F41" s="2">
        <v>11.98</v>
      </c>
      <c r="G41" s="2">
        <v>7.26</v>
      </c>
      <c r="H41" s="2">
        <f t="shared" si="6"/>
        <v>0.69594498144075878</v>
      </c>
      <c r="I41" s="2">
        <f t="shared" si="7"/>
        <v>6.0115706372218067E-2</v>
      </c>
      <c r="J41" s="2">
        <v>17.25</v>
      </c>
      <c r="K41" s="2">
        <v>30.56</v>
      </c>
      <c r="L41" s="2">
        <v>56.81</v>
      </c>
      <c r="M41" s="2">
        <v>8.23</v>
      </c>
      <c r="N41" s="2">
        <v>0</v>
      </c>
      <c r="O41" s="2">
        <v>9.8800000000000008</v>
      </c>
      <c r="P41" s="2">
        <f t="shared" si="8"/>
        <v>2.5303002237278287</v>
      </c>
      <c r="Q41" s="2">
        <f t="shared" si="9"/>
        <v>7.4381569235697123E-2</v>
      </c>
      <c r="R41" s="2">
        <f t="shared" si="10"/>
        <v>1.8343552422870699</v>
      </c>
      <c r="S41">
        <f t="shared" si="11"/>
        <v>3.635776234048778</v>
      </c>
      <c r="T41">
        <v>6.7090148649032724</v>
      </c>
    </row>
    <row r="42" spans="1:20" ht="13.9" x14ac:dyDescent="0.3">
      <c r="A42" s="16" t="s">
        <v>374</v>
      </c>
      <c r="B42" s="2">
        <v>0</v>
      </c>
      <c r="C42" s="2">
        <v>0</v>
      </c>
      <c r="D42" s="2">
        <v>23.6</v>
      </c>
      <c r="E42" s="2">
        <v>4.03</v>
      </c>
      <c r="F42" s="2">
        <v>1.66</v>
      </c>
      <c r="G42" s="2">
        <v>4.42</v>
      </c>
      <c r="H42" s="2">
        <f t="shared" si="6"/>
        <v>1.2230038623461892</v>
      </c>
      <c r="I42" s="2">
        <f t="shared" si="7"/>
        <v>0.60027355737712229</v>
      </c>
      <c r="J42" s="2">
        <v>11.14</v>
      </c>
      <c r="K42" s="2">
        <v>23.23</v>
      </c>
      <c r="L42" s="2">
        <v>5.03</v>
      </c>
      <c r="M42" s="2">
        <v>2.16</v>
      </c>
      <c r="N42" s="2">
        <v>0</v>
      </c>
      <c r="O42" s="2">
        <v>2.2999999999999998</v>
      </c>
      <c r="P42" s="2">
        <f t="shared" si="8"/>
        <v>3.1430800144234343</v>
      </c>
      <c r="Q42" s="2">
        <f t="shared" si="9"/>
        <v>9.720143008466231E-2</v>
      </c>
      <c r="R42" s="2">
        <f t="shared" si="10"/>
        <v>1.9200761520772451</v>
      </c>
      <c r="S42">
        <f t="shared" si="11"/>
        <v>2.5699673657561513</v>
      </c>
      <c r="T42">
        <v>5.3001237245690147</v>
      </c>
    </row>
    <row r="43" spans="1:20" ht="13.9" x14ac:dyDescent="0.3">
      <c r="A43" s="16" t="s">
        <v>588</v>
      </c>
      <c r="B43" s="2">
        <v>5.77</v>
      </c>
      <c r="C43" s="2">
        <v>0</v>
      </c>
      <c r="D43" s="2">
        <v>0</v>
      </c>
      <c r="E43" s="2">
        <v>0</v>
      </c>
      <c r="F43" s="2">
        <v>1</v>
      </c>
      <c r="G43" s="2">
        <v>3.18</v>
      </c>
      <c r="H43" s="2">
        <f t="shared" si="6"/>
        <v>0.46506837656459965</v>
      </c>
      <c r="I43" s="2">
        <f t="shared" si="7"/>
        <v>0.81660763314848794</v>
      </c>
      <c r="J43" s="2">
        <v>0</v>
      </c>
      <c r="K43" s="2">
        <v>6.28</v>
      </c>
      <c r="L43" s="2">
        <v>0</v>
      </c>
      <c r="M43" s="2">
        <v>1.1299999999999999</v>
      </c>
      <c r="N43" s="2">
        <v>0</v>
      </c>
      <c r="O43" s="2">
        <v>0</v>
      </c>
      <c r="P43" s="2">
        <f t="shared" si="8"/>
        <v>2.4744417864764392</v>
      </c>
      <c r="Q43" s="2">
        <f t="shared" si="9"/>
        <v>0.46486306570601693</v>
      </c>
      <c r="R43" s="2">
        <f t="shared" si="10"/>
        <v>2.0093734099118397</v>
      </c>
      <c r="S43">
        <f t="shared" si="11"/>
        <v>5.3205978113472749</v>
      </c>
      <c r="T43">
        <v>2.6507645591169027</v>
      </c>
    </row>
    <row r="44" spans="1:20" ht="13.9" x14ac:dyDescent="0.3">
      <c r="A44" s="16" t="s">
        <v>723</v>
      </c>
      <c r="B44" s="2">
        <v>0</v>
      </c>
      <c r="C44" s="2">
        <v>0</v>
      </c>
      <c r="D44" s="2">
        <v>14.78</v>
      </c>
      <c r="E44" s="2">
        <v>1.26</v>
      </c>
      <c r="F44" s="2">
        <v>1.22</v>
      </c>
      <c r="G44" s="2">
        <v>0.56999999999999995</v>
      </c>
      <c r="H44" s="2">
        <f t="shared" si="6"/>
        <v>2.2767651216959024</v>
      </c>
      <c r="I44" s="2">
        <f t="shared" si="7"/>
        <v>0.47225241240358101</v>
      </c>
      <c r="J44" s="2">
        <v>9.8800000000000008</v>
      </c>
      <c r="K44" s="2">
        <v>0</v>
      </c>
      <c r="L44" s="2">
        <v>58.32</v>
      </c>
      <c r="M44" s="2">
        <v>2.2599999999999998</v>
      </c>
      <c r="N44" s="2">
        <v>0</v>
      </c>
      <c r="O44" s="2">
        <v>1.22</v>
      </c>
      <c r="P44" s="2">
        <f t="shared" si="8"/>
        <v>4.2926125280628069</v>
      </c>
      <c r="Q44" s="2">
        <f t="shared" si="9"/>
        <v>0.29761546605266603</v>
      </c>
      <c r="R44" s="2">
        <f t="shared" si="10"/>
        <v>2.0158474063669045</v>
      </c>
      <c r="S44">
        <f t="shared" si="11"/>
        <v>1.885399810089041</v>
      </c>
      <c r="T44">
        <v>6.0916998341368105</v>
      </c>
    </row>
    <row r="45" spans="1:20" ht="13.9" x14ac:dyDescent="0.3">
      <c r="A45" s="16" t="s">
        <v>168</v>
      </c>
      <c r="B45" s="2">
        <v>7.34</v>
      </c>
      <c r="C45" s="2">
        <v>23.13</v>
      </c>
      <c r="D45" s="2">
        <v>35.53</v>
      </c>
      <c r="E45" s="2">
        <v>7.43</v>
      </c>
      <c r="F45" s="2">
        <v>10.31</v>
      </c>
      <c r="G45" s="2">
        <v>7.83</v>
      </c>
      <c r="H45" s="2">
        <f t="shared" si="6"/>
        <v>1.3680138638915293</v>
      </c>
      <c r="I45" s="2">
        <f t="shared" si="7"/>
        <v>0.17591186989064511</v>
      </c>
      <c r="J45" s="2">
        <v>9.16</v>
      </c>
      <c r="K45" s="2">
        <v>34.53</v>
      </c>
      <c r="L45" s="2">
        <v>105.07</v>
      </c>
      <c r="M45" s="2">
        <v>5.25</v>
      </c>
      <c r="N45" s="2">
        <v>0</v>
      </c>
      <c r="O45" s="2">
        <v>8.8000000000000007</v>
      </c>
      <c r="P45" s="2">
        <f t="shared" si="8"/>
        <v>3.4043446175036993</v>
      </c>
      <c r="Q45" s="2">
        <f t="shared" si="9"/>
        <v>0.19404141165173255</v>
      </c>
      <c r="R45" s="2">
        <f t="shared" si="10"/>
        <v>2.03633075361217</v>
      </c>
      <c r="S45">
        <f t="shared" si="11"/>
        <v>2.4885307871219293</v>
      </c>
      <c r="T45">
        <v>7.2168428428372637</v>
      </c>
    </row>
    <row r="46" spans="1:20" ht="13.9" x14ac:dyDescent="0.3">
      <c r="A46" s="16" t="s">
        <v>779</v>
      </c>
      <c r="B46" s="2">
        <v>31.07</v>
      </c>
      <c r="C46" s="2">
        <v>0</v>
      </c>
      <c r="D46" s="2">
        <v>5.71</v>
      </c>
      <c r="E46" s="2">
        <v>1.64</v>
      </c>
      <c r="F46" s="2">
        <v>3.44</v>
      </c>
      <c r="G46" s="2">
        <v>7.37</v>
      </c>
      <c r="H46" s="2">
        <f t="shared" si="6"/>
        <v>1.5627757374564946</v>
      </c>
      <c r="I46" s="2">
        <f t="shared" si="7"/>
        <v>0.45001795662234856</v>
      </c>
      <c r="J46" s="2">
        <v>6.47</v>
      </c>
      <c r="K46" s="2">
        <v>2.5099999999999998</v>
      </c>
      <c r="L46" s="2">
        <v>8.5500000000000007</v>
      </c>
      <c r="M46" s="2">
        <v>0.21</v>
      </c>
      <c r="N46" s="2">
        <v>0</v>
      </c>
      <c r="O46" s="2">
        <v>1.22</v>
      </c>
      <c r="P46" s="2">
        <f t="shared" si="8"/>
        <v>3.6157389439811491</v>
      </c>
      <c r="Q46" s="2">
        <f t="shared" si="9"/>
        <v>4.1423052852190043E-2</v>
      </c>
      <c r="R46" s="2">
        <f t="shared" si="10"/>
        <v>2.0529632065246544</v>
      </c>
      <c r="S46">
        <f t="shared" si="11"/>
        <v>2.3136646271882668</v>
      </c>
      <c r="T46">
        <v>4.1317540909848134</v>
      </c>
    </row>
    <row r="47" spans="1:20" ht="13.9" x14ac:dyDescent="0.3">
      <c r="A47" s="16" t="s">
        <v>175</v>
      </c>
      <c r="B47" s="2">
        <v>14.03</v>
      </c>
      <c r="C47" s="2">
        <v>17.059999999999999</v>
      </c>
      <c r="D47" s="2">
        <v>17.89</v>
      </c>
      <c r="E47" s="2">
        <v>10.32</v>
      </c>
      <c r="F47" s="2">
        <v>15.52</v>
      </c>
      <c r="G47" s="2">
        <v>8.0500000000000007</v>
      </c>
      <c r="H47" s="2">
        <f t="shared" si="6"/>
        <v>0.53133313707998375</v>
      </c>
      <c r="I47" s="2">
        <f t="shared" si="7"/>
        <v>0.11484471847111179</v>
      </c>
      <c r="J47" s="2">
        <v>17.25</v>
      </c>
      <c r="K47" s="2">
        <v>47.09</v>
      </c>
      <c r="L47" s="2">
        <v>56.31</v>
      </c>
      <c r="M47" s="2">
        <v>9.16</v>
      </c>
      <c r="N47" s="2">
        <v>0</v>
      </c>
      <c r="O47" s="2">
        <v>10.69</v>
      </c>
      <c r="P47" s="2">
        <f t="shared" si="8"/>
        <v>2.6036170030727939</v>
      </c>
      <c r="Q47" s="2">
        <f t="shared" si="9"/>
        <v>5.1767062843889579E-2</v>
      </c>
      <c r="R47" s="2">
        <f t="shared" si="10"/>
        <v>2.07228386599281</v>
      </c>
      <c r="S47">
        <f t="shared" si="11"/>
        <v>4.9001592812022574</v>
      </c>
      <c r="T47">
        <v>6.9146841053283898</v>
      </c>
    </row>
    <row r="48" spans="1:20" ht="13.9" x14ac:dyDescent="0.3">
      <c r="A48" s="16" t="s">
        <v>372</v>
      </c>
      <c r="B48" s="2">
        <v>0</v>
      </c>
      <c r="C48" s="2">
        <v>0</v>
      </c>
      <c r="D48" s="2">
        <v>24.12</v>
      </c>
      <c r="E48" s="2">
        <v>0.38</v>
      </c>
      <c r="F48" s="2">
        <v>2</v>
      </c>
      <c r="G48" s="2">
        <v>4.08</v>
      </c>
      <c r="H48" s="2">
        <f t="shared" si="6"/>
        <v>1.9006238372061601</v>
      </c>
      <c r="I48" s="2">
        <f t="shared" si="7"/>
        <v>0.50817155935332814</v>
      </c>
      <c r="J48" s="2">
        <v>10.24</v>
      </c>
      <c r="K48" s="2">
        <v>4.8099999999999996</v>
      </c>
      <c r="L48" s="2">
        <v>0</v>
      </c>
      <c r="M48" s="2">
        <v>0.72</v>
      </c>
      <c r="N48" s="2">
        <v>0</v>
      </c>
      <c r="O48" s="2">
        <v>0</v>
      </c>
      <c r="P48" s="2">
        <f t="shared" si="8"/>
        <v>4.3856227702047521</v>
      </c>
      <c r="Q48" s="2">
        <f t="shared" si="9"/>
        <v>0.18276499298380758</v>
      </c>
      <c r="R48" s="2">
        <f t="shared" si="10"/>
        <v>2.4849989329985922</v>
      </c>
      <c r="S48">
        <f t="shared" si="11"/>
        <v>2.3074648882923827</v>
      </c>
      <c r="T48">
        <v>3.9116915818723403</v>
      </c>
    </row>
    <row r="49" spans="1:20" ht="13.9" x14ac:dyDescent="0.3">
      <c r="A49" s="16" t="s">
        <v>633</v>
      </c>
      <c r="B49" s="2">
        <v>0</v>
      </c>
      <c r="C49" s="2">
        <v>3.47</v>
      </c>
      <c r="D49" s="2">
        <v>0</v>
      </c>
      <c r="E49" s="2">
        <v>0.88</v>
      </c>
      <c r="F49" s="2">
        <v>0.22</v>
      </c>
      <c r="G49" s="2">
        <v>0.56999999999999995</v>
      </c>
      <c r="H49" s="2">
        <f t="shared" si="6"/>
        <v>1.0550875601042087</v>
      </c>
      <c r="I49" s="2">
        <f t="shared" si="7"/>
        <v>0.63573413955061953</v>
      </c>
      <c r="J49" s="2">
        <v>3.05</v>
      </c>
      <c r="K49" s="2">
        <v>9</v>
      </c>
      <c r="L49" s="2">
        <v>0</v>
      </c>
      <c r="M49" s="2">
        <v>0.62</v>
      </c>
      <c r="N49" s="2">
        <v>0</v>
      </c>
      <c r="O49" s="2">
        <v>0.41</v>
      </c>
      <c r="P49" s="2">
        <f t="shared" si="8"/>
        <v>3.5483169039341056</v>
      </c>
      <c r="Q49" s="2">
        <f t="shared" si="9"/>
        <v>0.23780167513625353</v>
      </c>
      <c r="R49" s="2">
        <f t="shared" si="10"/>
        <v>2.4932293438298969</v>
      </c>
      <c r="S49">
        <f t="shared" si="11"/>
        <v>3.3630544403192908</v>
      </c>
      <c r="T49">
        <v>3.5909612413425993</v>
      </c>
    </row>
    <row r="50" spans="1:20" ht="13.9" x14ac:dyDescent="0.3">
      <c r="A50" s="16" t="s">
        <v>152</v>
      </c>
      <c r="B50" s="2">
        <v>0</v>
      </c>
      <c r="C50" s="2">
        <v>3.76</v>
      </c>
      <c r="D50" s="2">
        <v>0</v>
      </c>
      <c r="E50" s="2">
        <v>0</v>
      </c>
      <c r="F50" s="2">
        <v>1</v>
      </c>
      <c r="G50" s="2">
        <v>0.34</v>
      </c>
      <c r="H50" s="2">
        <f t="shared" si="6"/>
        <v>1.4884996612198649</v>
      </c>
      <c r="I50" s="2">
        <f t="shared" si="7"/>
        <v>0.56487200418789607</v>
      </c>
      <c r="J50" s="2">
        <v>0</v>
      </c>
      <c r="K50" s="2">
        <v>0</v>
      </c>
      <c r="L50" s="2">
        <v>12.57</v>
      </c>
      <c r="M50" s="2">
        <v>0.72</v>
      </c>
      <c r="N50" s="2">
        <v>0</v>
      </c>
      <c r="O50" s="2">
        <v>0</v>
      </c>
      <c r="P50" s="2">
        <f t="shared" si="8"/>
        <v>4.1258439329781957</v>
      </c>
      <c r="Q50" s="2">
        <f t="shared" si="9"/>
        <v>0.39990288398116736</v>
      </c>
      <c r="R50" s="2">
        <f t="shared" si="10"/>
        <v>2.6373442717583311</v>
      </c>
      <c r="S50">
        <f t="shared" si="11"/>
        <v>2.7718138206339646</v>
      </c>
      <c r="T50">
        <v>3.6519127446457831</v>
      </c>
    </row>
    <row r="51" spans="1:20" ht="13.9" x14ac:dyDescent="0.3">
      <c r="A51" s="16" t="s">
        <v>914</v>
      </c>
      <c r="B51" s="2">
        <v>8.65</v>
      </c>
      <c r="C51" s="2">
        <v>0</v>
      </c>
      <c r="D51" s="2">
        <v>0</v>
      </c>
      <c r="E51" s="2">
        <v>1.01</v>
      </c>
      <c r="F51" s="2">
        <v>0.55000000000000004</v>
      </c>
      <c r="G51" s="2">
        <v>0</v>
      </c>
      <c r="H51" s="2">
        <f t="shared" si="6"/>
        <v>2.4711541036618385</v>
      </c>
      <c r="I51" s="2">
        <f t="shared" si="7"/>
        <v>0.46056776880674916</v>
      </c>
      <c r="J51" s="2">
        <v>2.34</v>
      </c>
      <c r="K51" s="2">
        <v>0</v>
      </c>
      <c r="L51" s="2">
        <v>17.09</v>
      </c>
      <c r="M51" s="2">
        <v>0.51</v>
      </c>
      <c r="N51" s="2">
        <v>0</v>
      </c>
      <c r="O51" s="2">
        <v>0</v>
      </c>
      <c r="P51" s="2">
        <f t="shared" si="8"/>
        <v>5.2516448436138488</v>
      </c>
      <c r="Q51" s="2">
        <f t="shared" si="9"/>
        <v>0.30397514946033127</v>
      </c>
      <c r="R51" s="2">
        <f t="shared" si="10"/>
        <v>2.7804907399520102</v>
      </c>
      <c r="S51">
        <f t="shared" si="11"/>
        <v>2.1251790148707386</v>
      </c>
      <c r="T51">
        <v>4.2802139958106196</v>
      </c>
    </row>
    <row r="52" spans="1:20" ht="13.9" x14ac:dyDescent="0.3">
      <c r="A52" s="16" t="s">
        <v>828</v>
      </c>
      <c r="B52" s="2">
        <v>3.67</v>
      </c>
      <c r="C52" s="2">
        <v>0</v>
      </c>
      <c r="D52" s="2">
        <v>0</v>
      </c>
      <c r="E52" s="2">
        <v>0.63</v>
      </c>
      <c r="F52" s="2">
        <v>0.22</v>
      </c>
      <c r="G52" s="2">
        <v>1.1299999999999999</v>
      </c>
      <c r="H52" s="2">
        <f t="shared" si="6"/>
        <v>0.89027963276360311</v>
      </c>
      <c r="I52" s="2">
        <f t="shared" si="7"/>
        <v>0.6758913065438199</v>
      </c>
      <c r="J52" s="2">
        <v>12.04</v>
      </c>
      <c r="K52" s="2">
        <v>3.98</v>
      </c>
      <c r="L52" s="2">
        <v>0</v>
      </c>
      <c r="M52" s="2">
        <v>0.51</v>
      </c>
      <c r="N52" s="2">
        <v>0</v>
      </c>
      <c r="O52" s="2">
        <v>0</v>
      </c>
      <c r="P52" s="2">
        <f t="shared" si="8"/>
        <v>4.9732330904372146</v>
      </c>
      <c r="Q52" s="2">
        <f t="shared" si="9"/>
        <v>0.21855049341514293</v>
      </c>
      <c r="R52" s="2">
        <f t="shared" si="10"/>
        <v>4.0829534576736117</v>
      </c>
      <c r="S52">
        <f t="shared" si="11"/>
        <v>5.5861472142177631</v>
      </c>
      <c r="T52">
        <v>4.0018022426339854</v>
      </c>
    </row>
    <row r="53" spans="1:20" ht="13.9" x14ac:dyDescent="0.3">
      <c r="A53" s="16" t="s">
        <v>186</v>
      </c>
      <c r="B53" s="2">
        <v>0.13</v>
      </c>
      <c r="C53" s="2">
        <v>50.03</v>
      </c>
      <c r="D53" s="2">
        <v>9.08</v>
      </c>
      <c r="E53" s="2">
        <v>0.88</v>
      </c>
      <c r="F53" s="2">
        <v>0.44</v>
      </c>
      <c r="G53" s="2">
        <v>1.02</v>
      </c>
      <c r="H53" s="2">
        <f t="shared" si="6"/>
        <v>4.6619912057054433</v>
      </c>
      <c r="I53" s="2">
        <f t="shared" si="7"/>
        <v>0.2845188899430493</v>
      </c>
      <c r="J53" s="2">
        <v>301.45999999999998</v>
      </c>
      <c r="K53" s="2">
        <v>28.67</v>
      </c>
      <c r="L53" s="2">
        <v>29.66</v>
      </c>
      <c r="M53" s="2">
        <v>0.62</v>
      </c>
      <c r="N53" s="2">
        <v>0</v>
      </c>
      <c r="O53" s="2">
        <v>0</v>
      </c>
      <c r="P53" s="2">
        <f t="shared" si="8"/>
        <v>9.1806711580563096</v>
      </c>
      <c r="Q53" s="2">
        <f t="shared" si="9"/>
        <v>0.2575994508293698</v>
      </c>
      <c r="R53" s="2">
        <f t="shared" si="10"/>
        <v>4.5186799523508663</v>
      </c>
      <c r="S53">
        <f t="shared" si="11"/>
        <v>1.9692596474272217</v>
      </c>
      <c r="T53">
        <v>8.4910112786684611</v>
      </c>
    </row>
    <row r="54" spans="1:20" ht="13.9" x14ac:dyDescent="0.3">
      <c r="A54" s="16" t="s">
        <v>283</v>
      </c>
      <c r="B54" s="2">
        <v>8.52</v>
      </c>
      <c r="C54" s="2">
        <v>19.09</v>
      </c>
      <c r="D54" s="2">
        <v>5.45</v>
      </c>
      <c r="E54" s="2">
        <v>6.92</v>
      </c>
      <c r="F54" s="2">
        <v>6.76</v>
      </c>
      <c r="G54" s="2">
        <v>8.51</v>
      </c>
      <c r="H54" s="2">
        <f t="shared" si="6"/>
        <v>0.57517705709530265</v>
      </c>
      <c r="I54" s="2">
        <f t="shared" si="7"/>
        <v>0.43380264963883836</v>
      </c>
      <c r="J54" s="2">
        <v>57.67</v>
      </c>
      <c r="K54" s="2">
        <v>38.93</v>
      </c>
      <c r="L54" s="2">
        <v>137.75</v>
      </c>
      <c r="M54" s="2">
        <v>1.65</v>
      </c>
      <c r="N54" s="2">
        <v>0</v>
      </c>
      <c r="O54" s="2">
        <v>2.84</v>
      </c>
      <c r="P54" s="2">
        <f t="shared" si="8"/>
        <v>5.7058055396252403</v>
      </c>
      <c r="Q54" s="2">
        <f t="shared" si="9"/>
        <v>6.4837458158012007E-2</v>
      </c>
      <c r="R54" s="2">
        <f t="shared" si="10"/>
        <v>5.1306284825299375</v>
      </c>
      <c r="S54">
        <f t="shared" si="11"/>
        <v>9.9200854228089099</v>
      </c>
      <c r="T54">
        <v>7.8725209845916622</v>
      </c>
    </row>
    <row r="55" spans="1:20" ht="13.9" x14ac:dyDescent="0.3">
      <c r="A55" s="16" t="s">
        <v>90</v>
      </c>
      <c r="B55" s="2">
        <v>0.26</v>
      </c>
      <c r="C55" s="2">
        <v>0.28999999999999998</v>
      </c>
      <c r="D55" s="2">
        <v>0</v>
      </c>
      <c r="E55" s="2">
        <v>0</v>
      </c>
      <c r="F55" s="2">
        <v>0.22</v>
      </c>
      <c r="G55" s="2">
        <v>0.11</v>
      </c>
      <c r="H55" s="2">
        <f t="shared" si="6"/>
        <v>0.73696559416620622</v>
      </c>
      <c r="I55" s="2">
        <f t="shared" si="7"/>
        <v>0.5478614056410982</v>
      </c>
      <c r="J55" s="2">
        <v>0</v>
      </c>
      <c r="K55" s="2">
        <v>0</v>
      </c>
      <c r="L55" s="2">
        <v>17.09</v>
      </c>
      <c r="M55" s="2">
        <v>0.1</v>
      </c>
      <c r="N55" s="2">
        <v>0</v>
      </c>
      <c r="O55" s="2">
        <v>0.14000000000000001</v>
      </c>
      <c r="P55" s="2">
        <f t="shared" si="8"/>
        <v>6.1539741809549833</v>
      </c>
      <c r="Q55" s="2">
        <f t="shared" si="9"/>
        <v>0.37998398294277697</v>
      </c>
      <c r="R55" s="2">
        <f t="shared" si="10"/>
        <v>5.4170085867887767</v>
      </c>
      <c r="S55">
        <f t="shared" si="11"/>
        <v>8.3504226380032218</v>
      </c>
      <c r="T55">
        <v>4.0950804919014141</v>
      </c>
    </row>
    <row r="56" spans="1:20" ht="13.9" x14ac:dyDescent="0.3">
      <c r="A56" s="1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20" ht="13.9" x14ac:dyDescent="0.3">
      <c r="A57" s="1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20" ht="13.9" x14ac:dyDescent="0.3">
      <c r="A58" s="1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20" ht="13.9" x14ac:dyDescent="0.3">
      <c r="A59" s="1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20" ht="13.9" x14ac:dyDescent="0.3">
      <c r="A60" s="1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20" ht="13.9" x14ac:dyDescent="0.3">
      <c r="A61" s="1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20" ht="13.9" x14ac:dyDescent="0.3">
      <c r="A62" s="1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20" ht="13.9" x14ac:dyDescent="0.3">
      <c r="A63" s="1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20" ht="13.9" x14ac:dyDescent="0.3">
      <c r="A64" s="1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9" x14ac:dyDescent="0.3">
      <c r="A65" s="1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9" x14ac:dyDescent="0.3">
      <c r="A66" s="1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9" x14ac:dyDescent="0.3">
      <c r="A67" s="1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9" x14ac:dyDescent="0.3">
      <c r="A68" s="1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9" x14ac:dyDescent="0.3">
      <c r="A69" s="1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9" x14ac:dyDescent="0.3">
      <c r="A70" s="1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9" x14ac:dyDescent="0.3">
      <c r="A71" s="1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9" x14ac:dyDescent="0.3">
      <c r="A72" s="1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9" x14ac:dyDescent="0.3">
      <c r="A73" s="1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9" x14ac:dyDescent="0.3">
      <c r="A74" s="1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9" x14ac:dyDescent="0.3">
      <c r="A75" s="1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9" x14ac:dyDescent="0.3">
      <c r="A76" s="1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9" x14ac:dyDescent="0.3">
      <c r="A77" s="1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9" x14ac:dyDescent="0.3">
      <c r="A78" s="1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9" x14ac:dyDescent="0.3">
      <c r="A79" s="1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9" x14ac:dyDescent="0.3">
      <c r="A80" s="1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9" x14ac:dyDescent="0.3">
      <c r="A81" s="1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9" x14ac:dyDescent="0.3">
      <c r="A82" s="1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9" x14ac:dyDescent="0.3">
      <c r="A83" s="1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9" x14ac:dyDescent="0.3">
      <c r="A84" s="1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9" x14ac:dyDescent="0.3">
      <c r="A85" s="1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9" x14ac:dyDescent="0.3">
      <c r="A86" s="1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9" x14ac:dyDescent="0.3">
      <c r="A87" s="1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9" x14ac:dyDescent="0.3">
      <c r="A88" s="1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9" x14ac:dyDescent="0.3">
      <c r="A89" s="1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9" x14ac:dyDescent="0.3">
      <c r="A90" s="1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9" x14ac:dyDescent="0.3">
      <c r="A91" s="1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9" x14ac:dyDescent="0.3">
      <c r="A92" s="1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9" x14ac:dyDescent="0.3">
      <c r="A93" s="1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9" x14ac:dyDescent="0.3">
      <c r="A94" s="1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9" x14ac:dyDescent="0.3">
      <c r="A95" s="1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9" x14ac:dyDescent="0.3">
      <c r="A96" s="1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9" x14ac:dyDescent="0.3">
      <c r="A97" s="1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9" x14ac:dyDescent="0.3">
      <c r="A98" s="1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9" x14ac:dyDescent="0.3">
      <c r="A99" s="1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9" x14ac:dyDescent="0.3">
      <c r="A100" s="1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9" x14ac:dyDescent="0.3">
      <c r="A101" s="1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9" x14ac:dyDescent="0.3">
      <c r="A102" s="1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9" x14ac:dyDescent="0.3">
      <c r="A103" s="1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9" x14ac:dyDescent="0.3">
      <c r="A104" s="1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9" x14ac:dyDescent="0.3">
      <c r="A105" s="1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9" x14ac:dyDescent="0.3">
      <c r="A106" s="1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9" x14ac:dyDescent="0.3">
      <c r="A107" s="1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9" x14ac:dyDescent="0.3">
      <c r="A108" s="1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9" x14ac:dyDescent="0.3">
      <c r="A109" s="1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9" x14ac:dyDescent="0.3">
      <c r="A110" s="1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9" x14ac:dyDescent="0.3">
      <c r="A111" s="1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9" x14ac:dyDescent="0.3">
      <c r="A112" s="1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9" x14ac:dyDescent="0.3">
      <c r="A113" s="1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9" x14ac:dyDescent="0.3">
      <c r="A114" s="1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9" x14ac:dyDescent="0.3">
      <c r="A115" s="1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9" x14ac:dyDescent="0.3">
      <c r="A116" s="1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9" x14ac:dyDescent="0.3">
      <c r="A117" s="1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9" x14ac:dyDescent="0.3">
      <c r="A118" s="1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9" x14ac:dyDescent="0.3">
      <c r="A119" s="1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9" x14ac:dyDescent="0.3">
      <c r="A120" s="1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9" x14ac:dyDescent="0.3">
      <c r="A121" s="1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9" x14ac:dyDescent="0.3">
      <c r="A122" s="1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9" x14ac:dyDescent="0.3">
      <c r="A123" s="1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9" x14ac:dyDescent="0.3">
      <c r="A124" s="1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9" x14ac:dyDescent="0.3">
      <c r="A125" s="1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9" x14ac:dyDescent="0.3">
      <c r="A126" s="1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9" x14ac:dyDescent="0.3">
      <c r="A127" s="1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9" x14ac:dyDescent="0.3">
      <c r="A128" s="1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9" x14ac:dyDescent="0.3">
      <c r="A129" s="1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9" x14ac:dyDescent="0.3">
      <c r="A130" s="1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9" x14ac:dyDescent="0.3">
      <c r="A131" s="1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9" x14ac:dyDescent="0.3">
      <c r="A132" s="1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9" x14ac:dyDescent="0.3">
      <c r="A133" s="1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9" x14ac:dyDescent="0.3">
      <c r="A134" s="1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9" x14ac:dyDescent="0.3">
      <c r="A135" s="1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9" x14ac:dyDescent="0.3">
      <c r="A136" s="1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9" x14ac:dyDescent="0.3">
      <c r="A137" s="1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9" x14ac:dyDescent="0.3">
      <c r="A138" s="1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9" x14ac:dyDescent="0.3">
      <c r="A139" s="1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9" x14ac:dyDescent="0.3">
      <c r="A140" s="1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9" x14ac:dyDescent="0.3">
      <c r="A141" s="1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9" x14ac:dyDescent="0.3">
      <c r="A142" s="1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9" x14ac:dyDescent="0.3">
      <c r="A143" s="1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9" x14ac:dyDescent="0.3">
      <c r="A144" s="1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9" x14ac:dyDescent="0.3">
      <c r="A145" s="1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9" x14ac:dyDescent="0.3">
      <c r="A146" s="1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9" x14ac:dyDescent="0.3">
      <c r="A147" s="1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9" x14ac:dyDescent="0.3">
      <c r="A148" s="1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9" x14ac:dyDescent="0.3">
      <c r="A149" s="1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9" x14ac:dyDescent="0.3">
      <c r="A150" s="1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9" x14ac:dyDescent="0.3">
      <c r="A151" s="1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9" x14ac:dyDescent="0.3">
      <c r="A152" s="1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9" x14ac:dyDescent="0.3">
      <c r="A153" s="1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9" x14ac:dyDescent="0.3">
      <c r="A154" s="1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9" x14ac:dyDescent="0.3">
      <c r="A155" s="1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9" x14ac:dyDescent="0.3">
      <c r="A156" s="1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9" x14ac:dyDescent="0.3">
      <c r="A157" s="1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9" x14ac:dyDescent="0.3">
      <c r="A158" s="1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9" x14ac:dyDescent="0.3">
      <c r="A159" s="16"/>
      <c r="B159" s="2"/>
      <c r="C159" s="2"/>
      <c r="D159" s="2"/>
      <c r="E159" s="2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3.9" x14ac:dyDescent="0.3">
      <c r="A160" s="1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9" x14ac:dyDescent="0.3">
      <c r="A161" s="1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9" x14ac:dyDescent="0.3">
      <c r="A162" s="1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9" x14ac:dyDescent="0.3">
      <c r="A163" s="1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9" x14ac:dyDescent="0.3">
      <c r="A164" s="1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9" x14ac:dyDescent="0.3">
      <c r="A165" s="1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9" x14ac:dyDescent="0.3">
      <c r="A166" s="1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9" x14ac:dyDescent="0.3">
      <c r="A167" s="1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9" x14ac:dyDescent="0.3">
      <c r="A168" s="1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9" x14ac:dyDescent="0.3">
      <c r="A169" s="1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9" x14ac:dyDescent="0.3">
      <c r="A170" s="1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9" x14ac:dyDescent="0.3">
      <c r="A171" s="1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9" x14ac:dyDescent="0.3">
      <c r="A172" s="1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9" x14ac:dyDescent="0.3">
      <c r="A173" s="1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9" x14ac:dyDescent="0.3">
      <c r="A174" s="1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9" x14ac:dyDescent="0.3">
      <c r="A175" s="1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9" x14ac:dyDescent="0.3">
      <c r="A176" s="1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9" x14ac:dyDescent="0.3">
      <c r="A177" s="1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9" x14ac:dyDescent="0.3">
      <c r="A178" s="1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9" x14ac:dyDescent="0.3">
      <c r="A179" s="1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9" x14ac:dyDescent="0.3">
      <c r="A180" s="1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9" x14ac:dyDescent="0.3">
      <c r="A181" s="1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9" x14ac:dyDescent="0.3">
      <c r="A182" s="1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9" x14ac:dyDescent="0.3">
      <c r="A183" s="1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9" x14ac:dyDescent="0.3">
      <c r="A184" s="1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9" x14ac:dyDescent="0.3">
      <c r="A185" s="1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9" x14ac:dyDescent="0.3">
      <c r="A186" s="1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9" x14ac:dyDescent="0.3">
      <c r="A187" s="1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9" x14ac:dyDescent="0.3">
      <c r="A188" s="1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9" x14ac:dyDescent="0.3">
      <c r="A189" s="1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9" x14ac:dyDescent="0.3">
      <c r="A190" s="1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9" x14ac:dyDescent="0.3">
      <c r="A191" s="1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9" x14ac:dyDescent="0.3">
      <c r="A192" s="1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9" x14ac:dyDescent="0.3">
      <c r="A193" s="1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9" x14ac:dyDescent="0.3">
      <c r="A194" s="1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9" x14ac:dyDescent="0.3">
      <c r="A195" s="1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9" x14ac:dyDescent="0.3">
      <c r="A196" s="1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9" x14ac:dyDescent="0.3">
      <c r="A197" s="1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9" x14ac:dyDescent="0.3">
      <c r="A198" s="1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9" x14ac:dyDescent="0.3">
      <c r="A199" s="1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9" x14ac:dyDescent="0.3">
      <c r="A200" s="1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9" x14ac:dyDescent="0.3">
      <c r="A201" s="1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9" x14ac:dyDescent="0.3">
      <c r="A202" s="1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9" x14ac:dyDescent="0.3">
      <c r="A203" s="1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9" x14ac:dyDescent="0.3">
      <c r="A204" s="1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9" x14ac:dyDescent="0.3">
      <c r="A205" s="1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9" x14ac:dyDescent="0.3">
      <c r="A206" s="1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9" x14ac:dyDescent="0.3">
      <c r="A207" s="1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9" x14ac:dyDescent="0.3">
      <c r="A208" s="1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9" x14ac:dyDescent="0.3">
      <c r="A209" s="1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9" x14ac:dyDescent="0.3">
      <c r="A210" s="1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9" x14ac:dyDescent="0.3">
      <c r="A211" s="1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9" x14ac:dyDescent="0.3">
      <c r="A212" s="1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9" x14ac:dyDescent="0.3">
      <c r="A213" s="1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9" x14ac:dyDescent="0.3">
      <c r="A214" s="1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9" x14ac:dyDescent="0.3">
      <c r="A215" s="1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9" x14ac:dyDescent="0.3">
      <c r="A216" s="1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9" x14ac:dyDescent="0.3">
      <c r="A217" s="1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9" x14ac:dyDescent="0.3">
      <c r="A218" s="1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9" x14ac:dyDescent="0.3">
      <c r="A219" s="1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9" x14ac:dyDescent="0.3">
      <c r="A220" s="1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9" x14ac:dyDescent="0.3">
      <c r="A221" s="1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9" x14ac:dyDescent="0.3">
      <c r="A222" s="1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9" x14ac:dyDescent="0.3">
      <c r="A223" s="1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9" x14ac:dyDescent="0.3">
      <c r="A224" s="1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9" x14ac:dyDescent="0.3">
      <c r="A225" s="1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9" x14ac:dyDescent="0.3">
      <c r="A226" s="1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9" x14ac:dyDescent="0.3">
      <c r="A227" s="1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9" x14ac:dyDescent="0.3">
      <c r="A228" s="1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9" x14ac:dyDescent="0.3">
      <c r="A229" s="1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9" x14ac:dyDescent="0.3">
      <c r="A230" s="1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9" x14ac:dyDescent="0.3">
      <c r="A231" s="1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9" x14ac:dyDescent="0.3">
      <c r="A232" s="1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9" x14ac:dyDescent="0.3">
      <c r="A233" s="1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9" x14ac:dyDescent="0.3">
      <c r="A234" s="1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9" x14ac:dyDescent="0.3">
      <c r="A235" s="1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9" x14ac:dyDescent="0.3">
      <c r="A236" s="1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9" x14ac:dyDescent="0.3">
      <c r="A237" s="1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9" x14ac:dyDescent="0.3">
      <c r="A238" s="1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9" x14ac:dyDescent="0.3">
      <c r="A239" s="1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9" x14ac:dyDescent="0.3">
      <c r="A240" s="1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9" x14ac:dyDescent="0.3">
      <c r="A241" s="1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9" x14ac:dyDescent="0.3">
      <c r="A242" s="1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9" x14ac:dyDescent="0.3">
      <c r="A243" s="1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9" x14ac:dyDescent="0.3">
      <c r="A244" s="1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9" x14ac:dyDescent="0.3">
      <c r="A245" s="1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9" x14ac:dyDescent="0.3">
      <c r="A246" s="1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9" x14ac:dyDescent="0.3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9" x14ac:dyDescent="0.3">
      <c r="A248" s="1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9" x14ac:dyDescent="0.3">
      <c r="A249" s="1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9" x14ac:dyDescent="0.3">
      <c r="A250" s="1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9" x14ac:dyDescent="0.3">
      <c r="A251" s="1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9" x14ac:dyDescent="0.3">
      <c r="A252" s="1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9" x14ac:dyDescent="0.3">
      <c r="A253" s="1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9" x14ac:dyDescent="0.3">
      <c r="A254" s="1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9" x14ac:dyDescent="0.3">
      <c r="A255" s="1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9" x14ac:dyDescent="0.3">
      <c r="A256" s="1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9" x14ac:dyDescent="0.3">
      <c r="A257" s="1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9" x14ac:dyDescent="0.3">
      <c r="A258" s="1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9" x14ac:dyDescent="0.3">
      <c r="A259" s="1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9" x14ac:dyDescent="0.3">
      <c r="A260" s="1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9" x14ac:dyDescent="0.3">
      <c r="A261" s="1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9" x14ac:dyDescent="0.3">
      <c r="A262" s="1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9" x14ac:dyDescent="0.3">
      <c r="A263" s="1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9" x14ac:dyDescent="0.3">
      <c r="A264" s="1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9" x14ac:dyDescent="0.3">
      <c r="A265" s="1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9" x14ac:dyDescent="0.3">
      <c r="A266" s="1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9" x14ac:dyDescent="0.3">
      <c r="A267" s="1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9" x14ac:dyDescent="0.3">
      <c r="A268" s="1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9" x14ac:dyDescent="0.3">
      <c r="A269" s="1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9" x14ac:dyDescent="0.3">
      <c r="A270" s="1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9" x14ac:dyDescent="0.3">
      <c r="A271" s="1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9" x14ac:dyDescent="0.3">
      <c r="A272" s="1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9" x14ac:dyDescent="0.3">
      <c r="A273" s="1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9" x14ac:dyDescent="0.3">
      <c r="A274" s="1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9" x14ac:dyDescent="0.3">
      <c r="A275" s="1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9" x14ac:dyDescent="0.3">
      <c r="A276" s="1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9" x14ac:dyDescent="0.3">
      <c r="A277" s="1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9" x14ac:dyDescent="0.3">
      <c r="A278" s="1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9" x14ac:dyDescent="0.3">
      <c r="A279" s="1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9" x14ac:dyDescent="0.3">
      <c r="A280" s="1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9" x14ac:dyDescent="0.3">
      <c r="A281" s="1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9" x14ac:dyDescent="0.3">
      <c r="A282" s="1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9" x14ac:dyDescent="0.3">
      <c r="A283" s="1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9" x14ac:dyDescent="0.3">
      <c r="A284" s="1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9" x14ac:dyDescent="0.3">
      <c r="A285" s="1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9" x14ac:dyDescent="0.3">
      <c r="A286" s="1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9" x14ac:dyDescent="0.3">
      <c r="A287" s="1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9" x14ac:dyDescent="0.3">
      <c r="A288" s="1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9" x14ac:dyDescent="0.3">
      <c r="A289" s="1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9" x14ac:dyDescent="0.3">
      <c r="A290" s="1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9" x14ac:dyDescent="0.3">
      <c r="A291" s="1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9" x14ac:dyDescent="0.3">
      <c r="A292" s="1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9" x14ac:dyDescent="0.3">
      <c r="A293" s="1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9" x14ac:dyDescent="0.3">
      <c r="A294" s="1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9" x14ac:dyDescent="0.3">
      <c r="A295" s="1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9" x14ac:dyDescent="0.3">
      <c r="A296" s="1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9" x14ac:dyDescent="0.3">
      <c r="A297" s="1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9" x14ac:dyDescent="0.3">
      <c r="A298" s="1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9" x14ac:dyDescent="0.3">
      <c r="A299" s="1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9" x14ac:dyDescent="0.3">
      <c r="A300" s="1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9" x14ac:dyDescent="0.3">
      <c r="A301" s="1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9" x14ac:dyDescent="0.3">
      <c r="A302" s="1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9" x14ac:dyDescent="0.3">
      <c r="A303" s="1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9" x14ac:dyDescent="0.3">
      <c r="A304" s="1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9" x14ac:dyDescent="0.3">
      <c r="A305" s="1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9" x14ac:dyDescent="0.3">
      <c r="A306" s="1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9" x14ac:dyDescent="0.3">
      <c r="A307" s="1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9" x14ac:dyDescent="0.3">
      <c r="A308" s="1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9" x14ac:dyDescent="0.3">
      <c r="A309" s="1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9" x14ac:dyDescent="0.3">
      <c r="A310" s="1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9" x14ac:dyDescent="0.3">
      <c r="A311" s="1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9" x14ac:dyDescent="0.3">
      <c r="A312" s="1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9" x14ac:dyDescent="0.3">
      <c r="A313" s="1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9" x14ac:dyDescent="0.3">
      <c r="A314" s="1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9" x14ac:dyDescent="0.3">
      <c r="A315" s="1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9" x14ac:dyDescent="0.3">
      <c r="A316" s="1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9" x14ac:dyDescent="0.3">
      <c r="A317" s="1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9" x14ac:dyDescent="0.3">
      <c r="A318" s="1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9" x14ac:dyDescent="0.3">
      <c r="A319" s="1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9" x14ac:dyDescent="0.3">
      <c r="A320" s="1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9" x14ac:dyDescent="0.3">
      <c r="A321" s="1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9" x14ac:dyDescent="0.3">
      <c r="A322" s="1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9" x14ac:dyDescent="0.3">
      <c r="A323" s="1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9" x14ac:dyDescent="0.3">
      <c r="A324" s="1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9" x14ac:dyDescent="0.3">
      <c r="A325" s="1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9" x14ac:dyDescent="0.3">
      <c r="A326" s="1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9" x14ac:dyDescent="0.3">
      <c r="A327" s="1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9" x14ac:dyDescent="0.3">
      <c r="A328" s="1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9" x14ac:dyDescent="0.3">
      <c r="A329" s="1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9" x14ac:dyDescent="0.3">
      <c r="A330" s="1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9" x14ac:dyDescent="0.3">
      <c r="A331" s="1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9" x14ac:dyDescent="0.3">
      <c r="A332" s="1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9" x14ac:dyDescent="0.3">
      <c r="A333" s="1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9" x14ac:dyDescent="0.3">
      <c r="A334" s="1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9" x14ac:dyDescent="0.3">
      <c r="A335" s="1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9" x14ac:dyDescent="0.3">
      <c r="A336" s="1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9" x14ac:dyDescent="0.3">
      <c r="A337" s="1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9" x14ac:dyDescent="0.3">
      <c r="A338" s="1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9" x14ac:dyDescent="0.3">
      <c r="A339" s="1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9" x14ac:dyDescent="0.3">
      <c r="A340" s="1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9" x14ac:dyDescent="0.3">
      <c r="A341" s="1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9" x14ac:dyDescent="0.3">
      <c r="A342" s="1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9" x14ac:dyDescent="0.3">
      <c r="A343" s="1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9" x14ac:dyDescent="0.3">
      <c r="A344" s="1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9" x14ac:dyDescent="0.3">
      <c r="A345" s="1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9" x14ac:dyDescent="0.3">
      <c r="A346" s="1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9" x14ac:dyDescent="0.3">
      <c r="A347" s="1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9" x14ac:dyDescent="0.3">
      <c r="A348" s="1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9" x14ac:dyDescent="0.3">
      <c r="A349" s="1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9" x14ac:dyDescent="0.3">
      <c r="A350" s="1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9" x14ac:dyDescent="0.3">
      <c r="A351" s="1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9" x14ac:dyDescent="0.3">
      <c r="A352" s="1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9" x14ac:dyDescent="0.3">
      <c r="A353" s="1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9" x14ac:dyDescent="0.3">
      <c r="A354" s="1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9" x14ac:dyDescent="0.3">
      <c r="A355" s="1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9" x14ac:dyDescent="0.3">
      <c r="A356" s="1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9" x14ac:dyDescent="0.3">
      <c r="A357" s="1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9" x14ac:dyDescent="0.3">
      <c r="A358" s="1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9" x14ac:dyDescent="0.3">
      <c r="A359" s="1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9" x14ac:dyDescent="0.3">
      <c r="A360" s="1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9" x14ac:dyDescent="0.3">
      <c r="A361" s="1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9" x14ac:dyDescent="0.3">
      <c r="A362" s="1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9" x14ac:dyDescent="0.3">
      <c r="A363" s="1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9" x14ac:dyDescent="0.3">
      <c r="A364" s="1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9" x14ac:dyDescent="0.3">
      <c r="A365" s="1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9" x14ac:dyDescent="0.3">
      <c r="A366" s="1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9" x14ac:dyDescent="0.3">
      <c r="A367" s="1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9" x14ac:dyDescent="0.3">
      <c r="A368" s="1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9" x14ac:dyDescent="0.3">
      <c r="A369" s="1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9" x14ac:dyDescent="0.3">
      <c r="A370" s="1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9" x14ac:dyDescent="0.3">
      <c r="A371" s="1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9" x14ac:dyDescent="0.3">
      <c r="A372" s="1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9" x14ac:dyDescent="0.3">
      <c r="A373" s="1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9" x14ac:dyDescent="0.3">
      <c r="A374" s="1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9" x14ac:dyDescent="0.3">
      <c r="A375" s="1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9" x14ac:dyDescent="0.3">
      <c r="A376" s="1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9" x14ac:dyDescent="0.3">
      <c r="A377" s="1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9" x14ac:dyDescent="0.3">
      <c r="A378" s="1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9" x14ac:dyDescent="0.3">
      <c r="A379" s="1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9" x14ac:dyDescent="0.3">
      <c r="A380" s="1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9" x14ac:dyDescent="0.3">
      <c r="A381" s="1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9" x14ac:dyDescent="0.3">
      <c r="A382" s="1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9" x14ac:dyDescent="0.3">
      <c r="A383" s="1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9" x14ac:dyDescent="0.3">
      <c r="A384" s="1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9" x14ac:dyDescent="0.3">
      <c r="A385" s="1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9" x14ac:dyDescent="0.3">
      <c r="A386" s="1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9" x14ac:dyDescent="0.3">
      <c r="A387" s="1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9" x14ac:dyDescent="0.3">
      <c r="A388" s="1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9" x14ac:dyDescent="0.3">
      <c r="A389" s="1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9" x14ac:dyDescent="0.3">
      <c r="A390" s="1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9" x14ac:dyDescent="0.3">
      <c r="A391" s="1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9" x14ac:dyDescent="0.3">
      <c r="A392" s="1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9" x14ac:dyDescent="0.3">
      <c r="A393" s="1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9" x14ac:dyDescent="0.3">
      <c r="A394" s="1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9" x14ac:dyDescent="0.3">
      <c r="A395" s="1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9" x14ac:dyDescent="0.3">
      <c r="A396" s="1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9" x14ac:dyDescent="0.3">
      <c r="A397" s="1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9" x14ac:dyDescent="0.3">
      <c r="A398" s="1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9" x14ac:dyDescent="0.3">
      <c r="A399" s="1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9" x14ac:dyDescent="0.3">
      <c r="A400" s="1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9" x14ac:dyDescent="0.3">
      <c r="A401" s="1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9" x14ac:dyDescent="0.3">
      <c r="A402" s="1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9" x14ac:dyDescent="0.3">
      <c r="A403" s="1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9" x14ac:dyDescent="0.3">
      <c r="A404" s="1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9" x14ac:dyDescent="0.3">
      <c r="A405" s="1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9" x14ac:dyDescent="0.3">
      <c r="A406" s="1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9" x14ac:dyDescent="0.3">
      <c r="A407" s="1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9" x14ac:dyDescent="0.3">
      <c r="A408" s="1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9" x14ac:dyDescent="0.3">
      <c r="A409" s="1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9" x14ac:dyDescent="0.3">
      <c r="A410" s="1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9" x14ac:dyDescent="0.3">
      <c r="A411" s="1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9" x14ac:dyDescent="0.3">
      <c r="A412" s="1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9" x14ac:dyDescent="0.3">
      <c r="A413" s="1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9" x14ac:dyDescent="0.3">
      <c r="A414" s="1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9" x14ac:dyDescent="0.3">
      <c r="A415" s="1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9" x14ac:dyDescent="0.3">
      <c r="A416" s="1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9" x14ac:dyDescent="0.3">
      <c r="A417" s="1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9" x14ac:dyDescent="0.3">
      <c r="A418" s="1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9" x14ac:dyDescent="0.3">
      <c r="A419" s="1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9" x14ac:dyDescent="0.3">
      <c r="A420" s="1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9" x14ac:dyDescent="0.3">
      <c r="A421" s="1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9" x14ac:dyDescent="0.3">
      <c r="A422" s="1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9" x14ac:dyDescent="0.3">
      <c r="A423" s="1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9" x14ac:dyDescent="0.3">
      <c r="A424" s="1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9" x14ac:dyDescent="0.3">
      <c r="A425" s="1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9" x14ac:dyDescent="0.3">
      <c r="A426" s="1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9" x14ac:dyDescent="0.3">
      <c r="A427" s="1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9" x14ac:dyDescent="0.3">
      <c r="A428" s="1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9" x14ac:dyDescent="0.3">
      <c r="A429" s="1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9" x14ac:dyDescent="0.3">
      <c r="A430" s="1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9" x14ac:dyDescent="0.3">
      <c r="A431" s="1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9" x14ac:dyDescent="0.3">
      <c r="A432" s="1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9" x14ac:dyDescent="0.3">
      <c r="A433" s="1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9" x14ac:dyDescent="0.3">
      <c r="A434" s="1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9" x14ac:dyDescent="0.3">
      <c r="A435" s="1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9" x14ac:dyDescent="0.3">
      <c r="A436" s="1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9" x14ac:dyDescent="0.3">
      <c r="A437" s="1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9" x14ac:dyDescent="0.3">
      <c r="A438" s="1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9" x14ac:dyDescent="0.3">
      <c r="A439" s="1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9" x14ac:dyDescent="0.3">
      <c r="A440" s="1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9" x14ac:dyDescent="0.3">
      <c r="A441" s="1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9" x14ac:dyDescent="0.3">
      <c r="A442" s="1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9" x14ac:dyDescent="0.3">
      <c r="A443" s="1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9" x14ac:dyDescent="0.3">
      <c r="A444" s="1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9" x14ac:dyDescent="0.3">
      <c r="A445" s="1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9" x14ac:dyDescent="0.3">
      <c r="A446" s="1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9" x14ac:dyDescent="0.3">
      <c r="A447" s="1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9" x14ac:dyDescent="0.3">
      <c r="A448" s="1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9" x14ac:dyDescent="0.3">
      <c r="A449" s="1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9" x14ac:dyDescent="0.3">
      <c r="A450" s="1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9" x14ac:dyDescent="0.3">
      <c r="A451" s="1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9" x14ac:dyDescent="0.3">
      <c r="A452" s="1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9" x14ac:dyDescent="0.3">
      <c r="A453" s="1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9" x14ac:dyDescent="0.3">
      <c r="A454" s="1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9" x14ac:dyDescent="0.3">
      <c r="A455" s="1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9" x14ac:dyDescent="0.3">
      <c r="A456" s="1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9" x14ac:dyDescent="0.3">
      <c r="A457" s="1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9" x14ac:dyDescent="0.3">
      <c r="A458" s="1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9" x14ac:dyDescent="0.3">
      <c r="A459" s="1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9" x14ac:dyDescent="0.3">
      <c r="A460" s="1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9" x14ac:dyDescent="0.3">
      <c r="A461" s="1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9" x14ac:dyDescent="0.3">
      <c r="A462" s="1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9" x14ac:dyDescent="0.3">
      <c r="A463" s="1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9" x14ac:dyDescent="0.3">
      <c r="A464" s="1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9" x14ac:dyDescent="0.3">
      <c r="A465" s="1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9" x14ac:dyDescent="0.3">
      <c r="A466" s="1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9" x14ac:dyDescent="0.3">
      <c r="A467" s="1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9" x14ac:dyDescent="0.3">
      <c r="A468" s="1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9" x14ac:dyDescent="0.3">
      <c r="A469" s="1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9" x14ac:dyDescent="0.3">
      <c r="A470" s="1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9" x14ac:dyDescent="0.3">
      <c r="A471" s="1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9" x14ac:dyDescent="0.3">
      <c r="A472" s="1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9" x14ac:dyDescent="0.3">
      <c r="A473" s="1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9" x14ac:dyDescent="0.3">
      <c r="A474" s="16"/>
      <c r="B474" s="2"/>
      <c r="C474" s="2"/>
      <c r="D474" s="2"/>
      <c r="E474" s="2"/>
      <c r="F474" s="2"/>
      <c r="G474" s="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3.9" x14ac:dyDescent="0.3">
      <c r="A475" s="1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9" x14ac:dyDescent="0.3">
      <c r="A476" s="1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9" x14ac:dyDescent="0.3">
      <c r="A477" s="1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9" x14ac:dyDescent="0.3">
      <c r="A478" s="1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9" x14ac:dyDescent="0.3">
      <c r="A479" s="1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9" x14ac:dyDescent="0.3">
      <c r="A480" s="1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9" x14ac:dyDescent="0.3">
      <c r="A481" s="1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3.9" x14ac:dyDescent="0.3">
      <c r="A482" s="1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9" x14ac:dyDescent="0.3">
      <c r="A483" s="1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9" x14ac:dyDescent="0.3">
      <c r="A484" s="1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9" x14ac:dyDescent="0.3">
      <c r="A485" s="1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9" x14ac:dyDescent="0.3">
      <c r="A486" s="1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9" x14ac:dyDescent="0.3">
      <c r="A487" s="1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9" x14ac:dyDescent="0.3">
      <c r="A488" s="1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9" x14ac:dyDescent="0.3">
      <c r="A489" s="1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9" x14ac:dyDescent="0.3">
      <c r="A490" s="1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9" x14ac:dyDescent="0.3">
      <c r="A491" s="1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9" x14ac:dyDescent="0.3">
      <c r="A492" s="1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9" x14ac:dyDescent="0.3">
      <c r="A493" s="1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9" x14ac:dyDescent="0.3">
      <c r="A494" s="1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9" x14ac:dyDescent="0.3">
      <c r="A495" s="1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9" x14ac:dyDescent="0.3">
      <c r="A496" s="1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9" x14ac:dyDescent="0.3">
      <c r="A497" s="1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9" x14ac:dyDescent="0.3">
      <c r="A498" s="1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9" x14ac:dyDescent="0.3">
      <c r="A499" s="1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9" x14ac:dyDescent="0.3">
      <c r="A500" s="1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9" x14ac:dyDescent="0.3">
      <c r="A501" s="1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9" x14ac:dyDescent="0.3">
      <c r="A502" s="1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9" x14ac:dyDescent="0.3">
      <c r="A503" s="1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9" x14ac:dyDescent="0.3">
      <c r="A504" s="1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9" x14ac:dyDescent="0.3">
      <c r="A505" s="1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9" x14ac:dyDescent="0.3">
      <c r="A506" s="1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9" x14ac:dyDescent="0.3">
      <c r="A507" s="1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9" x14ac:dyDescent="0.3">
      <c r="A508" s="1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9" x14ac:dyDescent="0.3">
      <c r="A509" s="1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9" x14ac:dyDescent="0.3">
      <c r="A510" s="1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9" x14ac:dyDescent="0.3">
      <c r="A511" s="1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9" x14ac:dyDescent="0.3">
      <c r="A512" s="1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9" x14ac:dyDescent="0.3">
      <c r="A513" s="1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9" x14ac:dyDescent="0.3">
      <c r="A514" s="1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9" x14ac:dyDescent="0.3">
      <c r="A515" s="1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9" x14ac:dyDescent="0.3">
      <c r="A516" s="1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9" x14ac:dyDescent="0.3">
      <c r="A517" s="1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9" x14ac:dyDescent="0.3">
      <c r="A518" s="1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9" x14ac:dyDescent="0.3">
      <c r="A519" s="1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9" x14ac:dyDescent="0.3">
      <c r="A520" s="1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9" x14ac:dyDescent="0.3">
      <c r="A521" s="1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9" x14ac:dyDescent="0.3">
      <c r="A522" s="1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9" x14ac:dyDescent="0.3">
      <c r="A523" s="1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9" x14ac:dyDescent="0.3">
      <c r="A524" s="1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9" x14ac:dyDescent="0.3">
      <c r="A525" s="1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9" x14ac:dyDescent="0.3">
      <c r="A526" s="1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9" x14ac:dyDescent="0.3">
      <c r="A527" s="1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9" x14ac:dyDescent="0.3">
      <c r="A528" s="1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9" x14ac:dyDescent="0.3">
      <c r="A529" s="1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9" x14ac:dyDescent="0.3">
      <c r="A530" s="1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9" x14ac:dyDescent="0.3">
      <c r="A531" s="1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9" x14ac:dyDescent="0.3">
      <c r="A532" s="1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9" x14ac:dyDescent="0.3">
      <c r="A533" s="1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9" x14ac:dyDescent="0.3">
      <c r="A534" s="1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9" x14ac:dyDescent="0.3">
      <c r="A535" s="1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9" x14ac:dyDescent="0.3">
      <c r="A536" s="1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9" x14ac:dyDescent="0.3">
      <c r="A537" s="1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9" x14ac:dyDescent="0.3">
      <c r="A538" s="1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9" x14ac:dyDescent="0.3">
      <c r="A539" s="1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9" x14ac:dyDescent="0.3">
      <c r="A540" s="1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9" x14ac:dyDescent="0.3">
      <c r="A541" s="1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9" x14ac:dyDescent="0.3">
      <c r="A542" s="1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9" x14ac:dyDescent="0.3">
      <c r="A543" s="1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9" x14ac:dyDescent="0.3">
      <c r="A544" s="1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9" x14ac:dyDescent="0.3">
      <c r="A545" s="1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9" x14ac:dyDescent="0.3">
      <c r="A546" s="1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9" x14ac:dyDescent="0.3">
      <c r="A547" s="1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9" x14ac:dyDescent="0.3">
      <c r="A548" s="1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9" x14ac:dyDescent="0.3">
      <c r="A549" s="1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9" x14ac:dyDescent="0.3">
      <c r="A550" s="1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9" x14ac:dyDescent="0.3">
      <c r="A551" s="1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9" x14ac:dyDescent="0.3">
      <c r="A552" s="1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9" x14ac:dyDescent="0.3">
      <c r="A553" s="1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9" x14ac:dyDescent="0.3">
      <c r="A554" s="1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9" x14ac:dyDescent="0.3">
      <c r="A555" s="1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9" x14ac:dyDescent="0.3">
      <c r="A556" s="1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9" x14ac:dyDescent="0.3">
      <c r="A557" s="1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9" x14ac:dyDescent="0.3">
      <c r="A558" s="1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9" x14ac:dyDescent="0.3">
      <c r="A559" s="1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9" x14ac:dyDescent="0.3">
      <c r="A560" s="1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9" x14ac:dyDescent="0.3">
      <c r="A561" s="1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9" x14ac:dyDescent="0.3">
      <c r="A562" s="1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9" x14ac:dyDescent="0.3">
      <c r="A563" s="1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9" x14ac:dyDescent="0.3">
      <c r="A564" s="1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9" x14ac:dyDescent="0.3">
      <c r="A565" s="1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9" x14ac:dyDescent="0.3">
      <c r="A566" s="1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9" x14ac:dyDescent="0.3">
      <c r="A567" s="1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9" x14ac:dyDescent="0.3">
      <c r="A568" s="1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9" x14ac:dyDescent="0.3">
      <c r="A569" s="1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9" x14ac:dyDescent="0.3">
      <c r="A570" s="1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9" x14ac:dyDescent="0.3">
      <c r="A571" s="1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9" x14ac:dyDescent="0.3">
      <c r="A572" s="1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9" x14ac:dyDescent="0.3">
      <c r="A573" s="1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9" x14ac:dyDescent="0.3">
      <c r="A574" s="1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9" x14ac:dyDescent="0.3">
      <c r="A575" s="1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9" x14ac:dyDescent="0.3">
      <c r="A576" s="1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9" x14ac:dyDescent="0.3">
      <c r="A577" s="1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9" x14ac:dyDescent="0.3">
      <c r="A578" s="1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9" x14ac:dyDescent="0.3">
      <c r="A579" s="1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9" x14ac:dyDescent="0.3">
      <c r="A580" s="1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9" x14ac:dyDescent="0.3">
      <c r="A581" s="1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9" x14ac:dyDescent="0.3">
      <c r="A582" s="1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9" x14ac:dyDescent="0.3">
      <c r="A583" s="1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9" x14ac:dyDescent="0.3">
      <c r="A584" s="1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9" x14ac:dyDescent="0.3">
      <c r="A585" s="1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9" x14ac:dyDescent="0.3">
      <c r="A586" s="1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9" x14ac:dyDescent="0.3">
      <c r="A587" s="1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9" x14ac:dyDescent="0.3">
      <c r="A588" s="1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9" x14ac:dyDescent="0.3">
      <c r="A589" s="1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9" x14ac:dyDescent="0.3">
      <c r="A590" s="1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9" x14ac:dyDescent="0.3">
      <c r="A591" s="1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9" x14ac:dyDescent="0.3">
      <c r="A592" s="1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9" x14ac:dyDescent="0.3">
      <c r="A593" s="1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9" x14ac:dyDescent="0.3">
      <c r="A594" s="1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9" x14ac:dyDescent="0.3">
      <c r="A595" s="1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9" x14ac:dyDescent="0.3">
      <c r="A596" s="1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9" x14ac:dyDescent="0.3">
      <c r="A597" s="1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9" x14ac:dyDescent="0.3">
      <c r="A598" s="1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9" x14ac:dyDescent="0.3">
      <c r="A599" s="1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9" x14ac:dyDescent="0.3">
      <c r="A600" s="1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9" x14ac:dyDescent="0.3">
      <c r="A601" s="1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9" x14ac:dyDescent="0.3">
      <c r="A602" s="1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9" x14ac:dyDescent="0.3">
      <c r="A603" s="1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9" x14ac:dyDescent="0.3">
      <c r="A604" s="1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9" x14ac:dyDescent="0.3">
      <c r="A605" s="1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9" x14ac:dyDescent="0.3">
      <c r="A606" s="1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9" x14ac:dyDescent="0.3">
      <c r="A607" s="1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9" x14ac:dyDescent="0.3">
      <c r="A608" s="1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9" x14ac:dyDescent="0.3">
      <c r="A609" s="1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9" x14ac:dyDescent="0.3">
      <c r="A610" s="1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9" x14ac:dyDescent="0.3">
      <c r="A611" s="1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9" x14ac:dyDescent="0.3">
      <c r="A612" s="1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9" x14ac:dyDescent="0.3">
      <c r="A613" s="1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9" x14ac:dyDescent="0.3">
      <c r="A614" s="1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9" x14ac:dyDescent="0.3">
      <c r="A615" s="1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9" x14ac:dyDescent="0.3">
      <c r="A616" s="1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9" x14ac:dyDescent="0.3">
      <c r="A617" s="1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9" x14ac:dyDescent="0.3">
      <c r="A618" s="1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9" x14ac:dyDescent="0.3">
      <c r="A619" s="1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9" x14ac:dyDescent="0.3">
      <c r="A620" s="1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9" x14ac:dyDescent="0.3">
      <c r="A621" s="1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9" x14ac:dyDescent="0.3">
      <c r="A622" s="1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9" x14ac:dyDescent="0.3">
      <c r="A623" s="1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9" x14ac:dyDescent="0.3">
      <c r="A624" s="1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9" x14ac:dyDescent="0.3">
      <c r="A625" s="1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9" x14ac:dyDescent="0.3">
      <c r="A626" s="1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9" x14ac:dyDescent="0.3">
      <c r="A627" s="1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9" x14ac:dyDescent="0.3">
      <c r="A628" s="1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9" x14ac:dyDescent="0.3">
      <c r="A629" s="1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9" x14ac:dyDescent="0.3">
      <c r="A630" s="1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9" x14ac:dyDescent="0.3">
      <c r="A631" s="1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9" x14ac:dyDescent="0.3">
      <c r="A632" s="1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9" x14ac:dyDescent="0.3">
      <c r="A633" s="1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9" x14ac:dyDescent="0.3">
      <c r="A634" s="1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9" x14ac:dyDescent="0.3">
      <c r="A635" s="1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9" x14ac:dyDescent="0.3">
      <c r="A636" s="1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9" x14ac:dyDescent="0.3">
      <c r="A637" s="1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9" x14ac:dyDescent="0.3">
      <c r="A638" s="1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9" x14ac:dyDescent="0.3">
      <c r="A639" s="1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9" x14ac:dyDescent="0.3">
      <c r="A640" s="1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9" x14ac:dyDescent="0.3">
      <c r="A641" s="1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9" x14ac:dyDescent="0.3">
      <c r="A642" s="1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9" x14ac:dyDescent="0.3">
      <c r="A643" s="1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9" x14ac:dyDescent="0.3">
      <c r="A644" s="1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9" x14ac:dyDescent="0.3">
      <c r="A645" s="1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9" x14ac:dyDescent="0.3">
      <c r="A646" s="1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9" x14ac:dyDescent="0.3">
      <c r="A647" s="1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9" x14ac:dyDescent="0.3">
      <c r="A648" s="1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9" x14ac:dyDescent="0.3">
      <c r="A649" s="1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9" x14ac:dyDescent="0.3">
      <c r="A650" s="1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9" x14ac:dyDescent="0.3">
      <c r="A651" s="1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9" x14ac:dyDescent="0.3">
      <c r="A652" s="1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9" x14ac:dyDescent="0.3">
      <c r="A653" s="1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9" x14ac:dyDescent="0.3">
      <c r="A654" s="1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9" x14ac:dyDescent="0.3">
      <c r="A655" s="1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9" x14ac:dyDescent="0.3">
      <c r="A656" s="1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9" x14ac:dyDescent="0.3">
      <c r="A657" s="1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9" x14ac:dyDescent="0.3">
      <c r="A658" s="1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9" x14ac:dyDescent="0.3">
      <c r="A659" s="1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9" x14ac:dyDescent="0.3">
      <c r="A660" s="1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9" x14ac:dyDescent="0.3">
      <c r="A661" s="1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9" x14ac:dyDescent="0.3">
      <c r="A662" s="1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9" x14ac:dyDescent="0.3">
      <c r="A663" s="1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9" x14ac:dyDescent="0.3">
      <c r="A664" s="1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9" x14ac:dyDescent="0.3">
      <c r="A665" s="1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9" x14ac:dyDescent="0.3">
      <c r="A666" s="1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9" x14ac:dyDescent="0.3">
      <c r="A667" s="1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9" x14ac:dyDescent="0.3">
      <c r="A668" s="1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9" x14ac:dyDescent="0.3">
      <c r="A669" s="1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9" x14ac:dyDescent="0.3">
      <c r="A670" s="1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9" x14ac:dyDescent="0.3">
      <c r="A671" s="1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9" x14ac:dyDescent="0.3">
      <c r="A672" s="1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9" x14ac:dyDescent="0.3">
      <c r="A673" s="1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9" x14ac:dyDescent="0.3">
      <c r="A674" s="1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9" x14ac:dyDescent="0.3">
      <c r="A675" s="1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9" x14ac:dyDescent="0.3">
      <c r="A676" s="1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9" x14ac:dyDescent="0.3">
      <c r="A677" s="1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9" x14ac:dyDescent="0.3">
      <c r="A678" s="1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9" x14ac:dyDescent="0.3">
      <c r="A679" s="1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9" x14ac:dyDescent="0.3">
      <c r="A680" s="1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9" x14ac:dyDescent="0.3">
      <c r="A681" s="1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9" x14ac:dyDescent="0.3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9" x14ac:dyDescent="0.3">
      <c r="A683" s="1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9" x14ac:dyDescent="0.3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9" x14ac:dyDescent="0.3">
      <c r="A685" s="1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9" x14ac:dyDescent="0.3">
      <c r="A686" s="1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9" x14ac:dyDescent="0.3">
      <c r="A687" s="1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9" x14ac:dyDescent="0.3">
      <c r="A688" s="1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9" x14ac:dyDescent="0.3">
      <c r="A689" s="1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9" x14ac:dyDescent="0.3">
      <c r="A690" s="1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9" x14ac:dyDescent="0.3">
      <c r="A691" s="1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9" x14ac:dyDescent="0.3">
      <c r="A692" s="1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9" x14ac:dyDescent="0.3">
      <c r="A693" s="1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9" x14ac:dyDescent="0.3">
      <c r="A694" s="1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9" x14ac:dyDescent="0.3">
      <c r="A695" s="1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9" x14ac:dyDescent="0.3">
      <c r="A696" s="1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9" x14ac:dyDescent="0.3">
      <c r="A697" s="1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9" x14ac:dyDescent="0.3">
      <c r="A698" s="1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9" x14ac:dyDescent="0.3">
      <c r="A699" s="1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9" x14ac:dyDescent="0.3">
      <c r="A700" s="1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9" x14ac:dyDescent="0.3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9" x14ac:dyDescent="0.3">
      <c r="A702" s="1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9" x14ac:dyDescent="0.3">
      <c r="A703" s="1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9" x14ac:dyDescent="0.3">
      <c r="A704" s="1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9" x14ac:dyDescent="0.3">
      <c r="A705" s="1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9" x14ac:dyDescent="0.3">
      <c r="A706" s="1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9" x14ac:dyDescent="0.3">
      <c r="A707" s="1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9" x14ac:dyDescent="0.3">
      <c r="A708" s="1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9" x14ac:dyDescent="0.3">
      <c r="A709" s="1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9" x14ac:dyDescent="0.3">
      <c r="A710" s="1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9" x14ac:dyDescent="0.3">
      <c r="A711" s="1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9" x14ac:dyDescent="0.3">
      <c r="A712" s="1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9" x14ac:dyDescent="0.3">
      <c r="A713" s="1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9" x14ac:dyDescent="0.3">
      <c r="A714" s="1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9" x14ac:dyDescent="0.3">
      <c r="A715" s="1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9" x14ac:dyDescent="0.3">
      <c r="A716" s="1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9" x14ac:dyDescent="0.3">
      <c r="A717" s="1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9" x14ac:dyDescent="0.3">
      <c r="A718" s="1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9" x14ac:dyDescent="0.3">
      <c r="A719" s="1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9" x14ac:dyDescent="0.3">
      <c r="A720" s="1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9" x14ac:dyDescent="0.3">
      <c r="A721" s="1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9" x14ac:dyDescent="0.3">
      <c r="A722" s="1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9" x14ac:dyDescent="0.3">
      <c r="A723" s="1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9" x14ac:dyDescent="0.3">
      <c r="A724" s="1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9" x14ac:dyDescent="0.3">
      <c r="A725" s="1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9" x14ac:dyDescent="0.3">
      <c r="A726" s="1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9" x14ac:dyDescent="0.3">
      <c r="A727" s="1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9" x14ac:dyDescent="0.3">
      <c r="A728" s="1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9" x14ac:dyDescent="0.3">
      <c r="A729" s="1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9" x14ac:dyDescent="0.3">
      <c r="A730" s="1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9" x14ac:dyDescent="0.3">
      <c r="A731" s="1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9" x14ac:dyDescent="0.3">
      <c r="A732" s="1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9" x14ac:dyDescent="0.3">
      <c r="A733" s="1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9" x14ac:dyDescent="0.3">
      <c r="A734" s="1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9" x14ac:dyDescent="0.3">
      <c r="A735" s="1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9" x14ac:dyDescent="0.3">
      <c r="A736" s="1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9" x14ac:dyDescent="0.3">
      <c r="A737" s="1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9" x14ac:dyDescent="0.3">
      <c r="A738" s="1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9" x14ac:dyDescent="0.3">
      <c r="A739" s="1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9" x14ac:dyDescent="0.3">
      <c r="A740" s="1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9" x14ac:dyDescent="0.3">
      <c r="A741" s="1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9" x14ac:dyDescent="0.3">
      <c r="A742" s="1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9" x14ac:dyDescent="0.3">
      <c r="A743" s="1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9" x14ac:dyDescent="0.3">
      <c r="A744" s="1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9" x14ac:dyDescent="0.3">
      <c r="A745" s="1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9" x14ac:dyDescent="0.3">
      <c r="A746" s="1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9" x14ac:dyDescent="0.3">
      <c r="A747" s="1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9" x14ac:dyDescent="0.3">
      <c r="A748" s="1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9" x14ac:dyDescent="0.3">
      <c r="A749" s="1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9" x14ac:dyDescent="0.3">
      <c r="A750" s="1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9" x14ac:dyDescent="0.3">
      <c r="A751" s="1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9" x14ac:dyDescent="0.3">
      <c r="A752" s="1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9" x14ac:dyDescent="0.3">
      <c r="A753" s="1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9" x14ac:dyDescent="0.3">
      <c r="A754" s="1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9" x14ac:dyDescent="0.3">
      <c r="A755" s="1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9" x14ac:dyDescent="0.3">
      <c r="A756" s="1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9" x14ac:dyDescent="0.3">
      <c r="A757" s="1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9" x14ac:dyDescent="0.3">
      <c r="A758" s="1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9" x14ac:dyDescent="0.3">
      <c r="A759" s="1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9" x14ac:dyDescent="0.3">
      <c r="A760" s="1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9" x14ac:dyDescent="0.3">
      <c r="A761" s="1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9" x14ac:dyDescent="0.3">
      <c r="A762" s="1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9" x14ac:dyDescent="0.3">
      <c r="A763" s="1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9" x14ac:dyDescent="0.3">
      <c r="A764" s="1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9" x14ac:dyDescent="0.3">
      <c r="A765" s="1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9" x14ac:dyDescent="0.3">
      <c r="A766" s="1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9" x14ac:dyDescent="0.3">
      <c r="A767" s="1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9" x14ac:dyDescent="0.3">
      <c r="A768" s="1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9" x14ac:dyDescent="0.3">
      <c r="A769" s="1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9" x14ac:dyDescent="0.3">
      <c r="A770" s="1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9" x14ac:dyDescent="0.3">
      <c r="A771" s="1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9" x14ac:dyDescent="0.3">
      <c r="A772" s="1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9" x14ac:dyDescent="0.3">
      <c r="A773" s="1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9" x14ac:dyDescent="0.3">
      <c r="A774" s="1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9" x14ac:dyDescent="0.3">
      <c r="A775" s="1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9" x14ac:dyDescent="0.3">
      <c r="A776" s="1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9" x14ac:dyDescent="0.3">
      <c r="A777" s="1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9" x14ac:dyDescent="0.3">
      <c r="A778" s="1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9" x14ac:dyDescent="0.3">
      <c r="A779" s="1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9" x14ac:dyDescent="0.3">
      <c r="A780" s="1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9" x14ac:dyDescent="0.3">
      <c r="A781" s="1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9" x14ac:dyDescent="0.3">
      <c r="A782" s="1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9" x14ac:dyDescent="0.3">
      <c r="A783" s="1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9" x14ac:dyDescent="0.3">
      <c r="A784" s="1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9" x14ac:dyDescent="0.3">
      <c r="A785" s="1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9" x14ac:dyDescent="0.3">
      <c r="A786" s="1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9" x14ac:dyDescent="0.3">
      <c r="A787" s="1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9" x14ac:dyDescent="0.3">
      <c r="A788" s="1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9" x14ac:dyDescent="0.3">
      <c r="A789" s="1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9" x14ac:dyDescent="0.3">
      <c r="A790" s="1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9" x14ac:dyDescent="0.3">
      <c r="A791" s="1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9" x14ac:dyDescent="0.3">
      <c r="A792" s="1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9" x14ac:dyDescent="0.3">
      <c r="A793" s="1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9" x14ac:dyDescent="0.3">
      <c r="A794" s="1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9" x14ac:dyDescent="0.3">
      <c r="A795" s="1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9" x14ac:dyDescent="0.3">
      <c r="A796" s="1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9" x14ac:dyDescent="0.3">
      <c r="A797" s="1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9" x14ac:dyDescent="0.3">
      <c r="A798" s="1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9" x14ac:dyDescent="0.3">
      <c r="A799" s="1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9" x14ac:dyDescent="0.3">
      <c r="A800" s="1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9" x14ac:dyDescent="0.3">
      <c r="A801" s="1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9" x14ac:dyDescent="0.3">
      <c r="A802" s="1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9" x14ac:dyDescent="0.3">
      <c r="A803" s="1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9" x14ac:dyDescent="0.3">
      <c r="A804" s="1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9" x14ac:dyDescent="0.3">
      <c r="A805" s="1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9" x14ac:dyDescent="0.3">
      <c r="A806" s="1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9" x14ac:dyDescent="0.3">
      <c r="A807" s="1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9" x14ac:dyDescent="0.3">
      <c r="A808" s="1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9" x14ac:dyDescent="0.3">
      <c r="A809" s="1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9" x14ac:dyDescent="0.3">
      <c r="A810" s="1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9" x14ac:dyDescent="0.3">
      <c r="A811" s="1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9" x14ac:dyDescent="0.3">
      <c r="A812" s="1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9" x14ac:dyDescent="0.3">
      <c r="A813" s="1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9" x14ac:dyDescent="0.3">
      <c r="A814" s="1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9" x14ac:dyDescent="0.3">
      <c r="A815" s="1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9" x14ac:dyDescent="0.3">
      <c r="A816" s="1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9" x14ac:dyDescent="0.3">
      <c r="A817" s="1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9" x14ac:dyDescent="0.3">
      <c r="A818" s="1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9" x14ac:dyDescent="0.3">
      <c r="A819" s="1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9" x14ac:dyDescent="0.3">
      <c r="A820" s="1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9" x14ac:dyDescent="0.3">
      <c r="A821" s="1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9" x14ac:dyDescent="0.3">
      <c r="A822" s="1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9" x14ac:dyDescent="0.3">
      <c r="A823" s="1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9" x14ac:dyDescent="0.3">
      <c r="A824" s="1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9" x14ac:dyDescent="0.3">
      <c r="A825" s="1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9" x14ac:dyDescent="0.3">
      <c r="A826" s="1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9" x14ac:dyDescent="0.3">
      <c r="A827" s="1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9" x14ac:dyDescent="0.3">
      <c r="A828" s="1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9" x14ac:dyDescent="0.3">
      <c r="A829" s="1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9" x14ac:dyDescent="0.3">
      <c r="A830" s="1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9" x14ac:dyDescent="0.3">
      <c r="A831" s="1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9" x14ac:dyDescent="0.3">
      <c r="A832" s="1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9" x14ac:dyDescent="0.3">
      <c r="A833" s="1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9" x14ac:dyDescent="0.3">
      <c r="A834" s="1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9" x14ac:dyDescent="0.3">
      <c r="A835" s="1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9" x14ac:dyDescent="0.3">
      <c r="A836" s="1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9" x14ac:dyDescent="0.3">
      <c r="A837" s="1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9" x14ac:dyDescent="0.3">
      <c r="A838" s="1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9" x14ac:dyDescent="0.3">
      <c r="A839" s="1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9" x14ac:dyDescent="0.3">
      <c r="A840" s="1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9" x14ac:dyDescent="0.3">
      <c r="A841" s="1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9" x14ac:dyDescent="0.3">
      <c r="A842" s="1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9" x14ac:dyDescent="0.3">
      <c r="A843" s="1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9" x14ac:dyDescent="0.3">
      <c r="A844" s="1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9" x14ac:dyDescent="0.3">
      <c r="A845" s="1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9" x14ac:dyDescent="0.3">
      <c r="A846" s="1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9" x14ac:dyDescent="0.3">
      <c r="A847" s="1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9" x14ac:dyDescent="0.3">
      <c r="A848" s="1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9" x14ac:dyDescent="0.3">
      <c r="A849" s="1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9" x14ac:dyDescent="0.3">
      <c r="A850" s="1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9" x14ac:dyDescent="0.3">
      <c r="A851" s="1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9" x14ac:dyDescent="0.3">
      <c r="A852" s="1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9" x14ac:dyDescent="0.3">
      <c r="A853" s="1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9" x14ac:dyDescent="0.3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9" x14ac:dyDescent="0.3">
      <c r="A855" s="1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9" x14ac:dyDescent="0.3">
      <c r="A856" s="1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9" x14ac:dyDescent="0.3">
      <c r="A857" s="1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9" x14ac:dyDescent="0.3">
      <c r="A858" s="1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9" x14ac:dyDescent="0.3">
      <c r="A859" s="1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9" x14ac:dyDescent="0.3">
      <c r="A860" s="1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9" x14ac:dyDescent="0.3">
      <c r="A861" s="1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9" x14ac:dyDescent="0.3">
      <c r="A862" s="1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9" x14ac:dyDescent="0.3">
      <c r="A863" s="1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9" x14ac:dyDescent="0.3">
      <c r="A864" s="1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9" x14ac:dyDescent="0.3">
      <c r="A865" s="1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9" x14ac:dyDescent="0.3">
      <c r="A866" s="1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9" x14ac:dyDescent="0.3">
      <c r="A867" s="1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9" x14ac:dyDescent="0.3">
      <c r="A868" s="1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9" x14ac:dyDescent="0.3">
      <c r="A869" s="1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9" x14ac:dyDescent="0.3">
      <c r="A870" s="1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9" x14ac:dyDescent="0.3">
      <c r="A871" s="1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9" x14ac:dyDescent="0.3">
      <c r="A872" s="1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9" x14ac:dyDescent="0.3">
      <c r="A873" s="1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9" x14ac:dyDescent="0.3">
      <c r="A874" s="1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9" x14ac:dyDescent="0.3">
      <c r="A875" s="1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9" x14ac:dyDescent="0.3">
      <c r="A876" s="1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9" x14ac:dyDescent="0.3">
      <c r="A877" s="1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9" x14ac:dyDescent="0.3">
      <c r="A878" s="1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9" x14ac:dyDescent="0.3">
      <c r="A879" s="1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9" x14ac:dyDescent="0.3">
      <c r="A880" s="1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9" x14ac:dyDescent="0.3">
      <c r="A881" s="1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9" x14ac:dyDescent="0.3">
      <c r="A882" s="1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9" x14ac:dyDescent="0.3">
      <c r="A883" s="1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9" x14ac:dyDescent="0.3">
      <c r="A884" s="1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9" x14ac:dyDescent="0.3">
      <c r="A885" s="1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9" x14ac:dyDescent="0.3">
      <c r="A886" s="1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9" x14ac:dyDescent="0.3">
      <c r="A887" s="1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9" x14ac:dyDescent="0.3">
      <c r="A888" s="1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9" x14ac:dyDescent="0.3">
      <c r="A889" s="1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9" x14ac:dyDescent="0.3">
      <c r="A890" s="1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9" x14ac:dyDescent="0.3">
      <c r="A891" s="1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9" x14ac:dyDescent="0.3">
      <c r="A892" s="1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9" x14ac:dyDescent="0.3">
      <c r="A893" s="1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9" x14ac:dyDescent="0.3">
      <c r="A894" s="1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9" x14ac:dyDescent="0.3">
      <c r="A895" s="1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9" x14ac:dyDescent="0.3">
      <c r="A896" s="1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9" x14ac:dyDescent="0.3">
      <c r="A897" s="1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9" x14ac:dyDescent="0.3">
      <c r="A898" s="1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9" x14ac:dyDescent="0.3">
      <c r="A899" s="1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9" x14ac:dyDescent="0.3">
      <c r="A900" s="1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9" x14ac:dyDescent="0.3">
      <c r="A901" s="1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9" x14ac:dyDescent="0.3">
      <c r="A902" s="1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9" x14ac:dyDescent="0.3">
      <c r="A903" s="1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9" x14ac:dyDescent="0.3">
      <c r="A904" s="1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9" x14ac:dyDescent="0.3">
      <c r="A905" s="1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9" x14ac:dyDescent="0.3">
      <c r="A906" s="1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9" x14ac:dyDescent="0.3">
      <c r="A907" s="1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9" x14ac:dyDescent="0.3">
      <c r="A908" s="1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9" x14ac:dyDescent="0.3">
      <c r="A909" s="1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9" x14ac:dyDescent="0.3">
      <c r="A910" s="1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9" x14ac:dyDescent="0.3">
      <c r="A911" s="1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9" x14ac:dyDescent="0.3">
      <c r="A912" s="1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9" x14ac:dyDescent="0.3">
      <c r="A913" s="1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9" x14ac:dyDescent="0.3">
      <c r="A914" s="1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9" x14ac:dyDescent="0.3">
      <c r="A915" s="1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9" x14ac:dyDescent="0.3">
      <c r="A916" s="1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9" x14ac:dyDescent="0.3">
      <c r="A917" s="1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9" x14ac:dyDescent="0.3">
      <c r="A918" s="1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9" x14ac:dyDescent="0.3">
      <c r="A919" s="1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9" x14ac:dyDescent="0.3">
      <c r="A920" s="1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9" x14ac:dyDescent="0.3">
      <c r="A921" s="1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9" x14ac:dyDescent="0.3">
      <c r="A922" s="1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9" x14ac:dyDescent="0.3">
      <c r="A923" s="1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9" x14ac:dyDescent="0.3">
      <c r="A924" s="1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9" x14ac:dyDescent="0.3">
      <c r="A925" s="1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9" x14ac:dyDescent="0.3">
      <c r="A926" s="1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</sheetData>
  <sortState xmlns:xlrd2="http://schemas.microsoft.com/office/spreadsheetml/2017/richdata2" ref="A2:T926">
    <sortCondition ref="R2:R926"/>
  </sortState>
  <phoneticPr fontId="1" type="noConversion"/>
  <conditionalFormatting sqref="I1:I1048576">
    <cfRule type="cellIs" dxfId="4" priority="2" operator="lessThan">
      <formula>0.05</formula>
    </cfRule>
  </conditionalFormatting>
  <conditionalFormatting sqref="Q1:Q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8DE-177B-47DE-92BF-782FF6E6FA2A}">
  <dimension ref="A1:M926"/>
  <sheetViews>
    <sheetView workbookViewId="0">
      <selection activeCell="J2" sqref="J2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0" max="10" width="16.1328125" style="1" bestFit="1" customWidth="1"/>
  </cols>
  <sheetData>
    <row r="1" spans="1:13" ht="13.9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3" t="s">
        <v>957</v>
      </c>
      <c r="K1" t="s">
        <v>960</v>
      </c>
    </row>
    <row r="2" spans="1:13" ht="13.9" x14ac:dyDescent="0.3">
      <c r="A2" s="2" t="s">
        <v>54</v>
      </c>
      <c r="B2" s="2">
        <v>0</v>
      </c>
      <c r="C2" s="2">
        <v>0.28999999999999998</v>
      </c>
      <c r="D2" s="2">
        <v>0</v>
      </c>
      <c r="E2" s="2">
        <v>19.89</v>
      </c>
      <c r="F2" s="2">
        <v>24.39</v>
      </c>
      <c r="G2" s="2">
        <v>20.309999999999999</v>
      </c>
      <c r="H2" s="2">
        <f t="shared" ref="H2:H65" si="0">LOG(SUM(B2:D2)/SUM(E2:G2),2)</f>
        <v>-7.7991141097608185</v>
      </c>
      <c r="I2" s="2">
        <f t="shared" ref="I2:I65" si="1">_xlfn.T.TEST(B2:D2,E2:G2,2,2)</f>
        <v>1.1813041786252097E-4</v>
      </c>
      <c r="J2" s="2">
        <f t="shared" ref="J2:J65" si="2">LOG(SUM(B2:D2),2)</f>
        <v>-1.7858751946471527</v>
      </c>
      <c r="K2">
        <f t="shared" ref="K2:K65" si="3">AVERAGE(E2:G2)</f>
        <v>21.53</v>
      </c>
      <c r="M2" s="2"/>
    </row>
    <row r="3" spans="1:13" ht="13.9" x14ac:dyDescent="0.3">
      <c r="A3" s="2" t="s">
        <v>368</v>
      </c>
      <c r="B3" s="2">
        <v>0</v>
      </c>
      <c r="C3" s="2">
        <v>0</v>
      </c>
      <c r="D3" s="2">
        <v>0.26</v>
      </c>
      <c r="E3" s="2">
        <v>9.82</v>
      </c>
      <c r="F3" s="2">
        <v>13.97</v>
      </c>
      <c r="G3" s="2">
        <v>12.14</v>
      </c>
      <c r="H3" s="2">
        <f t="shared" si="0"/>
        <v>-7.110533501861072</v>
      </c>
      <c r="I3" s="2">
        <f t="shared" si="1"/>
        <v>5.8976411794679014E-4</v>
      </c>
      <c r="J3" s="2">
        <f t="shared" si="2"/>
        <v>-1.9434164716336324</v>
      </c>
      <c r="K3">
        <f t="shared" si="3"/>
        <v>11.976666666666667</v>
      </c>
    </row>
    <row r="4" spans="1:13" ht="13.9" x14ac:dyDescent="0.3">
      <c r="A4" s="2" t="s">
        <v>868</v>
      </c>
      <c r="B4" s="2">
        <v>0</v>
      </c>
      <c r="C4" s="2">
        <v>0.28999999999999998</v>
      </c>
      <c r="D4" s="2">
        <v>0</v>
      </c>
      <c r="E4" s="2">
        <v>15.61</v>
      </c>
      <c r="F4" s="2">
        <v>9.09</v>
      </c>
      <c r="G4" s="2">
        <v>9.08</v>
      </c>
      <c r="H4" s="2">
        <f t="shared" si="0"/>
        <v>-6.8639726176738138</v>
      </c>
      <c r="I4" s="2">
        <f t="shared" si="1"/>
        <v>6.8503716658813128E-3</v>
      </c>
      <c r="J4" s="2">
        <f t="shared" si="2"/>
        <v>-1.7858751946471527</v>
      </c>
      <c r="K4">
        <f t="shared" si="3"/>
        <v>11.26</v>
      </c>
    </row>
    <row r="5" spans="1:13" ht="13.9" x14ac:dyDescent="0.3">
      <c r="A5" s="2" t="s">
        <v>284</v>
      </c>
      <c r="B5" s="2">
        <v>0.13</v>
      </c>
      <c r="C5" s="2">
        <v>0</v>
      </c>
      <c r="D5" s="2">
        <v>0</v>
      </c>
      <c r="E5" s="2">
        <v>8.06</v>
      </c>
      <c r="F5" s="2">
        <v>2.77</v>
      </c>
      <c r="G5" s="2">
        <v>0.11</v>
      </c>
      <c r="H5" s="5">
        <f t="shared" si="0"/>
        <v>-6.3949573046514638</v>
      </c>
      <c r="I5" s="5">
        <f t="shared" si="1"/>
        <v>0.19794414000147925</v>
      </c>
      <c r="J5" s="2">
        <f t="shared" si="2"/>
        <v>-2.9434164716336326</v>
      </c>
      <c r="K5">
        <f t="shared" si="3"/>
        <v>3.6466666666666665</v>
      </c>
    </row>
    <row r="6" spans="1:13" ht="13.9" x14ac:dyDescent="0.3">
      <c r="A6" s="2" t="s">
        <v>172</v>
      </c>
      <c r="B6" s="2">
        <v>0.13</v>
      </c>
      <c r="C6" s="2">
        <v>0</v>
      </c>
      <c r="D6" s="2">
        <v>0</v>
      </c>
      <c r="E6" s="2">
        <v>1.76</v>
      </c>
      <c r="F6" s="2">
        <v>1.66</v>
      </c>
      <c r="G6" s="2">
        <v>2.95</v>
      </c>
      <c r="H6" s="2">
        <f t="shared" si="0"/>
        <v>-5.6147098441152083</v>
      </c>
      <c r="I6" s="2">
        <f t="shared" si="1"/>
        <v>7.5287131437507034E-3</v>
      </c>
      <c r="J6" s="2">
        <f t="shared" si="2"/>
        <v>-2.9434164716336326</v>
      </c>
      <c r="K6">
        <f t="shared" si="3"/>
        <v>2.1233333333333335</v>
      </c>
    </row>
    <row r="7" spans="1:13" ht="13.9" x14ac:dyDescent="0.3">
      <c r="A7" s="2" t="s">
        <v>330</v>
      </c>
      <c r="B7" s="2">
        <v>0</v>
      </c>
      <c r="C7" s="2">
        <v>0.28999999999999998</v>
      </c>
      <c r="D7" s="2">
        <v>0.26</v>
      </c>
      <c r="E7" s="2">
        <v>10.83</v>
      </c>
      <c r="F7" s="2">
        <v>6.1</v>
      </c>
      <c r="G7" s="2">
        <v>6.92</v>
      </c>
      <c r="H7" s="2">
        <f t="shared" si="0"/>
        <v>-5.4384138373682145</v>
      </c>
      <c r="I7" s="2">
        <f t="shared" si="1"/>
        <v>6.0399670733443031E-3</v>
      </c>
      <c r="J7" s="2">
        <f t="shared" si="2"/>
        <v>-0.86249647625006509</v>
      </c>
      <c r="K7">
        <f t="shared" si="3"/>
        <v>7.95</v>
      </c>
    </row>
    <row r="8" spans="1:13" ht="13.9" x14ac:dyDescent="0.3">
      <c r="A8" s="2" t="s">
        <v>83</v>
      </c>
      <c r="B8" s="2">
        <v>0</v>
      </c>
      <c r="C8" s="2">
        <v>0</v>
      </c>
      <c r="D8" s="2">
        <v>0.26</v>
      </c>
      <c r="E8" s="2">
        <v>0.63</v>
      </c>
      <c r="F8" s="2">
        <v>5.77</v>
      </c>
      <c r="G8" s="2">
        <v>2.16</v>
      </c>
      <c r="H8" s="2">
        <f t="shared" si="0"/>
        <v>-5.0410272682600548</v>
      </c>
      <c r="I8" s="2">
        <f t="shared" si="1"/>
        <v>0.14408301800446266</v>
      </c>
      <c r="J8" s="2">
        <f t="shared" si="2"/>
        <v>-1.9434164716336324</v>
      </c>
      <c r="K8">
        <f t="shared" si="3"/>
        <v>2.8533333333333331</v>
      </c>
    </row>
    <row r="9" spans="1:13" ht="13.9" x14ac:dyDescent="0.3">
      <c r="A9" s="2" t="s">
        <v>84</v>
      </c>
      <c r="B9" s="2">
        <v>0</v>
      </c>
      <c r="C9" s="2">
        <v>0</v>
      </c>
      <c r="D9" s="2">
        <v>0.26</v>
      </c>
      <c r="E9" s="2">
        <v>0.63</v>
      </c>
      <c r="F9" s="2">
        <v>5.77</v>
      </c>
      <c r="G9" s="2">
        <v>2.16</v>
      </c>
      <c r="H9" s="2">
        <f t="shared" si="0"/>
        <v>-5.0410272682600548</v>
      </c>
      <c r="I9" s="2">
        <f t="shared" si="1"/>
        <v>0.14408301800446266</v>
      </c>
      <c r="J9" s="2">
        <f t="shared" si="2"/>
        <v>-1.9434164716336324</v>
      </c>
      <c r="K9">
        <f t="shared" si="3"/>
        <v>2.8533333333333331</v>
      </c>
    </row>
    <row r="10" spans="1:13" ht="13.9" x14ac:dyDescent="0.3">
      <c r="A10" s="2" t="s">
        <v>594</v>
      </c>
      <c r="B10" s="2">
        <v>5.9</v>
      </c>
      <c r="C10" s="2">
        <v>0.28999999999999998</v>
      </c>
      <c r="D10" s="2">
        <v>1.04</v>
      </c>
      <c r="E10" s="2">
        <v>76.41</v>
      </c>
      <c r="F10" s="2">
        <v>66.75</v>
      </c>
      <c r="G10" s="2">
        <v>73.849999999999994</v>
      </c>
      <c r="H10" s="2">
        <f t="shared" si="0"/>
        <v>-4.9076220673786892</v>
      </c>
      <c r="I10" s="2">
        <f t="shared" si="1"/>
        <v>3.2340330343622376E-5</v>
      </c>
      <c r="J10" s="2">
        <f t="shared" si="2"/>
        <v>2.8539956471763932</v>
      </c>
      <c r="K10">
        <f t="shared" si="3"/>
        <v>72.336666666666659</v>
      </c>
    </row>
    <row r="11" spans="1:13" ht="13.9" x14ac:dyDescent="0.3">
      <c r="A11" s="2" t="s">
        <v>450</v>
      </c>
      <c r="B11" s="2">
        <v>0.13</v>
      </c>
      <c r="C11" s="2">
        <v>0</v>
      </c>
      <c r="D11" s="2">
        <v>0</v>
      </c>
      <c r="E11" s="2">
        <v>0</v>
      </c>
      <c r="F11" s="2">
        <v>3.1</v>
      </c>
      <c r="G11" s="2">
        <v>0.23</v>
      </c>
      <c r="H11" s="2">
        <f t="shared" si="0"/>
        <v>-4.6789386489301705</v>
      </c>
      <c r="I11" s="2">
        <f t="shared" si="1"/>
        <v>0.34543375885874278</v>
      </c>
      <c r="J11" s="2">
        <f t="shared" si="2"/>
        <v>-2.9434164716336326</v>
      </c>
      <c r="K11">
        <f t="shared" si="3"/>
        <v>1.1100000000000001</v>
      </c>
    </row>
    <row r="12" spans="1:13" ht="13.9" x14ac:dyDescent="0.3">
      <c r="A12" s="2" t="s">
        <v>920</v>
      </c>
      <c r="B12" s="2">
        <v>0.52</v>
      </c>
      <c r="C12" s="2">
        <v>0.28999999999999998</v>
      </c>
      <c r="D12" s="2">
        <v>0.26</v>
      </c>
      <c r="E12" s="2">
        <v>11.71</v>
      </c>
      <c r="F12" s="2">
        <v>5.32</v>
      </c>
      <c r="G12" s="2">
        <v>7.49</v>
      </c>
      <c r="H12" s="2">
        <f t="shared" si="0"/>
        <v>-4.5182762772896341</v>
      </c>
      <c r="I12" s="2">
        <f t="shared" si="1"/>
        <v>1.4114756939392506E-2</v>
      </c>
      <c r="J12" s="2">
        <f t="shared" si="2"/>
        <v>9.7610796626422344E-2</v>
      </c>
      <c r="K12">
        <f t="shared" si="3"/>
        <v>8.1733333333333338</v>
      </c>
    </row>
    <row r="13" spans="1:13" ht="13.9" x14ac:dyDescent="0.3">
      <c r="A13" s="2" t="s">
        <v>235</v>
      </c>
      <c r="B13" s="2">
        <v>2.4900000000000002</v>
      </c>
      <c r="C13" s="2">
        <v>0</v>
      </c>
      <c r="D13" s="2">
        <v>0</v>
      </c>
      <c r="E13" s="2">
        <v>25.18</v>
      </c>
      <c r="F13" s="2">
        <v>10.42</v>
      </c>
      <c r="G13" s="2">
        <v>21.33</v>
      </c>
      <c r="H13" s="2">
        <f t="shared" si="0"/>
        <v>-4.5149714523230653</v>
      </c>
      <c r="I13" s="2">
        <f t="shared" si="1"/>
        <v>1.5671726935449184E-2</v>
      </c>
      <c r="J13" s="2">
        <f t="shared" si="2"/>
        <v>1.3161457422933565</v>
      </c>
      <c r="K13">
        <f t="shared" si="3"/>
        <v>18.976666666666667</v>
      </c>
    </row>
    <row r="14" spans="1:13" ht="13.9" x14ac:dyDescent="0.3">
      <c r="A14" s="2" t="s">
        <v>665</v>
      </c>
      <c r="B14" s="2">
        <v>0</v>
      </c>
      <c r="C14" s="2">
        <v>0.28999999999999998</v>
      </c>
      <c r="D14" s="2">
        <v>0</v>
      </c>
      <c r="E14" s="2">
        <v>1.26</v>
      </c>
      <c r="F14" s="2">
        <v>3.44</v>
      </c>
      <c r="G14" s="2">
        <v>1.82</v>
      </c>
      <c r="H14" s="2">
        <f t="shared" si="0"/>
        <v>-4.4907471591035053</v>
      </c>
      <c r="I14" s="2">
        <f t="shared" si="1"/>
        <v>3.4750596827020391E-2</v>
      </c>
      <c r="J14" s="2">
        <f t="shared" si="2"/>
        <v>-1.7858751946471527</v>
      </c>
      <c r="K14">
        <f t="shared" si="3"/>
        <v>2.1733333333333333</v>
      </c>
    </row>
    <row r="15" spans="1:13" ht="13.9" x14ac:dyDescent="0.3">
      <c r="A15" s="2" t="s">
        <v>629</v>
      </c>
      <c r="B15" s="2">
        <v>0</v>
      </c>
      <c r="C15" s="2">
        <v>0.28999999999999998</v>
      </c>
      <c r="D15" s="2">
        <v>0</v>
      </c>
      <c r="E15" s="2">
        <v>0.76</v>
      </c>
      <c r="F15" s="2">
        <v>2.44</v>
      </c>
      <c r="G15" s="2">
        <v>1.93</v>
      </c>
      <c r="H15" s="2">
        <f t="shared" si="0"/>
        <v>-4.1448340204794825</v>
      </c>
      <c r="I15" s="2">
        <f t="shared" si="1"/>
        <v>3.3387259514477394E-2</v>
      </c>
      <c r="J15" s="2">
        <f t="shared" si="2"/>
        <v>-1.7858751946471527</v>
      </c>
      <c r="K15">
        <f t="shared" si="3"/>
        <v>1.71</v>
      </c>
    </row>
    <row r="16" spans="1:13" ht="13.9" x14ac:dyDescent="0.3">
      <c r="A16" s="2" t="s">
        <v>772</v>
      </c>
      <c r="B16" s="2">
        <v>1.18</v>
      </c>
      <c r="C16" s="2">
        <v>0</v>
      </c>
      <c r="D16" s="2">
        <v>0.26</v>
      </c>
      <c r="E16" s="2">
        <v>5.79</v>
      </c>
      <c r="F16" s="2">
        <v>11.09</v>
      </c>
      <c r="G16" s="2">
        <v>3.63</v>
      </c>
      <c r="H16" s="2">
        <f t="shared" si="0"/>
        <v>-3.8321867750375396</v>
      </c>
      <c r="I16" s="2">
        <f t="shared" si="1"/>
        <v>4.7269040001168973E-2</v>
      </c>
      <c r="J16" s="2">
        <f t="shared" si="2"/>
        <v>0.52606881166758768</v>
      </c>
      <c r="K16">
        <f t="shared" si="3"/>
        <v>6.836666666666666</v>
      </c>
    </row>
    <row r="17" spans="1:11" ht="13.9" x14ac:dyDescent="0.3">
      <c r="A17" s="2" t="s">
        <v>606</v>
      </c>
      <c r="B17" s="2">
        <v>0</v>
      </c>
      <c r="C17" s="2">
        <v>2.31</v>
      </c>
      <c r="D17" s="2">
        <v>0</v>
      </c>
      <c r="E17" s="2">
        <v>9.94</v>
      </c>
      <c r="F17" s="2">
        <v>5.77</v>
      </c>
      <c r="G17" s="2">
        <v>11.57</v>
      </c>
      <c r="H17" s="2">
        <f t="shared" si="0"/>
        <v>-3.5618788876081156</v>
      </c>
      <c r="I17" s="2">
        <f t="shared" si="1"/>
        <v>1.167464060561834E-2</v>
      </c>
      <c r="J17" s="2">
        <f t="shared" si="2"/>
        <v>1.207892851641333</v>
      </c>
      <c r="K17">
        <f t="shared" si="3"/>
        <v>9.0933333333333337</v>
      </c>
    </row>
    <row r="18" spans="1:11" ht="13.9" x14ac:dyDescent="0.3">
      <c r="A18" s="2" t="s">
        <v>940</v>
      </c>
      <c r="B18" s="2">
        <v>0</v>
      </c>
      <c r="C18" s="2">
        <v>0.57999999999999996</v>
      </c>
      <c r="D18" s="2">
        <v>0.26</v>
      </c>
      <c r="E18" s="2">
        <v>4.53</v>
      </c>
      <c r="F18" s="2">
        <v>1.33</v>
      </c>
      <c r="G18" s="2">
        <v>3.74</v>
      </c>
      <c r="H18" s="2">
        <f t="shared" si="0"/>
        <v>-3.5145731728297589</v>
      </c>
      <c r="I18" s="2">
        <f t="shared" si="1"/>
        <v>4.0378178247889626E-2</v>
      </c>
      <c r="J18" s="2">
        <f t="shared" si="2"/>
        <v>-0.2515387669959645</v>
      </c>
      <c r="K18">
        <f t="shared" si="3"/>
        <v>3.2000000000000006</v>
      </c>
    </row>
    <row r="19" spans="1:11" ht="13.9" x14ac:dyDescent="0.3">
      <c r="A19" s="2" t="s">
        <v>76</v>
      </c>
      <c r="B19" s="2">
        <v>0</v>
      </c>
      <c r="C19" s="2">
        <v>0.57999999999999996</v>
      </c>
      <c r="D19" s="2">
        <v>0</v>
      </c>
      <c r="E19" s="2">
        <v>3.78</v>
      </c>
      <c r="F19" s="2">
        <v>2</v>
      </c>
      <c r="G19" s="2">
        <v>0.79</v>
      </c>
      <c r="H19" s="2">
        <f t="shared" si="0"/>
        <v>-3.5017685651947579</v>
      </c>
      <c r="I19" s="2">
        <f t="shared" si="1"/>
        <v>8.8188530443802898E-2</v>
      </c>
      <c r="J19" s="2">
        <f t="shared" si="2"/>
        <v>-0.78587519464715272</v>
      </c>
      <c r="K19">
        <f t="shared" si="3"/>
        <v>2.19</v>
      </c>
    </row>
    <row r="20" spans="1:11" ht="13.9" x14ac:dyDescent="0.3">
      <c r="A20" s="2" t="s">
        <v>846</v>
      </c>
      <c r="B20" s="2">
        <v>0.13</v>
      </c>
      <c r="C20" s="2">
        <v>0.28999999999999998</v>
      </c>
      <c r="D20" s="2">
        <v>0</v>
      </c>
      <c r="E20" s="2">
        <v>0.76</v>
      </c>
      <c r="F20" s="2">
        <v>0.33</v>
      </c>
      <c r="G20" s="2">
        <v>3.06</v>
      </c>
      <c r="H20" s="2">
        <f t="shared" si="0"/>
        <v>-3.3046501034555269</v>
      </c>
      <c r="I20" s="2">
        <f t="shared" si="1"/>
        <v>0.21807601113585751</v>
      </c>
      <c r="J20" s="2">
        <f t="shared" si="2"/>
        <v>-1.2515387669959643</v>
      </c>
      <c r="K20">
        <f t="shared" si="3"/>
        <v>1.3833333333333335</v>
      </c>
    </row>
    <row r="21" spans="1:11" ht="13.9" x14ac:dyDescent="0.3">
      <c r="A21" s="2" t="s">
        <v>290</v>
      </c>
      <c r="B21" s="2">
        <v>13.63</v>
      </c>
      <c r="C21" s="2">
        <v>0.28999999999999998</v>
      </c>
      <c r="D21" s="2">
        <v>1.3</v>
      </c>
      <c r="E21" s="2">
        <v>41.29</v>
      </c>
      <c r="F21" s="2">
        <v>50.45</v>
      </c>
      <c r="G21" s="2">
        <v>49.01</v>
      </c>
      <c r="H21" s="2">
        <f t="shared" si="0"/>
        <v>-3.2090946583514093</v>
      </c>
      <c r="I21" s="2">
        <f t="shared" si="1"/>
        <v>1.2439837296676468E-3</v>
      </c>
      <c r="J21" s="2">
        <f t="shared" si="2"/>
        <v>3.9278964537288208</v>
      </c>
      <c r="K21">
        <f t="shared" si="3"/>
        <v>46.916666666666664</v>
      </c>
    </row>
    <row r="22" spans="1:11" ht="13.9" x14ac:dyDescent="0.3">
      <c r="A22" s="2" t="s">
        <v>727</v>
      </c>
      <c r="B22" s="2">
        <v>16.649999999999999</v>
      </c>
      <c r="C22" s="2">
        <v>0.28999999999999998</v>
      </c>
      <c r="D22" s="2">
        <v>0.26</v>
      </c>
      <c r="E22" s="2">
        <v>64.83</v>
      </c>
      <c r="F22" s="2">
        <v>36.04</v>
      </c>
      <c r="G22" s="2">
        <v>37.1</v>
      </c>
      <c r="H22" s="2">
        <f t="shared" si="0"/>
        <v>-3.0038741335116299</v>
      </c>
      <c r="I22" s="2">
        <f t="shared" si="1"/>
        <v>2.0905331532228042E-2</v>
      </c>
      <c r="J22" s="2">
        <f t="shared" si="2"/>
        <v>4.1043366598147353</v>
      </c>
      <c r="K22">
        <f t="shared" si="3"/>
        <v>45.99</v>
      </c>
    </row>
    <row r="23" spans="1:11" ht="13.9" x14ac:dyDescent="0.3">
      <c r="A23" s="2" t="s">
        <v>916</v>
      </c>
      <c r="B23" s="2">
        <v>9.18</v>
      </c>
      <c r="C23" s="2">
        <v>0</v>
      </c>
      <c r="D23" s="2">
        <v>0</v>
      </c>
      <c r="E23" s="2">
        <v>24.04</v>
      </c>
      <c r="F23" s="2">
        <v>19.63</v>
      </c>
      <c r="G23" s="2">
        <v>29.5</v>
      </c>
      <c r="H23" s="2">
        <f t="shared" si="0"/>
        <v>-2.9946862001035321</v>
      </c>
      <c r="I23" s="2">
        <f t="shared" si="1"/>
        <v>6.9969505312228652E-3</v>
      </c>
      <c r="J23" s="2">
        <f t="shared" si="2"/>
        <v>3.198494153639083</v>
      </c>
      <c r="K23">
        <f t="shared" si="3"/>
        <v>24.39</v>
      </c>
    </row>
    <row r="24" spans="1:11" ht="13.9" x14ac:dyDescent="0.3">
      <c r="A24" s="2" t="s">
        <v>178</v>
      </c>
      <c r="B24" s="2">
        <v>0.26</v>
      </c>
      <c r="C24" s="2">
        <v>0</v>
      </c>
      <c r="D24" s="2">
        <v>0</v>
      </c>
      <c r="E24" s="2">
        <v>0.63</v>
      </c>
      <c r="F24" s="2">
        <v>1.33</v>
      </c>
      <c r="G24" s="2">
        <v>0.11</v>
      </c>
      <c r="H24" s="2">
        <f t="shared" si="0"/>
        <v>-2.9930472393582335</v>
      </c>
      <c r="I24" s="2">
        <f t="shared" si="1"/>
        <v>0.17269133939210465</v>
      </c>
      <c r="J24" s="2">
        <f t="shared" si="2"/>
        <v>-1.9434164716336324</v>
      </c>
      <c r="K24">
        <f t="shared" si="3"/>
        <v>0.69</v>
      </c>
    </row>
    <row r="25" spans="1:11" ht="13.9" x14ac:dyDescent="0.3">
      <c r="A25" s="2" t="s">
        <v>777</v>
      </c>
      <c r="B25" s="2">
        <v>0</v>
      </c>
      <c r="C25" s="2">
        <v>0</v>
      </c>
      <c r="D25" s="2">
        <v>6.48</v>
      </c>
      <c r="E25" s="2">
        <v>21.65</v>
      </c>
      <c r="F25" s="2">
        <v>13.97</v>
      </c>
      <c r="G25" s="2">
        <v>15.66</v>
      </c>
      <c r="H25" s="2">
        <f t="shared" si="0"/>
        <v>-2.9843305437341163</v>
      </c>
      <c r="I25" s="2">
        <f t="shared" si="1"/>
        <v>9.307029961099977E-3</v>
      </c>
      <c r="J25" s="2">
        <f t="shared" si="2"/>
        <v>2.6959938131098999</v>
      </c>
      <c r="K25">
        <f t="shared" si="3"/>
        <v>17.093333333333334</v>
      </c>
    </row>
    <row r="26" spans="1:11" ht="13.9" x14ac:dyDescent="0.3">
      <c r="A26" s="2" t="s">
        <v>607</v>
      </c>
      <c r="B26" s="2">
        <v>24.78</v>
      </c>
      <c r="C26" s="2">
        <v>0</v>
      </c>
      <c r="D26" s="2">
        <v>7.26</v>
      </c>
      <c r="E26" s="2">
        <v>75.400000000000006</v>
      </c>
      <c r="F26" s="2">
        <v>86.49</v>
      </c>
      <c r="G26" s="2">
        <v>68.069999999999993</v>
      </c>
      <c r="H26" s="2">
        <f t="shared" si="0"/>
        <v>-2.8434368830047934</v>
      </c>
      <c r="I26" s="2">
        <f t="shared" si="1"/>
        <v>1.9195513461081044E-3</v>
      </c>
      <c r="J26" s="2">
        <f t="shared" si="2"/>
        <v>5.0018022426339854</v>
      </c>
      <c r="K26">
        <f t="shared" si="3"/>
        <v>76.653333333333322</v>
      </c>
    </row>
    <row r="27" spans="1:11" ht="13.9" x14ac:dyDescent="0.3">
      <c r="A27" s="2" t="s">
        <v>263</v>
      </c>
      <c r="B27" s="2">
        <v>2.1</v>
      </c>
      <c r="C27" s="2">
        <v>20.53</v>
      </c>
      <c r="D27" s="2">
        <v>0.78</v>
      </c>
      <c r="E27" s="2">
        <v>41.79</v>
      </c>
      <c r="F27" s="2">
        <v>71.41</v>
      </c>
      <c r="G27" s="2">
        <v>32.33</v>
      </c>
      <c r="H27" s="2">
        <f t="shared" si="0"/>
        <v>-2.6361197458039607</v>
      </c>
      <c r="I27" s="2">
        <f t="shared" si="1"/>
        <v>3.8369023197986227E-2</v>
      </c>
      <c r="J27" s="2">
        <f t="shared" si="2"/>
        <v>4.5490530293372879</v>
      </c>
      <c r="K27">
        <f t="shared" si="3"/>
        <v>48.509999999999991</v>
      </c>
    </row>
    <row r="28" spans="1:11" ht="13.9" x14ac:dyDescent="0.3">
      <c r="A28" s="2" t="s">
        <v>668</v>
      </c>
      <c r="B28" s="2">
        <v>0.79</v>
      </c>
      <c r="C28" s="2">
        <v>0</v>
      </c>
      <c r="D28" s="2">
        <v>0</v>
      </c>
      <c r="E28" s="2">
        <v>2.77</v>
      </c>
      <c r="F28" s="2">
        <v>1.33</v>
      </c>
      <c r="G28" s="2">
        <v>0.79</v>
      </c>
      <c r="H28" s="2">
        <f t="shared" si="0"/>
        <v>-2.6299099067751306</v>
      </c>
      <c r="I28" s="2">
        <f t="shared" si="1"/>
        <v>0.10220476934338167</v>
      </c>
      <c r="J28" s="2">
        <f t="shared" si="2"/>
        <v>-0.34007544159762171</v>
      </c>
      <c r="K28">
        <f t="shared" si="3"/>
        <v>1.63</v>
      </c>
    </row>
    <row r="29" spans="1:11" ht="13.9" x14ac:dyDescent="0.3">
      <c r="A29" s="2" t="s">
        <v>385</v>
      </c>
      <c r="B29" s="2">
        <v>1.57</v>
      </c>
      <c r="C29" s="2">
        <v>0.28999999999999998</v>
      </c>
      <c r="D29" s="2">
        <v>15.56</v>
      </c>
      <c r="E29" s="2">
        <v>35.369999999999997</v>
      </c>
      <c r="F29" s="2">
        <v>33.380000000000003</v>
      </c>
      <c r="G29" s="2">
        <v>36.19</v>
      </c>
      <c r="H29" s="2">
        <f t="shared" si="0"/>
        <v>-2.590748166043944</v>
      </c>
      <c r="I29" s="2">
        <f t="shared" si="1"/>
        <v>4.1799338849886061E-3</v>
      </c>
      <c r="J29" s="2">
        <f t="shared" si="2"/>
        <v>4.1226727188241403</v>
      </c>
      <c r="K29">
        <f t="shared" si="3"/>
        <v>34.979999999999997</v>
      </c>
    </row>
    <row r="30" spans="1:11" ht="13.9" x14ac:dyDescent="0.3">
      <c r="A30" s="2" t="s">
        <v>114</v>
      </c>
      <c r="B30" s="2">
        <v>9.44</v>
      </c>
      <c r="C30" s="2">
        <v>7.81</v>
      </c>
      <c r="D30" s="2">
        <v>0</v>
      </c>
      <c r="E30" s="2">
        <v>46.07</v>
      </c>
      <c r="F30" s="2">
        <v>26.5</v>
      </c>
      <c r="G30" s="2">
        <v>25.75</v>
      </c>
      <c r="H30" s="2">
        <f t="shared" si="0"/>
        <v>-2.5108885538197678</v>
      </c>
      <c r="I30" s="2">
        <f t="shared" si="1"/>
        <v>2.0451651253833244E-2</v>
      </c>
      <c r="J30" s="2">
        <f t="shared" si="2"/>
        <v>4.1085244567781691</v>
      </c>
      <c r="K30">
        <f t="shared" si="3"/>
        <v>32.773333333333333</v>
      </c>
    </row>
    <row r="31" spans="1:11" ht="13.9" x14ac:dyDescent="0.3">
      <c r="A31" s="2" t="s">
        <v>371</v>
      </c>
      <c r="B31" s="2">
        <v>19.010000000000002</v>
      </c>
      <c r="C31" s="2">
        <v>14.75</v>
      </c>
      <c r="D31" s="2">
        <v>0</v>
      </c>
      <c r="E31" s="2">
        <v>80.31</v>
      </c>
      <c r="F31" s="2">
        <v>46.13</v>
      </c>
      <c r="G31" s="2">
        <v>56.84</v>
      </c>
      <c r="H31" s="2">
        <f t="shared" si="0"/>
        <v>-2.4406625545974898</v>
      </c>
      <c r="I31" s="2">
        <f t="shared" si="1"/>
        <v>1.2758855280292719E-2</v>
      </c>
      <c r="J31" s="2">
        <f t="shared" si="2"/>
        <v>5.0772429989324603</v>
      </c>
      <c r="K31">
        <f t="shared" si="3"/>
        <v>61.093333333333334</v>
      </c>
    </row>
    <row r="32" spans="1:11" ht="13.9" x14ac:dyDescent="0.3">
      <c r="A32" s="2" t="s">
        <v>625</v>
      </c>
      <c r="B32" s="2">
        <v>0.13</v>
      </c>
      <c r="C32" s="2">
        <v>10.119999999999999</v>
      </c>
      <c r="D32" s="2">
        <v>0.26</v>
      </c>
      <c r="E32" s="2">
        <v>21.78</v>
      </c>
      <c r="F32" s="2">
        <v>20.18</v>
      </c>
      <c r="G32" s="2">
        <v>10.66</v>
      </c>
      <c r="H32" s="2">
        <f t="shared" si="0"/>
        <v>-2.3238485792037111</v>
      </c>
      <c r="I32" s="2">
        <f t="shared" si="1"/>
        <v>4.2930756073757653E-2</v>
      </c>
      <c r="J32" s="2">
        <f t="shared" si="2"/>
        <v>3.3936907641874536</v>
      </c>
      <c r="K32">
        <f t="shared" si="3"/>
        <v>17.540000000000003</v>
      </c>
    </row>
    <row r="33" spans="1:11" ht="13.9" x14ac:dyDescent="0.3">
      <c r="A33" s="2" t="s">
        <v>134</v>
      </c>
      <c r="B33" s="2">
        <v>4.33</v>
      </c>
      <c r="C33" s="2">
        <v>0.87</v>
      </c>
      <c r="D33" s="2">
        <v>0</v>
      </c>
      <c r="E33" s="2">
        <v>12.59</v>
      </c>
      <c r="F33" s="2">
        <v>5.88</v>
      </c>
      <c r="G33" s="2">
        <v>5.79</v>
      </c>
      <c r="H33" s="2">
        <f t="shared" si="0"/>
        <v>-2.2219960220920556</v>
      </c>
      <c r="I33" s="2">
        <f t="shared" si="1"/>
        <v>7.175439487582444E-2</v>
      </c>
      <c r="J33" s="2">
        <f t="shared" si="2"/>
        <v>2.37851162325373</v>
      </c>
      <c r="K33">
        <f t="shared" si="3"/>
        <v>8.086666666666666</v>
      </c>
    </row>
    <row r="34" spans="1:11" ht="13.9" x14ac:dyDescent="0.3">
      <c r="A34" s="2" t="s">
        <v>188</v>
      </c>
      <c r="B34" s="2">
        <v>2.88</v>
      </c>
      <c r="C34" s="2">
        <v>0</v>
      </c>
      <c r="D34" s="2">
        <v>0</v>
      </c>
      <c r="E34" s="2">
        <v>3.78</v>
      </c>
      <c r="F34" s="2">
        <v>7.21</v>
      </c>
      <c r="G34" s="2">
        <v>2.04</v>
      </c>
      <c r="H34" s="2">
        <f t="shared" si="0"/>
        <v>-2.1776963671258223</v>
      </c>
      <c r="I34" s="2">
        <f t="shared" si="1"/>
        <v>0.13281699172366712</v>
      </c>
      <c r="J34" s="2">
        <f t="shared" si="2"/>
        <v>1.5260688116675876</v>
      </c>
      <c r="K34">
        <f t="shared" si="3"/>
        <v>4.3433333333333337</v>
      </c>
    </row>
    <row r="35" spans="1:11" ht="13.9" x14ac:dyDescent="0.3">
      <c r="A35" s="2" t="s">
        <v>682</v>
      </c>
      <c r="B35" s="2">
        <v>4.46</v>
      </c>
      <c r="C35" s="2">
        <v>8.1</v>
      </c>
      <c r="D35" s="2">
        <v>4.41</v>
      </c>
      <c r="E35" s="2">
        <v>31.72</v>
      </c>
      <c r="F35" s="2">
        <v>18.63</v>
      </c>
      <c r="G35" s="2">
        <v>26.21</v>
      </c>
      <c r="H35" s="2">
        <f t="shared" si="0"/>
        <v>-2.1736042649433625</v>
      </c>
      <c r="I35" s="2">
        <f t="shared" si="1"/>
        <v>7.5818285404704736E-3</v>
      </c>
      <c r="J35" s="2">
        <f t="shared" si="2"/>
        <v>4.0849146597679384</v>
      </c>
      <c r="K35">
        <f t="shared" si="3"/>
        <v>25.52</v>
      </c>
    </row>
    <row r="36" spans="1:11" ht="13.9" x14ac:dyDescent="0.3">
      <c r="A36" s="2" t="s">
        <v>448</v>
      </c>
      <c r="B36" s="2">
        <v>2.4900000000000002</v>
      </c>
      <c r="C36" s="2">
        <v>13.01</v>
      </c>
      <c r="D36" s="2">
        <v>0</v>
      </c>
      <c r="E36" s="2">
        <v>29.2</v>
      </c>
      <c r="F36" s="2">
        <v>26.28</v>
      </c>
      <c r="G36" s="2">
        <v>14.41</v>
      </c>
      <c r="H36" s="2">
        <f t="shared" si="0"/>
        <v>-2.1728178311959341</v>
      </c>
      <c r="I36" s="2">
        <f t="shared" si="1"/>
        <v>3.966389801681261E-2</v>
      </c>
      <c r="J36" s="2">
        <f t="shared" si="2"/>
        <v>3.9541963103868754</v>
      </c>
      <c r="K36">
        <f t="shared" si="3"/>
        <v>23.296666666666667</v>
      </c>
    </row>
    <row r="37" spans="1:11" ht="13.9" x14ac:dyDescent="0.3">
      <c r="A37" s="2" t="s">
        <v>888</v>
      </c>
      <c r="B37" s="2">
        <v>972.87</v>
      </c>
      <c r="C37" s="2">
        <v>883.16</v>
      </c>
      <c r="D37" s="2">
        <v>555.48</v>
      </c>
      <c r="E37" s="2">
        <v>3382.1</v>
      </c>
      <c r="F37" s="2">
        <v>3469.74</v>
      </c>
      <c r="G37" s="2">
        <v>3795.98</v>
      </c>
      <c r="H37" s="2">
        <f t="shared" si="0"/>
        <v>-2.1425493902352808</v>
      </c>
      <c r="I37" s="2">
        <f t="shared" si="1"/>
        <v>1.0480774471324813E-4</v>
      </c>
      <c r="J37" s="2">
        <f t="shared" si="2"/>
        <v>11.235721077312382</v>
      </c>
      <c r="K37">
        <f t="shared" si="3"/>
        <v>3549.2733333333331</v>
      </c>
    </row>
    <row r="38" spans="1:11" ht="13.9" x14ac:dyDescent="0.3">
      <c r="A38" s="2" t="s">
        <v>193</v>
      </c>
      <c r="B38" s="2">
        <v>0</v>
      </c>
      <c r="C38" s="2">
        <v>0</v>
      </c>
      <c r="D38" s="2">
        <v>0.52</v>
      </c>
      <c r="E38" s="2">
        <v>0</v>
      </c>
      <c r="F38" s="2">
        <v>0.55000000000000004</v>
      </c>
      <c r="G38" s="2">
        <v>1.7</v>
      </c>
      <c r="H38" s="2">
        <f t="shared" si="0"/>
        <v>-2.1133414730759448</v>
      </c>
      <c r="I38" s="2">
        <f t="shared" si="1"/>
        <v>0.33772488157736058</v>
      </c>
      <c r="J38" s="2">
        <f t="shared" si="2"/>
        <v>-0.9434164716336324</v>
      </c>
      <c r="K38">
        <f t="shared" si="3"/>
        <v>0.75</v>
      </c>
    </row>
    <row r="39" spans="1:11" ht="13.9" x14ac:dyDescent="0.3">
      <c r="A39" s="2" t="s">
        <v>197</v>
      </c>
      <c r="B39" s="2">
        <v>0</v>
      </c>
      <c r="C39" s="2">
        <v>15.9</v>
      </c>
      <c r="D39" s="2">
        <v>8.0399999999999991</v>
      </c>
      <c r="E39" s="2">
        <v>29.83</v>
      </c>
      <c r="F39" s="2">
        <v>34.82</v>
      </c>
      <c r="G39" s="2">
        <v>38.909999999999997</v>
      </c>
      <c r="H39" s="2">
        <f t="shared" si="0"/>
        <v>-2.1129718129566095</v>
      </c>
      <c r="I39" s="2">
        <f t="shared" si="1"/>
        <v>7.3903255989607409E-3</v>
      </c>
      <c r="J39" s="2">
        <f t="shared" si="2"/>
        <v>4.5813512471687767</v>
      </c>
      <c r="K39">
        <f t="shared" si="3"/>
        <v>34.520000000000003</v>
      </c>
    </row>
    <row r="40" spans="1:11" ht="13.9" x14ac:dyDescent="0.3">
      <c r="A40" s="2" t="s">
        <v>391</v>
      </c>
      <c r="B40" s="2">
        <v>6.55</v>
      </c>
      <c r="C40" s="2">
        <v>0.57999999999999996</v>
      </c>
      <c r="D40" s="2">
        <v>2.0699999999999998</v>
      </c>
      <c r="E40" s="2">
        <v>16.11</v>
      </c>
      <c r="F40" s="2">
        <v>13.42</v>
      </c>
      <c r="G40" s="2">
        <v>9.8699999999999992</v>
      </c>
      <c r="H40" s="2">
        <f t="shared" si="0"/>
        <v>-2.0984898633993638</v>
      </c>
      <c r="I40" s="2">
        <f t="shared" si="1"/>
        <v>1.6769919398437499E-2</v>
      </c>
      <c r="J40" s="2">
        <f t="shared" si="2"/>
        <v>3.2016338611696504</v>
      </c>
      <c r="K40">
        <f t="shared" si="3"/>
        <v>13.133333333333333</v>
      </c>
    </row>
    <row r="41" spans="1:11" ht="13.9" x14ac:dyDescent="0.3">
      <c r="A41" s="2" t="s">
        <v>53</v>
      </c>
      <c r="B41" s="2">
        <v>544.97</v>
      </c>
      <c r="C41" s="2">
        <v>620.58000000000004</v>
      </c>
      <c r="D41" s="2">
        <v>449.15</v>
      </c>
      <c r="E41" s="2">
        <v>2440.65</v>
      </c>
      <c r="F41" s="2">
        <v>2314.23</v>
      </c>
      <c r="G41" s="2">
        <v>2153.48</v>
      </c>
      <c r="H41" s="2">
        <f t="shared" si="0"/>
        <v>-2.0970771176454739</v>
      </c>
      <c r="I41" s="2">
        <f t="shared" si="1"/>
        <v>5.3210664366568873E-5</v>
      </c>
      <c r="J41" s="2">
        <f t="shared" si="2"/>
        <v>10.657050431800371</v>
      </c>
      <c r="K41">
        <f t="shared" si="3"/>
        <v>2302.7866666666669</v>
      </c>
    </row>
    <row r="42" spans="1:11" ht="13.9" x14ac:dyDescent="0.3">
      <c r="A42" s="2" t="s">
        <v>488</v>
      </c>
      <c r="B42" s="2">
        <v>0</v>
      </c>
      <c r="C42" s="2">
        <v>0</v>
      </c>
      <c r="D42" s="2">
        <v>0.26</v>
      </c>
      <c r="E42" s="2">
        <v>0</v>
      </c>
      <c r="F42" s="2">
        <v>1.1100000000000001</v>
      </c>
      <c r="G42" s="2">
        <v>0</v>
      </c>
      <c r="H42" s="2">
        <f t="shared" si="0"/>
        <v>-2.093976148209014</v>
      </c>
      <c r="I42" s="2">
        <f t="shared" si="1"/>
        <v>0.49734662487038073</v>
      </c>
      <c r="J42" s="2">
        <f t="shared" si="2"/>
        <v>-1.9434164716336324</v>
      </c>
      <c r="K42">
        <f t="shared" si="3"/>
        <v>0.37000000000000005</v>
      </c>
    </row>
    <row r="43" spans="1:11" ht="13.9" x14ac:dyDescent="0.3">
      <c r="A43" s="2" t="s">
        <v>943</v>
      </c>
      <c r="B43" s="2">
        <v>39.33</v>
      </c>
      <c r="C43" s="2">
        <v>20.82</v>
      </c>
      <c r="D43" s="2">
        <v>4.41</v>
      </c>
      <c r="E43" s="2">
        <v>96.17</v>
      </c>
      <c r="F43" s="2">
        <v>108.78</v>
      </c>
      <c r="G43" s="2">
        <v>61.83</v>
      </c>
      <c r="H43" s="2">
        <f t="shared" si="0"/>
        <v>-2.0469380306863996</v>
      </c>
      <c r="I43" s="2">
        <f t="shared" si="1"/>
        <v>1.7524003339743754E-2</v>
      </c>
      <c r="J43" s="2">
        <f t="shared" si="2"/>
        <v>6.0125686735030559</v>
      </c>
      <c r="K43">
        <f t="shared" si="3"/>
        <v>88.926666666666662</v>
      </c>
    </row>
    <row r="44" spans="1:11" ht="13.9" x14ac:dyDescent="0.3">
      <c r="A44" s="2" t="s">
        <v>157</v>
      </c>
      <c r="B44" s="2">
        <v>1186.95</v>
      </c>
      <c r="C44" s="2">
        <v>1923.34</v>
      </c>
      <c r="D44" s="2">
        <v>641.57000000000005</v>
      </c>
      <c r="E44" s="2">
        <v>5972.17</v>
      </c>
      <c r="F44" s="2">
        <v>5366.06</v>
      </c>
      <c r="G44" s="2">
        <v>3976.48</v>
      </c>
      <c r="H44" s="2">
        <f t="shared" si="0"/>
        <v>-2.0292401482037969</v>
      </c>
      <c r="I44" s="2">
        <f t="shared" si="1"/>
        <v>5.2458201357452796E-3</v>
      </c>
      <c r="J44" s="2">
        <f t="shared" si="2"/>
        <v>11.873390279606514</v>
      </c>
      <c r="K44">
        <f t="shared" si="3"/>
        <v>5104.9033333333327</v>
      </c>
    </row>
    <row r="45" spans="1:11" ht="13.9" x14ac:dyDescent="0.3">
      <c r="A45" s="2" t="s">
        <v>181</v>
      </c>
      <c r="B45" s="2">
        <v>2.1</v>
      </c>
      <c r="C45" s="2">
        <v>0</v>
      </c>
      <c r="D45" s="2">
        <v>0.26</v>
      </c>
      <c r="E45" s="2">
        <v>3.65</v>
      </c>
      <c r="F45" s="2">
        <v>5.21</v>
      </c>
      <c r="G45" s="2">
        <v>0.56999999999999995</v>
      </c>
      <c r="H45" s="2">
        <f t="shared" si="0"/>
        <v>-1.9984709113132553</v>
      </c>
      <c r="I45" s="2">
        <f t="shared" si="1"/>
        <v>0.19478786364971881</v>
      </c>
      <c r="J45" s="2">
        <f t="shared" si="2"/>
        <v>1.2387868595871168</v>
      </c>
      <c r="K45">
        <f t="shared" si="3"/>
        <v>3.1433333333333331</v>
      </c>
    </row>
    <row r="46" spans="1:11" ht="13.9" x14ac:dyDescent="0.3">
      <c r="A46" s="2" t="s">
        <v>388</v>
      </c>
      <c r="B46" s="2">
        <v>16.78</v>
      </c>
      <c r="C46" s="2">
        <v>0</v>
      </c>
      <c r="D46" s="2">
        <v>0</v>
      </c>
      <c r="E46" s="2">
        <v>23.79</v>
      </c>
      <c r="F46" s="2">
        <v>21.84</v>
      </c>
      <c r="G46" s="2">
        <v>20.309999999999999</v>
      </c>
      <c r="H46" s="2">
        <f t="shared" si="0"/>
        <v>-1.9744111712305641</v>
      </c>
      <c r="I46" s="2">
        <f t="shared" si="1"/>
        <v>4.4863050886835315E-2</v>
      </c>
      <c r="J46" s="2">
        <f t="shared" si="2"/>
        <v>4.0686708106650986</v>
      </c>
      <c r="K46">
        <f t="shared" si="3"/>
        <v>21.98</v>
      </c>
    </row>
    <row r="47" spans="1:11" ht="13.9" x14ac:dyDescent="0.3">
      <c r="A47" s="2" t="s">
        <v>933</v>
      </c>
      <c r="B47" s="2">
        <v>0</v>
      </c>
      <c r="C47" s="2">
        <v>11.28</v>
      </c>
      <c r="D47" s="2">
        <v>6.74</v>
      </c>
      <c r="E47" s="2">
        <v>37.26</v>
      </c>
      <c r="F47" s="2">
        <v>19.29</v>
      </c>
      <c r="G47" s="2">
        <v>13.16</v>
      </c>
      <c r="H47" s="2">
        <f t="shared" si="0"/>
        <v>-1.9517666164713139</v>
      </c>
      <c r="I47" s="2">
        <f t="shared" si="1"/>
        <v>9.5786977641947463E-2</v>
      </c>
      <c r="J47" s="2">
        <f t="shared" si="2"/>
        <v>4.1715271060388135</v>
      </c>
      <c r="K47">
        <f t="shared" si="3"/>
        <v>23.236666666666665</v>
      </c>
    </row>
    <row r="48" spans="1:11" ht="13.9" x14ac:dyDescent="0.3">
      <c r="A48" s="2" t="s">
        <v>183</v>
      </c>
      <c r="B48" s="2">
        <v>453.72</v>
      </c>
      <c r="C48" s="2">
        <v>447.94</v>
      </c>
      <c r="D48" s="2">
        <v>307.56</v>
      </c>
      <c r="E48" s="2">
        <v>1791.75</v>
      </c>
      <c r="F48" s="2">
        <v>1305.75</v>
      </c>
      <c r="G48" s="2">
        <v>1471.08</v>
      </c>
      <c r="H48" s="2">
        <f t="shared" si="0"/>
        <v>-1.9176690725339225</v>
      </c>
      <c r="I48" s="2">
        <f t="shared" si="1"/>
        <v>1.7405981155387E-3</v>
      </c>
      <c r="J48" s="2">
        <f t="shared" si="2"/>
        <v>10.239861030518547</v>
      </c>
      <c r="K48">
        <f t="shared" si="3"/>
        <v>1522.86</v>
      </c>
    </row>
    <row r="49" spans="1:11" ht="13.9" x14ac:dyDescent="0.3">
      <c r="A49" s="2" t="s">
        <v>151</v>
      </c>
      <c r="B49" s="2">
        <v>111493.66</v>
      </c>
      <c r="C49" s="2">
        <v>203233.22</v>
      </c>
      <c r="D49" s="2">
        <v>71595.86</v>
      </c>
      <c r="E49" s="2">
        <v>460161.67</v>
      </c>
      <c r="F49" s="2">
        <v>475799.58</v>
      </c>
      <c r="G49" s="2">
        <v>509770.63</v>
      </c>
      <c r="H49" s="2">
        <f t="shared" si="0"/>
        <v>-1.9039215141877794</v>
      </c>
      <c r="I49" s="2">
        <f t="shared" si="1"/>
        <v>1.0588411540386963E-3</v>
      </c>
      <c r="J49" s="2">
        <f t="shared" si="2"/>
        <v>18.559447075433162</v>
      </c>
      <c r="K49">
        <f t="shared" si="3"/>
        <v>481910.62666666665</v>
      </c>
    </row>
    <row r="50" spans="1:11" ht="13.9" x14ac:dyDescent="0.3">
      <c r="A50" s="2" t="s">
        <v>160</v>
      </c>
      <c r="B50" s="2">
        <v>62.53</v>
      </c>
      <c r="C50" s="2">
        <v>65.930000000000007</v>
      </c>
      <c r="D50" s="2">
        <v>34.75</v>
      </c>
      <c r="E50" s="2">
        <v>211.1</v>
      </c>
      <c r="F50" s="2">
        <v>216.44</v>
      </c>
      <c r="G50" s="2">
        <v>162.68</v>
      </c>
      <c r="H50" s="2">
        <f t="shared" si="0"/>
        <v>-1.8545233532533243</v>
      </c>
      <c r="I50" s="2">
        <f t="shared" si="1"/>
        <v>1.9637121710870255E-3</v>
      </c>
      <c r="J50" s="2">
        <f t="shared" si="2"/>
        <v>7.3505856448073246</v>
      </c>
      <c r="K50">
        <f t="shared" si="3"/>
        <v>196.74</v>
      </c>
    </row>
    <row r="51" spans="1:11" ht="13.9" x14ac:dyDescent="0.3">
      <c r="A51" s="2" t="s">
        <v>185</v>
      </c>
      <c r="B51" s="2">
        <v>194.55</v>
      </c>
      <c r="C51" s="2">
        <v>103.53</v>
      </c>
      <c r="D51" s="2">
        <v>139.26</v>
      </c>
      <c r="E51" s="2">
        <v>556</v>
      </c>
      <c r="F51" s="2">
        <v>483.89</v>
      </c>
      <c r="G51" s="2">
        <v>529.12</v>
      </c>
      <c r="H51" s="2">
        <f t="shared" si="0"/>
        <v>-1.8430273359041116</v>
      </c>
      <c r="I51" s="2">
        <f t="shared" si="1"/>
        <v>3.6766597652767625E-4</v>
      </c>
      <c r="J51" s="2">
        <f t="shared" si="2"/>
        <v>8.7726114960317574</v>
      </c>
      <c r="K51">
        <f t="shared" si="3"/>
        <v>523.00333333333322</v>
      </c>
    </row>
    <row r="52" spans="1:11" ht="13.9" x14ac:dyDescent="0.3">
      <c r="A52" s="2" t="s">
        <v>231</v>
      </c>
      <c r="B52" s="2">
        <v>0</v>
      </c>
      <c r="C52" s="2">
        <v>0</v>
      </c>
      <c r="D52" s="2">
        <v>2.0699999999999998</v>
      </c>
      <c r="E52" s="2">
        <v>2.14</v>
      </c>
      <c r="F52" s="2">
        <v>3.88</v>
      </c>
      <c r="G52" s="2">
        <v>1.36</v>
      </c>
      <c r="H52" s="2">
        <f t="shared" si="0"/>
        <v>-1.833990048561071</v>
      </c>
      <c r="I52" s="2">
        <f t="shared" si="1"/>
        <v>0.15623956813518</v>
      </c>
      <c r="J52" s="2">
        <f t="shared" si="2"/>
        <v>1.0496307677246004</v>
      </c>
      <c r="K52">
        <f t="shared" si="3"/>
        <v>2.46</v>
      </c>
    </row>
    <row r="53" spans="1:11" ht="13.9" x14ac:dyDescent="0.3">
      <c r="A53" s="2" t="s">
        <v>934</v>
      </c>
      <c r="B53" s="2">
        <v>0</v>
      </c>
      <c r="C53" s="2">
        <v>31.23</v>
      </c>
      <c r="D53" s="2">
        <v>2.0699999999999998</v>
      </c>
      <c r="E53" s="2">
        <v>43.43</v>
      </c>
      <c r="F53" s="2">
        <v>34.15</v>
      </c>
      <c r="G53" s="2">
        <v>38.799999999999997</v>
      </c>
      <c r="H53" s="2">
        <f t="shared" si="0"/>
        <v>-1.8052490687926988</v>
      </c>
      <c r="I53" s="2">
        <f t="shared" si="1"/>
        <v>5.6713849474500887E-2</v>
      </c>
      <c r="J53" s="2">
        <f t="shared" si="2"/>
        <v>5.0574502721838996</v>
      </c>
      <c r="K53">
        <f t="shared" si="3"/>
        <v>38.793333333333329</v>
      </c>
    </row>
    <row r="54" spans="1:11" ht="13.9" x14ac:dyDescent="0.3">
      <c r="A54" s="2" t="s">
        <v>449</v>
      </c>
      <c r="B54" s="2">
        <v>0</v>
      </c>
      <c r="C54" s="2">
        <v>0.28999999999999998</v>
      </c>
      <c r="D54" s="2">
        <v>0</v>
      </c>
      <c r="E54" s="2">
        <v>1.01</v>
      </c>
      <c r="F54" s="2">
        <v>0</v>
      </c>
      <c r="G54" s="2">
        <v>0</v>
      </c>
      <c r="H54" s="2">
        <f t="shared" si="0"/>
        <v>-1.8002304876242228</v>
      </c>
      <c r="I54" s="2">
        <f t="shared" si="1"/>
        <v>0.53087077450163911</v>
      </c>
      <c r="J54" s="2">
        <f t="shared" si="2"/>
        <v>-1.7858751946471527</v>
      </c>
      <c r="K54">
        <f t="shared" si="3"/>
        <v>0.33666666666666667</v>
      </c>
    </row>
    <row r="55" spans="1:11" ht="13.9" x14ac:dyDescent="0.3">
      <c r="A55" s="2" t="s">
        <v>147</v>
      </c>
      <c r="B55" s="2">
        <v>302.95999999999998</v>
      </c>
      <c r="C55" s="2">
        <v>240.02</v>
      </c>
      <c r="D55" s="2">
        <v>149.63</v>
      </c>
      <c r="E55" s="2">
        <v>817.83</v>
      </c>
      <c r="F55" s="2">
        <v>876.31</v>
      </c>
      <c r="G55" s="2">
        <v>687.84</v>
      </c>
      <c r="H55" s="2">
        <f t="shared" si="0"/>
        <v>-1.7820461772118583</v>
      </c>
      <c r="I55" s="2">
        <f t="shared" si="1"/>
        <v>1.3893500876329605E-3</v>
      </c>
      <c r="J55" s="2">
        <f t="shared" si="2"/>
        <v>9.4358994072929132</v>
      </c>
      <c r="K55">
        <f t="shared" si="3"/>
        <v>793.99333333333334</v>
      </c>
    </row>
    <row r="56" spans="1:11" ht="13.9" x14ac:dyDescent="0.3">
      <c r="A56" s="2" t="s">
        <v>165</v>
      </c>
      <c r="B56" s="2">
        <v>233.88</v>
      </c>
      <c r="C56" s="2">
        <v>296.12</v>
      </c>
      <c r="D56" s="2">
        <v>180.23</v>
      </c>
      <c r="E56" s="2">
        <v>775.91</v>
      </c>
      <c r="F56" s="2">
        <v>999.05</v>
      </c>
      <c r="G56" s="2">
        <v>604.34</v>
      </c>
      <c r="H56" s="2">
        <f t="shared" si="0"/>
        <v>-1.7441789830867167</v>
      </c>
      <c r="I56" s="2">
        <f t="shared" si="1"/>
        <v>9.5010241491624396E-3</v>
      </c>
      <c r="J56" s="2">
        <f t="shared" si="2"/>
        <v>9.4721424906251972</v>
      </c>
      <c r="K56">
        <f t="shared" si="3"/>
        <v>793.1</v>
      </c>
    </row>
    <row r="57" spans="1:11" ht="13.9" x14ac:dyDescent="0.3">
      <c r="A57" s="2" t="s">
        <v>66</v>
      </c>
      <c r="B57" s="2">
        <v>20.32</v>
      </c>
      <c r="C57" s="2">
        <v>0.57999999999999996</v>
      </c>
      <c r="D57" s="2">
        <v>4.41</v>
      </c>
      <c r="E57" s="2">
        <v>23.41</v>
      </c>
      <c r="F57" s="2">
        <v>38.369999999999997</v>
      </c>
      <c r="G57" s="2">
        <v>22.46</v>
      </c>
      <c r="H57" s="2">
        <f t="shared" si="0"/>
        <v>-1.734797928915033</v>
      </c>
      <c r="I57" s="2">
        <f t="shared" si="1"/>
        <v>6.8694634460387108E-2</v>
      </c>
      <c r="J57" s="2">
        <f t="shared" si="2"/>
        <v>4.6616356023359593</v>
      </c>
      <c r="K57">
        <f t="shared" si="3"/>
        <v>28.080000000000002</v>
      </c>
    </row>
    <row r="58" spans="1:11" ht="13.9" x14ac:dyDescent="0.3">
      <c r="A58" s="2" t="s">
        <v>299</v>
      </c>
      <c r="B58" s="2">
        <v>67.78</v>
      </c>
      <c r="C58" s="2">
        <v>117.12</v>
      </c>
      <c r="D58" s="2">
        <v>97.51</v>
      </c>
      <c r="E58" s="2">
        <v>286.62</v>
      </c>
      <c r="F58" s="2">
        <v>320.67</v>
      </c>
      <c r="G58" s="2">
        <v>331.84</v>
      </c>
      <c r="H58" s="2">
        <f t="shared" si="0"/>
        <v>-1.7335337035524534</v>
      </c>
      <c r="I58" s="2">
        <f t="shared" si="1"/>
        <v>3.7798189299792978E-4</v>
      </c>
      <c r="J58" s="2">
        <f t="shared" si="2"/>
        <v>8.1416473644142027</v>
      </c>
      <c r="K58">
        <f t="shared" si="3"/>
        <v>313.04333333333329</v>
      </c>
    </row>
    <row r="59" spans="1:11" ht="13.9" x14ac:dyDescent="0.3">
      <c r="A59" s="2" t="s">
        <v>149</v>
      </c>
      <c r="B59" s="2">
        <v>4968.68</v>
      </c>
      <c r="C59" s="2">
        <v>5582.06</v>
      </c>
      <c r="D59" s="2">
        <v>3309.26</v>
      </c>
      <c r="E59" s="2">
        <v>15658.25</v>
      </c>
      <c r="F59" s="2">
        <v>15752.1</v>
      </c>
      <c r="G59" s="2">
        <v>14630.53</v>
      </c>
      <c r="H59" s="2">
        <f t="shared" si="0"/>
        <v>-1.7319881511362623</v>
      </c>
      <c r="I59" s="2">
        <f t="shared" si="1"/>
        <v>1.5244871151542553E-4</v>
      </c>
      <c r="J59" s="2">
        <f t="shared" si="2"/>
        <v>13.758639637024578</v>
      </c>
      <c r="K59">
        <f t="shared" si="3"/>
        <v>15346.96</v>
      </c>
    </row>
    <row r="60" spans="1:11" ht="13.9" x14ac:dyDescent="0.3">
      <c r="A60" s="2" t="s">
        <v>433</v>
      </c>
      <c r="B60" s="2">
        <v>13.24</v>
      </c>
      <c r="C60" s="2">
        <v>30.94</v>
      </c>
      <c r="D60" s="2">
        <v>0</v>
      </c>
      <c r="E60" s="2">
        <v>41.16</v>
      </c>
      <c r="F60" s="2">
        <v>43.69</v>
      </c>
      <c r="G60" s="2">
        <v>50.82</v>
      </c>
      <c r="H60" s="2">
        <f t="shared" si="0"/>
        <v>-1.618636416581682</v>
      </c>
      <c r="I60" s="2">
        <f t="shared" si="1"/>
        <v>3.1725588641011188E-2</v>
      </c>
      <c r="J60" s="2">
        <f t="shared" si="2"/>
        <v>5.46532151358055</v>
      </c>
      <c r="K60">
        <f t="shared" si="3"/>
        <v>45.223333333333329</v>
      </c>
    </row>
    <row r="61" spans="1:11" ht="13.9" x14ac:dyDescent="0.3">
      <c r="A61" s="2" t="s">
        <v>378</v>
      </c>
      <c r="B61" s="2">
        <v>105.79</v>
      </c>
      <c r="C61" s="2">
        <v>24</v>
      </c>
      <c r="D61" s="2">
        <v>68.98</v>
      </c>
      <c r="E61" s="2">
        <v>213.99</v>
      </c>
      <c r="F61" s="2">
        <v>179.08</v>
      </c>
      <c r="G61" s="2">
        <v>210.11</v>
      </c>
      <c r="H61" s="2">
        <f t="shared" si="0"/>
        <v>-1.6014885631448867</v>
      </c>
      <c r="I61" s="2">
        <f t="shared" si="1"/>
        <v>6.6780558083504799E-3</v>
      </c>
      <c r="J61" s="2">
        <f t="shared" si="2"/>
        <v>7.6349562197271723</v>
      </c>
      <c r="K61">
        <f t="shared" si="3"/>
        <v>201.06000000000003</v>
      </c>
    </row>
    <row r="62" spans="1:11" ht="13.9" x14ac:dyDescent="0.3">
      <c r="A62" s="2" t="s">
        <v>274</v>
      </c>
      <c r="B62" s="2">
        <v>4.2</v>
      </c>
      <c r="C62" s="2">
        <v>8.39</v>
      </c>
      <c r="D62" s="2">
        <v>1.82</v>
      </c>
      <c r="E62" s="2">
        <v>3.02</v>
      </c>
      <c r="F62" s="2">
        <v>19.850000000000001</v>
      </c>
      <c r="G62" s="2">
        <v>20.53</v>
      </c>
      <c r="H62" s="2">
        <f t="shared" si="0"/>
        <v>-1.5906247071570943</v>
      </c>
      <c r="I62" s="2">
        <f t="shared" si="1"/>
        <v>0.18488060882337512</v>
      </c>
      <c r="J62" s="2">
        <f t="shared" si="2"/>
        <v>3.8489984304000231</v>
      </c>
      <c r="K62">
        <f t="shared" si="3"/>
        <v>14.466666666666669</v>
      </c>
    </row>
    <row r="63" spans="1:11" ht="13.9" x14ac:dyDescent="0.3">
      <c r="A63" s="2" t="s">
        <v>287</v>
      </c>
      <c r="B63" s="2">
        <v>4.72</v>
      </c>
      <c r="C63" s="2">
        <v>0</v>
      </c>
      <c r="D63" s="2">
        <v>0.26</v>
      </c>
      <c r="E63" s="2">
        <v>4.28</v>
      </c>
      <c r="F63" s="2">
        <v>6.54</v>
      </c>
      <c r="G63" s="2">
        <v>4.08</v>
      </c>
      <c r="H63" s="2">
        <f t="shared" si="0"/>
        <v>-1.581094683281443</v>
      </c>
      <c r="I63" s="2">
        <f t="shared" si="1"/>
        <v>0.1273977177493002</v>
      </c>
      <c r="J63" s="2">
        <f t="shared" si="2"/>
        <v>2.3161457422933562</v>
      </c>
      <c r="K63">
        <f t="shared" si="3"/>
        <v>4.9666666666666668</v>
      </c>
    </row>
    <row r="64" spans="1:11" ht="13.9" x14ac:dyDescent="0.3">
      <c r="A64" s="2" t="s">
        <v>73</v>
      </c>
      <c r="B64" s="2">
        <v>27.01</v>
      </c>
      <c r="C64" s="2">
        <v>32.1</v>
      </c>
      <c r="D64" s="2">
        <v>0.52</v>
      </c>
      <c r="E64" s="2">
        <v>68.599999999999994</v>
      </c>
      <c r="F64" s="2">
        <v>66.2</v>
      </c>
      <c r="G64" s="2">
        <v>43.45</v>
      </c>
      <c r="H64" s="2">
        <f t="shared" si="0"/>
        <v>-1.5797918347944424</v>
      </c>
      <c r="I64" s="2">
        <f t="shared" si="1"/>
        <v>3.5338600805865476E-2</v>
      </c>
      <c r="J64" s="2">
        <f t="shared" si="2"/>
        <v>5.8979664316494453</v>
      </c>
      <c r="K64">
        <f t="shared" si="3"/>
        <v>59.416666666666664</v>
      </c>
    </row>
    <row r="65" spans="1:11" ht="13.9" x14ac:dyDescent="0.3">
      <c r="A65" s="2" t="s">
        <v>176</v>
      </c>
      <c r="B65" s="2">
        <v>0</v>
      </c>
      <c r="C65" s="2">
        <v>1.1599999999999999</v>
      </c>
      <c r="D65" s="2">
        <v>0</v>
      </c>
      <c r="E65" s="2">
        <v>0.63</v>
      </c>
      <c r="F65" s="2">
        <v>1.33</v>
      </c>
      <c r="G65" s="2">
        <v>1.47</v>
      </c>
      <c r="H65" s="2">
        <f t="shared" si="0"/>
        <v>-1.5640837710452404</v>
      </c>
      <c r="I65" s="2">
        <f t="shared" si="1"/>
        <v>0.17964648185590121</v>
      </c>
      <c r="J65" s="2">
        <f t="shared" si="2"/>
        <v>0.21412480535284734</v>
      </c>
      <c r="K65">
        <f t="shared" si="3"/>
        <v>1.1433333333333333</v>
      </c>
    </row>
    <row r="66" spans="1:11" ht="13.9" x14ac:dyDescent="0.3">
      <c r="A66" s="2" t="s">
        <v>941</v>
      </c>
      <c r="B66" s="2">
        <v>3.41</v>
      </c>
      <c r="C66" s="2">
        <v>17.64</v>
      </c>
      <c r="D66" s="2">
        <v>5.96</v>
      </c>
      <c r="E66" s="2">
        <v>32.6</v>
      </c>
      <c r="F66" s="2">
        <v>23.29</v>
      </c>
      <c r="G66" s="2">
        <v>23.03</v>
      </c>
      <c r="H66" s="2">
        <f t="shared" ref="H66:H129" si="4">LOG(SUM(B66:D66)/SUM(E66:G66),2)</f>
        <v>-1.5468973162145914</v>
      </c>
      <c r="I66" s="2">
        <f t="shared" ref="I66:I129" si="5">_xlfn.T.TEST(B66:D66,E66:G66,2,2)</f>
        <v>3.265764637883925E-2</v>
      </c>
      <c r="J66" s="2">
        <f t="shared" ref="J66:J129" si="6">LOG(SUM(B66:D66),2)</f>
        <v>4.7554217347342425</v>
      </c>
      <c r="K66">
        <f t="shared" ref="K66:K129" si="7">AVERAGE(E66:G66)</f>
        <v>26.306666666666668</v>
      </c>
    </row>
    <row r="67" spans="1:11" ht="13.9" x14ac:dyDescent="0.3">
      <c r="A67" s="2" t="s">
        <v>137</v>
      </c>
      <c r="B67" s="2">
        <v>9.44</v>
      </c>
      <c r="C67" s="2">
        <v>11.57</v>
      </c>
      <c r="D67" s="2">
        <v>26.71</v>
      </c>
      <c r="E67" s="2">
        <v>52.37</v>
      </c>
      <c r="F67" s="2">
        <v>44.8</v>
      </c>
      <c r="G67" s="2">
        <v>40.270000000000003</v>
      </c>
      <c r="H67" s="2">
        <f t="shared" si="4"/>
        <v>-1.5261359934432355</v>
      </c>
      <c r="I67" s="2">
        <f t="shared" si="5"/>
        <v>9.9261163162389712E-3</v>
      </c>
      <c r="J67" s="2">
        <f t="shared" si="6"/>
        <v>5.5765221379205032</v>
      </c>
      <c r="K67">
        <f t="shared" si="7"/>
        <v>45.813333333333333</v>
      </c>
    </row>
    <row r="68" spans="1:11" ht="13.9" x14ac:dyDescent="0.3">
      <c r="A68" s="2" t="s">
        <v>456</v>
      </c>
      <c r="B68" s="2">
        <v>2.75</v>
      </c>
      <c r="C68" s="2">
        <v>9.25</v>
      </c>
      <c r="D68" s="2">
        <v>5.96</v>
      </c>
      <c r="E68" s="2">
        <v>16.489999999999998</v>
      </c>
      <c r="F68" s="2">
        <v>14.08</v>
      </c>
      <c r="G68" s="2">
        <v>20.079999999999998</v>
      </c>
      <c r="H68" s="2">
        <f t="shared" si="4"/>
        <v>-1.4957749189473533</v>
      </c>
      <c r="I68" s="2">
        <f t="shared" si="5"/>
        <v>1.3110577291589843E-2</v>
      </c>
      <c r="J68" s="2">
        <f t="shared" si="6"/>
        <v>4.1667154449664228</v>
      </c>
      <c r="K68">
        <f t="shared" si="7"/>
        <v>16.883333333333333</v>
      </c>
    </row>
    <row r="69" spans="1:11" ht="13.9" x14ac:dyDescent="0.3">
      <c r="A69" s="2" t="s">
        <v>929</v>
      </c>
      <c r="B69" s="2">
        <v>88.88</v>
      </c>
      <c r="C69" s="2">
        <v>115.67</v>
      </c>
      <c r="D69" s="2">
        <v>30.86</v>
      </c>
      <c r="E69" s="2">
        <v>245.84</v>
      </c>
      <c r="F69" s="2">
        <v>245.49</v>
      </c>
      <c r="G69" s="2">
        <v>167.56</v>
      </c>
      <c r="H69" s="2">
        <f t="shared" si="4"/>
        <v>-1.4848620250548199</v>
      </c>
      <c r="I69" s="2">
        <f t="shared" si="5"/>
        <v>1.741458986516943E-2</v>
      </c>
      <c r="J69" s="2">
        <f t="shared" si="6"/>
        <v>7.8790317958094631</v>
      </c>
      <c r="K69">
        <f t="shared" si="7"/>
        <v>219.63000000000002</v>
      </c>
    </row>
    <row r="70" spans="1:11" ht="13.9" x14ac:dyDescent="0.3">
      <c r="A70" s="2" t="s">
        <v>650</v>
      </c>
      <c r="B70" s="2">
        <v>234.01</v>
      </c>
      <c r="C70" s="2">
        <v>286</v>
      </c>
      <c r="D70" s="2">
        <v>109.95</v>
      </c>
      <c r="E70" s="2">
        <v>622.72</v>
      </c>
      <c r="F70" s="2">
        <v>665.74</v>
      </c>
      <c r="G70" s="2">
        <v>474.21</v>
      </c>
      <c r="H70" s="2">
        <f t="shared" si="4"/>
        <v>-1.484430273233132</v>
      </c>
      <c r="I70" s="2">
        <f t="shared" si="5"/>
        <v>8.4184108965204962E-3</v>
      </c>
      <c r="J70" s="2">
        <f t="shared" si="6"/>
        <v>9.299116415794094</v>
      </c>
      <c r="K70">
        <f t="shared" si="7"/>
        <v>587.55666666666673</v>
      </c>
    </row>
    <row r="71" spans="1:11" ht="13.9" x14ac:dyDescent="0.3">
      <c r="A71" s="2" t="s">
        <v>81</v>
      </c>
      <c r="B71" s="2">
        <v>287.89</v>
      </c>
      <c r="C71" s="2">
        <v>350.2</v>
      </c>
      <c r="D71" s="2">
        <v>197.35</v>
      </c>
      <c r="E71" s="2">
        <v>923.44</v>
      </c>
      <c r="F71" s="2">
        <v>700.45</v>
      </c>
      <c r="G71" s="2">
        <v>699.64</v>
      </c>
      <c r="H71" s="2">
        <f t="shared" si="4"/>
        <v>-1.4757101471579417</v>
      </c>
      <c r="I71" s="2">
        <f t="shared" si="5"/>
        <v>4.6158817828852519E-3</v>
      </c>
      <c r="J71" s="2">
        <f t="shared" si="6"/>
        <v>9.706392409670114</v>
      </c>
      <c r="K71">
        <f t="shared" si="7"/>
        <v>774.5100000000001</v>
      </c>
    </row>
    <row r="72" spans="1:11" ht="13.9" x14ac:dyDescent="0.3">
      <c r="A72" s="2" t="s">
        <v>87</v>
      </c>
      <c r="B72" s="2">
        <v>0</v>
      </c>
      <c r="C72" s="2">
        <v>11.57</v>
      </c>
      <c r="D72" s="2">
        <v>0</v>
      </c>
      <c r="E72" s="2">
        <v>11.33</v>
      </c>
      <c r="F72" s="2">
        <v>11.42</v>
      </c>
      <c r="G72" s="2">
        <v>9.3000000000000007</v>
      </c>
      <c r="H72" s="2">
        <f t="shared" si="4"/>
        <v>-1.4699354923986134</v>
      </c>
      <c r="I72" s="2">
        <f t="shared" si="5"/>
        <v>0.15642452505446808</v>
      </c>
      <c r="J72" s="2">
        <f t="shared" si="6"/>
        <v>3.532316959332765</v>
      </c>
      <c r="K72">
        <f t="shared" si="7"/>
        <v>10.683333333333332</v>
      </c>
    </row>
    <row r="73" spans="1:11" ht="13.9" x14ac:dyDescent="0.3">
      <c r="A73" s="2" t="s">
        <v>272</v>
      </c>
      <c r="B73" s="2">
        <v>428.03</v>
      </c>
      <c r="C73" s="2">
        <v>493.34</v>
      </c>
      <c r="D73" s="2">
        <v>442.41</v>
      </c>
      <c r="E73" s="2">
        <v>1132.02</v>
      </c>
      <c r="F73" s="2">
        <v>1309.52</v>
      </c>
      <c r="G73" s="2">
        <v>1252.24</v>
      </c>
      <c r="H73" s="2">
        <f t="shared" si="4"/>
        <v>-1.4374870097167236</v>
      </c>
      <c r="I73" s="2">
        <f t="shared" si="5"/>
        <v>1.5592365074224013E-4</v>
      </c>
      <c r="J73" s="2">
        <f t="shared" si="6"/>
        <v>10.41339521750808</v>
      </c>
      <c r="K73">
        <f t="shared" si="7"/>
        <v>1231.26</v>
      </c>
    </row>
    <row r="74" spans="1:11" ht="13.9" x14ac:dyDescent="0.3">
      <c r="A74" s="2" t="s">
        <v>269</v>
      </c>
      <c r="B74" s="2">
        <v>632.15</v>
      </c>
      <c r="C74" s="2">
        <v>645.74</v>
      </c>
      <c r="D74" s="2">
        <v>815.58</v>
      </c>
      <c r="E74" s="2">
        <v>1908.19</v>
      </c>
      <c r="F74" s="2">
        <v>1897.31</v>
      </c>
      <c r="G74" s="2">
        <v>1836.05</v>
      </c>
      <c r="H74" s="2">
        <f t="shared" si="4"/>
        <v>-1.4301953494814912</v>
      </c>
      <c r="I74" s="2">
        <f t="shared" si="5"/>
        <v>4.7816961235657718E-5</v>
      </c>
      <c r="J74" s="2">
        <f t="shared" si="6"/>
        <v>11.031680528672313</v>
      </c>
      <c r="K74">
        <f t="shared" si="7"/>
        <v>1880.5166666666667</v>
      </c>
    </row>
    <row r="75" spans="1:11" ht="13.9" x14ac:dyDescent="0.3">
      <c r="A75" s="2" t="s">
        <v>848</v>
      </c>
      <c r="B75" s="2">
        <v>8.1300000000000008</v>
      </c>
      <c r="C75" s="2">
        <v>30.07</v>
      </c>
      <c r="D75" s="2">
        <v>0</v>
      </c>
      <c r="E75" s="2">
        <v>31.6</v>
      </c>
      <c r="F75" s="2">
        <v>36.81</v>
      </c>
      <c r="G75" s="2">
        <v>33.24</v>
      </c>
      <c r="H75" s="2">
        <f t="shared" si="4"/>
        <v>-1.4119656718089837</v>
      </c>
      <c r="I75" s="2">
        <f t="shared" si="5"/>
        <v>8.1018889004284042E-2</v>
      </c>
      <c r="J75" s="2">
        <f t="shared" si="6"/>
        <v>5.2555007331483861</v>
      </c>
      <c r="K75">
        <f t="shared" si="7"/>
        <v>33.883333333333333</v>
      </c>
    </row>
    <row r="76" spans="1:11" ht="13.9" x14ac:dyDescent="0.3">
      <c r="A76" s="2" t="s">
        <v>395</v>
      </c>
      <c r="B76" s="2">
        <v>0</v>
      </c>
      <c r="C76" s="2">
        <v>0</v>
      </c>
      <c r="D76" s="2">
        <v>0.26</v>
      </c>
      <c r="E76" s="2">
        <v>0</v>
      </c>
      <c r="F76" s="2">
        <v>0.11</v>
      </c>
      <c r="G76" s="2">
        <v>0.56999999999999995</v>
      </c>
      <c r="H76" s="2">
        <f t="shared" si="4"/>
        <v>-1.3870231231092471</v>
      </c>
      <c r="I76" s="2">
        <f t="shared" si="5"/>
        <v>0.51229798941042815</v>
      </c>
      <c r="J76" s="2">
        <f t="shared" si="6"/>
        <v>-1.9434164716336324</v>
      </c>
      <c r="K76">
        <f t="shared" si="7"/>
        <v>0.22666666666666666</v>
      </c>
    </row>
    <row r="77" spans="1:11" ht="13.9" x14ac:dyDescent="0.3">
      <c r="A77" s="2" t="s">
        <v>267</v>
      </c>
      <c r="B77" s="2">
        <v>7852.53</v>
      </c>
      <c r="C77" s="2">
        <v>10454.469999999999</v>
      </c>
      <c r="D77" s="2">
        <v>5392.69</v>
      </c>
      <c r="E77" s="2">
        <v>20250.41</v>
      </c>
      <c r="F77" s="2">
        <v>22697.8</v>
      </c>
      <c r="G77" s="2">
        <v>19031.53</v>
      </c>
      <c r="H77" s="2">
        <f t="shared" si="4"/>
        <v>-1.386928514642237</v>
      </c>
      <c r="I77" s="2">
        <f t="shared" si="5"/>
        <v>2.161233626520855E-3</v>
      </c>
      <c r="J77" s="2">
        <f t="shared" si="6"/>
        <v>14.532580567854939</v>
      </c>
      <c r="K77">
        <f t="shared" si="7"/>
        <v>20659.913333333334</v>
      </c>
    </row>
    <row r="78" spans="1:11" ht="13.9" x14ac:dyDescent="0.3">
      <c r="A78" s="2" t="s">
        <v>496</v>
      </c>
      <c r="B78" s="2">
        <v>0</v>
      </c>
      <c r="C78" s="2">
        <v>0</v>
      </c>
      <c r="D78" s="2">
        <v>0.26</v>
      </c>
      <c r="E78" s="2">
        <v>0</v>
      </c>
      <c r="F78" s="2">
        <v>0.67</v>
      </c>
      <c r="G78" s="2">
        <v>0</v>
      </c>
      <c r="H78" s="2">
        <f t="shared" si="4"/>
        <v>-1.3656494723166803</v>
      </c>
      <c r="I78" s="2">
        <f t="shared" si="5"/>
        <v>0.59886332390904873</v>
      </c>
      <c r="J78" s="2">
        <f t="shared" si="6"/>
        <v>-1.9434164716336324</v>
      </c>
      <c r="K78">
        <f t="shared" si="7"/>
        <v>0.22333333333333336</v>
      </c>
    </row>
    <row r="79" spans="1:11" ht="13.9" x14ac:dyDescent="0.3">
      <c r="A79" s="2" t="s">
        <v>249</v>
      </c>
      <c r="B79" s="2">
        <v>10.62</v>
      </c>
      <c r="C79" s="2">
        <v>4.05</v>
      </c>
      <c r="D79" s="2">
        <v>0</v>
      </c>
      <c r="E79" s="2">
        <v>14.73</v>
      </c>
      <c r="F79" s="2">
        <v>12.09</v>
      </c>
      <c r="G79" s="2">
        <v>10.44</v>
      </c>
      <c r="H79" s="2">
        <f t="shared" si="4"/>
        <v>-1.3447588032682478</v>
      </c>
      <c r="I79" s="2">
        <f t="shared" si="5"/>
        <v>8.701923900004839E-2</v>
      </c>
      <c r="J79" s="2">
        <f t="shared" si="6"/>
        <v>3.874796965898665</v>
      </c>
      <c r="K79">
        <f t="shared" si="7"/>
        <v>12.42</v>
      </c>
    </row>
    <row r="80" spans="1:11" ht="13.9" x14ac:dyDescent="0.3">
      <c r="A80" s="2" t="s">
        <v>208</v>
      </c>
      <c r="B80" s="2">
        <v>3.15</v>
      </c>
      <c r="C80" s="2">
        <v>13.3</v>
      </c>
      <c r="D80" s="2">
        <v>11.93</v>
      </c>
      <c r="E80" s="2">
        <v>25.68</v>
      </c>
      <c r="F80" s="2">
        <v>24.06</v>
      </c>
      <c r="G80" s="2">
        <v>22.12</v>
      </c>
      <c r="H80" s="2">
        <f t="shared" si="4"/>
        <v>-1.3403143459416129</v>
      </c>
      <c r="I80" s="2">
        <f t="shared" si="5"/>
        <v>1.2285375232619177E-2</v>
      </c>
      <c r="J80" s="2">
        <f t="shared" si="6"/>
        <v>4.8268026842858269</v>
      </c>
      <c r="K80">
        <f t="shared" si="7"/>
        <v>23.953333333333333</v>
      </c>
    </row>
    <row r="81" spans="1:11" ht="13.9" x14ac:dyDescent="0.3">
      <c r="A81" s="2" t="s">
        <v>389</v>
      </c>
      <c r="B81" s="2">
        <v>36.840000000000003</v>
      </c>
      <c r="C81" s="2">
        <v>189.41</v>
      </c>
      <c r="D81" s="2">
        <v>57.83</v>
      </c>
      <c r="E81" s="2">
        <v>235.39</v>
      </c>
      <c r="F81" s="2">
        <v>317.68</v>
      </c>
      <c r="G81" s="2">
        <v>146.80000000000001</v>
      </c>
      <c r="H81" s="2">
        <f t="shared" si="4"/>
        <v>-1.3007897026248501</v>
      </c>
      <c r="I81" s="2">
        <f t="shared" si="5"/>
        <v>0.11367318573268639</v>
      </c>
      <c r="J81" s="2">
        <f t="shared" si="6"/>
        <v>8.1501534552462473</v>
      </c>
      <c r="K81">
        <f t="shared" si="7"/>
        <v>233.28999999999996</v>
      </c>
    </row>
    <row r="82" spans="1:11" ht="13.9" x14ac:dyDescent="0.3">
      <c r="A82" s="2" t="s">
        <v>526</v>
      </c>
      <c r="B82" s="2">
        <v>9.83</v>
      </c>
      <c r="C82" s="2">
        <v>0</v>
      </c>
      <c r="D82" s="2">
        <v>0</v>
      </c>
      <c r="E82" s="2">
        <v>4.66</v>
      </c>
      <c r="F82" s="2">
        <v>10.53</v>
      </c>
      <c r="G82" s="2">
        <v>8.85</v>
      </c>
      <c r="H82" s="2">
        <f t="shared" si="4"/>
        <v>-1.2901735743706049</v>
      </c>
      <c r="I82" s="2">
        <f t="shared" si="5"/>
        <v>0.27105885481126196</v>
      </c>
      <c r="J82" s="2">
        <f t="shared" si="6"/>
        <v>3.2971914165658558</v>
      </c>
      <c r="K82">
        <f t="shared" si="7"/>
        <v>8.0133333333333336</v>
      </c>
    </row>
    <row r="83" spans="1:11" ht="13.9" x14ac:dyDescent="0.3">
      <c r="A83" s="2" t="s">
        <v>451</v>
      </c>
      <c r="B83" s="2">
        <v>3.54</v>
      </c>
      <c r="C83" s="2">
        <v>0</v>
      </c>
      <c r="D83" s="2">
        <v>0</v>
      </c>
      <c r="E83" s="2">
        <v>1.01</v>
      </c>
      <c r="F83" s="2">
        <v>6.87</v>
      </c>
      <c r="G83" s="2">
        <v>0.68</v>
      </c>
      <c r="H83" s="2">
        <f t="shared" si="4"/>
        <v>-1.2738614363181497</v>
      </c>
      <c r="I83" s="2">
        <f t="shared" si="5"/>
        <v>0.51258386583211424</v>
      </c>
      <c r="J83" s="2">
        <f t="shared" si="6"/>
        <v>1.8237493603082728</v>
      </c>
      <c r="K83">
        <f t="shared" si="7"/>
        <v>2.8533333333333335</v>
      </c>
    </row>
    <row r="84" spans="1:11" ht="13.9" x14ac:dyDescent="0.3">
      <c r="A84" s="2" t="s">
        <v>596</v>
      </c>
      <c r="B84" s="2">
        <v>3.67</v>
      </c>
      <c r="C84" s="2">
        <v>0</v>
      </c>
      <c r="D84" s="2">
        <v>0</v>
      </c>
      <c r="E84" s="2">
        <v>2.0099999999999998</v>
      </c>
      <c r="F84" s="2">
        <v>2.88</v>
      </c>
      <c r="G84" s="2">
        <v>3.97</v>
      </c>
      <c r="H84" s="2">
        <f t="shared" si="4"/>
        <v>-1.2715266357118056</v>
      </c>
      <c r="I84" s="2">
        <f t="shared" si="5"/>
        <v>0.26876753898061834</v>
      </c>
      <c r="J84" s="2">
        <f t="shared" si="6"/>
        <v>1.875780063068488</v>
      </c>
      <c r="K84">
        <f t="shared" si="7"/>
        <v>2.9533333333333331</v>
      </c>
    </row>
    <row r="85" spans="1:11" ht="13.9" x14ac:dyDescent="0.3">
      <c r="A85" s="2" t="s">
        <v>97</v>
      </c>
      <c r="B85" s="2">
        <v>543.39</v>
      </c>
      <c r="C85" s="2">
        <v>603.52</v>
      </c>
      <c r="D85" s="2">
        <v>459.01</v>
      </c>
      <c r="E85" s="2">
        <v>1246.57</v>
      </c>
      <c r="F85" s="2">
        <v>1122.1300000000001</v>
      </c>
      <c r="G85" s="2">
        <v>1494.68</v>
      </c>
      <c r="H85" s="2">
        <f t="shared" si="4"/>
        <v>-1.2664635614572752</v>
      </c>
      <c r="I85" s="2">
        <f t="shared" si="5"/>
        <v>3.0296341968782513E-3</v>
      </c>
      <c r="J85" s="2">
        <f t="shared" si="6"/>
        <v>10.649184310470005</v>
      </c>
      <c r="K85">
        <f t="shared" si="7"/>
        <v>1287.7933333333333</v>
      </c>
    </row>
    <row r="86" spans="1:11" ht="13.9" x14ac:dyDescent="0.3">
      <c r="A86" s="2" t="s">
        <v>919</v>
      </c>
      <c r="B86" s="2">
        <v>6155.23</v>
      </c>
      <c r="C86" s="2">
        <v>6502.81</v>
      </c>
      <c r="D86" s="2">
        <v>3138.37</v>
      </c>
      <c r="E86" s="2">
        <v>13294.25</v>
      </c>
      <c r="F86" s="2">
        <v>13356.93</v>
      </c>
      <c r="G86" s="2">
        <v>11289.25</v>
      </c>
      <c r="H86" s="2">
        <f t="shared" si="4"/>
        <v>-1.2641393107792682</v>
      </c>
      <c r="I86" s="2">
        <f t="shared" si="5"/>
        <v>4.3092266947983831E-3</v>
      </c>
      <c r="J86" s="2">
        <f t="shared" si="6"/>
        <v>13.947309098477719</v>
      </c>
      <c r="K86">
        <f t="shared" si="7"/>
        <v>12646.81</v>
      </c>
    </row>
    <row r="87" spans="1:11" ht="13.9" x14ac:dyDescent="0.3">
      <c r="A87" s="2" t="s">
        <v>271</v>
      </c>
      <c r="B87" s="2">
        <v>267.7</v>
      </c>
      <c r="C87" s="2">
        <v>288.31</v>
      </c>
      <c r="D87" s="2">
        <v>178.42</v>
      </c>
      <c r="E87" s="2">
        <v>642.99</v>
      </c>
      <c r="F87" s="2">
        <v>544.77</v>
      </c>
      <c r="G87" s="2">
        <v>532.53</v>
      </c>
      <c r="H87" s="2">
        <f t="shared" si="4"/>
        <v>-1.2279548932360211</v>
      </c>
      <c r="I87" s="2">
        <f t="shared" si="5"/>
        <v>2.4902431033459278E-3</v>
      </c>
      <c r="J87" s="2">
        <f t="shared" si="6"/>
        <v>9.5204811809437206</v>
      </c>
      <c r="K87">
        <f t="shared" si="7"/>
        <v>573.42999999999995</v>
      </c>
    </row>
    <row r="88" spans="1:11" ht="13.9" x14ac:dyDescent="0.3">
      <c r="A88" s="2" t="s">
        <v>117</v>
      </c>
      <c r="B88" s="2">
        <v>26.61</v>
      </c>
      <c r="C88" s="2">
        <v>26.6</v>
      </c>
      <c r="D88" s="2">
        <v>12.19</v>
      </c>
      <c r="E88" s="2">
        <v>48.34</v>
      </c>
      <c r="F88" s="2">
        <v>49.45</v>
      </c>
      <c r="G88" s="2">
        <v>55.25</v>
      </c>
      <c r="H88" s="2">
        <f t="shared" si="4"/>
        <v>-1.2265462379606678</v>
      </c>
      <c r="I88" s="2">
        <f t="shared" si="5"/>
        <v>5.147334024236689E-3</v>
      </c>
      <c r="J88" s="2">
        <f t="shared" si="6"/>
        <v>6.0312187306107203</v>
      </c>
      <c r="K88">
        <f t="shared" si="7"/>
        <v>51.013333333333343</v>
      </c>
    </row>
    <row r="89" spans="1:11" ht="13.9" x14ac:dyDescent="0.3">
      <c r="A89" s="2" t="s">
        <v>55</v>
      </c>
      <c r="B89" s="2">
        <v>45.23</v>
      </c>
      <c r="C89" s="2">
        <v>0</v>
      </c>
      <c r="D89" s="2">
        <v>0</v>
      </c>
      <c r="E89" s="2">
        <v>45.95</v>
      </c>
      <c r="F89" s="2">
        <v>32.049999999999997</v>
      </c>
      <c r="G89" s="2">
        <v>27.57</v>
      </c>
      <c r="H89" s="2">
        <f t="shared" si="4"/>
        <v>-1.2228480188394095</v>
      </c>
      <c r="I89" s="2">
        <f t="shared" si="5"/>
        <v>0.27865507153783681</v>
      </c>
      <c r="J89" s="2">
        <f t="shared" si="6"/>
        <v>5.499208090856686</v>
      </c>
      <c r="K89">
        <f t="shared" si="7"/>
        <v>35.19</v>
      </c>
    </row>
    <row r="90" spans="1:11" ht="13.9" x14ac:dyDescent="0.3">
      <c r="A90" s="2" t="s">
        <v>220</v>
      </c>
      <c r="B90" s="2">
        <v>19.8</v>
      </c>
      <c r="C90" s="2">
        <v>12.15</v>
      </c>
      <c r="D90" s="2">
        <v>2.0699999999999998</v>
      </c>
      <c r="E90" s="2">
        <v>27.32</v>
      </c>
      <c r="F90" s="2">
        <v>28.28</v>
      </c>
      <c r="G90" s="2">
        <v>22.01</v>
      </c>
      <c r="H90" s="2">
        <f t="shared" si="4"/>
        <v>-1.189859413742512</v>
      </c>
      <c r="I90" s="2">
        <f t="shared" si="5"/>
        <v>5.7239615447180633E-2</v>
      </c>
      <c r="J90" s="2">
        <f t="shared" si="6"/>
        <v>5.0883112358886606</v>
      </c>
      <c r="K90">
        <f t="shared" si="7"/>
        <v>25.87</v>
      </c>
    </row>
    <row r="91" spans="1:11" ht="13.9" x14ac:dyDescent="0.3">
      <c r="A91" s="2" t="s">
        <v>392</v>
      </c>
      <c r="B91" s="2">
        <v>36.049999999999997</v>
      </c>
      <c r="C91" s="2">
        <v>46.56</v>
      </c>
      <c r="D91" s="2">
        <v>24.38</v>
      </c>
      <c r="E91" s="2">
        <v>73.260000000000005</v>
      </c>
      <c r="F91" s="2">
        <v>94.92</v>
      </c>
      <c r="G91" s="2">
        <v>70.11</v>
      </c>
      <c r="H91" s="2">
        <f t="shared" si="4"/>
        <v>-1.1552424501182603</v>
      </c>
      <c r="I91" s="2">
        <f t="shared" si="5"/>
        <v>1.2283464177081604E-2</v>
      </c>
      <c r="J91" s="2">
        <f t="shared" si="6"/>
        <v>6.7413321487879934</v>
      </c>
      <c r="K91">
        <f t="shared" si="7"/>
        <v>79.430000000000007</v>
      </c>
    </row>
    <row r="92" spans="1:11" ht="13.9" x14ac:dyDescent="0.3">
      <c r="A92" s="2" t="s">
        <v>212</v>
      </c>
      <c r="B92" s="2">
        <v>22.42</v>
      </c>
      <c r="C92" s="2">
        <v>0</v>
      </c>
      <c r="D92" s="2">
        <v>15.04</v>
      </c>
      <c r="E92" s="2">
        <v>18.5</v>
      </c>
      <c r="F92" s="2">
        <v>32.049999999999997</v>
      </c>
      <c r="G92" s="2">
        <v>31.43</v>
      </c>
      <c r="H92" s="2">
        <f t="shared" si="4"/>
        <v>-1.1299210903917332</v>
      </c>
      <c r="I92" s="2">
        <f t="shared" si="5"/>
        <v>0.13494704145451841</v>
      </c>
      <c r="J92" s="2">
        <f t="shared" si="6"/>
        <v>5.2272789944683211</v>
      </c>
      <c r="K92">
        <f t="shared" si="7"/>
        <v>27.326666666666664</v>
      </c>
    </row>
    <row r="93" spans="1:11" ht="13.9" x14ac:dyDescent="0.3">
      <c r="A93" s="2" t="s">
        <v>214</v>
      </c>
      <c r="B93" s="2">
        <v>22.42</v>
      </c>
      <c r="C93" s="2">
        <v>0</v>
      </c>
      <c r="D93" s="2">
        <v>15.04</v>
      </c>
      <c r="E93" s="2">
        <v>18.5</v>
      </c>
      <c r="F93" s="2">
        <v>32.049999999999997</v>
      </c>
      <c r="G93" s="2">
        <v>31.43</v>
      </c>
      <c r="H93" s="2">
        <f t="shared" si="4"/>
        <v>-1.1299210903917332</v>
      </c>
      <c r="I93" s="2">
        <f t="shared" si="5"/>
        <v>0.13494704145451841</v>
      </c>
      <c r="J93" s="2">
        <f t="shared" si="6"/>
        <v>5.2272789944683211</v>
      </c>
      <c r="K93">
        <f t="shared" si="7"/>
        <v>27.326666666666664</v>
      </c>
    </row>
    <row r="94" spans="1:11" ht="13.9" x14ac:dyDescent="0.3">
      <c r="A94" s="2" t="s">
        <v>454</v>
      </c>
      <c r="B94" s="2">
        <v>6.29</v>
      </c>
      <c r="C94" s="2">
        <v>9.5399999999999991</v>
      </c>
      <c r="D94" s="2">
        <v>12.97</v>
      </c>
      <c r="E94" s="2">
        <v>21.4</v>
      </c>
      <c r="F94" s="2">
        <v>21.62</v>
      </c>
      <c r="G94" s="2">
        <v>19.850000000000001</v>
      </c>
      <c r="H94" s="2">
        <f t="shared" si="4"/>
        <v>-1.1263029514487839</v>
      </c>
      <c r="I94" s="2">
        <f t="shared" si="5"/>
        <v>4.8109690058510792E-3</v>
      </c>
      <c r="J94" s="2">
        <f t="shared" si="6"/>
        <v>4.8479969065549504</v>
      </c>
      <c r="K94">
        <f t="shared" si="7"/>
        <v>20.956666666666667</v>
      </c>
    </row>
    <row r="95" spans="1:11" ht="13.9" x14ac:dyDescent="0.3">
      <c r="A95" s="2" t="s">
        <v>44</v>
      </c>
      <c r="B95" s="2">
        <v>7.08</v>
      </c>
      <c r="C95" s="2">
        <v>0.28999999999999998</v>
      </c>
      <c r="D95" s="2">
        <v>4.93</v>
      </c>
      <c r="E95" s="2">
        <v>10.45</v>
      </c>
      <c r="F95" s="2">
        <v>6.87</v>
      </c>
      <c r="G95" s="2">
        <v>9.3000000000000007</v>
      </c>
      <c r="H95" s="2">
        <f t="shared" si="4"/>
        <v>-1.1138522556852897</v>
      </c>
      <c r="I95" s="2">
        <f t="shared" si="5"/>
        <v>0.10272942728039158</v>
      </c>
      <c r="J95" s="2">
        <f t="shared" si="6"/>
        <v>3.6205864104518781</v>
      </c>
      <c r="K95">
        <f t="shared" si="7"/>
        <v>8.8733333333333331</v>
      </c>
    </row>
    <row r="96" spans="1:11" ht="13.9" x14ac:dyDescent="0.3">
      <c r="A96" s="2" t="s">
        <v>33</v>
      </c>
      <c r="B96" s="2">
        <v>5.1100000000000003</v>
      </c>
      <c r="C96" s="2">
        <v>10.119999999999999</v>
      </c>
      <c r="D96" s="2">
        <v>3.11</v>
      </c>
      <c r="E96" s="2">
        <v>14.98</v>
      </c>
      <c r="F96" s="2">
        <v>15.75</v>
      </c>
      <c r="G96" s="2">
        <v>8.17</v>
      </c>
      <c r="H96" s="2">
        <f t="shared" si="4"/>
        <v>-1.0847765162784999</v>
      </c>
      <c r="I96" s="2">
        <f t="shared" si="5"/>
        <v>9.7834050530099068E-2</v>
      </c>
      <c r="J96" s="2">
        <f t="shared" si="6"/>
        <v>4.1969217338203295</v>
      </c>
      <c r="K96">
        <f t="shared" si="7"/>
        <v>12.966666666666667</v>
      </c>
    </row>
    <row r="97" spans="1:11" ht="13.9" x14ac:dyDescent="0.3">
      <c r="A97" s="2" t="s">
        <v>324</v>
      </c>
      <c r="B97" s="2">
        <v>11.27</v>
      </c>
      <c r="C97" s="2">
        <v>0</v>
      </c>
      <c r="D97" s="2">
        <v>0</v>
      </c>
      <c r="E97" s="2">
        <v>11.45</v>
      </c>
      <c r="F97" s="2">
        <v>7.21</v>
      </c>
      <c r="G97" s="2">
        <v>5.22</v>
      </c>
      <c r="H97" s="2">
        <f t="shared" si="4"/>
        <v>-1.0833153210925841</v>
      </c>
      <c r="I97" s="2">
        <f t="shared" si="5"/>
        <v>0.37169748492468829</v>
      </c>
      <c r="J97" s="2">
        <f t="shared" si="6"/>
        <v>3.4944156103974962</v>
      </c>
      <c r="K97">
        <f t="shared" si="7"/>
        <v>7.96</v>
      </c>
    </row>
    <row r="98" spans="1:11" ht="13.9" x14ac:dyDescent="0.3">
      <c r="A98" s="2" t="s">
        <v>912</v>
      </c>
      <c r="B98" s="2">
        <v>0.79</v>
      </c>
      <c r="C98" s="2">
        <v>17.64</v>
      </c>
      <c r="D98" s="2">
        <v>0</v>
      </c>
      <c r="E98" s="2">
        <v>11.58</v>
      </c>
      <c r="F98" s="2">
        <v>11.98</v>
      </c>
      <c r="G98" s="2">
        <v>15.43</v>
      </c>
      <c r="H98" s="2">
        <f t="shared" si="4"/>
        <v>-1.0810480837669227</v>
      </c>
      <c r="I98" s="2">
        <f t="shared" si="5"/>
        <v>0.30865407798302696</v>
      </c>
      <c r="J98" s="2">
        <f t="shared" si="6"/>
        <v>4.2039841658559887</v>
      </c>
      <c r="K98">
        <f t="shared" si="7"/>
        <v>12.996666666666668</v>
      </c>
    </row>
    <row r="99" spans="1:11" ht="13.9" x14ac:dyDescent="0.3">
      <c r="A99" s="2" t="s">
        <v>298</v>
      </c>
      <c r="B99" s="2">
        <v>2152.08</v>
      </c>
      <c r="C99" s="2">
        <v>3143.69</v>
      </c>
      <c r="D99" s="2">
        <v>2112.21</v>
      </c>
      <c r="E99" s="2">
        <v>5653.44</v>
      </c>
      <c r="F99" s="2">
        <v>5625.85</v>
      </c>
      <c r="G99" s="2">
        <v>4182.7299999999996</v>
      </c>
      <c r="H99" s="2">
        <f t="shared" si="4"/>
        <v>-1.0615767004065884</v>
      </c>
      <c r="I99" s="2">
        <f t="shared" si="5"/>
        <v>1.0499696310510835E-2</v>
      </c>
      <c r="J99" s="2">
        <f t="shared" si="6"/>
        <v>12.854864488289964</v>
      </c>
      <c r="K99">
        <f t="shared" si="7"/>
        <v>5154.0066666666671</v>
      </c>
    </row>
    <row r="100" spans="1:11" ht="13.9" x14ac:dyDescent="0.3">
      <c r="A100" s="2" t="s">
        <v>722</v>
      </c>
      <c r="B100" s="2">
        <v>304.54000000000002</v>
      </c>
      <c r="C100" s="2">
        <v>721.8</v>
      </c>
      <c r="D100" s="2">
        <v>391.06</v>
      </c>
      <c r="E100" s="2">
        <v>916.39</v>
      </c>
      <c r="F100" s="2">
        <v>932.41</v>
      </c>
      <c r="G100" s="2">
        <v>1088.76</v>
      </c>
      <c r="H100" s="2">
        <f t="shared" si="4"/>
        <v>-1.0513713650409209</v>
      </c>
      <c r="I100" s="2">
        <f t="shared" si="5"/>
        <v>2.1617859208402975E-2</v>
      </c>
      <c r="J100" s="2">
        <f t="shared" si="6"/>
        <v>10.469031238811461</v>
      </c>
      <c r="K100">
        <f t="shared" si="7"/>
        <v>979.18666666666661</v>
      </c>
    </row>
    <row r="101" spans="1:11" ht="13.9" x14ac:dyDescent="0.3">
      <c r="A101" s="2" t="s">
        <v>42</v>
      </c>
      <c r="B101" s="2">
        <v>56.24</v>
      </c>
      <c r="C101" s="2">
        <v>51.76</v>
      </c>
      <c r="D101" s="2">
        <v>9.34</v>
      </c>
      <c r="E101" s="2">
        <v>83.21</v>
      </c>
      <c r="F101" s="2">
        <v>91.26</v>
      </c>
      <c r="G101" s="2">
        <v>67.73</v>
      </c>
      <c r="H101" s="2">
        <f t="shared" si="4"/>
        <v>-1.045503967910326</v>
      </c>
      <c r="I101" s="2">
        <f t="shared" si="5"/>
        <v>6.4772461732425887E-2</v>
      </c>
      <c r="J101" s="2">
        <f t="shared" si="6"/>
        <v>6.8745510868966404</v>
      </c>
      <c r="K101">
        <f t="shared" si="7"/>
        <v>80.733333333333334</v>
      </c>
    </row>
    <row r="102" spans="1:11" ht="13.9" x14ac:dyDescent="0.3">
      <c r="A102" s="2" t="s">
        <v>748</v>
      </c>
      <c r="B102" s="2">
        <v>30.28</v>
      </c>
      <c r="C102" s="2">
        <v>0</v>
      </c>
      <c r="D102" s="2">
        <v>0</v>
      </c>
      <c r="E102" s="2">
        <v>14.1</v>
      </c>
      <c r="F102" s="2">
        <v>22.51</v>
      </c>
      <c r="G102" s="2">
        <v>25.75</v>
      </c>
      <c r="H102" s="2">
        <f t="shared" si="4"/>
        <v>-1.0422557227120532</v>
      </c>
      <c r="I102" s="2">
        <f t="shared" si="5"/>
        <v>0.37311233314534425</v>
      </c>
      <c r="J102" s="2">
        <f t="shared" si="6"/>
        <v>4.9202933002110072</v>
      </c>
      <c r="K102">
        <f t="shared" si="7"/>
        <v>20.786666666666665</v>
      </c>
    </row>
    <row r="103" spans="1:11" ht="13.9" x14ac:dyDescent="0.3">
      <c r="A103" s="2" t="s">
        <v>751</v>
      </c>
      <c r="B103" s="2">
        <v>188.12</v>
      </c>
      <c r="C103" s="2">
        <v>199.53</v>
      </c>
      <c r="D103" s="2">
        <v>155.86000000000001</v>
      </c>
      <c r="E103" s="2">
        <v>386.19</v>
      </c>
      <c r="F103" s="2">
        <v>386.76</v>
      </c>
      <c r="G103" s="2">
        <v>344.88</v>
      </c>
      <c r="H103" s="2">
        <f t="shared" si="4"/>
        <v>-1.040322314619438</v>
      </c>
      <c r="I103" s="2">
        <f t="shared" si="5"/>
        <v>5.5245543781967481E-4</v>
      </c>
      <c r="J103" s="2">
        <f t="shared" si="6"/>
        <v>9.0861627693100839</v>
      </c>
      <c r="K103">
        <f t="shared" si="7"/>
        <v>372.60999999999996</v>
      </c>
    </row>
    <row r="104" spans="1:11" ht="13.9" x14ac:dyDescent="0.3">
      <c r="A104" s="2" t="s">
        <v>199</v>
      </c>
      <c r="B104" s="2">
        <v>255.24</v>
      </c>
      <c r="C104" s="2">
        <v>353.96</v>
      </c>
      <c r="D104" s="2">
        <v>183.6</v>
      </c>
      <c r="E104" s="2">
        <v>560.66</v>
      </c>
      <c r="F104" s="2">
        <v>645</v>
      </c>
      <c r="G104" s="2">
        <v>403.08</v>
      </c>
      <c r="H104" s="2">
        <f t="shared" si="4"/>
        <v>-1.0209023129797239</v>
      </c>
      <c r="I104" s="2">
        <f t="shared" si="5"/>
        <v>3.4583683997869853E-2</v>
      </c>
      <c r="J104" s="2">
        <f t="shared" si="6"/>
        <v>9.630813152299126</v>
      </c>
      <c r="K104">
        <f t="shared" si="7"/>
        <v>536.24666666666656</v>
      </c>
    </row>
    <row r="105" spans="1:11" ht="13.9" x14ac:dyDescent="0.3">
      <c r="A105" s="2" t="s">
        <v>931</v>
      </c>
      <c r="B105" s="2">
        <v>9.57</v>
      </c>
      <c r="C105" s="2">
        <v>8.9600000000000009</v>
      </c>
      <c r="D105" s="2">
        <v>1.3</v>
      </c>
      <c r="E105" s="2">
        <v>16.489999999999998</v>
      </c>
      <c r="F105" s="2">
        <v>9.98</v>
      </c>
      <c r="G105" s="2">
        <v>13.5</v>
      </c>
      <c r="H105" s="2">
        <f t="shared" si="4"/>
        <v>-1.011232895191599</v>
      </c>
      <c r="I105" s="2">
        <f t="shared" si="5"/>
        <v>0.10844161500323465</v>
      </c>
      <c r="J105" s="2">
        <f t="shared" si="6"/>
        <v>4.3096127724541233</v>
      </c>
      <c r="K105">
        <f t="shared" si="7"/>
        <v>13.323333333333332</v>
      </c>
    </row>
    <row r="106" spans="1:11" ht="13.9" x14ac:dyDescent="0.3">
      <c r="A106" s="2" t="s">
        <v>200</v>
      </c>
      <c r="B106" s="2">
        <v>286.18</v>
      </c>
      <c r="C106" s="2">
        <v>497.1</v>
      </c>
      <c r="D106" s="2">
        <v>372.39</v>
      </c>
      <c r="E106" s="2">
        <v>799.7</v>
      </c>
      <c r="F106" s="2">
        <v>700.11</v>
      </c>
      <c r="G106" s="2">
        <v>825</v>
      </c>
      <c r="H106" s="2">
        <f t="shared" si="4"/>
        <v>-1.0083833167100453</v>
      </c>
      <c r="I106" s="2">
        <f t="shared" si="5"/>
        <v>5.6787697747520084E-3</v>
      </c>
      <c r="J106" s="2">
        <f t="shared" si="6"/>
        <v>10.17451378169587</v>
      </c>
      <c r="K106">
        <f t="shared" si="7"/>
        <v>774.93666666666661</v>
      </c>
    </row>
    <row r="107" spans="1:11" ht="13.9" x14ac:dyDescent="0.3">
      <c r="A107" s="2" t="s">
        <v>438</v>
      </c>
      <c r="B107" s="2">
        <v>0</v>
      </c>
      <c r="C107" s="2">
        <v>27.76</v>
      </c>
      <c r="D107" s="2">
        <v>12.97</v>
      </c>
      <c r="E107" s="2">
        <v>23.04</v>
      </c>
      <c r="F107" s="2">
        <v>32.380000000000003</v>
      </c>
      <c r="G107" s="2">
        <v>24.62</v>
      </c>
      <c r="H107" s="2">
        <f t="shared" si="4"/>
        <v>-0.97462935290232644</v>
      </c>
      <c r="I107" s="2">
        <f t="shared" si="5"/>
        <v>0.19900810070238403</v>
      </c>
      <c r="J107" s="2">
        <f t="shared" si="6"/>
        <v>5.3480199092286904</v>
      </c>
      <c r="K107">
        <f t="shared" si="7"/>
        <v>26.680000000000003</v>
      </c>
    </row>
    <row r="108" spans="1:11" ht="13.9" x14ac:dyDescent="0.3">
      <c r="A108" s="2" t="s">
        <v>270</v>
      </c>
      <c r="B108" s="2">
        <v>468.67</v>
      </c>
      <c r="C108" s="2">
        <v>844.7</v>
      </c>
      <c r="D108" s="2">
        <v>603.19000000000005</v>
      </c>
      <c r="E108" s="2">
        <v>1209.82</v>
      </c>
      <c r="F108" s="2">
        <v>1180.24</v>
      </c>
      <c r="G108" s="2">
        <v>1361.95</v>
      </c>
      <c r="H108" s="2">
        <f t="shared" si="4"/>
        <v>-0.96914450899787907</v>
      </c>
      <c r="I108" s="2">
        <f t="shared" si="5"/>
        <v>7.7550314564555365E-3</v>
      </c>
      <c r="J108" s="2">
        <f t="shared" si="6"/>
        <v>10.90430344864841</v>
      </c>
      <c r="K108">
        <f t="shared" si="7"/>
        <v>1250.67</v>
      </c>
    </row>
    <row r="109" spans="1:11" ht="13.9" x14ac:dyDescent="0.3">
      <c r="A109" s="2" t="s">
        <v>718</v>
      </c>
      <c r="B109" s="2">
        <v>4.46</v>
      </c>
      <c r="C109" s="2">
        <v>6.94</v>
      </c>
      <c r="D109" s="2">
        <v>10.63</v>
      </c>
      <c r="E109" s="2">
        <v>8.94</v>
      </c>
      <c r="F109" s="2">
        <v>15.75</v>
      </c>
      <c r="G109" s="2">
        <v>18.38</v>
      </c>
      <c r="H109" s="2">
        <f t="shared" si="4"/>
        <v>-0.96721382854097526</v>
      </c>
      <c r="I109" s="2">
        <f t="shared" si="5"/>
        <v>0.10333459998272577</v>
      </c>
      <c r="J109" s="2">
        <f t="shared" si="6"/>
        <v>4.4613975899261593</v>
      </c>
      <c r="K109">
        <f t="shared" si="7"/>
        <v>14.356666666666664</v>
      </c>
    </row>
    <row r="110" spans="1:11" ht="13.9" x14ac:dyDescent="0.3">
      <c r="A110" s="2" t="s">
        <v>190</v>
      </c>
      <c r="B110" s="2">
        <v>32.119999999999997</v>
      </c>
      <c r="C110" s="2">
        <v>50.61</v>
      </c>
      <c r="D110" s="2">
        <v>24.12</v>
      </c>
      <c r="E110" s="2">
        <v>67.47</v>
      </c>
      <c r="F110" s="2">
        <v>76.62</v>
      </c>
      <c r="G110" s="2">
        <v>62.28</v>
      </c>
      <c r="H110" s="2">
        <f t="shared" si="4"/>
        <v>-0.94964635347593263</v>
      </c>
      <c r="I110" s="2">
        <f t="shared" si="5"/>
        <v>2.0300270761593131E-2</v>
      </c>
      <c r="J110" s="2">
        <f t="shared" si="6"/>
        <v>6.7394430977724484</v>
      </c>
      <c r="K110">
        <f t="shared" si="7"/>
        <v>68.790000000000006</v>
      </c>
    </row>
    <row r="111" spans="1:11" ht="13.9" x14ac:dyDescent="0.3">
      <c r="A111" s="2" t="s">
        <v>119</v>
      </c>
      <c r="B111" s="2">
        <v>0.13</v>
      </c>
      <c r="C111" s="2">
        <v>0</v>
      </c>
      <c r="D111" s="2">
        <v>0</v>
      </c>
      <c r="E111" s="2">
        <v>0.25</v>
      </c>
      <c r="F111" s="2">
        <v>0</v>
      </c>
      <c r="G111" s="2">
        <v>0</v>
      </c>
      <c r="H111" s="2">
        <f t="shared" si="4"/>
        <v>-0.9434164716336324</v>
      </c>
      <c r="I111" s="2">
        <f t="shared" si="5"/>
        <v>0.69212198733773511</v>
      </c>
      <c r="J111" s="2">
        <f t="shared" si="6"/>
        <v>-2.9434164716336326</v>
      </c>
      <c r="K111">
        <f t="shared" si="7"/>
        <v>8.3333333333333329E-2</v>
      </c>
    </row>
    <row r="112" spans="1:11" ht="13.9" x14ac:dyDescent="0.3">
      <c r="A112" s="2" t="s">
        <v>135</v>
      </c>
      <c r="B112" s="2">
        <v>39.07</v>
      </c>
      <c r="C112" s="2">
        <v>63.62</v>
      </c>
      <c r="D112" s="2">
        <v>28.27</v>
      </c>
      <c r="E112" s="2">
        <v>122.23</v>
      </c>
      <c r="F112" s="2">
        <v>63.42</v>
      </c>
      <c r="G112" s="2">
        <v>65.69</v>
      </c>
      <c r="H112" s="2">
        <f t="shared" si="4"/>
        <v>-0.94051406311352614</v>
      </c>
      <c r="I112" s="2">
        <f t="shared" si="5"/>
        <v>0.14079603952936393</v>
      </c>
      <c r="J112" s="2">
        <f t="shared" si="6"/>
        <v>7.0329824166994284</v>
      </c>
      <c r="K112">
        <f t="shared" si="7"/>
        <v>83.78</v>
      </c>
    </row>
    <row r="113" spans="1:11" ht="13.9" x14ac:dyDescent="0.3">
      <c r="A113" s="2" t="s">
        <v>189</v>
      </c>
      <c r="B113" s="2">
        <v>85.34</v>
      </c>
      <c r="C113" s="2">
        <v>141.99</v>
      </c>
      <c r="D113" s="2">
        <v>141.59</v>
      </c>
      <c r="E113" s="2">
        <v>251.5</v>
      </c>
      <c r="F113" s="2">
        <v>264.23</v>
      </c>
      <c r="G113" s="2">
        <v>189.69</v>
      </c>
      <c r="H113" s="2">
        <f t="shared" si="4"/>
        <v>-0.93517447653258889</v>
      </c>
      <c r="I113" s="2">
        <f t="shared" si="5"/>
        <v>1.9561272747574802E-2</v>
      </c>
      <c r="J113" s="2">
        <f t="shared" si="6"/>
        <v>8.5271641927372084</v>
      </c>
      <c r="K113">
        <f t="shared" si="7"/>
        <v>235.14000000000001</v>
      </c>
    </row>
    <row r="114" spans="1:11" ht="13.9" x14ac:dyDescent="0.3">
      <c r="A114" s="2" t="s">
        <v>766</v>
      </c>
      <c r="B114" s="2">
        <v>10.09</v>
      </c>
      <c r="C114" s="2">
        <v>6.36</v>
      </c>
      <c r="D114" s="2">
        <v>24.38</v>
      </c>
      <c r="E114" s="2">
        <v>23.16</v>
      </c>
      <c r="F114" s="2">
        <v>24.51</v>
      </c>
      <c r="G114" s="2">
        <v>29.84</v>
      </c>
      <c r="H114" s="2">
        <f t="shared" si="4"/>
        <v>-0.92475288501372077</v>
      </c>
      <c r="I114" s="2">
        <f t="shared" si="5"/>
        <v>0.10516615429152804</v>
      </c>
      <c r="J114" s="2">
        <f t="shared" si="6"/>
        <v>5.3515576624504257</v>
      </c>
      <c r="K114">
        <f t="shared" si="7"/>
        <v>25.83666666666667</v>
      </c>
    </row>
    <row r="115" spans="1:11" ht="13.9" x14ac:dyDescent="0.3">
      <c r="A115" s="2" t="s">
        <v>85</v>
      </c>
      <c r="B115" s="2">
        <v>0.39</v>
      </c>
      <c r="C115" s="2">
        <v>0</v>
      </c>
      <c r="D115" s="2">
        <v>0</v>
      </c>
      <c r="E115" s="2">
        <v>0.5</v>
      </c>
      <c r="F115" s="2">
        <v>0</v>
      </c>
      <c r="G115" s="2">
        <v>0.23</v>
      </c>
      <c r="H115" s="2">
        <f t="shared" si="4"/>
        <v>-0.90442234001776889</v>
      </c>
      <c r="I115" s="2">
        <f t="shared" si="5"/>
        <v>0.59112164364653408</v>
      </c>
      <c r="J115" s="2">
        <f t="shared" si="6"/>
        <v>-1.3584539709124763</v>
      </c>
      <c r="K115">
        <f t="shared" si="7"/>
        <v>0.24333333333333332</v>
      </c>
    </row>
    <row r="116" spans="1:11" ht="13.9" x14ac:dyDescent="0.3">
      <c r="A116" s="2" t="s">
        <v>32</v>
      </c>
      <c r="B116" s="2">
        <v>17527.04</v>
      </c>
      <c r="C116" s="2">
        <v>14995.48</v>
      </c>
      <c r="D116" s="2">
        <v>9801.76</v>
      </c>
      <c r="E116" s="2">
        <v>27582.44</v>
      </c>
      <c r="F116" s="2">
        <v>27355.98</v>
      </c>
      <c r="G116" s="2">
        <v>23936.58</v>
      </c>
      <c r="H116" s="2">
        <f t="shared" si="4"/>
        <v>-0.89808257418961912</v>
      </c>
      <c r="I116" s="2">
        <f t="shared" si="5"/>
        <v>8.9281504372874902E-3</v>
      </c>
      <c r="J116" s="2">
        <f t="shared" si="6"/>
        <v>15.369197905455017</v>
      </c>
      <c r="K116">
        <f t="shared" si="7"/>
        <v>26291.666666666668</v>
      </c>
    </row>
    <row r="117" spans="1:11" ht="13.9" x14ac:dyDescent="0.3">
      <c r="A117" s="2" t="s">
        <v>141</v>
      </c>
      <c r="B117" s="2">
        <v>17685.14</v>
      </c>
      <c r="C117" s="2">
        <v>21037.05</v>
      </c>
      <c r="D117" s="2">
        <v>19080.2</v>
      </c>
      <c r="E117" s="2">
        <v>37289.800000000003</v>
      </c>
      <c r="F117" s="2">
        <v>31030.3</v>
      </c>
      <c r="G117" s="2">
        <v>38207.480000000003</v>
      </c>
      <c r="H117" s="2">
        <f t="shared" si="4"/>
        <v>-0.88202594138968982</v>
      </c>
      <c r="I117" s="2">
        <f t="shared" si="5"/>
        <v>2.7092978298347671E-3</v>
      </c>
      <c r="J117" s="2">
        <f t="shared" si="6"/>
        <v>15.81884152573323</v>
      </c>
      <c r="K117">
        <f t="shared" si="7"/>
        <v>35509.193333333336</v>
      </c>
    </row>
    <row r="118" spans="1:11" ht="13.9" x14ac:dyDescent="0.3">
      <c r="A118" s="2" t="s">
        <v>921</v>
      </c>
      <c r="B118" s="2">
        <v>3.41</v>
      </c>
      <c r="C118" s="2">
        <v>0</v>
      </c>
      <c r="D118" s="2">
        <v>0</v>
      </c>
      <c r="E118" s="2">
        <v>3.9</v>
      </c>
      <c r="F118" s="2">
        <v>0.89</v>
      </c>
      <c r="G118" s="2">
        <v>1.47</v>
      </c>
      <c r="H118" s="2">
        <f t="shared" si="4"/>
        <v>-0.87639091790844592</v>
      </c>
      <c r="I118" s="2">
        <f t="shared" si="5"/>
        <v>0.55166625033418226</v>
      </c>
      <c r="J118" s="2">
        <f t="shared" si="6"/>
        <v>1.7697717392494476</v>
      </c>
      <c r="K118">
        <f t="shared" si="7"/>
        <v>2.0866666666666664</v>
      </c>
    </row>
    <row r="119" spans="1:11" ht="13.9" x14ac:dyDescent="0.3">
      <c r="A119" s="2" t="s">
        <v>49</v>
      </c>
      <c r="B119" s="2">
        <v>136.21</v>
      </c>
      <c r="C119" s="2">
        <v>243.2</v>
      </c>
      <c r="D119" s="2">
        <v>114.36</v>
      </c>
      <c r="E119" s="2">
        <v>312.81</v>
      </c>
      <c r="F119" s="2">
        <v>326.66000000000003</v>
      </c>
      <c r="G119" s="2">
        <v>253.67</v>
      </c>
      <c r="H119" s="2">
        <f t="shared" si="4"/>
        <v>-0.85504715073895798</v>
      </c>
      <c r="I119" s="2">
        <f t="shared" si="5"/>
        <v>4.3460364361847539E-2</v>
      </c>
      <c r="J119" s="2">
        <f t="shared" si="6"/>
        <v>8.9476953750484363</v>
      </c>
      <c r="K119">
        <f t="shared" si="7"/>
        <v>297.71333333333331</v>
      </c>
    </row>
    <row r="120" spans="1:11" ht="13.9" x14ac:dyDescent="0.3">
      <c r="A120" s="2" t="s">
        <v>187</v>
      </c>
      <c r="B120" s="2">
        <v>0.26</v>
      </c>
      <c r="C120" s="2">
        <v>68.540000000000006</v>
      </c>
      <c r="D120" s="2">
        <v>14.26</v>
      </c>
      <c r="E120" s="2">
        <v>47.96</v>
      </c>
      <c r="F120" s="2">
        <v>57.55</v>
      </c>
      <c r="G120" s="2">
        <v>43.22</v>
      </c>
      <c r="H120" s="2">
        <f t="shared" si="4"/>
        <v>-0.84046990269985888</v>
      </c>
      <c r="I120" s="2">
        <f t="shared" si="5"/>
        <v>0.36106262623373009</v>
      </c>
      <c r="J120" s="2">
        <f t="shared" si="6"/>
        <v>6.3760819666500712</v>
      </c>
      <c r="K120">
        <f t="shared" si="7"/>
        <v>49.576666666666661</v>
      </c>
    </row>
    <row r="121" spans="1:11" ht="13.9" x14ac:dyDescent="0.3">
      <c r="A121" s="2" t="s">
        <v>781</v>
      </c>
      <c r="B121" s="2">
        <v>8.65</v>
      </c>
      <c r="C121" s="2">
        <v>84.73</v>
      </c>
      <c r="D121" s="2">
        <v>5.96</v>
      </c>
      <c r="E121" s="2">
        <v>73.010000000000005</v>
      </c>
      <c r="F121" s="2">
        <v>56.11</v>
      </c>
      <c r="G121" s="2">
        <v>44.59</v>
      </c>
      <c r="H121" s="2">
        <f t="shared" si="4"/>
        <v>-0.80623415647911967</v>
      </c>
      <c r="I121" s="2">
        <f t="shared" si="5"/>
        <v>0.41218127125316428</v>
      </c>
      <c r="J121" s="2">
        <f t="shared" si="6"/>
        <v>6.6343028416625129</v>
      </c>
      <c r="K121">
        <f t="shared" si="7"/>
        <v>57.903333333333336</v>
      </c>
    </row>
    <row r="122" spans="1:11" ht="13.9" x14ac:dyDescent="0.3">
      <c r="A122" s="2" t="s">
        <v>215</v>
      </c>
      <c r="B122" s="2">
        <v>0.13</v>
      </c>
      <c r="C122" s="2">
        <v>0.28999999999999998</v>
      </c>
      <c r="D122" s="2">
        <v>1.04</v>
      </c>
      <c r="E122" s="2">
        <v>1.64</v>
      </c>
      <c r="F122" s="2">
        <v>0.44</v>
      </c>
      <c r="G122" s="2">
        <v>0.45</v>
      </c>
      <c r="H122" s="2">
        <f t="shared" si="4"/>
        <v>-0.79316901581429322</v>
      </c>
      <c r="I122" s="2">
        <f t="shared" si="5"/>
        <v>0.50469920495601062</v>
      </c>
      <c r="J122" s="2">
        <f t="shared" si="6"/>
        <v>0.54596836910529256</v>
      </c>
      <c r="K122">
        <f t="shared" si="7"/>
        <v>0.84333333333333338</v>
      </c>
    </row>
    <row r="123" spans="1:11" ht="13.9" x14ac:dyDescent="0.3">
      <c r="A123" s="2" t="s">
        <v>507</v>
      </c>
      <c r="B123" s="2">
        <v>0.66</v>
      </c>
      <c r="C123" s="2">
        <v>0</v>
      </c>
      <c r="D123" s="2">
        <v>0</v>
      </c>
      <c r="E123" s="2">
        <v>0.25</v>
      </c>
      <c r="F123" s="2">
        <v>0.44</v>
      </c>
      <c r="G123" s="2">
        <v>0.45</v>
      </c>
      <c r="H123" s="2">
        <f t="shared" si="4"/>
        <v>-0.78849589480628823</v>
      </c>
      <c r="I123" s="2">
        <f t="shared" si="5"/>
        <v>0.52395549906329764</v>
      </c>
      <c r="J123" s="2">
        <f t="shared" si="6"/>
        <v>-0.5994620704162712</v>
      </c>
      <c r="K123">
        <f t="shared" si="7"/>
        <v>0.37999999999999995</v>
      </c>
    </row>
    <row r="124" spans="1:11" ht="13.9" x14ac:dyDescent="0.3">
      <c r="A124" s="2" t="s">
        <v>247</v>
      </c>
      <c r="B124" s="2">
        <v>210.41</v>
      </c>
      <c r="C124" s="2">
        <v>126.66</v>
      </c>
      <c r="D124" s="2">
        <v>212.39</v>
      </c>
      <c r="E124" s="2">
        <v>409.61</v>
      </c>
      <c r="F124" s="2">
        <v>239.51</v>
      </c>
      <c r="G124" s="2">
        <v>286.68</v>
      </c>
      <c r="H124" s="2">
        <f t="shared" si="4"/>
        <v>-0.76818577009353062</v>
      </c>
      <c r="I124" s="2">
        <f t="shared" si="5"/>
        <v>9.0737076656837293E-2</v>
      </c>
      <c r="J124" s="2">
        <f t="shared" si="6"/>
        <v>9.1018706483794176</v>
      </c>
      <c r="K124">
        <f t="shared" si="7"/>
        <v>311.93333333333334</v>
      </c>
    </row>
    <row r="125" spans="1:11" ht="13.9" x14ac:dyDescent="0.3">
      <c r="A125" s="2" t="s">
        <v>743</v>
      </c>
      <c r="B125" s="2">
        <v>0</v>
      </c>
      <c r="C125" s="2">
        <v>11.86</v>
      </c>
      <c r="D125" s="2">
        <v>0</v>
      </c>
      <c r="E125" s="2">
        <v>4.78</v>
      </c>
      <c r="F125" s="2">
        <v>7.98</v>
      </c>
      <c r="G125" s="2">
        <v>7.37</v>
      </c>
      <c r="H125" s="2">
        <f t="shared" si="4"/>
        <v>-0.76324316237533629</v>
      </c>
      <c r="I125" s="2">
        <f t="shared" si="5"/>
        <v>0.53566380905534661</v>
      </c>
      <c r="J125" s="2">
        <f t="shared" si="6"/>
        <v>3.5680321047712789</v>
      </c>
      <c r="K125">
        <f t="shared" si="7"/>
        <v>6.7100000000000009</v>
      </c>
    </row>
    <row r="126" spans="1:11" ht="13.9" x14ac:dyDescent="0.3">
      <c r="A126" s="2" t="s">
        <v>724</v>
      </c>
      <c r="B126" s="2">
        <v>187.73</v>
      </c>
      <c r="C126" s="2">
        <v>314.33999999999997</v>
      </c>
      <c r="D126" s="2">
        <v>88.17</v>
      </c>
      <c r="E126" s="2">
        <v>407.59</v>
      </c>
      <c r="F126" s="2">
        <v>314.13</v>
      </c>
      <c r="G126" s="2">
        <v>251.4</v>
      </c>
      <c r="H126" s="2">
        <f t="shared" si="4"/>
        <v>-0.72131602733597933</v>
      </c>
      <c r="I126" s="2">
        <f t="shared" si="5"/>
        <v>0.18428790601942108</v>
      </c>
      <c r="J126" s="2">
        <f t="shared" si="6"/>
        <v>9.2051578839200943</v>
      </c>
      <c r="K126">
        <f t="shared" si="7"/>
        <v>324.37333333333333</v>
      </c>
    </row>
    <row r="127" spans="1:11" ht="13.9" x14ac:dyDescent="0.3">
      <c r="A127" s="2" t="s">
        <v>435</v>
      </c>
      <c r="B127" s="2">
        <v>0</v>
      </c>
      <c r="C127" s="2">
        <v>6.94</v>
      </c>
      <c r="D127" s="2">
        <v>0</v>
      </c>
      <c r="E127" s="2">
        <v>3.65</v>
      </c>
      <c r="F127" s="2">
        <v>4.32</v>
      </c>
      <c r="G127" s="2">
        <v>3.4</v>
      </c>
      <c r="H127" s="2">
        <f t="shared" si="4"/>
        <v>-0.71222468631398717</v>
      </c>
      <c r="I127" s="2">
        <f t="shared" si="5"/>
        <v>0.56059858238309523</v>
      </c>
      <c r="J127" s="2">
        <f t="shared" si="6"/>
        <v>2.7949356628035362</v>
      </c>
      <c r="K127">
        <f t="shared" si="7"/>
        <v>3.7900000000000005</v>
      </c>
    </row>
    <row r="128" spans="1:11" ht="13.9" x14ac:dyDescent="0.3">
      <c r="A128" s="2" t="s">
        <v>108</v>
      </c>
      <c r="B128" s="2">
        <v>12.19</v>
      </c>
      <c r="C128" s="2">
        <v>6.94</v>
      </c>
      <c r="D128" s="2">
        <v>0</v>
      </c>
      <c r="E128" s="2">
        <v>10.7</v>
      </c>
      <c r="F128" s="2">
        <v>8.76</v>
      </c>
      <c r="G128" s="2">
        <v>11.69</v>
      </c>
      <c r="H128" s="2">
        <f t="shared" si="4"/>
        <v>-0.70339528956525199</v>
      </c>
      <c r="I128" s="2">
        <f t="shared" si="5"/>
        <v>0.3320466660413211</v>
      </c>
      <c r="J128" s="2">
        <f t="shared" si="6"/>
        <v>4.2577649685713874</v>
      </c>
      <c r="K128">
        <f t="shared" si="7"/>
        <v>10.383333333333333</v>
      </c>
    </row>
    <row r="129" spans="1:11" ht="13.9" x14ac:dyDescent="0.3">
      <c r="A129" s="2" t="s">
        <v>715</v>
      </c>
      <c r="B129" s="2">
        <v>0.13</v>
      </c>
      <c r="C129" s="2">
        <v>4.34</v>
      </c>
      <c r="D129" s="2">
        <v>16.86</v>
      </c>
      <c r="E129" s="2">
        <v>10.7</v>
      </c>
      <c r="F129" s="2">
        <v>13.31</v>
      </c>
      <c r="G129" s="2">
        <v>10.32</v>
      </c>
      <c r="H129" s="2">
        <f t="shared" si="4"/>
        <v>-0.68658589161668504</v>
      </c>
      <c r="I129" s="2">
        <f t="shared" si="5"/>
        <v>0.44430580149313942</v>
      </c>
      <c r="J129" s="2">
        <f t="shared" si="6"/>
        <v>4.414812060565847</v>
      </c>
      <c r="K129">
        <f t="shared" si="7"/>
        <v>11.443333333333333</v>
      </c>
    </row>
    <row r="130" spans="1:11" ht="13.9" x14ac:dyDescent="0.3">
      <c r="A130" s="2" t="s">
        <v>221</v>
      </c>
      <c r="B130" s="2">
        <v>0</v>
      </c>
      <c r="C130" s="2">
        <v>16.190000000000001</v>
      </c>
      <c r="D130" s="2">
        <v>0.26</v>
      </c>
      <c r="E130" s="2">
        <v>8.06</v>
      </c>
      <c r="F130" s="2">
        <v>9.1999999999999993</v>
      </c>
      <c r="G130" s="2">
        <v>9.08</v>
      </c>
      <c r="H130" s="2">
        <f t="shared" ref="H130:H193" si="8">LOG(SUM(B130:D130)/SUM(E130:G130),2)</f>
        <v>-0.67916776163391013</v>
      </c>
      <c r="I130" s="2">
        <f t="shared" ref="I130:I193" si="9">_xlfn.T.TEST(B130:D130,E130:G130,2,2)</f>
        <v>0.57220456837121536</v>
      </c>
      <c r="J130" s="2">
        <f t="shared" ref="J130:J193" si="10">LOG(SUM(B130:D130),2)</f>
        <v>4.0400156788478796</v>
      </c>
      <c r="K130">
        <f t="shared" ref="K130:K193" si="11">AVERAGE(E130:G130)</f>
        <v>8.7799999999999994</v>
      </c>
    </row>
    <row r="131" spans="1:11" ht="13.9" x14ac:dyDescent="0.3">
      <c r="A131" s="2" t="s">
        <v>155</v>
      </c>
      <c r="B131" s="2">
        <v>49.16</v>
      </c>
      <c r="C131" s="2">
        <v>57.26</v>
      </c>
      <c r="D131" s="2">
        <v>48.49</v>
      </c>
      <c r="E131" s="2">
        <v>91.26</v>
      </c>
      <c r="F131" s="2">
        <v>86.71</v>
      </c>
      <c r="G131" s="2">
        <v>68.75</v>
      </c>
      <c r="H131" s="2">
        <f t="shared" si="8"/>
        <v>-0.67144439205641859</v>
      </c>
      <c r="I131" s="2">
        <f t="shared" si="9"/>
        <v>1.4607114202482599E-2</v>
      </c>
      <c r="J131" s="2">
        <f t="shared" si="10"/>
        <v>7.2752864680838911</v>
      </c>
      <c r="K131">
        <f t="shared" si="11"/>
        <v>82.24</v>
      </c>
    </row>
    <row r="132" spans="1:11" ht="13.9" x14ac:dyDescent="0.3">
      <c r="A132" s="2" t="s">
        <v>605</v>
      </c>
      <c r="B132" s="2">
        <v>1025.3</v>
      </c>
      <c r="C132" s="2">
        <v>1275.8699999999999</v>
      </c>
      <c r="D132" s="2">
        <v>578.04</v>
      </c>
      <c r="E132" s="2">
        <v>1762.55</v>
      </c>
      <c r="F132" s="2">
        <v>1690.3</v>
      </c>
      <c r="G132" s="2">
        <v>1089.0999999999999</v>
      </c>
      <c r="H132" s="2">
        <f t="shared" si="8"/>
        <v>-0.65763880612559833</v>
      </c>
      <c r="I132" s="2">
        <f t="shared" si="9"/>
        <v>0.13379318481560259</v>
      </c>
      <c r="J132" s="2">
        <f t="shared" si="10"/>
        <v>11.491457302778318</v>
      </c>
      <c r="K132">
        <f t="shared" si="11"/>
        <v>1513.9833333333333</v>
      </c>
    </row>
    <row r="133" spans="1:11" ht="13.9" x14ac:dyDescent="0.3">
      <c r="A133" s="2" t="s">
        <v>275</v>
      </c>
      <c r="B133" s="2">
        <v>26.87</v>
      </c>
      <c r="C133" s="2">
        <v>16.190000000000001</v>
      </c>
      <c r="D133" s="2">
        <v>6.74</v>
      </c>
      <c r="E133" s="2">
        <v>23.67</v>
      </c>
      <c r="F133" s="2">
        <v>25.28</v>
      </c>
      <c r="G133" s="2">
        <v>29.16</v>
      </c>
      <c r="H133" s="2">
        <f t="shared" si="8"/>
        <v>-0.64936151832572075</v>
      </c>
      <c r="I133" s="2">
        <f t="shared" si="9"/>
        <v>0.19315387438414822</v>
      </c>
      <c r="J133" s="2">
        <f t="shared" si="10"/>
        <v>5.6380738371807189</v>
      </c>
      <c r="K133">
        <f t="shared" si="11"/>
        <v>26.036666666666665</v>
      </c>
    </row>
    <row r="134" spans="1:11" ht="13.9" x14ac:dyDescent="0.3">
      <c r="A134" s="2" t="s">
        <v>366</v>
      </c>
      <c r="B134" s="2">
        <v>3.41</v>
      </c>
      <c r="C134" s="2">
        <v>18.510000000000002</v>
      </c>
      <c r="D134" s="2">
        <v>0</v>
      </c>
      <c r="E134" s="2">
        <v>9.69</v>
      </c>
      <c r="F134" s="2">
        <v>12.97</v>
      </c>
      <c r="G134" s="2">
        <v>11.69</v>
      </c>
      <c r="H134" s="2">
        <f t="shared" si="8"/>
        <v>-0.64806230074493576</v>
      </c>
      <c r="I134" s="2">
        <f t="shared" si="9"/>
        <v>0.51220815244014917</v>
      </c>
      <c r="J134" s="2">
        <f t="shared" si="10"/>
        <v>4.454175893185802</v>
      </c>
      <c r="K134">
        <f t="shared" si="11"/>
        <v>11.450000000000001</v>
      </c>
    </row>
    <row r="135" spans="1:11" ht="13.9" x14ac:dyDescent="0.3">
      <c r="A135" s="2" t="s">
        <v>23</v>
      </c>
      <c r="B135" s="2">
        <v>6.55</v>
      </c>
      <c r="C135" s="2">
        <v>0.87</v>
      </c>
      <c r="D135" s="2">
        <v>0</v>
      </c>
      <c r="E135" s="2">
        <v>4.28</v>
      </c>
      <c r="F135" s="2">
        <v>4.32</v>
      </c>
      <c r="G135" s="2">
        <v>2.95</v>
      </c>
      <c r="H135" s="2">
        <f t="shared" si="8"/>
        <v>-0.63840175968261681</v>
      </c>
      <c r="I135" s="2">
        <f t="shared" si="9"/>
        <v>0.54835330461735632</v>
      </c>
      <c r="J135" s="2">
        <f t="shared" si="10"/>
        <v>2.8914191868460786</v>
      </c>
      <c r="K135">
        <f t="shared" si="11"/>
        <v>3.85</v>
      </c>
    </row>
    <row r="136" spans="1:11" ht="13.9" x14ac:dyDescent="0.3">
      <c r="A136" s="2" t="s">
        <v>148</v>
      </c>
      <c r="B136" s="2">
        <v>0.13</v>
      </c>
      <c r="C136" s="2">
        <v>8.68</v>
      </c>
      <c r="D136" s="2">
        <v>0</v>
      </c>
      <c r="E136" s="2">
        <v>7.05</v>
      </c>
      <c r="F136" s="2">
        <v>2.88</v>
      </c>
      <c r="G136" s="2">
        <v>2.95</v>
      </c>
      <c r="H136" s="2">
        <f t="shared" si="8"/>
        <v>-0.54791866919420329</v>
      </c>
      <c r="I136" s="2">
        <f t="shared" si="9"/>
        <v>0.692115385912494</v>
      </c>
      <c r="J136" s="2">
        <f t="shared" si="10"/>
        <v>3.1391420191456891</v>
      </c>
      <c r="K136">
        <f t="shared" si="11"/>
        <v>4.293333333333333</v>
      </c>
    </row>
    <row r="137" spans="1:11" ht="13.9" x14ac:dyDescent="0.3">
      <c r="A137" s="2" t="s">
        <v>201</v>
      </c>
      <c r="B137" s="2">
        <v>6.69</v>
      </c>
      <c r="C137" s="2">
        <v>44.82</v>
      </c>
      <c r="D137" s="2">
        <v>7.26</v>
      </c>
      <c r="E137" s="2">
        <v>23.79</v>
      </c>
      <c r="F137" s="2">
        <v>37.92</v>
      </c>
      <c r="G137" s="2">
        <v>23.14</v>
      </c>
      <c r="H137" s="2">
        <f t="shared" si="8"/>
        <v>-0.52983476144128261</v>
      </c>
      <c r="I137" s="2">
        <f t="shared" si="9"/>
        <v>0.55484535133765456</v>
      </c>
      <c r="J137" s="2">
        <f t="shared" si="10"/>
        <v>5.8770079932140185</v>
      </c>
      <c r="K137">
        <f t="shared" si="11"/>
        <v>28.283333333333331</v>
      </c>
    </row>
    <row r="138" spans="1:11" ht="13.9" x14ac:dyDescent="0.3">
      <c r="A138" s="2" t="s">
        <v>771</v>
      </c>
      <c r="B138" s="2">
        <v>3.93</v>
      </c>
      <c r="C138" s="2">
        <v>6.94</v>
      </c>
      <c r="D138" s="2">
        <v>0</v>
      </c>
      <c r="E138" s="2">
        <v>6.8</v>
      </c>
      <c r="F138" s="2">
        <v>4.7699999999999996</v>
      </c>
      <c r="G138" s="2">
        <v>4.08</v>
      </c>
      <c r="H138" s="2">
        <f t="shared" si="8"/>
        <v>-0.52581071679267144</v>
      </c>
      <c r="I138" s="2">
        <f t="shared" si="9"/>
        <v>0.50328498956389933</v>
      </c>
      <c r="J138" s="2">
        <f t="shared" si="10"/>
        <v>3.4422800352525851</v>
      </c>
      <c r="K138">
        <f t="shared" si="11"/>
        <v>5.2166666666666668</v>
      </c>
    </row>
    <row r="139" spans="1:11" ht="13.9" x14ac:dyDescent="0.3">
      <c r="A139" s="2" t="s">
        <v>140</v>
      </c>
      <c r="B139" s="2">
        <v>180.52</v>
      </c>
      <c r="C139" s="2">
        <v>252.74</v>
      </c>
      <c r="D139" s="2">
        <v>337.64</v>
      </c>
      <c r="E139" s="2">
        <v>449.39</v>
      </c>
      <c r="F139" s="2">
        <v>244.39</v>
      </c>
      <c r="G139" s="2">
        <v>405.8</v>
      </c>
      <c r="H139" s="2">
        <f t="shared" si="8"/>
        <v>-0.51233693822634441</v>
      </c>
      <c r="I139" s="2">
        <f t="shared" si="9"/>
        <v>0.22851693231553916</v>
      </c>
      <c r="J139" s="2">
        <f t="shared" si="10"/>
        <v>9.5903999177997328</v>
      </c>
      <c r="K139">
        <f t="shared" si="11"/>
        <v>366.52666666666664</v>
      </c>
    </row>
    <row r="140" spans="1:11" ht="13.9" x14ac:dyDescent="0.3">
      <c r="A140" s="2" t="s">
        <v>379</v>
      </c>
      <c r="B140" s="2">
        <v>370.61</v>
      </c>
      <c r="C140" s="2">
        <v>550.6</v>
      </c>
      <c r="D140" s="2">
        <v>530.58000000000004</v>
      </c>
      <c r="E140" s="2">
        <v>621.84</v>
      </c>
      <c r="F140" s="2">
        <v>705.66</v>
      </c>
      <c r="G140" s="2">
        <v>735.49</v>
      </c>
      <c r="H140" s="2">
        <f t="shared" si="8"/>
        <v>-0.50690404401559586</v>
      </c>
      <c r="I140" s="2">
        <f t="shared" si="9"/>
        <v>3.7256041440053247E-2</v>
      </c>
      <c r="J140" s="2">
        <f t="shared" si="10"/>
        <v>10.503617068664212</v>
      </c>
      <c r="K140">
        <f t="shared" si="11"/>
        <v>687.6633333333333</v>
      </c>
    </row>
    <row r="141" spans="1:11" ht="13.9" x14ac:dyDescent="0.3">
      <c r="A141" s="2" t="s">
        <v>69</v>
      </c>
      <c r="B141" s="2">
        <v>24.38</v>
      </c>
      <c r="C141" s="2">
        <v>0</v>
      </c>
      <c r="D141" s="2">
        <v>61.72</v>
      </c>
      <c r="E141" s="2">
        <v>28.7</v>
      </c>
      <c r="F141" s="2">
        <v>51.34</v>
      </c>
      <c r="G141" s="2">
        <v>40.5</v>
      </c>
      <c r="H141" s="2">
        <f t="shared" si="8"/>
        <v>-0.48542682717024194</v>
      </c>
      <c r="I141" s="2">
        <f t="shared" si="9"/>
        <v>0.58022909444980264</v>
      </c>
      <c r="J141" s="2">
        <f t="shared" si="10"/>
        <v>6.427941332509481</v>
      </c>
      <c r="K141">
        <f t="shared" si="11"/>
        <v>40.18</v>
      </c>
    </row>
    <row r="142" spans="1:11" ht="13.9" x14ac:dyDescent="0.3">
      <c r="A142" s="2" t="s">
        <v>551</v>
      </c>
      <c r="B142" s="2">
        <v>0</v>
      </c>
      <c r="C142" s="2">
        <v>32.39</v>
      </c>
      <c r="D142" s="2">
        <v>30.6</v>
      </c>
      <c r="E142" s="2">
        <v>26.94</v>
      </c>
      <c r="F142" s="2">
        <v>26.06</v>
      </c>
      <c r="G142" s="2">
        <v>34.72</v>
      </c>
      <c r="H142" s="2">
        <f t="shared" si="8"/>
        <v>-0.47778300078825597</v>
      </c>
      <c r="I142" s="2">
        <f t="shared" si="9"/>
        <v>0.49028762453345737</v>
      </c>
      <c r="J142" s="2">
        <f t="shared" si="10"/>
        <v>5.9770509061106125</v>
      </c>
      <c r="K142">
        <f t="shared" si="11"/>
        <v>29.24</v>
      </c>
    </row>
    <row r="143" spans="1:11" ht="13.9" x14ac:dyDescent="0.3">
      <c r="A143" s="2" t="s">
        <v>510</v>
      </c>
      <c r="B143" s="2">
        <v>39.07</v>
      </c>
      <c r="C143" s="2">
        <v>52.34</v>
      </c>
      <c r="D143" s="2">
        <v>46.94</v>
      </c>
      <c r="E143" s="2">
        <v>68.23</v>
      </c>
      <c r="F143" s="2">
        <v>53.33</v>
      </c>
      <c r="G143" s="2">
        <v>68.52</v>
      </c>
      <c r="H143" s="2">
        <f t="shared" si="8"/>
        <v>-0.45828409730344877</v>
      </c>
      <c r="I143" s="2">
        <f t="shared" si="9"/>
        <v>5.2639517317655253E-2</v>
      </c>
      <c r="J143" s="2">
        <f t="shared" si="10"/>
        <v>7.1121788337225933</v>
      </c>
      <c r="K143">
        <f t="shared" si="11"/>
        <v>63.359999999999992</v>
      </c>
    </row>
    <row r="144" spans="1:11" ht="13.9" x14ac:dyDescent="0.3">
      <c r="A144" s="2" t="s">
        <v>216</v>
      </c>
      <c r="B144" s="2">
        <v>12.85</v>
      </c>
      <c r="C144" s="2">
        <v>4.63</v>
      </c>
      <c r="D144" s="2">
        <v>29.82</v>
      </c>
      <c r="E144" s="2">
        <v>20.64</v>
      </c>
      <c r="F144" s="2">
        <v>18.07</v>
      </c>
      <c r="G144" s="2">
        <v>25.98</v>
      </c>
      <c r="H144" s="2">
        <f t="shared" si="8"/>
        <v>-0.45170252918734827</v>
      </c>
      <c r="I144" s="2">
        <f t="shared" si="9"/>
        <v>0.49730209806101011</v>
      </c>
      <c r="J144" s="2">
        <f t="shared" si="10"/>
        <v>5.5637682784520326</v>
      </c>
      <c r="K144">
        <f t="shared" si="11"/>
        <v>21.563333333333333</v>
      </c>
    </row>
    <row r="145" spans="1:11" ht="13.9" x14ac:dyDescent="0.3">
      <c r="A145" s="2" t="s">
        <v>236</v>
      </c>
      <c r="B145" s="2">
        <v>28541.61</v>
      </c>
      <c r="C145" s="2">
        <v>32223.73</v>
      </c>
      <c r="D145" s="2">
        <v>29320.21</v>
      </c>
      <c r="E145" s="2">
        <v>41586.269999999997</v>
      </c>
      <c r="F145" s="2">
        <v>36559.57</v>
      </c>
      <c r="G145" s="2">
        <v>44375.44</v>
      </c>
      <c r="H145" s="2">
        <f t="shared" si="8"/>
        <v>-0.44366472722504741</v>
      </c>
      <c r="I145" s="2">
        <f t="shared" si="9"/>
        <v>1.3203432106720647E-2</v>
      </c>
      <c r="J145" s="2">
        <f t="shared" si="10"/>
        <v>16.459008091412809</v>
      </c>
      <c r="K145">
        <f t="shared" si="11"/>
        <v>40840.426666666666</v>
      </c>
    </row>
    <row r="146" spans="1:11" ht="13.9" x14ac:dyDescent="0.3">
      <c r="A146" s="2" t="s">
        <v>89</v>
      </c>
      <c r="B146" s="2">
        <v>23.47</v>
      </c>
      <c r="C146" s="2">
        <v>67.67</v>
      </c>
      <c r="D146" s="2">
        <v>1.56</v>
      </c>
      <c r="E146" s="2">
        <v>50.6</v>
      </c>
      <c r="F146" s="2">
        <v>47.24</v>
      </c>
      <c r="G146" s="2">
        <v>27.79</v>
      </c>
      <c r="H146" s="2">
        <f t="shared" si="8"/>
        <v>-0.43853977188359711</v>
      </c>
      <c r="I146" s="2">
        <f t="shared" si="9"/>
        <v>0.62402158293181198</v>
      </c>
      <c r="J146" s="2">
        <f t="shared" si="10"/>
        <v>6.534497433738168</v>
      </c>
      <c r="K146">
        <f t="shared" si="11"/>
        <v>41.876666666666665</v>
      </c>
    </row>
    <row r="147" spans="1:11" ht="13.9" x14ac:dyDescent="0.3">
      <c r="A147" s="2" t="s">
        <v>432</v>
      </c>
      <c r="B147" s="2">
        <v>182.62</v>
      </c>
      <c r="C147" s="2">
        <v>183.63</v>
      </c>
      <c r="D147" s="2">
        <v>133.03</v>
      </c>
      <c r="E147" s="2">
        <v>229.1</v>
      </c>
      <c r="F147" s="2">
        <v>220.1</v>
      </c>
      <c r="G147" s="2">
        <v>219.86</v>
      </c>
      <c r="H147" s="2">
        <f t="shared" si="8"/>
        <v>-0.42228647794986429</v>
      </c>
      <c r="I147" s="2">
        <f t="shared" si="9"/>
        <v>2.9001804114242618E-2</v>
      </c>
      <c r="J147" s="2">
        <f t="shared" si="10"/>
        <v>8.9637053065794809</v>
      </c>
      <c r="K147">
        <f t="shared" si="11"/>
        <v>223.01999999999998</v>
      </c>
    </row>
    <row r="148" spans="1:11" ht="13.9" x14ac:dyDescent="0.3">
      <c r="A148" s="2" t="s">
        <v>218</v>
      </c>
      <c r="B148" s="2">
        <v>12.06</v>
      </c>
      <c r="C148" s="2">
        <v>25.16</v>
      </c>
      <c r="D148" s="2">
        <v>0</v>
      </c>
      <c r="E148" s="2">
        <v>22.03</v>
      </c>
      <c r="F148" s="2">
        <v>8.65</v>
      </c>
      <c r="G148" s="2">
        <v>18.72</v>
      </c>
      <c r="H148" s="2">
        <f t="shared" si="8"/>
        <v>-0.40843298641288855</v>
      </c>
      <c r="I148" s="2">
        <f t="shared" si="9"/>
        <v>0.65052562926826374</v>
      </c>
      <c r="J148" s="2">
        <f t="shared" si="10"/>
        <v>5.2180061502844275</v>
      </c>
      <c r="K148">
        <f t="shared" si="11"/>
        <v>16.466666666666665</v>
      </c>
    </row>
    <row r="149" spans="1:11" ht="13.9" x14ac:dyDescent="0.3">
      <c r="A149" s="2" t="s">
        <v>604</v>
      </c>
      <c r="B149" s="2">
        <v>22.94</v>
      </c>
      <c r="C149" s="2">
        <v>12.15</v>
      </c>
      <c r="D149" s="2">
        <v>0.26</v>
      </c>
      <c r="E149" s="2">
        <v>21.4</v>
      </c>
      <c r="F149" s="2">
        <v>12.97</v>
      </c>
      <c r="G149" s="2">
        <v>12.14</v>
      </c>
      <c r="H149" s="2">
        <f t="shared" si="8"/>
        <v>-0.39583072482785009</v>
      </c>
      <c r="I149" s="2">
        <f t="shared" si="9"/>
        <v>0.63203164469386097</v>
      </c>
      <c r="J149" s="2">
        <f t="shared" si="10"/>
        <v>5.1436383099220366</v>
      </c>
      <c r="K149">
        <f t="shared" si="11"/>
        <v>15.503333333333332</v>
      </c>
    </row>
    <row r="150" spans="1:11" ht="13.9" x14ac:dyDescent="0.3">
      <c r="A150" s="2" t="s">
        <v>128</v>
      </c>
      <c r="B150" s="2">
        <v>20.84</v>
      </c>
      <c r="C150" s="2">
        <v>0</v>
      </c>
      <c r="D150" s="2">
        <v>0</v>
      </c>
      <c r="E150" s="2">
        <v>9.94</v>
      </c>
      <c r="F150" s="2">
        <v>9.98</v>
      </c>
      <c r="G150" s="2">
        <v>6.81</v>
      </c>
      <c r="H150" s="2">
        <f t="shared" si="8"/>
        <v>-0.35910455996456997</v>
      </c>
      <c r="I150" s="2">
        <f t="shared" si="9"/>
        <v>0.79375037467825227</v>
      </c>
      <c r="J150" s="2">
        <f t="shared" si="10"/>
        <v>4.3812833725037841</v>
      </c>
      <c r="K150">
        <f t="shared" si="11"/>
        <v>8.91</v>
      </c>
    </row>
    <row r="151" spans="1:11" ht="13.9" x14ac:dyDescent="0.3">
      <c r="A151" s="2" t="s">
        <v>775</v>
      </c>
      <c r="B151" s="2">
        <v>20.98</v>
      </c>
      <c r="C151" s="2">
        <v>22.27</v>
      </c>
      <c r="D151" s="2">
        <v>11.41</v>
      </c>
      <c r="E151" s="2">
        <v>22.78</v>
      </c>
      <c r="F151" s="2">
        <v>22.4</v>
      </c>
      <c r="G151" s="2">
        <v>24.05</v>
      </c>
      <c r="H151" s="2">
        <f t="shared" si="8"/>
        <v>-0.34091188829350827</v>
      </c>
      <c r="I151" s="2">
        <f t="shared" si="9"/>
        <v>0.23325077999425958</v>
      </c>
      <c r="J151" s="2">
        <f t="shared" si="10"/>
        <v>5.7724135547484821</v>
      </c>
      <c r="K151">
        <f t="shared" si="11"/>
        <v>23.076666666666668</v>
      </c>
    </row>
    <row r="152" spans="1:11" ht="13.9" x14ac:dyDescent="0.3">
      <c r="A152" s="2" t="s">
        <v>458</v>
      </c>
      <c r="B152" s="2">
        <v>0</v>
      </c>
      <c r="C152" s="2">
        <v>0</v>
      </c>
      <c r="D152" s="2">
        <v>8.56</v>
      </c>
      <c r="E152" s="2">
        <v>5.29</v>
      </c>
      <c r="F152" s="2">
        <v>3.77</v>
      </c>
      <c r="G152" s="2">
        <v>1.7</v>
      </c>
      <c r="H152" s="2">
        <f t="shared" si="8"/>
        <v>-0.32999537615547719</v>
      </c>
      <c r="I152" s="2">
        <f t="shared" si="9"/>
        <v>0.82107215118594135</v>
      </c>
      <c r="J152" s="2">
        <f t="shared" si="10"/>
        <v>3.0976107966264221</v>
      </c>
      <c r="K152">
        <f t="shared" si="11"/>
        <v>3.5866666666666664</v>
      </c>
    </row>
    <row r="153" spans="1:11" ht="13.9" x14ac:dyDescent="0.3">
      <c r="A153" s="2" t="s">
        <v>56</v>
      </c>
      <c r="B153" s="2">
        <v>8.26</v>
      </c>
      <c r="C153" s="2">
        <v>0</v>
      </c>
      <c r="D153" s="2">
        <v>0.26</v>
      </c>
      <c r="E153" s="2">
        <v>5.92</v>
      </c>
      <c r="F153" s="2">
        <v>2</v>
      </c>
      <c r="G153" s="2">
        <v>2.72</v>
      </c>
      <c r="H153" s="2">
        <f t="shared" si="8"/>
        <v>-0.32057281527535159</v>
      </c>
      <c r="I153" s="2">
        <f t="shared" si="9"/>
        <v>0.82342915467226896</v>
      </c>
      <c r="J153" s="2">
        <f t="shared" si="10"/>
        <v>3.0908534304511139</v>
      </c>
      <c r="K153">
        <f t="shared" si="11"/>
        <v>3.5466666666666669</v>
      </c>
    </row>
    <row r="154" spans="1:11" ht="13.9" x14ac:dyDescent="0.3">
      <c r="A154" s="2" t="s">
        <v>511</v>
      </c>
      <c r="B154" s="2">
        <v>113.79</v>
      </c>
      <c r="C154" s="2">
        <v>246.67</v>
      </c>
      <c r="D154" s="2">
        <v>332.72</v>
      </c>
      <c r="E154" s="2">
        <v>303.74</v>
      </c>
      <c r="F154" s="2">
        <v>230.19</v>
      </c>
      <c r="G154" s="2">
        <v>327.64</v>
      </c>
      <c r="H154" s="2">
        <f t="shared" si="8"/>
        <v>-0.31373798620348253</v>
      </c>
      <c r="I154" s="2">
        <f t="shared" si="9"/>
        <v>0.4681983335593044</v>
      </c>
      <c r="J154" s="2">
        <f t="shared" si="10"/>
        <v>9.4370862194645735</v>
      </c>
      <c r="K154">
        <f t="shared" si="11"/>
        <v>287.19</v>
      </c>
    </row>
    <row r="155" spans="1:11" ht="13.9" x14ac:dyDescent="0.3">
      <c r="A155" s="2" t="s">
        <v>169</v>
      </c>
      <c r="B155" s="2">
        <v>7.34</v>
      </c>
      <c r="C155" s="2">
        <v>0</v>
      </c>
      <c r="D155" s="2">
        <v>0</v>
      </c>
      <c r="E155" s="2">
        <v>1.89</v>
      </c>
      <c r="F155" s="2">
        <v>2.77</v>
      </c>
      <c r="G155" s="2">
        <v>4.42</v>
      </c>
      <c r="H155" s="2">
        <f t="shared" si="8"/>
        <v>-0.30691223444770227</v>
      </c>
      <c r="I155" s="2">
        <f t="shared" si="9"/>
        <v>0.83165035055938941</v>
      </c>
      <c r="J155" s="2">
        <f t="shared" si="10"/>
        <v>2.8757800630684884</v>
      </c>
      <c r="K155">
        <f t="shared" si="11"/>
        <v>3.0266666666666668</v>
      </c>
    </row>
    <row r="156" spans="1:11" ht="13.9" x14ac:dyDescent="0.3">
      <c r="A156" s="2" t="s">
        <v>153</v>
      </c>
      <c r="B156" s="2">
        <v>850.29</v>
      </c>
      <c r="C156" s="2">
        <v>2011.25</v>
      </c>
      <c r="D156" s="2">
        <v>842.55</v>
      </c>
      <c r="E156" s="2">
        <v>1582.04</v>
      </c>
      <c r="F156" s="2">
        <v>1624.87</v>
      </c>
      <c r="G156" s="2">
        <v>1328.03</v>
      </c>
      <c r="H156" s="2">
        <f t="shared" si="8"/>
        <v>-0.29196431029440006</v>
      </c>
      <c r="I156" s="2">
        <f t="shared" si="9"/>
        <v>0.52599427322725623</v>
      </c>
      <c r="J156" s="2">
        <f t="shared" si="10"/>
        <v>11.854903437519482</v>
      </c>
      <c r="K156">
        <f t="shared" si="11"/>
        <v>1511.6466666666665</v>
      </c>
    </row>
    <row r="157" spans="1:11" ht="13.9" x14ac:dyDescent="0.3">
      <c r="A157" s="2" t="s">
        <v>477</v>
      </c>
      <c r="B157" s="2">
        <v>8.91</v>
      </c>
      <c r="C157" s="2">
        <v>5.21</v>
      </c>
      <c r="D157" s="2">
        <v>0</v>
      </c>
      <c r="E157" s="2">
        <v>6.29</v>
      </c>
      <c r="F157" s="2">
        <v>6.65</v>
      </c>
      <c r="G157" s="2">
        <v>3.97</v>
      </c>
      <c r="H157" s="2">
        <f t="shared" si="8"/>
        <v>-0.26013657113880295</v>
      </c>
      <c r="I157" s="2">
        <f t="shared" si="9"/>
        <v>0.74939736102206256</v>
      </c>
      <c r="J157" s="2">
        <f t="shared" si="10"/>
        <v>3.8196681834964559</v>
      </c>
      <c r="K157">
        <f t="shared" si="11"/>
        <v>5.6366666666666667</v>
      </c>
    </row>
    <row r="158" spans="1:11" ht="13.9" x14ac:dyDescent="0.3">
      <c r="A158" s="2" t="s">
        <v>586</v>
      </c>
      <c r="B158" s="2">
        <v>0</v>
      </c>
      <c r="C158" s="2">
        <v>0</v>
      </c>
      <c r="D158" s="2">
        <v>7.52</v>
      </c>
      <c r="E158" s="2">
        <v>3.52</v>
      </c>
      <c r="F158" s="2">
        <v>1.66</v>
      </c>
      <c r="G158" s="2">
        <v>3.74</v>
      </c>
      <c r="H158" s="2">
        <f t="shared" si="8"/>
        <v>-0.24631104824266739</v>
      </c>
      <c r="I158" s="2">
        <f t="shared" si="9"/>
        <v>0.86587487691424825</v>
      </c>
      <c r="J158" s="2">
        <f t="shared" si="10"/>
        <v>2.9107326619029124</v>
      </c>
      <c r="K158">
        <f t="shared" si="11"/>
        <v>2.9733333333333332</v>
      </c>
    </row>
    <row r="159" spans="1:11" ht="13.9" x14ac:dyDescent="0.3">
      <c r="A159" s="2" t="s">
        <v>805</v>
      </c>
      <c r="B159" s="2">
        <v>0</v>
      </c>
      <c r="C159" s="2">
        <v>0</v>
      </c>
      <c r="D159" s="2">
        <v>6.74</v>
      </c>
      <c r="E159" s="2">
        <v>3.27</v>
      </c>
      <c r="F159" s="2">
        <v>1.44</v>
      </c>
      <c r="G159" s="2">
        <v>3.06</v>
      </c>
      <c r="H159" s="2">
        <f t="shared" si="8"/>
        <v>-0.20516600722585143</v>
      </c>
      <c r="I159" s="2">
        <f t="shared" si="9"/>
        <v>0.88950614838957109</v>
      </c>
      <c r="J159" s="2">
        <f t="shared" si="10"/>
        <v>2.7527485914071339</v>
      </c>
      <c r="K159">
        <f t="shared" si="11"/>
        <v>2.59</v>
      </c>
    </row>
    <row r="160" spans="1:11" ht="13.9" x14ac:dyDescent="0.3">
      <c r="A160" s="2" t="s">
        <v>504</v>
      </c>
      <c r="B160" s="2">
        <v>10.23</v>
      </c>
      <c r="C160" s="2">
        <v>0</v>
      </c>
      <c r="D160" s="2">
        <v>0</v>
      </c>
      <c r="E160" s="2">
        <v>4.41</v>
      </c>
      <c r="F160" s="2">
        <v>5.0999999999999996</v>
      </c>
      <c r="G160" s="2">
        <v>2.27</v>
      </c>
      <c r="H160" s="2">
        <f t="shared" si="8"/>
        <v>-0.20353339408513199</v>
      </c>
      <c r="I160" s="2">
        <f t="shared" si="9"/>
        <v>0.89024581860213714</v>
      </c>
      <c r="J160" s="2">
        <f t="shared" si="10"/>
        <v>3.3547342399706039</v>
      </c>
      <c r="K160">
        <f t="shared" si="11"/>
        <v>3.9266666666666663</v>
      </c>
    </row>
    <row r="161" spans="1:11" ht="13.9" x14ac:dyDescent="0.3">
      <c r="A161" s="2" t="s">
        <v>136</v>
      </c>
      <c r="B161" s="2">
        <v>906.79</v>
      </c>
      <c r="C161" s="2">
        <v>2020.22</v>
      </c>
      <c r="D161" s="2">
        <v>1235.95</v>
      </c>
      <c r="E161" s="2">
        <v>1551.2</v>
      </c>
      <c r="F161" s="2">
        <v>1842.54</v>
      </c>
      <c r="G161" s="2">
        <v>1395.19</v>
      </c>
      <c r="H161" s="2">
        <f t="shared" si="8"/>
        <v>-0.20209365145078143</v>
      </c>
      <c r="I161" s="2">
        <f t="shared" si="9"/>
        <v>0.58858870899221127</v>
      </c>
      <c r="J161" s="2">
        <f t="shared" si="10"/>
        <v>12.023393981002608</v>
      </c>
      <c r="K161">
        <f t="shared" si="11"/>
        <v>1596.3100000000002</v>
      </c>
    </row>
    <row r="162" spans="1:11" ht="13.9" x14ac:dyDescent="0.3">
      <c r="A162" s="2" t="s">
        <v>892</v>
      </c>
      <c r="B162" s="2">
        <v>108.02</v>
      </c>
      <c r="C162" s="2">
        <v>219.2</v>
      </c>
      <c r="D162" s="2">
        <v>116.18</v>
      </c>
      <c r="E162" s="2">
        <v>171.32</v>
      </c>
      <c r="F162" s="2">
        <v>199.26</v>
      </c>
      <c r="G162" s="2">
        <v>139.19999999999999</v>
      </c>
      <c r="H162" s="2">
        <f t="shared" si="8"/>
        <v>-0.20126600357306401</v>
      </c>
      <c r="I162" s="2">
        <f t="shared" si="9"/>
        <v>0.60755794902705018</v>
      </c>
      <c r="J162" s="2">
        <f t="shared" si="10"/>
        <v>8.7924649599799451</v>
      </c>
      <c r="K162">
        <f t="shared" si="11"/>
        <v>169.92666666666665</v>
      </c>
    </row>
    <row r="163" spans="1:11" ht="13.9" x14ac:dyDescent="0.3">
      <c r="A163" s="2" t="s">
        <v>230</v>
      </c>
      <c r="B163" s="2">
        <v>18.22</v>
      </c>
      <c r="C163" s="2">
        <v>0</v>
      </c>
      <c r="D163" s="2">
        <v>12.45</v>
      </c>
      <c r="E163" s="2">
        <v>12.08</v>
      </c>
      <c r="F163" s="2">
        <v>13.53</v>
      </c>
      <c r="G163" s="2">
        <v>9.19</v>
      </c>
      <c r="H163" s="2">
        <f t="shared" si="8"/>
        <v>-0.18225913946907107</v>
      </c>
      <c r="I163" s="2">
        <f t="shared" si="9"/>
        <v>0.81551578041259076</v>
      </c>
      <c r="J163" s="2">
        <f t="shared" si="10"/>
        <v>4.9387562614922951</v>
      </c>
      <c r="K163">
        <f t="shared" si="11"/>
        <v>11.6</v>
      </c>
    </row>
    <row r="164" spans="1:11" ht="13.9" x14ac:dyDescent="0.3">
      <c r="A164" s="2" t="s">
        <v>869</v>
      </c>
      <c r="B164" s="2">
        <v>4.8499999999999996</v>
      </c>
      <c r="C164" s="2">
        <v>0</v>
      </c>
      <c r="D164" s="2">
        <v>0</v>
      </c>
      <c r="E164" s="2">
        <v>2.39</v>
      </c>
      <c r="F164" s="2">
        <v>1.1100000000000001</v>
      </c>
      <c r="G164" s="2">
        <v>1.93</v>
      </c>
      <c r="H164" s="2">
        <f t="shared" si="8"/>
        <v>-0.16296745072987162</v>
      </c>
      <c r="I164" s="2">
        <f t="shared" si="9"/>
        <v>0.91286739063094702</v>
      </c>
      <c r="J164" s="2">
        <f t="shared" si="10"/>
        <v>2.2779847472997652</v>
      </c>
      <c r="K164">
        <f t="shared" si="11"/>
        <v>1.8099999999999998</v>
      </c>
    </row>
    <row r="165" spans="1:11" ht="13.9" x14ac:dyDescent="0.3">
      <c r="A165" s="2" t="s">
        <v>652</v>
      </c>
      <c r="B165" s="2">
        <v>71.97</v>
      </c>
      <c r="C165" s="2">
        <v>130.13</v>
      </c>
      <c r="D165" s="2">
        <v>136.66</v>
      </c>
      <c r="E165" s="2">
        <v>135.32</v>
      </c>
      <c r="F165" s="2">
        <v>85.27</v>
      </c>
      <c r="G165" s="2">
        <v>157.81</v>
      </c>
      <c r="H165" s="2">
        <f t="shared" si="8"/>
        <v>-0.15964855405590839</v>
      </c>
      <c r="I165" s="2">
        <f t="shared" si="9"/>
        <v>0.67945906171936876</v>
      </c>
      <c r="J165" s="2">
        <f t="shared" si="10"/>
        <v>8.404119724396125</v>
      </c>
      <c r="K165">
        <f t="shared" si="11"/>
        <v>126.13333333333333</v>
      </c>
    </row>
    <row r="166" spans="1:11" ht="13.9" x14ac:dyDescent="0.3">
      <c r="A166" s="2" t="s">
        <v>387</v>
      </c>
      <c r="B166" s="2">
        <v>2.75</v>
      </c>
      <c r="C166" s="2">
        <v>0</v>
      </c>
      <c r="D166" s="2">
        <v>0</v>
      </c>
      <c r="E166" s="2">
        <v>2.39</v>
      </c>
      <c r="F166" s="2">
        <v>0.67</v>
      </c>
      <c r="G166" s="2">
        <v>0</v>
      </c>
      <c r="H166" s="2">
        <f t="shared" si="8"/>
        <v>-0.15410003428062979</v>
      </c>
      <c r="I166" s="2">
        <f t="shared" si="9"/>
        <v>0.93333224053786012</v>
      </c>
      <c r="J166" s="2">
        <f t="shared" si="10"/>
        <v>1.4594316186372973</v>
      </c>
      <c r="K166">
        <f t="shared" si="11"/>
        <v>1.02</v>
      </c>
    </row>
    <row r="167" spans="1:11" ht="13.9" x14ac:dyDescent="0.3">
      <c r="A167" s="2" t="s">
        <v>737</v>
      </c>
      <c r="B167" s="2">
        <v>0.39</v>
      </c>
      <c r="C167" s="2">
        <v>0</v>
      </c>
      <c r="D167" s="2">
        <v>0.26</v>
      </c>
      <c r="E167" s="2">
        <v>0.25</v>
      </c>
      <c r="F167" s="2">
        <v>0.33</v>
      </c>
      <c r="G167" s="2">
        <v>0.11</v>
      </c>
      <c r="H167" s="2">
        <f t="shared" si="8"/>
        <v>-8.6156643749714601E-2</v>
      </c>
      <c r="I167" s="2">
        <f t="shared" si="9"/>
        <v>0.92408517272451451</v>
      </c>
      <c r="J167" s="2">
        <f t="shared" si="10"/>
        <v>-0.62148837674627011</v>
      </c>
      <c r="K167">
        <f t="shared" si="11"/>
        <v>0.23</v>
      </c>
    </row>
    <row r="168" spans="1:11" ht="13.9" x14ac:dyDescent="0.3">
      <c r="A168" s="2" t="s">
        <v>689</v>
      </c>
      <c r="B168" s="2">
        <v>4.46</v>
      </c>
      <c r="C168" s="2">
        <v>10.41</v>
      </c>
      <c r="D168" s="2">
        <v>1.04</v>
      </c>
      <c r="E168" s="2">
        <v>6.29</v>
      </c>
      <c r="F168" s="2">
        <v>5.32</v>
      </c>
      <c r="G168" s="2">
        <v>4.99</v>
      </c>
      <c r="H168" s="2">
        <f t="shared" si="8"/>
        <v>-6.1249405903239559E-2</v>
      </c>
      <c r="I168" s="2">
        <f t="shared" si="9"/>
        <v>0.93770765283684376</v>
      </c>
      <c r="J168" s="2">
        <f t="shared" si="10"/>
        <v>3.9918619305563228</v>
      </c>
      <c r="K168">
        <f t="shared" si="11"/>
        <v>5.5333333333333341</v>
      </c>
    </row>
    <row r="169" spans="1:11" ht="13.9" x14ac:dyDescent="0.3">
      <c r="A169" s="2" t="s">
        <v>115</v>
      </c>
      <c r="B169" s="2">
        <v>16.91</v>
      </c>
      <c r="C169" s="2">
        <v>25.74</v>
      </c>
      <c r="D169" s="2">
        <v>14</v>
      </c>
      <c r="E169" s="2">
        <v>22.41</v>
      </c>
      <c r="F169" s="2">
        <v>23.29</v>
      </c>
      <c r="G169" s="2">
        <v>13.05</v>
      </c>
      <c r="H169" s="2">
        <f t="shared" si="8"/>
        <v>-5.2512895631846475E-2</v>
      </c>
      <c r="I169" s="2">
        <f t="shared" si="9"/>
        <v>0.8914676837373311</v>
      </c>
      <c r="J169" s="2">
        <f t="shared" si="10"/>
        <v>5.8240040509331532</v>
      </c>
      <c r="K169">
        <f t="shared" si="11"/>
        <v>19.583333333333332</v>
      </c>
    </row>
    <row r="170" spans="1:11" ht="13.9" x14ac:dyDescent="0.3">
      <c r="A170" s="2" t="s">
        <v>294</v>
      </c>
      <c r="B170" s="2">
        <v>8.39</v>
      </c>
      <c r="C170" s="2">
        <v>13.88</v>
      </c>
      <c r="D170" s="2">
        <v>0</v>
      </c>
      <c r="E170" s="2">
        <v>7.68</v>
      </c>
      <c r="F170" s="2">
        <v>8.8699999999999992</v>
      </c>
      <c r="G170" s="2">
        <v>6.24</v>
      </c>
      <c r="H170" s="2">
        <f t="shared" si="8"/>
        <v>-3.3299366477507253E-2</v>
      </c>
      <c r="I170" s="2">
        <f t="shared" si="9"/>
        <v>0.96835737830194357</v>
      </c>
      <c r="J170" s="2">
        <f t="shared" si="10"/>
        <v>4.4770296530130658</v>
      </c>
      <c r="K170">
        <f t="shared" si="11"/>
        <v>7.5966666666666667</v>
      </c>
    </row>
    <row r="171" spans="1:11" ht="13.9" x14ac:dyDescent="0.3">
      <c r="A171" s="2" t="s">
        <v>158</v>
      </c>
      <c r="B171" s="2">
        <v>11.54</v>
      </c>
      <c r="C171" s="2">
        <v>9.25</v>
      </c>
      <c r="D171" s="2">
        <v>19.71</v>
      </c>
      <c r="E171" s="2">
        <v>21.53</v>
      </c>
      <c r="F171" s="2">
        <v>10.76</v>
      </c>
      <c r="G171" s="2">
        <v>8.4</v>
      </c>
      <c r="H171" s="2">
        <f t="shared" si="8"/>
        <v>-6.7523724143610381E-3</v>
      </c>
      <c r="I171" s="2">
        <f t="shared" si="9"/>
        <v>0.99075721233820446</v>
      </c>
      <c r="J171" s="2">
        <f t="shared" si="10"/>
        <v>5.3398500028846243</v>
      </c>
      <c r="K171">
        <f t="shared" si="11"/>
        <v>13.563333333333333</v>
      </c>
    </row>
    <row r="172" spans="1:11" ht="13.9" x14ac:dyDescent="0.3">
      <c r="A172" s="2" t="s">
        <v>159</v>
      </c>
      <c r="B172" s="2">
        <v>11.54</v>
      </c>
      <c r="C172" s="2">
        <v>9.25</v>
      </c>
      <c r="D172" s="2">
        <v>19.71</v>
      </c>
      <c r="E172" s="2">
        <v>21.53</v>
      </c>
      <c r="F172" s="2">
        <v>10.76</v>
      </c>
      <c r="G172" s="2">
        <v>8.4</v>
      </c>
      <c r="H172" s="2">
        <f t="shared" si="8"/>
        <v>-6.7523724143610381E-3</v>
      </c>
      <c r="I172" s="2">
        <f t="shared" si="9"/>
        <v>0.99075721233820446</v>
      </c>
      <c r="J172" s="2">
        <f t="shared" si="10"/>
        <v>5.3398500028846243</v>
      </c>
      <c r="K172">
        <f t="shared" si="11"/>
        <v>13.563333333333333</v>
      </c>
    </row>
    <row r="173" spans="1:11" ht="13.9" x14ac:dyDescent="0.3">
      <c r="A173" s="2" t="s">
        <v>672</v>
      </c>
      <c r="B173" s="2">
        <v>5.1100000000000003</v>
      </c>
      <c r="C173" s="2">
        <v>10.41</v>
      </c>
      <c r="D173" s="2">
        <v>1.04</v>
      </c>
      <c r="E173" s="2">
        <v>6.29</v>
      </c>
      <c r="F173" s="2">
        <v>5.32</v>
      </c>
      <c r="G173" s="2">
        <v>4.99</v>
      </c>
      <c r="H173" s="2">
        <f t="shared" si="8"/>
        <v>-3.4805687349621374E-3</v>
      </c>
      <c r="I173" s="2">
        <f t="shared" si="9"/>
        <v>0.99635112272299176</v>
      </c>
      <c r="J173" s="2">
        <f t="shared" si="10"/>
        <v>4.0496307677246008</v>
      </c>
      <c r="K173">
        <f t="shared" si="11"/>
        <v>5.5333333333333341</v>
      </c>
    </row>
    <row r="174" spans="1:11" ht="13.9" x14ac:dyDescent="0.3">
      <c r="A174" s="2" t="s">
        <v>754</v>
      </c>
      <c r="B174" s="2">
        <v>0</v>
      </c>
      <c r="C174" s="2">
        <v>5.78</v>
      </c>
      <c r="D174" s="2">
        <v>0</v>
      </c>
      <c r="E174" s="2">
        <v>1.89</v>
      </c>
      <c r="F174" s="2">
        <v>1.66</v>
      </c>
      <c r="G174" s="2">
        <v>2.16</v>
      </c>
      <c r="H174" s="2">
        <f t="shared" si="8"/>
        <v>1.7578747137835981E-2</v>
      </c>
      <c r="I174" s="2">
        <f t="shared" si="9"/>
        <v>0.99094266601979997</v>
      </c>
      <c r="J174" s="2">
        <f t="shared" si="10"/>
        <v>2.5310694927259543</v>
      </c>
      <c r="K174">
        <f t="shared" si="11"/>
        <v>1.9033333333333333</v>
      </c>
    </row>
    <row r="175" spans="1:11" ht="13.9" x14ac:dyDescent="0.3">
      <c r="A175" s="2" t="s">
        <v>122</v>
      </c>
      <c r="B175" s="2">
        <v>0</v>
      </c>
      <c r="C175" s="2">
        <v>9.83</v>
      </c>
      <c r="D175" s="2">
        <v>0</v>
      </c>
      <c r="E175" s="2">
        <v>3.15</v>
      </c>
      <c r="F175" s="2">
        <v>2.77</v>
      </c>
      <c r="G175" s="2">
        <v>3.74</v>
      </c>
      <c r="H175" s="2">
        <f t="shared" si="8"/>
        <v>2.5168227504807475E-2</v>
      </c>
      <c r="I175" s="2">
        <f t="shared" si="9"/>
        <v>0.9870781361227372</v>
      </c>
      <c r="J175" s="2">
        <f t="shared" si="10"/>
        <v>3.2971914165658558</v>
      </c>
      <c r="K175">
        <f t="shared" si="11"/>
        <v>3.22</v>
      </c>
    </row>
    <row r="176" spans="1:11" ht="13.9" x14ac:dyDescent="0.3">
      <c r="A176" s="2" t="s">
        <v>535</v>
      </c>
      <c r="B176" s="2">
        <v>0.39</v>
      </c>
      <c r="C176" s="2">
        <v>0</v>
      </c>
      <c r="D176" s="2">
        <v>0</v>
      </c>
      <c r="E176" s="2">
        <v>0.38</v>
      </c>
      <c r="F176" s="2">
        <v>0</v>
      </c>
      <c r="G176" s="2">
        <v>0</v>
      </c>
      <c r="H176" s="2">
        <f t="shared" si="8"/>
        <v>3.7474705418662962E-2</v>
      </c>
      <c r="I176" s="2">
        <f t="shared" si="9"/>
        <v>0.98622732178258854</v>
      </c>
      <c r="J176" s="2">
        <f t="shared" si="10"/>
        <v>-1.3584539709124763</v>
      </c>
      <c r="K176">
        <f t="shared" si="11"/>
        <v>0.12666666666666668</v>
      </c>
    </row>
    <row r="177" spans="1:11" ht="13.9" x14ac:dyDescent="0.3">
      <c r="A177" s="2" t="s">
        <v>248</v>
      </c>
      <c r="B177" s="2">
        <v>80.23</v>
      </c>
      <c r="C177" s="2">
        <v>78.08</v>
      </c>
      <c r="D177" s="2">
        <v>60.42</v>
      </c>
      <c r="E177" s="2">
        <v>77.92</v>
      </c>
      <c r="F177" s="2">
        <v>63.87</v>
      </c>
      <c r="G177" s="2">
        <v>71.25</v>
      </c>
      <c r="H177" s="2">
        <f t="shared" si="8"/>
        <v>3.8026773706962343E-2</v>
      </c>
      <c r="I177" s="2">
        <f t="shared" si="9"/>
        <v>0.81216620131704387</v>
      </c>
      <c r="J177" s="2">
        <f t="shared" si="10"/>
        <v>7.7730072971428523</v>
      </c>
      <c r="K177">
        <f t="shared" si="11"/>
        <v>71.013333333333335</v>
      </c>
    </row>
    <row r="178" spans="1:11" ht="13.9" x14ac:dyDescent="0.3">
      <c r="A178" s="2" t="s">
        <v>886</v>
      </c>
      <c r="B178" s="2">
        <v>136.34</v>
      </c>
      <c r="C178" s="2">
        <v>205.61</v>
      </c>
      <c r="D178" s="2">
        <v>55.5</v>
      </c>
      <c r="E178" s="2">
        <v>125.75</v>
      </c>
      <c r="F178" s="2">
        <v>135.16999999999999</v>
      </c>
      <c r="G178" s="2">
        <v>125.93</v>
      </c>
      <c r="H178" s="2">
        <f t="shared" si="8"/>
        <v>3.8999104060152098E-2</v>
      </c>
      <c r="I178" s="2">
        <f t="shared" si="9"/>
        <v>0.93914631631798473</v>
      </c>
      <c r="J178" s="2">
        <f t="shared" si="10"/>
        <v>8.6346295676831595</v>
      </c>
      <c r="K178">
        <f t="shared" si="11"/>
        <v>128.94999999999999</v>
      </c>
    </row>
    <row r="179" spans="1:11" ht="13.9" x14ac:dyDescent="0.3">
      <c r="A179" s="2" t="s">
        <v>105</v>
      </c>
      <c r="B179" s="2">
        <v>6.16</v>
      </c>
      <c r="C179" s="2">
        <v>0</v>
      </c>
      <c r="D179" s="2">
        <v>0</v>
      </c>
      <c r="E179" s="2">
        <v>2.9</v>
      </c>
      <c r="F179" s="2">
        <v>1.89</v>
      </c>
      <c r="G179" s="2">
        <v>1.02</v>
      </c>
      <c r="H179" s="2">
        <f t="shared" si="8"/>
        <v>8.4392187290372317E-2</v>
      </c>
      <c r="I179" s="2">
        <f t="shared" si="9"/>
        <v>0.95882946760140619</v>
      </c>
      <c r="J179" s="2">
        <f t="shared" si="10"/>
        <v>2.6229303509201771</v>
      </c>
      <c r="K179">
        <f t="shared" si="11"/>
        <v>1.9366666666666668</v>
      </c>
    </row>
    <row r="180" spans="1:11" ht="13.9" x14ac:dyDescent="0.3">
      <c r="A180" s="2" t="s">
        <v>901</v>
      </c>
      <c r="B180" s="2">
        <v>4.59</v>
      </c>
      <c r="C180" s="2">
        <v>0</v>
      </c>
      <c r="D180" s="2">
        <v>0</v>
      </c>
      <c r="E180" s="2">
        <v>2.77</v>
      </c>
      <c r="F180" s="2">
        <v>1.55</v>
      </c>
      <c r="G180" s="2">
        <v>0</v>
      </c>
      <c r="H180" s="2">
        <f t="shared" si="8"/>
        <v>8.7462841250339401E-2</v>
      </c>
      <c r="I180" s="2">
        <f t="shared" si="9"/>
        <v>0.96094223997988926</v>
      </c>
      <c r="J180" s="2">
        <f t="shared" si="10"/>
        <v>2.1984941536390834</v>
      </c>
      <c r="K180">
        <f t="shared" si="11"/>
        <v>1.4400000000000002</v>
      </c>
    </row>
    <row r="181" spans="1:11" ht="13.9" x14ac:dyDescent="0.3">
      <c r="A181" s="2" t="s">
        <v>925</v>
      </c>
      <c r="B181" s="2">
        <v>82.33</v>
      </c>
      <c r="C181" s="2">
        <v>54.37</v>
      </c>
      <c r="D181" s="2">
        <v>105.29</v>
      </c>
      <c r="E181" s="2">
        <v>77.540000000000006</v>
      </c>
      <c r="F181" s="2">
        <v>76.180000000000007</v>
      </c>
      <c r="G181" s="2">
        <v>60.24</v>
      </c>
      <c r="H181" s="2">
        <f t="shared" si="8"/>
        <v>0.17760632197385146</v>
      </c>
      <c r="I181" s="2">
        <f t="shared" si="9"/>
        <v>0.58461704214038379</v>
      </c>
      <c r="J181" s="2">
        <f t="shared" si="10"/>
        <v>7.9188036205452779</v>
      </c>
      <c r="K181">
        <f t="shared" si="11"/>
        <v>71.320000000000007</v>
      </c>
    </row>
    <row r="182" spans="1:11" ht="13.9" x14ac:dyDescent="0.3">
      <c r="A182" s="2" t="s">
        <v>470</v>
      </c>
      <c r="B182" s="2">
        <v>0.13</v>
      </c>
      <c r="C182" s="2">
        <v>0</v>
      </c>
      <c r="D182" s="2">
        <v>0</v>
      </c>
      <c r="E182" s="2">
        <v>0</v>
      </c>
      <c r="F182" s="2">
        <v>0.11</v>
      </c>
      <c r="G182" s="2">
        <v>0</v>
      </c>
      <c r="H182" s="2">
        <f t="shared" si="8"/>
        <v>0.24100809950379498</v>
      </c>
      <c r="I182" s="2">
        <f t="shared" si="9"/>
        <v>0.9121691661692114</v>
      </c>
      <c r="J182" s="2">
        <f t="shared" si="10"/>
        <v>-2.9434164716336326</v>
      </c>
      <c r="K182">
        <f t="shared" si="11"/>
        <v>3.6666666666666667E-2</v>
      </c>
    </row>
    <row r="183" spans="1:11" ht="13.9" x14ac:dyDescent="0.3">
      <c r="A183" s="2" t="s">
        <v>34</v>
      </c>
      <c r="B183" s="2">
        <v>15793.03</v>
      </c>
      <c r="C183" s="2">
        <v>31048.5</v>
      </c>
      <c r="D183" s="2">
        <v>33802.67</v>
      </c>
      <c r="E183" s="2">
        <v>23919.759999999998</v>
      </c>
      <c r="F183" s="2">
        <v>19157.759999999998</v>
      </c>
      <c r="G183" s="2">
        <v>24993.58</v>
      </c>
      <c r="H183" s="2">
        <f t="shared" si="8"/>
        <v>0.24452835399030939</v>
      </c>
      <c r="I183" s="2">
        <f t="shared" si="9"/>
        <v>0.51543329036163166</v>
      </c>
      <c r="J183" s="2">
        <f t="shared" si="10"/>
        <v>16.29928315679728</v>
      </c>
      <c r="K183">
        <f t="shared" si="11"/>
        <v>22690.366666666669</v>
      </c>
    </row>
    <row r="184" spans="1:11" ht="13.9" x14ac:dyDescent="0.3">
      <c r="A184" s="2" t="s">
        <v>139</v>
      </c>
      <c r="B184" s="2">
        <v>488.2</v>
      </c>
      <c r="C184" s="2">
        <v>586.16999999999996</v>
      </c>
      <c r="D184" s="2">
        <v>548.22</v>
      </c>
      <c r="E184" s="2">
        <v>481.36</v>
      </c>
      <c r="F184" s="2">
        <v>331.1</v>
      </c>
      <c r="G184" s="2">
        <v>545.79999999999995</v>
      </c>
      <c r="H184" s="2">
        <f t="shared" si="8"/>
        <v>0.2565388335426384</v>
      </c>
      <c r="I184" s="2">
        <f t="shared" si="9"/>
        <v>0.27487963231398543</v>
      </c>
      <c r="J184" s="2">
        <f t="shared" si="10"/>
        <v>10.664082786894287</v>
      </c>
      <c r="K184">
        <f t="shared" si="11"/>
        <v>452.75333333333333</v>
      </c>
    </row>
    <row r="185" spans="1:11" ht="13.9" x14ac:dyDescent="0.3">
      <c r="A185" s="2" t="s">
        <v>430</v>
      </c>
      <c r="B185" s="2">
        <v>0</v>
      </c>
      <c r="C185" s="2">
        <v>0.28999999999999998</v>
      </c>
      <c r="D185" s="2">
        <v>0</v>
      </c>
      <c r="E185" s="2">
        <v>0.13</v>
      </c>
      <c r="F185" s="2">
        <v>0</v>
      </c>
      <c r="G185" s="2">
        <v>0.11</v>
      </c>
      <c r="H185" s="2">
        <f t="shared" si="8"/>
        <v>0.27301849440641585</v>
      </c>
      <c r="I185" s="2">
        <f t="shared" si="9"/>
        <v>0.8813213765215222</v>
      </c>
      <c r="J185" s="2">
        <f t="shared" si="10"/>
        <v>-1.7858751946471527</v>
      </c>
      <c r="K185">
        <f t="shared" si="11"/>
        <v>0.08</v>
      </c>
    </row>
    <row r="186" spans="1:11" ht="13.9" x14ac:dyDescent="0.3">
      <c r="A186" s="2" t="s">
        <v>393</v>
      </c>
      <c r="B186" s="2">
        <v>18.48</v>
      </c>
      <c r="C186" s="2">
        <v>0</v>
      </c>
      <c r="D186" s="2">
        <v>42.53</v>
      </c>
      <c r="E186" s="2">
        <v>13.97</v>
      </c>
      <c r="F186" s="2">
        <v>26.94</v>
      </c>
      <c r="G186" s="2">
        <v>9.42</v>
      </c>
      <c r="H186" s="2">
        <f t="shared" si="8"/>
        <v>0.27762713284072865</v>
      </c>
      <c r="I186" s="2">
        <f t="shared" si="9"/>
        <v>0.80340146949294888</v>
      </c>
      <c r="J186" s="2">
        <f t="shared" si="10"/>
        <v>5.9309738255629059</v>
      </c>
      <c r="K186">
        <f t="shared" si="11"/>
        <v>16.776666666666667</v>
      </c>
    </row>
    <row r="187" spans="1:11" ht="13.9" x14ac:dyDescent="0.3">
      <c r="A187" s="2" t="s">
        <v>50</v>
      </c>
      <c r="B187" s="2">
        <v>57.68</v>
      </c>
      <c r="C187" s="2">
        <v>58.99</v>
      </c>
      <c r="D187" s="2">
        <v>66.91</v>
      </c>
      <c r="E187" s="2">
        <v>61.81</v>
      </c>
      <c r="F187" s="2">
        <v>43.58</v>
      </c>
      <c r="G187" s="2">
        <v>45.72</v>
      </c>
      <c r="H187" s="2">
        <f t="shared" si="8"/>
        <v>0.28080975703895628</v>
      </c>
      <c r="I187" s="2">
        <f t="shared" si="9"/>
        <v>0.16788639829871357</v>
      </c>
      <c r="J187" s="2">
        <f t="shared" si="10"/>
        <v>7.520265083643574</v>
      </c>
      <c r="K187">
        <f t="shared" si="11"/>
        <v>50.370000000000005</v>
      </c>
    </row>
    <row r="188" spans="1:11" ht="13.9" x14ac:dyDescent="0.3">
      <c r="A188" s="2" t="s">
        <v>234</v>
      </c>
      <c r="B188" s="2">
        <v>4.9800000000000004</v>
      </c>
      <c r="C188" s="2">
        <v>16.48</v>
      </c>
      <c r="D188" s="2">
        <v>9.85</v>
      </c>
      <c r="E188" s="2">
        <v>12.71</v>
      </c>
      <c r="F188" s="2">
        <v>6.32</v>
      </c>
      <c r="G188" s="2">
        <v>4.88</v>
      </c>
      <c r="H188" s="2">
        <f t="shared" si="8"/>
        <v>0.38900937842704214</v>
      </c>
      <c r="I188" s="2">
        <f t="shared" si="9"/>
        <v>0.58079117019477577</v>
      </c>
      <c r="J188" s="2">
        <f t="shared" si="10"/>
        <v>4.9685516033639461</v>
      </c>
      <c r="K188">
        <f t="shared" si="11"/>
        <v>7.97</v>
      </c>
    </row>
    <row r="189" spans="1:11" ht="13.9" x14ac:dyDescent="0.3">
      <c r="A189" s="2" t="s">
        <v>471</v>
      </c>
      <c r="B189" s="2">
        <v>34.090000000000003</v>
      </c>
      <c r="C189" s="2">
        <v>24.58</v>
      </c>
      <c r="D189" s="2">
        <v>21.52</v>
      </c>
      <c r="E189" s="2">
        <v>34.74</v>
      </c>
      <c r="F189" s="2">
        <v>12.75</v>
      </c>
      <c r="G189" s="2">
        <v>13.05</v>
      </c>
      <c r="H189" s="2">
        <f t="shared" si="8"/>
        <v>0.40553366313672068</v>
      </c>
      <c r="I189" s="2">
        <f t="shared" si="9"/>
        <v>0.46943099753633794</v>
      </c>
      <c r="J189" s="2">
        <f t="shared" si="10"/>
        <v>6.3253504331895094</v>
      </c>
      <c r="K189">
        <f t="shared" si="11"/>
        <v>20.180000000000003</v>
      </c>
    </row>
    <row r="190" spans="1:11" ht="13.9" x14ac:dyDescent="0.3">
      <c r="A190" s="2" t="s">
        <v>291</v>
      </c>
      <c r="B190" s="2">
        <v>65.55</v>
      </c>
      <c r="C190" s="2">
        <v>128.69</v>
      </c>
      <c r="D190" s="2">
        <v>98.28</v>
      </c>
      <c r="E190" s="2">
        <v>86.6</v>
      </c>
      <c r="F190" s="2">
        <v>77.62</v>
      </c>
      <c r="G190" s="2">
        <v>53.77</v>
      </c>
      <c r="H190" s="2">
        <f t="shared" si="8"/>
        <v>0.42427331232575566</v>
      </c>
      <c r="I190" s="2">
        <f t="shared" si="9"/>
        <v>0.29621783216816427</v>
      </c>
      <c r="J190" s="2">
        <f t="shared" si="10"/>
        <v>8.1923914569131764</v>
      </c>
      <c r="K190">
        <f t="shared" si="11"/>
        <v>72.663333333333341</v>
      </c>
    </row>
    <row r="191" spans="1:11" ht="13.9" x14ac:dyDescent="0.3">
      <c r="A191" s="2" t="s">
        <v>255</v>
      </c>
      <c r="B191" s="2">
        <v>13.5</v>
      </c>
      <c r="C191" s="2">
        <v>27.18</v>
      </c>
      <c r="D191" s="2">
        <v>8.3000000000000007</v>
      </c>
      <c r="E191" s="2">
        <v>11.83</v>
      </c>
      <c r="F191" s="2">
        <v>17.52</v>
      </c>
      <c r="G191" s="2">
        <v>7.15</v>
      </c>
      <c r="H191" s="2">
        <f t="shared" si="8"/>
        <v>0.42429630990923645</v>
      </c>
      <c r="I191" s="2">
        <f t="shared" si="9"/>
        <v>0.54988811403259263</v>
      </c>
      <c r="J191" s="2">
        <f t="shared" si="10"/>
        <v>5.6141208687892536</v>
      </c>
      <c r="K191">
        <f t="shared" si="11"/>
        <v>12.166666666666666</v>
      </c>
    </row>
    <row r="192" spans="1:11" ht="13.9" x14ac:dyDescent="0.3">
      <c r="A192" s="2" t="s">
        <v>588</v>
      </c>
      <c r="B192" s="2">
        <v>5.77</v>
      </c>
      <c r="C192" s="2">
        <v>0</v>
      </c>
      <c r="D192" s="2">
        <v>0</v>
      </c>
      <c r="E192" s="2">
        <v>0</v>
      </c>
      <c r="F192" s="2">
        <v>1</v>
      </c>
      <c r="G192" s="2">
        <v>3.18</v>
      </c>
      <c r="H192" s="2">
        <f t="shared" si="8"/>
        <v>0.46506837656459965</v>
      </c>
      <c r="I192" s="2">
        <f t="shared" si="9"/>
        <v>0.81660763314848794</v>
      </c>
      <c r="J192" s="2">
        <f t="shared" si="10"/>
        <v>2.5285713188707577</v>
      </c>
      <c r="K192">
        <f t="shared" si="11"/>
        <v>1.3933333333333333</v>
      </c>
    </row>
    <row r="193" spans="1:11" ht="13.9" x14ac:dyDescent="0.3">
      <c r="A193" s="2" t="s">
        <v>661</v>
      </c>
      <c r="B193" s="2">
        <v>5.1100000000000003</v>
      </c>
      <c r="C193" s="2">
        <v>10.41</v>
      </c>
      <c r="D193" s="2">
        <v>0</v>
      </c>
      <c r="E193" s="2">
        <v>3.9</v>
      </c>
      <c r="F193" s="2">
        <v>3.22</v>
      </c>
      <c r="G193" s="2">
        <v>4.08</v>
      </c>
      <c r="H193" s="2">
        <f t="shared" si="8"/>
        <v>0.47062982524216118</v>
      </c>
      <c r="I193" s="2">
        <f t="shared" si="9"/>
        <v>0.65802567873628204</v>
      </c>
      <c r="J193" s="2">
        <f t="shared" si="10"/>
        <v>3.956056652412403</v>
      </c>
      <c r="K193">
        <f t="shared" si="11"/>
        <v>3.7333333333333329</v>
      </c>
    </row>
    <row r="194" spans="1:11" ht="13.9" x14ac:dyDescent="0.3">
      <c r="A194" s="2" t="s">
        <v>691</v>
      </c>
      <c r="B194" s="2">
        <v>5.1100000000000003</v>
      </c>
      <c r="C194" s="2">
        <v>10.41</v>
      </c>
      <c r="D194" s="2">
        <v>0</v>
      </c>
      <c r="E194" s="2">
        <v>3.9</v>
      </c>
      <c r="F194" s="2">
        <v>3.22</v>
      </c>
      <c r="G194" s="2">
        <v>4.08</v>
      </c>
      <c r="H194" s="2">
        <f t="shared" ref="H194:H257" si="12">LOG(SUM(B194:D194)/SUM(E194:G194),2)</f>
        <v>0.47062982524216118</v>
      </c>
      <c r="I194" s="2">
        <f t="shared" ref="I194:I257" si="13">_xlfn.T.TEST(B194:D194,E194:G194,2,2)</f>
        <v>0.65802567873628204</v>
      </c>
      <c r="J194" s="2">
        <f t="shared" ref="J194:J257" si="14">LOG(SUM(B194:D194),2)</f>
        <v>3.956056652412403</v>
      </c>
      <c r="K194">
        <f t="shared" ref="K194:K257" si="15">AVERAGE(E194:G194)</f>
        <v>3.7333333333333329</v>
      </c>
    </row>
    <row r="195" spans="1:11" ht="13.9" x14ac:dyDescent="0.3">
      <c r="A195" s="2" t="s">
        <v>455</v>
      </c>
      <c r="B195" s="2">
        <v>4133.7299999999996</v>
      </c>
      <c r="C195" s="2">
        <v>4278.72</v>
      </c>
      <c r="D195" s="2">
        <v>2628.01</v>
      </c>
      <c r="E195" s="2">
        <v>2929.69</v>
      </c>
      <c r="F195" s="2">
        <v>2766.3</v>
      </c>
      <c r="G195" s="2">
        <v>2177.64</v>
      </c>
      <c r="H195" s="2">
        <f t="shared" si="12"/>
        <v>0.4876994595159474</v>
      </c>
      <c r="I195" s="2">
        <f t="shared" si="13"/>
        <v>0.14028829502779649</v>
      </c>
      <c r="J195" s="2">
        <f t="shared" si="14"/>
        <v>13.430512662706599</v>
      </c>
      <c r="K195">
        <f t="shared" si="15"/>
        <v>2624.5433333333331</v>
      </c>
    </row>
    <row r="196" spans="1:11" ht="13.9" x14ac:dyDescent="0.3">
      <c r="A196" s="2" t="s">
        <v>367</v>
      </c>
      <c r="B196" s="2">
        <v>2.88</v>
      </c>
      <c r="C196" s="2">
        <v>12.15</v>
      </c>
      <c r="D196" s="2">
        <v>1.82</v>
      </c>
      <c r="E196" s="2">
        <v>3.27</v>
      </c>
      <c r="F196" s="2">
        <v>4.32</v>
      </c>
      <c r="G196" s="2">
        <v>4.2</v>
      </c>
      <c r="H196" s="2">
        <f t="shared" si="12"/>
        <v>0.51518487308945837</v>
      </c>
      <c r="I196" s="2">
        <f t="shared" si="13"/>
        <v>0.63596415847709675</v>
      </c>
      <c r="J196" s="2">
        <f t="shared" si="14"/>
        <v>4.0746766862944961</v>
      </c>
      <c r="K196">
        <f t="shared" si="15"/>
        <v>3.9299999999999997</v>
      </c>
    </row>
    <row r="197" spans="1:11" ht="13.9" x14ac:dyDescent="0.3">
      <c r="A197" s="2" t="s">
        <v>104</v>
      </c>
      <c r="B197" s="2">
        <v>30.68</v>
      </c>
      <c r="C197" s="2">
        <v>0</v>
      </c>
      <c r="D197" s="2">
        <v>4.1500000000000004</v>
      </c>
      <c r="E197" s="2">
        <v>8.69</v>
      </c>
      <c r="F197" s="2">
        <v>8.5399999999999991</v>
      </c>
      <c r="G197" s="2">
        <v>6.92</v>
      </c>
      <c r="H197" s="2">
        <f t="shared" si="12"/>
        <v>0.52830728386358727</v>
      </c>
      <c r="I197" s="2">
        <f t="shared" si="13"/>
        <v>0.73027362988775213</v>
      </c>
      <c r="J197" s="2">
        <f t="shared" si="14"/>
        <v>5.1222585678119978</v>
      </c>
      <c r="K197">
        <f t="shared" si="15"/>
        <v>8.0499999999999989</v>
      </c>
    </row>
    <row r="198" spans="1:11" ht="13.9" x14ac:dyDescent="0.3">
      <c r="A198" s="2" t="s">
        <v>300</v>
      </c>
      <c r="B198" s="2">
        <v>1234.8</v>
      </c>
      <c r="C198" s="2">
        <v>1659.9</v>
      </c>
      <c r="D198" s="2">
        <v>1787.02</v>
      </c>
      <c r="E198" s="2">
        <v>1149.9000000000001</v>
      </c>
      <c r="F198" s="2">
        <v>945.27</v>
      </c>
      <c r="G198" s="2">
        <v>1144.81</v>
      </c>
      <c r="H198" s="2">
        <f t="shared" si="12"/>
        <v>0.53105374609559919</v>
      </c>
      <c r="I198" s="2">
        <f t="shared" si="13"/>
        <v>5.5856591810254423E-2</v>
      </c>
      <c r="J198" s="2">
        <f t="shared" si="14"/>
        <v>12.192822938315157</v>
      </c>
      <c r="K198">
        <f t="shared" si="15"/>
        <v>1079.9933333333333</v>
      </c>
    </row>
    <row r="199" spans="1:11" ht="13.9" x14ac:dyDescent="0.3">
      <c r="A199" s="2" t="s">
        <v>175</v>
      </c>
      <c r="B199" s="2">
        <v>14.03</v>
      </c>
      <c r="C199" s="2">
        <v>17.059999999999999</v>
      </c>
      <c r="D199" s="2">
        <v>17.89</v>
      </c>
      <c r="E199" s="2">
        <v>10.32</v>
      </c>
      <c r="F199" s="2">
        <v>15.52</v>
      </c>
      <c r="G199" s="2">
        <v>8.0500000000000007</v>
      </c>
      <c r="H199" s="2">
        <f t="shared" si="12"/>
        <v>0.53133313707998375</v>
      </c>
      <c r="I199" s="2">
        <f t="shared" si="13"/>
        <v>0.11484471847111179</v>
      </c>
      <c r="J199" s="2">
        <f t="shared" si="14"/>
        <v>5.6141208687892536</v>
      </c>
      <c r="K199">
        <f t="shared" si="15"/>
        <v>11.296666666666667</v>
      </c>
    </row>
    <row r="200" spans="1:11" ht="13.9" x14ac:dyDescent="0.3">
      <c r="A200" s="2" t="s">
        <v>262</v>
      </c>
      <c r="B200" s="2">
        <v>548.24</v>
      </c>
      <c r="C200" s="2">
        <v>896.75</v>
      </c>
      <c r="D200" s="2">
        <v>893.9</v>
      </c>
      <c r="E200" s="2">
        <v>540.77</v>
      </c>
      <c r="F200" s="2">
        <v>488.55</v>
      </c>
      <c r="G200" s="2">
        <v>553.05999999999995</v>
      </c>
      <c r="H200" s="2">
        <f t="shared" si="12"/>
        <v>0.56372791527287036</v>
      </c>
      <c r="I200" s="2">
        <f t="shared" si="13"/>
        <v>9.8157963174418369E-2</v>
      </c>
      <c r="J200" s="2">
        <f t="shared" si="14"/>
        <v>11.191608296764461</v>
      </c>
      <c r="K200">
        <f t="shared" si="15"/>
        <v>527.45999999999992</v>
      </c>
    </row>
    <row r="201" spans="1:11" ht="13.9" x14ac:dyDescent="0.3">
      <c r="A201" s="2" t="s">
        <v>283</v>
      </c>
      <c r="B201" s="2">
        <v>8.52</v>
      </c>
      <c r="C201" s="2">
        <v>19.09</v>
      </c>
      <c r="D201" s="2">
        <v>5.45</v>
      </c>
      <c r="E201" s="2">
        <v>6.92</v>
      </c>
      <c r="F201" s="2">
        <v>6.76</v>
      </c>
      <c r="G201" s="2">
        <v>8.51</v>
      </c>
      <c r="H201" s="2">
        <f t="shared" si="12"/>
        <v>0.57517705709530265</v>
      </c>
      <c r="I201" s="2">
        <f t="shared" si="13"/>
        <v>0.43380264963883836</v>
      </c>
      <c r="J201" s="2">
        <f t="shared" si="14"/>
        <v>5.0470148195175888</v>
      </c>
      <c r="K201">
        <f t="shared" si="15"/>
        <v>7.3966666666666656</v>
      </c>
    </row>
    <row r="202" spans="1:11" ht="13.9" x14ac:dyDescent="0.3">
      <c r="A202" s="2" t="s">
        <v>339</v>
      </c>
      <c r="B202" s="2">
        <v>10.09</v>
      </c>
      <c r="C202" s="2">
        <v>0</v>
      </c>
      <c r="D202" s="2">
        <v>0</v>
      </c>
      <c r="E202" s="2">
        <v>3.02</v>
      </c>
      <c r="F202" s="2">
        <v>1.89</v>
      </c>
      <c r="G202" s="2">
        <v>1.82</v>
      </c>
      <c r="H202" s="2">
        <f t="shared" si="12"/>
        <v>0.58424776449603999</v>
      </c>
      <c r="I202" s="2">
        <f t="shared" si="13"/>
        <v>0.75739869366381773</v>
      </c>
      <c r="J202" s="2">
        <f t="shared" si="14"/>
        <v>3.3348542693316325</v>
      </c>
      <c r="K202">
        <f t="shared" si="15"/>
        <v>2.2433333333333336</v>
      </c>
    </row>
    <row r="203" spans="1:11" ht="13.9" x14ac:dyDescent="0.3">
      <c r="A203" s="2" t="s">
        <v>364</v>
      </c>
      <c r="B203" s="2">
        <v>19.14</v>
      </c>
      <c r="C203" s="2">
        <v>19.09</v>
      </c>
      <c r="D203" s="2">
        <v>40.450000000000003</v>
      </c>
      <c r="E203" s="2">
        <v>16.11</v>
      </c>
      <c r="F203" s="2">
        <v>12.64</v>
      </c>
      <c r="G203" s="2">
        <v>23.48</v>
      </c>
      <c r="H203" s="2">
        <f t="shared" si="12"/>
        <v>0.59111825390627293</v>
      </c>
      <c r="I203" s="2">
        <f t="shared" si="13"/>
        <v>0.32134546947909542</v>
      </c>
      <c r="J203" s="2">
        <f t="shared" si="14"/>
        <v>6.297925052503806</v>
      </c>
      <c r="K203">
        <f t="shared" si="15"/>
        <v>17.41</v>
      </c>
    </row>
    <row r="204" spans="1:11" ht="13.9" x14ac:dyDescent="0.3">
      <c r="A204" s="2" t="s">
        <v>36</v>
      </c>
      <c r="B204" s="2">
        <v>3.67</v>
      </c>
      <c r="C204" s="2">
        <v>0</v>
      </c>
      <c r="D204" s="2">
        <v>0</v>
      </c>
      <c r="E204" s="2">
        <v>0.63</v>
      </c>
      <c r="F204" s="2">
        <v>0.67</v>
      </c>
      <c r="G204" s="2">
        <v>1.1299999999999999</v>
      </c>
      <c r="H204" s="2">
        <f t="shared" si="12"/>
        <v>0.59482374923743198</v>
      </c>
      <c r="I204" s="2">
        <f t="shared" si="13"/>
        <v>0.7544515966329739</v>
      </c>
      <c r="J204" s="2">
        <f t="shared" si="14"/>
        <v>1.875780063068488</v>
      </c>
      <c r="K204">
        <f t="shared" si="15"/>
        <v>0.80999999999999994</v>
      </c>
    </row>
    <row r="205" spans="1:11" ht="13.9" x14ac:dyDescent="0.3">
      <c r="A205" s="2" t="s">
        <v>883</v>
      </c>
      <c r="B205" s="2">
        <v>2.36</v>
      </c>
      <c r="C205" s="2">
        <v>0</v>
      </c>
      <c r="D205" s="2">
        <v>0</v>
      </c>
      <c r="E205" s="2">
        <v>1.01</v>
      </c>
      <c r="F205" s="2">
        <v>0.55000000000000004</v>
      </c>
      <c r="G205" s="2">
        <v>0</v>
      </c>
      <c r="H205" s="2">
        <f t="shared" si="12"/>
        <v>0.59724083049959298</v>
      </c>
      <c r="I205" s="2">
        <f t="shared" si="13"/>
        <v>0.76653333618039743</v>
      </c>
      <c r="J205" s="2">
        <f t="shared" si="14"/>
        <v>1.2387868595871165</v>
      </c>
      <c r="K205">
        <f t="shared" si="15"/>
        <v>0.52</v>
      </c>
    </row>
    <row r="206" spans="1:11" ht="13.9" x14ac:dyDescent="0.3">
      <c r="A206" s="2" t="s">
        <v>30</v>
      </c>
      <c r="B206" s="2">
        <v>11170.84</v>
      </c>
      <c r="C206" s="2">
        <v>8576.82</v>
      </c>
      <c r="D206" s="2">
        <v>11900.75</v>
      </c>
      <c r="E206" s="2">
        <v>7263.55</v>
      </c>
      <c r="F206" s="2">
        <v>7652.79</v>
      </c>
      <c r="G206" s="2">
        <v>5470.93</v>
      </c>
      <c r="H206" s="2">
        <f t="shared" si="12"/>
        <v>0.63446442001700165</v>
      </c>
      <c r="I206" s="2">
        <f t="shared" si="13"/>
        <v>3.6311445850948358E-2</v>
      </c>
      <c r="J206" s="2">
        <f t="shared" si="14"/>
        <v>14.949845400759596</v>
      </c>
      <c r="K206">
        <f t="shared" si="15"/>
        <v>6795.7566666666671</v>
      </c>
    </row>
    <row r="207" spans="1:11" ht="13.9" x14ac:dyDescent="0.3">
      <c r="A207" s="2" t="s">
        <v>441</v>
      </c>
      <c r="B207" s="2">
        <v>0</v>
      </c>
      <c r="C207" s="2">
        <v>0</v>
      </c>
      <c r="D207" s="2">
        <v>6.48</v>
      </c>
      <c r="E207" s="2">
        <v>0</v>
      </c>
      <c r="F207" s="2">
        <v>3.1</v>
      </c>
      <c r="G207" s="2">
        <v>0.91</v>
      </c>
      <c r="H207" s="2">
        <f t="shared" si="12"/>
        <v>0.69239157642970461</v>
      </c>
      <c r="I207" s="2">
        <f t="shared" si="13"/>
        <v>0.74351085865579347</v>
      </c>
      <c r="J207" s="2">
        <f t="shared" si="14"/>
        <v>2.6959938131098999</v>
      </c>
      <c r="K207">
        <f t="shared" si="15"/>
        <v>1.3366666666666667</v>
      </c>
    </row>
    <row r="208" spans="1:11" ht="13.9" x14ac:dyDescent="0.3">
      <c r="A208" s="2" t="s">
        <v>376</v>
      </c>
      <c r="B208" s="2">
        <v>9.18</v>
      </c>
      <c r="C208" s="2">
        <v>18.22</v>
      </c>
      <c r="D208" s="2">
        <v>0.26</v>
      </c>
      <c r="E208" s="2">
        <v>4.91</v>
      </c>
      <c r="F208" s="2">
        <v>7.87</v>
      </c>
      <c r="G208" s="2">
        <v>4.3099999999999996</v>
      </c>
      <c r="H208" s="2">
        <f t="shared" si="12"/>
        <v>0.69464875947435489</v>
      </c>
      <c r="I208" s="2">
        <f t="shared" si="13"/>
        <v>0.54256732330199919</v>
      </c>
      <c r="J208" s="2">
        <f t="shared" si="14"/>
        <v>4.7897292513757694</v>
      </c>
      <c r="K208">
        <f t="shared" si="15"/>
        <v>5.6966666666666663</v>
      </c>
    </row>
    <row r="209" spans="1:11" ht="13.9" x14ac:dyDescent="0.3">
      <c r="A209" s="2" t="s">
        <v>48</v>
      </c>
      <c r="B209" s="2">
        <v>12.06</v>
      </c>
      <c r="C209" s="2">
        <v>17.059999999999999</v>
      </c>
      <c r="D209" s="2">
        <v>18.149999999999999</v>
      </c>
      <c r="E209" s="2">
        <v>9.94</v>
      </c>
      <c r="F209" s="2">
        <v>11.98</v>
      </c>
      <c r="G209" s="2">
        <v>7.26</v>
      </c>
      <c r="H209" s="2">
        <f t="shared" si="12"/>
        <v>0.69594498144075878</v>
      </c>
      <c r="I209" s="2">
        <f t="shared" si="13"/>
        <v>6.0115706372218067E-2</v>
      </c>
      <c r="J209" s="2">
        <f t="shared" si="14"/>
        <v>5.5628529595839256</v>
      </c>
      <c r="K209">
        <f t="shared" si="15"/>
        <v>9.7266666666666666</v>
      </c>
    </row>
    <row r="210" spans="1:11" ht="13.9" x14ac:dyDescent="0.3">
      <c r="A210" s="2" t="s">
        <v>279</v>
      </c>
      <c r="B210" s="2">
        <v>133.72</v>
      </c>
      <c r="C210" s="2">
        <v>229.32</v>
      </c>
      <c r="D210" s="2">
        <v>261.92</v>
      </c>
      <c r="E210" s="2">
        <v>136.33000000000001</v>
      </c>
      <c r="F210" s="2">
        <v>133.84</v>
      </c>
      <c r="G210" s="2">
        <v>110.84</v>
      </c>
      <c r="H210" s="2">
        <f t="shared" si="12"/>
        <v>0.71393499110409375</v>
      </c>
      <c r="I210" s="2">
        <f t="shared" si="13"/>
        <v>0.10743353852565017</v>
      </c>
      <c r="J210" s="2">
        <f t="shared" si="14"/>
        <v>9.2876200441120673</v>
      </c>
      <c r="K210">
        <f t="shared" si="15"/>
        <v>127.00333333333333</v>
      </c>
    </row>
    <row r="211" spans="1:11" ht="13.9" x14ac:dyDescent="0.3">
      <c r="A211" s="2" t="s">
        <v>396</v>
      </c>
      <c r="B211" s="2">
        <v>0</v>
      </c>
      <c r="C211" s="2">
        <v>6.94</v>
      </c>
      <c r="D211" s="2">
        <v>0</v>
      </c>
      <c r="E211" s="2">
        <v>0.38</v>
      </c>
      <c r="F211" s="2">
        <v>1.33</v>
      </c>
      <c r="G211" s="2">
        <v>2.5</v>
      </c>
      <c r="H211" s="2">
        <f t="shared" si="12"/>
        <v>0.72111542951186491</v>
      </c>
      <c r="I211" s="2">
        <f t="shared" si="13"/>
        <v>0.72309298802823063</v>
      </c>
      <c r="J211" s="2">
        <f t="shared" si="14"/>
        <v>2.7949356628035362</v>
      </c>
      <c r="K211">
        <f t="shared" si="15"/>
        <v>1.4033333333333333</v>
      </c>
    </row>
    <row r="212" spans="1:11" ht="13.9" x14ac:dyDescent="0.3">
      <c r="A212" s="2" t="s">
        <v>282</v>
      </c>
      <c r="B212" s="2">
        <v>23.6</v>
      </c>
      <c r="C212" s="2">
        <v>45.4</v>
      </c>
      <c r="D212" s="2">
        <v>32.159999999999997</v>
      </c>
      <c r="E212" s="2">
        <v>24.8</v>
      </c>
      <c r="F212" s="2">
        <v>21.95</v>
      </c>
      <c r="G212" s="2">
        <v>14.07</v>
      </c>
      <c r="H212" s="2">
        <f t="shared" si="12"/>
        <v>0.73402122063244069</v>
      </c>
      <c r="I212" s="2">
        <f t="shared" si="13"/>
        <v>0.13144050647057537</v>
      </c>
      <c r="J212" s="2">
        <f t="shared" si="14"/>
        <v>6.6604951318885144</v>
      </c>
      <c r="K212">
        <f t="shared" si="15"/>
        <v>20.273333333333333</v>
      </c>
    </row>
    <row r="213" spans="1:11" ht="13.9" x14ac:dyDescent="0.3">
      <c r="A213" s="2" t="s">
        <v>90</v>
      </c>
      <c r="B213" s="2">
        <v>0.26</v>
      </c>
      <c r="C213" s="2">
        <v>0.28999999999999998</v>
      </c>
      <c r="D213" s="2">
        <v>0</v>
      </c>
      <c r="E213" s="2">
        <v>0</v>
      </c>
      <c r="F213" s="2">
        <v>0.22</v>
      </c>
      <c r="G213" s="2">
        <v>0.11</v>
      </c>
      <c r="H213" s="2">
        <f t="shared" si="12"/>
        <v>0.73696559416620622</v>
      </c>
      <c r="I213" s="2">
        <f t="shared" si="13"/>
        <v>0.5478614056410982</v>
      </c>
      <c r="J213" s="2">
        <f t="shared" si="14"/>
        <v>-0.86249647625006509</v>
      </c>
      <c r="K213">
        <f t="shared" si="15"/>
        <v>0.11</v>
      </c>
    </row>
    <row r="214" spans="1:11" ht="13.9" x14ac:dyDescent="0.3">
      <c r="A214" s="6" t="s">
        <v>937</v>
      </c>
      <c r="B214" s="6">
        <v>810.57</v>
      </c>
      <c r="C214" s="6">
        <v>475.12</v>
      </c>
      <c r="D214" s="6">
        <v>709.26</v>
      </c>
      <c r="E214" s="6">
        <v>386.07</v>
      </c>
      <c r="F214" s="6">
        <v>407.72</v>
      </c>
      <c r="G214" s="6">
        <v>385.27</v>
      </c>
      <c r="H214" s="6">
        <f t="shared" si="12"/>
        <v>0.75871545217954828</v>
      </c>
      <c r="I214" s="6">
        <f t="shared" si="13"/>
        <v>5.2422215251804266E-2</v>
      </c>
      <c r="J214" s="2">
        <f t="shared" si="14"/>
        <v>10.962136872886148</v>
      </c>
      <c r="K214">
        <f t="shared" si="15"/>
        <v>393.02</v>
      </c>
    </row>
    <row r="215" spans="1:11" ht="13.9" x14ac:dyDescent="0.3">
      <c r="A215" s="2" t="s">
        <v>512</v>
      </c>
      <c r="B215" s="2">
        <v>0.13</v>
      </c>
      <c r="C215" s="2">
        <v>0</v>
      </c>
      <c r="D215" s="2">
        <v>0.26</v>
      </c>
      <c r="E215" s="2">
        <v>0</v>
      </c>
      <c r="F215" s="2">
        <v>0</v>
      </c>
      <c r="G215" s="2">
        <v>0.23</v>
      </c>
      <c r="H215" s="2">
        <f t="shared" si="12"/>
        <v>0.76184026280523554</v>
      </c>
      <c r="I215" s="2">
        <f t="shared" si="13"/>
        <v>0.6452033777986752</v>
      </c>
      <c r="J215" s="2">
        <f t="shared" si="14"/>
        <v>-1.3584539709124763</v>
      </c>
      <c r="K215">
        <f t="shared" si="15"/>
        <v>7.6666666666666675E-2</v>
      </c>
    </row>
    <row r="216" spans="1:11" ht="13.9" x14ac:dyDescent="0.3">
      <c r="A216" s="2" t="s">
        <v>636</v>
      </c>
      <c r="B216" s="2">
        <v>7.34</v>
      </c>
      <c r="C216" s="2">
        <v>0</v>
      </c>
      <c r="D216" s="2">
        <v>0</v>
      </c>
      <c r="E216" s="2">
        <v>1.64</v>
      </c>
      <c r="F216" s="2">
        <v>0.89</v>
      </c>
      <c r="G216" s="2">
        <v>1.7</v>
      </c>
      <c r="H216" s="2">
        <f t="shared" si="12"/>
        <v>0.79512239972326304</v>
      </c>
      <c r="I216" s="2">
        <f t="shared" si="13"/>
        <v>0.69517394513127972</v>
      </c>
      <c r="J216" s="2">
        <f t="shared" si="14"/>
        <v>2.8757800630684884</v>
      </c>
      <c r="K216">
        <f t="shared" si="15"/>
        <v>1.41</v>
      </c>
    </row>
    <row r="217" spans="1:11" ht="13.9" x14ac:dyDescent="0.3">
      <c r="A217" s="2" t="s">
        <v>381</v>
      </c>
      <c r="B217" s="2">
        <v>290.12</v>
      </c>
      <c r="C217" s="2">
        <v>330.24</v>
      </c>
      <c r="D217" s="2">
        <v>239.88</v>
      </c>
      <c r="E217" s="2">
        <v>186.93</v>
      </c>
      <c r="F217" s="2">
        <v>156.46</v>
      </c>
      <c r="G217" s="2">
        <v>141.13</v>
      </c>
      <c r="H217" s="2">
        <f t="shared" si="12"/>
        <v>0.82818299783017546</v>
      </c>
      <c r="I217" s="2">
        <f t="shared" si="13"/>
        <v>1.3056714670193963E-2</v>
      </c>
      <c r="J217" s="2">
        <f t="shared" si="14"/>
        <v>9.7485954059909634</v>
      </c>
      <c r="K217">
        <f t="shared" si="15"/>
        <v>161.50666666666666</v>
      </c>
    </row>
    <row r="218" spans="1:11" ht="13.9" x14ac:dyDescent="0.3">
      <c r="A218" s="2" t="s">
        <v>728</v>
      </c>
      <c r="B218" s="2">
        <v>9.31</v>
      </c>
      <c r="C218" s="2">
        <v>0</v>
      </c>
      <c r="D218" s="2">
        <v>0</v>
      </c>
      <c r="E218" s="2">
        <v>1.26</v>
      </c>
      <c r="F218" s="2">
        <v>1</v>
      </c>
      <c r="G218" s="2">
        <v>2.84</v>
      </c>
      <c r="H218" s="2">
        <f t="shared" si="12"/>
        <v>0.86828392069993598</v>
      </c>
      <c r="I218" s="2">
        <f t="shared" si="13"/>
        <v>0.67958110957240458</v>
      </c>
      <c r="J218" s="2">
        <f t="shared" si="14"/>
        <v>3.2187811677840692</v>
      </c>
      <c r="K218">
        <f t="shared" si="15"/>
        <v>1.7</v>
      </c>
    </row>
    <row r="219" spans="1:11" ht="13.9" x14ac:dyDescent="0.3">
      <c r="A219" s="2" t="s">
        <v>116</v>
      </c>
      <c r="B219" s="2">
        <v>8.65</v>
      </c>
      <c r="C219" s="2">
        <v>0</v>
      </c>
      <c r="D219" s="2">
        <v>0</v>
      </c>
      <c r="E219" s="2">
        <v>3.02</v>
      </c>
      <c r="F219" s="2">
        <v>0.55000000000000004</v>
      </c>
      <c r="G219" s="2">
        <v>1.1299999999999999</v>
      </c>
      <c r="H219" s="2">
        <f t="shared" si="12"/>
        <v>0.88003937595908743</v>
      </c>
      <c r="I219" s="2">
        <f t="shared" si="13"/>
        <v>0.68126747206795046</v>
      </c>
      <c r="J219" s="2">
        <f t="shared" si="14"/>
        <v>3.1127001327493624</v>
      </c>
      <c r="K219">
        <f t="shared" si="15"/>
        <v>1.5666666666666667</v>
      </c>
    </row>
    <row r="220" spans="1:11" ht="13.9" x14ac:dyDescent="0.3">
      <c r="A220" s="2" t="s">
        <v>785</v>
      </c>
      <c r="B220" s="2">
        <v>4.2</v>
      </c>
      <c r="C220" s="2">
        <v>0</v>
      </c>
      <c r="D220" s="2">
        <v>0</v>
      </c>
      <c r="E220" s="2">
        <v>0.38</v>
      </c>
      <c r="F220" s="2">
        <v>1.44</v>
      </c>
      <c r="G220" s="2">
        <v>0.45</v>
      </c>
      <c r="H220" s="2">
        <f t="shared" si="12"/>
        <v>0.88769703037520775</v>
      </c>
      <c r="I220" s="2">
        <f t="shared" si="13"/>
        <v>0.67842373767466846</v>
      </c>
      <c r="J220" s="2">
        <f t="shared" si="14"/>
        <v>2.0703893278913981</v>
      </c>
      <c r="K220">
        <f t="shared" si="15"/>
        <v>0.75666666666666671</v>
      </c>
    </row>
    <row r="221" spans="1:11" ht="13.9" x14ac:dyDescent="0.3">
      <c r="A221" s="2" t="s">
        <v>828</v>
      </c>
      <c r="B221" s="2">
        <v>3.67</v>
      </c>
      <c r="C221" s="2">
        <v>0</v>
      </c>
      <c r="D221" s="2">
        <v>0</v>
      </c>
      <c r="E221" s="2">
        <v>0.63</v>
      </c>
      <c r="F221" s="2">
        <v>0.22</v>
      </c>
      <c r="G221" s="2">
        <v>1.1299999999999999</v>
      </c>
      <c r="H221" s="2">
        <f t="shared" si="12"/>
        <v>0.89027963276360311</v>
      </c>
      <c r="I221" s="2">
        <f t="shared" si="13"/>
        <v>0.6758913065438199</v>
      </c>
      <c r="J221" s="2">
        <f t="shared" si="14"/>
        <v>1.875780063068488</v>
      </c>
      <c r="K221">
        <f t="shared" si="15"/>
        <v>0.66</v>
      </c>
    </row>
    <row r="222" spans="1:11" ht="13.9" x14ac:dyDescent="0.3">
      <c r="A222" s="2" t="s">
        <v>514</v>
      </c>
      <c r="B222" s="2">
        <v>0</v>
      </c>
      <c r="C222" s="2">
        <v>0</v>
      </c>
      <c r="D222" s="2">
        <v>1.04</v>
      </c>
      <c r="E222" s="2">
        <v>0</v>
      </c>
      <c r="F222" s="2">
        <v>0.22</v>
      </c>
      <c r="G222" s="2">
        <v>0.34</v>
      </c>
      <c r="H222" s="2">
        <f t="shared" si="12"/>
        <v>0.89308479608348801</v>
      </c>
      <c r="I222" s="2">
        <f t="shared" si="13"/>
        <v>0.68026444900413718</v>
      </c>
      <c r="J222" s="2">
        <f t="shared" si="14"/>
        <v>5.6583528366367514E-2</v>
      </c>
      <c r="K222">
        <f t="shared" si="15"/>
        <v>0.18666666666666668</v>
      </c>
    </row>
    <row r="223" spans="1:11" ht="13.9" x14ac:dyDescent="0.3">
      <c r="A223" s="2" t="s">
        <v>350</v>
      </c>
      <c r="B223" s="2">
        <v>4.8499999999999996</v>
      </c>
      <c r="C223" s="2">
        <v>0</v>
      </c>
      <c r="D223" s="2">
        <v>0</v>
      </c>
      <c r="E223" s="2">
        <v>1.1299999999999999</v>
      </c>
      <c r="F223" s="2">
        <v>0.89</v>
      </c>
      <c r="G223" s="2">
        <v>0.56999999999999995</v>
      </c>
      <c r="H223" s="2">
        <f t="shared" si="12"/>
        <v>0.90503264938793615</v>
      </c>
      <c r="I223" s="2">
        <f t="shared" si="13"/>
        <v>0.66700424454028129</v>
      </c>
      <c r="J223" s="2">
        <f t="shared" si="14"/>
        <v>2.2779847472997652</v>
      </c>
      <c r="K223">
        <f t="shared" si="15"/>
        <v>0.86333333333333329</v>
      </c>
    </row>
    <row r="224" spans="1:11" ht="13.9" x14ac:dyDescent="0.3">
      <c r="A224" s="2" t="s">
        <v>627</v>
      </c>
      <c r="B224" s="2">
        <v>0</v>
      </c>
      <c r="C224" s="2">
        <v>2.6</v>
      </c>
      <c r="D224" s="2">
        <v>8.82</v>
      </c>
      <c r="E224" s="2">
        <v>1.76</v>
      </c>
      <c r="F224" s="2">
        <v>1.22</v>
      </c>
      <c r="G224" s="2">
        <v>3.06</v>
      </c>
      <c r="H224" s="2">
        <f t="shared" si="12"/>
        <v>0.91894219603776395</v>
      </c>
      <c r="I224" s="2">
        <f t="shared" si="13"/>
        <v>0.53902896687007529</v>
      </c>
      <c r="J224" s="2">
        <f t="shared" si="14"/>
        <v>3.5134907455881179</v>
      </c>
      <c r="K224">
        <f t="shared" si="15"/>
        <v>2.0133333333333332</v>
      </c>
    </row>
    <row r="225" spans="1:11" ht="13.9" x14ac:dyDescent="0.3">
      <c r="A225" s="2" t="s">
        <v>355</v>
      </c>
      <c r="B225" s="2">
        <v>6.03</v>
      </c>
      <c r="C225" s="2">
        <v>0</v>
      </c>
      <c r="D225" s="2">
        <v>0</v>
      </c>
      <c r="E225" s="2">
        <v>1.64</v>
      </c>
      <c r="F225" s="2">
        <v>0.11</v>
      </c>
      <c r="G225" s="2">
        <v>1.36</v>
      </c>
      <c r="H225" s="2">
        <f t="shared" si="12"/>
        <v>0.95524342176948218</v>
      </c>
      <c r="I225" s="2">
        <f t="shared" si="13"/>
        <v>0.66184521303888411</v>
      </c>
      <c r="J225" s="2">
        <f t="shared" si="14"/>
        <v>2.5921580021253603</v>
      </c>
      <c r="K225">
        <f t="shared" si="15"/>
        <v>1.0366666666666668</v>
      </c>
    </row>
    <row r="226" spans="1:11" ht="13.9" x14ac:dyDescent="0.3">
      <c r="A226" s="2" t="s">
        <v>417</v>
      </c>
      <c r="B226" s="2">
        <v>52.7</v>
      </c>
      <c r="C226" s="2">
        <v>34.99</v>
      </c>
      <c r="D226" s="2">
        <v>82.73</v>
      </c>
      <c r="E226" s="2">
        <v>46.32</v>
      </c>
      <c r="F226" s="2">
        <v>14.41</v>
      </c>
      <c r="G226" s="2">
        <v>26.09</v>
      </c>
      <c r="H226" s="2">
        <f t="shared" si="12"/>
        <v>0.97299532832772728</v>
      </c>
      <c r="I226" s="2">
        <f t="shared" si="13"/>
        <v>0.17178580199589713</v>
      </c>
      <c r="J226" s="2">
        <f t="shared" si="14"/>
        <v>7.4129508458058835</v>
      </c>
      <c r="K226">
        <f t="shared" si="15"/>
        <v>28.94</v>
      </c>
    </row>
    <row r="227" spans="1:11" ht="13.9" x14ac:dyDescent="0.3">
      <c r="A227" s="2" t="s">
        <v>143</v>
      </c>
      <c r="B227" s="2">
        <v>0</v>
      </c>
      <c r="C227" s="2">
        <v>0</v>
      </c>
      <c r="D227" s="2">
        <v>0.26</v>
      </c>
      <c r="E227" s="2">
        <v>0.13</v>
      </c>
      <c r="F227" s="2">
        <v>0</v>
      </c>
      <c r="G227" s="2">
        <v>0</v>
      </c>
      <c r="H227" s="2">
        <f t="shared" si="12"/>
        <v>1</v>
      </c>
      <c r="I227" s="2">
        <f t="shared" si="13"/>
        <v>0.67786882869924914</v>
      </c>
      <c r="J227" s="2">
        <f t="shared" si="14"/>
        <v>-1.9434164716336324</v>
      </c>
      <c r="K227">
        <f t="shared" si="15"/>
        <v>4.3333333333333335E-2</v>
      </c>
    </row>
    <row r="228" spans="1:11" ht="13.9" x14ac:dyDescent="0.3">
      <c r="A228" s="2" t="s">
        <v>292</v>
      </c>
      <c r="B228" s="2">
        <v>0</v>
      </c>
      <c r="C228" s="2">
        <v>10.119999999999999</v>
      </c>
      <c r="D228" s="2">
        <v>11.67</v>
      </c>
      <c r="E228" s="2">
        <v>2.9</v>
      </c>
      <c r="F228" s="2">
        <v>5.77</v>
      </c>
      <c r="G228" s="2">
        <v>2.16</v>
      </c>
      <c r="H228" s="2">
        <f t="shared" si="12"/>
        <v>1.0086329535075798</v>
      </c>
      <c r="I228" s="2">
        <f t="shared" si="13"/>
        <v>0.39317318072703367</v>
      </c>
      <c r="J228" s="2">
        <f t="shared" si="14"/>
        <v>4.4455942913411821</v>
      </c>
      <c r="K228">
        <f t="shared" si="15"/>
        <v>3.61</v>
      </c>
    </row>
    <row r="229" spans="1:11" ht="13.9" x14ac:dyDescent="0.3">
      <c r="A229" s="2" t="s">
        <v>633</v>
      </c>
      <c r="B229" s="2">
        <v>0</v>
      </c>
      <c r="C229" s="2">
        <v>3.47</v>
      </c>
      <c r="D229" s="2">
        <v>0</v>
      </c>
      <c r="E229" s="2">
        <v>0.88</v>
      </c>
      <c r="F229" s="2">
        <v>0.22</v>
      </c>
      <c r="G229" s="2">
        <v>0.56999999999999995</v>
      </c>
      <c r="H229" s="2">
        <f t="shared" si="12"/>
        <v>1.0550875601042087</v>
      </c>
      <c r="I229" s="2">
        <f t="shared" si="13"/>
        <v>0.63573413955061953</v>
      </c>
      <c r="J229" s="2">
        <f t="shared" si="14"/>
        <v>1.7949356628035364</v>
      </c>
      <c r="K229">
        <f t="shared" si="15"/>
        <v>0.55666666666666664</v>
      </c>
    </row>
    <row r="230" spans="1:11" ht="13.9" x14ac:dyDescent="0.3">
      <c r="A230" s="2" t="s">
        <v>173</v>
      </c>
      <c r="B230" s="2">
        <v>195.6</v>
      </c>
      <c r="C230" s="2">
        <v>383.16</v>
      </c>
      <c r="D230" s="2">
        <v>278.77999999999997</v>
      </c>
      <c r="E230" s="2">
        <v>145.52000000000001</v>
      </c>
      <c r="F230" s="2">
        <v>141.82</v>
      </c>
      <c r="G230" s="2">
        <v>122.86</v>
      </c>
      <c r="H230" s="2">
        <f t="shared" si="12"/>
        <v>1.0638764756259622</v>
      </c>
      <c r="I230" s="2">
        <f t="shared" si="13"/>
        <v>5.2688702084236878E-2</v>
      </c>
      <c r="J230" s="2">
        <f t="shared" si="14"/>
        <v>9.7440601572184526</v>
      </c>
      <c r="K230">
        <f t="shared" si="15"/>
        <v>136.73333333333335</v>
      </c>
    </row>
    <row r="231" spans="1:11" ht="13.9" x14ac:dyDescent="0.3">
      <c r="A231" s="2" t="s">
        <v>560</v>
      </c>
      <c r="B231" s="2">
        <v>4.0599999999999996</v>
      </c>
      <c r="C231" s="2">
        <v>0</v>
      </c>
      <c r="D231" s="2">
        <v>0</v>
      </c>
      <c r="E231" s="2">
        <v>0.38</v>
      </c>
      <c r="F231" s="2">
        <v>1.1100000000000001</v>
      </c>
      <c r="G231" s="2">
        <v>0.45</v>
      </c>
      <c r="H231" s="2">
        <f t="shared" si="12"/>
        <v>1.0654230749980482</v>
      </c>
      <c r="I231" s="2">
        <f t="shared" si="13"/>
        <v>0.63394441214569874</v>
      </c>
      <c r="J231" s="2">
        <f t="shared" si="14"/>
        <v>2.0214797274104517</v>
      </c>
      <c r="K231">
        <f t="shared" si="15"/>
        <v>0.64666666666666672</v>
      </c>
    </row>
    <row r="232" spans="1:11" ht="13.9" x14ac:dyDescent="0.3">
      <c r="A232" s="2" t="s">
        <v>296</v>
      </c>
      <c r="B232" s="2">
        <v>731.25</v>
      </c>
      <c r="C232" s="2">
        <v>1529.48</v>
      </c>
      <c r="D232" s="2">
        <v>675.55</v>
      </c>
      <c r="E232" s="2">
        <v>459.46</v>
      </c>
      <c r="F232" s="2">
        <v>560.62</v>
      </c>
      <c r="G232" s="2">
        <v>377.1</v>
      </c>
      <c r="H232" s="2">
        <f t="shared" si="12"/>
        <v>1.0714716518753986</v>
      </c>
      <c r="I232" s="2">
        <f t="shared" si="13"/>
        <v>0.14180770459125874</v>
      </c>
      <c r="J232" s="2">
        <f t="shared" si="14"/>
        <v>11.519773833003475</v>
      </c>
      <c r="K232">
        <f t="shared" si="15"/>
        <v>465.72666666666663</v>
      </c>
    </row>
    <row r="233" spans="1:11" ht="13.9" x14ac:dyDescent="0.3">
      <c r="A233" s="2" t="s">
        <v>204</v>
      </c>
      <c r="B233" s="2">
        <v>16.260000000000002</v>
      </c>
      <c r="C233" s="2">
        <v>29.5</v>
      </c>
      <c r="D233" s="2">
        <v>61.2</v>
      </c>
      <c r="E233" s="2">
        <v>21.15</v>
      </c>
      <c r="F233" s="2">
        <v>9.1999999999999993</v>
      </c>
      <c r="G233" s="2">
        <v>20.420000000000002</v>
      </c>
      <c r="H233" s="2">
        <f t="shared" si="12"/>
        <v>1.0750232053637305</v>
      </c>
      <c r="I233" s="2">
        <f t="shared" si="13"/>
        <v>0.24859071706412406</v>
      </c>
      <c r="J233" s="2">
        <f t="shared" si="14"/>
        <v>6.7409275603186281</v>
      </c>
      <c r="K233">
        <f t="shared" si="15"/>
        <v>16.923333333333332</v>
      </c>
    </row>
    <row r="234" spans="1:11" ht="13.9" x14ac:dyDescent="0.3">
      <c r="A234" s="2" t="s">
        <v>88</v>
      </c>
      <c r="B234" s="2">
        <v>4.8499999999999996</v>
      </c>
      <c r="C234" s="2">
        <v>0</v>
      </c>
      <c r="D234" s="2">
        <v>8.82</v>
      </c>
      <c r="E234" s="2">
        <v>2.77</v>
      </c>
      <c r="F234" s="2">
        <v>2.5499999999999998</v>
      </c>
      <c r="G234" s="2">
        <v>1.02</v>
      </c>
      <c r="H234" s="2">
        <f t="shared" si="12"/>
        <v>1.1084584974666527</v>
      </c>
      <c r="I234" s="2">
        <f t="shared" si="13"/>
        <v>0.40204118748993639</v>
      </c>
      <c r="J234" s="2">
        <f t="shared" si="14"/>
        <v>3.7729413378313357</v>
      </c>
      <c r="K234">
        <f t="shared" si="15"/>
        <v>2.1133333333333333</v>
      </c>
    </row>
    <row r="235" spans="1:11" ht="13.9" x14ac:dyDescent="0.3">
      <c r="A235" s="2" t="s">
        <v>464</v>
      </c>
      <c r="B235" s="2">
        <v>0</v>
      </c>
      <c r="C235" s="2">
        <v>0.28999999999999998</v>
      </c>
      <c r="D235" s="2">
        <v>0</v>
      </c>
      <c r="E235" s="2">
        <v>0.13</v>
      </c>
      <c r="F235" s="2">
        <v>0</v>
      </c>
      <c r="G235" s="2">
        <v>0</v>
      </c>
      <c r="H235" s="2">
        <f t="shared" si="12"/>
        <v>1.1575412769864797</v>
      </c>
      <c r="I235" s="2">
        <f t="shared" si="13"/>
        <v>0.64110641558133286</v>
      </c>
      <c r="J235" s="2">
        <f t="shared" si="14"/>
        <v>-1.7858751946471527</v>
      </c>
      <c r="K235">
        <f t="shared" si="15"/>
        <v>4.3333333333333335E-2</v>
      </c>
    </row>
    <row r="236" spans="1:11" ht="13.9" x14ac:dyDescent="0.3">
      <c r="A236" s="2" t="s">
        <v>776</v>
      </c>
      <c r="B236" s="2">
        <v>26.74</v>
      </c>
      <c r="C236" s="2">
        <v>14.75</v>
      </c>
      <c r="D236" s="2">
        <v>0</v>
      </c>
      <c r="E236" s="2">
        <v>2.27</v>
      </c>
      <c r="F236" s="2">
        <v>12.64</v>
      </c>
      <c r="G236" s="2">
        <v>3.52</v>
      </c>
      <c r="H236" s="2">
        <f t="shared" si="12"/>
        <v>1.1707075862409371</v>
      </c>
      <c r="I236" s="2">
        <f t="shared" si="13"/>
        <v>0.41167869936054463</v>
      </c>
      <c r="J236" s="2">
        <f t="shared" si="14"/>
        <v>5.3746917520969255</v>
      </c>
      <c r="K236">
        <f t="shared" si="15"/>
        <v>6.1433333333333335</v>
      </c>
    </row>
    <row r="237" spans="1:11" ht="13.9" x14ac:dyDescent="0.3">
      <c r="A237" s="2" t="s">
        <v>465</v>
      </c>
      <c r="B237" s="2">
        <v>69.349999999999994</v>
      </c>
      <c r="C237" s="2">
        <v>0.28999999999999998</v>
      </c>
      <c r="D237" s="2">
        <v>51.09</v>
      </c>
      <c r="E237" s="2">
        <v>20.39</v>
      </c>
      <c r="F237" s="2">
        <v>17.739999999999998</v>
      </c>
      <c r="G237" s="2">
        <v>15.43</v>
      </c>
      <c r="H237" s="2">
        <f t="shared" si="12"/>
        <v>1.1725563477943561</v>
      </c>
      <c r="I237" s="2">
        <f t="shared" si="13"/>
        <v>0.34047113087817349</v>
      </c>
      <c r="J237" s="2">
        <f t="shared" si="14"/>
        <v>6.915640403343942</v>
      </c>
      <c r="K237">
        <f t="shared" si="15"/>
        <v>17.853333333333332</v>
      </c>
    </row>
    <row r="238" spans="1:11" ht="13.9" x14ac:dyDescent="0.3">
      <c r="A238" s="2" t="s">
        <v>226</v>
      </c>
      <c r="B238" s="2">
        <v>74.2</v>
      </c>
      <c r="C238" s="2">
        <v>154.71</v>
      </c>
      <c r="D238" s="2">
        <v>136.41</v>
      </c>
      <c r="E238" s="2">
        <v>50.23</v>
      </c>
      <c r="F238" s="2">
        <v>46.35</v>
      </c>
      <c r="G238" s="2">
        <v>64.67</v>
      </c>
      <c r="H238" s="2">
        <f t="shared" si="12"/>
        <v>1.1798615778642259</v>
      </c>
      <c r="I238" s="2">
        <f t="shared" si="13"/>
        <v>5.2909551889095081E-2</v>
      </c>
      <c r="J238" s="2">
        <f t="shared" si="14"/>
        <v>8.5130169281748422</v>
      </c>
      <c r="K238">
        <f t="shared" si="15"/>
        <v>53.75</v>
      </c>
    </row>
    <row r="239" spans="1:11" ht="13.9" x14ac:dyDescent="0.3">
      <c r="A239" s="2" t="s">
        <v>133</v>
      </c>
      <c r="B239" s="2">
        <v>12.06</v>
      </c>
      <c r="C239" s="2">
        <v>22.27</v>
      </c>
      <c r="D239" s="2">
        <v>4.67</v>
      </c>
      <c r="E239" s="2">
        <v>7.93</v>
      </c>
      <c r="F239" s="2">
        <v>6.65</v>
      </c>
      <c r="G239" s="2">
        <v>2.61</v>
      </c>
      <c r="H239" s="2">
        <f t="shared" si="12"/>
        <v>1.1819045791589118</v>
      </c>
      <c r="I239" s="2">
        <f t="shared" si="13"/>
        <v>0.24563451436141778</v>
      </c>
      <c r="J239" s="2">
        <f t="shared" si="14"/>
        <v>5.2854022188622487</v>
      </c>
      <c r="K239">
        <f t="shared" si="15"/>
        <v>5.73</v>
      </c>
    </row>
    <row r="240" spans="1:11" ht="13.9" x14ac:dyDescent="0.3">
      <c r="A240" s="2" t="s">
        <v>374</v>
      </c>
      <c r="B240" s="2">
        <v>0</v>
      </c>
      <c r="C240" s="2">
        <v>0</v>
      </c>
      <c r="D240" s="2">
        <v>23.6</v>
      </c>
      <c r="E240" s="2">
        <v>4.03</v>
      </c>
      <c r="F240" s="2">
        <v>1.66</v>
      </c>
      <c r="G240" s="2">
        <v>4.42</v>
      </c>
      <c r="H240" s="2">
        <f t="shared" si="12"/>
        <v>1.2230038623461892</v>
      </c>
      <c r="I240" s="2">
        <f t="shared" si="13"/>
        <v>0.60027355737712229</v>
      </c>
      <c r="J240" s="2">
        <f t="shared" si="14"/>
        <v>4.5607149544744789</v>
      </c>
      <c r="K240">
        <f t="shared" si="15"/>
        <v>3.3699999999999997</v>
      </c>
    </row>
    <row r="241" spans="1:11" ht="13.9" x14ac:dyDescent="0.3">
      <c r="A241" s="2" t="s">
        <v>476</v>
      </c>
      <c r="B241" s="2">
        <v>4.72</v>
      </c>
      <c r="C241" s="2">
        <v>16.48</v>
      </c>
      <c r="D241" s="2">
        <v>0</v>
      </c>
      <c r="E241" s="2">
        <v>0.38</v>
      </c>
      <c r="F241" s="2">
        <v>5.0999999999999996</v>
      </c>
      <c r="G241" s="2">
        <v>3.4</v>
      </c>
      <c r="H241" s="2">
        <f t="shared" si="12"/>
        <v>1.2554326831004556</v>
      </c>
      <c r="I241" s="2">
        <f t="shared" si="13"/>
        <v>0.46506155743296879</v>
      </c>
      <c r="J241" s="2">
        <f t="shared" si="14"/>
        <v>4.405992359675837</v>
      </c>
      <c r="K241">
        <f t="shared" si="15"/>
        <v>2.9599999999999995</v>
      </c>
    </row>
    <row r="242" spans="1:11" ht="13.9" x14ac:dyDescent="0.3">
      <c r="A242" s="2" t="s">
        <v>608</v>
      </c>
      <c r="B242" s="2">
        <v>4.9800000000000004</v>
      </c>
      <c r="C242" s="2">
        <v>0</v>
      </c>
      <c r="D242" s="2">
        <v>0</v>
      </c>
      <c r="E242" s="2">
        <v>1.26</v>
      </c>
      <c r="F242" s="2">
        <v>0.78</v>
      </c>
      <c r="G242" s="2">
        <v>0</v>
      </c>
      <c r="H242" s="2">
        <f t="shared" si="12"/>
        <v>1.2875765900965854</v>
      </c>
      <c r="I242" s="2">
        <f t="shared" si="13"/>
        <v>0.59520693768048039</v>
      </c>
      <c r="J242" s="2">
        <f t="shared" si="14"/>
        <v>2.3161457422933562</v>
      </c>
      <c r="K242">
        <f t="shared" si="15"/>
        <v>0.68</v>
      </c>
    </row>
    <row r="243" spans="1:11" ht="13.9" x14ac:dyDescent="0.3">
      <c r="A243" s="2" t="s">
        <v>628</v>
      </c>
      <c r="B243" s="2">
        <v>5.64</v>
      </c>
      <c r="C243" s="2">
        <v>0</v>
      </c>
      <c r="D243" s="2">
        <v>0</v>
      </c>
      <c r="E243" s="2">
        <v>0.5</v>
      </c>
      <c r="F243" s="2">
        <v>0.78</v>
      </c>
      <c r="G243" s="2">
        <v>1.02</v>
      </c>
      <c r="H243" s="2">
        <f t="shared" si="12"/>
        <v>1.2940613014544184</v>
      </c>
      <c r="I243" s="2">
        <f t="shared" si="13"/>
        <v>0.58671586200790871</v>
      </c>
      <c r="J243" s="2">
        <f t="shared" si="14"/>
        <v>2.4956951626240689</v>
      </c>
      <c r="K243">
        <f t="shared" si="15"/>
        <v>0.76666666666666661</v>
      </c>
    </row>
    <row r="244" spans="1:11" ht="13.9" x14ac:dyDescent="0.3">
      <c r="A244" s="2" t="s">
        <v>422</v>
      </c>
      <c r="B244" s="2">
        <v>10.09</v>
      </c>
      <c r="C244" s="2">
        <v>31.81</v>
      </c>
      <c r="D244" s="2">
        <v>14.78</v>
      </c>
      <c r="E244" s="2">
        <v>6.17</v>
      </c>
      <c r="F244" s="2">
        <v>11.42</v>
      </c>
      <c r="G244" s="2">
        <v>5.1100000000000003</v>
      </c>
      <c r="H244" s="2">
        <f t="shared" si="12"/>
        <v>1.3201474607397414</v>
      </c>
      <c r="I244" s="2">
        <f t="shared" si="13"/>
        <v>0.17509506228017518</v>
      </c>
      <c r="J244" s="2">
        <f t="shared" si="14"/>
        <v>5.8247678531432943</v>
      </c>
      <c r="K244">
        <f t="shared" si="15"/>
        <v>7.5666666666666664</v>
      </c>
    </row>
    <row r="245" spans="1:11" ht="13.9" x14ac:dyDescent="0.3">
      <c r="A245" s="2" t="s">
        <v>168</v>
      </c>
      <c r="B245" s="2">
        <v>7.34</v>
      </c>
      <c r="C245" s="2">
        <v>23.13</v>
      </c>
      <c r="D245" s="2">
        <v>35.53</v>
      </c>
      <c r="E245" s="2">
        <v>7.43</v>
      </c>
      <c r="F245" s="2">
        <v>10.31</v>
      </c>
      <c r="G245" s="2">
        <v>7.83</v>
      </c>
      <c r="H245" s="2">
        <f t="shared" si="12"/>
        <v>1.3680138638915293</v>
      </c>
      <c r="I245" s="2">
        <f t="shared" si="13"/>
        <v>0.17591186989064511</v>
      </c>
      <c r="J245" s="2">
        <f t="shared" si="14"/>
        <v>6.0443941193584534</v>
      </c>
      <c r="K245">
        <f t="shared" si="15"/>
        <v>8.5233333333333334</v>
      </c>
    </row>
    <row r="246" spans="1:11" ht="13.9" x14ac:dyDescent="0.3">
      <c r="A246" s="2" t="s">
        <v>207</v>
      </c>
      <c r="B246" s="2">
        <v>24.51</v>
      </c>
      <c r="C246" s="2">
        <v>0.28999999999999998</v>
      </c>
      <c r="D246" s="2">
        <v>52.12</v>
      </c>
      <c r="E246" s="2">
        <v>9.94</v>
      </c>
      <c r="F246" s="2">
        <v>9.65</v>
      </c>
      <c r="G246" s="2">
        <v>9.98</v>
      </c>
      <c r="H246" s="2">
        <f t="shared" si="12"/>
        <v>1.3792245192195731</v>
      </c>
      <c r="I246" s="2">
        <f t="shared" si="13"/>
        <v>0.35129163569391897</v>
      </c>
      <c r="J246" s="2">
        <f t="shared" si="14"/>
        <v>6.2652868575651723</v>
      </c>
      <c r="K246">
        <f t="shared" si="15"/>
        <v>9.8566666666666674</v>
      </c>
    </row>
    <row r="247" spans="1:11" ht="13.9" x14ac:dyDescent="0.3">
      <c r="A247" s="2" t="s">
        <v>24</v>
      </c>
      <c r="B247" s="2">
        <v>147.61000000000001</v>
      </c>
      <c r="C247" s="2">
        <v>150.37</v>
      </c>
      <c r="D247" s="2">
        <v>170.12</v>
      </c>
      <c r="E247" s="2">
        <v>57.78</v>
      </c>
      <c r="F247" s="2">
        <v>63.09</v>
      </c>
      <c r="G247" s="2">
        <v>56.5</v>
      </c>
      <c r="H247" s="2">
        <f t="shared" si="12"/>
        <v>1.4000547492735609</v>
      </c>
      <c r="I247" s="2">
        <f t="shared" si="13"/>
        <v>1.9316611737983609E-4</v>
      </c>
      <c r="J247" s="2">
        <f t="shared" si="14"/>
        <v>8.8706729548245917</v>
      </c>
      <c r="K247">
        <f t="shared" si="15"/>
        <v>59.123333333333335</v>
      </c>
    </row>
    <row r="248" spans="1:11" ht="13.9" x14ac:dyDescent="0.3">
      <c r="A248" s="2" t="s">
        <v>28</v>
      </c>
      <c r="B248" s="2">
        <v>214660.62</v>
      </c>
      <c r="C248" s="2">
        <v>151975.01999999999</v>
      </c>
      <c r="D248" s="2">
        <v>234067.7</v>
      </c>
      <c r="E248" s="2">
        <v>81530.460000000006</v>
      </c>
      <c r="F248" s="2">
        <v>70948.06</v>
      </c>
      <c r="G248" s="2">
        <v>71650.12</v>
      </c>
      <c r="H248" s="2">
        <f t="shared" si="12"/>
        <v>1.422325671863272</v>
      </c>
      <c r="I248" s="2">
        <f t="shared" si="13"/>
        <v>7.386475805737187E-3</v>
      </c>
      <c r="J248" s="2">
        <f t="shared" si="14"/>
        <v>19.196293159922703</v>
      </c>
      <c r="K248">
        <f t="shared" si="15"/>
        <v>74709.546666666676</v>
      </c>
    </row>
    <row r="249" spans="1:11" ht="13.9" x14ac:dyDescent="0.3">
      <c r="A249" s="2" t="s">
        <v>398</v>
      </c>
      <c r="B249" s="2">
        <v>0</v>
      </c>
      <c r="C249" s="2">
        <v>0</v>
      </c>
      <c r="D249" s="2">
        <v>7.26</v>
      </c>
      <c r="E249" s="2">
        <v>1.01</v>
      </c>
      <c r="F249" s="2">
        <v>1.66</v>
      </c>
      <c r="G249" s="2">
        <v>0</v>
      </c>
      <c r="H249" s="2">
        <f t="shared" si="12"/>
        <v>1.443129806308197</v>
      </c>
      <c r="I249" s="2">
        <f t="shared" si="13"/>
        <v>0.56882844746197914</v>
      </c>
      <c r="J249" s="2">
        <f t="shared" si="14"/>
        <v>2.8599695482210259</v>
      </c>
      <c r="K249">
        <f t="shared" si="15"/>
        <v>0.89</v>
      </c>
    </row>
    <row r="250" spans="1:11" ht="13.9" x14ac:dyDescent="0.3">
      <c r="A250" s="2" t="s">
        <v>400</v>
      </c>
      <c r="B250" s="2">
        <v>0</v>
      </c>
      <c r="C250" s="2">
        <v>0</v>
      </c>
      <c r="D250" s="2">
        <v>7.26</v>
      </c>
      <c r="E250" s="2">
        <v>1.01</v>
      </c>
      <c r="F250" s="2">
        <v>1.66</v>
      </c>
      <c r="G250" s="2">
        <v>0</v>
      </c>
      <c r="H250" s="2">
        <f t="shared" si="12"/>
        <v>1.443129806308197</v>
      </c>
      <c r="I250" s="2">
        <f t="shared" si="13"/>
        <v>0.56882844746197914</v>
      </c>
      <c r="J250" s="2">
        <f t="shared" si="14"/>
        <v>2.8599695482210259</v>
      </c>
      <c r="K250">
        <f t="shared" si="15"/>
        <v>0.89</v>
      </c>
    </row>
    <row r="251" spans="1:11" ht="13.9" x14ac:dyDescent="0.3">
      <c r="A251" s="2" t="s">
        <v>421</v>
      </c>
      <c r="B251" s="2">
        <v>3.8</v>
      </c>
      <c r="C251" s="2">
        <v>0</v>
      </c>
      <c r="D251" s="2">
        <v>0</v>
      </c>
      <c r="E251" s="2">
        <v>0.38</v>
      </c>
      <c r="F251" s="2">
        <v>0.44</v>
      </c>
      <c r="G251" s="2">
        <v>0.56999999999999995</v>
      </c>
      <c r="H251" s="2">
        <f t="shared" si="12"/>
        <v>1.45091453560744</v>
      </c>
      <c r="I251" s="2">
        <f t="shared" si="13"/>
        <v>0.56076788015357304</v>
      </c>
      <c r="J251" s="2">
        <f t="shared" si="14"/>
        <v>1.925999418556223</v>
      </c>
      <c r="K251">
        <f t="shared" si="15"/>
        <v>0.46333333333333337</v>
      </c>
    </row>
    <row r="252" spans="1:11" ht="13.9" x14ac:dyDescent="0.3">
      <c r="A252" s="2" t="s">
        <v>152</v>
      </c>
      <c r="B252" s="2">
        <v>0</v>
      </c>
      <c r="C252" s="2">
        <v>3.76</v>
      </c>
      <c r="D252" s="2">
        <v>0</v>
      </c>
      <c r="E252" s="2">
        <v>0</v>
      </c>
      <c r="F252" s="2">
        <v>1</v>
      </c>
      <c r="G252" s="2">
        <v>0.34</v>
      </c>
      <c r="H252" s="2">
        <f t="shared" si="12"/>
        <v>1.4884996612198649</v>
      </c>
      <c r="I252" s="2">
        <f t="shared" si="13"/>
        <v>0.56487200418789607</v>
      </c>
      <c r="J252" s="2">
        <f t="shared" si="14"/>
        <v>1.9107326619029126</v>
      </c>
      <c r="K252">
        <f t="shared" si="15"/>
        <v>0.44666666666666671</v>
      </c>
    </row>
    <row r="253" spans="1:11" ht="13.9" x14ac:dyDescent="0.3">
      <c r="A253" s="2" t="s">
        <v>70</v>
      </c>
      <c r="B253" s="2">
        <v>9.57</v>
      </c>
      <c r="C253" s="2">
        <v>0</v>
      </c>
      <c r="D253" s="2">
        <v>0</v>
      </c>
      <c r="E253" s="2">
        <v>1.38</v>
      </c>
      <c r="F253" s="2">
        <v>2</v>
      </c>
      <c r="G253" s="2">
        <v>0</v>
      </c>
      <c r="H253" s="2">
        <f t="shared" si="12"/>
        <v>1.5014956782038413</v>
      </c>
      <c r="I253" s="2">
        <f t="shared" si="13"/>
        <v>0.55935342233215279</v>
      </c>
      <c r="J253" s="2">
        <f t="shared" si="14"/>
        <v>3.2585189247113013</v>
      </c>
      <c r="K253">
        <f t="shared" si="15"/>
        <v>1.1266666666666667</v>
      </c>
    </row>
    <row r="254" spans="1:11" ht="13.9" x14ac:dyDescent="0.3">
      <c r="A254" s="2" t="s">
        <v>264</v>
      </c>
      <c r="B254" s="2">
        <v>4.72</v>
      </c>
      <c r="C254" s="2">
        <v>21.98</v>
      </c>
      <c r="D254" s="2">
        <v>0</v>
      </c>
      <c r="E254" s="2">
        <v>1.89</v>
      </c>
      <c r="F254" s="2">
        <v>6.43</v>
      </c>
      <c r="G254" s="2">
        <v>1.02</v>
      </c>
      <c r="H254" s="2">
        <f t="shared" si="12"/>
        <v>1.5153452868652542</v>
      </c>
      <c r="I254" s="2">
        <f t="shared" si="13"/>
        <v>0.44811522562961581</v>
      </c>
      <c r="J254" s="2">
        <f t="shared" si="14"/>
        <v>4.738767836800192</v>
      </c>
      <c r="K254">
        <f t="shared" si="15"/>
        <v>3.1133333333333333</v>
      </c>
    </row>
    <row r="255" spans="1:11" ht="13.9" x14ac:dyDescent="0.3">
      <c r="A255" s="2" t="s">
        <v>779</v>
      </c>
      <c r="B255" s="2">
        <v>31.07</v>
      </c>
      <c r="C255" s="2">
        <v>0</v>
      </c>
      <c r="D255" s="2">
        <v>5.71</v>
      </c>
      <c r="E255" s="2">
        <v>1.64</v>
      </c>
      <c r="F255" s="2">
        <v>3.44</v>
      </c>
      <c r="G255" s="2">
        <v>7.37</v>
      </c>
      <c r="H255" s="2">
        <f t="shared" si="12"/>
        <v>1.5627757374564946</v>
      </c>
      <c r="I255" s="2">
        <f t="shared" si="13"/>
        <v>0.45001795662234856</v>
      </c>
      <c r="J255" s="2">
        <f t="shared" si="14"/>
        <v>5.2008495746372132</v>
      </c>
      <c r="K255">
        <f t="shared" si="15"/>
        <v>4.1499999999999995</v>
      </c>
    </row>
    <row r="256" spans="1:11" ht="13.9" x14ac:dyDescent="0.3">
      <c r="A256" s="2" t="s">
        <v>20</v>
      </c>
      <c r="B256" s="2">
        <v>75351.350000000006</v>
      </c>
      <c r="C256" s="2">
        <v>74818.929999999993</v>
      </c>
      <c r="D256" s="2">
        <v>80016.44</v>
      </c>
      <c r="E256" s="2">
        <v>24363.23</v>
      </c>
      <c r="F256" s="2">
        <v>31575.95</v>
      </c>
      <c r="G256" s="2">
        <v>20276.96</v>
      </c>
      <c r="H256" s="2">
        <f t="shared" si="12"/>
        <v>1.5946361542973451</v>
      </c>
      <c r="I256" s="2">
        <f t="shared" si="13"/>
        <v>1.5538908316059833E-4</v>
      </c>
      <c r="J256" s="2">
        <f t="shared" si="14"/>
        <v>17.812445077920874</v>
      </c>
      <c r="K256">
        <f t="shared" si="15"/>
        <v>25405.38</v>
      </c>
    </row>
    <row r="257" spans="1:11" ht="13.9" x14ac:dyDescent="0.3">
      <c r="A257" s="2" t="s">
        <v>638</v>
      </c>
      <c r="B257" s="2">
        <v>11.93</v>
      </c>
      <c r="C257" s="2">
        <v>2.6</v>
      </c>
      <c r="D257" s="2">
        <v>1.3</v>
      </c>
      <c r="E257" s="2">
        <v>3.4</v>
      </c>
      <c r="F257" s="2">
        <v>1</v>
      </c>
      <c r="G257" s="2">
        <v>0.68</v>
      </c>
      <c r="H257" s="2">
        <f t="shared" si="12"/>
        <v>1.6397608533650154</v>
      </c>
      <c r="I257" s="2">
        <f t="shared" si="13"/>
        <v>0.35837850953244221</v>
      </c>
      <c r="J257" s="2">
        <f t="shared" si="14"/>
        <v>3.9845893503624565</v>
      </c>
      <c r="K257">
        <f t="shared" si="15"/>
        <v>1.6933333333333334</v>
      </c>
    </row>
    <row r="258" spans="1:11" ht="13.9" x14ac:dyDescent="0.3">
      <c r="A258" s="2" t="s">
        <v>894</v>
      </c>
      <c r="B258" s="2">
        <v>3.8</v>
      </c>
      <c r="C258" s="2">
        <v>0</v>
      </c>
      <c r="D258" s="2">
        <v>5.19</v>
      </c>
      <c r="E258" s="2">
        <v>1.38</v>
      </c>
      <c r="F258" s="2">
        <v>1.1100000000000001</v>
      </c>
      <c r="G258" s="2">
        <v>0.34</v>
      </c>
      <c r="H258" s="2">
        <f t="shared" ref="H258:H321" si="16">LOG(SUM(B258:D258)/SUM(E258:G258),2)</f>
        <v>1.6675190626825651</v>
      </c>
      <c r="I258" s="2">
        <f t="shared" ref="I258:I321" si="17">_xlfn.T.TEST(B258:D258,E258:G258,2,2)</f>
        <v>0.26412352055772292</v>
      </c>
      <c r="J258" s="2">
        <f t="shared" ref="J258:J321" si="18">LOG(SUM(B258:D258),2)</f>
        <v>3.1683211157397229</v>
      </c>
      <c r="K258">
        <f t="shared" ref="K258:K321" si="19">AVERAGE(E258:G258)</f>
        <v>0.94333333333333336</v>
      </c>
    </row>
    <row r="259" spans="1:11" ht="13.9" x14ac:dyDescent="0.3">
      <c r="A259" s="2" t="s">
        <v>217</v>
      </c>
      <c r="B259" s="2">
        <v>57.03</v>
      </c>
      <c r="C259" s="2">
        <v>118.28</v>
      </c>
      <c r="D259" s="2">
        <v>94.65</v>
      </c>
      <c r="E259" s="2">
        <v>23.67</v>
      </c>
      <c r="F259" s="2">
        <v>26.06</v>
      </c>
      <c r="G259" s="2">
        <v>32.450000000000003</v>
      </c>
      <c r="H259" s="2">
        <f t="shared" si="16"/>
        <v>1.715886423225641</v>
      </c>
      <c r="I259" s="2">
        <f t="shared" si="17"/>
        <v>2.5527826185763675E-2</v>
      </c>
      <c r="J259" s="2">
        <f t="shared" si="18"/>
        <v>8.0766018486185729</v>
      </c>
      <c r="K259">
        <f t="shared" si="19"/>
        <v>27.393333333333334</v>
      </c>
    </row>
    <row r="260" spans="1:11" ht="13.9" x14ac:dyDescent="0.3">
      <c r="A260" s="2" t="s">
        <v>784</v>
      </c>
      <c r="B260" s="2">
        <v>0</v>
      </c>
      <c r="C260" s="2">
        <v>22.85</v>
      </c>
      <c r="D260" s="2">
        <v>0</v>
      </c>
      <c r="E260" s="2">
        <v>3.65</v>
      </c>
      <c r="F260" s="2">
        <v>1.44</v>
      </c>
      <c r="G260" s="2">
        <v>1.82</v>
      </c>
      <c r="H260" s="2">
        <f t="shared" si="16"/>
        <v>1.7254365495571735</v>
      </c>
      <c r="I260" s="2">
        <f t="shared" si="17"/>
        <v>0.52542103604518053</v>
      </c>
      <c r="J260" s="2">
        <f t="shared" si="18"/>
        <v>4.5141222601707076</v>
      </c>
      <c r="K260">
        <f t="shared" si="19"/>
        <v>2.3033333333333332</v>
      </c>
    </row>
    <row r="261" spans="1:11" ht="13.9" x14ac:dyDescent="0.3">
      <c r="A261" s="2" t="s">
        <v>927</v>
      </c>
      <c r="B261" s="2">
        <v>2.1</v>
      </c>
      <c r="C261" s="2">
        <v>0</v>
      </c>
      <c r="D261" s="2">
        <v>7</v>
      </c>
      <c r="E261" s="2">
        <v>1.01</v>
      </c>
      <c r="F261" s="2">
        <v>0.44</v>
      </c>
      <c r="G261" s="2">
        <v>1.25</v>
      </c>
      <c r="H261" s="2">
        <f t="shared" si="16"/>
        <v>1.7529071380352277</v>
      </c>
      <c r="I261" s="2">
        <f t="shared" si="17"/>
        <v>0.36463470081800076</v>
      </c>
      <c r="J261" s="2">
        <f t="shared" si="18"/>
        <v>3.1858665453113337</v>
      </c>
      <c r="K261">
        <f t="shared" si="19"/>
        <v>0.9</v>
      </c>
    </row>
    <row r="262" spans="1:11" ht="13.9" x14ac:dyDescent="0.3">
      <c r="A262" s="2" t="s">
        <v>257</v>
      </c>
      <c r="B262" s="2">
        <v>4.33</v>
      </c>
      <c r="C262" s="2">
        <v>18.22</v>
      </c>
      <c r="D262" s="2">
        <v>0</v>
      </c>
      <c r="E262" s="2">
        <v>0.5</v>
      </c>
      <c r="F262" s="2">
        <v>2.2200000000000002</v>
      </c>
      <c r="G262" s="2">
        <v>3.97</v>
      </c>
      <c r="H262" s="2">
        <f t="shared" si="16"/>
        <v>1.753049317501282</v>
      </c>
      <c r="I262" s="2">
        <f t="shared" si="17"/>
        <v>0.39754656876458688</v>
      </c>
      <c r="J262" s="2">
        <f t="shared" si="18"/>
        <v>4.4950555283680185</v>
      </c>
      <c r="K262">
        <f t="shared" si="19"/>
        <v>2.23</v>
      </c>
    </row>
    <row r="263" spans="1:11" ht="13.9" x14ac:dyDescent="0.3">
      <c r="A263" s="2" t="s">
        <v>246</v>
      </c>
      <c r="B263" s="2">
        <v>1963.43</v>
      </c>
      <c r="C263" s="2">
        <v>3034.09</v>
      </c>
      <c r="D263" s="2">
        <v>3363.98</v>
      </c>
      <c r="E263" s="2">
        <v>786.49</v>
      </c>
      <c r="F263" s="2">
        <v>915.45</v>
      </c>
      <c r="G263" s="2">
        <v>608.65</v>
      </c>
      <c r="H263" s="2">
        <f t="shared" si="16"/>
        <v>1.8555004907079764</v>
      </c>
      <c r="I263" s="2">
        <f t="shared" si="17"/>
        <v>9.5252105945783684E-3</v>
      </c>
      <c r="J263" s="2">
        <f t="shared" si="18"/>
        <v>13.029546060513937</v>
      </c>
      <c r="K263">
        <f t="shared" si="19"/>
        <v>770.19666666666672</v>
      </c>
    </row>
    <row r="264" spans="1:11" ht="13.9" x14ac:dyDescent="0.3">
      <c r="A264" s="2" t="s">
        <v>603</v>
      </c>
      <c r="B264" s="2">
        <v>101.34</v>
      </c>
      <c r="C264" s="2">
        <v>106.71</v>
      </c>
      <c r="D264" s="2">
        <v>93.62</v>
      </c>
      <c r="E264" s="2">
        <v>34.99</v>
      </c>
      <c r="F264" s="2">
        <v>25.95</v>
      </c>
      <c r="G264" s="2">
        <v>20.87</v>
      </c>
      <c r="H264" s="2">
        <f t="shared" si="16"/>
        <v>1.882622126681311</v>
      </c>
      <c r="I264" s="2">
        <f t="shared" si="17"/>
        <v>1.9833876481801515E-4</v>
      </c>
      <c r="J264" s="2">
        <f t="shared" si="18"/>
        <v>8.2368274225430067</v>
      </c>
      <c r="K264">
        <f t="shared" si="19"/>
        <v>27.27</v>
      </c>
    </row>
    <row r="265" spans="1:11" ht="13.9" x14ac:dyDescent="0.3">
      <c r="A265" s="2" t="s">
        <v>372</v>
      </c>
      <c r="B265" s="2">
        <v>0</v>
      </c>
      <c r="C265" s="2">
        <v>0</v>
      </c>
      <c r="D265" s="2">
        <v>24.12</v>
      </c>
      <c r="E265" s="2">
        <v>0.38</v>
      </c>
      <c r="F265" s="2">
        <v>2</v>
      </c>
      <c r="G265" s="2">
        <v>4.08</v>
      </c>
      <c r="H265" s="2">
        <f t="shared" si="16"/>
        <v>1.9006238372061601</v>
      </c>
      <c r="I265" s="2">
        <f t="shared" si="17"/>
        <v>0.50817155935332814</v>
      </c>
      <c r="J265" s="2">
        <f t="shared" si="18"/>
        <v>4.5921580021253607</v>
      </c>
      <c r="K265">
        <f t="shared" si="19"/>
        <v>2.1533333333333333</v>
      </c>
    </row>
    <row r="266" spans="1:11" ht="13.9" x14ac:dyDescent="0.3">
      <c r="A266" s="2" t="s">
        <v>516</v>
      </c>
      <c r="B266" s="2">
        <v>7.6</v>
      </c>
      <c r="C266" s="2">
        <v>3.47</v>
      </c>
      <c r="D266" s="2">
        <v>0.52</v>
      </c>
      <c r="E266" s="2">
        <v>0.76</v>
      </c>
      <c r="F266" s="2">
        <v>0.33</v>
      </c>
      <c r="G266" s="2">
        <v>1.93</v>
      </c>
      <c r="H266" s="2">
        <f t="shared" si="16"/>
        <v>1.9402601116813927</v>
      </c>
      <c r="I266" s="2">
        <f t="shared" si="17"/>
        <v>0.24687682142932413</v>
      </c>
      <c r="J266" s="2">
        <f t="shared" si="18"/>
        <v>3.5348086612317471</v>
      </c>
      <c r="K266">
        <f t="shared" si="19"/>
        <v>1.0066666666666666</v>
      </c>
    </row>
    <row r="267" spans="1:11" ht="13.9" x14ac:dyDescent="0.3">
      <c r="A267" s="2" t="s">
        <v>386</v>
      </c>
      <c r="B267" s="2">
        <v>1.57</v>
      </c>
      <c r="C267" s="2">
        <v>21.11</v>
      </c>
      <c r="D267" s="2">
        <v>13.74</v>
      </c>
      <c r="E267" s="2">
        <v>1.76</v>
      </c>
      <c r="F267" s="2">
        <v>4.66</v>
      </c>
      <c r="G267" s="2">
        <v>2.61</v>
      </c>
      <c r="H267" s="2">
        <f t="shared" si="16"/>
        <v>2.0119330294959803</v>
      </c>
      <c r="I267" s="2">
        <f t="shared" si="17"/>
        <v>0.18824049316975808</v>
      </c>
      <c r="J267" s="2">
        <f t="shared" si="18"/>
        <v>5.1866590172021141</v>
      </c>
      <c r="K267">
        <f t="shared" si="19"/>
        <v>3.01</v>
      </c>
    </row>
    <row r="268" spans="1:11" ht="13.9" x14ac:dyDescent="0.3">
      <c r="A268" s="2" t="s">
        <v>156</v>
      </c>
      <c r="B268" s="2">
        <v>3179.48</v>
      </c>
      <c r="C268" s="2">
        <v>8459.41</v>
      </c>
      <c r="D268" s="2">
        <v>2419.5100000000002</v>
      </c>
      <c r="E268" s="2">
        <v>1159.3399999999999</v>
      </c>
      <c r="F268" s="2">
        <v>1439.81</v>
      </c>
      <c r="G268" s="2">
        <v>788.58</v>
      </c>
      <c r="H268" s="2">
        <f t="shared" si="16"/>
        <v>2.0530416067897694</v>
      </c>
      <c r="I268" s="2">
        <f t="shared" si="17"/>
        <v>0.13584532654305193</v>
      </c>
      <c r="J268" s="2">
        <f t="shared" si="18"/>
        <v>13.779144788795172</v>
      </c>
      <c r="K268">
        <f t="shared" si="19"/>
        <v>1129.2433333333331</v>
      </c>
    </row>
    <row r="269" spans="1:11" ht="13.9" x14ac:dyDescent="0.3">
      <c r="A269" s="2" t="s">
        <v>750</v>
      </c>
      <c r="B269" s="2">
        <v>4.9800000000000004</v>
      </c>
      <c r="C269" s="2">
        <v>0</v>
      </c>
      <c r="D269" s="2">
        <v>0</v>
      </c>
      <c r="E269" s="2">
        <v>1.1299999999999999</v>
      </c>
      <c r="F269" s="2">
        <v>0</v>
      </c>
      <c r="G269" s="2">
        <v>0</v>
      </c>
      <c r="H269" s="2">
        <f t="shared" si="16"/>
        <v>2.1398229696528936</v>
      </c>
      <c r="I269" s="2">
        <f t="shared" si="17"/>
        <v>0.49284308790885684</v>
      </c>
      <c r="J269" s="2">
        <f t="shared" si="18"/>
        <v>2.3161457422933562</v>
      </c>
      <c r="K269">
        <f t="shared" si="19"/>
        <v>0.37666666666666665</v>
      </c>
    </row>
    <row r="270" spans="1:11" ht="13.9" x14ac:dyDescent="0.3">
      <c r="A270" s="2" t="s">
        <v>380</v>
      </c>
      <c r="B270" s="2">
        <v>241.74</v>
      </c>
      <c r="C270" s="2">
        <v>978.3</v>
      </c>
      <c r="D270" s="2">
        <v>71.83</v>
      </c>
      <c r="E270" s="2">
        <v>81.95</v>
      </c>
      <c r="F270" s="2">
        <v>133.61000000000001</v>
      </c>
      <c r="G270" s="2">
        <v>77.37</v>
      </c>
      <c r="H270" s="2">
        <f t="shared" si="16"/>
        <v>2.1408330425034539</v>
      </c>
      <c r="I270" s="2">
        <f t="shared" si="17"/>
        <v>0.29829829693674442</v>
      </c>
      <c r="J270" s="2">
        <f t="shared" si="18"/>
        <v>10.335245184576641</v>
      </c>
      <c r="K270">
        <f t="shared" si="19"/>
        <v>97.643333333333331</v>
      </c>
    </row>
    <row r="271" spans="1:11" ht="13.9" x14ac:dyDescent="0.3">
      <c r="A271" s="2" t="s">
        <v>293</v>
      </c>
      <c r="B271" s="2">
        <v>163.47999999999999</v>
      </c>
      <c r="C271" s="2">
        <v>141.99</v>
      </c>
      <c r="D271" s="2">
        <v>109.7</v>
      </c>
      <c r="E271" s="2">
        <v>30.97</v>
      </c>
      <c r="F271" s="2">
        <v>35.369999999999997</v>
      </c>
      <c r="G271" s="2">
        <v>23.14</v>
      </c>
      <c r="H271" s="2">
        <f t="shared" si="16"/>
        <v>2.2140650374488495</v>
      </c>
      <c r="I271" s="2">
        <f t="shared" si="17"/>
        <v>2.4821193527712676E-3</v>
      </c>
      <c r="J271" s="2">
        <f t="shared" si="18"/>
        <v>8.6975583887332437</v>
      </c>
      <c r="K271">
        <f t="shared" si="19"/>
        <v>29.826666666666668</v>
      </c>
    </row>
    <row r="272" spans="1:11" ht="13.9" x14ac:dyDescent="0.3">
      <c r="A272" s="2" t="s">
        <v>31</v>
      </c>
      <c r="B272" s="2">
        <v>3.02</v>
      </c>
      <c r="C272" s="2">
        <v>4.34</v>
      </c>
      <c r="D272" s="2">
        <v>0</v>
      </c>
      <c r="E272" s="2">
        <v>1.1299999999999999</v>
      </c>
      <c r="F272" s="2">
        <v>0.22</v>
      </c>
      <c r="G272" s="2">
        <v>0.23</v>
      </c>
      <c r="H272" s="2">
        <f t="shared" si="16"/>
        <v>2.21978120787991</v>
      </c>
      <c r="I272" s="2">
        <f t="shared" si="17"/>
        <v>0.21801402460217259</v>
      </c>
      <c r="J272" s="2">
        <f t="shared" si="18"/>
        <v>2.8797057662822882</v>
      </c>
      <c r="K272">
        <f t="shared" si="19"/>
        <v>0.52666666666666662</v>
      </c>
    </row>
    <row r="273" spans="1:11" ht="13.9" x14ac:dyDescent="0.3">
      <c r="A273" s="2" t="s">
        <v>210</v>
      </c>
      <c r="B273" s="2">
        <v>90.85</v>
      </c>
      <c r="C273" s="2">
        <v>360.32</v>
      </c>
      <c r="D273" s="2">
        <v>139.26</v>
      </c>
      <c r="E273" s="2">
        <v>50.6</v>
      </c>
      <c r="F273" s="2">
        <v>39.36</v>
      </c>
      <c r="G273" s="2">
        <v>33.47</v>
      </c>
      <c r="H273" s="2">
        <f t="shared" si="16"/>
        <v>2.2580729391169432</v>
      </c>
      <c r="I273" s="2">
        <f t="shared" si="17"/>
        <v>0.13430101108771386</v>
      </c>
      <c r="J273" s="2">
        <f t="shared" si="18"/>
        <v>9.2056222169854465</v>
      </c>
      <c r="K273">
        <f t="shared" si="19"/>
        <v>41.143333333333338</v>
      </c>
    </row>
    <row r="274" spans="1:11" ht="13.9" x14ac:dyDescent="0.3">
      <c r="A274" s="2" t="s">
        <v>723</v>
      </c>
      <c r="B274" s="2">
        <v>0</v>
      </c>
      <c r="C274" s="2">
        <v>0</v>
      </c>
      <c r="D274" s="2">
        <v>14.78</v>
      </c>
      <c r="E274" s="2">
        <v>1.26</v>
      </c>
      <c r="F274" s="2">
        <v>1.22</v>
      </c>
      <c r="G274" s="2">
        <v>0.56999999999999995</v>
      </c>
      <c r="H274" s="2">
        <f t="shared" si="16"/>
        <v>2.2767651216959024</v>
      </c>
      <c r="I274" s="2">
        <f t="shared" si="17"/>
        <v>0.47225241240358101</v>
      </c>
      <c r="J274" s="2">
        <f t="shared" si="18"/>
        <v>3.885574364371426</v>
      </c>
      <c r="K274">
        <f t="shared" si="19"/>
        <v>1.0166666666666666</v>
      </c>
    </row>
    <row r="275" spans="1:11" ht="13.9" x14ac:dyDescent="0.3">
      <c r="A275" s="2" t="s">
        <v>177</v>
      </c>
      <c r="B275" s="2">
        <v>0</v>
      </c>
      <c r="C275" s="2">
        <v>4.63</v>
      </c>
      <c r="D275" s="2">
        <v>0</v>
      </c>
      <c r="E275" s="2">
        <v>0.38</v>
      </c>
      <c r="F275" s="2">
        <v>0.55000000000000004</v>
      </c>
      <c r="G275" s="2">
        <v>0</v>
      </c>
      <c r="H275" s="2">
        <f t="shared" si="16"/>
        <v>2.3157095721522047</v>
      </c>
      <c r="I275" s="2">
        <f t="shared" si="17"/>
        <v>0.47125624754369622</v>
      </c>
      <c r="J275" s="2">
        <f t="shared" si="18"/>
        <v>2.2110121934855118</v>
      </c>
      <c r="K275">
        <f t="shared" si="19"/>
        <v>0.31</v>
      </c>
    </row>
    <row r="276" spans="1:11" ht="13.9" x14ac:dyDescent="0.3">
      <c r="A276" s="2" t="s">
        <v>509</v>
      </c>
      <c r="B276" s="2">
        <v>0</v>
      </c>
      <c r="C276" s="2">
        <v>15.9</v>
      </c>
      <c r="D276" s="2">
        <v>0</v>
      </c>
      <c r="E276" s="2">
        <v>1.38</v>
      </c>
      <c r="F276" s="2">
        <v>1.77</v>
      </c>
      <c r="G276" s="2">
        <v>0</v>
      </c>
      <c r="H276" s="2">
        <f t="shared" si="16"/>
        <v>2.335603031784439</v>
      </c>
      <c r="I276" s="2">
        <f t="shared" si="17"/>
        <v>0.46966510169923892</v>
      </c>
      <c r="J276" s="2">
        <f t="shared" si="18"/>
        <v>3.9909548603969935</v>
      </c>
      <c r="K276">
        <f t="shared" si="19"/>
        <v>1.05</v>
      </c>
    </row>
    <row r="277" spans="1:11" ht="13.9" x14ac:dyDescent="0.3">
      <c r="A277" s="2" t="s">
        <v>142</v>
      </c>
      <c r="B277" s="2">
        <v>31.07</v>
      </c>
      <c r="C277" s="2">
        <v>32.68</v>
      </c>
      <c r="D277" s="2">
        <v>19.190000000000001</v>
      </c>
      <c r="E277" s="2">
        <v>7.43</v>
      </c>
      <c r="F277" s="2">
        <v>2.33</v>
      </c>
      <c r="G277" s="2">
        <v>6.47</v>
      </c>
      <c r="H277" s="2">
        <f t="shared" si="16"/>
        <v>2.3534050473579899</v>
      </c>
      <c r="I277" s="2">
        <f t="shared" si="17"/>
        <v>8.0088845136886619E-3</v>
      </c>
      <c r="J277" s="2">
        <f t="shared" si="18"/>
        <v>6.3739961421312366</v>
      </c>
      <c r="K277">
        <f t="shared" si="19"/>
        <v>5.41</v>
      </c>
    </row>
    <row r="278" spans="1:11" ht="13.9" x14ac:dyDescent="0.3">
      <c r="A278" s="2" t="s">
        <v>229</v>
      </c>
      <c r="B278" s="2">
        <v>3.54</v>
      </c>
      <c r="C278" s="2">
        <v>0</v>
      </c>
      <c r="D278" s="2">
        <v>0</v>
      </c>
      <c r="E278" s="2">
        <v>0.13</v>
      </c>
      <c r="F278" s="2">
        <v>0.44</v>
      </c>
      <c r="G278" s="2">
        <v>0.11</v>
      </c>
      <c r="H278" s="2">
        <f t="shared" si="16"/>
        <v>2.3801427088326581</v>
      </c>
      <c r="I278" s="2">
        <f t="shared" si="17"/>
        <v>0.4661413798332511</v>
      </c>
      <c r="J278" s="2">
        <f t="shared" si="18"/>
        <v>1.8237493603082728</v>
      </c>
      <c r="K278">
        <f t="shared" si="19"/>
        <v>0.22666666666666668</v>
      </c>
    </row>
    <row r="279" spans="1:11" ht="13.9" x14ac:dyDescent="0.3">
      <c r="A279" s="2" t="s">
        <v>377</v>
      </c>
      <c r="B279" s="2">
        <v>21.37</v>
      </c>
      <c r="C279" s="2">
        <v>19.09</v>
      </c>
      <c r="D279" s="2">
        <v>12.45</v>
      </c>
      <c r="E279" s="2">
        <v>2.9</v>
      </c>
      <c r="F279" s="2">
        <v>6.1</v>
      </c>
      <c r="G279" s="2">
        <v>1.1299999999999999</v>
      </c>
      <c r="H279" s="2">
        <f t="shared" si="16"/>
        <v>2.3849062436062014</v>
      </c>
      <c r="I279" s="2">
        <f t="shared" si="17"/>
        <v>9.4291688613752228E-3</v>
      </c>
      <c r="J279" s="2">
        <f t="shared" si="18"/>
        <v>5.7254685126326148</v>
      </c>
      <c r="K279">
        <f t="shared" si="19"/>
        <v>3.3766666666666665</v>
      </c>
    </row>
    <row r="280" spans="1:11" ht="13.9" x14ac:dyDescent="0.3">
      <c r="A280" s="2" t="s">
        <v>22</v>
      </c>
      <c r="B280" s="2">
        <v>1758.66</v>
      </c>
      <c r="C280" s="2">
        <v>1466.44</v>
      </c>
      <c r="D280" s="2">
        <v>1752.27</v>
      </c>
      <c r="E280" s="2">
        <v>301.23</v>
      </c>
      <c r="F280" s="2">
        <v>383.88</v>
      </c>
      <c r="G280" s="2">
        <v>243.12</v>
      </c>
      <c r="H280" s="2">
        <f t="shared" si="16"/>
        <v>2.4228294051581076</v>
      </c>
      <c r="I280" s="2">
        <f t="shared" si="17"/>
        <v>2.084673662143643E-4</v>
      </c>
      <c r="J280" s="2">
        <f t="shared" si="18"/>
        <v>12.281167920486412</v>
      </c>
      <c r="K280">
        <f t="shared" si="19"/>
        <v>309.41000000000003</v>
      </c>
    </row>
    <row r="281" spans="1:11" ht="13.9" x14ac:dyDescent="0.3">
      <c r="A281" s="2" t="s">
        <v>459</v>
      </c>
      <c r="B281" s="2">
        <v>1.57</v>
      </c>
      <c r="C281" s="2">
        <v>28.34</v>
      </c>
      <c r="D281" s="2">
        <v>2.33</v>
      </c>
      <c r="E281" s="2">
        <v>3.9</v>
      </c>
      <c r="F281" s="2">
        <v>1.33</v>
      </c>
      <c r="G281" s="2">
        <v>0.68</v>
      </c>
      <c r="H281" s="2">
        <f t="shared" si="16"/>
        <v>2.447621708350435</v>
      </c>
      <c r="I281" s="2">
        <f t="shared" si="17"/>
        <v>0.37767431297334664</v>
      </c>
      <c r="J281" s="2">
        <f t="shared" si="18"/>
        <v>5.0107798387532423</v>
      </c>
      <c r="K281">
        <f t="shared" si="19"/>
        <v>1.97</v>
      </c>
    </row>
    <row r="282" spans="1:11" ht="13.9" x14ac:dyDescent="0.3">
      <c r="A282" s="2" t="s">
        <v>228</v>
      </c>
      <c r="B282" s="2">
        <v>4.9800000000000004</v>
      </c>
      <c r="C282" s="2">
        <v>0</v>
      </c>
      <c r="D282" s="2">
        <v>0</v>
      </c>
      <c r="E282" s="2">
        <v>0</v>
      </c>
      <c r="F282" s="2">
        <v>0</v>
      </c>
      <c r="G282" s="2">
        <v>0.91</v>
      </c>
      <c r="H282" s="2">
        <f t="shared" si="16"/>
        <v>2.4522072918693847</v>
      </c>
      <c r="I282" s="2">
        <f t="shared" si="17"/>
        <v>0.46648285853832483</v>
      </c>
      <c r="J282" s="2">
        <f t="shared" si="18"/>
        <v>2.3161457422933562</v>
      </c>
      <c r="K282">
        <f t="shared" si="19"/>
        <v>0.30333333333333334</v>
      </c>
    </row>
    <row r="283" spans="1:11" ht="13.9" x14ac:dyDescent="0.3">
      <c r="A283" s="2" t="s">
        <v>184</v>
      </c>
      <c r="B283" s="2">
        <v>5.77</v>
      </c>
      <c r="C283" s="2">
        <v>5.78</v>
      </c>
      <c r="D283" s="2">
        <v>5.45</v>
      </c>
      <c r="E283" s="2">
        <v>1.64</v>
      </c>
      <c r="F283" s="2">
        <v>0.78</v>
      </c>
      <c r="G283" s="2">
        <v>0.68</v>
      </c>
      <c r="H283" s="2">
        <f t="shared" si="16"/>
        <v>2.4551946257508264</v>
      </c>
      <c r="I283" s="2">
        <f t="shared" si="17"/>
        <v>1.3790265538858934E-4</v>
      </c>
      <c r="J283" s="2">
        <f t="shared" si="18"/>
        <v>4.08746284125034</v>
      </c>
      <c r="K283">
        <f t="shared" si="19"/>
        <v>1.0333333333333334</v>
      </c>
    </row>
    <row r="284" spans="1:11" ht="13.9" x14ac:dyDescent="0.3">
      <c r="A284" s="2" t="s">
        <v>25</v>
      </c>
      <c r="B284" s="2">
        <v>1466.84</v>
      </c>
      <c r="C284" s="2">
        <v>1228.1500000000001</v>
      </c>
      <c r="D284" s="2">
        <v>1173.71</v>
      </c>
      <c r="E284" s="2">
        <v>241.69</v>
      </c>
      <c r="F284" s="2">
        <v>278.76</v>
      </c>
      <c r="G284" s="2">
        <v>181.97</v>
      </c>
      <c r="H284" s="2">
        <f t="shared" si="16"/>
        <v>2.4614430302961021</v>
      </c>
      <c r="I284" s="2">
        <f t="shared" si="17"/>
        <v>3.6331139451666554E-4</v>
      </c>
      <c r="J284" s="2">
        <f t="shared" si="18"/>
        <v>11.917633143375243</v>
      </c>
      <c r="K284">
        <f t="shared" si="19"/>
        <v>234.14000000000001</v>
      </c>
    </row>
    <row r="285" spans="1:11" ht="13.9" x14ac:dyDescent="0.3">
      <c r="A285" s="2" t="s">
        <v>457</v>
      </c>
      <c r="B285" s="2">
        <v>0</v>
      </c>
      <c r="C285" s="2">
        <v>34.119999999999997</v>
      </c>
      <c r="D285" s="2">
        <v>40.200000000000003</v>
      </c>
      <c r="E285" s="2">
        <v>3.4</v>
      </c>
      <c r="F285" s="2">
        <v>6.99</v>
      </c>
      <c r="G285" s="2">
        <v>3.06</v>
      </c>
      <c r="H285" s="2">
        <f t="shared" si="16"/>
        <v>2.4661443289386664</v>
      </c>
      <c r="I285" s="2">
        <f t="shared" si="17"/>
        <v>0.18188577486415103</v>
      </c>
      <c r="J285" s="2">
        <f t="shared" si="18"/>
        <v>6.215678596607928</v>
      </c>
      <c r="K285">
        <f t="shared" si="19"/>
        <v>4.4833333333333334</v>
      </c>
    </row>
    <row r="286" spans="1:11" ht="13.9" x14ac:dyDescent="0.3">
      <c r="A286" s="2" t="s">
        <v>914</v>
      </c>
      <c r="B286" s="2">
        <v>8.65</v>
      </c>
      <c r="C286" s="2">
        <v>0</v>
      </c>
      <c r="D286" s="2">
        <v>0</v>
      </c>
      <c r="E286" s="2">
        <v>1.01</v>
      </c>
      <c r="F286" s="2">
        <v>0.55000000000000004</v>
      </c>
      <c r="G286" s="2">
        <v>0</v>
      </c>
      <c r="H286" s="2">
        <f t="shared" si="16"/>
        <v>2.4711541036618385</v>
      </c>
      <c r="I286" s="2">
        <f t="shared" si="17"/>
        <v>0.46056776880674916</v>
      </c>
      <c r="J286" s="2">
        <f t="shared" si="18"/>
        <v>3.1127001327493624</v>
      </c>
      <c r="K286">
        <f t="shared" si="19"/>
        <v>0.52</v>
      </c>
    </row>
    <row r="287" spans="1:11" ht="13.9" x14ac:dyDescent="0.3">
      <c r="A287" s="2" t="s">
        <v>411</v>
      </c>
      <c r="B287" s="2">
        <v>5.37</v>
      </c>
      <c r="C287" s="2">
        <v>0</v>
      </c>
      <c r="D287" s="2">
        <v>0</v>
      </c>
      <c r="E287" s="2">
        <v>0.63</v>
      </c>
      <c r="F287" s="2">
        <v>0.22</v>
      </c>
      <c r="G287" s="2">
        <v>0.11</v>
      </c>
      <c r="H287" s="2">
        <f t="shared" si="16"/>
        <v>2.4838157772642564</v>
      </c>
      <c r="I287" s="2">
        <f t="shared" si="17"/>
        <v>0.45926410201325812</v>
      </c>
      <c r="J287" s="2">
        <f t="shared" si="18"/>
        <v>2.4249220882106881</v>
      </c>
      <c r="K287">
        <f t="shared" si="19"/>
        <v>0.32</v>
      </c>
    </row>
    <row r="288" spans="1:11" ht="13.9" x14ac:dyDescent="0.3">
      <c r="A288" s="2" t="s">
        <v>170</v>
      </c>
      <c r="B288" s="2">
        <v>25.17</v>
      </c>
      <c r="C288" s="2">
        <v>28.63</v>
      </c>
      <c r="D288" s="2">
        <v>49.79</v>
      </c>
      <c r="E288" s="2">
        <v>6.29</v>
      </c>
      <c r="F288" s="2">
        <v>6.1</v>
      </c>
      <c r="G288" s="2">
        <v>4.3099999999999996</v>
      </c>
      <c r="H288" s="2">
        <f t="shared" si="16"/>
        <v>2.6329647322131282</v>
      </c>
      <c r="I288" s="2">
        <f t="shared" si="17"/>
        <v>1.9924795338216322E-2</v>
      </c>
      <c r="J288" s="2">
        <f t="shared" si="18"/>
        <v>6.6947409297998188</v>
      </c>
      <c r="K288">
        <f t="shared" si="19"/>
        <v>5.5666666666666664</v>
      </c>
    </row>
    <row r="289" spans="1:11" ht="13.9" x14ac:dyDescent="0.3">
      <c r="A289" s="2" t="s">
        <v>887</v>
      </c>
      <c r="B289" s="2">
        <v>3.93</v>
      </c>
      <c r="C289" s="2">
        <v>0</v>
      </c>
      <c r="D289" s="2">
        <v>0</v>
      </c>
      <c r="E289" s="2">
        <v>0.63</v>
      </c>
      <c r="F289" s="2">
        <v>0</v>
      </c>
      <c r="G289" s="2">
        <v>0</v>
      </c>
      <c r="H289" s="2">
        <f t="shared" si="16"/>
        <v>2.6411055787586903</v>
      </c>
      <c r="I289" s="2">
        <f t="shared" si="17"/>
        <v>0.45365202971264035</v>
      </c>
      <c r="J289" s="2">
        <f t="shared" si="18"/>
        <v>1.9745293124838819</v>
      </c>
      <c r="K289">
        <f t="shared" si="19"/>
        <v>0.21</v>
      </c>
    </row>
    <row r="290" spans="1:11" ht="13.9" x14ac:dyDescent="0.3">
      <c r="A290" s="2" t="s">
        <v>331</v>
      </c>
      <c r="B290" s="2">
        <v>6.82</v>
      </c>
      <c r="C290" s="2">
        <v>10.41</v>
      </c>
      <c r="D290" s="2">
        <v>7.52</v>
      </c>
      <c r="E290" s="2">
        <v>1.76</v>
      </c>
      <c r="F290" s="2">
        <v>0.78</v>
      </c>
      <c r="G290" s="2">
        <v>1.25</v>
      </c>
      <c r="H290" s="2">
        <f t="shared" si="16"/>
        <v>2.7071587716832428</v>
      </c>
      <c r="I290" s="2">
        <f t="shared" si="17"/>
        <v>3.5293583297865369E-3</v>
      </c>
      <c r="J290" s="2">
        <f t="shared" si="18"/>
        <v>4.6293566200796104</v>
      </c>
      <c r="K290">
        <f t="shared" si="19"/>
        <v>1.2633333333333334</v>
      </c>
    </row>
    <row r="291" spans="1:11" ht="13.9" x14ac:dyDescent="0.3">
      <c r="A291" s="2" t="s">
        <v>93</v>
      </c>
      <c r="B291" s="2">
        <v>8.52</v>
      </c>
      <c r="C291" s="2">
        <v>0</v>
      </c>
      <c r="D291" s="2">
        <v>4.67</v>
      </c>
      <c r="E291" s="2">
        <v>1.51</v>
      </c>
      <c r="F291" s="2">
        <v>0.44</v>
      </c>
      <c r="G291" s="2">
        <v>0</v>
      </c>
      <c r="H291" s="2">
        <f t="shared" si="16"/>
        <v>2.7578985355019339</v>
      </c>
      <c r="I291" s="2">
        <f t="shared" si="17"/>
        <v>0.20888554287763123</v>
      </c>
      <c r="J291" s="2">
        <f t="shared" si="18"/>
        <v>3.7213726594768199</v>
      </c>
      <c r="K291">
        <f t="shared" si="19"/>
        <v>0.65</v>
      </c>
    </row>
    <row r="292" spans="1:11" ht="13.9" x14ac:dyDescent="0.3">
      <c r="A292" s="2" t="s">
        <v>557</v>
      </c>
      <c r="B292" s="2">
        <v>3.8</v>
      </c>
      <c r="C292" s="2">
        <v>0</v>
      </c>
      <c r="D292" s="2">
        <v>0</v>
      </c>
      <c r="E292" s="2">
        <v>0</v>
      </c>
      <c r="F292" s="2">
        <v>0.55000000000000004</v>
      </c>
      <c r="G292" s="2">
        <v>0</v>
      </c>
      <c r="H292" s="2">
        <f t="shared" si="16"/>
        <v>2.7884958948062879</v>
      </c>
      <c r="I292" s="2">
        <f t="shared" si="17"/>
        <v>0.44497371456842177</v>
      </c>
      <c r="J292" s="2">
        <f t="shared" si="18"/>
        <v>1.925999418556223</v>
      </c>
      <c r="K292">
        <f t="shared" si="19"/>
        <v>0.18333333333333335</v>
      </c>
    </row>
    <row r="293" spans="1:11" ht="13.9" x14ac:dyDescent="0.3">
      <c r="A293" s="2" t="s">
        <v>80</v>
      </c>
      <c r="B293" s="2">
        <v>50.08</v>
      </c>
      <c r="C293" s="2">
        <v>46.85</v>
      </c>
      <c r="D293" s="2">
        <v>29.3</v>
      </c>
      <c r="E293" s="2">
        <v>4.1500000000000004</v>
      </c>
      <c r="F293" s="2">
        <v>11.09</v>
      </c>
      <c r="G293" s="2">
        <v>2.61</v>
      </c>
      <c r="H293" s="2">
        <f t="shared" si="16"/>
        <v>2.8220588446438226</v>
      </c>
      <c r="I293" s="2">
        <f t="shared" si="17"/>
        <v>6.5682172845136092E-3</v>
      </c>
      <c r="J293" s="2">
        <f t="shared" si="18"/>
        <v>6.9799110137855607</v>
      </c>
      <c r="K293">
        <f t="shared" si="19"/>
        <v>5.95</v>
      </c>
    </row>
    <row r="294" spans="1:11" ht="13.9" x14ac:dyDescent="0.3">
      <c r="A294" s="2" t="s">
        <v>21</v>
      </c>
      <c r="B294" s="2">
        <v>70626.649999999994</v>
      </c>
      <c r="C294" s="2">
        <v>47335.75</v>
      </c>
      <c r="D294" s="2">
        <v>37702.160000000003</v>
      </c>
      <c r="E294" s="2">
        <v>8085.41</v>
      </c>
      <c r="F294" s="2">
        <v>7679.96</v>
      </c>
      <c r="G294" s="2">
        <v>5728.57</v>
      </c>
      <c r="H294" s="2">
        <f t="shared" si="16"/>
        <v>2.8564386559010617</v>
      </c>
      <c r="I294" s="2">
        <f t="shared" si="17"/>
        <v>1.0311494898501007E-2</v>
      </c>
      <c r="J294" s="2">
        <f t="shared" si="18"/>
        <v>17.248080999251545</v>
      </c>
      <c r="K294">
        <f t="shared" si="19"/>
        <v>7164.6466666666665</v>
      </c>
    </row>
    <row r="295" spans="1:11" ht="13.9" x14ac:dyDescent="0.3">
      <c r="A295" s="2" t="s">
        <v>717</v>
      </c>
      <c r="B295" s="2">
        <v>405.61</v>
      </c>
      <c r="C295" s="2">
        <v>192.02</v>
      </c>
      <c r="D295" s="2">
        <v>351.39</v>
      </c>
      <c r="E295" s="2">
        <v>51.11</v>
      </c>
      <c r="F295" s="2">
        <v>23.06</v>
      </c>
      <c r="G295" s="2">
        <v>55.7</v>
      </c>
      <c r="H295" s="2">
        <f t="shared" si="16"/>
        <v>2.8693702850738902</v>
      </c>
      <c r="I295" s="2">
        <f t="shared" si="17"/>
        <v>1.362126924401098E-2</v>
      </c>
      <c r="J295" s="2">
        <f t="shared" si="18"/>
        <v>9.8902946812326764</v>
      </c>
      <c r="K295">
        <f t="shared" si="19"/>
        <v>43.29</v>
      </c>
    </row>
    <row r="296" spans="1:11" ht="13.9" x14ac:dyDescent="0.3">
      <c r="A296" s="2" t="s">
        <v>111</v>
      </c>
      <c r="B296" s="2">
        <v>0</v>
      </c>
      <c r="C296" s="2">
        <v>0</v>
      </c>
      <c r="D296" s="2">
        <v>9.85</v>
      </c>
      <c r="E296" s="2">
        <v>0.5</v>
      </c>
      <c r="F296" s="2">
        <v>0.78</v>
      </c>
      <c r="G296" s="2">
        <v>0</v>
      </c>
      <c r="H296" s="2">
        <f t="shared" si="16"/>
        <v>2.9439799143437386</v>
      </c>
      <c r="I296" s="2">
        <f t="shared" si="17"/>
        <v>0.43438847193267061</v>
      </c>
      <c r="J296" s="2">
        <f t="shared" si="18"/>
        <v>3.3001237245690143</v>
      </c>
      <c r="K296">
        <f t="shared" si="19"/>
        <v>0.42666666666666669</v>
      </c>
    </row>
    <row r="297" spans="1:11" ht="13.9" x14ac:dyDescent="0.3">
      <c r="A297" s="2" t="s">
        <v>917</v>
      </c>
      <c r="B297" s="2">
        <v>0</v>
      </c>
      <c r="C297" s="2">
        <v>12.72</v>
      </c>
      <c r="D297" s="2">
        <v>0</v>
      </c>
      <c r="E297" s="2">
        <v>0.5</v>
      </c>
      <c r="F297" s="2">
        <v>1</v>
      </c>
      <c r="G297" s="2">
        <v>0.11</v>
      </c>
      <c r="H297" s="2">
        <f t="shared" si="16"/>
        <v>2.9819660771697385</v>
      </c>
      <c r="I297" s="2">
        <f t="shared" si="17"/>
        <v>0.43251004382403968</v>
      </c>
      <c r="J297" s="2">
        <f t="shared" si="18"/>
        <v>3.6690267655096305</v>
      </c>
      <c r="K297">
        <f t="shared" si="19"/>
        <v>0.53666666666666674</v>
      </c>
    </row>
    <row r="298" spans="1:11" ht="13.9" x14ac:dyDescent="0.3">
      <c r="A298" s="2" t="s">
        <v>782</v>
      </c>
      <c r="B298" s="2">
        <v>7.47</v>
      </c>
      <c r="C298" s="2">
        <v>0</v>
      </c>
      <c r="D298" s="2">
        <v>11.67</v>
      </c>
      <c r="E298" s="2">
        <v>1.26</v>
      </c>
      <c r="F298" s="2">
        <v>1.1100000000000001</v>
      </c>
      <c r="G298" s="2">
        <v>0</v>
      </c>
      <c r="H298" s="2">
        <f t="shared" si="16"/>
        <v>3.0136318655877665</v>
      </c>
      <c r="I298" s="2">
        <f t="shared" si="17"/>
        <v>0.17905821504412833</v>
      </c>
      <c r="J298" s="2">
        <f t="shared" si="18"/>
        <v>4.2585189247113009</v>
      </c>
      <c r="K298">
        <f t="shared" si="19"/>
        <v>0.79</v>
      </c>
    </row>
    <row r="299" spans="1:11" ht="13.9" x14ac:dyDescent="0.3">
      <c r="A299" s="2" t="s">
        <v>419</v>
      </c>
      <c r="B299" s="2">
        <v>0.13</v>
      </c>
      <c r="C299" s="2">
        <v>9.5399999999999991</v>
      </c>
      <c r="D299" s="2">
        <v>0.78</v>
      </c>
      <c r="E299" s="2">
        <v>0</v>
      </c>
      <c r="F299" s="2">
        <v>0</v>
      </c>
      <c r="G299" s="2">
        <v>1.25</v>
      </c>
      <c r="H299" s="2">
        <f t="shared" si="16"/>
        <v>3.0635029423061582</v>
      </c>
      <c r="I299" s="2">
        <f t="shared" si="17"/>
        <v>0.37333363424858534</v>
      </c>
      <c r="J299" s="2">
        <f t="shared" si="18"/>
        <v>3.3854310371935208</v>
      </c>
      <c r="K299">
        <f t="shared" si="19"/>
        <v>0.41666666666666669</v>
      </c>
    </row>
    <row r="300" spans="1:11" ht="13.9" x14ac:dyDescent="0.3">
      <c r="A300" s="2" t="s">
        <v>123</v>
      </c>
      <c r="B300" s="2">
        <v>0</v>
      </c>
      <c r="C300" s="2">
        <v>0</v>
      </c>
      <c r="D300" s="2">
        <v>14</v>
      </c>
      <c r="E300" s="2">
        <v>0.76</v>
      </c>
      <c r="F300" s="2">
        <v>0.89</v>
      </c>
      <c r="G300" s="2">
        <v>0</v>
      </c>
      <c r="H300" s="2">
        <f t="shared" si="16"/>
        <v>3.0848888975865134</v>
      </c>
      <c r="I300" s="2">
        <f t="shared" si="17"/>
        <v>0.42827117855830987</v>
      </c>
      <c r="J300" s="2">
        <f t="shared" si="18"/>
        <v>3.8073549220576037</v>
      </c>
      <c r="K300">
        <f t="shared" si="19"/>
        <v>0.54999999999999993</v>
      </c>
    </row>
    <row r="301" spans="1:11" ht="13.9" x14ac:dyDescent="0.3">
      <c r="A301" s="2" t="s">
        <v>908</v>
      </c>
      <c r="B301" s="2">
        <v>0.13</v>
      </c>
      <c r="C301" s="2">
        <v>0</v>
      </c>
      <c r="D301" s="2">
        <v>16.079999999999998</v>
      </c>
      <c r="E301" s="2">
        <v>1.26</v>
      </c>
      <c r="F301" s="2">
        <v>0</v>
      </c>
      <c r="G301" s="2">
        <v>0.56999999999999995</v>
      </c>
      <c r="H301" s="2">
        <f t="shared" si="16"/>
        <v>3.1469685372334988</v>
      </c>
      <c r="I301" s="2">
        <f t="shared" si="17"/>
        <v>0.42099458977280946</v>
      </c>
      <c r="J301" s="2">
        <f t="shared" si="18"/>
        <v>4.0188121857428163</v>
      </c>
      <c r="K301">
        <f t="shared" si="19"/>
        <v>0.61</v>
      </c>
    </row>
    <row r="302" spans="1:11" ht="13.9" x14ac:dyDescent="0.3">
      <c r="A302" s="2" t="s">
        <v>78</v>
      </c>
      <c r="B302" s="2">
        <v>13.24</v>
      </c>
      <c r="C302" s="2">
        <v>0.28999999999999998</v>
      </c>
      <c r="D302" s="2">
        <v>1.82</v>
      </c>
      <c r="E302" s="2">
        <v>1.01</v>
      </c>
      <c r="F302" s="2">
        <v>0</v>
      </c>
      <c r="G302" s="2">
        <v>0.68</v>
      </c>
      <c r="H302" s="2">
        <f t="shared" si="16"/>
        <v>3.1831435039753573</v>
      </c>
      <c r="I302" s="2">
        <f t="shared" si="17"/>
        <v>0.32864034944406112</v>
      </c>
      <c r="J302" s="2">
        <f t="shared" si="18"/>
        <v>3.9401667504828168</v>
      </c>
      <c r="K302">
        <f t="shared" si="19"/>
        <v>0.56333333333333335</v>
      </c>
    </row>
    <row r="303" spans="1:11" ht="13.9" x14ac:dyDescent="0.3">
      <c r="A303" s="2" t="s">
        <v>223</v>
      </c>
      <c r="B303" s="2">
        <v>0</v>
      </c>
      <c r="C303" s="2">
        <v>0</v>
      </c>
      <c r="D303" s="2">
        <v>11.41</v>
      </c>
      <c r="E303" s="2">
        <v>0</v>
      </c>
      <c r="F303" s="2">
        <v>0</v>
      </c>
      <c r="G303" s="2">
        <v>1.25</v>
      </c>
      <c r="H303" s="2">
        <f t="shared" si="16"/>
        <v>3.1902987916265948</v>
      </c>
      <c r="I303" s="2">
        <f t="shared" si="17"/>
        <v>0.42607768116051031</v>
      </c>
      <c r="J303" s="2">
        <f t="shared" si="18"/>
        <v>3.5122268865139574</v>
      </c>
      <c r="K303">
        <f t="shared" si="19"/>
        <v>0.41666666666666669</v>
      </c>
    </row>
    <row r="304" spans="1:11" ht="13.9" x14ac:dyDescent="0.3">
      <c r="A304" s="2" t="s">
        <v>253</v>
      </c>
      <c r="B304" s="2">
        <v>0</v>
      </c>
      <c r="C304" s="2">
        <v>0</v>
      </c>
      <c r="D304" s="2">
        <v>17.63</v>
      </c>
      <c r="E304" s="2">
        <v>1.26</v>
      </c>
      <c r="F304" s="2">
        <v>0.55000000000000004</v>
      </c>
      <c r="G304" s="2">
        <v>0</v>
      </c>
      <c r="H304" s="2">
        <f t="shared" si="16"/>
        <v>3.283970872236976</v>
      </c>
      <c r="I304" s="2">
        <f t="shared" si="17"/>
        <v>0.42108570010183399</v>
      </c>
      <c r="J304" s="2">
        <f t="shared" si="18"/>
        <v>4.1399605695454573</v>
      </c>
      <c r="K304">
        <f t="shared" si="19"/>
        <v>0.60333333333333339</v>
      </c>
    </row>
    <row r="305" spans="1:11" ht="13.9" x14ac:dyDescent="0.3">
      <c r="A305" s="2" t="s">
        <v>647</v>
      </c>
      <c r="B305" s="2">
        <v>11.01</v>
      </c>
      <c r="C305" s="2">
        <v>0</v>
      </c>
      <c r="D305" s="2">
        <v>0</v>
      </c>
      <c r="E305" s="2">
        <v>0</v>
      </c>
      <c r="F305" s="2">
        <v>1.1100000000000001</v>
      </c>
      <c r="G305" s="2">
        <v>0</v>
      </c>
      <c r="H305" s="2">
        <f t="shared" si="16"/>
        <v>3.3101828872142631</v>
      </c>
      <c r="I305" s="2">
        <f t="shared" si="17"/>
        <v>0.42154357224869016</v>
      </c>
      <c r="J305" s="2">
        <f t="shared" si="18"/>
        <v>3.4607425637896441</v>
      </c>
      <c r="K305">
        <f t="shared" si="19"/>
        <v>0.37000000000000005</v>
      </c>
    </row>
    <row r="306" spans="1:11" ht="13.9" x14ac:dyDescent="0.3">
      <c r="A306" s="2" t="s">
        <v>472</v>
      </c>
      <c r="B306" s="2">
        <v>11.14</v>
      </c>
      <c r="C306" s="2">
        <v>36.15</v>
      </c>
      <c r="D306" s="2">
        <v>4.93</v>
      </c>
      <c r="E306" s="2">
        <v>1.01</v>
      </c>
      <c r="F306" s="2">
        <v>0.55000000000000004</v>
      </c>
      <c r="G306" s="2">
        <v>3.52</v>
      </c>
      <c r="H306" s="2">
        <f t="shared" si="16"/>
        <v>3.3617020555406762</v>
      </c>
      <c r="I306" s="2">
        <f t="shared" si="17"/>
        <v>0.1765195672763242</v>
      </c>
      <c r="J306" s="2">
        <f t="shared" si="18"/>
        <v>5.7065305525381174</v>
      </c>
      <c r="K306">
        <f t="shared" si="19"/>
        <v>1.6933333333333334</v>
      </c>
    </row>
    <row r="307" spans="1:11" ht="13.9" x14ac:dyDescent="0.3">
      <c r="A307" s="2" t="s">
        <v>161</v>
      </c>
      <c r="B307" s="2">
        <v>0</v>
      </c>
      <c r="C307" s="2">
        <v>11.57</v>
      </c>
      <c r="D307" s="2">
        <v>0</v>
      </c>
      <c r="E307" s="2">
        <v>0.13</v>
      </c>
      <c r="F307" s="2">
        <v>0</v>
      </c>
      <c r="G307" s="2">
        <v>0.91</v>
      </c>
      <c r="H307" s="2">
        <f t="shared" si="16"/>
        <v>3.4757334309663976</v>
      </c>
      <c r="I307" s="2">
        <f t="shared" si="17"/>
        <v>0.41539915258624599</v>
      </c>
      <c r="J307" s="2">
        <f t="shared" si="18"/>
        <v>3.532316959332765</v>
      </c>
      <c r="K307">
        <f t="shared" si="19"/>
        <v>0.34666666666666668</v>
      </c>
    </row>
    <row r="308" spans="1:11" ht="13.9" x14ac:dyDescent="0.3">
      <c r="A308" s="2" t="s">
        <v>106</v>
      </c>
      <c r="B308" s="2">
        <v>0</v>
      </c>
      <c r="C308" s="2">
        <v>13.59</v>
      </c>
      <c r="D308" s="2">
        <v>0</v>
      </c>
      <c r="E308" s="2">
        <v>0.5</v>
      </c>
      <c r="F308" s="2">
        <v>0.67</v>
      </c>
      <c r="G308" s="2">
        <v>0</v>
      </c>
      <c r="H308" s="2">
        <f t="shared" si="16"/>
        <v>3.5379650211839868</v>
      </c>
      <c r="I308" s="2">
        <f t="shared" si="17"/>
        <v>0.41289019857059323</v>
      </c>
      <c r="J308" s="2">
        <f t="shared" si="18"/>
        <v>3.7644735509926668</v>
      </c>
      <c r="K308">
        <f t="shared" si="19"/>
        <v>0.38999999999999996</v>
      </c>
    </row>
    <row r="309" spans="1:11" ht="13.9" x14ac:dyDescent="0.3">
      <c r="A309" s="2" t="s">
        <v>623</v>
      </c>
      <c r="B309" s="2">
        <v>0</v>
      </c>
      <c r="C309" s="2">
        <v>0</v>
      </c>
      <c r="D309" s="2">
        <v>8.0399999999999991</v>
      </c>
      <c r="E309" s="2">
        <v>0</v>
      </c>
      <c r="F309" s="2">
        <v>0</v>
      </c>
      <c r="G309" s="2">
        <v>0.68</v>
      </c>
      <c r="H309" s="2">
        <f t="shared" si="16"/>
        <v>3.563588849928589</v>
      </c>
      <c r="I309" s="2">
        <f t="shared" si="17"/>
        <v>0.41328379255005571</v>
      </c>
      <c r="J309" s="2">
        <f t="shared" si="18"/>
        <v>3.0071955014042038</v>
      </c>
      <c r="K309">
        <f t="shared" si="19"/>
        <v>0.22666666666666668</v>
      </c>
    </row>
    <row r="310" spans="1:11" ht="13.9" x14ac:dyDescent="0.3">
      <c r="A310" s="2" t="s">
        <v>765</v>
      </c>
      <c r="B310" s="2">
        <v>29.37</v>
      </c>
      <c r="C310" s="2">
        <v>13.01</v>
      </c>
      <c r="D310" s="2">
        <v>18.93</v>
      </c>
      <c r="E310" s="2">
        <v>2.14</v>
      </c>
      <c r="F310" s="2">
        <v>1.1100000000000001</v>
      </c>
      <c r="G310" s="2">
        <v>1.93</v>
      </c>
      <c r="H310" s="2">
        <f t="shared" si="16"/>
        <v>3.565098401622214</v>
      </c>
      <c r="I310" s="2">
        <f t="shared" si="17"/>
        <v>1.7484917737720897E-2</v>
      </c>
      <c r="J310" s="2">
        <f t="shared" si="18"/>
        <v>5.9380504995340431</v>
      </c>
      <c r="K310">
        <f t="shared" si="19"/>
        <v>1.7266666666666666</v>
      </c>
    </row>
    <row r="311" spans="1:11" ht="13.9" x14ac:dyDescent="0.3">
      <c r="A311" s="2" t="s">
        <v>233</v>
      </c>
      <c r="B311" s="2">
        <v>0</v>
      </c>
      <c r="C311" s="2">
        <v>0</v>
      </c>
      <c r="D311" s="2">
        <v>11.15</v>
      </c>
      <c r="E311" s="2">
        <v>0.88</v>
      </c>
      <c r="F311" s="2">
        <v>0</v>
      </c>
      <c r="G311" s="2">
        <v>0</v>
      </c>
      <c r="H311" s="2">
        <f t="shared" si="16"/>
        <v>3.6633963761703696</v>
      </c>
      <c r="I311" s="2">
        <f t="shared" si="17"/>
        <v>0.41046064995689163</v>
      </c>
      <c r="J311" s="2">
        <f t="shared" si="18"/>
        <v>3.478971805032943</v>
      </c>
      <c r="K311">
        <f t="shared" si="19"/>
        <v>0.29333333333333333</v>
      </c>
    </row>
    <row r="312" spans="1:11" ht="13.9" x14ac:dyDescent="0.3">
      <c r="A312" s="2" t="s">
        <v>77</v>
      </c>
      <c r="B312" s="2">
        <v>13.24</v>
      </c>
      <c r="C312" s="2">
        <v>0.28999999999999998</v>
      </c>
      <c r="D312" s="2">
        <v>1.82</v>
      </c>
      <c r="E312" s="2">
        <v>0.5</v>
      </c>
      <c r="F312" s="2">
        <v>0</v>
      </c>
      <c r="G312" s="2">
        <v>0.68</v>
      </c>
      <c r="H312" s="2">
        <f t="shared" si="16"/>
        <v>3.7013798908957005</v>
      </c>
      <c r="I312" s="2">
        <f t="shared" si="17"/>
        <v>0.31251488224205215</v>
      </c>
      <c r="J312" s="2">
        <f t="shared" si="18"/>
        <v>3.9401667504828168</v>
      </c>
      <c r="K312">
        <f t="shared" si="19"/>
        <v>0.39333333333333337</v>
      </c>
    </row>
    <row r="313" spans="1:11" ht="13.9" x14ac:dyDescent="0.3">
      <c r="A313" s="2" t="s">
        <v>716</v>
      </c>
      <c r="B313" s="2">
        <v>3.02</v>
      </c>
      <c r="C313" s="2">
        <v>0</v>
      </c>
      <c r="D313" s="2">
        <v>0</v>
      </c>
      <c r="E313" s="2">
        <v>0</v>
      </c>
      <c r="F313" s="2">
        <v>0</v>
      </c>
      <c r="G313" s="2">
        <v>0.23</v>
      </c>
      <c r="H313" s="2">
        <f t="shared" si="16"/>
        <v>3.7148427832680664</v>
      </c>
      <c r="I313" s="2">
        <f t="shared" si="17"/>
        <v>0.40908981823545232</v>
      </c>
      <c r="J313" s="2">
        <f t="shared" si="18"/>
        <v>1.5945485495503544</v>
      </c>
      <c r="K313">
        <f t="shared" si="19"/>
        <v>7.6666666666666675E-2</v>
      </c>
    </row>
    <row r="314" spans="1:11" ht="13.9" x14ac:dyDescent="0.3">
      <c r="A314" s="2" t="s">
        <v>425</v>
      </c>
      <c r="B314" s="2">
        <v>0</v>
      </c>
      <c r="C314" s="2">
        <v>2.89</v>
      </c>
      <c r="D314" s="2">
        <v>0</v>
      </c>
      <c r="E314" s="2">
        <v>0</v>
      </c>
      <c r="F314" s="2">
        <v>0.22</v>
      </c>
      <c r="G314" s="2">
        <v>0</v>
      </c>
      <c r="H314" s="2">
        <f t="shared" si="16"/>
        <v>3.7154940638633818</v>
      </c>
      <c r="I314" s="2">
        <f t="shared" si="17"/>
        <v>0.40907281656042765</v>
      </c>
      <c r="J314" s="2">
        <f t="shared" si="18"/>
        <v>1.5310694927259541</v>
      </c>
      <c r="K314">
        <f t="shared" si="19"/>
        <v>7.3333333333333334E-2</v>
      </c>
    </row>
    <row r="315" spans="1:11" ht="13.9" x14ac:dyDescent="0.3">
      <c r="A315" s="2" t="s">
        <v>495</v>
      </c>
      <c r="B315" s="2">
        <v>2.75</v>
      </c>
      <c r="C315" s="2">
        <v>0.57999999999999996</v>
      </c>
      <c r="D315" s="2">
        <v>4.41</v>
      </c>
      <c r="E315" s="2">
        <v>0.25</v>
      </c>
      <c r="F315" s="2">
        <v>0.33</v>
      </c>
      <c r="G315" s="2">
        <v>0</v>
      </c>
      <c r="H315" s="2">
        <f t="shared" si="16"/>
        <v>3.7382087610168382</v>
      </c>
      <c r="I315" s="2">
        <f t="shared" si="17"/>
        <v>9.8675515331829153E-2</v>
      </c>
      <c r="J315" s="2">
        <f t="shared" si="18"/>
        <v>2.9523335663696861</v>
      </c>
      <c r="K315">
        <f t="shared" si="19"/>
        <v>0.19333333333333336</v>
      </c>
    </row>
    <row r="316" spans="1:11" ht="13.9" x14ac:dyDescent="0.3">
      <c r="A316" s="2" t="s">
        <v>839</v>
      </c>
      <c r="B316" s="2">
        <v>5.24</v>
      </c>
      <c r="C316" s="2">
        <v>0</v>
      </c>
      <c r="D316" s="2">
        <v>0</v>
      </c>
      <c r="E316" s="2">
        <v>0</v>
      </c>
      <c r="F316" s="2">
        <v>0.33</v>
      </c>
      <c r="G316" s="2">
        <v>0</v>
      </c>
      <c r="H316" s="2">
        <f t="shared" si="16"/>
        <v>3.9890288821789968</v>
      </c>
      <c r="I316" s="2">
        <f t="shared" si="17"/>
        <v>0.40264345683909303</v>
      </c>
      <c r="J316" s="2">
        <f t="shared" si="18"/>
        <v>2.3895668117627258</v>
      </c>
      <c r="K316">
        <f t="shared" si="19"/>
        <v>0.11</v>
      </c>
    </row>
    <row r="317" spans="1:11" ht="13.9" x14ac:dyDescent="0.3">
      <c r="A317" s="2" t="s">
        <v>420</v>
      </c>
      <c r="B317" s="2">
        <v>0</v>
      </c>
      <c r="C317" s="2">
        <v>9.5399999999999991</v>
      </c>
      <c r="D317" s="2">
        <v>0</v>
      </c>
      <c r="E317" s="2">
        <v>0</v>
      </c>
      <c r="F317" s="2">
        <v>0</v>
      </c>
      <c r="G317" s="2">
        <v>0.56999999999999995</v>
      </c>
      <c r="H317" s="2">
        <f t="shared" si="16"/>
        <v>4.0649554418407696</v>
      </c>
      <c r="I317" s="2">
        <f t="shared" si="17"/>
        <v>0.40108711485290022</v>
      </c>
      <c r="J317" s="2">
        <f t="shared" si="18"/>
        <v>3.253989266230787</v>
      </c>
      <c r="K317">
        <f t="shared" si="19"/>
        <v>0.18999999999999997</v>
      </c>
    </row>
    <row r="318" spans="1:11" ht="13.9" x14ac:dyDescent="0.3">
      <c r="A318" s="2" t="s">
        <v>286</v>
      </c>
      <c r="B318" s="2">
        <v>7.73</v>
      </c>
      <c r="C318" s="2">
        <v>0</v>
      </c>
      <c r="D318" s="2">
        <v>0</v>
      </c>
      <c r="E318" s="2">
        <v>0</v>
      </c>
      <c r="F318" s="2">
        <v>0.44</v>
      </c>
      <c r="G318" s="2">
        <v>0</v>
      </c>
      <c r="H318" s="2">
        <f t="shared" si="16"/>
        <v>4.13489298528755</v>
      </c>
      <c r="I318" s="2">
        <f t="shared" si="17"/>
        <v>0.39973154755034135</v>
      </c>
      <c r="J318" s="2">
        <f t="shared" si="18"/>
        <v>2.950468414150123</v>
      </c>
      <c r="K318">
        <f t="shared" si="19"/>
        <v>0.14666666666666667</v>
      </c>
    </row>
    <row r="319" spans="1:11" ht="13.9" x14ac:dyDescent="0.3">
      <c r="A319" s="2" t="s">
        <v>447</v>
      </c>
      <c r="B319" s="2">
        <v>1.31</v>
      </c>
      <c r="C319" s="2">
        <v>0.28999999999999998</v>
      </c>
      <c r="D319" s="2">
        <v>0.52</v>
      </c>
      <c r="E319" s="2">
        <v>0</v>
      </c>
      <c r="F319" s="2">
        <v>0</v>
      </c>
      <c r="G319" s="2">
        <v>0.11</v>
      </c>
      <c r="H319" s="2">
        <f t="shared" si="16"/>
        <v>4.2684888359259023</v>
      </c>
      <c r="I319" s="2">
        <f t="shared" si="17"/>
        <v>9.7547768078869515E-2</v>
      </c>
      <c r="J319" s="2">
        <f t="shared" si="18"/>
        <v>1.0840642647884746</v>
      </c>
      <c r="K319">
        <f t="shared" si="19"/>
        <v>3.6666666666666667E-2</v>
      </c>
    </row>
    <row r="320" spans="1:11" ht="13.9" x14ac:dyDescent="0.3">
      <c r="A320" s="2" t="s">
        <v>120</v>
      </c>
      <c r="B320" s="2">
        <v>0</v>
      </c>
      <c r="C320" s="2">
        <v>2.89</v>
      </c>
      <c r="D320" s="2">
        <v>2.0699999999999998</v>
      </c>
      <c r="E320" s="2">
        <v>0.25</v>
      </c>
      <c r="F320" s="2">
        <v>0</v>
      </c>
      <c r="G320" s="2">
        <v>0</v>
      </c>
      <c r="H320" s="2">
        <f t="shared" si="16"/>
        <v>4.3103401206121505</v>
      </c>
      <c r="I320" s="2">
        <f t="shared" si="17"/>
        <v>0.14332590388260497</v>
      </c>
      <c r="J320" s="2">
        <f t="shared" si="18"/>
        <v>2.3103401206121505</v>
      </c>
      <c r="K320">
        <f t="shared" si="19"/>
        <v>8.3333333333333329E-2</v>
      </c>
    </row>
    <row r="321" spans="1:11" ht="13.9" x14ac:dyDescent="0.3">
      <c r="A321" s="2" t="s">
        <v>45</v>
      </c>
      <c r="B321" s="2">
        <v>2.23</v>
      </c>
      <c r="C321" s="2">
        <v>0</v>
      </c>
      <c r="D321" s="2">
        <v>0</v>
      </c>
      <c r="E321" s="2">
        <v>0</v>
      </c>
      <c r="F321" s="2">
        <v>0.11</v>
      </c>
      <c r="G321" s="2">
        <v>0</v>
      </c>
      <c r="H321" s="2">
        <f t="shared" si="16"/>
        <v>4.3414682812830074</v>
      </c>
      <c r="I321" s="2">
        <f t="shared" si="17"/>
        <v>0.3961246106516213</v>
      </c>
      <c r="J321" s="2">
        <f t="shared" si="18"/>
        <v>1.1570437101455802</v>
      </c>
      <c r="K321">
        <f t="shared" si="19"/>
        <v>3.6666666666666667E-2</v>
      </c>
    </row>
    <row r="322" spans="1:11" ht="13.9" x14ac:dyDescent="0.3">
      <c r="A322" s="2" t="s">
        <v>225</v>
      </c>
      <c r="B322" s="2">
        <v>38.94</v>
      </c>
      <c r="C322" s="2">
        <v>52.34</v>
      </c>
      <c r="D322" s="2">
        <v>21.52</v>
      </c>
      <c r="E322" s="2">
        <v>0.25</v>
      </c>
      <c r="F322" s="2">
        <v>3.66</v>
      </c>
      <c r="G322" s="2">
        <v>1.02</v>
      </c>
      <c r="H322" s="2">
        <f t="shared" ref="H322:H385" si="20">LOG(SUM(B322:D322)/SUM(E322:G322),2)</f>
        <v>4.5160356109082445</v>
      </c>
      <c r="I322" s="2">
        <f t="shared" ref="I322:I385" si="21">_xlfn.T.TEST(B322:D322,E322:G322,2,2)</f>
        <v>1.6085598078910877E-2</v>
      </c>
      <c r="J322" s="2">
        <f t="shared" ref="J322:J385" si="22">LOG(SUM(B322:D322),2)</f>
        <v>6.8176232575114319</v>
      </c>
      <c r="K322">
        <f t="shared" ref="K322:K385" si="23">AVERAGE(E322:G322)</f>
        <v>1.6433333333333333</v>
      </c>
    </row>
    <row r="323" spans="1:11" ht="13.9" x14ac:dyDescent="0.3">
      <c r="A323" s="2" t="s">
        <v>186</v>
      </c>
      <c r="B323" s="2">
        <v>0.13</v>
      </c>
      <c r="C323" s="2">
        <v>50.03</v>
      </c>
      <c r="D323" s="2">
        <v>9.08</v>
      </c>
      <c r="E323" s="2">
        <v>0.88</v>
      </c>
      <c r="F323" s="2">
        <v>0.44</v>
      </c>
      <c r="G323" s="2">
        <v>1.02</v>
      </c>
      <c r="H323" s="2">
        <f t="shared" si="20"/>
        <v>4.6619912057054433</v>
      </c>
      <c r="I323" s="2">
        <f t="shared" si="21"/>
        <v>0.2845188899430493</v>
      </c>
      <c r="J323" s="2">
        <f t="shared" si="22"/>
        <v>5.8884997355141229</v>
      </c>
      <c r="K323">
        <f t="shared" si="23"/>
        <v>0.77999999999999992</v>
      </c>
    </row>
    <row r="324" spans="1:11" ht="13.9" x14ac:dyDescent="0.3">
      <c r="A324" s="2" t="s">
        <v>568</v>
      </c>
      <c r="B324" s="2">
        <v>0</v>
      </c>
      <c r="C324" s="2">
        <v>8.1</v>
      </c>
      <c r="D324" s="2">
        <v>7</v>
      </c>
      <c r="E324" s="2">
        <v>0</v>
      </c>
      <c r="F324" s="2">
        <v>0</v>
      </c>
      <c r="G324" s="2">
        <v>0.56999999999999995</v>
      </c>
      <c r="H324" s="2">
        <f t="shared" si="20"/>
        <v>4.7274428200476999</v>
      </c>
      <c r="I324" s="2">
        <f t="shared" si="21"/>
        <v>0.12963485118571624</v>
      </c>
      <c r="J324" s="2">
        <f t="shared" si="22"/>
        <v>3.9164766444377168</v>
      </c>
      <c r="K324">
        <f t="shared" si="23"/>
        <v>0.18999999999999997</v>
      </c>
    </row>
    <row r="325" spans="1:11" ht="13.9" x14ac:dyDescent="0.3">
      <c r="A325" s="2" t="s">
        <v>65</v>
      </c>
      <c r="B325" s="2">
        <v>0</v>
      </c>
      <c r="C325" s="2">
        <v>0</v>
      </c>
      <c r="D325" s="2">
        <v>16.079999999999998</v>
      </c>
      <c r="E325" s="2">
        <v>0</v>
      </c>
      <c r="F325" s="2">
        <v>0</v>
      </c>
      <c r="G325" s="2">
        <v>0.56999999999999995</v>
      </c>
      <c r="H325" s="2">
        <f t="shared" si="20"/>
        <v>4.8181616770141868</v>
      </c>
      <c r="I325" s="2">
        <f t="shared" si="21"/>
        <v>0.38965981941535227</v>
      </c>
      <c r="J325" s="2">
        <f t="shared" si="22"/>
        <v>4.0071955014042038</v>
      </c>
      <c r="K325">
        <f t="shared" si="23"/>
        <v>0.18999999999999997</v>
      </c>
    </row>
    <row r="326" spans="1:11" ht="13.9" x14ac:dyDescent="0.3">
      <c r="A326" s="2" t="s">
        <v>202</v>
      </c>
      <c r="B326" s="2">
        <v>9.57</v>
      </c>
      <c r="C326" s="2">
        <v>2.31</v>
      </c>
      <c r="D326" s="2">
        <v>0</v>
      </c>
      <c r="E326" s="2">
        <v>0.38</v>
      </c>
      <c r="F326" s="2">
        <v>0</v>
      </c>
      <c r="G326" s="2">
        <v>0</v>
      </c>
      <c r="H326" s="2">
        <f t="shared" si="20"/>
        <v>4.9663916073571803</v>
      </c>
      <c r="I326" s="2">
        <f t="shared" si="21"/>
        <v>0.25480662815064431</v>
      </c>
      <c r="J326" s="2">
        <f t="shared" si="22"/>
        <v>3.5704629310260412</v>
      </c>
      <c r="K326">
        <f t="shared" si="23"/>
        <v>0.12666666666666668</v>
      </c>
    </row>
    <row r="327" spans="1:11" ht="13.9" x14ac:dyDescent="0.3">
      <c r="A327" s="2" t="s">
        <v>62</v>
      </c>
      <c r="B327" s="2">
        <v>467.1</v>
      </c>
      <c r="C327" s="2">
        <v>1141.1099999999999</v>
      </c>
      <c r="D327" s="2">
        <v>968.58</v>
      </c>
      <c r="E327" s="2">
        <v>8.56</v>
      </c>
      <c r="F327" s="2">
        <v>8.65</v>
      </c>
      <c r="G327" s="2">
        <v>8.51</v>
      </c>
      <c r="H327" s="2">
        <f t="shared" si="20"/>
        <v>6.6465405141458929</v>
      </c>
      <c r="I327" s="2">
        <f t="shared" si="21"/>
        <v>1.3622957468639996E-2</v>
      </c>
      <c r="J327" s="2">
        <f t="shared" si="22"/>
        <v>11.331359251699116</v>
      </c>
      <c r="K327">
        <f t="shared" si="23"/>
        <v>8.5733333333333324</v>
      </c>
    </row>
    <row r="328" spans="1:11" ht="13.9" x14ac:dyDescent="0.3">
      <c r="A328" s="6" t="s">
        <v>956</v>
      </c>
      <c r="B328" s="6">
        <v>33.43</v>
      </c>
      <c r="C328" s="6">
        <v>8.1</v>
      </c>
      <c r="D328" s="6">
        <v>28.53</v>
      </c>
      <c r="E328" s="6">
        <v>0</v>
      </c>
      <c r="F328" s="6">
        <v>0.44</v>
      </c>
      <c r="G328" s="6">
        <v>0</v>
      </c>
      <c r="H328" s="6">
        <f t="shared" si="20"/>
        <v>7.3149436541647663</v>
      </c>
      <c r="I328" s="6">
        <f t="shared" si="21"/>
        <v>4.0287338441343155E-2</v>
      </c>
      <c r="J328" s="2">
        <f t="shared" si="22"/>
        <v>6.1305190830273384</v>
      </c>
      <c r="K328">
        <f t="shared" si="23"/>
        <v>0.14666666666666667</v>
      </c>
    </row>
    <row r="329" spans="1:11" ht="13.9" x14ac:dyDescent="0.3">
      <c r="A329" s="2" t="s">
        <v>618</v>
      </c>
      <c r="B329" s="2">
        <v>0</v>
      </c>
      <c r="C329" s="2">
        <v>0</v>
      </c>
      <c r="D329" s="2">
        <v>0</v>
      </c>
      <c r="E329" s="2">
        <v>11.33</v>
      </c>
      <c r="F329" s="2">
        <v>7.1</v>
      </c>
      <c r="G329" s="2">
        <v>19.059999999999999</v>
      </c>
      <c r="H329" s="2" t="e">
        <f t="shared" si="20"/>
        <v>#NUM!</v>
      </c>
      <c r="I329" s="2">
        <f t="shared" si="21"/>
        <v>2.3397511733590476E-2</v>
      </c>
      <c r="J329" s="2" t="e">
        <f t="shared" si="22"/>
        <v>#NUM!</v>
      </c>
      <c r="K329">
        <f t="shared" si="23"/>
        <v>12.496666666666664</v>
      </c>
    </row>
    <row r="330" spans="1:11" ht="13.9" x14ac:dyDescent="0.3">
      <c r="A330" s="2" t="s">
        <v>774</v>
      </c>
      <c r="B330" s="2">
        <v>0</v>
      </c>
      <c r="C330" s="2">
        <v>0</v>
      </c>
      <c r="D330" s="2">
        <v>0</v>
      </c>
      <c r="E330" s="2">
        <v>14.48</v>
      </c>
      <c r="F330" s="2">
        <v>12.64</v>
      </c>
      <c r="G330" s="2">
        <v>7.26</v>
      </c>
      <c r="H330" s="2" t="e">
        <f t="shared" si="20"/>
        <v>#NUM!</v>
      </c>
      <c r="I330" s="2">
        <f t="shared" si="21"/>
        <v>6.1262747010218032E-3</v>
      </c>
      <c r="J330" s="2" t="e">
        <f t="shared" si="22"/>
        <v>#NUM!</v>
      </c>
      <c r="K330">
        <f t="shared" si="23"/>
        <v>11.46</v>
      </c>
    </row>
    <row r="331" spans="1:11" ht="13.9" x14ac:dyDescent="0.3">
      <c r="A331" s="2" t="s">
        <v>240</v>
      </c>
      <c r="B331" s="2">
        <v>0</v>
      </c>
      <c r="C331" s="2">
        <v>0</v>
      </c>
      <c r="D331" s="2">
        <v>0</v>
      </c>
      <c r="E331" s="2">
        <v>12.84</v>
      </c>
      <c r="F331" s="2">
        <v>7.43</v>
      </c>
      <c r="G331" s="2">
        <v>6.92</v>
      </c>
      <c r="H331" s="2" t="e">
        <f t="shared" si="20"/>
        <v>#NUM!</v>
      </c>
      <c r="I331" s="2">
        <f t="shared" si="21"/>
        <v>8.7426726265654973E-3</v>
      </c>
      <c r="J331" s="2" t="e">
        <f t="shared" si="22"/>
        <v>#NUM!</v>
      </c>
      <c r="K331">
        <f t="shared" si="23"/>
        <v>9.0633333333333326</v>
      </c>
    </row>
    <row r="332" spans="1:11" ht="13.9" x14ac:dyDescent="0.3">
      <c r="A332" s="2" t="s">
        <v>466</v>
      </c>
      <c r="B332" s="2">
        <v>0</v>
      </c>
      <c r="C332" s="2">
        <v>0</v>
      </c>
      <c r="D332" s="2">
        <v>0</v>
      </c>
      <c r="E332" s="2">
        <v>8.94</v>
      </c>
      <c r="F332" s="2">
        <v>14.08</v>
      </c>
      <c r="G332" s="2">
        <v>3.74</v>
      </c>
      <c r="H332" s="2" t="e">
        <f t="shared" si="20"/>
        <v>#NUM!</v>
      </c>
      <c r="I332" s="2">
        <f t="shared" si="21"/>
        <v>4.0403640347624427E-2</v>
      </c>
      <c r="J332" s="2" t="e">
        <f t="shared" si="22"/>
        <v>#NUM!</v>
      </c>
      <c r="K332">
        <f t="shared" si="23"/>
        <v>8.92</v>
      </c>
    </row>
    <row r="333" spans="1:11" ht="13.9" x14ac:dyDescent="0.3">
      <c r="A333" s="2" t="s">
        <v>877</v>
      </c>
      <c r="B333" s="2">
        <v>0</v>
      </c>
      <c r="C333" s="2">
        <v>0</v>
      </c>
      <c r="D333" s="2">
        <v>0</v>
      </c>
      <c r="E333" s="2">
        <v>6.17</v>
      </c>
      <c r="F333" s="2">
        <v>6.43</v>
      </c>
      <c r="G333" s="2">
        <v>10.55</v>
      </c>
      <c r="H333" s="2" t="e">
        <f t="shared" si="20"/>
        <v>#NUM!</v>
      </c>
      <c r="I333" s="2">
        <f t="shared" si="21"/>
        <v>5.5451234321560973E-3</v>
      </c>
      <c r="J333" s="2" t="e">
        <f t="shared" si="22"/>
        <v>#NUM!</v>
      </c>
      <c r="K333">
        <f t="shared" si="23"/>
        <v>7.7166666666666659</v>
      </c>
    </row>
    <row r="334" spans="1:11" ht="13.9" x14ac:dyDescent="0.3">
      <c r="A334" s="2" t="s">
        <v>118</v>
      </c>
      <c r="B334" s="2">
        <v>0</v>
      </c>
      <c r="C334" s="2">
        <v>0</v>
      </c>
      <c r="D334" s="2">
        <v>0</v>
      </c>
      <c r="E334" s="2">
        <v>2.64</v>
      </c>
      <c r="F334" s="2">
        <v>9.65</v>
      </c>
      <c r="G334" s="2">
        <v>8.85</v>
      </c>
      <c r="H334" s="2" t="e">
        <f t="shared" si="20"/>
        <v>#NUM!</v>
      </c>
      <c r="I334" s="2">
        <f t="shared" si="21"/>
        <v>3.3510822715860568E-2</v>
      </c>
      <c r="J334" s="2" t="e">
        <f t="shared" si="22"/>
        <v>#NUM!</v>
      </c>
      <c r="K334">
        <f t="shared" si="23"/>
        <v>7.0466666666666669</v>
      </c>
    </row>
    <row r="335" spans="1:11" ht="13.9" x14ac:dyDescent="0.3">
      <c r="A335" s="2" t="s">
        <v>258</v>
      </c>
      <c r="B335" s="2">
        <v>0</v>
      </c>
      <c r="C335" s="2">
        <v>0</v>
      </c>
      <c r="D335" s="2">
        <v>0</v>
      </c>
      <c r="E335" s="2">
        <v>7.93</v>
      </c>
      <c r="F335" s="2">
        <v>7.21</v>
      </c>
      <c r="G335" s="2">
        <v>5.22</v>
      </c>
      <c r="H335" s="2" t="e">
        <f t="shared" si="20"/>
        <v>#NUM!</v>
      </c>
      <c r="I335" s="2">
        <f t="shared" si="21"/>
        <v>1.1122606076481775E-3</v>
      </c>
      <c r="J335" s="2" t="e">
        <f t="shared" si="22"/>
        <v>#NUM!</v>
      </c>
      <c r="K335">
        <f t="shared" si="23"/>
        <v>6.7866666666666662</v>
      </c>
    </row>
    <row r="336" spans="1:11" ht="13.9" x14ac:dyDescent="0.3">
      <c r="A336" s="2" t="s">
        <v>94</v>
      </c>
      <c r="B336" s="2">
        <v>0</v>
      </c>
      <c r="C336" s="2">
        <v>0</v>
      </c>
      <c r="D336" s="2">
        <v>0</v>
      </c>
      <c r="E336" s="2">
        <v>4.41</v>
      </c>
      <c r="F336" s="2">
        <v>3.77</v>
      </c>
      <c r="G336" s="2">
        <v>9.08</v>
      </c>
      <c r="H336" s="2" t="e">
        <f t="shared" si="20"/>
        <v>#NUM!</v>
      </c>
      <c r="I336" s="2">
        <f t="shared" si="21"/>
        <v>2.6347304928499616E-2</v>
      </c>
      <c r="J336" s="2" t="e">
        <f t="shared" si="22"/>
        <v>#NUM!</v>
      </c>
      <c r="K336">
        <f t="shared" si="23"/>
        <v>5.753333333333333</v>
      </c>
    </row>
    <row r="337" spans="1:11" ht="13.9" x14ac:dyDescent="0.3">
      <c r="A337" s="2" t="s">
        <v>611</v>
      </c>
      <c r="B337" s="2">
        <v>0</v>
      </c>
      <c r="C337" s="2">
        <v>0</v>
      </c>
      <c r="D337" s="2">
        <v>0</v>
      </c>
      <c r="E337" s="2">
        <v>7.68</v>
      </c>
      <c r="F337" s="2">
        <v>3.33</v>
      </c>
      <c r="G337" s="2">
        <v>6.13</v>
      </c>
      <c r="H337" s="2" t="e">
        <f t="shared" si="20"/>
        <v>#NUM!</v>
      </c>
      <c r="I337" s="2">
        <f t="shared" si="21"/>
        <v>1.0918923596839315E-2</v>
      </c>
      <c r="J337" s="2" t="e">
        <f t="shared" si="22"/>
        <v>#NUM!</v>
      </c>
      <c r="K337">
        <f t="shared" si="23"/>
        <v>5.7133333333333338</v>
      </c>
    </row>
    <row r="338" spans="1:11" ht="13.9" x14ac:dyDescent="0.3">
      <c r="A338" s="8" t="s">
        <v>99</v>
      </c>
      <c r="B338" s="2">
        <v>0</v>
      </c>
      <c r="C338" s="2">
        <v>0</v>
      </c>
      <c r="D338" s="2">
        <v>0</v>
      </c>
      <c r="E338" s="2">
        <v>4.03</v>
      </c>
      <c r="F338" s="2">
        <v>3.1</v>
      </c>
      <c r="G338" s="2">
        <v>9.64</v>
      </c>
      <c r="H338" s="2" t="e">
        <f t="shared" si="20"/>
        <v>#NUM!</v>
      </c>
      <c r="I338" s="2">
        <f t="shared" si="21"/>
        <v>5.2090272011093029E-2</v>
      </c>
      <c r="J338" s="2" t="e">
        <f t="shared" si="22"/>
        <v>#NUM!</v>
      </c>
      <c r="K338">
        <f t="shared" si="23"/>
        <v>5.5900000000000007</v>
      </c>
    </row>
    <row r="339" spans="1:11" ht="13.9" x14ac:dyDescent="0.3">
      <c r="A339" s="2" t="s">
        <v>321</v>
      </c>
      <c r="B339" s="2">
        <v>0</v>
      </c>
      <c r="C339" s="2">
        <v>0</v>
      </c>
      <c r="D339" s="2">
        <v>0</v>
      </c>
      <c r="E339" s="2">
        <v>1.76</v>
      </c>
      <c r="F339" s="2">
        <v>6.21</v>
      </c>
      <c r="G339" s="2">
        <v>7.6</v>
      </c>
      <c r="H339" s="2" t="e">
        <f t="shared" si="20"/>
        <v>#NUM!</v>
      </c>
      <c r="I339" s="2">
        <f t="shared" si="21"/>
        <v>4.2108993988349851E-2</v>
      </c>
      <c r="J339" s="2" t="e">
        <f t="shared" si="22"/>
        <v>#NUM!</v>
      </c>
      <c r="K339">
        <f t="shared" si="23"/>
        <v>5.19</v>
      </c>
    </row>
    <row r="340" spans="1:11" ht="13.9" x14ac:dyDescent="0.3">
      <c r="A340" s="2" t="s">
        <v>40</v>
      </c>
      <c r="B340" s="2">
        <v>0</v>
      </c>
      <c r="C340" s="2">
        <v>0</v>
      </c>
      <c r="D340" s="2">
        <v>0</v>
      </c>
      <c r="E340" s="2">
        <v>4.91</v>
      </c>
      <c r="F340" s="2">
        <v>5.43</v>
      </c>
      <c r="G340" s="2">
        <v>4.54</v>
      </c>
      <c r="H340" s="2" t="e">
        <f t="shared" si="20"/>
        <v>#NUM!</v>
      </c>
      <c r="I340" s="2">
        <f t="shared" si="21"/>
        <v>4.3232081658567565E-5</v>
      </c>
      <c r="J340" s="2" t="e">
        <f t="shared" si="22"/>
        <v>#NUM!</v>
      </c>
      <c r="K340">
        <f t="shared" si="23"/>
        <v>4.96</v>
      </c>
    </row>
    <row r="341" spans="1:11" ht="13.9" x14ac:dyDescent="0.3">
      <c r="A341" s="2" t="s">
        <v>384</v>
      </c>
      <c r="B341" s="2">
        <v>0</v>
      </c>
      <c r="C341" s="2">
        <v>0</v>
      </c>
      <c r="D341" s="2">
        <v>0</v>
      </c>
      <c r="E341" s="2">
        <v>3.52</v>
      </c>
      <c r="F341" s="2">
        <v>4.88</v>
      </c>
      <c r="G341" s="2">
        <v>5.22</v>
      </c>
      <c r="H341" s="2" t="e">
        <f t="shared" si="20"/>
        <v>#NUM!</v>
      </c>
      <c r="I341" s="2">
        <f t="shared" si="21"/>
        <v>9.4368458112234575E-4</v>
      </c>
      <c r="J341" s="2" t="e">
        <f t="shared" si="22"/>
        <v>#NUM!</v>
      </c>
      <c r="K341">
        <f t="shared" si="23"/>
        <v>4.54</v>
      </c>
    </row>
    <row r="342" spans="1:11" ht="13.9" x14ac:dyDescent="0.3">
      <c r="A342" s="2" t="s">
        <v>203</v>
      </c>
      <c r="B342" s="2">
        <v>0</v>
      </c>
      <c r="C342" s="2">
        <v>0</v>
      </c>
      <c r="D342" s="2">
        <v>0</v>
      </c>
      <c r="E342" s="2">
        <v>5.54</v>
      </c>
      <c r="F342" s="2">
        <v>5.32</v>
      </c>
      <c r="G342" s="2">
        <v>2.38</v>
      </c>
      <c r="H342" s="2" t="e">
        <f t="shared" si="20"/>
        <v>#NUM!</v>
      </c>
      <c r="I342" s="2">
        <f t="shared" si="21"/>
        <v>1.2325057595245815E-2</v>
      </c>
      <c r="J342" s="2" t="e">
        <f t="shared" si="22"/>
        <v>#NUM!</v>
      </c>
      <c r="K342">
        <f t="shared" si="23"/>
        <v>4.4133333333333331</v>
      </c>
    </row>
    <row r="343" spans="1:11" ht="13.9" x14ac:dyDescent="0.3">
      <c r="A343" s="2" t="s">
        <v>126</v>
      </c>
      <c r="B343" s="2">
        <v>0</v>
      </c>
      <c r="C343" s="2">
        <v>0</v>
      </c>
      <c r="D343" s="2">
        <v>0</v>
      </c>
      <c r="E343" s="2">
        <v>4.1500000000000004</v>
      </c>
      <c r="F343" s="2">
        <v>5.54</v>
      </c>
      <c r="G343" s="2">
        <v>3.29</v>
      </c>
      <c r="H343" s="2" t="e">
        <f t="shared" si="20"/>
        <v>#NUM!</v>
      </c>
      <c r="I343" s="2">
        <f t="shared" si="21"/>
        <v>2.7297772245895077E-3</v>
      </c>
      <c r="J343" s="2" t="e">
        <f t="shared" si="22"/>
        <v>#NUM!</v>
      </c>
      <c r="K343">
        <f t="shared" si="23"/>
        <v>4.3266666666666671</v>
      </c>
    </row>
    <row r="344" spans="1:11" ht="13.9" x14ac:dyDescent="0.3">
      <c r="A344" s="2" t="s">
        <v>764</v>
      </c>
      <c r="B344" s="2">
        <v>0</v>
      </c>
      <c r="C344" s="2">
        <v>0</v>
      </c>
      <c r="D344" s="2">
        <v>0</v>
      </c>
      <c r="E344" s="2">
        <v>6.42</v>
      </c>
      <c r="F344" s="2">
        <v>2.66</v>
      </c>
      <c r="G344" s="2">
        <v>3.18</v>
      </c>
      <c r="H344" s="2" t="e">
        <f t="shared" si="20"/>
        <v>#NUM!</v>
      </c>
      <c r="I344" s="2">
        <f t="shared" si="21"/>
        <v>2.5485629905377765E-2</v>
      </c>
      <c r="J344" s="2" t="e">
        <f t="shared" si="22"/>
        <v>#NUM!</v>
      </c>
      <c r="K344">
        <f t="shared" si="23"/>
        <v>4.0866666666666669</v>
      </c>
    </row>
    <row r="345" spans="1:11" ht="13.9" x14ac:dyDescent="0.3">
      <c r="A345" s="2" t="s">
        <v>261</v>
      </c>
      <c r="B345" s="2">
        <v>0</v>
      </c>
      <c r="C345" s="2">
        <v>0</v>
      </c>
      <c r="D345" s="2">
        <v>0</v>
      </c>
      <c r="E345" s="2">
        <v>1.01</v>
      </c>
      <c r="F345" s="2">
        <v>4.7699999999999996</v>
      </c>
      <c r="G345" s="2">
        <v>5.67</v>
      </c>
      <c r="H345" s="2" t="e">
        <f t="shared" si="20"/>
        <v>#NUM!</v>
      </c>
      <c r="I345" s="2">
        <f t="shared" si="21"/>
        <v>5.5558572717991181E-2</v>
      </c>
      <c r="J345" s="2" t="e">
        <f t="shared" si="22"/>
        <v>#NUM!</v>
      </c>
      <c r="K345">
        <f t="shared" si="23"/>
        <v>3.8166666666666664</v>
      </c>
    </row>
    <row r="346" spans="1:11" ht="13.9" x14ac:dyDescent="0.3">
      <c r="A346" s="2" t="s">
        <v>942</v>
      </c>
      <c r="B346" s="2">
        <v>0</v>
      </c>
      <c r="C346" s="2">
        <v>0</v>
      </c>
      <c r="D346" s="2">
        <v>0</v>
      </c>
      <c r="E346" s="2">
        <v>2.64</v>
      </c>
      <c r="F346" s="2">
        <v>5.54</v>
      </c>
      <c r="G346" s="2">
        <v>2.61</v>
      </c>
      <c r="H346" s="2" t="e">
        <f t="shared" si="20"/>
        <v>#NUM!</v>
      </c>
      <c r="I346" s="2">
        <f t="shared" si="21"/>
        <v>2.080997959167322E-2</v>
      </c>
      <c r="J346" s="2" t="e">
        <f t="shared" si="22"/>
        <v>#NUM!</v>
      </c>
      <c r="K346">
        <f t="shared" si="23"/>
        <v>3.5966666666666662</v>
      </c>
    </row>
    <row r="347" spans="1:11" ht="13.9" x14ac:dyDescent="0.3">
      <c r="A347" s="2" t="s">
        <v>622</v>
      </c>
      <c r="B347" s="2">
        <v>0</v>
      </c>
      <c r="C347" s="2">
        <v>0</v>
      </c>
      <c r="D347" s="2">
        <v>0</v>
      </c>
      <c r="E347" s="2">
        <v>2.39</v>
      </c>
      <c r="F347" s="2">
        <v>7.43</v>
      </c>
      <c r="G347" s="2">
        <v>0</v>
      </c>
      <c r="H347" s="2" t="e">
        <f t="shared" si="20"/>
        <v>#NUM!</v>
      </c>
      <c r="I347" s="2">
        <f t="shared" si="21"/>
        <v>0.20928943449897661</v>
      </c>
      <c r="J347" s="2" t="e">
        <f t="shared" si="22"/>
        <v>#NUM!</v>
      </c>
      <c r="K347">
        <f t="shared" si="23"/>
        <v>3.2733333333333334</v>
      </c>
    </row>
    <row r="348" spans="1:11" ht="13.9" x14ac:dyDescent="0.3">
      <c r="A348" s="2" t="s">
        <v>341</v>
      </c>
      <c r="B348" s="2">
        <v>0</v>
      </c>
      <c r="C348" s="2">
        <v>0</v>
      </c>
      <c r="D348" s="2">
        <v>0</v>
      </c>
      <c r="E348" s="2">
        <v>4.66</v>
      </c>
      <c r="F348" s="2">
        <v>3.55</v>
      </c>
      <c r="G348" s="2">
        <v>1.02</v>
      </c>
      <c r="H348" s="2" t="e">
        <f t="shared" si="20"/>
        <v>#NUM!</v>
      </c>
      <c r="I348" s="2">
        <f t="shared" si="21"/>
        <v>4.6095077927927774E-2</v>
      </c>
      <c r="J348" s="2" t="e">
        <f t="shared" si="22"/>
        <v>#NUM!</v>
      </c>
      <c r="K348">
        <f t="shared" si="23"/>
        <v>3.0766666666666667</v>
      </c>
    </row>
    <row r="349" spans="1:11" ht="13.9" x14ac:dyDescent="0.3">
      <c r="A349" s="2" t="s">
        <v>416</v>
      </c>
      <c r="B349" s="2">
        <v>0</v>
      </c>
      <c r="C349" s="2">
        <v>0</v>
      </c>
      <c r="D349" s="2">
        <v>0</v>
      </c>
      <c r="E349" s="2">
        <v>1.89</v>
      </c>
      <c r="F349" s="2">
        <v>2.2200000000000002</v>
      </c>
      <c r="G349" s="2">
        <v>4.88</v>
      </c>
      <c r="H349" s="2" t="e">
        <f t="shared" si="20"/>
        <v>#NUM!</v>
      </c>
      <c r="I349" s="2">
        <f t="shared" si="21"/>
        <v>3.3983276216319462E-2</v>
      </c>
      <c r="J349" s="2" t="e">
        <f t="shared" si="22"/>
        <v>#NUM!</v>
      </c>
      <c r="K349">
        <f t="shared" si="23"/>
        <v>2.9966666666666666</v>
      </c>
    </row>
    <row r="350" spans="1:11" ht="13.9" x14ac:dyDescent="0.3">
      <c r="A350" s="2" t="s">
        <v>43</v>
      </c>
      <c r="B350" s="2">
        <v>0</v>
      </c>
      <c r="C350" s="2">
        <v>0</v>
      </c>
      <c r="D350" s="2">
        <v>0</v>
      </c>
      <c r="E350" s="2">
        <v>2.0099999999999998</v>
      </c>
      <c r="F350" s="2">
        <v>2.88</v>
      </c>
      <c r="G350" s="2">
        <v>3.86</v>
      </c>
      <c r="H350" s="2" t="e">
        <f t="shared" si="20"/>
        <v>#NUM!</v>
      </c>
      <c r="I350" s="2">
        <f t="shared" si="21"/>
        <v>5.4767195392989715E-3</v>
      </c>
      <c r="J350" s="2" t="e">
        <f t="shared" si="22"/>
        <v>#NUM!</v>
      </c>
      <c r="K350">
        <f t="shared" si="23"/>
        <v>2.9166666666666665</v>
      </c>
    </row>
    <row r="351" spans="1:11" ht="13.9" x14ac:dyDescent="0.3">
      <c r="A351" s="2" t="s">
        <v>730</v>
      </c>
      <c r="B351" s="2">
        <v>0</v>
      </c>
      <c r="C351" s="2">
        <v>0</v>
      </c>
      <c r="D351" s="2">
        <v>0</v>
      </c>
      <c r="E351" s="2">
        <v>1.89</v>
      </c>
      <c r="F351" s="2">
        <v>4.7699999999999996</v>
      </c>
      <c r="G351" s="2">
        <v>1.47</v>
      </c>
      <c r="H351" s="2" t="e">
        <f t="shared" si="20"/>
        <v>#NUM!</v>
      </c>
      <c r="I351" s="2">
        <f t="shared" si="21"/>
        <v>5.923133771277924E-2</v>
      </c>
      <c r="J351" s="2" t="e">
        <f t="shared" si="22"/>
        <v>#NUM!</v>
      </c>
      <c r="K351">
        <f t="shared" si="23"/>
        <v>2.7099999999999995</v>
      </c>
    </row>
    <row r="352" spans="1:11" ht="13.9" x14ac:dyDescent="0.3">
      <c r="A352" s="2" t="s">
        <v>394</v>
      </c>
      <c r="B352" s="2">
        <v>0</v>
      </c>
      <c r="C352" s="2">
        <v>0</v>
      </c>
      <c r="D352" s="2">
        <v>0</v>
      </c>
      <c r="E352" s="2">
        <v>3.27</v>
      </c>
      <c r="F352" s="2">
        <v>1.33</v>
      </c>
      <c r="G352" s="2">
        <v>3.52</v>
      </c>
      <c r="H352" s="2" t="e">
        <f t="shared" si="20"/>
        <v>#NUM!</v>
      </c>
      <c r="I352" s="2">
        <f t="shared" si="21"/>
        <v>1.7382565833248844E-2</v>
      </c>
      <c r="J352" s="2" t="e">
        <f t="shared" si="22"/>
        <v>#NUM!</v>
      </c>
      <c r="K352">
        <f t="shared" si="23"/>
        <v>2.7066666666666666</v>
      </c>
    </row>
    <row r="353" spans="1:11" ht="13.9" x14ac:dyDescent="0.3">
      <c r="A353" s="2" t="s">
        <v>721</v>
      </c>
      <c r="B353" s="2">
        <v>0</v>
      </c>
      <c r="C353" s="2">
        <v>0</v>
      </c>
      <c r="D353" s="2">
        <v>0</v>
      </c>
      <c r="E353" s="2">
        <v>2.39</v>
      </c>
      <c r="F353" s="2">
        <v>2.77</v>
      </c>
      <c r="G353" s="2">
        <v>2.95</v>
      </c>
      <c r="H353" s="2" t="e">
        <f t="shared" si="20"/>
        <v>#NUM!</v>
      </c>
      <c r="I353" s="2">
        <f t="shared" si="21"/>
        <v>8.1356341394483455E-5</v>
      </c>
      <c r="J353" s="2" t="e">
        <f t="shared" si="22"/>
        <v>#NUM!</v>
      </c>
      <c r="K353">
        <f t="shared" si="23"/>
        <v>2.7033333333333331</v>
      </c>
    </row>
    <row r="354" spans="1:11" ht="13.9" x14ac:dyDescent="0.3">
      <c r="A354" s="2" t="s">
        <v>576</v>
      </c>
      <c r="B354" s="2">
        <v>0</v>
      </c>
      <c r="C354" s="2">
        <v>0</v>
      </c>
      <c r="D354" s="2">
        <v>0</v>
      </c>
      <c r="E354" s="2">
        <v>2.14</v>
      </c>
      <c r="F354" s="2">
        <v>3.1</v>
      </c>
      <c r="G354" s="2">
        <v>2.61</v>
      </c>
      <c r="H354" s="2" t="e">
        <f t="shared" si="20"/>
        <v>#NUM!</v>
      </c>
      <c r="I354" s="2">
        <f t="shared" si="21"/>
        <v>7.0178480621611568E-4</v>
      </c>
      <c r="J354" s="2" t="e">
        <f t="shared" si="22"/>
        <v>#NUM!</v>
      </c>
      <c r="K354">
        <f t="shared" si="23"/>
        <v>2.6166666666666667</v>
      </c>
    </row>
    <row r="355" spans="1:11" ht="13.9" x14ac:dyDescent="0.3">
      <c r="A355" s="2" t="s">
        <v>935</v>
      </c>
      <c r="B355" s="2">
        <v>0</v>
      </c>
      <c r="C355" s="2">
        <v>0</v>
      </c>
      <c r="D355" s="2">
        <v>0</v>
      </c>
      <c r="E355" s="2">
        <v>5.41</v>
      </c>
      <c r="F355" s="2">
        <v>0.67</v>
      </c>
      <c r="G355" s="2">
        <v>1.47</v>
      </c>
      <c r="H355" s="2" t="e">
        <f t="shared" si="20"/>
        <v>#NUM!</v>
      </c>
      <c r="I355" s="2">
        <f t="shared" si="21"/>
        <v>0.16094890290174124</v>
      </c>
      <c r="J355" s="2" t="e">
        <f t="shared" si="22"/>
        <v>#NUM!</v>
      </c>
      <c r="K355">
        <f t="shared" si="23"/>
        <v>2.5166666666666666</v>
      </c>
    </row>
    <row r="356" spans="1:11" ht="13.9" x14ac:dyDescent="0.3">
      <c r="A356" s="2" t="s">
        <v>610</v>
      </c>
      <c r="B356" s="2">
        <v>0</v>
      </c>
      <c r="C356" s="2">
        <v>0</v>
      </c>
      <c r="D356" s="2">
        <v>0</v>
      </c>
      <c r="E356" s="2">
        <v>3.27</v>
      </c>
      <c r="F356" s="2">
        <v>3.55</v>
      </c>
      <c r="G356" s="2">
        <v>0</v>
      </c>
      <c r="H356" s="2" t="e">
        <f t="shared" si="20"/>
        <v>#NUM!</v>
      </c>
      <c r="I356" s="2">
        <f t="shared" si="21"/>
        <v>0.11678653102211486</v>
      </c>
      <c r="J356" s="2" t="e">
        <f t="shared" si="22"/>
        <v>#NUM!</v>
      </c>
      <c r="K356">
        <f t="shared" si="23"/>
        <v>2.2733333333333334</v>
      </c>
    </row>
    <row r="357" spans="1:11" ht="13.9" x14ac:dyDescent="0.3">
      <c r="A357" s="2" t="s">
        <v>138</v>
      </c>
      <c r="B357" s="2">
        <v>0</v>
      </c>
      <c r="C357" s="2">
        <v>0</v>
      </c>
      <c r="D357" s="2">
        <v>0</v>
      </c>
      <c r="E357" s="2">
        <v>2.0099999999999998</v>
      </c>
      <c r="F357" s="2">
        <v>2.2200000000000002</v>
      </c>
      <c r="G357" s="2">
        <v>2.16</v>
      </c>
      <c r="H357" s="2" t="e">
        <f t="shared" si="20"/>
        <v>#NUM!</v>
      </c>
      <c r="I357" s="2">
        <f t="shared" si="21"/>
        <v>4.4083624419355822E-6</v>
      </c>
      <c r="J357" s="2" t="e">
        <f t="shared" si="22"/>
        <v>#NUM!</v>
      </c>
      <c r="K357">
        <f t="shared" si="23"/>
        <v>2.1300000000000003</v>
      </c>
    </row>
    <row r="358" spans="1:11" ht="13.9" x14ac:dyDescent="0.3">
      <c r="A358" s="2" t="s">
        <v>360</v>
      </c>
      <c r="B358" s="2">
        <v>0</v>
      </c>
      <c r="C358" s="2">
        <v>0</v>
      </c>
      <c r="D358" s="2">
        <v>0</v>
      </c>
      <c r="E358" s="2">
        <v>3.65</v>
      </c>
      <c r="F358" s="2">
        <v>1.1100000000000001</v>
      </c>
      <c r="G358" s="2">
        <v>1.36</v>
      </c>
      <c r="H358" s="2" t="e">
        <f t="shared" si="20"/>
        <v>#NUM!</v>
      </c>
      <c r="I358" s="2">
        <f t="shared" si="21"/>
        <v>6.50762374985632E-2</v>
      </c>
      <c r="J358" s="2" t="e">
        <f t="shared" si="22"/>
        <v>#NUM!</v>
      </c>
      <c r="K358">
        <f t="shared" si="23"/>
        <v>2.04</v>
      </c>
    </row>
    <row r="359" spans="1:11" ht="13.9" x14ac:dyDescent="0.3">
      <c r="A359" s="2" t="s">
        <v>590</v>
      </c>
      <c r="B359" s="2">
        <v>0</v>
      </c>
      <c r="C359" s="2">
        <v>0</v>
      </c>
      <c r="D359" s="2">
        <v>0</v>
      </c>
      <c r="E359" s="2">
        <v>0</v>
      </c>
      <c r="F359" s="2">
        <v>3.33</v>
      </c>
      <c r="G359" s="2">
        <v>2.5</v>
      </c>
      <c r="H359" s="2" t="e">
        <f t="shared" si="20"/>
        <v>#NUM!</v>
      </c>
      <c r="I359" s="2">
        <f t="shared" si="21"/>
        <v>0.12411551493311354</v>
      </c>
      <c r="J359" s="2" t="e">
        <f t="shared" si="22"/>
        <v>#NUM!</v>
      </c>
      <c r="K359">
        <f t="shared" si="23"/>
        <v>1.9433333333333334</v>
      </c>
    </row>
    <row r="360" spans="1:11" ht="13.9" x14ac:dyDescent="0.3">
      <c r="A360" s="2" t="s">
        <v>102</v>
      </c>
      <c r="B360" s="2">
        <v>0</v>
      </c>
      <c r="C360" s="2">
        <v>0</v>
      </c>
      <c r="D360" s="2">
        <v>0</v>
      </c>
      <c r="E360" s="2">
        <v>2.0099999999999998</v>
      </c>
      <c r="F360" s="2">
        <v>2.44</v>
      </c>
      <c r="G360" s="2">
        <v>1.25</v>
      </c>
      <c r="H360" s="2" t="e">
        <f t="shared" si="20"/>
        <v>#NUM!</v>
      </c>
      <c r="I360" s="2">
        <f t="shared" si="21"/>
        <v>5.4653178450128634E-3</v>
      </c>
      <c r="J360" s="2" t="e">
        <f t="shared" si="22"/>
        <v>#NUM!</v>
      </c>
      <c r="K360">
        <f t="shared" si="23"/>
        <v>1.8999999999999997</v>
      </c>
    </row>
    <row r="361" spans="1:11" ht="13.9" x14ac:dyDescent="0.3">
      <c r="A361" s="2" t="s">
        <v>811</v>
      </c>
      <c r="B361" s="2">
        <v>0</v>
      </c>
      <c r="C361" s="2">
        <v>0</v>
      </c>
      <c r="D361" s="2">
        <v>0</v>
      </c>
      <c r="E361" s="2">
        <v>2.64</v>
      </c>
      <c r="F361" s="2">
        <v>2.44</v>
      </c>
      <c r="G361" s="2">
        <v>0.56999999999999995</v>
      </c>
      <c r="H361" s="2" t="e">
        <f t="shared" si="20"/>
        <v>#NUM!</v>
      </c>
      <c r="I361" s="2">
        <f t="shared" si="21"/>
        <v>4.6068850482169299E-2</v>
      </c>
      <c r="J361" s="2" t="e">
        <f t="shared" si="22"/>
        <v>#NUM!</v>
      </c>
      <c r="K361">
        <f t="shared" si="23"/>
        <v>1.8833333333333335</v>
      </c>
    </row>
    <row r="362" spans="1:11" ht="13.9" x14ac:dyDescent="0.3">
      <c r="A362" s="2" t="s">
        <v>334</v>
      </c>
      <c r="B362" s="2">
        <v>0</v>
      </c>
      <c r="C362" s="2">
        <v>0</v>
      </c>
      <c r="D362" s="2">
        <v>0</v>
      </c>
      <c r="E362" s="2">
        <v>2.27</v>
      </c>
      <c r="F362" s="2">
        <v>2.99</v>
      </c>
      <c r="G362" s="2">
        <v>0.34</v>
      </c>
      <c r="H362" s="2" t="e">
        <f t="shared" si="20"/>
        <v>#NUM!</v>
      </c>
      <c r="I362" s="2">
        <f t="shared" si="21"/>
        <v>7.7704357656269762E-2</v>
      </c>
      <c r="J362" s="2" t="e">
        <f t="shared" si="22"/>
        <v>#NUM!</v>
      </c>
      <c r="K362">
        <f t="shared" si="23"/>
        <v>1.8666666666666665</v>
      </c>
    </row>
    <row r="363" spans="1:11" ht="13.9" x14ac:dyDescent="0.3">
      <c r="A363" s="2" t="s">
        <v>543</v>
      </c>
      <c r="B363" s="2">
        <v>0</v>
      </c>
      <c r="C363" s="2">
        <v>0</v>
      </c>
      <c r="D363" s="2">
        <v>0</v>
      </c>
      <c r="E363" s="2">
        <v>3.02</v>
      </c>
      <c r="F363" s="2">
        <v>1.66</v>
      </c>
      <c r="G363" s="2">
        <v>0.91</v>
      </c>
      <c r="H363" s="2" t="e">
        <f t="shared" si="20"/>
        <v>#NUM!</v>
      </c>
      <c r="I363" s="2">
        <f t="shared" si="21"/>
        <v>3.9263743402019269E-2</v>
      </c>
      <c r="J363" s="2" t="e">
        <f t="shared" si="22"/>
        <v>#NUM!</v>
      </c>
      <c r="K363">
        <f t="shared" si="23"/>
        <v>1.8633333333333333</v>
      </c>
    </row>
    <row r="364" spans="1:11" ht="13.9" x14ac:dyDescent="0.3">
      <c r="A364" s="2" t="s">
        <v>695</v>
      </c>
      <c r="B364" s="2">
        <v>0</v>
      </c>
      <c r="C364" s="2">
        <v>0</v>
      </c>
      <c r="D364" s="2">
        <v>0</v>
      </c>
      <c r="E364" s="2">
        <v>2.0099999999999998</v>
      </c>
      <c r="F364" s="2">
        <v>0.89</v>
      </c>
      <c r="G364" s="2">
        <v>2.61</v>
      </c>
      <c r="H364" s="2" t="e">
        <f t="shared" si="20"/>
        <v>#NUM!</v>
      </c>
      <c r="I364" s="2">
        <f t="shared" si="21"/>
        <v>2.1887602369510026E-2</v>
      </c>
      <c r="J364" s="2" t="e">
        <f t="shared" si="22"/>
        <v>#NUM!</v>
      </c>
      <c r="K364">
        <f t="shared" si="23"/>
        <v>1.8366666666666667</v>
      </c>
    </row>
    <row r="365" spans="1:11" ht="13.9" x14ac:dyDescent="0.3">
      <c r="A365" s="2" t="s">
        <v>409</v>
      </c>
      <c r="B365" s="2">
        <v>0</v>
      </c>
      <c r="C365" s="2">
        <v>0</v>
      </c>
      <c r="D365" s="2">
        <v>0</v>
      </c>
      <c r="E365" s="2">
        <v>1.76</v>
      </c>
      <c r="F365" s="2">
        <v>1.89</v>
      </c>
      <c r="G365" s="2">
        <v>1.82</v>
      </c>
      <c r="H365" s="2" t="e">
        <f t="shared" si="20"/>
        <v>#NUM!</v>
      </c>
      <c r="I365" s="2">
        <f t="shared" si="21"/>
        <v>1.0779074407182297E-6</v>
      </c>
      <c r="J365" s="2" t="e">
        <f t="shared" si="22"/>
        <v>#NUM!</v>
      </c>
      <c r="K365">
        <f t="shared" si="23"/>
        <v>1.8233333333333333</v>
      </c>
    </row>
    <row r="366" spans="1:11" ht="13.9" x14ac:dyDescent="0.3">
      <c r="A366" s="2" t="s">
        <v>834</v>
      </c>
      <c r="B366" s="2">
        <v>0</v>
      </c>
      <c r="C366" s="2">
        <v>0</v>
      </c>
      <c r="D366" s="2">
        <v>0</v>
      </c>
      <c r="E366" s="2">
        <v>0.88</v>
      </c>
      <c r="F366" s="2">
        <v>3.22</v>
      </c>
      <c r="G366" s="2">
        <v>1.02</v>
      </c>
      <c r="H366" s="2" t="e">
        <f t="shared" si="20"/>
        <v>#NUM!</v>
      </c>
      <c r="I366" s="2">
        <f t="shared" si="21"/>
        <v>8.7422592499105486E-2</v>
      </c>
      <c r="J366" s="2" t="e">
        <f t="shared" si="22"/>
        <v>#NUM!</v>
      </c>
      <c r="K366">
        <f t="shared" si="23"/>
        <v>1.706666666666667</v>
      </c>
    </row>
    <row r="367" spans="1:11" ht="13.9" x14ac:dyDescent="0.3">
      <c r="A367" s="2" t="s">
        <v>858</v>
      </c>
      <c r="B367" s="2">
        <v>0</v>
      </c>
      <c r="C367" s="2">
        <v>0</v>
      </c>
      <c r="D367" s="2">
        <v>0</v>
      </c>
      <c r="E367" s="2">
        <v>3.4</v>
      </c>
      <c r="F367" s="2">
        <v>0.78</v>
      </c>
      <c r="G367" s="2">
        <v>0.79</v>
      </c>
      <c r="H367" s="2" t="e">
        <f t="shared" si="20"/>
        <v>#NUM!</v>
      </c>
      <c r="I367" s="2">
        <f t="shared" si="21"/>
        <v>0.13015427583421335</v>
      </c>
      <c r="J367" s="2" t="e">
        <f t="shared" si="22"/>
        <v>#NUM!</v>
      </c>
      <c r="K367">
        <f t="shared" si="23"/>
        <v>1.6566666666666665</v>
      </c>
    </row>
    <row r="368" spans="1:11" ht="13.9" x14ac:dyDescent="0.3">
      <c r="A368" s="2" t="s">
        <v>693</v>
      </c>
      <c r="B368" s="2">
        <v>0</v>
      </c>
      <c r="C368" s="2">
        <v>0</v>
      </c>
      <c r="D368" s="2">
        <v>0</v>
      </c>
      <c r="E368" s="2">
        <v>2.77</v>
      </c>
      <c r="F368" s="2">
        <v>1.22</v>
      </c>
      <c r="G368" s="2">
        <v>0.79</v>
      </c>
      <c r="H368" s="2" t="e">
        <f t="shared" si="20"/>
        <v>#NUM!</v>
      </c>
      <c r="I368" s="2">
        <f t="shared" si="21"/>
        <v>5.6989080753757838E-2</v>
      </c>
      <c r="J368" s="2" t="e">
        <f t="shared" si="22"/>
        <v>#NUM!</v>
      </c>
      <c r="K368">
        <f t="shared" si="23"/>
        <v>1.5933333333333335</v>
      </c>
    </row>
    <row r="369" spans="1:11" ht="13.9" x14ac:dyDescent="0.3">
      <c r="A369" s="2" t="s">
        <v>453</v>
      </c>
      <c r="B369" s="2">
        <v>0</v>
      </c>
      <c r="C369" s="2">
        <v>0</v>
      </c>
      <c r="D369" s="2">
        <v>0</v>
      </c>
      <c r="E369" s="2">
        <v>1.51</v>
      </c>
      <c r="F369" s="2">
        <v>2.33</v>
      </c>
      <c r="G369" s="2">
        <v>0.91</v>
      </c>
      <c r="H369" s="2" t="e">
        <f t="shared" si="20"/>
        <v>#NUM!</v>
      </c>
      <c r="I369" s="2">
        <f t="shared" si="21"/>
        <v>1.8346467139492572E-2</v>
      </c>
      <c r="J369" s="2" t="e">
        <f t="shared" si="22"/>
        <v>#NUM!</v>
      </c>
      <c r="K369">
        <f t="shared" si="23"/>
        <v>1.5833333333333333</v>
      </c>
    </row>
    <row r="370" spans="1:11" ht="13.9" x14ac:dyDescent="0.3">
      <c r="A370" s="2" t="s">
        <v>497</v>
      </c>
      <c r="B370" s="2">
        <v>0</v>
      </c>
      <c r="C370" s="2">
        <v>0</v>
      </c>
      <c r="D370" s="2">
        <v>0</v>
      </c>
      <c r="E370" s="2">
        <v>1.64</v>
      </c>
      <c r="F370" s="2">
        <v>1.66</v>
      </c>
      <c r="G370" s="2">
        <v>1.25</v>
      </c>
      <c r="H370" s="2" t="e">
        <f t="shared" si="20"/>
        <v>#NUM!</v>
      </c>
      <c r="I370" s="2">
        <f t="shared" si="21"/>
        <v>3.418853321005807E-4</v>
      </c>
      <c r="J370" s="2" t="e">
        <f t="shared" si="22"/>
        <v>#NUM!</v>
      </c>
      <c r="K370">
        <f t="shared" si="23"/>
        <v>1.5166666666666666</v>
      </c>
    </row>
    <row r="371" spans="1:11" ht="13.9" x14ac:dyDescent="0.3">
      <c r="A371" s="2" t="s">
        <v>98</v>
      </c>
      <c r="B371" s="2">
        <v>0</v>
      </c>
      <c r="C371" s="2">
        <v>0</v>
      </c>
      <c r="D371" s="2">
        <v>0</v>
      </c>
      <c r="E371" s="2">
        <v>0</v>
      </c>
      <c r="F371" s="2">
        <v>1.77</v>
      </c>
      <c r="G371" s="2">
        <v>2.38</v>
      </c>
      <c r="H371" s="2" t="e">
        <f t="shared" si="20"/>
        <v>#NUM!</v>
      </c>
      <c r="I371" s="2">
        <f t="shared" si="21"/>
        <v>0.12463868886538043</v>
      </c>
      <c r="J371" s="2" t="e">
        <f t="shared" si="22"/>
        <v>#NUM!</v>
      </c>
      <c r="K371">
        <f t="shared" si="23"/>
        <v>1.3833333333333335</v>
      </c>
    </row>
    <row r="372" spans="1:11" ht="13.9" x14ac:dyDescent="0.3">
      <c r="A372" s="2" t="s">
        <v>612</v>
      </c>
      <c r="B372" s="2">
        <v>0</v>
      </c>
      <c r="C372" s="2">
        <v>0</v>
      </c>
      <c r="D372" s="2">
        <v>0</v>
      </c>
      <c r="E372" s="2">
        <v>1.38</v>
      </c>
      <c r="F372" s="2">
        <v>1.1100000000000001</v>
      </c>
      <c r="G372" s="2">
        <v>1.36</v>
      </c>
      <c r="H372" s="2" t="e">
        <f t="shared" si="20"/>
        <v>#NUM!</v>
      </c>
      <c r="I372" s="2">
        <f t="shared" si="21"/>
        <v>1.2215182652662847E-4</v>
      </c>
      <c r="J372" s="2" t="e">
        <f t="shared" si="22"/>
        <v>#NUM!</v>
      </c>
      <c r="K372">
        <f t="shared" si="23"/>
        <v>1.2833333333333334</v>
      </c>
    </row>
    <row r="373" spans="1:11" ht="13.9" x14ac:dyDescent="0.3">
      <c r="A373" s="2" t="s">
        <v>895</v>
      </c>
      <c r="B373" s="2">
        <v>0</v>
      </c>
      <c r="C373" s="2">
        <v>0</v>
      </c>
      <c r="D373" s="2">
        <v>0</v>
      </c>
      <c r="E373" s="2">
        <v>2.52</v>
      </c>
      <c r="F373" s="2">
        <v>0.44</v>
      </c>
      <c r="G373" s="2">
        <v>0.79</v>
      </c>
      <c r="H373" s="2" t="e">
        <f t="shared" si="20"/>
        <v>#NUM!</v>
      </c>
      <c r="I373" s="2">
        <f t="shared" si="21"/>
        <v>0.12380015289281761</v>
      </c>
      <c r="J373" s="2" t="e">
        <f t="shared" si="22"/>
        <v>#NUM!</v>
      </c>
      <c r="K373">
        <f t="shared" si="23"/>
        <v>1.25</v>
      </c>
    </row>
    <row r="374" spans="1:11" ht="13.9" x14ac:dyDescent="0.3">
      <c r="A374" s="2" t="s">
        <v>101</v>
      </c>
      <c r="B374" s="2">
        <v>0</v>
      </c>
      <c r="C374" s="2">
        <v>0</v>
      </c>
      <c r="D374" s="2">
        <v>0</v>
      </c>
      <c r="E374" s="2">
        <v>1.01</v>
      </c>
      <c r="F374" s="2">
        <v>2.66</v>
      </c>
      <c r="G374" s="2">
        <v>0</v>
      </c>
      <c r="H374" s="2" t="e">
        <f t="shared" si="20"/>
        <v>#NUM!</v>
      </c>
      <c r="I374" s="2">
        <f t="shared" si="21"/>
        <v>0.18970714206208195</v>
      </c>
      <c r="J374" s="2" t="e">
        <f t="shared" si="22"/>
        <v>#NUM!</v>
      </c>
      <c r="K374">
        <f t="shared" si="23"/>
        <v>1.2233333333333334</v>
      </c>
    </row>
    <row r="375" spans="1:11" ht="13.9" x14ac:dyDescent="0.3">
      <c r="A375" s="2" t="s">
        <v>195</v>
      </c>
      <c r="B375" s="2">
        <v>0</v>
      </c>
      <c r="C375" s="2">
        <v>0</v>
      </c>
      <c r="D375" s="2">
        <v>0</v>
      </c>
      <c r="E375" s="2">
        <v>1.64</v>
      </c>
      <c r="F375" s="2">
        <v>0.44</v>
      </c>
      <c r="G375" s="2">
        <v>1.59</v>
      </c>
      <c r="H375" s="2" t="e">
        <f t="shared" si="20"/>
        <v>#NUM!</v>
      </c>
      <c r="I375" s="2">
        <f t="shared" si="21"/>
        <v>3.5482524604482292E-2</v>
      </c>
      <c r="J375" s="2" t="e">
        <f t="shared" si="22"/>
        <v>#NUM!</v>
      </c>
      <c r="K375">
        <f t="shared" si="23"/>
        <v>1.2233333333333334</v>
      </c>
    </row>
    <row r="376" spans="1:11" ht="13.9" x14ac:dyDescent="0.3">
      <c r="A376" s="2" t="s">
        <v>219</v>
      </c>
      <c r="B376" s="2">
        <v>0</v>
      </c>
      <c r="C376" s="2">
        <v>0</v>
      </c>
      <c r="D376" s="2">
        <v>0</v>
      </c>
      <c r="E376" s="2">
        <v>0.63</v>
      </c>
      <c r="F376" s="2">
        <v>1.89</v>
      </c>
      <c r="G376" s="2">
        <v>1.1299999999999999</v>
      </c>
      <c r="H376" s="2" t="e">
        <f t="shared" si="20"/>
        <v>#NUM!</v>
      </c>
      <c r="I376" s="2">
        <f t="shared" si="21"/>
        <v>2.9338025079515145E-2</v>
      </c>
      <c r="J376" s="2" t="e">
        <f t="shared" si="22"/>
        <v>#NUM!</v>
      </c>
      <c r="K376">
        <f t="shared" si="23"/>
        <v>1.2166666666666666</v>
      </c>
    </row>
    <row r="377" spans="1:11" ht="13.9" x14ac:dyDescent="0.3">
      <c r="A377" s="2" t="s">
        <v>663</v>
      </c>
      <c r="B377" s="2">
        <v>0</v>
      </c>
      <c r="C377" s="2">
        <v>0</v>
      </c>
      <c r="D377" s="2">
        <v>0</v>
      </c>
      <c r="E377" s="2">
        <v>0.63</v>
      </c>
      <c r="F377" s="2">
        <v>2.2200000000000002</v>
      </c>
      <c r="G377" s="2">
        <v>0.79</v>
      </c>
      <c r="H377" s="2" t="e">
        <f t="shared" si="20"/>
        <v>#NUM!</v>
      </c>
      <c r="I377" s="2">
        <f t="shared" si="21"/>
        <v>7.4315190282351562E-2</v>
      </c>
      <c r="J377" s="2" t="e">
        <f t="shared" si="22"/>
        <v>#NUM!</v>
      </c>
      <c r="K377">
        <f t="shared" si="23"/>
        <v>1.2133333333333334</v>
      </c>
    </row>
    <row r="378" spans="1:11" ht="13.9" x14ac:dyDescent="0.3">
      <c r="A378" s="2" t="s">
        <v>678</v>
      </c>
      <c r="B378" s="2">
        <v>0</v>
      </c>
      <c r="C378" s="2">
        <v>0</v>
      </c>
      <c r="D378" s="2">
        <v>0</v>
      </c>
      <c r="E378" s="2">
        <v>1.38</v>
      </c>
      <c r="F378" s="2">
        <v>0.78</v>
      </c>
      <c r="G378" s="2">
        <v>1.36</v>
      </c>
      <c r="H378" s="2" t="e">
        <f t="shared" si="20"/>
        <v>#NUM!</v>
      </c>
      <c r="I378" s="2">
        <f t="shared" si="21"/>
        <v>3.9702229204604906E-3</v>
      </c>
      <c r="J378" s="2" t="e">
        <f t="shared" si="22"/>
        <v>#NUM!</v>
      </c>
      <c r="K378">
        <f t="shared" si="23"/>
        <v>1.1733333333333336</v>
      </c>
    </row>
    <row r="379" spans="1:11" ht="13.9" x14ac:dyDescent="0.3">
      <c r="A379" s="2" t="s">
        <v>584</v>
      </c>
      <c r="B379" s="2">
        <v>0</v>
      </c>
      <c r="C379" s="2">
        <v>0</v>
      </c>
      <c r="D379" s="2">
        <v>0</v>
      </c>
      <c r="E379" s="2">
        <v>1.89</v>
      </c>
      <c r="F379" s="2">
        <v>0.89</v>
      </c>
      <c r="G379" s="2">
        <v>0.68</v>
      </c>
      <c r="H379" s="2" t="e">
        <f t="shared" si="20"/>
        <v>#NUM!</v>
      </c>
      <c r="I379" s="2">
        <f t="shared" si="21"/>
        <v>3.6586579779243344E-2</v>
      </c>
      <c r="J379" s="2" t="e">
        <f t="shared" si="22"/>
        <v>#NUM!</v>
      </c>
      <c r="K379">
        <f t="shared" si="23"/>
        <v>1.1533333333333333</v>
      </c>
    </row>
    <row r="380" spans="1:11" ht="13.9" x14ac:dyDescent="0.3">
      <c r="A380" s="2" t="s">
        <v>437</v>
      </c>
      <c r="B380" s="2">
        <v>0</v>
      </c>
      <c r="C380" s="2">
        <v>0</v>
      </c>
      <c r="D380" s="2">
        <v>0</v>
      </c>
      <c r="E380" s="2">
        <v>0.63</v>
      </c>
      <c r="F380" s="2">
        <v>0</v>
      </c>
      <c r="G380" s="2">
        <v>2.72</v>
      </c>
      <c r="H380" s="2" t="e">
        <f t="shared" si="20"/>
        <v>#NUM!</v>
      </c>
      <c r="I380" s="2">
        <f t="shared" si="21"/>
        <v>0.24589430559700179</v>
      </c>
      <c r="J380" s="2" t="e">
        <f t="shared" si="22"/>
        <v>#NUM!</v>
      </c>
      <c r="K380">
        <f t="shared" si="23"/>
        <v>1.1166666666666667</v>
      </c>
    </row>
    <row r="381" spans="1:11" ht="13.9" x14ac:dyDescent="0.3">
      <c r="A381" s="2" t="s">
        <v>338</v>
      </c>
      <c r="B381" s="2">
        <v>0</v>
      </c>
      <c r="C381" s="2">
        <v>0</v>
      </c>
      <c r="D381" s="2">
        <v>0</v>
      </c>
      <c r="E381" s="2">
        <v>0.63</v>
      </c>
      <c r="F381" s="2">
        <v>0.11</v>
      </c>
      <c r="G381" s="2">
        <v>2.61</v>
      </c>
      <c r="H381" s="2" t="e">
        <f t="shared" si="20"/>
        <v>#NUM!</v>
      </c>
      <c r="I381" s="2">
        <f t="shared" si="21"/>
        <v>0.21647733292724586</v>
      </c>
      <c r="J381" s="2" t="e">
        <f t="shared" si="22"/>
        <v>#NUM!</v>
      </c>
      <c r="K381">
        <f t="shared" si="23"/>
        <v>1.1166666666666665</v>
      </c>
    </row>
    <row r="382" spans="1:11" ht="13.9" x14ac:dyDescent="0.3">
      <c r="A382" s="2" t="s">
        <v>832</v>
      </c>
      <c r="B382" s="2">
        <v>0</v>
      </c>
      <c r="C382" s="2">
        <v>0</v>
      </c>
      <c r="D382" s="2">
        <v>0</v>
      </c>
      <c r="E382" s="2">
        <v>1.1299999999999999</v>
      </c>
      <c r="F382" s="2">
        <v>2</v>
      </c>
      <c r="G382" s="2">
        <v>0.11</v>
      </c>
      <c r="H382" s="2" t="e">
        <f t="shared" si="20"/>
        <v>#NUM!</v>
      </c>
      <c r="I382" s="2">
        <f t="shared" si="21"/>
        <v>0.11915399920779023</v>
      </c>
      <c r="J382" s="2" t="e">
        <f t="shared" si="22"/>
        <v>#NUM!</v>
      </c>
      <c r="K382">
        <f t="shared" si="23"/>
        <v>1.0799999999999998</v>
      </c>
    </row>
    <row r="383" spans="1:11" ht="13.9" x14ac:dyDescent="0.3">
      <c r="A383" s="2" t="s">
        <v>534</v>
      </c>
      <c r="B383" s="2">
        <v>0</v>
      </c>
      <c r="C383" s="2">
        <v>0</v>
      </c>
      <c r="D383" s="2">
        <v>0</v>
      </c>
      <c r="E383" s="2">
        <v>0.38</v>
      </c>
      <c r="F383" s="2">
        <v>2.2200000000000002</v>
      </c>
      <c r="G383" s="2">
        <v>0.56999999999999995</v>
      </c>
      <c r="H383" s="2" t="e">
        <f t="shared" si="20"/>
        <v>#NUM!</v>
      </c>
      <c r="I383" s="2">
        <f t="shared" si="21"/>
        <v>0.14478343417203191</v>
      </c>
      <c r="J383" s="2" t="e">
        <f t="shared" si="22"/>
        <v>#NUM!</v>
      </c>
      <c r="K383">
        <f t="shared" si="23"/>
        <v>1.0566666666666666</v>
      </c>
    </row>
    <row r="384" spans="1:11" ht="13.9" x14ac:dyDescent="0.3">
      <c r="A384" s="2" t="s">
        <v>493</v>
      </c>
      <c r="B384" s="2">
        <v>0</v>
      </c>
      <c r="C384" s="2">
        <v>0</v>
      </c>
      <c r="D384" s="2">
        <v>0</v>
      </c>
      <c r="E384" s="2">
        <v>0</v>
      </c>
      <c r="F384" s="2">
        <v>1.55</v>
      </c>
      <c r="G384" s="2">
        <v>1.59</v>
      </c>
      <c r="H384" s="2" t="e">
        <f t="shared" si="20"/>
        <v>#NUM!</v>
      </c>
      <c r="I384" s="2">
        <f t="shared" si="21"/>
        <v>0.11618106542193525</v>
      </c>
      <c r="J384" s="2" t="e">
        <f t="shared" si="22"/>
        <v>#NUM!</v>
      </c>
      <c r="K384">
        <f t="shared" si="23"/>
        <v>1.0466666666666666</v>
      </c>
    </row>
    <row r="385" spans="1:11" ht="13.9" x14ac:dyDescent="0.3">
      <c r="A385" s="2" t="s">
        <v>666</v>
      </c>
      <c r="B385" s="2">
        <v>0</v>
      </c>
      <c r="C385" s="2">
        <v>0</v>
      </c>
      <c r="D385" s="2">
        <v>0</v>
      </c>
      <c r="E385" s="2">
        <v>1.89</v>
      </c>
      <c r="F385" s="2">
        <v>0</v>
      </c>
      <c r="G385" s="2">
        <v>1.02</v>
      </c>
      <c r="H385" s="2" t="e">
        <f t="shared" si="20"/>
        <v>#NUM!</v>
      </c>
      <c r="I385" s="2">
        <f t="shared" si="21"/>
        <v>0.15038225218985554</v>
      </c>
      <c r="J385" s="2" t="e">
        <f t="shared" si="22"/>
        <v>#NUM!</v>
      </c>
      <c r="K385">
        <f t="shared" si="23"/>
        <v>0.97000000000000008</v>
      </c>
    </row>
    <row r="386" spans="1:11" ht="13.9" x14ac:dyDescent="0.3">
      <c r="A386" s="2" t="s">
        <v>686</v>
      </c>
      <c r="B386" s="2">
        <v>0</v>
      </c>
      <c r="C386" s="2">
        <v>0</v>
      </c>
      <c r="D386" s="2">
        <v>0</v>
      </c>
      <c r="E386" s="2">
        <v>1.89</v>
      </c>
      <c r="F386" s="2">
        <v>0</v>
      </c>
      <c r="G386" s="2">
        <v>1.02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0.15038225218985554</v>
      </c>
      <c r="J386" s="2" t="e">
        <f t="shared" ref="J386:J449" si="26">LOG(SUM(B386:D386),2)</f>
        <v>#NUM!</v>
      </c>
      <c r="K386">
        <f t="shared" ref="K386:K449" si="27">AVERAGE(E386:G386)</f>
        <v>0.97000000000000008</v>
      </c>
    </row>
    <row r="387" spans="1:11" ht="13.9" x14ac:dyDescent="0.3">
      <c r="A387" s="2" t="s">
        <v>460</v>
      </c>
      <c r="B387" s="2">
        <v>0</v>
      </c>
      <c r="C387" s="2">
        <v>0</v>
      </c>
      <c r="D387" s="2">
        <v>0</v>
      </c>
      <c r="E387" s="2">
        <v>2.9</v>
      </c>
      <c r="F387" s="2">
        <v>0</v>
      </c>
      <c r="G387" s="2">
        <v>0</v>
      </c>
      <c r="H387" s="2" t="e">
        <f t="shared" si="24"/>
        <v>#NUM!</v>
      </c>
      <c r="I387" s="2">
        <f t="shared" si="25"/>
        <v>0.37390096630005903</v>
      </c>
      <c r="J387" s="2" t="e">
        <f t="shared" si="26"/>
        <v>#NUM!</v>
      </c>
      <c r="K387">
        <f t="shared" si="27"/>
        <v>0.96666666666666667</v>
      </c>
    </row>
    <row r="388" spans="1:11" ht="13.9" x14ac:dyDescent="0.3">
      <c r="A388" s="2" t="s">
        <v>276</v>
      </c>
      <c r="B388" s="2">
        <v>0</v>
      </c>
      <c r="C388" s="2">
        <v>0</v>
      </c>
      <c r="D388" s="2">
        <v>0</v>
      </c>
      <c r="E388" s="2">
        <v>0.76</v>
      </c>
      <c r="F388" s="2">
        <v>1.55</v>
      </c>
      <c r="G388" s="2">
        <v>0.56999999999999995</v>
      </c>
      <c r="H388" s="2" t="e">
        <f t="shared" si="24"/>
        <v>#NUM!</v>
      </c>
      <c r="I388" s="2">
        <f t="shared" si="25"/>
        <v>3.2919397905964327E-2</v>
      </c>
      <c r="J388" s="2" t="e">
        <f t="shared" si="26"/>
        <v>#NUM!</v>
      </c>
      <c r="K388">
        <f t="shared" si="27"/>
        <v>0.96</v>
      </c>
    </row>
    <row r="389" spans="1:11" ht="13.9" x14ac:dyDescent="0.3">
      <c r="A389" s="2" t="s">
        <v>849</v>
      </c>
      <c r="B389" s="2">
        <v>0</v>
      </c>
      <c r="C389" s="2">
        <v>0</v>
      </c>
      <c r="D389" s="2">
        <v>0</v>
      </c>
      <c r="E389" s="2">
        <v>0.5</v>
      </c>
      <c r="F389" s="2">
        <v>1</v>
      </c>
      <c r="G389" s="2">
        <v>1.36</v>
      </c>
      <c r="H389" s="2" t="e">
        <f t="shared" si="24"/>
        <v>#NUM!</v>
      </c>
      <c r="I389" s="2">
        <f t="shared" si="25"/>
        <v>1.8726829414411176E-2</v>
      </c>
      <c r="J389" s="2" t="e">
        <f t="shared" si="26"/>
        <v>#NUM!</v>
      </c>
      <c r="K389">
        <f t="shared" si="27"/>
        <v>0.95333333333333348</v>
      </c>
    </row>
    <row r="390" spans="1:11" ht="13.9" x14ac:dyDescent="0.3">
      <c r="A390" s="2" t="s">
        <v>641</v>
      </c>
      <c r="B390" s="2">
        <v>0</v>
      </c>
      <c r="C390" s="2">
        <v>0</v>
      </c>
      <c r="D390" s="2">
        <v>0</v>
      </c>
      <c r="E390" s="2">
        <v>0.38</v>
      </c>
      <c r="F390" s="2">
        <v>1.66</v>
      </c>
      <c r="G390" s="2">
        <v>0.79</v>
      </c>
      <c r="H390" s="2" t="e">
        <f t="shared" si="24"/>
        <v>#NUM!</v>
      </c>
      <c r="I390" s="2">
        <f t="shared" si="25"/>
        <v>6.6785754882468573E-2</v>
      </c>
      <c r="J390" s="2" t="e">
        <f t="shared" si="26"/>
        <v>#NUM!</v>
      </c>
      <c r="K390">
        <f t="shared" si="27"/>
        <v>0.94333333333333336</v>
      </c>
    </row>
    <row r="391" spans="1:11" ht="13.9" x14ac:dyDescent="0.3">
      <c r="A391" s="2" t="s">
        <v>938</v>
      </c>
      <c r="B391" s="2">
        <v>0</v>
      </c>
      <c r="C391" s="2">
        <v>0</v>
      </c>
      <c r="D391" s="2">
        <v>0</v>
      </c>
      <c r="E391" s="2">
        <v>1.38</v>
      </c>
      <c r="F391" s="2">
        <v>1.44</v>
      </c>
      <c r="G391" s="2">
        <v>0</v>
      </c>
      <c r="H391" s="2" t="e">
        <f t="shared" si="24"/>
        <v>#NUM!</v>
      </c>
      <c r="I391" s="2">
        <f t="shared" si="25"/>
        <v>0.11629655068051944</v>
      </c>
      <c r="J391" s="2" t="e">
        <f t="shared" si="26"/>
        <v>#NUM!</v>
      </c>
      <c r="K391">
        <f t="shared" si="27"/>
        <v>0.94</v>
      </c>
    </row>
    <row r="392" spans="1:11" ht="13.9" x14ac:dyDescent="0.3">
      <c r="A392" s="2" t="s">
        <v>113</v>
      </c>
      <c r="B392" s="2">
        <v>0</v>
      </c>
      <c r="C392" s="2">
        <v>0</v>
      </c>
      <c r="D392" s="2">
        <v>0</v>
      </c>
      <c r="E392" s="2">
        <v>2.77</v>
      </c>
      <c r="F392" s="2">
        <v>0</v>
      </c>
      <c r="G392" s="2">
        <v>0</v>
      </c>
      <c r="H392" s="2" t="e">
        <f t="shared" si="24"/>
        <v>#NUM!</v>
      </c>
      <c r="I392" s="2">
        <f t="shared" si="25"/>
        <v>0.37390096630005903</v>
      </c>
      <c r="J392" s="2" t="e">
        <f t="shared" si="26"/>
        <v>#NUM!</v>
      </c>
      <c r="K392">
        <f t="shared" si="27"/>
        <v>0.92333333333333334</v>
      </c>
    </row>
    <row r="393" spans="1:11" ht="13.9" x14ac:dyDescent="0.3">
      <c r="A393" s="2" t="s">
        <v>307</v>
      </c>
      <c r="B393" s="2">
        <v>0</v>
      </c>
      <c r="C393" s="2">
        <v>0</v>
      </c>
      <c r="D393" s="2">
        <v>0</v>
      </c>
      <c r="E393" s="2">
        <v>1.51</v>
      </c>
      <c r="F393" s="2">
        <v>0.67</v>
      </c>
      <c r="G393" s="2">
        <v>0.56999999999999995</v>
      </c>
      <c r="H393" s="2" t="e">
        <f t="shared" si="24"/>
        <v>#NUM!</v>
      </c>
      <c r="I393" s="2">
        <f t="shared" si="25"/>
        <v>3.7098673615462478E-2</v>
      </c>
      <c r="J393" s="2" t="e">
        <f t="shared" si="26"/>
        <v>#NUM!</v>
      </c>
      <c r="K393">
        <f t="shared" si="27"/>
        <v>0.91666666666666663</v>
      </c>
    </row>
    <row r="394" spans="1:11" ht="13.9" x14ac:dyDescent="0.3">
      <c r="A394" s="2" t="s">
        <v>904</v>
      </c>
      <c r="B394" s="2">
        <v>0</v>
      </c>
      <c r="C394" s="2">
        <v>0</v>
      </c>
      <c r="D394" s="2">
        <v>0</v>
      </c>
      <c r="E394" s="2">
        <v>0</v>
      </c>
      <c r="F394" s="2">
        <v>1.44</v>
      </c>
      <c r="G394" s="2">
        <v>1.25</v>
      </c>
      <c r="H394" s="2" t="e">
        <f t="shared" si="24"/>
        <v>#NUM!</v>
      </c>
      <c r="I394" s="2">
        <f t="shared" si="25"/>
        <v>0.11809710147660149</v>
      </c>
      <c r="J394" s="2" t="e">
        <f t="shared" si="26"/>
        <v>#NUM!</v>
      </c>
      <c r="K394">
        <f t="shared" si="27"/>
        <v>0.89666666666666661</v>
      </c>
    </row>
    <row r="395" spans="1:11" ht="13.9" x14ac:dyDescent="0.3">
      <c r="A395" s="2" t="s">
        <v>129</v>
      </c>
      <c r="B395" s="2">
        <v>0</v>
      </c>
      <c r="C395" s="2">
        <v>0</v>
      </c>
      <c r="D395" s="2">
        <v>0</v>
      </c>
      <c r="E395" s="2">
        <v>0.63</v>
      </c>
      <c r="F395" s="2">
        <v>0.78</v>
      </c>
      <c r="G395" s="2">
        <v>1.25</v>
      </c>
      <c r="H395" s="2" t="e">
        <f t="shared" si="24"/>
        <v>#NUM!</v>
      </c>
      <c r="I395" s="2">
        <f t="shared" si="25"/>
        <v>8.9859020115631034E-3</v>
      </c>
      <c r="J395" s="2" t="e">
        <f t="shared" si="26"/>
        <v>#NUM!</v>
      </c>
      <c r="K395">
        <f t="shared" si="27"/>
        <v>0.88666666666666671</v>
      </c>
    </row>
    <row r="396" spans="1:11" ht="13.9" x14ac:dyDescent="0.3">
      <c r="A396" s="2" t="s">
        <v>685</v>
      </c>
      <c r="B396" s="2">
        <v>0</v>
      </c>
      <c r="C396" s="2">
        <v>0</v>
      </c>
      <c r="D396" s="2">
        <v>0</v>
      </c>
      <c r="E396" s="2">
        <v>0.88</v>
      </c>
      <c r="F396" s="2">
        <v>1.77</v>
      </c>
      <c r="G396" s="2">
        <v>0</v>
      </c>
      <c r="H396" s="2" t="e">
        <f t="shared" si="24"/>
        <v>#NUM!</v>
      </c>
      <c r="I396" s="2">
        <f t="shared" si="25"/>
        <v>0.15890920722581581</v>
      </c>
      <c r="J396" s="2" t="e">
        <f t="shared" si="26"/>
        <v>#NUM!</v>
      </c>
      <c r="K396">
        <f t="shared" si="27"/>
        <v>0.8833333333333333</v>
      </c>
    </row>
    <row r="397" spans="1:11" ht="13.9" x14ac:dyDescent="0.3">
      <c r="A397" s="2" t="s">
        <v>572</v>
      </c>
      <c r="B397" s="2">
        <v>0</v>
      </c>
      <c r="C397" s="2">
        <v>0</v>
      </c>
      <c r="D397" s="2">
        <v>0</v>
      </c>
      <c r="E397" s="2">
        <v>1.26</v>
      </c>
      <c r="F397" s="2">
        <v>0.11</v>
      </c>
      <c r="G397" s="2">
        <v>1.25</v>
      </c>
      <c r="H397" s="2" t="e">
        <f t="shared" si="24"/>
        <v>#NUM!</v>
      </c>
      <c r="I397" s="2">
        <f t="shared" si="25"/>
        <v>8.4028709352591477E-2</v>
      </c>
      <c r="J397" s="2" t="e">
        <f t="shared" si="26"/>
        <v>#NUM!</v>
      </c>
      <c r="K397">
        <f t="shared" si="27"/>
        <v>0.87333333333333341</v>
      </c>
    </row>
    <row r="398" spans="1:11" ht="13.9" x14ac:dyDescent="0.3">
      <c r="A398" s="2" t="s">
        <v>752</v>
      </c>
      <c r="B398" s="2">
        <v>0</v>
      </c>
      <c r="C398" s="2">
        <v>0</v>
      </c>
      <c r="D398" s="2">
        <v>0</v>
      </c>
      <c r="E398" s="2">
        <v>1.38</v>
      </c>
      <c r="F398" s="2">
        <v>0.89</v>
      </c>
      <c r="G398" s="2">
        <v>0.34</v>
      </c>
      <c r="H398" s="2" t="e">
        <f t="shared" si="24"/>
        <v>#NUM!</v>
      </c>
      <c r="I398" s="2">
        <f t="shared" si="25"/>
        <v>4.4284288233334655E-2</v>
      </c>
      <c r="J398" s="2" t="e">
        <f t="shared" si="26"/>
        <v>#NUM!</v>
      </c>
      <c r="K398">
        <f t="shared" si="27"/>
        <v>0.87</v>
      </c>
    </row>
    <row r="399" spans="1:11" ht="13.9" x14ac:dyDescent="0.3">
      <c r="A399" s="2" t="s">
        <v>418</v>
      </c>
      <c r="B399" s="2">
        <v>0</v>
      </c>
      <c r="C399" s="2">
        <v>0</v>
      </c>
      <c r="D399" s="2">
        <v>0</v>
      </c>
      <c r="E399" s="2">
        <v>0.63</v>
      </c>
      <c r="F399" s="2">
        <v>1.89</v>
      </c>
      <c r="G399" s="2">
        <v>0</v>
      </c>
      <c r="H399" s="2" t="e">
        <f t="shared" si="24"/>
        <v>#NUM!</v>
      </c>
      <c r="I399" s="2">
        <f t="shared" si="25"/>
        <v>0.20510645520407772</v>
      </c>
      <c r="J399" s="2" t="e">
        <f t="shared" si="26"/>
        <v>#NUM!</v>
      </c>
      <c r="K399">
        <f t="shared" si="27"/>
        <v>0.84</v>
      </c>
    </row>
    <row r="400" spans="1:11" ht="13.9" x14ac:dyDescent="0.3">
      <c r="A400" s="2" t="s">
        <v>681</v>
      </c>
      <c r="B400" s="2">
        <v>0</v>
      </c>
      <c r="C400" s="2">
        <v>0</v>
      </c>
      <c r="D400" s="2">
        <v>0</v>
      </c>
      <c r="E400" s="2">
        <v>0.25</v>
      </c>
      <c r="F400" s="2">
        <v>0.67</v>
      </c>
      <c r="G400" s="2">
        <v>1.59</v>
      </c>
      <c r="H400" s="2" t="e">
        <f t="shared" si="24"/>
        <v>#NUM!</v>
      </c>
      <c r="I400" s="2">
        <f t="shared" si="25"/>
        <v>0.10198326116235049</v>
      </c>
      <c r="J400" s="2" t="e">
        <f t="shared" si="26"/>
        <v>#NUM!</v>
      </c>
      <c r="K400">
        <f t="shared" si="27"/>
        <v>0.83666666666666678</v>
      </c>
    </row>
    <row r="401" spans="1:11" ht="13.9" x14ac:dyDescent="0.3">
      <c r="A401" s="2" t="s">
        <v>144</v>
      </c>
      <c r="B401" s="2">
        <v>0</v>
      </c>
      <c r="C401" s="2">
        <v>0</v>
      </c>
      <c r="D401" s="2">
        <v>0</v>
      </c>
      <c r="E401" s="2">
        <v>0.38</v>
      </c>
      <c r="F401" s="2">
        <v>1.55</v>
      </c>
      <c r="G401" s="2">
        <v>0.56999999999999995</v>
      </c>
      <c r="H401" s="2" t="e">
        <f t="shared" si="24"/>
        <v>#NUM!</v>
      </c>
      <c r="I401" s="2">
        <f t="shared" si="25"/>
        <v>8.3047867091354907E-2</v>
      </c>
      <c r="J401" s="2" t="e">
        <f t="shared" si="26"/>
        <v>#NUM!</v>
      </c>
      <c r="K401">
        <f t="shared" si="27"/>
        <v>0.83333333333333337</v>
      </c>
    </row>
    <row r="402" spans="1:11" ht="13.9" x14ac:dyDescent="0.3">
      <c r="A402" s="2" t="s">
        <v>870</v>
      </c>
      <c r="B402" s="2">
        <v>0</v>
      </c>
      <c r="C402" s="2">
        <v>0</v>
      </c>
      <c r="D402" s="2">
        <v>0</v>
      </c>
      <c r="E402" s="2">
        <v>0</v>
      </c>
      <c r="F402" s="2">
        <v>1.1100000000000001</v>
      </c>
      <c r="G402" s="2">
        <v>1.36</v>
      </c>
      <c r="H402" s="2" t="e">
        <f t="shared" si="24"/>
        <v>#NUM!</v>
      </c>
      <c r="I402" s="2">
        <f t="shared" si="25"/>
        <v>0.12017535872484601</v>
      </c>
      <c r="J402" s="2" t="e">
        <f t="shared" si="26"/>
        <v>#NUM!</v>
      </c>
      <c r="K402">
        <f t="shared" si="27"/>
        <v>0.82333333333333336</v>
      </c>
    </row>
    <row r="403" spans="1:11" ht="13.9" x14ac:dyDescent="0.3">
      <c r="A403" s="2" t="s">
        <v>242</v>
      </c>
      <c r="B403" s="2">
        <v>0</v>
      </c>
      <c r="C403" s="2">
        <v>0</v>
      </c>
      <c r="D403" s="2">
        <v>0</v>
      </c>
      <c r="E403" s="2">
        <v>0</v>
      </c>
      <c r="F403" s="2">
        <v>1.22</v>
      </c>
      <c r="G403" s="2">
        <v>1.25</v>
      </c>
      <c r="H403" s="2" t="e">
        <f t="shared" si="24"/>
        <v>#NUM!</v>
      </c>
      <c r="I403" s="2">
        <f t="shared" si="25"/>
        <v>0.11617519568016452</v>
      </c>
      <c r="J403" s="2" t="e">
        <f t="shared" si="26"/>
        <v>#NUM!</v>
      </c>
      <c r="K403">
        <f t="shared" si="27"/>
        <v>0.82333333333333325</v>
      </c>
    </row>
    <row r="404" spans="1:11" ht="13.9" x14ac:dyDescent="0.3">
      <c r="A404" s="2" t="s">
        <v>352</v>
      </c>
      <c r="B404" s="2">
        <v>0</v>
      </c>
      <c r="C404" s="2">
        <v>0</v>
      </c>
      <c r="D404" s="2">
        <v>0</v>
      </c>
      <c r="E404" s="2">
        <v>0.76</v>
      </c>
      <c r="F404" s="2">
        <v>0.67</v>
      </c>
      <c r="G404" s="2">
        <v>1.02</v>
      </c>
      <c r="H404" s="2" t="e">
        <f t="shared" si="24"/>
        <v>#NUM!</v>
      </c>
      <c r="I404" s="2">
        <f t="shared" si="25"/>
        <v>1.4698864594548976E-3</v>
      </c>
      <c r="J404" s="2" t="e">
        <f t="shared" si="26"/>
        <v>#NUM!</v>
      </c>
      <c r="K404">
        <f t="shared" si="27"/>
        <v>0.81666666666666676</v>
      </c>
    </row>
    <row r="405" spans="1:11" ht="13.9" x14ac:dyDescent="0.3">
      <c r="A405" s="2" t="s">
        <v>370</v>
      </c>
      <c r="B405" s="2">
        <v>0</v>
      </c>
      <c r="C405" s="2">
        <v>0</v>
      </c>
      <c r="D405" s="2">
        <v>0</v>
      </c>
      <c r="E405" s="2">
        <v>1.01</v>
      </c>
      <c r="F405" s="2">
        <v>1.44</v>
      </c>
      <c r="G405" s="2">
        <v>0</v>
      </c>
      <c r="H405" s="2" t="e">
        <f t="shared" si="24"/>
        <v>#NUM!</v>
      </c>
      <c r="I405" s="2">
        <f t="shared" si="25"/>
        <v>0.12822231080077795</v>
      </c>
      <c r="J405" s="2" t="e">
        <f t="shared" si="26"/>
        <v>#NUM!</v>
      </c>
      <c r="K405">
        <f t="shared" si="27"/>
        <v>0.81666666666666676</v>
      </c>
    </row>
    <row r="406" spans="1:11" ht="13.9" x14ac:dyDescent="0.3">
      <c r="A406" s="2" t="s">
        <v>91</v>
      </c>
      <c r="B406" s="2">
        <v>0</v>
      </c>
      <c r="C406" s="2">
        <v>0</v>
      </c>
      <c r="D406" s="2">
        <v>0</v>
      </c>
      <c r="E406" s="2">
        <v>2.39</v>
      </c>
      <c r="F406" s="2">
        <v>0</v>
      </c>
      <c r="G406" s="2">
        <v>0</v>
      </c>
      <c r="H406" s="2" t="e">
        <f t="shared" si="24"/>
        <v>#NUM!</v>
      </c>
      <c r="I406" s="2">
        <f t="shared" si="25"/>
        <v>0.37390096630005903</v>
      </c>
      <c r="J406" s="2" t="e">
        <f t="shared" si="26"/>
        <v>#NUM!</v>
      </c>
      <c r="K406">
        <f t="shared" si="27"/>
        <v>0.79666666666666675</v>
      </c>
    </row>
    <row r="407" spans="1:11" ht="13.9" x14ac:dyDescent="0.3">
      <c r="A407" s="2" t="s">
        <v>486</v>
      </c>
      <c r="B407" s="2">
        <v>0</v>
      </c>
      <c r="C407" s="2">
        <v>0</v>
      </c>
      <c r="D407" s="2">
        <v>0</v>
      </c>
      <c r="E407" s="2">
        <v>0.5</v>
      </c>
      <c r="F407" s="2">
        <v>1.89</v>
      </c>
      <c r="G407" s="2">
        <v>0</v>
      </c>
      <c r="H407" s="2" t="e">
        <f t="shared" si="24"/>
        <v>#NUM!</v>
      </c>
      <c r="I407" s="2">
        <f t="shared" si="25"/>
        <v>0.23161458206334515</v>
      </c>
      <c r="J407" s="2" t="e">
        <f t="shared" si="26"/>
        <v>#NUM!</v>
      </c>
      <c r="K407">
        <f t="shared" si="27"/>
        <v>0.79666666666666652</v>
      </c>
    </row>
    <row r="408" spans="1:11" ht="13.9" x14ac:dyDescent="0.3">
      <c r="A408" s="2" t="s">
        <v>699</v>
      </c>
      <c r="B408" s="2">
        <v>0</v>
      </c>
      <c r="C408" s="2">
        <v>0</v>
      </c>
      <c r="D408" s="2">
        <v>0</v>
      </c>
      <c r="E408" s="2">
        <v>1.1299999999999999</v>
      </c>
      <c r="F408" s="2">
        <v>0</v>
      </c>
      <c r="G408" s="2">
        <v>1.25</v>
      </c>
      <c r="H408" s="2" t="e">
        <f t="shared" si="24"/>
        <v>#NUM!</v>
      </c>
      <c r="I408" s="2">
        <f t="shared" si="25"/>
        <v>0.11712670774331806</v>
      </c>
      <c r="J408" s="2" t="e">
        <f t="shared" si="26"/>
        <v>#NUM!</v>
      </c>
      <c r="K408">
        <f t="shared" si="27"/>
        <v>0.79333333333333333</v>
      </c>
    </row>
    <row r="409" spans="1:11" ht="13.9" x14ac:dyDescent="0.3">
      <c r="A409" s="2" t="s">
        <v>667</v>
      </c>
      <c r="B409" s="2">
        <v>0</v>
      </c>
      <c r="C409" s="2">
        <v>0</v>
      </c>
      <c r="D409" s="2">
        <v>0</v>
      </c>
      <c r="E409" s="2">
        <v>1.1299999999999999</v>
      </c>
      <c r="F409" s="2">
        <v>0.33</v>
      </c>
      <c r="G409" s="2">
        <v>0.91</v>
      </c>
      <c r="H409" s="2" t="e">
        <f t="shared" si="24"/>
        <v>#NUM!</v>
      </c>
      <c r="I409" s="2">
        <f t="shared" si="25"/>
        <v>2.962996550405032E-2</v>
      </c>
      <c r="J409" s="2" t="e">
        <f t="shared" si="26"/>
        <v>#NUM!</v>
      </c>
      <c r="K409">
        <f t="shared" si="27"/>
        <v>0.79</v>
      </c>
    </row>
    <row r="410" spans="1:11" ht="13.9" x14ac:dyDescent="0.3">
      <c r="A410" s="2" t="s">
        <v>552</v>
      </c>
      <c r="B410" s="2">
        <v>0</v>
      </c>
      <c r="C410" s="2">
        <v>0</v>
      </c>
      <c r="D410" s="2">
        <v>0</v>
      </c>
      <c r="E410" s="2">
        <v>0</v>
      </c>
      <c r="F410" s="2">
        <v>1.44</v>
      </c>
      <c r="G410" s="2">
        <v>0.91</v>
      </c>
      <c r="H410" s="2" t="e">
        <f t="shared" si="24"/>
        <v>#NUM!</v>
      </c>
      <c r="I410" s="2">
        <f t="shared" si="25"/>
        <v>0.13594178198946269</v>
      </c>
      <c r="J410" s="2" t="e">
        <f t="shared" si="26"/>
        <v>#NUM!</v>
      </c>
      <c r="K410">
        <f t="shared" si="27"/>
        <v>0.78333333333333333</v>
      </c>
    </row>
    <row r="411" spans="1:11" ht="13.9" x14ac:dyDescent="0.3">
      <c r="A411" s="2" t="s">
        <v>531</v>
      </c>
      <c r="B411" s="2">
        <v>0</v>
      </c>
      <c r="C411" s="2">
        <v>0</v>
      </c>
      <c r="D411" s="2">
        <v>0</v>
      </c>
      <c r="E411" s="2">
        <v>1.01</v>
      </c>
      <c r="F411" s="2">
        <v>1.33</v>
      </c>
      <c r="G411" s="2">
        <v>0</v>
      </c>
      <c r="H411" s="2" t="e">
        <f t="shared" si="24"/>
        <v>#NUM!</v>
      </c>
      <c r="I411" s="2">
        <f t="shared" si="25"/>
        <v>0.12350156134849666</v>
      </c>
      <c r="J411" s="2" t="e">
        <f t="shared" si="26"/>
        <v>#NUM!</v>
      </c>
      <c r="K411">
        <f t="shared" si="27"/>
        <v>0.77999999999999992</v>
      </c>
    </row>
    <row r="412" spans="1:11" ht="13.9" x14ac:dyDescent="0.3">
      <c r="A412" s="2" t="s">
        <v>911</v>
      </c>
      <c r="B412" s="2">
        <v>0</v>
      </c>
      <c r="C412" s="2">
        <v>0</v>
      </c>
      <c r="D412" s="2">
        <v>0</v>
      </c>
      <c r="E412" s="2">
        <v>0.25</v>
      </c>
      <c r="F412" s="2">
        <v>1</v>
      </c>
      <c r="G412" s="2">
        <v>1.02</v>
      </c>
      <c r="H412" s="2" t="e">
        <f t="shared" si="24"/>
        <v>#NUM!</v>
      </c>
      <c r="I412" s="2">
        <f t="shared" si="25"/>
        <v>4.049519518170943E-2</v>
      </c>
      <c r="J412" s="2" t="e">
        <f t="shared" si="26"/>
        <v>#NUM!</v>
      </c>
      <c r="K412">
        <f t="shared" si="27"/>
        <v>0.75666666666666671</v>
      </c>
    </row>
    <row r="413" spans="1:11" ht="13.9" x14ac:dyDescent="0.3">
      <c r="A413" s="2" t="s">
        <v>907</v>
      </c>
      <c r="B413" s="2">
        <v>0</v>
      </c>
      <c r="C413" s="2">
        <v>0</v>
      </c>
      <c r="D413" s="2">
        <v>0</v>
      </c>
      <c r="E413" s="2">
        <v>0</v>
      </c>
      <c r="F413" s="2">
        <v>0.33</v>
      </c>
      <c r="G413" s="2">
        <v>1.93</v>
      </c>
      <c r="H413" s="2" t="e">
        <f t="shared" si="24"/>
        <v>#NUM!</v>
      </c>
      <c r="I413" s="2">
        <f t="shared" si="25"/>
        <v>0.27487439760315191</v>
      </c>
      <c r="J413" s="2" t="e">
        <f t="shared" si="26"/>
        <v>#NUM!</v>
      </c>
      <c r="K413">
        <f t="shared" si="27"/>
        <v>0.7533333333333333</v>
      </c>
    </row>
    <row r="414" spans="1:11" ht="13.9" x14ac:dyDescent="0.3">
      <c r="A414" s="2" t="s">
        <v>819</v>
      </c>
      <c r="B414" s="2">
        <v>0</v>
      </c>
      <c r="C414" s="2">
        <v>0</v>
      </c>
      <c r="D414" s="2">
        <v>0</v>
      </c>
      <c r="E414" s="2">
        <v>2.14</v>
      </c>
      <c r="F414" s="2">
        <v>0</v>
      </c>
      <c r="G414" s="2">
        <v>0.11</v>
      </c>
      <c r="H414" s="2" t="e">
        <f t="shared" si="24"/>
        <v>#NUM!</v>
      </c>
      <c r="I414" s="2">
        <f t="shared" si="25"/>
        <v>0.34170019006569902</v>
      </c>
      <c r="J414" s="2" t="e">
        <f t="shared" si="26"/>
        <v>#NUM!</v>
      </c>
      <c r="K414">
        <f t="shared" si="27"/>
        <v>0.75</v>
      </c>
    </row>
    <row r="415" spans="1:11" ht="13.9" x14ac:dyDescent="0.3">
      <c r="A415" s="2" t="s">
        <v>694</v>
      </c>
      <c r="B415" s="2">
        <v>0</v>
      </c>
      <c r="C415" s="2">
        <v>0</v>
      </c>
      <c r="D415" s="2">
        <v>0</v>
      </c>
      <c r="E415" s="2">
        <v>1.76</v>
      </c>
      <c r="F415" s="2">
        <v>0.44</v>
      </c>
      <c r="G415" s="2">
        <v>0</v>
      </c>
      <c r="H415" s="2" t="e">
        <f t="shared" si="24"/>
        <v>#NUM!</v>
      </c>
      <c r="I415" s="2">
        <f t="shared" si="25"/>
        <v>0.23779614445826563</v>
      </c>
      <c r="J415" s="2" t="e">
        <f t="shared" si="26"/>
        <v>#NUM!</v>
      </c>
      <c r="K415">
        <f t="shared" si="27"/>
        <v>0.73333333333333339</v>
      </c>
    </row>
    <row r="416" spans="1:11" ht="13.9" x14ac:dyDescent="0.3">
      <c r="A416" s="2" t="s">
        <v>361</v>
      </c>
      <c r="B416" s="2">
        <v>0</v>
      </c>
      <c r="C416" s="2">
        <v>0</v>
      </c>
      <c r="D416" s="2">
        <v>0</v>
      </c>
      <c r="E416" s="2">
        <v>0.63</v>
      </c>
      <c r="F416" s="2">
        <v>1.22</v>
      </c>
      <c r="G416" s="2">
        <v>0.34</v>
      </c>
      <c r="H416" s="2" t="e">
        <f t="shared" si="24"/>
        <v>#NUM!</v>
      </c>
      <c r="I416" s="2">
        <f t="shared" si="25"/>
        <v>4.7850740397449965E-2</v>
      </c>
      <c r="J416" s="2" t="e">
        <f t="shared" si="26"/>
        <v>#NUM!</v>
      </c>
      <c r="K416">
        <f t="shared" si="27"/>
        <v>0.73</v>
      </c>
    </row>
    <row r="417" spans="1:11" ht="13.9" x14ac:dyDescent="0.3">
      <c r="A417" s="2" t="s">
        <v>39</v>
      </c>
      <c r="B417" s="2">
        <v>0</v>
      </c>
      <c r="C417" s="2">
        <v>0</v>
      </c>
      <c r="D417" s="2">
        <v>0</v>
      </c>
      <c r="E417" s="2">
        <v>0.63</v>
      </c>
      <c r="F417" s="2">
        <v>1.55</v>
      </c>
      <c r="G417" s="2">
        <v>0</v>
      </c>
      <c r="H417" s="2" t="e">
        <f t="shared" si="24"/>
        <v>#NUM!</v>
      </c>
      <c r="I417" s="2">
        <f t="shared" si="25"/>
        <v>0.18169014596251815</v>
      </c>
      <c r="J417" s="2" t="e">
        <f t="shared" si="26"/>
        <v>#NUM!</v>
      </c>
      <c r="K417">
        <f t="shared" si="27"/>
        <v>0.72666666666666668</v>
      </c>
    </row>
    <row r="418" spans="1:11" ht="13.9" x14ac:dyDescent="0.3">
      <c r="A418" s="2" t="s">
        <v>92</v>
      </c>
      <c r="B418" s="2">
        <v>0</v>
      </c>
      <c r="C418" s="2">
        <v>0</v>
      </c>
      <c r="D418" s="2">
        <v>0</v>
      </c>
      <c r="E418" s="2">
        <v>1.26</v>
      </c>
      <c r="F418" s="2">
        <v>0</v>
      </c>
      <c r="G418" s="2">
        <v>0.91</v>
      </c>
      <c r="H418" s="2" t="e">
        <f t="shared" si="24"/>
        <v>#NUM!</v>
      </c>
      <c r="I418" s="2">
        <f t="shared" si="25"/>
        <v>0.1263598476466152</v>
      </c>
      <c r="J418" s="2" t="e">
        <f t="shared" si="26"/>
        <v>#NUM!</v>
      </c>
      <c r="K418">
        <f t="shared" si="27"/>
        <v>0.72333333333333327</v>
      </c>
    </row>
    <row r="419" spans="1:11" ht="13.9" x14ac:dyDescent="0.3">
      <c r="A419" s="2" t="s">
        <v>95</v>
      </c>
      <c r="B419" s="2">
        <v>0</v>
      </c>
      <c r="C419" s="2">
        <v>0</v>
      </c>
      <c r="D419" s="2">
        <v>0</v>
      </c>
      <c r="E419" s="2">
        <v>1.51</v>
      </c>
      <c r="F419" s="2">
        <v>0.55000000000000004</v>
      </c>
      <c r="G419" s="2">
        <v>0.11</v>
      </c>
      <c r="H419" s="2" t="e">
        <f t="shared" si="24"/>
        <v>#NUM!</v>
      </c>
      <c r="I419" s="2">
        <f t="shared" si="25"/>
        <v>0.1550162111421669</v>
      </c>
      <c r="J419" s="2" t="e">
        <f t="shared" si="26"/>
        <v>#NUM!</v>
      </c>
      <c r="K419">
        <f t="shared" si="27"/>
        <v>0.72333333333333327</v>
      </c>
    </row>
    <row r="420" spans="1:11" ht="13.9" x14ac:dyDescent="0.3">
      <c r="A420" s="2" t="s">
        <v>227</v>
      </c>
      <c r="B420" s="2">
        <v>0</v>
      </c>
      <c r="C420" s="2">
        <v>0</v>
      </c>
      <c r="D420" s="2">
        <v>0</v>
      </c>
      <c r="E420" s="2">
        <v>0</v>
      </c>
      <c r="F420" s="2">
        <v>1.33</v>
      </c>
      <c r="G420" s="2">
        <v>0.79</v>
      </c>
      <c r="H420" s="2" t="e">
        <f t="shared" si="24"/>
        <v>#NUM!</v>
      </c>
      <c r="I420" s="2">
        <f t="shared" si="25"/>
        <v>0.1412552101777402</v>
      </c>
      <c r="J420" s="2" t="e">
        <f t="shared" si="26"/>
        <v>#NUM!</v>
      </c>
      <c r="K420">
        <f t="shared" si="27"/>
        <v>0.70666666666666667</v>
      </c>
    </row>
    <row r="421" spans="1:11" ht="13.9" x14ac:dyDescent="0.3">
      <c r="A421" s="2" t="s">
        <v>467</v>
      </c>
      <c r="B421" s="2">
        <v>0</v>
      </c>
      <c r="C421" s="2">
        <v>0</v>
      </c>
      <c r="D421" s="2">
        <v>0</v>
      </c>
      <c r="E421" s="2">
        <v>1.38</v>
      </c>
      <c r="F421" s="2">
        <v>0</v>
      </c>
      <c r="G421" s="2">
        <v>0.68</v>
      </c>
      <c r="H421" s="2" t="e">
        <f t="shared" si="24"/>
        <v>#NUM!</v>
      </c>
      <c r="I421" s="2">
        <f t="shared" si="25"/>
        <v>0.15987077134879107</v>
      </c>
      <c r="J421" s="2" t="e">
        <f t="shared" si="26"/>
        <v>#NUM!</v>
      </c>
      <c r="K421">
        <f t="shared" si="27"/>
        <v>0.68666666666666665</v>
      </c>
    </row>
    <row r="422" spans="1:11" ht="13.9" x14ac:dyDescent="0.3">
      <c r="A422" s="2" t="s">
        <v>803</v>
      </c>
      <c r="B422" s="2">
        <v>0</v>
      </c>
      <c r="C422" s="2">
        <v>0</v>
      </c>
      <c r="D422" s="2">
        <v>0</v>
      </c>
      <c r="E422" s="2">
        <v>1.38</v>
      </c>
      <c r="F422" s="2">
        <v>0.67</v>
      </c>
      <c r="G422" s="2">
        <v>0</v>
      </c>
      <c r="H422" s="2" t="e">
        <f t="shared" si="24"/>
        <v>#NUM!</v>
      </c>
      <c r="I422" s="2">
        <f t="shared" si="25"/>
        <v>0.16147812905921274</v>
      </c>
      <c r="J422" s="2" t="e">
        <f t="shared" si="26"/>
        <v>#NUM!</v>
      </c>
      <c r="K422">
        <f t="shared" si="27"/>
        <v>0.68333333333333324</v>
      </c>
    </row>
    <row r="423" spans="1:11" ht="13.9" x14ac:dyDescent="0.3">
      <c r="A423" s="2" t="s">
        <v>311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2.04</v>
      </c>
      <c r="H423" s="2" t="e">
        <f t="shared" si="24"/>
        <v>#NUM!</v>
      </c>
      <c r="I423" s="2">
        <f t="shared" si="25"/>
        <v>0.37390096630005903</v>
      </c>
      <c r="J423" s="2" t="e">
        <f t="shared" si="26"/>
        <v>#NUM!</v>
      </c>
      <c r="K423">
        <f t="shared" si="27"/>
        <v>0.68</v>
      </c>
    </row>
    <row r="424" spans="1:11" ht="13.9" x14ac:dyDescent="0.3">
      <c r="A424" s="2" t="s">
        <v>356</v>
      </c>
      <c r="B424" s="2">
        <v>0</v>
      </c>
      <c r="C424" s="2">
        <v>0</v>
      </c>
      <c r="D424" s="2">
        <v>0</v>
      </c>
      <c r="E424" s="2">
        <v>1.1299999999999999</v>
      </c>
      <c r="F424" s="2">
        <v>0.44</v>
      </c>
      <c r="G424" s="2">
        <v>0.45</v>
      </c>
      <c r="H424" s="2" t="e">
        <f t="shared" si="24"/>
        <v>#NUM!</v>
      </c>
      <c r="I424" s="2">
        <f t="shared" si="25"/>
        <v>4.2024932043290962E-2</v>
      </c>
      <c r="J424" s="2" t="e">
        <f t="shared" si="26"/>
        <v>#NUM!</v>
      </c>
      <c r="K424">
        <f t="shared" si="27"/>
        <v>0.67333333333333334</v>
      </c>
    </row>
    <row r="425" spans="1:11" ht="13.9" x14ac:dyDescent="0.3">
      <c r="A425" s="2" t="s">
        <v>898</v>
      </c>
      <c r="B425" s="2">
        <v>0</v>
      </c>
      <c r="C425" s="2">
        <v>0</v>
      </c>
      <c r="D425" s="2">
        <v>0</v>
      </c>
      <c r="E425" s="2">
        <v>1.01</v>
      </c>
      <c r="F425" s="2">
        <v>0.55000000000000004</v>
      </c>
      <c r="G425" s="2">
        <v>0.45</v>
      </c>
      <c r="H425" s="2" t="e">
        <f t="shared" si="24"/>
        <v>#NUM!</v>
      </c>
      <c r="I425" s="2">
        <f t="shared" si="25"/>
        <v>1.7757400350843507E-2</v>
      </c>
      <c r="J425" s="2" t="e">
        <f t="shared" si="26"/>
        <v>#NUM!</v>
      </c>
      <c r="K425">
        <f t="shared" si="27"/>
        <v>0.67</v>
      </c>
    </row>
    <row r="426" spans="1:11" ht="13.9" x14ac:dyDescent="0.3">
      <c r="A426" s="2" t="s">
        <v>755</v>
      </c>
      <c r="B426" s="2">
        <v>0</v>
      </c>
      <c r="C426" s="2">
        <v>0</v>
      </c>
      <c r="D426" s="2">
        <v>0</v>
      </c>
      <c r="E426" s="2">
        <v>0.76</v>
      </c>
      <c r="F426" s="2">
        <v>1.22</v>
      </c>
      <c r="G426" s="2">
        <v>0</v>
      </c>
      <c r="H426" s="2" t="e">
        <f t="shared" si="24"/>
        <v>#NUM!</v>
      </c>
      <c r="I426" s="2">
        <f t="shared" si="25"/>
        <v>0.13712629385431957</v>
      </c>
      <c r="J426" s="2" t="e">
        <f t="shared" si="26"/>
        <v>#NUM!</v>
      </c>
      <c r="K426">
        <f t="shared" si="27"/>
        <v>0.66</v>
      </c>
    </row>
    <row r="427" spans="1:11" ht="13.9" x14ac:dyDescent="0.3">
      <c r="A427" s="2" t="s">
        <v>390</v>
      </c>
      <c r="B427" s="2">
        <v>0</v>
      </c>
      <c r="C427" s="2">
        <v>0</v>
      </c>
      <c r="D427" s="2">
        <v>0</v>
      </c>
      <c r="E427" s="2">
        <v>1.38</v>
      </c>
      <c r="F427" s="2">
        <v>0.55000000000000004</v>
      </c>
      <c r="G427" s="2">
        <v>0</v>
      </c>
      <c r="H427" s="2" t="e">
        <f t="shared" si="24"/>
        <v>#NUM!</v>
      </c>
      <c r="I427" s="2">
        <f t="shared" si="25"/>
        <v>0.18399335596368105</v>
      </c>
      <c r="J427" s="2" t="e">
        <f t="shared" si="26"/>
        <v>#NUM!</v>
      </c>
      <c r="K427">
        <f t="shared" si="27"/>
        <v>0.64333333333333331</v>
      </c>
    </row>
    <row r="428" spans="1:11" ht="13.9" x14ac:dyDescent="0.3">
      <c r="A428" s="2" t="s">
        <v>589</v>
      </c>
      <c r="B428" s="2">
        <v>0</v>
      </c>
      <c r="C428" s="2">
        <v>0</v>
      </c>
      <c r="D428" s="2">
        <v>0</v>
      </c>
      <c r="E428" s="2">
        <v>0</v>
      </c>
      <c r="F428" s="2">
        <v>0.78</v>
      </c>
      <c r="G428" s="2">
        <v>1.1299999999999999</v>
      </c>
      <c r="H428" s="2" t="e">
        <f t="shared" si="24"/>
        <v>#NUM!</v>
      </c>
      <c r="I428" s="2">
        <f t="shared" si="25"/>
        <v>0.12929816474734934</v>
      </c>
      <c r="J428" s="2" t="e">
        <f t="shared" si="26"/>
        <v>#NUM!</v>
      </c>
      <c r="K428">
        <f t="shared" si="27"/>
        <v>0.6366666666666666</v>
      </c>
    </row>
    <row r="429" spans="1:11" ht="13.9" x14ac:dyDescent="0.3">
      <c r="A429" s="2" t="s">
        <v>746</v>
      </c>
      <c r="B429" s="2">
        <v>0</v>
      </c>
      <c r="C429" s="2">
        <v>0</v>
      </c>
      <c r="D429" s="2">
        <v>0</v>
      </c>
      <c r="E429" s="2">
        <v>1.51</v>
      </c>
      <c r="F429" s="2">
        <v>0</v>
      </c>
      <c r="G429" s="2">
        <v>0.34</v>
      </c>
      <c r="H429" s="2" t="e">
        <f t="shared" si="24"/>
        <v>#NUM!</v>
      </c>
      <c r="I429" s="2">
        <f t="shared" si="25"/>
        <v>0.24881301806546591</v>
      </c>
      <c r="J429" s="2" t="e">
        <f t="shared" si="26"/>
        <v>#NUM!</v>
      </c>
      <c r="K429">
        <f t="shared" si="27"/>
        <v>0.6166666666666667</v>
      </c>
    </row>
    <row r="430" spans="1:11" ht="13.9" x14ac:dyDescent="0.3">
      <c r="A430" s="2" t="s">
        <v>783</v>
      </c>
      <c r="B430" s="2">
        <v>0</v>
      </c>
      <c r="C430" s="2">
        <v>0</v>
      </c>
      <c r="D430" s="2">
        <v>0</v>
      </c>
      <c r="E430" s="2">
        <v>1.51</v>
      </c>
      <c r="F430" s="2">
        <v>0.33</v>
      </c>
      <c r="G430" s="2">
        <v>0</v>
      </c>
      <c r="H430" s="2" t="e">
        <f t="shared" si="24"/>
        <v>#NUM!</v>
      </c>
      <c r="I430" s="2">
        <f t="shared" si="25"/>
        <v>0.25184998479277187</v>
      </c>
      <c r="J430" s="2" t="e">
        <f t="shared" si="26"/>
        <v>#NUM!</v>
      </c>
      <c r="K430">
        <f t="shared" si="27"/>
        <v>0.6133333333333334</v>
      </c>
    </row>
    <row r="431" spans="1:11" ht="13.9" x14ac:dyDescent="0.3">
      <c r="A431" s="2" t="s">
        <v>301</v>
      </c>
      <c r="B431" s="2">
        <v>0</v>
      </c>
      <c r="C431" s="2">
        <v>0</v>
      </c>
      <c r="D431" s="2">
        <v>0</v>
      </c>
      <c r="E431" s="2">
        <v>0.25</v>
      </c>
      <c r="F431" s="2">
        <v>0.67</v>
      </c>
      <c r="G431" s="2">
        <v>0.91</v>
      </c>
      <c r="H431" s="2" t="e">
        <f t="shared" si="24"/>
        <v>#NUM!</v>
      </c>
      <c r="I431" s="2">
        <f t="shared" si="25"/>
        <v>3.4095517725046924E-2</v>
      </c>
      <c r="J431" s="2" t="e">
        <f t="shared" si="26"/>
        <v>#NUM!</v>
      </c>
      <c r="K431">
        <f t="shared" si="27"/>
        <v>0.61</v>
      </c>
    </row>
    <row r="432" spans="1:11" ht="13.9" x14ac:dyDescent="0.3">
      <c r="A432" s="2" t="s">
        <v>407</v>
      </c>
      <c r="B432" s="2">
        <v>0</v>
      </c>
      <c r="C432" s="2">
        <v>0</v>
      </c>
      <c r="D432" s="2">
        <v>0</v>
      </c>
      <c r="E432" s="2">
        <v>0</v>
      </c>
      <c r="F432" s="2">
        <v>0.78</v>
      </c>
      <c r="G432" s="2">
        <v>1.02</v>
      </c>
      <c r="H432" s="2" t="e">
        <f t="shared" si="24"/>
        <v>#NUM!</v>
      </c>
      <c r="I432" s="2">
        <f t="shared" si="25"/>
        <v>0.12313947380468777</v>
      </c>
      <c r="J432" s="2" t="e">
        <f t="shared" si="26"/>
        <v>#NUM!</v>
      </c>
      <c r="K432">
        <f t="shared" si="27"/>
        <v>0.6</v>
      </c>
    </row>
    <row r="433" spans="1:11" ht="13.9" x14ac:dyDescent="0.3">
      <c r="A433" s="2" t="s">
        <v>659</v>
      </c>
      <c r="B433" s="2">
        <v>0</v>
      </c>
      <c r="C433" s="2">
        <v>0</v>
      </c>
      <c r="D433" s="2">
        <v>0</v>
      </c>
      <c r="E433" s="2">
        <v>1.01</v>
      </c>
      <c r="F433" s="2">
        <v>0.22</v>
      </c>
      <c r="G433" s="2">
        <v>0.56999999999999995</v>
      </c>
      <c r="H433" s="2" t="e">
        <f t="shared" si="24"/>
        <v>#NUM!</v>
      </c>
      <c r="I433" s="2">
        <f t="shared" si="25"/>
        <v>5.8474052497124368E-2</v>
      </c>
      <c r="J433" s="2" t="e">
        <f t="shared" si="26"/>
        <v>#NUM!</v>
      </c>
      <c r="K433">
        <f t="shared" si="27"/>
        <v>0.6</v>
      </c>
    </row>
    <row r="434" spans="1:11" ht="13.9" x14ac:dyDescent="0.3">
      <c r="A434" s="2" t="s">
        <v>660</v>
      </c>
      <c r="B434" s="2">
        <v>0</v>
      </c>
      <c r="C434" s="2">
        <v>0</v>
      </c>
      <c r="D434" s="2">
        <v>0</v>
      </c>
      <c r="E434" s="2">
        <v>1.01</v>
      </c>
      <c r="F434" s="2">
        <v>0.22</v>
      </c>
      <c r="G434" s="2">
        <v>0.56999999999999995</v>
      </c>
      <c r="H434" s="2" t="e">
        <f t="shared" si="24"/>
        <v>#NUM!</v>
      </c>
      <c r="I434" s="2">
        <f t="shared" si="25"/>
        <v>5.8474052497124368E-2</v>
      </c>
      <c r="J434" s="2" t="e">
        <f t="shared" si="26"/>
        <v>#NUM!</v>
      </c>
      <c r="K434">
        <f t="shared" si="27"/>
        <v>0.6</v>
      </c>
    </row>
    <row r="435" spans="1:11" ht="13.9" x14ac:dyDescent="0.3">
      <c r="A435" s="2" t="s">
        <v>674</v>
      </c>
      <c r="B435" s="2">
        <v>0</v>
      </c>
      <c r="C435" s="2">
        <v>0</v>
      </c>
      <c r="D435" s="2">
        <v>0</v>
      </c>
      <c r="E435" s="2">
        <v>1.01</v>
      </c>
      <c r="F435" s="2">
        <v>0.22</v>
      </c>
      <c r="G435" s="2">
        <v>0.56999999999999995</v>
      </c>
      <c r="H435" s="2" t="e">
        <f t="shared" si="24"/>
        <v>#NUM!</v>
      </c>
      <c r="I435" s="2">
        <f t="shared" si="25"/>
        <v>5.8474052497124368E-2</v>
      </c>
      <c r="J435" s="2" t="e">
        <f t="shared" si="26"/>
        <v>#NUM!</v>
      </c>
      <c r="K435">
        <f t="shared" si="27"/>
        <v>0.6</v>
      </c>
    </row>
    <row r="436" spans="1:11" ht="13.9" x14ac:dyDescent="0.3">
      <c r="A436" s="2" t="s">
        <v>680</v>
      </c>
      <c r="B436" s="2">
        <v>0</v>
      </c>
      <c r="C436" s="2">
        <v>0</v>
      </c>
      <c r="D436" s="2">
        <v>0</v>
      </c>
      <c r="E436" s="2">
        <v>1.01</v>
      </c>
      <c r="F436" s="2">
        <v>0.22</v>
      </c>
      <c r="G436" s="2">
        <v>0.56999999999999995</v>
      </c>
      <c r="H436" s="2" t="e">
        <f t="shared" si="24"/>
        <v>#NUM!</v>
      </c>
      <c r="I436" s="2">
        <f t="shared" si="25"/>
        <v>5.8474052497124368E-2</v>
      </c>
      <c r="J436" s="2" t="e">
        <f t="shared" si="26"/>
        <v>#NUM!</v>
      </c>
      <c r="K436">
        <f t="shared" si="27"/>
        <v>0.6</v>
      </c>
    </row>
    <row r="437" spans="1:11" ht="13.9" x14ac:dyDescent="0.3">
      <c r="A437" s="2" t="s">
        <v>566</v>
      </c>
      <c r="B437" s="2">
        <v>0</v>
      </c>
      <c r="C437" s="2">
        <v>0</v>
      </c>
      <c r="D437" s="2">
        <v>0</v>
      </c>
      <c r="E437" s="2">
        <v>0</v>
      </c>
      <c r="F437" s="2">
        <v>1.77</v>
      </c>
      <c r="G437" s="2">
        <v>0</v>
      </c>
      <c r="H437" s="2" t="e">
        <f t="shared" si="24"/>
        <v>#NUM!</v>
      </c>
      <c r="I437" s="2">
        <f t="shared" si="25"/>
        <v>0.37390096630005903</v>
      </c>
      <c r="J437" s="2" t="e">
        <f t="shared" si="26"/>
        <v>#NUM!</v>
      </c>
      <c r="K437">
        <f t="shared" si="27"/>
        <v>0.59</v>
      </c>
    </row>
    <row r="438" spans="1:11" ht="13.9" x14ac:dyDescent="0.3">
      <c r="A438" s="2" t="s">
        <v>637</v>
      </c>
      <c r="B438" s="2">
        <v>0</v>
      </c>
      <c r="C438" s="2">
        <v>0</v>
      </c>
      <c r="D438" s="2">
        <v>0</v>
      </c>
      <c r="E438" s="2">
        <v>0.88</v>
      </c>
      <c r="F438" s="2">
        <v>0.89</v>
      </c>
      <c r="G438" s="2">
        <v>0</v>
      </c>
      <c r="H438" s="2" t="e">
        <f t="shared" si="24"/>
        <v>#NUM!</v>
      </c>
      <c r="I438" s="2">
        <f t="shared" si="25"/>
        <v>0.11612921919185448</v>
      </c>
      <c r="J438" s="2" t="e">
        <f t="shared" si="26"/>
        <v>#NUM!</v>
      </c>
      <c r="K438">
        <f t="shared" si="27"/>
        <v>0.59</v>
      </c>
    </row>
    <row r="439" spans="1:11" ht="13.9" x14ac:dyDescent="0.3">
      <c r="A439" s="2" t="s">
        <v>67</v>
      </c>
      <c r="B439" s="2">
        <v>0</v>
      </c>
      <c r="C439" s="2">
        <v>0</v>
      </c>
      <c r="D439" s="2">
        <v>0</v>
      </c>
      <c r="E439" s="2">
        <v>1.76</v>
      </c>
      <c r="F439" s="2">
        <v>0</v>
      </c>
      <c r="G439" s="2">
        <v>0</v>
      </c>
      <c r="H439" s="2" t="e">
        <f t="shared" si="24"/>
        <v>#NUM!</v>
      </c>
      <c r="I439" s="2">
        <f t="shared" si="25"/>
        <v>0.37390096630005903</v>
      </c>
      <c r="J439" s="2" t="e">
        <f t="shared" si="26"/>
        <v>#NUM!</v>
      </c>
      <c r="K439">
        <f t="shared" si="27"/>
        <v>0.58666666666666667</v>
      </c>
    </row>
    <row r="440" spans="1:11" ht="13.9" x14ac:dyDescent="0.3">
      <c r="A440" s="2" t="s">
        <v>574</v>
      </c>
      <c r="B440" s="2">
        <v>0</v>
      </c>
      <c r="C440" s="2">
        <v>0</v>
      </c>
      <c r="D440" s="2">
        <v>0</v>
      </c>
      <c r="E440" s="2">
        <v>0</v>
      </c>
      <c r="F440" s="2">
        <v>0.67</v>
      </c>
      <c r="G440" s="2">
        <v>1.02</v>
      </c>
      <c r="H440" s="2" t="e">
        <f t="shared" si="24"/>
        <v>#NUM!</v>
      </c>
      <c r="I440" s="2">
        <f t="shared" si="25"/>
        <v>0.13288934191892254</v>
      </c>
      <c r="J440" s="2" t="e">
        <f t="shared" si="26"/>
        <v>#NUM!</v>
      </c>
      <c r="K440">
        <f t="shared" si="27"/>
        <v>0.56333333333333335</v>
      </c>
    </row>
    <row r="441" spans="1:11" ht="13.9" x14ac:dyDescent="0.3">
      <c r="A441" s="2" t="s">
        <v>521</v>
      </c>
      <c r="B441" s="2">
        <v>0</v>
      </c>
      <c r="C441" s="2">
        <v>0</v>
      </c>
      <c r="D441" s="2">
        <v>0</v>
      </c>
      <c r="E441" s="2">
        <v>0</v>
      </c>
      <c r="F441" s="2">
        <v>1.66</v>
      </c>
      <c r="G441" s="2">
        <v>0</v>
      </c>
      <c r="H441" s="2" t="e">
        <f t="shared" si="24"/>
        <v>#NUM!</v>
      </c>
      <c r="I441" s="2">
        <f t="shared" si="25"/>
        <v>0.37390096630005903</v>
      </c>
      <c r="J441" s="2" t="e">
        <f t="shared" si="26"/>
        <v>#NUM!</v>
      </c>
      <c r="K441">
        <f t="shared" si="27"/>
        <v>0.55333333333333334</v>
      </c>
    </row>
    <row r="442" spans="1:11" ht="13.9" x14ac:dyDescent="0.3">
      <c r="A442" s="2" t="s">
        <v>792</v>
      </c>
      <c r="B442" s="2">
        <v>0</v>
      </c>
      <c r="C442" s="2">
        <v>0</v>
      </c>
      <c r="D442" s="2">
        <v>0</v>
      </c>
      <c r="E442" s="2">
        <v>0</v>
      </c>
      <c r="F442" s="2">
        <v>1.66</v>
      </c>
      <c r="G442" s="2">
        <v>0</v>
      </c>
      <c r="H442" s="2" t="e">
        <f t="shared" si="24"/>
        <v>#NUM!</v>
      </c>
      <c r="I442" s="2">
        <f t="shared" si="25"/>
        <v>0.37390096630005903</v>
      </c>
      <c r="J442" s="2" t="e">
        <f t="shared" si="26"/>
        <v>#NUM!</v>
      </c>
      <c r="K442">
        <f t="shared" si="27"/>
        <v>0.55333333333333334</v>
      </c>
    </row>
    <row r="443" spans="1:11" ht="13.9" x14ac:dyDescent="0.3">
      <c r="A443" s="2" t="s">
        <v>905</v>
      </c>
      <c r="B443" s="2">
        <v>0</v>
      </c>
      <c r="C443" s="2">
        <v>0</v>
      </c>
      <c r="D443" s="2">
        <v>0</v>
      </c>
      <c r="E443" s="2">
        <v>0</v>
      </c>
      <c r="F443" s="2">
        <v>1.66</v>
      </c>
      <c r="G443" s="2">
        <v>0</v>
      </c>
      <c r="H443" s="2" t="e">
        <f t="shared" si="24"/>
        <v>#NUM!</v>
      </c>
      <c r="I443" s="2">
        <f t="shared" si="25"/>
        <v>0.37390096630005903</v>
      </c>
      <c r="J443" s="2" t="e">
        <f t="shared" si="26"/>
        <v>#NUM!</v>
      </c>
      <c r="K443">
        <f t="shared" si="27"/>
        <v>0.55333333333333334</v>
      </c>
    </row>
    <row r="444" spans="1:11" ht="13.9" x14ac:dyDescent="0.3">
      <c r="A444" s="2" t="s">
        <v>597</v>
      </c>
      <c r="B444" s="2">
        <v>0</v>
      </c>
      <c r="C444" s="2">
        <v>0</v>
      </c>
      <c r="D444" s="2">
        <v>0</v>
      </c>
      <c r="E444" s="2">
        <v>0.76</v>
      </c>
      <c r="F444" s="2">
        <v>0.89</v>
      </c>
      <c r="G444" s="2">
        <v>0</v>
      </c>
      <c r="H444" s="2" t="e">
        <f t="shared" si="24"/>
        <v>#NUM!</v>
      </c>
      <c r="I444" s="2">
        <f t="shared" si="25"/>
        <v>0.11857976240507194</v>
      </c>
      <c r="J444" s="2" t="e">
        <f t="shared" si="26"/>
        <v>#NUM!</v>
      </c>
      <c r="K444">
        <f t="shared" si="27"/>
        <v>0.54999999999999993</v>
      </c>
    </row>
    <row r="445" spans="1:11" ht="13.9" x14ac:dyDescent="0.3">
      <c r="A445" s="2" t="s">
        <v>58</v>
      </c>
      <c r="B445" s="2">
        <v>0</v>
      </c>
      <c r="C445" s="2">
        <v>0</v>
      </c>
      <c r="D445" s="2">
        <v>0</v>
      </c>
      <c r="E445" s="2">
        <v>0.63</v>
      </c>
      <c r="F445" s="2">
        <v>0.33</v>
      </c>
      <c r="G445" s="2">
        <v>0.68</v>
      </c>
      <c r="H445" s="2" t="e">
        <f t="shared" si="24"/>
        <v>#NUM!</v>
      </c>
      <c r="I445" s="2">
        <f t="shared" si="25"/>
        <v>7.4800925432142685E-3</v>
      </c>
      <c r="J445" s="2" t="e">
        <f t="shared" si="26"/>
        <v>#NUM!</v>
      </c>
      <c r="K445">
        <f t="shared" si="27"/>
        <v>0.54666666666666675</v>
      </c>
    </row>
    <row r="446" spans="1:11" ht="13.9" x14ac:dyDescent="0.3">
      <c r="A446" s="2" t="s">
        <v>109</v>
      </c>
      <c r="B446" s="2">
        <v>0</v>
      </c>
      <c r="C446" s="2">
        <v>0</v>
      </c>
      <c r="D446" s="2">
        <v>0</v>
      </c>
      <c r="E446" s="2">
        <v>1.64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J446" s="2" t="e">
        <f t="shared" si="26"/>
        <v>#NUM!</v>
      </c>
      <c r="K446">
        <f t="shared" si="27"/>
        <v>0.54666666666666663</v>
      </c>
    </row>
    <row r="447" spans="1:11" ht="13.9" x14ac:dyDescent="0.3">
      <c r="A447" s="2" t="s">
        <v>481</v>
      </c>
      <c r="B447" s="2">
        <v>0</v>
      </c>
      <c r="C447" s="2">
        <v>0</v>
      </c>
      <c r="D447" s="2">
        <v>0</v>
      </c>
      <c r="E447" s="2">
        <v>0</v>
      </c>
      <c r="F447" s="2">
        <v>1.55</v>
      </c>
      <c r="G447" s="2">
        <v>0</v>
      </c>
      <c r="H447" s="2" t="e">
        <f t="shared" si="24"/>
        <v>#NUM!</v>
      </c>
      <c r="I447" s="2">
        <f t="shared" si="25"/>
        <v>0.37390096630005903</v>
      </c>
      <c r="J447" s="2" t="e">
        <f t="shared" si="26"/>
        <v>#NUM!</v>
      </c>
      <c r="K447">
        <f t="shared" si="27"/>
        <v>0.51666666666666672</v>
      </c>
    </row>
    <row r="448" spans="1:11" ht="13.9" x14ac:dyDescent="0.3">
      <c r="A448" s="2" t="s">
        <v>646</v>
      </c>
      <c r="B448" s="2">
        <v>0</v>
      </c>
      <c r="C448" s="2">
        <v>0</v>
      </c>
      <c r="D448" s="2">
        <v>0</v>
      </c>
      <c r="E448" s="2">
        <v>0.88</v>
      </c>
      <c r="F448" s="2">
        <v>0.67</v>
      </c>
      <c r="G448" s="2">
        <v>0</v>
      </c>
      <c r="H448" s="2" t="e">
        <f t="shared" si="24"/>
        <v>#NUM!</v>
      </c>
      <c r="I448" s="2">
        <f t="shared" si="25"/>
        <v>0.12336620055097519</v>
      </c>
      <c r="J448" s="2" t="e">
        <f t="shared" si="26"/>
        <v>#NUM!</v>
      </c>
      <c r="K448">
        <f t="shared" si="27"/>
        <v>0.51666666666666672</v>
      </c>
    </row>
    <row r="449" spans="1:11" ht="13.9" x14ac:dyDescent="0.3">
      <c r="A449" s="2" t="s">
        <v>653</v>
      </c>
      <c r="B449" s="2">
        <v>0</v>
      </c>
      <c r="C449" s="2">
        <v>0</v>
      </c>
      <c r="D449" s="2">
        <v>0</v>
      </c>
      <c r="E449" s="2">
        <v>0</v>
      </c>
      <c r="F449" s="2">
        <v>1.55</v>
      </c>
      <c r="G449" s="2">
        <v>0</v>
      </c>
      <c r="H449" s="2" t="e">
        <f t="shared" si="24"/>
        <v>#NUM!</v>
      </c>
      <c r="I449" s="2">
        <f t="shared" si="25"/>
        <v>0.37390096630005903</v>
      </c>
      <c r="J449" s="2" t="e">
        <f t="shared" si="26"/>
        <v>#NUM!</v>
      </c>
      <c r="K449">
        <f t="shared" si="27"/>
        <v>0.51666666666666672</v>
      </c>
    </row>
    <row r="450" spans="1:11" ht="13.9" x14ac:dyDescent="0.3">
      <c r="A450" s="2" t="s">
        <v>322</v>
      </c>
      <c r="B450" s="2">
        <v>0</v>
      </c>
      <c r="C450" s="2">
        <v>0</v>
      </c>
      <c r="D450" s="2">
        <v>0</v>
      </c>
      <c r="E450" s="2">
        <v>1.51</v>
      </c>
      <c r="F450" s="2">
        <v>0</v>
      </c>
      <c r="G450" s="2">
        <v>0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0.37390096630005903</v>
      </c>
      <c r="J450" s="2" t="e">
        <f t="shared" ref="J450:J513" si="30">LOG(SUM(B450:D450),2)</f>
        <v>#NUM!</v>
      </c>
      <c r="K450">
        <f t="shared" ref="K450:K513" si="31">AVERAGE(E450:G450)</f>
        <v>0.5033333333333333</v>
      </c>
    </row>
    <row r="451" spans="1:11" ht="13.9" x14ac:dyDescent="0.3">
      <c r="A451" s="2" t="s">
        <v>744</v>
      </c>
      <c r="B451" s="2">
        <v>0</v>
      </c>
      <c r="C451" s="2">
        <v>0</v>
      </c>
      <c r="D451" s="2">
        <v>0</v>
      </c>
      <c r="E451" s="2">
        <v>1.51</v>
      </c>
      <c r="F451" s="2">
        <v>0</v>
      </c>
      <c r="G451" s="2">
        <v>0</v>
      </c>
      <c r="H451" s="2" t="e">
        <f t="shared" si="28"/>
        <v>#NUM!</v>
      </c>
      <c r="I451" s="2">
        <f t="shared" si="29"/>
        <v>0.37390096630005903</v>
      </c>
      <c r="J451" s="2" t="e">
        <f t="shared" si="30"/>
        <v>#NUM!</v>
      </c>
      <c r="K451">
        <f t="shared" si="31"/>
        <v>0.5033333333333333</v>
      </c>
    </row>
    <row r="452" spans="1:11" ht="13.9" x14ac:dyDescent="0.3">
      <c r="A452" s="2" t="s">
        <v>889</v>
      </c>
      <c r="B452" s="2">
        <v>0</v>
      </c>
      <c r="C452" s="2">
        <v>0</v>
      </c>
      <c r="D452" s="2">
        <v>0</v>
      </c>
      <c r="E452" s="2">
        <v>0.5</v>
      </c>
      <c r="F452" s="2">
        <v>0.44</v>
      </c>
      <c r="G452" s="2">
        <v>0.56999999999999995</v>
      </c>
      <c r="H452" s="2" t="e">
        <f t="shared" si="28"/>
        <v>#NUM!</v>
      </c>
      <c r="I452" s="2">
        <f t="shared" si="29"/>
        <v>1.7942956129714409E-4</v>
      </c>
      <c r="J452" s="2" t="e">
        <f t="shared" si="30"/>
        <v>#NUM!</v>
      </c>
      <c r="K452">
        <f t="shared" si="31"/>
        <v>0.5033333333333333</v>
      </c>
    </row>
    <row r="453" spans="1:11" ht="13.9" x14ac:dyDescent="0.3">
      <c r="A453" s="2" t="s">
        <v>198</v>
      </c>
      <c r="B453" s="2">
        <v>0</v>
      </c>
      <c r="C453" s="2">
        <v>0</v>
      </c>
      <c r="D453" s="2">
        <v>0</v>
      </c>
      <c r="E453" s="2">
        <v>0.38</v>
      </c>
      <c r="F453" s="2">
        <v>1.1100000000000001</v>
      </c>
      <c r="G453" s="2">
        <v>0</v>
      </c>
      <c r="H453" s="2" t="e">
        <f t="shared" si="28"/>
        <v>#NUM!</v>
      </c>
      <c r="I453" s="2">
        <f t="shared" si="29"/>
        <v>0.20196164992919252</v>
      </c>
      <c r="J453" s="2" t="e">
        <f t="shared" si="30"/>
        <v>#NUM!</v>
      </c>
      <c r="K453">
        <f t="shared" si="31"/>
        <v>0.49666666666666676</v>
      </c>
    </row>
    <row r="454" spans="1:11" ht="13.9" x14ac:dyDescent="0.3">
      <c r="A454" s="2" t="s">
        <v>747</v>
      </c>
      <c r="B454" s="2">
        <v>0</v>
      </c>
      <c r="C454" s="2">
        <v>0</v>
      </c>
      <c r="D454" s="2">
        <v>0</v>
      </c>
      <c r="E454" s="2">
        <v>0.25</v>
      </c>
      <c r="F454" s="2">
        <v>1</v>
      </c>
      <c r="G454" s="2">
        <v>0.23</v>
      </c>
      <c r="H454" s="2" t="e">
        <f t="shared" si="28"/>
        <v>#NUM!</v>
      </c>
      <c r="I454" s="2">
        <f t="shared" si="29"/>
        <v>0.12340079847556613</v>
      </c>
      <c r="J454" s="2" t="e">
        <f t="shared" si="30"/>
        <v>#NUM!</v>
      </c>
      <c r="K454">
        <f t="shared" si="31"/>
        <v>0.49333333333333335</v>
      </c>
    </row>
    <row r="455" spans="1:11" ht="13.9" x14ac:dyDescent="0.3">
      <c r="A455" s="2" t="s">
        <v>405</v>
      </c>
      <c r="B455" s="2">
        <v>0</v>
      </c>
      <c r="C455" s="2">
        <v>0</v>
      </c>
      <c r="D455" s="2">
        <v>0</v>
      </c>
      <c r="E455" s="2">
        <v>0.76</v>
      </c>
      <c r="F455" s="2">
        <v>0</v>
      </c>
      <c r="G455" s="2">
        <v>0.68</v>
      </c>
      <c r="H455" s="2" t="e">
        <f t="shared" si="28"/>
        <v>#NUM!</v>
      </c>
      <c r="I455" s="2">
        <f t="shared" si="29"/>
        <v>0.11734271318907021</v>
      </c>
      <c r="J455" s="2" t="e">
        <f t="shared" si="30"/>
        <v>#NUM!</v>
      </c>
      <c r="K455">
        <f t="shared" si="31"/>
        <v>0.48</v>
      </c>
    </row>
    <row r="456" spans="1:11" ht="13.9" x14ac:dyDescent="0.3">
      <c r="A456" s="2" t="s">
        <v>312</v>
      </c>
      <c r="B456" s="2">
        <v>0</v>
      </c>
      <c r="C456" s="2">
        <v>0</v>
      </c>
      <c r="D456" s="2">
        <v>0</v>
      </c>
      <c r="E456" s="2">
        <v>1.38</v>
      </c>
      <c r="F456" s="2">
        <v>0</v>
      </c>
      <c r="G456" s="2">
        <v>0</v>
      </c>
      <c r="H456" s="2" t="e">
        <f t="shared" si="28"/>
        <v>#NUM!</v>
      </c>
      <c r="I456" s="2">
        <f t="shared" si="29"/>
        <v>0.37390096630005903</v>
      </c>
      <c r="J456" s="2" t="e">
        <f t="shared" si="30"/>
        <v>#NUM!</v>
      </c>
      <c r="K456">
        <f t="shared" si="31"/>
        <v>0.45999999999999996</v>
      </c>
    </row>
    <row r="457" spans="1:11" ht="13.9" x14ac:dyDescent="0.3">
      <c r="A457" s="2" t="s">
        <v>900</v>
      </c>
      <c r="B457" s="2">
        <v>0</v>
      </c>
      <c r="C457" s="2">
        <v>0</v>
      </c>
      <c r="D457" s="2">
        <v>0</v>
      </c>
      <c r="E457" s="2">
        <v>1.38</v>
      </c>
      <c r="F457" s="2">
        <v>0</v>
      </c>
      <c r="G457" s="2">
        <v>0</v>
      </c>
      <c r="H457" s="2" t="e">
        <f t="shared" si="28"/>
        <v>#NUM!</v>
      </c>
      <c r="I457" s="2">
        <f t="shared" si="29"/>
        <v>0.37390096630005903</v>
      </c>
      <c r="J457" s="2" t="e">
        <f t="shared" si="30"/>
        <v>#NUM!</v>
      </c>
      <c r="K457">
        <f t="shared" si="31"/>
        <v>0.45999999999999996</v>
      </c>
    </row>
    <row r="458" spans="1:11" ht="13.9" x14ac:dyDescent="0.3">
      <c r="A458" s="2" t="s">
        <v>544</v>
      </c>
      <c r="B458" s="2">
        <v>0</v>
      </c>
      <c r="C458" s="2">
        <v>0</v>
      </c>
      <c r="D458" s="2">
        <v>0</v>
      </c>
      <c r="E458" s="2">
        <v>1.26</v>
      </c>
      <c r="F458" s="2">
        <v>0</v>
      </c>
      <c r="G458" s="2">
        <v>0.11</v>
      </c>
      <c r="H458" s="2" t="e">
        <f t="shared" si="28"/>
        <v>#NUM!</v>
      </c>
      <c r="I458" s="2">
        <f t="shared" si="29"/>
        <v>0.32037492858293415</v>
      </c>
      <c r="J458" s="2" t="e">
        <f t="shared" si="30"/>
        <v>#NUM!</v>
      </c>
      <c r="K458">
        <f t="shared" si="31"/>
        <v>0.45666666666666672</v>
      </c>
    </row>
    <row r="459" spans="1:11" ht="13.9" x14ac:dyDescent="0.3">
      <c r="A459" s="2" t="s">
        <v>268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1.36</v>
      </c>
      <c r="H459" s="2" t="e">
        <f t="shared" si="28"/>
        <v>#NUM!</v>
      </c>
      <c r="I459" s="2">
        <f t="shared" si="29"/>
        <v>0.37390096630005903</v>
      </c>
      <c r="J459" s="2" t="e">
        <f t="shared" si="30"/>
        <v>#NUM!</v>
      </c>
      <c r="K459">
        <f t="shared" si="31"/>
        <v>0.45333333333333337</v>
      </c>
    </row>
    <row r="460" spans="1:11" ht="13.9" x14ac:dyDescent="0.3">
      <c r="A460" s="2" t="s">
        <v>545</v>
      </c>
      <c r="B460" s="2">
        <v>0</v>
      </c>
      <c r="C460" s="2">
        <v>0</v>
      </c>
      <c r="D460" s="2">
        <v>0</v>
      </c>
      <c r="E460" s="2">
        <v>0</v>
      </c>
      <c r="F460" s="2">
        <v>1.1100000000000001</v>
      </c>
      <c r="G460" s="2">
        <v>0.23</v>
      </c>
      <c r="H460" s="2" t="e">
        <f t="shared" si="28"/>
        <v>#NUM!</v>
      </c>
      <c r="I460" s="2">
        <f t="shared" si="29"/>
        <v>0.25714492104278447</v>
      </c>
      <c r="J460" s="2" t="e">
        <f t="shared" si="30"/>
        <v>#NUM!</v>
      </c>
      <c r="K460">
        <f t="shared" si="31"/>
        <v>0.44666666666666671</v>
      </c>
    </row>
    <row r="461" spans="1:11" ht="13.9" x14ac:dyDescent="0.3">
      <c r="A461" s="2" t="s">
        <v>683</v>
      </c>
      <c r="B461" s="2">
        <v>0</v>
      </c>
      <c r="C461" s="2">
        <v>0</v>
      </c>
      <c r="D461" s="2">
        <v>0</v>
      </c>
      <c r="E461" s="2">
        <v>1.01</v>
      </c>
      <c r="F461" s="2">
        <v>0.22</v>
      </c>
      <c r="G461" s="2">
        <v>0.11</v>
      </c>
      <c r="H461" s="2" t="e">
        <f t="shared" si="28"/>
        <v>#NUM!</v>
      </c>
      <c r="I461" s="2">
        <f t="shared" si="29"/>
        <v>0.19019337479910545</v>
      </c>
      <c r="J461" s="2" t="e">
        <f t="shared" si="30"/>
        <v>#NUM!</v>
      </c>
      <c r="K461">
        <f t="shared" si="31"/>
        <v>0.44666666666666671</v>
      </c>
    </row>
    <row r="462" spans="1:11" ht="13.9" x14ac:dyDescent="0.3">
      <c r="A462" s="2" t="s">
        <v>930</v>
      </c>
      <c r="B462" s="2">
        <v>0</v>
      </c>
      <c r="C462" s="2">
        <v>0</v>
      </c>
      <c r="D462" s="2">
        <v>0</v>
      </c>
      <c r="E462" s="2">
        <v>0</v>
      </c>
      <c r="F462" s="2">
        <v>1.33</v>
      </c>
      <c r="G462" s="2">
        <v>0</v>
      </c>
      <c r="H462" s="2" t="e">
        <f t="shared" si="28"/>
        <v>#NUM!</v>
      </c>
      <c r="I462" s="2">
        <f t="shared" si="29"/>
        <v>0.37390096630005903</v>
      </c>
      <c r="J462" s="2" t="e">
        <f t="shared" si="30"/>
        <v>#NUM!</v>
      </c>
      <c r="K462">
        <f t="shared" si="31"/>
        <v>0.44333333333333336</v>
      </c>
    </row>
    <row r="463" spans="1:11" ht="13.9" x14ac:dyDescent="0.3">
      <c r="A463" s="2" t="s">
        <v>206</v>
      </c>
      <c r="B463" s="2">
        <v>0</v>
      </c>
      <c r="C463" s="2">
        <v>0</v>
      </c>
      <c r="D463" s="2">
        <v>0</v>
      </c>
      <c r="E463" s="2">
        <v>0.5</v>
      </c>
      <c r="F463" s="2">
        <v>0</v>
      </c>
      <c r="G463" s="2">
        <v>0.79</v>
      </c>
      <c r="H463" s="2" t="e">
        <f t="shared" si="28"/>
        <v>#NUM!</v>
      </c>
      <c r="I463" s="2">
        <f t="shared" si="29"/>
        <v>0.13581709535117098</v>
      </c>
      <c r="J463" s="2" t="e">
        <f t="shared" si="30"/>
        <v>#NUM!</v>
      </c>
      <c r="K463">
        <f t="shared" si="31"/>
        <v>0.43</v>
      </c>
    </row>
    <row r="464" spans="1:11" ht="13.9" x14ac:dyDescent="0.3">
      <c r="A464" s="2" t="s">
        <v>850</v>
      </c>
      <c r="B464" s="2">
        <v>0</v>
      </c>
      <c r="C464" s="2">
        <v>0</v>
      </c>
      <c r="D464" s="2">
        <v>0</v>
      </c>
      <c r="E464" s="2">
        <v>1.26</v>
      </c>
      <c r="F464" s="2">
        <v>0</v>
      </c>
      <c r="G464" s="2">
        <v>0</v>
      </c>
      <c r="H464" s="2" t="e">
        <f t="shared" si="28"/>
        <v>#NUM!</v>
      </c>
      <c r="I464" s="2">
        <f t="shared" si="29"/>
        <v>0.37390096630005903</v>
      </c>
      <c r="J464" s="2" t="e">
        <f t="shared" si="30"/>
        <v>#NUM!</v>
      </c>
      <c r="K464">
        <f t="shared" si="31"/>
        <v>0.42</v>
      </c>
    </row>
    <row r="465" spans="1:11" ht="13.9" x14ac:dyDescent="0.3">
      <c r="A465" s="2" t="s">
        <v>523</v>
      </c>
      <c r="B465" s="2">
        <v>0</v>
      </c>
      <c r="C465" s="2">
        <v>0</v>
      </c>
      <c r="D465" s="2">
        <v>0</v>
      </c>
      <c r="E465" s="2">
        <v>0</v>
      </c>
      <c r="F465" s="2">
        <v>1.22</v>
      </c>
      <c r="G465" s="2">
        <v>0</v>
      </c>
      <c r="H465" s="2" t="e">
        <f t="shared" si="28"/>
        <v>#NUM!</v>
      </c>
      <c r="I465" s="2">
        <f t="shared" si="29"/>
        <v>0.37390096630005903</v>
      </c>
      <c r="J465" s="2" t="e">
        <f t="shared" si="30"/>
        <v>#NUM!</v>
      </c>
      <c r="K465">
        <f t="shared" si="31"/>
        <v>0.40666666666666668</v>
      </c>
    </row>
    <row r="466" spans="1:11" ht="13.9" x14ac:dyDescent="0.3">
      <c r="A466" s="2" t="s">
        <v>536</v>
      </c>
      <c r="B466" s="2">
        <v>0</v>
      </c>
      <c r="C466" s="2">
        <v>0</v>
      </c>
      <c r="D466" s="2">
        <v>0</v>
      </c>
      <c r="E466" s="2">
        <v>0</v>
      </c>
      <c r="F466" s="2">
        <v>1.22</v>
      </c>
      <c r="G466" s="2">
        <v>0</v>
      </c>
      <c r="H466" s="2" t="e">
        <f t="shared" si="28"/>
        <v>#NUM!</v>
      </c>
      <c r="I466" s="2">
        <f t="shared" si="29"/>
        <v>0.37390096630005903</v>
      </c>
      <c r="J466" s="2" t="e">
        <f t="shared" si="30"/>
        <v>#NUM!</v>
      </c>
      <c r="K466">
        <f t="shared" si="31"/>
        <v>0.40666666666666668</v>
      </c>
    </row>
    <row r="467" spans="1:11" ht="13.9" x14ac:dyDescent="0.3">
      <c r="A467" s="2" t="s">
        <v>540</v>
      </c>
      <c r="B467" s="2">
        <v>0</v>
      </c>
      <c r="C467" s="2">
        <v>0</v>
      </c>
      <c r="D467" s="2">
        <v>0</v>
      </c>
      <c r="E467" s="2">
        <v>0</v>
      </c>
      <c r="F467" s="2">
        <v>1.22</v>
      </c>
      <c r="G467" s="2">
        <v>0</v>
      </c>
      <c r="H467" s="2" t="e">
        <f t="shared" si="28"/>
        <v>#NUM!</v>
      </c>
      <c r="I467" s="2">
        <f t="shared" si="29"/>
        <v>0.37390096630005903</v>
      </c>
      <c r="J467" s="2" t="e">
        <f t="shared" si="30"/>
        <v>#NUM!</v>
      </c>
      <c r="K467">
        <f t="shared" si="31"/>
        <v>0.40666666666666668</v>
      </c>
    </row>
    <row r="468" spans="1:11" ht="13.9" x14ac:dyDescent="0.3">
      <c r="A468" s="2" t="s">
        <v>740</v>
      </c>
      <c r="B468" s="2">
        <v>0</v>
      </c>
      <c r="C468" s="2">
        <v>0</v>
      </c>
      <c r="D468" s="2">
        <v>0</v>
      </c>
      <c r="E468" s="2">
        <v>0.5</v>
      </c>
      <c r="F468" s="2">
        <v>0.67</v>
      </c>
      <c r="G468" s="2">
        <v>0</v>
      </c>
      <c r="H468" s="2" t="e">
        <f t="shared" si="28"/>
        <v>#NUM!</v>
      </c>
      <c r="I468" s="2">
        <f t="shared" si="29"/>
        <v>0.12444561188824621</v>
      </c>
      <c r="J468" s="2" t="e">
        <f t="shared" si="30"/>
        <v>#NUM!</v>
      </c>
      <c r="K468">
        <f t="shared" si="31"/>
        <v>0.38999999999999996</v>
      </c>
    </row>
    <row r="469" spans="1:11" ht="13.9" x14ac:dyDescent="0.3">
      <c r="A469" s="2" t="s">
        <v>644</v>
      </c>
      <c r="B469" s="2">
        <v>0</v>
      </c>
      <c r="C469" s="2">
        <v>0</v>
      </c>
      <c r="D469" s="2">
        <v>0</v>
      </c>
      <c r="E469" s="2">
        <v>0.25</v>
      </c>
      <c r="F469" s="2">
        <v>0</v>
      </c>
      <c r="G469" s="2">
        <v>0.91</v>
      </c>
      <c r="H469" s="2" t="e">
        <f t="shared" si="28"/>
        <v>#NUM!</v>
      </c>
      <c r="I469" s="2">
        <f t="shared" si="29"/>
        <v>0.22741163115956636</v>
      </c>
      <c r="J469" s="2" t="e">
        <f t="shared" si="30"/>
        <v>#NUM!</v>
      </c>
      <c r="K469">
        <f t="shared" si="31"/>
        <v>0.38666666666666671</v>
      </c>
    </row>
    <row r="470" spans="1:11" ht="13.9" x14ac:dyDescent="0.3">
      <c r="A470" s="2" t="s">
        <v>241</v>
      </c>
      <c r="B470" s="2">
        <v>0</v>
      </c>
      <c r="C470" s="2">
        <v>0</v>
      </c>
      <c r="D470" s="2">
        <v>0</v>
      </c>
      <c r="E470" s="2">
        <v>1.1299999999999999</v>
      </c>
      <c r="F470" s="2">
        <v>0</v>
      </c>
      <c r="G470" s="2">
        <v>0</v>
      </c>
      <c r="H470" s="2" t="e">
        <f t="shared" si="28"/>
        <v>#NUM!</v>
      </c>
      <c r="I470" s="2">
        <f t="shared" si="29"/>
        <v>0.37390096630005903</v>
      </c>
      <c r="J470" s="2" t="e">
        <f t="shared" si="30"/>
        <v>#NUM!</v>
      </c>
      <c r="K470">
        <f t="shared" si="31"/>
        <v>0.37666666666666665</v>
      </c>
    </row>
    <row r="471" spans="1:11" ht="13.9" x14ac:dyDescent="0.3">
      <c r="A471" s="2" t="s">
        <v>541</v>
      </c>
      <c r="B471" s="2">
        <v>0</v>
      </c>
      <c r="C471" s="2">
        <v>0</v>
      </c>
      <c r="D471" s="2">
        <v>0</v>
      </c>
      <c r="E471" s="2">
        <v>1.1299999999999999</v>
      </c>
      <c r="F471" s="2">
        <v>0</v>
      </c>
      <c r="G471" s="2">
        <v>0</v>
      </c>
      <c r="H471" s="2" t="e">
        <f t="shared" si="28"/>
        <v>#NUM!</v>
      </c>
      <c r="I471" s="2">
        <f t="shared" si="29"/>
        <v>0.37390096630005903</v>
      </c>
      <c r="J471" s="2" t="e">
        <f t="shared" si="30"/>
        <v>#NUM!</v>
      </c>
      <c r="K471">
        <f t="shared" si="31"/>
        <v>0.37666666666666665</v>
      </c>
    </row>
    <row r="472" spans="1:11" ht="13.9" x14ac:dyDescent="0.3">
      <c r="A472" s="2" t="s">
        <v>567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1.1299999999999999</v>
      </c>
      <c r="H472" s="2" t="e">
        <f t="shared" si="28"/>
        <v>#NUM!</v>
      </c>
      <c r="I472" s="2">
        <f t="shared" si="29"/>
        <v>0.37390096630005903</v>
      </c>
      <c r="J472" s="2" t="e">
        <f t="shared" si="30"/>
        <v>#NUM!</v>
      </c>
      <c r="K472">
        <f t="shared" si="31"/>
        <v>0.37666666666666665</v>
      </c>
    </row>
    <row r="473" spans="1:11" ht="13.9" x14ac:dyDescent="0.3">
      <c r="A473" s="2" t="s">
        <v>702</v>
      </c>
      <c r="B473" s="2">
        <v>0</v>
      </c>
      <c r="C473" s="2">
        <v>0</v>
      </c>
      <c r="D473" s="2">
        <v>0</v>
      </c>
      <c r="E473" s="2">
        <v>1.1299999999999999</v>
      </c>
      <c r="F473" s="2">
        <v>0</v>
      </c>
      <c r="G473" s="2">
        <v>0</v>
      </c>
      <c r="H473" s="2" t="e">
        <f t="shared" si="28"/>
        <v>#NUM!</v>
      </c>
      <c r="I473" s="2">
        <f t="shared" si="29"/>
        <v>0.37390096630005903</v>
      </c>
      <c r="J473" s="2" t="e">
        <f t="shared" si="30"/>
        <v>#NUM!</v>
      </c>
      <c r="K473">
        <f t="shared" si="31"/>
        <v>0.37666666666666665</v>
      </c>
    </row>
    <row r="474" spans="1:11" ht="13.9" x14ac:dyDescent="0.3">
      <c r="A474" s="2" t="s">
        <v>651</v>
      </c>
      <c r="B474" s="2">
        <v>0</v>
      </c>
      <c r="C474" s="2">
        <v>0</v>
      </c>
      <c r="D474" s="2">
        <v>0</v>
      </c>
      <c r="E474" s="2">
        <v>0</v>
      </c>
      <c r="F474" s="2">
        <v>0.33</v>
      </c>
      <c r="G474" s="2">
        <v>0.79</v>
      </c>
      <c r="H474" s="2" t="e">
        <f t="shared" si="28"/>
        <v>#NUM!</v>
      </c>
      <c r="I474" s="2">
        <f t="shared" si="29"/>
        <v>0.17849684364246426</v>
      </c>
      <c r="J474" s="2" t="e">
        <f t="shared" si="30"/>
        <v>#NUM!</v>
      </c>
      <c r="K474">
        <f t="shared" si="31"/>
        <v>0.37333333333333335</v>
      </c>
    </row>
    <row r="475" spans="1:11" ht="13.9" x14ac:dyDescent="0.3">
      <c r="A475" s="2" t="s">
        <v>72</v>
      </c>
      <c r="B475" s="2">
        <v>0</v>
      </c>
      <c r="C475" s="2">
        <v>0</v>
      </c>
      <c r="D475" s="2">
        <v>0</v>
      </c>
      <c r="E475" s="2">
        <v>0</v>
      </c>
      <c r="F475" s="2">
        <v>1.1100000000000001</v>
      </c>
      <c r="G475" s="2">
        <v>0</v>
      </c>
      <c r="H475" s="2" t="e">
        <f t="shared" si="28"/>
        <v>#NUM!</v>
      </c>
      <c r="I475" s="2">
        <f t="shared" si="29"/>
        <v>0.37390096630005903</v>
      </c>
      <c r="J475" s="2" t="e">
        <f t="shared" si="30"/>
        <v>#NUM!</v>
      </c>
      <c r="K475">
        <f t="shared" si="31"/>
        <v>0.37000000000000005</v>
      </c>
    </row>
    <row r="476" spans="1:11" ht="13.9" x14ac:dyDescent="0.3">
      <c r="A476" s="2" t="s">
        <v>196</v>
      </c>
      <c r="B476" s="2">
        <v>0</v>
      </c>
      <c r="C476" s="2">
        <v>0</v>
      </c>
      <c r="D476" s="2">
        <v>0</v>
      </c>
      <c r="E476" s="2">
        <v>0</v>
      </c>
      <c r="F476" s="2">
        <v>1.1100000000000001</v>
      </c>
      <c r="G476" s="2">
        <v>0</v>
      </c>
      <c r="H476" s="2" t="e">
        <f t="shared" si="28"/>
        <v>#NUM!</v>
      </c>
      <c r="I476" s="2">
        <f t="shared" si="29"/>
        <v>0.37390096630005903</v>
      </c>
      <c r="J476" s="2" t="e">
        <f t="shared" si="30"/>
        <v>#NUM!</v>
      </c>
      <c r="K476">
        <f t="shared" si="31"/>
        <v>0.37000000000000005</v>
      </c>
    </row>
    <row r="477" spans="1:11" ht="13.9" x14ac:dyDescent="0.3">
      <c r="A477" s="2" t="s">
        <v>346</v>
      </c>
      <c r="B477" s="2">
        <v>0</v>
      </c>
      <c r="C477" s="2">
        <v>0</v>
      </c>
      <c r="D477" s="2">
        <v>0</v>
      </c>
      <c r="E477" s="2">
        <v>0</v>
      </c>
      <c r="F477" s="2">
        <v>1.1100000000000001</v>
      </c>
      <c r="G477" s="2">
        <v>0</v>
      </c>
      <c r="H477" s="2" t="e">
        <f t="shared" si="28"/>
        <v>#NUM!</v>
      </c>
      <c r="I477" s="2">
        <f t="shared" si="29"/>
        <v>0.37390096630005903</v>
      </c>
      <c r="J477" s="2" t="e">
        <f t="shared" si="30"/>
        <v>#NUM!</v>
      </c>
      <c r="K477">
        <f t="shared" si="31"/>
        <v>0.37000000000000005</v>
      </c>
    </row>
    <row r="478" spans="1:11" ht="13.9" x14ac:dyDescent="0.3">
      <c r="A478" s="2" t="s">
        <v>707</v>
      </c>
      <c r="B478" s="2">
        <v>0</v>
      </c>
      <c r="C478" s="2">
        <v>0</v>
      </c>
      <c r="D478" s="2">
        <v>0</v>
      </c>
      <c r="E478" s="2">
        <v>0.88</v>
      </c>
      <c r="F478" s="2">
        <v>0</v>
      </c>
      <c r="G478" s="2">
        <v>0.23</v>
      </c>
      <c r="H478" s="2" t="e">
        <f t="shared" si="28"/>
        <v>#NUM!</v>
      </c>
      <c r="I478" s="2">
        <f t="shared" si="29"/>
        <v>0.23295113855790722</v>
      </c>
      <c r="J478" s="2" t="e">
        <f t="shared" si="30"/>
        <v>#NUM!</v>
      </c>
      <c r="K478">
        <f t="shared" si="31"/>
        <v>0.37000000000000005</v>
      </c>
    </row>
    <row r="479" spans="1:11" ht="13.9" x14ac:dyDescent="0.3">
      <c r="A479" s="2" t="s">
        <v>675</v>
      </c>
      <c r="B479" s="2">
        <v>0</v>
      </c>
      <c r="C479" s="2">
        <v>0</v>
      </c>
      <c r="D479" s="2">
        <v>0</v>
      </c>
      <c r="E479" s="2">
        <v>0.76</v>
      </c>
      <c r="F479" s="2">
        <v>0.11</v>
      </c>
      <c r="G479" s="2">
        <v>0.23</v>
      </c>
      <c r="H479" s="2" t="e">
        <f t="shared" si="28"/>
        <v>#NUM!</v>
      </c>
      <c r="I479" s="2">
        <f t="shared" si="29"/>
        <v>0.14022476377267643</v>
      </c>
      <c r="J479" s="2" t="e">
        <f t="shared" si="30"/>
        <v>#NUM!</v>
      </c>
      <c r="K479">
        <f t="shared" si="31"/>
        <v>0.3666666666666667</v>
      </c>
    </row>
    <row r="480" spans="1:11" ht="13.9" x14ac:dyDescent="0.3">
      <c r="A480" s="2" t="s">
        <v>599</v>
      </c>
      <c r="B480" s="2">
        <v>0</v>
      </c>
      <c r="C480" s="2">
        <v>0</v>
      </c>
      <c r="D480" s="2">
        <v>0</v>
      </c>
      <c r="E480" s="2">
        <v>0.76</v>
      </c>
      <c r="F480" s="2">
        <v>0.33</v>
      </c>
      <c r="G480" s="2">
        <v>0</v>
      </c>
      <c r="H480" s="2" t="e">
        <f t="shared" si="28"/>
        <v>#NUM!</v>
      </c>
      <c r="I480" s="2">
        <f t="shared" si="29"/>
        <v>0.17401649187759899</v>
      </c>
      <c r="J480" s="2" t="e">
        <f t="shared" si="30"/>
        <v>#NUM!</v>
      </c>
      <c r="K480">
        <f t="shared" si="31"/>
        <v>0.36333333333333334</v>
      </c>
    </row>
    <row r="481" spans="1:11" ht="13.9" x14ac:dyDescent="0.3">
      <c r="A481" s="2" t="s">
        <v>505</v>
      </c>
      <c r="B481" s="2">
        <v>0</v>
      </c>
      <c r="C481" s="2">
        <v>0</v>
      </c>
      <c r="D481" s="2">
        <v>0</v>
      </c>
      <c r="E481" s="2">
        <v>0.63</v>
      </c>
      <c r="F481" s="2">
        <v>0.11</v>
      </c>
      <c r="G481" s="2">
        <v>0.34</v>
      </c>
      <c r="H481" s="2" t="e">
        <f t="shared" si="28"/>
        <v>#NUM!</v>
      </c>
      <c r="I481" s="2">
        <f t="shared" si="29"/>
        <v>7.4929771093532382E-2</v>
      </c>
      <c r="J481" s="2" t="e">
        <f t="shared" si="30"/>
        <v>#NUM!</v>
      </c>
      <c r="K481">
        <f t="shared" si="31"/>
        <v>0.36000000000000004</v>
      </c>
    </row>
    <row r="482" spans="1:11" ht="13.9" x14ac:dyDescent="0.3">
      <c r="A482" s="2" t="s">
        <v>132</v>
      </c>
      <c r="B482" s="2">
        <v>0</v>
      </c>
      <c r="C482" s="2">
        <v>0</v>
      </c>
      <c r="D482" s="2">
        <v>0</v>
      </c>
      <c r="E482" s="2">
        <v>0.63</v>
      </c>
      <c r="F482" s="2">
        <v>0.44</v>
      </c>
      <c r="G482" s="2">
        <v>0</v>
      </c>
      <c r="H482" s="2" t="e">
        <f t="shared" si="28"/>
        <v>#NUM!</v>
      </c>
      <c r="I482" s="2">
        <f t="shared" si="29"/>
        <v>0.1285044971232609</v>
      </c>
      <c r="J482" s="2" t="e">
        <f t="shared" si="30"/>
        <v>#NUM!</v>
      </c>
      <c r="K482">
        <f t="shared" si="31"/>
        <v>0.35666666666666669</v>
      </c>
    </row>
    <row r="483" spans="1:11" ht="13.9" x14ac:dyDescent="0.3">
      <c r="A483" s="2" t="s">
        <v>789</v>
      </c>
      <c r="B483" s="2">
        <v>0</v>
      </c>
      <c r="C483" s="2">
        <v>0</v>
      </c>
      <c r="D483" s="2">
        <v>0</v>
      </c>
      <c r="E483" s="2">
        <v>0.5</v>
      </c>
      <c r="F483" s="2">
        <v>0</v>
      </c>
      <c r="G483" s="2">
        <v>0.56999999999999995</v>
      </c>
      <c r="H483" s="2" t="e">
        <f t="shared" si="28"/>
        <v>#NUM!</v>
      </c>
      <c r="I483" s="2">
        <f t="shared" si="29"/>
        <v>0.11781607687077444</v>
      </c>
      <c r="J483" s="2" t="e">
        <f t="shared" si="30"/>
        <v>#NUM!</v>
      </c>
      <c r="K483">
        <f t="shared" si="31"/>
        <v>0.35666666666666663</v>
      </c>
    </row>
    <row r="484" spans="1:11" ht="13.9" x14ac:dyDescent="0.3">
      <c r="A484" s="2" t="s">
        <v>854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1.02</v>
      </c>
      <c r="H484" s="2" t="e">
        <f t="shared" si="28"/>
        <v>#NUM!</v>
      </c>
      <c r="I484" s="2">
        <f t="shared" si="29"/>
        <v>0.37390096630005903</v>
      </c>
      <c r="J484" s="2" t="e">
        <f t="shared" si="30"/>
        <v>#NUM!</v>
      </c>
      <c r="K484">
        <f t="shared" si="31"/>
        <v>0.34</v>
      </c>
    </row>
    <row r="485" spans="1:11" ht="13.9" x14ac:dyDescent="0.3">
      <c r="A485" s="2" t="s">
        <v>297</v>
      </c>
      <c r="B485" s="2">
        <v>0</v>
      </c>
      <c r="C485" s="2">
        <v>0</v>
      </c>
      <c r="D485" s="2">
        <v>0</v>
      </c>
      <c r="E485" s="2">
        <v>1.01</v>
      </c>
      <c r="F485" s="2">
        <v>0</v>
      </c>
      <c r="G485" s="2">
        <v>0</v>
      </c>
      <c r="H485" s="2" t="e">
        <f t="shared" si="28"/>
        <v>#NUM!</v>
      </c>
      <c r="I485" s="2">
        <f t="shared" si="29"/>
        <v>0.37390096630005903</v>
      </c>
      <c r="J485" s="2" t="e">
        <f t="shared" si="30"/>
        <v>#NUM!</v>
      </c>
      <c r="K485">
        <f t="shared" si="31"/>
        <v>0.33666666666666667</v>
      </c>
    </row>
    <row r="486" spans="1:11" ht="13.9" x14ac:dyDescent="0.3">
      <c r="A486" s="2" t="s">
        <v>815</v>
      </c>
      <c r="B486" s="2">
        <v>0</v>
      </c>
      <c r="C486" s="2">
        <v>0</v>
      </c>
      <c r="D486" s="2">
        <v>0</v>
      </c>
      <c r="E486" s="2">
        <v>1.01</v>
      </c>
      <c r="F486" s="2">
        <v>0</v>
      </c>
      <c r="G486" s="2">
        <v>0</v>
      </c>
      <c r="H486" s="2" t="e">
        <f t="shared" si="28"/>
        <v>#NUM!</v>
      </c>
      <c r="I486" s="2">
        <f t="shared" si="29"/>
        <v>0.37390096630005903</v>
      </c>
      <c r="J486" s="2" t="e">
        <f t="shared" si="30"/>
        <v>#NUM!</v>
      </c>
      <c r="K486">
        <f t="shared" si="31"/>
        <v>0.33666666666666667</v>
      </c>
    </row>
    <row r="487" spans="1:11" ht="13.9" x14ac:dyDescent="0.3">
      <c r="A487" s="2" t="s">
        <v>829</v>
      </c>
      <c r="B487" s="2">
        <v>0</v>
      </c>
      <c r="C487" s="2">
        <v>0</v>
      </c>
      <c r="D487" s="2">
        <v>0</v>
      </c>
      <c r="E487" s="2">
        <v>1.01</v>
      </c>
      <c r="F487" s="2">
        <v>0</v>
      </c>
      <c r="G487" s="2">
        <v>0</v>
      </c>
      <c r="H487" s="2" t="e">
        <f t="shared" si="28"/>
        <v>#NUM!</v>
      </c>
      <c r="I487" s="2">
        <f t="shared" si="29"/>
        <v>0.37390096630005903</v>
      </c>
      <c r="J487" s="2" t="e">
        <f t="shared" si="30"/>
        <v>#NUM!</v>
      </c>
      <c r="K487">
        <f t="shared" si="31"/>
        <v>0.33666666666666667</v>
      </c>
    </row>
    <row r="488" spans="1:11" ht="13.9" x14ac:dyDescent="0.3">
      <c r="A488" s="2" t="s">
        <v>406</v>
      </c>
      <c r="B488" s="2">
        <v>0</v>
      </c>
      <c r="C488" s="2">
        <v>0</v>
      </c>
      <c r="D488" s="2">
        <v>0</v>
      </c>
      <c r="E488" s="2">
        <v>0</v>
      </c>
      <c r="F488" s="2">
        <v>1</v>
      </c>
      <c r="G488" s="2">
        <v>0</v>
      </c>
      <c r="H488" s="2" t="e">
        <f t="shared" si="28"/>
        <v>#NUM!</v>
      </c>
      <c r="I488" s="2">
        <f t="shared" si="29"/>
        <v>0.37390096630005903</v>
      </c>
      <c r="J488" s="2" t="e">
        <f t="shared" si="30"/>
        <v>#NUM!</v>
      </c>
      <c r="K488">
        <f t="shared" si="31"/>
        <v>0.33333333333333331</v>
      </c>
    </row>
    <row r="489" spans="1:11" ht="13.9" x14ac:dyDescent="0.3">
      <c r="A489" s="2" t="s">
        <v>232</v>
      </c>
      <c r="B489" s="2">
        <v>0</v>
      </c>
      <c r="C489" s="2">
        <v>0</v>
      </c>
      <c r="D489" s="2">
        <v>0</v>
      </c>
      <c r="E489" s="2">
        <v>0.5</v>
      </c>
      <c r="F489" s="2">
        <v>0</v>
      </c>
      <c r="G489" s="2">
        <v>0.45</v>
      </c>
      <c r="H489" s="2" t="e">
        <f t="shared" si="28"/>
        <v>#NUM!</v>
      </c>
      <c r="I489" s="2">
        <f t="shared" si="29"/>
        <v>0.11721716888134213</v>
      </c>
      <c r="J489" s="2" t="e">
        <f t="shared" si="30"/>
        <v>#NUM!</v>
      </c>
      <c r="K489">
        <f t="shared" si="31"/>
        <v>0.31666666666666665</v>
      </c>
    </row>
    <row r="490" spans="1:11" ht="13.9" x14ac:dyDescent="0.3">
      <c r="A490" s="2" t="s">
        <v>103</v>
      </c>
      <c r="B490" s="2">
        <v>0</v>
      </c>
      <c r="C490" s="2">
        <v>0</v>
      </c>
      <c r="D490" s="2">
        <v>0</v>
      </c>
      <c r="E490" s="2">
        <v>0.25</v>
      </c>
      <c r="F490" s="2">
        <v>0</v>
      </c>
      <c r="G490" s="2">
        <v>0.68</v>
      </c>
      <c r="H490" s="2" t="e">
        <f t="shared" si="28"/>
        <v>#NUM!</v>
      </c>
      <c r="I490" s="2">
        <f t="shared" si="29"/>
        <v>0.19352387452356762</v>
      </c>
      <c r="J490" s="2" t="e">
        <f t="shared" si="30"/>
        <v>#NUM!</v>
      </c>
      <c r="K490">
        <f t="shared" si="31"/>
        <v>0.31</v>
      </c>
    </row>
    <row r="491" spans="1:11" ht="13.9" x14ac:dyDescent="0.3">
      <c r="A491" s="2" t="s">
        <v>205</v>
      </c>
      <c r="B491" s="2">
        <v>0</v>
      </c>
      <c r="C491" s="2">
        <v>0</v>
      </c>
      <c r="D491" s="2">
        <v>0</v>
      </c>
      <c r="E491" s="2">
        <v>0.13</v>
      </c>
      <c r="F491" s="2">
        <v>0.11</v>
      </c>
      <c r="G491" s="2">
        <v>0.68</v>
      </c>
      <c r="H491" s="2" t="e">
        <f t="shared" si="28"/>
        <v>#NUM!</v>
      </c>
      <c r="I491" s="2">
        <f t="shared" si="29"/>
        <v>0.17591959189449596</v>
      </c>
      <c r="J491" s="2" t="e">
        <f t="shared" si="30"/>
        <v>#NUM!</v>
      </c>
      <c r="K491">
        <f t="shared" si="31"/>
        <v>0.3066666666666667</v>
      </c>
    </row>
    <row r="492" spans="1:11" ht="13.9" x14ac:dyDescent="0.3">
      <c r="A492" s="2" t="s">
        <v>278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0.91</v>
      </c>
      <c r="H492" s="2" t="e">
        <f t="shared" si="28"/>
        <v>#NUM!</v>
      </c>
      <c r="I492" s="2">
        <f t="shared" si="29"/>
        <v>0.37390096630005903</v>
      </c>
      <c r="J492" s="2" t="e">
        <f t="shared" si="30"/>
        <v>#NUM!</v>
      </c>
      <c r="K492">
        <f t="shared" si="31"/>
        <v>0.30333333333333334</v>
      </c>
    </row>
    <row r="493" spans="1:11" ht="13.9" x14ac:dyDescent="0.3">
      <c r="A493" s="2" t="s">
        <v>489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0.91</v>
      </c>
      <c r="H493" s="2" t="e">
        <f t="shared" si="28"/>
        <v>#NUM!</v>
      </c>
      <c r="I493" s="2">
        <f t="shared" si="29"/>
        <v>0.37390096630005903</v>
      </c>
      <c r="J493" s="2" t="e">
        <f t="shared" si="30"/>
        <v>#NUM!</v>
      </c>
      <c r="K493">
        <f t="shared" si="31"/>
        <v>0.30333333333333334</v>
      </c>
    </row>
    <row r="494" spans="1:11" ht="13.9" x14ac:dyDescent="0.3">
      <c r="A494" s="2" t="s">
        <v>595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0.91</v>
      </c>
      <c r="H494" s="2" t="e">
        <f t="shared" si="28"/>
        <v>#NUM!</v>
      </c>
      <c r="I494" s="2">
        <f t="shared" si="29"/>
        <v>0.37390096630005903</v>
      </c>
      <c r="J494" s="2" t="e">
        <f t="shared" si="30"/>
        <v>#NUM!</v>
      </c>
      <c r="K494">
        <f t="shared" si="31"/>
        <v>0.30333333333333334</v>
      </c>
    </row>
    <row r="495" spans="1:11" ht="13.9" x14ac:dyDescent="0.3">
      <c r="A495" s="2" t="s">
        <v>756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0.91</v>
      </c>
      <c r="H495" s="2" t="e">
        <f t="shared" si="28"/>
        <v>#NUM!</v>
      </c>
      <c r="I495" s="2">
        <f t="shared" si="29"/>
        <v>0.37390096630005903</v>
      </c>
      <c r="J495" s="2" t="e">
        <f t="shared" si="30"/>
        <v>#NUM!</v>
      </c>
      <c r="K495">
        <f t="shared" si="31"/>
        <v>0.30333333333333334</v>
      </c>
    </row>
    <row r="496" spans="1:11" ht="13.9" x14ac:dyDescent="0.3">
      <c r="A496" s="2" t="s">
        <v>635</v>
      </c>
      <c r="B496" s="2">
        <v>0</v>
      </c>
      <c r="C496" s="2">
        <v>0</v>
      </c>
      <c r="D496" s="2">
        <v>0</v>
      </c>
      <c r="E496" s="2">
        <v>0</v>
      </c>
      <c r="F496" s="2">
        <v>0.67</v>
      </c>
      <c r="G496" s="2">
        <v>0.23</v>
      </c>
      <c r="H496" s="2" t="e">
        <f t="shared" si="28"/>
        <v>#NUM!</v>
      </c>
      <c r="I496" s="2">
        <f t="shared" si="29"/>
        <v>0.2016373839675579</v>
      </c>
      <c r="J496" s="2" t="e">
        <f t="shared" si="30"/>
        <v>#NUM!</v>
      </c>
      <c r="K496">
        <f t="shared" si="31"/>
        <v>0.3</v>
      </c>
    </row>
    <row r="497" spans="1:11" ht="13.9" x14ac:dyDescent="0.3">
      <c r="A497" s="2" t="s">
        <v>130</v>
      </c>
      <c r="B497" s="2">
        <v>0</v>
      </c>
      <c r="C497" s="2">
        <v>0</v>
      </c>
      <c r="D497" s="2">
        <v>0</v>
      </c>
      <c r="E497" s="2">
        <v>0</v>
      </c>
      <c r="F497" s="2">
        <v>0.89</v>
      </c>
      <c r="G497" s="2">
        <v>0</v>
      </c>
      <c r="H497" s="2" t="e">
        <f t="shared" si="28"/>
        <v>#NUM!</v>
      </c>
      <c r="I497" s="2">
        <f t="shared" si="29"/>
        <v>0.37390096630005903</v>
      </c>
      <c r="J497" s="2" t="e">
        <f t="shared" si="30"/>
        <v>#NUM!</v>
      </c>
      <c r="K497">
        <f t="shared" si="31"/>
        <v>0.29666666666666669</v>
      </c>
    </row>
    <row r="498" spans="1:11" ht="13.9" x14ac:dyDescent="0.3">
      <c r="A498" s="2" t="s">
        <v>162</v>
      </c>
      <c r="B498" s="2">
        <v>0</v>
      </c>
      <c r="C498" s="2">
        <v>0</v>
      </c>
      <c r="D498" s="2">
        <v>0</v>
      </c>
      <c r="E498" s="2">
        <v>0</v>
      </c>
      <c r="F498" s="2">
        <v>0.89</v>
      </c>
      <c r="G498" s="2">
        <v>0</v>
      </c>
      <c r="H498" s="2" t="e">
        <f t="shared" si="28"/>
        <v>#NUM!</v>
      </c>
      <c r="I498" s="2">
        <f t="shared" si="29"/>
        <v>0.37390096630005903</v>
      </c>
      <c r="J498" s="2" t="e">
        <f t="shared" si="30"/>
        <v>#NUM!</v>
      </c>
      <c r="K498">
        <f t="shared" si="31"/>
        <v>0.29666666666666669</v>
      </c>
    </row>
    <row r="499" spans="1:11" ht="13.9" x14ac:dyDescent="0.3">
      <c r="A499" s="2" t="s">
        <v>146</v>
      </c>
      <c r="B499" s="2">
        <v>0</v>
      </c>
      <c r="C499" s="2">
        <v>0</v>
      </c>
      <c r="D499" s="2">
        <v>0</v>
      </c>
      <c r="E499" s="2">
        <v>0.88</v>
      </c>
      <c r="F499" s="2">
        <v>0</v>
      </c>
      <c r="G499" s="2">
        <v>0</v>
      </c>
      <c r="H499" s="2" t="e">
        <f t="shared" si="28"/>
        <v>#NUM!</v>
      </c>
      <c r="I499" s="2">
        <f t="shared" si="29"/>
        <v>0.37390096630005903</v>
      </c>
      <c r="J499" s="2" t="e">
        <f t="shared" si="30"/>
        <v>#NUM!</v>
      </c>
      <c r="K499">
        <f t="shared" si="31"/>
        <v>0.29333333333333333</v>
      </c>
    </row>
    <row r="500" spans="1:11" ht="13.9" x14ac:dyDescent="0.3">
      <c r="A500" s="2" t="s">
        <v>475</v>
      </c>
      <c r="B500" s="2">
        <v>0</v>
      </c>
      <c r="C500" s="2">
        <v>0</v>
      </c>
      <c r="D500" s="2">
        <v>0</v>
      </c>
      <c r="E500" s="2">
        <v>0.88</v>
      </c>
      <c r="F500" s="2">
        <v>0</v>
      </c>
      <c r="G500" s="2">
        <v>0</v>
      </c>
      <c r="H500" s="2" t="e">
        <f t="shared" si="28"/>
        <v>#NUM!</v>
      </c>
      <c r="I500" s="2">
        <f t="shared" si="29"/>
        <v>0.37390096630005903</v>
      </c>
      <c r="J500" s="2" t="e">
        <f t="shared" si="30"/>
        <v>#NUM!</v>
      </c>
      <c r="K500">
        <f t="shared" si="31"/>
        <v>0.29333333333333333</v>
      </c>
    </row>
    <row r="501" spans="1:11" ht="13.9" x14ac:dyDescent="0.3">
      <c r="A501" s="2" t="s">
        <v>502</v>
      </c>
      <c r="B501" s="2">
        <v>0</v>
      </c>
      <c r="C501" s="2">
        <v>0</v>
      </c>
      <c r="D501" s="2">
        <v>0</v>
      </c>
      <c r="E501" s="2">
        <v>0.88</v>
      </c>
      <c r="F501" s="2">
        <v>0</v>
      </c>
      <c r="G501" s="2">
        <v>0</v>
      </c>
      <c r="H501" s="2" t="e">
        <f t="shared" si="28"/>
        <v>#NUM!</v>
      </c>
      <c r="I501" s="2">
        <f t="shared" si="29"/>
        <v>0.37390096630005903</v>
      </c>
      <c r="J501" s="2" t="e">
        <f t="shared" si="30"/>
        <v>#NUM!</v>
      </c>
      <c r="K501">
        <f t="shared" si="31"/>
        <v>0.29333333333333333</v>
      </c>
    </row>
    <row r="502" spans="1:11" ht="13.9" x14ac:dyDescent="0.3">
      <c r="A502" s="2" t="s">
        <v>926</v>
      </c>
      <c r="B502" s="2">
        <v>0</v>
      </c>
      <c r="C502" s="2">
        <v>0</v>
      </c>
      <c r="D502" s="2">
        <v>0</v>
      </c>
      <c r="E502" s="2">
        <v>0.76</v>
      </c>
      <c r="F502" s="2">
        <v>0.11</v>
      </c>
      <c r="G502" s="2">
        <v>0</v>
      </c>
      <c r="H502" s="2" t="e">
        <f t="shared" si="28"/>
        <v>#NUM!</v>
      </c>
      <c r="I502" s="2">
        <f t="shared" si="29"/>
        <v>0.2884792214302897</v>
      </c>
      <c r="J502" s="2" t="e">
        <f t="shared" si="30"/>
        <v>#NUM!</v>
      </c>
      <c r="K502">
        <f t="shared" si="31"/>
        <v>0.28999999999999998</v>
      </c>
    </row>
    <row r="503" spans="1:11" ht="13.9" x14ac:dyDescent="0.3">
      <c r="A503" s="2" t="s">
        <v>909</v>
      </c>
      <c r="B503" s="2">
        <v>0</v>
      </c>
      <c r="C503" s="2">
        <v>0</v>
      </c>
      <c r="D503" s="2">
        <v>0</v>
      </c>
      <c r="E503" s="2">
        <v>0.63</v>
      </c>
      <c r="F503" s="2">
        <v>0.22</v>
      </c>
      <c r="G503" s="2">
        <v>0</v>
      </c>
      <c r="H503" s="2" t="e">
        <f t="shared" si="28"/>
        <v>#NUM!</v>
      </c>
      <c r="I503" s="2">
        <f t="shared" si="29"/>
        <v>0.1996154985400517</v>
      </c>
      <c r="J503" s="2" t="e">
        <f t="shared" si="30"/>
        <v>#NUM!</v>
      </c>
      <c r="K503">
        <f t="shared" si="31"/>
        <v>0.28333333333333333</v>
      </c>
    </row>
    <row r="504" spans="1:11" ht="13.9" x14ac:dyDescent="0.3">
      <c r="A504" s="2" t="s">
        <v>403</v>
      </c>
      <c r="B504" s="2">
        <v>0</v>
      </c>
      <c r="C504" s="2">
        <v>0</v>
      </c>
      <c r="D504" s="2">
        <v>0</v>
      </c>
      <c r="E504" s="2">
        <v>0.5</v>
      </c>
      <c r="F504" s="2">
        <v>0</v>
      </c>
      <c r="G504" s="2">
        <v>0.34</v>
      </c>
      <c r="H504" s="2" t="e">
        <f t="shared" si="28"/>
        <v>#NUM!</v>
      </c>
      <c r="I504" s="2">
        <f t="shared" si="29"/>
        <v>0.13034320824229523</v>
      </c>
      <c r="J504" s="2" t="e">
        <f t="shared" si="30"/>
        <v>#NUM!</v>
      </c>
      <c r="K504">
        <f t="shared" si="31"/>
        <v>0.28000000000000003</v>
      </c>
    </row>
    <row r="505" spans="1:11" ht="13.9" x14ac:dyDescent="0.3">
      <c r="A505" s="2" t="s">
        <v>855</v>
      </c>
      <c r="B505" s="2">
        <v>0</v>
      </c>
      <c r="C505" s="2">
        <v>0</v>
      </c>
      <c r="D505" s="2">
        <v>0</v>
      </c>
      <c r="E505" s="2">
        <v>0.5</v>
      </c>
      <c r="F505" s="2">
        <v>0.33</v>
      </c>
      <c r="G505" s="2">
        <v>0</v>
      </c>
      <c r="H505" s="2" t="e">
        <f t="shared" si="28"/>
        <v>#NUM!</v>
      </c>
      <c r="I505" s="2">
        <f t="shared" si="29"/>
        <v>0.13252822088813548</v>
      </c>
      <c r="J505" s="2" t="e">
        <f t="shared" si="30"/>
        <v>#NUM!</v>
      </c>
      <c r="K505">
        <f t="shared" si="31"/>
        <v>0.27666666666666667</v>
      </c>
    </row>
    <row r="506" spans="1:11" ht="13.9" x14ac:dyDescent="0.3">
      <c r="A506" s="2" t="s">
        <v>739</v>
      </c>
      <c r="B506" s="2">
        <v>0</v>
      </c>
      <c r="C506" s="2">
        <v>0</v>
      </c>
      <c r="D506" s="2">
        <v>0</v>
      </c>
      <c r="E506" s="2">
        <v>0.13</v>
      </c>
      <c r="F506" s="2">
        <v>0</v>
      </c>
      <c r="G506" s="2">
        <v>0.68</v>
      </c>
      <c r="H506" s="2" t="e">
        <f t="shared" si="28"/>
        <v>#NUM!</v>
      </c>
      <c r="I506" s="2">
        <f t="shared" si="29"/>
        <v>0.26483987402829778</v>
      </c>
      <c r="J506" s="2" t="e">
        <f t="shared" si="30"/>
        <v>#NUM!</v>
      </c>
      <c r="K506">
        <f t="shared" si="31"/>
        <v>0.27</v>
      </c>
    </row>
    <row r="507" spans="1:11" ht="13.9" x14ac:dyDescent="0.3">
      <c r="A507" s="2" t="s">
        <v>891</v>
      </c>
      <c r="B507" s="2">
        <v>0</v>
      </c>
      <c r="C507" s="2">
        <v>0</v>
      </c>
      <c r="D507" s="2">
        <v>0</v>
      </c>
      <c r="E507" s="2">
        <v>0.25</v>
      </c>
      <c r="F507" s="2">
        <v>0.55000000000000004</v>
      </c>
      <c r="G507" s="2">
        <v>0</v>
      </c>
      <c r="H507" s="2" t="e">
        <f t="shared" si="28"/>
        <v>#NUM!</v>
      </c>
      <c r="I507" s="2">
        <f t="shared" si="29"/>
        <v>0.16879754609057537</v>
      </c>
      <c r="J507" s="2" t="e">
        <f t="shared" si="30"/>
        <v>#NUM!</v>
      </c>
      <c r="K507">
        <f t="shared" si="31"/>
        <v>0.26666666666666666</v>
      </c>
    </row>
    <row r="508" spans="1:11" ht="13.9" x14ac:dyDescent="0.3">
      <c r="A508" s="2" t="s">
        <v>35</v>
      </c>
      <c r="B508" s="2">
        <v>0</v>
      </c>
      <c r="C508" s="2">
        <v>0</v>
      </c>
      <c r="D508" s="2">
        <v>0</v>
      </c>
      <c r="E508" s="2">
        <v>0</v>
      </c>
      <c r="F508" s="2">
        <v>0.78</v>
      </c>
      <c r="G508" s="2">
        <v>0</v>
      </c>
      <c r="H508" s="2" t="e">
        <f t="shared" si="28"/>
        <v>#NUM!</v>
      </c>
      <c r="I508" s="2">
        <f t="shared" si="29"/>
        <v>0.37390096630005903</v>
      </c>
      <c r="J508" s="2" t="e">
        <f t="shared" si="30"/>
        <v>#NUM!</v>
      </c>
      <c r="K508">
        <f t="shared" si="31"/>
        <v>0.26</v>
      </c>
    </row>
    <row r="509" spans="1:11" ht="13.9" x14ac:dyDescent="0.3">
      <c r="A509" s="2" t="s">
        <v>125</v>
      </c>
      <c r="B509" s="2">
        <v>0</v>
      </c>
      <c r="C509" s="2">
        <v>0</v>
      </c>
      <c r="D509" s="2">
        <v>0</v>
      </c>
      <c r="E509" s="2">
        <v>0</v>
      </c>
      <c r="F509" s="2">
        <v>0.78</v>
      </c>
      <c r="G509" s="2">
        <v>0</v>
      </c>
      <c r="H509" s="2" t="e">
        <f t="shared" si="28"/>
        <v>#NUM!</v>
      </c>
      <c r="I509" s="2">
        <f t="shared" si="29"/>
        <v>0.37390096630005903</v>
      </c>
      <c r="J509" s="2" t="e">
        <f t="shared" si="30"/>
        <v>#NUM!</v>
      </c>
      <c r="K509">
        <f t="shared" si="31"/>
        <v>0.26</v>
      </c>
    </row>
    <row r="510" spans="1:11" ht="13.9" x14ac:dyDescent="0.3">
      <c r="A510" s="2" t="s">
        <v>266</v>
      </c>
      <c r="B510" s="2">
        <v>0</v>
      </c>
      <c r="C510" s="2">
        <v>0</v>
      </c>
      <c r="D510" s="2">
        <v>0</v>
      </c>
      <c r="E510" s="2">
        <v>0</v>
      </c>
      <c r="F510" s="2">
        <v>0.78</v>
      </c>
      <c r="G510" s="2">
        <v>0</v>
      </c>
      <c r="H510" s="2" t="e">
        <f t="shared" si="28"/>
        <v>#NUM!</v>
      </c>
      <c r="I510" s="2">
        <f t="shared" si="29"/>
        <v>0.37390096630005903</v>
      </c>
      <c r="J510" s="2" t="e">
        <f t="shared" si="30"/>
        <v>#NUM!</v>
      </c>
      <c r="K510">
        <f t="shared" si="31"/>
        <v>0.26</v>
      </c>
    </row>
    <row r="511" spans="1:11" ht="13.9" x14ac:dyDescent="0.3">
      <c r="A511" s="2" t="s">
        <v>285</v>
      </c>
      <c r="B511" s="2">
        <v>0</v>
      </c>
      <c r="C511" s="2">
        <v>0</v>
      </c>
      <c r="D511" s="2">
        <v>0</v>
      </c>
      <c r="E511" s="2">
        <v>0</v>
      </c>
      <c r="F511" s="2">
        <v>0.78</v>
      </c>
      <c r="G511" s="2">
        <v>0</v>
      </c>
      <c r="H511" s="2" t="e">
        <f t="shared" si="28"/>
        <v>#NUM!</v>
      </c>
      <c r="I511" s="2">
        <f t="shared" si="29"/>
        <v>0.37390096630005903</v>
      </c>
      <c r="J511" s="2" t="e">
        <f t="shared" si="30"/>
        <v>#NUM!</v>
      </c>
      <c r="K511">
        <f t="shared" si="31"/>
        <v>0.26</v>
      </c>
    </row>
    <row r="512" spans="1:11" ht="13.9" x14ac:dyDescent="0.3">
      <c r="A512" s="2" t="s">
        <v>480</v>
      </c>
      <c r="B512" s="2">
        <v>0</v>
      </c>
      <c r="C512" s="2">
        <v>0</v>
      </c>
      <c r="D512" s="2">
        <v>0</v>
      </c>
      <c r="E512" s="2">
        <v>0</v>
      </c>
      <c r="F512" s="2">
        <v>0.78</v>
      </c>
      <c r="G512" s="2">
        <v>0</v>
      </c>
      <c r="H512" s="2" t="e">
        <f t="shared" si="28"/>
        <v>#NUM!</v>
      </c>
      <c r="I512" s="2">
        <f t="shared" si="29"/>
        <v>0.37390096630005903</v>
      </c>
      <c r="J512" s="2" t="e">
        <f t="shared" si="30"/>
        <v>#NUM!</v>
      </c>
      <c r="K512">
        <f t="shared" si="31"/>
        <v>0.26</v>
      </c>
    </row>
    <row r="513" spans="1:11" ht="13.9" x14ac:dyDescent="0.3">
      <c r="A513" s="2" t="s">
        <v>550</v>
      </c>
      <c r="B513" s="2">
        <v>0</v>
      </c>
      <c r="C513" s="2">
        <v>0</v>
      </c>
      <c r="D513" s="2">
        <v>0</v>
      </c>
      <c r="E513" s="2">
        <v>0</v>
      </c>
      <c r="F513" s="2">
        <v>0.55000000000000004</v>
      </c>
      <c r="G513" s="2">
        <v>0.23</v>
      </c>
      <c r="H513" s="2" t="e">
        <f t="shared" si="28"/>
        <v>#NUM!</v>
      </c>
      <c r="I513" s="2">
        <f t="shared" si="29"/>
        <v>0.17836869823871432</v>
      </c>
      <c r="J513" s="2" t="e">
        <f t="shared" si="30"/>
        <v>#NUM!</v>
      </c>
      <c r="K513">
        <f t="shared" si="31"/>
        <v>0.26</v>
      </c>
    </row>
    <row r="514" spans="1:11" ht="13.9" x14ac:dyDescent="0.3">
      <c r="A514" s="2" t="s">
        <v>440</v>
      </c>
      <c r="B514" s="2">
        <v>0</v>
      </c>
      <c r="C514" s="2">
        <v>0</v>
      </c>
      <c r="D514" s="2">
        <v>0</v>
      </c>
      <c r="E514" s="2">
        <v>0.76</v>
      </c>
      <c r="F514" s="2">
        <v>0</v>
      </c>
      <c r="G514" s="2">
        <v>0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0.37390096630005903</v>
      </c>
      <c r="J514" s="2" t="e">
        <f t="shared" ref="J514:J577" si="34">LOG(SUM(B514:D514),2)</f>
        <v>#NUM!</v>
      </c>
      <c r="K514">
        <f t="shared" ref="K514:K577" si="35">AVERAGE(E514:G514)</f>
        <v>0.25333333333333335</v>
      </c>
    </row>
    <row r="515" spans="1:11" ht="13.9" x14ac:dyDescent="0.3">
      <c r="A515" s="2" t="s">
        <v>503</v>
      </c>
      <c r="B515" s="2">
        <v>0</v>
      </c>
      <c r="C515" s="2">
        <v>0</v>
      </c>
      <c r="D515" s="2">
        <v>0</v>
      </c>
      <c r="E515" s="2">
        <v>0.76</v>
      </c>
      <c r="F515" s="2">
        <v>0</v>
      </c>
      <c r="G515" s="2">
        <v>0</v>
      </c>
      <c r="H515" s="2" t="e">
        <f t="shared" si="32"/>
        <v>#NUM!</v>
      </c>
      <c r="I515" s="2">
        <f t="shared" si="33"/>
        <v>0.37390096630005903</v>
      </c>
      <c r="J515" s="2" t="e">
        <f t="shared" si="34"/>
        <v>#NUM!</v>
      </c>
      <c r="K515">
        <f t="shared" si="35"/>
        <v>0.25333333333333335</v>
      </c>
    </row>
    <row r="516" spans="1:11" ht="13.9" x14ac:dyDescent="0.3">
      <c r="A516" s="2" t="s">
        <v>581</v>
      </c>
      <c r="B516" s="2">
        <v>0</v>
      </c>
      <c r="C516" s="2">
        <v>0</v>
      </c>
      <c r="D516" s="2">
        <v>0</v>
      </c>
      <c r="E516" s="2">
        <v>0.76</v>
      </c>
      <c r="F516" s="2">
        <v>0</v>
      </c>
      <c r="G516" s="2">
        <v>0</v>
      </c>
      <c r="H516" s="2" t="e">
        <f t="shared" si="32"/>
        <v>#NUM!</v>
      </c>
      <c r="I516" s="2">
        <f t="shared" si="33"/>
        <v>0.37390096630005903</v>
      </c>
      <c r="J516" s="2" t="e">
        <f t="shared" si="34"/>
        <v>#NUM!</v>
      </c>
      <c r="K516">
        <f t="shared" si="35"/>
        <v>0.25333333333333335</v>
      </c>
    </row>
    <row r="517" spans="1:11" ht="13.9" x14ac:dyDescent="0.3">
      <c r="A517" s="2" t="s">
        <v>399</v>
      </c>
      <c r="B517" s="2">
        <v>0</v>
      </c>
      <c r="C517" s="2">
        <v>0</v>
      </c>
      <c r="D517" s="2">
        <v>0</v>
      </c>
      <c r="E517" s="2">
        <v>0.63</v>
      </c>
      <c r="F517" s="2">
        <v>0.11</v>
      </c>
      <c r="G517" s="2">
        <v>0</v>
      </c>
      <c r="H517" s="2" t="e">
        <f t="shared" si="32"/>
        <v>#NUM!</v>
      </c>
      <c r="I517" s="2">
        <f t="shared" si="33"/>
        <v>0.27304821573138199</v>
      </c>
      <c r="J517" s="2" t="e">
        <f t="shared" si="34"/>
        <v>#NUM!</v>
      </c>
      <c r="K517">
        <f t="shared" si="35"/>
        <v>0.24666666666666667</v>
      </c>
    </row>
    <row r="518" spans="1:11" ht="13.9" x14ac:dyDescent="0.3">
      <c r="A518" s="2" t="s">
        <v>224</v>
      </c>
      <c r="B518" s="2">
        <v>0</v>
      </c>
      <c r="C518" s="2">
        <v>0</v>
      </c>
      <c r="D518" s="2">
        <v>0</v>
      </c>
      <c r="E518" s="2">
        <v>0.38</v>
      </c>
      <c r="F518" s="2">
        <v>0</v>
      </c>
      <c r="G518" s="2">
        <v>0.34</v>
      </c>
      <c r="H518" s="2" t="e">
        <f t="shared" si="32"/>
        <v>#NUM!</v>
      </c>
      <c r="I518" s="2">
        <f t="shared" si="33"/>
        <v>0.11734271318907021</v>
      </c>
      <c r="J518" s="2" t="e">
        <f t="shared" si="34"/>
        <v>#NUM!</v>
      </c>
      <c r="K518">
        <f t="shared" si="35"/>
        <v>0.24</v>
      </c>
    </row>
    <row r="519" spans="1:11" ht="13.9" x14ac:dyDescent="0.3">
      <c r="A519" s="2" t="s">
        <v>362</v>
      </c>
      <c r="B519" s="2">
        <v>0</v>
      </c>
      <c r="C519" s="2">
        <v>0</v>
      </c>
      <c r="D519" s="2">
        <v>0</v>
      </c>
      <c r="E519" s="2">
        <v>0.38</v>
      </c>
      <c r="F519" s="2">
        <v>0.22</v>
      </c>
      <c r="G519" s="2">
        <v>0.11</v>
      </c>
      <c r="H519" s="2" t="e">
        <f t="shared" si="32"/>
        <v>#NUM!</v>
      </c>
      <c r="I519" s="2">
        <f t="shared" si="33"/>
        <v>3.9193001592135165E-2</v>
      </c>
      <c r="J519" s="2" t="e">
        <f t="shared" si="34"/>
        <v>#NUM!</v>
      </c>
      <c r="K519">
        <f t="shared" si="35"/>
        <v>0.23666666666666666</v>
      </c>
    </row>
    <row r="520" spans="1:11" ht="13.9" x14ac:dyDescent="0.3">
      <c r="A520" s="2" t="s">
        <v>768</v>
      </c>
      <c r="B520" s="2">
        <v>0</v>
      </c>
      <c r="C520" s="2">
        <v>0</v>
      </c>
      <c r="D520" s="2">
        <v>0</v>
      </c>
      <c r="E520" s="2">
        <v>0.38</v>
      </c>
      <c r="F520" s="2">
        <v>0.22</v>
      </c>
      <c r="G520" s="2">
        <v>0.11</v>
      </c>
      <c r="H520" s="2" t="e">
        <f t="shared" si="32"/>
        <v>#NUM!</v>
      </c>
      <c r="I520" s="2">
        <f t="shared" si="33"/>
        <v>3.9193001592135165E-2</v>
      </c>
      <c r="J520" s="2" t="e">
        <f t="shared" si="34"/>
        <v>#NUM!</v>
      </c>
      <c r="K520">
        <f t="shared" si="35"/>
        <v>0.23666666666666666</v>
      </c>
    </row>
    <row r="521" spans="1:11" ht="13.9" x14ac:dyDescent="0.3">
      <c r="A521" s="2" t="s">
        <v>913</v>
      </c>
      <c r="B521" s="2">
        <v>0</v>
      </c>
      <c r="C521" s="2">
        <v>0</v>
      </c>
      <c r="D521" s="2">
        <v>0</v>
      </c>
      <c r="E521" s="2">
        <v>0.38</v>
      </c>
      <c r="F521" s="2">
        <v>0.33</v>
      </c>
      <c r="G521" s="2">
        <v>0</v>
      </c>
      <c r="H521" s="2" t="e">
        <f t="shared" si="32"/>
        <v>#NUM!</v>
      </c>
      <c r="I521" s="2">
        <f t="shared" si="33"/>
        <v>0.11808539554779858</v>
      </c>
      <c r="J521" s="2" t="e">
        <f t="shared" si="34"/>
        <v>#NUM!</v>
      </c>
      <c r="K521">
        <f t="shared" si="35"/>
        <v>0.23666666666666666</v>
      </c>
    </row>
    <row r="522" spans="1:11" ht="13.9" x14ac:dyDescent="0.3">
      <c r="A522" s="2" t="s">
        <v>546</v>
      </c>
      <c r="B522" s="2">
        <v>0</v>
      </c>
      <c r="C522" s="2">
        <v>0</v>
      </c>
      <c r="D522" s="2">
        <v>0</v>
      </c>
      <c r="E522" s="2">
        <v>0.25</v>
      </c>
      <c r="F522" s="2">
        <v>0.44</v>
      </c>
      <c r="G522" s="2">
        <v>0</v>
      </c>
      <c r="H522" s="2" t="e">
        <f t="shared" si="32"/>
        <v>#NUM!</v>
      </c>
      <c r="I522" s="2">
        <f t="shared" si="33"/>
        <v>0.14535733135441484</v>
      </c>
      <c r="J522" s="2" t="e">
        <f t="shared" si="34"/>
        <v>#NUM!</v>
      </c>
      <c r="K522">
        <f t="shared" si="35"/>
        <v>0.22999999999999998</v>
      </c>
    </row>
    <row r="523" spans="1:11" ht="13.9" x14ac:dyDescent="0.3">
      <c r="A523" s="2" t="s">
        <v>131</v>
      </c>
      <c r="B523" s="2">
        <v>0</v>
      </c>
      <c r="C523" s="2">
        <v>0</v>
      </c>
      <c r="D523" s="2">
        <v>0</v>
      </c>
      <c r="E523" s="2">
        <v>0.13</v>
      </c>
      <c r="F523" s="2">
        <v>0.55000000000000004</v>
      </c>
      <c r="G523" s="2">
        <v>0</v>
      </c>
      <c r="H523" s="2" t="e">
        <f t="shared" si="32"/>
        <v>#NUM!</v>
      </c>
      <c r="I523" s="2">
        <f t="shared" si="33"/>
        <v>0.24377266948579343</v>
      </c>
      <c r="J523" s="2" t="e">
        <f t="shared" si="34"/>
        <v>#NUM!</v>
      </c>
      <c r="K523">
        <f t="shared" si="35"/>
        <v>0.22666666666666668</v>
      </c>
    </row>
    <row r="524" spans="1:11" ht="13.9" x14ac:dyDescent="0.3">
      <c r="A524" s="2" t="s">
        <v>209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0.68</v>
      </c>
      <c r="H524" s="2" t="e">
        <f t="shared" si="32"/>
        <v>#NUM!</v>
      </c>
      <c r="I524" s="2">
        <f t="shared" si="33"/>
        <v>0.37390096630005903</v>
      </c>
      <c r="J524" s="2" t="e">
        <f t="shared" si="34"/>
        <v>#NUM!</v>
      </c>
      <c r="K524">
        <f t="shared" si="35"/>
        <v>0.22666666666666668</v>
      </c>
    </row>
    <row r="525" spans="1:11" ht="13.9" x14ac:dyDescent="0.3">
      <c r="A525" s="2" t="s">
        <v>332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0.68</v>
      </c>
      <c r="H525" s="2" t="e">
        <f t="shared" si="32"/>
        <v>#NUM!</v>
      </c>
      <c r="I525" s="2">
        <f t="shared" si="33"/>
        <v>0.37390096630005903</v>
      </c>
      <c r="J525" s="2" t="e">
        <f t="shared" si="34"/>
        <v>#NUM!</v>
      </c>
      <c r="K525">
        <f t="shared" si="35"/>
        <v>0.22666666666666668</v>
      </c>
    </row>
    <row r="526" spans="1:11" ht="13.9" x14ac:dyDescent="0.3">
      <c r="A526" s="2" t="s">
        <v>436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0.68</v>
      </c>
      <c r="H526" s="2" t="e">
        <f t="shared" si="32"/>
        <v>#NUM!</v>
      </c>
      <c r="I526" s="2">
        <f t="shared" si="33"/>
        <v>0.37390096630005903</v>
      </c>
      <c r="J526" s="2" t="e">
        <f t="shared" si="34"/>
        <v>#NUM!</v>
      </c>
      <c r="K526">
        <f t="shared" si="35"/>
        <v>0.22666666666666668</v>
      </c>
    </row>
    <row r="527" spans="1:11" ht="13.9" x14ac:dyDescent="0.3">
      <c r="A527" s="2" t="s">
        <v>538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0.68</v>
      </c>
      <c r="H527" s="2" t="e">
        <f t="shared" si="32"/>
        <v>#NUM!</v>
      </c>
      <c r="I527" s="2">
        <f t="shared" si="33"/>
        <v>0.37390096630005903</v>
      </c>
      <c r="J527" s="2" t="e">
        <f t="shared" si="34"/>
        <v>#NUM!</v>
      </c>
      <c r="K527">
        <f t="shared" si="35"/>
        <v>0.22666666666666668</v>
      </c>
    </row>
    <row r="528" spans="1:11" ht="13.9" x14ac:dyDescent="0.3">
      <c r="A528" s="2" t="s">
        <v>669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0.68</v>
      </c>
      <c r="H528" s="2" t="e">
        <f t="shared" si="32"/>
        <v>#NUM!</v>
      </c>
      <c r="I528" s="2">
        <f t="shared" si="33"/>
        <v>0.37390096630005903</v>
      </c>
      <c r="J528" s="2" t="e">
        <f t="shared" si="34"/>
        <v>#NUM!</v>
      </c>
      <c r="K528">
        <f t="shared" si="35"/>
        <v>0.22666666666666668</v>
      </c>
    </row>
    <row r="529" spans="1:11" ht="13.9" x14ac:dyDescent="0.3">
      <c r="A529" s="2" t="s">
        <v>763</v>
      </c>
      <c r="B529" s="2">
        <v>0</v>
      </c>
      <c r="C529" s="2">
        <v>0</v>
      </c>
      <c r="D529" s="2">
        <v>0</v>
      </c>
      <c r="E529" s="2">
        <v>0.13</v>
      </c>
      <c r="F529" s="2">
        <v>0.44</v>
      </c>
      <c r="G529" s="2">
        <v>0.11</v>
      </c>
      <c r="H529" s="2" t="e">
        <f t="shared" si="32"/>
        <v>#NUM!</v>
      </c>
      <c r="I529" s="2">
        <f t="shared" si="33"/>
        <v>0.10112616662393135</v>
      </c>
      <c r="J529" s="2" t="e">
        <f t="shared" si="34"/>
        <v>#NUM!</v>
      </c>
      <c r="K529">
        <f t="shared" si="35"/>
        <v>0.22666666666666668</v>
      </c>
    </row>
    <row r="530" spans="1:11" ht="13.9" x14ac:dyDescent="0.3">
      <c r="A530" s="2" t="s">
        <v>37</v>
      </c>
      <c r="B530" s="2">
        <v>0</v>
      </c>
      <c r="C530" s="2">
        <v>0</v>
      </c>
      <c r="D530" s="2">
        <v>0</v>
      </c>
      <c r="E530" s="2">
        <v>0</v>
      </c>
      <c r="F530" s="2">
        <v>0.67</v>
      </c>
      <c r="G530" s="2">
        <v>0</v>
      </c>
      <c r="H530" s="2" t="e">
        <f t="shared" si="32"/>
        <v>#NUM!</v>
      </c>
      <c r="I530" s="2">
        <f t="shared" si="33"/>
        <v>0.37390096630005903</v>
      </c>
      <c r="J530" s="2" t="e">
        <f t="shared" si="34"/>
        <v>#NUM!</v>
      </c>
      <c r="K530">
        <f t="shared" si="35"/>
        <v>0.22333333333333336</v>
      </c>
    </row>
    <row r="531" spans="1:11" ht="13.9" x14ac:dyDescent="0.3">
      <c r="A531" s="2" t="s">
        <v>256</v>
      </c>
      <c r="B531" s="2">
        <v>0</v>
      </c>
      <c r="C531" s="2">
        <v>0</v>
      </c>
      <c r="D531" s="2">
        <v>0</v>
      </c>
      <c r="E531" s="2">
        <v>0</v>
      </c>
      <c r="F531" s="2">
        <v>0.67</v>
      </c>
      <c r="G531" s="2">
        <v>0</v>
      </c>
      <c r="H531" s="2" t="e">
        <f t="shared" si="32"/>
        <v>#NUM!</v>
      </c>
      <c r="I531" s="2">
        <f t="shared" si="33"/>
        <v>0.37390096630005903</v>
      </c>
      <c r="J531" s="2" t="e">
        <f t="shared" si="34"/>
        <v>#NUM!</v>
      </c>
      <c r="K531">
        <f t="shared" si="35"/>
        <v>0.22333333333333336</v>
      </c>
    </row>
    <row r="532" spans="1:11" ht="13.9" x14ac:dyDescent="0.3">
      <c r="A532" s="2" t="s">
        <v>302</v>
      </c>
      <c r="B532" s="2">
        <v>0</v>
      </c>
      <c r="C532" s="2">
        <v>0</v>
      </c>
      <c r="D532" s="2">
        <v>0</v>
      </c>
      <c r="E532" s="2">
        <v>0</v>
      </c>
      <c r="F532" s="2">
        <v>0.33</v>
      </c>
      <c r="G532" s="2">
        <v>0.34</v>
      </c>
      <c r="H532" s="2" t="e">
        <f t="shared" si="32"/>
        <v>#NUM!</v>
      </c>
      <c r="I532" s="2">
        <f t="shared" si="33"/>
        <v>0.11620512105041363</v>
      </c>
      <c r="J532" s="2" t="e">
        <f t="shared" si="34"/>
        <v>#NUM!</v>
      </c>
      <c r="K532">
        <f t="shared" si="35"/>
        <v>0.22333333333333336</v>
      </c>
    </row>
    <row r="533" spans="1:11" ht="13.9" x14ac:dyDescent="0.3">
      <c r="A533" s="2" t="s">
        <v>336</v>
      </c>
      <c r="B533" s="2">
        <v>0</v>
      </c>
      <c r="C533" s="2">
        <v>0</v>
      </c>
      <c r="D533" s="2">
        <v>0</v>
      </c>
      <c r="E533" s="2">
        <v>0</v>
      </c>
      <c r="F533" s="2">
        <v>0.67</v>
      </c>
      <c r="G533" s="2">
        <v>0</v>
      </c>
      <c r="H533" s="2" t="e">
        <f t="shared" si="32"/>
        <v>#NUM!</v>
      </c>
      <c r="I533" s="2">
        <f t="shared" si="33"/>
        <v>0.37390096630005903</v>
      </c>
      <c r="J533" s="2" t="e">
        <f t="shared" si="34"/>
        <v>#NUM!</v>
      </c>
      <c r="K533">
        <f t="shared" si="35"/>
        <v>0.22333333333333336</v>
      </c>
    </row>
    <row r="534" spans="1:11" ht="13.9" x14ac:dyDescent="0.3">
      <c r="A534" s="2" t="s">
        <v>342</v>
      </c>
      <c r="B534" s="2">
        <v>0</v>
      </c>
      <c r="C534" s="2">
        <v>0</v>
      </c>
      <c r="D534" s="2">
        <v>0</v>
      </c>
      <c r="E534" s="2">
        <v>0</v>
      </c>
      <c r="F534" s="2">
        <v>0.67</v>
      </c>
      <c r="G534" s="2">
        <v>0</v>
      </c>
      <c r="H534" s="2" t="e">
        <f t="shared" si="32"/>
        <v>#NUM!</v>
      </c>
      <c r="I534" s="2">
        <f t="shared" si="33"/>
        <v>0.37390096630005903</v>
      </c>
      <c r="J534" s="2" t="e">
        <f t="shared" si="34"/>
        <v>#NUM!</v>
      </c>
      <c r="K534">
        <f t="shared" si="35"/>
        <v>0.22333333333333336</v>
      </c>
    </row>
    <row r="535" spans="1:11" ht="13.9" x14ac:dyDescent="0.3">
      <c r="A535" s="2" t="s">
        <v>404</v>
      </c>
      <c r="B535" s="2">
        <v>0</v>
      </c>
      <c r="C535" s="2">
        <v>0</v>
      </c>
      <c r="D535" s="2">
        <v>0</v>
      </c>
      <c r="E535" s="2">
        <v>0</v>
      </c>
      <c r="F535" s="2">
        <v>0.67</v>
      </c>
      <c r="G535" s="2">
        <v>0</v>
      </c>
      <c r="H535" s="2" t="e">
        <f t="shared" si="32"/>
        <v>#NUM!</v>
      </c>
      <c r="I535" s="2">
        <f t="shared" si="33"/>
        <v>0.37390096630005903</v>
      </c>
      <c r="J535" s="2" t="e">
        <f t="shared" si="34"/>
        <v>#NUM!</v>
      </c>
      <c r="K535">
        <f t="shared" si="35"/>
        <v>0.22333333333333336</v>
      </c>
    </row>
    <row r="536" spans="1:11" ht="13.9" x14ac:dyDescent="0.3">
      <c r="A536" s="2" t="s">
        <v>561</v>
      </c>
      <c r="B536" s="2">
        <v>0</v>
      </c>
      <c r="C536" s="2">
        <v>0</v>
      </c>
      <c r="D536" s="2">
        <v>0</v>
      </c>
      <c r="E536" s="2">
        <v>0</v>
      </c>
      <c r="F536" s="2">
        <v>0.67</v>
      </c>
      <c r="G536" s="2">
        <v>0</v>
      </c>
      <c r="H536" s="2" t="e">
        <f t="shared" si="32"/>
        <v>#NUM!</v>
      </c>
      <c r="I536" s="2">
        <f t="shared" si="33"/>
        <v>0.37390096630005903</v>
      </c>
      <c r="J536" s="2" t="e">
        <f t="shared" si="34"/>
        <v>#NUM!</v>
      </c>
      <c r="K536">
        <f t="shared" si="35"/>
        <v>0.22333333333333336</v>
      </c>
    </row>
    <row r="537" spans="1:11" ht="13.9" x14ac:dyDescent="0.3">
      <c r="A537" s="2" t="s">
        <v>643</v>
      </c>
      <c r="B537" s="2">
        <v>0</v>
      </c>
      <c r="C537" s="2">
        <v>0</v>
      </c>
      <c r="D537" s="2">
        <v>0</v>
      </c>
      <c r="E537" s="2">
        <v>0</v>
      </c>
      <c r="F537" s="2">
        <v>0.22</v>
      </c>
      <c r="G537" s="2">
        <v>0.45</v>
      </c>
      <c r="H537" s="2" t="e">
        <f t="shared" si="32"/>
        <v>#NUM!</v>
      </c>
      <c r="I537" s="2">
        <f t="shared" si="33"/>
        <v>0.16072314099275151</v>
      </c>
      <c r="J537" s="2" t="e">
        <f t="shared" si="34"/>
        <v>#NUM!</v>
      </c>
      <c r="K537">
        <f t="shared" si="35"/>
        <v>0.22333333333333336</v>
      </c>
    </row>
    <row r="538" spans="1:11" ht="13.9" x14ac:dyDescent="0.3">
      <c r="A538" s="2" t="s">
        <v>703</v>
      </c>
      <c r="B538" s="2">
        <v>0</v>
      </c>
      <c r="C538" s="2">
        <v>0</v>
      </c>
      <c r="D538" s="2">
        <v>0</v>
      </c>
      <c r="E538" s="2">
        <v>0</v>
      </c>
      <c r="F538" s="2">
        <v>0.44</v>
      </c>
      <c r="G538" s="2">
        <v>0.23</v>
      </c>
      <c r="H538" s="2" t="e">
        <f t="shared" si="32"/>
        <v>#NUM!</v>
      </c>
      <c r="I538" s="2">
        <f t="shared" si="33"/>
        <v>0.15363070430658815</v>
      </c>
      <c r="J538" s="2" t="e">
        <f t="shared" si="34"/>
        <v>#NUM!</v>
      </c>
      <c r="K538">
        <f t="shared" si="35"/>
        <v>0.22333333333333336</v>
      </c>
    </row>
    <row r="539" spans="1:11" ht="13.9" x14ac:dyDescent="0.3">
      <c r="A539" s="2" t="s">
        <v>873</v>
      </c>
      <c r="B539" s="2">
        <v>0</v>
      </c>
      <c r="C539" s="2">
        <v>0</v>
      </c>
      <c r="D539" s="2">
        <v>0</v>
      </c>
      <c r="E539" s="2">
        <v>0</v>
      </c>
      <c r="F539" s="2">
        <v>0.67</v>
      </c>
      <c r="G539" s="2">
        <v>0</v>
      </c>
      <c r="H539" s="2" t="e">
        <f t="shared" si="32"/>
        <v>#NUM!</v>
      </c>
      <c r="I539" s="2">
        <f t="shared" si="33"/>
        <v>0.37390096630005903</v>
      </c>
      <c r="J539" s="2" t="e">
        <f t="shared" si="34"/>
        <v>#NUM!</v>
      </c>
      <c r="K539">
        <f t="shared" si="35"/>
        <v>0.22333333333333336</v>
      </c>
    </row>
    <row r="540" spans="1:11" ht="13.9" x14ac:dyDescent="0.3">
      <c r="A540" s="2" t="s">
        <v>179</v>
      </c>
      <c r="B540" s="2">
        <v>0</v>
      </c>
      <c r="C540" s="2">
        <v>0</v>
      </c>
      <c r="D540" s="2">
        <v>0</v>
      </c>
      <c r="E540" s="2">
        <v>0.63</v>
      </c>
      <c r="F540" s="2">
        <v>0</v>
      </c>
      <c r="G540" s="2">
        <v>0</v>
      </c>
      <c r="H540" s="2" t="e">
        <f t="shared" si="32"/>
        <v>#NUM!</v>
      </c>
      <c r="I540" s="2">
        <f t="shared" si="33"/>
        <v>0.37390096630005903</v>
      </c>
      <c r="J540" s="2" t="e">
        <f t="shared" si="34"/>
        <v>#NUM!</v>
      </c>
      <c r="K540">
        <f t="shared" si="35"/>
        <v>0.21</v>
      </c>
    </row>
    <row r="541" spans="1:11" ht="13.9" x14ac:dyDescent="0.3">
      <c r="A541" s="2" t="s">
        <v>343</v>
      </c>
      <c r="B541" s="2">
        <v>0</v>
      </c>
      <c r="C541" s="2">
        <v>0</v>
      </c>
      <c r="D541" s="2">
        <v>0</v>
      </c>
      <c r="E541" s="2">
        <v>0.63</v>
      </c>
      <c r="F541" s="2">
        <v>0</v>
      </c>
      <c r="G541" s="2">
        <v>0</v>
      </c>
      <c r="H541" s="2" t="e">
        <f t="shared" si="32"/>
        <v>#NUM!</v>
      </c>
      <c r="I541" s="2">
        <f t="shared" si="33"/>
        <v>0.37390096630005903</v>
      </c>
      <c r="J541" s="2" t="e">
        <f t="shared" si="34"/>
        <v>#NUM!</v>
      </c>
      <c r="K541">
        <f t="shared" si="35"/>
        <v>0.21</v>
      </c>
    </row>
    <row r="542" spans="1:11" ht="13.9" x14ac:dyDescent="0.3">
      <c r="A542" s="2" t="s">
        <v>344</v>
      </c>
      <c r="B542" s="2">
        <v>0</v>
      </c>
      <c r="C542" s="2">
        <v>0</v>
      </c>
      <c r="D542" s="2">
        <v>0</v>
      </c>
      <c r="E542" s="2">
        <v>0.63</v>
      </c>
      <c r="F542" s="2">
        <v>0</v>
      </c>
      <c r="G542" s="2">
        <v>0</v>
      </c>
      <c r="H542" s="2" t="e">
        <f t="shared" si="32"/>
        <v>#NUM!</v>
      </c>
      <c r="I542" s="2">
        <f t="shared" si="33"/>
        <v>0.37390096630005903</v>
      </c>
      <c r="J542" s="2" t="e">
        <f t="shared" si="34"/>
        <v>#NUM!</v>
      </c>
      <c r="K542">
        <f t="shared" si="35"/>
        <v>0.21</v>
      </c>
    </row>
    <row r="543" spans="1:11" ht="13.9" x14ac:dyDescent="0.3">
      <c r="A543" s="2" t="s">
        <v>383</v>
      </c>
      <c r="B543" s="2">
        <v>0</v>
      </c>
      <c r="C543" s="2">
        <v>0</v>
      </c>
      <c r="D543" s="2">
        <v>0</v>
      </c>
      <c r="E543" s="2">
        <v>0.63</v>
      </c>
      <c r="F543" s="2">
        <v>0</v>
      </c>
      <c r="G543" s="2">
        <v>0</v>
      </c>
      <c r="H543" s="2" t="e">
        <f t="shared" si="32"/>
        <v>#NUM!</v>
      </c>
      <c r="I543" s="2">
        <f t="shared" si="33"/>
        <v>0.37390096630005903</v>
      </c>
      <c r="J543" s="2" t="e">
        <f t="shared" si="34"/>
        <v>#NUM!</v>
      </c>
      <c r="K543">
        <f t="shared" si="35"/>
        <v>0.21</v>
      </c>
    </row>
    <row r="544" spans="1:11" ht="13.9" x14ac:dyDescent="0.3">
      <c r="A544" s="2" t="s">
        <v>487</v>
      </c>
      <c r="B544" s="2">
        <v>0</v>
      </c>
      <c r="C544" s="2">
        <v>0</v>
      </c>
      <c r="D544" s="2">
        <v>0</v>
      </c>
      <c r="E544" s="2">
        <v>0.63</v>
      </c>
      <c r="F544" s="2">
        <v>0</v>
      </c>
      <c r="G544" s="2">
        <v>0</v>
      </c>
      <c r="H544" s="2" t="e">
        <f t="shared" si="32"/>
        <v>#NUM!</v>
      </c>
      <c r="I544" s="2">
        <f t="shared" si="33"/>
        <v>0.37390096630005903</v>
      </c>
      <c r="J544" s="2" t="e">
        <f t="shared" si="34"/>
        <v>#NUM!</v>
      </c>
      <c r="K544">
        <f t="shared" si="35"/>
        <v>0.21</v>
      </c>
    </row>
    <row r="545" spans="1:11" ht="13.9" x14ac:dyDescent="0.3">
      <c r="A545" s="2" t="s">
        <v>498</v>
      </c>
      <c r="B545" s="2">
        <v>0</v>
      </c>
      <c r="C545" s="2">
        <v>0</v>
      </c>
      <c r="D545" s="2">
        <v>0</v>
      </c>
      <c r="E545" s="2">
        <v>0.63</v>
      </c>
      <c r="F545" s="2">
        <v>0</v>
      </c>
      <c r="G545" s="2">
        <v>0</v>
      </c>
      <c r="H545" s="2" t="e">
        <f t="shared" si="32"/>
        <v>#NUM!</v>
      </c>
      <c r="I545" s="2">
        <f t="shared" si="33"/>
        <v>0.37390096630005903</v>
      </c>
      <c r="J545" s="2" t="e">
        <f t="shared" si="34"/>
        <v>#NUM!</v>
      </c>
      <c r="K545">
        <f t="shared" si="35"/>
        <v>0.21</v>
      </c>
    </row>
    <row r="546" spans="1:11" ht="13.9" x14ac:dyDescent="0.3">
      <c r="A546" s="2" t="s">
        <v>553</v>
      </c>
      <c r="B546" s="2">
        <v>0</v>
      </c>
      <c r="C546" s="2">
        <v>0</v>
      </c>
      <c r="D546" s="2">
        <v>0</v>
      </c>
      <c r="E546" s="2">
        <v>0.63</v>
      </c>
      <c r="F546" s="2">
        <v>0</v>
      </c>
      <c r="G546" s="2">
        <v>0</v>
      </c>
      <c r="H546" s="2" t="e">
        <f t="shared" si="32"/>
        <v>#NUM!</v>
      </c>
      <c r="I546" s="2">
        <f t="shared" si="33"/>
        <v>0.37390096630005903</v>
      </c>
      <c r="J546" s="2" t="e">
        <f t="shared" si="34"/>
        <v>#NUM!</v>
      </c>
      <c r="K546">
        <f t="shared" si="35"/>
        <v>0.21</v>
      </c>
    </row>
    <row r="547" spans="1:11" ht="13.9" x14ac:dyDescent="0.3">
      <c r="A547" s="2" t="s">
        <v>570</v>
      </c>
      <c r="B547" s="2">
        <v>0</v>
      </c>
      <c r="C547" s="2">
        <v>0</v>
      </c>
      <c r="D547" s="2">
        <v>0</v>
      </c>
      <c r="E547" s="2">
        <v>0.63</v>
      </c>
      <c r="F547" s="2">
        <v>0</v>
      </c>
      <c r="G547" s="2">
        <v>0</v>
      </c>
      <c r="H547" s="2" t="e">
        <f t="shared" si="32"/>
        <v>#NUM!</v>
      </c>
      <c r="I547" s="2">
        <f t="shared" si="33"/>
        <v>0.37390096630005903</v>
      </c>
      <c r="J547" s="2" t="e">
        <f t="shared" si="34"/>
        <v>#NUM!</v>
      </c>
      <c r="K547">
        <f t="shared" si="35"/>
        <v>0.21</v>
      </c>
    </row>
    <row r="548" spans="1:11" ht="13.9" x14ac:dyDescent="0.3">
      <c r="A548" s="2" t="s">
        <v>697</v>
      </c>
      <c r="B548" s="2">
        <v>0</v>
      </c>
      <c r="C548" s="2">
        <v>0</v>
      </c>
      <c r="D548" s="2">
        <v>0</v>
      </c>
      <c r="E548" s="2">
        <v>0.63</v>
      </c>
      <c r="F548" s="2">
        <v>0</v>
      </c>
      <c r="G548" s="2">
        <v>0</v>
      </c>
      <c r="H548" s="2" t="e">
        <f t="shared" si="32"/>
        <v>#NUM!</v>
      </c>
      <c r="I548" s="2">
        <f t="shared" si="33"/>
        <v>0.37390096630005903</v>
      </c>
      <c r="J548" s="2" t="e">
        <f t="shared" si="34"/>
        <v>#NUM!</v>
      </c>
      <c r="K548">
        <f t="shared" si="35"/>
        <v>0.21</v>
      </c>
    </row>
    <row r="549" spans="1:11" ht="13.9" x14ac:dyDescent="0.3">
      <c r="A549" s="2" t="s">
        <v>810</v>
      </c>
      <c r="B549" s="2">
        <v>0</v>
      </c>
      <c r="C549" s="2">
        <v>0</v>
      </c>
      <c r="D549" s="2">
        <v>0</v>
      </c>
      <c r="E549" s="2">
        <v>0.63</v>
      </c>
      <c r="F549" s="2">
        <v>0</v>
      </c>
      <c r="G549" s="2">
        <v>0</v>
      </c>
      <c r="H549" s="2" t="e">
        <f t="shared" si="32"/>
        <v>#NUM!</v>
      </c>
      <c r="I549" s="2">
        <f t="shared" si="33"/>
        <v>0.37390096630005903</v>
      </c>
      <c r="J549" s="2" t="e">
        <f t="shared" si="34"/>
        <v>#NUM!</v>
      </c>
      <c r="K549">
        <f t="shared" si="35"/>
        <v>0.21</v>
      </c>
    </row>
    <row r="550" spans="1:11" ht="13.9" x14ac:dyDescent="0.3">
      <c r="A550" s="2" t="s">
        <v>840</v>
      </c>
      <c r="B550" s="2">
        <v>0</v>
      </c>
      <c r="C550" s="2">
        <v>0</v>
      </c>
      <c r="D550" s="2">
        <v>0</v>
      </c>
      <c r="E550" s="2">
        <v>0.63</v>
      </c>
      <c r="F550" s="2">
        <v>0</v>
      </c>
      <c r="G550" s="2">
        <v>0</v>
      </c>
      <c r="H550" s="2" t="e">
        <f t="shared" si="32"/>
        <v>#NUM!</v>
      </c>
      <c r="I550" s="2">
        <f t="shared" si="33"/>
        <v>0.37390096630005903</v>
      </c>
      <c r="J550" s="2" t="e">
        <f t="shared" si="34"/>
        <v>#NUM!</v>
      </c>
      <c r="K550">
        <f t="shared" si="35"/>
        <v>0.21</v>
      </c>
    </row>
    <row r="551" spans="1:11" ht="13.9" x14ac:dyDescent="0.3">
      <c r="A551" s="2" t="s">
        <v>357</v>
      </c>
      <c r="B551" s="2">
        <v>0</v>
      </c>
      <c r="C551" s="2">
        <v>0</v>
      </c>
      <c r="D551" s="2">
        <v>0</v>
      </c>
      <c r="E551" s="2">
        <v>0.5</v>
      </c>
      <c r="F551" s="2">
        <v>0</v>
      </c>
      <c r="G551" s="2">
        <v>0.11</v>
      </c>
      <c r="H551" s="2" t="e">
        <f t="shared" si="32"/>
        <v>#NUM!</v>
      </c>
      <c r="I551" s="2">
        <f t="shared" si="33"/>
        <v>0.25117827857643138</v>
      </c>
      <c r="J551" s="2" t="e">
        <f t="shared" si="34"/>
        <v>#NUM!</v>
      </c>
      <c r="K551">
        <f t="shared" si="35"/>
        <v>0.20333333333333334</v>
      </c>
    </row>
    <row r="552" spans="1:11" ht="13.9" x14ac:dyDescent="0.3">
      <c r="A552" s="2" t="s">
        <v>790</v>
      </c>
      <c r="B552" s="2">
        <v>0</v>
      </c>
      <c r="C552" s="2">
        <v>0</v>
      </c>
      <c r="D552" s="2">
        <v>0</v>
      </c>
      <c r="E552" s="2">
        <v>0.5</v>
      </c>
      <c r="F552" s="2">
        <v>0.11</v>
      </c>
      <c r="G552" s="2">
        <v>0</v>
      </c>
      <c r="H552" s="2" t="e">
        <f t="shared" si="32"/>
        <v>#NUM!</v>
      </c>
      <c r="I552" s="2">
        <f t="shared" si="33"/>
        <v>0.25117827857643138</v>
      </c>
      <c r="J552" s="2" t="e">
        <f t="shared" si="34"/>
        <v>#NUM!</v>
      </c>
      <c r="K552">
        <f t="shared" si="35"/>
        <v>0.20333333333333334</v>
      </c>
    </row>
    <row r="553" spans="1:11" ht="13.9" x14ac:dyDescent="0.3">
      <c r="A553" s="2" t="s">
        <v>761</v>
      </c>
      <c r="B553" s="2">
        <v>0</v>
      </c>
      <c r="C553" s="2">
        <v>0</v>
      </c>
      <c r="D553" s="2">
        <v>0</v>
      </c>
      <c r="E553" s="2">
        <v>0.25</v>
      </c>
      <c r="F553" s="2">
        <v>0.33</v>
      </c>
      <c r="G553" s="2">
        <v>0</v>
      </c>
      <c r="H553" s="2" t="e">
        <f t="shared" si="32"/>
        <v>#NUM!</v>
      </c>
      <c r="I553" s="2">
        <f t="shared" si="33"/>
        <v>0.12362848074299966</v>
      </c>
      <c r="J553" s="2" t="e">
        <f t="shared" si="34"/>
        <v>#NUM!</v>
      </c>
      <c r="K553">
        <f t="shared" si="35"/>
        <v>0.19333333333333336</v>
      </c>
    </row>
    <row r="554" spans="1:11" ht="13.9" x14ac:dyDescent="0.3">
      <c r="A554" s="2" t="s">
        <v>626</v>
      </c>
      <c r="B554" s="2">
        <v>0</v>
      </c>
      <c r="C554" s="2">
        <v>0</v>
      </c>
      <c r="D554" s="2">
        <v>0</v>
      </c>
      <c r="E554" s="2">
        <v>0.25</v>
      </c>
      <c r="F554" s="2">
        <v>0.22</v>
      </c>
      <c r="G554" s="2">
        <v>0.11</v>
      </c>
      <c r="H554" s="2" t="e">
        <f t="shared" si="32"/>
        <v>#NUM!</v>
      </c>
      <c r="I554" s="2">
        <f t="shared" si="33"/>
        <v>1.0473893808899661E-2</v>
      </c>
      <c r="J554" s="2" t="e">
        <f t="shared" si="34"/>
        <v>#NUM!</v>
      </c>
      <c r="K554">
        <f t="shared" si="35"/>
        <v>0.19333333333333333</v>
      </c>
    </row>
    <row r="555" spans="1:11" ht="13.9" x14ac:dyDescent="0.3">
      <c r="A555" s="2" t="s">
        <v>243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0.56999999999999995</v>
      </c>
      <c r="H555" s="2" t="e">
        <f t="shared" si="32"/>
        <v>#NUM!</v>
      </c>
      <c r="I555" s="2">
        <f t="shared" si="33"/>
        <v>0.37390096630005903</v>
      </c>
      <c r="J555" s="2" t="e">
        <f t="shared" si="34"/>
        <v>#NUM!</v>
      </c>
      <c r="K555">
        <f t="shared" si="35"/>
        <v>0.18999999999999997</v>
      </c>
    </row>
    <row r="556" spans="1:11" ht="13.9" x14ac:dyDescent="0.3">
      <c r="A556" s="2" t="s">
        <v>506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0.56999999999999995</v>
      </c>
      <c r="H556" s="2" t="e">
        <f t="shared" si="32"/>
        <v>#NUM!</v>
      </c>
      <c r="I556" s="2">
        <f t="shared" si="33"/>
        <v>0.37390096630005903</v>
      </c>
      <c r="J556" s="2" t="e">
        <f t="shared" si="34"/>
        <v>#NUM!</v>
      </c>
      <c r="K556">
        <f t="shared" si="35"/>
        <v>0.18999999999999997</v>
      </c>
    </row>
    <row r="557" spans="1:11" ht="13.9" x14ac:dyDescent="0.3">
      <c r="A557" s="2" t="s">
        <v>524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0.56999999999999995</v>
      </c>
      <c r="H557" s="2" t="e">
        <f t="shared" si="32"/>
        <v>#NUM!</v>
      </c>
      <c r="I557" s="2">
        <f t="shared" si="33"/>
        <v>0.37390096630005903</v>
      </c>
      <c r="J557" s="2" t="e">
        <f t="shared" si="34"/>
        <v>#NUM!</v>
      </c>
      <c r="K557">
        <f t="shared" si="35"/>
        <v>0.18999999999999997</v>
      </c>
    </row>
    <row r="558" spans="1:11" ht="13.9" x14ac:dyDescent="0.3">
      <c r="A558" s="2" t="s">
        <v>548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0.56999999999999995</v>
      </c>
      <c r="H558" s="2" t="e">
        <f t="shared" si="32"/>
        <v>#NUM!</v>
      </c>
      <c r="I558" s="2">
        <f t="shared" si="33"/>
        <v>0.37390096630005903</v>
      </c>
      <c r="J558" s="2" t="e">
        <f t="shared" si="34"/>
        <v>#NUM!</v>
      </c>
      <c r="K558">
        <f t="shared" si="35"/>
        <v>0.18999999999999997</v>
      </c>
    </row>
    <row r="559" spans="1:11" ht="13.9" x14ac:dyDescent="0.3">
      <c r="A559" s="2" t="s">
        <v>579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0.56999999999999995</v>
      </c>
      <c r="H559" s="2" t="e">
        <f t="shared" si="32"/>
        <v>#NUM!</v>
      </c>
      <c r="I559" s="2">
        <f t="shared" si="33"/>
        <v>0.37390096630005903</v>
      </c>
      <c r="J559" s="2" t="e">
        <f t="shared" si="34"/>
        <v>#NUM!</v>
      </c>
      <c r="K559">
        <f t="shared" si="35"/>
        <v>0.18999999999999997</v>
      </c>
    </row>
    <row r="560" spans="1:11" ht="13.9" x14ac:dyDescent="0.3">
      <c r="A560" s="2" t="s">
        <v>732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0.56999999999999995</v>
      </c>
      <c r="H560" s="2" t="e">
        <f t="shared" si="32"/>
        <v>#NUM!</v>
      </c>
      <c r="I560" s="2">
        <f t="shared" si="33"/>
        <v>0.37390096630005903</v>
      </c>
      <c r="J560" s="2" t="e">
        <f t="shared" si="34"/>
        <v>#NUM!</v>
      </c>
      <c r="K560">
        <f t="shared" si="35"/>
        <v>0.18999999999999997</v>
      </c>
    </row>
    <row r="561" spans="1:11" ht="13.9" x14ac:dyDescent="0.3">
      <c r="A561" s="2" t="s">
        <v>164</v>
      </c>
      <c r="B561" s="2">
        <v>0</v>
      </c>
      <c r="C561" s="2">
        <v>0</v>
      </c>
      <c r="D561" s="2">
        <v>0</v>
      </c>
      <c r="E561" s="2">
        <v>0</v>
      </c>
      <c r="F561" s="2">
        <v>0.11</v>
      </c>
      <c r="G561" s="2">
        <v>0.45</v>
      </c>
      <c r="H561" s="2" t="e">
        <f t="shared" si="32"/>
        <v>#NUM!</v>
      </c>
      <c r="I561" s="2">
        <f t="shared" si="33"/>
        <v>0.24020962511427801</v>
      </c>
      <c r="J561" s="2" t="e">
        <f t="shared" si="34"/>
        <v>#NUM!</v>
      </c>
      <c r="K561">
        <f t="shared" si="35"/>
        <v>0.18666666666666668</v>
      </c>
    </row>
    <row r="562" spans="1:11" ht="13.9" x14ac:dyDescent="0.3">
      <c r="A562" s="2" t="s">
        <v>19</v>
      </c>
      <c r="B562" s="2">
        <v>0</v>
      </c>
      <c r="C562" s="2">
        <v>0</v>
      </c>
      <c r="D562" s="2">
        <v>0</v>
      </c>
      <c r="E562" s="2">
        <v>0</v>
      </c>
      <c r="F562" s="2">
        <v>0.55000000000000004</v>
      </c>
      <c r="G562" s="2">
        <v>0</v>
      </c>
      <c r="H562" s="2" t="e">
        <f t="shared" si="32"/>
        <v>#NUM!</v>
      </c>
      <c r="I562" s="2">
        <f t="shared" si="33"/>
        <v>0.37390096630005903</v>
      </c>
      <c r="J562" s="2" t="e">
        <f t="shared" si="34"/>
        <v>#NUM!</v>
      </c>
      <c r="K562">
        <f t="shared" si="35"/>
        <v>0.18333333333333335</v>
      </c>
    </row>
    <row r="563" spans="1:11" ht="13.9" x14ac:dyDescent="0.3">
      <c r="A563" s="2" t="s">
        <v>174</v>
      </c>
      <c r="B563" s="2">
        <v>0</v>
      </c>
      <c r="C563" s="2">
        <v>0</v>
      </c>
      <c r="D563" s="2">
        <v>0</v>
      </c>
      <c r="E563" s="2">
        <v>0</v>
      </c>
      <c r="F563" s="2">
        <v>0.55000000000000004</v>
      </c>
      <c r="G563" s="2">
        <v>0</v>
      </c>
      <c r="H563" s="2" t="e">
        <f t="shared" si="32"/>
        <v>#NUM!</v>
      </c>
      <c r="I563" s="2">
        <f t="shared" si="33"/>
        <v>0.37390096630005903</v>
      </c>
      <c r="J563" s="2" t="e">
        <f t="shared" si="34"/>
        <v>#NUM!</v>
      </c>
      <c r="K563">
        <f t="shared" si="35"/>
        <v>0.18333333333333335</v>
      </c>
    </row>
    <row r="564" spans="1:11" ht="13.9" x14ac:dyDescent="0.3">
      <c r="A564" s="2" t="s">
        <v>452</v>
      </c>
      <c r="B564" s="2">
        <v>0</v>
      </c>
      <c r="C564" s="2">
        <v>0</v>
      </c>
      <c r="D564" s="2">
        <v>0</v>
      </c>
      <c r="E564" s="2">
        <v>0</v>
      </c>
      <c r="F564" s="2">
        <v>0.55000000000000004</v>
      </c>
      <c r="G564" s="2">
        <v>0</v>
      </c>
      <c r="H564" s="2" t="e">
        <f t="shared" si="32"/>
        <v>#NUM!</v>
      </c>
      <c r="I564" s="2">
        <f t="shared" si="33"/>
        <v>0.37390096630005903</v>
      </c>
      <c r="J564" s="2" t="e">
        <f t="shared" si="34"/>
        <v>#NUM!</v>
      </c>
      <c r="K564">
        <f t="shared" si="35"/>
        <v>0.18333333333333335</v>
      </c>
    </row>
    <row r="565" spans="1:11" ht="13.9" x14ac:dyDescent="0.3">
      <c r="A565" s="2" t="s">
        <v>542</v>
      </c>
      <c r="B565" s="2">
        <v>0</v>
      </c>
      <c r="C565" s="2">
        <v>0</v>
      </c>
      <c r="D565" s="2">
        <v>0</v>
      </c>
      <c r="E565" s="2">
        <v>0</v>
      </c>
      <c r="F565" s="2">
        <v>0.55000000000000004</v>
      </c>
      <c r="G565" s="2">
        <v>0</v>
      </c>
      <c r="H565" s="2" t="e">
        <f t="shared" si="32"/>
        <v>#NUM!</v>
      </c>
      <c r="I565" s="2">
        <f t="shared" si="33"/>
        <v>0.37390096630005903</v>
      </c>
      <c r="J565" s="2" t="e">
        <f t="shared" si="34"/>
        <v>#NUM!</v>
      </c>
      <c r="K565">
        <f t="shared" si="35"/>
        <v>0.18333333333333335</v>
      </c>
    </row>
    <row r="566" spans="1:11" ht="13.9" x14ac:dyDescent="0.3">
      <c r="A566" s="2" t="s">
        <v>615</v>
      </c>
      <c r="B566" s="2">
        <v>0</v>
      </c>
      <c r="C566" s="2">
        <v>0</v>
      </c>
      <c r="D566" s="2">
        <v>0</v>
      </c>
      <c r="E566" s="2">
        <v>0</v>
      </c>
      <c r="F566" s="2">
        <v>0.55000000000000004</v>
      </c>
      <c r="G566" s="2">
        <v>0</v>
      </c>
      <c r="H566" s="2" t="e">
        <f t="shared" si="32"/>
        <v>#NUM!</v>
      </c>
      <c r="I566" s="2">
        <f t="shared" si="33"/>
        <v>0.37390096630005903</v>
      </c>
      <c r="J566" s="2" t="e">
        <f t="shared" si="34"/>
        <v>#NUM!</v>
      </c>
      <c r="K566">
        <f t="shared" si="35"/>
        <v>0.18333333333333335</v>
      </c>
    </row>
    <row r="567" spans="1:11" ht="13.9" x14ac:dyDescent="0.3">
      <c r="A567" s="2" t="s">
        <v>631</v>
      </c>
      <c r="B567" s="2">
        <v>0</v>
      </c>
      <c r="C567" s="2">
        <v>0</v>
      </c>
      <c r="D567" s="2">
        <v>0</v>
      </c>
      <c r="E567" s="2">
        <v>0</v>
      </c>
      <c r="F567" s="2">
        <v>0.55000000000000004</v>
      </c>
      <c r="G567" s="2">
        <v>0</v>
      </c>
      <c r="H567" s="2" t="e">
        <f t="shared" si="32"/>
        <v>#NUM!</v>
      </c>
      <c r="I567" s="2">
        <f t="shared" si="33"/>
        <v>0.37390096630005903</v>
      </c>
      <c r="J567" s="2" t="e">
        <f t="shared" si="34"/>
        <v>#NUM!</v>
      </c>
      <c r="K567">
        <f t="shared" si="35"/>
        <v>0.18333333333333335</v>
      </c>
    </row>
    <row r="568" spans="1:11" ht="13.9" x14ac:dyDescent="0.3">
      <c r="A568" s="2" t="s">
        <v>806</v>
      </c>
      <c r="B568" s="2">
        <v>0</v>
      </c>
      <c r="C568" s="2">
        <v>0</v>
      </c>
      <c r="D568" s="2">
        <v>0</v>
      </c>
      <c r="E568" s="2">
        <v>0</v>
      </c>
      <c r="F568" s="2">
        <v>0.44</v>
      </c>
      <c r="G568" s="2">
        <v>0.11</v>
      </c>
      <c r="H568" s="2" t="e">
        <f t="shared" si="32"/>
        <v>#NUM!</v>
      </c>
      <c r="I568" s="2">
        <f t="shared" si="33"/>
        <v>0.23779614445826563</v>
      </c>
      <c r="J568" s="2" t="e">
        <f t="shared" si="34"/>
        <v>#NUM!</v>
      </c>
      <c r="K568">
        <f t="shared" si="35"/>
        <v>0.18333333333333335</v>
      </c>
    </row>
    <row r="569" spans="1:11" ht="13.9" x14ac:dyDescent="0.3">
      <c r="A569" s="2" t="s">
        <v>820</v>
      </c>
      <c r="B569" s="2">
        <v>0</v>
      </c>
      <c r="C569" s="2">
        <v>0</v>
      </c>
      <c r="D569" s="2">
        <v>0</v>
      </c>
      <c r="E569" s="2">
        <v>0</v>
      </c>
      <c r="F569" s="2">
        <v>0.55000000000000004</v>
      </c>
      <c r="G569" s="2">
        <v>0</v>
      </c>
      <c r="H569" s="2" t="e">
        <f t="shared" si="32"/>
        <v>#NUM!</v>
      </c>
      <c r="I569" s="2">
        <f t="shared" si="33"/>
        <v>0.37390096630005903</v>
      </c>
      <c r="J569" s="2" t="e">
        <f t="shared" si="34"/>
        <v>#NUM!</v>
      </c>
      <c r="K569">
        <f t="shared" si="35"/>
        <v>0.18333333333333335</v>
      </c>
    </row>
    <row r="570" spans="1:11" ht="13.9" x14ac:dyDescent="0.3">
      <c r="A570" s="2" t="s">
        <v>857</v>
      </c>
      <c r="B570" s="2">
        <v>0</v>
      </c>
      <c r="C570" s="2">
        <v>0</v>
      </c>
      <c r="D570" s="2">
        <v>0</v>
      </c>
      <c r="E570" s="2">
        <v>0</v>
      </c>
      <c r="F570" s="2">
        <v>0.55000000000000004</v>
      </c>
      <c r="G570" s="2">
        <v>0</v>
      </c>
      <c r="H570" s="2" t="e">
        <f t="shared" si="32"/>
        <v>#NUM!</v>
      </c>
      <c r="I570" s="2">
        <f t="shared" si="33"/>
        <v>0.37390096630005903</v>
      </c>
      <c r="J570" s="2" t="e">
        <f t="shared" si="34"/>
        <v>#NUM!</v>
      </c>
      <c r="K570">
        <f t="shared" si="35"/>
        <v>0.18333333333333335</v>
      </c>
    </row>
    <row r="571" spans="1:11" ht="13.9" x14ac:dyDescent="0.3">
      <c r="A571" s="2" t="s">
        <v>71</v>
      </c>
      <c r="B571" s="2">
        <v>0</v>
      </c>
      <c r="C571" s="2">
        <v>0</v>
      </c>
      <c r="D571" s="2">
        <v>0</v>
      </c>
      <c r="E571" s="2">
        <v>0.5</v>
      </c>
      <c r="F571" s="2">
        <v>0</v>
      </c>
      <c r="G571" s="2">
        <v>0</v>
      </c>
      <c r="H571" s="2" t="e">
        <f t="shared" si="32"/>
        <v>#NUM!</v>
      </c>
      <c r="I571" s="2">
        <f t="shared" si="33"/>
        <v>0.37390096630005903</v>
      </c>
      <c r="J571" s="2" t="e">
        <f t="shared" si="34"/>
        <v>#NUM!</v>
      </c>
      <c r="K571">
        <f t="shared" si="35"/>
        <v>0.16666666666666666</v>
      </c>
    </row>
    <row r="572" spans="1:11" ht="13.9" x14ac:dyDescent="0.3">
      <c r="A572" s="2" t="s">
        <v>485</v>
      </c>
      <c r="B572" s="2">
        <v>0</v>
      </c>
      <c r="C572" s="2">
        <v>0</v>
      </c>
      <c r="D572" s="2">
        <v>0</v>
      </c>
      <c r="E572" s="2">
        <v>0.5</v>
      </c>
      <c r="F572" s="2">
        <v>0</v>
      </c>
      <c r="G572" s="2">
        <v>0</v>
      </c>
      <c r="H572" s="2" t="e">
        <f t="shared" si="32"/>
        <v>#NUM!</v>
      </c>
      <c r="I572" s="2">
        <f t="shared" si="33"/>
        <v>0.37390096630005903</v>
      </c>
      <c r="J572" s="2" t="e">
        <f t="shared" si="34"/>
        <v>#NUM!</v>
      </c>
      <c r="K572">
        <f t="shared" si="35"/>
        <v>0.16666666666666666</v>
      </c>
    </row>
    <row r="573" spans="1:11" ht="13.9" x14ac:dyDescent="0.3">
      <c r="A573" s="2" t="s">
        <v>719</v>
      </c>
      <c r="B573" s="2">
        <v>0</v>
      </c>
      <c r="C573" s="2">
        <v>0</v>
      </c>
      <c r="D573" s="2">
        <v>0</v>
      </c>
      <c r="E573" s="2">
        <v>0.5</v>
      </c>
      <c r="F573" s="2">
        <v>0</v>
      </c>
      <c r="G573" s="2">
        <v>0</v>
      </c>
      <c r="H573" s="2" t="e">
        <f t="shared" si="32"/>
        <v>#NUM!</v>
      </c>
      <c r="I573" s="2">
        <f t="shared" si="33"/>
        <v>0.37390096630005903</v>
      </c>
      <c r="J573" s="2" t="e">
        <f t="shared" si="34"/>
        <v>#NUM!</v>
      </c>
      <c r="K573">
        <f t="shared" si="35"/>
        <v>0.16666666666666666</v>
      </c>
    </row>
    <row r="574" spans="1:11" ht="13.9" x14ac:dyDescent="0.3">
      <c r="A574" s="2" t="s">
        <v>822</v>
      </c>
      <c r="B574" s="2">
        <v>0</v>
      </c>
      <c r="C574" s="2">
        <v>0</v>
      </c>
      <c r="D574" s="2">
        <v>0</v>
      </c>
      <c r="E574" s="2">
        <v>0.5</v>
      </c>
      <c r="F574" s="2">
        <v>0</v>
      </c>
      <c r="G574" s="2">
        <v>0</v>
      </c>
      <c r="H574" s="2" t="e">
        <f t="shared" si="32"/>
        <v>#NUM!</v>
      </c>
      <c r="I574" s="2">
        <f t="shared" si="33"/>
        <v>0.37390096630005903</v>
      </c>
      <c r="J574" s="2" t="e">
        <f t="shared" si="34"/>
        <v>#NUM!</v>
      </c>
      <c r="K574">
        <f t="shared" si="35"/>
        <v>0.16666666666666666</v>
      </c>
    </row>
    <row r="575" spans="1:11" ht="13.9" x14ac:dyDescent="0.3">
      <c r="A575" s="2" t="s">
        <v>837</v>
      </c>
      <c r="B575" s="2">
        <v>0</v>
      </c>
      <c r="C575" s="2">
        <v>0</v>
      </c>
      <c r="D575" s="2">
        <v>0</v>
      </c>
      <c r="E575" s="2">
        <v>0.5</v>
      </c>
      <c r="F575" s="2">
        <v>0</v>
      </c>
      <c r="G575" s="2">
        <v>0</v>
      </c>
      <c r="H575" s="2" t="e">
        <f t="shared" si="32"/>
        <v>#NUM!</v>
      </c>
      <c r="I575" s="2">
        <f t="shared" si="33"/>
        <v>0.37390096630005903</v>
      </c>
      <c r="J575" s="2" t="e">
        <f t="shared" si="34"/>
        <v>#NUM!</v>
      </c>
      <c r="K575">
        <f t="shared" si="35"/>
        <v>0.16666666666666666</v>
      </c>
    </row>
    <row r="576" spans="1:11" ht="13.9" x14ac:dyDescent="0.3">
      <c r="A576" s="2" t="s">
        <v>358</v>
      </c>
      <c r="B576" s="2">
        <v>0</v>
      </c>
      <c r="C576" s="2">
        <v>0</v>
      </c>
      <c r="D576" s="2">
        <v>0</v>
      </c>
      <c r="E576" s="2">
        <v>0.38</v>
      </c>
      <c r="F576" s="2">
        <v>0</v>
      </c>
      <c r="G576" s="2">
        <v>0.11</v>
      </c>
      <c r="H576" s="2" t="e">
        <f t="shared" si="32"/>
        <v>#NUM!</v>
      </c>
      <c r="I576" s="2">
        <f t="shared" si="33"/>
        <v>0.22149416901086655</v>
      </c>
      <c r="J576" s="2" t="e">
        <f t="shared" si="34"/>
        <v>#NUM!</v>
      </c>
      <c r="K576">
        <f t="shared" si="35"/>
        <v>0.16333333333333333</v>
      </c>
    </row>
    <row r="577" spans="1:11" ht="13.9" x14ac:dyDescent="0.3">
      <c r="A577" s="2" t="s">
        <v>213</v>
      </c>
      <c r="B577" s="2">
        <v>0</v>
      </c>
      <c r="C577" s="2">
        <v>0</v>
      </c>
      <c r="D577" s="2">
        <v>0</v>
      </c>
      <c r="E577" s="2">
        <v>0.13</v>
      </c>
      <c r="F577" s="2">
        <v>0.33</v>
      </c>
      <c r="G577" s="2">
        <v>0</v>
      </c>
      <c r="H577" s="2" t="e">
        <f t="shared" si="32"/>
        <v>#NUM!</v>
      </c>
      <c r="I577" s="2">
        <f t="shared" si="33"/>
        <v>0.18536244939379634</v>
      </c>
      <c r="J577" s="2" t="e">
        <f t="shared" si="34"/>
        <v>#NUM!</v>
      </c>
      <c r="K577">
        <f t="shared" si="35"/>
        <v>0.15333333333333335</v>
      </c>
    </row>
    <row r="578" spans="1:11" ht="13.9" x14ac:dyDescent="0.3">
      <c r="A578" s="2" t="s">
        <v>314</v>
      </c>
      <c r="B578" s="2">
        <v>0</v>
      </c>
      <c r="C578" s="2">
        <v>0</v>
      </c>
      <c r="D578" s="2">
        <v>0</v>
      </c>
      <c r="E578" s="2">
        <v>0</v>
      </c>
      <c r="F578" s="2">
        <v>0.11</v>
      </c>
      <c r="G578" s="2">
        <v>0.34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0.20861378603731132</v>
      </c>
      <c r="J578" s="2" t="e">
        <f t="shared" ref="J578:J641" si="38">LOG(SUM(B578:D578),2)</f>
        <v>#NUM!</v>
      </c>
      <c r="K578">
        <f t="shared" ref="K578:K641" si="39">AVERAGE(E578:G578)</f>
        <v>0.15</v>
      </c>
    </row>
    <row r="579" spans="1:11" ht="13.9" x14ac:dyDescent="0.3">
      <c r="A579" s="2" t="s">
        <v>347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0.45</v>
      </c>
      <c r="H579" s="2" t="e">
        <f t="shared" si="36"/>
        <v>#NUM!</v>
      </c>
      <c r="I579" s="2">
        <f t="shared" si="37"/>
        <v>0.37390096630005903</v>
      </c>
      <c r="J579" s="2" t="e">
        <f t="shared" si="38"/>
        <v>#NUM!</v>
      </c>
      <c r="K579">
        <f t="shared" si="39"/>
        <v>0.15</v>
      </c>
    </row>
    <row r="580" spans="1:11" ht="13.9" x14ac:dyDescent="0.3">
      <c r="A580" s="2" t="s">
        <v>519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0.45</v>
      </c>
      <c r="H580" s="2" t="e">
        <f t="shared" si="36"/>
        <v>#NUM!</v>
      </c>
      <c r="I580" s="2">
        <f t="shared" si="37"/>
        <v>0.37390096630005903</v>
      </c>
      <c r="J580" s="2" t="e">
        <f t="shared" si="38"/>
        <v>#NUM!</v>
      </c>
      <c r="K580">
        <f t="shared" si="39"/>
        <v>0.15</v>
      </c>
    </row>
    <row r="581" spans="1:11" ht="13.9" x14ac:dyDescent="0.3">
      <c r="A581" s="2" t="s">
        <v>658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0.45</v>
      </c>
      <c r="H581" s="2" t="e">
        <f t="shared" si="36"/>
        <v>#NUM!</v>
      </c>
      <c r="I581" s="2">
        <f t="shared" si="37"/>
        <v>0.37390096630005903</v>
      </c>
      <c r="J581" s="2" t="e">
        <f t="shared" si="38"/>
        <v>#NUM!</v>
      </c>
      <c r="K581">
        <f t="shared" si="39"/>
        <v>0.15</v>
      </c>
    </row>
    <row r="582" spans="1:11" ht="13.9" x14ac:dyDescent="0.3">
      <c r="A582" s="2" t="s">
        <v>760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0.45</v>
      </c>
      <c r="H582" s="2" t="e">
        <f t="shared" si="36"/>
        <v>#NUM!</v>
      </c>
      <c r="I582" s="2">
        <f t="shared" si="37"/>
        <v>0.37390096630005903</v>
      </c>
      <c r="J582" s="2" t="e">
        <f t="shared" si="38"/>
        <v>#NUM!</v>
      </c>
      <c r="K582">
        <f t="shared" si="39"/>
        <v>0.15</v>
      </c>
    </row>
    <row r="583" spans="1:11" ht="13.9" x14ac:dyDescent="0.3">
      <c r="A583" s="2" t="s">
        <v>762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0.45</v>
      </c>
      <c r="H583" s="2" t="e">
        <f t="shared" si="36"/>
        <v>#NUM!</v>
      </c>
      <c r="I583" s="2">
        <f t="shared" si="37"/>
        <v>0.37390096630005903</v>
      </c>
      <c r="J583" s="2" t="e">
        <f t="shared" si="38"/>
        <v>#NUM!</v>
      </c>
      <c r="K583">
        <f t="shared" si="39"/>
        <v>0.15</v>
      </c>
    </row>
    <row r="584" spans="1:11" ht="13.9" x14ac:dyDescent="0.3">
      <c r="A584" s="2" t="s">
        <v>851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0.45</v>
      </c>
      <c r="H584" s="2" t="e">
        <f t="shared" si="36"/>
        <v>#NUM!</v>
      </c>
      <c r="I584" s="2">
        <f t="shared" si="37"/>
        <v>0.37390096630005903</v>
      </c>
      <c r="J584" s="2" t="e">
        <f t="shared" si="38"/>
        <v>#NUM!</v>
      </c>
      <c r="K584">
        <f t="shared" si="39"/>
        <v>0.15</v>
      </c>
    </row>
    <row r="585" spans="1:11" ht="13.9" x14ac:dyDescent="0.3">
      <c r="A585" s="2" t="s">
        <v>939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0.45</v>
      </c>
      <c r="H585" s="2" t="e">
        <f t="shared" si="36"/>
        <v>#NUM!</v>
      </c>
      <c r="I585" s="2">
        <f t="shared" si="37"/>
        <v>0.37390096630005903</v>
      </c>
      <c r="J585" s="2" t="e">
        <f t="shared" si="38"/>
        <v>#NUM!</v>
      </c>
      <c r="K585">
        <f t="shared" si="39"/>
        <v>0.15</v>
      </c>
    </row>
    <row r="586" spans="1:11" ht="13.9" x14ac:dyDescent="0.3">
      <c r="A586" s="2" t="s">
        <v>86</v>
      </c>
      <c r="B586" s="2">
        <v>0</v>
      </c>
      <c r="C586" s="2">
        <v>0</v>
      </c>
      <c r="D586" s="2">
        <v>0</v>
      </c>
      <c r="E586" s="2">
        <v>0</v>
      </c>
      <c r="F586" s="2">
        <v>0.44</v>
      </c>
      <c r="G586" s="2">
        <v>0</v>
      </c>
      <c r="H586" s="2" t="e">
        <f t="shared" si="36"/>
        <v>#NUM!</v>
      </c>
      <c r="I586" s="2">
        <f t="shared" si="37"/>
        <v>0.37390096630005903</v>
      </c>
      <c r="J586" s="2" t="e">
        <f t="shared" si="38"/>
        <v>#NUM!</v>
      </c>
      <c r="K586">
        <f t="shared" si="39"/>
        <v>0.14666666666666667</v>
      </c>
    </row>
    <row r="587" spans="1:11" ht="13.9" x14ac:dyDescent="0.3">
      <c r="A587" s="2" t="s">
        <v>569</v>
      </c>
      <c r="B587" s="2">
        <v>0</v>
      </c>
      <c r="C587" s="2">
        <v>0</v>
      </c>
      <c r="D587" s="2">
        <v>0</v>
      </c>
      <c r="E587" s="2">
        <v>0</v>
      </c>
      <c r="F587" s="2">
        <v>0.44</v>
      </c>
      <c r="G587" s="2">
        <v>0</v>
      </c>
      <c r="H587" s="2" t="e">
        <f t="shared" si="36"/>
        <v>#NUM!</v>
      </c>
      <c r="I587" s="2">
        <f t="shared" si="37"/>
        <v>0.37390096630005903</v>
      </c>
      <c r="J587" s="2" t="e">
        <f t="shared" si="38"/>
        <v>#NUM!</v>
      </c>
      <c r="K587">
        <f t="shared" si="39"/>
        <v>0.14666666666666667</v>
      </c>
    </row>
    <row r="588" spans="1:11" ht="13.9" x14ac:dyDescent="0.3">
      <c r="A588" s="2" t="s">
        <v>861</v>
      </c>
      <c r="B588" s="2">
        <v>0</v>
      </c>
      <c r="C588" s="2">
        <v>0</v>
      </c>
      <c r="D588" s="2">
        <v>0</v>
      </c>
      <c r="E588" s="2">
        <v>0</v>
      </c>
      <c r="F588" s="2">
        <v>0.44</v>
      </c>
      <c r="G588" s="2">
        <v>0</v>
      </c>
      <c r="H588" s="2" t="e">
        <f t="shared" si="36"/>
        <v>#NUM!</v>
      </c>
      <c r="I588" s="2">
        <f t="shared" si="37"/>
        <v>0.37390096630005903</v>
      </c>
      <c r="J588" s="2" t="e">
        <f t="shared" si="38"/>
        <v>#NUM!</v>
      </c>
      <c r="K588">
        <f t="shared" si="39"/>
        <v>0.14666666666666667</v>
      </c>
    </row>
    <row r="589" spans="1:11" ht="13.9" x14ac:dyDescent="0.3">
      <c r="A589" s="2" t="s">
        <v>885</v>
      </c>
      <c r="B589" s="2">
        <v>0</v>
      </c>
      <c r="C589" s="2">
        <v>0</v>
      </c>
      <c r="D589" s="2">
        <v>0</v>
      </c>
      <c r="E589" s="2">
        <v>0</v>
      </c>
      <c r="F589" s="2">
        <v>0.33</v>
      </c>
      <c r="G589" s="2">
        <v>0.11</v>
      </c>
      <c r="H589" s="2" t="e">
        <f t="shared" si="36"/>
        <v>#NUM!</v>
      </c>
      <c r="I589" s="2">
        <f t="shared" si="37"/>
        <v>0.20510645520407783</v>
      </c>
      <c r="J589" s="2" t="e">
        <f t="shared" si="38"/>
        <v>#NUM!</v>
      </c>
      <c r="K589">
        <f t="shared" si="39"/>
        <v>0.14666666666666667</v>
      </c>
    </row>
    <row r="590" spans="1:11" ht="13.9" x14ac:dyDescent="0.3">
      <c r="A590" s="2" t="s">
        <v>281</v>
      </c>
      <c r="B590" s="2">
        <v>0</v>
      </c>
      <c r="C590" s="2">
        <v>0</v>
      </c>
      <c r="D590" s="2">
        <v>0</v>
      </c>
      <c r="E590" s="2">
        <v>0.38</v>
      </c>
      <c r="F590" s="2">
        <v>0</v>
      </c>
      <c r="G590" s="2">
        <v>0</v>
      </c>
      <c r="H590" s="2" t="e">
        <f t="shared" si="36"/>
        <v>#NUM!</v>
      </c>
      <c r="I590" s="2">
        <f t="shared" si="37"/>
        <v>0.37390096630005903</v>
      </c>
      <c r="J590" s="2" t="e">
        <f t="shared" si="38"/>
        <v>#NUM!</v>
      </c>
      <c r="K590">
        <f t="shared" si="39"/>
        <v>0.12666666666666668</v>
      </c>
    </row>
    <row r="591" spans="1:11" ht="13.9" x14ac:dyDescent="0.3">
      <c r="A591" s="2" t="s">
        <v>444</v>
      </c>
      <c r="B591" s="2">
        <v>0</v>
      </c>
      <c r="C591" s="2">
        <v>0</v>
      </c>
      <c r="D591" s="2">
        <v>0</v>
      </c>
      <c r="E591" s="2">
        <v>0.38</v>
      </c>
      <c r="F591" s="2">
        <v>0</v>
      </c>
      <c r="G591" s="2">
        <v>0</v>
      </c>
      <c r="H591" s="2" t="e">
        <f t="shared" si="36"/>
        <v>#NUM!</v>
      </c>
      <c r="I591" s="2">
        <f t="shared" si="37"/>
        <v>0.37390096630005903</v>
      </c>
      <c r="J591" s="2" t="e">
        <f t="shared" si="38"/>
        <v>#NUM!</v>
      </c>
      <c r="K591">
        <f t="shared" si="39"/>
        <v>0.12666666666666668</v>
      </c>
    </row>
    <row r="592" spans="1:11" ht="13.9" x14ac:dyDescent="0.3">
      <c r="A592" s="2" t="s">
        <v>786</v>
      </c>
      <c r="B592" s="2">
        <v>0</v>
      </c>
      <c r="C592" s="2">
        <v>0</v>
      </c>
      <c r="D592" s="2">
        <v>0</v>
      </c>
      <c r="E592" s="2">
        <v>0.38</v>
      </c>
      <c r="F592" s="2">
        <v>0</v>
      </c>
      <c r="G592" s="2">
        <v>0</v>
      </c>
      <c r="H592" s="2" t="e">
        <f t="shared" si="36"/>
        <v>#NUM!</v>
      </c>
      <c r="I592" s="2">
        <f t="shared" si="37"/>
        <v>0.37390096630005903</v>
      </c>
      <c r="J592" s="2" t="e">
        <f t="shared" si="38"/>
        <v>#NUM!</v>
      </c>
      <c r="K592">
        <f t="shared" si="39"/>
        <v>0.12666666666666668</v>
      </c>
    </row>
    <row r="593" spans="1:11" ht="13.9" x14ac:dyDescent="0.3">
      <c r="A593" s="2" t="s">
        <v>802</v>
      </c>
      <c r="B593" s="2">
        <v>0</v>
      </c>
      <c r="C593" s="2">
        <v>0</v>
      </c>
      <c r="D593" s="2">
        <v>0</v>
      </c>
      <c r="E593" s="2">
        <v>0.38</v>
      </c>
      <c r="F593" s="2">
        <v>0</v>
      </c>
      <c r="G593" s="2">
        <v>0</v>
      </c>
      <c r="H593" s="2" t="e">
        <f t="shared" si="36"/>
        <v>#NUM!</v>
      </c>
      <c r="I593" s="2">
        <f t="shared" si="37"/>
        <v>0.37390096630005903</v>
      </c>
      <c r="J593" s="2" t="e">
        <f t="shared" si="38"/>
        <v>#NUM!</v>
      </c>
      <c r="K593">
        <f t="shared" si="39"/>
        <v>0.12666666666666668</v>
      </c>
    </row>
    <row r="594" spans="1:11" ht="13.9" x14ac:dyDescent="0.3">
      <c r="A594" s="2" t="s">
        <v>882</v>
      </c>
      <c r="B594" s="2">
        <v>0</v>
      </c>
      <c r="C594" s="2">
        <v>0</v>
      </c>
      <c r="D594" s="2">
        <v>0</v>
      </c>
      <c r="E594" s="2">
        <v>0.38</v>
      </c>
      <c r="F594" s="2">
        <v>0</v>
      </c>
      <c r="G594" s="2">
        <v>0</v>
      </c>
      <c r="H594" s="2" t="e">
        <f t="shared" si="36"/>
        <v>#NUM!</v>
      </c>
      <c r="I594" s="2">
        <f t="shared" si="37"/>
        <v>0.37390096630005903</v>
      </c>
      <c r="J594" s="2" t="e">
        <f t="shared" si="38"/>
        <v>#NUM!</v>
      </c>
      <c r="K594">
        <f t="shared" si="39"/>
        <v>0.12666666666666668</v>
      </c>
    </row>
    <row r="595" spans="1:11" ht="13.9" x14ac:dyDescent="0.3">
      <c r="A595" s="2" t="s">
        <v>401</v>
      </c>
      <c r="B595" s="2">
        <v>0</v>
      </c>
      <c r="C595" s="2">
        <v>0</v>
      </c>
      <c r="D595" s="2">
        <v>0</v>
      </c>
      <c r="E595" s="2">
        <v>0.13</v>
      </c>
      <c r="F595" s="2">
        <v>0</v>
      </c>
      <c r="G595" s="2">
        <v>0.23</v>
      </c>
      <c r="H595" s="2" t="e">
        <f t="shared" si="36"/>
        <v>#NUM!</v>
      </c>
      <c r="I595" s="2">
        <f t="shared" si="37"/>
        <v>0.14585533230362946</v>
      </c>
      <c r="J595" s="2" t="e">
        <f t="shared" si="38"/>
        <v>#NUM!</v>
      </c>
      <c r="K595">
        <f t="shared" si="39"/>
        <v>0.12</v>
      </c>
    </row>
    <row r="596" spans="1:11" ht="13.9" x14ac:dyDescent="0.3">
      <c r="A596" s="2" t="s">
        <v>434</v>
      </c>
      <c r="B596" s="2">
        <v>0</v>
      </c>
      <c r="C596" s="2">
        <v>0</v>
      </c>
      <c r="D596" s="2">
        <v>0</v>
      </c>
      <c r="E596" s="2">
        <v>0.25</v>
      </c>
      <c r="F596" s="2">
        <v>0.11</v>
      </c>
      <c r="G596" s="2">
        <v>0</v>
      </c>
      <c r="H596" s="2" t="e">
        <f t="shared" si="36"/>
        <v>#NUM!</v>
      </c>
      <c r="I596" s="2">
        <f t="shared" si="37"/>
        <v>0.17249655926762433</v>
      </c>
      <c r="J596" s="2" t="e">
        <f t="shared" si="38"/>
        <v>#NUM!</v>
      </c>
      <c r="K596">
        <f t="shared" si="39"/>
        <v>0.12</v>
      </c>
    </row>
    <row r="597" spans="1:11" ht="13.9" x14ac:dyDescent="0.3">
      <c r="A597" s="2" t="s">
        <v>624</v>
      </c>
      <c r="B597" s="2">
        <v>0</v>
      </c>
      <c r="C597" s="2">
        <v>0</v>
      </c>
      <c r="D597" s="2">
        <v>0</v>
      </c>
      <c r="E597" s="2">
        <v>0.13</v>
      </c>
      <c r="F597" s="2">
        <v>0.22</v>
      </c>
      <c r="G597" s="2">
        <v>0</v>
      </c>
      <c r="H597" s="2" t="e">
        <f t="shared" si="36"/>
        <v>#NUM!</v>
      </c>
      <c r="I597" s="2">
        <f t="shared" si="37"/>
        <v>0.14172271511995713</v>
      </c>
      <c r="J597" s="2" t="e">
        <f t="shared" si="38"/>
        <v>#NUM!</v>
      </c>
      <c r="K597">
        <f t="shared" si="39"/>
        <v>0.11666666666666665</v>
      </c>
    </row>
    <row r="598" spans="1:11" ht="13.9" x14ac:dyDescent="0.3">
      <c r="A598" s="2" t="s">
        <v>254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0.34</v>
      </c>
      <c r="H598" s="2" t="e">
        <f t="shared" si="36"/>
        <v>#NUM!</v>
      </c>
      <c r="I598" s="2">
        <f t="shared" si="37"/>
        <v>0.37390096630005903</v>
      </c>
      <c r="J598" s="2" t="e">
        <f t="shared" si="38"/>
        <v>#NUM!</v>
      </c>
      <c r="K598">
        <f t="shared" si="39"/>
        <v>0.11333333333333334</v>
      </c>
    </row>
    <row r="599" spans="1:11" ht="13.9" x14ac:dyDescent="0.3">
      <c r="A599" s="2" t="s">
        <v>677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0.34</v>
      </c>
      <c r="H599" s="2" t="e">
        <f t="shared" si="36"/>
        <v>#NUM!</v>
      </c>
      <c r="I599" s="2">
        <f t="shared" si="37"/>
        <v>0.37390096630005903</v>
      </c>
      <c r="J599" s="2" t="e">
        <f t="shared" si="38"/>
        <v>#NUM!</v>
      </c>
      <c r="K599">
        <f t="shared" si="39"/>
        <v>0.11333333333333334</v>
      </c>
    </row>
    <row r="600" spans="1:11" ht="13.9" x14ac:dyDescent="0.3">
      <c r="A600" s="2" t="s">
        <v>696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0.34</v>
      </c>
      <c r="H600" s="2" t="e">
        <f t="shared" si="36"/>
        <v>#NUM!</v>
      </c>
      <c r="I600" s="2">
        <f t="shared" si="37"/>
        <v>0.37390096630005903</v>
      </c>
      <c r="J600" s="2" t="e">
        <f t="shared" si="38"/>
        <v>#NUM!</v>
      </c>
      <c r="K600">
        <f t="shared" si="39"/>
        <v>0.11333333333333334</v>
      </c>
    </row>
    <row r="601" spans="1:11" ht="13.9" x14ac:dyDescent="0.3">
      <c r="A601" s="2" t="s">
        <v>759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0.34</v>
      </c>
      <c r="H601" s="2" t="e">
        <f t="shared" si="36"/>
        <v>#NUM!</v>
      </c>
      <c r="I601" s="2">
        <f t="shared" si="37"/>
        <v>0.37390096630005903</v>
      </c>
      <c r="J601" s="2" t="e">
        <f t="shared" si="38"/>
        <v>#NUM!</v>
      </c>
      <c r="K601">
        <f t="shared" si="39"/>
        <v>0.11333333333333334</v>
      </c>
    </row>
    <row r="602" spans="1:11" ht="13.9" x14ac:dyDescent="0.3">
      <c r="A602" s="2" t="s">
        <v>795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0.34</v>
      </c>
      <c r="H602" s="2" t="e">
        <f t="shared" si="36"/>
        <v>#NUM!</v>
      </c>
      <c r="I602" s="2">
        <f t="shared" si="37"/>
        <v>0.37390096630005903</v>
      </c>
      <c r="J602" s="2" t="e">
        <f t="shared" si="38"/>
        <v>#NUM!</v>
      </c>
      <c r="K602">
        <f t="shared" si="39"/>
        <v>0.11333333333333334</v>
      </c>
    </row>
    <row r="603" spans="1:11" ht="13.9" x14ac:dyDescent="0.3">
      <c r="A603" s="2" t="s">
        <v>96</v>
      </c>
      <c r="B603" s="2">
        <v>0</v>
      </c>
      <c r="C603" s="2">
        <v>0</v>
      </c>
      <c r="D603" s="2">
        <v>0</v>
      </c>
      <c r="E603" s="2">
        <v>0</v>
      </c>
      <c r="F603" s="2">
        <v>0.33</v>
      </c>
      <c r="G603" s="2">
        <v>0</v>
      </c>
      <c r="H603" s="2" t="e">
        <f t="shared" si="36"/>
        <v>#NUM!</v>
      </c>
      <c r="I603" s="2">
        <f t="shared" si="37"/>
        <v>0.37390096630005903</v>
      </c>
      <c r="J603" s="2" t="e">
        <f t="shared" si="38"/>
        <v>#NUM!</v>
      </c>
      <c r="K603">
        <f t="shared" si="39"/>
        <v>0.11</v>
      </c>
    </row>
    <row r="604" spans="1:11" ht="13.9" x14ac:dyDescent="0.3">
      <c r="A604" s="2" t="s">
        <v>100</v>
      </c>
      <c r="B604" s="2">
        <v>0</v>
      </c>
      <c r="C604" s="2">
        <v>0</v>
      </c>
      <c r="D604" s="2">
        <v>0</v>
      </c>
      <c r="E604" s="2">
        <v>0</v>
      </c>
      <c r="F604" s="2">
        <v>0.33</v>
      </c>
      <c r="G604" s="2">
        <v>0</v>
      </c>
      <c r="H604" s="2" t="e">
        <f t="shared" si="36"/>
        <v>#NUM!</v>
      </c>
      <c r="I604" s="2">
        <f t="shared" si="37"/>
        <v>0.37390096630005903</v>
      </c>
      <c r="J604" s="2" t="e">
        <f t="shared" si="38"/>
        <v>#NUM!</v>
      </c>
      <c r="K604">
        <f t="shared" si="39"/>
        <v>0.11</v>
      </c>
    </row>
    <row r="605" spans="1:11" ht="13.9" x14ac:dyDescent="0.3">
      <c r="A605" s="2" t="s">
        <v>329</v>
      </c>
      <c r="B605" s="2">
        <v>0</v>
      </c>
      <c r="C605" s="2">
        <v>0</v>
      </c>
      <c r="D605" s="2">
        <v>0</v>
      </c>
      <c r="E605" s="2">
        <v>0</v>
      </c>
      <c r="F605" s="2">
        <v>0.33</v>
      </c>
      <c r="G605" s="2">
        <v>0</v>
      </c>
      <c r="H605" s="2" t="e">
        <f t="shared" si="36"/>
        <v>#NUM!</v>
      </c>
      <c r="I605" s="2">
        <f t="shared" si="37"/>
        <v>0.37390096630005903</v>
      </c>
      <c r="J605" s="2" t="e">
        <f t="shared" si="38"/>
        <v>#NUM!</v>
      </c>
      <c r="K605">
        <f t="shared" si="39"/>
        <v>0.11</v>
      </c>
    </row>
    <row r="606" spans="1:11" ht="13.9" x14ac:dyDescent="0.3">
      <c r="A606" s="2" t="s">
        <v>353</v>
      </c>
      <c r="B606" s="2">
        <v>0</v>
      </c>
      <c r="C606" s="2">
        <v>0</v>
      </c>
      <c r="D606" s="2">
        <v>0</v>
      </c>
      <c r="E606" s="2">
        <v>0</v>
      </c>
      <c r="F606" s="2">
        <v>0.33</v>
      </c>
      <c r="G606" s="2">
        <v>0</v>
      </c>
      <c r="H606" s="2" t="e">
        <f t="shared" si="36"/>
        <v>#NUM!</v>
      </c>
      <c r="I606" s="2">
        <f t="shared" si="37"/>
        <v>0.37390096630005903</v>
      </c>
      <c r="J606" s="2" t="e">
        <f t="shared" si="38"/>
        <v>#NUM!</v>
      </c>
      <c r="K606">
        <f t="shared" si="39"/>
        <v>0.11</v>
      </c>
    </row>
    <row r="607" spans="1:11" ht="13.9" x14ac:dyDescent="0.3">
      <c r="A607" s="2" t="s">
        <v>500</v>
      </c>
      <c r="B607" s="2">
        <v>0</v>
      </c>
      <c r="C607" s="2">
        <v>0</v>
      </c>
      <c r="D607" s="2">
        <v>0</v>
      </c>
      <c r="E607" s="2">
        <v>0</v>
      </c>
      <c r="F607" s="2">
        <v>0.33</v>
      </c>
      <c r="G607" s="2">
        <v>0</v>
      </c>
      <c r="H607" s="2" t="e">
        <f t="shared" si="36"/>
        <v>#NUM!</v>
      </c>
      <c r="I607" s="2">
        <f t="shared" si="37"/>
        <v>0.37390096630005903</v>
      </c>
      <c r="J607" s="2" t="e">
        <f t="shared" si="38"/>
        <v>#NUM!</v>
      </c>
      <c r="K607">
        <f t="shared" si="39"/>
        <v>0.11</v>
      </c>
    </row>
    <row r="608" spans="1:11" ht="13.9" x14ac:dyDescent="0.3">
      <c r="A608" s="2" t="s">
        <v>517</v>
      </c>
      <c r="B608" s="2">
        <v>0</v>
      </c>
      <c r="C608" s="2">
        <v>0</v>
      </c>
      <c r="D608" s="2">
        <v>0</v>
      </c>
      <c r="E608" s="2">
        <v>0</v>
      </c>
      <c r="F608" s="2">
        <v>0.33</v>
      </c>
      <c r="G608" s="2">
        <v>0</v>
      </c>
      <c r="H608" s="2" t="e">
        <f t="shared" si="36"/>
        <v>#NUM!</v>
      </c>
      <c r="I608" s="2">
        <f t="shared" si="37"/>
        <v>0.37390096630005903</v>
      </c>
      <c r="J608" s="2" t="e">
        <f t="shared" si="38"/>
        <v>#NUM!</v>
      </c>
      <c r="K608">
        <f t="shared" si="39"/>
        <v>0.11</v>
      </c>
    </row>
    <row r="609" spans="1:11" ht="13.9" x14ac:dyDescent="0.3">
      <c r="A609" s="2" t="s">
        <v>518</v>
      </c>
      <c r="B609" s="2">
        <v>0</v>
      </c>
      <c r="C609" s="2">
        <v>0</v>
      </c>
      <c r="D609" s="2">
        <v>0</v>
      </c>
      <c r="E609" s="2">
        <v>0</v>
      </c>
      <c r="F609" s="2">
        <v>0.33</v>
      </c>
      <c r="G609" s="2">
        <v>0</v>
      </c>
      <c r="H609" s="2" t="e">
        <f t="shared" si="36"/>
        <v>#NUM!</v>
      </c>
      <c r="I609" s="2">
        <f t="shared" si="37"/>
        <v>0.37390096630005903</v>
      </c>
      <c r="J609" s="2" t="e">
        <f t="shared" si="38"/>
        <v>#NUM!</v>
      </c>
      <c r="K609">
        <f t="shared" si="39"/>
        <v>0.11</v>
      </c>
    </row>
    <row r="610" spans="1:11" ht="13.9" x14ac:dyDescent="0.3">
      <c r="A610" s="2" t="s">
        <v>656</v>
      </c>
      <c r="B610" s="2">
        <v>0</v>
      </c>
      <c r="C610" s="2">
        <v>0</v>
      </c>
      <c r="D610" s="2">
        <v>0</v>
      </c>
      <c r="E610" s="2">
        <v>0</v>
      </c>
      <c r="F610" s="2">
        <v>0.33</v>
      </c>
      <c r="G610" s="2">
        <v>0</v>
      </c>
      <c r="H610" s="2" t="e">
        <f t="shared" si="36"/>
        <v>#NUM!</v>
      </c>
      <c r="I610" s="2">
        <f t="shared" si="37"/>
        <v>0.37390096630005903</v>
      </c>
      <c r="J610" s="2" t="e">
        <f t="shared" si="38"/>
        <v>#NUM!</v>
      </c>
      <c r="K610">
        <f t="shared" si="39"/>
        <v>0.11</v>
      </c>
    </row>
    <row r="611" spans="1:11" ht="13.9" x14ac:dyDescent="0.3">
      <c r="A611" s="2" t="s">
        <v>928</v>
      </c>
      <c r="B611" s="2">
        <v>0</v>
      </c>
      <c r="C611" s="2">
        <v>0</v>
      </c>
      <c r="D611" s="2">
        <v>0</v>
      </c>
      <c r="E611" s="2">
        <v>0</v>
      </c>
      <c r="F611" s="2">
        <v>0.33</v>
      </c>
      <c r="G611" s="2">
        <v>0</v>
      </c>
      <c r="H611" s="2" t="e">
        <f t="shared" si="36"/>
        <v>#NUM!</v>
      </c>
      <c r="I611" s="2">
        <f t="shared" si="37"/>
        <v>0.37390096630005903</v>
      </c>
      <c r="J611" s="2" t="e">
        <f t="shared" si="38"/>
        <v>#NUM!</v>
      </c>
      <c r="K611">
        <f t="shared" si="39"/>
        <v>0.11</v>
      </c>
    </row>
    <row r="612" spans="1:11" ht="13.9" x14ac:dyDescent="0.3">
      <c r="A612" s="2" t="s">
        <v>348</v>
      </c>
      <c r="B612" s="2">
        <v>0</v>
      </c>
      <c r="C612" s="2">
        <v>0</v>
      </c>
      <c r="D612" s="2">
        <v>0</v>
      </c>
      <c r="E612" s="2">
        <v>0.25</v>
      </c>
      <c r="F612" s="2">
        <v>0</v>
      </c>
      <c r="G612" s="2">
        <v>0</v>
      </c>
      <c r="H612" s="2" t="e">
        <f t="shared" si="36"/>
        <v>#NUM!</v>
      </c>
      <c r="I612" s="2">
        <f t="shared" si="37"/>
        <v>0.37390096630005903</v>
      </c>
      <c r="J612" s="2" t="e">
        <f t="shared" si="38"/>
        <v>#NUM!</v>
      </c>
      <c r="K612">
        <f t="shared" si="39"/>
        <v>8.3333333333333329E-2</v>
      </c>
    </row>
    <row r="613" spans="1:11" ht="13.9" x14ac:dyDescent="0.3">
      <c r="A613" s="2" t="s">
        <v>508</v>
      </c>
      <c r="B613" s="2">
        <v>0</v>
      </c>
      <c r="C613" s="2">
        <v>0</v>
      </c>
      <c r="D613" s="2">
        <v>0</v>
      </c>
      <c r="E613" s="2">
        <v>0.25</v>
      </c>
      <c r="F613" s="2">
        <v>0</v>
      </c>
      <c r="G613" s="2">
        <v>0</v>
      </c>
      <c r="H613" s="2" t="e">
        <f t="shared" si="36"/>
        <v>#NUM!</v>
      </c>
      <c r="I613" s="2">
        <f t="shared" si="37"/>
        <v>0.37390096630005903</v>
      </c>
      <c r="J613" s="2" t="e">
        <f t="shared" si="38"/>
        <v>#NUM!</v>
      </c>
      <c r="K613">
        <f t="shared" si="39"/>
        <v>8.3333333333333329E-2</v>
      </c>
    </row>
    <row r="614" spans="1:11" ht="13.9" x14ac:dyDescent="0.3">
      <c r="A614" s="2" t="s">
        <v>591</v>
      </c>
      <c r="B614" s="2">
        <v>0</v>
      </c>
      <c r="C614" s="2">
        <v>0</v>
      </c>
      <c r="D614" s="2">
        <v>0</v>
      </c>
      <c r="E614" s="2">
        <v>0.25</v>
      </c>
      <c r="F614" s="2">
        <v>0</v>
      </c>
      <c r="G614" s="2">
        <v>0</v>
      </c>
      <c r="H614" s="2" t="e">
        <f t="shared" si="36"/>
        <v>#NUM!</v>
      </c>
      <c r="I614" s="2">
        <f t="shared" si="37"/>
        <v>0.37390096630005903</v>
      </c>
      <c r="J614" s="2" t="e">
        <f t="shared" si="38"/>
        <v>#NUM!</v>
      </c>
      <c r="K614">
        <f t="shared" si="39"/>
        <v>8.3333333333333329E-2</v>
      </c>
    </row>
    <row r="615" spans="1:11" ht="13.9" x14ac:dyDescent="0.3">
      <c r="A615" s="2" t="s">
        <v>796</v>
      </c>
      <c r="B615" s="2">
        <v>0</v>
      </c>
      <c r="C615" s="2">
        <v>0</v>
      </c>
      <c r="D615" s="2">
        <v>0</v>
      </c>
      <c r="E615" s="2">
        <v>0.25</v>
      </c>
      <c r="F615" s="2">
        <v>0</v>
      </c>
      <c r="G615" s="2">
        <v>0</v>
      </c>
      <c r="H615" s="2" t="e">
        <f t="shared" si="36"/>
        <v>#NUM!</v>
      </c>
      <c r="I615" s="2">
        <f t="shared" si="37"/>
        <v>0.37390096630005903</v>
      </c>
      <c r="J615" s="2" t="e">
        <f t="shared" si="38"/>
        <v>#NUM!</v>
      </c>
      <c r="K615">
        <f t="shared" si="39"/>
        <v>8.3333333333333329E-2</v>
      </c>
    </row>
    <row r="616" spans="1:11" ht="13.9" x14ac:dyDescent="0.3">
      <c r="A616" s="2" t="s">
        <v>808</v>
      </c>
      <c r="B616" s="2">
        <v>0</v>
      </c>
      <c r="C616" s="2">
        <v>0</v>
      </c>
      <c r="D616" s="2">
        <v>0</v>
      </c>
      <c r="E616" s="2">
        <v>0.25</v>
      </c>
      <c r="F616" s="2">
        <v>0</v>
      </c>
      <c r="G616" s="2">
        <v>0</v>
      </c>
      <c r="H616" s="2" t="e">
        <f t="shared" si="36"/>
        <v>#NUM!</v>
      </c>
      <c r="I616" s="2">
        <f t="shared" si="37"/>
        <v>0.37390096630005903</v>
      </c>
      <c r="J616" s="2" t="e">
        <f t="shared" si="38"/>
        <v>#NUM!</v>
      </c>
      <c r="K616">
        <f t="shared" si="39"/>
        <v>8.3333333333333329E-2</v>
      </c>
    </row>
    <row r="617" spans="1:11" ht="13.9" x14ac:dyDescent="0.3">
      <c r="A617" s="2" t="s">
        <v>897</v>
      </c>
      <c r="B617" s="2">
        <v>0</v>
      </c>
      <c r="C617" s="2">
        <v>0</v>
      </c>
      <c r="D617" s="2">
        <v>0</v>
      </c>
      <c r="E617" s="2">
        <v>0.25</v>
      </c>
      <c r="F617" s="2">
        <v>0</v>
      </c>
      <c r="G617" s="2">
        <v>0</v>
      </c>
      <c r="H617" s="2" t="e">
        <f t="shared" si="36"/>
        <v>#NUM!</v>
      </c>
      <c r="I617" s="2">
        <f t="shared" si="37"/>
        <v>0.37390096630005903</v>
      </c>
      <c r="J617" s="2" t="e">
        <f t="shared" si="38"/>
        <v>#NUM!</v>
      </c>
      <c r="K617">
        <f t="shared" si="39"/>
        <v>8.3333333333333329E-2</v>
      </c>
    </row>
    <row r="618" spans="1:11" ht="13.9" x14ac:dyDescent="0.3">
      <c r="A618" s="2" t="s">
        <v>121</v>
      </c>
      <c r="B618" s="2">
        <v>0</v>
      </c>
      <c r="C618" s="2">
        <v>0</v>
      </c>
      <c r="D618" s="2">
        <v>0</v>
      </c>
      <c r="E618" s="2">
        <v>0.13</v>
      </c>
      <c r="F618" s="2">
        <v>0.11</v>
      </c>
      <c r="G618" s="2">
        <v>0</v>
      </c>
      <c r="H618" s="2" t="e">
        <f t="shared" si="36"/>
        <v>#NUM!</v>
      </c>
      <c r="I618" s="2">
        <f t="shared" si="37"/>
        <v>0.11887140555991681</v>
      </c>
      <c r="J618" s="2" t="e">
        <f t="shared" si="38"/>
        <v>#NUM!</v>
      </c>
      <c r="K618">
        <f t="shared" si="39"/>
        <v>0.08</v>
      </c>
    </row>
    <row r="619" spans="1:11" ht="13.9" x14ac:dyDescent="0.3">
      <c r="A619" s="2" t="s">
        <v>731</v>
      </c>
      <c r="B619" s="2">
        <v>0</v>
      </c>
      <c r="C619" s="2">
        <v>0</v>
      </c>
      <c r="D619" s="2">
        <v>0</v>
      </c>
      <c r="E619" s="2">
        <v>0.13</v>
      </c>
      <c r="F619" s="2">
        <v>0</v>
      </c>
      <c r="G619" s="2">
        <v>0.11</v>
      </c>
      <c r="H619" s="2" t="e">
        <f t="shared" si="36"/>
        <v>#NUM!</v>
      </c>
      <c r="I619" s="2">
        <f t="shared" si="37"/>
        <v>0.11887140555991681</v>
      </c>
      <c r="J619" s="2" t="e">
        <f t="shared" si="38"/>
        <v>#NUM!</v>
      </c>
      <c r="K619">
        <f t="shared" si="39"/>
        <v>0.08</v>
      </c>
    </row>
    <row r="620" spans="1:11" ht="13.9" x14ac:dyDescent="0.3">
      <c r="A620" s="2" t="s">
        <v>821</v>
      </c>
      <c r="B620" s="2">
        <v>0</v>
      </c>
      <c r="C620" s="2">
        <v>0</v>
      </c>
      <c r="D620" s="2">
        <v>0</v>
      </c>
      <c r="E620" s="2">
        <v>0.13</v>
      </c>
      <c r="F620" s="2">
        <v>0</v>
      </c>
      <c r="G620" s="2">
        <v>0.11</v>
      </c>
      <c r="H620" s="2" t="e">
        <f t="shared" si="36"/>
        <v>#NUM!</v>
      </c>
      <c r="I620" s="2">
        <f t="shared" si="37"/>
        <v>0.11887140555991681</v>
      </c>
      <c r="J620" s="2" t="e">
        <f t="shared" si="38"/>
        <v>#NUM!</v>
      </c>
      <c r="K620">
        <f t="shared" si="39"/>
        <v>0.08</v>
      </c>
    </row>
    <row r="621" spans="1:11" ht="13.9" x14ac:dyDescent="0.3">
      <c r="A621" s="2" t="s">
        <v>127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0.23</v>
      </c>
      <c r="H621" s="2" t="e">
        <f t="shared" si="36"/>
        <v>#NUM!</v>
      </c>
      <c r="I621" s="2">
        <f t="shared" si="37"/>
        <v>0.37390096630005903</v>
      </c>
      <c r="J621" s="2" t="e">
        <f t="shared" si="38"/>
        <v>#NUM!</v>
      </c>
      <c r="K621">
        <f t="shared" si="39"/>
        <v>7.6666666666666675E-2</v>
      </c>
    </row>
    <row r="622" spans="1:11" ht="13.9" x14ac:dyDescent="0.3">
      <c r="A622" s="2" t="s">
        <v>474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0.23</v>
      </c>
      <c r="H622" s="2" t="e">
        <f t="shared" si="36"/>
        <v>#NUM!</v>
      </c>
      <c r="I622" s="2">
        <f t="shared" si="37"/>
        <v>0.37390096630005903</v>
      </c>
      <c r="J622" s="2" t="e">
        <f t="shared" si="38"/>
        <v>#NUM!</v>
      </c>
      <c r="K622">
        <f t="shared" si="39"/>
        <v>7.6666666666666675E-2</v>
      </c>
    </row>
    <row r="623" spans="1:11" ht="13.9" x14ac:dyDescent="0.3">
      <c r="A623" s="2" t="s">
        <v>742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0.23</v>
      </c>
      <c r="H623" s="2" t="e">
        <f t="shared" si="36"/>
        <v>#NUM!</v>
      </c>
      <c r="I623" s="2">
        <f t="shared" si="37"/>
        <v>0.37390096630005903</v>
      </c>
      <c r="J623" s="2" t="e">
        <f t="shared" si="38"/>
        <v>#NUM!</v>
      </c>
      <c r="K623">
        <f t="shared" si="39"/>
        <v>7.6666666666666675E-2</v>
      </c>
    </row>
    <row r="624" spans="1:11" ht="13.9" x14ac:dyDescent="0.3">
      <c r="A624" s="2" t="s">
        <v>801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0.23</v>
      </c>
      <c r="H624" s="2" t="e">
        <f t="shared" si="36"/>
        <v>#NUM!</v>
      </c>
      <c r="I624" s="2">
        <f t="shared" si="37"/>
        <v>0.37390096630005903</v>
      </c>
      <c r="J624" s="2" t="e">
        <f t="shared" si="38"/>
        <v>#NUM!</v>
      </c>
      <c r="K624">
        <f t="shared" si="39"/>
        <v>7.6666666666666675E-2</v>
      </c>
    </row>
    <row r="625" spans="1:11" ht="13.9" x14ac:dyDescent="0.3">
      <c r="A625" s="2" t="s">
        <v>817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0.23</v>
      </c>
      <c r="H625" s="2" t="e">
        <f t="shared" si="36"/>
        <v>#NUM!</v>
      </c>
      <c r="I625" s="2">
        <f t="shared" si="37"/>
        <v>0.37390096630005903</v>
      </c>
      <c r="J625" s="2" t="e">
        <f t="shared" si="38"/>
        <v>#NUM!</v>
      </c>
      <c r="K625">
        <f t="shared" si="39"/>
        <v>7.6666666666666675E-2</v>
      </c>
    </row>
    <row r="626" spans="1:11" ht="13.9" x14ac:dyDescent="0.3">
      <c r="A626" s="2" t="s">
        <v>38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</v>
      </c>
      <c r="H626" s="2" t="e">
        <f t="shared" si="36"/>
        <v>#NUM!</v>
      </c>
      <c r="I626" s="2">
        <f t="shared" si="37"/>
        <v>0.37390096630005903</v>
      </c>
      <c r="J626" s="2" t="e">
        <f t="shared" si="38"/>
        <v>#NUM!</v>
      </c>
      <c r="K626">
        <f t="shared" si="39"/>
        <v>7.3333333333333334E-2</v>
      </c>
    </row>
    <row r="627" spans="1:11" ht="13.9" x14ac:dyDescent="0.3">
      <c r="A627" s="2" t="s">
        <v>303</v>
      </c>
      <c r="B627" s="2">
        <v>0</v>
      </c>
      <c r="C627" s="2">
        <v>0</v>
      </c>
      <c r="D627" s="2">
        <v>0</v>
      </c>
      <c r="E627" s="2">
        <v>0</v>
      </c>
      <c r="F627" s="2">
        <v>0.22</v>
      </c>
      <c r="G627" s="2">
        <v>0</v>
      </c>
      <c r="H627" s="2" t="e">
        <f t="shared" si="36"/>
        <v>#NUM!</v>
      </c>
      <c r="I627" s="2">
        <f t="shared" si="37"/>
        <v>0.37390096630005903</v>
      </c>
      <c r="J627" s="2" t="e">
        <f t="shared" si="38"/>
        <v>#NUM!</v>
      </c>
      <c r="K627">
        <f t="shared" si="39"/>
        <v>7.3333333333333334E-2</v>
      </c>
    </row>
    <row r="628" spans="1:11" ht="13.9" x14ac:dyDescent="0.3">
      <c r="A628" s="2" t="s">
        <v>306</v>
      </c>
      <c r="B628" s="2">
        <v>0</v>
      </c>
      <c r="C628" s="2">
        <v>0</v>
      </c>
      <c r="D628" s="2">
        <v>0</v>
      </c>
      <c r="E628" s="2">
        <v>0</v>
      </c>
      <c r="F628" s="2">
        <v>0.22</v>
      </c>
      <c r="G628" s="2">
        <v>0</v>
      </c>
      <c r="H628" s="2" t="e">
        <f t="shared" si="36"/>
        <v>#NUM!</v>
      </c>
      <c r="I628" s="2">
        <f t="shared" si="37"/>
        <v>0.37390096630005903</v>
      </c>
      <c r="J628" s="2" t="e">
        <f t="shared" si="38"/>
        <v>#NUM!</v>
      </c>
      <c r="K628">
        <f t="shared" si="39"/>
        <v>7.3333333333333334E-2</v>
      </c>
    </row>
    <row r="629" spans="1:11" ht="13.9" x14ac:dyDescent="0.3">
      <c r="A629" s="2" t="s">
        <v>318</v>
      </c>
      <c r="B629" s="2">
        <v>0</v>
      </c>
      <c r="C629" s="2">
        <v>0</v>
      </c>
      <c r="D629" s="2">
        <v>0</v>
      </c>
      <c r="E629" s="2">
        <v>0</v>
      </c>
      <c r="F629" s="2">
        <v>0.22</v>
      </c>
      <c r="G629" s="2">
        <v>0</v>
      </c>
      <c r="H629" s="2" t="e">
        <f t="shared" si="36"/>
        <v>#NUM!</v>
      </c>
      <c r="I629" s="2">
        <f t="shared" si="37"/>
        <v>0.37390096630005903</v>
      </c>
      <c r="J629" s="2" t="e">
        <f t="shared" si="38"/>
        <v>#NUM!</v>
      </c>
      <c r="K629">
        <f t="shared" si="39"/>
        <v>7.3333333333333334E-2</v>
      </c>
    </row>
    <row r="630" spans="1:11" ht="13.9" x14ac:dyDescent="0.3">
      <c r="A630" s="2" t="s">
        <v>410</v>
      </c>
      <c r="B630" s="2">
        <v>0</v>
      </c>
      <c r="C630" s="2">
        <v>0</v>
      </c>
      <c r="D630" s="2">
        <v>0</v>
      </c>
      <c r="E630" s="2">
        <v>0</v>
      </c>
      <c r="F630" s="2">
        <v>0.22</v>
      </c>
      <c r="G630" s="2">
        <v>0</v>
      </c>
      <c r="H630" s="2" t="e">
        <f t="shared" si="36"/>
        <v>#NUM!</v>
      </c>
      <c r="I630" s="2">
        <f t="shared" si="37"/>
        <v>0.37390096630005903</v>
      </c>
      <c r="J630" s="2" t="e">
        <f t="shared" si="38"/>
        <v>#NUM!</v>
      </c>
      <c r="K630">
        <f t="shared" si="39"/>
        <v>7.3333333333333334E-2</v>
      </c>
    </row>
    <row r="631" spans="1:11" ht="13.9" x14ac:dyDescent="0.3">
      <c r="A631" s="2" t="s">
        <v>562</v>
      </c>
      <c r="B631" s="2">
        <v>0</v>
      </c>
      <c r="C631" s="2">
        <v>0</v>
      </c>
      <c r="D631" s="2">
        <v>0</v>
      </c>
      <c r="E631" s="2">
        <v>0</v>
      </c>
      <c r="F631" s="2">
        <v>0.22</v>
      </c>
      <c r="G631" s="2">
        <v>0</v>
      </c>
      <c r="H631" s="2" t="e">
        <f t="shared" si="36"/>
        <v>#NUM!</v>
      </c>
      <c r="I631" s="2">
        <f t="shared" si="37"/>
        <v>0.37390096630005903</v>
      </c>
      <c r="J631" s="2" t="e">
        <f t="shared" si="38"/>
        <v>#NUM!</v>
      </c>
      <c r="K631">
        <f t="shared" si="39"/>
        <v>7.3333333333333334E-2</v>
      </c>
    </row>
    <row r="632" spans="1:11" ht="13.9" x14ac:dyDescent="0.3">
      <c r="A632" s="2" t="s">
        <v>580</v>
      </c>
      <c r="B632" s="2">
        <v>0</v>
      </c>
      <c r="C632" s="2">
        <v>0</v>
      </c>
      <c r="D632" s="2">
        <v>0</v>
      </c>
      <c r="E632" s="2">
        <v>0</v>
      </c>
      <c r="F632" s="2">
        <v>0.22</v>
      </c>
      <c r="G632" s="2">
        <v>0</v>
      </c>
      <c r="H632" s="2" t="e">
        <f t="shared" si="36"/>
        <v>#NUM!</v>
      </c>
      <c r="I632" s="2">
        <f t="shared" si="37"/>
        <v>0.37390096630005903</v>
      </c>
      <c r="J632" s="2" t="e">
        <f t="shared" si="38"/>
        <v>#NUM!</v>
      </c>
      <c r="K632">
        <f t="shared" si="39"/>
        <v>7.3333333333333334E-2</v>
      </c>
    </row>
    <row r="633" spans="1:11" ht="13.9" x14ac:dyDescent="0.3">
      <c r="A633" s="2" t="s">
        <v>598</v>
      </c>
      <c r="B633" s="2">
        <v>0</v>
      </c>
      <c r="C633" s="2">
        <v>0</v>
      </c>
      <c r="D633" s="2">
        <v>0</v>
      </c>
      <c r="E633" s="2">
        <v>0</v>
      </c>
      <c r="F633" s="2">
        <v>0.22</v>
      </c>
      <c r="G633" s="2">
        <v>0</v>
      </c>
      <c r="H633" s="2" t="e">
        <f t="shared" si="36"/>
        <v>#NUM!</v>
      </c>
      <c r="I633" s="2">
        <f t="shared" si="37"/>
        <v>0.37390096630005903</v>
      </c>
      <c r="J633" s="2" t="e">
        <f t="shared" si="38"/>
        <v>#NUM!</v>
      </c>
      <c r="K633">
        <f t="shared" si="39"/>
        <v>7.3333333333333334E-2</v>
      </c>
    </row>
    <row r="634" spans="1:11" ht="13.9" x14ac:dyDescent="0.3">
      <c r="A634" s="2" t="s">
        <v>657</v>
      </c>
      <c r="B634" s="2">
        <v>0</v>
      </c>
      <c r="C634" s="2">
        <v>0</v>
      </c>
      <c r="D634" s="2">
        <v>0</v>
      </c>
      <c r="E634" s="2">
        <v>0</v>
      </c>
      <c r="F634" s="2">
        <v>0.11</v>
      </c>
      <c r="G634" s="2">
        <v>0.11</v>
      </c>
      <c r="H634" s="2" t="e">
        <f t="shared" si="36"/>
        <v>#NUM!</v>
      </c>
      <c r="I634" s="2">
        <f t="shared" si="37"/>
        <v>0.11611652351681555</v>
      </c>
      <c r="J634" s="2" t="e">
        <f t="shared" si="38"/>
        <v>#NUM!</v>
      </c>
      <c r="K634">
        <f t="shared" si="39"/>
        <v>7.3333333333333334E-2</v>
      </c>
    </row>
    <row r="635" spans="1:11" ht="13.9" x14ac:dyDescent="0.3">
      <c r="A635" s="2" t="s">
        <v>684</v>
      </c>
      <c r="B635" s="2">
        <v>0</v>
      </c>
      <c r="C635" s="2">
        <v>0</v>
      </c>
      <c r="D635" s="2">
        <v>0</v>
      </c>
      <c r="E635" s="2">
        <v>0</v>
      </c>
      <c r="F635" s="2">
        <v>0.22</v>
      </c>
      <c r="G635" s="2">
        <v>0</v>
      </c>
      <c r="H635" s="2" t="e">
        <f t="shared" si="36"/>
        <v>#NUM!</v>
      </c>
      <c r="I635" s="2">
        <f t="shared" si="37"/>
        <v>0.37390096630005903</v>
      </c>
      <c r="J635" s="2" t="e">
        <f t="shared" si="38"/>
        <v>#NUM!</v>
      </c>
      <c r="K635">
        <f t="shared" si="39"/>
        <v>7.3333333333333334E-2</v>
      </c>
    </row>
    <row r="636" spans="1:11" ht="13.9" x14ac:dyDescent="0.3">
      <c r="A636" s="2" t="s">
        <v>688</v>
      </c>
      <c r="B636" s="2">
        <v>0</v>
      </c>
      <c r="C636" s="2">
        <v>0</v>
      </c>
      <c r="D636" s="2">
        <v>0</v>
      </c>
      <c r="E636" s="2">
        <v>0</v>
      </c>
      <c r="F636" s="2">
        <v>0.11</v>
      </c>
      <c r="G636" s="2">
        <v>0.11</v>
      </c>
      <c r="H636" s="2" t="e">
        <f t="shared" si="36"/>
        <v>#NUM!</v>
      </c>
      <c r="I636" s="2">
        <f t="shared" si="37"/>
        <v>0.11611652351681555</v>
      </c>
      <c r="J636" s="2" t="e">
        <f t="shared" si="38"/>
        <v>#NUM!</v>
      </c>
      <c r="K636">
        <f t="shared" si="39"/>
        <v>7.3333333333333334E-2</v>
      </c>
    </row>
    <row r="637" spans="1:11" ht="13.9" x14ac:dyDescent="0.3">
      <c r="A637" s="2" t="s">
        <v>698</v>
      </c>
      <c r="B637" s="2">
        <v>0</v>
      </c>
      <c r="C637" s="2">
        <v>0</v>
      </c>
      <c r="D637" s="2">
        <v>0</v>
      </c>
      <c r="E637" s="2">
        <v>0</v>
      </c>
      <c r="F637" s="2">
        <v>0.22</v>
      </c>
      <c r="G637" s="2">
        <v>0</v>
      </c>
      <c r="H637" s="2" t="e">
        <f t="shared" si="36"/>
        <v>#NUM!</v>
      </c>
      <c r="I637" s="2">
        <f t="shared" si="37"/>
        <v>0.37390096630005903</v>
      </c>
      <c r="J637" s="2" t="e">
        <f t="shared" si="38"/>
        <v>#NUM!</v>
      </c>
      <c r="K637">
        <f t="shared" si="39"/>
        <v>7.3333333333333334E-2</v>
      </c>
    </row>
    <row r="638" spans="1:11" ht="13.9" x14ac:dyDescent="0.3">
      <c r="A638" s="2" t="s">
        <v>788</v>
      </c>
      <c r="B638" s="2">
        <v>0</v>
      </c>
      <c r="C638" s="2">
        <v>0</v>
      </c>
      <c r="D638" s="2">
        <v>0</v>
      </c>
      <c r="E638" s="2">
        <v>0</v>
      </c>
      <c r="F638" s="2">
        <v>0.22</v>
      </c>
      <c r="G638" s="2">
        <v>0</v>
      </c>
      <c r="H638" s="2" t="e">
        <f t="shared" si="36"/>
        <v>#NUM!</v>
      </c>
      <c r="I638" s="2">
        <f t="shared" si="37"/>
        <v>0.37390096630005903</v>
      </c>
      <c r="J638" s="2" t="e">
        <f t="shared" si="38"/>
        <v>#NUM!</v>
      </c>
      <c r="K638">
        <f t="shared" si="39"/>
        <v>7.3333333333333334E-2</v>
      </c>
    </row>
    <row r="639" spans="1:11" ht="13.9" x14ac:dyDescent="0.3">
      <c r="A639" s="2" t="s">
        <v>798</v>
      </c>
      <c r="B639" s="2">
        <v>0</v>
      </c>
      <c r="C639" s="2">
        <v>0</v>
      </c>
      <c r="D639" s="2">
        <v>0</v>
      </c>
      <c r="E639" s="2">
        <v>0</v>
      </c>
      <c r="F639" s="2">
        <v>0.22</v>
      </c>
      <c r="G639" s="2">
        <v>0</v>
      </c>
      <c r="H639" s="2" t="e">
        <f t="shared" si="36"/>
        <v>#NUM!</v>
      </c>
      <c r="I639" s="2">
        <f t="shared" si="37"/>
        <v>0.37390096630005903</v>
      </c>
      <c r="J639" s="2" t="e">
        <f t="shared" si="38"/>
        <v>#NUM!</v>
      </c>
      <c r="K639">
        <f t="shared" si="39"/>
        <v>7.3333333333333334E-2</v>
      </c>
    </row>
    <row r="640" spans="1:11" ht="13.9" x14ac:dyDescent="0.3">
      <c r="A640" s="2" t="s">
        <v>863</v>
      </c>
      <c r="B640" s="2">
        <v>0</v>
      </c>
      <c r="C640" s="2">
        <v>0</v>
      </c>
      <c r="D640" s="2">
        <v>0</v>
      </c>
      <c r="E640" s="2">
        <v>0</v>
      </c>
      <c r="F640" s="2">
        <v>0.22</v>
      </c>
      <c r="G640" s="2">
        <v>0</v>
      </c>
      <c r="H640" s="2" t="e">
        <f t="shared" si="36"/>
        <v>#NUM!</v>
      </c>
      <c r="I640" s="2">
        <f t="shared" si="37"/>
        <v>0.37390096630005903</v>
      </c>
      <c r="J640" s="2" t="e">
        <f t="shared" si="38"/>
        <v>#NUM!</v>
      </c>
      <c r="K640">
        <f t="shared" si="39"/>
        <v>7.3333333333333334E-2</v>
      </c>
    </row>
    <row r="641" spans="1:11" ht="13.9" x14ac:dyDescent="0.3">
      <c r="A641" s="2" t="s">
        <v>880</v>
      </c>
      <c r="B641" s="2">
        <v>0</v>
      </c>
      <c r="C641" s="2">
        <v>0</v>
      </c>
      <c r="D641" s="2">
        <v>0</v>
      </c>
      <c r="E641" s="2">
        <v>0</v>
      </c>
      <c r="F641" s="2">
        <v>0.22</v>
      </c>
      <c r="G641" s="2">
        <v>0</v>
      </c>
      <c r="H641" s="2" t="e">
        <f t="shared" si="36"/>
        <v>#NUM!</v>
      </c>
      <c r="I641" s="2">
        <f t="shared" si="37"/>
        <v>0.37390096630005903</v>
      </c>
      <c r="J641" s="2" t="e">
        <f t="shared" si="38"/>
        <v>#NUM!</v>
      </c>
      <c r="K641">
        <f t="shared" si="39"/>
        <v>7.3333333333333334E-2</v>
      </c>
    </row>
    <row r="642" spans="1:11" ht="13.9" x14ac:dyDescent="0.3">
      <c r="A642" s="2" t="s">
        <v>922</v>
      </c>
      <c r="B642" s="2">
        <v>0</v>
      </c>
      <c r="C642" s="2">
        <v>0</v>
      </c>
      <c r="D642" s="2">
        <v>0</v>
      </c>
      <c r="E642" s="2">
        <v>0</v>
      </c>
      <c r="F642" s="2">
        <v>0.22</v>
      </c>
      <c r="G642" s="2">
        <v>0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0.37390096630005903</v>
      </c>
      <c r="J642" s="2" t="e">
        <f t="shared" ref="J642:J705" si="42">LOG(SUM(B642:D642),2)</f>
        <v>#NUM!</v>
      </c>
      <c r="K642">
        <f t="shared" ref="K642:K705" si="43">AVERAGE(E642:G642)</f>
        <v>7.3333333333333334E-2</v>
      </c>
    </row>
    <row r="643" spans="1:11" ht="13.9" x14ac:dyDescent="0.3">
      <c r="A643" s="2" t="s">
        <v>79</v>
      </c>
      <c r="B643" s="2">
        <v>0</v>
      </c>
      <c r="C643" s="2">
        <v>0</v>
      </c>
      <c r="D643" s="2">
        <v>0</v>
      </c>
      <c r="E643" s="2">
        <v>0.13</v>
      </c>
      <c r="F643" s="2">
        <v>0</v>
      </c>
      <c r="G643" s="2">
        <v>0</v>
      </c>
      <c r="H643" s="2" t="e">
        <f t="shared" si="40"/>
        <v>#NUM!</v>
      </c>
      <c r="I643" s="2">
        <f t="shared" si="41"/>
        <v>0.37390096630005903</v>
      </c>
      <c r="J643" s="2" t="e">
        <f t="shared" si="42"/>
        <v>#NUM!</v>
      </c>
      <c r="K643">
        <f t="shared" si="43"/>
        <v>4.3333333333333335E-2</v>
      </c>
    </row>
    <row r="644" spans="1:11" ht="13.9" x14ac:dyDescent="0.3">
      <c r="A644" s="2" t="s">
        <v>166</v>
      </c>
      <c r="B644" s="2">
        <v>0</v>
      </c>
      <c r="C644" s="2">
        <v>0</v>
      </c>
      <c r="D644" s="2">
        <v>0</v>
      </c>
      <c r="E644" s="2">
        <v>0.13</v>
      </c>
      <c r="F644" s="2">
        <v>0</v>
      </c>
      <c r="G644" s="2">
        <v>0</v>
      </c>
      <c r="H644" s="2" t="e">
        <f t="shared" si="40"/>
        <v>#NUM!</v>
      </c>
      <c r="I644" s="2">
        <f t="shared" si="41"/>
        <v>0.37390096630005903</v>
      </c>
      <c r="J644" s="2" t="e">
        <f t="shared" si="42"/>
        <v>#NUM!</v>
      </c>
      <c r="K644">
        <f t="shared" si="43"/>
        <v>4.3333333333333335E-2</v>
      </c>
    </row>
    <row r="645" spans="1:11" ht="13.9" x14ac:dyDescent="0.3">
      <c r="A645" s="2" t="s">
        <v>171</v>
      </c>
      <c r="B645" s="2">
        <v>0</v>
      </c>
      <c r="C645" s="2">
        <v>0</v>
      </c>
      <c r="D645" s="2">
        <v>0</v>
      </c>
      <c r="E645" s="2">
        <v>0.13</v>
      </c>
      <c r="F645" s="2">
        <v>0</v>
      </c>
      <c r="G645" s="2">
        <v>0</v>
      </c>
      <c r="H645" s="2" t="e">
        <f t="shared" si="40"/>
        <v>#NUM!</v>
      </c>
      <c r="I645" s="2">
        <f t="shared" si="41"/>
        <v>0.37390096630005903</v>
      </c>
      <c r="J645" s="2" t="e">
        <f t="shared" si="42"/>
        <v>#NUM!</v>
      </c>
      <c r="K645">
        <f t="shared" si="43"/>
        <v>4.3333333333333335E-2</v>
      </c>
    </row>
    <row r="646" spans="1:11" ht="13.9" x14ac:dyDescent="0.3">
      <c r="A646" s="2" t="s">
        <v>244</v>
      </c>
      <c r="B646" s="2">
        <v>0</v>
      </c>
      <c r="C646" s="2">
        <v>0</v>
      </c>
      <c r="D646" s="2">
        <v>0</v>
      </c>
      <c r="E646" s="2">
        <v>0.13</v>
      </c>
      <c r="F646" s="2">
        <v>0</v>
      </c>
      <c r="G646" s="2">
        <v>0</v>
      </c>
      <c r="H646" s="2" t="e">
        <f t="shared" si="40"/>
        <v>#NUM!</v>
      </c>
      <c r="I646" s="2">
        <f t="shared" si="41"/>
        <v>0.37390096630005903</v>
      </c>
      <c r="J646" s="2" t="e">
        <f t="shared" si="42"/>
        <v>#NUM!</v>
      </c>
      <c r="K646">
        <f t="shared" si="43"/>
        <v>4.3333333333333335E-2</v>
      </c>
    </row>
    <row r="647" spans="1:11" ht="13.9" x14ac:dyDescent="0.3">
      <c r="A647" s="2" t="s">
        <v>359</v>
      </c>
      <c r="B647" s="2">
        <v>0</v>
      </c>
      <c r="C647" s="2">
        <v>0</v>
      </c>
      <c r="D647" s="2">
        <v>0</v>
      </c>
      <c r="E647" s="2">
        <v>0.13</v>
      </c>
      <c r="F647" s="2">
        <v>0</v>
      </c>
      <c r="G647" s="2">
        <v>0</v>
      </c>
      <c r="H647" s="2" t="e">
        <f t="shared" si="40"/>
        <v>#NUM!</v>
      </c>
      <c r="I647" s="2">
        <f t="shared" si="41"/>
        <v>0.37390096630005903</v>
      </c>
      <c r="J647" s="2" t="e">
        <f t="shared" si="42"/>
        <v>#NUM!</v>
      </c>
      <c r="K647">
        <f t="shared" si="43"/>
        <v>4.3333333333333335E-2</v>
      </c>
    </row>
    <row r="648" spans="1:11" ht="13.9" x14ac:dyDescent="0.3">
      <c r="A648" s="2" t="s">
        <v>365</v>
      </c>
      <c r="B648" s="2">
        <v>0</v>
      </c>
      <c r="C648" s="2">
        <v>0</v>
      </c>
      <c r="D648" s="2">
        <v>0</v>
      </c>
      <c r="E648" s="2">
        <v>0.13</v>
      </c>
      <c r="F648" s="2">
        <v>0</v>
      </c>
      <c r="G648" s="2">
        <v>0</v>
      </c>
      <c r="H648" s="2" t="e">
        <f t="shared" si="40"/>
        <v>#NUM!</v>
      </c>
      <c r="I648" s="2">
        <f t="shared" si="41"/>
        <v>0.37390096630005903</v>
      </c>
      <c r="J648" s="2" t="e">
        <f t="shared" si="42"/>
        <v>#NUM!</v>
      </c>
      <c r="K648">
        <f t="shared" si="43"/>
        <v>4.3333333333333335E-2</v>
      </c>
    </row>
    <row r="649" spans="1:11" ht="13.9" x14ac:dyDescent="0.3">
      <c r="A649" s="2" t="s">
        <v>369</v>
      </c>
      <c r="B649" s="2">
        <v>0</v>
      </c>
      <c r="C649" s="2">
        <v>0</v>
      </c>
      <c r="D649" s="2">
        <v>0</v>
      </c>
      <c r="E649" s="2">
        <v>0.13</v>
      </c>
      <c r="F649" s="2">
        <v>0</v>
      </c>
      <c r="G649" s="2">
        <v>0</v>
      </c>
      <c r="H649" s="5" t="e">
        <f t="shared" si="40"/>
        <v>#NUM!</v>
      </c>
      <c r="I649" s="5">
        <f t="shared" si="41"/>
        <v>0.37390096630005903</v>
      </c>
      <c r="J649" s="2" t="e">
        <f t="shared" si="42"/>
        <v>#NUM!</v>
      </c>
      <c r="K649">
        <f t="shared" si="43"/>
        <v>4.3333333333333335E-2</v>
      </c>
    </row>
    <row r="650" spans="1:11" ht="13.9" x14ac:dyDescent="0.3">
      <c r="A650" s="2" t="s">
        <v>556</v>
      </c>
      <c r="B650" s="2">
        <v>0</v>
      </c>
      <c r="C650" s="2">
        <v>0</v>
      </c>
      <c r="D650" s="2">
        <v>0</v>
      </c>
      <c r="E650" s="2">
        <v>0.13</v>
      </c>
      <c r="F650" s="2">
        <v>0</v>
      </c>
      <c r="G650" s="2">
        <v>0</v>
      </c>
      <c r="H650" s="2" t="e">
        <f t="shared" si="40"/>
        <v>#NUM!</v>
      </c>
      <c r="I650" s="2">
        <f t="shared" si="41"/>
        <v>0.37390096630005903</v>
      </c>
      <c r="J650" s="2" t="e">
        <f t="shared" si="42"/>
        <v>#NUM!</v>
      </c>
      <c r="K650">
        <f t="shared" si="43"/>
        <v>4.3333333333333335E-2</v>
      </c>
    </row>
    <row r="651" spans="1:11" ht="13.9" x14ac:dyDescent="0.3">
      <c r="A651" s="2" t="s">
        <v>654</v>
      </c>
      <c r="B651" s="2">
        <v>0</v>
      </c>
      <c r="C651" s="2">
        <v>0</v>
      </c>
      <c r="D651" s="2">
        <v>0</v>
      </c>
      <c r="E651" s="2">
        <v>0.13</v>
      </c>
      <c r="F651" s="2">
        <v>0</v>
      </c>
      <c r="G651" s="2">
        <v>0</v>
      </c>
      <c r="H651" s="2" t="e">
        <f t="shared" si="40"/>
        <v>#NUM!</v>
      </c>
      <c r="I651" s="2">
        <f t="shared" si="41"/>
        <v>0.37390096630005903</v>
      </c>
      <c r="J651" s="2" t="e">
        <f t="shared" si="42"/>
        <v>#NUM!</v>
      </c>
      <c r="K651">
        <f t="shared" si="43"/>
        <v>4.3333333333333335E-2</v>
      </c>
    </row>
    <row r="652" spans="1:11" ht="13.9" x14ac:dyDescent="0.3">
      <c r="A652" s="2" t="s">
        <v>708</v>
      </c>
      <c r="B652" s="2">
        <v>0</v>
      </c>
      <c r="C652" s="2">
        <v>0</v>
      </c>
      <c r="D652" s="2">
        <v>0</v>
      </c>
      <c r="E652" s="2">
        <v>0.13</v>
      </c>
      <c r="F652" s="2">
        <v>0</v>
      </c>
      <c r="G652" s="2">
        <v>0</v>
      </c>
      <c r="H652" s="2" t="e">
        <f t="shared" si="40"/>
        <v>#NUM!</v>
      </c>
      <c r="I652" s="2">
        <f t="shared" si="41"/>
        <v>0.37390096630005903</v>
      </c>
      <c r="J652" s="2" t="e">
        <f t="shared" si="42"/>
        <v>#NUM!</v>
      </c>
      <c r="K652">
        <f t="shared" si="43"/>
        <v>4.3333333333333335E-2</v>
      </c>
    </row>
    <row r="653" spans="1:11" ht="13.9" x14ac:dyDescent="0.3">
      <c r="A653" s="2" t="s">
        <v>729</v>
      </c>
      <c r="B653" s="2">
        <v>0</v>
      </c>
      <c r="C653" s="2">
        <v>0</v>
      </c>
      <c r="D653" s="2">
        <v>0</v>
      </c>
      <c r="E653" s="2">
        <v>0.13</v>
      </c>
      <c r="F653" s="2">
        <v>0</v>
      </c>
      <c r="G653" s="2">
        <v>0</v>
      </c>
      <c r="H653" s="2" t="e">
        <f t="shared" si="40"/>
        <v>#NUM!</v>
      </c>
      <c r="I653" s="2">
        <f t="shared" si="41"/>
        <v>0.37390096630005903</v>
      </c>
      <c r="J653" s="2" t="e">
        <f t="shared" si="42"/>
        <v>#NUM!</v>
      </c>
      <c r="K653">
        <f t="shared" si="43"/>
        <v>4.3333333333333335E-2</v>
      </c>
    </row>
    <row r="654" spans="1:11" ht="13.9" x14ac:dyDescent="0.3">
      <c r="A654" s="2" t="s">
        <v>736</v>
      </c>
      <c r="B654" s="2">
        <v>0</v>
      </c>
      <c r="C654" s="2">
        <v>0</v>
      </c>
      <c r="D654" s="2">
        <v>0</v>
      </c>
      <c r="E654" s="2">
        <v>0.13</v>
      </c>
      <c r="F654" s="2">
        <v>0</v>
      </c>
      <c r="G654" s="2">
        <v>0</v>
      </c>
      <c r="H654" s="2" t="e">
        <f t="shared" si="40"/>
        <v>#NUM!</v>
      </c>
      <c r="I654" s="2">
        <f t="shared" si="41"/>
        <v>0.37390096630005903</v>
      </c>
      <c r="J654" s="2" t="e">
        <f t="shared" si="42"/>
        <v>#NUM!</v>
      </c>
      <c r="K654">
        <f t="shared" si="43"/>
        <v>4.3333333333333335E-2</v>
      </c>
    </row>
    <row r="655" spans="1:11" ht="13.9" x14ac:dyDescent="0.3">
      <c r="A655" s="2" t="s">
        <v>862</v>
      </c>
      <c r="B655" s="2">
        <v>0</v>
      </c>
      <c r="C655" s="2">
        <v>0</v>
      </c>
      <c r="D655" s="2">
        <v>0</v>
      </c>
      <c r="E655" s="2">
        <v>0.13</v>
      </c>
      <c r="F655" s="2">
        <v>0</v>
      </c>
      <c r="G655" s="2">
        <v>0</v>
      </c>
      <c r="H655" s="2" t="e">
        <f t="shared" si="40"/>
        <v>#NUM!</v>
      </c>
      <c r="I655" s="2">
        <f t="shared" si="41"/>
        <v>0.37390096630005903</v>
      </c>
      <c r="J655" s="2" t="e">
        <f t="shared" si="42"/>
        <v>#NUM!</v>
      </c>
      <c r="K655">
        <f t="shared" si="43"/>
        <v>4.3333333333333335E-2</v>
      </c>
    </row>
    <row r="656" spans="1:11" ht="13.9" x14ac:dyDescent="0.3">
      <c r="A656" s="2" t="s">
        <v>29</v>
      </c>
      <c r="B656" s="2">
        <v>0</v>
      </c>
      <c r="C656" s="2">
        <v>0</v>
      </c>
      <c r="D656" s="2">
        <v>0</v>
      </c>
      <c r="E656" s="2">
        <v>0</v>
      </c>
      <c r="F656" s="2">
        <v>0.11</v>
      </c>
      <c r="G656" s="2">
        <v>0</v>
      </c>
      <c r="H656" s="2" t="e">
        <f t="shared" si="40"/>
        <v>#NUM!</v>
      </c>
      <c r="I656" s="2">
        <f t="shared" si="41"/>
        <v>0.37390096630005903</v>
      </c>
      <c r="J656" s="2" t="e">
        <f t="shared" si="42"/>
        <v>#NUM!</v>
      </c>
      <c r="K656">
        <f t="shared" si="43"/>
        <v>3.6666666666666667E-2</v>
      </c>
    </row>
    <row r="657" spans="1:11" ht="13.9" x14ac:dyDescent="0.3">
      <c r="A657" s="2" t="s">
        <v>64</v>
      </c>
      <c r="B657" s="2">
        <v>0</v>
      </c>
      <c r="C657" s="2">
        <v>0</v>
      </c>
      <c r="D657" s="2">
        <v>0</v>
      </c>
      <c r="E657" s="2">
        <v>0</v>
      </c>
      <c r="F657" s="2">
        <v>0.11</v>
      </c>
      <c r="G657" s="2">
        <v>0</v>
      </c>
      <c r="H657" s="2" t="e">
        <f t="shared" si="40"/>
        <v>#NUM!</v>
      </c>
      <c r="I657" s="2">
        <f t="shared" si="41"/>
        <v>0.37390096630005903</v>
      </c>
      <c r="J657" s="2" t="e">
        <f t="shared" si="42"/>
        <v>#NUM!</v>
      </c>
      <c r="K657">
        <f t="shared" si="43"/>
        <v>3.6666666666666667E-2</v>
      </c>
    </row>
    <row r="658" spans="1:11" ht="13.9" x14ac:dyDescent="0.3">
      <c r="A658" s="2" t="s">
        <v>112</v>
      </c>
      <c r="B658" s="2">
        <v>0</v>
      </c>
      <c r="C658" s="2">
        <v>0</v>
      </c>
      <c r="D658" s="2">
        <v>0</v>
      </c>
      <c r="E658" s="2">
        <v>0</v>
      </c>
      <c r="F658" s="2">
        <v>0.11</v>
      </c>
      <c r="G658" s="2">
        <v>0</v>
      </c>
      <c r="H658" s="2" t="e">
        <f t="shared" si="40"/>
        <v>#NUM!</v>
      </c>
      <c r="I658" s="2">
        <f t="shared" si="41"/>
        <v>0.37390096630005903</v>
      </c>
      <c r="J658" s="2" t="e">
        <f t="shared" si="42"/>
        <v>#NUM!</v>
      </c>
      <c r="K658">
        <f t="shared" si="43"/>
        <v>3.6666666666666667E-2</v>
      </c>
    </row>
    <row r="659" spans="1:11" ht="13.9" x14ac:dyDescent="0.3">
      <c r="A659" s="2" t="s">
        <v>182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0.11</v>
      </c>
      <c r="H659" s="2" t="e">
        <f t="shared" si="40"/>
        <v>#NUM!</v>
      </c>
      <c r="I659" s="2">
        <f t="shared" si="41"/>
        <v>0.37390096630005903</v>
      </c>
      <c r="J659" s="2" t="e">
        <f t="shared" si="42"/>
        <v>#NUM!</v>
      </c>
      <c r="K659">
        <f t="shared" si="43"/>
        <v>3.6666666666666667E-2</v>
      </c>
    </row>
    <row r="660" spans="1:11" ht="13.9" x14ac:dyDescent="0.3">
      <c r="A660" s="2" t="s">
        <v>250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0.11</v>
      </c>
      <c r="H660" s="2" t="e">
        <f t="shared" si="40"/>
        <v>#NUM!</v>
      </c>
      <c r="I660" s="2">
        <f t="shared" si="41"/>
        <v>0.37390096630005903</v>
      </c>
      <c r="J660" s="2" t="e">
        <f t="shared" si="42"/>
        <v>#NUM!</v>
      </c>
      <c r="K660">
        <f t="shared" si="43"/>
        <v>3.6666666666666667E-2</v>
      </c>
    </row>
    <row r="661" spans="1:11" ht="13.9" x14ac:dyDescent="0.3">
      <c r="A661" s="2" t="s">
        <v>273</v>
      </c>
      <c r="B661" s="2">
        <v>0</v>
      </c>
      <c r="C661" s="2">
        <v>0</v>
      </c>
      <c r="D661" s="2">
        <v>0</v>
      </c>
      <c r="E661" s="2">
        <v>0</v>
      </c>
      <c r="F661" s="2">
        <v>0.11</v>
      </c>
      <c r="G661" s="2">
        <v>0</v>
      </c>
      <c r="H661" s="2" t="e">
        <f t="shared" si="40"/>
        <v>#NUM!</v>
      </c>
      <c r="I661" s="2">
        <f t="shared" si="41"/>
        <v>0.37390096630005903</v>
      </c>
      <c r="J661" s="2" t="e">
        <f t="shared" si="42"/>
        <v>#NUM!</v>
      </c>
      <c r="K661">
        <f t="shared" si="43"/>
        <v>3.6666666666666667E-2</v>
      </c>
    </row>
    <row r="662" spans="1:11" ht="13.9" x14ac:dyDescent="0.3">
      <c r="A662" s="2" t="s">
        <v>317</v>
      </c>
      <c r="B662" s="2">
        <v>0</v>
      </c>
      <c r="C662" s="2">
        <v>0</v>
      </c>
      <c r="D662" s="2">
        <v>0</v>
      </c>
      <c r="E662" s="2">
        <v>0</v>
      </c>
      <c r="F662" s="2">
        <v>0.11</v>
      </c>
      <c r="G662" s="2">
        <v>0</v>
      </c>
      <c r="H662" s="2" t="e">
        <f t="shared" si="40"/>
        <v>#NUM!</v>
      </c>
      <c r="I662" s="2">
        <f t="shared" si="41"/>
        <v>0.37390096630005903</v>
      </c>
      <c r="J662" s="2" t="e">
        <f t="shared" si="42"/>
        <v>#NUM!</v>
      </c>
      <c r="K662">
        <f t="shared" si="43"/>
        <v>3.6666666666666667E-2</v>
      </c>
    </row>
    <row r="663" spans="1:11" ht="13.9" x14ac:dyDescent="0.3">
      <c r="A663" s="2" t="s">
        <v>319</v>
      </c>
      <c r="B663" s="2">
        <v>0</v>
      </c>
      <c r="C663" s="2">
        <v>0</v>
      </c>
      <c r="D663" s="2">
        <v>0</v>
      </c>
      <c r="E663" s="2">
        <v>0</v>
      </c>
      <c r="F663" s="2">
        <v>0.11</v>
      </c>
      <c r="G663" s="2">
        <v>0</v>
      </c>
      <c r="H663" s="2" t="e">
        <f t="shared" si="40"/>
        <v>#NUM!</v>
      </c>
      <c r="I663" s="2">
        <f t="shared" si="41"/>
        <v>0.37390096630005903</v>
      </c>
      <c r="J663" s="2" t="e">
        <f t="shared" si="42"/>
        <v>#NUM!</v>
      </c>
      <c r="K663">
        <f t="shared" si="43"/>
        <v>3.6666666666666667E-2</v>
      </c>
    </row>
    <row r="664" spans="1:11" ht="13.9" x14ac:dyDescent="0.3">
      <c r="A664" s="2" t="s">
        <v>328</v>
      </c>
      <c r="B664" s="2">
        <v>0</v>
      </c>
      <c r="C664" s="2">
        <v>0</v>
      </c>
      <c r="D664" s="2">
        <v>0</v>
      </c>
      <c r="E664" s="2">
        <v>0</v>
      </c>
      <c r="F664" s="2">
        <v>0.11</v>
      </c>
      <c r="G664" s="2">
        <v>0</v>
      </c>
      <c r="H664" s="2" t="e">
        <f t="shared" si="40"/>
        <v>#NUM!</v>
      </c>
      <c r="I664" s="2">
        <f t="shared" si="41"/>
        <v>0.37390096630005903</v>
      </c>
      <c r="J664" s="2" t="e">
        <f t="shared" si="42"/>
        <v>#NUM!</v>
      </c>
      <c r="K664">
        <f t="shared" si="43"/>
        <v>3.6666666666666667E-2</v>
      </c>
    </row>
    <row r="665" spans="1:11" ht="13.9" x14ac:dyDescent="0.3">
      <c r="A665" s="2" t="s">
        <v>349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0.11</v>
      </c>
      <c r="H665" s="2" t="e">
        <f t="shared" si="40"/>
        <v>#NUM!</v>
      </c>
      <c r="I665" s="2">
        <f t="shared" si="41"/>
        <v>0.37390096630005903</v>
      </c>
      <c r="J665" s="2" t="e">
        <f t="shared" si="42"/>
        <v>#NUM!</v>
      </c>
      <c r="K665">
        <f t="shared" si="43"/>
        <v>3.6666666666666667E-2</v>
      </c>
    </row>
    <row r="666" spans="1:11" ht="13.9" x14ac:dyDescent="0.3">
      <c r="A666" s="2" t="s">
        <v>375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0.11</v>
      </c>
      <c r="H666" s="2" t="e">
        <f t="shared" si="40"/>
        <v>#NUM!</v>
      </c>
      <c r="I666" s="2">
        <f t="shared" si="41"/>
        <v>0.37390096630005903</v>
      </c>
      <c r="J666" s="2" t="e">
        <f t="shared" si="42"/>
        <v>#NUM!</v>
      </c>
      <c r="K666">
        <f t="shared" si="43"/>
        <v>3.6666666666666667E-2</v>
      </c>
    </row>
    <row r="667" spans="1:11" ht="13.9" x14ac:dyDescent="0.3">
      <c r="A667" s="2" t="s">
        <v>408</v>
      </c>
      <c r="B667" s="2">
        <v>0</v>
      </c>
      <c r="C667" s="2">
        <v>0</v>
      </c>
      <c r="D667" s="2">
        <v>0</v>
      </c>
      <c r="E667" s="2">
        <v>0</v>
      </c>
      <c r="F667" s="2">
        <v>0.11</v>
      </c>
      <c r="G667" s="2">
        <v>0</v>
      </c>
      <c r="H667" s="2" t="e">
        <f t="shared" si="40"/>
        <v>#NUM!</v>
      </c>
      <c r="I667" s="2">
        <f t="shared" si="41"/>
        <v>0.37390096630005903</v>
      </c>
      <c r="J667" s="2" t="e">
        <f t="shared" si="42"/>
        <v>#NUM!</v>
      </c>
      <c r="K667">
        <f t="shared" si="43"/>
        <v>3.6666666666666667E-2</v>
      </c>
    </row>
    <row r="668" spans="1:11" ht="13.9" x14ac:dyDescent="0.3">
      <c r="A668" s="2" t="s">
        <v>478</v>
      </c>
      <c r="B668" s="2">
        <v>0</v>
      </c>
      <c r="C668" s="2">
        <v>0</v>
      </c>
      <c r="D668" s="2">
        <v>0</v>
      </c>
      <c r="E668" s="2">
        <v>0</v>
      </c>
      <c r="F668" s="2">
        <v>0.11</v>
      </c>
      <c r="G668" s="2">
        <v>0</v>
      </c>
      <c r="H668" s="2" t="e">
        <f t="shared" si="40"/>
        <v>#NUM!</v>
      </c>
      <c r="I668" s="2">
        <f t="shared" si="41"/>
        <v>0.37390096630005903</v>
      </c>
      <c r="J668" s="2" t="e">
        <f t="shared" si="42"/>
        <v>#NUM!</v>
      </c>
      <c r="K668">
        <f t="shared" si="43"/>
        <v>3.6666666666666667E-2</v>
      </c>
    </row>
    <row r="669" spans="1:11" ht="13.9" x14ac:dyDescent="0.3">
      <c r="A669" s="2" t="s">
        <v>490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0.11</v>
      </c>
      <c r="H669" s="2" t="e">
        <f t="shared" si="40"/>
        <v>#NUM!</v>
      </c>
      <c r="I669" s="2">
        <f t="shared" si="41"/>
        <v>0.37390096630005903</v>
      </c>
      <c r="J669" s="2" t="e">
        <f t="shared" si="42"/>
        <v>#NUM!</v>
      </c>
      <c r="K669">
        <f t="shared" si="43"/>
        <v>3.6666666666666667E-2</v>
      </c>
    </row>
    <row r="670" spans="1:11" ht="13.9" x14ac:dyDescent="0.3">
      <c r="A670" s="2" t="s">
        <v>522</v>
      </c>
      <c r="B670" s="2">
        <v>0</v>
      </c>
      <c r="C670" s="2">
        <v>0</v>
      </c>
      <c r="D670" s="2">
        <v>0</v>
      </c>
      <c r="E670" s="2">
        <v>0</v>
      </c>
      <c r="F670" s="2">
        <v>0.11</v>
      </c>
      <c r="G670" s="2">
        <v>0</v>
      </c>
      <c r="H670" s="2" t="e">
        <f t="shared" si="40"/>
        <v>#NUM!</v>
      </c>
      <c r="I670" s="2">
        <f t="shared" si="41"/>
        <v>0.37390096630005903</v>
      </c>
      <c r="J670" s="2" t="e">
        <f t="shared" si="42"/>
        <v>#NUM!</v>
      </c>
      <c r="K670">
        <f t="shared" si="43"/>
        <v>3.6666666666666667E-2</v>
      </c>
    </row>
    <row r="671" spans="1:11" ht="13.9" x14ac:dyDescent="0.3">
      <c r="A671" s="2" t="s">
        <v>528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</v>
      </c>
      <c r="H671" s="2" t="e">
        <f t="shared" si="40"/>
        <v>#NUM!</v>
      </c>
      <c r="I671" s="2">
        <f t="shared" si="41"/>
        <v>0.37390096630005903</v>
      </c>
      <c r="J671" s="2" t="e">
        <f t="shared" si="42"/>
        <v>#NUM!</v>
      </c>
      <c r="K671">
        <f t="shared" si="43"/>
        <v>3.6666666666666667E-2</v>
      </c>
    </row>
    <row r="672" spans="1:11" ht="13.9" x14ac:dyDescent="0.3">
      <c r="A672" s="2" t="s">
        <v>532</v>
      </c>
      <c r="B672" s="2">
        <v>0</v>
      </c>
      <c r="C672" s="2">
        <v>0</v>
      </c>
      <c r="D672" s="2">
        <v>0</v>
      </c>
      <c r="E672" s="2">
        <v>0</v>
      </c>
      <c r="F672" s="2">
        <v>0.11</v>
      </c>
      <c r="G672" s="2">
        <v>0</v>
      </c>
      <c r="H672" s="2" t="e">
        <f t="shared" si="40"/>
        <v>#NUM!</v>
      </c>
      <c r="I672" s="2">
        <f t="shared" si="41"/>
        <v>0.37390096630005903</v>
      </c>
      <c r="J672" s="2" t="e">
        <f t="shared" si="42"/>
        <v>#NUM!</v>
      </c>
      <c r="K672">
        <f t="shared" si="43"/>
        <v>3.6666666666666667E-2</v>
      </c>
    </row>
    <row r="673" spans="1:11" ht="13.9" x14ac:dyDescent="0.3">
      <c r="A673" s="2" t="s">
        <v>575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0.11</v>
      </c>
      <c r="H673" s="2" t="e">
        <f t="shared" si="40"/>
        <v>#NUM!</v>
      </c>
      <c r="I673" s="2">
        <f t="shared" si="41"/>
        <v>0.37390096630005903</v>
      </c>
      <c r="J673" s="2" t="e">
        <f t="shared" si="42"/>
        <v>#NUM!</v>
      </c>
      <c r="K673">
        <f t="shared" si="43"/>
        <v>3.6666666666666667E-2</v>
      </c>
    </row>
    <row r="674" spans="1:11" ht="13.9" x14ac:dyDescent="0.3">
      <c r="A674" s="2" t="s">
        <v>583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0.11</v>
      </c>
      <c r="H674" s="2" t="e">
        <f t="shared" si="40"/>
        <v>#NUM!</v>
      </c>
      <c r="I674" s="2">
        <f t="shared" si="41"/>
        <v>0.37390096630005903</v>
      </c>
      <c r="J674" s="2" t="e">
        <f t="shared" si="42"/>
        <v>#NUM!</v>
      </c>
      <c r="K674">
        <f t="shared" si="43"/>
        <v>3.6666666666666667E-2</v>
      </c>
    </row>
    <row r="675" spans="1:11" ht="13.9" x14ac:dyDescent="0.3">
      <c r="A675" s="2" t="s">
        <v>639</v>
      </c>
      <c r="B675" s="2">
        <v>0</v>
      </c>
      <c r="C675" s="2">
        <v>0</v>
      </c>
      <c r="D675" s="2">
        <v>0</v>
      </c>
      <c r="E675" s="2">
        <v>0</v>
      </c>
      <c r="F675" s="2">
        <v>0.11</v>
      </c>
      <c r="G675" s="2">
        <v>0</v>
      </c>
      <c r="H675" s="2" t="e">
        <f t="shared" si="40"/>
        <v>#NUM!</v>
      </c>
      <c r="I675" s="2">
        <f t="shared" si="41"/>
        <v>0.37390096630005903</v>
      </c>
      <c r="J675" s="2" t="e">
        <f t="shared" si="42"/>
        <v>#NUM!</v>
      </c>
      <c r="K675">
        <f t="shared" si="43"/>
        <v>3.6666666666666667E-2</v>
      </c>
    </row>
    <row r="676" spans="1:11" ht="13.9" x14ac:dyDescent="0.3">
      <c r="A676" s="2" t="s">
        <v>733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0.11</v>
      </c>
      <c r="H676" s="2" t="e">
        <f t="shared" si="40"/>
        <v>#NUM!</v>
      </c>
      <c r="I676" s="2">
        <f t="shared" si="41"/>
        <v>0.37390096630005903</v>
      </c>
      <c r="J676" s="2" t="e">
        <f t="shared" si="42"/>
        <v>#NUM!</v>
      </c>
      <c r="K676">
        <f t="shared" si="43"/>
        <v>3.6666666666666667E-2</v>
      </c>
    </row>
    <row r="677" spans="1:11" ht="13.9" x14ac:dyDescent="0.3">
      <c r="A677" s="2" t="s">
        <v>778</v>
      </c>
      <c r="B677" s="2">
        <v>0</v>
      </c>
      <c r="C677" s="2">
        <v>0</v>
      </c>
      <c r="D677" s="2">
        <v>0</v>
      </c>
      <c r="E677" s="2">
        <v>0</v>
      </c>
      <c r="F677" s="2">
        <v>0.11</v>
      </c>
      <c r="G677" s="2">
        <v>0</v>
      </c>
      <c r="H677" s="2" t="e">
        <f t="shared" si="40"/>
        <v>#NUM!</v>
      </c>
      <c r="I677" s="2">
        <f t="shared" si="41"/>
        <v>0.37390096630005903</v>
      </c>
      <c r="J677" s="2" t="e">
        <f t="shared" si="42"/>
        <v>#NUM!</v>
      </c>
      <c r="K677">
        <f t="shared" si="43"/>
        <v>3.6666666666666667E-2</v>
      </c>
    </row>
    <row r="678" spans="1:11" ht="13.9" x14ac:dyDescent="0.3">
      <c r="A678" s="2" t="s">
        <v>787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0.11</v>
      </c>
      <c r="H678" s="2" t="e">
        <f t="shared" si="40"/>
        <v>#NUM!</v>
      </c>
      <c r="I678" s="2">
        <f t="shared" si="41"/>
        <v>0.37390096630005903</v>
      </c>
      <c r="J678" s="2" t="e">
        <f t="shared" si="42"/>
        <v>#NUM!</v>
      </c>
      <c r="K678">
        <f t="shared" si="43"/>
        <v>3.6666666666666667E-2</v>
      </c>
    </row>
    <row r="679" spans="1:11" ht="13.9" x14ac:dyDescent="0.3">
      <c r="A679" s="2" t="s">
        <v>807</v>
      </c>
      <c r="B679" s="2">
        <v>0</v>
      </c>
      <c r="C679" s="2">
        <v>0</v>
      </c>
      <c r="D679" s="2">
        <v>0</v>
      </c>
      <c r="E679" s="2">
        <v>0</v>
      </c>
      <c r="F679" s="2">
        <v>0.11</v>
      </c>
      <c r="G679" s="2">
        <v>0</v>
      </c>
      <c r="H679" s="2" t="e">
        <f t="shared" si="40"/>
        <v>#NUM!</v>
      </c>
      <c r="I679" s="2">
        <f t="shared" si="41"/>
        <v>0.37390096630005903</v>
      </c>
      <c r="J679" s="2" t="e">
        <f t="shared" si="42"/>
        <v>#NUM!</v>
      </c>
      <c r="K679">
        <f t="shared" si="43"/>
        <v>3.6666666666666667E-2</v>
      </c>
    </row>
    <row r="680" spans="1:11" ht="13.9" x14ac:dyDescent="0.3">
      <c r="A680" s="2" t="s">
        <v>826</v>
      </c>
      <c r="B680" s="2">
        <v>0</v>
      </c>
      <c r="C680" s="2">
        <v>0</v>
      </c>
      <c r="D680" s="2">
        <v>0</v>
      </c>
      <c r="E680" s="2">
        <v>0</v>
      </c>
      <c r="F680" s="2">
        <v>0.11</v>
      </c>
      <c r="G680" s="2">
        <v>0</v>
      </c>
      <c r="H680" s="2" t="e">
        <f t="shared" si="40"/>
        <v>#NUM!</v>
      </c>
      <c r="I680" s="2">
        <f t="shared" si="41"/>
        <v>0.37390096630005903</v>
      </c>
      <c r="J680" s="2" t="e">
        <f t="shared" si="42"/>
        <v>#NUM!</v>
      </c>
      <c r="K680">
        <f t="shared" si="43"/>
        <v>3.6666666666666667E-2</v>
      </c>
    </row>
    <row r="681" spans="1:11" ht="13.9" x14ac:dyDescent="0.3">
      <c r="A681" s="2" t="s">
        <v>899</v>
      </c>
      <c r="B681" s="2">
        <v>0</v>
      </c>
      <c r="C681" s="2">
        <v>0</v>
      </c>
      <c r="D681" s="2">
        <v>0</v>
      </c>
      <c r="E681" s="2">
        <v>0</v>
      </c>
      <c r="F681" s="2">
        <v>0.11</v>
      </c>
      <c r="G681" s="2">
        <v>0</v>
      </c>
      <c r="H681" s="2" t="e">
        <f t="shared" si="40"/>
        <v>#NUM!</v>
      </c>
      <c r="I681" s="2">
        <f t="shared" si="41"/>
        <v>0.37390096630005903</v>
      </c>
      <c r="J681" s="2" t="e">
        <f t="shared" si="42"/>
        <v>#NUM!</v>
      </c>
      <c r="K681">
        <f t="shared" si="43"/>
        <v>3.6666666666666667E-2</v>
      </c>
    </row>
    <row r="682" spans="1:11" ht="13.9" x14ac:dyDescent="0.3">
      <c r="A682" s="2" t="s">
        <v>906</v>
      </c>
      <c r="B682" s="2">
        <v>0</v>
      </c>
      <c r="C682" s="2">
        <v>0</v>
      </c>
      <c r="D682" s="2">
        <v>0</v>
      </c>
      <c r="E682" s="2">
        <v>0</v>
      </c>
      <c r="F682" s="2">
        <v>0.11</v>
      </c>
      <c r="G682" s="2">
        <v>0</v>
      </c>
      <c r="H682" s="2" t="e">
        <f t="shared" si="40"/>
        <v>#NUM!</v>
      </c>
      <c r="I682" s="2">
        <f t="shared" si="41"/>
        <v>0.37390096630005903</v>
      </c>
      <c r="J682" s="2" t="e">
        <f t="shared" si="42"/>
        <v>#NUM!</v>
      </c>
      <c r="K682">
        <f t="shared" si="43"/>
        <v>3.6666666666666667E-2</v>
      </c>
    </row>
    <row r="683" spans="1:11" ht="13.9" x14ac:dyDescent="0.3">
      <c r="A683" s="2" t="s">
        <v>61</v>
      </c>
      <c r="B683" s="2">
        <v>0.13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>
        <f t="shared" si="41"/>
        <v>0.37390096630005903</v>
      </c>
      <c r="J683" s="2">
        <f t="shared" si="42"/>
        <v>-2.9434164716336326</v>
      </c>
      <c r="K683">
        <f t="shared" si="43"/>
        <v>0</v>
      </c>
    </row>
    <row r="684" spans="1:11" ht="13.9" x14ac:dyDescent="0.3">
      <c r="A684" s="2" t="s">
        <v>738</v>
      </c>
      <c r="B684" s="2">
        <v>0.13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>
        <f t="shared" si="41"/>
        <v>0.37390096630005903</v>
      </c>
      <c r="J684" s="2">
        <f t="shared" si="42"/>
        <v>-2.9434164716336326</v>
      </c>
      <c r="K684">
        <f t="shared" si="43"/>
        <v>0</v>
      </c>
    </row>
    <row r="685" spans="1:11" ht="13.9" x14ac:dyDescent="0.3">
      <c r="A685" s="2" t="s">
        <v>859</v>
      </c>
      <c r="B685" s="2">
        <v>0</v>
      </c>
      <c r="C685" s="2">
        <v>0</v>
      </c>
      <c r="D685" s="2">
        <v>0.26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>
        <f t="shared" si="41"/>
        <v>0.37390096630005903</v>
      </c>
      <c r="J685" s="2">
        <f t="shared" si="42"/>
        <v>-1.9434164716336324</v>
      </c>
      <c r="K685">
        <f t="shared" si="43"/>
        <v>0</v>
      </c>
    </row>
    <row r="686" spans="1:11" ht="13.9" x14ac:dyDescent="0.3">
      <c r="A686" s="2" t="s">
        <v>773</v>
      </c>
      <c r="B686" s="2">
        <v>0</v>
      </c>
      <c r="C686" s="2">
        <v>0.28999999999999998</v>
      </c>
      <c r="D686" s="2">
        <v>0</v>
      </c>
      <c r="E686" s="2">
        <v>0</v>
      </c>
      <c r="F686" s="2">
        <v>0</v>
      </c>
      <c r="G686" s="2">
        <v>0</v>
      </c>
      <c r="H686" s="2" t="e">
        <f t="shared" si="40"/>
        <v>#DIV/0!</v>
      </c>
      <c r="I686" s="2">
        <f t="shared" si="41"/>
        <v>0.37390096630005903</v>
      </c>
      <c r="J686" s="2">
        <f t="shared" si="42"/>
        <v>-1.7858751946471527</v>
      </c>
      <c r="K686">
        <f t="shared" si="43"/>
        <v>0</v>
      </c>
    </row>
    <row r="687" spans="1:11" ht="13.9" x14ac:dyDescent="0.3">
      <c r="A687" s="2" t="s">
        <v>323</v>
      </c>
      <c r="B687" s="2">
        <v>0</v>
      </c>
      <c r="C687" s="2">
        <v>0.57999999999999996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>
        <f t="shared" si="41"/>
        <v>0.37390096630005903</v>
      </c>
      <c r="J687" s="2">
        <f t="shared" si="42"/>
        <v>-0.78587519464715272</v>
      </c>
      <c r="K687">
        <f t="shared" si="43"/>
        <v>0</v>
      </c>
    </row>
    <row r="688" spans="1:11" ht="13.9" x14ac:dyDescent="0.3">
      <c r="A688" s="2" t="s">
        <v>397</v>
      </c>
      <c r="B688" s="2">
        <v>0.66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>
        <f t="shared" si="41"/>
        <v>0.37390096630005903</v>
      </c>
      <c r="J688" s="2">
        <f t="shared" si="42"/>
        <v>-0.5994620704162712</v>
      </c>
      <c r="K688">
        <f t="shared" si="43"/>
        <v>0</v>
      </c>
    </row>
    <row r="689" spans="1:11" ht="13.9" x14ac:dyDescent="0.3">
      <c r="A689" s="2" t="s">
        <v>932</v>
      </c>
      <c r="B689" s="2">
        <v>0.79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>
        <f t="shared" si="41"/>
        <v>0.37390096630005903</v>
      </c>
      <c r="J689" s="2">
        <f t="shared" si="42"/>
        <v>-0.34007544159762171</v>
      </c>
      <c r="K689">
        <f t="shared" si="43"/>
        <v>0</v>
      </c>
    </row>
    <row r="690" spans="1:11" ht="13.9" x14ac:dyDescent="0.3">
      <c r="A690" s="2" t="s">
        <v>337</v>
      </c>
      <c r="B690" s="2">
        <v>0</v>
      </c>
      <c r="C690" s="2">
        <v>0.57999999999999996</v>
      </c>
      <c r="D690" s="2">
        <v>1.3</v>
      </c>
      <c r="E690" s="2">
        <v>0</v>
      </c>
      <c r="F690" s="2">
        <v>0</v>
      </c>
      <c r="G690" s="2">
        <v>0</v>
      </c>
      <c r="H690" s="2" t="e">
        <f t="shared" si="40"/>
        <v>#DIV/0!</v>
      </c>
      <c r="I690" s="2">
        <f t="shared" si="41"/>
        <v>0.1709108311721276</v>
      </c>
      <c r="J690" s="2">
        <f t="shared" si="42"/>
        <v>0.91073266190291258</v>
      </c>
      <c r="K690">
        <f t="shared" si="43"/>
        <v>0</v>
      </c>
    </row>
    <row r="691" spans="1:11" ht="13.9" x14ac:dyDescent="0.3">
      <c r="A691" s="2" t="s">
        <v>704</v>
      </c>
      <c r="B691" s="2">
        <v>0</v>
      </c>
      <c r="C691" s="2">
        <v>2.02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40"/>
        <v>#DIV/0!</v>
      </c>
      <c r="I691" s="2">
        <f t="shared" si="41"/>
        <v>0.37390096630005903</v>
      </c>
      <c r="J691" s="2">
        <f t="shared" si="42"/>
        <v>1.0143552929770701</v>
      </c>
      <c r="K691">
        <f t="shared" si="43"/>
        <v>0</v>
      </c>
    </row>
    <row r="692" spans="1:11" ht="13.9" x14ac:dyDescent="0.3">
      <c r="A692" s="2" t="s">
        <v>211</v>
      </c>
      <c r="B692" s="2">
        <v>2.4900000000000002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>
        <f t="shared" si="41"/>
        <v>0.37390096630005903</v>
      </c>
      <c r="J692" s="2">
        <f t="shared" si="42"/>
        <v>1.3161457422933565</v>
      </c>
      <c r="K692">
        <f t="shared" si="43"/>
        <v>0</v>
      </c>
    </row>
    <row r="693" spans="1:11" ht="13.9" x14ac:dyDescent="0.3">
      <c r="A693" s="2" t="s">
        <v>251</v>
      </c>
      <c r="B693" s="2">
        <v>0</v>
      </c>
      <c r="C693" s="2">
        <v>2.6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>
        <f t="shared" si="41"/>
        <v>0.37390096630005903</v>
      </c>
      <c r="J693" s="2">
        <f t="shared" si="42"/>
        <v>1.3785116232537298</v>
      </c>
      <c r="K693">
        <f t="shared" si="43"/>
        <v>0</v>
      </c>
    </row>
    <row r="694" spans="1:11" ht="13.9" x14ac:dyDescent="0.3">
      <c r="A694" s="2" t="s">
        <v>816</v>
      </c>
      <c r="B694" s="2">
        <v>2.75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>
        <f t="shared" si="41"/>
        <v>0.37390096630005903</v>
      </c>
      <c r="J694" s="2">
        <f t="shared" si="42"/>
        <v>1.4594316186372973</v>
      </c>
      <c r="K694">
        <f t="shared" si="43"/>
        <v>0</v>
      </c>
    </row>
    <row r="695" spans="1:11" ht="13.9" x14ac:dyDescent="0.3">
      <c r="A695" s="2" t="s">
        <v>414</v>
      </c>
      <c r="B695" s="2">
        <v>2.88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>
        <f t="shared" si="41"/>
        <v>0.37390096630005903</v>
      </c>
      <c r="J695" s="2">
        <f t="shared" si="42"/>
        <v>1.5260688116675876</v>
      </c>
      <c r="K695">
        <f t="shared" si="43"/>
        <v>0</v>
      </c>
    </row>
    <row r="696" spans="1:11" ht="13.9" x14ac:dyDescent="0.3">
      <c r="A696" s="2" t="s">
        <v>793</v>
      </c>
      <c r="B696" s="2">
        <v>2.88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>
        <f t="shared" si="41"/>
        <v>0.37390096630005903</v>
      </c>
      <c r="J696" s="2">
        <f t="shared" si="42"/>
        <v>1.5260688116675876</v>
      </c>
      <c r="K696">
        <f t="shared" si="43"/>
        <v>0</v>
      </c>
    </row>
    <row r="697" spans="1:11" ht="13.9" x14ac:dyDescent="0.3">
      <c r="A697" s="2" t="s">
        <v>107</v>
      </c>
      <c r="B697" s="2">
        <v>3.02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>
        <f t="shared" si="41"/>
        <v>0.37390096630005903</v>
      </c>
      <c r="J697" s="2">
        <f t="shared" si="42"/>
        <v>1.5945485495503544</v>
      </c>
      <c r="K697">
        <f t="shared" si="43"/>
        <v>0</v>
      </c>
    </row>
    <row r="698" spans="1:11" ht="13.9" x14ac:dyDescent="0.3">
      <c r="A698" s="2" t="s">
        <v>814</v>
      </c>
      <c r="B698" s="2">
        <v>3.15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 t="e">
        <f t="shared" si="40"/>
        <v>#DIV/0!</v>
      </c>
      <c r="I698" s="2">
        <f t="shared" si="41"/>
        <v>0.37390096630005903</v>
      </c>
      <c r="J698" s="2">
        <f t="shared" si="42"/>
        <v>1.6553518286125541</v>
      </c>
      <c r="K698">
        <f t="shared" si="43"/>
        <v>0</v>
      </c>
    </row>
    <row r="699" spans="1:11" ht="13.9" x14ac:dyDescent="0.3">
      <c r="A699" s="2" t="s">
        <v>41</v>
      </c>
      <c r="B699" s="2">
        <v>4.0599999999999996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 t="e">
        <f t="shared" si="40"/>
        <v>#DIV/0!</v>
      </c>
      <c r="I699" s="2">
        <f t="shared" si="41"/>
        <v>0.37390096630005903</v>
      </c>
      <c r="J699" s="2">
        <f t="shared" si="42"/>
        <v>2.0214797274104517</v>
      </c>
      <c r="K699">
        <f t="shared" si="43"/>
        <v>0</v>
      </c>
    </row>
    <row r="700" spans="1:11" ht="13.9" x14ac:dyDescent="0.3">
      <c r="A700" s="2" t="s">
        <v>484</v>
      </c>
      <c r="B700" s="2">
        <v>0</v>
      </c>
      <c r="C700" s="2">
        <v>4.34</v>
      </c>
      <c r="D700" s="2">
        <v>0</v>
      </c>
      <c r="E700" s="2">
        <v>0</v>
      </c>
      <c r="F700" s="2">
        <v>0</v>
      </c>
      <c r="G700" s="2">
        <v>0</v>
      </c>
      <c r="H700" s="2" t="e">
        <f t="shared" si="40"/>
        <v>#DIV/0!</v>
      </c>
      <c r="I700" s="2">
        <f t="shared" si="41"/>
        <v>0.37390096630005903</v>
      </c>
      <c r="J700" s="2">
        <f t="shared" si="42"/>
        <v>2.1176950426697547</v>
      </c>
      <c r="K700">
        <f t="shared" si="43"/>
        <v>0</v>
      </c>
    </row>
    <row r="701" spans="1:11" ht="13.9" x14ac:dyDescent="0.3">
      <c r="A701" s="2" t="s">
        <v>63</v>
      </c>
      <c r="B701" s="2">
        <v>4.59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 t="e">
        <f t="shared" si="40"/>
        <v>#DIV/0!</v>
      </c>
      <c r="I701" s="2">
        <f t="shared" si="41"/>
        <v>0.37390096630005903</v>
      </c>
      <c r="J701" s="2">
        <f t="shared" si="42"/>
        <v>2.1984941536390834</v>
      </c>
      <c r="K701">
        <f t="shared" si="43"/>
        <v>0</v>
      </c>
    </row>
    <row r="702" spans="1:11" ht="13.9" x14ac:dyDescent="0.3">
      <c r="A702" s="2" t="s">
        <v>881</v>
      </c>
      <c r="B702" s="2">
        <v>5.1100000000000003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 t="e">
        <f t="shared" si="40"/>
        <v>#DIV/0!</v>
      </c>
      <c r="I702" s="2">
        <f t="shared" si="41"/>
        <v>0.37390096630005903</v>
      </c>
      <c r="J702" s="2">
        <f t="shared" si="42"/>
        <v>2.3533232911628965</v>
      </c>
      <c r="K702">
        <f t="shared" si="43"/>
        <v>0</v>
      </c>
    </row>
    <row r="703" spans="1:11" ht="13.9" x14ac:dyDescent="0.3">
      <c r="A703" s="2" t="s">
        <v>902</v>
      </c>
      <c r="B703" s="2">
        <v>0</v>
      </c>
      <c r="C703" s="2">
        <v>0</v>
      </c>
      <c r="D703" s="2">
        <v>6.48</v>
      </c>
      <c r="E703" s="2">
        <v>0</v>
      </c>
      <c r="F703" s="2">
        <v>0</v>
      </c>
      <c r="G703" s="2">
        <v>0</v>
      </c>
      <c r="H703" s="2" t="e">
        <f t="shared" si="40"/>
        <v>#DIV/0!</v>
      </c>
      <c r="I703" s="2">
        <f t="shared" si="41"/>
        <v>0.37390096630005903</v>
      </c>
      <c r="J703" s="2">
        <f t="shared" si="42"/>
        <v>2.6959938131098999</v>
      </c>
      <c r="K703">
        <f t="shared" si="43"/>
        <v>0</v>
      </c>
    </row>
    <row r="704" spans="1:11" ht="13.9" x14ac:dyDescent="0.3">
      <c r="A704" s="2" t="s">
        <v>325</v>
      </c>
      <c r="B704" s="2">
        <v>0</v>
      </c>
      <c r="C704" s="2">
        <v>0</v>
      </c>
      <c r="D704" s="2">
        <v>7.52</v>
      </c>
      <c r="E704" s="2">
        <v>0</v>
      </c>
      <c r="F704" s="2">
        <v>0</v>
      </c>
      <c r="G704" s="2">
        <v>0</v>
      </c>
      <c r="H704" s="2" t="e">
        <f t="shared" si="40"/>
        <v>#DIV/0!</v>
      </c>
      <c r="I704" s="2">
        <f t="shared" si="41"/>
        <v>0.37390096630005903</v>
      </c>
      <c r="J704" s="2">
        <f t="shared" si="42"/>
        <v>2.9107326619029124</v>
      </c>
      <c r="K704">
        <f t="shared" si="43"/>
        <v>0</v>
      </c>
    </row>
    <row r="705" spans="1:11" ht="13.9" x14ac:dyDescent="0.3">
      <c r="A705" s="2" t="s">
        <v>924</v>
      </c>
      <c r="B705" s="2">
        <v>0</v>
      </c>
      <c r="C705" s="2">
        <v>7.52</v>
      </c>
      <c r="D705" s="2">
        <v>0</v>
      </c>
      <c r="E705" s="2">
        <v>0</v>
      </c>
      <c r="F705" s="2">
        <v>0</v>
      </c>
      <c r="G705" s="2">
        <v>0</v>
      </c>
      <c r="H705" s="2" t="e">
        <f t="shared" si="40"/>
        <v>#DIV/0!</v>
      </c>
      <c r="I705" s="2">
        <f t="shared" si="41"/>
        <v>0.37390096630005903</v>
      </c>
      <c r="J705" s="2">
        <f t="shared" si="42"/>
        <v>2.9107326619029124</v>
      </c>
      <c r="K705">
        <f t="shared" si="43"/>
        <v>0</v>
      </c>
    </row>
    <row r="706" spans="1:11" ht="13.9" x14ac:dyDescent="0.3">
      <c r="A706" s="2" t="s">
        <v>423</v>
      </c>
      <c r="B706" s="2">
        <v>0</v>
      </c>
      <c r="C706" s="2">
        <v>8.1</v>
      </c>
      <c r="D706" s="2">
        <v>0</v>
      </c>
      <c r="E706" s="2">
        <v>0</v>
      </c>
      <c r="F706" s="2">
        <v>0</v>
      </c>
      <c r="G706" s="2">
        <v>0</v>
      </c>
      <c r="H706" s="2" t="e">
        <f t="shared" ref="H706:H769" si="44">LOG(SUM(B706:D706)/SUM(E706:G706),2)</f>
        <v>#DIV/0!</v>
      </c>
      <c r="I706" s="2">
        <f t="shared" ref="I706:I769" si="45">_xlfn.T.TEST(B706:D706,E706:G706,2,2)</f>
        <v>0.37390096630005903</v>
      </c>
      <c r="J706" s="2">
        <f t="shared" ref="J706:J769" si="46">LOG(SUM(B706:D706),2)</f>
        <v>3.0179219079972626</v>
      </c>
      <c r="K706">
        <f t="shared" ref="K706:K769" si="47">AVERAGE(E706:G706)</f>
        <v>0</v>
      </c>
    </row>
    <row r="707" spans="1:11" ht="13.9" x14ac:dyDescent="0.3">
      <c r="A707" s="2" t="s">
        <v>613</v>
      </c>
      <c r="B707" s="2">
        <v>9.18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 t="e">
        <f t="shared" si="44"/>
        <v>#DIV/0!</v>
      </c>
      <c r="I707" s="2">
        <f t="shared" si="45"/>
        <v>0.37390096630005903</v>
      </c>
      <c r="J707" s="2">
        <f t="shared" si="46"/>
        <v>3.198494153639083</v>
      </c>
      <c r="K707">
        <f t="shared" si="47"/>
        <v>0</v>
      </c>
    </row>
    <row r="708" spans="1:11" ht="13.9" x14ac:dyDescent="0.3">
      <c r="A708" s="2" t="s">
        <v>770</v>
      </c>
      <c r="B708" s="2">
        <v>10.36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>
        <f t="shared" si="45"/>
        <v>0.37390096630005903</v>
      </c>
      <c r="J708" s="2">
        <f t="shared" si="46"/>
        <v>3.372952097911829</v>
      </c>
      <c r="K708">
        <f t="shared" si="47"/>
        <v>0</v>
      </c>
    </row>
    <row r="709" spans="1:11" ht="13.9" x14ac:dyDescent="0.3">
      <c r="A709" s="2" t="s">
        <v>824</v>
      </c>
      <c r="B709" s="2">
        <v>0</v>
      </c>
      <c r="C709" s="2">
        <v>14.75</v>
      </c>
      <c r="D709" s="2">
        <v>0.26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>
        <f t="shared" si="45"/>
        <v>0.36265146126275422</v>
      </c>
      <c r="J709" s="2">
        <f t="shared" si="46"/>
        <v>3.9078520718459635</v>
      </c>
      <c r="K709">
        <f t="shared" si="47"/>
        <v>0</v>
      </c>
    </row>
    <row r="710" spans="1:11" ht="13.9" x14ac:dyDescent="0.3">
      <c r="A710" s="2" t="s">
        <v>26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 t="e">
        <f t="shared" si="44"/>
        <v>#DIV/0!</v>
      </c>
      <c r="I710" s="2" t="e">
        <f t="shared" si="45"/>
        <v>#DIV/0!</v>
      </c>
      <c r="J710" s="2" t="e">
        <f t="shared" si="46"/>
        <v>#NUM!</v>
      </c>
      <c r="K710">
        <f t="shared" si="47"/>
        <v>0</v>
      </c>
    </row>
    <row r="711" spans="1:11" ht="13.9" x14ac:dyDescent="0.3">
      <c r="A711" s="2" t="s">
        <v>27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 t="e">
        <f t="shared" si="44"/>
        <v>#DIV/0!</v>
      </c>
      <c r="I711" s="2" t="e">
        <f t="shared" si="45"/>
        <v>#DIV/0!</v>
      </c>
      <c r="J711" s="2" t="e">
        <f t="shared" si="46"/>
        <v>#NUM!</v>
      </c>
      <c r="K711">
        <f t="shared" si="47"/>
        <v>0</v>
      </c>
    </row>
    <row r="712" spans="1:11" ht="13.9" x14ac:dyDescent="0.3">
      <c r="A712" s="2" t="s">
        <v>46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 t="e">
        <f t="shared" si="44"/>
        <v>#DIV/0!</v>
      </c>
      <c r="I712" s="2" t="e">
        <f t="shared" si="45"/>
        <v>#DIV/0!</v>
      </c>
      <c r="J712" s="2" t="e">
        <f t="shared" si="46"/>
        <v>#NUM!</v>
      </c>
      <c r="K712">
        <f t="shared" si="47"/>
        <v>0</v>
      </c>
    </row>
    <row r="713" spans="1:11" ht="13.9" x14ac:dyDescent="0.3">
      <c r="A713" s="2" t="s">
        <v>47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 t="e">
        <f t="shared" si="44"/>
        <v>#DIV/0!</v>
      </c>
      <c r="I713" s="2" t="e">
        <f t="shared" si="45"/>
        <v>#DIV/0!</v>
      </c>
      <c r="J713" s="2" t="e">
        <f t="shared" si="46"/>
        <v>#NUM!</v>
      </c>
      <c r="K713">
        <f t="shared" si="47"/>
        <v>0</v>
      </c>
    </row>
    <row r="714" spans="1:11" ht="13.9" x14ac:dyDescent="0.3">
      <c r="A714" s="2" t="s">
        <v>51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 t="e">
        <f t="shared" si="44"/>
        <v>#DIV/0!</v>
      </c>
      <c r="I714" s="2" t="e">
        <f t="shared" si="45"/>
        <v>#DIV/0!</v>
      </c>
      <c r="J714" s="2" t="e">
        <f t="shared" si="46"/>
        <v>#NUM!</v>
      </c>
      <c r="K714">
        <f t="shared" si="47"/>
        <v>0</v>
      </c>
    </row>
    <row r="715" spans="1:11" ht="13.9" x14ac:dyDescent="0.3">
      <c r="A715" s="2" t="s">
        <v>52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 t="e">
        <f t="shared" si="44"/>
        <v>#DIV/0!</v>
      </c>
      <c r="I715" s="2" t="e">
        <f t="shared" si="45"/>
        <v>#DIV/0!</v>
      </c>
      <c r="J715" s="2" t="e">
        <f t="shared" si="46"/>
        <v>#NUM!</v>
      </c>
      <c r="K715">
        <f t="shared" si="47"/>
        <v>0</v>
      </c>
    </row>
    <row r="716" spans="1:11" ht="13.9" x14ac:dyDescent="0.3">
      <c r="A716" s="2" t="s">
        <v>57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 t="e">
        <f t="shared" si="44"/>
        <v>#DIV/0!</v>
      </c>
      <c r="I716" s="2" t="e">
        <f t="shared" si="45"/>
        <v>#DIV/0!</v>
      </c>
      <c r="J716" s="2" t="e">
        <f t="shared" si="46"/>
        <v>#NUM!</v>
      </c>
      <c r="K716">
        <f t="shared" si="47"/>
        <v>0</v>
      </c>
    </row>
    <row r="717" spans="1:11" ht="13.9" x14ac:dyDescent="0.3">
      <c r="A717" s="2" t="s">
        <v>59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44"/>
        <v>#DIV/0!</v>
      </c>
      <c r="I717" s="2" t="e">
        <f t="shared" si="45"/>
        <v>#DIV/0!</v>
      </c>
      <c r="J717" s="2" t="e">
        <f t="shared" si="46"/>
        <v>#NUM!</v>
      </c>
      <c r="K717">
        <f t="shared" si="47"/>
        <v>0</v>
      </c>
    </row>
    <row r="718" spans="1:11" ht="13.9" x14ac:dyDescent="0.3">
      <c r="A718" s="2" t="s">
        <v>60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 t="e">
        <f t="shared" si="45"/>
        <v>#DIV/0!</v>
      </c>
      <c r="J718" s="2" t="e">
        <f t="shared" si="46"/>
        <v>#NUM!</v>
      </c>
      <c r="K718">
        <f t="shared" si="47"/>
        <v>0</v>
      </c>
    </row>
    <row r="719" spans="1:11" ht="13.9" x14ac:dyDescent="0.3">
      <c r="A719" s="2" t="s">
        <v>68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J719" s="2" t="e">
        <f t="shared" si="46"/>
        <v>#NUM!</v>
      </c>
      <c r="K719">
        <f t="shared" si="47"/>
        <v>0</v>
      </c>
    </row>
    <row r="720" spans="1:11" ht="13.9" x14ac:dyDescent="0.3">
      <c r="A720" s="2" t="s">
        <v>74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 t="e">
        <f t="shared" si="44"/>
        <v>#DIV/0!</v>
      </c>
      <c r="I720" s="2" t="e">
        <f t="shared" si="45"/>
        <v>#DIV/0!</v>
      </c>
      <c r="J720" s="2" t="e">
        <f t="shared" si="46"/>
        <v>#NUM!</v>
      </c>
      <c r="K720">
        <f t="shared" si="47"/>
        <v>0</v>
      </c>
    </row>
    <row r="721" spans="1:11" ht="13.9" x14ac:dyDescent="0.3">
      <c r="A721" s="2" t="s">
        <v>75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J721" s="2" t="e">
        <f t="shared" si="46"/>
        <v>#NUM!</v>
      </c>
      <c r="K721">
        <f t="shared" si="47"/>
        <v>0</v>
      </c>
    </row>
    <row r="722" spans="1:11" ht="13.9" x14ac:dyDescent="0.3">
      <c r="A722" s="2" t="s">
        <v>82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 t="e">
        <f t="shared" si="44"/>
        <v>#DIV/0!</v>
      </c>
      <c r="I722" s="2" t="e">
        <f t="shared" si="45"/>
        <v>#DIV/0!</v>
      </c>
      <c r="J722" s="2" t="e">
        <f t="shared" si="46"/>
        <v>#NUM!</v>
      </c>
      <c r="K722">
        <f t="shared" si="47"/>
        <v>0</v>
      </c>
    </row>
    <row r="723" spans="1:11" ht="13.9" x14ac:dyDescent="0.3">
      <c r="A723" s="2" t="s">
        <v>110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 t="e">
        <f t="shared" si="44"/>
        <v>#DIV/0!</v>
      </c>
      <c r="I723" s="2" t="e">
        <f t="shared" si="45"/>
        <v>#DIV/0!</v>
      </c>
      <c r="J723" s="2" t="e">
        <f t="shared" si="46"/>
        <v>#NUM!</v>
      </c>
      <c r="K723">
        <f t="shared" si="47"/>
        <v>0</v>
      </c>
    </row>
    <row r="724" spans="1:11" ht="13.9" x14ac:dyDescent="0.3">
      <c r="A724" s="2" t="s">
        <v>124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J724" s="2" t="e">
        <f t="shared" si="46"/>
        <v>#NUM!</v>
      </c>
      <c r="K724">
        <f t="shared" si="47"/>
        <v>0</v>
      </c>
    </row>
    <row r="725" spans="1:11" ht="13.9" x14ac:dyDescent="0.3">
      <c r="A725" s="2" t="s">
        <v>145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J725" s="2" t="e">
        <f t="shared" si="46"/>
        <v>#NUM!</v>
      </c>
      <c r="K725">
        <f t="shared" si="47"/>
        <v>0</v>
      </c>
    </row>
    <row r="726" spans="1:11" ht="13.9" x14ac:dyDescent="0.3">
      <c r="A726" s="2" t="s">
        <v>150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 t="e">
        <f t="shared" si="44"/>
        <v>#DIV/0!</v>
      </c>
      <c r="I726" s="2" t="e">
        <f t="shared" si="45"/>
        <v>#DIV/0!</v>
      </c>
      <c r="J726" s="2" t="e">
        <f t="shared" si="46"/>
        <v>#NUM!</v>
      </c>
      <c r="K726">
        <f t="shared" si="47"/>
        <v>0</v>
      </c>
    </row>
    <row r="727" spans="1:11" ht="13.9" x14ac:dyDescent="0.3">
      <c r="A727" s="2" t="s">
        <v>154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J727" s="2" t="e">
        <f t="shared" si="46"/>
        <v>#NUM!</v>
      </c>
      <c r="K727">
        <f t="shared" si="47"/>
        <v>0</v>
      </c>
    </row>
    <row r="728" spans="1:11" ht="13.9" x14ac:dyDescent="0.3">
      <c r="A728" s="2" t="s">
        <v>163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J728" s="2" t="e">
        <f t="shared" si="46"/>
        <v>#NUM!</v>
      </c>
      <c r="K728">
        <f t="shared" si="47"/>
        <v>0</v>
      </c>
    </row>
    <row r="729" spans="1:11" ht="13.9" x14ac:dyDescent="0.3">
      <c r="A729" s="2" t="s">
        <v>167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 t="e">
        <f t="shared" si="44"/>
        <v>#DIV/0!</v>
      </c>
      <c r="I729" s="2" t="e">
        <f t="shared" si="45"/>
        <v>#DIV/0!</v>
      </c>
      <c r="J729" s="2" t="e">
        <f t="shared" si="46"/>
        <v>#NUM!</v>
      </c>
      <c r="K729">
        <f t="shared" si="47"/>
        <v>0</v>
      </c>
    </row>
    <row r="730" spans="1:11" ht="13.9" x14ac:dyDescent="0.3">
      <c r="A730" s="2" t="s">
        <v>180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 t="e">
        <f t="shared" si="44"/>
        <v>#DIV/0!</v>
      </c>
      <c r="I730" s="2" t="e">
        <f t="shared" si="45"/>
        <v>#DIV/0!</v>
      </c>
      <c r="J730" s="2" t="e">
        <f t="shared" si="46"/>
        <v>#NUM!</v>
      </c>
      <c r="K730">
        <f t="shared" si="47"/>
        <v>0</v>
      </c>
    </row>
    <row r="731" spans="1:11" ht="13.9" x14ac:dyDescent="0.3">
      <c r="A731" s="2" t="s">
        <v>191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 t="e">
        <f t="shared" si="44"/>
        <v>#DIV/0!</v>
      </c>
      <c r="I731" s="2" t="e">
        <f t="shared" si="45"/>
        <v>#DIV/0!</v>
      </c>
      <c r="J731" s="2" t="e">
        <f t="shared" si="46"/>
        <v>#NUM!</v>
      </c>
      <c r="K731">
        <f t="shared" si="47"/>
        <v>0</v>
      </c>
    </row>
    <row r="732" spans="1:11" ht="13.9" x14ac:dyDescent="0.3">
      <c r="A732" s="2" t="s">
        <v>192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J732" s="2" t="e">
        <f t="shared" si="46"/>
        <v>#NUM!</v>
      </c>
      <c r="K732">
        <f t="shared" si="47"/>
        <v>0</v>
      </c>
    </row>
    <row r="733" spans="1:11" ht="13.9" x14ac:dyDescent="0.3">
      <c r="A733" s="2" t="s">
        <v>194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J733" s="2" t="e">
        <f t="shared" si="46"/>
        <v>#NUM!</v>
      </c>
      <c r="K733">
        <f t="shared" si="47"/>
        <v>0</v>
      </c>
    </row>
    <row r="734" spans="1:11" ht="13.9" x14ac:dyDescent="0.3">
      <c r="A734" s="2" t="s">
        <v>222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 t="e">
        <f t="shared" si="44"/>
        <v>#DIV/0!</v>
      </c>
      <c r="I734" s="2" t="e">
        <f t="shared" si="45"/>
        <v>#DIV/0!</v>
      </c>
      <c r="J734" s="2" t="e">
        <f t="shared" si="46"/>
        <v>#NUM!</v>
      </c>
      <c r="K734">
        <f t="shared" si="47"/>
        <v>0</v>
      </c>
    </row>
    <row r="735" spans="1:11" ht="13.9" x14ac:dyDescent="0.3">
      <c r="A735" s="2" t="s">
        <v>237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 t="e">
        <f t="shared" si="44"/>
        <v>#DIV/0!</v>
      </c>
      <c r="I735" s="2" t="e">
        <f t="shared" si="45"/>
        <v>#DIV/0!</v>
      </c>
      <c r="J735" s="2" t="e">
        <f t="shared" si="46"/>
        <v>#NUM!</v>
      </c>
      <c r="K735">
        <f t="shared" si="47"/>
        <v>0</v>
      </c>
    </row>
    <row r="736" spans="1:11" ht="13.9" x14ac:dyDescent="0.3">
      <c r="A736" s="2" t="s">
        <v>238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J736" s="2" t="e">
        <f t="shared" si="46"/>
        <v>#NUM!</v>
      </c>
      <c r="K736">
        <f t="shared" si="47"/>
        <v>0</v>
      </c>
    </row>
    <row r="737" spans="1:11" ht="13.9" x14ac:dyDescent="0.3">
      <c r="A737" s="2" t="s">
        <v>239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 t="e">
        <f t="shared" si="44"/>
        <v>#DIV/0!</v>
      </c>
      <c r="I737" s="2" t="e">
        <f t="shared" si="45"/>
        <v>#DIV/0!</v>
      </c>
      <c r="J737" s="2" t="e">
        <f t="shared" si="46"/>
        <v>#NUM!</v>
      </c>
      <c r="K737">
        <f t="shared" si="47"/>
        <v>0</v>
      </c>
    </row>
    <row r="738" spans="1:11" ht="13.9" x14ac:dyDescent="0.3">
      <c r="A738" s="2" t="s">
        <v>245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J738" s="2" t="e">
        <f t="shared" si="46"/>
        <v>#NUM!</v>
      </c>
      <c r="K738">
        <f t="shared" si="47"/>
        <v>0</v>
      </c>
    </row>
    <row r="739" spans="1:11" ht="13.9" x14ac:dyDescent="0.3">
      <c r="A739" s="2" t="s">
        <v>252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J739" s="2" t="e">
        <f t="shared" si="46"/>
        <v>#NUM!</v>
      </c>
      <c r="K739">
        <f t="shared" si="47"/>
        <v>0</v>
      </c>
    </row>
    <row r="740" spans="1:11" ht="13.9" x14ac:dyDescent="0.3">
      <c r="A740" s="2" t="s">
        <v>259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44"/>
        <v>#DIV/0!</v>
      </c>
      <c r="I740" s="2" t="e">
        <f t="shared" si="45"/>
        <v>#DIV/0!</v>
      </c>
      <c r="J740" s="2" t="e">
        <f t="shared" si="46"/>
        <v>#NUM!</v>
      </c>
      <c r="K740">
        <f t="shared" si="47"/>
        <v>0</v>
      </c>
    </row>
    <row r="741" spans="1:11" ht="13.9" x14ac:dyDescent="0.3">
      <c r="A741" s="2" t="s">
        <v>260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J741" s="2" t="e">
        <f t="shared" si="46"/>
        <v>#NUM!</v>
      </c>
      <c r="K741">
        <f t="shared" si="47"/>
        <v>0</v>
      </c>
    </row>
    <row r="742" spans="1:11" ht="13.9" x14ac:dyDescent="0.3">
      <c r="A742" s="2" t="s">
        <v>265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J742" s="2" t="e">
        <f t="shared" si="46"/>
        <v>#NUM!</v>
      </c>
      <c r="K742">
        <f t="shared" si="47"/>
        <v>0</v>
      </c>
    </row>
    <row r="743" spans="1:11" ht="13.9" x14ac:dyDescent="0.3">
      <c r="A743" s="2" t="s">
        <v>277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 t="e">
        <f t="shared" si="45"/>
        <v>#DIV/0!</v>
      </c>
      <c r="J743" s="2" t="e">
        <f t="shared" si="46"/>
        <v>#NUM!</v>
      </c>
      <c r="K743">
        <f t="shared" si="47"/>
        <v>0</v>
      </c>
    </row>
    <row r="744" spans="1:11" ht="13.9" x14ac:dyDescent="0.3">
      <c r="A744" s="2" t="s">
        <v>280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J744" s="2" t="e">
        <f t="shared" si="46"/>
        <v>#NUM!</v>
      </c>
      <c r="K744">
        <f t="shared" si="47"/>
        <v>0</v>
      </c>
    </row>
    <row r="745" spans="1:11" ht="13.9" x14ac:dyDescent="0.3">
      <c r="A745" s="2" t="s">
        <v>288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 t="e">
        <f t="shared" si="45"/>
        <v>#DIV/0!</v>
      </c>
      <c r="J745" s="2" t="e">
        <f t="shared" si="46"/>
        <v>#NUM!</v>
      </c>
      <c r="K745">
        <f t="shared" si="47"/>
        <v>0</v>
      </c>
    </row>
    <row r="746" spans="1:11" ht="13.9" x14ac:dyDescent="0.3">
      <c r="A746" s="2" t="s">
        <v>289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 t="e">
        <f t="shared" si="44"/>
        <v>#DIV/0!</v>
      </c>
      <c r="I746" s="2" t="e">
        <f t="shared" si="45"/>
        <v>#DIV/0!</v>
      </c>
      <c r="J746" s="2" t="e">
        <f t="shared" si="46"/>
        <v>#NUM!</v>
      </c>
      <c r="K746">
        <f t="shared" si="47"/>
        <v>0</v>
      </c>
    </row>
    <row r="747" spans="1:11" ht="13.9" x14ac:dyDescent="0.3">
      <c r="A747" s="2" t="s">
        <v>295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 t="e">
        <f t="shared" si="44"/>
        <v>#DIV/0!</v>
      </c>
      <c r="I747" s="2" t="e">
        <f t="shared" si="45"/>
        <v>#DIV/0!</v>
      </c>
      <c r="J747" s="2" t="e">
        <f t="shared" si="46"/>
        <v>#NUM!</v>
      </c>
      <c r="K747">
        <f t="shared" si="47"/>
        <v>0</v>
      </c>
    </row>
    <row r="748" spans="1:11" ht="13.9" x14ac:dyDescent="0.3">
      <c r="A748" s="2" t="s">
        <v>304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 t="e">
        <f t="shared" si="44"/>
        <v>#DIV/0!</v>
      </c>
      <c r="I748" s="2" t="e">
        <f t="shared" si="45"/>
        <v>#DIV/0!</v>
      </c>
      <c r="J748" s="2" t="e">
        <f t="shared" si="46"/>
        <v>#NUM!</v>
      </c>
      <c r="K748">
        <f t="shared" si="47"/>
        <v>0</v>
      </c>
    </row>
    <row r="749" spans="1:11" ht="13.9" x14ac:dyDescent="0.3">
      <c r="A749" s="2" t="s">
        <v>305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 t="e">
        <f t="shared" si="44"/>
        <v>#DIV/0!</v>
      </c>
      <c r="I749" s="2" t="e">
        <f t="shared" si="45"/>
        <v>#DIV/0!</v>
      </c>
      <c r="J749" s="2" t="e">
        <f t="shared" si="46"/>
        <v>#NUM!</v>
      </c>
      <c r="K749">
        <f t="shared" si="47"/>
        <v>0</v>
      </c>
    </row>
    <row r="750" spans="1:11" ht="13.9" x14ac:dyDescent="0.3">
      <c r="A750" s="2" t="s">
        <v>308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J750" s="2" t="e">
        <f t="shared" si="46"/>
        <v>#NUM!</v>
      </c>
      <c r="K750">
        <f t="shared" si="47"/>
        <v>0</v>
      </c>
    </row>
    <row r="751" spans="1:11" ht="13.9" x14ac:dyDescent="0.3">
      <c r="A751" s="2" t="s">
        <v>309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 t="e">
        <f t="shared" si="44"/>
        <v>#DIV/0!</v>
      </c>
      <c r="I751" s="2" t="e">
        <f t="shared" si="45"/>
        <v>#DIV/0!</v>
      </c>
      <c r="J751" s="2" t="e">
        <f t="shared" si="46"/>
        <v>#NUM!</v>
      </c>
      <c r="K751">
        <f t="shared" si="47"/>
        <v>0</v>
      </c>
    </row>
    <row r="752" spans="1:11" ht="13.9" x14ac:dyDescent="0.3">
      <c r="A752" s="2" t="s">
        <v>310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J752" s="2" t="e">
        <f t="shared" si="46"/>
        <v>#NUM!</v>
      </c>
      <c r="K752">
        <f t="shared" si="47"/>
        <v>0</v>
      </c>
    </row>
    <row r="753" spans="1:11" ht="13.9" x14ac:dyDescent="0.3">
      <c r="A753" s="2" t="s">
        <v>313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J753" s="2" t="e">
        <f t="shared" si="46"/>
        <v>#NUM!</v>
      </c>
      <c r="K753">
        <f t="shared" si="47"/>
        <v>0</v>
      </c>
    </row>
    <row r="754" spans="1:11" ht="13.9" x14ac:dyDescent="0.3">
      <c r="A754" s="2" t="s">
        <v>315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 t="e">
        <f t="shared" si="44"/>
        <v>#DIV/0!</v>
      </c>
      <c r="I754" s="2" t="e">
        <f t="shared" si="45"/>
        <v>#DIV/0!</v>
      </c>
      <c r="J754" s="2" t="e">
        <f t="shared" si="46"/>
        <v>#NUM!</v>
      </c>
      <c r="K754">
        <f t="shared" si="47"/>
        <v>0</v>
      </c>
    </row>
    <row r="755" spans="1:11" ht="13.9" x14ac:dyDescent="0.3">
      <c r="A755" s="2" t="s">
        <v>316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 t="e">
        <f t="shared" si="44"/>
        <v>#DIV/0!</v>
      </c>
      <c r="I755" s="2" t="e">
        <f t="shared" si="45"/>
        <v>#DIV/0!</v>
      </c>
      <c r="J755" s="2" t="e">
        <f t="shared" si="46"/>
        <v>#NUM!</v>
      </c>
      <c r="K755">
        <f t="shared" si="47"/>
        <v>0</v>
      </c>
    </row>
    <row r="756" spans="1:11" ht="13.9" x14ac:dyDescent="0.3">
      <c r="A756" s="2" t="s">
        <v>320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 t="e">
        <f t="shared" si="45"/>
        <v>#DIV/0!</v>
      </c>
      <c r="J756" s="2" t="e">
        <f t="shared" si="46"/>
        <v>#NUM!</v>
      </c>
      <c r="K756">
        <f t="shared" si="47"/>
        <v>0</v>
      </c>
    </row>
    <row r="757" spans="1:11" ht="13.9" x14ac:dyDescent="0.3">
      <c r="A757" s="2" t="s">
        <v>326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 t="e">
        <f t="shared" si="44"/>
        <v>#DIV/0!</v>
      </c>
      <c r="I757" s="2" t="e">
        <f t="shared" si="45"/>
        <v>#DIV/0!</v>
      </c>
      <c r="J757" s="2" t="e">
        <f t="shared" si="46"/>
        <v>#NUM!</v>
      </c>
      <c r="K757">
        <f t="shared" si="47"/>
        <v>0</v>
      </c>
    </row>
    <row r="758" spans="1:11" ht="13.9" x14ac:dyDescent="0.3">
      <c r="A758" s="2" t="s">
        <v>327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 t="e">
        <f t="shared" si="44"/>
        <v>#DIV/0!</v>
      </c>
      <c r="I758" s="2" t="e">
        <f t="shared" si="45"/>
        <v>#DIV/0!</v>
      </c>
      <c r="J758" s="2" t="e">
        <f t="shared" si="46"/>
        <v>#NUM!</v>
      </c>
      <c r="K758">
        <f t="shared" si="47"/>
        <v>0</v>
      </c>
    </row>
    <row r="759" spans="1:11" ht="13.9" x14ac:dyDescent="0.3">
      <c r="A759" s="2" t="s">
        <v>333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 t="e">
        <f t="shared" si="44"/>
        <v>#DIV/0!</v>
      </c>
      <c r="I759" s="2" t="e">
        <f t="shared" si="45"/>
        <v>#DIV/0!</v>
      </c>
      <c r="J759" s="2" t="e">
        <f t="shared" si="46"/>
        <v>#NUM!</v>
      </c>
      <c r="K759">
        <f t="shared" si="47"/>
        <v>0</v>
      </c>
    </row>
    <row r="760" spans="1:11" ht="13.9" x14ac:dyDescent="0.3">
      <c r="A760" s="2" t="s">
        <v>335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 t="e">
        <f t="shared" si="44"/>
        <v>#DIV/0!</v>
      </c>
      <c r="I760" s="2" t="e">
        <f t="shared" si="45"/>
        <v>#DIV/0!</v>
      </c>
      <c r="J760" s="2" t="e">
        <f t="shared" si="46"/>
        <v>#NUM!</v>
      </c>
      <c r="K760">
        <f t="shared" si="47"/>
        <v>0</v>
      </c>
    </row>
    <row r="761" spans="1:11" ht="13.9" x14ac:dyDescent="0.3">
      <c r="A761" s="2" t="s">
        <v>340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 t="e">
        <f t="shared" si="45"/>
        <v>#DIV/0!</v>
      </c>
      <c r="J761" s="2" t="e">
        <f t="shared" si="46"/>
        <v>#NUM!</v>
      </c>
      <c r="K761">
        <f t="shared" si="47"/>
        <v>0</v>
      </c>
    </row>
    <row r="762" spans="1:11" ht="13.9" x14ac:dyDescent="0.3">
      <c r="A762" s="2" t="s">
        <v>345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 t="e">
        <f t="shared" si="44"/>
        <v>#DIV/0!</v>
      </c>
      <c r="I762" s="2" t="e">
        <f t="shared" si="45"/>
        <v>#DIV/0!</v>
      </c>
      <c r="J762" s="2" t="e">
        <f t="shared" si="46"/>
        <v>#NUM!</v>
      </c>
      <c r="K762">
        <f t="shared" si="47"/>
        <v>0</v>
      </c>
    </row>
    <row r="763" spans="1:11" ht="13.9" x14ac:dyDescent="0.3">
      <c r="A763" s="2" t="s">
        <v>351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J763" s="2" t="e">
        <f t="shared" si="46"/>
        <v>#NUM!</v>
      </c>
      <c r="K763">
        <f t="shared" si="47"/>
        <v>0</v>
      </c>
    </row>
    <row r="764" spans="1:11" ht="13.9" x14ac:dyDescent="0.3">
      <c r="A764" s="2" t="s">
        <v>354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 t="e">
        <f t="shared" si="44"/>
        <v>#DIV/0!</v>
      </c>
      <c r="I764" s="2" t="e">
        <f t="shared" si="45"/>
        <v>#DIV/0!</v>
      </c>
      <c r="J764" s="2" t="e">
        <f t="shared" si="46"/>
        <v>#NUM!</v>
      </c>
      <c r="K764">
        <f t="shared" si="47"/>
        <v>0</v>
      </c>
    </row>
    <row r="765" spans="1:11" ht="13.9" x14ac:dyDescent="0.3">
      <c r="A765" s="2" t="s">
        <v>363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 t="e">
        <f t="shared" si="44"/>
        <v>#DIV/0!</v>
      </c>
      <c r="I765" s="2" t="e">
        <f t="shared" si="45"/>
        <v>#DIV/0!</v>
      </c>
      <c r="J765" s="2" t="e">
        <f t="shared" si="46"/>
        <v>#NUM!</v>
      </c>
      <c r="K765">
        <f t="shared" si="47"/>
        <v>0</v>
      </c>
    </row>
    <row r="766" spans="1:11" ht="13.9" x14ac:dyDescent="0.3">
      <c r="A766" s="2" t="s">
        <v>373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 t="e">
        <f t="shared" si="44"/>
        <v>#DIV/0!</v>
      </c>
      <c r="I766" s="2" t="e">
        <f t="shared" si="45"/>
        <v>#DIV/0!</v>
      </c>
      <c r="J766" s="2" t="e">
        <f t="shared" si="46"/>
        <v>#NUM!</v>
      </c>
      <c r="K766">
        <f t="shared" si="47"/>
        <v>0</v>
      </c>
    </row>
    <row r="767" spans="1:11" ht="13.9" x14ac:dyDescent="0.3">
      <c r="A767" s="2" t="s">
        <v>382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 t="e">
        <f t="shared" si="44"/>
        <v>#DIV/0!</v>
      </c>
      <c r="I767" s="2" t="e">
        <f t="shared" si="45"/>
        <v>#DIV/0!</v>
      </c>
      <c r="J767" s="2" t="e">
        <f t="shared" si="46"/>
        <v>#NUM!</v>
      </c>
      <c r="K767">
        <f t="shared" si="47"/>
        <v>0</v>
      </c>
    </row>
    <row r="768" spans="1:11" ht="13.9" x14ac:dyDescent="0.3">
      <c r="A768" s="2" t="s">
        <v>402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 t="e">
        <f t="shared" si="44"/>
        <v>#DIV/0!</v>
      </c>
      <c r="I768" s="2" t="e">
        <f t="shared" si="45"/>
        <v>#DIV/0!</v>
      </c>
      <c r="J768" s="2" t="e">
        <f t="shared" si="46"/>
        <v>#NUM!</v>
      </c>
      <c r="K768">
        <f t="shared" si="47"/>
        <v>0</v>
      </c>
    </row>
    <row r="769" spans="1:11" ht="13.9" x14ac:dyDescent="0.3">
      <c r="A769" s="2" t="s">
        <v>412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44"/>
        <v>#DIV/0!</v>
      </c>
      <c r="I769" s="2" t="e">
        <f t="shared" si="45"/>
        <v>#DIV/0!</v>
      </c>
      <c r="J769" s="2" t="e">
        <f t="shared" si="46"/>
        <v>#NUM!</v>
      </c>
      <c r="K769">
        <f t="shared" si="47"/>
        <v>0</v>
      </c>
    </row>
    <row r="770" spans="1:11" ht="13.9" x14ac:dyDescent="0.3">
      <c r="A770" s="2" t="s">
        <v>413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 t="e">
        <f t="shared" ref="H770:H833" si="48">LOG(SUM(B770:D770)/SUM(E770:G770),2)</f>
        <v>#DIV/0!</v>
      </c>
      <c r="I770" s="2" t="e">
        <f t="shared" ref="I770:I833" si="49">_xlfn.T.TEST(B770:D770,E770:G770,2,2)</f>
        <v>#DIV/0!</v>
      </c>
      <c r="J770" s="2" t="e">
        <f t="shared" ref="J770:J833" si="50">LOG(SUM(B770:D770),2)</f>
        <v>#NUM!</v>
      </c>
      <c r="K770">
        <f t="shared" ref="K770:K833" si="51">AVERAGE(E770:G770)</f>
        <v>0</v>
      </c>
    </row>
    <row r="771" spans="1:11" ht="13.9" x14ac:dyDescent="0.3">
      <c r="A771" s="2" t="s">
        <v>415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 t="e">
        <f t="shared" si="48"/>
        <v>#DIV/0!</v>
      </c>
      <c r="I771" s="2" t="e">
        <f t="shared" si="49"/>
        <v>#DIV/0!</v>
      </c>
      <c r="J771" s="2" t="e">
        <f t="shared" si="50"/>
        <v>#NUM!</v>
      </c>
      <c r="K771">
        <f t="shared" si="51"/>
        <v>0</v>
      </c>
    </row>
    <row r="772" spans="1:11" ht="13.9" x14ac:dyDescent="0.3">
      <c r="A772" s="2" t="s">
        <v>424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J772" s="2" t="e">
        <f t="shared" si="50"/>
        <v>#NUM!</v>
      </c>
      <c r="K772">
        <f t="shared" si="51"/>
        <v>0</v>
      </c>
    </row>
    <row r="773" spans="1:11" ht="13.9" x14ac:dyDescent="0.3">
      <c r="A773" s="2" t="s">
        <v>426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 t="e">
        <f t="shared" si="48"/>
        <v>#DIV/0!</v>
      </c>
      <c r="I773" s="2" t="e">
        <f t="shared" si="49"/>
        <v>#DIV/0!</v>
      </c>
      <c r="J773" s="2" t="e">
        <f t="shared" si="50"/>
        <v>#NUM!</v>
      </c>
      <c r="K773">
        <f t="shared" si="51"/>
        <v>0</v>
      </c>
    </row>
    <row r="774" spans="1:11" ht="13.9" x14ac:dyDescent="0.3">
      <c r="A774" s="2" t="s">
        <v>427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J774" s="2" t="e">
        <f t="shared" si="50"/>
        <v>#NUM!</v>
      </c>
      <c r="K774">
        <f t="shared" si="51"/>
        <v>0</v>
      </c>
    </row>
    <row r="775" spans="1:11" ht="13.9" x14ac:dyDescent="0.3">
      <c r="A775" s="2" t="s">
        <v>428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 t="e">
        <f t="shared" si="48"/>
        <v>#DIV/0!</v>
      </c>
      <c r="I775" s="2" t="e">
        <f t="shared" si="49"/>
        <v>#DIV/0!</v>
      </c>
      <c r="J775" s="2" t="e">
        <f t="shared" si="50"/>
        <v>#NUM!</v>
      </c>
      <c r="K775">
        <f t="shared" si="51"/>
        <v>0</v>
      </c>
    </row>
    <row r="776" spans="1:11" ht="13.9" x14ac:dyDescent="0.3">
      <c r="A776" s="2" t="s">
        <v>429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 t="e">
        <f t="shared" si="49"/>
        <v>#DIV/0!</v>
      </c>
      <c r="J776" s="2" t="e">
        <f t="shared" si="50"/>
        <v>#NUM!</v>
      </c>
      <c r="K776">
        <f t="shared" si="51"/>
        <v>0</v>
      </c>
    </row>
    <row r="777" spans="1:11" ht="13.9" x14ac:dyDescent="0.3">
      <c r="A777" s="2" t="s">
        <v>431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J777" s="2" t="e">
        <f t="shared" si="50"/>
        <v>#NUM!</v>
      </c>
      <c r="K777">
        <f t="shared" si="51"/>
        <v>0</v>
      </c>
    </row>
    <row r="778" spans="1:11" ht="13.9" x14ac:dyDescent="0.3">
      <c r="A778" s="2" t="s">
        <v>439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 t="e">
        <f t="shared" si="48"/>
        <v>#DIV/0!</v>
      </c>
      <c r="I778" s="2" t="e">
        <f t="shared" si="49"/>
        <v>#DIV/0!</v>
      </c>
      <c r="J778" s="2" t="e">
        <f t="shared" si="50"/>
        <v>#NUM!</v>
      </c>
      <c r="K778">
        <f t="shared" si="51"/>
        <v>0</v>
      </c>
    </row>
    <row r="779" spans="1:11" ht="13.9" x14ac:dyDescent="0.3">
      <c r="A779" s="2" t="s">
        <v>442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 t="e">
        <f t="shared" si="48"/>
        <v>#DIV/0!</v>
      </c>
      <c r="I779" s="2" t="e">
        <f t="shared" si="49"/>
        <v>#DIV/0!</v>
      </c>
      <c r="J779" s="2" t="e">
        <f t="shared" si="50"/>
        <v>#NUM!</v>
      </c>
      <c r="K779">
        <f t="shared" si="51"/>
        <v>0</v>
      </c>
    </row>
    <row r="780" spans="1:11" ht="13.9" x14ac:dyDescent="0.3">
      <c r="A780" s="2" t="s">
        <v>443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J780" s="2" t="e">
        <f t="shared" si="50"/>
        <v>#NUM!</v>
      </c>
      <c r="K780">
        <f t="shared" si="51"/>
        <v>0</v>
      </c>
    </row>
    <row r="781" spans="1:11" ht="13.9" x14ac:dyDescent="0.3">
      <c r="A781" s="2" t="s">
        <v>445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 t="e">
        <f t="shared" si="48"/>
        <v>#DIV/0!</v>
      </c>
      <c r="I781" s="2" t="e">
        <f t="shared" si="49"/>
        <v>#DIV/0!</v>
      </c>
      <c r="J781" s="2" t="e">
        <f t="shared" si="50"/>
        <v>#NUM!</v>
      </c>
      <c r="K781">
        <f t="shared" si="51"/>
        <v>0</v>
      </c>
    </row>
    <row r="782" spans="1:11" ht="13.9" x14ac:dyDescent="0.3">
      <c r="A782" s="2" t="s">
        <v>446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J782" s="2" t="e">
        <f t="shared" si="50"/>
        <v>#NUM!</v>
      </c>
      <c r="K782">
        <f t="shared" si="51"/>
        <v>0</v>
      </c>
    </row>
    <row r="783" spans="1:11" ht="13.9" x14ac:dyDescent="0.3">
      <c r="A783" s="2" t="s">
        <v>461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J783" s="2" t="e">
        <f t="shared" si="50"/>
        <v>#NUM!</v>
      </c>
      <c r="K783">
        <f t="shared" si="51"/>
        <v>0</v>
      </c>
    </row>
    <row r="784" spans="1:11" ht="13.9" x14ac:dyDescent="0.3">
      <c r="A784" s="2" t="s">
        <v>462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J784" s="2" t="e">
        <f t="shared" si="50"/>
        <v>#NUM!</v>
      </c>
      <c r="K784">
        <f t="shared" si="51"/>
        <v>0</v>
      </c>
    </row>
    <row r="785" spans="1:11" ht="13.9" x14ac:dyDescent="0.3">
      <c r="A785" s="2" t="s">
        <v>463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 t="e">
        <f t="shared" si="48"/>
        <v>#DIV/0!</v>
      </c>
      <c r="I785" s="2" t="e">
        <f t="shared" si="49"/>
        <v>#DIV/0!</v>
      </c>
      <c r="J785" s="2" t="e">
        <f t="shared" si="50"/>
        <v>#NUM!</v>
      </c>
      <c r="K785">
        <f t="shared" si="51"/>
        <v>0</v>
      </c>
    </row>
    <row r="786" spans="1:11" ht="13.9" x14ac:dyDescent="0.3">
      <c r="A786" s="2" t="s">
        <v>468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 t="e">
        <f t="shared" si="48"/>
        <v>#DIV/0!</v>
      </c>
      <c r="I786" s="2" t="e">
        <f t="shared" si="49"/>
        <v>#DIV/0!</v>
      </c>
      <c r="J786" s="2" t="e">
        <f t="shared" si="50"/>
        <v>#NUM!</v>
      </c>
      <c r="K786">
        <f t="shared" si="51"/>
        <v>0</v>
      </c>
    </row>
    <row r="787" spans="1:11" ht="13.9" x14ac:dyDescent="0.3">
      <c r="A787" s="2" t="s">
        <v>469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J787" s="2" t="e">
        <f t="shared" si="50"/>
        <v>#NUM!</v>
      </c>
      <c r="K787">
        <f t="shared" si="51"/>
        <v>0</v>
      </c>
    </row>
    <row r="788" spans="1:11" ht="13.9" x14ac:dyDescent="0.3">
      <c r="A788" s="2" t="s">
        <v>473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 t="e">
        <f t="shared" si="48"/>
        <v>#DIV/0!</v>
      </c>
      <c r="I788" s="2" t="e">
        <f t="shared" si="49"/>
        <v>#DIV/0!</v>
      </c>
      <c r="J788" s="2" t="e">
        <f t="shared" si="50"/>
        <v>#NUM!</v>
      </c>
      <c r="K788">
        <f t="shared" si="51"/>
        <v>0</v>
      </c>
    </row>
    <row r="789" spans="1:11" ht="13.9" x14ac:dyDescent="0.3">
      <c r="A789" s="2" t="s">
        <v>479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 t="e">
        <f t="shared" si="48"/>
        <v>#DIV/0!</v>
      </c>
      <c r="I789" s="2" t="e">
        <f t="shared" si="49"/>
        <v>#DIV/0!</v>
      </c>
      <c r="J789" s="2" t="e">
        <f t="shared" si="50"/>
        <v>#NUM!</v>
      </c>
      <c r="K789">
        <f t="shared" si="51"/>
        <v>0</v>
      </c>
    </row>
    <row r="790" spans="1:11" ht="13.9" x14ac:dyDescent="0.3">
      <c r="A790" s="2" t="s">
        <v>482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 t="e">
        <f t="shared" si="48"/>
        <v>#DIV/0!</v>
      </c>
      <c r="I790" s="2" t="e">
        <f t="shared" si="49"/>
        <v>#DIV/0!</v>
      </c>
      <c r="J790" s="2" t="e">
        <f t="shared" si="50"/>
        <v>#NUM!</v>
      </c>
      <c r="K790">
        <f t="shared" si="51"/>
        <v>0</v>
      </c>
    </row>
    <row r="791" spans="1:11" ht="13.9" x14ac:dyDescent="0.3">
      <c r="A791" s="2" t="s">
        <v>483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 t="e">
        <f t="shared" si="48"/>
        <v>#DIV/0!</v>
      </c>
      <c r="I791" s="2" t="e">
        <f t="shared" si="49"/>
        <v>#DIV/0!</v>
      </c>
      <c r="J791" s="2" t="e">
        <f t="shared" si="50"/>
        <v>#NUM!</v>
      </c>
      <c r="K791">
        <f t="shared" si="51"/>
        <v>0</v>
      </c>
    </row>
    <row r="792" spans="1:11" ht="13.9" x14ac:dyDescent="0.3">
      <c r="A792" s="2" t="s">
        <v>491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48"/>
        <v>#DIV/0!</v>
      </c>
      <c r="I792" s="2" t="e">
        <f t="shared" si="49"/>
        <v>#DIV/0!</v>
      </c>
      <c r="J792" s="2" t="e">
        <f t="shared" si="50"/>
        <v>#NUM!</v>
      </c>
      <c r="K792">
        <f t="shared" si="51"/>
        <v>0</v>
      </c>
    </row>
    <row r="793" spans="1:11" ht="13.9" x14ac:dyDescent="0.3">
      <c r="A793" s="2" t="s">
        <v>492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 t="e">
        <f t="shared" si="48"/>
        <v>#DIV/0!</v>
      </c>
      <c r="I793" s="2" t="e">
        <f t="shared" si="49"/>
        <v>#DIV/0!</v>
      </c>
      <c r="J793" s="2" t="e">
        <f t="shared" si="50"/>
        <v>#NUM!</v>
      </c>
      <c r="K793">
        <f t="shared" si="51"/>
        <v>0</v>
      </c>
    </row>
    <row r="794" spans="1:11" ht="13.9" x14ac:dyDescent="0.3">
      <c r="A794" s="2" t="s">
        <v>494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 t="e">
        <f t="shared" si="48"/>
        <v>#DIV/0!</v>
      </c>
      <c r="I794" s="2" t="e">
        <f t="shared" si="49"/>
        <v>#DIV/0!</v>
      </c>
      <c r="J794" s="2" t="e">
        <f t="shared" si="50"/>
        <v>#NUM!</v>
      </c>
      <c r="K794">
        <f t="shared" si="51"/>
        <v>0</v>
      </c>
    </row>
    <row r="795" spans="1:11" ht="13.9" x14ac:dyDescent="0.3">
      <c r="A795" s="2" t="s">
        <v>499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J795" s="2" t="e">
        <f t="shared" si="50"/>
        <v>#NUM!</v>
      </c>
      <c r="K795">
        <f t="shared" si="51"/>
        <v>0</v>
      </c>
    </row>
    <row r="796" spans="1:11" ht="13.9" x14ac:dyDescent="0.3">
      <c r="A796" s="2" t="s">
        <v>501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J796" s="2" t="e">
        <f t="shared" si="50"/>
        <v>#NUM!</v>
      </c>
      <c r="K796">
        <f t="shared" si="51"/>
        <v>0</v>
      </c>
    </row>
    <row r="797" spans="1:11" ht="13.9" x14ac:dyDescent="0.3">
      <c r="A797" s="2" t="s">
        <v>513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48"/>
        <v>#DIV/0!</v>
      </c>
      <c r="I797" s="2" t="e">
        <f t="shared" si="49"/>
        <v>#DIV/0!</v>
      </c>
      <c r="J797" s="2" t="e">
        <f t="shared" si="50"/>
        <v>#NUM!</v>
      </c>
      <c r="K797">
        <f t="shared" si="51"/>
        <v>0</v>
      </c>
    </row>
    <row r="798" spans="1:11" ht="13.9" x14ac:dyDescent="0.3">
      <c r="A798" s="2" t="s">
        <v>515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 t="e">
        <f t="shared" si="48"/>
        <v>#DIV/0!</v>
      </c>
      <c r="I798" s="2" t="e">
        <f t="shared" si="49"/>
        <v>#DIV/0!</v>
      </c>
      <c r="J798" s="2" t="e">
        <f t="shared" si="50"/>
        <v>#NUM!</v>
      </c>
      <c r="K798">
        <f t="shared" si="51"/>
        <v>0</v>
      </c>
    </row>
    <row r="799" spans="1:11" ht="13.9" x14ac:dyDescent="0.3">
      <c r="A799" s="2" t="s">
        <v>520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J799" s="2" t="e">
        <f t="shared" si="50"/>
        <v>#NUM!</v>
      </c>
      <c r="K799">
        <f t="shared" si="51"/>
        <v>0</v>
      </c>
    </row>
    <row r="800" spans="1:11" ht="13.9" x14ac:dyDescent="0.3">
      <c r="A800" s="2" t="s">
        <v>525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 t="e">
        <f t="shared" si="48"/>
        <v>#DIV/0!</v>
      </c>
      <c r="I800" s="2" t="e">
        <f t="shared" si="49"/>
        <v>#DIV/0!</v>
      </c>
      <c r="J800" s="2" t="e">
        <f t="shared" si="50"/>
        <v>#NUM!</v>
      </c>
      <c r="K800">
        <f t="shared" si="51"/>
        <v>0</v>
      </c>
    </row>
    <row r="801" spans="1:11" ht="13.9" x14ac:dyDescent="0.3">
      <c r="A801" s="2" t="s">
        <v>527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J801" s="2" t="e">
        <f t="shared" si="50"/>
        <v>#NUM!</v>
      </c>
      <c r="K801">
        <f t="shared" si="51"/>
        <v>0</v>
      </c>
    </row>
    <row r="802" spans="1:11" ht="13.9" x14ac:dyDescent="0.3">
      <c r="A802" s="2" t="s">
        <v>529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 t="e">
        <f t="shared" si="48"/>
        <v>#DIV/0!</v>
      </c>
      <c r="I802" s="2" t="e">
        <f t="shared" si="49"/>
        <v>#DIV/0!</v>
      </c>
      <c r="J802" s="2" t="e">
        <f t="shared" si="50"/>
        <v>#NUM!</v>
      </c>
      <c r="K802">
        <f t="shared" si="51"/>
        <v>0</v>
      </c>
    </row>
    <row r="803" spans="1:11" ht="13.9" x14ac:dyDescent="0.3">
      <c r="A803" s="2" t="s">
        <v>530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 t="e">
        <f t="shared" si="48"/>
        <v>#DIV/0!</v>
      </c>
      <c r="I803" s="2" t="e">
        <f t="shared" si="49"/>
        <v>#DIV/0!</v>
      </c>
      <c r="J803" s="2" t="e">
        <f t="shared" si="50"/>
        <v>#NUM!</v>
      </c>
      <c r="K803">
        <f t="shared" si="51"/>
        <v>0</v>
      </c>
    </row>
    <row r="804" spans="1:11" ht="13.9" x14ac:dyDescent="0.3">
      <c r="A804" s="2" t="s">
        <v>533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 t="e">
        <f t="shared" si="48"/>
        <v>#DIV/0!</v>
      </c>
      <c r="I804" s="2" t="e">
        <f t="shared" si="49"/>
        <v>#DIV/0!</v>
      </c>
      <c r="J804" s="2" t="e">
        <f t="shared" si="50"/>
        <v>#NUM!</v>
      </c>
      <c r="K804">
        <f t="shared" si="51"/>
        <v>0</v>
      </c>
    </row>
    <row r="805" spans="1:11" ht="13.9" x14ac:dyDescent="0.3">
      <c r="A805" s="2" t="s">
        <v>537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 t="e">
        <f t="shared" si="48"/>
        <v>#DIV/0!</v>
      </c>
      <c r="I805" s="2" t="e">
        <f t="shared" si="49"/>
        <v>#DIV/0!</v>
      </c>
      <c r="J805" s="2" t="e">
        <f t="shared" si="50"/>
        <v>#NUM!</v>
      </c>
      <c r="K805">
        <f t="shared" si="51"/>
        <v>0</v>
      </c>
    </row>
    <row r="806" spans="1:11" ht="13.9" x14ac:dyDescent="0.3">
      <c r="A806" s="2" t="s">
        <v>539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J806" s="2" t="e">
        <f t="shared" si="50"/>
        <v>#NUM!</v>
      </c>
      <c r="K806">
        <f t="shared" si="51"/>
        <v>0</v>
      </c>
    </row>
    <row r="807" spans="1:11" ht="13.9" x14ac:dyDescent="0.3">
      <c r="A807" s="2" t="s">
        <v>547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 t="e">
        <f t="shared" si="49"/>
        <v>#DIV/0!</v>
      </c>
      <c r="J807" s="2" t="e">
        <f t="shared" si="50"/>
        <v>#NUM!</v>
      </c>
      <c r="K807">
        <f t="shared" si="51"/>
        <v>0</v>
      </c>
    </row>
    <row r="808" spans="1:11" ht="13.9" x14ac:dyDescent="0.3">
      <c r="A808" s="2" t="s">
        <v>549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J808" s="2" t="e">
        <f t="shared" si="50"/>
        <v>#NUM!</v>
      </c>
      <c r="K808">
        <f t="shared" si="51"/>
        <v>0</v>
      </c>
    </row>
    <row r="809" spans="1:11" ht="13.9" x14ac:dyDescent="0.3">
      <c r="A809" s="2" t="s">
        <v>554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J809" s="2" t="e">
        <f t="shared" si="50"/>
        <v>#NUM!</v>
      </c>
      <c r="K809">
        <f t="shared" si="51"/>
        <v>0</v>
      </c>
    </row>
    <row r="810" spans="1:11" ht="13.9" x14ac:dyDescent="0.3">
      <c r="A810" s="2" t="s">
        <v>555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J810" s="2" t="e">
        <f t="shared" si="50"/>
        <v>#NUM!</v>
      </c>
      <c r="K810">
        <f t="shared" si="51"/>
        <v>0</v>
      </c>
    </row>
    <row r="811" spans="1:11" ht="13.9" x14ac:dyDescent="0.3">
      <c r="A811" s="2" t="s">
        <v>558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 t="e">
        <f t="shared" si="48"/>
        <v>#DIV/0!</v>
      </c>
      <c r="I811" s="2" t="e">
        <f t="shared" si="49"/>
        <v>#DIV/0!</v>
      </c>
      <c r="J811" s="2" t="e">
        <f t="shared" si="50"/>
        <v>#NUM!</v>
      </c>
      <c r="K811">
        <f t="shared" si="51"/>
        <v>0</v>
      </c>
    </row>
    <row r="812" spans="1:11" ht="13.9" x14ac:dyDescent="0.3">
      <c r="A812" s="2" t="s">
        <v>559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 t="e">
        <f t="shared" si="48"/>
        <v>#DIV/0!</v>
      </c>
      <c r="I812" s="2" t="e">
        <f t="shared" si="49"/>
        <v>#DIV/0!</v>
      </c>
      <c r="J812" s="2" t="e">
        <f t="shared" si="50"/>
        <v>#NUM!</v>
      </c>
      <c r="K812">
        <f t="shared" si="51"/>
        <v>0</v>
      </c>
    </row>
    <row r="813" spans="1:11" ht="13.9" x14ac:dyDescent="0.3">
      <c r="A813" s="2" t="s">
        <v>563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J813" s="2" t="e">
        <f t="shared" si="50"/>
        <v>#NUM!</v>
      </c>
      <c r="K813">
        <f t="shared" si="51"/>
        <v>0</v>
      </c>
    </row>
    <row r="814" spans="1:11" ht="13.9" x14ac:dyDescent="0.3">
      <c r="A814" s="2" t="s">
        <v>564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J814" s="2" t="e">
        <f t="shared" si="50"/>
        <v>#NUM!</v>
      </c>
      <c r="K814">
        <f t="shared" si="51"/>
        <v>0</v>
      </c>
    </row>
    <row r="815" spans="1:11" ht="13.9" x14ac:dyDescent="0.3">
      <c r="A815" s="2" t="s">
        <v>565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 t="e">
        <f t="shared" si="48"/>
        <v>#DIV/0!</v>
      </c>
      <c r="I815" s="2" t="e">
        <f t="shared" si="49"/>
        <v>#DIV/0!</v>
      </c>
      <c r="J815" s="2" t="e">
        <f t="shared" si="50"/>
        <v>#NUM!</v>
      </c>
      <c r="K815">
        <f t="shared" si="51"/>
        <v>0</v>
      </c>
    </row>
    <row r="816" spans="1:11" ht="13.9" x14ac:dyDescent="0.3">
      <c r="A816" s="2" t="s">
        <v>571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J816" s="2" t="e">
        <f t="shared" si="50"/>
        <v>#NUM!</v>
      </c>
      <c r="K816">
        <f t="shared" si="51"/>
        <v>0</v>
      </c>
    </row>
    <row r="817" spans="1:11" ht="13.9" x14ac:dyDescent="0.3">
      <c r="A817" s="2" t="s">
        <v>573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 t="e">
        <f t="shared" si="48"/>
        <v>#DIV/0!</v>
      </c>
      <c r="I817" s="2" t="e">
        <f t="shared" si="49"/>
        <v>#DIV/0!</v>
      </c>
      <c r="J817" s="2" t="e">
        <f t="shared" si="50"/>
        <v>#NUM!</v>
      </c>
      <c r="K817">
        <f t="shared" si="51"/>
        <v>0</v>
      </c>
    </row>
    <row r="818" spans="1:11" ht="13.9" x14ac:dyDescent="0.3">
      <c r="A818" s="2" t="s">
        <v>577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J818" s="2" t="e">
        <f t="shared" si="50"/>
        <v>#NUM!</v>
      </c>
      <c r="K818">
        <f t="shared" si="51"/>
        <v>0</v>
      </c>
    </row>
    <row r="819" spans="1:11" ht="13.9" x14ac:dyDescent="0.3">
      <c r="A819" s="2" t="s">
        <v>578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J819" s="2" t="e">
        <f t="shared" si="50"/>
        <v>#NUM!</v>
      </c>
      <c r="K819">
        <f t="shared" si="51"/>
        <v>0</v>
      </c>
    </row>
    <row r="820" spans="1:11" ht="13.9" x14ac:dyDescent="0.3">
      <c r="A820" s="2" t="s">
        <v>582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 t="e">
        <f t="shared" si="48"/>
        <v>#DIV/0!</v>
      </c>
      <c r="I820" s="2" t="e">
        <f t="shared" si="49"/>
        <v>#DIV/0!</v>
      </c>
      <c r="J820" s="2" t="e">
        <f t="shared" si="50"/>
        <v>#NUM!</v>
      </c>
      <c r="K820">
        <f t="shared" si="51"/>
        <v>0</v>
      </c>
    </row>
    <row r="821" spans="1:11" ht="13.9" x14ac:dyDescent="0.3">
      <c r="A821" s="2" t="s">
        <v>585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J821" s="2" t="e">
        <f t="shared" si="50"/>
        <v>#NUM!</v>
      </c>
      <c r="K821">
        <f t="shared" si="51"/>
        <v>0</v>
      </c>
    </row>
    <row r="822" spans="1:11" ht="13.9" x14ac:dyDescent="0.3">
      <c r="A822" s="2" t="s">
        <v>587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J822" s="2" t="e">
        <f t="shared" si="50"/>
        <v>#NUM!</v>
      </c>
      <c r="K822">
        <f t="shared" si="51"/>
        <v>0</v>
      </c>
    </row>
    <row r="823" spans="1:11" ht="13.9" x14ac:dyDescent="0.3">
      <c r="A823" s="2" t="s">
        <v>592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J823" s="2" t="e">
        <f t="shared" si="50"/>
        <v>#NUM!</v>
      </c>
      <c r="K823">
        <f t="shared" si="51"/>
        <v>0</v>
      </c>
    </row>
    <row r="824" spans="1:11" ht="13.9" x14ac:dyDescent="0.3">
      <c r="A824" s="2" t="s">
        <v>593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J824" s="2" t="e">
        <f t="shared" si="50"/>
        <v>#NUM!</v>
      </c>
      <c r="K824">
        <f t="shared" si="51"/>
        <v>0</v>
      </c>
    </row>
    <row r="825" spans="1:11" ht="13.9" x14ac:dyDescent="0.3">
      <c r="A825" s="2" t="s">
        <v>600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J825" s="2" t="e">
        <f t="shared" si="50"/>
        <v>#NUM!</v>
      </c>
      <c r="K825">
        <f t="shared" si="51"/>
        <v>0</v>
      </c>
    </row>
    <row r="826" spans="1:11" ht="13.9" x14ac:dyDescent="0.3">
      <c r="A826" s="2" t="s">
        <v>601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J826" s="2" t="e">
        <f t="shared" si="50"/>
        <v>#NUM!</v>
      </c>
      <c r="K826">
        <f t="shared" si="51"/>
        <v>0</v>
      </c>
    </row>
    <row r="827" spans="1:11" ht="13.9" x14ac:dyDescent="0.3">
      <c r="A827" s="2" t="s">
        <v>602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48"/>
        <v>#DIV/0!</v>
      </c>
      <c r="I827" s="2" t="e">
        <f t="shared" si="49"/>
        <v>#DIV/0!</v>
      </c>
      <c r="J827" s="2" t="e">
        <f t="shared" si="50"/>
        <v>#NUM!</v>
      </c>
      <c r="K827">
        <f t="shared" si="51"/>
        <v>0</v>
      </c>
    </row>
    <row r="828" spans="1:11" ht="13.9" x14ac:dyDescent="0.3">
      <c r="A828" s="2" t="s">
        <v>609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J828" s="2" t="e">
        <f t="shared" si="50"/>
        <v>#NUM!</v>
      </c>
      <c r="K828">
        <f t="shared" si="51"/>
        <v>0</v>
      </c>
    </row>
    <row r="829" spans="1:11" ht="13.9" x14ac:dyDescent="0.3">
      <c r="A829" s="2" t="s">
        <v>614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 t="e">
        <f t="shared" si="48"/>
        <v>#DIV/0!</v>
      </c>
      <c r="I829" s="2" t="e">
        <f t="shared" si="49"/>
        <v>#DIV/0!</v>
      </c>
      <c r="J829" s="2" t="e">
        <f t="shared" si="50"/>
        <v>#NUM!</v>
      </c>
      <c r="K829">
        <f t="shared" si="51"/>
        <v>0</v>
      </c>
    </row>
    <row r="830" spans="1:11" ht="13.9" x14ac:dyDescent="0.3">
      <c r="A830" s="2" t="s">
        <v>616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J830" s="2" t="e">
        <f t="shared" si="50"/>
        <v>#NUM!</v>
      </c>
      <c r="K830">
        <f t="shared" si="51"/>
        <v>0</v>
      </c>
    </row>
    <row r="831" spans="1:11" ht="13.9" x14ac:dyDescent="0.3">
      <c r="A831" s="2" t="s">
        <v>617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 t="e">
        <f t="shared" si="48"/>
        <v>#DIV/0!</v>
      </c>
      <c r="I831" s="2" t="e">
        <f t="shared" si="49"/>
        <v>#DIV/0!</v>
      </c>
      <c r="J831" s="2" t="e">
        <f t="shared" si="50"/>
        <v>#NUM!</v>
      </c>
      <c r="K831">
        <f t="shared" si="51"/>
        <v>0</v>
      </c>
    </row>
    <row r="832" spans="1:11" ht="13.9" x14ac:dyDescent="0.3">
      <c r="A832" s="2" t="s">
        <v>619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 t="e">
        <f t="shared" si="48"/>
        <v>#DIV/0!</v>
      </c>
      <c r="I832" s="2" t="e">
        <f t="shared" si="49"/>
        <v>#DIV/0!</v>
      </c>
      <c r="J832" s="2" t="e">
        <f t="shared" si="50"/>
        <v>#NUM!</v>
      </c>
      <c r="K832">
        <f t="shared" si="51"/>
        <v>0</v>
      </c>
    </row>
    <row r="833" spans="1:11" ht="13.9" x14ac:dyDescent="0.3">
      <c r="A833" s="2" t="s">
        <v>620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J833" s="2" t="e">
        <f t="shared" si="50"/>
        <v>#NUM!</v>
      </c>
      <c r="K833">
        <f t="shared" si="51"/>
        <v>0</v>
      </c>
    </row>
    <row r="834" spans="1:11" ht="13.9" x14ac:dyDescent="0.3">
      <c r="A834" s="2" t="s">
        <v>621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J834" s="2" t="e">
        <f t="shared" ref="J834:J897" si="54">LOG(SUM(B834:D834),2)</f>
        <v>#NUM!</v>
      </c>
      <c r="K834">
        <f t="shared" ref="K834:K897" si="55">AVERAGE(E834:G834)</f>
        <v>0</v>
      </c>
    </row>
    <row r="835" spans="1:11" ht="13.9" x14ac:dyDescent="0.3">
      <c r="A835" s="2" t="s">
        <v>630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52"/>
        <v>#DIV/0!</v>
      </c>
      <c r="I835" s="2" t="e">
        <f t="shared" si="53"/>
        <v>#DIV/0!</v>
      </c>
      <c r="J835" s="2" t="e">
        <f t="shared" si="54"/>
        <v>#NUM!</v>
      </c>
      <c r="K835">
        <f t="shared" si="55"/>
        <v>0</v>
      </c>
    </row>
    <row r="836" spans="1:11" ht="13.9" x14ac:dyDescent="0.3">
      <c r="A836" s="2" t="s">
        <v>632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J836" s="2" t="e">
        <f t="shared" si="54"/>
        <v>#NUM!</v>
      </c>
      <c r="K836">
        <f t="shared" si="55"/>
        <v>0</v>
      </c>
    </row>
    <row r="837" spans="1:11" ht="13.9" x14ac:dyDescent="0.3">
      <c r="A837" s="2" t="s">
        <v>634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 t="e">
        <f t="shared" si="52"/>
        <v>#DIV/0!</v>
      </c>
      <c r="I837" s="2" t="e">
        <f t="shared" si="53"/>
        <v>#DIV/0!</v>
      </c>
      <c r="J837" s="2" t="e">
        <f t="shared" si="54"/>
        <v>#NUM!</v>
      </c>
      <c r="K837">
        <f t="shared" si="55"/>
        <v>0</v>
      </c>
    </row>
    <row r="838" spans="1:11" ht="13.9" x14ac:dyDescent="0.3">
      <c r="A838" s="2" t="s">
        <v>640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52"/>
        <v>#DIV/0!</v>
      </c>
      <c r="I838" s="2" t="e">
        <f t="shared" si="53"/>
        <v>#DIV/0!</v>
      </c>
      <c r="J838" s="2" t="e">
        <f t="shared" si="54"/>
        <v>#NUM!</v>
      </c>
      <c r="K838">
        <f t="shared" si="55"/>
        <v>0</v>
      </c>
    </row>
    <row r="839" spans="1:11" ht="13.9" x14ac:dyDescent="0.3">
      <c r="A839" s="2" t="s">
        <v>642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J839" s="2" t="e">
        <f t="shared" si="54"/>
        <v>#NUM!</v>
      </c>
      <c r="K839">
        <f t="shared" si="55"/>
        <v>0</v>
      </c>
    </row>
    <row r="840" spans="1:11" ht="13.9" x14ac:dyDescent="0.3">
      <c r="A840" s="2" t="s">
        <v>645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 t="e">
        <f t="shared" si="52"/>
        <v>#DIV/0!</v>
      </c>
      <c r="I840" s="2" t="e">
        <f t="shared" si="53"/>
        <v>#DIV/0!</v>
      </c>
      <c r="J840" s="2" t="e">
        <f t="shared" si="54"/>
        <v>#NUM!</v>
      </c>
      <c r="K840">
        <f t="shared" si="55"/>
        <v>0</v>
      </c>
    </row>
    <row r="841" spans="1:11" ht="13.9" x14ac:dyDescent="0.3">
      <c r="A841" s="2" t="s">
        <v>648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 t="e">
        <f t="shared" si="52"/>
        <v>#DIV/0!</v>
      </c>
      <c r="I841" s="2" t="e">
        <f t="shared" si="53"/>
        <v>#DIV/0!</v>
      </c>
      <c r="J841" s="2" t="e">
        <f t="shared" si="54"/>
        <v>#NUM!</v>
      </c>
      <c r="K841">
        <f t="shared" si="55"/>
        <v>0</v>
      </c>
    </row>
    <row r="842" spans="1:11" ht="13.9" x14ac:dyDescent="0.3">
      <c r="A842" s="2" t="s">
        <v>649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J842" s="2" t="e">
        <f t="shared" si="54"/>
        <v>#NUM!</v>
      </c>
      <c r="K842">
        <f t="shared" si="55"/>
        <v>0</v>
      </c>
    </row>
    <row r="843" spans="1:11" ht="13.9" x14ac:dyDescent="0.3">
      <c r="A843" s="2" t="s">
        <v>655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J843" s="2" t="e">
        <f t="shared" si="54"/>
        <v>#NUM!</v>
      </c>
      <c r="K843">
        <f t="shared" si="55"/>
        <v>0</v>
      </c>
    </row>
    <row r="844" spans="1:11" ht="13.9" x14ac:dyDescent="0.3">
      <c r="A844" s="2" t="s">
        <v>662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52"/>
        <v>#DIV/0!</v>
      </c>
      <c r="I844" s="2" t="e">
        <f t="shared" si="53"/>
        <v>#DIV/0!</v>
      </c>
      <c r="J844" s="2" t="e">
        <f t="shared" si="54"/>
        <v>#NUM!</v>
      </c>
      <c r="K844">
        <f t="shared" si="55"/>
        <v>0</v>
      </c>
    </row>
    <row r="845" spans="1:11" ht="13.9" x14ac:dyDescent="0.3">
      <c r="A845" s="2" t="s">
        <v>664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J845" s="2" t="e">
        <f t="shared" si="54"/>
        <v>#NUM!</v>
      </c>
      <c r="K845">
        <f t="shared" si="55"/>
        <v>0</v>
      </c>
    </row>
    <row r="846" spans="1:11" ht="13.9" x14ac:dyDescent="0.3">
      <c r="A846" s="2" t="s">
        <v>670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 t="e">
        <f t="shared" si="52"/>
        <v>#DIV/0!</v>
      </c>
      <c r="I846" s="2" t="e">
        <f t="shared" si="53"/>
        <v>#DIV/0!</v>
      </c>
      <c r="J846" s="2" t="e">
        <f t="shared" si="54"/>
        <v>#NUM!</v>
      </c>
      <c r="K846">
        <f t="shared" si="55"/>
        <v>0</v>
      </c>
    </row>
    <row r="847" spans="1:11" ht="13.9" x14ac:dyDescent="0.3">
      <c r="A847" s="2" t="s">
        <v>671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J847" s="2" t="e">
        <f t="shared" si="54"/>
        <v>#NUM!</v>
      </c>
      <c r="K847">
        <f t="shared" si="55"/>
        <v>0</v>
      </c>
    </row>
    <row r="848" spans="1:11" ht="13.9" x14ac:dyDescent="0.3">
      <c r="A848" s="2" t="s">
        <v>673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J848" s="2" t="e">
        <f t="shared" si="54"/>
        <v>#NUM!</v>
      </c>
      <c r="K848">
        <f t="shared" si="55"/>
        <v>0</v>
      </c>
    </row>
    <row r="849" spans="1:11" ht="13.9" x14ac:dyDescent="0.3">
      <c r="A849" s="2" t="s">
        <v>676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J849" s="2" t="e">
        <f t="shared" si="54"/>
        <v>#NUM!</v>
      </c>
      <c r="K849">
        <f t="shared" si="55"/>
        <v>0</v>
      </c>
    </row>
    <row r="850" spans="1:11" ht="13.9" x14ac:dyDescent="0.3">
      <c r="A850" s="2" t="s">
        <v>679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J850" s="2" t="e">
        <f t="shared" si="54"/>
        <v>#NUM!</v>
      </c>
      <c r="K850">
        <f t="shared" si="55"/>
        <v>0</v>
      </c>
    </row>
    <row r="851" spans="1:11" ht="13.9" x14ac:dyDescent="0.3">
      <c r="A851" s="2" t="s">
        <v>687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 t="e">
        <f t="shared" si="52"/>
        <v>#DIV/0!</v>
      </c>
      <c r="I851" s="2" t="e">
        <f t="shared" si="53"/>
        <v>#DIV/0!</v>
      </c>
      <c r="J851" s="2" t="e">
        <f t="shared" si="54"/>
        <v>#NUM!</v>
      </c>
      <c r="K851">
        <f t="shared" si="55"/>
        <v>0</v>
      </c>
    </row>
    <row r="852" spans="1:11" ht="13.9" x14ac:dyDescent="0.3">
      <c r="A852" s="2" t="s">
        <v>690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 t="e">
        <f t="shared" si="52"/>
        <v>#DIV/0!</v>
      </c>
      <c r="I852" s="2" t="e">
        <f t="shared" si="53"/>
        <v>#DIV/0!</v>
      </c>
      <c r="J852" s="2" t="e">
        <f t="shared" si="54"/>
        <v>#NUM!</v>
      </c>
      <c r="K852">
        <f t="shared" si="55"/>
        <v>0</v>
      </c>
    </row>
    <row r="853" spans="1:11" ht="13.9" x14ac:dyDescent="0.3">
      <c r="A853" s="2" t="s">
        <v>692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 t="e">
        <f t="shared" si="52"/>
        <v>#DIV/0!</v>
      </c>
      <c r="I853" s="2" t="e">
        <f t="shared" si="53"/>
        <v>#DIV/0!</v>
      </c>
      <c r="J853" s="2" t="e">
        <f t="shared" si="54"/>
        <v>#NUM!</v>
      </c>
      <c r="K853">
        <f t="shared" si="55"/>
        <v>0</v>
      </c>
    </row>
    <row r="854" spans="1:11" ht="13.9" x14ac:dyDescent="0.3">
      <c r="A854" s="2" t="s">
        <v>700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52"/>
        <v>#DIV/0!</v>
      </c>
      <c r="I854" s="2" t="e">
        <f t="shared" si="53"/>
        <v>#DIV/0!</v>
      </c>
      <c r="J854" s="2" t="e">
        <f t="shared" si="54"/>
        <v>#NUM!</v>
      </c>
      <c r="K854">
        <f t="shared" si="55"/>
        <v>0</v>
      </c>
    </row>
    <row r="855" spans="1:11" ht="13.9" x14ac:dyDescent="0.3">
      <c r="A855" s="2" t="s">
        <v>701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J855" s="2" t="e">
        <f t="shared" si="54"/>
        <v>#NUM!</v>
      </c>
      <c r="K855">
        <f t="shared" si="55"/>
        <v>0</v>
      </c>
    </row>
    <row r="856" spans="1:11" ht="13.9" x14ac:dyDescent="0.3">
      <c r="A856" s="2" t="s">
        <v>705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 t="e">
        <f t="shared" si="52"/>
        <v>#DIV/0!</v>
      </c>
      <c r="I856" s="2" t="e">
        <f t="shared" si="53"/>
        <v>#DIV/0!</v>
      </c>
      <c r="J856" s="2" t="e">
        <f t="shared" si="54"/>
        <v>#NUM!</v>
      </c>
      <c r="K856">
        <f t="shared" si="55"/>
        <v>0</v>
      </c>
    </row>
    <row r="857" spans="1:11" ht="13.9" x14ac:dyDescent="0.3">
      <c r="A857" s="2" t="s">
        <v>706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J857" s="2" t="e">
        <f t="shared" si="54"/>
        <v>#NUM!</v>
      </c>
      <c r="K857">
        <f t="shared" si="55"/>
        <v>0</v>
      </c>
    </row>
    <row r="858" spans="1:11" ht="13.9" x14ac:dyDescent="0.3">
      <c r="A858" s="2" t="s">
        <v>709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J858" s="2" t="e">
        <f t="shared" si="54"/>
        <v>#NUM!</v>
      </c>
      <c r="K858">
        <f t="shared" si="55"/>
        <v>0</v>
      </c>
    </row>
    <row r="859" spans="1:11" ht="13.9" x14ac:dyDescent="0.3">
      <c r="A859" s="2" t="s">
        <v>710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J859" s="2" t="e">
        <f t="shared" si="54"/>
        <v>#NUM!</v>
      </c>
      <c r="K859">
        <f t="shared" si="55"/>
        <v>0</v>
      </c>
    </row>
    <row r="860" spans="1:11" ht="13.9" x14ac:dyDescent="0.3">
      <c r="A860" s="2" t="s">
        <v>711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 t="e">
        <f t="shared" si="52"/>
        <v>#DIV/0!</v>
      </c>
      <c r="I860" s="2" t="e">
        <f t="shared" si="53"/>
        <v>#DIV/0!</v>
      </c>
      <c r="J860" s="2" t="e">
        <f t="shared" si="54"/>
        <v>#NUM!</v>
      </c>
      <c r="K860">
        <f t="shared" si="55"/>
        <v>0</v>
      </c>
    </row>
    <row r="861" spans="1:11" ht="13.9" x14ac:dyDescent="0.3">
      <c r="A861" s="2" t="s">
        <v>712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J861" s="2" t="e">
        <f t="shared" si="54"/>
        <v>#NUM!</v>
      </c>
      <c r="K861">
        <f t="shared" si="55"/>
        <v>0</v>
      </c>
    </row>
    <row r="862" spans="1:11" ht="13.9" x14ac:dyDescent="0.3">
      <c r="A862" s="2" t="s">
        <v>713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J862" s="2" t="e">
        <f t="shared" si="54"/>
        <v>#NUM!</v>
      </c>
      <c r="K862">
        <f t="shared" si="55"/>
        <v>0</v>
      </c>
    </row>
    <row r="863" spans="1:11" ht="13.9" x14ac:dyDescent="0.3">
      <c r="A863" s="2" t="s">
        <v>714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J863" s="2" t="e">
        <f t="shared" si="54"/>
        <v>#NUM!</v>
      </c>
      <c r="K863">
        <f t="shared" si="55"/>
        <v>0</v>
      </c>
    </row>
    <row r="864" spans="1:11" ht="13.9" x14ac:dyDescent="0.3">
      <c r="A864" s="2" t="s">
        <v>720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 t="e">
        <f t="shared" si="53"/>
        <v>#DIV/0!</v>
      </c>
      <c r="J864" s="2" t="e">
        <f t="shared" si="54"/>
        <v>#NUM!</v>
      </c>
      <c r="K864">
        <f t="shared" si="55"/>
        <v>0</v>
      </c>
    </row>
    <row r="865" spans="1:11" ht="13.9" x14ac:dyDescent="0.3">
      <c r="A865" s="2" t="s">
        <v>725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 t="e">
        <f t="shared" si="52"/>
        <v>#DIV/0!</v>
      </c>
      <c r="I865" s="2" t="e">
        <f t="shared" si="53"/>
        <v>#DIV/0!</v>
      </c>
      <c r="J865" s="2" t="e">
        <f t="shared" si="54"/>
        <v>#NUM!</v>
      </c>
      <c r="K865">
        <f t="shared" si="55"/>
        <v>0</v>
      </c>
    </row>
    <row r="866" spans="1:11" ht="13.9" x14ac:dyDescent="0.3">
      <c r="A866" s="2" t="s">
        <v>726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 t="e">
        <f t="shared" si="52"/>
        <v>#DIV/0!</v>
      </c>
      <c r="I866" s="2" t="e">
        <f t="shared" si="53"/>
        <v>#DIV/0!</v>
      </c>
      <c r="J866" s="2" t="e">
        <f t="shared" si="54"/>
        <v>#NUM!</v>
      </c>
      <c r="K866">
        <f t="shared" si="55"/>
        <v>0</v>
      </c>
    </row>
    <row r="867" spans="1:11" ht="13.9" x14ac:dyDescent="0.3">
      <c r="A867" s="2" t="s">
        <v>734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J867" s="2" t="e">
        <f t="shared" si="54"/>
        <v>#NUM!</v>
      </c>
      <c r="K867">
        <f t="shared" si="55"/>
        <v>0</v>
      </c>
    </row>
    <row r="868" spans="1:11" ht="13.9" x14ac:dyDescent="0.3">
      <c r="A868" s="2" t="s">
        <v>735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J868" s="2" t="e">
        <f t="shared" si="54"/>
        <v>#NUM!</v>
      </c>
      <c r="K868">
        <f t="shared" si="55"/>
        <v>0</v>
      </c>
    </row>
    <row r="869" spans="1:11" ht="13.9" x14ac:dyDescent="0.3">
      <c r="A869" s="2" t="s">
        <v>741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 t="e">
        <f t="shared" si="52"/>
        <v>#DIV/0!</v>
      </c>
      <c r="I869" s="2" t="e">
        <f t="shared" si="53"/>
        <v>#DIV/0!</v>
      </c>
      <c r="J869" s="2" t="e">
        <f t="shared" si="54"/>
        <v>#NUM!</v>
      </c>
      <c r="K869">
        <f t="shared" si="55"/>
        <v>0</v>
      </c>
    </row>
    <row r="870" spans="1:11" ht="13.9" x14ac:dyDescent="0.3">
      <c r="A870" s="2" t="s">
        <v>745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 t="e">
        <f t="shared" si="52"/>
        <v>#DIV/0!</v>
      </c>
      <c r="I870" s="2" t="e">
        <f t="shared" si="53"/>
        <v>#DIV/0!</v>
      </c>
      <c r="J870" s="2" t="e">
        <f t="shared" si="54"/>
        <v>#NUM!</v>
      </c>
      <c r="K870">
        <f t="shared" si="55"/>
        <v>0</v>
      </c>
    </row>
    <row r="871" spans="1:11" ht="13.9" x14ac:dyDescent="0.3">
      <c r="A871" s="2" t="s">
        <v>749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 t="e">
        <f t="shared" si="52"/>
        <v>#DIV/0!</v>
      </c>
      <c r="I871" s="2" t="e">
        <f t="shared" si="53"/>
        <v>#DIV/0!</v>
      </c>
      <c r="J871" s="2" t="e">
        <f t="shared" si="54"/>
        <v>#NUM!</v>
      </c>
      <c r="K871">
        <f t="shared" si="55"/>
        <v>0</v>
      </c>
    </row>
    <row r="872" spans="1:11" ht="13.9" x14ac:dyDescent="0.3">
      <c r="A872" s="2" t="s">
        <v>753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 t="e">
        <f t="shared" si="52"/>
        <v>#DIV/0!</v>
      </c>
      <c r="I872" s="2" t="e">
        <f t="shared" si="53"/>
        <v>#DIV/0!</v>
      </c>
      <c r="J872" s="2" t="e">
        <f t="shared" si="54"/>
        <v>#NUM!</v>
      </c>
      <c r="K872">
        <f t="shared" si="55"/>
        <v>0</v>
      </c>
    </row>
    <row r="873" spans="1:11" ht="13.9" x14ac:dyDescent="0.3">
      <c r="A873" s="2" t="s">
        <v>757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J873" s="2" t="e">
        <f t="shared" si="54"/>
        <v>#NUM!</v>
      </c>
      <c r="K873">
        <f t="shared" si="55"/>
        <v>0</v>
      </c>
    </row>
    <row r="874" spans="1:11" ht="13.9" x14ac:dyDescent="0.3">
      <c r="A874" s="2" t="s">
        <v>758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 t="e">
        <f t="shared" si="52"/>
        <v>#DIV/0!</v>
      </c>
      <c r="I874" s="2" t="e">
        <f t="shared" si="53"/>
        <v>#DIV/0!</v>
      </c>
      <c r="J874" s="2" t="e">
        <f t="shared" si="54"/>
        <v>#NUM!</v>
      </c>
      <c r="K874">
        <f t="shared" si="55"/>
        <v>0</v>
      </c>
    </row>
    <row r="875" spans="1:11" ht="13.9" x14ac:dyDescent="0.3">
      <c r="A875" s="2" t="s">
        <v>767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 t="e">
        <f t="shared" si="52"/>
        <v>#DIV/0!</v>
      </c>
      <c r="I875" s="2" t="e">
        <f t="shared" si="53"/>
        <v>#DIV/0!</v>
      </c>
      <c r="J875" s="2" t="e">
        <f t="shared" si="54"/>
        <v>#NUM!</v>
      </c>
      <c r="K875">
        <f t="shared" si="55"/>
        <v>0</v>
      </c>
    </row>
    <row r="876" spans="1:11" ht="13.9" x14ac:dyDescent="0.3">
      <c r="A876" s="2" t="s">
        <v>769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J876" s="2" t="e">
        <f t="shared" si="54"/>
        <v>#NUM!</v>
      </c>
      <c r="K876">
        <f t="shared" si="55"/>
        <v>0</v>
      </c>
    </row>
    <row r="877" spans="1:11" ht="13.9" x14ac:dyDescent="0.3">
      <c r="A877" s="2" t="s">
        <v>780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 t="e">
        <f t="shared" si="52"/>
        <v>#DIV/0!</v>
      </c>
      <c r="I877" s="2" t="e">
        <f t="shared" si="53"/>
        <v>#DIV/0!</v>
      </c>
      <c r="J877" s="2" t="e">
        <f t="shared" si="54"/>
        <v>#NUM!</v>
      </c>
      <c r="K877">
        <f t="shared" si="55"/>
        <v>0</v>
      </c>
    </row>
    <row r="878" spans="1:11" ht="13.9" x14ac:dyDescent="0.3">
      <c r="A878" s="2" t="s">
        <v>791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 t="e">
        <f t="shared" si="52"/>
        <v>#DIV/0!</v>
      </c>
      <c r="I878" s="2" t="e">
        <f t="shared" si="53"/>
        <v>#DIV/0!</v>
      </c>
      <c r="J878" s="2" t="e">
        <f t="shared" si="54"/>
        <v>#NUM!</v>
      </c>
      <c r="K878">
        <f t="shared" si="55"/>
        <v>0</v>
      </c>
    </row>
    <row r="879" spans="1:11" ht="13.9" x14ac:dyDescent="0.3">
      <c r="A879" s="2" t="s">
        <v>794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J879" s="2" t="e">
        <f t="shared" si="54"/>
        <v>#NUM!</v>
      </c>
      <c r="K879">
        <f t="shared" si="55"/>
        <v>0</v>
      </c>
    </row>
    <row r="880" spans="1:11" ht="13.9" x14ac:dyDescent="0.3">
      <c r="A880" s="2" t="s">
        <v>797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 t="e">
        <f t="shared" si="52"/>
        <v>#DIV/0!</v>
      </c>
      <c r="I880" s="2" t="e">
        <f t="shared" si="53"/>
        <v>#DIV/0!</v>
      </c>
      <c r="J880" s="2" t="e">
        <f t="shared" si="54"/>
        <v>#NUM!</v>
      </c>
      <c r="K880">
        <f t="shared" si="55"/>
        <v>0</v>
      </c>
    </row>
    <row r="881" spans="1:11" ht="13.9" x14ac:dyDescent="0.3">
      <c r="A881" s="2" t="s">
        <v>799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 t="e">
        <f t="shared" si="52"/>
        <v>#DIV/0!</v>
      </c>
      <c r="I881" s="2" t="e">
        <f t="shared" si="53"/>
        <v>#DIV/0!</v>
      </c>
      <c r="J881" s="2" t="e">
        <f t="shared" si="54"/>
        <v>#NUM!</v>
      </c>
      <c r="K881">
        <f t="shared" si="55"/>
        <v>0</v>
      </c>
    </row>
    <row r="882" spans="1:11" ht="13.9" x14ac:dyDescent="0.3">
      <c r="A882" s="2" t="s">
        <v>800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 t="e">
        <f t="shared" si="52"/>
        <v>#DIV/0!</v>
      </c>
      <c r="I882" s="2" t="e">
        <f t="shared" si="53"/>
        <v>#DIV/0!</v>
      </c>
      <c r="J882" s="2" t="e">
        <f t="shared" si="54"/>
        <v>#NUM!</v>
      </c>
      <c r="K882">
        <f t="shared" si="55"/>
        <v>0</v>
      </c>
    </row>
    <row r="883" spans="1:11" ht="13.9" x14ac:dyDescent="0.3">
      <c r="A883" s="2" t="s">
        <v>804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 t="e">
        <f t="shared" si="52"/>
        <v>#DIV/0!</v>
      </c>
      <c r="I883" s="2" t="e">
        <f t="shared" si="53"/>
        <v>#DIV/0!</v>
      </c>
      <c r="J883" s="2" t="e">
        <f t="shared" si="54"/>
        <v>#NUM!</v>
      </c>
      <c r="K883">
        <f t="shared" si="55"/>
        <v>0</v>
      </c>
    </row>
    <row r="884" spans="1:11" ht="13.9" x14ac:dyDescent="0.3">
      <c r="A884" s="2" t="s">
        <v>809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 t="e">
        <f t="shared" si="52"/>
        <v>#DIV/0!</v>
      </c>
      <c r="I884" s="2" t="e">
        <f t="shared" si="53"/>
        <v>#DIV/0!</v>
      </c>
      <c r="J884" s="2" t="e">
        <f t="shared" si="54"/>
        <v>#NUM!</v>
      </c>
      <c r="K884">
        <f t="shared" si="55"/>
        <v>0</v>
      </c>
    </row>
    <row r="885" spans="1:11" ht="13.9" x14ac:dyDescent="0.3">
      <c r="A885" s="2" t="s">
        <v>812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 t="e">
        <f t="shared" si="53"/>
        <v>#DIV/0!</v>
      </c>
      <c r="J885" s="2" t="e">
        <f t="shared" si="54"/>
        <v>#NUM!</v>
      </c>
      <c r="K885">
        <f t="shared" si="55"/>
        <v>0</v>
      </c>
    </row>
    <row r="886" spans="1:11" ht="13.9" x14ac:dyDescent="0.3">
      <c r="A886" s="2" t="s">
        <v>813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J886" s="2" t="e">
        <f t="shared" si="54"/>
        <v>#NUM!</v>
      </c>
      <c r="K886">
        <f t="shared" si="55"/>
        <v>0</v>
      </c>
    </row>
    <row r="887" spans="1:11" ht="13.9" x14ac:dyDescent="0.3">
      <c r="A887" s="2" t="s">
        <v>818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 t="e">
        <f t="shared" si="52"/>
        <v>#DIV/0!</v>
      </c>
      <c r="I887" s="2" t="e">
        <f t="shared" si="53"/>
        <v>#DIV/0!</v>
      </c>
      <c r="J887" s="2" t="e">
        <f t="shared" si="54"/>
        <v>#NUM!</v>
      </c>
      <c r="K887">
        <f t="shared" si="55"/>
        <v>0</v>
      </c>
    </row>
    <row r="888" spans="1:11" ht="13.9" x14ac:dyDescent="0.3">
      <c r="A888" s="2" t="s">
        <v>823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 t="e">
        <f t="shared" si="52"/>
        <v>#DIV/0!</v>
      </c>
      <c r="I888" s="2" t="e">
        <f t="shared" si="53"/>
        <v>#DIV/0!</v>
      </c>
      <c r="J888" s="2" t="e">
        <f t="shared" si="54"/>
        <v>#NUM!</v>
      </c>
      <c r="K888">
        <f t="shared" si="55"/>
        <v>0</v>
      </c>
    </row>
    <row r="889" spans="1:11" ht="13.9" x14ac:dyDescent="0.3">
      <c r="A889" s="2" t="s">
        <v>825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 t="e">
        <f t="shared" si="52"/>
        <v>#DIV/0!</v>
      </c>
      <c r="I889" s="2" t="e">
        <f t="shared" si="53"/>
        <v>#DIV/0!</v>
      </c>
      <c r="J889" s="2" t="e">
        <f t="shared" si="54"/>
        <v>#NUM!</v>
      </c>
      <c r="K889">
        <f t="shared" si="55"/>
        <v>0</v>
      </c>
    </row>
    <row r="890" spans="1:11" ht="13.9" x14ac:dyDescent="0.3">
      <c r="A890" s="2" t="s">
        <v>827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 t="e">
        <f t="shared" si="52"/>
        <v>#DIV/0!</v>
      </c>
      <c r="I890" s="2" t="e">
        <f t="shared" si="53"/>
        <v>#DIV/0!</v>
      </c>
      <c r="J890" s="2" t="e">
        <f t="shared" si="54"/>
        <v>#NUM!</v>
      </c>
      <c r="K890">
        <f t="shared" si="55"/>
        <v>0</v>
      </c>
    </row>
    <row r="891" spans="1:11" ht="13.9" x14ac:dyDescent="0.3">
      <c r="A891" s="2" t="s">
        <v>830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 t="e">
        <f t="shared" si="52"/>
        <v>#DIV/0!</v>
      </c>
      <c r="I891" s="2" t="e">
        <f t="shared" si="53"/>
        <v>#DIV/0!</v>
      </c>
      <c r="J891" s="2" t="e">
        <f t="shared" si="54"/>
        <v>#NUM!</v>
      </c>
      <c r="K891">
        <f t="shared" si="55"/>
        <v>0</v>
      </c>
    </row>
    <row r="892" spans="1:11" ht="13.9" x14ac:dyDescent="0.3">
      <c r="A892" s="2" t="s">
        <v>831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 t="e">
        <f t="shared" si="52"/>
        <v>#DIV/0!</v>
      </c>
      <c r="I892" s="2" t="e">
        <f t="shared" si="53"/>
        <v>#DIV/0!</v>
      </c>
      <c r="J892" s="2" t="e">
        <f t="shared" si="54"/>
        <v>#NUM!</v>
      </c>
      <c r="K892">
        <f t="shared" si="55"/>
        <v>0</v>
      </c>
    </row>
    <row r="893" spans="1:11" s="7" customFormat="1" ht="13.9" x14ac:dyDescent="0.3">
      <c r="A893" s="2" t="s">
        <v>833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 t="e">
        <f t="shared" si="52"/>
        <v>#DIV/0!</v>
      </c>
      <c r="I893" s="2" t="e">
        <f t="shared" si="53"/>
        <v>#DIV/0!</v>
      </c>
      <c r="J893" s="2" t="e">
        <f t="shared" si="54"/>
        <v>#NUM!</v>
      </c>
      <c r="K893">
        <f t="shared" si="55"/>
        <v>0</v>
      </c>
    </row>
    <row r="894" spans="1:11" ht="13.9" x14ac:dyDescent="0.3">
      <c r="A894" s="2" t="s">
        <v>835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 t="e">
        <f t="shared" si="52"/>
        <v>#DIV/0!</v>
      </c>
      <c r="I894" s="2" t="e">
        <f t="shared" si="53"/>
        <v>#DIV/0!</v>
      </c>
      <c r="J894" s="2" t="e">
        <f t="shared" si="54"/>
        <v>#NUM!</v>
      </c>
      <c r="K894">
        <f t="shared" si="55"/>
        <v>0</v>
      </c>
    </row>
    <row r="895" spans="1:11" ht="13.9" x14ac:dyDescent="0.3">
      <c r="A895" s="2" t="s">
        <v>836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 t="e">
        <f t="shared" si="52"/>
        <v>#DIV/0!</v>
      </c>
      <c r="I895" s="2" t="e">
        <f t="shared" si="53"/>
        <v>#DIV/0!</v>
      </c>
      <c r="J895" s="2" t="e">
        <f t="shared" si="54"/>
        <v>#NUM!</v>
      </c>
      <c r="K895">
        <f t="shared" si="55"/>
        <v>0</v>
      </c>
    </row>
    <row r="896" spans="1:11" ht="13.9" x14ac:dyDescent="0.3">
      <c r="A896" s="2" t="s">
        <v>838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 t="e">
        <f t="shared" si="52"/>
        <v>#DIV/0!</v>
      </c>
      <c r="I896" s="2" t="e">
        <f t="shared" si="53"/>
        <v>#DIV/0!</v>
      </c>
      <c r="J896" s="2" t="e">
        <f t="shared" si="54"/>
        <v>#NUM!</v>
      </c>
      <c r="K896">
        <f t="shared" si="55"/>
        <v>0</v>
      </c>
    </row>
    <row r="897" spans="1:11" ht="13.9" x14ac:dyDescent="0.3">
      <c r="A897" s="2" t="s">
        <v>841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 t="e">
        <f t="shared" si="52"/>
        <v>#DIV/0!</v>
      </c>
      <c r="I897" s="2" t="e">
        <f t="shared" si="53"/>
        <v>#DIV/0!</v>
      </c>
      <c r="J897" s="2" t="e">
        <f t="shared" si="54"/>
        <v>#NUM!</v>
      </c>
      <c r="K897">
        <f t="shared" si="55"/>
        <v>0</v>
      </c>
    </row>
    <row r="898" spans="1:11" ht="13.9" x14ac:dyDescent="0.3">
      <c r="A898" s="2" t="s">
        <v>842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J898" s="2" t="e">
        <f t="shared" ref="J898:J926" si="58">LOG(SUM(B898:D898),2)</f>
        <v>#NUM!</v>
      </c>
      <c r="K898">
        <f t="shared" ref="K898:K926" si="59">AVERAGE(E898:G898)</f>
        <v>0</v>
      </c>
    </row>
    <row r="899" spans="1:11" ht="13.9" x14ac:dyDescent="0.3">
      <c r="A899" s="2" t="s">
        <v>843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 t="e">
        <f t="shared" si="56"/>
        <v>#DIV/0!</v>
      </c>
      <c r="I899" s="2" t="e">
        <f t="shared" si="57"/>
        <v>#DIV/0!</v>
      </c>
      <c r="J899" s="2" t="e">
        <f t="shared" si="58"/>
        <v>#NUM!</v>
      </c>
      <c r="K899">
        <f t="shared" si="59"/>
        <v>0</v>
      </c>
    </row>
    <row r="900" spans="1:11" ht="13.9" x14ac:dyDescent="0.3">
      <c r="A900" s="2" t="s">
        <v>844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 t="e">
        <f t="shared" si="56"/>
        <v>#DIV/0!</v>
      </c>
      <c r="I900" s="2" t="e">
        <f t="shared" si="57"/>
        <v>#DIV/0!</v>
      </c>
      <c r="J900" s="2" t="e">
        <f t="shared" si="58"/>
        <v>#NUM!</v>
      </c>
      <c r="K900">
        <f t="shared" si="59"/>
        <v>0</v>
      </c>
    </row>
    <row r="901" spans="1:11" ht="13.9" x14ac:dyDescent="0.3">
      <c r="A901" s="2" t="s">
        <v>845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J901" s="2" t="e">
        <f t="shared" si="58"/>
        <v>#NUM!</v>
      </c>
      <c r="K901">
        <f t="shared" si="59"/>
        <v>0</v>
      </c>
    </row>
    <row r="902" spans="1:11" ht="13.9" x14ac:dyDescent="0.3">
      <c r="A902" s="2" t="s">
        <v>847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 t="e">
        <f t="shared" si="56"/>
        <v>#DIV/0!</v>
      </c>
      <c r="I902" s="2" t="e">
        <f t="shared" si="57"/>
        <v>#DIV/0!</v>
      </c>
      <c r="J902" s="2" t="e">
        <f t="shared" si="58"/>
        <v>#NUM!</v>
      </c>
      <c r="K902">
        <f t="shared" si="59"/>
        <v>0</v>
      </c>
    </row>
    <row r="903" spans="1:11" ht="13.9" x14ac:dyDescent="0.3">
      <c r="A903" s="2" t="s">
        <v>852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 t="e">
        <f t="shared" si="56"/>
        <v>#DIV/0!</v>
      </c>
      <c r="I903" s="2" t="e">
        <f t="shared" si="57"/>
        <v>#DIV/0!</v>
      </c>
      <c r="J903" s="2" t="e">
        <f t="shared" si="58"/>
        <v>#NUM!</v>
      </c>
      <c r="K903">
        <f t="shared" si="59"/>
        <v>0</v>
      </c>
    </row>
    <row r="904" spans="1:11" ht="13.9" x14ac:dyDescent="0.3">
      <c r="A904" s="2" t="s">
        <v>853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 t="e">
        <f t="shared" si="56"/>
        <v>#DIV/0!</v>
      </c>
      <c r="I904" s="2" t="e">
        <f t="shared" si="57"/>
        <v>#DIV/0!</v>
      </c>
      <c r="J904" s="2" t="e">
        <f t="shared" si="58"/>
        <v>#NUM!</v>
      </c>
      <c r="K904">
        <f t="shared" si="59"/>
        <v>0</v>
      </c>
    </row>
    <row r="905" spans="1:11" ht="13.9" x14ac:dyDescent="0.3">
      <c r="A905" s="2" t="s">
        <v>856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 t="e">
        <f t="shared" si="56"/>
        <v>#DIV/0!</v>
      </c>
      <c r="I905" s="2" t="e">
        <f t="shared" si="57"/>
        <v>#DIV/0!</v>
      </c>
      <c r="J905" s="2" t="e">
        <f t="shared" si="58"/>
        <v>#NUM!</v>
      </c>
      <c r="K905">
        <f t="shared" si="59"/>
        <v>0</v>
      </c>
    </row>
    <row r="906" spans="1:11" ht="13.9" x14ac:dyDescent="0.3">
      <c r="A906" s="2" t="s">
        <v>860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J906" s="2" t="e">
        <f t="shared" si="58"/>
        <v>#NUM!</v>
      </c>
      <c r="K906">
        <f t="shared" si="59"/>
        <v>0</v>
      </c>
    </row>
    <row r="907" spans="1:11" ht="13.9" x14ac:dyDescent="0.3">
      <c r="A907" s="2" t="s">
        <v>864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J907" s="2" t="e">
        <f t="shared" si="58"/>
        <v>#NUM!</v>
      </c>
      <c r="K907">
        <f t="shared" si="59"/>
        <v>0</v>
      </c>
    </row>
    <row r="908" spans="1:11" ht="13.9" x14ac:dyDescent="0.3">
      <c r="A908" s="2" t="s">
        <v>865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 t="e">
        <f t="shared" si="56"/>
        <v>#DIV/0!</v>
      </c>
      <c r="I908" s="2" t="e">
        <f t="shared" si="57"/>
        <v>#DIV/0!</v>
      </c>
      <c r="J908" s="2" t="e">
        <f t="shared" si="58"/>
        <v>#NUM!</v>
      </c>
      <c r="K908">
        <f t="shared" si="59"/>
        <v>0</v>
      </c>
    </row>
    <row r="909" spans="1:11" ht="13.9" x14ac:dyDescent="0.3">
      <c r="A909" s="2" t="s">
        <v>866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 t="e">
        <f t="shared" si="56"/>
        <v>#DIV/0!</v>
      </c>
      <c r="I909" s="2" t="e">
        <f t="shared" si="57"/>
        <v>#DIV/0!</v>
      </c>
      <c r="J909" s="2" t="e">
        <f t="shared" si="58"/>
        <v>#NUM!</v>
      </c>
      <c r="K909">
        <f t="shared" si="59"/>
        <v>0</v>
      </c>
    </row>
    <row r="910" spans="1:11" ht="13.9" x14ac:dyDescent="0.3">
      <c r="A910" s="2" t="s">
        <v>867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 t="e">
        <f t="shared" si="56"/>
        <v>#DIV/0!</v>
      </c>
      <c r="I910" s="2" t="e">
        <f t="shared" si="57"/>
        <v>#DIV/0!</v>
      </c>
      <c r="J910" s="2" t="e">
        <f t="shared" si="58"/>
        <v>#NUM!</v>
      </c>
      <c r="K910">
        <f t="shared" si="59"/>
        <v>0</v>
      </c>
    </row>
    <row r="911" spans="1:11" ht="13.9" x14ac:dyDescent="0.3">
      <c r="A911" s="2" t="s">
        <v>871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56"/>
        <v>#DIV/0!</v>
      </c>
      <c r="I911" s="2" t="e">
        <f t="shared" si="57"/>
        <v>#DIV/0!</v>
      </c>
      <c r="J911" s="2" t="e">
        <f t="shared" si="58"/>
        <v>#NUM!</v>
      </c>
      <c r="K911">
        <f t="shared" si="59"/>
        <v>0</v>
      </c>
    </row>
    <row r="912" spans="1:11" ht="13.9" x14ac:dyDescent="0.3">
      <c r="A912" s="2" t="s">
        <v>872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 t="e">
        <f t="shared" si="56"/>
        <v>#DIV/0!</v>
      </c>
      <c r="I912" s="2" t="e">
        <f t="shared" si="57"/>
        <v>#DIV/0!</v>
      </c>
      <c r="J912" s="2" t="e">
        <f t="shared" si="58"/>
        <v>#NUM!</v>
      </c>
      <c r="K912">
        <f t="shared" si="59"/>
        <v>0</v>
      </c>
    </row>
    <row r="913" spans="1:11" ht="13.9" x14ac:dyDescent="0.3">
      <c r="A913" s="2" t="s">
        <v>874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 t="e">
        <f t="shared" si="56"/>
        <v>#DIV/0!</v>
      </c>
      <c r="I913" s="2" t="e">
        <f t="shared" si="57"/>
        <v>#DIV/0!</v>
      </c>
      <c r="J913" s="2" t="e">
        <f t="shared" si="58"/>
        <v>#NUM!</v>
      </c>
      <c r="K913">
        <f t="shared" si="59"/>
        <v>0</v>
      </c>
    </row>
    <row r="914" spans="1:11" ht="13.9" x14ac:dyDescent="0.3">
      <c r="A914" s="2" t="s">
        <v>875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 t="e">
        <f t="shared" si="56"/>
        <v>#DIV/0!</v>
      </c>
      <c r="I914" s="2" t="e">
        <f t="shared" si="57"/>
        <v>#DIV/0!</v>
      </c>
      <c r="J914" s="2" t="e">
        <f t="shared" si="58"/>
        <v>#NUM!</v>
      </c>
      <c r="K914">
        <f t="shared" si="59"/>
        <v>0</v>
      </c>
    </row>
    <row r="915" spans="1:11" ht="13.9" x14ac:dyDescent="0.3">
      <c r="A915" s="2" t="s">
        <v>876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 t="e">
        <f t="shared" si="57"/>
        <v>#DIV/0!</v>
      </c>
      <c r="J915" s="2" t="e">
        <f t="shared" si="58"/>
        <v>#NUM!</v>
      </c>
      <c r="K915">
        <f t="shared" si="59"/>
        <v>0</v>
      </c>
    </row>
    <row r="916" spans="1:11" ht="13.9" x14ac:dyDescent="0.3">
      <c r="A916" s="2" t="s">
        <v>878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 t="e">
        <f t="shared" si="56"/>
        <v>#DIV/0!</v>
      </c>
      <c r="I916" s="2" t="e">
        <f t="shared" si="57"/>
        <v>#DIV/0!</v>
      </c>
      <c r="J916" s="2" t="e">
        <f t="shared" si="58"/>
        <v>#NUM!</v>
      </c>
      <c r="K916">
        <f t="shared" si="59"/>
        <v>0</v>
      </c>
    </row>
    <row r="917" spans="1:11" ht="13.9" x14ac:dyDescent="0.3">
      <c r="A917" s="2" t="s">
        <v>879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 t="e">
        <f t="shared" si="56"/>
        <v>#DIV/0!</v>
      </c>
      <c r="I917" s="2" t="e">
        <f t="shared" si="57"/>
        <v>#DIV/0!</v>
      </c>
      <c r="J917" s="2" t="e">
        <f t="shared" si="58"/>
        <v>#NUM!</v>
      </c>
      <c r="K917">
        <f t="shared" si="59"/>
        <v>0</v>
      </c>
    </row>
    <row r="918" spans="1:11" ht="13.9" x14ac:dyDescent="0.3">
      <c r="A918" s="2" t="s">
        <v>884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 t="e">
        <f t="shared" si="56"/>
        <v>#DIV/0!</v>
      </c>
      <c r="I918" s="2" t="e">
        <f t="shared" si="57"/>
        <v>#DIV/0!</v>
      </c>
      <c r="J918" s="2" t="e">
        <f t="shared" si="58"/>
        <v>#NUM!</v>
      </c>
      <c r="K918">
        <f t="shared" si="59"/>
        <v>0</v>
      </c>
    </row>
    <row r="919" spans="1:11" ht="13.9" x14ac:dyDescent="0.3">
      <c r="A919" s="2" t="s">
        <v>890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56"/>
        <v>#DIV/0!</v>
      </c>
      <c r="I919" s="2" t="e">
        <f t="shared" si="57"/>
        <v>#DIV/0!</v>
      </c>
      <c r="J919" s="2" t="e">
        <f t="shared" si="58"/>
        <v>#NUM!</v>
      </c>
      <c r="K919">
        <f t="shared" si="59"/>
        <v>0</v>
      </c>
    </row>
    <row r="920" spans="1:11" s="7" customFormat="1" ht="13.9" x14ac:dyDescent="0.3">
      <c r="A920" s="2" t="s">
        <v>893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 t="e">
        <f t="shared" si="56"/>
        <v>#DIV/0!</v>
      </c>
      <c r="I920" s="2" t="e">
        <f t="shared" si="57"/>
        <v>#DIV/0!</v>
      </c>
      <c r="J920" s="2" t="e">
        <f t="shared" si="58"/>
        <v>#NUM!</v>
      </c>
      <c r="K920">
        <f t="shared" si="59"/>
        <v>0</v>
      </c>
    </row>
    <row r="921" spans="1:11" ht="13.9" x14ac:dyDescent="0.3">
      <c r="A921" s="2" t="s">
        <v>896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 t="e">
        <f t="shared" si="56"/>
        <v>#DIV/0!</v>
      </c>
      <c r="I921" s="2" t="e">
        <f t="shared" si="57"/>
        <v>#DIV/0!</v>
      </c>
      <c r="J921" s="2" t="e">
        <f t="shared" si="58"/>
        <v>#NUM!</v>
      </c>
      <c r="K921">
        <f t="shared" si="59"/>
        <v>0</v>
      </c>
    </row>
    <row r="922" spans="1:11" ht="13.9" x14ac:dyDescent="0.3">
      <c r="A922" s="2" t="s">
        <v>903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 t="e">
        <f t="shared" si="56"/>
        <v>#DIV/0!</v>
      </c>
      <c r="I922" s="2" t="e">
        <f t="shared" si="57"/>
        <v>#DIV/0!</v>
      </c>
      <c r="J922" s="2" t="e">
        <f t="shared" si="58"/>
        <v>#NUM!</v>
      </c>
      <c r="K922">
        <f t="shared" si="59"/>
        <v>0</v>
      </c>
    </row>
    <row r="923" spans="1:11" ht="13.9" x14ac:dyDescent="0.3">
      <c r="A923" s="2" t="s">
        <v>915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 t="e">
        <f t="shared" si="56"/>
        <v>#DIV/0!</v>
      </c>
      <c r="I923" s="2" t="e">
        <f t="shared" si="57"/>
        <v>#DIV/0!</v>
      </c>
      <c r="J923" s="2" t="e">
        <f t="shared" si="58"/>
        <v>#NUM!</v>
      </c>
      <c r="K923">
        <f t="shared" si="59"/>
        <v>0</v>
      </c>
    </row>
    <row r="924" spans="1:11" ht="13.9" x14ac:dyDescent="0.3">
      <c r="A924" s="2" t="s">
        <v>918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 t="e">
        <f t="shared" si="56"/>
        <v>#DIV/0!</v>
      </c>
      <c r="I924" s="2" t="e">
        <f t="shared" si="57"/>
        <v>#DIV/0!</v>
      </c>
      <c r="J924" s="2" t="e">
        <f t="shared" si="58"/>
        <v>#NUM!</v>
      </c>
      <c r="K924">
        <f t="shared" si="59"/>
        <v>0</v>
      </c>
    </row>
    <row r="925" spans="1:11" ht="13.9" x14ac:dyDescent="0.3">
      <c r="A925" s="2" t="s">
        <v>923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 t="e">
        <f t="shared" si="56"/>
        <v>#DIV/0!</v>
      </c>
      <c r="I925" s="2" t="e">
        <f t="shared" si="57"/>
        <v>#DIV/0!</v>
      </c>
      <c r="J925" s="2" t="e">
        <f t="shared" si="58"/>
        <v>#NUM!</v>
      </c>
      <c r="K925">
        <f t="shared" si="59"/>
        <v>0</v>
      </c>
    </row>
    <row r="926" spans="1:11" ht="13.9" x14ac:dyDescent="0.3">
      <c r="A926" s="2" t="s">
        <v>936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 t="e">
        <f t="shared" si="56"/>
        <v>#DIV/0!</v>
      </c>
      <c r="I926" s="2" t="e">
        <f t="shared" si="57"/>
        <v>#DIV/0!</v>
      </c>
      <c r="J926" s="2" t="e">
        <f t="shared" si="58"/>
        <v>#NUM!</v>
      </c>
      <c r="K926">
        <f t="shared" si="59"/>
        <v>0</v>
      </c>
    </row>
  </sheetData>
  <sortState xmlns:xlrd2="http://schemas.microsoft.com/office/spreadsheetml/2017/richdata2" ref="A2:M928">
    <sortCondition ref="H2:H928"/>
  </sortState>
  <phoneticPr fontId="1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C752-1CDF-42A8-8388-CCAA962644F9}">
  <dimension ref="A1:K926"/>
  <sheetViews>
    <sheetView workbookViewId="0">
      <selection activeCell="M9" sqref="M9"/>
    </sheetView>
  </sheetViews>
  <sheetFormatPr defaultRowHeight="13.5" x14ac:dyDescent="0.3"/>
  <cols>
    <col min="1" max="1" width="18.3984375" bestFit="1" customWidth="1"/>
    <col min="2" max="3" width="8.9296875" customWidth="1"/>
    <col min="8" max="8" width="16.1328125" style="1" bestFit="1" customWidth="1"/>
    <col min="9" max="9" width="10.46484375" style="1" customWidth="1"/>
    <col min="10" max="10" width="16.1328125" style="1" bestFit="1" customWidth="1"/>
    <col min="11" max="11" width="12.06640625" customWidth="1"/>
  </cols>
  <sheetData>
    <row r="1" spans="1:11" ht="13.9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944</v>
      </c>
      <c r="I1" s="3" t="s">
        <v>945</v>
      </c>
      <c r="J1" s="3" t="s">
        <v>957</v>
      </c>
      <c r="K1" t="s">
        <v>960</v>
      </c>
    </row>
    <row r="2" spans="1:11" ht="13.9" x14ac:dyDescent="0.3">
      <c r="A2" s="2" t="s">
        <v>240</v>
      </c>
      <c r="B2" s="2">
        <v>0</v>
      </c>
      <c r="C2" s="2">
        <v>0.24</v>
      </c>
      <c r="D2" s="2">
        <v>0</v>
      </c>
      <c r="E2" s="2">
        <v>10.46</v>
      </c>
      <c r="F2" s="2">
        <v>8.56</v>
      </c>
      <c r="G2" s="2">
        <v>12.86</v>
      </c>
      <c r="H2" s="2">
        <f t="shared" ref="H2:H65" si="0">LOG(SUM(B2:D2)/SUM(E2:G2),2)</f>
        <v>-7.0534734132693151</v>
      </c>
      <c r="I2" s="2">
        <f t="shared" ref="I2:I65" si="1">_xlfn.T.TEST(B2:D2,E2:G2,2,2)</f>
        <v>1.069751573861525E-3</v>
      </c>
      <c r="J2" s="2">
        <f t="shared" ref="J2:J65" si="2">LOG(SUM(B2:D2),2)</f>
        <v>-2.0588936890535687</v>
      </c>
      <c r="K2">
        <f t="shared" ref="K2:K65" si="3">AVERAGE(E2:G2)</f>
        <v>10.626666666666667</v>
      </c>
    </row>
    <row r="3" spans="1:11" ht="13.9" x14ac:dyDescent="0.3">
      <c r="A3" s="2" t="s">
        <v>258</v>
      </c>
      <c r="B3" s="2">
        <v>0</v>
      </c>
      <c r="C3" s="2">
        <v>0.24</v>
      </c>
      <c r="D3" s="2">
        <v>0</v>
      </c>
      <c r="E3" s="2">
        <v>8.7899999999999991</v>
      </c>
      <c r="F3" s="2">
        <v>8.16</v>
      </c>
      <c r="G3" s="2">
        <v>1.9</v>
      </c>
      <c r="H3" s="2">
        <f t="shared" si="0"/>
        <v>-6.2953863074348702</v>
      </c>
      <c r="I3" s="2">
        <f t="shared" si="1"/>
        <v>4.7883604904502129E-2</v>
      </c>
      <c r="J3" s="2">
        <f t="shared" si="2"/>
        <v>-2.0588936890535687</v>
      </c>
      <c r="K3">
        <f t="shared" si="3"/>
        <v>6.2833333333333323</v>
      </c>
    </row>
    <row r="4" spans="1:11" ht="13.9" x14ac:dyDescent="0.3">
      <c r="A4" s="2" t="s">
        <v>772</v>
      </c>
      <c r="B4" s="2">
        <v>0</v>
      </c>
      <c r="C4" s="2">
        <v>0.24</v>
      </c>
      <c r="D4" s="2">
        <v>0</v>
      </c>
      <c r="E4" s="2">
        <v>6.12</v>
      </c>
      <c r="F4" s="2">
        <v>6.28</v>
      </c>
      <c r="G4" s="2">
        <v>5.69</v>
      </c>
      <c r="H4" s="2">
        <f t="shared" si="0"/>
        <v>-6.2360141919000851</v>
      </c>
      <c r="I4" s="2">
        <f t="shared" si="1"/>
        <v>6.6610883652163912E-6</v>
      </c>
      <c r="J4" s="2">
        <f t="shared" si="2"/>
        <v>-2.0588936890535687</v>
      </c>
      <c r="K4">
        <f t="shared" si="3"/>
        <v>6.03</v>
      </c>
    </row>
    <row r="5" spans="1:11" ht="13.9" x14ac:dyDescent="0.3">
      <c r="A5" s="2" t="s">
        <v>940</v>
      </c>
      <c r="B5" s="2">
        <v>0</v>
      </c>
      <c r="C5" s="2">
        <v>0.24</v>
      </c>
      <c r="D5" s="2">
        <v>0</v>
      </c>
      <c r="E5" s="2">
        <v>3.65</v>
      </c>
      <c r="F5" s="2">
        <v>4.68</v>
      </c>
      <c r="G5" s="2">
        <v>2</v>
      </c>
      <c r="H5" s="2">
        <f t="shared" si="0"/>
        <v>-5.4276620381439038</v>
      </c>
      <c r="I5" s="2">
        <f t="shared" si="1"/>
        <v>1.278018246331615E-2</v>
      </c>
      <c r="J5" s="2">
        <f t="shared" si="2"/>
        <v>-2.0588936890535687</v>
      </c>
      <c r="K5">
        <f t="shared" si="3"/>
        <v>3.4433333333333334</v>
      </c>
    </row>
    <row r="6" spans="1:11" ht="13.9" x14ac:dyDescent="0.3">
      <c r="A6" s="2" t="s">
        <v>341</v>
      </c>
      <c r="B6" s="2">
        <v>0.33</v>
      </c>
      <c r="C6" s="2">
        <v>0</v>
      </c>
      <c r="D6" s="2">
        <v>0</v>
      </c>
      <c r="E6" s="2">
        <v>4.24</v>
      </c>
      <c r="F6" s="2">
        <v>5.75</v>
      </c>
      <c r="G6" s="2">
        <v>3.58</v>
      </c>
      <c r="H6" s="2">
        <f t="shared" si="0"/>
        <v>-5.3618108860604003</v>
      </c>
      <c r="I6" s="2">
        <f t="shared" si="1"/>
        <v>2.4796004533424849E-3</v>
      </c>
      <c r="J6" s="2">
        <f t="shared" si="2"/>
        <v>-1.5994620704162712</v>
      </c>
      <c r="K6">
        <f t="shared" si="3"/>
        <v>4.5233333333333334</v>
      </c>
    </row>
    <row r="7" spans="1:11" ht="13.9" x14ac:dyDescent="0.3">
      <c r="A7" s="2" t="s">
        <v>274</v>
      </c>
      <c r="B7" s="2">
        <v>0</v>
      </c>
      <c r="C7" s="2">
        <v>1.46</v>
      </c>
      <c r="D7" s="2">
        <v>0.18</v>
      </c>
      <c r="E7" s="2">
        <v>3.55</v>
      </c>
      <c r="F7" s="2">
        <v>33.29</v>
      </c>
      <c r="G7" s="2">
        <v>13.81</v>
      </c>
      <c r="H7" s="2">
        <f t="shared" si="0"/>
        <v>-4.948794549070417</v>
      </c>
      <c r="I7" s="2">
        <f t="shared" si="1"/>
        <v>0.1347494939937707</v>
      </c>
      <c r="J7" s="2">
        <f t="shared" si="2"/>
        <v>0.71369581484335898</v>
      </c>
      <c r="K7">
        <f t="shared" si="3"/>
        <v>16.883333333333333</v>
      </c>
    </row>
    <row r="8" spans="1:11" ht="13.9" x14ac:dyDescent="0.3">
      <c r="A8" s="2" t="s">
        <v>754</v>
      </c>
      <c r="B8" s="2">
        <v>0</v>
      </c>
      <c r="C8" s="2">
        <v>0.24</v>
      </c>
      <c r="D8" s="2">
        <v>0</v>
      </c>
      <c r="E8" s="2">
        <v>1.68</v>
      </c>
      <c r="F8" s="2">
        <v>2.27</v>
      </c>
      <c r="G8" s="2">
        <v>1.9</v>
      </c>
      <c r="H8" s="2">
        <f t="shared" si="0"/>
        <v>-4.6073303137496113</v>
      </c>
      <c r="I8" s="2">
        <f t="shared" si="1"/>
        <v>5.9557069703763781E-4</v>
      </c>
      <c r="J8" s="2">
        <f t="shared" si="2"/>
        <v>-2.0588936890535687</v>
      </c>
      <c r="K8">
        <f t="shared" si="3"/>
        <v>1.95</v>
      </c>
    </row>
    <row r="9" spans="1:11" ht="13.9" x14ac:dyDescent="0.3">
      <c r="A9" s="2" t="s">
        <v>208</v>
      </c>
      <c r="B9" s="2">
        <v>0.33</v>
      </c>
      <c r="C9" s="2">
        <v>0</v>
      </c>
      <c r="D9" s="2">
        <v>2.37</v>
      </c>
      <c r="E9" s="2">
        <v>21.42</v>
      </c>
      <c r="F9" s="2">
        <v>16.71</v>
      </c>
      <c r="G9" s="2">
        <v>18.13</v>
      </c>
      <c r="H9" s="2">
        <f t="shared" si="0"/>
        <v>-4.3810782402638688</v>
      </c>
      <c r="I9" s="2">
        <f t="shared" si="1"/>
        <v>3.4923890218473667E-4</v>
      </c>
      <c r="J9" s="2">
        <f t="shared" si="2"/>
        <v>1.4329594072761063</v>
      </c>
      <c r="K9">
        <f t="shared" si="3"/>
        <v>18.753333333333334</v>
      </c>
    </row>
    <row r="10" spans="1:11" ht="13.9" x14ac:dyDescent="0.3">
      <c r="A10" s="2" t="s">
        <v>661</v>
      </c>
      <c r="B10" s="2">
        <v>0</v>
      </c>
      <c r="C10" s="2">
        <v>0.24</v>
      </c>
      <c r="D10" s="2">
        <v>0</v>
      </c>
      <c r="E10" s="2">
        <v>1.48</v>
      </c>
      <c r="F10" s="2">
        <v>1.2</v>
      </c>
      <c r="G10" s="2">
        <v>2.11</v>
      </c>
      <c r="H10" s="2">
        <f t="shared" si="0"/>
        <v>-4.3189193450150238</v>
      </c>
      <c r="I10" s="2">
        <f t="shared" si="1"/>
        <v>5.6826632961506796E-3</v>
      </c>
      <c r="J10" s="2">
        <f t="shared" si="2"/>
        <v>-2.0588936890535687</v>
      </c>
      <c r="K10">
        <f t="shared" si="3"/>
        <v>1.5966666666666665</v>
      </c>
    </row>
    <row r="11" spans="1:11" ht="13.9" x14ac:dyDescent="0.3">
      <c r="A11" s="2" t="s">
        <v>691</v>
      </c>
      <c r="B11" s="2">
        <v>0</v>
      </c>
      <c r="C11" s="2">
        <v>0.24</v>
      </c>
      <c r="D11" s="2">
        <v>0</v>
      </c>
      <c r="E11" s="2">
        <v>1.48</v>
      </c>
      <c r="F11" s="2">
        <v>1.2</v>
      </c>
      <c r="G11" s="2">
        <v>2.11</v>
      </c>
      <c r="H11" s="2">
        <f t="shared" si="0"/>
        <v>-4.3189193450150238</v>
      </c>
      <c r="I11" s="2">
        <f t="shared" si="1"/>
        <v>5.6826632961506796E-3</v>
      </c>
      <c r="J11" s="2">
        <f t="shared" si="2"/>
        <v>-2.0588936890535687</v>
      </c>
      <c r="K11">
        <f t="shared" si="3"/>
        <v>1.5966666666666665</v>
      </c>
    </row>
    <row r="12" spans="1:11" ht="13.9" x14ac:dyDescent="0.3">
      <c r="A12" s="2" t="s">
        <v>612</v>
      </c>
      <c r="B12" s="2">
        <v>0.33</v>
      </c>
      <c r="C12" s="2">
        <v>0</v>
      </c>
      <c r="D12" s="2">
        <v>0</v>
      </c>
      <c r="E12" s="2">
        <v>1.48</v>
      </c>
      <c r="F12" s="2">
        <v>1.34</v>
      </c>
      <c r="G12" s="2">
        <v>2.95</v>
      </c>
      <c r="H12" s="2">
        <f t="shared" si="0"/>
        <v>-4.1280333892870296</v>
      </c>
      <c r="I12" s="2">
        <f t="shared" si="1"/>
        <v>2.6200935822492687E-2</v>
      </c>
      <c r="J12" s="2">
        <f t="shared" si="2"/>
        <v>-1.5994620704162712</v>
      </c>
      <c r="K12">
        <f t="shared" si="3"/>
        <v>1.9233333333333336</v>
      </c>
    </row>
    <row r="13" spans="1:11" ht="13.9" x14ac:dyDescent="0.3">
      <c r="A13" s="2" t="s">
        <v>257</v>
      </c>
      <c r="B13" s="2">
        <v>0.33</v>
      </c>
      <c r="C13" s="2">
        <v>0.24</v>
      </c>
      <c r="D13" s="2">
        <v>0</v>
      </c>
      <c r="E13" s="2">
        <v>2.57</v>
      </c>
      <c r="F13" s="2">
        <v>3.48</v>
      </c>
      <c r="G13" s="2">
        <v>3.9</v>
      </c>
      <c r="H13" s="2">
        <f t="shared" si="0"/>
        <v>-4.1256627012662692</v>
      </c>
      <c r="I13" s="2">
        <f t="shared" si="1"/>
        <v>1.5112018805334404E-3</v>
      </c>
      <c r="J13" s="2">
        <f t="shared" si="2"/>
        <v>-0.81096617560998285</v>
      </c>
      <c r="K13">
        <f t="shared" si="3"/>
        <v>3.3166666666666664</v>
      </c>
    </row>
    <row r="14" spans="1:11" ht="13.9" x14ac:dyDescent="0.3">
      <c r="A14" s="2" t="s">
        <v>197</v>
      </c>
      <c r="B14" s="2">
        <v>0.66</v>
      </c>
      <c r="C14" s="2">
        <v>7.56</v>
      </c>
      <c r="D14" s="2">
        <v>0</v>
      </c>
      <c r="E14" s="2">
        <v>26.75</v>
      </c>
      <c r="F14" s="2">
        <v>33.96</v>
      </c>
      <c r="G14" s="2">
        <v>43.63</v>
      </c>
      <c r="H14" s="2">
        <f t="shared" si="0"/>
        <v>-3.6660101343460605</v>
      </c>
      <c r="I14" s="2">
        <f t="shared" si="1"/>
        <v>4.1973125751771896E-3</v>
      </c>
      <c r="J14" s="2">
        <f t="shared" si="2"/>
        <v>3.0391383939069581</v>
      </c>
      <c r="K14">
        <f t="shared" si="3"/>
        <v>34.78</v>
      </c>
    </row>
    <row r="15" spans="1:11" ht="13.9" x14ac:dyDescent="0.3">
      <c r="A15" s="2" t="s">
        <v>552</v>
      </c>
      <c r="B15" s="2">
        <v>0</v>
      </c>
      <c r="C15" s="2">
        <v>0.24</v>
      </c>
      <c r="D15" s="2">
        <v>0</v>
      </c>
      <c r="E15" s="2">
        <v>1.78</v>
      </c>
      <c r="F15" s="2">
        <v>1.2</v>
      </c>
      <c r="G15" s="2">
        <v>0</v>
      </c>
      <c r="H15" s="2">
        <f t="shared" si="0"/>
        <v>-3.6342060197410055</v>
      </c>
      <c r="I15" s="2">
        <f t="shared" si="1"/>
        <v>0.16005792108507888</v>
      </c>
      <c r="J15" s="2">
        <f t="shared" si="2"/>
        <v>-2.0588936890535687</v>
      </c>
      <c r="K15">
        <f t="shared" si="3"/>
        <v>0.99333333333333329</v>
      </c>
    </row>
    <row r="16" spans="1:11" ht="13.9" x14ac:dyDescent="0.3">
      <c r="A16" s="2" t="s">
        <v>66</v>
      </c>
      <c r="B16" s="2">
        <v>0</v>
      </c>
      <c r="C16" s="2">
        <v>19.760000000000002</v>
      </c>
      <c r="D16" s="2">
        <v>0</v>
      </c>
      <c r="E16" s="2">
        <v>15.5</v>
      </c>
      <c r="F16" s="2">
        <v>131.83000000000001</v>
      </c>
      <c r="G16" s="2">
        <v>28.77</v>
      </c>
      <c r="H16" s="2">
        <f t="shared" si="0"/>
        <v>-3.1557400571338929</v>
      </c>
      <c r="I16" s="2">
        <f t="shared" si="1"/>
        <v>0.23541824328322147</v>
      </c>
      <c r="J16" s="2">
        <f t="shared" si="2"/>
        <v>4.3045110418099535</v>
      </c>
      <c r="K16">
        <f t="shared" si="3"/>
        <v>58.70000000000001</v>
      </c>
    </row>
    <row r="17" spans="1:11" ht="13.9" x14ac:dyDescent="0.3">
      <c r="A17" s="2" t="s">
        <v>777</v>
      </c>
      <c r="B17" s="2">
        <v>1.65</v>
      </c>
      <c r="C17" s="2">
        <v>5.12</v>
      </c>
      <c r="D17" s="2">
        <v>0</v>
      </c>
      <c r="E17" s="2">
        <v>15.3</v>
      </c>
      <c r="F17" s="2">
        <v>15.78</v>
      </c>
      <c r="G17" s="2">
        <v>24.24</v>
      </c>
      <c r="H17" s="2">
        <f t="shared" si="0"/>
        <v>-3.0305734175754977</v>
      </c>
      <c r="I17" s="2">
        <f t="shared" si="1"/>
        <v>7.78303436506527E-3</v>
      </c>
      <c r="J17" s="2">
        <f t="shared" si="2"/>
        <v>2.7591558338002722</v>
      </c>
      <c r="K17">
        <f t="shared" si="3"/>
        <v>18.439999999999998</v>
      </c>
    </row>
    <row r="18" spans="1:11" ht="13.9" x14ac:dyDescent="0.3">
      <c r="A18" s="2" t="s">
        <v>894</v>
      </c>
      <c r="B18" s="2">
        <v>0</v>
      </c>
      <c r="C18" s="2">
        <v>0.24</v>
      </c>
      <c r="D18" s="2">
        <v>0</v>
      </c>
      <c r="E18" s="2">
        <v>0.39</v>
      </c>
      <c r="F18" s="2">
        <v>0.53</v>
      </c>
      <c r="G18" s="2">
        <v>0.95</v>
      </c>
      <c r="H18" s="2">
        <f t="shared" si="0"/>
        <v>-2.9619319591664808</v>
      </c>
      <c r="I18" s="2">
        <f t="shared" si="1"/>
        <v>4.3403742292860224E-2</v>
      </c>
      <c r="J18" s="2">
        <f t="shared" si="2"/>
        <v>-2.0588936890535687</v>
      </c>
      <c r="K18">
        <f t="shared" si="3"/>
        <v>0.62333333333333341</v>
      </c>
    </row>
    <row r="19" spans="1:11" ht="13.9" x14ac:dyDescent="0.3">
      <c r="A19" s="2" t="s">
        <v>607</v>
      </c>
      <c r="B19" s="2">
        <v>6.59</v>
      </c>
      <c r="C19" s="2">
        <v>5.86</v>
      </c>
      <c r="D19" s="2">
        <v>15.11</v>
      </c>
      <c r="E19" s="2">
        <v>64.56</v>
      </c>
      <c r="F19" s="2">
        <v>80.489999999999995</v>
      </c>
      <c r="G19" s="2">
        <v>67.87</v>
      </c>
      <c r="H19" s="2">
        <f t="shared" si="0"/>
        <v>-2.9496636782211949</v>
      </c>
      <c r="I19" s="2">
        <f t="shared" si="1"/>
        <v>4.080510155718493E-4</v>
      </c>
      <c r="J19" s="2">
        <f t="shared" si="2"/>
        <v>4.784503982929567</v>
      </c>
      <c r="K19">
        <f t="shared" si="3"/>
        <v>70.973333333333343</v>
      </c>
    </row>
    <row r="20" spans="1:11" ht="13.9" x14ac:dyDescent="0.3">
      <c r="A20" s="2" t="s">
        <v>774</v>
      </c>
      <c r="B20" s="2">
        <v>0</v>
      </c>
      <c r="C20" s="2">
        <v>3.9</v>
      </c>
      <c r="D20" s="2">
        <v>0</v>
      </c>
      <c r="E20" s="2">
        <v>5.53</v>
      </c>
      <c r="F20" s="2">
        <v>12.17</v>
      </c>
      <c r="G20" s="2">
        <v>11.91</v>
      </c>
      <c r="H20" s="2">
        <f t="shared" si="0"/>
        <v>-2.9245384614279435</v>
      </c>
      <c r="I20" s="2">
        <f t="shared" si="1"/>
        <v>2.7621876978541876E-2</v>
      </c>
      <c r="J20" s="2">
        <f t="shared" si="2"/>
        <v>1.9634741239748859</v>
      </c>
      <c r="K20">
        <f t="shared" si="3"/>
        <v>9.8699999999999992</v>
      </c>
    </row>
    <row r="21" spans="1:11" ht="13.9" x14ac:dyDescent="0.3">
      <c r="A21" s="2" t="s">
        <v>594</v>
      </c>
      <c r="B21" s="2">
        <v>17.47</v>
      </c>
      <c r="C21" s="2">
        <v>16.350000000000001</v>
      </c>
      <c r="D21" s="2">
        <v>4.7300000000000004</v>
      </c>
      <c r="E21" s="2">
        <v>105.13</v>
      </c>
      <c r="F21" s="2">
        <v>73.94</v>
      </c>
      <c r="G21" s="2">
        <v>100.12</v>
      </c>
      <c r="H21" s="2">
        <f t="shared" si="0"/>
        <v>-2.8564445029107448</v>
      </c>
      <c r="I21" s="2">
        <f t="shared" si="1"/>
        <v>1.5732260718641887E-3</v>
      </c>
      <c r="J21" s="2">
        <f t="shared" si="2"/>
        <v>5.2686589550276723</v>
      </c>
      <c r="K21">
        <f t="shared" si="3"/>
        <v>93.063333333333333</v>
      </c>
    </row>
    <row r="22" spans="1:11" ht="13.9" x14ac:dyDescent="0.3">
      <c r="A22" s="2" t="s">
        <v>244</v>
      </c>
      <c r="B22" s="2">
        <v>0</v>
      </c>
      <c r="C22" s="2">
        <v>0.24</v>
      </c>
      <c r="D22" s="2">
        <v>0</v>
      </c>
      <c r="E22" s="2">
        <v>0.2</v>
      </c>
      <c r="F22" s="2">
        <v>0.8</v>
      </c>
      <c r="G22" s="2">
        <v>0.63</v>
      </c>
      <c r="H22" s="2">
        <f t="shared" si="0"/>
        <v>-2.7637656535099211</v>
      </c>
      <c r="I22" s="2">
        <f t="shared" si="1"/>
        <v>7.6970900299341519E-2</v>
      </c>
      <c r="J22" s="2">
        <f t="shared" si="2"/>
        <v>-2.0588936890535687</v>
      </c>
      <c r="K22">
        <f t="shared" si="3"/>
        <v>0.54333333333333333</v>
      </c>
    </row>
    <row r="23" spans="1:11" ht="13.9" x14ac:dyDescent="0.3">
      <c r="A23" s="2" t="s">
        <v>188</v>
      </c>
      <c r="B23" s="2">
        <v>0</v>
      </c>
      <c r="C23" s="2">
        <v>0</v>
      </c>
      <c r="D23" s="2">
        <v>2.5499999999999998</v>
      </c>
      <c r="E23" s="2">
        <v>7.01</v>
      </c>
      <c r="F23" s="2">
        <v>4.41</v>
      </c>
      <c r="G23" s="2">
        <v>3.06</v>
      </c>
      <c r="H23" s="2">
        <f t="shared" si="0"/>
        <v>-2.5054924502243474</v>
      </c>
      <c r="I23" s="2">
        <f t="shared" si="1"/>
        <v>5.0507969678895509E-2</v>
      </c>
      <c r="J23" s="2">
        <f t="shared" si="2"/>
        <v>1.3504972470841332</v>
      </c>
      <c r="K23">
        <f t="shared" si="3"/>
        <v>4.8266666666666671</v>
      </c>
    </row>
    <row r="24" spans="1:11" ht="13.9" x14ac:dyDescent="0.3">
      <c r="A24" s="2" t="s">
        <v>627</v>
      </c>
      <c r="B24" s="2">
        <v>0</v>
      </c>
      <c r="C24" s="2">
        <v>1.22</v>
      </c>
      <c r="D24" s="2">
        <v>0.18</v>
      </c>
      <c r="E24" s="2">
        <v>2.4700000000000002</v>
      </c>
      <c r="F24" s="2">
        <v>3.21</v>
      </c>
      <c r="G24" s="2">
        <v>1.9</v>
      </c>
      <c r="H24" s="2">
        <f t="shared" si="0"/>
        <v>-2.4367710212261255</v>
      </c>
      <c r="I24" s="2">
        <f t="shared" si="1"/>
        <v>1.8522859258586877E-2</v>
      </c>
      <c r="J24" s="2">
        <f t="shared" si="2"/>
        <v>0.48542682717024171</v>
      </c>
      <c r="K24">
        <f t="shared" si="3"/>
        <v>2.5266666666666668</v>
      </c>
    </row>
    <row r="25" spans="1:11" ht="13.9" x14ac:dyDescent="0.3">
      <c r="A25" s="2" t="s">
        <v>748</v>
      </c>
      <c r="B25" s="2">
        <v>5.6</v>
      </c>
      <c r="C25" s="2">
        <v>5.86</v>
      </c>
      <c r="D25" s="2">
        <v>0</v>
      </c>
      <c r="E25" s="2">
        <v>15.4</v>
      </c>
      <c r="F25" s="2">
        <v>20.59</v>
      </c>
      <c r="G25" s="2">
        <v>23.71</v>
      </c>
      <c r="H25" s="2">
        <f t="shared" si="0"/>
        <v>-2.3811238873952627</v>
      </c>
      <c r="I25" s="2">
        <f t="shared" si="1"/>
        <v>6.473731035115113E-3</v>
      </c>
      <c r="J25" s="2">
        <f t="shared" si="2"/>
        <v>3.5185351389821804</v>
      </c>
      <c r="K25">
        <f t="shared" si="3"/>
        <v>19.900000000000002</v>
      </c>
    </row>
    <row r="26" spans="1:11" ht="13.9" x14ac:dyDescent="0.3">
      <c r="A26" s="2" t="s">
        <v>118</v>
      </c>
      <c r="B26" s="2">
        <v>4.9400000000000004</v>
      </c>
      <c r="C26" s="2">
        <v>0</v>
      </c>
      <c r="D26" s="2">
        <v>0</v>
      </c>
      <c r="E26" s="2">
        <v>5.82</v>
      </c>
      <c r="F26" s="2">
        <v>8.56</v>
      </c>
      <c r="G26" s="2">
        <v>10.96</v>
      </c>
      <c r="H26" s="2">
        <f t="shared" si="0"/>
        <v>-2.358833577556132</v>
      </c>
      <c r="I26" s="2">
        <f t="shared" si="1"/>
        <v>3.7409015438754821E-2</v>
      </c>
      <c r="J26" s="2">
        <f t="shared" si="2"/>
        <v>2.304511041809953</v>
      </c>
      <c r="K26">
        <f t="shared" si="3"/>
        <v>8.4466666666666672</v>
      </c>
    </row>
    <row r="27" spans="1:11" ht="13.9" x14ac:dyDescent="0.3">
      <c r="A27" s="2" t="s">
        <v>114</v>
      </c>
      <c r="B27" s="2">
        <v>17.8</v>
      </c>
      <c r="C27" s="2">
        <v>5.37</v>
      </c>
      <c r="D27" s="2">
        <v>0.18</v>
      </c>
      <c r="E27" s="2">
        <v>22.7</v>
      </c>
      <c r="F27" s="2">
        <v>43.19</v>
      </c>
      <c r="G27" s="2">
        <v>52.9</v>
      </c>
      <c r="H27" s="2">
        <f t="shared" si="0"/>
        <v>-2.3469189370032431</v>
      </c>
      <c r="I27" s="2">
        <f t="shared" si="1"/>
        <v>3.686474954753842E-2</v>
      </c>
      <c r="J27" s="2">
        <f t="shared" si="2"/>
        <v>4.5453506448222996</v>
      </c>
      <c r="K27">
        <f t="shared" si="3"/>
        <v>39.596666666666664</v>
      </c>
    </row>
    <row r="28" spans="1:11" ht="13.9" x14ac:dyDescent="0.3">
      <c r="A28" s="2" t="s">
        <v>385</v>
      </c>
      <c r="B28" s="2">
        <v>6.59</v>
      </c>
      <c r="C28" s="2">
        <v>0.24</v>
      </c>
      <c r="D28" s="2">
        <v>13.65</v>
      </c>
      <c r="E28" s="2">
        <v>26.55</v>
      </c>
      <c r="F28" s="2">
        <v>29.55</v>
      </c>
      <c r="G28" s="2">
        <v>38.89</v>
      </c>
      <c r="H28" s="2">
        <f t="shared" si="0"/>
        <v>-2.2135599274764584</v>
      </c>
      <c r="I28" s="2">
        <f t="shared" si="1"/>
        <v>9.8251124559513101E-3</v>
      </c>
      <c r="J28" s="2">
        <f t="shared" si="2"/>
        <v>4.3561438102252756</v>
      </c>
      <c r="K28">
        <f t="shared" si="3"/>
        <v>31.663333333333338</v>
      </c>
    </row>
    <row r="29" spans="1:11" ht="13.9" x14ac:dyDescent="0.3">
      <c r="A29" s="2" t="s">
        <v>263</v>
      </c>
      <c r="B29" s="2">
        <v>3.63</v>
      </c>
      <c r="C29" s="2">
        <v>18.79</v>
      </c>
      <c r="D29" s="2">
        <v>1.46</v>
      </c>
      <c r="E29" s="2">
        <v>26.36</v>
      </c>
      <c r="F29" s="2">
        <v>32.76</v>
      </c>
      <c r="G29" s="2">
        <v>49.43</v>
      </c>
      <c r="H29" s="2">
        <f t="shared" si="0"/>
        <v>-2.1844849842377014</v>
      </c>
      <c r="I29" s="2">
        <f t="shared" si="1"/>
        <v>3.2390519832390843E-2</v>
      </c>
      <c r="J29" s="2">
        <f t="shared" si="2"/>
        <v>4.5777309314900805</v>
      </c>
      <c r="K29">
        <f t="shared" si="3"/>
        <v>36.18333333333333</v>
      </c>
    </row>
    <row r="30" spans="1:11" ht="13.9" x14ac:dyDescent="0.3">
      <c r="A30" s="2" t="s">
        <v>59</v>
      </c>
      <c r="B30" s="2">
        <v>0.33</v>
      </c>
      <c r="C30" s="2">
        <v>0</v>
      </c>
      <c r="D30" s="2">
        <v>0</v>
      </c>
      <c r="E30" s="2">
        <v>0</v>
      </c>
      <c r="F30" s="2">
        <v>0</v>
      </c>
      <c r="G30" s="2">
        <v>1.48</v>
      </c>
      <c r="H30" s="2">
        <f t="shared" si="0"/>
        <v>-2.1650592462704963</v>
      </c>
      <c r="I30" s="2">
        <f t="shared" si="1"/>
        <v>0.4904394858565102</v>
      </c>
      <c r="J30" s="2">
        <f t="shared" si="2"/>
        <v>-1.5994620704162712</v>
      </c>
      <c r="K30">
        <f t="shared" si="3"/>
        <v>0.49333333333333335</v>
      </c>
    </row>
    <row r="31" spans="1:11" ht="13.9" x14ac:dyDescent="0.3">
      <c r="A31" s="2" t="s">
        <v>194</v>
      </c>
      <c r="B31" s="2">
        <v>0</v>
      </c>
      <c r="C31" s="2">
        <v>0</v>
      </c>
      <c r="D31" s="2">
        <v>0.18</v>
      </c>
      <c r="E31" s="2">
        <v>0</v>
      </c>
      <c r="F31" s="2">
        <v>0.8</v>
      </c>
      <c r="G31" s="2">
        <v>0</v>
      </c>
      <c r="H31" s="2">
        <f t="shared" si="0"/>
        <v>-2.15200309344505</v>
      </c>
      <c r="I31" s="2">
        <f t="shared" si="1"/>
        <v>0.49167643876912198</v>
      </c>
      <c r="J31" s="2">
        <f t="shared" si="2"/>
        <v>-2.4739311883324122</v>
      </c>
      <c r="K31">
        <f t="shared" si="3"/>
        <v>0.26666666666666666</v>
      </c>
    </row>
    <row r="32" spans="1:11" ht="13.9" x14ac:dyDescent="0.3">
      <c r="A32" s="2" t="s">
        <v>916</v>
      </c>
      <c r="B32" s="2">
        <v>14.17</v>
      </c>
      <c r="C32" s="2">
        <v>0</v>
      </c>
      <c r="D32" s="2">
        <v>0.91</v>
      </c>
      <c r="E32" s="2">
        <v>24.09</v>
      </c>
      <c r="F32" s="2">
        <v>23.93</v>
      </c>
      <c r="G32" s="2">
        <v>16.86</v>
      </c>
      <c r="H32" s="2">
        <f t="shared" si="0"/>
        <v>-2.1051373909486086</v>
      </c>
      <c r="I32" s="2">
        <f t="shared" si="1"/>
        <v>3.2419258654864412E-2</v>
      </c>
      <c r="J32" s="2">
        <f t="shared" si="2"/>
        <v>3.9145645234939397</v>
      </c>
      <c r="K32">
        <f t="shared" si="3"/>
        <v>21.626666666666665</v>
      </c>
    </row>
    <row r="33" spans="1:11" ht="13.9" x14ac:dyDescent="0.3">
      <c r="A33" s="2" t="s">
        <v>618</v>
      </c>
      <c r="B33" s="2">
        <v>0</v>
      </c>
      <c r="C33" s="2">
        <v>0</v>
      </c>
      <c r="D33" s="2">
        <v>12.2</v>
      </c>
      <c r="E33" s="2">
        <v>15.5</v>
      </c>
      <c r="F33" s="2">
        <v>20.190000000000001</v>
      </c>
      <c r="G33" s="2">
        <v>15.7</v>
      </c>
      <c r="H33" s="2">
        <f t="shared" si="0"/>
        <v>-2.0746065043549065</v>
      </c>
      <c r="I33" s="2">
        <f t="shared" si="1"/>
        <v>3.9695387881933608E-2</v>
      </c>
      <c r="J33" s="2">
        <f t="shared" si="2"/>
        <v>3.6088092426755241</v>
      </c>
      <c r="K33">
        <f t="shared" si="3"/>
        <v>17.13</v>
      </c>
    </row>
    <row r="34" spans="1:11" ht="13.9" x14ac:dyDescent="0.3">
      <c r="A34" s="2" t="s">
        <v>504</v>
      </c>
      <c r="B34" s="2">
        <v>0</v>
      </c>
      <c r="C34" s="2">
        <v>3.66</v>
      </c>
      <c r="D34" s="2">
        <v>0</v>
      </c>
      <c r="E34" s="2">
        <v>4.24</v>
      </c>
      <c r="F34" s="2">
        <v>3.88</v>
      </c>
      <c r="G34" s="2">
        <v>6.96</v>
      </c>
      <c r="H34" s="2">
        <f t="shared" si="0"/>
        <v>-2.0427208749846217</v>
      </c>
      <c r="I34" s="2">
        <f t="shared" si="1"/>
        <v>7.1197007211961344E-2</v>
      </c>
      <c r="J34" s="2">
        <f t="shared" si="2"/>
        <v>1.8718436485093179</v>
      </c>
      <c r="K34">
        <f t="shared" si="3"/>
        <v>5.0266666666666673</v>
      </c>
    </row>
    <row r="35" spans="1:11" ht="13.9" x14ac:dyDescent="0.3">
      <c r="A35" s="2" t="s">
        <v>832</v>
      </c>
      <c r="B35" s="2">
        <v>0</v>
      </c>
      <c r="C35" s="2">
        <v>0</v>
      </c>
      <c r="D35" s="2">
        <v>0.55000000000000004</v>
      </c>
      <c r="E35" s="2">
        <v>0.49</v>
      </c>
      <c r="F35" s="2">
        <v>1.47</v>
      </c>
      <c r="G35" s="2">
        <v>0.21</v>
      </c>
      <c r="H35" s="2">
        <f t="shared" si="0"/>
        <v>-1.9801915189198196</v>
      </c>
      <c r="I35" s="2">
        <f t="shared" si="1"/>
        <v>0.27149717853356392</v>
      </c>
      <c r="J35" s="2">
        <f t="shared" si="2"/>
        <v>-0.86249647625006509</v>
      </c>
      <c r="K35">
        <f t="shared" si="3"/>
        <v>0.72333333333333327</v>
      </c>
    </row>
    <row r="36" spans="1:11" ht="13.9" x14ac:dyDescent="0.3">
      <c r="A36" s="2" t="s">
        <v>419</v>
      </c>
      <c r="B36" s="2">
        <v>0.33</v>
      </c>
      <c r="C36" s="2">
        <v>0</v>
      </c>
      <c r="D36" s="2">
        <v>0</v>
      </c>
      <c r="E36" s="2">
        <v>0.1</v>
      </c>
      <c r="F36" s="2">
        <v>0.67</v>
      </c>
      <c r="G36" s="2">
        <v>0.53</v>
      </c>
      <c r="H36" s="2">
        <f t="shared" si="0"/>
        <v>-1.9779736936700012</v>
      </c>
      <c r="I36" s="2">
        <f t="shared" si="1"/>
        <v>0.18770937019740322</v>
      </c>
      <c r="J36" s="2">
        <f t="shared" si="2"/>
        <v>-1.5994620704162712</v>
      </c>
      <c r="K36">
        <f t="shared" si="3"/>
        <v>0.43333333333333335</v>
      </c>
    </row>
    <row r="37" spans="1:11" ht="13.9" x14ac:dyDescent="0.3">
      <c r="A37" s="2" t="s">
        <v>367</v>
      </c>
      <c r="B37" s="2">
        <v>2.97</v>
      </c>
      <c r="C37" s="2">
        <v>0</v>
      </c>
      <c r="D37" s="2">
        <v>0</v>
      </c>
      <c r="E37" s="2">
        <v>3.65</v>
      </c>
      <c r="F37" s="2">
        <v>5.21</v>
      </c>
      <c r="G37" s="2">
        <v>2.5299999999999998</v>
      </c>
      <c r="H37" s="2">
        <f t="shared" si="0"/>
        <v>-1.9392329109073458</v>
      </c>
      <c r="I37" s="2">
        <f t="shared" si="1"/>
        <v>8.9607407404061257E-2</v>
      </c>
      <c r="J37" s="2">
        <f t="shared" si="2"/>
        <v>1.5704629310260412</v>
      </c>
      <c r="K37">
        <f t="shared" si="3"/>
        <v>3.7966666666666664</v>
      </c>
    </row>
    <row r="38" spans="1:11" ht="13.9" x14ac:dyDescent="0.3">
      <c r="A38" s="2" t="s">
        <v>911</v>
      </c>
      <c r="B38" s="2">
        <v>0</v>
      </c>
      <c r="C38" s="2">
        <v>0</v>
      </c>
      <c r="D38" s="2">
        <v>0.18</v>
      </c>
      <c r="E38" s="2">
        <v>0</v>
      </c>
      <c r="F38" s="2">
        <v>0.67</v>
      </c>
      <c r="G38" s="2">
        <v>0</v>
      </c>
      <c r="H38" s="2">
        <f t="shared" si="0"/>
        <v>-1.8961641890154601</v>
      </c>
      <c r="I38" s="2">
        <f t="shared" si="1"/>
        <v>0.51897037242873056</v>
      </c>
      <c r="J38" s="2">
        <f t="shared" si="2"/>
        <v>-2.4739311883324122</v>
      </c>
      <c r="K38">
        <f t="shared" si="3"/>
        <v>0.22333333333333336</v>
      </c>
    </row>
    <row r="39" spans="1:11" ht="13.9" x14ac:dyDescent="0.3">
      <c r="A39" s="2" t="s">
        <v>589</v>
      </c>
      <c r="B39" s="2">
        <v>0.99</v>
      </c>
      <c r="C39" s="2">
        <v>0</v>
      </c>
      <c r="D39" s="2">
        <v>0</v>
      </c>
      <c r="E39" s="2">
        <v>1.88</v>
      </c>
      <c r="F39" s="2">
        <v>0.13</v>
      </c>
      <c r="G39" s="2">
        <v>1.58</v>
      </c>
      <c r="H39" s="2">
        <f t="shared" si="0"/>
        <v>-1.8584834137434418</v>
      </c>
      <c r="I39" s="2">
        <f t="shared" si="1"/>
        <v>0.24287326304720028</v>
      </c>
      <c r="J39" s="2">
        <f t="shared" si="2"/>
        <v>-1.4499569695115091E-2</v>
      </c>
      <c r="K39">
        <f t="shared" si="3"/>
        <v>1.1966666666666665</v>
      </c>
    </row>
    <row r="40" spans="1:11" ht="13.9" x14ac:dyDescent="0.3">
      <c r="A40" s="2" t="s">
        <v>126</v>
      </c>
      <c r="B40" s="2">
        <v>0</v>
      </c>
      <c r="C40" s="2">
        <v>0</v>
      </c>
      <c r="D40" s="2">
        <v>4.01</v>
      </c>
      <c r="E40" s="2">
        <v>4.54</v>
      </c>
      <c r="F40" s="2">
        <v>5.21</v>
      </c>
      <c r="G40" s="2">
        <v>4.22</v>
      </c>
      <c r="H40" s="2">
        <f t="shared" si="0"/>
        <v>-1.8006578789545427</v>
      </c>
      <c r="I40" s="2">
        <f t="shared" si="1"/>
        <v>7.2239117902632127E-2</v>
      </c>
      <c r="J40" s="2">
        <f t="shared" si="2"/>
        <v>2.0036022366801958</v>
      </c>
      <c r="K40">
        <f t="shared" si="3"/>
        <v>4.6566666666666663</v>
      </c>
    </row>
    <row r="41" spans="1:11" ht="13.9" x14ac:dyDescent="0.3">
      <c r="A41" s="2" t="s">
        <v>183</v>
      </c>
      <c r="B41" s="2">
        <v>614.4</v>
      </c>
      <c r="C41" s="2">
        <v>259.82</v>
      </c>
      <c r="D41" s="2">
        <v>531.80999999999995</v>
      </c>
      <c r="E41" s="2">
        <v>1766.71</v>
      </c>
      <c r="F41" s="2">
        <v>1010.69</v>
      </c>
      <c r="G41" s="2">
        <v>2049.23</v>
      </c>
      <c r="H41" s="2">
        <f t="shared" si="0"/>
        <v>-1.7793888597970235</v>
      </c>
      <c r="I41" s="2">
        <f t="shared" si="1"/>
        <v>2.5438508900642916E-2</v>
      </c>
      <c r="J41" s="2">
        <f t="shared" si="2"/>
        <v>10.457411661710863</v>
      </c>
      <c r="K41">
        <f t="shared" si="3"/>
        <v>1608.8766666666668</v>
      </c>
    </row>
    <row r="42" spans="1:11" ht="13.9" x14ac:dyDescent="0.3">
      <c r="A42" s="2" t="s">
        <v>104</v>
      </c>
      <c r="B42" s="2">
        <v>0</v>
      </c>
      <c r="C42" s="2">
        <v>14.15</v>
      </c>
      <c r="D42" s="2">
        <v>0</v>
      </c>
      <c r="E42" s="2">
        <v>2.27</v>
      </c>
      <c r="F42" s="2">
        <v>38.51</v>
      </c>
      <c r="G42" s="2">
        <v>7.38</v>
      </c>
      <c r="H42" s="2">
        <f t="shared" si="0"/>
        <v>-1.7670333390404576</v>
      </c>
      <c r="I42" s="2">
        <f t="shared" si="1"/>
        <v>0.40773440984894693</v>
      </c>
      <c r="J42" s="2">
        <f t="shared" si="2"/>
        <v>3.8227301479445206</v>
      </c>
      <c r="K42">
        <f t="shared" si="3"/>
        <v>16.053333333333335</v>
      </c>
    </row>
    <row r="43" spans="1:11" ht="13.9" x14ac:dyDescent="0.3">
      <c r="A43" s="2" t="s">
        <v>888</v>
      </c>
      <c r="B43" s="2">
        <v>1019.17</v>
      </c>
      <c r="C43" s="2">
        <v>1207.3699999999999</v>
      </c>
      <c r="D43" s="2">
        <v>1104.5899999999999</v>
      </c>
      <c r="E43" s="2">
        <v>3956.7</v>
      </c>
      <c r="F43" s="2">
        <v>3210.03</v>
      </c>
      <c r="G43" s="2">
        <v>4022.79</v>
      </c>
      <c r="H43" s="2">
        <f t="shared" si="0"/>
        <v>-1.7480645873990259</v>
      </c>
      <c r="I43" s="2">
        <f t="shared" si="1"/>
        <v>5.9834737245994293E-4</v>
      </c>
      <c r="J43" s="2">
        <f t="shared" si="2"/>
        <v>11.70179594209543</v>
      </c>
      <c r="K43">
        <f t="shared" si="3"/>
        <v>3729.84</v>
      </c>
    </row>
    <row r="44" spans="1:11" ht="13.9" x14ac:dyDescent="0.3">
      <c r="A44" s="2" t="s">
        <v>625</v>
      </c>
      <c r="B44" s="2">
        <v>10.220000000000001</v>
      </c>
      <c r="C44" s="2">
        <v>0.24</v>
      </c>
      <c r="D44" s="2">
        <v>4.01</v>
      </c>
      <c r="E44" s="2">
        <v>14.12</v>
      </c>
      <c r="F44" s="2">
        <v>16.04</v>
      </c>
      <c r="G44" s="2">
        <v>17.28</v>
      </c>
      <c r="H44" s="2">
        <f t="shared" si="0"/>
        <v>-1.713039088014279</v>
      </c>
      <c r="I44" s="2">
        <f t="shared" si="1"/>
        <v>2.2722680386386251E-2</v>
      </c>
      <c r="J44" s="2">
        <f t="shared" si="2"/>
        <v>3.8549930167570001</v>
      </c>
      <c r="K44">
        <f t="shared" si="3"/>
        <v>15.813333333333333</v>
      </c>
    </row>
    <row r="45" spans="1:11" ht="13.9" x14ac:dyDescent="0.3">
      <c r="A45" s="2" t="s">
        <v>438</v>
      </c>
      <c r="B45" s="2">
        <v>12.2</v>
      </c>
      <c r="C45" s="2">
        <v>7.07</v>
      </c>
      <c r="D45" s="2">
        <v>0</v>
      </c>
      <c r="E45" s="2">
        <v>20.73</v>
      </c>
      <c r="F45" s="2">
        <v>16.71</v>
      </c>
      <c r="G45" s="2">
        <v>24.98</v>
      </c>
      <c r="H45" s="2">
        <f t="shared" si="0"/>
        <v>-1.6956517856234892</v>
      </c>
      <c r="I45" s="2">
        <f t="shared" si="1"/>
        <v>2.8025692795669039E-2</v>
      </c>
      <c r="J45" s="2">
        <f t="shared" si="2"/>
        <v>4.2682846665209961</v>
      </c>
      <c r="K45">
        <f t="shared" si="3"/>
        <v>20.806666666666668</v>
      </c>
    </row>
    <row r="46" spans="1:11" ht="13.9" x14ac:dyDescent="0.3">
      <c r="A46" s="2" t="s">
        <v>391</v>
      </c>
      <c r="B46" s="2">
        <v>2.31</v>
      </c>
      <c r="C46" s="2">
        <v>7.56</v>
      </c>
      <c r="D46" s="2">
        <v>1.46</v>
      </c>
      <c r="E46" s="2">
        <v>10.46</v>
      </c>
      <c r="F46" s="2">
        <v>14.84</v>
      </c>
      <c r="G46" s="2">
        <v>10.43</v>
      </c>
      <c r="H46" s="2">
        <f t="shared" si="0"/>
        <v>-1.6569880527647549</v>
      </c>
      <c r="I46" s="2">
        <f t="shared" si="1"/>
        <v>2.7744795767106725E-2</v>
      </c>
      <c r="J46" s="2">
        <f t="shared" si="2"/>
        <v>3.5020759560457906</v>
      </c>
      <c r="K46">
        <f t="shared" si="3"/>
        <v>11.910000000000002</v>
      </c>
    </row>
    <row r="47" spans="1:11" ht="13.9" x14ac:dyDescent="0.3">
      <c r="A47" s="2" t="s">
        <v>215</v>
      </c>
      <c r="B47" s="2">
        <v>0.33</v>
      </c>
      <c r="C47" s="2">
        <v>0</v>
      </c>
      <c r="D47" s="2">
        <v>0.73</v>
      </c>
      <c r="E47" s="2">
        <v>1.68</v>
      </c>
      <c r="F47" s="2">
        <v>0</v>
      </c>
      <c r="G47" s="2">
        <v>1.58</v>
      </c>
      <c r="H47" s="2">
        <f t="shared" si="0"/>
        <v>-1.6208076996678782</v>
      </c>
      <c r="I47" s="2">
        <f t="shared" si="1"/>
        <v>0.27728734098933094</v>
      </c>
      <c r="J47" s="2">
        <f t="shared" si="2"/>
        <v>8.4064264788474549E-2</v>
      </c>
      <c r="K47">
        <f t="shared" si="3"/>
        <v>1.0866666666666667</v>
      </c>
    </row>
    <row r="48" spans="1:11" ht="13.9" x14ac:dyDescent="0.3">
      <c r="A48" s="2" t="s">
        <v>912</v>
      </c>
      <c r="B48" s="2">
        <v>0</v>
      </c>
      <c r="C48" s="2">
        <v>19.760000000000002</v>
      </c>
      <c r="D48" s="2">
        <v>0.18</v>
      </c>
      <c r="E48" s="2">
        <v>21.03</v>
      </c>
      <c r="F48" s="2">
        <v>17.78</v>
      </c>
      <c r="G48" s="2">
        <v>21.29</v>
      </c>
      <c r="H48" s="2">
        <f t="shared" si="0"/>
        <v>-1.5916995812003518</v>
      </c>
      <c r="I48" s="2">
        <f t="shared" si="1"/>
        <v>0.11453647497599236</v>
      </c>
      <c r="J48" s="2">
        <f t="shared" si="2"/>
        <v>4.3175935046234715</v>
      </c>
      <c r="K48">
        <f t="shared" si="3"/>
        <v>20.033333333333335</v>
      </c>
    </row>
    <row r="49" spans="1:11" ht="13.9" x14ac:dyDescent="0.3">
      <c r="A49" s="2" t="s">
        <v>235</v>
      </c>
      <c r="B49" s="2">
        <v>1.32</v>
      </c>
      <c r="C49" s="2">
        <v>16.100000000000001</v>
      </c>
      <c r="D49" s="2">
        <v>2.37</v>
      </c>
      <c r="E49" s="2">
        <v>19.739999999999998</v>
      </c>
      <c r="F49" s="2">
        <v>15.78</v>
      </c>
      <c r="G49" s="2">
        <v>23.92</v>
      </c>
      <c r="H49" s="2">
        <f t="shared" si="0"/>
        <v>-1.5866625034910842</v>
      </c>
      <c r="I49" s="2">
        <f t="shared" si="1"/>
        <v>6.7546362536198321E-2</v>
      </c>
      <c r="J49" s="2">
        <f t="shared" si="2"/>
        <v>4.3066997072727879</v>
      </c>
      <c r="K49">
        <f t="shared" si="3"/>
        <v>19.813333333333333</v>
      </c>
    </row>
    <row r="50" spans="1:11" ht="13.9" x14ac:dyDescent="0.3">
      <c r="A50" s="2" t="s">
        <v>31</v>
      </c>
      <c r="B50" s="2">
        <v>0</v>
      </c>
      <c r="C50" s="2">
        <v>0</v>
      </c>
      <c r="D50" s="2">
        <v>0.18</v>
      </c>
      <c r="E50" s="2">
        <v>0</v>
      </c>
      <c r="F50" s="2">
        <v>0</v>
      </c>
      <c r="G50" s="2">
        <v>0.53</v>
      </c>
      <c r="H50" s="2">
        <f t="shared" si="0"/>
        <v>-1.5579954531208871</v>
      </c>
      <c r="I50" s="2">
        <f t="shared" si="1"/>
        <v>0.56567824274836098</v>
      </c>
      <c r="J50" s="2">
        <f t="shared" si="2"/>
        <v>-2.4739311883324122</v>
      </c>
      <c r="K50">
        <f t="shared" si="3"/>
        <v>0.17666666666666667</v>
      </c>
    </row>
    <row r="51" spans="1:11" ht="13.9" x14ac:dyDescent="0.3">
      <c r="A51" s="2" t="s">
        <v>360</v>
      </c>
      <c r="B51" s="2">
        <v>0.99</v>
      </c>
      <c r="C51" s="2">
        <v>0</v>
      </c>
      <c r="D51" s="2">
        <v>0</v>
      </c>
      <c r="E51" s="2">
        <v>1.18</v>
      </c>
      <c r="F51" s="2">
        <v>1.2</v>
      </c>
      <c r="G51" s="2">
        <v>0.53</v>
      </c>
      <c r="H51" s="2">
        <f t="shared" si="0"/>
        <v>-1.5555187228286746</v>
      </c>
      <c r="I51" s="2">
        <f t="shared" si="1"/>
        <v>0.18193314137212868</v>
      </c>
      <c r="J51" s="2">
        <f t="shared" si="2"/>
        <v>-1.4499569695115091E-2</v>
      </c>
      <c r="K51">
        <f t="shared" si="3"/>
        <v>0.97000000000000008</v>
      </c>
    </row>
    <row r="52" spans="1:11" ht="13.9" x14ac:dyDescent="0.3">
      <c r="A52" s="2" t="s">
        <v>36</v>
      </c>
      <c r="B52" s="2">
        <v>0</v>
      </c>
      <c r="C52" s="2">
        <v>0.73</v>
      </c>
      <c r="D52" s="2">
        <v>0</v>
      </c>
      <c r="E52" s="2">
        <v>0.39</v>
      </c>
      <c r="F52" s="2">
        <v>1.74</v>
      </c>
      <c r="G52" s="2">
        <v>0</v>
      </c>
      <c r="H52" s="2">
        <f t="shared" si="0"/>
        <v>-1.5448850613458212</v>
      </c>
      <c r="I52" s="2">
        <f t="shared" si="1"/>
        <v>0.46659032601781097</v>
      </c>
      <c r="J52" s="2">
        <f t="shared" si="2"/>
        <v>-0.45403163089470749</v>
      </c>
      <c r="K52">
        <f t="shared" si="3"/>
        <v>0.71</v>
      </c>
    </row>
    <row r="53" spans="1:11" ht="13.9" x14ac:dyDescent="0.3">
      <c r="A53" s="2" t="s">
        <v>388</v>
      </c>
      <c r="B53" s="2">
        <v>0.33</v>
      </c>
      <c r="C53" s="2">
        <v>12.44</v>
      </c>
      <c r="D53" s="2">
        <v>3.1</v>
      </c>
      <c r="E53" s="2">
        <v>20.73</v>
      </c>
      <c r="F53" s="2">
        <v>12.57</v>
      </c>
      <c r="G53" s="2">
        <v>12.22</v>
      </c>
      <c r="H53" s="2">
        <f t="shared" si="0"/>
        <v>-1.5201984294713999</v>
      </c>
      <c r="I53" s="2">
        <f t="shared" si="1"/>
        <v>9.8081676062576409E-2</v>
      </c>
      <c r="J53" s="2">
        <f t="shared" si="2"/>
        <v>3.9882302230604569</v>
      </c>
      <c r="K53">
        <f t="shared" si="3"/>
        <v>15.173333333333332</v>
      </c>
    </row>
    <row r="54" spans="1:11" ht="13.9" x14ac:dyDescent="0.3">
      <c r="A54" s="2" t="s">
        <v>931</v>
      </c>
      <c r="B54" s="2">
        <v>0</v>
      </c>
      <c r="C54" s="2">
        <v>13.17</v>
      </c>
      <c r="D54" s="2">
        <v>0.18</v>
      </c>
      <c r="E54" s="2">
        <v>12.34</v>
      </c>
      <c r="F54" s="2">
        <v>12.03</v>
      </c>
      <c r="G54" s="2">
        <v>13.49</v>
      </c>
      <c r="H54" s="2">
        <f t="shared" si="0"/>
        <v>-1.5038346691287892</v>
      </c>
      <c r="I54" s="2">
        <f t="shared" si="1"/>
        <v>0.13575840139583684</v>
      </c>
      <c r="J54" s="2">
        <f t="shared" si="2"/>
        <v>3.7387678368001915</v>
      </c>
      <c r="K54">
        <f t="shared" si="3"/>
        <v>12.62</v>
      </c>
    </row>
    <row r="55" spans="1:11" ht="13.9" x14ac:dyDescent="0.3">
      <c r="A55" s="2" t="s">
        <v>290</v>
      </c>
      <c r="B55" s="2">
        <v>23.73</v>
      </c>
      <c r="C55" s="2">
        <v>4.3899999999999997</v>
      </c>
      <c r="D55" s="2">
        <v>25.31</v>
      </c>
      <c r="E55" s="2">
        <v>51.73</v>
      </c>
      <c r="F55" s="2">
        <v>54.02</v>
      </c>
      <c r="G55" s="2">
        <v>43.42</v>
      </c>
      <c r="H55" s="2">
        <f t="shared" si="0"/>
        <v>-1.4812354980175326</v>
      </c>
      <c r="I55" s="2">
        <f t="shared" si="1"/>
        <v>1.28494017061724E-2</v>
      </c>
      <c r="J55" s="2">
        <f t="shared" si="2"/>
        <v>5.7395781120480507</v>
      </c>
      <c r="K55">
        <f t="shared" si="3"/>
        <v>49.723333333333336</v>
      </c>
    </row>
    <row r="56" spans="1:11" ht="13.9" x14ac:dyDescent="0.3">
      <c r="A56" s="2" t="s">
        <v>727</v>
      </c>
      <c r="B56" s="2">
        <v>1.32</v>
      </c>
      <c r="C56" s="2">
        <v>34.64</v>
      </c>
      <c r="D56" s="2">
        <v>11.29</v>
      </c>
      <c r="E56" s="2">
        <v>46.69</v>
      </c>
      <c r="F56" s="2">
        <v>38.909999999999997</v>
      </c>
      <c r="G56" s="2">
        <v>45.95</v>
      </c>
      <c r="H56" s="2">
        <f t="shared" si="0"/>
        <v>-1.4772250140574545</v>
      </c>
      <c r="I56" s="2">
        <f t="shared" si="1"/>
        <v>5.0837089731596119E-2</v>
      </c>
      <c r="J56" s="2">
        <f t="shared" si="2"/>
        <v>5.5622424242210728</v>
      </c>
      <c r="K56">
        <f t="shared" si="3"/>
        <v>43.85</v>
      </c>
    </row>
    <row r="57" spans="1:11" ht="13.9" x14ac:dyDescent="0.3">
      <c r="A57" s="2" t="s">
        <v>176</v>
      </c>
      <c r="B57" s="2">
        <v>0</v>
      </c>
      <c r="C57" s="2">
        <v>0</v>
      </c>
      <c r="D57" s="2">
        <v>0.18</v>
      </c>
      <c r="E57" s="2">
        <v>0.39</v>
      </c>
      <c r="F57" s="2">
        <v>0</v>
      </c>
      <c r="G57" s="2">
        <v>0.11</v>
      </c>
      <c r="H57" s="2">
        <f t="shared" si="0"/>
        <v>-1.4739311883324124</v>
      </c>
      <c r="I57" s="2">
        <f t="shared" si="1"/>
        <v>0.46018629235551056</v>
      </c>
      <c r="J57" s="2">
        <f t="shared" si="2"/>
        <v>-2.4739311883324122</v>
      </c>
      <c r="K57">
        <f t="shared" si="3"/>
        <v>0.16666666666666666</v>
      </c>
    </row>
    <row r="58" spans="1:11" ht="13.9" x14ac:dyDescent="0.3">
      <c r="A58" s="2" t="s">
        <v>165</v>
      </c>
      <c r="B58" s="2">
        <v>233.37</v>
      </c>
      <c r="C58" s="2">
        <v>414.25</v>
      </c>
      <c r="D58" s="2">
        <v>228.31</v>
      </c>
      <c r="E58" s="2">
        <v>628.22</v>
      </c>
      <c r="F58" s="2">
        <v>980.2</v>
      </c>
      <c r="G58" s="2">
        <v>788.39</v>
      </c>
      <c r="H58" s="2">
        <f t="shared" si="0"/>
        <v>-1.4522280616693035</v>
      </c>
      <c r="I58" s="2">
        <f t="shared" si="1"/>
        <v>1.2943790889616835E-2</v>
      </c>
      <c r="J58" s="2">
        <f t="shared" si="2"/>
        <v>9.7746717711445381</v>
      </c>
      <c r="K58">
        <f t="shared" si="3"/>
        <v>798.93666666666661</v>
      </c>
    </row>
    <row r="59" spans="1:11" ht="13.9" x14ac:dyDescent="0.3">
      <c r="A59" s="2" t="s">
        <v>269</v>
      </c>
      <c r="B59" s="2">
        <v>952.25</v>
      </c>
      <c r="C59" s="2">
        <v>847.28</v>
      </c>
      <c r="D59" s="2">
        <v>604.09</v>
      </c>
      <c r="E59" s="2">
        <v>2237.08</v>
      </c>
      <c r="F59" s="2">
        <v>2033.95</v>
      </c>
      <c r="G59" s="2">
        <v>2168.9499999999998</v>
      </c>
      <c r="H59" s="2">
        <f t="shared" si="0"/>
        <v>-1.4218473765270863</v>
      </c>
      <c r="I59" s="2">
        <f t="shared" si="1"/>
        <v>3.5039542711612213E-4</v>
      </c>
      <c r="J59" s="2">
        <f t="shared" si="2"/>
        <v>11.230993116048554</v>
      </c>
      <c r="K59">
        <f t="shared" si="3"/>
        <v>2146.66</v>
      </c>
    </row>
    <row r="60" spans="1:11" ht="13.9" x14ac:dyDescent="0.3">
      <c r="A60" s="2" t="s">
        <v>933</v>
      </c>
      <c r="B60" s="2">
        <v>0.66</v>
      </c>
      <c r="C60" s="2">
        <v>9.27</v>
      </c>
      <c r="D60" s="2">
        <v>16.57</v>
      </c>
      <c r="E60" s="2">
        <v>27.34</v>
      </c>
      <c r="F60" s="2">
        <v>21.39</v>
      </c>
      <c r="G60" s="2">
        <v>21.08</v>
      </c>
      <c r="H60" s="2">
        <f t="shared" si="0"/>
        <v>-1.3974413517885809</v>
      </c>
      <c r="I60" s="2">
        <f t="shared" si="1"/>
        <v>4.5437494404294433E-2</v>
      </c>
      <c r="J60" s="2">
        <f t="shared" si="2"/>
        <v>4.7279204545631996</v>
      </c>
      <c r="K60">
        <f t="shared" si="3"/>
        <v>23.27</v>
      </c>
    </row>
    <row r="61" spans="1:11" ht="13.9" x14ac:dyDescent="0.3">
      <c r="A61" s="2" t="s">
        <v>157</v>
      </c>
      <c r="B61" s="2">
        <v>1606.87</v>
      </c>
      <c r="C61" s="2">
        <v>2641.86</v>
      </c>
      <c r="D61" s="2">
        <v>1471.45</v>
      </c>
      <c r="E61" s="2">
        <v>5098.05</v>
      </c>
      <c r="F61" s="2">
        <v>5500.82</v>
      </c>
      <c r="G61" s="2">
        <v>4256.54</v>
      </c>
      <c r="H61" s="2">
        <f t="shared" si="0"/>
        <v>-1.3768559723049207</v>
      </c>
      <c r="I61" s="2">
        <f t="shared" si="1"/>
        <v>4.2607332832708357E-3</v>
      </c>
      <c r="J61" s="2">
        <f t="shared" si="2"/>
        <v>12.481844830445734</v>
      </c>
      <c r="K61">
        <f t="shared" si="3"/>
        <v>4951.8033333333333</v>
      </c>
    </row>
    <row r="62" spans="1:11" ht="13.9" x14ac:dyDescent="0.3">
      <c r="A62" s="2" t="s">
        <v>212</v>
      </c>
      <c r="B62" s="2">
        <v>14.17</v>
      </c>
      <c r="C62" s="2">
        <v>0</v>
      </c>
      <c r="D62" s="2">
        <v>15.29</v>
      </c>
      <c r="E62" s="2">
        <v>27.64</v>
      </c>
      <c r="F62" s="2">
        <v>27.41</v>
      </c>
      <c r="G62" s="2">
        <v>18.02</v>
      </c>
      <c r="H62" s="2">
        <f t="shared" si="0"/>
        <v>-1.3105217769692457</v>
      </c>
      <c r="I62" s="2">
        <f t="shared" si="1"/>
        <v>6.7940665119628652E-2</v>
      </c>
      <c r="J62" s="2">
        <f t="shared" si="2"/>
        <v>4.880685525261125</v>
      </c>
      <c r="K62">
        <f t="shared" si="3"/>
        <v>24.356666666666666</v>
      </c>
    </row>
    <row r="63" spans="1:11" ht="13.9" x14ac:dyDescent="0.3">
      <c r="A63" s="2" t="s">
        <v>214</v>
      </c>
      <c r="B63" s="2">
        <v>14.17</v>
      </c>
      <c r="C63" s="2">
        <v>0</v>
      </c>
      <c r="D63" s="2">
        <v>15.29</v>
      </c>
      <c r="E63" s="2">
        <v>27.64</v>
      </c>
      <c r="F63" s="2">
        <v>27.41</v>
      </c>
      <c r="G63" s="2">
        <v>18.02</v>
      </c>
      <c r="H63" s="2">
        <f t="shared" si="0"/>
        <v>-1.3105217769692457</v>
      </c>
      <c r="I63" s="2">
        <f t="shared" si="1"/>
        <v>6.7940665119628652E-2</v>
      </c>
      <c r="J63" s="2">
        <f t="shared" si="2"/>
        <v>4.880685525261125</v>
      </c>
      <c r="K63">
        <f t="shared" si="3"/>
        <v>24.356666666666666</v>
      </c>
    </row>
    <row r="64" spans="1:11" ht="13.9" x14ac:dyDescent="0.3">
      <c r="A64" s="2" t="s">
        <v>53</v>
      </c>
      <c r="B64" s="2">
        <v>605.16999999999996</v>
      </c>
      <c r="C64" s="2">
        <v>1179.8</v>
      </c>
      <c r="D64" s="2">
        <v>767.95</v>
      </c>
      <c r="E64" s="2">
        <v>1741.24</v>
      </c>
      <c r="F64" s="2">
        <v>2357.65</v>
      </c>
      <c r="G64" s="2">
        <v>2223.12</v>
      </c>
      <c r="H64" s="2">
        <f t="shared" si="0"/>
        <v>-1.3082349880622597</v>
      </c>
      <c r="I64" s="2">
        <f t="shared" si="1"/>
        <v>7.7261198896088996E-3</v>
      </c>
      <c r="J64" s="2">
        <f t="shared" si="2"/>
        <v>11.317932613863594</v>
      </c>
      <c r="K64">
        <f t="shared" si="3"/>
        <v>2107.3366666666666</v>
      </c>
    </row>
    <row r="65" spans="1:11" ht="13.9" x14ac:dyDescent="0.3">
      <c r="A65" s="2" t="s">
        <v>448</v>
      </c>
      <c r="B65" s="2">
        <v>9.56</v>
      </c>
      <c r="C65" s="2">
        <v>7.07</v>
      </c>
      <c r="D65" s="2">
        <v>2.37</v>
      </c>
      <c r="E65" s="2">
        <v>12.04</v>
      </c>
      <c r="F65" s="2">
        <v>21.79</v>
      </c>
      <c r="G65" s="2">
        <v>12.44</v>
      </c>
      <c r="H65" s="2">
        <f t="shared" si="0"/>
        <v>-1.2840776803469853</v>
      </c>
      <c r="I65" s="2">
        <f t="shared" si="1"/>
        <v>7.6011908090835273E-2</v>
      </c>
      <c r="J65" s="2">
        <f t="shared" si="2"/>
        <v>4.2479275134435861</v>
      </c>
      <c r="K65">
        <f t="shared" si="3"/>
        <v>15.423333333333332</v>
      </c>
    </row>
    <row r="66" spans="1:11" ht="13.9" x14ac:dyDescent="0.3">
      <c r="A66" s="2" t="s">
        <v>299</v>
      </c>
      <c r="B66" s="2">
        <v>128.55000000000001</v>
      </c>
      <c r="C66" s="2">
        <v>186.87</v>
      </c>
      <c r="D66" s="2">
        <v>77.010000000000005</v>
      </c>
      <c r="E66" s="2">
        <v>298.02</v>
      </c>
      <c r="F66" s="2">
        <v>334.53</v>
      </c>
      <c r="G66" s="2">
        <v>319.52999999999997</v>
      </c>
      <c r="H66" s="2">
        <f t="shared" ref="H66:H129" si="4">LOG(SUM(B66:D66)/SUM(E66:G66),2)</f>
        <v>-1.2786474681898963</v>
      </c>
      <c r="I66" s="2">
        <f t="shared" ref="I66:I129" si="5">_xlfn.T.TEST(B66:D66,E66:G66,2,2)</f>
        <v>5.0704221784810839E-3</v>
      </c>
      <c r="J66" s="2">
        <f t="shared" ref="J66:J129" si="6">LOG(SUM(B66:D66),2)</f>
        <v>8.6162915249018166</v>
      </c>
      <c r="K66">
        <f t="shared" ref="K66:K129" si="7">AVERAGE(E66:G66)</f>
        <v>317.35999999999996</v>
      </c>
    </row>
    <row r="67" spans="1:11" ht="13.9" x14ac:dyDescent="0.3">
      <c r="A67" s="2" t="s">
        <v>682</v>
      </c>
      <c r="B67" s="2">
        <v>10.55</v>
      </c>
      <c r="C67" s="2">
        <v>10.49</v>
      </c>
      <c r="D67" s="2">
        <v>7.83</v>
      </c>
      <c r="E67" s="2">
        <v>30.9</v>
      </c>
      <c r="F67" s="2">
        <v>16.04</v>
      </c>
      <c r="G67" s="2">
        <v>22.97</v>
      </c>
      <c r="H67" s="2">
        <f t="shared" si="4"/>
        <v>-1.2759277274050229</v>
      </c>
      <c r="I67" s="2">
        <f t="shared" si="5"/>
        <v>3.5551336757978148E-2</v>
      </c>
      <c r="J67" s="2">
        <f t="shared" si="6"/>
        <v>4.8514992024612571</v>
      </c>
      <c r="K67">
        <f t="shared" si="7"/>
        <v>23.303333333333331</v>
      </c>
    </row>
    <row r="68" spans="1:11" ht="13.9" x14ac:dyDescent="0.3">
      <c r="A68" s="2" t="s">
        <v>231</v>
      </c>
      <c r="B68" s="2">
        <v>0</v>
      </c>
      <c r="C68" s="2">
        <v>2.44</v>
      </c>
      <c r="D68" s="2">
        <v>0</v>
      </c>
      <c r="E68" s="2">
        <v>2.0699999999999998</v>
      </c>
      <c r="F68" s="2">
        <v>1.74</v>
      </c>
      <c r="G68" s="2">
        <v>2</v>
      </c>
      <c r="H68" s="2">
        <f t="shared" si="4"/>
        <v>-1.2516570158416427</v>
      </c>
      <c r="I68" s="2">
        <f t="shared" si="5"/>
        <v>0.24233725178154625</v>
      </c>
      <c r="J68" s="2">
        <f t="shared" si="6"/>
        <v>1.2868811477881617</v>
      </c>
      <c r="K68">
        <f t="shared" si="7"/>
        <v>1.9366666666666665</v>
      </c>
    </row>
    <row r="69" spans="1:11" ht="13.9" x14ac:dyDescent="0.3">
      <c r="A69" s="2" t="s">
        <v>185</v>
      </c>
      <c r="B69" s="2">
        <v>172.06</v>
      </c>
      <c r="C69" s="2">
        <v>132.22999999999999</v>
      </c>
      <c r="D69" s="2">
        <v>244.33</v>
      </c>
      <c r="E69" s="2">
        <v>436.22</v>
      </c>
      <c r="F69" s="2">
        <v>324.24</v>
      </c>
      <c r="G69" s="2">
        <v>540.63</v>
      </c>
      <c r="H69" s="2">
        <f t="shared" si="4"/>
        <v>-1.2458416388629439</v>
      </c>
      <c r="I69" s="2">
        <f t="shared" si="5"/>
        <v>2.370763994212961E-2</v>
      </c>
      <c r="J69" s="2">
        <f t="shared" si="6"/>
        <v>9.0996634065195661</v>
      </c>
      <c r="K69">
        <f t="shared" si="7"/>
        <v>433.69666666666672</v>
      </c>
    </row>
    <row r="70" spans="1:11" ht="13.9" x14ac:dyDescent="0.3">
      <c r="A70" s="2" t="s">
        <v>149</v>
      </c>
      <c r="B70" s="2">
        <v>4844.34</v>
      </c>
      <c r="C70" s="2">
        <v>7090.74</v>
      </c>
      <c r="D70" s="2">
        <v>5312.47</v>
      </c>
      <c r="E70" s="2">
        <v>12831.5</v>
      </c>
      <c r="F70" s="2">
        <v>13324.27</v>
      </c>
      <c r="G70" s="2">
        <v>14612.51</v>
      </c>
      <c r="H70" s="2">
        <f t="shared" si="4"/>
        <v>-1.2410556484674258</v>
      </c>
      <c r="I70" s="2">
        <f t="shared" si="5"/>
        <v>8.2519973992611299E-4</v>
      </c>
      <c r="J70" s="2">
        <f t="shared" si="6"/>
        <v>14.074103822374633</v>
      </c>
      <c r="K70">
        <f t="shared" si="7"/>
        <v>13589.426666666666</v>
      </c>
    </row>
    <row r="71" spans="1:11" ht="13.9" x14ac:dyDescent="0.3">
      <c r="A71" s="2" t="s">
        <v>147</v>
      </c>
      <c r="B71" s="2">
        <v>441.35</v>
      </c>
      <c r="C71" s="2">
        <v>338.37</v>
      </c>
      <c r="D71" s="2">
        <v>330.63</v>
      </c>
      <c r="E71" s="2">
        <v>802.65</v>
      </c>
      <c r="F71" s="2">
        <v>854.92</v>
      </c>
      <c r="G71" s="2">
        <v>953.95</v>
      </c>
      <c r="H71" s="2">
        <f t="shared" si="4"/>
        <v>-1.2338752437392979</v>
      </c>
      <c r="I71" s="2">
        <f t="shared" si="5"/>
        <v>9.2455658782666429E-4</v>
      </c>
      <c r="J71" s="2">
        <f t="shared" si="6"/>
        <v>10.116798793375189</v>
      </c>
      <c r="K71">
        <f t="shared" si="7"/>
        <v>870.50666666666666</v>
      </c>
    </row>
    <row r="72" spans="1:11" ht="13.9" x14ac:dyDescent="0.3">
      <c r="A72" s="2" t="s">
        <v>272</v>
      </c>
      <c r="B72" s="2">
        <v>776.9</v>
      </c>
      <c r="C72" s="2">
        <v>542.80999999999995</v>
      </c>
      <c r="D72" s="2">
        <v>425.49</v>
      </c>
      <c r="E72" s="2">
        <v>1203.1400000000001</v>
      </c>
      <c r="F72" s="2">
        <v>1484.01</v>
      </c>
      <c r="G72" s="2">
        <v>1413.65</v>
      </c>
      <c r="H72" s="2">
        <f t="shared" si="4"/>
        <v>-1.2325130049150776</v>
      </c>
      <c r="I72" s="2">
        <f t="shared" si="5"/>
        <v>4.1619669869607939E-3</v>
      </c>
      <c r="J72" s="2">
        <f t="shared" si="6"/>
        <v>10.769176663489137</v>
      </c>
      <c r="K72">
        <f t="shared" si="7"/>
        <v>1366.9333333333334</v>
      </c>
    </row>
    <row r="73" spans="1:11" ht="13.9" x14ac:dyDescent="0.3">
      <c r="A73" s="2" t="s">
        <v>314</v>
      </c>
      <c r="B73" s="2">
        <v>0</v>
      </c>
      <c r="C73" s="2">
        <v>0</v>
      </c>
      <c r="D73" s="2">
        <v>0.18</v>
      </c>
      <c r="E73" s="2">
        <v>0</v>
      </c>
      <c r="F73" s="2">
        <v>0</v>
      </c>
      <c r="G73" s="2">
        <v>0.42</v>
      </c>
      <c r="H73" s="2">
        <f t="shared" si="4"/>
        <v>-1.2223924213364481</v>
      </c>
      <c r="I73" s="2">
        <f t="shared" si="5"/>
        <v>0.62719317558008614</v>
      </c>
      <c r="J73" s="2">
        <f t="shared" si="6"/>
        <v>-2.4739311883324122</v>
      </c>
      <c r="K73">
        <f t="shared" si="7"/>
        <v>0.13999999999999999</v>
      </c>
    </row>
    <row r="74" spans="1:11" ht="13.9" x14ac:dyDescent="0.3">
      <c r="A74" s="2" t="s">
        <v>151</v>
      </c>
      <c r="B74" s="2">
        <v>164978.38</v>
      </c>
      <c r="C74" s="2">
        <v>283447.26</v>
      </c>
      <c r="D74" s="2">
        <v>190839.22</v>
      </c>
      <c r="E74" s="2">
        <v>485250.17</v>
      </c>
      <c r="F74" s="2">
        <v>498712.81</v>
      </c>
      <c r="G74" s="2">
        <v>474124.89</v>
      </c>
      <c r="H74" s="2">
        <f t="shared" si="4"/>
        <v>-1.189591967587156</v>
      </c>
      <c r="I74" s="2">
        <f t="shared" si="5"/>
        <v>1.7381233865640081E-3</v>
      </c>
      <c r="J74" s="2">
        <f t="shared" si="6"/>
        <v>19.286054266390451</v>
      </c>
      <c r="K74">
        <f t="shared" si="7"/>
        <v>486029.29000000004</v>
      </c>
    </row>
    <row r="75" spans="1:11" ht="13.9" x14ac:dyDescent="0.3">
      <c r="A75" s="2" t="s">
        <v>55</v>
      </c>
      <c r="B75" s="2">
        <v>13.18</v>
      </c>
      <c r="C75" s="2">
        <v>21.96</v>
      </c>
      <c r="D75" s="2">
        <v>9.4700000000000006</v>
      </c>
      <c r="E75" s="2">
        <v>37.61</v>
      </c>
      <c r="F75" s="2">
        <v>34.630000000000003</v>
      </c>
      <c r="G75" s="2">
        <v>26.14</v>
      </c>
      <c r="H75" s="2">
        <f t="shared" si="4"/>
        <v>-1.1409979069497536</v>
      </c>
      <c r="I75" s="2">
        <f t="shared" si="5"/>
        <v>2.3843429277867787E-2</v>
      </c>
      <c r="J75" s="2">
        <f t="shared" si="6"/>
        <v>5.47929524299885</v>
      </c>
      <c r="K75">
        <f t="shared" si="7"/>
        <v>32.793333333333337</v>
      </c>
    </row>
    <row r="76" spans="1:11" ht="13.9" x14ac:dyDescent="0.3">
      <c r="A76" s="2" t="s">
        <v>69</v>
      </c>
      <c r="B76" s="2">
        <v>22.41</v>
      </c>
      <c r="C76" s="2">
        <v>12.69</v>
      </c>
      <c r="D76" s="2">
        <v>25.85</v>
      </c>
      <c r="E76" s="2">
        <v>34.450000000000003</v>
      </c>
      <c r="F76" s="2">
        <v>48.4</v>
      </c>
      <c r="G76" s="2">
        <v>50.16</v>
      </c>
      <c r="H76" s="2">
        <f t="shared" si="4"/>
        <v>-1.1258365890019453</v>
      </c>
      <c r="I76" s="2">
        <f t="shared" si="5"/>
        <v>1.9312366133656125E-2</v>
      </c>
      <c r="J76" s="2">
        <f t="shared" si="6"/>
        <v>5.9295543157328501</v>
      </c>
      <c r="K76">
        <f t="shared" si="7"/>
        <v>44.336666666666666</v>
      </c>
    </row>
    <row r="77" spans="1:11" ht="13.9" x14ac:dyDescent="0.3">
      <c r="A77" s="2" t="s">
        <v>510</v>
      </c>
      <c r="B77" s="2">
        <v>11.87</v>
      </c>
      <c r="C77" s="2">
        <v>15.61</v>
      </c>
      <c r="D77" s="2">
        <v>49.34</v>
      </c>
      <c r="E77" s="2">
        <v>65.05</v>
      </c>
      <c r="F77" s="2">
        <v>49.07</v>
      </c>
      <c r="G77" s="2">
        <v>53.11</v>
      </c>
      <c r="H77" s="2">
        <f t="shared" si="4"/>
        <v>-1.1222798119828716</v>
      </c>
      <c r="I77" s="2">
        <f t="shared" si="5"/>
        <v>7.884571997691836E-2</v>
      </c>
      <c r="J77" s="2">
        <f t="shared" si="6"/>
        <v>6.2634100587563406</v>
      </c>
      <c r="K77">
        <f t="shared" si="7"/>
        <v>55.743333333333339</v>
      </c>
    </row>
    <row r="78" spans="1:11" ht="13.9" x14ac:dyDescent="0.3">
      <c r="A78" s="2" t="s">
        <v>389</v>
      </c>
      <c r="B78" s="2">
        <v>57.35</v>
      </c>
      <c r="C78" s="2">
        <v>157.11000000000001</v>
      </c>
      <c r="D78" s="2">
        <v>147.29</v>
      </c>
      <c r="E78" s="2">
        <v>223.39</v>
      </c>
      <c r="F78" s="2">
        <v>384.41</v>
      </c>
      <c r="G78" s="2">
        <v>170.83</v>
      </c>
      <c r="H78" s="2">
        <f t="shared" si="4"/>
        <v>-1.105944914901517</v>
      </c>
      <c r="I78" s="2">
        <f t="shared" si="5"/>
        <v>0.1245148376999551</v>
      </c>
      <c r="J78" s="2">
        <f t="shared" si="6"/>
        <v>8.4988492065317249</v>
      </c>
      <c r="K78">
        <f t="shared" si="7"/>
        <v>259.54333333333335</v>
      </c>
    </row>
    <row r="79" spans="1:11" ht="13.9" x14ac:dyDescent="0.3">
      <c r="A79" s="2" t="s">
        <v>51</v>
      </c>
      <c r="B79" s="2">
        <v>0</v>
      </c>
      <c r="C79" s="2">
        <v>0.24</v>
      </c>
      <c r="D79" s="2">
        <v>0</v>
      </c>
      <c r="E79" s="2">
        <v>0.3</v>
      </c>
      <c r="F79" s="2">
        <v>0</v>
      </c>
      <c r="G79" s="2">
        <v>0.21</v>
      </c>
      <c r="H79" s="2">
        <f t="shared" si="4"/>
        <v>-1.0874628412503395</v>
      </c>
      <c r="I79" s="2">
        <f t="shared" si="5"/>
        <v>0.4935479542016441</v>
      </c>
      <c r="J79" s="2">
        <f t="shared" si="6"/>
        <v>-2.0588936890535687</v>
      </c>
      <c r="K79">
        <f t="shared" si="7"/>
        <v>0.17</v>
      </c>
    </row>
    <row r="80" spans="1:11" ht="13.9" x14ac:dyDescent="0.3">
      <c r="A80" s="2" t="s">
        <v>81</v>
      </c>
      <c r="B80" s="2">
        <v>435.75</v>
      </c>
      <c r="C80" s="2">
        <v>336.42</v>
      </c>
      <c r="D80" s="2">
        <v>250.34</v>
      </c>
      <c r="E80" s="2">
        <v>843.42</v>
      </c>
      <c r="F80" s="2">
        <v>678.83</v>
      </c>
      <c r="G80" s="2">
        <v>638.42999999999995</v>
      </c>
      <c r="H80" s="2">
        <f t="shared" si="4"/>
        <v>-1.079370470099319</v>
      </c>
      <c r="I80" s="2">
        <f t="shared" si="5"/>
        <v>1.002443697507684E-2</v>
      </c>
      <c r="J80" s="2">
        <f t="shared" si="6"/>
        <v>9.9978992372470703</v>
      </c>
      <c r="K80">
        <f t="shared" si="7"/>
        <v>720.22666666666657</v>
      </c>
    </row>
    <row r="81" spans="1:11" ht="13.9" x14ac:dyDescent="0.3">
      <c r="A81" s="2" t="s">
        <v>718</v>
      </c>
      <c r="B81" s="2">
        <v>9.23</v>
      </c>
      <c r="C81" s="2">
        <v>0</v>
      </c>
      <c r="D81" s="2">
        <v>11.11</v>
      </c>
      <c r="E81" s="2">
        <v>16.68</v>
      </c>
      <c r="F81" s="2">
        <v>14.44</v>
      </c>
      <c r="G81" s="2">
        <v>11.7</v>
      </c>
      <c r="H81" s="2">
        <f t="shared" si="4"/>
        <v>-1.0739651165280091</v>
      </c>
      <c r="I81" s="2">
        <f t="shared" si="5"/>
        <v>0.11443994933149958</v>
      </c>
      <c r="J81" s="2">
        <f t="shared" si="6"/>
        <v>4.3462477740827756</v>
      </c>
      <c r="K81">
        <f t="shared" si="7"/>
        <v>14.273333333333332</v>
      </c>
    </row>
    <row r="82" spans="1:11" s="7" customFormat="1" ht="13.9" x14ac:dyDescent="0.3">
      <c r="A82" s="2" t="s">
        <v>267</v>
      </c>
      <c r="B82" s="2">
        <v>8310.23</v>
      </c>
      <c r="C82" s="2">
        <v>12398.86</v>
      </c>
      <c r="D82" s="2">
        <v>8290.51</v>
      </c>
      <c r="E82" s="2">
        <v>18963.990000000002</v>
      </c>
      <c r="F82" s="2">
        <v>22341.98</v>
      </c>
      <c r="G82" s="2">
        <v>19378.27</v>
      </c>
      <c r="H82" s="2">
        <f t="shared" si="4"/>
        <v>-1.0652888891614662</v>
      </c>
      <c r="I82" s="2">
        <f t="shared" si="5"/>
        <v>3.654297118767962E-3</v>
      </c>
      <c r="J82" s="2">
        <f t="shared" si="6"/>
        <v>14.823745380410479</v>
      </c>
      <c r="K82">
        <f t="shared" si="7"/>
        <v>20228.080000000002</v>
      </c>
    </row>
    <row r="83" spans="1:11" ht="13.9" x14ac:dyDescent="0.3">
      <c r="A83" s="2" t="s">
        <v>724</v>
      </c>
      <c r="B83" s="2">
        <v>197.11</v>
      </c>
      <c r="C83" s="2">
        <v>134.91</v>
      </c>
      <c r="D83" s="2">
        <v>168.96</v>
      </c>
      <c r="E83" s="2">
        <v>352.61</v>
      </c>
      <c r="F83" s="2">
        <v>350.85</v>
      </c>
      <c r="G83" s="2">
        <v>304.77999999999997</v>
      </c>
      <c r="H83" s="2">
        <f t="shared" si="4"/>
        <v>-1.0090141820037271</v>
      </c>
      <c r="I83" s="2">
        <f t="shared" si="5"/>
        <v>2.0881558648820097E-3</v>
      </c>
      <c r="J83" s="2">
        <f t="shared" si="6"/>
        <v>8.9686091994292223</v>
      </c>
      <c r="K83">
        <f t="shared" si="7"/>
        <v>336.08</v>
      </c>
    </row>
    <row r="84" spans="1:11" ht="13.9" x14ac:dyDescent="0.3">
      <c r="A84" s="2" t="s">
        <v>117</v>
      </c>
      <c r="B84" s="2">
        <v>22.41</v>
      </c>
      <c r="C84" s="2">
        <v>60.5</v>
      </c>
      <c r="D84" s="2">
        <v>18.39</v>
      </c>
      <c r="E84" s="2">
        <v>63.38</v>
      </c>
      <c r="F84" s="2">
        <v>77.95</v>
      </c>
      <c r="G84" s="2">
        <v>60.49</v>
      </c>
      <c r="H84" s="2">
        <f t="shared" si="4"/>
        <v>-0.99443497588047036</v>
      </c>
      <c r="I84" s="2">
        <f t="shared" si="5"/>
        <v>8.1444369536377473E-2</v>
      </c>
      <c r="J84" s="2">
        <f t="shared" si="6"/>
        <v>6.6624903639137756</v>
      </c>
      <c r="K84">
        <f t="shared" si="7"/>
        <v>67.273333333333341</v>
      </c>
    </row>
    <row r="85" spans="1:11" ht="13.9" x14ac:dyDescent="0.3">
      <c r="A85" s="2" t="s">
        <v>203</v>
      </c>
      <c r="B85" s="2">
        <v>0</v>
      </c>
      <c r="C85" s="2">
        <v>0</v>
      </c>
      <c r="D85" s="2">
        <v>5.83</v>
      </c>
      <c r="E85" s="2">
        <v>1.18</v>
      </c>
      <c r="F85" s="2">
        <v>6.02</v>
      </c>
      <c r="G85" s="2">
        <v>4.32</v>
      </c>
      <c r="H85" s="2">
        <f t="shared" si="4"/>
        <v>-0.98257292824181575</v>
      </c>
      <c r="I85" s="2">
        <f t="shared" si="5"/>
        <v>0.47451775888466852</v>
      </c>
      <c r="J85" s="2">
        <f t="shared" si="6"/>
        <v>2.5434958834257717</v>
      </c>
      <c r="K85">
        <f t="shared" si="7"/>
        <v>3.84</v>
      </c>
    </row>
    <row r="86" spans="1:11" ht="13.9" x14ac:dyDescent="0.3">
      <c r="A86" s="2" t="s">
        <v>384</v>
      </c>
      <c r="B86" s="2">
        <v>0</v>
      </c>
      <c r="C86" s="2">
        <v>6.34</v>
      </c>
      <c r="D86" s="2">
        <v>0</v>
      </c>
      <c r="E86" s="2">
        <v>3.36</v>
      </c>
      <c r="F86" s="2">
        <v>3.88</v>
      </c>
      <c r="G86" s="2">
        <v>5.16</v>
      </c>
      <c r="H86" s="2">
        <f t="shared" si="4"/>
        <v>-0.96778537513483043</v>
      </c>
      <c r="I86" s="2">
        <f t="shared" si="5"/>
        <v>0.40656980401328652</v>
      </c>
      <c r="J86" s="2">
        <f t="shared" si="6"/>
        <v>2.6644828403646827</v>
      </c>
      <c r="K86">
        <f t="shared" si="7"/>
        <v>4.1333333333333337</v>
      </c>
    </row>
    <row r="87" spans="1:11" ht="13.9" x14ac:dyDescent="0.3">
      <c r="A87" s="2" t="s">
        <v>200</v>
      </c>
      <c r="B87" s="2">
        <v>415.64</v>
      </c>
      <c r="C87" s="2">
        <v>500.37</v>
      </c>
      <c r="D87" s="2">
        <v>281.11</v>
      </c>
      <c r="E87" s="2">
        <v>796.43</v>
      </c>
      <c r="F87" s="2">
        <v>692.87</v>
      </c>
      <c r="G87" s="2">
        <v>824.01</v>
      </c>
      <c r="H87" s="2">
        <f t="shared" si="4"/>
        <v>-0.95039083421589088</v>
      </c>
      <c r="I87" s="2">
        <f t="shared" si="5"/>
        <v>7.8072259117435627E-3</v>
      </c>
      <c r="J87" s="2">
        <f t="shared" si="6"/>
        <v>10.225352060776101</v>
      </c>
      <c r="K87">
        <f t="shared" si="7"/>
        <v>771.10333333333335</v>
      </c>
    </row>
    <row r="88" spans="1:11" ht="13.9" x14ac:dyDescent="0.3">
      <c r="A88" s="2" t="s">
        <v>361</v>
      </c>
      <c r="B88" s="2">
        <v>0</v>
      </c>
      <c r="C88" s="2">
        <v>0.98</v>
      </c>
      <c r="D88" s="2">
        <v>0</v>
      </c>
      <c r="E88" s="2">
        <v>0.69</v>
      </c>
      <c r="F88" s="2">
        <v>0.67</v>
      </c>
      <c r="G88" s="2">
        <v>0.53</v>
      </c>
      <c r="H88" s="2">
        <f t="shared" si="4"/>
        <v>-0.9475325801058645</v>
      </c>
      <c r="I88" s="2">
        <f t="shared" si="5"/>
        <v>0.4106835034251935</v>
      </c>
      <c r="J88" s="2">
        <f t="shared" si="6"/>
        <v>-2.9146345659516508E-2</v>
      </c>
      <c r="K88">
        <f t="shared" si="7"/>
        <v>0.63</v>
      </c>
    </row>
    <row r="89" spans="1:11" ht="13.9" x14ac:dyDescent="0.3">
      <c r="A89" s="2" t="s">
        <v>919</v>
      </c>
      <c r="B89" s="2">
        <v>6769.61</v>
      </c>
      <c r="C89" s="2">
        <v>7978.28</v>
      </c>
      <c r="D89" s="2">
        <v>4862.2299999999996</v>
      </c>
      <c r="E89" s="2">
        <v>10794.61</v>
      </c>
      <c r="F89" s="2">
        <v>14466.52</v>
      </c>
      <c r="G89" s="2">
        <v>12519.33</v>
      </c>
      <c r="H89" s="2">
        <f t="shared" si="4"/>
        <v>-0.94604190369420449</v>
      </c>
      <c r="I89" s="2">
        <f t="shared" si="5"/>
        <v>1.2253374175708147E-2</v>
      </c>
      <c r="J89" s="2">
        <f t="shared" si="6"/>
        <v>14.259310743375035</v>
      </c>
      <c r="K89">
        <f t="shared" si="7"/>
        <v>12593.486666666666</v>
      </c>
    </row>
    <row r="90" spans="1:11" ht="13.9" x14ac:dyDescent="0.3">
      <c r="A90" s="2" t="s">
        <v>249</v>
      </c>
      <c r="B90" s="2">
        <v>12.85</v>
      </c>
      <c r="C90" s="2">
        <v>5.12</v>
      </c>
      <c r="D90" s="2">
        <v>3.1</v>
      </c>
      <c r="E90" s="2">
        <v>14.02</v>
      </c>
      <c r="F90" s="2">
        <v>9.6300000000000008</v>
      </c>
      <c r="G90" s="2">
        <v>16.86</v>
      </c>
      <c r="H90" s="2">
        <f t="shared" si="4"/>
        <v>-0.94308777086913054</v>
      </c>
      <c r="I90" s="2">
        <f t="shared" si="5"/>
        <v>0.14965479790132341</v>
      </c>
      <c r="J90" s="2">
        <f t="shared" si="6"/>
        <v>4.397118409042581</v>
      </c>
      <c r="K90">
        <f t="shared" si="7"/>
        <v>13.503333333333332</v>
      </c>
    </row>
    <row r="91" spans="1:11" ht="13.9" x14ac:dyDescent="0.3">
      <c r="A91" s="2" t="s">
        <v>155</v>
      </c>
      <c r="B91" s="2">
        <v>35.93</v>
      </c>
      <c r="C91" s="2">
        <v>53.92</v>
      </c>
      <c r="D91" s="2">
        <v>35.5</v>
      </c>
      <c r="E91" s="2">
        <v>70.09</v>
      </c>
      <c r="F91" s="2">
        <v>87.85</v>
      </c>
      <c r="G91" s="2">
        <v>76.09</v>
      </c>
      <c r="H91" s="2">
        <f t="shared" si="4"/>
        <v>-0.9007314826840509</v>
      </c>
      <c r="I91" s="2">
        <f t="shared" si="5"/>
        <v>1.0604066028113611E-2</v>
      </c>
      <c r="J91" s="2">
        <f t="shared" si="6"/>
        <v>6.9698181859465773</v>
      </c>
      <c r="K91">
        <f t="shared" si="7"/>
        <v>78.010000000000005</v>
      </c>
    </row>
    <row r="92" spans="1:11" ht="13.9" x14ac:dyDescent="0.3">
      <c r="A92" s="2" t="s">
        <v>650</v>
      </c>
      <c r="B92" s="2">
        <v>278.85000000000002</v>
      </c>
      <c r="C92" s="2">
        <v>442.55</v>
      </c>
      <c r="D92" s="2">
        <v>256.52999999999997</v>
      </c>
      <c r="E92" s="2">
        <v>563.07000000000005</v>
      </c>
      <c r="F92" s="2">
        <v>700.22</v>
      </c>
      <c r="G92" s="2">
        <v>557.49</v>
      </c>
      <c r="H92" s="2">
        <f t="shared" si="4"/>
        <v>-0.89675350963077094</v>
      </c>
      <c r="I92" s="2">
        <f t="shared" si="5"/>
        <v>1.9972237913104828E-2</v>
      </c>
      <c r="J92" s="2">
        <f t="shared" si="6"/>
        <v>9.9335873908753953</v>
      </c>
      <c r="K92">
        <f t="shared" si="7"/>
        <v>606.92666666666662</v>
      </c>
    </row>
    <row r="93" spans="1:11" ht="13.9" x14ac:dyDescent="0.3">
      <c r="A93" s="2" t="s">
        <v>199</v>
      </c>
      <c r="B93" s="2">
        <v>300.94</v>
      </c>
      <c r="C93" s="2">
        <v>443.77</v>
      </c>
      <c r="D93" s="2">
        <v>220.66</v>
      </c>
      <c r="E93" s="2">
        <v>463.67</v>
      </c>
      <c r="F93" s="2">
        <v>765.34</v>
      </c>
      <c r="G93" s="2">
        <v>563.5</v>
      </c>
      <c r="H93" s="2">
        <f t="shared" si="4"/>
        <v>-0.89282726825387626</v>
      </c>
      <c r="I93" s="2">
        <f t="shared" si="5"/>
        <v>6.6523009943866798E-2</v>
      </c>
      <c r="J93" s="2">
        <f t="shared" si="6"/>
        <v>9.9149381838208406</v>
      </c>
      <c r="K93">
        <f t="shared" si="7"/>
        <v>597.50333333333333</v>
      </c>
    </row>
    <row r="94" spans="1:11" ht="13.9" x14ac:dyDescent="0.3">
      <c r="A94" s="2" t="s">
        <v>32</v>
      </c>
      <c r="B94" s="2">
        <v>16024.18</v>
      </c>
      <c r="C94" s="2">
        <v>14230.77</v>
      </c>
      <c r="D94" s="2">
        <v>14543.17</v>
      </c>
      <c r="E94" s="2">
        <v>28081.72</v>
      </c>
      <c r="F94" s="2">
        <v>27840.53</v>
      </c>
      <c r="G94" s="2">
        <v>26302.34</v>
      </c>
      <c r="H94" s="2">
        <f t="shared" si="4"/>
        <v>-0.87613171996079287</v>
      </c>
      <c r="I94" s="2">
        <f t="shared" si="5"/>
        <v>9.1718819661880936E-5</v>
      </c>
      <c r="J94" s="2">
        <f t="shared" si="6"/>
        <v>15.451150568895107</v>
      </c>
      <c r="K94">
        <f t="shared" si="7"/>
        <v>27408.196666666667</v>
      </c>
    </row>
    <row r="95" spans="1:11" ht="13.9" x14ac:dyDescent="0.3">
      <c r="A95" s="2" t="s">
        <v>475</v>
      </c>
      <c r="B95" s="2">
        <v>0</v>
      </c>
      <c r="C95" s="2">
        <v>0</v>
      </c>
      <c r="D95" s="2">
        <v>0.18</v>
      </c>
      <c r="E95" s="2">
        <v>0</v>
      </c>
      <c r="F95" s="2">
        <v>0</v>
      </c>
      <c r="G95" s="2">
        <v>0.32</v>
      </c>
      <c r="H95" s="2">
        <f t="shared" si="4"/>
        <v>-0.83007499855768763</v>
      </c>
      <c r="I95" s="2">
        <f t="shared" si="5"/>
        <v>0.72235904489559877</v>
      </c>
      <c r="J95" s="2">
        <f t="shared" si="6"/>
        <v>-2.4739311883324122</v>
      </c>
      <c r="K95">
        <f t="shared" si="7"/>
        <v>0.10666666666666667</v>
      </c>
    </row>
    <row r="96" spans="1:11" ht="13.9" x14ac:dyDescent="0.3">
      <c r="A96" s="2" t="s">
        <v>187</v>
      </c>
      <c r="B96" s="2">
        <v>25.38</v>
      </c>
      <c r="C96" s="2">
        <v>59.53</v>
      </c>
      <c r="D96" s="2">
        <v>9.4700000000000006</v>
      </c>
      <c r="E96" s="2">
        <v>47.28</v>
      </c>
      <c r="F96" s="2">
        <v>58.83</v>
      </c>
      <c r="G96" s="2">
        <v>59.54</v>
      </c>
      <c r="H96" s="2">
        <f t="shared" si="4"/>
        <v>-0.81158512683153416</v>
      </c>
      <c r="I96" s="2">
        <f t="shared" si="5"/>
        <v>0.19527312825512938</v>
      </c>
      <c r="J96" s="2">
        <f t="shared" si="6"/>
        <v>6.5604092663621181</v>
      </c>
      <c r="K96">
        <f t="shared" si="7"/>
        <v>55.216666666666669</v>
      </c>
    </row>
    <row r="97" spans="1:11" ht="13.9" x14ac:dyDescent="0.3">
      <c r="A97" s="2" t="s">
        <v>49</v>
      </c>
      <c r="B97" s="2">
        <v>136.13</v>
      </c>
      <c r="C97" s="2">
        <v>222.01</v>
      </c>
      <c r="D97" s="2">
        <v>221.76</v>
      </c>
      <c r="E97" s="2">
        <v>311.14999999999998</v>
      </c>
      <c r="F97" s="2">
        <v>371.44</v>
      </c>
      <c r="G97" s="2">
        <v>331.33</v>
      </c>
      <c r="H97" s="2">
        <f t="shared" si="4"/>
        <v>-0.80606778237409549</v>
      </c>
      <c r="I97" s="2">
        <f t="shared" si="5"/>
        <v>1.2627845034164803E-2</v>
      </c>
      <c r="J97" s="2">
        <f t="shared" si="6"/>
        <v>9.1796603280450295</v>
      </c>
      <c r="K97">
        <f t="shared" si="7"/>
        <v>337.9733333333333</v>
      </c>
    </row>
    <row r="98" spans="1:11" ht="13.9" x14ac:dyDescent="0.3">
      <c r="A98" s="2" t="s">
        <v>929</v>
      </c>
      <c r="B98" s="2">
        <v>106.47</v>
      </c>
      <c r="C98" s="2">
        <v>206.15</v>
      </c>
      <c r="D98" s="2">
        <v>118.16</v>
      </c>
      <c r="E98" s="2">
        <v>194.67</v>
      </c>
      <c r="F98" s="2">
        <v>348.97</v>
      </c>
      <c r="G98" s="2">
        <v>209.3</v>
      </c>
      <c r="H98" s="2">
        <f t="shared" si="4"/>
        <v>-0.80558363369519903</v>
      </c>
      <c r="I98" s="2">
        <f t="shared" si="5"/>
        <v>0.13968187861664966</v>
      </c>
      <c r="J98" s="2">
        <f t="shared" si="6"/>
        <v>8.750807460616425</v>
      </c>
      <c r="K98">
        <f t="shared" si="7"/>
        <v>250.98000000000002</v>
      </c>
    </row>
    <row r="99" spans="1:11" ht="13.9" x14ac:dyDescent="0.3">
      <c r="A99" s="2" t="s">
        <v>298</v>
      </c>
      <c r="B99" s="2">
        <v>2822.81</v>
      </c>
      <c r="C99" s="2">
        <v>3849.23</v>
      </c>
      <c r="D99" s="2">
        <v>2181.87</v>
      </c>
      <c r="E99" s="2">
        <v>5088.08</v>
      </c>
      <c r="F99" s="2">
        <v>5757.94</v>
      </c>
      <c r="G99" s="2">
        <v>4512.1000000000004</v>
      </c>
      <c r="H99" s="2">
        <f t="shared" si="4"/>
        <v>-0.79461501176302252</v>
      </c>
      <c r="I99" s="2">
        <f t="shared" si="5"/>
        <v>2.3029494993361519E-2</v>
      </c>
      <c r="J99" s="2">
        <f t="shared" si="6"/>
        <v>13.11209899317652</v>
      </c>
      <c r="K99">
        <f t="shared" si="7"/>
        <v>5119.3733333333339</v>
      </c>
    </row>
    <row r="100" spans="1:11" ht="13.9" x14ac:dyDescent="0.3">
      <c r="A100" s="2" t="s">
        <v>271</v>
      </c>
      <c r="B100" s="2">
        <v>366.53</v>
      </c>
      <c r="C100" s="2">
        <v>419.86</v>
      </c>
      <c r="D100" s="2">
        <v>345.56</v>
      </c>
      <c r="E100" s="2">
        <v>585.48</v>
      </c>
      <c r="F100" s="2">
        <v>684.44</v>
      </c>
      <c r="G100" s="2">
        <v>684.9</v>
      </c>
      <c r="H100" s="2">
        <f t="shared" si="4"/>
        <v>-0.78822553667705031</v>
      </c>
      <c r="I100" s="2">
        <f t="shared" si="5"/>
        <v>2.3192088299630394E-3</v>
      </c>
      <c r="J100" s="2">
        <f t="shared" si="6"/>
        <v>10.144594518145333</v>
      </c>
      <c r="K100">
        <f t="shared" si="7"/>
        <v>651.60666666666668</v>
      </c>
    </row>
    <row r="101" spans="1:11" ht="13.9" x14ac:dyDescent="0.3">
      <c r="A101" s="2" t="s">
        <v>943</v>
      </c>
      <c r="B101" s="2">
        <v>46.15</v>
      </c>
      <c r="C101" s="2">
        <v>110.03</v>
      </c>
      <c r="D101" s="2">
        <v>17.3</v>
      </c>
      <c r="E101" s="2">
        <v>85.49</v>
      </c>
      <c r="F101" s="2">
        <v>129.83000000000001</v>
      </c>
      <c r="G101" s="2">
        <v>84.2</v>
      </c>
      <c r="H101" s="2">
        <f t="shared" si="4"/>
        <v>-0.78788299172030118</v>
      </c>
      <c r="I101" s="2">
        <f t="shared" si="5"/>
        <v>0.24980503626526646</v>
      </c>
      <c r="J101" s="2">
        <f t="shared" si="6"/>
        <v>7.4386255380883792</v>
      </c>
      <c r="K101">
        <f t="shared" si="7"/>
        <v>99.839999999999989</v>
      </c>
    </row>
    <row r="102" spans="1:11" ht="13.9" x14ac:dyDescent="0.3">
      <c r="A102" s="2" t="s">
        <v>160</v>
      </c>
      <c r="B102" s="2">
        <v>135.13999999999999</v>
      </c>
      <c r="C102" s="2">
        <v>141.25</v>
      </c>
      <c r="D102" s="2">
        <v>102.68</v>
      </c>
      <c r="E102" s="2">
        <v>218.06</v>
      </c>
      <c r="F102" s="2">
        <v>204.04</v>
      </c>
      <c r="G102" s="2">
        <v>216.15</v>
      </c>
      <c r="H102" s="2">
        <f t="shared" si="4"/>
        <v>-0.75165734801470396</v>
      </c>
      <c r="I102" s="2">
        <f t="shared" si="5"/>
        <v>2.4747231110165769E-3</v>
      </c>
      <c r="J102" s="2">
        <f t="shared" si="6"/>
        <v>8.5663204743924144</v>
      </c>
      <c r="K102">
        <f t="shared" si="7"/>
        <v>212.75</v>
      </c>
    </row>
    <row r="103" spans="1:11" ht="13.9" x14ac:dyDescent="0.3">
      <c r="A103" s="8" t="s">
        <v>681</v>
      </c>
      <c r="B103" s="2">
        <v>3.63</v>
      </c>
      <c r="C103" s="2">
        <v>0</v>
      </c>
      <c r="D103" s="2">
        <v>0</v>
      </c>
      <c r="E103" s="2">
        <v>3.36</v>
      </c>
      <c r="F103" s="2">
        <v>0</v>
      </c>
      <c r="G103" s="2">
        <v>2.74</v>
      </c>
      <c r="H103" s="2">
        <f t="shared" si="4"/>
        <v>-0.74883969445449794</v>
      </c>
      <c r="I103" s="2">
        <f t="shared" si="5"/>
        <v>0.63201269791039016</v>
      </c>
      <c r="J103" s="2">
        <f t="shared" si="6"/>
        <v>1.8599695482210259</v>
      </c>
      <c r="K103">
        <f t="shared" si="7"/>
        <v>2.0333333333333332</v>
      </c>
    </row>
    <row r="104" spans="1:11" ht="13.9" x14ac:dyDescent="0.3">
      <c r="A104" s="2" t="s">
        <v>371</v>
      </c>
      <c r="B104" s="2">
        <v>39.22</v>
      </c>
      <c r="C104" s="2">
        <v>24.88</v>
      </c>
      <c r="D104" s="2">
        <v>22.58</v>
      </c>
      <c r="E104" s="2">
        <v>49.16</v>
      </c>
      <c r="F104" s="2">
        <v>46.53</v>
      </c>
      <c r="G104" s="2">
        <v>49.22</v>
      </c>
      <c r="H104" s="2">
        <f t="shared" si="4"/>
        <v>-0.74138609779028286</v>
      </c>
      <c r="I104" s="2">
        <f t="shared" si="5"/>
        <v>2.1287049283915151E-2</v>
      </c>
      <c r="J104" s="2">
        <f t="shared" si="6"/>
        <v>6.4376272483189485</v>
      </c>
      <c r="K104">
        <f t="shared" si="7"/>
        <v>48.303333333333335</v>
      </c>
    </row>
    <row r="105" spans="1:11" ht="13.9" x14ac:dyDescent="0.3">
      <c r="A105" s="2" t="s">
        <v>297</v>
      </c>
      <c r="B105" s="2">
        <v>0</v>
      </c>
      <c r="C105" s="2">
        <v>0.24</v>
      </c>
      <c r="D105" s="2">
        <v>0</v>
      </c>
      <c r="E105" s="2">
        <v>0.39</v>
      </c>
      <c r="F105" s="2">
        <v>0</v>
      </c>
      <c r="G105" s="2">
        <v>0</v>
      </c>
      <c r="H105" s="2">
        <f t="shared" si="4"/>
        <v>-0.7004397181410924</v>
      </c>
      <c r="I105" s="2">
        <f t="shared" si="5"/>
        <v>0.75967054712707927</v>
      </c>
      <c r="J105" s="2">
        <f t="shared" si="6"/>
        <v>-2.0588936890535687</v>
      </c>
      <c r="K105">
        <f t="shared" si="7"/>
        <v>0.13</v>
      </c>
    </row>
    <row r="106" spans="1:11" ht="13.9" x14ac:dyDescent="0.3">
      <c r="A106" s="2" t="s">
        <v>751</v>
      </c>
      <c r="B106" s="2">
        <v>257.10000000000002</v>
      </c>
      <c r="C106" s="2">
        <v>272.26</v>
      </c>
      <c r="D106" s="2">
        <v>153.47999999999999</v>
      </c>
      <c r="E106" s="2">
        <v>350.83</v>
      </c>
      <c r="F106" s="2">
        <v>382.67</v>
      </c>
      <c r="G106" s="2">
        <v>369.69</v>
      </c>
      <c r="H106" s="2">
        <f t="shared" si="4"/>
        <v>-0.69206180713080101</v>
      </c>
      <c r="I106" s="2">
        <f t="shared" si="5"/>
        <v>2.1887785017371892E-2</v>
      </c>
      <c r="J106" s="2">
        <f t="shared" si="6"/>
        <v>9.4154037620703317</v>
      </c>
      <c r="K106">
        <f t="shared" si="7"/>
        <v>367.73</v>
      </c>
    </row>
    <row r="107" spans="1:11" ht="13.9" x14ac:dyDescent="0.3">
      <c r="A107" s="2" t="s">
        <v>586</v>
      </c>
      <c r="B107" s="2">
        <v>0.33</v>
      </c>
      <c r="C107" s="2">
        <v>0</v>
      </c>
      <c r="D107" s="2">
        <v>9.2899999999999991</v>
      </c>
      <c r="E107" s="2">
        <v>4.24</v>
      </c>
      <c r="F107" s="2">
        <v>6.95</v>
      </c>
      <c r="G107" s="2">
        <v>4.32</v>
      </c>
      <c r="H107" s="2">
        <f t="shared" si="4"/>
        <v>-0.68908988726604903</v>
      </c>
      <c r="I107" s="2">
        <f t="shared" si="5"/>
        <v>0.56930433262496694</v>
      </c>
      <c r="J107" s="2">
        <f t="shared" si="6"/>
        <v>3.2660368939953175</v>
      </c>
      <c r="K107">
        <f t="shared" si="7"/>
        <v>5.1700000000000008</v>
      </c>
    </row>
    <row r="108" spans="1:11" ht="13.9" x14ac:dyDescent="0.3">
      <c r="A108" s="2" t="s">
        <v>535</v>
      </c>
      <c r="B108" s="2">
        <v>0.33</v>
      </c>
      <c r="C108" s="2">
        <v>0</v>
      </c>
      <c r="D108" s="2">
        <v>0</v>
      </c>
      <c r="E108" s="2">
        <v>0</v>
      </c>
      <c r="F108" s="2">
        <v>0.53</v>
      </c>
      <c r="G108" s="2">
        <v>0</v>
      </c>
      <c r="H108" s="2">
        <f t="shared" si="4"/>
        <v>-0.68352633520474582</v>
      </c>
      <c r="I108" s="2">
        <f t="shared" si="5"/>
        <v>0.76474776731945726</v>
      </c>
      <c r="J108" s="2">
        <f t="shared" si="6"/>
        <v>-1.5994620704162712</v>
      </c>
      <c r="K108">
        <f t="shared" si="7"/>
        <v>0.17666666666666667</v>
      </c>
    </row>
    <row r="109" spans="1:11" ht="13.9" x14ac:dyDescent="0.3">
      <c r="A109" s="2" t="s">
        <v>40</v>
      </c>
      <c r="B109" s="2">
        <v>12.53</v>
      </c>
      <c r="C109" s="2">
        <v>0</v>
      </c>
      <c r="D109" s="2">
        <v>0</v>
      </c>
      <c r="E109" s="2">
        <v>3.06</v>
      </c>
      <c r="F109" s="2">
        <v>6.15</v>
      </c>
      <c r="G109" s="2">
        <v>10.85</v>
      </c>
      <c r="H109" s="2">
        <f t="shared" si="4"/>
        <v>-0.67893519129032054</v>
      </c>
      <c r="I109" s="2">
        <f t="shared" si="5"/>
        <v>0.62524870489883222</v>
      </c>
      <c r="J109" s="2">
        <f t="shared" si="6"/>
        <v>3.6473145095471362</v>
      </c>
      <c r="K109">
        <f t="shared" si="7"/>
        <v>6.6866666666666674</v>
      </c>
    </row>
    <row r="110" spans="1:11" ht="13.9" x14ac:dyDescent="0.3">
      <c r="A110" s="2" t="s">
        <v>432</v>
      </c>
      <c r="B110" s="2">
        <v>150.63</v>
      </c>
      <c r="C110" s="2">
        <v>149.06</v>
      </c>
      <c r="D110" s="2">
        <v>79.02</v>
      </c>
      <c r="E110" s="2">
        <v>205.33</v>
      </c>
      <c r="F110" s="2">
        <v>231.58</v>
      </c>
      <c r="G110" s="2">
        <v>164.82</v>
      </c>
      <c r="H110" s="2">
        <f t="shared" si="4"/>
        <v>-0.66802276921562032</v>
      </c>
      <c r="I110" s="2">
        <f t="shared" si="5"/>
        <v>7.1850671218252879E-2</v>
      </c>
      <c r="J110" s="2">
        <f t="shared" si="6"/>
        <v>8.5649497064814302</v>
      </c>
      <c r="K110">
        <f t="shared" si="7"/>
        <v>200.57666666666668</v>
      </c>
    </row>
    <row r="111" spans="1:11" ht="13.9" x14ac:dyDescent="0.3">
      <c r="A111" s="2" t="s">
        <v>722</v>
      </c>
      <c r="B111" s="2">
        <v>592.32000000000005</v>
      </c>
      <c r="C111" s="2">
        <v>865.58</v>
      </c>
      <c r="D111" s="2">
        <v>589.53</v>
      </c>
      <c r="E111" s="2">
        <v>1105.51</v>
      </c>
      <c r="F111" s="2">
        <v>1006.41</v>
      </c>
      <c r="G111" s="2">
        <v>1138.27</v>
      </c>
      <c r="H111" s="2">
        <f t="shared" si="4"/>
        <v>-0.66670992973166554</v>
      </c>
      <c r="I111" s="2">
        <f t="shared" si="5"/>
        <v>1.5883528576058403E-2</v>
      </c>
      <c r="J111" s="2">
        <f t="shared" si="6"/>
        <v>10.999598412777845</v>
      </c>
      <c r="K111">
        <f t="shared" si="7"/>
        <v>1083.3966666666668</v>
      </c>
    </row>
    <row r="112" spans="1:11" ht="13.9" x14ac:dyDescent="0.3">
      <c r="A112" s="2" t="s">
        <v>172</v>
      </c>
      <c r="B112" s="2">
        <v>2.31</v>
      </c>
      <c r="C112" s="2">
        <v>0.24</v>
      </c>
      <c r="D112" s="2">
        <v>0</v>
      </c>
      <c r="E112" s="2">
        <v>2.17</v>
      </c>
      <c r="F112" s="2">
        <v>0.27</v>
      </c>
      <c r="G112" s="2">
        <v>1.48</v>
      </c>
      <c r="H112" s="2">
        <f t="shared" si="4"/>
        <v>-0.62035640725635033</v>
      </c>
      <c r="I112" s="2">
        <f t="shared" si="5"/>
        <v>0.64560031964824294</v>
      </c>
      <c r="J112" s="2">
        <f t="shared" si="6"/>
        <v>1.3504972470841332</v>
      </c>
      <c r="K112">
        <f t="shared" si="7"/>
        <v>1.3066666666666666</v>
      </c>
    </row>
    <row r="113" spans="1:11" ht="13.9" x14ac:dyDescent="0.3">
      <c r="A113" s="2" t="s">
        <v>54</v>
      </c>
      <c r="B113" s="2">
        <v>19.78</v>
      </c>
      <c r="C113" s="2">
        <v>0</v>
      </c>
      <c r="D113" s="2">
        <v>25.85</v>
      </c>
      <c r="E113" s="2">
        <v>21.91</v>
      </c>
      <c r="F113" s="2">
        <v>26.74</v>
      </c>
      <c r="G113" s="2">
        <v>20.87</v>
      </c>
      <c r="H113" s="2">
        <f t="shared" si="4"/>
        <v>-0.60744542836874704</v>
      </c>
      <c r="I113" s="2">
        <f t="shared" si="5"/>
        <v>0.37646554129557014</v>
      </c>
      <c r="J113" s="2">
        <f t="shared" si="6"/>
        <v>5.5119107486709282</v>
      </c>
      <c r="K113">
        <f t="shared" si="7"/>
        <v>23.173333333333332</v>
      </c>
    </row>
    <row r="114" spans="1:11" ht="13.9" x14ac:dyDescent="0.3">
      <c r="A114" s="2" t="s">
        <v>646</v>
      </c>
      <c r="B114" s="2">
        <v>0.33</v>
      </c>
      <c r="C114" s="2">
        <v>0</v>
      </c>
      <c r="D114" s="2">
        <v>0</v>
      </c>
      <c r="E114" s="2">
        <v>0.49</v>
      </c>
      <c r="F114" s="2">
        <v>0</v>
      </c>
      <c r="G114" s="2">
        <v>0</v>
      </c>
      <c r="H114" s="2">
        <f t="shared" si="4"/>
        <v>-0.57031572475675463</v>
      </c>
      <c r="I114" s="2">
        <f t="shared" si="5"/>
        <v>0.79991811453454031</v>
      </c>
      <c r="J114" s="2">
        <f t="shared" si="6"/>
        <v>-1.5994620704162712</v>
      </c>
      <c r="K114">
        <f t="shared" si="7"/>
        <v>0.16333333333333333</v>
      </c>
    </row>
    <row r="115" spans="1:11" ht="13.9" x14ac:dyDescent="0.3">
      <c r="A115" s="2" t="s">
        <v>743</v>
      </c>
      <c r="B115" s="2">
        <v>0</v>
      </c>
      <c r="C115" s="2">
        <v>9.27</v>
      </c>
      <c r="D115" s="2">
        <v>5.83</v>
      </c>
      <c r="E115" s="2">
        <v>6.81</v>
      </c>
      <c r="F115" s="2">
        <v>8.82</v>
      </c>
      <c r="G115" s="2">
        <v>6.43</v>
      </c>
      <c r="H115" s="2">
        <f t="shared" si="4"/>
        <v>-0.54688424137894132</v>
      </c>
      <c r="I115" s="2">
        <f t="shared" si="5"/>
        <v>0.45470999876507157</v>
      </c>
      <c r="J115" s="2">
        <f t="shared" si="6"/>
        <v>3.9164766444377168</v>
      </c>
      <c r="K115">
        <f t="shared" si="7"/>
        <v>7.3533333333333326</v>
      </c>
    </row>
    <row r="116" spans="1:11" ht="13.9" x14ac:dyDescent="0.3">
      <c r="A116" s="2" t="s">
        <v>364</v>
      </c>
      <c r="B116" s="2">
        <v>37.25</v>
      </c>
      <c r="C116" s="2">
        <v>0</v>
      </c>
      <c r="D116" s="2">
        <v>18.02</v>
      </c>
      <c r="E116" s="2">
        <v>34.06</v>
      </c>
      <c r="F116" s="2">
        <v>20.32</v>
      </c>
      <c r="G116" s="2">
        <v>26.24</v>
      </c>
      <c r="H116" s="2">
        <f t="shared" si="4"/>
        <v>-0.54464117063691875</v>
      </c>
      <c r="I116" s="2">
        <f t="shared" si="5"/>
        <v>0.50208729073411673</v>
      </c>
      <c r="J116" s="2">
        <f t="shared" si="6"/>
        <v>5.7884247074394359</v>
      </c>
      <c r="K116">
        <f t="shared" si="7"/>
        <v>26.873333333333335</v>
      </c>
    </row>
    <row r="117" spans="1:11" ht="13.9" x14ac:dyDescent="0.3">
      <c r="A117" s="2" t="s">
        <v>392</v>
      </c>
      <c r="B117" s="2">
        <v>63.62</v>
      </c>
      <c r="C117" s="2">
        <v>83.43</v>
      </c>
      <c r="D117" s="2">
        <v>45.7</v>
      </c>
      <c r="E117" s="2">
        <v>81.34</v>
      </c>
      <c r="F117" s="2">
        <v>118.06</v>
      </c>
      <c r="G117" s="2">
        <v>73.56</v>
      </c>
      <c r="H117" s="2">
        <f t="shared" si="4"/>
        <v>-0.50195869162853146</v>
      </c>
      <c r="I117" s="2">
        <f t="shared" si="5"/>
        <v>0.20173111722693252</v>
      </c>
      <c r="J117" s="2">
        <f t="shared" si="6"/>
        <v>7.590587049915035</v>
      </c>
      <c r="K117">
        <f t="shared" si="7"/>
        <v>90.986666666666679</v>
      </c>
    </row>
    <row r="118" spans="1:11" ht="13.9" x14ac:dyDescent="0.3">
      <c r="A118" s="2" t="s">
        <v>848</v>
      </c>
      <c r="B118" s="2">
        <v>12.2</v>
      </c>
      <c r="C118" s="2">
        <v>44.64</v>
      </c>
      <c r="D118" s="2">
        <v>23.85</v>
      </c>
      <c r="E118" s="2">
        <v>27.05</v>
      </c>
      <c r="F118" s="2">
        <v>57.89</v>
      </c>
      <c r="G118" s="2">
        <v>29.09</v>
      </c>
      <c r="H118" s="2">
        <f t="shared" si="4"/>
        <v>-0.49895163611495374</v>
      </c>
      <c r="I118" s="2">
        <f t="shared" si="5"/>
        <v>0.46439160105600891</v>
      </c>
      <c r="J118" s="2">
        <f t="shared" si="6"/>
        <v>6.3343179846934428</v>
      </c>
      <c r="K118">
        <f t="shared" si="7"/>
        <v>38.01</v>
      </c>
    </row>
    <row r="119" spans="1:11" ht="13.9" x14ac:dyDescent="0.3">
      <c r="A119" s="2" t="s">
        <v>247</v>
      </c>
      <c r="B119" s="2">
        <v>188.87</v>
      </c>
      <c r="C119" s="2">
        <v>121.74</v>
      </c>
      <c r="D119" s="2">
        <v>252.16</v>
      </c>
      <c r="E119" s="2">
        <v>280.06</v>
      </c>
      <c r="F119" s="2">
        <v>243.75</v>
      </c>
      <c r="G119" s="2">
        <v>269.47000000000003</v>
      </c>
      <c r="H119" s="2">
        <f t="shared" si="4"/>
        <v>-0.49528475273327566</v>
      </c>
      <c r="I119" s="2">
        <f t="shared" si="5"/>
        <v>0.12131085268774054</v>
      </c>
      <c r="J119" s="2">
        <f t="shared" si="6"/>
        <v>9.1364016135787214</v>
      </c>
      <c r="K119">
        <f t="shared" si="7"/>
        <v>264.42666666666668</v>
      </c>
    </row>
    <row r="120" spans="1:11" ht="13.9" x14ac:dyDescent="0.3">
      <c r="A120" s="2" t="s">
        <v>115</v>
      </c>
      <c r="B120" s="2">
        <v>4.28</v>
      </c>
      <c r="C120" s="2">
        <v>23.91</v>
      </c>
      <c r="D120" s="2">
        <v>10.01</v>
      </c>
      <c r="E120" s="2">
        <v>17.87</v>
      </c>
      <c r="F120" s="2">
        <v>19.52</v>
      </c>
      <c r="G120" s="2">
        <v>16.329999999999998</v>
      </c>
      <c r="H120" s="2">
        <f t="shared" si="4"/>
        <v>-0.49188666650433122</v>
      </c>
      <c r="I120" s="2">
        <f t="shared" si="5"/>
        <v>0.43010425273984998</v>
      </c>
      <c r="J120" s="2">
        <f t="shared" si="6"/>
        <v>5.2555007331483861</v>
      </c>
      <c r="K120">
        <f t="shared" si="7"/>
        <v>17.906666666666666</v>
      </c>
    </row>
    <row r="121" spans="1:11" ht="13.9" x14ac:dyDescent="0.3">
      <c r="A121" s="2" t="s">
        <v>128</v>
      </c>
      <c r="B121" s="2">
        <v>0</v>
      </c>
      <c r="C121" s="2">
        <v>14.39</v>
      </c>
      <c r="D121" s="2">
        <v>0</v>
      </c>
      <c r="E121" s="2">
        <v>8.8800000000000008</v>
      </c>
      <c r="F121" s="2">
        <v>7.35</v>
      </c>
      <c r="G121" s="2">
        <v>4</v>
      </c>
      <c r="H121" s="2">
        <f t="shared" si="4"/>
        <v>-0.49142972781798494</v>
      </c>
      <c r="I121" s="2">
        <f t="shared" si="5"/>
        <v>0.71731744067543968</v>
      </c>
      <c r="J121" s="2">
        <f t="shared" si="6"/>
        <v>3.8469946869655733</v>
      </c>
      <c r="K121">
        <f t="shared" si="7"/>
        <v>6.7433333333333332</v>
      </c>
    </row>
    <row r="122" spans="1:11" ht="13.9" x14ac:dyDescent="0.3">
      <c r="A122" s="2" t="s">
        <v>42</v>
      </c>
      <c r="B122" s="2">
        <v>29.01</v>
      </c>
      <c r="C122" s="2">
        <v>63.67</v>
      </c>
      <c r="D122" s="2">
        <v>57.35</v>
      </c>
      <c r="E122" s="2">
        <v>65.94</v>
      </c>
      <c r="F122" s="2">
        <v>80.09</v>
      </c>
      <c r="G122" s="2">
        <v>62.39</v>
      </c>
      <c r="H122" s="2">
        <f t="shared" si="4"/>
        <v>-0.47424271451239181</v>
      </c>
      <c r="I122" s="2">
        <f t="shared" si="5"/>
        <v>0.17870713728744342</v>
      </c>
      <c r="J122" s="2">
        <f t="shared" si="6"/>
        <v>7.2291072006540054</v>
      </c>
      <c r="K122">
        <f t="shared" si="7"/>
        <v>69.473333333333343</v>
      </c>
    </row>
    <row r="123" spans="1:11" ht="13.9" x14ac:dyDescent="0.3">
      <c r="A123" s="2" t="s">
        <v>466</v>
      </c>
      <c r="B123" s="2">
        <v>0.33</v>
      </c>
      <c r="C123" s="2">
        <v>13.91</v>
      </c>
      <c r="D123" s="2">
        <v>0</v>
      </c>
      <c r="E123" s="2">
        <v>5.13</v>
      </c>
      <c r="F123" s="2">
        <v>9.36</v>
      </c>
      <c r="G123" s="2">
        <v>5.27</v>
      </c>
      <c r="H123" s="2">
        <f t="shared" si="4"/>
        <v>-0.47263380061827986</v>
      </c>
      <c r="I123" s="2">
        <f t="shared" si="5"/>
        <v>0.72031805986681929</v>
      </c>
      <c r="J123" s="2">
        <f t="shared" si="6"/>
        <v>3.8318772411916733</v>
      </c>
      <c r="K123">
        <f t="shared" si="7"/>
        <v>6.586666666666666</v>
      </c>
    </row>
    <row r="124" spans="1:11" ht="13.9" x14ac:dyDescent="0.3">
      <c r="A124" s="2" t="s">
        <v>220</v>
      </c>
      <c r="B124" s="2">
        <v>7.91</v>
      </c>
      <c r="C124" s="2">
        <v>20.25</v>
      </c>
      <c r="D124" s="2">
        <v>18.75</v>
      </c>
      <c r="E124" s="2">
        <v>16.98</v>
      </c>
      <c r="F124" s="2">
        <v>22.86</v>
      </c>
      <c r="G124" s="2">
        <v>24.55</v>
      </c>
      <c r="H124" s="2">
        <f t="shared" si="4"/>
        <v>-0.45694114914218298</v>
      </c>
      <c r="I124" s="2">
        <f t="shared" si="5"/>
        <v>0.2663232784415418</v>
      </c>
      <c r="J124" s="2">
        <f t="shared" si="6"/>
        <v>5.5518235957212569</v>
      </c>
      <c r="K124">
        <f t="shared" si="7"/>
        <v>21.463333333333335</v>
      </c>
    </row>
    <row r="125" spans="1:11" ht="13.9" x14ac:dyDescent="0.3">
      <c r="A125" s="2" t="s">
        <v>270</v>
      </c>
      <c r="B125" s="2">
        <v>878.75</v>
      </c>
      <c r="C125" s="2">
        <v>1121.49</v>
      </c>
      <c r="D125" s="2">
        <v>659.8</v>
      </c>
      <c r="E125" s="2">
        <v>1088.93</v>
      </c>
      <c r="F125" s="2">
        <v>1264.8599999999999</v>
      </c>
      <c r="G125" s="2">
        <v>1279.3900000000001</v>
      </c>
      <c r="H125" s="2">
        <f t="shared" si="4"/>
        <v>-0.44978490328016546</v>
      </c>
      <c r="I125" s="2">
        <f t="shared" si="5"/>
        <v>9.1529429887197672E-2</v>
      </c>
      <c r="J125" s="2">
        <f t="shared" si="6"/>
        <v>11.377232224887704</v>
      </c>
      <c r="K125">
        <f t="shared" si="7"/>
        <v>1211.0600000000002</v>
      </c>
    </row>
    <row r="126" spans="1:11" ht="13.9" x14ac:dyDescent="0.3">
      <c r="A126" s="2" t="s">
        <v>330</v>
      </c>
      <c r="B126" s="2">
        <v>6.92</v>
      </c>
      <c r="C126" s="2">
        <v>8.2899999999999991</v>
      </c>
      <c r="D126" s="2">
        <v>2.1800000000000002</v>
      </c>
      <c r="E126" s="2">
        <v>7.8</v>
      </c>
      <c r="F126" s="2">
        <v>7.49</v>
      </c>
      <c r="G126" s="2">
        <v>8.33</v>
      </c>
      <c r="H126" s="2">
        <f t="shared" si="4"/>
        <v>-0.44175103209056998</v>
      </c>
      <c r="I126" s="2">
        <f t="shared" si="5"/>
        <v>0.32840635672223106</v>
      </c>
      <c r="J126" s="2">
        <f t="shared" si="6"/>
        <v>4.1201860275318625</v>
      </c>
      <c r="K126">
        <f t="shared" si="7"/>
        <v>7.8733333333333322</v>
      </c>
    </row>
    <row r="127" spans="1:11" ht="13.9" x14ac:dyDescent="0.3">
      <c r="A127" s="2" t="s">
        <v>276</v>
      </c>
      <c r="B127" s="2">
        <v>1.65</v>
      </c>
      <c r="C127" s="2">
        <v>0</v>
      </c>
      <c r="D127" s="2">
        <v>0</v>
      </c>
      <c r="E127" s="2">
        <v>0.39</v>
      </c>
      <c r="F127" s="2">
        <v>0.27</v>
      </c>
      <c r="G127" s="2">
        <v>1.58</v>
      </c>
      <c r="H127" s="2">
        <f t="shared" si="4"/>
        <v>-0.44103270781178844</v>
      </c>
      <c r="I127" s="2">
        <f t="shared" si="5"/>
        <v>0.79003243235062715</v>
      </c>
      <c r="J127" s="2">
        <f t="shared" si="6"/>
        <v>0.72246602447109098</v>
      </c>
      <c r="K127">
        <f t="shared" si="7"/>
        <v>0.7466666666666667</v>
      </c>
    </row>
    <row r="128" spans="1:11" ht="13.9" x14ac:dyDescent="0.3">
      <c r="A128" s="2" t="s">
        <v>715</v>
      </c>
      <c r="B128" s="2">
        <v>5.6</v>
      </c>
      <c r="C128" s="2">
        <v>12.69</v>
      </c>
      <c r="D128" s="2">
        <v>5.46</v>
      </c>
      <c r="E128" s="2">
        <v>4.1500000000000004</v>
      </c>
      <c r="F128" s="2">
        <v>17.649999999999999</v>
      </c>
      <c r="G128" s="2">
        <v>10.33</v>
      </c>
      <c r="H128" s="2">
        <f t="shared" si="4"/>
        <v>-0.43599346736573935</v>
      </c>
      <c r="I128" s="2">
        <f t="shared" si="5"/>
        <v>0.57439595478877459</v>
      </c>
      <c r="J128" s="2">
        <f t="shared" si="6"/>
        <v>4.5698556083309487</v>
      </c>
      <c r="K128">
        <f t="shared" si="7"/>
        <v>10.709999999999999</v>
      </c>
    </row>
    <row r="129" spans="1:11" ht="13.9" x14ac:dyDescent="0.3">
      <c r="A129" s="2" t="s">
        <v>379</v>
      </c>
      <c r="B129" s="2">
        <v>563.97</v>
      </c>
      <c r="C129" s="2">
        <v>528.66</v>
      </c>
      <c r="D129" s="2">
        <v>417.29</v>
      </c>
      <c r="E129" s="2">
        <v>634.74</v>
      </c>
      <c r="F129" s="2">
        <v>687.92</v>
      </c>
      <c r="G129" s="2">
        <v>719.89</v>
      </c>
      <c r="H129" s="2">
        <f t="shared" si="4"/>
        <v>-0.43589928147957158</v>
      </c>
      <c r="I129" s="2">
        <f t="shared" si="5"/>
        <v>2.4852136954845418E-2</v>
      </c>
      <c r="J129" s="2">
        <f t="shared" si="6"/>
        <v>10.560256398013273</v>
      </c>
      <c r="K129">
        <f t="shared" si="7"/>
        <v>680.84999999999991</v>
      </c>
    </row>
    <row r="130" spans="1:11" ht="13.9" x14ac:dyDescent="0.3">
      <c r="A130" s="2" t="s">
        <v>97</v>
      </c>
      <c r="B130" s="2">
        <v>668.13</v>
      </c>
      <c r="C130" s="2">
        <v>1068.31</v>
      </c>
      <c r="D130" s="2">
        <v>745.56</v>
      </c>
      <c r="E130" s="2">
        <v>954.97</v>
      </c>
      <c r="F130" s="2">
        <v>1206.7</v>
      </c>
      <c r="G130" s="2">
        <v>1192.6500000000001</v>
      </c>
      <c r="H130" s="2">
        <f t="shared" ref="H130:H193" si="8">LOG(SUM(B130:D130)/SUM(E130:G130),2)</f>
        <v>-0.43451721219106587</v>
      </c>
      <c r="I130" s="2">
        <f t="shared" ref="I130:I193" si="9">_xlfn.T.TEST(B130:D130,E130:G130,2,2)</f>
        <v>0.11955263864567268</v>
      </c>
      <c r="J130" s="2">
        <f t="shared" ref="J130:J193" si="10">LOG(SUM(B130:D130),2)</f>
        <v>11.277287400130357</v>
      </c>
      <c r="K130">
        <f t="shared" ref="K130:K193" si="11">AVERAGE(E130:G130)</f>
        <v>1118.1066666666668</v>
      </c>
    </row>
    <row r="131" spans="1:11" ht="13.9" x14ac:dyDescent="0.3">
      <c r="A131" s="2" t="s">
        <v>456</v>
      </c>
      <c r="B131" s="2">
        <v>9.56</v>
      </c>
      <c r="C131" s="2">
        <v>14.88</v>
      </c>
      <c r="D131" s="2">
        <v>6.37</v>
      </c>
      <c r="E131" s="2">
        <v>10.66</v>
      </c>
      <c r="F131" s="2">
        <v>20.72</v>
      </c>
      <c r="G131" s="2">
        <v>10.01</v>
      </c>
      <c r="H131" s="2">
        <f t="shared" si="8"/>
        <v>-0.42588356619093931</v>
      </c>
      <c r="I131" s="2">
        <f t="shared" si="9"/>
        <v>0.4546502988083676</v>
      </c>
      <c r="J131" s="2">
        <f t="shared" si="10"/>
        <v>4.9453267772646265</v>
      </c>
      <c r="K131">
        <f t="shared" si="11"/>
        <v>13.796666666666667</v>
      </c>
    </row>
    <row r="132" spans="1:11" ht="13.9" x14ac:dyDescent="0.3">
      <c r="A132" s="2" t="s">
        <v>230</v>
      </c>
      <c r="B132" s="2">
        <v>22.74</v>
      </c>
      <c r="C132" s="2">
        <v>0.24</v>
      </c>
      <c r="D132" s="2">
        <v>0</v>
      </c>
      <c r="E132" s="2">
        <v>9.08</v>
      </c>
      <c r="F132" s="2">
        <v>11.63</v>
      </c>
      <c r="G132" s="2">
        <v>10.119999999999999</v>
      </c>
      <c r="H132" s="2">
        <f t="shared" si="8"/>
        <v>-0.423956091461062</v>
      </c>
      <c r="I132" s="2">
        <f t="shared" si="9"/>
        <v>0.74721895200495614</v>
      </c>
      <c r="J132" s="2">
        <f t="shared" si="10"/>
        <v>4.5223068928713888</v>
      </c>
      <c r="K132">
        <f t="shared" si="11"/>
        <v>10.276666666666666</v>
      </c>
    </row>
    <row r="133" spans="1:11" ht="13.9" x14ac:dyDescent="0.3">
      <c r="A133" s="2" t="s">
        <v>23</v>
      </c>
      <c r="B133" s="2">
        <v>7.25</v>
      </c>
      <c r="C133" s="2">
        <v>0</v>
      </c>
      <c r="D133" s="2">
        <v>1.64</v>
      </c>
      <c r="E133" s="2">
        <v>2.0699999999999998</v>
      </c>
      <c r="F133" s="2">
        <v>3.61</v>
      </c>
      <c r="G133" s="2">
        <v>6.22</v>
      </c>
      <c r="H133" s="2">
        <f t="shared" si="8"/>
        <v>-0.42070624936553569</v>
      </c>
      <c r="I133" s="2">
        <f t="shared" si="9"/>
        <v>0.70945203789460765</v>
      </c>
      <c r="J133" s="2">
        <f t="shared" si="10"/>
        <v>3.1521834190550453</v>
      </c>
      <c r="K133">
        <f t="shared" si="11"/>
        <v>3.9666666666666663</v>
      </c>
    </row>
    <row r="134" spans="1:11" ht="13.9" x14ac:dyDescent="0.3">
      <c r="A134" s="2" t="s">
        <v>135</v>
      </c>
      <c r="B134" s="2">
        <v>115.36</v>
      </c>
      <c r="C134" s="2">
        <v>23.66</v>
      </c>
      <c r="D134" s="2">
        <v>60.26</v>
      </c>
      <c r="E134" s="2">
        <v>119.45</v>
      </c>
      <c r="F134" s="2">
        <v>71.930000000000007</v>
      </c>
      <c r="G134" s="2">
        <v>72.510000000000005</v>
      </c>
      <c r="H134" s="2">
        <f t="shared" si="8"/>
        <v>-0.4051397546898951</v>
      </c>
      <c r="I134" s="2">
        <f t="shared" si="9"/>
        <v>0.52487972098099622</v>
      </c>
      <c r="J134" s="2">
        <f t="shared" si="10"/>
        <v>7.6386531164661129</v>
      </c>
      <c r="K134">
        <f t="shared" si="11"/>
        <v>87.963333333333324</v>
      </c>
    </row>
    <row r="135" spans="1:11" ht="13.9" x14ac:dyDescent="0.3">
      <c r="A135" s="2" t="s">
        <v>393</v>
      </c>
      <c r="B135" s="2">
        <v>9.89</v>
      </c>
      <c r="C135" s="2">
        <v>46.84</v>
      </c>
      <c r="D135" s="2">
        <v>0</v>
      </c>
      <c r="E135" s="2">
        <v>22.01</v>
      </c>
      <c r="F135" s="2">
        <v>25.54</v>
      </c>
      <c r="G135" s="2">
        <v>26.98</v>
      </c>
      <c r="H135" s="2">
        <f t="shared" si="8"/>
        <v>-0.39370939565053259</v>
      </c>
      <c r="I135" s="2">
        <f t="shared" si="9"/>
        <v>0.70007872701494311</v>
      </c>
      <c r="J135" s="2">
        <f t="shared" si="10"/>
        <v>5.8260399588961933</v>
      </c>
      <c r="K135">
        <f t="shared" si="11"/>
        <v>24.843333333333334</v>
      </c>
    </row>
    <row r="136" spans="1:11" ht="13.9" x14ac:dyDescent="0.3">
      <c r="A136" s="2" t="s">
        <v>621</v>
      </c>
      <c r="B136" s="2">
        <v>0.33</v>
      </c>
      <c r="C136" s="2">
        <v>0</v>
      </c>
      <c r="D136" s="2">
        <v>0</v>
      </c>
      <c r="E136" s="2">
        <v>0.3</v>
      </c>
      <c r="F136" s="2">
        <v>0.13</v>
      </c>
      <c r="G136" s="2">
        <v>0</v>
      </c>
      <c r="H136" s="2">
        <f t="shared" si="8"/>
        <v>-0.38187063534364446</v>
      </c>
      <c r="I136" s="2">
        <f t="shared" si="9"/>
        <v>0.82370177442852166</v>
      </c>
      <c r="J136" s="2">
        <f t="shared" si="10"/>
        <v>-1.5994620704162712</v>
      </c>
      <c r="K136">
        <f t="shared" si="11"/>
        <v>0.14333333333333334</v>
      </c>
    </row>
    <row r="137" spans="1:11" ht="13.9" x14ac:dyDescent="0.3">
      <c r="A137" s="2" t="s">
        <v>672</v>
      </c>
      <c r="B137" s="2">
        <v>8.57</v>
      </c>
      <c r="C137" s="2">
        <v>0.98</v>
      </c>
      <c r="D137" s="2">
        <v>0.18</v>
      </c>
      <c r="E137" s="2">
        <v>4.4400000000000004</v>
      </c>
      <c r="F137" s="2">
        <v>3.48</v>
      </c>
      <c r="G137" s="2">
        <v>4.53</v>
      </c>
      <c r="H137" s="2">
        <f t="shared" si="8"/>
        <v>-0.35563403217433159</v>
      </c>
      <c r="I137" s="2">
        <f t="shared" si="9"/>
        <v>0.75340304988743678</v>
      </c>
      <c r="J137" s="2">
        <f t="shared" si="10"/>
        <v>3.282439805006387</v>
      </c>
      <c r="K137">
        <f t="shared" si="11"/>
        <v>4.1499999999999995</v>
      </c>
    </row>
    <row r="138" spans="1:11" ht="13.9" x14ac:dyDescent="0.3">
      <c r="A138" s="2" t="s">
        <v>689</v>
      </c>
      <c r="B138" s="2">
        <v>8.57</v>
      </c>
      <c r="C138" s="2">
        <v>0.98</v>
      </c>
      <c r="D138" s="2">
        <v>0.18</v>
      </c>
      <c r="E138" s="2">
        <v>4.4400000000000004</v>
      </c>
      <c r="F138" s="2">
        <v>3.48</v>
      </c>
      <c r="G138" s="2">
        <v>4.53</v>
      </c>
      <c r="H138" s="2">
        <f t="shared" si="8"/>
        <v>-0.35563403217433159</v>
      </c>
      <c r="I138" s="2">
        <f t="shared" si="9"/>
        <v>0.75340304988743678</v>
      </c>
      <c r="J138" s="2">
        <f t="shared" si="10"/>
        <v>3.282439805006387</v>
      </c>
      <c r="K138">
        <f t="shared" si="11"/>
        <v>4.1499999999999995</v>
      </c>
    </row>
    <row r="139" spans="1:11" ht="13.9" x14ac:dyDescent="0.3">
      <c r="A139" s="2" t="s">
        <v>324</v>
      </c>
      <c r="B139" s="2">
        <v>0</v>
      </c>
      <c r="C139" s="2">
        <v>14.15</v>
      </c>
      <c r="D139" s="2">
        <v>0</v>
      </c>
      <c r="E139" s="2">
        <v>6.91</v>
      </c>
      <c r="F139" s="2">
        <v>5.35</v>
      </c>
      <c r="G139" s="2">
        <v>5.8</v>
      </c>
      <c r="H139" s="2">
        <f t="shared" si="8"/>
        <v>-0.35199583976161347</v>
      </c>
      <c r="I139" s="2">
        <f t="shared" si="9"/>
        <v>0.79693623878782816</v>
      </c>
      <c r="J139" s="2">
        <f t="shared" si="10"/>
        <v>3.8227301479445206</v>
      </c>
      <c r="K139">
        <f t="shared" si="11"/>
        <v>6.02</v>
      </c>
    </row>
    <row r="140" spans="1:11" ht="13.9" x14ac:dyDescent="0.3">
      <c r="A140" s="2" t="s">
        <v>551</v>
      </c>
      <c r="B140" s="2">
        <v>30.98</v>
      </c>
      <c r="C140" s="2">
        <v>30.25</v>
      </c>
      <c r="D140" s="2">
        <v>14.57</v>
      </c>
      <c r="E140" s="2">
        <v>34.65</v>
      </c>
      <c r="F140" s="2">
        <v>26.47</v>
      </c>
      <c r="G140" s="2">
        <v>35.200000000000003</v>
      </c>
      <c r="H140" s="2">
        <f t="shared" si="8"/>
        <v>-0.34563754370124777</v>
      </c>
      <c r="I140" s="2">
        <f t="shared" si="9"/>
        <v>0.32151438002986382</v>
      </c>
      <c r="J140" s="2">
        <f t="shared" si="10"/>
        <v>6.2441259432837297</v>
      </c>
      <c r="K140">
        <f t="shared" si="11"/>
        <v>32.106666666666662</v>
      </c>
    </row>
    <row r="141" spans="1:11" ht="13.9" x14ac:dyDescent="0.3">
      <c r="A141" s="2" t="s">
        <v>934</v>
      </c>
      <c r="B141" s="2">
        <v>45.82</v>
      </c>
      <c r="C141" s="2">
        <v>41.72</v>
      </c>
      <c r="D141" s="2">
        <v>12.56</v>
      </c>
      <c r="E141" s="2">
        <v>39.58</v>
      </c>
      <c r="F141" s="2">
        <v>37.57</v>
      </c>
      <c r="G141" s="2">
        <v>49.53</v>
      </c>
      <c r="H141" s="2">
        <f t="shared" si="8"/>
        <v>-0.33974679830483429</v>
      </c>
      <c r="I141" s="2">
        <f t="shared" si="9"/>
        <v>0.469613895681462</v>
      </c>
      <c r="J141" s="2">
        <f t="shared" si="10"/>
        <v>6.645298163948631</v>
      </c>
      <c r="K141">
        <f t="shared" si="11"/>
        <v>42.226666666666667</v>
      </c>
    </row>
    <row r="142" spans="1:11" ht="13.9" x14ac:dyDescent="0.3">
      <c r="A142" s="2" t="s">
        <v>292</v>
      </c>
      <c r="B142" s="2">
        <v>5.93</v>
      </c>
      <c r="C142" s="2">
        <v>0</v>
      </c>
      <c r="D142" s="2">
        <v>0</v>
      </c>
      <c r="E142" s="2">
        <v>2.76</v>
      </c>
      <c r="F142" s="2">
        <v>2.14</v>
      </c>
      <c r="G142" s="2">
        <v>2.5299999999999998</v>
      </c>
      <c r="H142" s="2">
        <f t="shared" si="8"/>
        <v>-0.32533010599259271</v>
      </c>
      <c r="I142" s="2">
        <f t="shared" si="9"/>
        <v>0.81353318953719711</v>
      </c>
      <c r="J142" s="2">
        <f t="shared" si="10"/>
        <v>2.5680321047712789</v>
      </c>
      <c r="K142">
        <f t="shared" si="11"/>
        <v>2.4766666666666666</v>
      </c>
    </row>
    <row r="143" spans="1:11" ht="13.9" x14ac:dyDescent="0.3">
      <c r="A143" s="2" t="s">
        <v>95</v>
      </c>
      <c r="B143" s="2">
        <v>0</v>
      </c>
      <c r="C143" s="2">
        <v>0</v>
      </c>
      <c r="D143" s="2">
        <v>3.82</v>
      </c>
      <c r="E143" s="2">
        <v>0.89</v>
      </c>
      <c r="F143" s="2">
        <v>1.34</v>
      </c>
      <c r="G143" s="2">
        <v>2.5299999999999998</v>
      </c>
      <c r="H143" s="2">
        <f t="shared" si="8"/>
        <v>-0.31738893527219475</v>
      </c>
      <c r="I143" s="2">
        <f t="shared" si="9"/>
        <v>0.82959094775714104</v>
      </c>
      <c r="J143" s="2">
        <f t="shared" si="10"/>
        <v>1.9335726382610239</v>
      </c>
      <c r="K143">
        <f t="shared" si="11"/>
        <v>1.5866666666666667</v>
      </c>
    </row>
    <row r="144" spans="1:11" ht="13.9" x14ac:dyDescent="0.3">
      <c r="A144" s="2" t="s">
        <v>877</v>
      </c>
      <c r="B144" s="2">
        <v>0</v>
      </c>
      <c r="C144" s="2">
        <v>12.44</v>
      </c>
      <c r="D144" s="2">
        <v>0</v>
      </c>
      <c r="E144" s="2">
        <v>8.49</v>
      </c>
      <c r="F144" s="2">
        <v>3.74</v>
      </c>
      <c r="G144" s="2">
        <v>3.06</v>
      </c>
      <c r="H144" s="2">
        <f t="shared" si="8"/>
        <v>-0.29760192123020229</v>
      </c>
      <c r="I144" s="2">
        <f t="shared" si="9"/>
        <v>0.8425925915392577</v>
      </c>
      <c r="J144" s="2">
        <f t="shared" si="10"/>
        <v>3.636914580355878</v>
      </c>
      <c r="K144">
        <f t="shared" si="11"/>
        <v>5.0966666666666667</v>
      </c>
    </row>
    <row r="145" spans="1:11" ht="13.9" x14ac:dyDescent="0.3">
      <c r="A145" s="2" t="s">
        <v>771</v>
      </c>
      <c r="B145" s="2">
        <v>0</v>
      </c>
      <c r="C145" s="2">
        <v>14.39</v>
      </c>
      <c r="D145" s="2">
        <v>0</v>
      </c>
      <c r="E145" s="2">
        <v>4.24</v>
      </c>
      <c r="F145" s="2">
        <v>6.15</v>
      </c>
      <c r="G145" s="2">
        <v>7.27</v>
      </c>
      <c r="H145" s="2">
        <f t="shared" si="8"/>
        <v>-0.29541875090816799</v>
      </c>
      <c r="I145" s="2">
        <f t="shared" si="9"/>
        <v>0.83411634981377913</v>
      </c>
      <c r="J145" s="2">
        <f t="shared" si="10"/>
        <v>3.8469946869655733</v>
      </c>
      <c r="K145">
        <f t="shared" si="11"/>
        <v>5.8866666666666667</v>
      </c>
    </row>
    <row r="146" spans="1:11" ht="13.9" x14ac:dyDescent="0.3">
      <c r="A146" s="2" t="s">
        <v>883</v>
      </c>
      <c r="B146" s="2">
        <v>0</v>
      </c>
      <c r="C146" s="2">
        <v>0</v>
      </c>
      <c r="D146" s="2">
        <v>2.91</v>
      </c>
      <c r="E146" s="2">
        <v>0.99</v>
      </c>
      <c r="F146" s="2">
        <v>0.67</v>
      </c>
      <c r="G146" s="2">
        <v>1.9</v>
      </c>
      <c r="H146" s="2">
        <f t="shared" si="8"/>
        <v>-0.29085808805811381</v>
      </c>
      <c r="I146" s="2">
        <f t="shared" si="9"/>
        <v>0.84479734257898798</v>
      </c>
      <c r="J146" s="2">
        <f t="shared" si="10"/>
        <v>1.5410191531335593</v>
      </c>
      <c r="K146">
        <f t="shared" si="11"/>
        <v>1.1866666666666668</v>
      </c>
    </row>
    <row r="147" spans="1:11" ht="13.9" x14ac:dyDescent="0.3">
      <c r="A147" s="2" t="s">
        <v>141</v>
      </c>
      <c r="B147" s="2">
        <v>27666.15</v>
      </c>
      <c r="C147" s="2">
        <v>31697.439999999999</v>
      </c>
      <c r="D147" s="2">
        <v>27150.62</v>
      </c>
      <c r="E147" s="2">
        <v>34934.629999999997</v>
      </c>
      <c r="F147" s="2">
        <v>36247.47</v>
      </c>
      <c r="G147" s="2">
        <v>34512.76</v>
      </c>
      <c r="H147" s="2">
        <f t="shared" si="8"/>
        <v>-0.28889619869278099</v>
      </c>
      <c r="I147" s="2">
        <f t="shared" si="9"/>
        <v>1.3912486084154321E-2</v>
      </c>
      <c r="J147" s="2">
        <f t="shared" si="10"/>
        <v>16.400649495105913</v>
      </c>
      <c r="K147">
        <f t="shared" si="11"/>
        <v>35231.620000000003</v>
      </c>
    </row>
    <row r="148" spans="1:11" ht="13.9" x14ac:dyDescent="0.3">
      <c r="A148" s="2" t="s">
        <v>459</v>
      </c>
      <c r="B148" s="2">
        <v>1.32</v>
      </c>
      <c r="C148" s="2">
        <v>2.93</v>
      </c>
      <c r="D148" s="2">
        <v>1.64</v>
      </c>
      <c r="E148" s="2">
        <v>1.58</v>
      </c>
      <c r="F148" s="2">
        <v>1.87</v>
      </c>
      <c r="G148" s="2">
        <v>3.69</v>
      </c>
      <c r="H148" s="2">
        <f t="shared" si="8"/>
        <v>-0.27765644019863928</v>
      </c>
      <c r="I148" s="2">
        <f t="shared" si="9"/>
        <v>0.63949475475217454</v>
      </c>
      <c r="J148" s="2">
        <f t="shared" si="10"/>
        <v>2.5582676340557358</v>
      </c>
      <c r="K148">
        <f t="shared" si="11"/>
        <v>2.3800000000000003</v>
      </c>
    </row>
    <row r="149" spans="1:11" ht="13.9" x14ac:dyDescent="0.3">
      <c r="A149" s="2" t="s">
        <v>868</v>
      </c>
      <c r="B149" s="2">
        <v>15.49</v>
      </c>
      <c r="C149" s="2">
        <v>8.2899999999999991</v>
      </c>
      <c r="D149" s="2">
        <v>10.01</v>
      </c>
      <c r="E149" s="2">
        <v>10.76</v>
      </c>
      <c r="F149" s="2">
        <v>17.78</v>
      </c>
      <c r="G149" s="2">
        <v>11.91</v>
      </c>
      <c r="H149" s="2">
        <f t="shared" si="8"/>
        <v>-0.25954335215353858</v>
      </c>
      <c r="I149" s="2">
        <f t="shared" si="9"/>
        <v>0.50990679441638365</v>
      </c>
      <c r="J149" s="2">
        <f t="shared" si="10"/>
        <v>5.0785244453890765</v>
      </c>
      <c r="K149">
        <f t="shared" si="11"/>
        <v>13.483333333333334</v>
      </c>
    </row>
    <row r="150" spans="1:11" ht="13.9" x14ac:dyDescent="0.3">
      <c r="A150" s="2" t="s">
        <v>606</v>
      </c>
      <c r="B150" s="2">
        <v>0</v>
      </c>
      <c r="C150" s="2">
        <v>15.61</v>
      </c>
      <c r="D150" s="2">
        <v>0</v>
      </c>
      <c r="E150" s="2">
        <v>4.74</v>
      </c>
      <c r="F150" s="2">
        <v>6.02</v>
      </c>
      <c r="G150" s="2">
        <v>7.8</v>
      </c>
      <c r="H150" s="2">
        <f t="shared" si="8"/>
        <v>-0.24972617314966319</v>
      </c>
      <c r="I150" s="2">
        <f t="shared" si="9"/>
        <v>0.86128175038266463</v>
      </c>
      <c r="J150" s="2">
        <f t="shared" si="10"/>
        <v>3.9643986322031841</v>
      </c>
      <c r="K150">
        <f t="shared" si="11"/>
        <v>6.1866666666666665</v>
      </c>
    </row>
    <row r="151" spans="1:11" ht="13.9" x14ac:dyDescent="0.3">
      <c r="A151" s="2" t="s">
        <v>378</v>
      </c>
      <c r="B151" s="2">
        <v>127.56</v>
      </c>
      <c r="C151" s="2">
        <v>216.39</v>
      </c>
      <c r="D151" s="2">
        <v>144.74</v>
      </c>
      <c r="E151" s="2">
        <v>169.2</v>
      </c>
      <c r="F151" s="2">
        <v>196.15</v>
      </c>
      <c r="G151" s="2">
        <v>213.93</v>
      </c>
      <c r="H151" s="2">
        <f t="shared" si="8"/>
        <v>-0.24534127272629019</v>
      </c>
      <c r="I151" s="2">
        <f t="shared" si="9"/>
        <v>0.37324277057280314</v>
      </c>
      <c r="J151" s="2">
        <f t="shared" si="10"/>
        <v>8.9327757729801096</v>
      </c>
      <c r="K151">
        <f t="shared" si="11"/>
        <v>193.09333333333333</v>
      </c>
    </row>
    <row r="152" spans="1:11" ht="13.9" x14ac:dyDescent="0.3">
      <c r="A152" s="2" t="s">
        <v>190</v>
      </c>
      <c r="B152" s="2">
        <v>48.12</v>
      </c>
      <c r="C152" s="2">
        <v>49.28</v>
      </c>
      <c r="D152" s="2">
        <v>63.9</v>
      </c>
      <c r="E152" s="2">
        <v>60.02</v>
      </c>
      <c r="F152" s="2">
        <v>64.180000000000007</v>
      </c>
      <c r="G152" s="2">
        <v>65.23</v>
      </c>
      <c r="H152" s="2">
        <f t="shared" si="8"/>
        <v>-0.23191838979877633</v>
      </c>
      <c r="I152" s="2">
        <f t="shared" si="9"/>
        <v>0.15282880694480516</v>
      </c>
      <c r="J152" s="2">
        <f t="shared" si="10"/>
        <v>7.3336026282682809</v>
      </c>
      <c r="K152">
        <f t="shared" si="11"/>
        <v>63.143333333333338</v>
      </c>
    </row>
    <row r="153" spans="1:11" ht="13.9" x14ac:dyDescent="0.3">
      <c r="A153" s="2" t="s">
        <v>255</v>
      </c>
      <c r="B153" s="2">
        <v>5.27</v>
      </c>
      <c r="C153" s="2">
        <v>31.47</v>
      </c>
      <c r="D153" s="2">
        <v>7.46</v>
      </c>
      <c r="E153" s="2">
        <v>16.29</v>
      </c>
      <c r="F153" s="2">
        <v>17.25</v>
      </c>
      <c r="G153" s="2">
        <v>18.34</v>
      </c>
      <c r="H153" s="2">
        <f t="shared" si="8"/>
        <v>-0.23113210997290551</v>
      </c>
      <c r="I153" s="2">
        <f t="shared" si="9"/>
        <v>0.77608092815729057</v>
      </c>
      <c r="J153" s="2">
        <f t="shared" si="10"/>
        <v>5.4659744645040691</v>
      </c>
      <c r="K153">
        <f t="shared" si="11"/>
        <v>17.293333333333333</v>
      </c>
    </row>
    <row r="154" spans="1:11" ht="13.9" x14ac:dyDescent="0.3">
      <c r="A154" s="2" t="s">
        <v>89</v>
      </c>
      <c r="B154" s="2">
        <v>19.12</v>
      </c>
      <c r="C154" s="2">
        <v>46.6</v>
      </c>
      <c r="D154" s="2">
        <v>30.4</v>
      </c>
      <c r="E154" s="2">
        <v>34.65</v>
      </c>
      <c r="F154" s="2">
        <v>54.95</v>
      </c>
      <c r="G154" s="2">
        <v>22.55</v>
      </c>
      <c r="H154" s="2">
        <f t="shared" si="8"/>
        <v>-0.22252106684376821</v>
      </c>
      <c r="I154" s="2">
        <f t="shared" si="9"/>
        <v>0.68797299562724712</v>
      </c>
      <c r="J154" s="2">
        <f t="shared" si="10"/>
        <v>6.5867647433551424</v>
      </c>
      <c r="K154">
        <f t="shared" si="11"/>
        <v>37.383333333333333</v>
      </c>
    </row>
    <row r="155" spans="1:11" ht="13.9" x14ac:dyDescent="0.3">
      <c r="A155" s="2" t="s">
        <v>605</v>
      </c>
      <c r="B155" s="2">
        <v>1203.42</v>
      </c>
      <c r="C155" s="2">
        <v>1086.1199999999999</v>
      </c>
      <c r="D155" s="2">
        <v>896.85</v>
      </c>
      <c r="E155" s="2">
        <v>1257.53</v>
      </c>
      <c r="F155" s="2">
        <v>1082.76</v>
      </c>
      <c r="G155" s="2">
        <v>1312.58</v>
      </c>
      <c r="H155" s="2">
        <f t="shared" si="8"/>
        <v>-0.1971075541827759</v>
      </c>
      <c r="I155" s="2">
        <f t="shared" si="9"/>
        <v>0.24092403967341133</v>
      </c>
      <c r="J155" s="2">
        <f t="shared" si="10"/>
        <v>11.637707141805143</v>
      </c>
      <c r="K155">
        <f t="shared" si="11"/>
        <v>1217.6233333333332</v>
      </c>
    </row>
    <row r="156" spans="1:11" ht="13.9" x14ac:dyDescent="0.3">
      <c r="A156" s="2" t="s">
        <v>368</v>
      </c>
      <c r="B156" s="2">
        <v>0</v>
      </c>
      <c r="C156" s="2">
        <v>0</v>
      </c>
      <c r="D156" s="2">
        <v>26.76</v>
      </c>
      <c r="E156" s="2">
        <v>12.54</v>
      </c>
      <c r="F156" s="2">
        <v>11.5</v>
      </c>
      <c r="G156" s="2">
        <v>6.22</v>
      </c>
      <c r="H156" s="2">
        <f t="shared" si="8"/>
        <v>-0.17733387157527608</v>
      </c>
      <c r="I156" s="2">
        <f t="shared" si="9"/>
        <v>0.90450801577531958</v>
      </c>
      <c r="J156" s="2">
        <f t="shared" si="10"/>
        <v>4.7420062108667365</v>
      </c>
      <c r="K156">
        <f t="shared" si="11"/>
        <v>10.086666666666666</v>
      </c>
    </row>
    <row r="157" spans="1:11" ht="13.9" x14ac:dyDescent="0.3">
      <c r="A157" s="2" t="s">
        <v>228</v>
      </c>
      <c r="B157" s="2">
        <v>0</v>
      </c>
      <c r="C157" s="2">
        <v>0.24</v>
      </c>
      <c r="D157" s="2">
        <v>3.46</v>
      </c>
      <c r="E157" s="2">
        <v>0.69</v>
      </c>
      <c r="F157" s="2">
        <v>2.41</v>
      </c>
      <c r="G157" s="2">
        <v>1.05</v>
      </c>
      <c r="H157" s="2">
        <f t="shared" si="8"/>
        <v>-0.16558606571797499</v>
      </c>
      <c r="I157" s="2">
        <f t="shared" si="9"/>
        <v>0.90898976094163253</v>
      </c>
      <c r="J157" s="2">
        <f t="shared" si="10"/>
        <v>1.8875252707415877</v>
      </c>
      <c r="K157">
        <f t="shared" si="11"/>
        <v>1.3833333333333335</v>
      </c>
    </row>
    <row r="158" spans="1:11" ht="13.9" x14ac:dyDescent="0.3">
      <c r="A158" s="2" t="s">
        <v>236</v>
      </c>
      <c r="B158" s="2">
        <v>46428.76</v>
      </c>
      <c r="C158" s="2">
        <v>37218.54</v>
      </c>
      <c r="D158" s="2">
        <v>34930.44</v>
      </c>
      <c r="E158" s="2">
        <v>48004.23</v>
      </c>
      <c r="F158" s="2">
        <v>39007.58</v>
      </c>
      <c r="G158" s="2">
        <v>45590.93</v>
      </c>
      <c r="H158" s="2">
        <f t="shared" si="8"/>
        <v>-0.16127738103710701</v>
      </c>
      <c r="I158" s="2">
        <f t="shared" si="9"/>
        <v>0.3502812312837858</v>
      </c>
      <c r="J158" s="2">
        <f t="shared" si="10"/>
        <v>16.855473679887695</v>
      </c>
      <c r="K158">
        <f t="shared" si="11"/>
        <v>44200.91333333333</v>
      </c>
    </row>
    <row r="159" spans="1:11" ht="13.9" x14ac:dyDescent="0.3">
      <c r="A159" s="2" t="s">
        <v>604</v>
      </c>
      <c r="B159" s="2">
        <v>10.55</v>
      </c>
      <c r="C159" s="2">
        <v>31.72</v>
      </c>
      <c r="D159" s="2">
        <v>0</v>
      </c>
      <c r="E159" s="2">
        <v>11.75</v>
      </c>
      <c r="F159" s="2">
        <v>19.920000000000002</v>
      </c>
      <c r="G159" s="2">
        <v>15.28</v>
      </c>
      <c r="H159" s="2">
        <f t="shared" si="8"/>
        <v>-0.15149104551034429</v>
      </c>
      <c r="I159" s="2">
        <f t="shared" si="9"/>
        <v>0.87906057417959138</v>
      </c>
      <c r="J159" s="2">
        <f t="shared" si="10"/>
        <v>5.4015622072560685</v>
      </c>
      <c r="K159">
        <f t="shared" si="11"/>
        <v>15.65</v>
      </c>
    </row>
    <row r="160" spans="1:11" ht="13.9" x14ac:dyDescent="0.3">
      <c r="A160" s="2" t="s">
        <v>454</v>
      </c>
      <c r="B160" s="2">
        <v>15.49</v>
      </c>
      <c r="C160" s="2">
        <v>20</v>
      </c>
      <c r="D160" s="2">
        <v>12.02</v>
      </c>
      <c r="E160" s="2">
        <v>17.97</v>
      </c>
      <c r="F160" s="2">
        <v>20.99</v>
      </c>
      <c r="G160" s="2">
        <v>13.17</v>
      </c>
      <c r="H160" s="2">
        <f t="shared" si="8"/>
        <v>-0.13388265318516832</v>
      </c>
      <c r="I160" s="2">
        <f t="shared" si="9"/>
        <v>0.65970123833738414</v>
      </c>
      <c r="J160" s="2">
        <f t="shared" si="10"/>
        <v>5.5701593016361199</v>
      </c>
      <c r="K160">
        <f t="shared" si="11"/>
        <v>17.376666666666665</v>
      </c>
    </row>
    <row r="161" spans="1:11" ht="13.9" x14ac:dyDescent="0.3">
      <c r="A161" s="2" t="s">
        <v>189</v>
      </c>
      <c r="B161" s="2">
        <v>333.24</v>
      </c>
      <c r="C161" s="2">
        <v>230.79</v>
      </c>
      <c r="D161" s="2">
        <v>177.51</v>
      </c>
      <c r="E161" s="2">
        <v>281.83</v>
      </c>
      <c r="F161" s="2">
        <v>284.26</v>
      </c>
      <c r="G161" s="2">
        <v>247.13</v>
      </c>
      <c r="H161" s="2">
        <f t="shared" si="8"/>
        <v>-0.13312118032895892</v>
      </c>
      <c r="I161" s="2">
        <f t="shared" si="9"/>
        <v>0.63963177348400335</v>
      </c>
      <c r="J161" s="2">
        <f t="shared" si="10"/>
        <v>9.5343807061163659</v>
      </c>
      <c r="K161">
        <f t="shared" si="11"/>
        <v>271.07333333333332</v>
      </c>
    </row>
    <row r="162" spans="1:11" ht="13.9" x14ac:dyDescent="0.3">
      <c r="A162" s="2" t="s">
        <v>511</v>
      </c>
      <c r="B162" s="2">
        <v>339.83</v>
      </c>
      <c r="C162" s="2">
        <v>161.99</v>
      </c>
      <c r="D162" s="2">
        <v>352.84</v>
      </c>
      <c r="E162" s="2">
        <v>369.39</v>
      </c>
      <c r="F162" s="2">
        <v>238.53</v>
      </c>
      <c r="G162" s="2">
        <v>318.05</v>
      </c>
      <c r="H162" s="2">
        <f t="shared" si="8"/>
        <v>-0.11561485054070461</v>
      </c>
      <c r="I162" s="2">
        <f t="shared" si="9"/>
        <v>0.759082611469869</v>
      </c>
      <c r="J162" s="2">
        <f t="shared" si="10"/>
        <v>9.7392067923822356</v>
      </c>
      <c r="K162">
        <f t="shared" si="11"/>
        <v>308.65666666666669</v>
      </c>
    </row>
    <row r="163" spans="1:11" ht="13.9" x14ac:dyDescent="0.3">
      <c r="A163" s="2" t="s">
        <v>137</v>
      </c>
      <c r="B163" s="2">
        <v>48.45</v>
      </c>
      <c r="C163" s="2">
        <v>35.619999999999997</v>
      </c>
      <c r="D163" s="2">
        <v>41.33</v>
      </c>
      <c r="E163" s="2">
        <v>44.62</v>
      </c>
      <c r="F163" s="2">
        <v>42.65</v>
      </c>
      <c r="G163" s="2">
        <v>47</v>
      </c>
      <c r="H163" s="2">
        <f t="shared" si="8"/>
        <v>-9.8599650698407051E-2</v>
      </c>
      <c r="I163" s="2">
        <f t="shared" si="9"/>
        <v>0.49250711019916571</v>
      </c>
      <c r="J163" s="2">
        <f t="shared" si="10"/>
        <v>6.9703935379146769</v>
      </c>
      <c r="K163">
        <f t="shared" si="11"/>
        <v>44.756666666666661</v>
      </c>
    </row>
    <row r="164" spans="1:11" ht="13.9" x14ac:dyDescent="0.3">
      <c r="A164" s="2" t="s">
        <v>87</v>
      </c>
      <c r="B164" s="2">
        <v>9.56</v>
      </c>
      <c r="C164" s="2">
        <v>20.98</v>
      </c>
      <c r="D164" s="2">
        <v>0</v>
      </c>
      <c r="E164" s="2">
        <v>7.7</v>
      </c>
      <c r="F164" s="2">
        <v>14.31</v>
      </c>
      <c r="G164" s="2">
        <v>10.33</v>
      </c>
      <c r="H164" s="2">
        <f t="shared" si="8"/>
        <v>-8.2619616676810309E-2</v>
      </c>
      <c r="I164" s="2">
        <f t="shared" si="9"/>
        <v>0.92939196305920069</v>
      </c>
      <c r="J164" s="2">
        <f t="shared" si="10"/>
        <v>4.9326281570221271</v>
      </c>
      <c r="K164">
        <f t="shared" si="11"/>
        <v>10.780000000000001</v>
      </c>
    </row>
    <row r="165" spans="1:11" ht="13.9" x14ac:dyDescent="0.3">
      <c r="A165" s="2" t="s">
        <v>169</v>
      </c>
      <c r="B165" s="2">
        <v>1.98</v>
      </c>
      <c r="C165" s="2">
        <v>2.93</v>
      </c>
      <c r="D165" s="2">
        <v>3.82</v>
      </c>
      <c r="E165" s="2">
        <v>2.96</v>
      </c>
      <c r="F165" s="2">
        <v>2.14</v>
      </c>
      <c r="G165" s="2">
        <v>4.1100000000000003</v>
      </c>
      <c r="H165" s="2">
        <f t="shared" si="8"/>
        <v>-7.7219502461895559E-2</v>
      </c>
      <c r="I165" s="2">
        <f t="shared" si="9"/>
        <v>0.847520591147368</v>
      </c>
      <c r="J165" s="2">
        <f t="shared" si="10"/>
        <v>3.1259816538547156</v>
      </c>
      <c r="K165">
        <f t="shared" si="11"/>
        <v>3.0700000000000003</v>
      </c>
    </row>
    <row r="166" spans="1:11" ht="13.9" x14ac:dyDescent="0.3">
      <c r="A166" s="2" t="s">
        <v>275</v>
      </c>
      <c r="B166" s="2">
        <v>12.85</v>
      </c>
      <c r="C166" s="2">
        <v>24.88</v>
      </c>
      <c r="D166" s="2">
        <v>28.95</v>
      </c>
      <c r="E166" s="2">
        <v>21.91</v>
      </c>
      <c r="F166" s="2">
        <v>24.07</v>
      </c>
      <c r="G166" s="2">
        <v>23.29</v>
      </c>
      <c r="H166" s="2">
        <f t="shared" si="8"/>
        <v>-5.4976569508854919E-2</v>
      </c>
      <c r="I166" s="2">
        <f t="shared" si="9"/>
        <v>0.86802392582241206</v>
      </c>
      <c r="J166" s="2">
        <f t="shared" si="10"/>
        <v>6.0591821992116923</v>
      </c>
      <c r="K166">
        <f t="shared" si="11"/>
        <v>23.090000000000003</v>
      </c>
    </row>
    <row r="167" spans="1:11" ht="13.9" x14ac:dyDescent="0.3">
      <c r="A167" s="2" t="s">
        <v>781</v>
      </c>
      <c r="B167" s="2">
        <v>75.48</v>
      </c>
      <c r="C167" s="2">
        <v>57.82</v>
      </c>
      <c r="D167" s="2">
        <v>19.48</v>
      </c>
      <c r="E167" s="2">
        <v>39.49</v>
      </c>
      <c r="F167" s="2">
        <v>69.53</v>
      </c>
      <c r="G167" s="2">
        <v>49.64</v>
      </c>
      <c r="H167" s="2">
        <f t="shared" si="8"/>
        <v>-5.4482757514985491E-2</v>
      </c>
      <c r="I167" s="2">
        <f t="shared" si="9"/>
        <v>0.92172094810878691</v>
      </c>
      <c r="J167" s="2">
        <f t="shared" si="10"/>
        <v>7.2553118863595989</v>
      </c>
      <c r="K167">
        <f t="shared" si="11"/>
        <v>52.886666666666677</v>
      </c>
    </row>
    <row r="168" spans="1:11" ht="13.9" x14ac:dyDescent="0.3">
      <c r="A168" s="2" t="s">
        <v>218</v>
      </c>
      <c r="B168" s="2">
        <v>28.68</v>
      </c>
      <c r="C168" s="2">
        <v>0</v>
      </c>
      <c r="D168" s="2">
        <v>1.82</v>
      </c>
      <c r="E168" s="2">
        <v>9.77</v>
      </c>
      <c r="F168" s="2">
        <v>9.76</v>
      </c>
      <c r="G168" s="2">
        <v>11.8</v>
      </c>
      <c r="H168" s="2">
        <f t="shared" si="8"/>
        <v>-3.8735527033442831E-2</v>
      </c>
      <c r="I168" s="2">
        <f t="shared" si="9"/>
        <v>0.97768352074186526</v>
      </c>
      <c r="J168" s="2">
        <f t="shared" si="10"/>
        <v>4.9307373375628867</v>
      </c>
      <c r="K168">
        <f t="shared" si="11"/>
        <v>10.443333333333333</v>
      </c>
    </row>
    <row r="169" spans="1:11" ht="13.9" x14ac:dyDescent="0.3">
      <c r="A169" s="2" t="s">
        <v>33</v>
      </c>
      <c r="B169" s="2">
        <v>10.88</v>
      </c>
      <c r="C169" s="2">
        <v>16.100000000000001</v>
      </c>
      <c r="D169" s="2">
        <v>12.93</v>
      </c>
      <c r="E169" s="2">
        <v>13.33</v>
      </c>
      <c r="F169" s="2">
        <v>12.84</v>
      </c>
      <c r="G169" s="2">
        <v>14.65</v>
      </c>
      <c r="H169" s="2">
        <f t="shared" si="8"/>
        <v>-3.252590352144745E-2</v>
      </c>
      <c r="I169" s="2">
        <f t="shared" si="9"/>
        <v>0.85987974456298155</v>
      </c>
      <c r="J169" s="2">
        <f t="shared" si="10"/>
        <v>5.3186783737365468</v>
      </c>
      <c r="K169">
        <f t="shared" si="11"/>
        <v>13.606666666666667</v>
      </c>
    </row>
    <row r="170" spans="1:11" ht="13.9" x14ac:dyDescent="0.3">
      <c r="A170" s="2" t="s">
        <v>433</v>
      </c>
      <c r="B170" s="2">
        <v>25.05</v>
      </c>
      <c r="C170" s="2">
        <v>61.97</v>
      </c>
      <c r="D170" s="2">
        <v>35.14</v>
      </c>
      <c r="E170" s="2">
        <v>45.01</v>
      </c>
      <c r="F170" s="2">
        <v>49.07</v>
      </c>
      <c r="G170" s="2">
        <v>29.19</v>
      </c>
      <c r="H170" s="2">
        <f t="shared" si="8"/>
        <v>-1.304976909196103E-2</v>
      </c>
      <c r="I170" s="2">
        <f t="shared" si="9"/>
        <v>0.97793778934874465</v>
      </c>
      <c r="J170" s="2">
        <f t="shared" si="10"/>
        <v>6.9326281570221271</v>
      </c>
      <c r="K170">
        <f t="shared" si="11"/>
        <v>41.089999999999996</v>
      </c>
    </row>
    <row r="171" spans="1:11" ht="13.9" x14ac:dyDescent="0.3">
      <c r="A171" s="2" t="s">
        <v>73</v>
      </c>
      <c r="B171" s="2">
        <v>77.13</v>
      </c>
      <c r="C171" s="2">
        <v>92.46</v>
      </c>
      <c r="D171" s="2">
        <v>38.78</v>
      </c>
      <c r="E171" s="2">
        <v>63.28</v>
      </c>
      <c r="F171" s="2">
        <v>76.08</v>
      </c>
      <c r="G171" s="2">
        <v>67.97</v>
      </c>
      <c r="H171" s="2">
        <f t="shared" si="8"/>
        <v>7.2186960446899004E-3</v>
      </c>
      <c r="I171" s="2">
        <f t="shared" si="9"/>
        <v>0.98414389037345162</v>
      </c>
      <c r="J171" s="2">
        <f t="shared" si="10"/>
        <v>7.7030037708136501</v>
      </c>
      <c r="K171">
        <f t="shared" si="11"/>
        <v>69.11</v>
      </c>
    </row>
    <row r="172" spans="1:11" ht="13.9" x14ac:dyDescent="0.3">
      <c r="A172" s="2" t="s">
        <v>253</v>
      </c>
      <c r="B172" s="2">
        <v>0.33</v>
      </c>
      <c r="C172" s="2">
        <v>0</v>
      </c>
      <c r="D172" s="2">
        <v>11.11</v>
      </c>
      <c r="E172" s="2">
        <v>2.37</v>
      </c>
      <c r="F172" s="2">
        <v>5.62</v>
      </c>
      <c r="G172" s="2">
        <v>3.37</v>
      </c>
      <c r="H172" s="2">
        <f t="shared" si="8"/>
        <v>1.0124217273707341E-2</v>
      </c>
      <c r="I172" s="2">
        <f t="shared" si="9"/>
        <v>0.99470062805235471</v>
      </c>
      <c r="J172" s="2">
        <f t="shared" si="10"/>
        <v>3.5160151470036647</v>
      </c>
      <c r="K172">
        <f t="shared" si="11"/>
        <v>3.7866666666666666</v>
      </c>
    </row>
    <row r="173" spans="1:11" ht="13.9" x14ac:dyDescent="0.3">
      <c r="A173" s="2" t="s">
        <v>898</v>
      </c>
      <c r="B173" s="2">
        <v>0</v>
      </c>
      <c r="C173" s="2">
        <v>0</v>
      </c>
      <c r="D173" s="2">
        <v>1.0900000000000001</v>
      </c>
      <c r="E173" s="2">
        <v>0.39</v>
      </c>
      <c r="F173" s="2">
        <v>0.27</v>
      </c>
      <c r="G173" s="2">
        <v>0.42</v>
      </c>
      <c r="H173" s="2">
        <f t="shared" si="8"/>
        <v>1.3296822613457873E-2</v>
      </c>
      <c r="I173" s="2">
        <f t="shared" si="9"/>
        <v>0.99317346796901795</v>
      </c>
      <c r="J173" s="2">
        <f t="shared" si="10"/>
        <v>0.12432813500220179</v>
      </c>
      <c r="K173">
        <f t="shared" si="11"/>
        <v>0.36000000000000004</v>
      </c>
    </row>
    <row r="174" spans="1:11" ht="13.9" x14ac:dyDescent="0.3">
      <c r="A174" s="2" t="s">
        <v>153</v>
      </c>
      <c r="B174" s="2">
        <v>1507.98</v>
      </c>
      <c r="C174" s="2">
        <v>1860.21</v>
      </c>
      <c r="D174" s="2">
        <v>1320.34</v>
      </c>
      <c r="E174" s="2">
        <v>1494.45</v>
      </c>
      <c r="F174" s="2">
        <v>1615.98</v>
      </c>
      <c r="G174" s="2">
        <v>1507.23</v>
      </c>
      <c r="H174" s="2">
        <f t="shared" si="8"/>
        <v>2.1973713005274158E-2</v>
      </c>
      <c r="I174" s="2">
        <f t="shared" si="9"/>
        <v>0.89169269643824378</v>
      </c>
      <c r="J174" s="2">
        <f t="shared" si="10"/>
        <v>12.194919948524754</v>
      </c>
      <c r="K174">
        <f t="shared" si="11"/>
        <v>1539.22</v>
      </c>
    </row>
    <row r="175" spans="1:11" ht="13.9" x14ac:dyDescent="0.3">
      <c r="A175" s="2" t="s">
        <v>136</v>
      </c>
      <c r="B175" s="2">
        <v>1715.97</v>
      </c>
      <c r="C175" s="2">
        <v>2416.6799999999998</v>
      </c>
      <c r="D175" s="2">
        <v>1338.72</v>
      </c>
      <c r="E175" s="2">
        <v>1555.36</v>
      </c>
      <c r="F175" s="2">
        <v>2087.56</v>
      </c>
      <c r="G175" s="2">
        <v>1738.97</v>
      </c>
      <c r="H175" s="2">
        <f t="shared" si="8"/>
        <v>2.3789216747136712E-2</v>
      </c>
      <c r="I175" s="2">
        <f t="shared" si="9"/>
        <v>0.93659336366558221</v>
      </c>
      <c r="J175" s="2">
        <f t="shared" si="10"/>
        <v>12.417686405565505</v>
      </c>
      <c r="K175">
        <f t="shared" si="11"/>
        <v>1793.9633333333334</v>
      </c>
    </row>
    <row r="176" spans="1:11" ht="13.9" x14ac:dyDescent="0.3">
      <c r="A176" s="2" t="s">
        <v>76</v>
      </c>
      <c r="B176" s="2">
        <v>0</v>
      </c>
      <c r="C176" s="2">
        <v>14.64</v>
      </c>
      <c r="D176" s="2">
        <v>0</v>
      </c>
      <c r="E176" s="2">
        <v>6.22</v>
      </c>
      <c r="F176" s="2">
        <v>3.21</v>
      </c>
      <c r="G176" s="2">
        <v>4.95</v>
      </c>
      <c r="H176" s="2">
        <f t="shared" si="8"/>
        <v>2.5851877844744801E-2</v>
      </c>
      <c r="I176" s="2">
        <f t="shared" si="9"/>
        <v>0.98688905091376777</v>
      </c>
      <c r="J176" s="2">
        <f t="shared" si="10"/>
        <v>3.8718436485093184</v>
      </c>
      <c r="K176">
        <f t="shared" si="11"/>
        <v>4.793333333333333</v>
      </c>
    </row>
    <row r="177" spans="1:11" ht="13.9" x14ac:dyDescent="0.3">
      <c r="A177" s="2" t="s">
        <v>892</v>
      </c>
      <c r="B177" s="2">
        <v>167.44</v>
      </c>
      <c r="C177" s="2">
        <v>186.14</v>
      </c>
      <c r="D177" s="2">
        <v>265.45</v>
      </c>
      <c r="E177" s="2">
        <v>176.11</v>
      </c>
      <c r="F177" s="2">
        <v>228.77</v>
      </c>
      <c r="G177" s="2">
        <v>192.33</v>
      </c>
      <c r="H177" s="2">
        <f t="shared" si="8"/>
        <v>5.1771005421692926E-2</v>
      </c>
      <c r="I177" s="2">
        <f t="shared" si="9"/>
        <v>0.84032221678176844</v>
      </c>
      <c r="J177" s="2">
        <f t="shared" si="10"/>
        <v>9.2738655181196794</v>
      </c>
      <c r="K177">
        <f t="shared" si="11"/>
        <v>199.07000000000002</v>
      </c>
    </row>
    <row r="178" spans="1:11" ht="13.9" x14ac:dyDescent="0.3">
      <c r="A178" s="2" t="s">
        <v>152</v>
      </c>
      <c r="B178" s="2">
        <v>0</v>
      </c>
      <c r="C178" s="2">
        <v>0</v>
      </c>
      <c r="D178" s="2">
        <v>4.92</v>
      </c>
      <c r="E178" s="2">
        <v>1.28</v>
      </c>
      <c r="F178" s="2">
        <v>1.87</v>
      </c>
      <c r="G178" s="2">
        <v>1.48</v>
      </c>
      <c r="H178" s="2">
        <f t="shared" si="8"/>
        <v>8.7646122079003241E-2</v>
      </c>
      <c r="I178" s="2">
        <f t="shared" si="9"/>
        <v>0.95606871624694367</v>
      </c>
      <c r="J178" s="2">
        <f t="shared" si="10"/>
        <v>2.2986583155645151</v>
      </c>
      <c r="K178">
        <f t="shared" si="11"/>
        <v>1.5433333333333337</v>
      </c>
    </row>
    <row r="179" spans="1:11" ht="13.9" x14ac:dyDescent="0.3">
      <c r="A179" s="2" t="s">
        <v>730</v>
      </c>
      <c r="B179" s="2">
        <v>13.18</v>
      </c>
      <c r="C179" s="2">
        <v>0</v>
      </c>
      <c r="D179" s="2">
        <v>0</v>
      </c>
      <c r="E179" s="2">
        <v>4.34</v>
      </c>
      <c r="F179" s="2">
        <v>4.68</v>
      </c>
      <c r="G179" s="2">
        <v>3.37</v>
      </c>
      <c r="H179" s="2">
        <f t="shared" si="8"/>
        <v>8.9174182867450186E-2</v>
      </c>
      <c r="I179" s="2">
        <f t="shared" si="9"/>
        <v>0.95525705284041806</v>
      </c>
      <c r="J179" s="2">
        <f t="shared" si="10"/>
        <v>3.7202784652333274</v>
      </c>
      <c r="K179">
        <f t="shared" si="11"/>
        <v>4.13</v>
      </c>
    </row>
    <row r="180" spans="1:11" ht="13.9" x14ac:dyDescent="0.3">
      <c r="A180" s="2" t="s">
        <v>401</v>
      </c>
      <c r="B180" s="2">
        <v>2.64</v>
      </c>
      <c r="C180" s="2">
        <v>0</v>
      </c>
      <c r="D180" s="2">
        <v>0</v>
      </c>
      <c r="E180" s="2">
        <v>0.59</v>
      </c>
      <c r="F180" s="2">
        <v>1.47</v>
      </c>
      <c r="G180" s="2">
        <v>0.42</v>
      </c>
      <c r="H180" s="2">
        <f t="shared" si="8"/>
        <v>9.0197808971578447E-2</v>
      </c>
      <c r="I180" s="2">
        <f t="shared" si="9"/>
        <v>0.95739526094456839</v>
      </c>
      <c r="J180" s="2">
        <f t="shared" si="10"/>
        <v>1.4005379295837288</v>
      </c>
      <c r="K180">
        <f t="shared" si="11"/>
        <v>0.82666666666666666</v>
      </c>
    </row>
    <row r="181" spans="1:11" ht="13.9" x14ac:dyDescent="0.3">
      <c r="A181" s="2" t="s">
        <v>85</v>
      </c>
      <c r="B181" s="2">
        <v>0</v>
      </c>
      <c r="C181" s="2">
        <v>0</v>
      </c>
      <c r="D181" s="2">
        <v>1.46</v>
      </c>
      <c r="E181" s="2">
        <v>0</v>
      </c>
      <c r="F181" s="2">
        <v>0</v>
      </c>
      <c r="G181" s="2">
        <v>1.37</v>
      </c>
      <c r="H181" s="2">
        <f t="shared" si="8"/>
        <v>9.179247591949026E-2</v>
      </c>
      <c r="I181" s="2">
        <f t="shared" si="9"/>
        <v>0.96629998781771875</v>
      </c>
      <c r="J181" s="2">
        <f t="shared" si="10"/>
        <v>0.54596836910529256</v>
      </c>
      <c r="K181">
        <f t="shared" si="11"/>
        <v>0.45666666666666672</v>
      </c>
    </row>
    <row r="182" spans="1:11" ht="13.9" x14ac:dyDescent="0.3">
      <c r="A182" s="2" t="s">
        <v>886</v>
      </c>
      <c r="B182" s="2">
        <v>110.09</v>
      </c>
      <c r="C182" s="2">
        <v>204.44</v>
      </c>
      <c r="D182" s="2">
        <v>129.63</v>
      </c>
      <c r="E182" s="2">
        <v>117.47</v>
      </c>
      <c r="F182" s="2">
        <v>171.28</v>
      </c>
      <c r="G182" s="2">
        <v>123.93</v>
      </c>
      <c r="H182" s="2">
        <f t="shared" si="8"/>
        <v>0.10605595133031381</v>
      </c>
      <c r="I182" s="2">
        <f t="shared" si="9"/>
        <v>0.76898078532208669</v>
      </c>
      <c r="J182" s="2">
        <f t="shared" si="10"/>
        <v>8.7949356628035371</v>
      </c>
      <c r="K182">
        <f t="shared" si="11"/>
        <v>137.56</v>
      </c>
    </row>
    <row r="183" spans="1:11" ht="13.9" x14ac:dyDescent="0.3">
      <c r="A183" s="2" t="s">
        <v>543</v>
      </c>
      <c r="B183" s="2">
        <v>5.6</v>
      </c>
      <c r="C183" s="2">
        <v>0</v>
      </c>
      <c r="D183" s="2">
        <v>0</v>
      </c>
      <c r="E183" s="2">
        <v>1.48</v>
      </c>
      <c r="F183" s="2">
        <v>2.14</v>
      </c>
      <c r="G183" s="2">
        <v>1.48</v>
      </c>
      <c r="H183" s="2">
        <f t="shared" si="8"/>
        <v>0.13492958008610864</v>
      </c>
      <c r="I183" s="2">
        <f t="shared" si="9"/>
        <v>0.93360471551484903</v>
      </c>
      <c r="J183" s="2">
        <f t="shared" si="10"/>
        <v>2.485426827170242</v>
      </c>
      <c r="K183">
        <f t="shared" si="11"/>
        <v>1.7</v>
      </c>
    </row>
    <row r="184" spans="1:11" ht="13.9" x14ac:dyDescent="0.3">
      <c r="A184" s="2" t="s">
        <v>652</v>
      </c>
      <c r="B184" s="2">
        <v>155.58000000000001</v>
      </c>
      <c r="C184" s="2">
        <v>146.13</v>
      </c>
      <c r="D184" s="2">
        <v>140.01</v>
      </c>
      <c r="E184" s="2">
        <v>143.33000000000001</v>
      </c>
      <c r="F184" s="2">
        <v>102.55</v>
      </c>
      <c r="G184" s="2">
        <v>155.13</v>
      </c>
      <c r="H184" s="2">
        <f t="shared" si="8"/>
        <v>0.13949394189172024</v>
      </c>
      <c r="I184" s="2">
        <f t="shared" si="9"/>
        <v>0.45854385961549815</v>
      </c>
      <c r="J184" s="2">
        <f t="shared" si="10"/>
        <v>8.786988345330494</v>
      </c>
      <c r="K184">
        <f t="shared" si="11"/>
        <v>133.66999999999999</v>
      </c>
    </row>
    <row r="185" spans="1:11" ht="13.9" x14ac:dyDescent="0.3">
      <c r="A185" s="2" t="s">
        <v>422</v>
      </c>
      <c r="B185" s="2">
        <v>15.16</v>
      </c>
      <c r="C185" s="2">
        <v>15.61</v>
      </c>
      <c r="D185" s="2">
        <v>14.38</v>
      </c>
      <c r="E185" s="2">
        <v>8.2899999999999991</v>
      </c>
      <c r="F185" s="2">
        <v>21.66</v>
      </c>
      <c r="G185" s="2">
        <v>10.96</v>
      </c>
      <c r="H185" s="2">
        <f t="shared" si="8"/>
        <v>0.14227245048017442</v>
      </c>
      <c r="I185" s="2">
        <f t="shared" si="9"/>
        <v>0.74771773551989917</v>
      </c>
      <c r="J185" s="2">
        <f t="shared" si="10"/>
        <v>5.496654082593496</v>
      </c>
      <c r="K185">
        <f t="shared" si="11"/>
        <v>13.636666666666665</v>
      </c>
    </row>
    <row r="186" spans="1:11" ht="13.9" x14ac:dyDescent="0.3">
      <c r="A186" s="2" t="s">
        <v>942</v>
      </c>
      <c r="B186" s="2">
        <v>7.91</v>
      </c>
      <c r="C186" s="2">
        <v>3.66</v>
      </c>
      <c r="D186" s="2">
        <v>0</v>
      </c>
      <c r="E186" s="2">
        <v>4.6399999999999997</v>
      </c>
      <c r="F186" s="2">
        <v>2.81</v>
      </c>
      <c r="G186" s="2">
        <v>2.95</v>
      </c>
      <c r="H186" s="2">
        <f t="shared" si="8"/>
        <v>0.15380533607903576</v>
      </c>
      <c r="I186" s="2">
        <f t="shared" si="9"/>
        <v>0.87675823243424733</v>
      </c>
      <c r="J186" s="2">
        <f t="shared" si="10"/>
        <v>3.532316959332765</v>
      </c>
      <c r="K186">
        <f t="shared" si="11"/>
        <v>3.4666666666666663</v>
      </c>
    </row>
    <row r="187" spans="1:11" ht="13.9" x14ac:dyDescent="0.3">
      <c r="A187" s="2" t="s">
        <v>48</v>
      </c>
      <c r="B187" s="2">
        <v>4.6100000000000003</v>
      </c>
      <c r="C187" s="2">
        <v>18.3</v>
      </c>
      <c r="D187" s="2">
        <v>12.02</v>
      </c>
      <c r="E187" s="2">
        <v>14.51</v>
      </c>
      <c r="F187" s="2">
        <v>9.23</v>
      </c>
      <c r="G187" s="2">
        <v>7.59</v>
      </c>
      <c r="H187" s="2">
        <f t="shared" si="8"/>
        <v>0.15692187302381091</v>
      </c>
      <c r="I187" s="2">
        <f t="shared" si="9"/>
        <v>0.80177458226550069</v>
      </c>
      <c r="J187" s="2">
        <f t="shared" si="10"/>
        <v>5.1263947376201395</v>
      </c>
      <c r="K187">
        <f t="shared" si="11"/>
        <v>10.443333333333333</v>
      </c>
    </row>
    <row r="188" spans="1:11" ht="13.9" x14ac:dyDescent="0.3">
      <c r="A188" s="2" t="s">
        <v>941</v>
      </c>
      <c r="B188" s="2">
        <v>9.89</v>
      </c>
      <c r="C188" s="2">
        <v>48.3</v>
      </c>
      <c r="D188" s="2">
        <v>16.39</v>
      </c>
      <c r="E188" s="2">
        <v>24.68</v>
      </c>
      <c r="F188" s="2">
        <v>25.94</v>
      </c>
      <c r="G188" s="2">
        <v>15.91</v>
      </c>
      <c r="H188" s="2">
        <f t="shared" si="8"/>
        <v>0.16478376339150472</v>
      </c>
      <c r="I188" s="2">
        <f t="shared" si="9"/>
        <v>0.83774199332111476</v>
      </c>
      <c r="J188" s="2">
        <f t="shared" si="10"/>
        <v>6.2207168919989169</v>
      </c>
      <c r="K188">
        <f t="shared" si="11"/>
        <v>22.176666666666666</v>
      </c>
    </row>
    <row r="189" spans="1:11" ht="13.9" x14ac:dyDescent="0.3">
      <c r="A189" s="2" t="s">
        <v>716</v>
      </c>
      <c r="B189" s="2">
        <v>1.32</v>
      </c>
      <c r="C189" s="2">
        <v>0</v>
      </c>
      <c r="D189" s="2">
        <v>0</v>
      </c>
      <c r="E189" s="2">
        <v>0.69</v>
      </c>
      <c r="F189" s="2">
        <v>0.27</v>
      </c>
      <c r="G189" s="2">
        <v>0.21</v>
      </c>
      <c r="H189" s="2">
        <f t="shared" si="8"/>
        <v>0.17402939977504919</v>
      </c>
      <c r="I189" s="2">
        <f t="shared" si="9"/>
        <v>0.919580886065819</v>
      </c>
      <c r="J189" s="2">
        <f t="shared" si="10"/>
        <v>0.40053792958372886</v>
      </c>
      <c r="K189">
        <f t="shared" si="11"/>
        <v>0.38999999999999996</v>
      </c>
    </row>
    <row r="190" spans="1:11" ht="13.9" x14ac:dyDescent="0.3">
      <c r="A190" s="2" t="s">
        <v>785</v>
      </c>
      <c r="B190" s="2">
        <v>0</v>
      </c>
      <c r="C190" s="2">
        <v>3.9</v>
      </c>
      <c r="D190" s="2">
        <v>0</v>
      </c>
      <c r="E190" s="2">
        <v>0.59</v>
      </c>
      <c r="F190" s="2">
        <v>2.0099999999999998</v>
      </c>
      <c r="G190" s="2">
        <v>0.84</v>
      </c>
      <c r="H190" s="2">
        <f t="shared" si="8"/>
        <v>0.18106555904751304</v>
      </c>
      <c r="I190" s="2">
        <f t="shared" si="9"/>
        <v>0.91637959819744885</v>
      </c>
      <c r="J190" s="2">
        <f t="shared" si="10"/>
        <v>1.9634741239748859</v>
      </c>
      <c r="K190">
        <f t="shared" si="11"/>
        <v>1.1466666666666665</v>
      </c>
    </row>
    <row r="191" spans="1:11" ht="13.9" x14ac:dyDescent="0.3">
      <c r="A191" s="2" t="s">
        <v>291</v>
      </c>
      <c r="B191" s="2">
        <v>95.26</v>
      </c>
      <c r="C191" s="2">
        <v>120.27</v>
      </c>
      <c r="D191" s="2">
        <v>32.229999999999997</v>
      </c>
      <c r="E191" s="2">
        <v>83.91</v>
      </c>
      <c r="F191" s="2">
        <v>76.88</v>
      </c>
      <c r="G191" s="2">
        <v>52.48</v>
      </c>
      <c r="H191" s="2">
        <f t="shared" si="8"/>
        <v>0.21626224741237632</v>
      </c>
      <c r="I191" s="2">
        <f t="shared" si="9"/>
        <v>0.70112334856081093</v>
      </c>
      <c r="J191" s="2">
        <f t="shared" si="10"/>
        <v>7.952799477899938</v>
      </c>
      <c r="K191">
        <f t="shared" si="11"/>
        <v>71.089999999999989</v>
      </c>
    </row>
    <row r="192" spans="1:11" ht="13.9" x14ac:dyDescent="0.3">
      <c r="A192" s="2" t="s">
        <v>775</v>
      </c>
      <c r="B192" s="2">
        <v>9.89</v>
      </c>
      <c r="C192" s="2">
        <v>51.23</v>
      </c>
      <c r="D192" s="2">
        <v>19.48</v>
      </c>
      <c r="E192" s="2">
        <v>23.3</v>
      </c>
      <c r="F192" s="2">
        <v>18.850000000000001</v>
      </c>
      <c r="G192" s="2">
        <v>27.08</v>
      </c>
      <c r="H192" s="2">
        <f t="shared" si="8"/>
        <v>0.21938249059861475</v>
      </c>
      <c r="I192" s="2">
        <f t="shared" si="9"/>
        <v>0.78051677617057247</v>
      </c>
      <c r="J192" s="2">
        <f t="shared" si="10"/>
        <v>6.3327079336406058</v>
      </c>
      <c r="K192">
        <f t="shared" si="11"/>
        <v>23.076666666666668</v>
      </c>
    </row>
    <row r="193" spans="1:11" ht="13.9" x14ac:dyDescent="0.3">
      <c r="A193" s="2" t="s">
        <v>140</v>
      </c>
      <c r="B193" s="2">
        <v>453.55</v>
      </c>
      <c r="C193" s="2">
        <v>400.58</v>
      </c>
      <c r="D193" s="2">
        <v>260.17</v>
      </c>
      <c r="E193" s="2">
        <v>394.86</v>
      </c>
      <c r="F193" s="2">
        <v>228.1</v>
      </c>
      <c r="G193" s="2">
        <v>332.81</v>
      </c>
      <c r="H193" s="2">
        <f t="shared" si="8"/>
        <v>0.22140230823285223</v>
      </c>
      <c r="I193" s="2">
        <f t="shared" si="9"/>
        <v>0.52242592803486354</v>
      </c>
      <c r="J193" s="2">
        <f t="shared" si="10"/>
        <v>10.121921982551074</v>
      </c>
      <c r="K193">
        <f t="shared" si="11"/>
        <v>318.58999999999997</v>
      </c>
    </row>
    <row r="194" spans="1:11" ht="13.9" x14ac:dyDescent="0.3">
      <c r="A194" s="2" t="s">
        <v>201</v>
      </c>
      <c r="B194" s="2">
        <v>29.99</v>
      </c>
      <c r="C194" s="2">
        <v>43.91</v>
      </c>
      <c r="D194" s="2">
        <v>20.57</v>
      </c>
      <c r="E194" s="2">
        <v>23.49</v>
      </c>
      <c r="F194" s="2">
        <v>32.89</v>
      </c>
      <c r="G194" s="2">
        <v>22.76</v>
      </c>
      <c r="H194" s="2">
        <f t="shared" ref="H194:H257" si="12">LOG(SUM(B194:D194)/SUM(E194:G194),2)</f>
        <v>0.25544919288386519</v>
      </c>
      <c r="I194" s="2">
        <f t="shared" ref="I194:I257" si="13">_xlfn.T.TEST(B194:D194,E194:G194,2,2)</f>
        <v>0.53426102565284639</v>
      </c>
      <c r="J194" s="2">
        <f t="shared" ref="J194:J257" si="14">LOG(SUM(B194:D194),2)</f>
        <v>6.5617843530818423</v>
      </c>
      <c r="K194">
        <f t="shared" ref="K194:K257" si="15">AVERAGE(E194:G194)</f>
        <v>26.38</v>
      </c>
    </row>
    <row r="195" spans="1:11" ht="13.9" x14ac:dyDescent="0.3">
      <c r="A195" s="6" t="s">
        <v>99</v>
      </c>
      <c r="B195" s="6">
        <v>5.93</v>
      </c>
      <c r="C195" s="6">
        <v>0</v>
      </c>
      <c r="D195" s="6">
        <v>10.01</v>
      </c>
      <c r="E195" s="6">
        <v>3.16</v>
      </c>
      <c r="F195" s="6">
        <v>3.08</v>
      </c>
      <c r="G195" s="6">
        <v>7.06</v>
      </c>
      <c r="H195" s="6">
        <f t="shared" si="12"/>
        <v>0.26122538360191966</v>
      </c>
      <c r="I195" s="6">
        <f t="shared" si="13"/>
        <v>0.79626463765140443</v>
      </c>
      <c r="J195" s="2">
        <f t="shared" si="14"/>
        <v>3.9945797242157468</v>
      </c>
      <c r="K195">
        <f t="shared" si="15"/>
        <v>4.4333333333333336</v>
      </c>
    </row>
    <row r="196" spans="1:11" ht="13.9" x14ac:dyDescent="0.3">
      <c r="A196" s="2" t="s">
        <v>219</v>
      </c>
      <c r="B196" s="2">
        <v>0</v>
      </c>
      <c r="C196" s="2">
        <v>3.17</v>
      </c>
      <c r="D196" s="2">
        <v>1.64</v>
      </c>
      <c r="E196" s="2">
        <v>1.88</v>
      </c>
      <c r="F196" s="2">
        <v>1.6</v>
      </c>
      <c r="G196" s="2">
        <v>0.53</v>
      </c>
      <c r="H196" s="2">
        <f t="shared" si="12"/>
        <v>0.26243465731512167</v>
      </c>
      <c r="I196" s="2">
        <f t="shared" si="13"/>
        <v>0.80357091469270459</v>
      </c>
      <c r="J196" s="2">
        <f t="shared" si="14"/>
        <v>2.266036893995317</v>
      </c>
      <c r="K196">
        <f t="shared" si="15"/>
        <v>1.3366666666666667</v>
      </c>
    </row>
    <row r="197" spans="1:11" ht="13.9" x14ac:dyDescent="0.3">
      <c r="A197" s="2" t="s">
        <v>477</v>
      </c>
      <c r="B197" s="2">
        <v>3.96</v>
      </c>
      <c r="C197" s="2">
        <v>10.49</v>
      </c>
      <c r="D197" s="2">
        <v>7.65</v>
      </c>
      <c r="E197" s="2">
        <v>7.21</v>
      </c>
      <c r="F197" s="2">
        <v>7.62</v>
      </c>
      <c r="G197" s="2">
        <v>3.37</v>
      </c>
      <c r="H197" s="2">
        <f t="shared" si="12"/>
        <v>0.28010791919273548</v>
      </c>
      <c r="I197" s="2">
        <f t="shared" si="13"/>
        <v>0.60588619252758913</v>
      </c>
      <c r="J197" s="2">
        <f t="shared" si="14"/>
        <v>4.4659744645040691</v>
      </c>
      <c r="K197">
        <f t="shared" si="15"/>
        <v>6.0666666666666664</v>
      </c>
    </row>
    <row r="198" spans="1:11" ht="13.9" x14ac:dyDescent="0.3">
      <c r="A198" s="2" t="s">
        <v>264</v>
      </c>
      <c r="B198" s="2">
        <v>4.6100000000000003</v>
      </c>
      <c r="C198" s="2">
        <v>7.07</v>
      </c>
      <c r="D198" s="2">
        <v>3.1</v>
      </c>
      <c r="E198" s="2">
        <v>3.06</v>
      </c>
      <c r="F198" s="2">
        <v>2.67</v>
      </c>
      <c r="G198" s="2">
        <v>6.43</v>
      </c>
      <c r="H198" s="2">
        <f t="shared" si="12"/>
        <v>0.28150304070256538</v>
      </c>
      <c r="I198" s="2">
        <f t="shared" si="13"/>
        <v>0.62710034970769135</v>
      </c>
      <c r="J198" s="2">
        <f t="shared" si="14"/>
        <v>3.885574364371426</v>
      </c>
      <c r="K198">
        <f t="shared" si="15"/>
        <v>4.0533333333333337</v>
      </c>
    </row>
    <row r="199" spans="1:11" ht="13.9" x14ac:dyDescent="0.3">
      <c r="A199" s="2" t="s">
        <v>376</v>
      </c>
      <c r="B199" s="2">
        <v>5.93</v>
      </c>
      <c r="C199" s="2">
        <v>4.6399999999999997</v>
      </c>
      <c r="D199" s="2">
        <v>2.73</v>
      </c>
      <c r="E199" s="2">
        <v>2.4700000000000002</v>
      </c>
      <c r="F199" s="2">
        <v>5.88</v>
      </c>
      <c r="G199" s="2">
        <v>2.42</v>
      </c>
      <c r="H199" s="2">
        <f t="shared" si="12"/>
        <v>0.30440799584434464</v>
      </c>
      <c r="I199" s="2">
        <f t="shared" si="13"/>
        <v>0.59805534574475394</v>
      </c>
      <c r="J199" s="2">
        <f t="shared" si="14"/>
        <v>3.7333543406138276</v>
      </c>
      <c r="K199">
        <f t="shared" si="15"/>
        <v>3.59</v>
      </c>
    </row>
    <row r="200" spans="1:11" ht="13.9" x14ac:dyDescent="0.3">
      <c r="A200" s="2" t="s">
        <v>377</v>
      </c>
      <c r="B200" s="2">
        <v>3.63</v>
      </c>
      <c r="C200" s="2">
        <v>6.59</v>
      </c>
      <c r="D200" s="2">
        <v>4.37</v>
      </c>
      <c r="E200" s="2">
        <v>2.86</v>
      </c>
      <c r="F200" s="2">
        <v>4.41</v>
      </c>
      <c r="G200" s="2">
        <v>4.43</v>
      </c>
      <c r="H200" s="2">
        <f t="shared" si="12"/>
        <v>0.31847135344712407</v>
      </c>
      <c r="I200" s="2">
        <f t="shared" si="13"/>
        <v>0.40269852815251939</v>
      </c>
      <c r="J200" s="2">
        <f t="shared" si="14"/>
        <v>3.8669079781431663</v>
      </c>
      <c r="K200">
        <f t="shared" si="15"/>
        <v>3.9</v>
      </c>
    </row>
    <row r="201" spans="1:11" ht="13.9" x14ac:dyDescent="0.3">
      <c r="A201" s="2" t="s">
        <v>108</v>
      </c>
      <c r="B201" s="2">
        <v>20.11</v>
      </c>
      <c r="C201" s="2">
        <v>0</v>
      </c>
      <c r="D201" s="2">
        <v>5.64</v>
      </c>
      <c r="E201" s="2">
        <v>8.2899999999999991</v>
      </c>
      <c r="F201" s="2">
        <v>7.35</v>
      </c>
      <c r="G201" s="2">
        <v>4.95</v>
      </c>
      <c r="H201" s="2">
        <f t="shared" si="12"/>
        <v>0.3226286023256888</v>
      </c>
      <c r="I201" s="2">
        <f t="shared" si="13"/>
        <v>0.790990562420122</v>
      </c>
      <c r="J201" s="2">
        <f t="shared" si="14"/>
        <v>4.6865005271832185</v>
      </c>
      <c r="K201">
        <f t="shared" si="15"/>
        <v>6.8633333333333333</v>
      </c>
    </row>
    <row r="202" spans="1:11" ht="13.9" x14ac:dyDescent="0.3">
      <c r="A202" s="2" t="s">
        <v>30</v>
      </c>
      <c r="B202" s="2">
        <v>10411.52</v>
      </c>
      <c r="C202" s="2">
        <v>7376.18</v>
      </c>
      <c r="D202" s="2">
        <v>8214.2199999999993</v>
      </c>
      <c r="E202" s="2">
        <v>7224.08</v>
      </c>
      <c r="F202" s="2">
        <v>6741.09</v>
      </c>
      <c r="G202" s="2">
        <v>6376.17</v>
      </c>
      <c r="H202" s="2">
        <f t="shared" si="12"/>
        <v>0.3542034359293646</v>
      </c>
      <c r="I202" s="2">
        <f t="shared" si="13"/>
        <v>0.11452560402189951</v>
      </c>
      <c r="J202" s="2">
        <f t="shared" si="14"/>
        <v>14.666330536349623</v>
      </c>
      <c r="K202">
        <f t="shared" si="15"/>
        <v>6780.4466666666667</v>
      </c>
    </row>
    <row r="203" spans="1:11" ht="13.9" x14ac:dyDescent="0.3">
      <c r="A203" s="2" t="s">
        <v>204</v>
      </c>
      <c r="B203" s="2">
        <v>31.64</v>
      </c>
      <c r="C203" s="2">
        <v>18.3</v>
      </c>
      <c r="D203" s="2">
        <v>5.64</v>
      </c>
      <c r="E203" s="2">
        <v>15.5</v>
      </c>
      <c r="F203" s="2">
        <v>10.56</v>
      </c>
      <c r="G203" s="2">
        <v>15.39</v>
      </c>
      <c r="H203" s="2">
        <f t="shared" si="12"/>
        <v>0.42319373281744893</v>
      </c>
      <c r="I203" s="2">
        <f t="shared" si="13"/>
        <v>0.57289824187579652</v>
      </c>
      <c r="J203" s="2">
        <f t="shared" si="14"/>
        <v>5.7964939294258375</v>
      </c>
      <c r="K203">
        <f t="shared" si="15"/>
        <v>13.816666666666668</v>
      </c>
    </row>
    <row r="204" spans="1:11" ht="13.9" x14ac:dyDescent="0.3">
      <c r="A204" s="2" t="s">
        <v>434</v>
      </c>
      <c r="B204" s="2">
        <v>0</v>
      </c>
      <c r="C204" s="2">
        <v>0</v>
      </c>
      <c r="D204" s="2">
        <v>0.73</v>
      </c>
      <c r="E204" s="2">
        <v>0</v>
      </c>
      <c r="F204" s="2">
        <v>0.53</v>
      </c>
      <c r="G204" s="2">
        <v>0</v>
      </c>
      <c r="H204" s="2">
        <f t="shared" si="12"/>
        <v>0.46190410431681794</v>
      </c>
      <c r="I204" s="2">
        <f t="shared" si="13"/>
        <v>0.83540390814826804</v>
      </c>
      <c r="J204" s="2">
        <f t="shared" si="14"/>
        <v>-0.45403163089470749</v>
      </c>
      <c r="K204">
        <f t="shared" si="15"/>
        <v>0.17666666666666667</v>
      </c>
    </row>
    <row r="205" spans="1:11" ht="13.9" x14ac:dyDescent="0.3">
      <c r="A205" s="2" t="s">
        <v>828</v>
      </c>
      <c r="B205" s="2">
        <v>0</v>
      </c>
      <c r="C205" s="2">
        <v>0</v>
      </c>
      <c r="D205" s="2">
        <v>2.73</v>
      </c>
      <c r="E205" s="2">
        <v>1.18</v>
      </c>
      <c r="F205" s="2">
        <v>0.67</v>
      </c>
      <c r="G205" s="2">
        <v>0.11</v>
      </c>
      <c r="H205" s="2">
        <f t="shared" si="12"/>
        <v>0.47804729680464414</v>
      </c>
      <c r="I205" s="2">
        <f t="shared" si="13"/>
        <v>0.80261587885638042</v>
      </c>
      <c r="J205" s="2">
        <f t="shared" si="14"/>
        <v>1.4489009511451278</v>
      </c>
      <c r="K205">
        <f t="shared" si="15"/>
        <v>0.65333333333333343</v>
      </c>
    </row>
    <row r="206" spans="1:11" ht="13.9" x14ac:dyDescent="0.3">
      <c r="A206" s="2" t="s">
        <v>134</v>
      </c>
      <c r="B206" s="2">
        <v>0.33</v>
      </c>
      <c r="C206" s="2">
        <v>25.37</v>
      </c>
      <c r="D206" s="2">
        <v>0.18</v>
      </c>
      <c r="E206" s="2">
        <v>4.84</v>
      </c>
      <c r="F206" s="2">
        <v>7.22</v>
      </c>
      <c r="G206" s="2">
        <v>6.11</v>
      </c>
      <c r="H206" s="2">
        <f t="shared" si="12"/>
        <v>0.51027919775839192</v>
      </c>
      <c r="I206" s="2">
        <f t="shared" si="13"/>
        <v>0.77490244281197251</v>
      </c>
      <c r="J206" s="2">
        <f t="shared" si="14"/>
        <v>4.6937657122177834</v>
      </c>
      <c r="K206">
        <f t="shared" si="15"/>
        <v>6.0566666666666658</v>
      </c>
    </row>
    <row r="207" spans="1:11" ht="13.9" x14ac:dyDescent="0.3">
      <c r="A207" s="2" t="s">
        <v>766</v>
      </c>
      <c r="B207" s="2">
        <v>18.79</v>
      </c>
      <c r="C207" s="2">
        <v>55.87</v>
      </c>
      <c r="D207" s="2">
        <v>28.77</v>
      </c>
      <c r="E207" s="2">
        <v>28.43</v>
      </c>
      <c r="F207" s="2">
        <v>21.53</v>
      </c>
      <c r="G207" s="2">
        <v>21.5</v>
      </c>
      <c r="H207" s="2">
        <f t="shared" si="12"/>
        <v>0.53344688280452546</v>
      </c>
      <c r="I207" s="2">
        <f t="shared" si="13"/>
        <v>0.39961638484105916</v>
      </c>
      <c r="J207" s="2">
        <f t="shared" si="14"/>
        <v>6.6925108916150711</v>
      </c>
      <c r="K207">
        <f t="shared" si="15"/>
        <v>23.820000000000004</v>
      </c>
    </row>
    <row r="208" spans="1:11" ht="13.9" x14ac:dyDescent="0.3">
      <c r="A208" s="2" t="s">
        <v>386</v>
      </c>
      <c r="B208" s="2">
        <v>2.31</v>
      </c>
      <c r="C208" s="2">
        <v>0.73</v>
      </c>
      <c r="D208" s="2">
        <v>10.74</v>
      </c>
      <c r="E208" s="2">
        <v>3.95</v>
      </c>
      <c r="F208" s="2">
        <v>3.74</v>
      </c>
      <c r="G208" s="2">
        <v>1.79</v>
      </c>
      <c r="H208" s="2">
        <f t="shared" si="12"/>
        <v>0.53961692380603232</v>
      </c>
      <c r="I208" s="2">
        <f t="shared" si="13"/>
        <v>0.67573930661578718</v>
      </c>
      <c r="J208" s="2">
        <f t="shared" si="14"/>
        <v>3.784503982929567</v>
      </c>
      <c r="K208">
        <f t="shared" si="15"/>
        <v>3.16</v>
      </c>
    </row>
    <row r="209" spans="1:11" ht="13.9" x14ac:dyDescent="0.3">
      <c r="A209" s="2" t="s">
        <v>678</v>
      </c>
      <c r="B209" s="2">
        <v>5.6</v>
      </c>
      <c r="C209" s="2">
        <v>0</v>
      </c>
      <c r="D209" s="2">
        <v>4.92</v>
      </c>
      <c r="E209" s="2">
        <v>3.26</v>
      </c>
      <c r="F209" s="2">
        <v>0.8</v>
      </c>
      <c r="G209" s="2">
        <v>3.06</v>
      </c>
      <c r="H209" s="2">
        <f t="shared" si="12"/>
        <v>0.56318555832590478</v>
      </c>
      <c r="I209" s="2">
        <f t="shared" si="13"/>
        <v>0.58908209358109409</v>
      </c>
      <c r="J209" s="2">
        <f t="shared" si="14"/>
        <v>3.3950627995175777</v>
      </c>
      <c r="K209">
        <f t="shared" si="15"/>
        <v>2.3733333333333331</v>
      </c>
    </row>
    <row r="210" spans="1:11" ht="13.9" x14ac:dyDescent="0.3">
      <c r="A210" s="2" t="s">
        <v>497</v>
      </c>
      <c r="B210" s="2">
        <v>0</v>
      </c>
      <c r="C210" s="2">
        <v>0.98</v>
      </c>
      <c r="D210" s="2">
        <v>3.82</v>
      </c>
      <c r="E210" s="2">
        <v>1.18</v>
      </c>
      <c r="F210" s="2">
        <v>1.6</v>
      </c>
      <c r="G210" s="2">
        <v>0.42</v>
      </c>
      <c r="H210" s="2">
        <f t="shared" si="12"/>
        <v>0.58496250072115596</v>
      </c>
      <c r="I210" s="2">
        <f t="shared" si="13"/>
        <v>0.67882023288896054</v>
      </c>
      <c r="J210" s="2">
        <f t="shared" si="14"/>
        <v>2.2630344058337939</v>
      </c>
      <c r="K210">
        <f t="shared" si="15"/>
        <v>1.0666666666666667</v>
      </c>
    </row>
    <row r="211" spans="1:11" ht="13.9" x14ac:dyDescent="0.3">
      <c r="A211" s="6" t="s">
        <v>937</v>
      </c>
      <c r="B211" s="6">
        <v>638.13</v>
      </c>
      <c r="C211" s="6">
        <v>557.94000000000005</v>
      </c>
      <c r="D211" s="6">
        <v>643.04999999999995</v>
      </c>
      <c r="E211" s="6">
        <v>421.81</v>
      </c>
      <c r="F211" s="6">
        <v>371.57</v>
      </c>
      <c r="G211" s="6">
        <v>419.75</v>
      </c>
      <c r="H211" s="6">
        <f t="shared" si="12"/>
        <v>0.60028145752903717</v>
      </c>
      <c r="I211" s="6">
        <f t="shared" si="13"/>
        <v>2.8894919469125251E-3</v>
      </c>
      <c r="J211" s="2">
        <f t="shared" si="14"/>
        <v>10.844799901310664</v>
      </c>
      <c r="K211">
        <f t="shared" si="15"/>
        <v>404.37666666666672</v>
      </c>
    </row>
    <row r="212" spans="1:11" ht="13.9" x14ac:dyDescent="0.3">
      <c r="A212" s="2" t="s">
        <v>175</v>
      </c>
      <c r="B212" s="2">
        <v>4.9400000000000004</v>
      </c>
      <c r="C212" s="2">
        <v>36.11</v>
      </c>
      <c r="D212" s="2">
        <v>12.02</v>
      </c>
      <c r="E212" s="2">
        <v>16.09</v>
      </c>
      <c r="F212" s="2">
        <v>9.89</v>
      </c>
      <c r="G212" s="2">
        <v>8.5399999999999991</v>
      </c>
      <c r="H212" s="2">
        <f t="shared" si="12"/>
        <v>0.62046408423265953</v>
      </c>
      <c r="I212" s="2">
        <f t="shared" si="13"/>
        <v>0.55911436286277616</v>
      </c>
      <c r="J212" s="2">
        <f t="shared" si="14"/>
        <v>5.7298246436368894</v>
      </c>
      <c r="K212">
        <f t="shared" si="15"/>
        <v>11.506666666666666</v>
      </c>
    </row>
    <row r="213" spans="1:11" ht="13.9" x14ac:dyDescent="0.3">
      <c r="A213" s="2" t="s">
        <v>590</v>
      </c>
      <c r="B213" s="2">
        <v>0</v>
      </c>
      <c r="C213" s="2">
        <v>0</v>
      </c>
      <c r="D213" s="2">
        <v>4.7300000000000004</v>
      </c>
      <c r="E213" s="2">
        <v>1.58</v>
      </c>
      <c r="F213" s="2">
        <v>0</v>
      </c>
      <c r="G213" s="2">
        <v>1.48</v>
      </c>
      <c r="H213" s="2">
        <f t="shared" si="12"/>
        <v>0.62830853064674352</v>
      </c>
      <c r="I213" s="2">
        <f t="shared" si="13"/>
        <v>0.75384229903256017</v>
      </c>
      <c r="J213" s="2">
        <f t="shared" si="14"/>
        <v>2.2418401835646709</v>
      </c>
      <c r="K213">
        <f t="shared" si="15"/>
        <v>1.02</v>
      </c>
    </row>
    <row r="214" spans="1:11" ht="13.9" x14ac:dyDescent="0.3">
      <c r="A214" s="2" t="s">
        <v>248</v>
      </c>
      <c r="B214" s="2">
        <v>137.12</v>
      </c>
      <c r="C214" s="2">
        <v>104.42</v>
      </c>
      <c r="D214" s="2">
        <v>78.290000000000006</v>
      </c>
      <c r="E214" s="2">
        <v>72.36</v>
      </c>
      <c r="F214" s="2">
        <v>66.72</v>
      </c>
      <c r="G214" s="2">
        <v>65.23</v>
      </c>
      <c r="H214" s="2">
        <f t="shared" si="12"/>
        <v>0.6465454508763101</v>
      </c>
      <c r="I214" s="2">
        <f t="shared" si="13"/>
        <v>8.8180597144386322E-2</v>
      </c>
      <c r="J214" s="2">
        <f t="shared" si="14"/>
        <v>8.3211614594913286</v>
      </c>
      <c r="K214">
        <f t="shared" si="15"/>
        <v>68.103333333333339</v>
      </c>
    </row>
    <row r="215" spans="1:11" ht="13.9" x14ac:dyDescent="0.3">
      <c r="A215" s="2" t="s">
        <v>925</v>
      </c>
      <c r="B215" s="2">
        <v>140.09</v>
      </c>
      <c r="C215" s="2">
        <v>126.86</v>
      </c>
      <c r="D215" s="2">
        <v>60.26</v>
      </c>
      <c r="E215" s="2">
        <v>61.1</v>
      </c>
      <c r="F215" s="2">
        <v>86.37</v>
      </c>
      <c r="G215" s="2">
        <v>59.96</v>
      </c>
      <c r="H215" s="2">
        <f t="shared" si="12"/>
        <v>0.657592277707155</v>
      </c>
      <c r="I215" s="2">
        <f t="shared" si="13"/>
        <v>0.20168759659041899</v>
      </c>
      <c r="J215" s="2">
        <f t="shared" si="14"/>
        <v>8.3540730295273473</v>
      </c>
      <c r="K215">
        <f t="shared" si="15"/>
        <v>69.143333333333331</v>
      </c>
    </row>
    <row r="216" spans="1:11" ht="13.9" x14ac:dyDescent="0.3">
      <c r="A216" s="2" t="s">
        <v>659</v>
      </c>
      <c r="B216" s="2">
        <v>0</v>
      </c>
      <c r="C216" s="2">
        <v>1.22</v>
      </c>
      <c r="D216" s="2">
        <v>0</v>
      </c>
      <c r="E216" s="2">
        <v>0.1</v>
      </c>
      <c r="F216" s="2">
        <v>0.67</v>
      </c>
      <c r="G216" s="2">
        <v>0</v>
      </c>
      <c r="H216" s="2">
        <f t="shared" si="12"/>
        <v>0.66395079686798486</v>
      </c>
      <c r="I216" s="2">
        <f t="shared" si="13"/>
        <v>0.75924298647557076</v>
      </c>
      <c r="J216" s="2">
        <f t="shared" si="14"/>
        <v>0.28688114778816154</v>
      </c>
      <c r="K216">
        <f t="shared" si="15"/>
        <v>0.25666666666666665</v>
      </c>
    </row>
    <row r="217" spans="1:11" ht="13.9" x14ac:dyDescent="0.3">
      <c r="A217" s="2" t="s">
        <v>660</v>
      </c>
      <c r="B217" s="2">
        <v>0</v>
      </c>
      <c r="C217" s="2">
        <v>1.22</v>
      </c>
      <c r="D217" s="2">
        <v>0</v>
      </c>
      <c r="E217" s="2">
        <v>0.1</v>
      </c>
      <c r="F217" s="2">
        <v>0.67</v>
      </c>
      <c r="G217" s="2">
        <v>0</v>
      </c>
      <c r="H217" s="2">
        <f t="shared" si="12"/>
        <v>0.66395079686798486</v>
      </c>
      <c r="I217" s="2">
        <f t="shared" si="13"/>
        <v>0.75924298647557076</v>
      </c>
      <c r="J217" s="2">
        <f t="shared" si="14"/>
        <v>0.28688114778816154</v>
      </c>
      <c r="K217">
        <f t="shared" si="15"/>
        <v>0.25666666666666665</v>
      </c>
    </row>
    <row r="218" spans="1:11" ht="13.9" x14ac:dyDescent="0.3">
      <c r="A218" s="2" t="s">
        <v>674</v>
      </c>
      <c r="B218" s="2">
        <v>0</v>
      </c>
      <c r="C218" s="2">
        <v>1.22</v>
      </c>
      <c r="D218" s="2">
        <v>0</v>
      </c>
      <c r="E218" s="2">
        <v>0.1</v>
      </c>
      <c r="F218" s="2">
        <v>0.67</v>
      </c>
      <c r="G218" s="2">
        <v>0</v>
      </c>
      <c r="H218" s="2">
        <f t="shared" si="12"/>
        <v>0.66395079686798486</v>
      </c>
      <c r="I218" s="2">
        <f t="shared" si="13"/>
        <v>0.75924298647557076</v>
      </c>
      <c r="J218" s="2">
        <f t="shared" si="14"/>
        <v>0.28688114778816154</v>
      </c>
      <c r="K218">
        <f t="shared" si="15"/>
        <v>0.25666666666666665</v>
      </c>
    </row>
    <row r="219" spans="1:11" ht="13.9" x14ac:dyDescent="0.3">
      <c r="A219" s="2" t="s">
        <v>680</v>
      </c>
      <c r="B219" s="2">
        <v>0</v>
      </c>
      <c r="C219" s="2">
        <v>1.22</v>
      </c>
      <c r="D219" s="2">
        <v>0</v>
      </c>
      <c r="E219" s="2">
        <v>0.1</v>
      </c>
      <c r="F219" s="2">
        <v>0.67</v>
      </c>
      <c r="G219" s="2">
        <v>0</v>
      </c>
      <c r="H219" s="2">
        <f t="shared" si="12"/>
        <v>0.66395079686798486</v>
      </c>
      <c r="I219" s="2">
        <f t="shared" si="13"/>
        <v>0.75924298647557076</v>
      </c>
      <c r="J219" s="2">
        <f t="shared" si="14"/>
        <v>0.28688114778816154</v>
      </c>
      <c r="K219">
        <f t="shared" si="15"/>
        <v>0.25666666666666665</v>
      </c>
    </row>
    <row r="220" spans="1:11" ht="13.9" x14ac:dyDescent="0.3">
      <c r="A220" s="2" t="s">
        <v>728</v>
      </c>
      <c r="B220" s="2">
        <v>5.93</v>
      </c>
      <c r="C220" s="2">
        <v>0</v>
      </c>
      <c r="D220" s="2">
        <v>6.01</v>
      </c>
      <c r="E220" s="2">
        <v>3.16</v>
      </c>
      <c r="F220" s="2">
        <v>2.54</v>
      </c>
      <c r="G220" s="2">
        <v>1.79</v>
      </c>
      <c r="H220" s="2">
        <f t="shared" si="12"/>
        <v>0.67276521280605373</v>
      </c>
      <c r="I220" s="2">
        <f t="shared" si="13"/>
        <v>0.50529124916280499</v>
      </c>
      <c r="J220" s="2">
        <f t="shared" si="14"/>
        <v>3.57773093149008</v>
      </c>
      <c r="K220">
        <f t="shared" si="15"/>
        <v>2.4966666666666666</v>
      </c>
    </row>
    <row r="221" spans="1:11" ht="13.9" x14ac:dyDescent="0.3">
      <c r="A221" s="2" t="s">
        <v>34</v>
      </c>
      <c r="B221" s="2">
        <v>42567.01</v>
      </c>
      <c r="C221" s="2">
        <v>35176.58</v>
      </c>
      <c r="D221" s="2">
        <v>32349.85</v>
      </c>
      <c r="E221" s="2">
        <v>24656.6</v>
      </c>
      <c r="F221" s="2">
        <v>17876.98</v>
      </c>
      <c r="G221" s="2">
        <v>25804.61</v>
      </c>
      <c r="H221" s="2">
        <f t="shared" si="12"/>
        <v>0.68796456512290549</v>
      </c>
      <c r="I221" s="2">
        <f t="shared" si="13"/>
        <v>2.3858430602871725E-2</v>
      </c>
      <c r="J221" s="2">
        <f t="shared" si="14"/>
        <v>16.748368981836599</v>
      </c>
      <c r="K221">
        <f t="shared" si="15"/>
        <v>22779.396666666667</v>
      </c>
    </row>
    <row r="222" spans="1:11" ht="13.9" x14ac:dyDescent="0.3">
      <c r="A222" s="2" t="s">
        <v>120</v>
      </c>
      <c r="B222" s="2">
        <v>0</v>
      </c>
      <c r="C222" s="2">
        <v>0.73</v>
      </c>
      <c r="D222" s="2">
        <v>0</v>
      </c>
      <c r="E222" s="2">
        <v>0</v>
      </c>
      <c r="F222" s="2">
        <v>0.13</v>
      </c>
      <c r="G222" s="2">
        <v>0.32</v>
      </c>
      <c r="H222" s="2">
        <f t="shared" si="12"/>
        <v>0.69797146255034259</v>
      </c>
      <c r="I222" s="2">
        <f t="shared" si="13"/>
        <v>0.73820929102446553</v>
      </c>
      <c r="J222" s="2">
        <f t="shared" si="14"/>
        <v>-0.45403163089470749</v>
      </c>
      <c r="K222">
        <f t="shared" si="15"/>
        <v>0.15</v>
      </c>
    </row>
    <row r="223" spans="1:11" ht="13.9" x14ac:dyDescent="0.3">
      <c r="A223" s="2" t="s">
        <v>695</v>
      </c>
      <c r="B223" s="2">
        <v>0</v>
      </c>
      <c r="C223" s="2">
        <v>0</v>
      </c>
      <c r="D223" s="2">
        <v>4.92</v>
      </c>
      <c r="E223" s="2">
        <v>0.59</v>
      </c>
      <c r="F223" s="2">
        <v>0.27</v>
      </c>
      <c r="G223" s="2">
        <v>2</v>
      </c>
      <c r="H223" s="2">
        <f t="shared" si="12"/>
        <v>0.78264316856085059</v>
      </c>
      <c r="I223" s="2">
        <f t="shared" si="13"/>
        <v>0.71074713203716788</v>
      </c>
      <c r="J223" s="2">
        <f t="shared" si="14"/>
        <v>2.2986583155645151</v>
      </c>
      <c r="K223">
        <f t="shared" si="15"/>
        <v>0.95333333333333325</v>
      </c>
    </row>
    <row r="224" spans="1:11" ht="13.9" x14ac:dyDescent="0.3">
      <c r="A224" s="2" t="s">
        <v>158</v>
      </c>
      <c r="B224" s="2">
        <v>22.08</v>
      </c>
      <c r="C224" s="2">
        <v>17.079999999999998</v>
      </c>
      <c r="D224" s="2">
        <v>24.03</v>
      </c>
      <c r="E224" s="2">
        <v>9.67</v>
      </c>
      <c r="F224" s="2">
        <v>16.579999999999998</v>
      </c>
      <c r="G224" s="2">
        <v>10.43</v>
      </c>
      <c r="H224" s="2">
        <f t="shared" si="12"/>
        <v>0.78470262687602543</v>
      </c>
      <c r="I224" s="2">
        <f t="shared" si="13"/>
        <v>4.2633650264255619E-2</v>
      </c>
      <c r="J224" s="2">
        <f t="shared" si="14"/>
        <v>5.9816243606963555</v>
      </c>
      <c r="K224">
        <f t="shared" si="15"/>
        <v>12.226666666666667</v>
      </c>
    </row>
    <row r="225" spans="1:11" ht="13.9" x14ac:dyDescent="0.3">
      <c r="A225" s="2" t="s">
        <v>920</v>
      </c>
      <c r="B225" s="2">
        <v>14.17</v>
      </c>
      <c r="C225" s="2">
        <v>18.3</v>
      </c>
      <c r="D225" s="2">
        <v>18.02</v>
      </c>
      <c r="E225" s="2">
        <v>11.94</v>
      </c>
      <c r="F225" s="2">
        <v>8.9600000000000009</v>
      </c>
      <c r="G225" s="2">
        <v>8.33</v>
      </c>
      <c r="H225" s="2">
        <f t="shared" si="12"/>
        <v>0.78854784824505253</v>
      </c>
      <c r="I225" s="2">
        <f t="shared" si="13"/>
        <v>1.5081045490374374E-2</v>
      </c>
      <c r="J225" s="2">
        <f t="shared" si="14"/>
        <v>5.6579257722763803</v>
      </c>
      <c r="K225">
        <f t="shared" si="15"/>
        <v>9.7433333333333323</v>
      </c>
    </row>
    <row r="226" spans="1:11" ht="13.9" x14ac:dyDescent="0.3">
      <c r="A226" s="2" t="s">
        <v>159</v>
      </c>
      <c r="B226" s="2">
        <v>22.08</v>
      </c>
      <c r="C226" s="2">
        <v>17.079999999999998</v>
      </c>
      <c r="D226" s="2">
        <v>24.03</v>
      </c>
      <c r="E226" s="2">
        <v>9.67</v>
      </c>
      <c r="F226" s="2">
        <v>16.45</v>
      </c>
      <c r="G226" s="2">
        <v>10.43</v>
      </c>
      <c r="H226" s="2">
        <f t="shared" si="12"/>
        <v>0.78982485963128035</v>
      </c>
      <c r="I226" s="2">
        <f t="shared" si="13"/>
        <v>4.0760895717240009E-2</v>
      </c>
      <c r="J226" s="2">
        <f t="shared" si="14"/>
        <v>5.9816243606963555</v>
      </c>
      <c r="K226">
        <f t="shared" si="15"/>
        <v>12.183333333333332</v>
      </c>
    </row>
    <row r="227" spans="1:11" ht="13.9" x14ac:dyDescent="0.3">
      <c r="A227" s="2" t="s">
        <v>296</v>
      </c>
      <c r="B227" s="2">
        <v>786.46</v>
      </c>
      <c r="C227" s="2">
        <v>1060.5</v>
      </c>
      <c r="D227" s="2">
        <v>457.53</v>
      </c>
      <c r="E227" s="2">
        <v>395.06</v>
      </c>
      <c r="F227" s="2">
        <v>541.65</v>
      </c>
      <c r="G227" s="2">
        <v>394.88</v>
      </c>
      <c r="H227" s="2">
        <f t="shared" si="12"/>
        <v>0.79129756606959434</v>
      </c>
      <c r="I227" s="2">
        <f t="shared" si="13"/>
        <v>0.1477075122383584</v>
      </c>
      <c r="J227" s="2">
        <f t="shared" si="14"/>
        <v>11.170231791984421</v>
      </c>
      <c r="K227">
        <f t="shared" si="15"/>
        <v>443.8633333333334</v>
      </c>
    </row>
    <row r="228" spans="1:11" ht="13.9" x14ac:dyDescent="0.3">
      <c r="A228" s="2" t="s">
        <v>262</v>
      </c>
      <c r="B228" s="2">
        <v>1060.7</v>
      </c>
      <c r="C228" s="2">
        <v>845.81</v>
      </c>
      <c r="D228" s="2">
        <v>940.91</v>
      </c>
      <c r="E228" s="2">
        <v>506.01</v>
      </c>
      <c r="F228" s="2">
        <v>594.46</v>
      </c>
      <c r="G228" s="2">
        <v>517.66</v>
      </c>
      <c r="H228" s="2">
        <f t="shared" si="12"/>
        <v>0.81532779106588626</v>
      </c>
      <c r="I228" s="2">
        <f t="shared" si="13"/>
        <v>3.8382092093988537E-3</v>
      </c>
      <c r="J228" s="2">
        <f t="shared" si="14"/>
        <v>11.475439593768575</v>
      </c>
      <c r="K228">
        <f t="shared" si="15"/>
        <v>539.37666666666667</v>
      </c>
    </row>
    <row r="229" spans="1:11" ht="13.9" x14ac:dyDescent="0.3">
      <c r="A229" s="2" t="s">
        <v>411</v>
      </c>
      <c r="B229" s="2">
        <v>0.33</v>
      </c>
      <c r="C229" s="2">
        <v>5.61</v>
      </c>
      <c r="D229" s="2">
        <v>0</v>
      </c>
      <c r="E229" s="2">
        <v>1.38</v>
      </c>
      <c r="F229" s="2">
        <v>0.8</v>
      </c>
      <c r="G229" s="2">
        <v>1.1599999999999999</v>
      </c>
      <c r="H229" s="2">
        <f t="shared" si="12"/>
        <v>0.83061482832671374</v>
      </c>
      <c r="I229" s="2">
        <f t="shared" si="13"/>
        <v>0.65969337823989727</v>
      </c>
      <c r="J229" s="2">
        <f t="shared" si="14"/>
        <v>2.5704629310260412</v>
      </c>
      <c r="K229">
        <f t="shared" si="15"/>
        <v>1.1133333333333333</v>
      </c>
    </row>
    <row r="230" spans="1:11" ht="13.9" x14ac:dyDescent="0.3">
      <c r="A230" s="2" t="s">
        <v>279</v>
      </c>
      <c r="B230" s="2">
        <v>187.55</v>
      </c>
      <c r="C230" s="2">
        <v>379.85</v>
      </c>
      <c r="D230" s="2">
        <v>177.7</v>
      </c>
      <c r="E230" s="2">
        <v>131.88</v>
      </c>
      <c r="F230" s="2">
        <v>131.30000000000001</v>
      </c>
      <c r="G230" s="2">
        <v>151.44</v>
      </c>
      <c r="H230" s="2">
        <f t="shared" si="12"/>
        <v>0.84564435360063217</v>
      </c>
      <c r="I230" s="2">
        <f t="shared" si="13"/>
        <v>0.17110692123607038</v>
      </c>
      <c r="J230" s="2">
        <f t="shared" si="14"/>
        <v>9.5412902526950791</v>
      </c>
      <c r="K230">
        <f t="shared" si="15"/>
        <v>138.20666666666668</v>
      </c>
    </row>
    <row r="231" spans="1:11" ht="13.9" x14ac:dyDescent="0.3">
      <c r="A231" s="2" t="s">
        <v>381</v>
      </c>
      <c r="B231" s="2">
        <v>177.33</v>
      </c>
      <c r="C231" s="2">
        <v>193.22</v>
      </c>
      <c r="D231" s="2">
        <v>216.48</v>
      </c>
      <c r="E231" s="2">
        <v>97.93</v>
      </c>
      <c r="F231" s="2">
        <v>111.65</v>
      </c>
      <c r="G231" s="2">
        <v>114.24</v>
      </c>
      <c r="H231" s="2">
        <f t="shared" si="12"/>
        <v>0.85824214059180015</v>
      </c>
      <c r="I231" s="2">
        <f t="shared" si="13"/>
        <v>2.133598156241175E-3</v>
      </c>
      <c r="J231" s="2">
        <f t="shared" si="14"/>
        <v>9.1972904235108714</v>
      </c>
      <c r="K231">
        <f t="shared" si="15"/>
        <v>107.94</v>
      </c>
    </row>
    <row r="232" spans="1:11" ht="13.9" x14ac:dyDescent="0.3">
      <c r="A232" s="2" t="s">
        <v>307</v>
      </c>
      <c r="B232" s="2">
        <v>4.6100000000000003</v>
      </c>
      <c r="C232" s="2">
        <v>0</v>
      </c>
      <c r="D232" s="2">
        <v>0</v>
      </c>
      <c r="E232" s="2">
        <v>0.89</v>
      </c>
      <c r="F232" s="2">
        <v>0.27</v>
      </c>
      <c r="G232" s="2">
        <v>1.37</v>
      </c>
      <c r="H232" s="2">
        <f t="shared" si="12"/>
        <v>0.8656293657350278</v>
      </c>
      <c r="I232" s="2">
        <f t="shared" si="13"/>
        <v>0.68146209736679964</v>
      </c>
      <c r="J232" s="2">
        <f t="shared" si="14"/>
        <v>2.2047667506546134</v>
      </c>
      <c r="K232">
        <f t="shared" si="15"/>
        <v>0.84333333333333338</v>
      </c>
    </row>
    <row r="233" spans="1:11" ht="13.9" x14ac:dyDescent="0.3">
      <c r="A233" s="2" t="s">
        <v>139</v>
      </c>
      <c r="B233" s="2">
        <v>1013.56</v>
      </c>
      <c r="C233" s="2">
        <v>413.51</v>
      </c>
      <c r="D233" s="2">
        <v>908.5</v>
      </c>
      <c r="E233" s="2">
        <v>496.64</v>
      </c>
      <c r="F233" s="2">
        <v>315.27999999999997</v>
      </c>
      <c r="G233" s="2">
        <v>448.52</v>
      </c>
      <c r="H233" s="2">
        <f t="shared" si="12"/>
        <v>0.88984724114012403</v>
      </c>
      <c r="I233" s="2">
        <f t="shared" si="13"/>
        <v>0.13658555889718541</v>
      </c>
      <c r="J233" s="2">
        <f t="shared" si="14"/>
        <v>11.189558969851346</v>
      </c>
      <c r="K233">
        <f t="shared" si="15"/>
        <v>420.1466666666667</v>
      </c>
    </row>
    <row r="234" spans="1:11" ht="13.9" x14ac:dyDescent="0.3">
      <c r="A234" s="2" t="s">
        <v>895</v>
      </c>
      <c r="B234" s="2">
        <v>0</v>
      </c>
      <c r="C234" s="2">
        <v>2.44</v>
      </c>
      <c r="D234" s="2">
        <v>2.37</v>
      </c>
      <c r="E234" s="2">
        <v>0.89</v>
      </c>
      <c r="F234" s="2">
        <v>1.47</v>
      </c>
      <c r="G234" s="2">
        <v>0.21</v>
      </c>
      <c r="H234" s="2">
        <f t="shared" si="12"/>
        <v>0.90426853457616407</v>
      </c>
      <c r="I234" s="2">
        <f t="shared" si="13"/>
        <v>0.44430112644892694</v>
      </c>
      <c r="J234" s="2">
        <f t="shared" si="14"/>
        <v>2.2660368939953175</v>
      </c>
      <c r="K234">
        <f t="shared" si="15"/>
        <v>0.85666666666666658</v>
      </c>
    </row>
    <row r="235" spans="1:11" ht="13.9" x14ac:dyDescent="0.3">
      <c r="A235" s="2" t="s">
        <v>44</v>
      </c>
      <c r="B235" s="2">
        <v>16.149999999999999</v>
      </c>
      <c r="C235" s="2">
        <v>24.15</v>
      </c>
      <c r="D235" s="2">
        <v>1.82</v>
      </c>
      <c r="E235" s="2">
        <v>6.42</v>
      </c>
      <c r="F235" s="2">
        <v>9.6300000000000008</v>
      </c>
      <c r="G235" s="2">
        <v>6.22</v>
      </c>
      <c r="H235" s="2">
        <f t="shared" si="12"/>
        <v>0.91940387823792713</v>
      </c>
      <c r="I235" s="2">
        <f t="shared" si="13"/>
        <v>0.37441925964257849</v>
      </c>
      <c r="J235" s="2">
        <f t="shared" si="14"/>
        <v>5.3964335312509926</v>
      </c>
      <c r="K235">
        <f t="shared" si="15"/>
        <v>7.4233333333333329</v>
      </c>
    </row>
    <row r="236" spans="1:11" ht="13.9" x14ac:dyDescent="0.3">
      <c r="A236" s="2" t="s">
        <v>455</v>
      </c>
      <c r="B236" s="2">
        <v>4066.78</v>
      </c>
      <c r="C236" s="2">
        <v>4570.38</v>
      </c>
      <c r="D236" s="2">
        <v>4024.91</v>
      </c>
      <c r="E236" s="2">
        <v>2126.7199999999998</v>
      </c>
      <c r="F236" s="2">
        <v>2502.9899999999998</v>
      </c>
      <c r="G236" s="2">
        <v>2059.98</v>
      </c>
      <c r="H236" s="2">
        <f t="shared" si="12"/>
        <v>0.9205020132880074</v>
      </c>
      <c r="I236" s="2">
        <f t="shared" si="13"/>
        <v>8.7066497256331813E-4</v>
      </c>
      <c r="J236" s="2">
        <f t="shared" si="14"/>
        <v>13.628225655928199</v>
      </c>
      <c r="K236">
        <f t="shared" si="15"/>
        <v>2229.8966666666661</v>
      </c>
    </row>
    <row r="237" spans="1:11" ht="13.9" x14ac:dyDescent="0.3">
      <c r="A237" s="2" t="s">
        <v>465</v>
      </c>
      <c r="B237" s="2">
        <v>10.55</v>
      </c>
      <c r="C237" s="2">
        <v>29.28</v>
      </c>
      <c r="D237" s="2">
        <v>27.67</v>
      </c>
      <c r="E237" s="2">
        <v>12.64</v>
      </c>
      <c r="F237" s="2">
        <v>15.91</v>
      </c>
      <c r="G237" s="2">
        <v>6.85</v>
      </c>
      <c r="H237" s="2">
        <f t="shared" si="12"/>
        <v>0.93113814185519583</v>
      </c>
      <c r="I237" s="2">
        <f t="shared" si="13"/>
        <v>0.1778061511187338</v>
      </c>
      <c r="J237" s="2">
        <f t="shared" si="14"/>
        <v>6.0768155970508309</v>
      </c>
      <c r="K237">
        <f t="shared" si="15"/>
        <v>11.799999999999999</v>
      </c>
    </row>
    <row r="238" spans="1:11" ht="13.9" x14ac:dyDescent="0.3">
      <c r="A238" s="2" t="s">
        <v>675</v>
      </c>
      <c r="B238" s="2">
        <v>0</v>
      </c>
      <c r="C238" s="2">
        <v>1.22</v>
      </c>
      <c r="D238" s="2">
        <v>0</v>
      </c>
      <c r="E238" s="2">
        <v>0.1</v>
      </c>
      <c r="F238" s="2">
        <v>0.53</v>
      </c>
      <c r="G238" s="2">
        <v>0</v>
      </c>
      <c r="H238" s="2">
        <f t="shared" si="12"/>
        <v>0.9534574140629698</v>
      </c>
      <c r="I238" s="2">
        <f t="shared" si="13"/>
        <v>0.67665084271471432</v>
      </c>
      <c r="J238" s="2">
        <f t="shared" si="14"/>
        <v>0.28688114778816154</v>
      </c>
      <c r="K238">
        <f t="shared" si="15"/>
        <v>0.21</v>
      </c>
    </row>
    <row r="239" spans="1:11" ht="13.9" x14ac:dyDescent="0.3">
      <c r="A239" s="2" t="s">
        <v>908</v>
      </c>
      <c r="B239" s="2">
        <v>4.9400000000000004</v>
      </c>
      <c r="C239" s="2">
        <v>0</v>
      </c>
      <c r="D239" s="2">
        <v>0</v>
      </c>
      <c r="E239" s="2">
        <v>0.1</v>
      </c>
      <c r="F239" s="2">
        <v>0</v>
      </c>
      <c r="G239" s="2">
        <v>2.42</v>
      </c>
      <c r="H239" s="2">
        <f t="shared" si="12"/>
        <v>0.97108730808476129</v>
      </c>
      <c r="I239" s="2">
        <f t="shared" si="13"/>
        <v>0.68158548371259953</v>
      </c>
      <c r="J239" s="2">
        <f t="shared" si="14"/>
        <v>2.304511041809953</v>
      </c>
      <c r="K239">
        <f t="shared" si="15"/>
        <v>0.84</v>
      </c>
    </row>
    <row r="240" spans="1:11" ht="13.9" x14ac:dyDescent="0.3">
      <c r="A240" s="2" t="s">
        <v>458</v>
      </c>
      <c r="B240" s="2">
        <v>19.45</v>
      </c>
      <c r="C240" s="2">
        <v>5.12</v>
      </c>
      <c r="D240" s="2">
        <v>0</v>
      </c>
      <c r="E240" s="2">
        <v>3.46</v>
      </c>
      <c r="F240" s="2">
        <v>4.41</v>
      </c>
      <c r="G240" s="2">
        <v>4.32</v>
      </c>
      <c r="H240" s="2">
        <f t="shared" si="12"/>
        <v>1.0111997317419525</v>
      </c>
      <c r="I240" s="2">
        <f t="shared" si="13"/>
        <v>0.51802104108461389</v>
      </c>
      <c r="J240" s="2">
        <f t="shared" si="14"/>
        <v>4.6188259525874402</v>
      </c>
      <c r="K240">
        <f t="shared" si="15"/>
        <v>4.0633333333333335</v>
      </c>
    </row>
    <row r="241" spans="1:11" ht="13.9" x14ac:dyDescent="0.3">
      <c r="A241" s="2" t="s">
        <v>284</v>
      </c>
      <c r="B241" s="2">
        <v>8.9</v>
      </c>
      <c r="C241" s="2">
        <v>0</v>
      </c>
      <c r="D241" s="2">
        <v>0</v>
      </c>
      <c r="E241" s="2">
        <v>2.17</v>
      </c>
      <c r="F241" s="2">
        <v>0.94</v>
      </c>
      <c r="G241" s="2">
        <v>1.26</v>
      </c>
      <c r="H241" s="5">
        <f t="shared" si="12"/>
        <v>1.0261720563531616</v>
      </c>
      <c r="I241" s="5">
        <f t="shared" si="13"/>
        <v>0.64004244451426262</v>
      </c>
      <c r="J241" s="2">
        <f t="shared" si="14"/>
        <v>3.1538053360790355</v>
      </c>
      <c r="K241">
        <f t="shared" si="15"/>
        <v>1.4566666666666668</v>
      </c>
    </row>
    <row r="242" spans="1:11" ht="13.9" x14ac:dyDescent="0.3">
      <c r="A242" s="2" t="s">
        <v>300</v>
      </c>
      <c r="B242" s="2">
        <v>2638.23</v>
      </c>
      <c r="C242" s="2">
        <v>1727</v>
      </c>
      <c r="D242" s="2">
        <v>1790.24</v>
      </c>
      <c r="E242" s="2">
        <v>1092.78</v>
      </c>
      <c r="F242" s="2">
        <v>847.3</v>
      </c>
      <c r="G242" s="2">
        <v>1071.67</v>
      </c>
      <c r="H242" s="2">
        <f t="shared" si="12"/>
        <v>1.0312669982458591</v>
      </c>
      <c r="I242" s="2">
        <f t="shared" si="13"/>
        <v>2.6148912757686181E-2</v>
      </c>
      <c r="J242" s="2">
        <f t="shared" si="14"/>
        <v>12.587653302343666</v>
      </c>
      <c r="K242">
        <f t="shared" si="15"/>
        <v>1003.9166666666666</v>
      </c>
    </row>
    <row r="243" spans="1:11" ht="13.9" x14ac:dyDescent="0.3">
      <c r="A243" s="2" t="s">
        <v>58</v>
      </c>
      <c r="B243" s="2">
        <v>0</v>
      </c>
      <c r="C243" s="2">
        <v>0</v>
      </c>
      <c r="D243" s="2">
        <v>8.19</v>
      </c>
      <c r="E243" s="2">
        <v>1.28</v>
      </c>
      <c r="F243" s="2">
        <v>1.34</v>
      </c>
      <c r="G243" s="2">
        <v>1.37</v>
      </c>
      <c r="H243" s="2">
        <f t="shared" si="12"/>
        <v>1.0374747054186626</v>
      </c>
      <c r="I243" s="2">
        <f t="shared" si="13"/>
        <v>0.6351135544253047</v>
      </c>
      <c r="J243" s="2">
        <f t="shared" si="14"/>
        <v>3.0338634518662837</v>
      </c>
      <c r="K243">
        <f t="shared" si="15"/>
        <v>1.33</v>
      </c>
    </row>
    <row r="244" spans="1:11" ht="13.9" x14ac:dyDescent="0.3">
      <c r="A244" s="2" t="s">
        <v>226</v>
      </c>
      <c r="B244" s="2">
        <v>147.01</v>
      </c>
      <c r="C244" s="2">
        <v>96.36</v>
      </c>
      <c r="D244" s="2">
        <v>88.12</v>
      </c>
      <c r="E244" s="2">
        <v>53.01</v>
      </c>
      <c r="F244" s="2">
        <v>41.98</v>
      </c>
      <c r="G244" s="2">
        <v>66.08</v>
      </c>
      <c r="H244" s="2">
        <f t="shared" si="12"/>
        <v>1.0412775387367972</v>
      </c>
      <c r="I244" s="2">
        <f t="shared" si="13"/>
        <v>4.4748907030911528E-2</v>
      </c>
      <c r="J244" s="2">
        <f t="shared" si="14"/>
        <v>8.3728215392437679</v>
      </c>
      <c r="K244">
        <f t="shared" si="15"/>
        <v>53.69</v>
      </c>
    </row>
    <row r="245" spans="1:11" ht="13.9" x14ac:dyDescent="0.3">
      <c r="A245" s="2" t="s">
        <v>50</v>
      </c>
      <c r="B245" s="2">
        <v>124.26</v>
      </c>
      <c r="C245" s="2">
        <v>74.900000000000006</v>
      </c>
      <c r="D245" s="2">
        <v>84.66</v>
      </c>
      <c r="E245" s="2">
        <v>50.05</v>
      </c>
      <c r="F245" s="2">
        <v>34.76</v>
      </c>
      <c r="G245" s="2">
        <v>52.9</v>
      </c>
      <c r="H245" s="2">
        <f t="shared" si="12"/>
        <v>1.0433429291065459</v>
      </c>
      <c r="I245" s="2">
        <f t="shared" si="13"/>
        <v>3.9031563421113753E-2</v>
      </c>
      <c r="J245" s="2">
        <f t="shared" si="14"/>
        <v>8.1488324454317063</v>
      </c>
      <c r="K245">
        <f t="shared" si="15"/>
        <v>45.903333333333336</v>
      </c>
    </row>
    <row r="246" spans="1:11" ht="13.9" x14ac:dyDescent="0.3">
      <c r="A246" s="2" t="s">
        <v>24</v>
      </c>
      <c r="B246" s="2">
        <v>107.45</v>
      </c>
      <c r="C246" s="2">
        <v>106.86</v>
      </c>
      <c r="D246" s="2">
        <v>129.44999999999999</v>
      </c>
      <c r="E246" s="2">
        <v>48.57</v>
      </c>
      <c r="F246" s="2">
        <v>60.7</v>
      </c>
      <c r="G246" s="2">
        <v>56.59</v>
      </c>
      <c r="H246" s="2">
        <f t="shared" si="12"/>
        <v>1.0514356847775612</v>
      </c>
      <c r="I246" s="2">
        <f t="shared" si="13"/>
        <v>1.9782209796550508E-3</v>
      </c>
      <c r="J246" s="2">
        <f t="shared" si="14"/>
        <v>8.4252578719992144</v>
      </c>
      <c r="K246">
        <f t="shared" si="15"/>
        <v>55.286666666666669</v>
      </c>
    </row>
    <row r="247" spans="1:11" ht="13.9" x14ac:dyDescent="0.3">
      <c r="A247" s="2" t="s">
        <v>683</v>
      </c>
      <c r="B247" s="2">
        <v>0</v>
      </c>
      <c r="C247" s="2">
        <v>2.68</v>
      </c>
      <c r="D247" s="2">
        <v>0</v>
      </c>
      <c r="E247" s="2">
        <v>1.18</v>
      </c>
      <c r="F247" s="2">
        <v>0</v>
      </c>
      <c r="G247" s="2">
        <v>0.11</v>
      </c>
      <c r="H247" s="2">
        <f t="shared" si="12"/>
        <v>1.0548619350345185</v>
      </c>
      <c r="I247" s="2">
        <f t="shared" si="13"/>
        <v>0.65761754831587349</v>
      </c>
      <c r="J247" s="2">
        <f t="shared" si="14"/>
        <v>1.4222330006830479</v>
      </c>
      <c r="K247">
        <f t="shared" si="15"/>
        <v>0.43</v>
      </c>
    </row>
    <row r="248" spans="1:11" ht="13.9" x14ac:dyDescent="0.3">
      <c r="A248" s="2" t="s">
        <v>202</v>
      </c>
      <c r="B248" s="2">
        <v>0</v>
      </c>
      <c r="C248" s="2">
        <v>0</v>
      </c>
      <c r="D248" s="2">
        <v>3.1</v>
      </c>
      <c r="E248" s="2">
        <v>0</v>
      </c>
      <c r="F248" s="2">
        <v>1.07</v>
      </c>
      <c r="G248" s="2">
        <v>0.42</v>
      </c>
      <c r="H248" s="2">
        <f t="shared" si="12"/>
        <v>1.0569558848120759</v>
      </c>
      <c r="I248" s="2">
        <f t="shared" si="13"/>
        <v>0.64508086360408778</v>
      </c>
      <c r="J248" s="2">
        <f t="shared" si="14"/>
        <v>1.632268215499513</v>
      </c>
      <c r="K248">
        <f t="shared" si="15"/>
        <v>0.49666666666666665</v>
      </c>
    </row>
    <row r="249" spans="1:11" ht="13.9" x14ac:dyDescent="0.3">
      <c r="A249" s="2" t="s">
        <v>282</v>
      </c>
      <c r="B249" s="2">
        <v>57.35</v>
      </c>
      <c r="C249" s="2">
        <v>37.57</v>
      </c>
      <c r="D249" s="2">
        <v>57.9</v>
      </c>
      <c r="E249" s="2">
        <v>24.97</v>
      </c>
      <c r="F249" s="2">
        <v>17.52</v>
      </c>
      <c r="G249" s="2">
        <v>29.93</v>
      </c>
      <c r="H249" s="2">
        <f t="shared" si="12"/>
        <v>1.0773732835191736</v>
      </c>
      <c r="I249" s="2">
        <f t="shared" si="13"/>
        <v>2.4284842045341207E-2</v>
      </c>
      <c r="J249" s="2">
        <f t="shared" si="14"/>
        <v>7.2556895552206262</v>
      </c>
      <c r="K249">
        <f t="shared" si="15"/>
        <v>24.139999999999997</v>
      </c>
    </row>
    <row r="250" spans="1:11" ht="13.9" x14ac:dyDescent="0.3">
      <c r="A250" s="2" t="s">
        <v>88</v>
      </c>
      <c r="B250" s="2">
        <v>3.63</v>
      </c>
      <c r="C250" s="2">
        <v>0</v>
      </c>
      <c r="D250" s="2">
        <v>12.02</v>
      </c>
      <c r="E250" s="2">
        <v>3.55</v>
      </c>
      <c r="F250" s="2">
        <v>2.81</v>
      </c>
      <c r="G250" s="2">
        <v>1.05</v>
      </c>
      <c r="H250" s="2">
        <f t="shared" si="12"/>
        <v>1.0786172095141469</v>
      </c>
      <c r="I250" s="2">
        <f t="shared" si="13"/>
        <v>0.49202565782410657</v>
      </c>
      <c r="J250" s="2">
        <f t="shared" si="14"/>
        <v>3.968090752045256</v>
      </c>
      <c r="K250">
        <f t="shared" si="15"/>
        <v>2.4699999999999998</v>
      </c>
    </row>
    <row r="251" spans="1:11" ht="13.9" x14ac:dyDescent="0.3">
      <c r="A251" s="2" t="s">
        <v>416</v>
      </c>
      <c r="B251" s="2">
        <v>22.74</v>
      </c>
      <c r="C251" s="2">
        <v>0</v>
      </c>
      <c r="D251" s="2">
        <v>8.92</v>
      </c>
      <c r="E251" s="2">
        <v>6.52</v>
      </c>
      <c r="F251" s="2">
        <v>1.74</v>
      </c>
      <c r="G251" s="2">
        <v>6.32</v>
      </c>
      <c r="H251" s="2">
        <f t="shared" si="12"/>
        <v>1.118670535810244</v>
      </c>
      <c r="I251" s="2">
        <f t="shared" si="13"/>
        <v>0.44935830228017881</v>
      </c>
      <c r="J251" s="2">
        <f t="shared" si="14"/>
        <v>4.9845893503624561</v>
      </c>
      <c r="K251">
        <f t="shared" si="15"/>
        <v>4.8600000000000003</v>
      </c>
    </row>
    <row r="252" spans="1:11" ht="13.9" x14ac:dyDescent="0.3">
      <c r="A252" s="2" t="s">
        <v>28</v>
      </c>
      <c r="B252" s="2">
        <v>184371.55</v>
      </c>
      <c r="C252" s="2">
        <v>123991.77</v>
      </c>
      <c r="D252" s="2">
        <v>184487.15</v>
      </c>
      <c r="E252" s="2">
        <v>80265.16</v>
      </c>
      <c r="F252" s="2">
        <v>64118.62</v>
      </c>
      <c r="G252" s="2">
        <v>78049.820000000007</v>
      </c>
      <c r="H252" s="2">
        <f t="shared" si="12"/>
        <v>1.1477752690323237</v>
      </c>
      <c r="I252" s="2">
        <f t="shared" si="13"/>
        <v>1.2254385200617201E-2</v>
      </c>
      <c r="J252" s="2">
        <f t="shared" si="14"/>
        <v>18.910790476188811</v>
      </c>
      <c r="K252">
        <f t="shared" si="15"/>
        <v>74144.53333333334</v>
      </c>
    </row>
    <row r="253" spans="1:11" ht="13.9" x14ac:dyDescent="0.3">
      <c r="A253" s="2" t="s">
        <v>464</v>
      </c>
      <c r="B253" s="2">
        <v>0.33</v>
      </c>
      <c r="C253" s="2">
        <v>0</v>
      </c>
      <c r="D253" s="2">
        <v>0.18</v>
      </c>
      <c r="E253" s="2">
        <v>0.1</v>
      </c>
      <c r="F253" s="2">
        <v>0.13</v>
      </c>
      <c r="G253" s="2">
        <v>0</v>
      </c>
      <c r="H253" s="2">
        <f t="shared" si="12"/>
        <v>1.1488633859144828</v>
      </c>
      <c r="I253" s="2">
        <f t="shared" si="13"/>
        <v>0.41681612509882349</v>
      </c>
      <c r="J253" s="2">
        <f t="shared" si="14"/>
        <v>-0.97143084780322919</v>
      </c>
      <c r="K253">
        <f t="shared" si="15"/>
        <v>7.6666666666666675E-2</v>
      </c>
    </row>
    <row r="254" spans="1:11" ht="13.9" x14ac:dyDescent="0.3">
      <c r="A254" s="2" t="s">
        <v>638</v>
      </c>
      <c r="B254" s="2">
        <v>0</v>
      </c>
      <c r="C254" s="2">
        <v>10</v>
      </c>
      <c r="D254" s="2">
        <v>1.27</v>
      </c>
      <c r="E254" s="2">
        <v>0.49</v>
      </c>
      <c r="F254" s="2">
        <v>2.67</v>
      </c>
      <c r="G254" s="2">
        <v>1.9</v>
      </c>
      <c r="H254" s="2">
        <f t="shared" si="12"/>
        <v>1.1552782254779108</v>
      </c>
      <c r="I254" s="2">
        <f t="shared" si="13"/>
        <v>0.5538193339666313</v>
      </c>
      <c r="J254" s="2">
        <f t="shared" si="14"/>
        <v>3.4944156103974962</v>
      </c>
      <c r="K254">
        <f t="shared" si="15"/>
        <v>1.6866666666666668</v>
      </c>
    </row>
    <row r="255" spans="1:11" ht="13.9" x14ac:dyDescent="0.3">
      <c r="A255" s="2" t="s">
        <v>216</v>
      </c>
      <c r="B255" s="2">
        <v>59.33</v>
      </c>
      <c r="C255" s="2">
        <v>40.25</v>
      </c>
      <c r="D255" s="2">
        <v>42.42</v>
      </c>
      <c r="E255" s="2">
        <v>23.59</v>
      </c>
      <c r="F255" s="2">
        <v>16.850000000000001</v>
      </c>
      <c r="G255" s="2">
        <v>22.87</v>
      </c>
      <c r="H255" s="2">
        <f t="shared" si="12"/>
        <v>1.1653856290559723</v>
      </c>
      <c r="I255" s="2">
        <f t="shared" si="13"/>
        <v>1.4858842453652888E-2</v>
      </c>
      <c r="J255" s="2">
        <f t="shared" si="14"/>
        <v>7.1497471195046822</v>
      </c>
      <c r="K255">
        <f t="shared" si="15"/>
        <v>21.103333333333335</v>
      </c>
    </row>
    <row r="256" spans="1:11" ht="13.9" x14ac:dyDescent="0.3">
      <c r="A256" s="2" t="s">
        <v>526</v>
      </c>
      <c r="B256" s="2">
        <v>26.04</v>
      </c>
      <c r="C256" s="2">
        <v>16.350000000000001</v>
      </c>
      <c r="D256" s="2">
        <v>0.18</v>
      </c>
      <c r="E256" s="2">
        <v>7.4</v>
      </c>
      <c r="F256" s="2">
        <v>6.28</v>
      </c>
      <c r="G256" s="2">
        <v>5.27</v>
      </c>
      <c r="H256" s="2">
        <f t="shared" si="12"/>
        <v>1.1676392417232537</v>
      </c>
      <c r="I256" s="2">
        <f t="shared" si="13"/>
        <v>0.35692150784248716</v>
      </c>
      <c r="J256" s="2">
        <f t="shared" si="14"/>
        <v>5.411765185006983</v>
      </c>
      <c r="K256">
        <f t="shared" si="15"/>
        <v>6.3166666666666664</v>
      </c>
    </row>
    <row r="257" spans="1:11" ht="13.9" x14ac:dyDescent="0.3">
      <c r="A257" s="2" t="s">
        <v>366</v>
      </c>
      <c r="B257" s="2">
        <v>41.2</v>
      </c>
      <c r="C257" s="2">
        <v>14.39</v>
      </c>
      <c r="D257" s="2">
        <v>7.65</v>
      </c>
      <c r="E257" s="2">
        <v>9.2799999999999994</v>
      </c>
      <c r="F257" s="2">
        <v>10.83</v>
      </c>
      <c r="G257" s="2">
        <v>7.69</v>
      </c>
      <c r="H257" s="2">
        <f t="shared" si="12"/>
        <v>1.1857524847475012</v>
      </c>
      <c r="I257" s="2">
        <f t="shared" si="13"/>
        <v>0.31479612652806271</v>
      </c>
      <c r="J257" s="2">
        <f t="shared" si="14"/>
        <v>5.9827654625836466</v>
      </c>
      <c r="K257">
        <f t="shared" si="15"/>
        <v>9.2666666666666675</v>
      </c>
    </row>
    <row r="258" spans="1:11" ht="13.9" x14ac:dyDescent="0.3">
      <c r="A258" s="2" t="s">
        <v>294</v>
      </c>
      <c r="B258" s="2">
        <v>3.96</v>
      </c>
      <c r="C258" s="2">
        <v>24.88</v>
      </c>
      <c r="D258" s="2">
        <v>7.46</v>
      </c>
      <c r="E258" s="2">
        <v>4.74</v>
      </c>
      <c r="F258" s="2">
        <v>5.88</v>
      </c>
      <c r="G258" s="2">
        <v>5.27</v>
      </c>
      <c r="H258" s="2">
        <f t="shared" ref="H258:H321" si="16">LOG(SUM(B258:D258)/SUM(E258:G258),2)</f>
        <v>1.1918504235345937</v>
      </c>
      <c r="I258" s="2">
        <f t="shared" ref="I258:I321" si="17">_xlfn.T.TEST(B258:D258,E258:G258,2,2)</f>
        <v>0.35286163786410812</v>
      </c>
      <c r="J258" s="2">
        <f t="shared" ref="J258:J321" si="18">LOG(SUM(B258:D258),2)</f>
        <v>5.1818976431083881</v>
      </c>
      <c r="K258">
        <f t="shared" ref="K258:K321" si="19">AVERAGE(E258:G258)</f>
        <v>5.2966666666666669</v>
      </c>
    </row>
    <row r="259" spans="1:11" ht="13.9" x14ac:dyDescent="0.3">
      <c r="A259" s="2" t="s">
        <v>626</v>
      </c>
      <c r="B259" s="2">
        <v>0</v>
      </c>
      <c r="C259" s="2">
        <v>0.73</v>
      </c>
      <c r="D259" s="2">
        <v>1.0900000000000001</v>
      </c>
      <c r="E259" s="2">
        <v>0.2</v>
      </c>
      <c r="F259" s="2">
        <v>0.27</v>
      </c>
      <c r="G259" s="2">
        <v>0.32</v>
      </c>
      <c r="H259" s="2">
        <f t="shared" si="16"/>
        <v>1.2040138920215933</v>
      </c>
      <c r="I259" s="2">
        <f t="shared" si="17"/>
        <v>0.34708723640261196</v>
      </c>
      <c r="J259" s="2">
        <f t="shared" si="18"/>
        <v>0.86393845042397166</v>
      </c>
      <c r="K259">
        <f t="shared" si="19"/>
        <v>0.26333333333333336</v>
      </c>
    </row>
    <row r="260" spans="1:11" ht="13.9" x14ac:dyDescent="0.3">
      <c r="A260" s="2" t="s">
        <v>611</v>
      </c>
      <c r="B260" s="2">
        <v>7.58</v>
      </c>
      <c r="C260" s="2">
        <v>19.52</v>
      </c>
      <c r="D260" s="2">
        <v>6.55</v>
      </c>
      <c r="E260" s="2">
        <v>5.82</v>
      </c>
      <c r="F260" s="2">
        <v>4.8099999999999996</v>
      </c>
      <c r="G260" s="2">
        <v>3.9</v>
      </c>
      <c r="H260" s="2">
        <f t="shared" si="16"/>
        <v>1.2115718018648383</v>
      </c>
      <c r="I260" s="2">
        <f t="shared" si="17"/>
        <v>0.20367312255690798</v>
      </c>
      <c r="J260" s="2">
        <f t="shared" si="18"/>
        <v>5.072534599722955</v>
      </c>
      <c r="K260">
        <f t="shared" si="19"/>
        <v>4.8433333333333328</v>
      </c>
    </row>
    <row r="261" spans="1:11" ht="13.9" x14ac:dyDescent="0.3">
      <c r="A261" s="2" t="s">
        <v>339</v>
      </c>
      <c r="B261" s="2">
        <v>17.14</v>
      </c>
      <c r="C261" s="2">
        <v>6.59</v>
      </c>
      <c r="D261" s="2">
        <v>12.02</v>
      </c>
      <c r="E261" s="2">
        <v>2.86</v>
      </c>
      <c r="F261" s="2">
        <v>6.55</v>
      </c>
      <c r="G261" s="2">
        <v>6.01</v>
      </c>
      <c r="H261" s="2">
        <f t="shared" si="16"/>
        <v>1.21314047663808</v>
      </c>
      <c r="I261" s="2">
        <f t="shared" si="17"/>
        <v>0.1058716506010056</v>
      </c>
      <c r="J261" s="2">
        <f t="shared" si="18"/>
        <v>5.1598713367783899</v>
      </c>
      <c r="K261">
        <f t="shared" si="19"/>
        <v>5.14</v>
      </c>
    </row>
    <row r="262" spans="1:11" ht="13.9" x14ac:dyDescent="0.3">
      <c r="A262" s="2" t="s">
        <v>113</v>
      </c>
      <c r="B262" s="2">
        <v>0</v>
      </c>
      <c r="C262" s="2">
        <v>0</v>
      </c>
      <c r="D262" s="2">
        <v>9.65</v>
      </c>
      <c r="E262" s="2">
        <v>1.68</v>
      </c>
      <c r="F262" s="2">
        <v>1.2</v>
      </c>
      <c r="G262" s="2">
        <v>1.26</v>
      </c>
      <c r="H262" s="2">
        <f t="shared" si="16"/>
        <v>1.2208981746561176</v>
      </c>
      <c r="I262" s="2">
        <f t="shared" si="17"/>
        <v>0.59894626373702375</v>
      </c>
      <c r="J262" s="2">
        <f t="shared" si="18"/>
        <v>3.2705289423807185</v>
      </c>
      <c r="K262">
        <f t="shared" si="19"/>
        <v>1.38</v>
      </c>
    </row>
    <row r="263" spans="1:11" ht="13.9" x14ac:dyDescent="0.3">
      <c r="A263" s="2" t="s">
        <v>537</v>
      </c>
      <c r="B263" s="2">
        <v>0</v>
      </c>
      <c r="C263" s="2">
        <v>0</v>
      </c>
      <c r="D263" s="2">
        <v>9.2899999999999991</v>
      </c>
      <c r="E263" s="2">
        <v>2.86</v>
      </c>
      <c r="F263" s="2">
        <v>0.8</v>
      </c>
      <c r="G263" s="2">
        <v>0.21</v>
      </c>
      <c r="H263" s="2">
        <f t="shared" si="16"/>
        <v>1.2633450302382425</v>
      </c>
      <c r="I263" s="2">
        <f t="shared" si="17"/>
        <v>0.60242147320044404</v>
      </c>
      <c r="J263" s="2">
        <f t="shared" si="18"/>
        <v>3.2156785966079284</v>
      </c>
      <c r="K263">
        <f t="shared" si="19"/>
        <v>1.29</v>
      </c>
    </row>
    <row r="264" spans="1:11" ht="13.9" x14ac:dyDescent="0.3">
      <c r="A264" s="2" t="s">
        <v>173</v>
      </c>
      <c r="B264" s="2">
        <v>338.84</v>
      </c>
      <c r="C264" s="2">
        <v>329.59</v>
      </c>
      <c r="D264" s="2">
        <v>346.47</v>
      </c>
      <c r="E264" s="2">
        <v>135.63</v>
      </c>
      <c r="F264" s="2">
        <v>145.61000000000001</v>
      </c>
      <c r="G264" s="2">
        <v>135.41999999999999</v>
      </c>
      <c r="H264" s="2">
        <f t="shared" si="16"/>
        <v>1.2843950721048101</v>
      </c>
      <c r="I264" s="2">
        <f t="shared" si="17"/>
        <v>4.6530517957086457E-6</v>
      </c>
      <c r="J264" s="2">
        <f t="shared" si="18"/>
        <v>9.9871218676277831</v>
      </c>
      <c r="K264">
        <f t="shared" si="19"/>
        <v>138.88666666666666</v>
      </c>
    </row>
    <row r="265" spans="1:11" ht="13.9" x14ac:dyDescent="0.3">
      <c r="A265" s="2" t="s">
        <v>281</v>
      </c>
      <c r="B265" s="2">
        <v>0.66</v>
      </c>
      <c r="C265" s="2">
        <v>0</v>
      </c>
      <c r="D265" s="2">
        <v>0</v>
      </c>
      <c r="E265" s="2">
        <v>0</v>
      </c>
      <c r="F265" s="2">
        <v>0.27</v>
      </c>
      <c r="G265" s="2">
        <v>0</v>
      </c>
      <c r="H265" s="2">
        <f t="shared" si="16"/>
        <v>1.2895066171949847</v>
      </c>
      <c r="I265" s="2">
        <f t="shared" si="17"/>
        <v>0.61351729145965073</v>
      </c>
      <c r="J265" s="2">
        <f t="shared" si="18"/>
        <v>-0.5994620704162712</v>
      </c>
      <c r="K265">
        <f t="shared" si="19"/>
        <v>9.0000000000000011E-2</v>
      </c>
    </row>
    <row r="266" spans="1:11" ht="13.9" x14ac:dyDescent="0.3">
      <c r="A266" s="2" t="s">
        <v>56</v>
      </c>
      <c r="B266" s="2">
        <v>0</v>
      </c>
      <c r="C266" s="2">
        <v>12.2</v>
      </c>
      <c r="D266" s="2">
        <v>0.18</v>
      </c>
      <c r="E266" s="2">
        <v>1.58</v>
      </c>
      <c r="F266" s="2">
        <v>1.74</v>
      </c>
      <c r="G266" s="2">
        <v>1.58</v>
      </c>
      <c r="H266" s="2">
        <f t="shared" si="16"/>
        <v>1.3371576602116939</v>
      </c>
      <c r="I266" s="2">
        <f t="shared" si="17"/>
        <v>0.57028437000971732</v>
      </c>
      <c r="J266" s="2">
        <f t="shared" si="18"/>
        <v>3.6299394094395399</v>
      </c>
      <c r="K266">
        <f t="shared" si="19"/>
        <v>1.6333333333333335</v>
      </c>
    </row>
    <row r="267" spans="1:11" ht="13.9" x14ac:dyDescent="0.3">
      <c r="A267" s="2" t="s">
        <v>20</v>
      </c>
      <c r="B267" s="2">
        <v>56296.75</v>
      </c>
      <c r="C267" s="2">
        <v>61967.95</v>
      </c>
      <c r="D267" s="2">
        <v>62627.25</v>
      </c>
      <c r="E267" s="2">
        <v>20010.759999999998</v>
      </c>
      <c r="F267" s="2">
        <v>27443.15</v>
      </c>
      <c r="G267" s="2">
        <v>23913.77</v>
      </c>
      <c r="H267" s="2">
        <f t="shared" si="16"/>
        <v>1.3417854273561509</v>
      </c>
      <c r="I267" s="2">
        <f t="shared" si="17"/>
        <v>2.4184436232390269E-4</v>
      </c>
      <c r="J267" s="2">
        <f t="shared" si="18"/>
        <v>17.464768681436929</v>
      </c>
      <c r="K267">
        <f t="shared" si="19"/>
        <v>23789.226666666669</v>
      </c>
    </row>
    <row r="268" spans="1:11" ht="13.9" x14ac:dyDescent="0.3">
      <c r="A268" s="2" t="s">
        <v>372</v>
      </c>
      <c r="B268" s="2">
        <v>0</v>
      </c>
      <c r="C268" s="2">
        <v>15.13</v>
      </c>
      <c r="D268" s="2">
        <v>0</v>
      </c>
      <c r="E268" s="2">
        <v>2.57</v>
      </c>
      <c r="F268" s="2">
        <v>1.87</v>
      </c>
      <c r="G268" s="2">
        <v>1.48</v>
      </c>
      <c r="H268" s="2">
        <f t="shared" si="16"/>
        <v>1.3537429065877875</v>
      </c>
      <c r="I268" s="2">
        <f t="shared" si="17"/>
        <v>0.57631128328093895</v>
      </c>
      <c r="J268" s="2">
        <f t="shared" si="18"/>
        <v>3.9193400824420124</v>
      </c>
      <c r="K268">
        <f t="shared" si="19"/>
        <v>1.9733333333333334</v>
      </c>
    </row>
    <row r="269" spans="1:11" ht="13.9" x14ac:dyDescent="0.3">
      <c r="A269" s="2" t="s">
        <v>636</v>
      </c>
      <c r="B269" s="2">
        <v>13.18</v>
      </c>
      <c r="C269" s="2">
        <v>7.07</v>
      </c>
      <c r="D269" s="2">
        <v>0</v>
      </c>
      <c r="E269" s="2">
        <v>2.57</v>
      </c>
      <c r="F269" s="2">
        <v>3.21</v>
      </c>
      <c r="G269" s="2">
        <v>2.11</v>
      </c>
      <c r="H269" s="2">
        <f t="shared" si="16"/>
        <v>1.3598247026458914</v>
      </c>
      <c r="I269" s="2">
        <f t="shared" si="17"/>
        <v>0.34165385211749782</v>
      </c>
      <c r="J269" s="2">
        <f t="shared" si="18"/>
        <v>4.3398500028846252</v>
      </c>
      <c r="K269">
        <f t="shared" si="19"/>
        <v>2.6299999999999994</v>
      </c>
    </row>
    <row r="270" spans="1:11" ht="13.9" x14ac:dyDescent="0.3">
      <c r="A270" s="2" t="s">
        <v>356</v>
      </c>
      <c r="B270" s="2">
        <v>0</v>
      </c>
      <c r="C270" s="2">
        <v>0</v>
      </c>
      <c r="D270" s="2">
        <v>5.28</v>
      </c>
      <c r="E270" s="2">
        <v>0.99</v>
      </c>
      <c r="F270" s="2">
        <v>0.8</v>
      </c>
      <c r="G270" s="2">
        <v>0.21</v>
      </c>
      <c r="H270" s="2">
        <f t="shared" si="16"/>
        <v>1.4005379295837288</v>
      </c>
      <c r="I270" s="2">
        <f t="shared" si="17"/>
        <v>0.5713666979640134</v>
      </c>
      <c r="J270" s="2">
        <f t="shared" si="18"/>
        <v>2.400537929583729</v>
      </c>
      <c r="K270">
        <f t="shared" si="19"/>
        <v>0.66666666666666663</v>
      </c>
    </row>
    <row r="271" spans="1:11" ht="13.9" x14ac:dyDescent="0.3">
      <c r="A271" s="2" t="s">
        <v>471</v>
      </c>
      <c r="B271" s="2">
        <v>55.05</v>
      </c>
      <c r="C271" s="2">
        <v>32.200000000000003</v>
      </c>
      <c r="D271" s="2">
        <v>14.75</v>
      </c>
      <c r="E271" s="2">
        <v>10.07</v>
      </c>
      <c r="F271" s="2">
        <v>16.18</v>
      </c>
      <c r="G271" s="2">
        <v>11.17</v>
      </c>
      <c r="H271" s="2">
        <f t="shared" si="16"/>
        <v>1.4466876885054361</v>
      </c>
      <c r="I271" s="2">
        <f t="shared" si="17"/>
        <v>0.14264894142214396</v>
      </c>
      <c r="J271" s="2">
        <f t="shared" si="18"/>
        <v>6.6724253419714952</v>
      </c>
      <c r="K271">
        <f t="shared" si="19"/>
        <v>12.473333333333334</v>
      </c>
    </row>
    <row r="272" spans="1:11" ht="13.9" x14ac:dyDescent="0.3">
      <c r="A272" s="2" t="s">
        <v>935</v>
      </c>
      <c r="B272" s="2">
        <v>0</v>
      </c>
      <c r="C272" s="2">
        <v>13.66</v>
      </c>
      <c r="D272" s="2">
        <v>10.74</v>
      </c>
      <c r="E272" s="2">
        <v>2.37</v>
      </c>
      <c r="F272" s="2">
        <v>3.61</v>
      </c>
      <c r="G272" s="2">
        <v>2.85</v>
      </c>
      <c r="H272" s="2">
        <f t="shared" si="16"/>
        <v>1.4663958048017824</v>
      </c>
      <c r="I272" s="2">
        <f t="shared" si="17"/>
        <v>0.28109782696036167</v>
      </c>
      <c r="J272" s="2">
        <f t="shared" si="18"/>
        <v>4.6088092426755241</v>
      </c>
      <c r="K272">
        <f t="shared" si="19"/>
        <v>2.9433333333333334</v>
      </c>
    </row>
    <row r="273" spans="1:11" ht="13.9" x14ac:dyDescent="0.3">
      <c r="A273" s="2" t="s">
        <v>142</v>
      </c>
      <c r="B273" s="2">
        <v>32.299999999999997</v>
      </c>
      <c r="C273" s="2">
        <v>0.24</v>
      </c>
      <c r="D273" s="2">
        <v>15.66</v>
      </c>
      <c r="E273" s="2">
        <v>10.96</v>
      </c>
      <c r="F273" s="2">
        <v>0.53</v>
      </c>
      <c r="G273" s="2">
        <v>5.69</v>
      </c>
      <c r="H273" s="2">
        <f t="shared" si="16"/>
        <v>1.4883031099788604</v>
      </c>
      <c r="I273" s="2">
        <f t="shared" si="17"/>
        <v>0.34802006366188409</v>
      </c>
      <c r="J273" s="2">
        <f t="shared" si="18"/>
        <v>5.5909612413425993</v>
      </c>
      <c r="K273">
        <f t="shared" si="19"/>
        <v>5.7266666666666666</v>
      </c>
    </row>
    <row r="274" spans="1:11" ht="13.9" x14ac:dyDescent="0.3">
      <c r="A274" s="2" t="s">
        <v>122</v>
      </c>
      <c r="B274" s="2">
        <v>5.93</v>
      </c>
      <c r="C274" s="2">
        <v>9.27</v>
      </c>
      <c r="D274" s="2">
        <v>1.46</v>
      </c>
      <c r="E274" s="2">
        <v>1.78</v>
      </c>
      <c r="F274" s="2">
        <v>2.54</v>
      </c>
      <c r="G274" s="2">
        <v>1.58</v>
      </c>
      <c r="H274" s="2">
        <f t="shared" si="16"/>
        <v>1.4976015411163437</v>
      </c>
      <c r="I274" s="2">
        <f t="shared" si="17"/>
        <v>0.19099388192462532</v>
      </c>
      <c r="J274" s="2">
        <f t="shared" si="18"/>
        <v>4.0583164955908231</v>
      </c>
      <c r="K274">
        <f t="shared" si="19"/>
        <v>1.9666666666666668</v>
      </c>
    </row>
    <row r="275" spans="1:11" ht="13.9" x14ac:dyDescent="0.3">
      <c r="A275" s="2" t="s">
        <v>417</v>
      </c>
      <c r="B275" s="2">
        <v>68.89</v>
      </c>
      <c r="C275" s="2">
        <v>57.09</v>
      </c>
      <c r="D275" s="2">
        <v>59.35</v>
      </c>
      <c r="E275" s="2">
        <v>24.78</v>
      </c>
      <c r="F275" s="2">
        <v>14.84</v>
      </c>
      <c r="G275" s="2">
        <v>25.4</v>
      </c>
      <c r="H275" s="2">
        <f t="shared" si="16"/>
        <v>1.5111409731008403</v>
      </c>
      <c r="I275" s="2">
        <f t="shared" si="17"/>
        <v>1.289219892799E-3</v>
      </c>
      <c r="J275" s="2">
        <f t="shared" si="18"/>
        <v>7.5339526240164725</v>
      </c>
      <c r="K275">
        <f t="shared" si="19"/>
        <v>21.673333333333336</v>
      </c>
    </row>
    <row r="276" spans="1:11" ht="13.9" x14ac:dyDescent="0.3">
      <c r="A276" s="2" t="s">
        <v>229</v>
      </c>
      <c r="B276" s="2">
        <v>1.32</v>
      </c>
      <c r="C276" s="2">
        <v>0</v>
      </c>
      <c r="D276" s="2">
        <v>2.73</v>
      </c>
      <c r="E276" s="2">
        <v>0.1</v>
      </c>
      <c r="F276" s="2">
        <v>0.27</v>
      </c>
      <c r="G276" s="2">
        <v>1.05</v>
      </c>
      <c r="H276" s="2">
        <f t="shared" si="16"/>
        <v>1.5120309782673049</v>
      </c>
      <c r="I276" s="2">
        <f t="shared" si="17"/>
        <v>0.35594482690175799</v>
      </c>
      <c r="J276" s="2">
        <f t="shared" si="18"/>
        <v>2.0179219079972626</v>
      </c>
      <c r="K276">
        <f t="shared" si="19"/>
        <v>0.47333333333333333</v>
      </c>
    </row>
    <row r="277" spans="1:11" ht="13.9" x14ac:dyDescent="0.3">
      <c r="A277" s="2" t="s">
        <v>184</v>
      </c>
      <c r="B277" s="2">
        <v>1.98</v>
      </c>
      <c r="C277" s="2">
        <v>2.68</v>
      </c>
      <c r="D277" s="2">
        <v>3.28</v>
      </c>
      <c r="E277" s="2">
        <v>0.99</v>
      </c>
      <c r="F277" s="2">
        <v>0.53</v>
      </c>
      <c r="G277" s="2">
        <v>1.26</v>
      </c>
      <c r="H277" s="2">
        <f t="shared" si="16"/>
        <v>1.5140541244194503</v>
      </c>
      <c r="I277" s="2">
        <f t="shared" si="17"/>
        <v>1.6366022311988405E-2</v>
      </c>
      <c r="J277" s="2">
        <f t="shared" si="18"/>
        <v>2.9891390073682333</v>
      </c>
      <c r="K277">
        <f t="shared" si="19"/>
        <v>0.92666666666666675</v>
      </c>
    </row>
    <row r="278" spans="1:11" ht="13.9" x14ac:dyDescent="0.3">
      <c r="A278" s="2" t="s">
        <v>246</v>
      </c>
      <c r="B278" s="2">
        <v>3602.68</v>
      </c>
      <c r="C278" s="2">
        <v>2365.94</v>
      </c>
      <c r="D278" s="2">
        <v>1623.29</v>
      </c>
      <c r="E278" s="2">
        <v>827.83</v>
      </c>
      <c r="F278" s="2">
        <v>1026.2</v>
      </c>
      <c r="G278" s="2">
        <v>723.16</v>
      </c>
      <c r="H278" s="2">
        <f t="shared" si="16"/>
        <v>1.55866398776381</v>
      </c>
      <c r="I278" s="2">
        <f t="shared" si="17"/>
        <v>4.5847189070853625E-2</v>
      </c>
      <c r="J278" s="2">
        <f t="shared" si="18"/>
        <v>12.890247174370517</v>
      </c>
      <c r="K278">
        <f t="shared" si="19"/>
        <v>859.06333333333339</v>
      </c>
    </row>
    <row r="279" spans="1:11" ht="13.9" x14ac:dyDescent="0.3">
      <c r="A279" s="2" t="s">
        <v>207</v>
      </c>
      <c r="B279" s="2">
        <v>16.809999999999999</v>
      </c>
      <c r="C279" s="2">
        <v>43.91</v>
      </c>
      <c r="D279" s="2">
        <v>44.06</v>
      </c>
      <c r="E279" s="2">
        <v>10.27</v>
      </c>
      <c r="F279" s="2">
        <v>11.5</v>
      </c>
      <c r="G279" s="2">
        <v>13.17</v>
      </c>
      <c r="H279" s="2">
        <f t="shared" si="16"/>
        <v>1.5844118537523004</v>
      </c>
      <c r="I279" s="2">
        <f t="shared" si="17"/>
        <v>6.2705018700918838E-2</v>
      </c>
      <c r="J279" s="2">
        <f t="shared" si="18"/>
        <v>6.7112195568943349</v>
      </c>
      <c r="K279">
        <f t="shared" si="19"/>
        <v>11.646666666666667</v>
      </c>
    </row>
    <row r="280" spans="1:11" ht="13.9" x14ac:dyDescent="0.3">
      <c r="A280" s="2" t="s">
        <v>105</v>
      </c>
      <c r="B280" s="2">
        <v>5.93</v>
      </c>
      <c r="C280" s="2">
        <v>0</v>
      </c>
      <c r="D280" s="2">
        <v>5.28</v>
      </c>
      <c r="E280" s="2">
        <v>1.0900000000000001</v>
      </c>
      <c r="F280" s="2">
        <v>0.4</v>
      </c>
      <c r="G280" s="2">
        <v>2.21</v>
      </c>
      <c r="H280" s="2">
        <f t="shared" si="16"/>
        <v>1.5991891022891145</v>
      </c>
      <c r="I280" s="2">
        <f t="shared" si="17"/>
        <v>0.26862654179777762</v>
      </c>
      <c r="J280" s="2">
        <f t="shared" si="18"/>
        <v>3.4867143730307024</v>
      </c>
      <c r="K280">
        <f t="shared" si="19"/>
        <v>1.2333333333333334</v>
      </c>
    </row>
    <row r="281" spans="1:11" ht="13.9" x14ac:dyDescent="0.3">
      <c r="A281" s="2" t="s">
        <v>293</v>
      </c>
      <c r="B281" s="2">
        <v>130.86000000000001</v>
      </c>
      <c r="C281" s="2">
        <v>81.239999999999995</v>
      </c>
      <c r="D281" s="2">
        <v>128.16999999999999</v>
      </c>
      <c r="E281" s="2">
        <v>45.61</v>
      </c>
      <c r="F281" s="2">
        <v>40.78</v>
      </c>
      <c r="G281" s="2">
        <v>24.77</v>
      </c>
      <c r="H281" s="2">
        <f t="shared" si="16"/>
        <v>1.6140422216456241</v>
      </c>
      <c r="I281" s="2">
        <f t="shared" si="17"/>
        <v>1.1555208692679599E-2</v>
      </c>
      <c r="J281" s="2">
        <f t="shared" si="18"/>
        <v>8.4105361510714616</v>
      </c>
      <c r="K281">
        <f t="shared" si="19"/>
        <v>37.053333333333335</v>
      </c>
    </row>
    <row r="282" spans="1:11" ht="13.9" x14ac:dyDescent="0.3">
      <c r="A282" s="2" t="s">
        <v>776</v>
      </c>
      <c r="B282" s="2">
        <v>28.68</v>
      </c>
      <c r="C282" s="2">
        <v>29.03</v>
      </c>
      <c r="D282" s="2">
        <v>0</v>
      </c>
      <c r="E282" s="2">
        <v>4.84</v>
      </c>
      <c r="F282" s="2">
        <v>8.69</v>
      </c>
      <c r="G282" s="2">
        <v>5.16</v>
      </c>
      <c r="H282" s="2">
        <f t="shared" si="16"/>
        <v>1.6265547619260632</v>
      </c>
      <c r="I282" s="2">
        <f t="shared" si="17"/>
        <v>0.25093959073553379</v>
      </c>
      <c r="J282" s="2">
        <f t="shared" si="18"/>
        <v>5.8507494258964963</v>
      </c>
      <c r="K282">
        <f t="shared" si="19"/>
        <v>6.2299999999999995</v>
      </c>
    </row>
    <row r="283" spans="1:11" ht="13.9" x14ac:dyDescent="0.3">
      <c r="A283" s="2" t="s">
        <v>440</v>
      </c>
      <c r="B283" s="2">
        <v>4.9400000000000004</v>
      </c>
      <c r="C283" s="2">
        <v>0</v>
      </c>
      <c r="D283" s="2">
        <v>0</v>
      </c>
      <c r="E283" s="2">
        <v>0.79</v>
      </c>
      <c r="F283" s="2">
        <v>0.8</v>
      </c>
      <c r="G283" s="2">
        <v>0</v>
      </c>
      <c r="H283" s="2">
        <f t="shared" si="16"/>
        <v>1.6354842763003226</v>
      </c>
      <c r="I283" s="2">
        <f t="shared" si="17"/>
        <v>0.53982582601365825</v>
      </c>
      <c r="J283" s="2">
        <f t="shared" si="18"/>
        <v>2.304511041809953</v>
      </c>
      <c r="K283">
        <f t="shared" si="19"/>
        <v>0.53</v>
      </c>
    </row>
    <row r="284" spans="1:11" ht="13.9" x14ac:dyDescent="0.3">
      <c r="A284" s="2" t="s">
        <v>408</v>
      </c>
      <c r="B284" s="2">
        <v>0</v>
      </c>
      <c r="C284" s="2">
        <v>0</v>
      </c>
      <c r="D284" s="2">
        <v>4.01</v>
      </c>
      <c r="E284" s="2">
        <v>0</v>
      </c>
      <c r="F284" s="2">
        <v>0.53</v>
      </c>
      <c r="G284" s="2">
        <v>0.74</v>
      </c>
      <c r="H284" s="2">
        <f t="shared" si="16"/>
        <v>1.6587737396827544</v>
      </c>
      <c r="I284" s="2">
        <f t="shared" si="17"/>
        <v>0.53713670503885491</v>
      </c>
      <c r="J284" s="2">
        <f t="shared" si="18"/>
        <v>2.0036022366801958</v>
      </c>
      <c r="K284">
        <f t="shared" si="19"/>
        <v>0.42333333333333334</v>
      </c>
    </row>
    <row r="285" spans="1:11" ht="13.9" x14ac:dyDescent="0.3">
      <c r="A285" s="2" t="s">
        <v>156</v>
      </c>
      <c r="B285" s="2">
        <v>3702.55</v>
      </c>
      <c r="C285" s="2">
        <v>4780.18</v>
      </c>
      <c r="D285" s="2">
        <v>2205.9</v>
      </c>
      <c r="E285" s="2">
        <v>935.62</v>
      </c>
      <c r="F285" s="2">
        <v>1416.22</v>
      </c>
      <c r="G285" s="2">
        <v>993.79</v>
      </c>
      <c r="H285" s="2">
        <f t="shared" si="16"/>
        <v>1.6757271407727921</v>
      </c>
      <c r="I285" s="2">
        <f t="shared" si="17"/>
        <v>3.2471500234047233E-2</v>
      </c>
      <c r="J285" s="2">
        <f t="shared" si="18"/>
        <v>13.383789329065509</v>
      </c>
      <c r="K285">
        <f t="shared" si="19"/>
        <v>1115.21</v>
      </c>
    </row>
    <row r="286" spans="1:11" ht="13.9" x14ac:dyDescent="0.3">
      <c r="A286" s="2" t="s">
        <v>516</v>
      </c>
      <c r="B286" s="2">
        <v>0.33</v>
      </c>
      <c r="C286" s="2">
        <v>4.1500000000000004</v>
      </c>
      <c r="D286" s="2">
        <v>8.01</v>
      </c>
      <c r="E286" s="2">
        <v>1.78</v>
      </c>
      <c r="F286" s="2">
        <v>0.53</v>
      </c>
      <c r="G286" s="2">
        <v>1.48</v>
      </c>
      <c r="H286" s="2">
        <f t="shared" si="16"/>
        <v>1.7205037234368656</v>
      </c>
      <c r="I286" s="2">
        <f t="shared" si="17"/>
        <v>0.26671364012844462</v>
      </c>
      <c r="J286" s="2">
        <f t="shared" si="18"/>
        <v>3.6427015718332325</v>
      </c>
      <c r="K286">
        <f t="shared" si="19"/>
        <v>1.2633333333333334</v>
      </c>
    </row>
    <row r="287" spans="1:11" ht="13.9" x14ac:dyDescent="0.3">
      <c r="A287" s="2" t="s">
        <v>93</v>
      </c>
      <c r="B287" s="2">
        <v>0.33</v>
      </c>
      <c r="C287" s="2">
        <v>0</v>
      </c>
      <c r="D287" s="2">
        <v>12.02</v>
      </c>
      <c r="E287" s="2">
        <v>1.58</v>
      </c>
      <c r="F287" s="2">
        <v>1.07</v>
      </c>
      <c r="G287" s="2">
        <v>1.05</v>
      </c>
      <c r="H287" s="2">
        <f t="shared" si="16"/>
        <v>1.7389138659557279</v>
      </c>
      <c r="I287" s="2">
        <f t="shared" si="17"/>
        <v>0.5065366212550495</v>
      </c>
      <c r="J287" s="2">
        <f t="shared" si="18"/>
        <v>3.6264391366973152</v>
      </c>
      <c r="K287">
        <f t="shared" si="19"/>
        <v>1.2333333333333334</v>
      </c>
    </row>
    <row r="288" spans="1:11" ht="13.9" x14ac:dyDescent="0.3">
      <c r="A288" s="2" t="s">
        <v>170</v>
      </c>
      <c r="B288" s="2">
        <v>30.65</v>
      </c>
      <c r="C288" s="2">
        <v>36.11</v>
      </c>
      <c r="D288" s="2">
        <v>37.869999999999997</v>
      </c>
      <c r="E288" s="2">
        <v>9.67</v>
      </c>
      <c r="F288" s="2">
        <v>11.1</v>
      </c>
      <c r="G288" s="2">
        <v>10.33</v>
      </c>
      <c r="H288" s="2">
        <f t="shared" si="16"/>
        <v>1.7503100816592652</v>
      </c>
      <c r="I288" s="2">
        <f t="shared" si="17"/>
        <v>3.7762616353524317E-4</v>
      </c>
      <c r="J288" s="2">
        <f t="shared" si="18"/>
        <v>6.7091527569025056</v>
      </c>
      <c r="K288">
        <f t="shared" si="19"/>
        <v>10.366666666666667</v>
      </c>
    </row>
    <row r="289" spans="1:11" ht="13.9" x14ac:dyDescent="0.3">
      <c r="A289" s="2" t="s">
        <v>398</v>
      </c>
      <c r="B289" s="2">
        <v>0.33</v>
      </c>
      <c r="C289" s="2">
        <v>0</v>
      </c>
      <c r="D289" s="2">
        <v>8.19</v>
      </c>
      <c r="E289" s="2">
        <v>0</v>
      </c>
      <c r="F289" s="2">
        <v>0.53</v>
      </c>
      <c r="G289" s="2">
        <v>2</v>
      </c>
      <c r="H289" s="2">
        <f t="shared" si="16"/>
        <v>1.7517160455315282</v>
      </c>
      <c r="I289" s="2">
        <f t="shared" si="17"/>
        <v>0.50694988264520413</v>
      </c>
      <c r="J289" s="2">
        <f t="shared" si="18"/>
        <v>3.0908534304511139</v>
      </c>
      <c r="K289">
        <f t="shared" si="19"/>
        <v>0.84333333333333338</v>
      </c>
    </row>
    <row r="290" spans="1:11" ht="13.9" x14ac:dyDescent="0.3">
      <c r="A290" s="2" t="s">
        <v>400</v>
      </c>
      <c r="B290" s="2">
        <v>0.33</v>
      </c>
      <c r="C290" s="2">
        <v>0</v>
      </c>
      <c r="D290" s="2">
        <v>8.19</v>
      </c>
      <c r="E290" s="2">
        <v>0</v>
      </c>
      <c r="F290" s="2">
        <v>0.53</v>
      </c>
      <c r="G290" s="2">
        <v>2</v>
      </c>
      <c r="H290" s="2">
        <f t="shared" si="16"/>
        <v>1.7517160455315282</v>
      </c>
      <c r="I290" s="2">
        <f t="shared" si="17"/>
        <v>0.50694988264520413</v>
      </c>
      <c r="J290" s="2">
        <f t="shared" si="18"/>
        <v>3.0908534304511139</v>
      </c>
      <c r="K290">
        <f t="shared" si="19"/>
        <v>0.84333333333333338</v>
      </c>
    </row>
    <row r="291" spans="1:11" ht="13.9" x14ac:dyDescent="0.3">
      <c r="A291" s="2" t="s">
        <v>116</v>
      </c>
      <c r="B291" s="2">
        <v>2.97</v>
      </c>
      <c r="C291" s="2">
        <v>0</v>
      </c>
      <c r="D291" s="2">
        <v>0</v>
      </c>
      <c r="E291" s="2">
        <v>0.49</v>
      </c>
      <c r="F291" s="2">
        <v>0.27</v>
      </c>
      <c r="G291" s="2">
        <v>0.11</v>
      </c>
      <c r="H291" s="2">
        <f t="shared" si="16"/>
        <v>1.7713756249520378</v>
      </c>
      <c r="I291" s="2">
        <f t="shared" si="17"/>
        <v>0.52096564153707081</v>
      </c>
      <c r="J291" s="2">
        <f t="shared" si="18"/>
        <v>1.5704629310260412</v>
      </c>
      <c r="K291">
        <f t="shared" si="19"/>
        <v>0.28999999999999998</v>
      </c>
    </row>
    <row r="292" spans="1:11" ht="13.9" x14ac:dyDescent="0.3">
      <c r="A292" s="2" t="s">
        <v>261</v>
      </c>
      <c r="B292" s="2">
        <v>3.96</v>
      </c>
      <c r="C292" s="2">
        <v>0</v>
      </c>
      <c r="D292" s="2">
        <v>10.56</v>
      </c>
      <c r="E292" s="2">
        <v>0.99</v>
      </c>
      <c r="F292" s="2">
        <v>2.81</v>
      </c>
      <c r="G292" s="2">
        <v>0.32</v>
      </c>
      <c r="H292" s="2">
        <f t="shared" si="16"/>
        <v>1.8173252108125324</v>
      </c>
      <c r="I292" s="2">
        <f t="shared" si="17"/>
        <v>0.33538377562800248</v>
      </c>
      <c r="J292" s="2">
        <f t="shared" si="18"/>
        <v>3.8599695482210259</v>
      </c>
      <c r="K292">
        <f t="shared" si="19"/>
        <v>1.3733333333333333</v>
      </c>
    </row>
    <row r="293" spans="1:11" ht="13.9" x14ac:dyDescent="0.3">
      <c r="A293" s="2" t="s">
        <v>221</v>
      </c>
      <c r="B293" s="2">
        <v>26.7</v>
      </c>
      <c r="C293" s="2">
        <v>64.650000000000006</v>
      </c>
      <c r="D293" s="2">
        <v>23.67</v>
      </c>
      <c r="E293" s="2">
        <v>9.3800000000000008</v>
      </c>
      <c r="F293" s="2">
        <v>10.7</v>
      </c>
      <c r="G293" s="2">
        <v>11.49</v>
      </c>
      <c r="H293" s="2">
        <f t="shared" si="16"/>
        <v>1.8652585770763219</v>
      </c>
      <c r="I293" s="2">
        <f t="shared" si="17"/>
        <v>0.10277079268938721</v>
      </c>
      <c r="J293" s="2">
        <f t="shared" si="18"/>
        <v>6.8457409326145822</v>
      </c>
      <c r="K293">
        <f t="shared" si="19"/>
        <v>10.523333333333333</v>
      </c>
    </row>
    <row r="294" spans="1:11" ht="13.9" x14ac:dyDescent="0.3">
      <c r="A294" s="2" t="s">
        <v>133</v>
      </c>
      <c r="B294" s="2">
        <v>9.56</v>
      </c>
      <c r="C294" s="2">
        <v>18.54</v>
      </c>
      <c r="D294" s="2">
        <v>32.770000000000003</v>
      </c>
      <c r="E294" s="2">
        <v>4.9400000000000004</v>
      </c>
      <c r="F294" s="2">
        <v>7.22</v>
      </c>
      <c r="G294" s="2">
        <v>4</v>
      </c>
      <c r="H294" s="2">
        <f t="shared" si="16"/>
        <v>1.9133041677260203</v>
      </c>
      <c r="I294" s="2">
        <f t="shared" si="17"/>
        <v>9.4337614919119947E-2</v>
      </c>
      <c r="J294" s="2">
        <f t="shared" si="18"/>
        <v>5.9276594607030901</v>
      </c>
      <c r="K294">
        <f t="shared" si="19"/>
        <v>5.3866666666666667</v>
      </c>
    </row>
    <row r="295" spans="1:11" ht="13.9" x14ac:dyDescent="0.3">
      <c r="A295" s="2" t="s">
        <v>234</v>
      </c>
      <c r="B295" s="2">
        <v>19.45</v>
      </c>
      <c r="C295" s="2">
        <v>76.36</v>
      </c>
      <c r="D295" s="2">
        <v>34.770000000000003</v>
      </c>
      <c r="E295" s="2">
        <v>15.2</v>
      </c>
      <c r="F295" s="2">
        <v>6.42</v>
      </c>
      <c r="G295" s="2">
        <v>11.91</v>
      </c>
      <c r="H295" s="2">
        <f t="shared" si="16"/>
        <v>1.9614095583308413</v>
      </c>
      <c r="I295" s="2">
        <f t="shared" si="17"/>
        <v>0.13305023106314517</v>
      </c>
      <c r="J295" s="2">
        <f t="shared" si="18"/>
        <v>7.028790136349901</v>
      </c>
      <c r="K295">
        <f t="shared" si="19"/>
        <v>11.176666666666668</v>
      </c>
    </row>
    <row r="296" spans="1:11" ht="13.9" x14ac:dyDescent="0.3">
      <c r="A296" s="2" t="s">
        <v>921</v>
      </c>
      <c r="B296" s="2">
        <v>3.96</v>
      </c>
      <c r="C296" s="2">
        <v>0</v>
      </c>
      <c r="D296" s="2">
        <v>7.28</v>
      </c>
      <c r="E296" s="2">
        <v>1.18</v>
      </c>
      <c r="F296" s="2">
        <v>0.94</v>
      </c>
      <c r="G296" s="2">
        <v>0.63</v>
      </c>
      <c r="H296" s="2">
        <f t="shared" si="16"/>
        <v>2.031138511808904</v>
      </c>
      <c r="I296" s="2">
        <f t="shared" si="17"/>
        <v>0.25098800208308375</v>
      </c>
      <c r="J296" s="2">
        <f t="shared" si="18"/>
        <v>3.4905701304462013</v>
      </c>
      <c r="K296">
        <f t="shared" si="19"/>
        <v>0.91666666666666663</v>
      </c>
    </row>
    <row r="297" spans="1:11" ht="13.9" x14ac:dyDescent="0.3">
      <c r="A297" s="2" t="s">
        <v>217</v>
      </c>
      <c r="B297" s="2">
        <v>109.1</v>
      </c>
      <c r="C297" s="2">
        <v>96.61</v>
      </c>
      <c r="D297" s="2">
        <v>89.21</v>
      </c>
      <c r="E297" s="2">
        <v>19.64</v>
      </c>
      <c r="F297" s="2">
        <v>22.86</v>
      </c>
      <c r="G297" s="2">
        <v>28.14</v>
      </c>
      <c r="H297" s="2">
        <f t="shared" si="16"/>
        <v>2.0617664139833458</v>
      </c>
      <c r="I297" s="2">
        <f t="shared" si="17"/>
        <v>2.9070615458903385E-4</v>
      </c>
      <c r="J297" s="2">
        <f t="shared" si="18"/>
        <v>8.2041798518570879</v>
      </c>
      <c r="K297">
        <f t="shared" si="19"/>
        <v>23.546666666666667</v>
      </c>
    </row>
    <row r="298" spans="1:11" ht="13.9" x14ac:dyDescent="0.3">
      <c r="A298" s="2" t="s">
        <v>70</v>
      </c>
      <c r="B298" s="2">
        <v>0.33</v>
      </c>
      <c r="C298" s="2">
        <v>11.22</v>
      </c>
      <c r="D298" s="2">
        <v>8.56</v>
      </c>
      <c r="E298" s="2">
        <v>0</v>
      </c>
      <c r="F298" s="2">
        <v>2.81</v>
      </c>
      <c r="G298" s="2">
        <v>2</v>
      </c>
      <c r="H298" s="2">
        <f t="shared" si="16"/>
        <v>2.06380428253531</v>
      </c>
      <c r="I298" s="2">
        <f t="shared" si="17"/>
        <v>0.20610990674349255</v>
      </c>
      <c r="J298" s="2">
        <f t="shared" si="18"/>
        <v>4.3298411765306275</v>
      </c>
      <c r="K298">
        <f t="shared" si="19"/>
        <v>1.6033333333333335</v>
      </c>
    </row>
    <row r="299" spans="1:11" ht="13.9" x14ac:dyDescent="0.3">
      <c r="A299" s="2" t="s">
        <v>603</v>
      </c>
      <c r="B299" s="2">
        <v>94.6</v>
      </c>
      <c r="C299" s="2">
        <v>174.68</v>
      </c>
      <c r="D299" s="2">
        <v>54.26</v>
      </c>
      <c r="E299" s="2">
        <v>15.79</v>
      </c>
      <c r="F299" s="2">
        <v>36.64</v>
      </c>
      <c r="G299" s="2">
        <v>24.24</v>
      </c>
      <c r="H299" s="2">
        <f t="shared" si="16"/>
        <v>2.0772100020195148</v>
      </c>
      <c r="I299" s="2">
        <f t="shared" si="17"/>
        <v>8.3665021614219098E-2</v>
      </c>
      <c r="J299" s="2">
        <f t="shared" si="18"/>
        <v>8.3378002767505102</v>
      </c>
      <c r="K299">
        <f t="shared" si="19"/>
        <v>25.556666666666668</v>
      </c>
    </row>
    <row r="300" spans="1:11" ht="13.9" x14ac:dyDescent="0.3">
      <c r="A300" s="2" t="s">
        <v>779</v>
      </c>
      <c r="B300" s="2">
        <v>3.3</v>
      </c>
      <c r="C300" s="2">
        <v>5.37</v>
      </c>
      <c r="D300" s="2">
        <v>20.21</v>
      </c>
      <c r="E300" s="2">
        <v>2.57</v>
      </c>
      <c r="F300" s="2">
        <v>1.07</v>
      </c>
      <c r="G300" s="2">
        <v>3.06</v>
      </c>
      <c r="H300" s="2">
        <f t="shared" si="16"/>
        <v>2.1078377415420366</v>
      </c>
      <c r="I300" s="2">
        <f t="shared" si="17"/>
        <v>0.23979973578290725</v>
      </c>
      <c r="J300" s="2">
        <f t="shared" si="18"/>
        <v>4.8519988371124461</v>
      </c>
      <c r="K300">
        <f t="shared" si="19"/>
        <v>2.2333333333333329</v>
      </c>
    </row>
    <row r="301" spans="1:11" ht="13.9" x14ac:dyDescent="0.3">
      <c r="A301" s="2" t="s">
        <v>210</v>
      </c>
      <c r="B301" s="2">
        <v>125.58</v>
      </c>
      <c r="C301" s="2">
        <v>257.62</v>
      </c>
      <c r="D301" s="2">
        <v>109.42</v>
      </c>
      <c r="E301" s="2">
        <v>29.42</v>
      </c>
      <c r="F301" s="2">
        <v>49.34</v>
      </c>
      <c r="G301" s="2">
        <v>32.880000000000003</v>
      </c>
      <c r="H301" s="2">
        <f t="shared" si="16"/>
        <v>2.1416211718384988</v>
      </c>
      <c r="I301" s="2">
        <f t="shared" si="17"/>
        <v>5.507939986859206E-2</v>
      </c>
      <c r="J301" s="2">
        <f t="shared" si="18"/>
        <v>8.9443313911298414</v>
      </c>
      <c r="K301">
        <f t="shared" si="19"/>
        <v>37.213333333333338</v>
      </c>
    </row>
    <row r="302" spans="1:11" ht="13.9" x14ac:dyDescent="0.3">
      <c r="A302" s="2" t="s">
        <v>123</v>
      </c>
      <c r="B302" s="2">
        <v>0</v>
      </c>
      <c r="C302" s="2">
        <v>5.61</v>
      </c>
      <c r="D302" s="2">
        <v>3.64</v>
      </c>
      <c r="E302" s="2">
        <v>0.39</v>
      </c>
      <c r="F302" s="2">
        <v>1.07</v>
      </c>
      <c r="G302" s="2">
        <v>0.63</v>
      </c>
      <c r="H302" s="2">
        <f t="shared" si="16"/>
        <v>2.145950423322792</v>
      </c>
      <c r="I302" s="2">
        <f t="shared" si="17"/>
        <v>0.22278789422708453</v>
      </c>
      <c r="J302" s="2">
        <f t="shared" si="18"/>
        <v>3.2094533656289501</v>
      </c>
      <c r="K302">
        <f t="shared" si="19"/>
        <v>0.69666666666666666</v>
      </c>
    </row>
    <row r="303" spans="1:11" ht="13.9" x14ac:dyDescent="0.3">
      <c r="A303" s="2" t="s">
        <v>78</v>
      </c>
      <c r="B303" s="2">
        <v>0.66</v>
      </c>
      <c r="C303" s="2">
        <v>17.57</v>
      </c>
      <c r="D303" s="2">
        <v>1.64</v>
      </c>
      <c r="E303" s="2">
        <v>1.48</v>
      </c>
      <c r="F303" s="2">
        <v>0.4</v>
      </c>
      <c r="G303" s="2">
        <v>2.5299999999999998</v>
      </c>
      <c r="H303" s="2">
        <f t="shared" si="16"/>
        <v>2.1717413116921498</v>
      </c>
      <c r="I303" s="2">
        <f t="shared" si="17"/>
        <v>0.40298823153169094</v>
      </c>
      <c r="J303" s="2">
        <f t="shared" si="18"/>
        <v>4.3125199674749455</v>
      </c>
      <c r="K303">
        <f t="shared" si="19"/>
        <v>1.47</v>
      </c>
    </row>
    <row r="304" spans="1:11" ht="13.9" x14ac:dyDescent="0.3">
      <c r="A304" s="2" t="s">
        <v>121</v>
      </c>
      <c r="B304" s="2">
        <v>4.28</v>
      </c>
      <c r="C304" s="2">
        <v>0</v>
      </c>
      <c r="D304" s="2">
        <v>0</v>
      </c>
      <c r="E304" s="2">
        <v>0</v>
      </c>
      <c r="F304" s="2">
        <v>0.4</v>
      </c>
      <c r="G304" s="2">
        <v>0.53</v>
      </c>
      <c r="H304" s="2">
        <f t="shared" si="16"/>
        <v>2.202308175293116</v>
      </c>
      <c r="I304" s="2">
        <f t="shared" si="17"/>
        <v>0.48009118448291138</v>
      </c>
      <c r="J304" s="2">
        <f t="shared" si="18"/>
        <v>2.0976107966264221</v>
      </c>
      <c r="K304">
        <f t="shared" si="19"/>
        <v>0.31</v>
      </c>
    </row>
    <row r="305" spans="1:11" ht="13.9" x14ac:dyDescent="0.3">
      <c r="A305" s="2" t="s">
        <v>405</v>
      </c>
      <c r="B305" s="2">
        <v>4.6100000000000003</v>
      </c>
      <c r="C305" s="2">
        <v>0</v>
      </c>
      <c r="D305" s="2">
        <v>3.28</v>
      </c>
      <c r="E305" s="2">
        <v>0.3</v>
      </c>
      <c r="F305" s="2">
        <v>1.07</v>
      </c>
      <c r="G305" s="2">
        <v>0.32</v>
      </c>
      <c r="H305" s="2">
        <f t="shared" si="16"/>
        <v>2.2230020537312742</v>
      </c>
      <c r="I305" s="2">
        <f t="shared" si="17"/>
        <v>0.21210609520514659</v>
      </c>
      <c r="J305" s="2">
        <f t="shared" si="18"/>
        <v>2.9800253002387338</v>
      </c>
      <c r="K305">
        <f t="shared" si="19"/>
        <v>0.56333333333333335</v>
      </c>
    </row>
    <row r="306" spans="1:11" ht="13.9" x14ac:dyDescent="0.3">
      <c r="A306" s="2" t="s">
        <v>472</v>
      </c>
      <c r="B306" s="2">
        <v>4.6100000000000003</v>
      </c>
      <c r="C306" s="2">
        <v>22.44</v>
      </c>
      <c r="D306" s="2">
        <v>3.82</v>
      </c>
      <c r="E306" s="2">
        <v>0.69</v>
      </c>
      <c r="F306" s="2">
        <v>2.67</v>
      </c>
      <c r="G306" s="2">
        <v>3.16</v>
      </c>
      <c r="H306" s="2">
        <f t="shared" si="16"/>
        <v>2.2432616133840471</v>
      </c>
      <c r="I306" s="2">
        <f t="shared" si="17"/>
        <v>0.25580575574608266</v>
      </c>
      <c r="J306" s="2">
        <f t="shared" si="18"/>
        <v>4.9481335778404008</v>
      </c>
      <c r="K306">
        <f t="shared" si="19"/>
        <v>2.1733333333333333</v>
      </c>
    </row>
    <row r="307" spans="1:11" ht="13.9" x14ac:dyDescent="0.3">
      <c r="A307" s="2" t="s">
        <v>447</v>
      </c>
      <c r="B307" s="2">
        <v>0</v>
      </c>
      <c r="C307" s="2">
        <v>0.49</v>
      </c>
      <c r="D307" s="2">
        <v>4.01</v>
      </c>
      <c r="E307" s="2">
        <v>0.49</v>
      </c>
      <c r="F307" s="2">
        <v>0.13</v>
      </c>
      <c r="G307" s="2">
        <v>0.32</v>
      </c>
      <c r="H307" s="2">
        <f t="shared" si="16"/>
        <v>2.2591923395393998</v>
      </c>
      <c r="I307" s="2">
        <f t="shared" si="17"/>
        <v>0.4020658211174386</v>
      </c>
      <c r="J307" s="2">
        <f t="shared" si="18"/>
        <v>2.1699250014423126</v>
      </c>
      <c r="K307">
        <f t="shared" si="19"/>
        <v>0.3133333333333333</v>
      </c>
    </row>
    <row r="308" spans="1:11" ht="13.9" x14ac:dyDescent="0.3">
      <c r="A308" s="2" t="s">
        <v>380</v>
      </c>
      <c r="B308" s="2">
        <v>336.87</v>
      </c>
      <c r="C308" s="2">
        <v>789.95</v>
      </c>
      <c r="D308" s="2">
        <v>227.95</v>
      </c>
      <c r="E308" s="2">
        <v>62.68</v>
      </c>
      <c r="F308" s="2">
        <v>139.59</v>
      </c>
      <c r="G308" s="2">
        <v>73.14</v>
      </c>
      <c r="H308" s="2">
        <f t="shared" si="16"/>
        <v>2.2983950962127544</v>
      </c>
      <c r="I308" s="2">
        <f t="shared" si="17"/>
        <v>0.10714941627010582</v>
      </c>
      <c r="J308" s="2">
        <f t="shared" si="18"/>
        <v>10.403832229950146</v>
      </c>
      <c r="K308">
        <f t="shared" si="19"/>
        <v>91.803333333333342</v>
      </c>
    </row>
    <row r="309" spans="1:11" ht="13.9" x14ac:dyDescent="0.3">
      <c r="A309" s="2" t="s">
        <v>668</v>
      </c>
      <c r="B309" s="2">
        <v>0</v>
      </c>
      <c r="C309" s="2">
        <v>0</v>
      </c>
      <c r="D309" s="2">
        <v>10.92</v>
      </c>
      <c r="E309" s="2">
        <v>0.3</v>
      </c>
      <c r="F309" s="2">
        <v>0</v>
      </c>
      <c r="G309" s="2">
        <v>1.9</v>
      </c>
      <c r="H309" s="2">
        <f t="shared" si="16"/>
        <v>2.3113974273951929</v>
      </c>
      <c r="I309" s="2">
        <f t="shared" si="17"/>
        <v>0.47463515318742544</v>
      </c>
      <c r="J309" s="2">
        <f t="shared" si="18"/>
        <v>3.4489009511451281</v>
      </c>
      <c r="K309">
        <f t="shared" si="19"/>
        <v>0.73333333333333328</v>
      </c>
    </row>
    <row r="310" spans="1:11" ht="13.9" x14ac:dyDescent="0.3">
      <c r="A310" s="2" t="s">
        <v>77</v>
      </c>
      <c r="B310" s="2">
        <v>0.66</v>
      </c>
      <c r="C310" s="2">
        <v>17.57</v>
      </c>
      <c r="D310" s="2">
        <v>0.91</v>
      </c>
      <c r="E310" s="2">
        <v>0.79</v>
      </c>
      <c r="F310" s="2">
        <v>0.4</v>
      </c>
      <c r="G310" s="2">
        <v>2.5299999999999998</v>
      </c>
      <c r="H310" s="2">
        <f t="shared" si="16"/>
        <v>2.3632163033779943</v>
      </c>
      <c r="I310" s="2">
        <f t="shared" si="17"/>
        <v>0.41318575471144003</v>
      </c>
      <c r="J310" s="2">
        <f t="shared" si="18"/>
        <v>4.2585189247113009</v>
      </c>
      <c r="K310">
        <f t="shared" si="19"/>
        <v>1.24</v>
      </c>
    </row>
    <row r="311" spans="1:11" ht="13.9" x14ac:dyDescent="0.3">
      <c r="A311" s="2" t="s">
        <v>512</v>
      </c>
      <c r="B311" s="2">
        <v>0.33</v>
      </c>
      <c r="C311" s="2">
        <v>0.24</v>
      </c>
      <c r="D311" s="2">
        <v>0</v>
      </c>
      <c r="E311" s="2">
        <v>0</v>
      </c>
      <c r="F311" s="2">
        <v>0</v>
      </c>
      <c r="G311" s="2">
        <v>0.11</v>
      </c>
      <c r="H311" s="2">
        <f t="shared" si="16"/>
        <v>2.3734583955274449</v>
      </c>
      <c r="I311" s="2">
        <f t="shared" si="17"/>
        <v>0.21831936970950383</v>
      </c>
      <c r="J311" s="2">
        <f t="shared" si="18"/>
        <v>-0.81096617560998285</v>
      </c>
      <c r="K311">
        <f t="shared" si="19"/>
        <v>3.6666666666666667E-2</v>
      </c>
    </row>
    <row r="312" spans="1:11" ht="13.9" x14ac:dyDescent="0.3">
      <c r="A312" s="2" t="s">
        <v>693</v>
      </c>
      <c r="B312" s="2">
        <v>0</v>
      </c>
      <c r="C312" s="2">
        <v>0</v>
      </c>
      <c r="D312" s="2">
        <v>10.92</v>
      </c>
      <c r="E312" s="2">
        <v>0.2</v>
      </c>
      <c r="F312" s="2">
        <v>0</v>
      </c>
      <c r="G312" s="2">
        <v>1.9</v>
      </c>
      <c r="H312" s="2">
        <f t="shared" si="16"/>
        <v>2.37851162325373</v>
      </c>
      <c r="I312" s="2">
        <f t="shared" si="17"/>
        <v>0.47016435695789405</v>
      </c>
      <c r="J312" s="2">
        <f t="shared" si="18"/>
        <v>3.4489009511451281</v>
      </c>
      <c r="K312">
        <f t="shared" si="19"/>
        <v>0.70000000000000007</v>
      </c>
    </row>
    <row r="313" spans="1:11" ht="13.9" x14ac:dyDescent="0.3">
      <c r="A313" s="2" t="s">
        <v>25</v>
      </c>
      <c r="B313" s="2">
        <v>1063.6600000000001</v>
      </c>
      <c r="C313" s="2">
        <v>1122.47</v>
      </c>
      <c r="D313" s="2">
        <v>1140.0899999999999</v>
      </c>
      <c r="E313" s="2">
        <v>168.11</v>
      </c>
      <c r="F313" s="2">
        <v>229.57</v>
      </c>
      <c r="G313" s="2">
        <v>238.91</v>
      </c>
      <c r="H313" s="2">
        <f t="shared" si="16"/>
        <v>2.3854471938792456</v>
      </c>
      <c r="I313" s="2">
        <f t="shared" si="17"/>
        <v>9.7140973384187623E-6</v>
      </c>
      <c r="J313" s="2">
        <f t="shared" si="18"/>
        <v>11.699667877945236</v>
      </c>
      <c r="K313">
        <f t="shared" si="19"/>
        <v>212.19666666666669</v>
      </c>
    </row>
    <row r="314" spans="1:11" ht="13.9" x14ac:dyDescent="0.3">
      <c r="A314" s="2" t="s">
        <v>22</v>
      </c>
      <c r="B314" s="2">
        <v>1153.6500000000001</v>
      </c>
      <c r="C314" s="2">
        <v>1333.49</v>
      </c>
      <c r="D314" s="2">
        <v>1762.94</v>
      </c>
      <c r="E314" s="2">
        <v>245.21</v>
      </c>
      <c r="F314" s="2">
        <v>288.81</v>
      </c>
      <c r="G314" s="2">
        <v>278.54000000000002</v>
      </c>
      <c r="H314" s="2">
        <f t="shared" si="16"/>
        <v>2.3869437459197487</v>
      </c>
      <c r="I314" s="2">
        <f t="shared" si="17"/>
        <v>3.2011451898046757E-3</v>
      </c>
      <c r="J314" s="2">
        <f t="shared" si="18"/>
        <v>12.053274282269374</v>
      </c>
      <c r="K314">
        <f t="shared" si="19"/>
        <v>270.8533333333333</v>
      </c>
    </row>
    <row r="315" spans="1:11" ht="13.9" x14ac:dyDescent="0.3">
      <c r="A315" s="2" t="s">
        <v>457</v>
      </c>
      <c r="B315" s="2">
        <v>24.06</v>
      </c>
      <c r="C315" s="2">
        <v>18.79</v>
      </c>
      <c r="D315" s="2">
        <v>14.75</v>
      </c>
      <c r="E315" s="2">
        <v>6.32</v>
      </c>
      <c r="F315" s="2">
        <v>1.74</v>
      </c>
      <c r="G315" s="2">
        <v>2.95</v>
      </c>
      <c r="H315" s="2">
        <f t="shared" si="16"/>
        <v>2.3872543427653055</v>
      </c>
      <c r="I315" s="2">
        <f t="shared" si="17"/>
        <v>6.8095668303332644E-3</v>
      </c>
      <c r="J315" s="2">
        <f t="shared" si="18"/>
        <v>5.8479969065549504</v>
      </c>
      <c r="K315">
        <f t="shared" si="19"/>
        <v>3.6700000000000004</v>
      </c>
    </row>
    <row r="316" spans="1:11" ht="13.9" x14ac:dyDescent="0.3">
      <c r="A316" s="2" t="s">
        <v>913</v>
      </c>
      <c r="B316" s="2">
        <v>0</v>
      </c>
      <c r="C316" s="2">
        <v>7.56</v>
      </c>
      <c r="D316" s="2">
        <v>0</v>
      </c>
      <c r="E316" s="2">
        <v>0.3</v>
      </c>
      <c r="F316" s="2">
        <v>0.8</v>
      </c>
      <c r="G316" s="2">
        <v>0.32</v>
      </c>
      <c r="H316" s="2">
        <f t="shared" si="16"/>
        <v>2.4124953047163902</v>
      </c>
      <c r="I316" s="2">
        <f t="shared" si="17"/>
        <v>0.46313503322290994</v>
      </c>
      <c r="J316" s="2">
        <f t="shared" si="18"/>
        <v>2.918386234446348</v>
      </c>
      <c r="K316">
        <f t="shared" si="19"/>
        <v>0.47333333333333338</v>
      </c>
    </row>
    <row r="317" spans="1:11" ht="13.9" x14ac:dyDescent="0.3">
      <c r="A317" s="2" t="s">
        <v>493</v>
      </c>
      <c r="B317" s="2">
        <v>10.55</v>
      </c>
      <c r="C317" s="2">
        <v>0</v>
      </c>
      <c r="D317" s="2">
        <v>0</v>
      </c>
      <c r="E317" s="2">
        <v>0.59</v>
      </c>
      <c r="F317" s="2">
        <v>1.34</v>
      </c>
      <c r="G317" s="2">
        <v>0</v>
      </c>
      <c r="H317" s="2">
        <f t="shared" si="16"/>
        <v>2.4505702463264671</v>
      </c>
      <c r="I317" s="2">
        <f t="shared" si="17"/>
        <v>0.46227750596975176</v>
      </c>
      <c r="J317" s="2">
        <f t="shared" si="18"/>
        <v>3.3991710938198225</v>
      </c>
      <c r="K317">
        <f t="shared" si="19"/>
        <v>0.64333333333333342</v>
      </c>
    </row>
    <row r="318" spans="1:11" ht="13.9" x14ac:dyDescent="0.3">
      <c r="A318" s="2" t="s">
        <v>331</v>
      </c>
      <c r="B318" s="2">
        <v>4.28</v>
      </c>
      <c r="C318" s="2">
        <v>0</v>
      </c>
      <c r="D318" s="2">
        <v>0</v>
      </c>
      <c r="E318" s="2">
        <v>0.2</v>
      </c>
      <c r="F318" s="2">
        <v>0.53</v>
      </c>
      <c r="G318" s="2">
        <v>0</v>
      </c>
      <c r="H318" s="2">
        <f t="shared" si="16"/>
        <v>2.5516424275211298</v>
      </c>
      <c r="I318" s="2">
        <f t="shared" si="17"/>
        <v>0.45592316630714169</v>
      </c>
      <c r="J318" s="2">
        <f t="shared" si="18"/>
        <v>2.0976107966264221</v>
      </c>
      <c r="K318">
        <f t="shared" si="19"/>
        <v>0.24333333333333332</v>
      </c>
    </row>
    <row r="319" spans="1:11" ht="13.9" x14ac:dyDescent="0.3">
      <c r="A319" s="2" t="s">
        <v>746</v>
      </c>
      <c r="B319" s="2">
        <v>0</v>
      </c>
      <c r="C319" s="2">
        <v>7.07</v>
      </c>
      <c r="D319" s="2">
        <v>0</v>
      </c>
      <c r="E319" s="2">
        <v>0</v>
      </c>
      <c r="F319" s="2">
        <v>0.67</v>
      </c>
      <c r="G319" s="2">
        <v>0.53</v>
      </c>
      <c r="H319" s="2">
        <f t="shared" si="16"/>
        <v>2.5586758092008801</v>
      </c>
      <c r="I319" s="2">
        <f t="shared" si="17"/>
        <v>0.4546290650647884</v>
      </c>
      <c r="J319" s="2">
        <f t="shared" si="18"/>
        <v>2.821710215034674</v>
      </c>
      <c r="K319">
        <f t="shared" si="19"/>
        <v>0.40000000000000008</v>
      </c>
    </row>
    <row r="320" spans="1:11" ht="13.9" x14ac:dyDescent="0.3">
      <c r="A320" s="2" t="s">
        <v>476</v>
      </c>
      <c r="B320" s="2">
        <v>20.77</v>
      </c>
      <c r="C320" s="2">
        <v>34.15</v>
      </c>
      <c r="D320" s="2">
        <v>0.18</v>
      </c>
      <c r="E320" s="2">
        <v>2.27</v>
      </c>
      <c r="F320" s="2">
        <v>4.28</v>
      </c>
      <c r="G320" s="2">
        <v>2.63</v>
      </c>
      <c r="H320" s="2">
        <f t="shared" si="16"/>
        <v>2.5854862600447124</v>
      </c>
      <c r="I320" s="2">
        <f t="shared" si="17"/>
        <v>0.19693637402103595</v>
      </c>
      <c r="J320" s="2">
        <f t="shared" si="18"/>
        <v>5.7839804136837953</v>
      </c>
      <c r="K320">
        <f t="shared" si="19"/>
        <v>3.06</v>
      </c>
    </row>
    <row r="321" spans="1:11" ht="13.9" x14ac:dyDescent="0.3">
      <c r="A321" s="2" t="s">
        <v>168</v>
      </c>
      <c r="B321" s="2">
        <v>68.56</v>
      </c>
      <c r="C321" s="2">
        <v>8.7799999999999994</v>
      </c>
      <c r="D321" s="2">
        <v>48.43</v>
      </c>
      <c r="E321" s="2">
        <v>6.81</v>
      </c>
      <c r="F321" s="2">
        <v>7.62</v>
      </c>
      <c r="G321" s="2">
        <v>6.32</v>
      </c>
      <c r="H321" s="2">
        <f t="shared" si="16"/>
        <v>2.5996045946933242</v>
      </c>
      <c r="I321" s="2">
        <f t="shared" si="17"/>
        <v>0.11705270498177957</v>
      </c>
      <c r="J321" s="2">
        <f t="shared" si="18"/>
        <v>6.9746440260402487</v>
      </c>
      <c r="K321">
        <f t="shared" si="19"/>
        <v>6.916666666666667</v>
      </c>
    </row>
    <row r="322" spans="1:11" ht="13.9" x14ac:dyDescent="0.3">
      <c r="A322" s="2" t="s">
        <v>62</v>
      </c>
      <c r="B322" s="2">
        <v>52.41</v>
      </c>
      <c r="C322" s="2">
        <v>15.13</v>
      </c>
      <c r="D322" s="2">
        <v>46.24</v>
      </c>
      <c r="E322" s="2">
        <v>11.45</v>
      </c>
      <c r="F322" s="2">
        <v>3.21</v>
      </c>
      <c r="G322" s="2">
        <v>4.1100000000000003</v>
      </c>
      <c r="H322" s="2">
        <f t="shared" ref="H322:H385" si="20">LOG(SUM(B322:D322)/SUM(E322:G322),2)</f>
        <v>2.5997464308638869</v>
      </c>
      <c r="I322" s="2">
        <f t="shared" ref="I322:I385" si="21">_xlfn.T.TEST(B322:D322,E322:G322,2,2)</f>
        <v>5.5371363216619646E-2</v>
      </c>
      <c r="J322" s="2">
        <f t="shared" ref="J322:J385" si="22">LOG(SUM(B322:D322),2)</f>
        <v>6.830103175920037</v>
      </c>
      <c r="K322">
        <f t="shared" ref="K322:K385" si="23">AVERAGE(E322:G322)</f>
        <v>6.2566666666666668</v>
      </c>
    </row>
    <row r="323" spans="1:11" ht="13.9" x14ac:dyDescent="0.3">
      <c r="A323" s="2" t="s">
        <v>622</v>
      </c>
      <c r="B323" s="2">
        <v>0</v>
      </c>
      <c r="C323" s="2">
        <v>22.2</v>
      </c>
      <c r="D323" s="2">
        <v>0</v>
      </c>
      <c r="E323" s="2">
        <v>0</v>
      </c>
      <c r="F323" s="2">
        <v>1.47</v>
      </c>
      <c r="G323" s="2">
        <v>2.11</v>
      </c>
      <c r="H323" s="2">
        <f t="shared" si="20"/>
        <v>2.632528183973212</v>
      </c>
      <c r="I323" s="2">
        <f t="shared" si="21"/>
        <v>0.45030300724646527</v>
      </c>
      <c r="J323" s="2">
        <f t="shared" si="22"/>
        <v>4.4724877714627436</v>
      </c>
      <c r="K323">
        <f t="shared" si="23"/>
        <v>1.1933333333333334</v>
      </c>
    </row>
    <row r="324" spans="1:11" ht="13.9" x14ac:dyDescent="0.3">
      <c r="A324" s="2" t="s">
        <v>717</v>
      </c>
      <c r="B324" s="2">
        <v>317.08999999999997</v>
      </c>
      <c r="C324" s="2">
        <v>119.05</v>
      </c>
      <c r="D324" s="2">
        <v>336.64</v>
      </c>
      <c r="E324" s="2">
        <v>46.69</v>
      </c>
      <c r="F324" s="2">
        <v>27.68</v>
      </c>
      <c r="G324" s="2">
        <v>48.58</v>
      </c>
      <c r="H324" s="2">
        <f t="shared" si="20"/>
        <v>2.6519860219283653</v>
      </c>
      <c r="I324" s="2">
        <f t="shared" si="21"/>
        <v>3.6138100691894826E-2</v>
      </c>
      <c r="J324" s="2">
        <f t="shared" si="22"/>
        <v>9.5939139466370857</v>
      </c>
      <c r="K324">
        <f t="shared" si="23"/>
        <v>40.983333333333334</v>
      </c>
    </row>
    <row r="325" spans="1:11" ht="13.9" x14ac:dyDescent="0.3">
      <c r="A325" s="2" t="s">
        <v>283</v>
      </c>
      <c r="B325" s="2">
        <v>31.97</v>
      </c>
      <c r="C325" s="2">
        <v>38.549999999999997</v>
      </c>
      <c r="D325" s="2">
        <v>34.049999999999997</v>
      </c>
      <c r="E325" s="2">
        <v>5.53</v>
      </c>
      <c r="F325" s="2">
        <v>3.88</v>
      </c>
      <c r="G325" s="2">
        <v>6.85</v>
      </c>
      <c r="H325" s="2">
        <f t="shared" si="20"/>
        <v>2.685069854842864</v>
      </c>
      <c r="I325" s="2">
        <f t="shared" si="21"/>
        <v>1.5696533293844142E-4</v>
      </c>
      <c r="J325" s="2">
        <f t="shared" si="22"/>
        <v>6.7083252071431678</v>
      </c>
      <c r="K325">
        <f t="shared" si="23"/>
        <v>5.419999999999999</v>
      </c>
    </row>
    <row r="326" spans="1:11" ht="13.9" x14ac:dyDescent="0.3">
      <c r="A326" s="2" t="s">
        <v>765</v>
      </c>
      <c r="B326" s="2">
        <v>7.91</v>
      </c>
      <c r="C326" s="2">
        <v>10.73</v>
      </c>
      <c r="D326" s="2">
        <v>29.13</v>
      </c>
      <c r="E326" s="2">
        <v>2.0699999999999998</v>
      </c>
      <c r="F326" s="2">
        <v>2.0099999999999998</v>
      </c>
      <c r="G326" s="2">
        <v>3.16</v>
      </c>
      <c r="H326" s="2">
        <f t="shared" si="20"/>
        <v>2.72204327438806</v>
      </c>
      <c r="I326" s="2">
        <f t="shared" si="21"/>
        <v>0.11254934861117806</v>
      </c>
      <c r="J326" s="2">
        <f t="shared" si="22"/>
        <v>5.5780329716965404</v>
      </c>
      <c r="K326">
        <f t="shared" si="23"/>
        <v>2.4133333333333336</v>
      </c>
    </row>
    <row r="327" spans="1:11" ht="13.9" x14ac:dyDescent="0.3">
      <c r="A327" s="2" t="s">
        <v>131</v>
      </c>
      <c r="B327" s="2">
        <v>0.66</v>
      </c>
      <c r="C327" s="2">
        <v>0</v>
      </c>
      <c r="D327" s="2">
        <v>0</v>
      </c>
      <c r="E327" s="2">
        <v>0.1</v>
      </c>
      <c r="F327" s="2">
        <v>0</v>
      </c>
      <c r="G327" s="2">
        <v>0</v>
      </c>
      <c r="H327" s="2">
        <f t="shared" si="20"/>
        <v>2.7224660244710912</v>
      </c>
      <c r="I327" s="2">
        <f t="shared" si="21"/>
        <v>0.4487286656139175</v>
      </c>
      <c r="J327" s="2">
        <f t="shared" si="22"/>
        <v>-0.5994620704162712</v>
      </c>
      <c r="K327">
        <f t="shared" si="23"/>
        <v>3.3333333333333333E-2</v>
      </c>
    </row>
    <row r="328" spans="1:11" ht="13.9" x14ac:dyDescent="0.3">
      <c r="A328" s="2" t="s">
        <v>641</v>
      </c>
      <c r="B328" s="2">
        <v>0</v>
      </c>
      <c r="C328" s="2">
        <v>7.07</v>
      </c>
      <c r="D328" s="2">
        <v>18.39</v>
      </c>
      <c r="E328" s="2">
        <v>2.76</v>
      </c>
      <c r="F328" s="2">
        <v>1.07</v>
      </c>
      <c r="G328" s="2">
        <v>0</v>
      </c>
      <c r="H328" s="2">
        <f t="shared" si="20"/>
        <v>2.7328161219764007</v>
      </c>
      <c r="I328" s="2">
        <f t="shared" si="21"/>
        <v>0.25389328122557075</v>
      </c>
      <c r="J328" s="2">
        <f t="shared" si="22"/>
        <v>4.6701605141266338</v>
      </c>
      <c r="K328">
        <f t="shared" si="23"/>
        <v>1.2766666666666666</v>
      </c>
    </row>
    <row r="329" spans="1:11" ht="13.9" x14ac:dyDescent="0.3">
      <c r="A329" s="2" t="s">
        <v>374</v>
      </c>
      <c r="B329" s="2">
        <v>35.93</v>
      </c>
      <c r="C329" s="2">
        <v>15.13</v>
      </c>
      <c r="D329" s="2">
        <v>11.65</v>
      </c>
      <c r="E329" s="2">
        <v>1.88</v>
      </c>
      <c r="F329" s="2">
        <v>5.75</v>
      </c>
      <c r="G329" s="2">
        <v>1.69</v>
      </c>
      <c r="H329" s="2">
        <f t="shared" si="20"/>
        <v>2.750293659591049</v>
      </c>
      <c r="I329" s="2">
        <f t="shared" si="21"/>
        <v>8.1777517524053184E-2</v>
      </c>
      <c r="J329" s="2">
        <f t="shared" si="22"/>
        <v>5.9706236144706049</v>
      </c>
      <c r="K329">
        <f t="shared" si="23"/>
        <v>3.1066666666666669</v>
      </c>
    </row>
    <row r="330" spans="1:11" ht="13.9" x14ac:dyDescent="0.3">
      <c r="A330" s="2" t="s">
        <v>167</v>
      </c>
      <c r="B330" s="2">
        <v>3.3</v>
      </c>
      <c r="C330" s="2">
        <v>0</v>
      </c>
      <c r="D330" s="2">
        <v>0</v>
      </c>
      <c r="E330" s="2">
        <v>0.49</v>
      </c>
      <c r="F330" s="2">
        <v>0</v>
      </c>
      <c r="G330" s="2">
        <v>0</v>
      </c>
      <c r="H330" s="2">
        <f t="shared" si="20"/>
        <v>2.7516123701306077</v>
      </c>
      <c r="I330" s="2">
        <f t="shared" si="21"/>
        <v>0.44704548288869678</v>
      </c>
      <c r="J330" s="2">
        <f t="shared" si="22"/>
        <v>1.7224660244710912</v>
      </c>
      <c r="K330">
        <f t="shared" si="23"/>
        <v>0.16333333333333333</v>
      </c>
    </row>
    <row r="331" spans="1:11" ht="13.9" x14ac:dyDescent="0.3">
      <c r="A331" s="2" t="s">
        <v>338</v>
      </c>
      <c r="B331" s="2">
        <v>0.99</v>
      </c>
      <c r="C331" s="2">
        <v>0</v>
      </c>
      <c r="D331" s="2">
        <v>7.1</v>
      </c>
      <c r="E331" s="2">
        <v>0</v>
      </c>
      <c r="F331" s="2">
        <v>0.67</v>
      </c>
      <c r="G331" s="2">
        <v>0.53</v>
      </c>
      <c r="H331" s="2">
        <f t="shared" si="20"/>
        <v>2.7531052968214587</v>
      </c>
      <c r="I331" s="2">
        <f t="shared" si="21"/>
        <v>0.36115988180045222</v>
      </c>
      <c r="J331" s="2">
        <f t="shared" si="22"/>
        <v>3.016139702655253</v>
      </c>
      <c r="K331">
        <f t="shared" si="23"/>
        <v>0.40000000000000008</v>
      </c>
    </row>
    <row r="332" spans="1:11" ht="13.9" x14ac:dyDescent="0.3">
      <c r="A332" s="2" t="s">
        <v>21</v>
      </c>
      <c r="B332" s="2">
        <v>39643</v>
      </c>
      <c r="C332" s="2">
        <v>31772.09</v>
      </c>
      <c r="D332" s="2">
        <v>47304.85</v>
      </c>
      <c r="E332" s="2">
        <v>5348.49</v>
      </c>
      <c r="F332" s="2">
        <v>5956.63</v>
      </c>
      <c r="G332" s="2">
        <v>5843.23</v>
      </c>
      <c r="H332" s="2">
        <f t="shared" si="20"/>
        <v>2.7914205946767643</v>
      </c>
      <c r="I332" s="2">
        <f t="shared" si="21"/>
        <v>1.6538720641395169E-3</v>
      </c>
      <c r="J332" s="2">
        <f t="shared" si="22"/>
        <v>16.85720274238313</v>
      </c>
      <c r="K332">
        <f t="shared" si="23"/>
        <v>5716.1166666666659</v>
      </c>
    </row>
    <row r="333" spans="1:11" ht="13.9" x14ac:dyDescent="0.3">
      <c r="A333" s="2" t="s">
        <v>692</v>
      </c>
      <c r="B333" s="2">
        <v>6.26</v>
      </c>
      <c r="C333" s="2">
        <v>0</v>
      </c>
      <c r="D333" s="2">
        <v>0</v>
      </c>
      <c r="E333" s="2">
        <v>0.89</v>
      </c>
      <c r="F333" s="2">
        <v>0</v>
      </c>
      <c r="G333" s="2">
        <v>0</v>
      </c>
      <c r="H333" s="2">
        <f t="shared" si="20"/>
        <v>2.8142854159662205</v>
      </c>
      <c r="I333" s="2">
        <f t="shared" si="21"/>
        <v>0.44356268741357918</v>
      </c>
      <c r="J333" s="2">
        <f t="shared" si="22"/>
        <v>2.6461626571578938</v>
      </c>
      <c r="K333">
        <f t="shared" si="23"/>
        <v>0.29666666666666669</v>
      </c>
    </row>
    <row r="334" spans="1:11" ht="13.9" x14ac:dyDescent="0.3">
      <c r="A334" s="2" t="s">
        <v>80</v>
      </c>
      <c r="B334" s="2">
        <v>24.06</v>
      </c>
      <c r="C334" s="2">
        <v>30.25</v>
      </c>
      <c r="D334" s="2">
        <v>71.92</v>
      </c>
      <c r="E334" s="2">
        <v>7.7</v>
      </c>
      <c r="F334" s="2">
        <v>5.48</v>
      </c>
      <c r="G334" s="2">
        <v>3.79</v>
      </c>
      <c r="H334" s="2">
        <f t="shared" si="20"/>
        <v>2.8949963540176213</v>
      </c>
      <c r="I334" s="2">
        <f t="shared" si="21"/>
        <v>7.3032471420022171E-2</v>
      </c>
      <c r="J334" s="2">
        <f t="shared" si="22"/>
        <v>6.9799110137855607</v>
      </c>
      <c r="K334">
        <f t="shared" si="23"/>
        <v>5.6566666666666663</v>
      </c>
    </row>
    <row r="335" spans="1:11" ht="13.9" x14ac:dyDescent="0.3">
      <c r="A335" s="2" t="s">
        <v>602</v>
      </c>
      <c r="B335" s="2">
        <v>0</v>
      </c>
      <c r="C335" s="2">
        <v>15.13</v>
      </c>
      <c r="D335" s="2">
        <v>0</v>
      </c>
      <c r="E335" s="2">
        <v>1.18</v>
      </c>
      <c r="F335" s="2">
        <v>0.67</v>
      </c>
      <c r="G335" s="2">
        <v>0</v>
      </c>
      <c r="H335" s="2">
        <f t="shared" si="20"/>
        <v>3.0318148117004249</v>
      </c>
      <c r="I335" s="2">
        <f t="shared" si="21"/>
        <v>0.43062076076485833</v>
      </c>
      <c r="J335" s="2">
        <f t="shared" si="22"/>
        <v>3.9193400824420124</v>
      </c>
      <c r="K335">
        <f t="shared" si="23"/>
        <v>0.6166666666666667</v>
      </c>
    </row>
    <row r="336" spans="1:11" ht="13.9" x14ac:dyDescent="0.3">
      <c r="A336" s="2" t="s">
        <v>846</v>
      </c>
      <c r="B336" s="2">
        <v>25.05</v>
      </c>
      <c r="C336" s="2">
        <v>15.86</v>
      </c>
      <c r="D336" s="2">
        <v>0</v>
      </c>
      <c r="E336" s="2">
        <v>2.27</v>
      </c>
      <c r="F336" s="2">
        <v>1.6</v>
      </c>
      <c r="G336" s="2">
        <v>1.05</v>
      </c>
      <c r="H336" s="2">
        <f t="shared" si="20"/>
        <v>3.0557233165488062</v>
      </c>
      <c r="I336" s="2">
        <f t="shared" si="21"/>
        <v>0.17680050154771471</v>
      </c>
      <c r="J336" s="2">
        <f t="shared" si="22"/>
        <v>5.3543816321133217</v>
      </c>
      <c r="K336">
        <f t="shared" si="23"/>
        <v>1.64</v>
      </c>
    </row>
    <row r="337" spans="1:11" ht="13.9" x14ac:dyDescent="0.3">
      <c r="A337" s="2" t="s">
        <v>723</v>
      </c>
      <c r="B337" s="2">
        <v>18.79</v>
      </c>
      <c r="C337" s="2">
        <v>0</v>
      </c>
      <c r="D337" s="2">
        <v>9.2899999999999991</v>
      </c>
      <c r="E337" s="2">
        <v>1.48</v>
      </c>
      <c r="F337" s="2">
        <v>1.47</v>
      </c>
      <c r="G337" s="2">
        <v>0.42</v>
      </c>
      <c r="H337" s="2">
        <f t="shared" si="20"/>
        <v>3.0587224391227026</v>
      </c>
      <c r="I337" s="2">
        <f t="shared" si="21"/>
        <v>0.20427688500186333</v>
      </c>
      <c r="J337" s="2">
        <f t="shared" si="22"/>
        <v>4.8114710305298356</v>
      </c>
      <c r="K337">
        <f t="shared" si="23"/>
        <v>1.1233333333333333</v>
      </c>
    </row>
    <row r="338" spans="1:11" ht="13.9" x14ac:dyDescent="0.3">
      <c r="A338" s="2" t="s">
        <v>325</v>
      </c>
      <c r="B338" s="2">
        <v>0</v>
      </c>
      <c r="C338" s="2">
        <v>0</v>
      </c>
      <c r="D338" s="2">
        <v>5.28</v>
      </c>
      <c r="E338" s="2">
        <v>0.2</v>
      </c>
      <c r="F338" s="2">
        <v>0</v>
      </c>
      <c r="G338" s="2">
        <v>0.42</v>
      </c>
      <c r="H338" s="2">
        <f t="shared" si="20"/>
        <v>3.0901978089715785</v>
      </c>
      <c r="I338" s="2">
        <f t="shared" si="21"/>
        <v>0.42831903952807754</v>
      </c>
      <c r="J338" s="2">
        <f t="shared" si="22"/>
        <v>2.400537929583729</v>
      </c>
      <c r="K338">
        <f t="shared" si="23"/>
        <v>0.20666666666666667</v>
      </c>
    </row>
    <row r="339" spans="1:11" ht="13.9" x14ac:dyDescent="0.3">
      <c r="A339" s="2" t="s">
        <v>495</v>
      </c>
      <c r="B339" s="2">
        <v>0</v>
      </c>
      <c r="C339" s="2">
        <v>4.88</v>
      </c>
      <c r="D339" s="2">
        <v>3.64</v>
      </c>
      <c r="E339" s="2">
        <v>0</v>
      </c>
      <c r="F339" s="2">
        <v>0</v>
      </c>
      <c r="G339" s="2">
        <v>0.95</v>
      </c>
      <c r="H339" s="2">
        <f t="shared" si="20"/>
        <v>3.1648540118948909</v>
      </c>
      <c r="I339" s="2">
        <f t="shared" si="21"/>
        <v>0.16743471515120645</v>
      </c>
      <c r="J339" s="2">
        <f t="shared" si="22"/>
        <v>3.0908534304511139</v>
      </c>
      <c r="K339">
        <f t="shared" si="23"/>
        <v>0.31666666666666665</v>
      </c>
    </row>
    <row r="340" spans="1:11" ht="13.9" x14ac:dyDescent="0.3">
      <c r="A340" s="2" t="s">
        <v>623</v>
      </c>
      <c r="B340" s="2">
        <v>0</v>
      </c>
      <c r="C340" s="2">
        <v>5.61</v>
      </c>
      <c r="D340" s="2">
        <v>0</v>
      </c>
      <c r="E340" s="2">
        <v>0.49</v>
      </c>
      <c r="F340" s="2">
        <v>0</v>
      </c>
      <c r="G340" s="2">
        <v>0</v>
      </c>
      <c r="H340" s="2">
        <f t="shared" si="20"/>
        <v>3.517147116493585</v>
      </c>
      <c r="I340" s="2">
        <f t="shared" si="21"/>
        <v>0.41467536378536901</v>
      </c>
      <c r="J340" s="2">
        <f t="shared" si="22"/>
        <v>2.4880007708340686</v>
      </c>
      <c r="K340">
        <f t="shared" si="23"/>
        <v>0.16333333333333333</v>
      </c>
    </row>
    <row r="341" spans="1:11" ht="13.9" x14ac:dyDescent="0.3">
      <c r="A341" s="2" t="s">
        <v>735</v>
      </c>
      <c r="B341" s="2">
        <v>1.98</v>
      </c>
      <c r="C341" s="2">
        <v>0</v>
      </c>
      <c r="D341" s="2">
        <v>4.7300000000000004</v>
      </c>
      <c r="E341" s="2">
        <v>0</v>
      </c>
      <c r="F341" s="2">
        <v>0.53</v>
      </c>
      <c r="G341" s="2">
        <v>0</v>
      </c>
      <c r="H341" s="2">
        <f t="shared" si="20"/>
        <v>3.6622485016369848</v>
      </c>
      <c r="I341" s="2">
        <f t="shared" si="21"/>
        <v>0.21053476724535272</v>
      </c>
      <c r="J341" s="2">
        <f t="shared" si="22"/>
        <v>2.7463127664254587</v>
      </c>
      <c r="K341">
        <f t="shared" si="23"/>
        <v>0.17666666666666667</v>
      </c>
    </row>
    <row r="342" spans="1:11" ht="13.9" x14ac:dyDescent="0.3">
      <c r="A342" s="2" t="s">
        <v>225</v>
      </c>
      <c r="B342" s="2">
        <v>21.42</v>
      </c>
      <c r="C342" s="2">
        <v>20.49</v>
      </c>
      <c r="D342" s="2">
        <v>20.57</v>
      </c>
      <c r="E342" s="2">
        <v>1.38</v>
      </c>
      <c r="F342" s="2">
        <v>1.87</v>
      </c>
      <c r="G342" s="2">
        <v>1.05</v>
      </c>
      <c r="H342" s="2">
        <f t="shared" si="20"/>
        <v>3.860985888552519</v>
      </c>
      <c r="I342" s="2">
        <f t="shared" si="21"/>
        <v>8.9307631895547999E-7</v>
      </c>
      <c r="J342" s="2">
        <f t="shared" si="22"/>
        <v>5.9653225483672552</v>
      </c>
      <c r="K342">
        <f t="shared" si="23"/>
        <v>1.4333333333333333</v>
      </c>
    </row>
    <row r="343" spans="1:11" ht="13.9" x14ac:dyDescent="0.3">
      <c r="A343" s="2" t="s">
        <v>399</v>
      </c>
      <c r="B343" s="2">
        <v>0</v>
      </c>
      <c r="C343" s="2">
        <v>0</v>
      </c>
      <c r="D343" s="2">
        <v>4.55</v>
      </c>
      <c r="E343" s="2">
        <v>0.3</v>
      </c>
      <c r="F343" s="2">
        <v>0</v>
      </c>
      <c r="G343" s="2">
        <v>0</v>
      </c>
      <c r="H343" s="2">
        <f t="shared" si="20"/>
        <v>3.9228321394775398</v>
      </c>
      <c r="I343" s="2">
        <f t="shared" si="21"/>
        <v>0.40407663533440658</v>
      </c>
      <c r="J343" s="2">
        <f t="shared" si="22"/>
        <v>2.1858665453113342</v>
      </c>
      <c r="K343">
        <f t="shared" si="23"/>
        <v>9.9999999999999992E-2</v>
      </c>
    </row>
    <row r="344" spans="1:11" ht="13.9" x14ac:dyDescent="0.3">
      <c r="A344" s="2" t="s">
        <v>301</v>
      </c>
      <c r="B344" s="2">
        <v>0</v>
      </c>
      <c r="C344" s="2">
        <v>4.3899999999999997</v>
      </c>
      <c r="D344" s="2">
        <v>0</v>
      </c>
      <c r="E344" s="2">
        <v>0</v>
      </c>
      <c r="F344" s="2">
        <v>0.27</v>
      </c>
      <c r="G344" s="2">
        <v>0</v>
      </c>
      <c r="H344" s="2">
        <f t="shared" si="20"/>
        <v>4.023189627371889</v>
      </c>
      <c r="I344" s="2">
        <f t="shared" si="21"/>
        <v>0.40193198134928176</v>
      </c>
      <c r="J344" s="2">
        <f t="shared" si="22"/>
        <v>2.1342209397606333</v>
      </c>
      <c r="K344">
        <f t="shared" si="23"/>
        <v>9.0000000000000011E-2</v>
      </c>
    </row>
    <row r="345" spans="1:11" ht="13.9" x14ac:dyDescent="0.3">
      <c r="A345" s="2" t="s">
        <v>687</v>
      </c>
      <c r="B345" s="2">
        <v>0</v>
      </c>
      <c r="C345" s="2">
        <v>2.2000000000000002</v>
      </c>
      <c r="D345" s="2">
        <v>0</v>
      </c>
      <c r="E345" s="2">
        <v>0</v>
      </c>
      <c r="F345" s="2">
        <v>0.13</v>
      </c>
      <c r="G345" s="2">
        <v>0</v>
      </c>
      <c r="H345" s="2">
        <f t="shared" si="20"/>
        <v>4.0809199953835673</v>
      </c>
      <c r="I345" s="2">
        <f t="shared" si="21"/>
        <v>0.40077125781951178</v>
      </c>
      <c r="J345" s="2">
        <f t="shared" si="22"/>
        <v>1.1375035237499351</v>
      </c>
      <c r="K345">
        <f t="shared" si="23"/>
        <v>4.3333333333333335E-2</v>
      </c>
    </row>
    <row r="346" spans="1:11" ht="13.9" x14ac:dyDescent="0.3">
      <c r="A346" s="2" t="s">
        <v>897</v>
      </c>
      <c r="B346" s="2">
        <v>0</v>
      </c>
      <c r="C346" s="2">
        <v>7.07</v>
      </c>
      <c r="D346" s="2">
        <v>0</v>
      </c>
      <c r="E346" s="2">
        <v>0</v>
      </c>
      <c r="F346" s="2">
        <v>0.4</v>
      </c>
      <c r="G346" s="2">
        <v>0</v>
      </c>
      <c r="H346" s="2">
        <f t="shared" si="20"/>
        <v>4.1436383099220366</v>
      </c>
      <c r="I346" s="2">
        <f t="shared" si="21"/>
        <v>0.3995670833497606</v>
      </c>
      <c r="J346" s="2">
        <f t="shared" si="22"/>
        <v>2.821710215034674</v>
      </c>
      <c r="K346">
        <f t="shared" si="23"/>
        <v>0.13333333333333333</v>
      </c>
    </row>
    <row r="347" spans="1:11" ht="13.9" x14ac:dyDescent="0.3">
      <c r="A347" s="2" t="s">
        <v>866</v>
      </c>
      <c r="B347" s="2">
        <v>0</v>
      </c>
      <c r="C347" s="2">
        <v>7.07</v>
      </c>
      <c r="D347" s="2">
        <v>0</v>
      </c>
      <c r="E347" s="2">
        <v>0.39</v>
      </c>
      <c r="F347" s="2">
        <v>0</v>
      </c>
      <c r="G347" s="2">
        <v>0</v>
      </c>
      <c r="H347" s="2">
        <f t="shared" si="20"/>
        <v>4.1801641859471506</v>
      </c>
      <c r="I347" s="2">
        <f t="shared" si="21"/>
        <v>0.39889191992411593</v>
      </c>
      <c r="J347" s="2">
        <f t="shared" si="22"/>
        <v>2.821710215034674</v>
      </c>
      <c r="K347">
        <f t="shared" si="23"/>
        <v>0.13</v>
      </c>
    </row>
    <row r="348" spans="1:11" ht="13.9" x14ac:dyDescent="0.3">
      <c r="A348" s="2" t="s">
        <v>821</v>
      </c>
      <c r="B348" s="2">
        <v>0</v>
      </c>
      <c r="C348" s="2">
        <v>0</v>
      </c>
      <c r="D348" s="2">
        <v>4.92</v>
      </c>
      <c r="E348" s="2">
        <v>0</v>
      </c>
      <c r="F348" s="2">
        <v>0.27</v>
      </c>
      <c r="G348" s="2">
        <v>0</v>
      </c>
      <c r="H348" s="2">
        <f t="shared" si="20"/>
        <v>4.1876270031757716</v>
      </c>
      <c r="I348" s="2">
        <f t="shared" si="21"/>
        <v>0.39875627085468435</v>
      </c>
      <c r="J348" s="2">
        <f t="shared" si="22"/>
        <v>2.2986583155645151</v>
      </c>
      <c r="K348">
        <f t="shared" si="23"/>
        <v>9.0000000000000011E-2</v>
      </c>
    </row>
    <row r="349" spans="1:11" ht="13.9" x14ac:dyDescent="0.3">
      <c r="A349" s="2" t="s">
        <v>800</v>
      </c>
      <c r="B349" s="2">
        <v>7.58</v>
      </c>
      <c r="C349" s="2">
        <v>0</v>
      </c>
      <c r="D349" s="2">
        <v>0</v>
      </c>
      <c r="E349" s="2">
        <v>0.39</v>
      </c>
      <c r="F349" s="2">
        <v>0</v>
      </c>
      <c r="G349" s="2">
        <v>0</v>
      </c>
      <c r="H349" s="2">
        <f t="shared" si="20"/>
        <v>4.2806518193088428</v>
      </c>
      <c r="I349" s="2">
        <f t="shared" si="21"/>
        <v>0.39712843020898253</v>
      </c>
      <c r="J349" s="2">
        <f t="shared" si="22"/>
        <v>2.9221978483963671</v>
      </c>
      <c r="K349">
        <f t="shared" si="23"/>
        <v>0.13</v>
      </c>
    </row>
    <row r="350" spans="1:11" ht="13.9" x14ac:dyDescent="0.3">
      <c r="A350" s="2" t="s">
        <v>700</v>
      </c>
      <c r="B350" s="2">
        <v>0</v>
      </c>
      <c r="C350" s="2">
        <v>12.69</v>
      </c>
      <c r="D350" s="2">
        <v>0</v>
      </c>
      <c r="E350" s="2">
        <v>0</v>
      </c>
      <c r="F350" s="2">
        <v>0</v>
      </c>
      <c r="G350" s="2">
        <v>0.63</v>
      </c>
      <c r="H350" s="2">
        <f t="shared" si="20"/>
        <v>4.33219643034119</v>
      </c>
      <c r="I350" s="2">
        <f t="shared" si="21"/>
        <v>0.39627468253986031</v>
      </c>
      <c r="J350" s="2">
        <f t="shared" si="22"/>
        <v>3.665620164066381</v>
      </c>
      <c r="K350">
        <f t="shared" si="23"/>
        <v>0.21</v>
      </c>
    </row>
    <row r="351" spans="1:11" ht="13.9" x14ac:dyDescent="0.3">
      <c r="A351" s="2" t="s">
        <v>807</v>
      </c>
      <c r="B351" s="2">
        <v>0</v>
      </c>
      <c r="C351" s="2">
        <v>2.68</v>
      </c>
      <c r="D351" s="2">
        <v>0</v>
      </c>
      <c r="E351" s="2">
        <v>0</v>
      </c>
      <c r="F351" s="2">
        <v>0.13</v>
      </c>
      <c r="G351" s="2">
        <v>0</v>
      </c>
      <c r="H351" s="2">
        <f t="shared" si="20"/>
        <v>4.3656494723166812</v>
      </c>
      <c r="I351" s="2">
        <f t="shared" si="21"/>
        <v>0.39573812765447008</v>
      </c>
      <c r="J351" s="2">
        <f t="shared" si="22"/>
        <v>1.4222330006830479</v>
      </c>
      <c r="K351">
        <f t="shared" si="23"/>
        <v>4.3333333333333335E-2</v>
      </c>
    </row>
    <row r="352" spans="1:11" ht="13.9" x14ac:dyDescent="0.3">
      <c r="A352" s="2" t="s">
        <v>239</v>
      </c>
      <c r="B352" s="2">
        <v>10.220000000000001</v>
      </c>
      <c r="C352" s="2">
        <v>0</v>
      </c>
      <c r="D352" s="2">
        <v>0</v>
      </c>
      <c r="E352" s="2">
        <v>0</v>
      </c>
      <c r="F352" s="2">
        <v>0</v>
      </c>
      <c r="G352" s="2">
        <v>0.42</v>
      </c>
      <c r="H352" s="2">
        <f t="shared" si="20"/>
        <v>4.6048620581588615</v>
      </c>
      <c r="I352" s="2">
        <f t="shared" si="21"/>
        <v>0.39227061798676671</v>
      </c>
      <c r="J352" s="2">
        <f t="shared" si="22"/>
        <v>3.353323291162897</v>
      </c>
      <c r="K352">
        <f t="shared" si="23"/>
        <v>0.13999999999999999</v>
      </c>
    </row>
    <row r="353" spans="1:11" ht="13.9" x14ac:dyDescent="0.3">
      <c r="A353" s="2" t="s">
        <v>193</v>
      </c>
      <c r="B353" s="2">
        <v>13.84</v>
      </c>
      <c r="C353" s="2">
        <v>14.64</v>
      </c>
      <c r="D353" s="2">
        <v>8.3699999999999992</v>
      </c>
      <c r="E353" s="2">
        <v>0.49</v>
      </c>
      <c r="F353" s="2">
        <v>0.4</v>
      </c>
      <c r="G353" s="2">
        <v>0.53</v>
      </c>
      <c r="H353" s="2">
        <f t="shared" si="20"/>
        <v>4.6977017844777507</v>
      </c>
      <c r="I353" s="2">
        <f t="shared" si="21"/>
        <v>3.8991154931181039E-3</v>
      </c>
      <c r="J353" s="2">
        <f t="shared" si="22"/>
        <v>5.2035927142077076</v>
      </c>
      <c r="K353">
        <f t="shared" si="23"/>
        <v>0.47333333333333333</v>
      </c>
    </row>
    <row r="354" spans="1:11" ht="13.9" x14ac:dyDescent="0.3">
      <c r="A354" s="2" t="s">
        <v>521</v>
      </c>
      <c r="B354" s="2">
        <v>13.84</v>
      </c>
      <c r="C354" s="2">
        <v>0</v>
      </c>
      <c r="D354" s="2">
        <v>0</v>
      </c>
      <c r="E354" s="2">
        <v>0</v>
      </c>
      <c r="F354" s="2">
        <v>0</v>
      </c>
      <c r="G354" s="2">
        <v>0.53</v>
      </c>
      <c r="H354" s="2">
        <f t="shared" si="20"/>
        <v>4.7067077730735258</v>
      </c>
      <c r="I354" s="2">
        <f t="shared" si="21"/>
        <v>0.39097240983650011</v>
      </c>
      <c r="J354" s="2">
        <f t="shared" si="22"/>
        <v>3.7907720378620002</v>
      </c>
      <c r="K354">
        <f t="shared" si="23"/>
        <v>0.17666666666666667</v>
      </c>
    </row>
    <row r="355" spans="1:11" ht="13.9" x14ac:dyDescent="0.3">
      <c r="A355" s="2" t="s">
        <v>186</v>
      </c>
      <c r="B355" s="2">
        <v>0</v>
      </c>
      <c r="C355" s="2">
        <v>80.510000000000005</v>
      </c>
      <c r="D355" s="2">
        <v>0.18</v>
      </c>
      <c r="E355" s="2">
        <v>0</v>
      </c>
      <c r="F355" s="2">
        <v>2.0099999999999998</v>
      </c>
      <c r="G355" s="2">
        <v>1.05</v>
      </c>
      <c r="H355" s="2">
        <f t="shared" si="20"/>
        <v>4.7207863317755168</v>
      </c>
      <c r="I355" s="2">
        <f t="shared" si="21"/>
        <v>0.38915632105579978</v>
      </c>
      <c r="J355" s="2">
        <f t="shared" si="22"/>
        <v>6.3343179846934445</v>
      </c>
      <c r="K355">
        <f t="shared" si="23"/>
        <v>1.0199999999999998</v>
      </c>
    </row>
    <row r="356" spans="1:11" ht="13.9" x14ac:dyDescent="0.3">
      <c r="A356" s="2" t="s">
        <v>782</v>
      </c>
      <c r="B356" s="2">
        <v>14.83</v>
      </c>
      <c r="C356" s="2">
        <v>2.44</v>
      </c>
      <c r="D356" s="2">
        <v>3.28</v>
      </c>
      <c r="E356" s="2">
        <v>0.2</v>
      </c>
      <c r="F356" s="2">
        <v>0.13</v>
      </c>
      <c r="G356" s="2">
        <v>0.42</v>
      </c>
      <c r="H356" s="2">
        <f t="shared" si="20"/>
        <v>4.7761039880731646</v>
      </c>
      <c r="I356" s="2">
        <f t="shared" si="21"/>
        <v>0.17414553631537935</v>
      </c>
      <c r="J356" s="2">
        <f t="shared" si="22"/>
        <v>4.3610664887943207</v>
      </c>
      <c r="K356">
        <f t="shared" si="23"/>
        <v>0.25</v>
      </c>
    </row>
    <row r="357" spans="1:11" ht="13.9" x14ac:dyDescent="0.3">
      <c r="A357" s="2" t="s">
        <v>914</v>
      </c>
      <c r="B357" s="2">
        <v>0</v>
      </c>
      <c r="C357" s="2">
        <v>7.81</v>
      </c>
      <c r="D357" s="2">
        <v>0</v>
      </c>
      <c r="E357" s="2">
        <v>0</v>
      </c>
      <c r="F357" s="2">
        <v>0.13</v>
      </c>
      <c r="G357" s="2">
        <v>0.11</v>
      </c>
      <c r="H357" s="2">
        <f t="shared" si="20"/>
        <v>5.0242162374208235</v>
      </c>
      <c r="I357" s="2">
        <f t="shared" si="21"/>
        <v>0.38734925488208344</v>
      </c>
      <c r="J357" s="2">
        <f t="shared" si="22"/>
        <v>2.9653225483672552</v>
      </c>
      <c r="K357">
        <f t="shared" si="23"/>
        <v>0.08</v>
      </c>
    </row>
    <row r="358" spans="1:11" ht="13.9" x14ac:dyDescent="0.3">
      <c r="A358" s="2" t="s">
        <v>242</v>
      </c>
      <c r="B358" s="2">
        <v>7.91</v>
      </c>
      <c r="C358" s="2">
        <v>0</v>
      </c>
      <c r="D358" s="2">
        <v>0.91</v>
      </c>
      <c r="E358" s="2">
        <v>0</v>
      </c>
      <c r="F358" s="2">
        <v>0.27</v>
      </c>
      <c r="G358" s="2">
        <v>0</v>
      </c>
      <c r="H358" s="2">
        <f t="shared" si="20"/>
        <v>5.0297473433940523</v>
      </c>
      <c r="I358" s="2">
        <f t="shared" si="21"/>
        <v>0.31799275586244319</v>
      </c>
      <c r="J358" s="2">
        <f t="shared" si="22"/>
        <v>3.1407786557827961</v>
      </c>
      <c r="K358">
        <f t="shared" si="23"/>
        <v>9.0000000000000011E-2</v>
      </c>
    </row>
    <row r="359" spans="1:11" ht="13.9" x14ac:dyDescent="0.3">
      <c r="A359" s="2" t="s">
        <v>496</v>
      </c>
      <c r="B359" s="2">
        <v>0</v>
      </c>
      <c r="C359" s="2">
        <v>0</v>
      </c>
      <c r="D359" s="2">
        <v>4.55</v>
      </c>
      <c r="E359" s="2">
        <v>0</v>
      </c>
      <c r="F359" s="2">
        <v>0.13</v>
      </c>
      <c r="G359" s="2">
        <v>0</v>
      </c>
      <c r="H359" s="2">
        <f t="shared" si="20"/>
        <v>5.1292830169449664</v>
      </c>
      <c r="I359" s="2">
        <f t="shared" si="21"/>
        <v>0.38651832347827414</v>
      </c>
      <c r="J359" s="2">
        <f t="shared" si="22"/>
        <v>2.1858665453113342</v>
      </c>
      <c r="K359">
        <f t="shared" si="23"/>
        <v>4.3333333333333335E-2</v>
      </c>
    </row>
    <row r="360" spans="1:11" ht="13.9" x14ac:dyDescent="0.3">
      <c r="A360" s="2" t="s">
        <v>474</v>
      </c>
      <c r="B360" s="2">
        <v>5.6</v>
      </c>
      <c r="C360" s="2">
        <v>0</v>
      </c>
      <c r="D360" s="2">
        <v>0</v>
      </c>
      <c r="E360" s="2">
        <v>0</v>
      </c>
      <c r="F360" s="2">
        <v>0.13</v>
      </c>
      <c r="G360" s="2">
        <v>0</v>
      </c>
      <c r="H360" s="2">
        <f t="shared" si="20"/>
        <v>5.4288432988038737</v>
      </c>
      <c r="I360" s="2">
        <f t="shared" si="21"/>
        <v>0.38409907221424083</v>
      </c>
      <c r="J360" s="2">
        <f t="shared" si="22"/>
        <v>2.485426827170242</v>
      </c>
      <c r="K360">
        <f t="shared" si="23"/>
        <v>4.3333333333333335E-2</v>
      </c>
    </row>
    <row r="361" spans="1:11" ht="13.9" x14ac:dyDescent="0.3">
      <c r="A361" s="2" t="s">
        <v>809</v>
      </c>
      <c r="B361" s="2">
        <v>0</v>
      </c>
      <c r="C361" s="2">
        <v>6.1</v>
      </c>
      <c r="D361" s="2">
        <v>0</v>
      </c>
      <c r="E361" s="2">
        <v>0</v>
      </c>
      <c r="F361" s="2">
        <v>0</v>
      </c>
      <c r="G361" s="2">
        <v>0.11</v>
      </c>
      <c r="H361" s="2">
        <f t="shared" si="20"/>
        <v>5.793233813812952</v>
      </c>
      <c r="I361" s="2">
        <f t="shared" si="21"/>
        <v>0.3817826367416971</v>
      </c>
      <c r="J361" s="2">
        <f t="shared" si="22"/>
        <v>2.6088092426755241</v>
      </c>
      <c r="K361">
        <f t="shared" si="23"/>
        <v>3.6666666666666667E-2</v>
      </c>
    </row>
    <row r="362" spans="1:11" ht="13.9" x14ac:dyDescent="0.3">
      <c r="A362" s="2" t="s">
        <v>442</v>
      </c>
      <c r="B362" s="2">
        <v>0</v>
      </c>
      <c r="C362" s="2">
        <v>0</v>
      </c>
      <c r="D362" s="2">
        <v>6.37</v>
      </c>
      <c r="E362" s="2">
        <v>0</v>
      </c>
      <c r="F362" s="2">
        <v>0</v>
      </c>
      <c r="G362" s="2">
        <v>0.11</v>
      </c>
      <c r="H362" s="2">
        <f t="shared" si="20"/>
        <v>5.8557179436190028</v>
      </c>
      <c r="I362" s="2">
        <f t="shared" si="21"/>
        <v>0.38144288668200205</v>
      </c>
      <c r="J362" s="2">
        <f t="shared" si="22"/>
        <v>2.6712933724815757</v>
      </c>
      <c r="K362">
        <f t="shared" si="23"/>
        <v>3.6666666666666667E-2</v>
      </c>
    </row>
    <row r="363" spans="1:11" ht="13.9" x14ac:dyDescent="0.3">
      <c r="A363" s="2" t="s">
        <v>260</v>
      </c>
      <c r="B363" s="2">
        <v>5.6</v>
      </c>
      <c r="C363" s="2">
        <v>0.24</v>
      </c>
      <c r="D363" s="2">
        <v>0</v>
      </c>
      <c r="E363" s="2">
        <v>0.1</v>
      </c>
      <c r="F363" s="2">
        <v>0</v>
      </c>
      <c r="G363" s="2">
        <v>0</v>
      </c>
      <c r="H363" s="2">
        <f t="shared" si="20"/>
        <v>5.867896463992655</v>
      </c>
      <c r="I363" s="2">
        <f t="shared" si="21"/>
        <v>0.35439083604756588</v>
      </c>
      <c r="J363" s="2">
        <f t="shared" si="22"/>
        <v>2.5459683691052923</v>
      </c>
      <c r="K363">
        <f t="shared" si="23"/>
        <v>3.3333333333333333E-2</v>
      </c>
    </row>
    <row r="364" spans="1:11" ht="13.9" x14ac:dyDescent="0.3">
      <c r="A364" s="2" t="s">
        <v>737</v>
      </c>
      <c r="B364" s="2">
        <v>4.28</v>
      </c>
      <c r="C364" s="2">
        <v>0.24</v>
      </c>
      <c r="D364" s="2">
        <v>9.4700000000000006</v>
      </c>
      <c r="E364" s="2">
        <v>0.1</v>
      </c>
      <c r="F364" s="2">
        <v>0</v>
      </c>
      <c r="G364" s="2">
        <v>0.11</v>
      </c>
      <c r="H364" s="2">
        <f t="shared" si="20"/>
        <v>6.0578628243859933</v>
      </c>
      <c r="I364" s="2">
        <f t="shared" si="21"/>
        <v>0.16067645250622689</v>
      </c>
      <c r="J364" s="2">
        <f t="shared" si="22"/>
        <v>3.8063240573900288</v>
      </c>
      <c r="K364">
        <f t="shared" si="23"/>
        <v>7.0000000000000007E-2</v>
      </c>
    </row>
    <row r="365" spans="1:11" ht="13.9" x14ac:dyDescent="0.3">
      <c r="A365" s="6" t="s">
        <v>910</v>
      </c>
      <c r="B365" s="6">
        <v>35.270000000000003</v>
      </c>
      <c r="C365" s="6">
        <v>11.95</v>
      </c>
      <c r="D365" s="6">
        <v>26.76</v>
      </c>
      <c r="E365" s="6">
        <v>0</v>
      </c>
      <c r="F365" s="6">
        <v>0</v>
      </c>
      <c r="G365" s="6">
        <v>0.11</v>
      </c>
      <c r="H365" s="6">
        <f t="shared" si="20"/>
        <v>9.393487966486699</v>
      </c>
      <c r="I365" s="6">
        <f t="shared" si="21"/>
        <v>2.247741987351291E-2</v>
      </c>
      <c r="J365" s="2">
        <f t="shared" si="22"/>
        <v>6.2090633953492702</v>
      </c>
      <c r="K365">
        <f t="shared" si="23"/>
        <v>3.6666666666666667E-2</v>
      </c>
    </row>
    <row r="366" spans="1:11" ht="13.9" x14ac:dyDescent="0.3">
      <c r="A366" s="2" t="s">
        <v>65</v>
      </c>
      <c r="B366" s="2">
        <v>0</v>
      </c>
      <c r="C366" s="2">
        <v>0</v>
      </c>
      <c r="D366" s="2">
        <v>0.18</v>
      </c>
      <c r="E366" s="2">
        <v>0</v>
      </c>
      <c r="F366" s="2">
        <v>0</v>
      </c>
      <c r="G366" s="2">
        <v>0</v>
      </c>
      <c r="H366" s="2" t="e">
        <f t="shared" si="20"/>
        <v>#DIV/0!</v>
      </c>
      <c r="I366" s="2">
        <f t="shared" si="21"/>
        <v>0.37390096630005903</v>
      </c>
      <c r="J366" s="2">
        <f t="shared" si="22"/>
        <v>-2.4739311883324122</v>
      </c>
      <c r="K366">
        <f t="shared" si="23"/>
        <v>0</v>
      </c>
    </row>
    <row r="367" spans="1:11" ht="13.9" x14ac:dyDescent="0.3">
      <c r="A367" s="2" t="s">
        <v>699</v>
      </c>
      <c r="B367" s="2">
        <v>0</v>
      </c>
      <c r="C367" s="2">
        <v>0</v>
      </c>
      <c r="D367" s="2">
        <v>0.18</v>
      </c>
      <c r="E367" s="2">
        <v>0</v>
      </c>
      <c r="F367" s="2">
        <v>0</v>
      </c>
      <c r="G367" s="2">
        <v>0</v>
      </c>
      <c r="H367" s="2" t="e">
        <f t="shared" si="20"/>
        <v>#DIV/0!</v>
      </c>
      <c r="I367" s="2">
        <f t="shared" si="21"/>
        <v>0.37390096630005903</v>
      </c>
      <c r="J367" s="2">
        <f t="shared" si="22"/>
        <v>-2.4739311883324122</v>
      </c>
      <c r="K367">
        <f t="shared" si="23"/>
        <v>0</v>
      </c>
    </row>
    <row r="368" spans="1:11" ht="13.9" x14ac:dyDescent="0.3">
      <c r="A368" s="2" t="s">
        <v>252</v>
      </c>
      <c r="B368" s="2">
        <v>0</v>
      </c>
      <c r="C368" s="2">
        <v>0.24</v>
      </c>
      <c r="D368" s="2">
        <v>0</v>
      </c>
      <c r="E368" s="2">
        <v>0</v>
      </c>
      <c r="F368" s="2">
        <v>0</v>
      </c>
      <c r="G368" s="2">
        <v>0</v>
      </c>
      <c r="H368" s="2" t="e">
        <f t="shared" si="20"/>
        <v>#DIV/0!</v>
      </c>
      <c r="I368" s="2">
        <f t="shared" si="21"/>
        <v>0.37390096630005903</v>
      </c>
      <c r="J368" s="2">
        <f t="shared" si="22"/>
        <v>-2.0588936890535687</v>
      </c>
      <c r="K368">
        <f t="shared" si="23"/>
        <v>0</v>
      </c>
    </row>
    <row r="369" spans="1:11" ht="13.9" x14ac:dyDescent="0.3">
      <c r="A369" s="2" t="s">
        <v>143</v>
      </c>
      <c r="B369" s="2">
        <v>0.33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 t="e">
        <f t="shared" si="20"/>
        <v>#DIV/0!</v>
      </c>
      <c r="I369" s="2">
        <f t="shared" si="21"/>
        <v>0.37390096630005903</v>
      </c>
      <c r="J369" s="2">
        <f t="shared" si="22"/>
        <v>-1.5994620704162712</v>
      </c>
      <c r="K369">
        <f t="shared" si="23"/>
        <v>0</v>
      </c>
    </row>
    <row r="370" spans="1:11" ht="13.9" x14ac:dyDescent="0.3">
      <c r="A370" s="2" t="s">
        <v>731</v>
      </c>
      <c r="B370" s="2">
        <v>0</v>
      </c>
      <c r="C370" s="2">
        <v>0</v>
      </c>
      <c r="D370" s="2">
        <v>0.36</v>
      </c>
      <c r="E370" s="2">
        <v>0</v>
      </c>
      <c r="F370" s="2">
        <v>0</v>
      </c>
      <c r="G370" s="2">
        <v>0</v>
      </c>
      <c r="H370" s="2" t="e">
        <f t="shared" si="20"/>
        <v>#DIV/0!</v>
      </c>
      <c r="I370" s="2">
        <f t="shared" si="21"/>
        <v>0.37390096630005903</v>
      </c>
      <c r="J370" s="2">
        <f t="shared" si="22"/>
        <v>-1.4739311883324124</v>
      </c>
      <c r="K370">
        <f t="shared" si="23"/>
        <v>0</v>
      </c>
    </row>
    <row r="371" spans="1:11" ht="13.9" x14ac:dyDescent="0.3">
      <c r="A371" s="2" t="s">
        <v>664</v>
      </c>
      <c r="B371" s="2">
        <v>0</v>
      </c>
      <c r="C371" s="2">
        <v>1.95</v>
      </c>
      <c r="D371" s="2">
        <v>0</v>
      </c>
      <c r="E371" s="2">
        <v>0</v>
      </c>
      <c r="F371" s="2">
        <v>0</v>
      </c>
      <c r="G371" s="2">
        <v>0</v>
      </c>
      <c r="H371" s="2" t="e">
        <f t="shared" si="20"/>
        <v>#DIV/0!</v>
      </c>
      <c r="I371" s="2">
        <f t="shared" si="21"/>
        <v>0.37390096630005903</v>
      </c>
      <c r="J371" s="2">
        <f t="shared" si="22"/>
        <v>0.96347412397488608</v>
      </c>
      <c r="K371">
        <f t="shared" si="23"/>
        <v>0</v>
      </c>
    </row>
    <row r="372" spans="1:11" ht="13.9" x14ac:dyDescent="0.3">
      <c r="A372" s="2" t="s">
        <v>671</v>
      </c>
      <c r="B372" s="2">
        <v>0</v>
      </c>
      <c r="C372" s="2">
        <v>1.95</v>
      </c>
      <c r="D372" s="2">
        <v>0</v>
      </c>
      <c r="E372" s="2">
        <v>0</v>
      </c>
      <c r="F372" s="2">
        <v>0</v>
      </c>
      <c r="G372" s="2">
        <v>0</v>
      </c>
      <c r="H372" s="2" t="e">
        <f t="shared" si="20"/>
        <v>#DIV/0!</v>
      </c>
      <c r="I372" s="2">
        <f t="shared" si="21"/>
        <v>0.37390096630005903</v>
      </c>
      <c r="J372" s="2">
        <f t="shared" si="22"/>
        <v>0.96347412397488608</v>
      </c>
      <c r="K372">
        <f t="shared" si="23"/>
        <v>0</v>
      </c>
    </row>
    <row r="373" spans="1:11" ht="13.9" x14ac:dyDescent="0.3">
      <c r="A373" s="2" t="s">
        <v>679</v>
      </c>
      <c r="B373" s="2">
        <v>0</v>
      </c>
      <c r="C373" s="2">
        <v>1.95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20"/>
        <v>#DIV/0!</v>
      </c>
      <c r="I373" s="2">
        <f t="shared" si="21"/>
        <v>0.37390096630005903</v>
      </c>
      <c r="J373" s="2">
        <f t="shared" si="22"/>
        <v>0.96347412397488608</v>
      </c>
      <c r="K373">
        <f t="shared" si="23"/>
        <v>0</v>
      </c>
    </row>
    <row r="374" spans="1:11" ht="13.9" x14ac:dyDescent="0.3">
      <c r="A374" s="2" t="s">
        <v>690</v>
      </c>
      <c r="B374" s="2">
        <v>0</v>
      </c>
      <c r="C374" s="2">
        <v>1.95</v>
      </c>
      <c r="D374" s="2">
        <v>0</v>
      </c>
      <c r="E374" s="2">
        <v>0</v>
      </c>
      <c r="F374" s="2">
        <v>0</v>
      </c>
      <c r="G374" s="2">
        <v>0</v>
      </c>
      <c r="H374" s="2" t="e">
        <f t="shared" si="20"/>
        <v>#DIV/0!</v>
      </c>
      <c r="I374" s="2">
        <f t="shared" si="21"/>
        <v>0.37390096630005903</v>
      </c>
      <c r="J374" s="2">
        <f t="shared" si="22"/>
        <v>0.96347412397488608</v>
      </c>
      <c r="K374">
        <f t="shared" si="23"/>
        <v>0</v>
      </c>
    </row>
    <row r="375" spans="1:11" ht="13.9" x14ac:dyDescent="0.3">
      <c r="A375" s="2" t="s">
        <v>845</v>
      </c>
      <c r="B375" s="2">
        <v>1.98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 t="e">
        <f t="shared" si="20"/>
        <v>#DIV/0!</v>
      </c>
      <c r="I375" s="2">
        <f t="shared" si="21"/>
        <v>0.37390096630005903</v>
      </c>
      <c r="J375" s="2">
        <f t="shared" si="22"/>
        <v>0.98550043030488488</v>
      </c>
      <c r="K375">
        <f t="shared" si="23"/>
        <v>0</v>
      </c>
    </row>
    <row r="376" spans="1:11" ht="13.9" x14ac:dyDescent="0.3">
      <c r="A376" s="2" t="s">
        <v>514</v>
      </c>
      <c r="B376" s="2">
        <v>0</v>
      </c>
      <c r="C376" s="2">
        <v>1.95</v>
      </c>
      <c r="D376" s="2">
        <v>0.18</v>
      </c>
      <c r="E376" s="2">
        <v>0</v>
      </c>
      <c r="F376" s="2">
        <v>0</v>
      </c>
      <c r="G376" s="2">
        <v>0</v>
      </c>
      <c r="H376" s="2" t="e">
        <f t="shared" si="20"/>
        <v>#DIV/0!</v>
      </c>
      <c r="I376" s="2">
        <f t="shared" si="21"/>
        <v>0.31748324238639619</v>
      </c>
      <c r="J376" s="2">
        <f t="shared" si="22"/>
        <v>1.0908534304511135</v>
      </c>
      <c r="K376">
        <f t="shared" si="23"/>
        <v>0</v>
      </c>
    </row>
    <row r="377" spans="1:11" ht="13.9" x14ac:dyDescent="0.3">
      <c r="A377" s="2" t="s">
        <v>337</v>
      </c>
      <c r="B377" s="2">
        <v>2.31</v>
      </c>
      <c r="C377" s="2">
        <v>0.24</v>
      </c>
      <c r="D377" s="2">
        <v>0</v>
      </c>
      <c r="E377" s="2">
        <v>0</v>
      </c>
      <c r="F377" s="2">
        <v>0</v>
      </c>
      <c r="G377" s="2">
        <v>0</v>
      </c>
      <c r="H377" s="2" t="e">
        <f t="shared" si="20"/>
        <v>#DIV/0!</v>
      </c>
      <c r="I377" s="2">
        <f t="shared" si="21"/>
        <v>0.31086928652678342</v>
      </c>
      <c r="J377" s="2">
        <f t="shared" si="22"/>
        <v>1.3504972470841332</v>
      </c>
      <c r="K377">
        <f t="shared" si="23"/>
        <v>0</v>
      </c>
    </row>
    <row r="378" spans="1:11" ht="13.9" x14ac:dyDescent="0.3">
      <c r="A378" s="2" t="s">
        <v>479</v>
      </c>
      <c r="B378" s="2">
        <v>3.3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20"/>
        <v>#DIV/0!</v>
      </c>
      <c r="I378" s="2">
        <f t="shared" si="21"/>
        <v>0.37390096630005903</v>
      </c>
      <c r="J378" s="2">
        <f t="shared" si="22"/>
        <v>1.7224660244710912</v>
      </c>
      <c r="K378">
        <f t="shared" si="23"/>
        <v>0</v>
      </c>
    </row>
    <row r="379" spans="1:11" ht="13.9" x14ac:dyDescent="0.3">
      <c r="A379" s="8" t="s">
        <v>655</v>
      </c>
      <c r="B379" s="2">
        <v>0</v>
      </c>
      <c r="C379" s="2">
        <v>0</v>
      </c>
      <c r="D379" s="2">
        <v>4.01</v>
      </c>
      <c r="E379" s="2">
        <v>0</v>
      </c>
      <c r="F379" s="2">
        <v>0</v>
      </c>
      <c r="G379" s="2">
        <v>0</v>
      </c>
      <c r="H379" s="2" t="e">
        <f t="shared" si="20"/>
        <v>#DIV/0!</v>
      </c>
      <c r="I379" s="2">
        <f t="shared" si="21"/>
        <v>0.37390096630005903</v>
      </c>
      <c r="J379" s="2">
        <f t="shared" si="22"/>
        <v>2.0036022366801958</v>
      </c>
      <c r="K379">
        <f t="shared" si="23"/>
        <v>0</v>
      </c>
    </row>
    <row r="380" spans="1:11" ht="13.9" x14ac:dyDescent="0.3">
      <c r="A380" s="2" t="s">
        <v>345</v>
      </c>
      <c r="B380" s="2">
        <v>4.9400000000000004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>
        <f t="shared" si="21"/>
        <v>0.37390096630005903</v>
      </c>
      <c r="J380" s="2">
        <f t="shared" si="22"/>
        <v>2.304511041809953</v>
      </c>
      <c r="K380">
        <f t="shared" si="23"/>
        <v>0</v>
      </c>
    </row>
    <row r="381" spans="1:11" ht="13.9" x14ac:dyDescent="0.3">
      <c r="A381" s="2" t="s">
        <v>767</v>
      </c>
      <c r="B381" s="2">
        <v>0</v>
      </c>
      <c r="C381" s="2">
        <v>0</v>
      </c>
      <c r="D381" s="2">
        <v>5.0999999999999996</v>
      </c>
      <c r="E381" s="2">
        <v>0</v>
      </c>
      <c r="F381" s="2">
        <v>0</v>
      </c>
      <c r="G381" s="2">
        <v>0</v>
      </c>
      <c r="H381" s="2" t="e">
        <f t="shared" si="20"/>
        <v>#DIV/0!</v>
      </c>
      <c r="I381" s="2">
        <f t="shared" si="21"/>
        <v>0.37390096630005903</v>
      </c>
      <c r="J381" s="2">
        <f t="shared" si="22"/>
        <v>2.3504972470841334</v>
      </c>
      <c r="K381">
        <f t="shared" si="23"/>
        <v>0</v>
      </c>
    </row>
    <row r="382" spans="1:11" ht="13.9" x14ac:dyDescent="0.3">
      <c r="A382" s="2" t="s">
        <v>63</v>
      </c>
      <c r="B382" s="2">
        <v>0</v>
      </c>
      <c r="C382" s="2">
        <v>5.37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20"/>
        <v>#DIV/0!</v>
      </c>
      <c r="I382" s="2">
        <f t="shared" si="21"/>
        <v>0.37390096630005903</v>
      </c>
      <c r="J382" s="2">
        <f t="shared" si="22"/>
        <v>2.4249220882106881</v>
      </c>
      <c r="K382">
        <f t="shared" si="23"/>
        <v>0</v>
      </c>
    </row>
    <row r="383" spans="1:11" ht="13.9" x14ac:dyDescent="0.3">
      <c r="A383" s="2" t="s">
        <v>694</v>
      </c>
      <c r="B383" s="2">
        <v>5.6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 t="e">
        <f t="shared" si="20"/>
        <v>#DIV/0!</v>
      </c>
      <c r="I383" s="2">
        <f t="shared" si="21"/>
        <v>0.37390096630005903</v>
      </c>
      <c r="J383" s="2">
        <f t="shared" si="22"/>
        <v>2.485426827170242</v>
      </c>
      <c r="K383">
        <f t="shared" si="23"/>
        <v>0</v>
      </c>
    </row>
    <row r="384" spans="1:11" ht="13.9" x14ac:dyDescent="0.3">
      <c r="A384" s="2" t="s">
        <v>760</v>
      </c>
      <c r="B384" s="2">
        <v>5.93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 t="e">
        <f t="shared" si="20"/>
        <v>#DIV/0!</v>
      </c>
      <c r="I384" s="2">
        <f t="shared" si="21"/>
        <v>0.37390096630005903</v>
      </c>
      <c r="J384" s="2">
        <f t="shared" si="22"/>
        <v>2.5680321047712789</v>
      </c>
      <c r="K384">
        <f t="shared" si="23"/>
        <v>0</v>
      </c>
    </row>
    <row r="385" spans="1:11" ht="13.9" x14ac:dyDescent="0.3">
      <c r="A385" s="2" t="s">
        <v>762</v>
      </c>
      <c r="B385" s="2">
        <v>5.93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20"/>
        <v>#DIV/0!</v>
      </c>
      <c r="I385" s="2">
        <f t="shared" si="21"/>
        <v>0.37390096630005903</v>
      </c>
      <c r="J385" s="2">
        <f t="shared" si="22"/>
        <v>2.5680321047712789</v>
      </c>
      <c r="K385">
        <f t="shared" si="23"/>
        <v>0</v>
      </c>
    </row>
    <row r="386" spans="1:11" ht="13.9" x14ac:dyDescent="0.3">
      <c r="A386" s="2" t="s">
        <v>830</v>
      </c>
      <c r="B386" s="2">
        <v>5.93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 t="e">
        <f t="shared" ref="H386:H449" si="24">LOG(SUM(B386:D386)/SUM(E386:G386),2)</f>
        <v>#DIV/0!</v>
      </c>
      <c r="I386" s="2">
        <f t="shared" ref="I386:I449" si="25">_xlfn.T.TEST(B386:D386,E386:G386,2,2)</f>
        <v>0.37390096630005903</v>
      </c>
      <c r="J386" s="2">
        <f t="shared" ref="J386:J449" si="26">LOG(SUM(B386:D386),2)</f>
        <v>2.5680321047712789</v>
      </c>
      <c r="K386">
        <f t="shared" ref="K386:K449" si="27">AVERAGE(E386:G386)</f>
        <v>0</v>
      </c>
    </row>
    <row r="387" spans="1:11" ht="13.9" x14ac:dyDescent="0.3">
      <c r="A387" s="2" t="s">
        <v>843</v>
      </c>
      <c r="B387" s="2">
        <v>6.26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 t="e">
        <f t="shared" si="24"/>
        <v>#DIV/0!</v>
      </c>
      <c r="I387" s="2">
        <f t="shared" si="25"/>
        <v>0.37390096630005903</v>
      </c>
      <c r="J387" s="2">
        <f t="shared" si="26"/>
        <v>2.6461626571578938</v>
      </c>
      <c r="K387">
        <f t="shared" si="27"/>
        <v>0</v>
      </c>
    </row>
    <row r="388" spans="1:11" ht="13.9" x14ac:dyDescent="0.3">
      <c r="A388" s="2" t="s">
        <v>865</v>
      </c>
      <c r="B388" s="2">
        <v>0</v>
      </c>
      <c r="C388" s="2">
        <v>0</v>
      </c>
      <c r="D388" s="2">
        <v>6.74</v>
      </c>
      <c r="E388" s="2">
        <v>0</v>
      </c>
      <c r="F388" s="2">
        <v>0</v>
      </c>
      <c r="G388" s="2">
        <v>0</v>
      </c>
      <c r="H388" s="2" t="e">
        <f t="shared" si="24"/>
        <v>#DIV/0!</v>
      </c>
      <c r="I388" s="2">
        <f t="shared" si="25"/>
        <v>0.37390096630005903</v>
      </c>
      <c r="J388" s="2">
        <f t="shared" si="26"/>
        <v>2.7527485914071339</v>
      </c>
      <c r="K388">
        <f t="shared" si="27"/>
        <v>0</v>
      </c>
    </row>
    <row r="389" spans="1:11" ht="13.9" x14ac:dyDescent="0.3">
      <c r="A389" s="2" t="s">
        <v>778</v>
      </c>
      <c r="B389" s="2">
        <v>8.57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>
        <f t="shared" si="25"/>
        <v>0.37390096630005903</v>
      </c>
      <c r="J389" s="2">
        <f t="shared" si="26"/>
        <v>3.0992952043377757</v>
      </c>
      <c r="K389">
        <f t="shared" si="27"/>
        <v>0</v>
      </c>
    </row>
    <row r="390" spans="1:11" ht="13.9" x14ac:dyDescent="0.3">
      <c r="A390" s="2" t="s">
        <v>710</v>
      </c>
      <c r="B390" s="2">
        <v>0</v>
      </c>
      <c r="C390" s="2">
        <v>0</v>
      </c>
      <c r="D390" s="2">
        <v>13.47</v>
      </c>
      <c r="E390" s="2">
        <v>0</v>
      </c>
      <c r="F390" s="2">
        <v>0</v>
      </c>
      <c r="G390" s="2">
        <v>0</v>
      </c>
      <c r="H390" s="2" t="e">
        <f t="shared" si="24"/>
        <v>#DIV/0!</v>
      </c>
      <c r="I390" s="2">
        <f t="shared" si="25"/>
        <v>0.37390096630005903</v>
      </c>
      <c r="J390" s="2">
        <f t="shared" si="26"/>
        <v>3.7516779456875788</v>
      </c>
      <c r="K390">
        <f t="shared" si="27"/>
        <v>0</v>
      </c>
    </row>
    <row r="391" spans="1:11" ht="13.9" x14ac:dyDescent="0.3">
      <c r="A391" s="2" t="s">
        <v>27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24"/>
        <v>#DIV/0!</v>
      </c>
      <c r="I391" s="2" t="e">
        <f t="shared" si="25"/>
        <v>#DIV/0!</v>
      </c>
      <c r="J391" s="2" t="e">
        <f t="shared" si="26"/>
        <v>#NUM!</v>
      </c>
      <c r="K391">
        <f t="shared" si="27"/>
        <v>0</v>
      </c>
    </row>
    <row r="392" spans="1:11" ht="13.9" x14ac:dyDescent="0.3">
      <c r="A392" s="2" t="s">
        <v>35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 t="e">
        <f t="shared" si="24"/>
        <v>#DIV/0!</v>
      </c>
      <c r="I392" s="2" t="e">
        <f t="shared" si="25"/>
        <v>#DIV/0!</v>
      </c>
      <c r="J392" s="2" t="e">
        <f t="shared" si="26"/>
        <v>#NUM!</v>
      </c>
      <c r="K392">
        <f t="shared" si="27"/>
        <v>0</v>
      </c>
    </row>
    <row r="393" spans="1:11" ht="13.9" x14ac:dyDescent="0.3">
      <c r="A393" s="2" t="s">
        <v>38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24"/>
        <v>#DIV/0!</v>
      </c>
      <c r="I393" s="2" t="e">
        <f t="shared" si="25"/>
        <v>#DIV/0!</v>
      </c>
      <c r="J393" s="2" t="e">
        <f t="shared" si="26"/>
        <v>#NUM!</v>
      </c>
      <c r="K393">
        <f t="shared" si="27"/>
        <v>0</v>
      </c>
    </row>
    <row r="394" spans="1:11" ht="13.9" x14ac:dyDescent="0.3">
      <c r="A394" s="2" t="s">
        <v>41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 t="e">
        <f t="shared" si="24"/>
        <v>#DIV/0!</v>
      </c>
      <c r="I394" s="2" t="e">
        <f t="shared" si="25"/>
        <v>#DIV/0!</v>
      </c>
      <c r="J394" s="2" t="e">
        <f t="shared" si="26"/>
        <v>#NUM!</v>
      </c>
      <c r="K394">
        <f t="shared" si="27"/>
        <v>0</v>
      </c>
    </row>
    <row r="395" spans="1:11" ht="13.9" x14ac:dyDescent="0.3">
      <c r="A395" s="2" t="s">
        <v>45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J395" s="2" t="e">
        <f t="shared" si="26"/>
        <v>#NUM!</v>
      </c>
      <c r="K395">
        <f t="shared" si="27"/>
        <v>0</v>
      </c>
    </row>
    <row r="396" spans="1:11" ht="13.9" x14ac:dyDescent="0.3">
      <c r="A396" s="2" t="s">
        <v>46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24"/>
        <v>#DIV/0!</v>
      </c>
      <c r="I396" s="2" t="e">
        <f t="shared" si="25"/>
        <v>#DIV/0!</v>
      </c>
      <c r="J396" s="2" t="e">
        <f t="shared" si="26"/>
        <v>#NUM!</v>
      </c>
      <c r="K396">
        <f t="shared" si="27"/>
        <v>0</v>
      </c>
    </row>
    <row r="397" spans="1:11" ht="13.9" x14ac:dyDescent="0.3">
      <c r="A397" s="2" t="s">
        <v>57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J397" s="2" t="e">
        <f t="shared" si="26"/>
        <v>#NUM!</v>
      </c>
      <c r="K397">
        <f t="shared" si="27"/>
        <v>0</v>
      </c>
    </row>
    <row r="398" spans="1:11" ht="13.9" x14ac:dyDescent="0.3">
      <c r="A398" s="2" t="s">
        <v>61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J398" s="2" t="e">
        <f t="shared" si="26"/>
        <v>#NUM!</v>
      </c>
      <c r="K398">
        <f t="shared" si="27"/>
        <v>0</v>
      </c>
    </row>
    <row r="399" spans="1:11" ht="13.9" x14ac:dyDescent="0.3">
      <c r="A399" s="2" t="s">
        <v>64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 t="e">
        <f t="shared" si="24"/>
        <v>#DIV/0!</v>
      </c>
      <c r="I399" s="2" t="e">
        <f t="shared" si="25"/>
        <v>#DIV/0!</v>
      </c>
      <c r="J399" s="2" t="e">
        <f t="shared" si="26"/>
        <v>#NUM!</v>
      </c>
      <c r="K399">
        <f t="shared" si="27"/>
        <v>0</v>
      </c>
    </row>
    <row r="400" spans="1:11" ht="13.9" x14ac:dyDescent="0.3">
      <c r="A400" s="2" t="s">
        <v>71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 t="e">
        <f t="shared" si="24"/>
        <v>#DIV/0!</v>
      </c>
      <c r="I400" s="2" t="e">
        <f t="shared" si="25"/>
        <v>#DIV/0!</v>
      </c>
      <c r="J400" s="2" t="e">
        <f t="shared" si="26"/>
        <v>#NUM!</v>
      </c>
      <c r="K400">
        <f t="shared" si="27"/>
        <v>0</v>
      </c>
    </row>
    <row r="401" spans="1:11" ht="13.9" x14ac:dyDescent="0.3">
      <c r="A401" s="2" t="s">
        <v>74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24"/>
        <v>#DIV/0!</v>
      </c>
      <c r="I401" s="2" t="e">
        <f t="shared" si="25"/>
        <v>#DIV/0!</v>
      </c>
      <c r="J401" s="2" t="e">
        <f t="shared" si="26"/>
        <v>#NUM!</v>
      </c>
      <c r="K401">
        <f t="shared" si="27"/>
        <v>0</v>
      </c>
    </row>
    <row r="402" spans="1:11" ht="13.9" x14ac:dyDescent="0.3">
      <c r="A402" s="2" t="s">
        <v>79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 t="e">
        <f t="shared" si="24"/>
        <v>#DIV/0!</v>
      </c>
      <c r="I402" s="2" t="e">
        <f t="shared" si="25"/>
        <v>#DIV/0!</v>
      </c>
      <c r="J402" s="2" t="e">
        <f t="shared" si="26"/>
        <v>#NUM!</v>
      </c>
      <c r="K402">
        <f t="shared" si="27"/>
        <v>0</v>
      </c>
    </row>
    <row r="403" spans="1:11" ht="13.9" x14ac:dyDescent="0.3">
      <c r="A403" s="2" t="s">
        <v>103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24"/>
        <v>#DIV/0!</v>
      </c>
      <c r="I403" s="2" t="e">
        <f t="shared" si="25"/>
        <v>#DIV/0!</v>
      </c>
      <c r="J403" s="2" t="e">
        <f t="shared" si="26"/>
        <v>#NUM!</v>
      </c>
      <c r="K403">
        <f t="shared" si="27"/>
        <v>0</v>
      </c>
    </row>
    <row r="404" spans="1:11" ht="13.9" x14ac:dyDescent="0.3">
      <c r="A404" s="2" t="s">
        <v>107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 t="e">
        <f t="shared" si="24"/>
        <v>#DIV/0!</v>
      </c>
      <c r="I404" s="2" t="e">
        <f t="shared" si="25"/>
        <v>#DIV/0!</v>
      </c>
      <c r="J404" s="2" t="e">
        <f t="shared" si="26"/>
        <v>#NUM!</v>
      </c>
      <c r="K404">
        <f t="shared" si="27"/>
        <v>0</v>
      </c>
    </row>
    <row r="405" spans="1:11" ht="13.9" x14ac:dyDescent="0.3">
      <c r="A405" s="2" t="s">
        <v>109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 t="e">
        <f t="shared" si="24"/>
        <v>#DIV/0!</v>
      </c>
      <c r="I405" s="2" t="e">
        <f t="shared" si="25"/>
        <v>#DIV/0!</v>
      </c>
      <c r="J405" s="2" t="e">
        <f t="shared" si="26"/>
        <v>#NUM!</v>
      </c>
      <c r="K405">
        <f t="shared" si="27"/>
        <v>0</v>
      </c>
    </row>
    <row r="406" spans="1:11" ht="13.9" x14ac:dyDescent="0.3">
      <c r="A406" s="2" t="s">
        <v>127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 t="e">
        <f t="shared" si="25"/>
        <v>#DIV/0!</v>
      </c>
      <c r="J406" s="2" t="e">
        <f t="shared" si="26"/>
        <v>#NUM!</v>
      </c>
      <c r="K406">
        <f t="shared" si="27"/>
        <v>0</v>
      </c>
    </row>
    <row r="407" spans="1:11" ht="13.9" x14ac:dyDescent="0.3">
      <c r="A407" s="2" t="s">
        <v>130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J407" s="2" t="e">
        <f t="shared" si="26"/>
        <v>#NUM!</v>
      </c>
      <c r="K407">
        <f t="shared" si="27"/>
        <v>0</v>
      </c>
    </row>
    <row r="408" spans="1:11" ht="13.9" x14ac:dyDescent="0.3">
      <c r="A408" s="2" t="s">
        <v>145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24"/>
        <v>#DIV/0!</v>
      </c>
      <c r="I408" s="2" t="e">
        <f t="shared" si="25"/>
        <v>#DIV/0!</v>
      </c>
      <c r="J408" s="2" t="e">
        <f t="shared" si="26"/>
        <v>#NUM!</v>
      </c>
      <c r="K408">
        <f t="shared" si="27"/>
        <v>0</v>
      </c>
    </row>
    <row r="409" spans="1:11" ht="13.9" x14ac:dyDescent="0.3">
      <c r="A409" s="2" t="s">
        <v>146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J409" s="2" t="e">
        <f t="shared" si="26"/>
        <v>#NUM!</v>
      </c>
      <c r="K409">
        <f t="shared" si="27"/>
        <v>0</v>
      </c>
    </row>
    <row r="410" spans="1:11" ht="13.9" x14ac:dyDescent="0.3">
      <c r="A410" s="2" t="s">
        <v>178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J410" s="2" t="e">
        <f t="shared" si="26"/>
        <v>#NUM!</v>
      </c>
      <c r="K410">
        <f t="shared" si="27"/>
        <v>0</v>
      </c>
    </row>
    <row r="411" spans="1:11" ht="13.9" x14ac:dyDescent="0.3">
      <c r="A411" s="2" t="s">
        <v>179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J411" s="2" t="e">
        <f t="shared" si="26"/>
        <v>#NUM!</v>
      </c>
      <c r="K411">
        <f t="shared" si="27"/>
        <v>0</v>
      </c>
    </row>
    <row r="412" spans="1:11" ht="13.9" x14ac:dyDescent="0.3">
      <c r="A412" s="2" t="s">
        <v>180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J412" s="2" t="e">
        <f t="shared" si="26"/>
        <v>#NUM!</v>
      </c>
      <c r="K412">
        <f t="shared" si="27"/>
        <v>0</v>
      </c>
    </row>
    <row r="413" spans="1:11" ht="13.9" x14ac:dyDescent="0.3">
      <c r="A413" s="2" t="s">
        <v>182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24"/>
        <v>#DIV/0!</v>
      </c>
      <c r="I413" s="2" t="e">
        <f t="shared" si="25"/>
        <v>#DIV/0!</v>
      </c>
      <c r="J413" s="2" t="e">
        <f t="shared" si="26"/>
        <v>#NUM!</v>
      </c>
      <c r="K413">
        <f t="shared" si="27"/>
        <v>0</v>
      </c>
    </row>
    <row r="414" spans="1:11" ht="13.9" x14ac:dyDescent="0.3">
      <c r="A414" s="2" t="s">
        <v>209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24"/>
        <v>#DIV/0!</v>
      </c>
      <c r="I414" s="2" t="e">
        <f t="shared" si="25"/>
        <v>#DIV/0!</v>
      </c>
      <c r="J414" s="2" t="e">
        <f t="shared" si="26"/>
        <v>#NUM!</v>
      </c>
      <c r="K414">
        <f t="shared" si="27"/>
        <v>0</v>
      </c>
    </row>
    <row r="415" spans="1:11" ht="13.9" x14ac:dyDescent="0.3">
      <c r="A415" s="2" t="s">
        <v>233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 t="e">
        <f t="shared" si="24"/>
        <v>#DIV/0!</v>
      </c>
      <c r="I415" s="2" t="e">
        <f t="shared" si="25"/>
        <v>#DIV/0!</v>
      </c>
      <c r="J415" s="2" t="e">
        <f t="shared" si="26"/>
        <v>#NUM!</v>
      </c>
      <c r="K415">
        <f t="shared" si="27"/>
        <v>0</v>
      </c>
    </row>
    <row r="416" spans="1:11" ht="13.9" x14ac:dyDescent="0.3">
      <c r="A416" s="2" t="s">
        <v>243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 t="e">
        <f t="shared" si="24"/>
        <v>#DIV/0!</v>
      </c>
      <c r="I416" s="2" t="e">
        <f t="shared" si="25"/>
        <v>#DIV/0!</v>
      </c>
      <c r="J416" s="2" t="e">
        <f t="shared" si="26"/>
        <v>#NUM!</v>
      </c>
      <c r="K416">
        <f t="shared" si="27"/>
        <v>0</v>
      </c>
    </row>
    <row r="417" spans="1:11" ht="13.9" x14ac:dyDescent="0.3">
      <c r="A417" s="2" t="s">
        <v>250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 t="e">
        <f t="shared" si="24"/>
        <v>#DIV/0!</v>
      </c>
      <c r="I417" s="2" t="e">
        <f t="shared" si="25"/>
        <v>#DIV/0!</v>
      </c>
      <c r="J417" s="2" t="e">
        <f t="shared" si="26"/>
        <v>#NUM!</v>
      </c>
      <c r="K417">
        <f t="shared" si="27"/>
        <v>0</v>
      </c>
    </row>
    <row r="418" spans="1:11" ht="13.9" x14ac:dyDescent="0.3">
      <c r="A418" s="2" t="s">
        <v>251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 t="e">
        <f t="shared" si="24"/>
        <v>#DIV/0!</v>
      </c>
      <c r="I418" s="2" t="e">
        <f t="shared" si="25"/>
        <v>#DIV/0!</v>
      </c>
      <c r="J418" s="2" t="e">
        <f t="shared" si="26"/>
        <v>#NUM!</v>
      </c>
      <c r="K418">
        <f t="shared" si="27"/>
        <v>0</v>
      </c>
    </row>
    <row r="419" spans="1:11" ht="13.9" x14ac:dyDescent="0.3">
      <c r="A419" s="2" t="s">
        <v>254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J419" s="2" t="e">
        <f t="shared" si="26"/>
        <v>#NUM!</v>
      </c>
      <c r="K419">
        <f t="shared" si="27"/>
        <v>0</v>
      </c>
    </row>
    <row r="420" spans="1:11" ht="13.9" x14ac:dyDescent="0.3">
      <c r="A420" s="2" t="s">
        <v>265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 t="e">
        <f t="shared" si="24"/>
        <v>#DIV/0!</v>
      </c>
      <c r="I420" s="2" t="e">
        <f t="shared" si="25"/>
        <v>#DIV/0!</v>
      </c>
      <c r="J420" s="2" t="e">
        <f t="shared" si="26"/>
        <v>#NUM!</v>
      </c>
      <c r="K420">
        <f t="shared" si="27"/>
        <v>0</v>
      </c>
    </row>
    <row r="421" spans="1:11" ht="13.9" x14ac:dyDescent="0.3">
      <c r="A421" s="2" t="s">
        <v>268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 t="e">
        <f t="shared" si="24"/>
        <v>#DIV/0!</v>
      </c>
      <c r="I421" s="2" t="e">
        <f t="shared" si="25"/>
        <v>#DIV/0!</v>
      </c>
      <c r="J421" s="2" t="e">
        <f t="shared" si="26"/>
        <v>#NUM!</v>
      </c>
      <c r="K421">
        <f t="shared" si="27"/>
        <v>0</v>
      </c>
    </row>
    <row r="422" spans="1:11" ht="13.9" x14ac:dyDescent="0.3">
      <c r="A422" s="2" t="s">
        <v>273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J422" s="2" t="e">
        <f t="shared" si="26"/>
        <v>#NUM!</v>
      </c>
      <c r="K422">
        <f t="shared" si="27"/>
        <v>0</v>
      </c>
    </row>
    <row r="423" spans="1:11" ht="13.9" x14ac:dyDescent="0.3">
      <c r="A423" s="2" t="s">
        <v>277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 t="e">
        <f t="shared" si="24"/>
        <v>#DIV/0!</v>
      </c>
      <c r="I423" s="2" t="e">
        <f t="shared" si="25"/>
        <v>#DIV/0!</v>
      </c>
      <c r="J423" s="2" t="e">
        <f t="shared" si="26"/>
        <v>#NUM!</v>
      </c>
      <c r="K423">
        <f t="shared" si="27"/>
        <v>0</v>
      </c>
    </row>
    <row r="424" spans="1:11" ht="13.9" x14ac:dyDescent="0.3">
      <c r="A424" s="2" t="s">
        <v>278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 t="e">
        <f t="shared" si="24"/>
        <v>#DIV/0!</v>
      </c>
      <c r="I424" s="2" t="e">
        <f t="shared" si="25"/>
        <v>#DIV/0!</v>
      </c>
      <c r="J424" s="2" t="e">
        <f t="shared" si="26"/>
        <v>#NUM!</v>
      </c>
      <c r="K424">
        <f t="shared" si="27"/>
        <v>0</v>
      </c>
    </row>
    <row r="425" spans="1:11" ht="13.9" x14ac:dyDescent="0.3">
      <c r="A425" s="2" t="s">
        <v>303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J425" s="2" t="e">
        <f t="shared" si="26"/>
        <v>#NUM!</v>
      </c>
      <c r="K425">
        <f t="shared" si="27"/>
        <v>0</v>
      </c>
    </row>
    <row r="426" spans="1:11" ht="13.9" x14ac:dyDescent="0.3">
      <c r="A426" s="2" t="s">
        <v>306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24"/>
        <v>#DIV/0!</v>
      </c>
      <c r="I426" s="2" t="e">
        <f t="shared" si="25"/>
        <v>#DIV/0!</v>
      </c>
      <c r="J426" s="2" t="e">
        <f t="shared" si="26"/>
        <v>#NUM!</v>
      </c>
      <c r="K426">
        <f t="shared" si="27"/>
        <v>0</v>
      </c>
    </row>
    <row r="427" spans="1:11" ht="13.9" x14ac:dyDescent="0.3">
      <c r="A427" s="2" t="s">
        <v>308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24"/>
        <v>#DIV/0!</v>
      </c>
      <c r="I427" s="2" t="e">
        <f t="shared" si="25"/>
        <v>#DIV/0!</v>
      </c>
      <c r="J427" s="2" t="e">
        <f t="shared" si="26"/>
        <v>#NUM!</v>
      </c>
      <c r="K427">
        <f t="shared" si="27"/>
        <v>0</v>
      </c>
    </row>
    <row r="428" spans="1:11" ht="13.9" x14ac:dyDescent="0.3">
      <c r="A428" s="2" t="s">
        <v>309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J428" s="2" t="e">
        <f t="shared" si="26"/>
        <v>#NUM!</v>
      </c>
      <c r="K428">
        <f t="shared" si="27"/>
        <v>0</v>
      </c>
    </row>
    <row r="429" spans="1:11" ht="13.9" x14ac:dyDescent="0.3">
      <c r="A429" s="2" t="s">
        <v>311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J429" s="2" t="e">
        <f t="shared" si="26"/>
        <v>#NUM!</v>
      </c>
      <c r="K429">
        <f t="shared" si="27"/>
        <v>0</v>
      </c>
    </row>
    <row r="430" spans="1:11" ht="13.9" x14ac:dyDescent="0.3">
      <c r="A430" s="2" t="s">
        <v>316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 t="e">
        <f t="shared" si="24"/>
        <v>#DIV/0!</v>
      </c>
      <c r="I430" s="2" t="e">
        <f t="shared" si="25"/>
        <v>#DIV/0!</v>
      </c>
      <c r="J430" s="2" t="e">
        <f t="shared" si="26"/>
        <v>#NUM!</v>
      </c>
      <c r="K430">
        <f t="shared" si="27"/>
        <v>0</v>
      </c>
    </row>
    <row r="431" spans="1:11" ht="13.9" x14ac:dyDescent="0.3">
      <c r="A431" s="2" t="s">
        <v>317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 t="e">
        <f t="shared" si="24"/>
        <v>#DIV/0!</v>
      </c>
      <c r="I431" s="2" t="e">
        <f t="shared" si="25"/>
        <v>#DIV/0!</v>
      </c>
      <c r="J431" s="2" t="e">
        <f t="shared" si="26"/>
        <v>#NUM!</v>
      </c>
      <c r="K431">
        <f t="shared" si="27"/>
        <v>0</v>
      </c>
    </row>
    <row r="432" spans="1:11" ht="13.9" x14ac:dyDescent="0.3">
      <c r="A432" s="2" t="s">
        <v>318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 t="e">
        <f t="shared" si="24"/>
        <v>#DIV/0!</v>
      </c>
      <c r="I432" s="2" t="e">
        <f t="shared" si="25"/>
        <v>#DIV/0!</v>
      </c>
      <c r="J432" s="2" t="e">
        <f t="shared" si="26"/>
        <v>#NUM!</v>
      </c>
      <c r="K432">
        <f t="shared" si="27"/>
        <v>0</v>
      </c>
    </row>
    <row r="433" spans="1:11" ht="13.9" x14ac:dyDescent="0.3">
      <c r="A433" s="2" t="s">
        <v>322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 t="e">
        <f t="shared" si="24"/>
        <v>#DIV/0!</v>
      </c>
      <c r="I433" s="2" t="e">
        <f t="shared" si="25"/>
        <v>#DIV/0!</v>
      </c>
      <c r="J433" s="2" t="e">
        <f t="shared" si="26"/>
        <v>#NUM!</v>
      </c>
      <c r="K433">
        <f t="shared" si="27"/>
        <v>0</v>
      </c>
    </row>
    <row r="434" spans="1:11" ht="13.9" x14ac:dyDescent="0.3">
      <c r="A434" s="2" t="s">
        <v>329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 t="e">
        <f t="shared" si="24"/>
        <v>#DIV/0!</v>
      </c>
      <c r="I434" s="2" t="e">
        <f t="shared" si="25"/>
        <v>#DIV/0!</v>
      </c>
      <c r="J434" s="2" t="e">
        <f t="shared" si="26"/>
        <v>#NUM!</v>
      </c>
      <c r="K434">
        <f t="shared" si="27"/>
        <v>0</v>
      </c>
    </row>
    <row r="435" spans="1:11" ht="13.9" x14ac:dyDescent="0.3">
      <c r="A435" s="2" t="s">
        <v>332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24"/>
        <v>#DIV/0!</v>
      </c>
      <c r="I435" s="2" t="e">
        <f t="shared" si="25"/>
        <v>#DIV/0!</v>
      </c>
      <c r="J435" s="2" t="e">
        <f t="shared" si="26"/>
        <v>#NUM!</v>
      </c>
      <c r="K435">
        <f t="shared" si="27"/>
        <v>0</v>
      </c>
    </row>
    <row r="436" spans="1:11" ht="13.9" x14ac:dyDescent="0.3">
      <c r="A436" s="2" t="s">
        <v>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 t="e">
        <f t="shared" si="24"/>
        <v>#DIV/0!</v>
      </c>
      <c r="I436" s="2" t="e">
        <f t="shared" si="25"/>
        <v>#DIV/0!</v>
      </c>
      <c r="J436" s="2" t="e">
        <f t="shared" si="26"/>
        <v>#NUM!</v>
      </c>
      <c r="K436">
        <f t="shared" si="27"/>
        <v>0</v>
      </c>
    </row>
    <row r="437" spans="1:11" ht="13.9" x14ac:dyDescent="0.3">
      <c r="A437" s="2" t="s">
        <v>348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 t="e">
        <f t="shared" si="24"/>
        <v>#DIV/0!</v>
      </c>
      <c r="I437" s="2" t="e">
        <f t="shared" si="25"/>
        <v>#DIV/0!</v>
      </c>
      <c r="J437" s="2" t="e">
        <f t="shared" si="26"/>
        <v>#NUM!</v>
      </c>
      <c r="K437">
        <f t="shared" si="27"/>
        <v>0</v>
      </c>
    </row>
    <row r="438" spans="1:11" ht="13.9" x14ac:dyDescent="0.3">
      <c r="A438" s="2" t="s">
        <v>351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 t="e">
        <f t="shared" si="24"/>
        <v>#DIV/0!</v>
      </c>
      <c r="I438" s="2" t="e">
        <f t="shared" si="25"/>
        <v>#DIV/0!</v>
      </c>
      <c r="J438" s="2" t="e">
        <f t="shared" si="26"/>
        <v>#NUM!</v>
      </c>
      <c r="K438">
        <f t="shared" si="27"/>
        <v>0</v>
      </c>
    </row>
    <row r="439" spans="1:11" ht="13.9" x14ac:dyDescent="0.3">
      <c r="A439" s="2" t="s">
        <v>353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 t="e">
        <f t="shared" si="24"/>
        <v>#DIV/0!</v>
      </c>
      <c r="I439" s="2" t="e">
        <f t="shared" si="25"/>
        <v>#DIV/0!</v>
      </c>
      <c r="J439" s="2" t="e">
        <f t="shared" si="26"/>
        <v>#NUM!</v>
      </c>
      <c r="K439">
        <f t="shared" si="27"/>
        <v>0</v>
      </c>
    </row>
    <row r="440" spans="1:11" ht="13.9" x14ac:dyDescent="0.3">
      <c r="A440" s="2" t="s">
        <v>363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 t="e">
        <f t="shared" si="24"/>
        <v>#DIV/0!</v>
      </c>
      <c r="I440" s="2" t="e">
        <f t="shared" si="25"/>
        <v>#DIV/0!</v>
      </c>
      <c r="J440" s="2" t="e">
        <f t="shared" si="26"/>
        <v>#NUM!</v>
      </c>
      <c r="K440">
        <f t="shared" si="27"/>
        <v>0</v>
      </c>
    </row>
    <row r="441" spans="1:11" ht="13.9" x14ac:dyDescent="0.3">
      <c r="A441" s="2" t="s">
        <v>373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 t="e">
        <f t="shared" si="24"/>
        <v>#DIV/0!</v>
      </c>
      <c r="I441" s="2" t="e">
        <f t="shared" si="25"/>
        <v>#DIV/0!</v>
      </c>
      <c r="J441" s="2" t="e">
        <f t="shared" si="26"/>
        <v>#NUM!</v>
      </c>
      <c r="K441">
        <f t="shared" si="27"/>
        <v>0</v>
      </c>
    </row>
    <row r="442" spans="1:11" ht="13.9" x14ac:dyDescent="0.3">
      <c r="A442" s="2" t="s">
        <v>382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 t="e">
        <f t="shared" si="24"/>
        <v>#DIV/0!</v>
      </c>
      <c r="I442" s="2" t="e">
        <f t="shared" si="25"/>
        <v>#DIV/0!</v>
      </c>
      <c r="J442" s="2" t="e">
        <f t="shared" si="26"/>
        <v>#NUM!</v>
      </c>
      <c r="K442">
        <f t="shared" si="27"/>
        <v>0</v>
      </c>
    </row>
    <row r="443" spans="1:11" ht="13.9" x14ac:dyDescent="0.3">
      <c r="A443" s="2" t="s">
        <v>397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24"/>
        <v>#DIV/0!</v>
      </c>
      <c r="I443" s="2" t="e">
        <f t="shared" si="25"/>
        <v>#DIV/0!</v>
      </c>
      <c r="J443" s="2" t="e">
        <f t="shared" si="26"/>
        <v>#NUM!</v>
      </c>
      <c r="K443">
        <f t="shared" si="27"/>
        <v>0</v>
      </c>
    </row>
    <row r="444" spans="1:11" ht="13.9" x14ac:dyDescent="0.3">
      <c r="A444" s="2" t="s">
        <v>406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J444" s="2" t="e">
        <f t="shared" si="26"/>
        <v>#NUM!</v>
      </c>
      <c r="K444">
        <f t="shared" si="27"/>
        <v>0</v>
      </c>
    </row>
    <row r="445" spans="1:11" ht="13.9" x14ac:dyDescent="0.3">
      <c r="A445" s="2" t="s">
        <v>412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J445" s="2" t="e">
        <f t="shared" si="26"/>
        <v>#NUM!</v>
      </c>
      <c r="K445">
        <f t="shared" si="27"/>
        <v>0</v>
      </c>
    </row>
    <row r="446" spans="1:11" ht="13.9" x14ac:dyDescent="0.3">
      <c r="A446" s="2" t="s">
        <v>414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24"/>
        <v>#DIV/0!</v>
      </c>
      <c r="I446" s="2" t="e">
        <f t="shared" si="25"/>
        <v>#DIV/0!</v>
      </c>
      <c r="J446" s="2" t="e">
        <f t="shared" si="26"/>
        <v>#NUM!</v>
      </c>
      <c r="K446">
        <f t="shared" si="27"/>
        <v>0</v>
      </c>
    </row>
    <row r="447" spans="1:11" ht="13.9" x14ac:dyDescent="0.3">
      <c r="A447" s="2" t="s">
        <v>424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 t="e">
        <f t="shared" si="24"/>
        <v>#DIV/0!</v>
      </c>
      <c r="I447" s="2" t="e">
        <f t="shared" si="25"/>
        <v>#DIV/0!</v>
      </c>
      <c r="J447" s="2" t="e">
        <f t="shared" si="26"/>
        <v>#NUM!</v>
      </c>
      <c r="K447">
        <f t="shared" si="27"/>
        <v>0</v>
      </c>
    </row>
    <row r="448" spans="1:11" ht="13.9" x14ac:dyDescent="0.3">
      <c r="A448" s="2" t="s">
        <v>429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 t="e">
        <f t="shared" si="24"/>
        <v>#DIV/0!</v>
      </c>
      <c r="I448" s="2" t="e">
        <f t="shared" si="25"/>
        <v>#DIV/0!</v>
      </c>
      <c r="J448" s="2" t="e">
        <f t="shared" si="26"/>
        <v>#NUM!</v>
      </c>
      <c r="K448">
        <f t="shared" si="27"/>
        <v>0</v>
      </c>
    </row>
    <row r="449" spans="1:11" ht="13.9" x14ac:dyDescent="0.3">
      <c r="A449" s="2" t="s">
        <v>430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 t="e">
        <f t="shared" si="24"/>
        <v>#DIV/0!</v>
      </c>
      <c r="I449" s="2" t="e">
        <f t="shared" si="25"/>
        <v>#DIV/0!</v>
      </c>
      <c r="J449" s="2" t="e">
        <f t="shared" si="26"/>
        <v>#NUM!</v>
      </c>
      <c r="K449">
        <f t="shared" si="27"/>
        <v>0</v>
      </c>
    </row>
    <row r="450" spans="1:11" ht="13.9" x14ac:dyDescent="0.3">
      <c r="A450" s="2" t="s">
        <v>436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8">LOG(SUM(B450:D450)/SUM(E450:G450),2)</f>
        <v>#DIV/0!</v>
      </c>
      <c r="I450" s="2" t="e">
        <f t="shared" ref="I450:I513" si="29">_xlfn.T.TEST(B450:D450,E450:G450,2,2)</f>
        <v>#DIV/0!</v>
      </c>
      <c r="J450" s="2" t="e">
        <f t="shared" ref="J450:J513" si="30">LOG(SUM(B450:D450),2)</f>
        <v>#NUM!</v>
      </c>
      <c r="K450">
        <f t="shared" ref="K450:K513" si="31">AVERAGE(E450:G450)</f>
        <v>0</v>
      </c>
    </row>
    <row r="451" spans="1:11" ht="13.9" x14ac:dyDescent="0.3">
      <c r="A451" s="2" t="s">
        <v>444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J451" s="2" t="e">
        <f t="shared" si="30"/>
        <v>#NUM!</v>
      </c>
      <c r="K451">
        <f t="shared" si="31"/>
        <v>0</v>
      </c>
    </row>
    <row r="452" spans="1:11" ht="13.9" x14ac:dyDescent="0.3">
      <c r="A452" s="2" t="s">
        <v>462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J452" s="2" t="e">
        <f t="shared" si="30"/>
        <v>#NUM!</v>
      </c>
      <c r="K452">
        <f t="shared" si="31"/>
        <v>0</v>
      </c>
    </row>
    <row r="453" spans="1:11" ht="13.9" x14ac:dyDescent="0.3">
      <c r="A453" s="2" t="s">
        <v>468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 t="e">
        <f t="shared" si="28"/>
        <v>#DIV/0!</v>
      </c>
      <c r="I453" s="2" t="e">
        <f t="shared" si="29"/>
        <v>#DIV/0!</v>
      </c>
      <c r="J453" s="2" t="e">
        <f t="shared" si="30"/>
        <v>#NUM!</v>
      </c>
      <c r="K453">
        <f t="shared" si="31"/>
        <v>0</v>
      </c>
    </row>
    <row r="454" spans="1:11" ht="13.9" x14ac:dyDescent="0.3">
      <c r="A454" s="2" t="s">
        <v>469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 t="e">
        <f t="shared" si="28"/>
        <v>#DIV/0!</v>
      </c>
      <c r="I454" s="2" t="e">
        <f t="shared" si="29"/>
        <v>#DIV/0!</v>
      </c>
      <c r="J454" s="2" t="e">
        <f t="shared" si="30"/>
        <v>#NUM!</v>
      </c>
      <c r="K454">
        <f t="shared" si="31"/>
        <v>0</v>
      </c>
    </row>
    <row r="455" spans="1:11" ht="13.9" x14ac:dyDescent="0.3">
      <c r="A455" s="2" t="s">
        <v>473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 t="e">
        <f t="shared" si="28"/>
        <v>#DIV/0!</v>
      </c>
      <c r="I455" s="2" t="e">
        <f t="shared" si="29"/>
        <v>#DIV/0!</v>
      </c>
      <c r="J455" s="2" t="e">
        <f t="shared" si="30"/>
        <v>#NUM!</v>
      </c>
      <c r="K455">
        <f t="shared" si="31"/>
        <v>0</v>
      </c>
    </row>
    <row r="456" spans="1:11" ht="13.9" x14ac:dyDescent="0.3">
      <c r="A456" s="2" t="s">
        <v>478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J456" s="2" t="e">
        <f t="shared" si="30"/>
        <v>#NUM!</v>
      </c>
      <c r="K456">
        <f t="shared" si="31"/>
        <v>0</v>
      </c>
    </row>
    <row r="457" spans="1:11" ht="13.9" x14ac:dyDescent="0.3">
      <c r="A457" s="2" t="s">
        <v>483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 t="e">
        <f t="shared" si="28"/>
        <v>#DIV/0!</v>
      </c>
      <c r="I457" s="2" t="e">
        <f t="shared" si="29"/>
        <v>#DIV/0!</v>
      </c>
      <c r="J457" s="2" t="e">
        <f t="shared" si="30"/>
        <v>#NUM!</v>
      </c>
      <c r="K457">
        <f t="shared" si="31"/>
        <v>0</v>
      </c>
    </row>
    <row r="458" spans="1:11" ht="13.9" x14ac:dyDescent="0.3">
      <c r="A458" s="2" t="s">
        <v>484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 t="e">
        <f t="shared" si="28"/>
        <v>#DIV/0!</v>
      </c>
      <c r="I458" s="2" t="e">
        <f t="shared" si="29"/>
        <v>#DIV/0!</v>
      </c>
      <c r="J458" s="2" t="e">
        <f t="shared" si="30"/>
        <v>#NUM!</v>
      </c>
      <c r="K458">
        <f t="shared" si="31"/>
        <v>0</v>
      </c>
    </row>
    <row r="459" spans="1:11" ht="13.9" x14ac:dyDescent="0.3">
      <c r="A459" s="2" t="s">
        <v>488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 t="e">
        <f t="shared" si="28"/>
        <v>#DIV/0!</v>
      </c>
      <c r="I459" s="2" t="e">
        <f t="shared" si="29"/>
        <v>#DIV/0!</v>
      </c>
      <c r="J459" s="2" t="e">
        <f t="shared" si="30"/>
        <v>#NUM!</v>
      </c>
      <c r="K459">
        <f t="shared" si="31"/>
        <v>0</v>
      </c>
    </row>
    <row r="460" spans="1:11" ht="13.9" x14ac:dyDescent="0.3">
      <c r="A460" s="2" t="s">
        <v>490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 t="e">
        <f t="shared" si="28"/>
        <v>#DIV/0!</v>
      </c>
      <c r="I460" s="2" t="e">
        <f t="shared" si="29"/>
        <v>#DIV/0!</v>
      </c>
      <c r="J460" s="2" t="e">
        <f t="shared" si="30"/>
        <v>#NUM!</v>
      </c>
      <c r="K460">
        <f t="shared" si="31"/>
        <v>0</v>
      </c>
    </row>
    <row r="461" spans="1:11" ht="13.9" x14ac:dyDescent="0.3">
      <c r="A461" s="2" t="s">
        <v>499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J461" s="2" t="e">
        <f t="shared" si="30"/>
        <v>#NUM!</v>
      </c>
      <c r="K461">
        <f t="shared" si="31"/>
        <v>0</v>
      </c>
    </row>
    <row r="462" spans="1:11" ht="13.9" x14ac:dyDescent="0.3">
      <c r="A462" s="2" t="s">
        <v>500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J462" s="2" t="e">
        <f t="shared" si="30"/>
        <v>#NUM!</v>
      </c>
      <c r="K462">
        <f t="shared" si="31"/>
        <v>0</v>
      </c>
    </row>
    <row r="463" spans="1:11" ht="13.9" x14ac:dyDescent="0.3">
      <c r="A463" s="2" t="s">
        <v>502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 t="e">
        <f t="shared" si="28"/>
        <v>#DIV/0!</v>
      </c>
      <c r="I463" s="2" t="e">
        <f t="shared" si="29"/>
        <v>#DIV/0!</v>
      </c>
      <c r="J463" s="2" t="e">
        <f t="shared" si="30"/>
        <v>#NUM!</v>
      </c>
      <c r="K463">
        <f t="shared" si="31"/>
        <v>0</v>
      </c>
    </row>
    <row r="464" spans="1:11" ht="13.9" x14ac:dyDescent="0.3">
      <c r="A464" s="2" t="s">
        <v>503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 t="e">
        <f t="shared" si="28"/>
        <v>#DIV/0!</v>
      </c>
      <c r="I464" s="2" t="e">
        <f t="shared" si="29"/>
        <v>#DIV/0!</v>
      </c>
      <c r="J464" s="2" t="e">
        <f t="shared" si="30"/>
        <v>#NUM!</v>
      </c>
      <c r="K464">
        <f t="shared" si="31"/>
        <v>0</v>
      </c>
    </row>
    <row r="465" spans="1:11" ht="13.9" x14ac:dyDescent="0.3">
      <c r="A465" s="2" t="s">
        <v>508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J465" s="2" t="e">
        <f t="shared" si="30"/>
        <v>#NUM!</v>
      </c>
      <c r="K465">
        <f t="shared" si="31"/>
        <v>0</v>
      </c>
    </row>
    <row r="466" spans="1:11" ht="13.9" x14ac:dyDescent="0.3">
      <c r="A466" s="2" t="s">
        <v>522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J466" s="2" t="e">
        <f t="shared" si="30"/>
        <v>#NUM!</v>
      </c>
      <c r="K466">
        <f t="shared" si="31"/>
        <v>0</v>
      </c>
    </row>
    <row r="467" spans="1:11" ht="13.9" x14ac:dyDescent="0.3">
      <c r="A467" s="2" t="s">
        <v>524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 t="e">
        <f t="shared" si="29"/>
        <v>#DIV/0!</v>
      </c>
      <c r="J467" s="2" t="e">
        <f t="shared" si="30"/>
        <v>#NUM!</v>
      </c>
      <c r="K467">
        <f t="shared" si="31"/>
        <v>0</v>
      </c>
    </row>
    <row r="468" spans="1:11" ht="13.9" x14ac:dyDescent="0.3">
      <c r="A468" s="2" t="s">
        <v>525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 t="e">
        <f t="shared" si="28"/>
        <v>#DIV/0!</v>
      </c>
      <c r="I468" s="2" t="e">
        <f t="shared" si="29"/>
        <v>#DIV/0!</v>
      </c>
      <c r="J468" s="2" t="e">
        <f t="shared" si="30"/>
        <v>#NUM!</v>
      </c>
      <c r="K468">
        <f t="shared" si="31"/>
        <v>0</v>
      </c>
    </row>
    <row r="469" spans="1:11" ht="13.9" x14ac:dyDescent="0.3">
      <c r="A469" s="2" t="s">
        <v>528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 t="e">
        <f t="shared" si="28"/>
        <v>#DIV/0!</v>
      </c>
      <c r="I469" s="2" t="e">
        <f t="shared" si="29"/>
        <v>#DIV/0!</v>
      </c>
      <c r="J469" s="2" t="e">
        <f t="shared" si="30"/>
        <v>#NUM!</v>
      </c>
      <c r="K469">
        <f t="shared" si="31"/>
        <v>0</v>
      </c>
    </row>
    <row r="470" spans="1:11" ht="13.9" x14ac:dyDescent="0.3">
      <c r="A470" s="2" t="s">
        <v>530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8"/>
        <v>#DIV/0!</v>
      </c>
      <c r="I470" s="2" t="e">
        <f t="shared" si="29"/>
        <v>#DIV/0!</v>
      </c>
      <c r="J470" s="2" t="e">
        <f t="shared" si="30"/>
        <v>#NUM!</v>
      </c>
      <c r="K470">
        <f t="shared" si="31"/>
        <v>0</v>
      </c>
    </row>
    <row r="471" spans="1:11" ht="13.9" x14ac:dyDescent="0.3">
      <c r="A471" s="2" t="s">
        <v>532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J471" s="2" t="e">
        <f t="shared" si="30"/>
        <v>#NUM!</v>
      </c>
      <c r="K471">
        <f t="shared" si="31"/>
        <v>0</v>
      </c>
    </row>
    <row r="472" spans="1:11" ht="13.9" x14ac:dyDescent="0.3">
      <c r="A472" s="2" t="s">
        <v>533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 t="e">
        <f t="shared" si="28"/>
        <v>#DIV/0!</v>
      </c>
      <c r="I472" s="2" t="e">
        <f t="shared" si="29"/>
        <v>#DIV/0!</v>
      </c>
      <c r="J472" s="2" t="e">
        <f t="shared" si="30"/>
        <v>#NUM!</v>
      </c>
      <c r="K472">
        <f t="shared" si="31"/>
        <v>0</v>
      </c>
    </row>
    <row r="473" spans="1:11" ht="13.9" x14ac:dyDescent="0.3">
      <c r="A473" s="2" t="s">
        <v>538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 t="e">
        <f t="shared" si="29"/>
        <v>#DIV/0!</v>
      </c>
      <c r="J473" s="2" t="e">
        <f t="shared" si="30"/>
        <v>#NUM!</v>
      </c>
      <c r="K473">
        <f t="shared" si="31"/>
        <v>0</v>
      </c>
    </row>
    <row r="474" spans="1:11" ht="13.9" x14ac:dyDescent="0.3">
      <c r="A474" s="2" t="s">
        <v>541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J474" s="2" t="e">
        <f t="shared" si="30"/>
        <v>#NUM!</v>
      </c>
      <c r="K474">
        <f t="shared" si="31"/>
        <v>0</v>
      </c>
    </row>
    <row r="475" spans="1:11" ht="13.9" x14ac:dyDescent="0.3">
      <c r="A475" s="2" t="s">
        <v>542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8"/>
        <v>#DIV/0!</v>
      </c>
      <c r="I475" s="2" t="e">
        <f t="shared" si="29"/>
        <v>#DIV/0!</v>
      </c>
      <c r="J475" s="2" t="e">
        <f t="shared" si="30"/>
        <v>#NUM!</v>
      </c>
      <c r="K475">
        <f t="shared" si="31"/>
        <v>0</v>
      </c>
    </row>
    <row r="476" spans="1:11" ht="13.9" x14ac:dyDescent="0.3">
      <c r="A476" s="2" t="s">
        <v>547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 t="e">
        <f t="shared" si="28"/>
        <v>#DIV/0!</v>
      </c>
      <c r="I476" s="2" t="e">
        <f t="shared" si="29"/>
        <v>#DIV/0!</v>
      </c>
      <c r="J476" s="2" t="e">
        <f t="shared" si="30"/>
        <v>#NUM!</v>
      </c>
      <c r="K476">
        <f t="shared" si="31"/>
        <v>0</v>
      </c>
    </row>
    <row r="477" spans="1:11" ht="13.9" x14ac:dyDescent="0.3">
      <c r="A477" s="2" t="s">
        <v>548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8"/>
        <v>#DIV/0!</v>
      </c>
      <c r="I477" s="2" t="e">
        <f t="shared" si="29"/>
        <v>#DIV/0!</v>
      </c>
      <c r="J477" s="2" t="e">
        <f t="shared" si="30"/>
        <v>#NUM!</v>
      </c>
      <c r="K477">
        <f t="shared" si="31"/>
        <v>0</v>
      </c>
    </row>
    <row r="478" spans="1:11" ht="13.9" x14ac:dyDescent="0.3">
      <c r="A478" s="2" t="s">
        <v>555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 t="e">
        <f t="shared" si="28"/>
        <v>#DIV/0!</v>
      </c>
      <c r="I478" s="2" t="e">
        <f t="shared" si="29"/>
        <v>#DIV/0!</v>
      </c>
      <c r="J478" s="2" t="e">
        <f t="shared" si="30"/>
        <v>#NUM!</v>
      </c>
      <c r="K478">
        <f t="shared" si="31"/>
        <v>0</v>
      </c>
    </row>
    <row r="479" spans="1:11" ht="13.9" x14ac:dyDescent="0.3">
      <c r="A479" s="2" t="s">
        <v>557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 t="e">
        <f t="shared" si="28"/>
        <v>#DIV/0!</v>
      </c>
      <c r="I479" s="2" t="e">
        <f t="shared" si="29"/>
        <v>#DIV/0!</v>
      </c>
      <c r="J479" s="2" t="e">
        <f t="shared" si="30"/>
        <v>#NUM!</v>
      </c>
      <c r="K479">
        <f t="shared" si="31"/>
        <v>0</v>
      </c>
    </row>
    <row r="480" spans="1:11" ht="13.9" x14ac:dyDescent="0.3">
      <c r="A480" s="2" t="s">
        <v>558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 t="e">
        <f t="shared" si="28"/>
        <v>#DIV/0!</v>
      </c>
      <c r="I480" s="2" t="e">
        <f t="shared" si="29"/>
        <v>#DIV/0!</v>
      </c>
      <c r="J480" s="2" t="e">
        <f t="shared" si="30"/>
        <v>#NUM!</v>
      </c>
      <c r="K480">
        <f t="shared" si="31"/>
        <v>0</v>
      </c>
    </row>
    <row r="481" spans="1:11" ht="13.9" x14ac:dyDescent="0.3">
      <c r="A481" s="2" t="s">
        <v>562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8"/>
        <v>#DIV/0!</v>
      </c>
      <c r="I481" s="2" t="e">
        <f t="shared" si="29"/>
        <v>#DIV/0!</v>
      </c>
      <c r="J481" s="2" t="e">
        <f t="shared" si="30"/>
        <v>#NUM!</v>
      </c>
      <c r="K481">
        <f t="shared" si="31"/>
        <v>0</v>
      </c>
    </row>
    <row r="482" spans="1:11" ht="13.9" x14ac:dyDescent="0.3">
      <c r="A482" s="2" t="s">
        <v>564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J482" s="2" t="e">
        <f t="shared" si="30"/>
        <v>#NUM!</v>
      </c>
      <c r="K482">
        <f t="shared" si="31"/>
        <v>0</v>
      </c>
    </row>
    <row r="483" spans="1:11" ht="13.9" x14ac:dyDescent="0.3">
      <c r="A483" s="2" t="s">
        <v>565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8"/>
        <v>#DIV/0!</v>
      </c>
      <c r="I483" s="2" t="e">
        <f t="shared" si="29"/>
        <v>#DIV/0!</v>
      </c>
      <c r="J483" s="2" t="e">
        <f t="shared" si="30"/>
        <v>#NUM!</v>
      </c>
      <c r="K483">
        <f t="shared" si="31"/>
        <v>0</v>
      </c>
    </row>
    <row r="484" spans="1:11" ht="13.9" x14ac:dyDescent="0.3">
      <c r="A484" s="2" t="s">
        <v>567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J484" s="2" t="e">
        <f t="shared" si="30"/>
        <v>#NUM!</v>
      </c>
      <c r="K484">
        <f t="shared" si="31"/>
        <v>0</v>
      </c>
    </row>
    <row r="485" spans="1:11" ht="13.9" x14ac:dyDescent="0.3">
      <c r="A485" s="2" t="s">
        <v>569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 t="e">
        <f t="shared" si="29"/>
        <v>#DIV/0!</v>
      </c>
      <c r="J485" s="2" t="e">
        <f t="shared" si="30"/>
        <v>#NUM!</v>
      </c>
      <c r="K485">
        <f t="shared" si="31"/>
        <v>0</v>
      </c>
    </row>
    <row r="486" spans="1:11" ht="13.9" x14ac:dyDescent="0.3">
      <c r="A486" s="2" t="s">
        <v>572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J486" s="2" t="e">
        <f t="shared" si="30"/>
        <v>#NUM!</v>
      </c>
      <c r="K486">
        <f t="shared" si="31"/>
        <v>0</v>
      </c>
    </row>
    <row r="487" spans="1:11" ht="13.9" x14ac:dyDescent="0.3">
      <c r="A487" s="2" t="s">
        <v>579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 t="e">
        <f t="shared" si="28"/>
        <v>#DIV/0!</v>
      </c>
      <c r="I487" s="2" t="e">
        <f t="shared" si="29"/>
        <v>#DIV/0!</v>
      </c>
      <c r="J487" s="2" t="e">
        <f t="shared" si="30"/>
        <v>#NUM!</v>
      </c>
      <c r="K487">
        <f t="shared" si="31"/>
        <v>0</v>
      </c>
    </row>
    <row r="488" spans="1:11" ht="13.9" x14ac:dyDescent="0.3">
      <c r="A488" s="2" t="s">
        <v>583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 t="e">
        <f t="shared" si="28"/>
        <v>#DIV/0!</v>
      </c>
      <c r="I488" s="2" t="e">
        <f t="shared" si="29"/>
        <v>#DIV/0!</v>
      </c>
      <c r="J488" s="2" t="e">
        <f t="shared" si="30"/>
        <v>#NUM!</v>
      </c>
      <c r="K488">
        <f t="shared" si="31"/>
        <v>0</v>
      </c>
    </row>
    <row r="489" spans="1:11" ht="13.9" x14ac:dyDescent="0.3">
      <c r="A489" s="2" t="s">
        <v>587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8"/>
        <v>#DIV/0!</v>
      </c>
      <c r="I489" s="2" t="e">
        <f t="shared" si="29"/>
        <v>#DIV/0!</v>
      </c>
      <c r="J489" s="2" t="e">
        <f t="shared" si="30"/>
        <v>#NUM!</v>
      </c>
      <c r="K489">
        <f t="shared" si="31"/>
        <v>0</v>
      </c>
    </row>
    <row r="490" spans="1:11" ht="13.9" x14ac:dyDescent="0.3">
      <c r="A490" s="2" t="s">
        <v>593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 t="e">
        <f t="shared" si="28"/>
        <v>#DIV/0!</v>
      </c>
      <c r="I490" s="2" t="e">
        <f t="shared" si="29"/>
        <v>#DIV/0!</v>
      </c>
      <c r="J490" s="2" t="e">
        <f t="shared" si="30"/>
        <v>#NUM!</v>
      </c>
      <c r="K490">
        <f t="shared" si="31"/>
        <v>0</v>
      </c>
    </row>
    <row r="491" spans="1:11" ht="13.9" x14ac:dyDescent="0.3">
      <c r="A491" s="2" t="s">
        <v>599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J491" s="2" t="e">
        <f t="shared" si="30"/>
        <v>#NUM!</v>
      </c>
      <c r="K491">
        <f t="shared" si="31"/>
        <v>0</v>
      </c>
    </row>
    <row r="492" spans="1:11" ht="13.9" x14ac:dyDescent="0.3">
      <c r="A492" s="2" t="s">
        <v>600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8"/>
        <v>#DIV/0!</v>
      </c>
      <c r="I492" s="2" t="e">
        <f t="shared" si="29"/>
        <v>#DIV/0!</v>
      </c>
      <c r="J492" s="2" t="e">
        <f t="shared" si="30"/>
        <v>#NUM!</v>
      </c>
      <c r="K492">
        <f t="shared" si="31"/>
        <v>0</v>
      </c>
    </row>
    <row r="493" spans="1:11" ht="13.9" x14ac:dyDescent="0.3">
      <c r="A493" s="2" t="s">
        <v>609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 t="e">
        <f t="shared" si="28"/>
        <v>#DIV/0!</v>
      </c>
      <c r="I493" s="2" t="e">
        <f t="shared" si="29"/>
        <v>#DIV/0!</v>
      </c>
      <c r="J493" s="2" t="e">
        <f t="shared" si="30"/>
        <v>#NUM!</v>
      </c>
      <c r="K493">
        <f t="shared" si="31"/>
        <v>0</v>
      </c>
    </row>
    <row r="494" spans="1:11" ht="13.9" x14ac:dyDescent="0.3">
      <c r="A494" s="2" t="s">
        <v>613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 t="e">
        <f t="shared" si="28"/>
        <v>#DIV/0!</v>
      </c>
      <c r="I494" s="2" t="e">
        <f t="shared" si="29"/>
        <v>#DIV/0!</v>
      </c>
      <c r="J494" s="2" t="e">
        <f t="shared" si="30"/>
        <v>#NUM!</v>
      </c>
      <c r="K494">
        <f t="shared" si="31"/>
        <v>0</v>
      </c>
    </row>
    <row r="495" spans="1:11" ht="13.9" x14ac:dyDescent="0.3">
      <c r="A495" s="2" t="s">
        <v>616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8"/>
        <v>#DIV/0!</v>
      </c>
      <c r="I495" s="2" t="e">
        <f t="shared" si="29"/>
        <v>#DIV/0!</v>
      </c>
      <c r="J495" s="2" t="e">
        <f t="shared" si="30"/>
        <v>#NUM!</v>
      </c>
      <c r="K495">
        <f t="shared" si="31"/>
        <v>0</v>
      </c>
    </row>
    <row r="496" spans="1:11" ht="13.9" x14ac:dyDescent="0.3">
      <c r="A496" s="2" t="s">
        <v>620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J496" s="2" t="e">
        <f t="shared" si="30"/>
        <v>#NUM!</v>
      </c>
      <c r="K496">
        <f t="shared" si="31"/>
        <v>0</v>
      </c>
    </row>
    <row r="497" spans="1:11" ht="13.9" x14ac:dyDescent="0.3">
      <c r="A497" s="2" t="s">
        <v>639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 t="e">
        <f t="shared" si="28"/>
        <v>#DIV/0!</v>
      </c>
      <c r="I497" s="2" t="e">
        <f t="shared" si="29"/>
        <v>#DIV/0!</v>
      </c>
      <c r="J497" s="2" t="e">
        <f t="shared" si="30"/>
        <v>#NUM!</v>
      </c>
      <c r="K497">
        <f t="shared" si="31"/>
        <v>0</v>
      </c>
    </row>
    <row r="498" spans="1:11" ht="13.9" x14ac:dyDescent="0.3">
      <c r="A498" s="2" t="s">
        <v>643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J498" s="2" t="e">
        <f t="shared" si="30"/>
        <v>#NUM!</v>
      </c>
      <c r="K498">
        <f t="shared" si="31"/>
        <v>0</v>
      </c>
    </row>
    <row r="499" spans="1:11" ht="13.9" x14ac:dyDescent="0.3">
      <c r="A499" s="2" t="s">
        <v>644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 t="e">
        <f t="shared" si="28"/>
        <v>#DIV/0!</v>
      </c>
      <c r="I499" s="2" t="e">
        <f t="shared" si="29"/>
        <v>#DIV/0!</v>
      </c>
      <c r="J499" s="2" t="e">
        <f t="shared" si="30"/>
        <v>#NUM!</v>
      </c>
      <c r="K499">
        <f t="shared" si="31"/>
        <v>0</v>
      </c>
    </row>
    <row r="500" spans="1:11" ht="13.9" x14ac:dyDescent="0.3">
      <c r="A500" s="2" t="s">
        <v>647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8"/>
        <v>#DIV/0!</v>
      </c>
      <c r="I500" s="2" t="e">
        <f t="shared" si="29"/>
        <v>#DIV/0!</v>
      </c>
      <c r="J500" s="2" t="e">
        <f t="shared" si="30"/>
        <v>#NUM!</v>
      </c>
      <c r="K500">
        <f t="shared" si="31"/>
        <v>0</v>
      </c>
    </row>
    <row r="501" spans="1:11" ht="13.9" x14ac:dyDescent="0.3">
      <c r="A501" s="2" t="s">
        <v>649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8"/>
        <v>#DIV/0!</v>
      </c>
      <c r="I501" s="2" t="e">
        <f t="shared" si="29"/>
        <v>#DIV/0!</v>
      </c>
      <c r="J501" s="2" t="e">
        <f t="shared" si="30"/>
        <v>#NUM!</v>
      </c>
      <c r="K501">
        <f t="shared" si="31"/>
        <v>0</v>
      </c>
    </row>
    <row r="502" spans="1:11" ht="13.9" x14ac:dyDescent="0.3">
      <c r="A502" s="2" t="s">
        <v>651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8"/>
        <v>#DIV/0!</v>
      </c>
      <c r="I502" s="2" t="e">
        <f t="shared" si="29"/>
        <v>#DIV/0!</v>
      </c>
      <c r="J502" s="2" t="e">
        <f t="shared" si="30"/>
        <v>#NUM!</v>
      </c>
      <c r="K502">
        <f t="shared" si="31"/>
        <v>0</v>
      </c>
    </row>
    <row r="503" spans="1:11" ht="13.9" x14ac:dyDescent="0.3">
      <c r="A503" s="2" t="s">
        <v>654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J503" s="2" t="e">
        <f t="shared" si="30"/>
        <v>#NUM!</v>
      </c>
      <c r="K503">
        <f t="shared" si="31"/>
        <v>0</v>
      </c>
    </row>
    <row r="504" spans="1:11" ht="13.9" x14ac:dyDescent="0.3">
      <c r="A504" s="2" t="s">
        <v>657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8"/>
        <v>#DIV/0!</v>
      </c>
      <c r="I504" s="2" t="e">
        <f t="shared" si="29"/>
        <v>#DIV/0!</v>
      </c>
      <c r="J504" s="2" t="e">
        <f t="shared" si="30"/>
        <v>#NUM!</v>
      </c>
      <c r="K504">
        <f t="shared" si="31"/>
        <v>0</v>
      </c>
    </row>
    <row r="505" spans="1:11" ht="13.9" x14ac:dyDescent="0.3">
      <c r="A505" s="2" t="s">
        <v>658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8"/>
        <v>#DIV/0!</v>
      </c>
      <c r="I505" s="2" t="e">
        <f t="shared" si="29"/>
        <v>#DIV/0!</v>
      </c>
      <c r="J505" s="2" t="e">
        <f t="shared" si="30"/>
        <v>#NUM!</v>
      </c>
      <c r="K505">
        <f t="shared" si="31"/>
        <v>0</v>
      </c>
    </row>
    <row r="506" spans="1:11" ht="13.9" x14ac:dyDescent="0.3">
      <c r="A506" s="2" t="s">
        <v>669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 t="e">
        <f t="shared" si="28"/>
        <v>#DIV/0!</v>
      </c>
      <c r="I506" s="2" t="e">
        <f t="shared" si="29"/>
        <v>#DIV/0!</v>
      </c>
      <c r="J506" s="2" t="e">
        <f t="shared" si="30"/>
        <v>#NUM!</v>
      </c>
      <c r="K506">
        <f t="shared" si="31"/>
        <v>0</v>
      </c>
    </row>
    <row r="507" spans="1:11" ht="13.9" x14ac:dyDescent="0.3">
      <c r="A507" s="2" t="s">
        <v>670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J507" s="2" t="e">
        <f t="shared" si="30"/>
        <v>#NUM!</v>
      </c>
      <c r="K507">
        <f t="shared" si="31"/>
        <v>0</v>
      </c>
    </row>
    <row r="508" spans="1:11" ht="13.9" x14ac:dyDescent="0.3">
      <c r="A508" s="2" t="s">
        <v>676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J508" s="2" t="e">
        <f t="shared" si="30"/>
        <v>#NUM!</v>
      </c>
      <c r="K508">
        <f t="shared" si="31"/>
        <v>0</v>
      </c>
    </row>
    <row r="509" spans="1:11" ht="13.9" x14ac:dyDescent="0.3">
      <c r="A509" s="2" t="s">
        <v>677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 t="e">
        <f t="shared" si="28"/>
        <v>#DIV/0!</v>
      </c>
      <c r="I509" s="2" t="e">
        <f t="shared" si="29"/>
        <v>#DIV/0!</v>
      </c>
      <c r="J509" s="2" t="e">
        <f t="shared" si="30"/>
        <v>#NUM!</v>
      </c>
      <c r="K509">
        <f t="shared" si="31"/>
        <v>0</v>
      </c>
    </row>
    <row r="510" spans="1:11" ht="13.9" x14ac:dyDescent="0.3">
      <c r="A510" s="2" t="s">
        <v>688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J510" s="2" t="e">
        <f t="shared" si="30"/>
        <v>#NUM!</v>
      </c>
      <c r="K510">
        <f t="shared" si="31"/>
        <v>0</v>
      </c>
    </row>
    <row r="511" spans="1:11" ht="13.9" x14ac:dyDescent="0.3">
      <c r="A511" s="2" t="s">
        <v>696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J511" s="2" t="e">
        <f t="shared" si="30"/>
        <v>#NUM!</v>
      </c>
      <c r="K511">
        <f t="shared" si="31"/>
        <v>0</v>
      </c>
    </row>
    <row r="512" spans="1:11" ht="13.9" x14ac:dyDescent="0.3">
      <c r="A512" s="2" t="s">
        <v>697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J512" s="2" t="e">
        <f t="shared" si="30"/>
        <v>#NUM!</v>
      </c>
      <c r="K512">
        <f t="shared" si="31"/>
        <v>0</v>
      </c>
    </row>
    <row r="513" spans="1:11" ht="13.9" x14ac:dyDescent="0.3">
      <c r="A513" s="2" t="s">
        <v>701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J513" s="2" t="e">
        <f t="shared" si="30"/>
        <v>#NUM!</v>
      </c>
      <c r="K513">
        <f t="shared" si="31"/>
        <v>0</v>
      </c>
    </row>
    <row r="514" spans="1:11" ht="13.9" x14ac:dyDescent="0.3">
      <c r="A514" s="2" t="s">
        <v>702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 t="e">
        <f t="shared" ref="H514:H577" si="32">LOG(SUM(B514:D514)/SUM(E514:G514),2)</f>
        <v>#DIV/0!</v>
      </c>
      <c r="I514" s="2" t="e">
        <f t="shared" ref="I514:I577" si="33">_xlfn.T.TEST(B514:D514,E514:G514,2,2)</f>
        <v>#DIV/0!</v>
      </c>
      <c r="J514" s="2" t="e">
        <f t="shared" ref="J514:J577" si="34">LOG(SUM(B514:D514),2)</f>
        <v>#NUM!</v>
      </c>
      <c r="K514">
        <f t="shared" ref="K514:K577" si="35">AVERAGE(E514:G514)</f>
        <v>0</v>
      </c>
    </row>
    <row r="515" spans="1:11" ht="13.9" x14ac:dyDescent="0.3">
      <c r="A515" s="2" t="s">
        <v>704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J515" s="2" t="e">
        <f t="shared" si="34"/>
        <v>#NUM!</v>
      </c>
      <c r="K515">
        <f t="shared" si="35"/>
        <v>0</v>
      </c>
    </row>
    <row r="516" spans="1:11" ht="13.9" x14ac:dyDescent="0.3">
      <c r="A516" s="2" t="s">
        <v>708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J516" s="2" t="e">
        <f t="shared" si="34"/>
        <v>#NUM!</v>
      </c>
      <c r="K516">
        <f t="shared" si="35"/>
        <v>0</v>
      </c>
    </row>
    <row r="517" spans="1:11" ht="13.9" x14ac:dyDescent="0.3">
      <c r="A517" s="2" t="s">
        <v>709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 t="e">
        <f t="shared" si="32"/>
        <v>#DIV/0!</v>
      </c>
      <c r="I517" s="2" t="e">
        <f t="shared" si="33"/>
        <v>#DIV/0!</v>
      </c>
      <c r="J517" s="2" t="e">
        <f t="shared" si="34"/>
        <v>#NUM!</v>
      </c>
      <c r="K517">
        <f t="shared" si="35"/>
        <v>0</v>
      </c>
    </row>
    <row r="518" spans="1:11" ht="13.9" x14ac:dyDescent="0.3">
      <c r="A518" s="2" t="s">
        <v>712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 t="e">
        <f t="shared" si="32"/>
        <v>#DIV/0!</v>
      </c>
      <c r="I518" s="2" t="e">
        <f t="shared" si="33"/>
        <v>#DIV/0!</v>
      </c>
      <c r="J518" s="2" t="e">
        <f t="shared" si="34"/>
        <v>#NUM!</v>
      </c>
      <c r="K518">
        <f t="shared" si="35"/>
        <v>0</v>
      </c>
    </row>
    <row r="519" spans="1:11" ht="13.9" x14ac:dyDescent="0.3">
      <c r="A519" s="2" t="s">
        <v>725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32"/>
        <v>#DIV/0!</v>
      </c>
      <c r="I519" s="2" t="e">
        <f t="shared" si="33"/>
        <v>#DIV/0!</v>
      </c>
      <c r="J519" s="2" t="e">
        <f t="shared" si="34"/>
        <v>#NUM!</v>
      </c>
      <c r="K519">
        <f t="shared" si="35"/>
        <v>0</v>
      </c>
    </row>
    <row r="520" spans="1:11" ht="13.9" x14ac:dyDescent="0.3">
      <c r="A520" s="2" t="s">
        <v>736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J520" s="2" t="e">
        <f t="shared" si="34"/>
        <v>#NUM!</v>
      </c>
      <c r="K520">
        <f t="shared" si="35"/>
        <v>0</v>
      </c>
    </row>
    <row r="521" spans="1:11" ht="13.9" x14ac:dyDescent="0.3">
      <c r="A521" s="2" t="s">
        <v>738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32"/>
        <v>#DIV/0!</v>
      </c>
      <c r="I521" s="2" t="e">
        <f t="shared" si="33"/>
        <v>#DIV/0!</v>
      </c>
      <c r="J521" s="2" t="e">
        <f t="shared" si="34"/>
        <v>#NUM!</v>
      </c>
      <c r="K521">
        <f t="shared" si="35"/>
        <v>0</v>
      </c>
    </row>
    <row r="522" spans="1:11" ht="13.9" x14ac:dyDescent="0.3">
      <c r="A522" s="2" t="s">
        <v>741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32"/>
        <v>#DIV/0!</v>
      </c>
      <c r="I522" s="2" t="e">
        <f t="shared" si="33"/>
        <v>#DIV/0!</v>
      </c>
      <c r="J522" s="2" t="e">
        <f t="shared" si="34"/>
        <v>#NUM!</v>
      </c>
      <c r="K522">
        <f t="shared" si="35"/>
        <v>0</v>
      </c>
    </row>
    <row r="523" spans="1:11" ht="13.9" x14ac:dyDescent="0.3">
      <c r="A523" s="2" t="s">
        <v>742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 t="e">
        <f t="shared" si="32"/>
        <v>#DIV/0!</v>
      </c>
      <c r="I523" s="2" t="e">
        <f t="shared" si="33"/>
        <v>#DIV/0!</v>
      </c>
      <c r="J523" s="2" t="e">
        <f t="shared" si="34"/>
        <v>#NUM!</v>
      </c>
      <c r="K523">
        <f t="shared" si="35"/>
        <v>0</v>
      </c>
    </row>
    <row r="524" spans="1:11" ht="13.9" x14ac:dyDescent="0.3">
      <c r="A524" s="2" t="s">
        <v>744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J524" s="2" t="e">
        <f t="shared" si="34"/>
        <v>#NUM!</v>
      </c>
      <c r="K524">
        <f t="shared" si="35"/>
        <v>0</v>
      </c>
    </row>
    <row r="525" spans="1:11" ht="13.9" x14ac:dyDescent="0.3">
      <c r="A525" s="2" t="s">
        <v>745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J525" s="2" t="e">
        <f t="shared" si="34"/>
        <v>#NUM!</v>
      </c>
      <c r="K525">
        <f t="shared" si="35"/>
        <v>0</v>
      </c>
    </row>
    <row r="526" spans="1:11" ht="13.9" x14ac:dyDescent="0.3">
      <c r="A526" s="2" t="s">
        <v>749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 t="e">
        <f t="shared" si="32"/>
        <v>#DIV/0!</v>
      </c>
      <c r="I526" s="2" t="e">
        <f t="shared" si="33"/>
        <v>#DIV/0!</v>
      </c>
      <c r="J526" s="2" t="e">
        <f t="shared" si="34"/>
        <v>#NUM!</v>
      </c>
      <c r="K526">
        <f t="shared" si="35"/>
        <v>0</v>
      </c>
    </row>
    <row r="527" spans="1:11" ht="13.9" x14ac:dyDescent="0.3">
      <c r="A527" s="2" t="s">
        <v>750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 t="e">
        <f t="shared" si="32"/>
        <v>#DIV/0!</v>
      </c>
      <c r="I527" s="2" t="e">
        <f t="shared" si="33"/>
        <v>#DIV/0!</v>
      </c>
      <c r="J527" s="2" t="e">
        <f t="shared" si="34"/>
        <v>#NUM!</v>
      </c>
      <c r="K527">
        <f t="shared" si="35"/>
        <v>0</v>
      </c>
    </row>
    <row r="528" spans="1:11" ht="13.9" x14ac:dyDescent="0.3">
      <c r="A528" s="2" t="s">
        <v>755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 t="e">
        <f t="shared" si="32"/>
        <v>#DIV/0!</v>
      </c>
      <c r="I528" s="2" t="e">
        <f t="shared" si="33"/>
        <v>#DIV/0!</v>
      </c>
      <c r="J528" s="2" t="e">
        <f t="shared" si="34"/>
        <v>#NUM!</v>
      </c>
      <c r="K528">
        <f t="shared" si="35"/>
        <v>0</v>
      </c>
    </row>
    <row r="529" spans="1:11" ht="13.9" x14ac:dyDescent="0.3">
      <c r="A529" s="2" t="s">
        <v>756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 t="e">
        <f t="shared" si="32"/>
        <v>#DIV/0!</v>
      </c>
      <c r="I529" s="2" t="e">
        <f t="shared" si="33"/>
        <v>#DIV/0!</v>
      </c>
      <c r="J529" s="2" t="e">
        <f t="shared" si="34"/>
        <v>#NUM!</v>
      </c>
      <c r="K529">
        <f t="shared" si="35"/>
        <v>0</v>
      </c>
    </row>
    <row r="530" spans="1:11" ht="13.9" x14ac:dyDescent="0.3">
      <c r="A530" s="2" t="s">
        <v>759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J530" s="2" t="e">
        <f t="shared" si="34"/>
        <v>#NUM!</v>
      </c>
      <c r="K530">
        <f t="shared" si="35"/>
        <v>0</v>
      </c>
    </row>
    <row r="531" spans="1:11" ht="13.9" x14ac:dyDescent="0.3">
      <c r="A531" s="2" t="s">
        <v>761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32"/>
        <v>#DIV/0!</v>
      </c>
      <c r="I531" s="2" t="e">
        <f t="shared" si="33"/>
        <v>#DIV/0!</v>
      </c>
      <c r="J531" s="2" t="e">
        <f t="shared" si="34"/>
        <v>#NUM!</v>
      </c>
      <c r="K531">
        <f t="shared" si="35"/>
        <v>0</v>
      </c>
    </row>
    <row r="532" spans="1:11" ht="13.9" x14ac:dyDescent="0.3">
      <c r="A532" s="2" t="s">
        <v>769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J532" s="2" t="e">
        <f t="shared" si="34"/>
        <v>#NUM!</v>
      </c>
      <c r="K532">
        <f t="shared" si="35"/>
        <v>0</v>
      </c>
    </row>
    <row r="533" spans="1:11" ht="13.9" x14ac:dyDescent="0.3">
      <c r="A533" s="2" t="s">
        <v>770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 t="e">
        <f t="shared" si="32"/>
        <v>#DIV/0!</v>
      </c>
      <c r="I533" s="2" t="e">
        <f t="shared" si="33"/>
        <v>#DIV/0!</v>
      </c>
      <c r="J533" s="2" t="e">
        <f t="shared" si="34"/>
        <v>#NUM!</v>
      </c>
      <c r="K533">
        <f t="shared" si="35"/>
        <v>0</v>
      </c>
    </row>
    <row r="534" spans="1:11" ht="13.9" x14ac:dyDescent="0.3">
      <c r="A534" s="2" t="s">
        <v>773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 t="e">
        <f t="shared" si="32"/>
        <v>#DIV/0!</v>
      </c>
      <c r="I534" s="2" t="e">
        <f t="shared" si="33"/>
        <v>#DIV/0!</v>
      </c>
      <c r="J534" s="2" t="e">
        <f t="shared" si="34"/>
        <v>#NUM!</v>
      </c>
      <c r="K534">
        <f t="shared" si="35"/>
        <v>0</v>
      </c>
    </row>
    <row r="535" spans="1:11" ht="13.9" x14ac:dyDescent="0.3">
      <c r="A535" s="2" t="s">
        <v>786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 t="e">
        <f t="shared" si="32"/>
        <v>#DIV/0!</v>
      </c>
      <c r="I535" s="2" t="e">
        <f t="shared" si="33"/>
        <v>#DIV/0!</v>
      </c>
      <c r="J535" s="2" t="e">
        <f t="shared" si="34"/>
        <v>#NUM!</v>
      </c>
      <c r="K535">
        <f t="shared" si="35"/>
        <v>0</v>
      </c>
    </row>
    <row r="536" spans="1:11" ht="13.9" x14ac:dyDescent="0.3">
      <c r="A536" s="2" t="s">
        <v>789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32"/>
        <v>#DIV/0!</v>
      </c>
      <c r="I536" s="2" t="e">
        <f t="shared" si="33"/>
        <v>#DIV/0!</v>
      </c>
      <c r="J536" s="2" t="e">
        <f t="shared" si="34"/>
        <v>#NUM!</v>
      </c>
      <c r="K536">
        <f t="shared" si="35"/>
        <v>0</v>
      </c>
    </row>
    <row r="537" spans="1:11" ht="13.9" x14ac:dyDescent="0.3">
      <c r="A537" s="2" t="s">
        <v>791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32"/>
        <v>#DIV/0!</v>
      </c>
      <c r="I537" s="2" t="e">
        <f t="shared" si="33"/>
        <v>#DIV/0!</v>
      </c>
      <c r="J537" s="2" t="e">
        <f t="shared" si="34"/>
        <v>#NUM!</v>
      </c>
      <c r="K537">
        <f t="shared" si="35"/>
        <v>0</v>
      </c>
    </row>
    <row r="538" spans="1:11" ht="13.9" x14ac:dyDescent="0.3">
      <c r="A538" s="2" t="s">
        <v>794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J538" s="2" t="e">
        <f t="shared" si="34"/>
        <v>#NUM!</v>
      </c>
      <c r="K538">
        <f t="shared" si="35"/>
        <v>0</v>
      </c>
    </row>
    <row r="539" spans="1:11" ht="13.9" x14ac:dyDescent="0.3">
      <c r="A539" s="2" t="s">
        <v>799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32"/>
        <v>#DIV/0!</v>
      </c>
      <c r="I539" s="2" t="e">
        <f t="shared" si="33"/>
        <v>#DIV/0!</v>
      </c>
      <c r="J539" s="2" t="e">
        <f t="shared" si="34"/>
        <v>#NUM!</v>
      </c>
      <c r="K539">
        <f t="shared" si="35"/>
        <v>0</v>
      </c>
    </row>
    <row r="540" spans="1:11" ht="13.9" x14ac:dyDescent="0.3">
      <c r="A540" s="2" t="s">
        <v>801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32"/>
        <v>#DIV/0!</v>
      </c>
      <c r="I540" s="2" t="e">
        <f t="shared" si="33"/>
        <v>#DIV/0!</v>
      </c>
      <c r="J540" s="2" t="e">
        <f t="shared" si="34"/>
        <v>#NUM!</v>
      </c>
      <c r="K540">
        <f t="shared" si="35"/>
        <v>0</v>
      </c>
    </row>
    <row r="541" spans="1:11" ht="13.9" x14ac:dyDescent="0.3">
      <c r="A541" s="2" t="s">
        <v>812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J541" s="2" t="e">
        <f t="shared" si="34"/>
        <v>#NUM!</v>
      </c>
      <c r="K541">
        <f t="shared" si="35"/>
        <v>0</v>
      </c>
    </row>
    <row r="542" spans="1:11" ht="13.9" x14ac:dyDescent="0.3">
      <c r="A542" s="2" t="s">
        <v>816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J542" s="2" t="e">
        <f t="shared" si="34"/>
        <v>#NUM!</v>
      </c>
      <c r="K542">
        <f t="shared" si="35"/>
        <v>0</v>
      </c>
    </row>
    <row r="543" spans="1:11" ht="13.9" x14ac:dyDescent="0.3">
      <c r="A543" s="2" t="s">
        <v>826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32"/>
        <v>#DIV/0!</v>
      </c>
      <c r="I543" s="2" t="e">
        <f t="shared" si="33"/>
        <v>#DIV/0!</v>
      </c>
      <c r="J543" s="2" t="e">
        <f t="shared" si="34"/>
        <v>#NUM!</v>
      </c>
      <c r="K543">
        <f t="shared" si="35"/>
        <v>0</v>
      </c>
    </row>
    <row r="544" spans="1:11" ht="13.9" x14ac:dyDescent="0.3">
      <c r="A544" s="2" t="s">
        <v>835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 t="e">
        <f t="shared" si="32"/>
        <v>#DIV/0!</v>
      </c>
      <c r="I544" s="2" t="e">
        <f t="shared" si="33"/>
        <v>#DIV/0!</v>
      </c>
      <c r="J544" s="2" t="e">
        <f t="shared" si="34"/>
        <v>#NUM!</v>
      </c>
      <c r="K544">
        <f t="shared" si="35"/>
        <v>0</v>
      </c>
    </row>
    <row r="545" spans="1:11" ht="13.9" x14ac:dyDescent="0.3">
      <c r="A545" s="2" t="s">
        <v>839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32"/>
        <v>#DIV/0!</v>
      </c>
      <c r="I545" s="2" t="e">
        <f t="shared" si="33"/>
        <v>#DIV/0!</v>
      </c>
      <c r="J545" s="2" t="e">
        <f t="shared" si="34"/>
        <v>#NUM!</v>
      </c>
      <c r="K545">
        <f t="shared" si="35"/>
        <v>0</v>
      </c>
    </row>
    <row r="546" spans="1:11" ht="13.9" x14ac:dyDescent="0.3">
      <c r="A546" s="2" t="s">
        <v>840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32"/>
        <v>#DIV/0!</v>
      </c>
      <c r="I546" s="2" t="e">
        <f t="shared" si="33"/>
        <v>#DIV/0!</v>
      </c>
      <c r="J546" s="2" t="e">
        <f t="shared" si="34"/>
        <v>#NUM!</v>
      </c>
      <c r="K546">
        <f t="shared" si="35"/>
        <v>0</v>
      </c>
    </row>
    <row r="547" spans="1:11" ht="13.9" x14ac:dyDescent="0.3">
      <c r="A547" s="2" t="s">
        <v>850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J547" s="2" t="e">
        <f t="shared" si="34"/>
        <v>#NUM!</v>
      </c>
      <c r="K547">
        <f t="shared" si="35"/>
        <v>0</v>
      </c>
    </row>
    <row r="548" spans="1:11" ht="13.9" x14ac:dyDescent="0.3">
      <c r="A548" s="2" t="s">
        <v>851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J548" s="2" t="e">
        <f t="shared" si="34"/>
        <v>#NUM!</v>
      </c>
      <c r="K548">
        <f t="shared" si="35"/>
        <v>0</v>
      </c>
    </row>
    <row r="549" spans="1:11" ht="13.9" x14ac:dyDescent="0.3">
      <c r="A549" s="2" t="s">
        <v>853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32"/>
        <v>#DIV/0!</v>
      </c>
      <c r="I549" s="2" t="e">
        <f t="shared" si="33"/>
        <v>#DIV/0!</v>
      </c>
      <c r="J549" s="2" t="e">
        <f t="shared" si="34"/>
        <v>#NUM!</v>
      </c>
      <c r="K549">
        <f t="shared" si="35"/>
        <v>0</v>
      </c>
    </row>
    <row r="550" spans="1:11" ht="13.9" x14ac:dyDescent="0.3">
      <c r="A550" s="2" t="s">
        <v>855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32"/>
        <v>#DIV/0!</v>
      </c>
      <c r="I550" s="2" t="e">
        <f t="shared" si="33"/>
        <v>#DIV/0!</v>
      </c>
      <c r="J550" s="2" t="e">
        <f t="shared" si="34"/>
        <v>#NUM!</v>
      </c>
      <c r="K550">
        <f t="shared" si="35"/>
        <v>0</v>
      </c>
    </row>
    <row r="551" spans="1:11" ht="13.9" x14ac:dyDescent="0.3">
      <c r="A551" s="2" t="s">
        <v>859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32"/>
        <v>#DIV/0!</v>
      </c>
      <c r="I551" s="2" t="e">
        <f t="shared" si="33"/>
        <v>#DIV/0!</v>
      </c>
      <c r="J551" s="2" t="e">
        <f t="shared" si="34"/>
        <v>#NUM!</v>
      </c>
      <c r="K551">
        <f t="shared" si="35"/>
        <v>0</v>
      </c>
    </row>
    <row r="552" spans="1:11" ht="13.9" x14ac:dyDescent="0.3">
      <c r="A552" s="2" t="s">
        <v>860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J552" s="2" t="e">
        <f t="shared" si="34"/>
        <v>#NUM!</v>
      </c>
      <c r="K552">
        <f t="shared" si="35"/>
        <v>0</v>
      </c>
    </row>
    <row r="553" spans="1:11" ht="13.9" x14ac:dyDescent="0.3">
      <c r="A553" s="2" t="s">
        <v>861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32"/>
        <v>#DIV/0!</v>
      </c>
      <c r="I553" s="2" t="e">
        <f t="shared" si="33"/>
        <v>#DIV/0!</v>
      </c>
      <c r="J553" s="2" t="e">
        <f t="shared" si="34"/>
        <v>#NUM!</v>
      </c>
      <c r="K553">
        <f t="shared" si="35"/>
        <v>0</v>
      </c>
    </row>
    <row r="554" spans="1:11" ht="13.9" x14ac:dyDescent="0.3">
      <c r="A554" s="2" t="s">
        <v>862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32"/>
        <v>#DIV/0!</v>
      </c>
      <c r="I554" s="2" t="e">
        <f t="shared" si="33"/>
        <v>#DIV/0!</v>
      </c>
      <c r="J554" s="2" t="e">
        <f t="shared" si="34"/>
        <v>#NUM!</v>
      </c>
      <c r="K554">
        <f t="shared" si="35"/>
        <v>0</v>
      </c>
    </row>
    <row r="555" spans="1:11" ht="13.9" x14ac:dyDescent="0.3">
      <c r="A555" s="2" t="s">
        <v>867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32"/>
        <v>#DIV/0!</v>
      </c>
      <c r="I555" s="2" t="e">
        <f t="shared" si="33"/>
        <v>#DIV/0!</v>
      </c>
      <c r="J555" s="2" t="e">
        <f t="shared" si="34"/>
        <v>#NUM!</v>
      </c>
      <c r="K555">
        <f t="shared" si="35"/>
        <v>0</v>
      </c>
    </row>
    <row r="556" spans="1:11" ht="13.9" x14ac:dyDescent="0.3">
      <c r="A556" s="2" t="s">
        <v>872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32"/>
        <v>#DIV/0!</v>
      </c>
      <c r="I556" s="2" t="e">
        <f t="shared" si="33"/>
        <v>#DIV/0!</v>
      </c>
      <c r="J556" s="2" t="e">
        <f t="shared" si="34"/>
        <v>#NUM!</v>
      </c>
      <c r="K556">
        <f t="shared" si="35"/>
        <v>0</v>
      </c>
    </row>
    <row r="557" spans="1:11" ht="13.9" x14ac:dyDescent="0.3">
      <c r="A557" s="2" t="s">
        <v>875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32"/>
        <v>#DIV/0!</v>
      </c>
      <c r="I557" s="2" t="e">
        <f t="shared" si="33"/>
        <v>#DIV/0!</v>
      </c>
      <c r="J557" s="2" t="e">
        <f t="shared" si="34"/>
        <v>#NUM!</v>
      </c>
      <c r="K557">
        <f t="shared" si="35"/>
        <v>0</v>
      </c>
    </row>
    <row r="558" spans="1:11" ht="13.9" x14ac:dyDescent="0.3">
      <c r="A558" s="2" t="s">
        <v>880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32"/>
        <v>#DIV/0!</v>
      </c>
      <c r="I558" s="2" t="e">
        <f t="shared" si="33"/>
        <v>#DIV/0!</v>
      </c>
      <c r="J558" s="2" t="e">
        <f t="shared" si="34"/>
        <v>#NUM!</v>
      </c>
      <c r="K558">
        <f t="shared" si="35"/>
        <v>0</v>
      </c>
    </row>
    <row r="559" spans="1:11" ht="13.9" x14ac:dyDescent="0.3">
      <c r="A559" s="2" t="s">
        <v>885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 t="e">
        <f t="shared" si="32"/>
        <v>#DIV/0!</v>
      </c>
      <c r="I559" s="2" t="e">
        <f t="shared" si="33"/>
        <v>#DIV/0!</v>
      </c>
      <c r="J559" s="2" t="e">
        <f t="shared" si="34"/>
        <v>#NUM!</v>
      </c>
      <c r="K559">
        <f t="shared" si="35"/>
        <v>0</v>
      </c>
    </row>
    <row r="560" spans="1:11" ht="13.9" x14ac:dyDescent="0.3">
      <c r="A560" s="2" t="s">
        <v>896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J560" s="2" t="e">
        <f t="shared" si="34"/>
        <v>#NUM!</v>
      </c>
      <c r="K560">
        <f t="shared" si="35"/>
        <v>0</v>
      </c>
    </row>
    <row r="561" spans="1:11" ht="13.9" x14ac:dyDescent="0.3">
      <c r="A561" s="2" t="s">
        <v>903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J561" s="2" t="e">
        <f t="shared" si="34"/>
        <v>#NUM!</v>
      </c>
      <c r="K561">
        <f t="shared" si="35"/>
        <v>0</v>
      </c>
    </row>
    <row r="562" spans="1:11" ht="13.9" x14ac:dyDescent="0.3">
      <c r="A562" s="2" t="s">
        <v>915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 t="e">
        <f t="shared" si="33"/>
        <v>#DIV/0!</v>
      </c>
      <c r="J562" s="2" t="e">
        <f t="shared" si="34"/>
        <v>#NUM!</v>
      </c>
      <c r="K562">
        <f t="shared" si="35"/>
        <v>0</v>
      </c>
    </row>
    <row r="563" spans="1:11" ht="13.9" x14ac:dyDescent="0.3">
      <c r="A563" s="2" t="s">
        <v>924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 t="e">
        <f t="shared" si="32"/>
        <v>#DIV/0!</v>
      </c>
      <c r="I563" s="2" t="e">
        <f t="shared" si="33"/>
        <v>#DIV/0!</v>
      </c>
      <c r="J563" s="2" t="e">
        <f t="shared" si="34"/>
        <v>#NUM!</v>
      </c>
      <c r="K563">
        <f t="shared" si="35"/>
        <v>0</v>
      </c>
    </row>
    <row r="564" spans="1:11" ht="13.9" x14ac:dyDescent="0.3">
      <c r="A564" s="2" t="s">
        <v>928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 t="e">
        <f t="shared" si="32"/>
        <v>#DIV/0!</v>
      </c>
      <c r="I564" s="2" t="e">
        <f t="shared" si="33"/>
        <v>#DIV/0!</v>
      </c>
      <c r="J564" s="2" t="e">
        <f t="shared" si="34"/>
        <v>#NUM!</v>
      </c>
      <c r="K564">
        <f t="shared" si="35"/>
        <v>0</v>
      </c>
    </row>
    <row r="565" spans="1:11" ht="13.9" x14ac:dyDescent="0.3">
      <c r="A565" s="2" t="s">
        <v>238</v>
      </c>
      <c r="B565" s="2">
        <v>0</v>
      </c>
      <c r="C565" s="2">
        <v>0</v>
      </c>
      <c r="D565" s="2">
        <v>0</v>
      </c>
      <c r="E565" s="2">
        <v>0.1</v>
      </c>
      <c r="F565" s="2">
        <v>0</v>
      </c>
      <c r="G565" s="2">
        <v>0</v>
      </c>
      <c r="H565" s="2" t="e">
        <f t="shared" si="32"/>
        <v>#NUM!</v>
      </c>
      <c r="I565" s="2">
        <f t="shared" si="33"/>
        <v>0.37390096630005903</v>
      </c>
      <c r="J565" s="2" t="e">
        <f t="shared" si="34"/>
        <v>#NUM!</v>
      </c>
      <c r="K565">
        <f t="shared" si="35"/>
        <v>3.3333333333333333E-2</v>
      </c>
    </row>
    <row r="566" spans="1:11" ht="13.9" x14ac:dyDescent="0.3">
      <c r="A566" s="2" t="s">
        <v>326</v>
      </c>
      <c r="B566" s="2">
        <v>0</v>
      </c>
      <c r="C566" s="2">
        <v>0</v>
      </c>
      <c r="D566" s="2">
        <v>0</v>
      </c>
      <c r="E566" s="2">
        <v>0.1</v>
      </c>
      <c r="F566" s="2">
        <v>0</v>
      </c>
      <c r="G566" s="2">
        <v>0</v>
      </c>
      <c r="H566" s="2" t="e">
        <f t="shared" si="32"/>
        <v>#NUM!</v>
      </c>
      <c r="I566" s="2">
        <f t="shared" si="33"/>
        <v>0.37390096630005903</v>
      </c>
      <c r="J566" s="2" t="e">
        <f t="shared" si="34"/>
        <v>#NUM!</v>
      </c>
      <c r="K566">
        <f t="shared" si="35"/>
        <v>3.3333333333333333E-2</v>
      </c>
    </row>
    <row r="567" spans="1:11" ht="13.9" x14ac:dyDescent="0.3">
      <c r="A567" s="2" t="s">
        <v>327</v>
      </c>
      <c r="B567" s="2">
        <v>0</v>
      </c>
      <c r="C567" s="2">
        <v>0</v>
      </c>
      <c r="D567" s="2">
        <v>0</v>
      </c>
      <c r="E567" s="2">
        <v>0.1</v>
      </c>
      <c r="F567" s="2">
        <v>0</v>
      </c>
      <c r="G567" s="2">
        <v>0</v>
      </c>
      <c r="H567" s="2" t="e">
        <f t="shared" si="32"/>
        <v>#NUM!</v>
      </c>
      <c r="I567" s="2">
        <f t="shared" si="33"/>
        <v>0.37390096630005903</v>
      </c>
      <c r="J567" s="2" t="e">
        <f t="shared" si="34"/>
        <v>#NUM!</v>
      </c>
      <c r="K567">
        <f t="shared" si="35"/>
        <v>3.3333333333333333E-2</v>
      </c>
    </row>
    <row r="568" spans="1:11" ht="13.9" x14ac:dyDescent="0.3">
      <c r="A568" s="2" t="s">
        <v>358</v>
      </c>
      <c r="B568" s="2">
        <v>0</v>
      </c>
      <c r="C568" s="2">
        <v>0</v>
      </c>
      <c r="D568" s="2">
        <v>0</v>
      </c>
      <c r="E568" s="2">
        <v>0.1</v>
      </c>
      <c r="F568" s="2">
        <v>0</v>
      </c>
      <c r="G568" s="2">
        <v>0</v>
      </c>
      <c r="H568" s="2" t="e">
        <f t="shared" si="32"/>
        <v>#NUM!</v>
      </c>
      <c r="I568" s="2">
        <f t="shared" si="33"/>
        <v>0.37390096630005903</v>
      </c>
      <c r="J568" s="2" t="e">
        <f t="shared" si="34"/>
        <v>#NUM!</v>
      </c>
      <c r="K568">
        <f t="shared" si="35"/>
        <v>3.3333333333333333E-2</v>
      </c>
    </row>
    <row r="569" spans="1:11" ht="13.9" x14ac:dyDescent="0.3">
      <c r="A569" s="2" t="s">
        <v>359</v>
      </c>
      <c r="B569" s="2">
        <v>0</v>
      </c>
      <c r="C569" s="2">
        <v>0</v>
      </c>
      <c r="D569" s="2">
        <v>0</v>
      </c>
      <c r="E569" s="2">
        <v>0.1</v>
      </c>
      <c r="F569" s="2">
        <v>0</v>
      </c>
      <c r="G569" s="2">
        <v>0</v>
      </c>
      <c r="H569" s="2" t="e">
        <f t="shared" si="32"/>
        <v>#NUM!</v>
      </c>
      <c r="I569" s="2">
        <f t="shared" si="33"/>
        <v>0.37390096630005903</v>
      </c>
      <c r="J569" s="2" t="e">
        <f t="shared" si="34"/>
        <v>#NUM!</v>
      </c>
      <c r="K569">
        <f t="shared" si="35"/>
        <v>3.3333333333333333E-2</v>
      </c>
    </row>
    <row r="570" spans="1:11" ht="13.9" x14ac:dyDescent="0.3">
      <c r="A570" s="2" t="s">
        <v>428</v>
      </c>
      <c r="B570" s="2">
        <v>0</v>
      </c>
      <c r="C570" s="2">
        <v>0</v>
      </c>
      <c r="D570" s="2">
        <v>0</v>
      </c>
      <c r="E570" s="2">
        <v>0.1</v>
      </c>
      <c r="F570" s="2">
        <v>0</v>
      </c>
      <c r="G570" s="2">
        <v>0</v>
      </c>
      <c r="H570" s="2" t="e">
        <f t="shared" si="32"/>
        <v>#NUM!</v>
      </c>
      <c r="I570" s="2">
        <f t="shared" si="33"/>
        <v>0.37390096630005903</v>
      </c>
      <c r="J570" s="2" t="e">
        <f t="shared" si="34"/>
        <v>#NUM!</v>
      </c>
      <c r="K570">
        <f t="shared" si="35"/>
        <v>3.3333333333333333E-2</v>
      </c>
    </row>
    <row r="571" spans="1:11" ht="13.9" x14ac:dyDescent="0.3">
      <c r="A571" s="2" t="s">
        <v>506</v>
      </c>
      <c r="B571" s="2">
        <v>0</v>
      </c>
      <c r="C571" s="2">
        <v>0</v>
      </c>
      <c r="D571" s="2">
        <v>0</v>
      </c>
      <c r="E571" s="2">
        <v>0.1</v>
      </c>
      <c r="F571" s="2">
        <v>0</v>
      </c>
      <c r="G571" s="2">
        <v>0</v>
      </c>
      <c r="H571" s="2" t="e">
        <f t="shared" si="32"/>
        <v>#NUM!</v>
      </c>
      <c r="I571" s="2">
        <f t="shared" si="33"/>
        <v>0.37390096630005903</v>
      </c>
      <c r="J571" s="2" t="e">
        <f t="shared" si="34"/>
        <v>#NUM!</v>
      </c>
      <c r="K571">
        <f t="shared" si="35"/>
        <v>3.3333333333333333E-2</v>
      </c>
    </row>
    <row r="572" spans="1:11" ht="13.9" x14ac:dyDescent="0.3">
      <c r="A572" s="2" t="s">
        <v>662</v>
      </c>
      <c r="B572" s="2">
        <v>0</v>
      </c>
      <c r="C572" s="2">
        <v>0</v>
      </c>
      <c r="D572" s="2">
        <v>0</v>
      </c>
      <c r="E572" s="2">
        <v>0.1</v>
      </c>
      <c r="F572" s="2">
        <v>0</v>
      </c>
      <c r="G572" s="2">
        <v>0</v>
      </c>
      <c r="H572" s="2" t="e">
        <f t="shared" si="32"/>
        <v>#NUM!</v>
      </c>
      <c r="I572" s="2">
        <f t="shared" si="33"/>
        <v>0.37390096630005903</v>
      </c>
      <c r="J572" s="2" t="e">
        <f t="shared" si="34"/>
        <v>#NUM!</v>
      </c>
      <c r="K572">
        <f t="shared" si="35"/>
        <v>3.3333333333333333E-2</v>
      </c>
    </row>
    <row r="573" spans="1:11" ht="13.9" x14ac:dyDescent="0.3">
      <c r="A573" s="2" t="s">
        <v>684</v>
      </c>
      <c r="B573" s="2">
        <v>0</v>
      </c>
      <c r="C573" s="2">
        <v>0</v>
      </c>
      <c r="D573" s="2">
        <v>0</v>
      </c>
      <c r="E573" s="2">
        <v>0.1</v>
      </c>
      <c r="F573" s="2">
        <v>0</v>
      </c>
      <c r="G573" s="2">
        <v>0</v>
      </c>
      <c r="H573" s="2" t="e">
        <f t="shared" si="32"/>
        <v>#NUM!</v>
      </c>
      <c r="I573" s="2">
        <f t="shared" si="33"/>
        <v>0.37390096630005903</v>
      </c>
      <c r="J573" s="2" t="e">
        <f t="shared" si="34"/>
        <v>#NUM!</v>
      </c>
      <c r="K573">
        <f t="shared" si="35"/>
        <v>3.3333333333333333E-2</v>
      </c>
    </row>
    <row r="574" spans="1:11" ht="13.9" x14ac:dyDescent="0.3">
      <c r="A574" s="2" t="s">
        <v>698</v>
      </c>
      <c r="B574" s="2">
        <v>0</v>
      </c>
      <c r="C574" s="2">
        <v>0</v>
      </c>
      <c r="D574" s="2">
        <v>0</v>
      </c>
      <c r="E574" s="2">
        <v>0.1</v>
      </c>
      <c r="F574" s="2">
        <v>0</v>
      </c>
      <c r="G574" s="2">
        <v>0</v>
      </c>
      <c r="H574" s="2" t="e">
        <f t="shared" si="32"/>
        <v>#NUM!</v>
      </c>
      <c r="I574" s="2">
        <f t="shared" si="33"/>
        <v>0.37390096630005903</v>
      </c>
      <c r="J574" s="2" t="e">
        <f t="shared" si="34"/>
        <v>#NUM!</v>
      </c>
      <c r="K574">
        <f t="shared" si="35"/>
        <v>3.3333333333333333E-2</v>
      </c>
    </row>
    <row r="575" spans="1:11" ht="13.9" x14ac:dyDescent="0.3">
      <c r="A575" s="2" t="s">
        <v>797</v>
      </c>
      <c r="B575" s="2">
        <v>0</v>
      </c>
      <c r="C575" s="2">
        <v>0</v>
      </c>
      <c r="D575" s="2">
        <v>0</v>
      </c>
      <c r="E575" s="2">
        <v>0.1</v>
      </c>
      <c r="F575" s="2">
        <v>0</v>
      </c>
      <c r="G575" s="2">
        <v>0</v>
      </c>
      <c r="H575" s="2" t="e">
        <f t="shared" si="32"/>
        <v>#NUM!</v>
      </c>
      <c r="I575" s="2">
        <f t="shared" si="33"/>
        <v>0.37390096630005903</v>
      </c>
      <c r="J575" s="2" t="e">
        <f t="shared" si="34"/>
        <v>#NUM!</v>
      </c>
      <c r="K575">
        <f t="shared" si="35"/>
        <v>3.3333333333333333E-2</v>
      </c>
    </row>
    <row r="576" spans="1:11" ht="13.9" x14ac:dyDescent="0.3">
      <c r="A576" s="2" t="s">
        <v>802</v>
      </c>
      <c r="B576" s="2">
        <v>0</v>
      </c>
      <c r="C576" s="2">
        <v>0</v>
      </c>
      <c r="D576" s="2">
        <v>0</v>
      </c>
      <c r="E576" s="2">
        <v>0.1</v>
      </c>
      <c r="F576" s="2">
        <v>0</v>
      </c>
      <c r="G576" s="2">
        <v>0</v>
      </c>
      <c r="H576" s="2" t="e">
        <f t="shared" si="32"/>
        <v>#NUM!</v>
      </c>
      <c r="I576" s="2">
        <f t="shared" si="33"/>
        <v>0.37390096630005903</v>
      </c>
      <c r="J576" s="2" t="e">
        <f t="shared" si="34"/>
        <v>#NUM!</v>
      </c>
      <c r="K576">
        <f t="shared" si="35"/>
        <v>3.3333333333333333E-2</v>
      </c>
    </row>
    <row r="577" spans="1:11" ht="13.9" x14ac:dyDescent="0.3">
      <c r="A577" s="2" t="s">
        <v>823</v>
      </c>
      <c r="B577" s="2">
        <v>0</v>
      </c>
      <c r="C577" s="2">
        <v>0</v>
      </c>
      <c r="D577" s="2">
        <v>0</v>
      </c>
      <c r="E577" s="2">
        <v>0.1</v>
      </c>
      <c r="F577" s="2">
        <v>0</v>
      </c>
      <c r="G577" s="2">
        <v>0</v>
      </c>
      <c r="H577" s="2" t="e">
        <f t="shared" si="32"/>
        <v>#NUM!</v>
      </c>
      <c r="I577" s="2">
        <f t="shared" si="33"/>
        <v>0.37390096630005903</v>
      </c>
      <c r="J577" s="2" t="e">
        <f t="shared" si="34"/>
        <v>#NUM!</v>
      </c>
      <c r="K577">
        <f t="shared" si="35"/>
        <v>3.3333333333333333E-2</v>
      </c>
    </row>
    <row r="578" spans="1:11" ht="13.9" x14ac:dyDescent="0.3">
      <c r="A578" s="2" t="s">
        <v>836</v>
      </c>
      <c r="B578" s="2">
        <v>0</v>
      </c>
      <c r="C578" s="2">
        <v>0</v>
      </c>
      <c r="D578" s="2">
        <v>0</v>
      </c>
      <c r="E578" s="2">
        <v>0.1</v>
      </c>
      <c r="F578" s="2">
        <v>0</v>
      </c>
      <c r="G578" s="2">
        <v>0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J578" s="2" t="e">
        <f t="shared" ref="J578:J641" si="38">LOG(SUM(B578:D578),2)</f>
        <v>#NUM!</v>
      </c>
      <c r="K578">
        <f t="shared" ref="K578:K641" si="39">AVERAGE(E578:G578)</f>
        <v>3.3333333333333333E-2</v>
      </c>
    </row>
    <row r="579" spans="1:11" ht="13.9" x14ac:dyDescent="0.3">
      <c r="A579" s="2" t="s">
        <v>844</v>
      </c>
      <c r="B579" s="2">
        <v>0</v>
      </c>
      <c r="C579" s="2">
        <v>0</v>
      </c>
      <c r="D579" s="2">
        <v>0</v>
      </c>
      <c r="E579" s="2">
        <v>0.1</v>
      </c>
      <c r="F579" s="2">
        <v>0</v>
      </c>
      <c r="G579" s="2">
        <v>0</v>
      </c>
      <c r="H579" s="2" t="e">
        <f t="shared" si="36"/>
        <v>#NUM!</v>
      </c>
      <c r="I579" s="2">
        <f t="shared" si="37"/>
        <v>0.37390096630005903</v>
      </c>
      <c r="J579" s="2" t="e">
        <f t="shared" si="38"/>
        <v>#NUM!</v>
      </c>
      <c r="K579">
        <f t="shared" si="39"/>
        <v>3.3333333333333333E-2</v>
      </c>
    </row>
    <row r="580" spans="1:11" ht="13.9" x14ac:dyDescent="0.3">
      <c r="A580" s="2" t="s">
        <v>926</v>
      </c>
      <c r="B580" s="2">
        <v>0</v>
      </c>
      <c r="C580" s="2">
        <v>0</v>
      </c>
      <c r="D580" s="2">
        <v>0</v>
      </c>
      <c r="E580" s="2">
        <v>0.1</v>
      </c>
      <c r="F580" s="2">
        <v>0</v>
      </c>
      <c r="G580" s="2">
        <v>0</v>
      </c>
      <c r="H580" s="2" t="e">
        <f t="shared" si="36"/>
        <v>#NUM!</v>
      </c>
      <c r="I580" s="2">
        <f t="shared" si="37"/>
        <v>0.37390096630005903</v>
      </c>
      <c r="J580" s="2" t="e">
        <f t="shared" si="38"/>
        <v>#NUM!</v>
      </c>
      <c r="K580">
        <f t="shared" si="39"/>
        <v>3.3333333333333333E-2</v>
      </c>
    </row>
    <row r="581" spans="1:11" ht="13.9" x14ac:dyDescent="0.3">
      <c r="A581" s="2" t="s">
        <v>92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0.11</v>
      </c>
      <c r="H581" s="2" t="e">
        <f t="shared" si="36"/>
        <v>#NUM!</v>
      </c>
      <c r="I581" s="2">
        <f t="shared" si="37"/>
        <v>0.37390096630005903</v>
      </c>
      <c r="J581" s="2" t="e">
        <f t="shared" si="38"/>
        <v>#NUM!</v>
      </c>
      <c r="K581">
        <f t="shared" si="39"/>
        <v>3.6666666666666667E-2</v>
      </c>
    </row>
    <row r="582" spans="1:11" ht="13.9" x14ac:dyDescent="0.3">
      <c r="A582" s="2" t="s">
        <v>213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0.11</v>
      </c>
      <c r="H582" s="2" t="e">
        <f t="shared" si="36"/>
        <v>#NUM!</v>
      </c>
      <c r="I582" s="2">
        <f t="shared" si="37"/>
        <v>0.37390096630005903</v>
      </c>
      <c r="J582" s="2" t="e">
        <f t="shared" si="38"/>
        <v>#NUM!</v>
      </c>
      <c r="K582">
        <f t="shared" si="39"/>
        <v>3.6666666666666667E-2</v>
      </c>
    </row>
    <row r="583" spans="1:11" ht="13.9" x14ac:dyDescent="0.3">
      <c r="A583" s="2" t="s">
        <v>369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0.11</v>
      </c>
      <c r="H583" s="5" t="e">
        <f t="shared" si="36"/>
        <v>#NUM!</v>
      </c>
      <c r="I583" s="5">
        <f t="shared" si="37"/>
        <v>0.37390096630005903</v>
      </c>
      <c r="J583" s="2" t="e">
        <f t="shared" si="38"/>
        <v>#NUM!</v>
      </c>
      <c r="K583">
        <f t="shared" si="39"/>
        <v>3.6666666666666667E-2</v>
      </c>
    </row>
    <row r="584" spans="1:11" ht="13.9" x14ac:dyDescent="0.3">
      <c r="A584" s="2" t="s">
        <v>426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0.11</v>
      </c>
      <c r="H584" s="2" t="e">
        <f t="shared" si="36"/>
        <v>#NUM!</v>
      </c>
      <c r="I584" s="2">
        <f t="shared" si="37"/>
        <v>0.37390096630005903</v>
      </c>
      <c r="J584" s="2" t="e">
        <f t="shared" si="38"/>
        <v>#NUM!</v>
      </c>
      <c r="K584">
        <f t="shared" si="39"/>
        <v>3.6666666666666667E-2</v>
      </c>
    </row>
    <row r="585" spans="1:11" ht="13.9" x14ac:dyDescent="0.3">
      <c r="A585" s="2" t="s">
        <v>427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0.11</v>
      </c>
      <c r="H585" s="2" t="e">
        <f t="shared" si="36"/>
        <v>#NUM!</v>
      </c>
      <c r="I585" s="2">
        <f t="shared" si="37"/>
        <v>0.37390096630005903</v>
      </c>
      <c r="J585" s="2" t="e">
        <f t="shared" si="38"/>
        <v>#NUM!</v>
      </c>
      <c r="K585">
        <f t="shared" si="39"/>
        <v>3.6666666666666667E-2</v>
      </c>
    </row>
    <row r="586" spans="1:11" ht="13.9" x14ac:dyDescent="0.3">
      <c r="A586" s="2" t="s">
        <v>439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0.11</v>
      </c>
      <c r="H586" s="2" t="e">
        <f t="shared" si="36"/>
        <v>#NUM!</v>
      </c>
      <c r="I586" s="2">
        <f t="shared" si="37"/>
        <v>0.37390096630005903</v>
      </c>
      <c r="J586" s="2" t="e">
        <f t="shared" si="38"/>
        <v>#NUM!</v>
      </c>
      <c r="K586">
        <f t="shared" si="39"/>
        <v>3.6666666666666667E-2</v>
      </c>
    </row>
    <row r="587" spans="1:11" ht="13.9" x14ac:dyDescent="0.3">
      <c r="A587" s="2" t="s">
        <v>461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0.11</v>
      </c>
      <c r="H587" s="2" t="e">
        <f t="shared" si="36"/>
        <v>#NUM!</v>
      </c>
      <c r="I587" s="2">
        <f t="shared" si="37"/>
        <v>0.37390096630005903</v>
      </c>
      <c r="J587" s="2" t="e">
        <f t="shared" si="38"/>
        <v>#NUM!</v>
      </c>
      <c r="K587">
        <f t="shared" si="39"/>
        <v>3.6666666666666667E-2</v>
      </c>
    </row>
    <row r="588" spans="1:11" ht="13.9" x14ac:dyDescent="0.3">
      <c r="A588" s="2" t="s">
        <v>550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0.11</v>
      </c>
      <c r="H588" s="2" t="e">
        <f t="shared" si="36"/>
        <v>#NUM!</v>
      </c>
      <c r="I588" s="2">
        <f t="shared" si="37"/>
        <v>0.37390096630005903</v>
      </c>
      <c r="J588" s="2" t="e">
        <f t="shared" si="38"/>
        <v>#NUM!</v>
      </c>
      <c r="K588">
        <f t="shared" si="39"/>
        <v>3.6666666666666667E-2</v>
      </c>
    </row>
    <row r="589" spans="1:11" ht="13.9" x14ac:dyDescent="0.3">
      <c r="A589" s="2" t="s">
        <v>591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0.11</v>
      </c>
      <c r="H589" s="2" t="e">
        <f t="shared" si="36"/>
        <v>#NUM!</v>
      </c>
      <c r="I589" s="2">
        <f t="shared" si="37"/>
        <v>0.37390096630005903</v>
      </c>
      <c r="J589" s="2" t="e">
        <f t="shared" si="38"/>
        <v>#NUM!</v>
      </c>
      <c r="K589">
        <f t="shared" si="39"/>
        <v>3.6666666666666667E-2</v>
      </c>
    </row>
    <row r="590" spans="1:11" ht="13.9" x14ac:dyDescent="0.3">
      <c r="A590" s="2" t="s">
        <v>729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0.11</v>
      </c>
      <c r="H590" s="2" t="e">
        <f t="shared" si="36"/>
        <v>#NUM!</v>
      </c>
      <c r="I590" s="2">
        <f t="shared" si="37"/>
        <v>0.37390096630005903</v>
      </c>
      <c r="J590" s="2" t="e">
        <f t="shared" si="38"/>
        <v>#NUM!</v>
      </c>
      <c r="K590">
        <f t="shared" si="39"/>
        <v>3.6666666666666667E-2</v>
      </c>
    </row>
    <row r="591" spans="1:11" ht="13.9" x14ac:dyDescent="0.3">
      <c r="A591" s="2" t="s">
        <v>780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0.11</v>
      </c>
      <c r="H591" s="2" t="e">
        <f t="shared" si="36"/>
        <v>#NUM!</v>
      </c>
      <c r="I591" s="2">
        <f t="shared" si="37"/>
        <v>0.37390096630005903</v>
      </c>
      <c r="J591" s="2" t="e">
        <f t="shared" si="38"/>
        <v>#NUM!</v>
      </c>
      <c r="K591">
        <f t="shared" si="39"/>
        <v>3.6666666666666667E-2</v>
      </c>
    </row>
    <row r="592" spans="1:11" ht="13.9" x14ac:dyDescent="0.3">
      <c r="A592" s="2" t="s">
        <v>879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0.11</v>
      </c>
      <c r="H592" s="2" t="e">
        <f t="shared" si="36"/>
        <v>#NUM!</v>
      </c>
      <c r="I592" s="2">
        <f t="shared" si="37"/>
        <v>0.37390096630005903</v>
      </c>
      <c r="J592" s="2" t="e">
        <f t="shared" si="38"/>
        <v>#NUM!</v>
      </c>
      <c r="K592">
        <f t="shared" si="39"/>
        <v>3.6666666666666667E-2</v>
      </c>
    </row>
    <row r="593" spans="1:11" ht="13.9" x14ac:dyDescent="0.3">
      <c r="A593" s="2" t="s">
        <v>899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0.11</v>
      </c>
      <c r="H593" s="2" t="e">
        <f t="shared" si="36"/>
        <v>#NUM!</v>
      </c>
      <c r="I593" s="2">
        <f t="shared" si="37"/>
        <v>0.37390096630005903</v>
      </c>
      <c r="J593" s="2" t="e">
        <f t="shared" si="38"/>
        <v>#NUM!</v>
      </c>
      <c r="K593">
        <f t="shared" si="39"/>
        <v>3.6666666666666667E-2</v>
      </c>
    </row>
    <row r="594" spans="1:11" ht="13.9" x14ac:dyDescent="0.3">
      <c r="A594" s="2" t="s">
        <v>68</v>
      </c>
      <c r="B594" s="2">
        <v>0</v>
      </c>
      <c r="C594" s="2">
        <v>0</v>
      </c>
      <c r="D594" s="2">
        <v>0</v>
      </c>
      <c r="E594" s="2">
        <v>0</v>
      </c>
      <c r="F594" s="2">
        <v>0.13</v>
      </c>
      <c r="G594" s="2">
        <v>0</v>
      </c>
      <c r="H594" s="2" t="e">
        <f t="shared" si="36"/>
        <v>#NUM!</v>
      </c>
      <c r="I594" s="2">
        <f t="shared" si="37"/>
        <v>0.37390096630005903</v>
      </c>
      <c r="J594" s="2" t="e">
        <f t="shared" si="38"/>
        <v>#NUM!</v>
      </c>
      <c r="K594">
        <f t="shared" si="39"/>
        <v>4.3333333333333335E-2</v>
      </c>
    </row>
    <row r="595" spans="1:11" ht="13.9" x14ac:dyDescent="0.3">
      <c r="A595" s="2" t="s">
        <v>86</v>
      </c>
      <c r="B595" s="2">
        <v>0</v>
      </c>
      <c r="C595" s="2">
        <v>0</v>
      </c>
      <c r="D595" s="2">
        <v>0</v>
      </c>
      <c r="E595" s="2">
        <v>0</v>
      </c>
      <c r="F595" s="2">
        <v>0.13</v>
      </c>
      <c r="G595" s="2">
        <v>0</v>
      </c>
      <c r="H595" s="2" t="e">
        <f t="shared" si="36"/>
        <v>#NUM!</v>
      </c>
      <c r="I595" s="2">
        <f t="shared" si="37"/>
        <v>0.37390096630005903</v>
      </c>
      <c r="J595" s="2" t="e">
        <f t="shared" si="38"/>
        <v>#NUM!</v>
      </c>
      <c r="K595">
        <f t="shared" si="39"/>
        <v>4.3333333333333335E-2</v>
      </c>
    </row>
    <row r="596" spans="1:11" ht="13.9" x14ac:dyDescent="0.3">
      <c r="A596" s="2" t="s">
        <v>100</v>
      </c>
      <c r="B596" s="2">
        <v>0</v>
      </c>
      <c r="C596" s="2">
        <v>0</v>
      </c>
      <c r="D596" s="2">
        <v>0</v>
      </c>
      <c r="E596" s="2">
        <v>0</v>
      </c>
      <c r="F596" s="2">
        <v>0.13</v>
      </c>
      <c r="G596" s="2">
        <v>0</v>
      </c>
      <c r="H596" s="2" t="e">
        <f t="shared" si="36"/>
        <v>#NUM!</v>
      </c>
      <c r="I596" s="2">
        <f t="shared" si="37"/>
        <v>0.37390096630005903</v>
      </c>
      <c r="J596" s="2" t="e">
        <f t="shared" si="38"/>
        <v>#NUM!</v>
      </c>
      <c r="K596">
        <f t="shared" si="39"/>
        <v>4.3333333333333335E-2</v>
      </c>
    </row>
    <row r="597" spans="1:11" ht="13.9" x14ac:dyDescent="0.3">
      <c r="A597" s="2" t="s">
        <v>224</v>
      </c>
      <c r="B597" s="2">
        <v>0</v>
      </c>
      <c r="C597" s="2">
        <v>0</v>
      </c>
      <c r="D597" s="2">
        <v>0</v>
      </c>
      <c r="E597" s="2">
        <v>0</v>
      </c>
      <c r="F597" s="2">
        <v>0.13</v>
      </c>
      <c r="G597" s="2">
        <v>0</v>
      </c>
      <c r="H597" s="2" t="e">
        <f t="shared" si="36"/>
        <v>#NUM!</v>
      </c>
      <c r="I597" s="2">
        <f t="shared" si="37"/>
        <v>0.37390096630005903</v>
      </c>
      <c r="J597" s="2" t="e">
        <f t="shared" si="38"/>
        <v>#NUM!</v>
      </c>
      <c r="K597">
        <f t="shared" si="39"/>
        <v>4.3333333333333335E-2</v>
      </c>
    </row>
    <row r="598" spans="1:11" ht="13.9" x14ac:dyDescent="0.3">
      <c r="A598" s="2" t="s">
        <v>280</v>
      </c>
      <c r="B598" s="2">
        <v>0</v>
      </c>
      <c r="C598" s="2">
        <v>0</v>
      </c>
      <c r="D598" s="2">
        <v>0</v>
      </c>
      <c r="E598" s="2">
        <v>0</v>
      </c>
      <c r="F598" s="2">
        <v>0.13</v>
      </c>
      <c r="G598" s="2">
        <v>0</v>
      </c>
      <c r="H598" s="2" t="e">
        <f t="shared" si="36"/>
        <v>#NUM!</v>
      </c>
      <c r="I598" s="2">
        <f t="shared" si="37"/>
        <v>0.37390096630005903</v>
      </c>
      <c r="J598" s="2" t="e">
        <f t="shared" si="38"/>
        <v>#NUM!</v>
      </c>
      <c r="K598">
        <f t="shared" si="39"/>
        <v>4.3333333333333335E-2</v>
      </c>
    </row>
    <row r="599" spans="1:11" ht="13.9" x14ac:dyDescent="0.3">
      <c r="A599" s="2" t="s">
        <v>370</v>
      </c>
      <c r="B599" s="2">
        <v>0</v>
      </c>
      <c r="C599" s="2">
        <v>0</v>
      </c>
      <c r="D599" s="2">
        <v>0</v>
      </c>
      <c r="E599" s="2">
        <v>0</v>
      </c>
      <c r="F599" s="2">
        <v>0.13</v>
      </c>
      <c r="G599" s="2">
        <v>0</v>
      </c>
      <c r="H599" s="2" t="e">
        <f t="shared" si="36"/>
        <v>#NUM!</v>
      </c>
      <c r="I599" s="2">
        <f t="shared" si="37"/>
        <v>0.37390096630005903</v>
      </c>
      <c r="J599" s="2" t="e">
        <f t="shared" si="38"/>
        <v>#NUM!</v>
      </c>
      <c r="K599">
        <f t="shared" si="39"/>
        <v>4.3333333333333335E-2</v>
      </c>
    </row>
    <row r="600" spans="1:11" ht="13.9" x14ac:dyDescent="0.3">
      <c r="A600" s="2" t="s">
        <v>402</v>
      </c>
      <c r="B600" s="2">
        <v>0</v>
      </c>
      <c r="C600" s="2">
        <v>0</v>
      </c>
      <c r="D600" s="2">
        <v>0</v>
      </c>
      <c r="E600" s="2">
        <v>0</v>
      </c>
      <c r="F600" s="2">
        <v>0.13</v>
      </c>
      <c r="G600" s="2">
        <v>0</v>
      </c>
      <c r="H600" s="2" t="e">
        <f t="shared" si="36"/>
        <v>#NUM!</v>
      </c>
      <c r="I600" s="2">
        <f t="shared" si="37"/>
        <v>0.37390096630005903</v>
      </c>
      <c r="J600" s="2" t="e">
        <f t="shared" si="38"/>
        <v>#NUM!</v>
      </c>
      <c r="K600">
        <f t="shared" si="39"/>
        <v>4.3333333333333335E-2</v>
      </c>
    </row>
    <row r="601" spans="1:11" ht="13.9" x14ac:dyDescent="0.3">
      <c r="A601" s="2" t="s">
        <v>445</v>
      </c>
      <c r="B601" s="2">
        <v>0</v>
      </c>
      <c r="C601" s="2">
        <v>0</v>
      </c>
      <c r="D601" s="2">
        <v>0</v>
      </c>
      <c r="E601" s="2">
        <v>0</v>
      </c>
      <c r="F601" s="2">
        <v>0.13</v>
      </c>
      <c r="G601" s="2">
        <v>0</v>
      </c>
      <c r="H601" s="2" t="e">
        <f t="shared" si="36"/>
        <v>#NUM!</v>
      </c>
      <c r="I601" s="2">
        <f t="shared" si="37"/>
        <v>0.37390096630005903</v>
      </c>
      <c r="J601" s="2" t="e">
        <f t="shared" si="38"/>
        <v>#NUM!</v>
      </c>
      <c r="K601">
        <f t="shared" si="39"/>
        <v>4.3333333333333335E-2</v>
      </c>
    </row>
    <row r="602" spans="1:11" ht="13.9" x14ac:dyDescent="0.3">
      <c r="A602" s="2" t="s">
        <v>556</v>
      </c>
      <c r="B602" s="2">
        <v>0</v>
      </c>
      <c r="C602" s="2">
        <v>0</v>
      </c>
      <c r="D602" s="2">
        <v>0</v>
      </c>
      <c r="E602" s="2">
        <v>0</v>
      </c>
      <c r="F602" s="2">
        <v>0.13</v>
      </c>
      <c r="G602" s="2">
        <v>0</v>
      </c>
      <c r="H602" s="2" t="e">
        <f t="shared" si="36"/>
        <v>#NUM!</v>
      </c>
      <c r="I602" s="2">
        <f t="shared" si="37"/>
        <v>0.37390096630005903</v>
      </c>
      <c r="J602" s="2" t="e">
        <f t="shared" si="38"/>
        <v>#NUM!</v>
      </c>
      <c r="K602">
        <f t="shared" si="39"/>
        <v>4.3333333333333335E-2</v>
      </c>
    </row>
    <row r="603" spans="1:11" ht="13.9" x14ac:dyDescent="0.3">
      <c r="A603" s="2" t="s">
        <v>592</v>
      </c>
      <c r="B603" s="2">
        <v>0</v>
      </c>
      <c r="C603" s="2">
        <v>0</v>
      </c>
      <c r="D603" s="2">
        <v>0</v>
      </c>
      <c r="E603" s="2">
        <v>0</v>
      </c>
      <c r="F603" s="2">
        <v>0.13</v>
      </c>
      <c r="G603" s="2">
        <v>0</v>
      </c>
      <c r="H603" s="2" t="e">
        <f t="shared" si="36"/>
        <v>#NUM!</v>
      </c>
      <c r="I603" s="2">
        <f t="shared" si="37"/>
        <v>0.37390096630005903</v>
      </c>
      <c r="J603" s="2" t="e">
        <f t="shared" si="38"/>
        <v>#NUM!</v>
      </c>
      <c r="K603">
        <f t="shared" si="39"/>
        <v>4.3333333333333335E-2</v>
      </c>
    </row>
    <row r="604" spans="1:11" ht="13.9" x14ac:dyDescent="0.3">
      <c r="A604" s="2" t="s">
        <v>598</v>
      </c>
      <c r="B604" s="2">
        <v>0</v>
      </c>
      <c r="C604" s="2">
        <v>0</v>
      </c>
      <c r="D604" s="2">
        <v>0</v>
      </c>
      <c r="E604" s="2">
        <v>0</v>
      </c>
      <c r="F604" s="2">
        <v>0.13</v>
      </c>
      <c r="G604" s="2">
        <v>0</v>
      </c>
      <c r="H604" s="2" t="e">
        <f t="shared" si="36"/>
        <v>#NUM!</v>
      </c>
      <c r="I604" s="2">
        <f t="shared" si="37"/>
        <v>0.37390096630005903</v>
      </c>
      <c r="J604" s="2" t="e">
        <f t="shared" si="38"/>
        <v>#NUM!</v>
      </c>
      <c r="K604">
        <f t="shared" si="39"/>
        <v>4.3333333333333335E-2</v>
      </c>
    </row>
    <row r="605" spans="1:11" ht="13.9" x14ac:dyDescent="0.3">
      <c r="A605" s="2" t="s">
        <v>632</v>
      </c>
      <c r="B605" s="2">
        <v>0</v>
      </c>
      <c r="C605" s="2">
        <v>0</v>
      </c>
      <c r="D605" s="2">
        <v>0</v>
      </c>
      <c r="E605" s="2">
        <v>0</v>
      </c>
      <c r="F605" s="2">
        <v>0.13</v>
      </c>
      <c r="G605" s="2">
        <v>0</v>
      </c>
      <c r="H605" s="2" t="e">
        <f t="shared" si="36"/>
        <v>#NUM!</v>
      </c>
      <c r="I605" s="2">
        <f t="shared" si="37"/>
        <v>0.37390096630005903</v>
      </c>
      <c r="J605" s="2" t="e">
        <f t="shared" si="38"/>
        <v>#NUM!</v>
      </c>
      <c r="K605">
        <f t="shared" si="39"/>
        <v>4.3333333333333335E-2</v>
      </c>
    </row>
    <row r="606" spans="1:11" ht="13.9" x14ac:dyDescent="0.3">
      <c r="A606" s="2" t="s">
        <v>711</v>
      </c>
      <c r="B606" s="2">
        <v>0</v>
      </c>
      <c r="C606" s="2">
        <v>0</v>
      </c>
      <c r="D606" s="2">
        <v>0</v>
      </c>
      <c r="E606" s="2">
        <v>0</v>
      </c>
      <c r="F606" s="2">
        <v>0.13</v>
      </c>
      <c r="G606" s="2">
        <v>0</v>
      </c>
      <c r="H606" s="2" t="e">
        <f t="shared" si="36"/>
        <v>#NUM!</v>
      </c>
      <c r="I606" s="2">
        <f t="shared" si="37"/>
        <v>0.37390096630005903</v>
      </c>
      <c r="J606" s="2" t="e">
        <f t="shared" si="38"/>
        <v>#NUM!</v>
      </c>
      <c r="K606">
        <f t="shared" si="39"/>
        <v>4.3333333333333335E-2</v>
      </c>
    </row>
    <row r="607" spans="1:11" ht="13.9" x14ac:dyDescent="0.3">
      <c r="A607" s="2" t="s">
        <v>818</v>
      </c>
      <c r="B607" s="2">
        <v>0</v>
      </c>
      <c r="C607" s="2">
        <v>0</v>
      </c>
      <c r="D607" s="2">
        <v>0</v>
      </c>
      <c r="E607" s="2">
        <v>0</v>
      </c>
      <c r="F607" s="2">
        <v>0.13</v>
      </c>
      <c r="G607" s="2">
        <v>0</v>
      </c>
      <c r="H607" s="2" t="e">
        <f t="shared" si="36"/>
        <v>#NUM!</v>
      </c>
      <c r="I607" s="2">
        <f t="shared" si="37"/>
        <v>0.37390096630005903</v>
      </c>
      <c r="J607" s="2" t="e">
        <f t="shared" si="38"/>
        <v>#NUM!</v>
      </c>
      <c r="K607">
        <f t="shared" si="39"/>
        <v>4.3333333333333335E-2</v>
      </c>
    </row>
    <row r="608" spans="1:11" ht="13.9" x14ac:dyDescent="0.3">
      <c r="A608" s="2" t="s">
        <v>820</v>
      </c>
      <c r="B608" s="2">
        <v>0</v>
      </c>
      <c r="C608" s="2">
        <v>0</v>
      </c>
      <c r="D608" s="2">
        <v>0</v>
      </c>
      <c r="E608" s="2">
        <v>0</v>
      </c>
      <c r="F608" s="2">
        <v>0.13</v>
      </c>
      <c r="G608" s="2">
        <v>0</v>
      </c>
      <c r="H608" s="2" t="e">
        <f t="shared" si="36"/>
        <v>#NUM!</v>
      </c>
      <c r="I608" s="2">
        <f t="shared" si="37"/>
        <v>0.37390096630005903</v>
      </c>
      <c r="J608" s="2" t="e">
        <f t="shared" si="38"/>
        <v>#NUM!</v>
      </c>
      <c r="K608">
        <f t="shared" si="39"/>
        <v>4.3333333333333335E-2</v>
      </c>
    </row>
    <row r="609" spans="1:11" ht="13.9" x14ac:dyDescent="0.3">
      <c r="A609" s="2" t="s">
        <v>822</v>
      </c>
      <c r="B609" s="2">
        <v>0</v>
      </c>
      <c r="C609" s="2">
        <v>0</v>
      </c>
      <c r="D609" s="2">
        <v>0</v>
      </c>
      <c r="E609" s="2">
        <v>0</v>
      </c>
      <c r="F609" s="2">
        <v>0.13</v>
      </c>
      <c r="G609" s="2">
        <v>0</v>
      </c>
      <c r="H609" s="2" t="e">
        <f t="shared" si="36"/>
        <v>#NUM!</v>
      </c>
      <c r="I609" s="2">
        <f t="shared" si="37"/>
        <v>0.37390096630005903</v>
      </c>
      <c r="J609" s="2" t="e">
        <f t="shared" si="38"/>
        <v>#NUM!</v>
      </c>
      <c r="K609">
        <f t="shared" si="39"/>
        <v>4.3333333333333335E-2</v>
      </c>
    </row>
    <row r="610" spans="1:11" ht="13.9" x14ac:dyDescent="0.3">
      <c r="A610" s="2" t="s">
        <v>824</v>
      </c>
      <c r="B610" s="2">
        <v>0</v>
      </c>
      <c r="C610" s="2">
        <v>0</v>
      </c>
      <c r="D610" s="2">
        <v>0</v>
      </c>
      <c r="E610" s="2">
        <v>0</v>
      </c>
      <c r="F610" s="2">
        <v>0.13</v>
      </c>
      <c r="G610" s="2">
        <v>0</v>
      </c>
      <c r="H610" s="2" t="e">
        <f t="shared" si="36"/>
        <v>#NUM!</v>
      </c>
      <c r="I610" s="2">
        <f t="shared" si="37"/>
        <v>0.37390096630005903</v>
      </c>
      <c r="J610" s="2" t="e">
        <f t="shared" si="38"/>
        <v>#NUM!</v>
      </c>
      <c r="K610">
        <f t="shared" si="39"/>
        <v>4.3333333333333335E-2</v>
      </c>
    </row>
    <row r="611" spans="1:11" ht="13.9" x14ac:dyDescent="0.3">
      <c r="A611" s="2" t="s">
        <v>857</v>
      </c>
      <c r="B611" s="2">
        <v>0</v>
      </c>
      <c r="C611" s="2">
        <v>0</v>
      </c>
      <c r="D611" s="2">
        <v>0</v>
      </c>
      <c r="E611" s="2">
        <v>0</v>
      </c>
      <c r="F611" s="2">
        <v>0.13</v>
      </c>
      <c r="G611" s="2">
        <v>0</v>
      </c>
      <c r="H611" s="2" t="e">
        <f t="shared" si="36"/>
        <v>#NUM!</v>
      </c>
      <c r="I611" s="2">
        <f t="shared" si="37"/>
        <v>0.37390096630005903</v>
      </c>
      <c r="J611" s="2" t="e">
        <f t="shared" si="38"/>
        <v>#NUM!</v>
      </c>
      <c r="K611">
        <f t="shared" si="39"/>
        <v>4.3333333333333335E-2</v>
      </c>
    </row>
    <row r="612" spans="1:11" ht="13.9" x14ac:dyDescent="0.3">
      <c r="A612" s="2" t="s">
        <v>902</v>
      </c>
      <c r="B612" s="2">
        <v>0</v>
      </c>
      <c r="C612" s="2">
        <v>0</v>
      </c>
      <c r="D612" s="2">
        <v>0</v>
      </c>
      <c r="E612" s="2">
        <v>0</v>
      </c>
      <c r="F612" s="2">
        <v>0.13</v>
      </c>
      <c r="G612" s="2">
        <v>0</v>
      </c>
      <c r="H612" s="2" t="e">
        <f t="shared" si="36"/>
        <v>#NUM!</v>
      </c>
      <c r="I612" s="2">
        <f t="shared" si="37"/>
        <v>0.37390096630005903</v>
      </c>
      <c r="J612" s="2" t="e">
        <f t="shared" si="38"/>
        <v>#NUM!</v>
      </c>
      <c r="K612">
        <f t="shared" si="39"/>
        <v>4.3333333333333335E-2</v>
      </c>
    </row>
    <row r="613" spans="1:11" ht="13.9" x14ac:dyDescent="0.3">
      <c r="A613" s="2" t="s">
        <v>119</v>
      </c>
      <c r="B613" s="2">
        <v>0</v>
      </c>
      <c r="C613" s="2">
        <v>0</v>
      </c>
      <c r="D613" s="2">
        <v>0</v>
      </c>
      <c r="E613" s="2">
        <v>0.2</v>
      </c>
      <c r="F613" s="2">
        <v>0</v>
      </c>
      <c r="G613" s="2">
        <v>0</v>
      </c>
      <c r="H613" s="2" t="e">
        <f t="shared" si="36"/>
        <v>#NUM!</v>
      </c>
      <c r="I613" s="2">
        <f t="shared" si="37"/>
        <v>0.37390096630005903</v>
      </c>
      <c r="J613" s="2" t="e">
        <f t="shared" si="38"/>
        <v>#NUM!</v>
      </c>
      <c r="K613">
        <f t="shared" si="39"/>
        <v>6.6666666666666666E-2</v>
      </c>
    </row>
    <row r="614" spans="1:11" ht="13.9" x14ac:dyDescent="0.3">
      <c r="A614" s="2" t="s">
        <v>513</v>
      </c>
      <c r="B614" s="2">
        <v>0</v>
      </c>
      <c r="C614" s="2">
        <v>0</v>
      </c>
      <c r="D614" s="2">
        <v>0</v>
      </c>
      <c r="E614" s="2">
        <v>0.2</v>
      </c>
      <c r="F614" s="2">
        <v>0</v>
      </c>
      <c r="G614" s="2">
        <v>0</v>
      </c>
      <c r="H614" s="2" t="e">
        <f t="shared" si="36"/>
        <v>#NUM!</v>
      </c>
      <c r="I614" s="2">
        <f t="shared" si="37"/>
        <v>0.37390096630005903</v>
      </c>
      <c r="J614" s="2" t="e">
        <f t="shared" si="38"/>
        <v>#NUM!</v>
      </c>
      <c r="K614">
        <f t="shared" si="39"/>
        <v>6.6666666666666666E-2</v>
      </c>
    </row>
    <row r="615" spans="1:11" ht="13.9" x14ac:dyDescent="0.3">
      <c r="A615" s="2" t="s">
        <v>520</v>
      </c>
      <c r="B615" s="2">
        <v>0</v>
      </c>
      <c r="C615" s="2">
        <v>0</v>
      </c>
      <c r="D615" s="2">
        <v>0</v>
      </c>
      <c r="E615" s="2">
        <v>0.2</v>
      </c>
      <c r="F615" s="2">
        <v>0</v>
      </c>
      <c r="G615" s="2">
        <v>0</v>
      </c>
      <c r="H615" s="2" t="e">
        <f t="shared" si="36"/>
        <v>#NUM!</v>
      </c>
      <c r="I615" s="2">
        <f t="shared" si="37"/>
        <v>0.37390096630005903</v>
      </c>
      <c r="J615" s="2" t="e">
        <f t="shared" si="38"/>
        <v>#NUM!</v>
      </c>
      <c r="K615">
        <f t="shared" si="39"/>
        <v>6.6666666666666666E-2</v>
      </c>
    </row>
    <row r="616" spans="1:11" ht="13.9" x14ac:dyDescent="0.3">
      <c r="A616" s="2" t="s">
        <v>559</v>
      </c>
      <c r="B616" s="2">
        <v>0</v>
      </c>
      <c r="C616" s="2">
        <v>0</v>
      </c>
      <c r="D616" s="2">
        <v>0</v>
      </c>
      <c r="E616" s="2">
        <v>0.2</v>
      </c>
      <c r="F616" s="2">
        <v>0</v>
      </c>
      <c r="G616" s="2">
        <v>0</v>
      </c>
      <c r="H616" s="2" t="e">
        <f t="shared" si="36"/>
        <v>#NUM!</v>
      </c>
      <c r="I616" s="2">
        <f t="shared" si="37"/>
        <v>0.37390096630005903</v>
      </c>
      <c r="J616" s="2" t="e">
        <f t="shared" si="38"/>
        <v>#NUM!</v>
      </c>
      <c r="K616">
        <f t="shared" si="39"/>
        <v>6.6666666666666666E-2</v>
      </c>
    </row>
    <row r="617" spans="1:1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36"/>
        <v>#NUM!</v>
      </c>
      <c r="I617" s="2">
        <f t="shared" si="37"/>
        <v>0.37390096630005903</v>
      </c>
      <c r="J617" s="2" t="e">
        <f t="shared" si="38"/>
        <v>#NUM!</v>
      </c>
      <c r="K617">
        <f t="shared" si="39"/>
        <v>6.6666666666666666E-2</v>
      </c>
    </row>
    <row r="618" spans="1:11" ht="13.9" x14ac:dyDescent="0.3">
      <c r="A618" s="2" t="s">
        <v>787</v>
      </c>
      <c r="B618" s="2">
        <v>0</v>
      </c>
      <c r="C618" s="2">
        <v>0</v>
      </c>
      <c r="D618" s="2">
        <v>0</v>
      </c>
      <c r="E618" s="2">
        <v>0.2</v>
      </c>
      <c r="F618" s="2">
        <v>0</v>
      </c>
      <c r="G618" s="2">
        <v>0</v>
      </c>
      <c r="H618" s="2" t="e">
        <f t="shared" si="36"/>
        <v>#NUM!</v>
      </c>
      <c r="I618" s="2">
        <f t="shared" si="37"/>
        <v>0.37390096630005903</v>
      </c>
      <c r="J618" s="2" t="e">
        <f t="shared" si="38"/>
        <v>#NUM!</v>
      </c>
      <c r="K618">
        <f t="shared" si="39"/>
        <v>6.6666666666666666E-2</v>
      </c>
    </row>
    <row r="619" spans="1:11" ht="13.9" x14ac:dyDescent="0.3">
      <c r="A619" s="2" t="s">
        <v>813</v>
      </c>
      <c r="B619" s="2">
        <v>0</v>
      </c>
      <c r="C619" s="2">
        <v>0</v>
      </c>
      <c r="D619" s="2">
        <v>0</v>
      </c>
      <c r="E619" s="2">
        <v>0.2</v>
      </c>
      <c r="F619" s="2">
        <v>0</v>
      </c>
      <c r="G619" s="2">
        <v>0</v>
      </c>
      <c r="H619" s="2" t="e">
        <f t="shared" si="36"/>
        <v>#NUM!</v>
      </c>
      <c r="I619" s="2">
        <f t="shared" si="37"/>
        <v>0.37390096630005903</v>
      </c>
      <c r="J619" s="2" t="e">
        <f t="shared" si="38"/>
        <v>#NUM!</v>
      </c>
      <c r="K619">
        <f t="shared" si="39"/>
        <v>6.6666666666666666E-2</v>
      </c>
    </row>
    <row r="620" spans="1:11" ht="13.9" x14ac:dyDescent="0.3">
      <c r="A620" s="2" t="s">
        <v>837</v>
      </c>
      <c r="B620" s="2">
        <v>0</v>
      </c>
      <c r="C620" s="2">
        <v>0</v>
      </c>
      <c r="D620" s="2">
        <v>0</v>
      </c>
      <c r="E620" s="2">
        <v>0.2</v>
      </c>
      <c r="F620" s="2">
        <v>0</v>
      </c>
      <c r="G620" s="2">
        <v>0</v>
      </c>
      <c r="H620" s="2" t="e">
        <f t="shared" si="36"/>
        <v>#NUM!</v>
      </c>
      <c r="I620" s="2">
        <f t="shared" si="37"/>
        <v>0.37390096630005903</v>
      </c>
      <c r="J620" s="2" t="e">
        <f t="shared" si="38"/>
        <v>#NUM!</v>
      </c>
      <c r="K620">
        <f t="shared" si="39"/>
        <v>6.6666666666666666E-2</v>
      </c>
    </row>
    <row r="621" spans="1:11" ht="13.9" x14ac:dyDescent="0.3">
      <c r="A621" s="2" t="s">
        <v>390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0.21</v>
      </c>
      <c r="H621" s="2" t="e">
        <f t="shared" si="36"/>
        <v>#NUM!</v>
      </c>
      <c r="I621" s="2">
        <f t="shared" si="37"/>
        <v>0.37390096630005903</v>
      </c>
      <c r="J621" s="2" t="e">
        <f t="shared" si="38"/>
        <v>#NUM!</v>
      </c>
      <c r="K621">
        <f t="shared" si="39"/>
        <v>6.9999999999999993E-2</v>
      </c>
    </row>
    <row r="622" spans="1:11" ht="13.9" x14ac:dyDescent="0.3">
      <c r="A622" s="2" t="s">
        <v>540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0.21</v>
      </c>
      <c r="H622" s="2" t="e">
        <f t="shared" si="36"/>
        <v>#NUM!</v>
      </c>
      <c r="I622" s="2">
        <f t="shared" si="37"/>
        <v>0.37390096630005903</v>
      </c>
      <c r="J622" s="2" t="e">
        <f t="shared" si="38"/>
        <v>#NUM!</v>
      </c>
      <c r="K622">
        <f t="shared" si="39"/>
        <v>6.9999999999999993E-2</v>
      </c>
    </row>
    <row r="623" spans="1:11" ht="13.9" x14ac:dyDescent="0.3">
      <c r="A623" s="2" t="s">
        <v>703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0.21</v>
      </c>
      <c r="H623" s="2" t="e">
        <f t="shared" si="36"/>
        <v>#NUM!</v>
      </c>
      <c r="I623" s="2">
        <f t="shared" si="37"/>
        <v>0.37390096630005903</v>
      </c>
      <c r="J623" s="2" t="e">
        <f t="shared" si="38"/>
        <v>#NUM!</v>
      </c>
      <c r="K623">
        <f t="shared" si="39"/>
        <v>6.9999999999999993E-2</v>
      </c>
    </row>
    <row r="624" spans="1:11" ht="13.9" x14ac:dyDescent="0.3">
      <c r="A624" s="2" t="s">
        <v>833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0.21</v>
      </c>
      <c r="H624" s="2" t="e">
        <f t="shared" si="36"/>
        <v>#NUM!</v>
      </c>
      <c r="I624" s="2">
        <f t="shared" si="37"/>
        <v>0.37390096630005903</v>
      </c>
      <c r="J624" s="2" t="e">
        <f t="shared" si="38"/>
        <v>#NUM!</v>
      </c>
      <c r="K624">
        <f t="shared" si="39"/>
        <v>6.9999999999999993E-2</v>
      </c>
    </row>
    <row r="625" spans="1:11" ht="13.9" x14ac:dyDescent="0.3">
      <c r="A625" s="2" t="s">
        <v>624</v>
      </c>
      <c r="B625" s="2">
        <v>0</v>
      </c>
      <c r="C625" s="2">
        <v>0</v>
      </c>
      <c r="D625" s="2">
        <v>0</v>
      </c>
      <c r="E625" s="2">
        <v>0.1</v>
      </c>
      <c r="F625" s="2">
        <v>0</v>
      </c>
      <c r="G625" s="2">
        <v>0.11</v>
      </c>
      <c r="H625" s="2" t="e">
        <f t="shared" si="36"/>
        <v>#NUM!</v>
      </c>
      <c r="I625" s="2">
        <f t="shared" si="37"/>
        <v>0.11701767633663412</v>
      </c>
      <c r="J625" s="2" t="e">
        <f t="shared" si="38"/>
        <v>#NUM!</v>
      </c>
      <c r="K625">
        <f t="shared" si="39"/>
        <v>7.0000000000000007E-2</v>
      </c>
    </row>
    <row r="626" spans="1:11" ht="13.9" x14ac:dyDescent="0.3">
      <c r="A626" s="2" t="s">
        <v>365</v>
      </c>
      <c r="B626" s="2">
        <v>0</v>
      </c>
      <c r="C626" s="2">
        <v>0</v>
      </c>
      <c r="D626" s="2">
        <v>0</v>
      </c>
      <c r="E626" s="2">
        <v>0.1</v>
      </c>
      <c r="F626" s="2">
        <v>0.13</v>
      </c>
      <c r="G626" s="2">
        <v>0</v>
      </c>
      <c r="H626" s="2" t="e">
        <f t="shared" si="36"/>
        <v>#NUM!</v>
      </c>
      <c r="I626" s="2">
        <f t="shared" si="37"/>
        <v>0.12283946337339596</v>
      </c>
      <c r="J626" s="2" t="e">
        <f t="shared" si="38"/>
        <v>#NUM!</v>
      </c>
      <c r="K626">
        <f t="shared" si="39"/>
        <v>7.6666666666666675E-2</v>
      </c>
    </row>
    <row r="627" spans="1:11" ht="13.9" x14ac:dyDescent="0.3">
      <c r="A627" s="2" t="s">
        <v>395</v>
      </c>
      <c r="B627" s="2">
        <v>0</v>
      </c>
      <c r="C627" s="2">
        <v>0</v>
      </c>
      <c r="D627" s="2">
        <v>0</v>
      </c>
      <c r="E627" s="2">
        <v>0.1</v>
      </c>
      <c r="F627" s="2">
        <v>0.13</v>
      </c>
      <c r="G627" s="2">
        <v>0</v>
      </c>
      <c r="H627" s="2" t="e">
        <f t="shared" si="36"/>
        <v>#NUM!</v>
      </c>
      <c r="I627" s="2">
        <f t="shared" si="37"/>
        <v>0.12283946337339596</v>
      </c>
      <c r="J627" s="2" t="e">
        <f t="shared" si="38"/>
        <v>#NUM!</v>
      </c>
      <c r="K627">
        <f t="shared" si="39"/>
        <v>7.6666666666666675E-2</v>
      </c>
    </row>
    <row r="628" spans="1:11" ht="13.9" x14ac:dyDescent="0.3">
      <c r="A628" s="2" t="s">
        <v>52</v>
      </c>
      <c r="B628" s="2">
        <v>0</v>
      </c>
      <c r="C628" s="2">
        <v>0</v>
      </c>
      <c r="D628" s="2">
        <v>0</v>
      </c>
      <c r="E628" s="2">
        <v>0</v>
      </c>
      <c r="F628" s="2">
        <v>0.27</v>
      </c>
      <c r="G628" s="2">
        <v>0</v>
      </c>
      <c r="H628" s="2" t="e">
        <f t="shared" si="36"/>
        <v>#NUM!</v>
      </c>
      <c r="I628" s="2">
        <f t="shared" si="37"/>
        <v>0.37390096630005903</v>
      </c>
      <c r="J628" s="2" t="e">
        <f t="shared" si="38"/>
        <v>#NUM!</v>
      </c>
      <c r="K628">
        <f t="shared" si="39"/>
        <v>9.0000000000000011E-2</v>
      </c>
    </row>
    <row r="629" spans="1:11" ht="13.9" x14ac:dyDescent="0.3">
      <c r="A629" s="2" t="s">
        <v>75</v>
      </c>
      <c r="B629" s="2">
        <v>0</v>
      </c>
      <c r="C629" s="2">
        <v>0</v>
      </c>
      <c r="D629" s="2">
        <v>0</v>
      </c>
      <c r="E629" s="2">
        <v>0</v>
      </c>
      <c r="F629" s="2">
        <v>0.27</v>
      </c>
      <c r="G629" s="2">
        <v>0</v>
      </c>
      <c r="H629" s="2" t="e">
        <f t="shared" si="36"/>
        <v>#NUM!</v>
      </c>
      <c r="I629" s="2">
        <f t="shared" si="37"/>
        <v>0.37390096630005903</v>
      </c>
      <c r="J629" s="2" t="e">
        <f t="shared" si="38"/>
        <v>#NUM!</v>
      </c>
      <c r="K629">
        <f t="shared" si="39"/>
        <v>9.0000000000000011E-2</v>
      </c>
    </row>
    <row r="630" spans="1:11" ht="13.9" x14ac:dyDescent="0.3">
      <c r="A630" s="2" t="s">
        <v>96</v>
      </c>
      <c r="B630" s="2">
        <v>0</v>
      </c>
      <c r="C630" s="2">
        <v>0</v>
      </c>
      <c r="D630" s="2">
        <v>0</v>
      </c>
      <c r="E630" s="2">
        <v>0</v>
      </c>
      <c r="F630" s="2">
        <v>0.27</v>
      </c>
      <c r="G630" s="2">
        <v>0</v>
      </c>
      <c r="H630" s="2" t="e">
        <f t="shared" si="36"/>
        <v>#NUM!</v>
      </c>
      <c r="I630" s="2">
        <f t="shared" si="37"/>
        <v>0.37390096630005903</v>
      </c>
      <c r="J630" s="2" t="e">
        <f t="shared" si="38"/>
        <v>#NUM!</v>
      </c>
      <c r="K630">
        <f t="shared" si="39"/>
        <v>9.0000000000000011E-2</v>
      </c>
    </row>
    <row r="631" spans="1:11" ht="13.9" x14ac:dyDescent="0.3">
      <c r="A631" s="2" t="s">
        <v>164</v>
      </c>
      <c r="B631" s="2">
        <v>0</v>
      </c>
      <c r="C631" s="2">
        <v>0</v>
      </c>
      <c r="D631" s="2">
        <v>0</v>
      </c>
      <c r="E631" s="2">
        <v>0</v>
      </c>
      <c r="F631" s="2">
        <v>0.27</v>
      </c>
      <c r="G631" s="2">
        <v>0</v>
      </c>
      <c r="H631" s="2" t="e">
        <f t="shared" si="36"/>
        <v>#NUM!</v>
      </c>
      <c r="I631" s="2">
        <f t="shared" si="37"/>
        <v>0.37390096630005903</v>
      </c>
      <c r="J631" s="2" t="e">
        <f t="shared" si="38"/>
        <v>#NUM!</v>
      </c>
      <c r="K631">
        <f t="shared" si="39"/>
        <v>9.0000000000000011E-2</v>
      </c>
    </row>
    <row r="632" spans="1:11" ht="13.9" x14ac:dyDescent="0.3">
      <c r="A632" s="2" t="s">
        <v>191</v>
      </c>
      <c r="B632" s="2">
        <v>0</v>
      </c>
      <c r="C632" s="2">
        <v>0</v>
      </c>
      <c r="D632" s="2">
        <v>0</v>
      </c>
      <c r="E632" s="2">
        <v>0</v>
      </c>
      <c r="F632" s="2">
        <v>0.27</v>
      </c>
      <c r="G632" s="2">
        <v>0</v>
      </c>
      <c r="H632" s="2" t="e">
        <f t="shared" si="36"/>
        <v>#NUM!</v>
      </c>
      <c r="I632" s="2">
        <f t="shared" si="37"/>
        <v>0.37390096630005903</v>
      </c>
      <c r="J632" s="2" t="e">
        <f t="shared" si="38"/>
        <v>#NUM!</v>
      </c>
      <c r="K632">
        <f t="shared" si="39"/>
        <v>9.0000000000000011E-2</v>
      </c>
    </row>
    <row r="633" spans="1:11" ht="13.9" x14ac:dyDescent="0.3">
      <c r="A633" s="2" t="s">
        <v>192</v>
      </c>
      <c r="B633" s="2">
        <v>0</v>
      </c>
      <c r="C633" s="2">
        <v>0</v>
      </c>
      <c r="D633" s="2">
        <v>0</v>
      </c>
      <c r="E633" s="2">
        <v>0</v>
      </c>
      <c r="F633" s="2">
        <v>0.27</v>
      </c>
      <c r="G633" s="2">
        <v>0</v>
      </c>
      <c r="H633" s="2" t="e">
        <f t="shared" si="36"/>
        <v>#NUM!</v>
      </c>
      <c r="I633" s="2">
        <f t="shared" si="37"/>
        <v>0.37390096630005903</v>
      </c>
      <c r="J633" s="2" t="e">
        <f t="shared" si="38"/>
        <v>#NUM!</v>
      </c>
      <c r="K633">
        <f t="shared" si="39"/>
        <v>9.0000000000000011E-2</v>
      </c>
    </row>
    <row r="634" spans="1:11" ht="13.9" x14ac:dyDescent="0.3">
      <c r="A634" s="2" t="s">
        <v>286</v>
      </c>
      <c r="B634" s="2">
        <v>0</v>
      </c>
      <c r="C634" s="2">
        <v>0</v>
      </c>
      <c r="D634" s="2">
        <v>0</v>
      </c>
      <c r="E634" s="2">
        <v>0</v>
      </c>
      <c r="F634" s="2">
        <v>0.27</v>
      </c>
      <c r="G634" s="2">
        <v>0</v>
      </c>
      <c r="H634" s="2" t="e">
        <f t="shared" si="36"/>
        <v>#NUM!</v>
      </c>
      <c r="I634" s="2">
        <f t="shared" si="37"/>
        <v>0.37390096630005903</v>
      </c>
      <c r="J634" s="2" t="e">
        <f t="shared" si="38"/>
        <v>#NUM!</v>
      </c>
      <c r="K634">
        <f t="shared" si="39"/>
        <v>9.0000000000000011E-2</v>
      </c>
    </row>
    <row r="635" spans="1:11" ht="13.9" x14ac:dyDescent="0.3">
      <c r="A635" s="2" t="s">
        <v>315</v>
      </c>
      <c r="B635" s="2">
        <v>0</v>
      </c>
      <c r="C635" s="2">
        <v>0</v>
      </c>
      <c r="D635" s="2">
        <v>0</v>
      </c>
      <c r="E635" s="2">
        <v>0</v>
      </c>
      <c r="F635" s="2">
        <v>0.27</v>
      </c>
      <c r="G635" s="2">
        <v>0</v>
      </c>
      <c r="H635" s="2" t="e">
        <f t="shared" si="36"/>
        <v>#NUM!</v>
      </c>
      <c r="I635" s="2">
        <f t="shared" si="37"/>
        <v>0.37390096630005903</v>
      </c>
      <c r="J635" s="2" t="e">
        <f t="shared" si="38"/>
        <v>#NUM!</v>
      </c>
      <c r="K635">
        <f t="shared" si="39"/>
        <v>9.0000000000000011E-2</v>
      </c>
    </row>
    <row r="636" spans="1:11" ht="13.9" x14ac:dyDescent="0.3">
      <c r="A636" s="2" t="s">
        <v>410</v>
      </c>
      <c r="B636" s="2">
        <v>0</v>
      </c>
      <c r="C636" s="2">
        <v>0</v>
      </c>
      <c r="D636" s="2">
        <v>0</v>
      </c>
      <c r="E636" s="2">
        <v>0</v>
      </c>
      <c r="F636" s="2">
        <v>0.27</v>
      </c>
      <c r="G636" s="2">
        <v>0</v>
      </c>
      <c r="H636" s="2" t="e">
        <f t="shared" si="36"/>
        <v>#NUM!</v>
      </c>
      <c r="I636" s="2">
        <f t="shared" si="37"/>
        <v>0.37390096630005903</v>
      </c>
      <c r="J636" s="2" t="e">
        <f t="shared" si="38"/>
        <v>#NUM!</v>
      </c>
      <c r="K636">
        <f t="shared" si="39"/>
        <v>9.0000000000000011E-2</v>
      </c>
    </row>
    <row r="637" spans="1:11" ht="13.9" x14ac:dyDescent="0.3">
      <c r="A637" s="2" t="s">
        <v>491</v>
      </c>
      <c r="B637" s="2">
        <v>0</v>
      </c>
      <c r="C637" s="2">
        <v>0</v>
      </c>
      <c r="D637" s="2">
        <v>0</v>
      </c>
      <c r="E637" s="2">
        <v>0</v>
      </c>
      <c r="F637" s="2">
        <v>0.27</v>
      </c>
      <c r="G637" s="2">
        <v>0</v>
      </c>
      <c r="H637" s="2" t="e">
        <f t="shared" si="36"/>
        <v>#NUM!</v>
      </c>
      <c r="I637" s="2">
        <f t="shared" si="37"/>
        <v>0.37390096630005903</v>
      </c>
      <c r="J637" s="2" t="e">
        <f t="shared" si="38"/>
        <v>#NUM!</v>
      </c>
      <c r="K637">
        <f t="shared" si="39"/>
        <v>9.0000000000000011E-2</v>
      </c>
    </row>
    <row r="638" spans="1:11" ht="13.9" x14ac:dyDescent="0.3">
      <c r="A638" s="2" t="s">
        <v>615</v>
      </c>
      <c r="B638" s="2">
        <v>0</v>
      </c>
      <c r="C638" s="2">
        <v>0</v>
      </c>
      <c r="D638" s="2">
        <v>0</v>
      </c>
      <c r="E638" s="2">
        <v>0</v>
      </c>
      <c r="F638" s="2">
        <v>0.27</v>
      </c>
      <c r="G638" s="2">
        <v>0</v>
      </c>
      <c r="H638" s="2" t="e">
        <f t="shared" si="36"/>
        <v>#NUM!</v>
      </c>
      <c r="I638" s="2">
        <f t="shared" si="37"/>
        <v>0.37390096630005903</v>
      </c>
      <c r="J638" s="2" t="e">
        <f t="shared" si="38"/>
        <v>#NUM!</v>
      </c>
      <c r="K638">
        <f t="shared" si="39"/>
        <v>9.0000000000000011E-2</v>
      </c>
    </row>
    <row r="639" spans="1:11" ht="13.9" x14ac:dyDescent="0.3">
      <c r="A639" s="2" t="s">
        <v>874</v>
      </c>
      <c r="B639" s="2">
        <v>0</v>
      </c>
      <c r="C639" s="2">
        <v>0</v>
      </c>
      <c r="D639" s="2">
        <v>0</v>
      </c>
      <c r="E639" s="2">
        <v>0</v>
      </c>
      <c r="F639" s="2">
        <v>0.27</v>
      </c>
      <c r="G639" s="2">
        <v>0</v>
      </c>
      <c r="H639" s="2" t="e">
        <f t="shared" si="36"/>
        <v>#NUM!</v>
      </c>
      <c r="I639" s="2">
        <f t="shared" si="37"/>
        <v>0.37390096630005903</v>
      </c>
      <c r="J639" s="2" t="e">
        <f t="shared" si="38"/>
        <v>#NUM!</v>
      </c>
      <c r="K639">
        <f t="shared" si="39"/>
        <v>9.0000000000000011E-2</v>
      </c>
    </row>
    <row r="640" spans="1:11" ht="13.9" x14ac:dyDescent="0.3">
      <c r="A640" s="2" t="s">
        <v>343</v>
      </c>
      <c r="B640" s="2">
        <v>0</v>
      </c>
      <c r="C640" s="2">
        <v>0</v>
      </c>
      <c r="D640" s="2">
        <v>0</v>
      </c>
      <c r="E640" s="2">
        <v>0.3</v>
      </c>
      <c r="F640" s="2">
        <v>0</v>
      </c>
      <c r="G640" s="2">
        <v>0</v>
      </c>
      <c r="H640" s="2" t="e">
        <f t="shared" si="36"/>
        <v>#NUM!</v>
      </c>
      <c r="I640" s="2">
        <f t="shared" si="37"/>
        <v>0.37390096630005903</v>
      </c>
      <c r="J640" s="2" t="e">
        <f t="shared" si="38"/>
        <v>#NUM!</v>
      </c>
      <c r="K640">
        <f t="shared" si="39"/>
        <v>9.9999999999999992E-2</v>
      </c>
    </row>
    <row r="641" spans="1:11" ht="13.9" x14ac:dyDescent="0.3">
      <c r="A641" s="2" t="s">
        <v>344</v>
      </c>
      <c r="B641" s="2">
        <v>0</v>
      </c>
      <c r="C641" s="2">
        <v>0</v>
      </c>
      <c r="D641" s="2">
        <v>0</v>
      </c>
      <c r="E641" s="2">
        <v>0.3</v>
      </c>
      <c r="F641" s="2">
        <v>0</v>
      </c>
      <c r="G641" s="2">
        <v>0</v>
      </c>
      <c r="H641" s="2" t="e">
        <f t="shared" si="36"/>
        <v>#NUM!</v>
      </c>
      <c r="I641" s="2">
        <f t="shared" si="37"/>
        <v>0.37390096630005903</v>
      </c>
      <c r="J641" s="2" t="e">
        <f t="shared" si="38"/>
        <v>#NUM!</v>
      </c>
      <c r="K641">
        <f t="shared" si="39"/>
        <v>9.9999999999999992E-2</v>
      </c>
    </row>
    <row r="642" spans="1:11" ht="13.9" x14ac:dyDescent="0.3">
      <c r="A642" s="2" t="s">
        <v>573</v>
      </c>
      <c r="B642" s="2">
        <v>0</v>
      </c>
      <c r="C642" s="2">
        <v>0</v>
      </c>
      <c r="D642" s="2">
        <v>0</v>
      </c>
      <c r="E642" s="2">
        <v>0.3</v>
      </c>
      <c r="F642" s="2">
        <v>0</v>
      </c>
      <c r="G642" s="2">
        <v>0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0.37390096630005903</v>
      </c>
      <c r="J642" s="2" t="e">
        <f t="shared" ref="J642:J705" si="42">LOG(SUM(B642:D642),2)</f>
        <v>#NUM!</v>
      </c>
      <c r="K642">
        <f t="shared" ref="K642:K705" si="43">AVERAGE(E642:G642)</f>
        <v>9.9999999999999992E-2</v>
      </c>
    </row>
    <row r="643" spans="1:11" ht="13.9" x14ac:dyDescent="0.3">
      <c r="A643" s="2" t="s">
        <v>630</v>
      </c>
      <c r="B643" s="2">
        <v>0</v>
      </c>
      <c r="C643" s="2">
        <v>0</v>
      </c>
      <c r="D643" s="2">
        <v>0</v>
      </c>
      <c r="E643" s="2">
        <v>0.3</v>
      </c>
      <c r="F643" s="2">
        <v>0</v>
      </c>
      <c r="G643" s="2">
        <v>0</v>
      </c>
      <c r="H643" s="2" t="e">
        <f t="shared" si="40"/>
        <v>#NUM!</v>
      </c>
      <c r="I643" s="2">
        <f t="shared" si="41"/>
        <v>0.37390096630005903</v>
      </c>
      <c r="J643" s="2" t="e">
        <f t="shared" si="42"/>
        <v>#NUM!</v>
      </c>
      <c r="K643">
        <f t="shared" si="43"/>
        <v>9.9999999999999992E-2</v>
      </c>
    </row>
    <row r="644" spans="1:11" ht="13.9" x14ac:dyDescent="0.3">
      <c r="A644" s="2" t="s">
        <v>656</v>
      </c>
      <c r="B644" s="2">
        <v>0</v>
      </c>
      <c r="C644" s="2">
        <v>0</v>
      </c>
      <c r="D644" s="2">
        <v>0</v>
      </c>
      <c r="E644" s="2">
        <v>0.3</v>
      </c>
      <c r="F644" s="2">
        <v>0</v>
      </c>
      <c r="G644" s="2">
        <v>0</v>
      </c>
      <c r="H644" s="2" t="e">
        <f t="shared" si="40"/>
        <v>#NUM!</v>
      </c>
      <c r="I644" s="2">
        <f t="shared" si="41"/>
        <v>0.37390096630005903</v>
      </c>
      <c r="J644" s="2" t="e">
        <f t="shared" si="42"/>
        <v>#NUM!</v>
      </c>
      <c r="K644">
        <f t="shared" si="43"/>
        <v>9.9999999999999992E-2</v>
      </c>
    </row>
    <row r="645" spans="1:11" ht="13.9" x14ac:dyDescent="0.3">
      <c r="A645" s="2" t="s">
        <v>788</v>
      </c>
      <c r="B645" s="2">
        <v>0</v>
      </c>
      <c r="C645" s="2">
        <v>0</v>
      </c>
      <c r="D645" s="2">
        <v>0</v>
      </c>
      <c r="E645" s="2">
        <v>0.3</v>
      </c>
      <c r="F645" s="2">
        <v>0</v>
      </c>
      <c r="G645" s="2">
        <v>0</v>
      </c>
      <c r="H645" s="2" t="e">
        <f t="shared" si="40"/>
        <v>#NUM!</v>
      </c>
      <c r="I645" s="2">
        <f t="shared" si="41"/>
        <v>0.37390096630005903</v>
      </c>
      <c r="J645" s="2" t="e">
        <f t="shared" si="42"/>
        <v>#NUM!</v>
      </c>
      <c r="K645">
        <f t="shared" si="43"/>
        <v>9.9999999999999992E-2</v>
      </c>
    </row>
    <row r="646" spans="1:11" ht="13.9" x14ac:dyDescent="0.3">
      <c r="A646" s="2" t="s">
        <v>882</v>
      </c>
      <c r="B646" s="2">
        <v>0</v>
      </c>
      <c r="C646" s="2">
        <v>0</v>
      </c>
      <c r="D646" s="2">
        <v>0</v>
      </c>
      <c r="E646" s="2">
        <v>0.3</v>
      </c>
      <c r="F646" s="2">
        <v>0</v>
      </c>
      <c r="G646" s="2">
        <v>0</v>
      </c>
      <c r="H646" s="2" t="e">
        <f t="shared" si="40"/>
        <v>#NUM!</v>
      </c>
      <c r="I646" s="2">
        <f t="shared" si="41"/>
        <v>0.37390096630005903</v>
      </c>
      <c r="J646" s="2" t="e">
        <f t="shared" si="42"/>
        <v>#NUM!</v>
      </c>
      <c r="K646">
        <f t="shared" si="43"/>
        <v>9.9999999999999992E-2</v>
      </c>
    </row>
    <row r="647" spans="1:11" ht="13.9" x14ac:dyDescent="0.3">
      <c r="A647" s="2" t="s">
        <v>47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0.32</v>
      </c>
      <c r="H647" s="2" t="e">
        <f t="shared" si="40"/>
        <v>#NUM!</v>
      </c>
      <c r="I647" s="2">
        <f t="shared" si="41"/>
        <v>0.37390096630005903</v>
      </c>
      <c r="J647" s="2" t="e">
        <f t="shared" si="42"/>
        <v>#NUM!</v>
      </c>
      <c r="K647">
        <f t="shared" si="43"/>
        <v>0.10666666666666667</v>
      </c>
    </row>
    <row r="648" spans="1:11" ht="13.9" x14ac:dyDescent="0.3">
      <c r="A648" s="2" t="s">
        <v>110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0.32</v>
      </c>
      <c r="H648" s="2" t="e">
        <f t="shared" si="40"/>
        <v>#NUM!</v>
      </c>
      <c r="I648" s="2">
        <f t="shared" si="41"/>
        <v>0.37390096630005903</v>
      </c>
      <c r="J648" s="2" t="e">
        <f t="shared" si="42"/>
        <v>#NUM!</v>
      </c>
      <c r="K648">
        <f t="shared" si="43"/>
        <v>0.10666666666666667</v>
      </c>
    </row>
    <row r="649" spans="1:11" ht="13.9" x14ac:dyDescent="0.3">
      <c r="A649" s="2" t="s">
        <v>112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0.32</v>
      </c>
      <c r="H649" s="2" t="e">
        <f t="shared" si="40"/>
        <v>#NUM!</v>
      </c>
      <c r="I649" s="2">
        <f t="shared" si="41"/>
        <v>0.37390096630005903</v>
      </c>
      <c r="J649" s="2" t="e">
        <f t="shared" si="42"/>
        <v>#NUM!</v>
      </c>
      <c r="K649">
        <f t="shared" si="43"/>
        <v>0.10666666666666667</v>
      </c>
    </row>
    <row r="650" spans="1:11" ht="13.9" x14ac:dyDescent="0.3">
      <c r="A650" s="2" t="s">
        <v>237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0.32</v>
      </c>
      <c r="H650" s="2" t="e">
        <f t="shared" si="40"/>
        <v>#NUM!</v>
      </c>
      <c r="I650" s="2">
        <f t="shared" si="41"/>
        <v>0.37390096630005903</v>
      </c>
      <c r="J650" s="2" t="e">
        <f t="shared" si="42"/>
        <v>#NUM!</v>
      </c>
      <c r="K650">
        <f t="shared" si="43"/>
        <v>0.10666666666666667</v>
      </c>
    </row>
    <row r="651" spans="1:11" ht="13.9" x14ac:dyDescent="0.3">
      <c r="A651" s="2" t="s">
        <v>498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0.32</v>
      </c>
      <c r="H651" s="2" t="e">
        <f t="shared" si="40"/>
        <v>#NUM!</v>
      </c>
      <c r="I651" s="2">
        <f t="shared" si="41"/>
        <v>0.37390096630005903</v>
      </c>
      <c r="J651" s="2" t="e">
        <f t="shared" si="42"/>
        <v>#NUM!</v>
      </c>
      <c r="K651">
        <f t="shared" si="43"/>
        <v>0.10666666666666667</v>
      </c>
    </row>
    <row r="652" spans="1:11" ht="13.9" x14ac:dyDescent="0.3">
      <c r="A652" s="2" t="s">
        <v>563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0.32</v>
      </c>
      <c r="H652" s="2" t="e">
        <f t="shared" si="40"/>
        <v>#NUM!</v>
      </c>
      <c r="I652" s="2">
        <f t="shared" si="41"/>
        <v>0.37390096630005903</v>
      </c>
      <c r="J652" s="2" t="e">
        <f t="shared" si="42"/>
        <v>#NUM!</v>
      </c>
      <c r="K652">
        <f t="shared" si="43"/>
        <v>0.10666666666666667</v>
      </c>
    </row>
    <row r="653" spans="1:11" ht="13.9" x14ac:dyDescent="0.3">
      <c r="A653" s="2" t="s">
        <v>577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0.32</v>
      </c>
      <c r="H653" s="2" t="e">
        <f t="shared" si="40"/>
        <v>#NUM!</v>
      </c>
      <c r="I653" s="2">
        <f t="shared" si="41"/>
        <v>0.37390096630005903</v>
      </c>
      <c r="J653" s="2" t="e">
        <f t="shared" si="42"/>
        <v>#NUM!</v>
      </c>
      <c r="K653">
        <f t="shared" si="43"/>
        <v>0.10666666666666667</v>
      </c>
    </row>
    <row r="654" spans="1:11" ht="13.9" x14ac:dyDescent="0.3">
      <c r="A654" s="2" t="s">
        <v>608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0.32</v>
      </c>
      <c r="H654" s="2" t="e">
        <f t="shared" si="40"/>
        <v>#NUM!</v>
      </c>
      <c r="I654" s="2">
        <f t="shared" si="41"/>
        <v>0.37390096630005903</v>
      </c>
      <c r="J654" s="2" t="e">
        <f t="shared" si="42"/>
        <v>#NUM!</v>
      </c>
      <c r="K654">
        <f t="shared" si="43"/>
        <v>0.10666666666666667</v>
      </c>
    </row>
    <row r="655" spans="1:11" ht="13.9" x14ac:dyDescent="0.3">
      <c r="A655" s="2" t="s">
        <v>614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0.32</v>
      </c>
      <c r="H655" s="2" t="e">
        <f t="shared" si="40"/>
        <v>#NUM!</v>
      </c>
      <c r="I655" s="2">
        <f t="shared" si="41"/>
        <v>0.37390096630005903</v>
      </c>
      <c r="J655" s="2" t="e">
        <f t="shared" si="42"/>
        <v>#NUM!</v>
      </c>
      <c r="K655">
        <f t="shared" si="43"/>
        <v>0.10666666666666667</v>
      </c>
    </row>
    <row r="656" spans="1:11" ht="13.9" x14ac:dyDescent="0.3">
      <c r="A656" s="2" t="s">
        <v>734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0.32</v>
      </c>
      <c r="H656" s="2" t="e">
        <f t="shared" si="40"/>
        <v>#NUM!</v>
      </c>
      <c r="I656" s="2">
        <f t="shared" si="41"/>
        <v>0.37390096630005903</v>
      </c>
      <c r="J656" s="2" t="e">
        <f t="shared" si="42"/>
        <v>#NUM!</v>
      </c>
      <c r="K656">
        <f t="shared" si="43"/>
        <v>0.10666666666666667</v>
      </c>
    </row>
    <row r="657" spans="1:11" ht="13.9" x14ac:dyDescent="0.3">
      <c r="A657" s="2" t="s">
        <v>825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0.32</v>
      </c>
      <c r="H657" s="2" t="e">
        <f t="shared" si="40"/>
        <v>#NUM!</v>
      </c>
      <c r="I657" s="2">
        <f t="shared" si="41"/>
        <v>0.37390096630005903</v>
      </c>
      <c r="J657" s="2" t="e">
        <f t="shared" si="42"/>
        <v>#NUM!</v>
      </c>
      <c r="K657">
        <f t="shared" si="43"/>
        <v>0.10666666666666667</v>
      </c>
    </row>
    <row r="658" spans="1:11" ht="13.9" x14ac:dyDescent="0.3">
      <c r="A658" s="2" t="s">
        <v>906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0.32</v>
      </c>
      <c r="H658" s="2" t="e">
        <f t="shared" si="40"/>
        <v>#NUM!</v>
      </c>
      <c r="I658" s="2">
        <f t="shared" si="41"/>
        <v>0.37390096630005903</v>
      </c>
      <c r="J658" s="2" t="e">
        <f t="shared" si="42"/>
        <v>#NUM!</v>
      </c>
      <c r="K658">
        <f t="shared" si="43"/>
        <v>0.10666666666666667</v>
      </c>
    </row>
    <row r="659" spans="1:11" ht="13.9" x14ac:dyDescent="0.3">
      <c r="A659" s="2" t="s">
        <v>90</v>
      </c>
      <c r="B659" s="2">
        <v>0</v>
      </c>
      <c r="C659" s="2">
        <v>0</v>
      </c>
      <c r="D659" s="2">
        <v>0</v>
      </c>
      <c r="E659" s="2">
        <v>0.1</v>
      </c>
      <c r="F659" s="2">
        <v>0.13</v>
      </c>
      <c r="G659" s="2">
        <v>0.11</v>
      </c>
      <c r="H659" s="2" t="e">
        <f t="shared" si="40"/>
        <v>#NUM!</v>
      </c>
      <c r="I659" s="2">
        <f t="shared" si="41"/>
        <v>2.1139752676373701E-4</v>
      </c>
      <c r="J659" s="2" t="e">
        <f t="shared" si="42"/>
        <v>#NUM!</v>
      </c>
      <c r="K659">
        <f t="shared" si="43"/>
        <v>0.11333333333333334</v>
      </c>
    </row>
    <row r="660" spans="1:11" ht="13.9" x14ac:dyDescent="0.3">
      <c r="A660" s="2" t="s">
        <v>72</v>
      </c>
      <c r="B660" s="2">
        <v>0</v>
      </c>
      <c r="C660" s="2">
        <v>0</v>
      </c>
      <c r="D660" s="2">
        <v>0</v>
      </c>
      <c r="E660" s="2">
        <v>0</v>
      </c>
      <c r="F660" s="2">
        <v>0.27</v>
      </c>
      <c r="G660" s="2">
        <v>0.11</v>
      </c>
      <c r="H660" s="2" t="e">
        <f t="shared" si="40"/>
        <v>#NUM!</v>
      </c>
      <c r="I660" s="2">
        <f t="shared" si="41"/>
        <v>0.18141514163843797</v>
      </c>
      <c r="J660" s="2" t="e">
        <f t="shared" si="42"/>
        <v>#NUM!</v>
      </c>
      <c r="K660">
        <f t="shared" si="43"/>
        <v>0.12666666666666668</v>
      </c>
    </row>
    <row r="661" spans="1:11" ht="13.9" x14ac:dyDescent="0.3">
      <c r="A661" s="2" t="s">
        <v>864</v>
      </c>
      <c r="B661" s="2">
        <v>0</v>
      </c>
      <c r="C661" s="2">
        <v>0</v>
      </c>
      <c r="D661" s="2">
        <v>0</v>
      </c>
      <c r="E661" s="2">
        <v>0</v>
      </c>
      <c r="F661" s="2">
        <v>0.27</v>
      </c>
      <c r="G661" s="2">
        <v>0.11</v>
      </c>
      <c r="H661" s="2" t="e">
        <f t="shared" si="40"/>
        <v>#NUM!</v>
      </c>
      <c r="I661" s="2">
        <f t="shared" si="41"/>
        <v>0.18141514163843797</v>
      </c>
      <c r="J661" s="2" t="e">
        <f t="shared" si="42"/>
        <v>#NUM!</v>
      </c>
      <c r="K661">
        <f t="shared" si="43"/>
        <v>0.12666666666666668</v>
      </c>
    </row>
    <row r="662" spans="1:11" ht="13.9" x14ac:dyDescent="0.3">
      <c r="A662" s="2" t="s">
        <v>129</v>
      </c>
      <c r="B662" s="2">
        <v>0</v>
      </c>
      <c r="C662" s="2">
        <v>0</v>
      </c>
      <c r="D662" s="2">
        <v>0</v>
      </c>
      <c r="E662" s="2">
        <v>0.39</v>
      </c>
      <c r="F662" s="2">
        <v>0</v>
      </c>
      <c r="G662" s="2">
        <v>0</v>
      </c>
      <c r="H662" s="2" t="e">
        <f t="shared" si="40"/>
        <v>#NUM!</v>
      </c>
      <c r="I662" s="2">
        <f t="shared" si="41"/>
        <v>0.37390096630005903</v>
      </c>
      <c r="J662" s="2" t="e">
        <f t="shared" si="42"/>
        <v>#NUM!</v>
      </c>
      <c r="K662">
        <f t="shared" si="43"/>
        <v>0.13</v>
      </c>
    </row>
    <row r="663" spans="1:11" ht="13.9" x14ac:dyDescent="0.3">
      <c r="A663" s="2" t="s">
        <v>313</v>
      </c>
      <c r="B663" s="2">
        <v>0</v>
      </c>
      <c r="C663" s="2">
        <v>0</v>
      </c>
      <c r="D663" s="2">
        <v>0</v>
      </c>
      <c r="E663" s="2">
        <v>0.39</v>
      </c>
      <c r="F663" s="2">
        <v>0</v>
      </c>
      <c r="G663" s="2">
        <v>0</v>
      </c>
      <c r="H663" s="2" t="e">
        <f t="shared" si="40"/>
        <v>#NUM!</v>
      </c>
      <c r="I663" s="2">
        <f t="shared" si="41"/>
        <v>0.37390096630005903</v>
      </c>
      <c r="J663" s="2" t="e">
        <f t="shared" si="42"/>
        <v>#NUM!</v>
      </c>
      <c r="K663">
        <f t="shared" si="43"/>
        <v>0.13</v>
      </c>
    </row>
    <row r="664" spans="1:11" ht="13.9" x14ac:dyDescent="0.3">
      <c r="A664" s="2" t="s">
        <v>463</v>
      </c>
      <c r="B664" s="2">
        <v>0</v>
      </c>
      <c r="C664" s="2">
        <v>0</v>
      </c>
      <c r="D664" s="2">
        <v>0</v>
      </c>
      <c r="E664" s="2">
        <v>0.39</v>
      </c>
      <c r="F664" s="2">
        <v>0</v>
      </c>
      <c r="G664" s="2">
        <v>0</v>
      </c>
      <c r="H664" s="2" t="e">
        <f t="shared" si="40"/>
        <v>#NUM!</v>
      </c>
      <c r="I664" s="2">
        <f t="shared" si="41"/>
        <v>0.37390096630005903</v>
      </c>
      <c r="J664" s="2" t="e">
        <f t="shared" si="42"/>
        <v>#NUM!</v>
      </c>
      <c r="K664">
        <f t="shared" si="43"/>
        <v>0.13</v>
      </c>
    </row>
    <row r="665" spans="1:11" ht="13.9" x14ac:dyDescent="0.3">
      <c r="A665" s="2" t="s">
        <v>515</v>
      </c>
      <c r="B665" s="2">
        <v>0</v>
      </c>
      <c r="C665" s="2">
        <v>0</v>
      </c>
      <c r="D665" s="2">
        <v>0</v>
      </c>
      <c r="E665" s="2">
        <v>0.39</v>
      </c>
      <c r="F665" s="2">
        <v>0</v>
      </c>
      <c r="G665" s="2">
        <v>0</v>
      </c>
      <c r="H665" s="2" t="e">
        <f t="shared" si="40"/>
        <v>#NUM!</v>
      </c>
      <c r="I665" s="2">
        <f t="shared" si="41"/>
        <v>0.37390096630005903</v>
      </c>
      <c r="J665" s="2" t="e">
        <f t="shared" si="42"/>
        <v>#NUM!</v>
      </c>
      <c r="K665">
        <f t="shared" si="43"/>
        <v>0.13</v>
      </c>
    </row>
    <row r="666" spans="1:11" ht="13.9" x14ac:dyDescent="0.3">
      <c r="A666" s="2" t="s">
        <v>544</v>
      </c>
      <c r="B666" s="2">
        <v>0</v>
      </c>
      <c r="C666" s="2">
        <v>0</v>
      </c>
      <c r="D666" s="2">
        <v>0</v>
      </c>
      <c r="E666" s="2">
        <v>0.39</v>
      </c>
      <c r="F666" s="2">
        <v>0</v>
      </c>
      <c r="G666" s="2">
        <v>0</v>
      </c>
      <c r="H666" s="2" t="e">
        <f t="shared" si="40"/>
        <v>#NUM!</v>
      </c>
      <c r="I666" s="2">
        <f t="shared" si="41"/>
        <v>0.37390096630005903</v>
      </c>
      <c r="J666" s="2" t="e">
        <f t="shared" si="42"/>
        <v>#NUM!</v>
      </c>
      <c r="K666">
        <f t="shared" si="43"/>
        <v>0.13</v>
      </c>
    </row>
    <row r="667" spans="1:11" ht="13.9" x14ac:dyDescent="0.3">
      <c r="A667" s="2" t="s">
        <v>863</v>
      </c>
      <c r="B667" s="2">
        <v>0</v>
      </c>
      <c r="C667" s="2">
        <v>0</v>
      </c>
      <c r="D667" s="2">
        <v>0</v>
      </c>
      <c r="E667" s="2">
        <v>0.39</v>
      </c>
      <c r="F667" s="2">
        <v>0</v>
      </c>
      <c r="G667" s="2">
        <v>0</v>
      </c>
      <c r="H667" s="2" t="e">
        <f t="shared" si="40"/>
        <v>#NUM!</v>
      </c>
      <c r="I667" s="2">
        <f t="shared" si="41"/>
        <v>0.37390096630005903</v>
      </c>
      <c r="J667" s="2" t="e">
        <f t="shared" si="42"/>
        <v>#NUM!</v>
      </c>
      <c r="K667">
        <f t="shared" si="43"/>
        <v>0.13</v>
      </c>
    </row>
    <row r="668" spans="1:11" ht="13.9" x14ac:dyDescent="0.3">
      <c r="A668" s="2" t="s">
        <v>939</v>
      </c>
      <c r="B668" s="2">
        <v>0</v>
      </c>
      <c r="C668" s="2">
        <v>0</v>
      </c>
      <c r="D668" s="2">
        <v>0</v>
      </c>
      <c r="E668" s="2">
        <v>0.39</v>
      </c>
      <c r="F668" s="2">
        <v>0</v>
      </c>
      <c r="G668" s="2">
        <v>0</v>
      </c>
      <c r="H668" s="2" t="e">
        <f t="shared" si="40"/>
        <v>#NUM!</v>
      </c>
      <c r="I668" s="2">
        <f t="shared" si="41"/>
        <v>0.37390096630005903</v>
      </c>
      <c r="J668" s="2" t="e">
        <f t="shared" si="42"/>
        <v>#NUM!</v>
      </c>
      <c r="K668">
        <f t="shared" si="43"/>
        <v>0.13</v>
      </c>
    </row>
    <row r="669" spans="1:11" ht="13.9" x14ac:dyDescent="0.3">
      <c r="A669" s="2" t="s">
        <v>415</v>
      </c>
      <c r="B669" s="2">
        <v>0</v>
      </c>
      <c r="C669" s="2">
        <v>0</v>
      </c>
      <c r="D669" s="2">
        <v>0</v>
      </c>
      <c r="E669" s="2">
        <v>0</v>
      </c>
      <c r="F669" s="2">
        <v>0.4</v>
      </c>
      <c r="G669" s="2">
        <v>0</v>
      </c>
      <c r="H669" s="2" t="e">
        <f t="shared" si="40"/>
        <v>#NUM!</v>
      </c>
      <c r="I669" s="2">
        <f t="shared" si="41"/>
        <v>0.37390096630005903</v>
      </c>
      <c r="J669" s="2" t="e">
        <f t="shared" si="42"/>
        <v>#NUM!</v>
      </c>
      <c r="K669">
        <f t="shared" si="43"/>
        <v>0.13333333333333333</v>
      </c>
    </row>
    <row r="670" spans="1:11" ht="13.9" x14ac:dyDescent="0.3">
      <c r="A670" s="2" t="s">
        <v>467</v>
      </c>
      <c r="B670" s="2">
        <v>0</v>
      </c>
      <c r="C670" s="2">
        <v>0</v>
      </c>
      <c r="D670" s="2">
        <v>0</v>
      </c>
      <c r="E670" s="2">
        <v>0</v>
      </c>
      <c r="F670" s="2">
        <v>0.4</v>
      </c>
      <c r="G670" s="2">
        <v>0</v>
      </c>
      <c r="H670" s="2" t="e">
        <f t="shared" si="40"/>
        <v>#NUM!</v>
      </c>
      <c r="I670" s="2">
        <f t="shared" si="41"/>
        <v>0.37390096630005903</v>
      </c>
      <c r="J670" s="2" t="e">
        <f t="shared" si="42"/>
        <v>#NUM!</v>
      </c>
      <c r="K670">
        <f t="shared" si="43"/>
        <v>0.13333333333333333</v>
      </c>
    </row>
    <row r="671" spans="1:11" ht="13.9" x14ac:dyDescent="0.3">
      <c r="A671" s="2" t="s">
        <v>487</v>
      </c>
      <c r="B671" s="2">
        <v>0</v>
      </c>
      <c r="C671" s="2">
        <v>0</v>
      </c>
      <c r="D671" s="2">
        <v>0</v>
      </c>
      <c r="E671" s="2">
        <v>0</v>
      </c>
      <c r="F671" s="2">
        <v>0.4</v>
      </c>
      <c r="G671" s="2">
        <v>0</v>
      </c>
      <c r="H671" s="2" t="e">
        <f t="shared" si="40"/>
        <v>#NUM!</v>
      </c>
      <c r="I671" s="2">
        <f t="shared" si="41"/>
        <v>0.37390096630005903</v>
      </c>
      <c r="J671" s="2" t="e">
        <f t="shared" si="42"/>
        <v>#NUM!</v>
      </c>
      <c r="K671">
        <f t="shared" si="43"/>
        <v>0.13333333333333333</v>
      </c>
    </row>
    <row r="672" spans="1:11" ht="13.9" x14ac:dyDescent="0.3">
      <c r="A672" s="2" t="s">
        <v>733</v>
      </c>
      <c r="B672" s="2">
        <v>0</v>
      </c>
      <c r="C672" s="2">
        <v>0</v>
      </c>
      <c r="D672" s="2">
        <v>0</v>
      </c>
      <c r="E672" s="2">
        <v>0</v>
      </c>
      <c r="F672" s="2">
        <v>0.4</v>
      </c>
      <c r="G672" s="2">
        <v>0</v>
      </c>
      <c r="H672" s="2" t="e">
        <f t="shared" si="40"/>
        <v>#NUM!</v>
      </c>
      <c r="I672" s="2">
        <f t="shared" si="41"/>
        <v>0.37390096630005903</v>
      </c>
      <c r="J672" s="2" t="e">
        <f t="shared" si="42"/>
        <v>#NUM!</v>
      </c>
      <c r="K672">
        <f t="shared" si="43"/>
        <v>0.13333333333333333</v>
      </c>
    </row>
    <row r="673" spans="1:11" ht="13.9" x14ac:dyDescent="0.3">
      <c r="A673" s="2" t="s">
        <v>803</v>
      </c>
      <c r="B673" s="2">
        <v>0</v>
      </c>
      <c r="C673" s="2">
        <v>0</v>
      </c>
      <c r="D673" s="2">
        <v>0</v>
      </c>
      <c r="E673" s="2">
        <v>0</v>
      </c>
      <c r="F673" s="2">
        <v>0.4</v>
      </c>
      <c r="G673" s="2">
        <v>0</v>
      </c>
      <c r="H673" s="2" t="e">
        <f t="shared" si="40"/>
        <v>#NUM!</v>
      </c>
      <c r="I673" s="2">
        <f t="shared" si="41"/>
        <v>0.37390096630005903</v>
      </c>
      <c r="J673" s="2" t="e">
        <f t="shared" si="42"/>
        <v>#NUM!</v>
      </c>
      <c r="K673">
        <f t="shared" si="43"/>
        <v>0.13333333333333333</v>
      </c>
    </row>
    <row r="674" spans="1:11" ht="13.9" x14ac:dyDescent="0.3">
      <c r="A674" s="2" t="s">
        <v>827</v>
      </c>
      <c r="B674" s="2">
        <v>0</v>
      </c>
      <c r="C674" s="2">
        <v>0</v>
      </c>
      <c r="D674" s="2">
        <v>0</v>
      </c>
      <c r="E674" s="2">
        <v>0</v>
      </c>
      <c r="F674" s="2">
        <v>0.4</v>
      </c>
      <c r="G674" s="2">
        <v>0</v>
      </c>
      <c r="H674" s="2" t="e">
        <f t="shared" si="40"/>
        <v>#NUM!</v>
      </c>
      <c r="I674" s="2">
        <f t="shared" si="41"/>
        <v>0.37390096630005903</v>
      </c>
      <c r="J674" s="2" t="e">
        <f t="shared" si="42"/>
        <v>#NUM!</v>
      </c>
      <c r="K674">
        <f t="shared" si="43"/>
        <v>0.13333333333333333</v>
      </c>
    </row>
    <row r="675" spans="1:11" ht="13.9" x14ac:dyDescent="0.3">
      <c r="A675" s="2" t="s">
        <v>831</v>
      </c>
      <c r="B675" s="2">
        <v>0</v>
      </c>
      <c r="C675" s="2">
        <v>0</v>
      </c>
      <c r="D675" s="2">
        <v>0</v>
      </c>
      <c r="E675" s="2">
        <v>0</v>
      </c>
      <c r="F675" s="2">
        <v>0.4</v>
      </c>
      <c r="G675" s="2">
        <v>0</v>
      </c>
      <c r="H675" s="2" t="e">
        <f t="shared" si="40"/>
        <v>#NUM!</v>
      </c>
      <c r="I675" s="2">
        <f t="shared" si="41"/>
        <v>0.37390096630005903</v>
      </c>
      <c r="J675" s="2" t="e">
        <f t="shared" si="42"/>
        <v>#NUM!</v>
      </c>
      <c r="K675">
        <f t="shared" si="43"/>
        <v>0.13333333333333333</v>
      </c>
    </row>
    <row r="676" spans="1:11" ht="13.9" x14ac:dyDescent="0.3">
      <c r="A676" s="2" t="s">
        <v>847</v>
      </c>
      <c r="B676" s="2">
        <v>0</v>
      </c>
      <c r="C676" s="2">
        <v>0</v>
      </c>
      <c r="D676" s="2">
        <v>0</v>
      </c>
      <c r="E676" s="2">
        <v>0</v>
      </c>
      <c r="F676" s="2">
        <v>0.4</v>
      </c>
      <c r="G676" s="2">
        <v>0</v>
      </c>
      <c r="H676" s="2" t="e">
        <f t="shared" si="40"/>
        <v>#NUM!</v>
      </c>
      <c r="I676" s="2">
        <f t="shared" si="41"/>
        <v>0.37390096630005903</v>
      </c>
      <c r="J676" s="2" t="e">
        <f t="shared" si="42"/>
        <v>#NUM!</v>
      </c>
      <c r="K676">
        <f t="shared" si="43"/>
        <v>0.13333333333333333</v>
      </c>
    </row>
    <row r="677" spans="1:11" ht="13.9" x14ac:dyDescent="0.3">
      <c r="A677" s="2" t="s">
        <v>871</v>
      </c>
      <c r="B677" s="2">
        <v>0</v>
      </c>
      <c r="C677" s="2">
        <v>0</v>
      </c>
      <c r="D677" s="2">
        <v>0</v>
      </c>
      <c r="E677" s="2">
        <v>0</v>
      </c>
      <c r="F677" s="2">
        <v>0.4</v>
      </c>
      <c r="G677" s="2">
        <v>0</v>
      </c>
      <c r="H677" s="2" t="e">
        <f t="shared" si="40"/>
        <v>#NUM!</v>
      </c>
      <c r="I677" s="2">
        <f t="shared" si="41"/>
        <v>0.37390096630005903</v>
      </c>
      <c r="J677" s="2" t="e">
        <f t="shared" si="42"/>
        <v>#NUM!</v>
      </c>
      <c r="K677">
        <f t="shared" si="43"/>
        <v>0.13333333333333333</v>
      </c>
    </row>
    <row r="678" spans="1:11" ht="13.9" x14ac:dyDescent="0.3">
      <c r="A678" s="2" t="s">
        <v>918</v>
      </c>
      <c r="B678" s="2">
        <v>0</v>
      </c>
      <c r="C678" s="2">
        <v>0</v>
      </c>
      <c r="D678" s="2">
        <v>0</v>
      </c>
      <c r="E678" s="2">
        <v>0</v>
      </c>
      <c r="F678" s="2">
        <v>0.4</v>
      </c>
      <c r="G678" s="2">
        <v>0</v>
      </c>
      <c r="H678" s="2" t="e">
        <f t="shared" si="40"/>
        <v>#NUM!</v>
      </c>
      <c r="I678" s="2">
        <f t="shared" si="41"/>
        <v>0.37390096630005903</v>
      </c>
      <c r="J678" s="2" t="e">
        <f t="shared" si="42"/>
        <v>#NUM!</v>
      </c>
      <c r="K678">
        <f t="shared" si="43"/>
        <v>0.13333333333333333</v>
      </c>
    </row>
    <row r="679" spans="1:11" ht="13.9" x14ac:dyDescent="0.3">
      <c r="A679" s="2" t="s">
        <v>753</v>
      </c>
      <c r="B679" s="2">
        <v>0</v>
      </c>
      <c r="C679" s="2">
        <v>0</v>
      </c>
      <c r="D679" s="2">
        <v>0</v>
      </c>
      <c r="E679" s="2">
        <v>0.3</v>
      </c>
      <c r="F679" s="2">
        <v>0</v>
      </c>
      <c r="G679" s="2">
        <v>0.11</v>
      </c>
      <c r="H679" s="2" t="e">
        <f t="shared" si="40"/>
        <v>#NUM!</v>
      </c>
      <c r="I679" s="2">
        <f t="shared" si="41"/>
        <v>0.19384003471698563</v>
      </c>
      <c r="J679" s="2" t="e">
        <f t="shared" si="42"/>
        <v>#NUM!</v>
      </c>
      <c r="K679">
        <f t="shared" si="43"/>
        <v>0.13666666666666666</v>
      </c>
    </row>
    <row r="680" spans="1:11" ht="13.9" x14ac:dyDescent="0.3">
      <c r="A680" s="2" t="s">
        <v>793</v>
      </c>
      <c r="B680" s="2">
        <v>0</v>
      </c>
      <c r="C680" s="2">
        <v>0</v>
      </c>
      <c r="D680" s="2">
        <v>0</v>
      </c>
      <c r="E680" s="2">
        <v>0.2</v>
      </c>
      <c r="F680" s="2">
        <v>0</v>
      </c>
      <c r="G680" s="2">
        <v>0.21</v>
      </c>
      <c r="H680" s="2" t="e">
        <f t="shared" si="40"/>
        <v>#NUM!</v>
      </c>
      <c r="I680" s="2">
        <f t="shared" si="41"/>
        <v>0.11635308435469104</v>
      </c>
      <c r="J680" s="2" t="e">
        <f t="shared" si="42"/>
        <v>#NUM!</v>
      </c>
      <c r="K680">
        <f t="shared" si="43"/>
        <v>0.13666666666666669</v>
      </c>
    </row>
    <row r="681" spans="1:11" ht="13.9" x14ac:dyDescent="0.3">
      <c r="A681" s="2" t="s">
        <v>808</v>
      </c>
      <c r="B681" s="2">
        <v>0</v>
      </c>
      <c r="C681" s="2">
        <v>0</v>
      </c>
      <c r="D681" s="2">
        <v>0</v>
      </c>
      <c r="E681" s="2">
        <v>0.2</v>
      </c>
      <c r="F681" s="2">
        <v>0</v>
      </c>
      <c r="G681" s="2">
        <v>0.21</v>
      </c>
      <c r="H681" s="2" t="e">
        <f t="shared" si="40"/>
        <v>#NUM!</v>
      </c>
      <c r="I681" s="2">
        <f t="shared" si="41"/>
        <v>0.11635308435469104</v>
      </c>
      <c r="J681" s="2" t="e">
        <f t="shared" si="42"/>
        <v>#NUM!</v>
      </c>
      <c r="K681">
        <f t="shared" si="43"/>
        <v>0.13666666666666669</v>
      </c>
    </row>
    <row r="682" spans="1:11" ht="13.9" x14ac:dyDescent="0.3">
      <c r="A682" s="2" t="s">
        <v>347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0.42</v>
      </c>
      <c r="H682" s="2" t="e">
        <f t="shared" si="40"/>
        <v>#NUM!</v>
      </c>
      <c r="I682" s="2">
        <f t="shared" si="41"/>
        <v>0.37390096630005903</v>
      </c>
      <c r="J682" s="2" t="e">
        <f t="shared" si="42"/>
        <v>#NUM!</v>
      </c>
      <c r="K682">
        <f t="shared" si="43"/>
        <v>0.13999999999999999</v>
      </c>
    </row>
    <row r="683" spans="1:11" ht="13.9" x14ac:dyDescent="0.3">
      <c r="A683" s="2" t="s">
        <v>470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0.42</v>
      </c>
      <c r="H683" s="2" t="e">
        <f t="shared" si="40"/>
        <v>#NUM!</v>
      </c>
      <c r="I683" s="2">
        <f t="shared" si="41"/>
        <v>0.37390096630005903</v>
      </c>
      <c r="J683" s="2" t="e">
        <f t="shared" si="42"/>
        <v>#NUM!</v>
      </c>
      <c r="K683">
        <f t="shared" si="43"/>
        <v>0.13999999999999999</v>
      </c>
    </row>
    <row r="684" spans="1:11" ht="13.9" x14ac:dyDescent="0.3">
      <c r="A684" s="2" t="s">
        <v>485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0.42</v>
      </c>
      <c r="H684" s="2" t="e">
        <f t="shared" si="40"/>
        <v>#NUM!</v>
      </c>
      <c r="I684" s="2">
        <f t="shared" si="41"/>
        <v>0.37390096630005903</v>
      </c>
      <c r="J684" s="2" t="e">
        <f t="shared" si="42"/>
        <v>#NUM!</v>
      </c>
      <c r="K684">
        <f t="shared" si="43"/>
        <v>0.13999999999999999</v>
      </c>
    </row>
    <row r="685" spans="1:11" ht="13.9" x14ac:dyDescent="0.3">
      <c r="A685" s="2" t="s">
        <v>838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0.42</v>
      </c>
      <c r="H685" s="2" t="e">
        <f t="shared" si="40"/>
        <v>#NUM!</v>
      </c>
      <c r="I685" s="2">
        <f t="shared" si="41"/>
        <v>0.37390096630005903</v>
      </c>
      <c r="J685" s="2" t="e">
        <f t="shared" si="42"/>
        <v>#NUM!</v>
      </c>
      <c r="K685">
        <f t="shared" si="43"/>
        <v>0.13999999999999999</v>
      </c>
    </row>
    <row r="686" spans="1:11" ht="13.9" x14ac:dyDescent="0.3">
      <c r="A686" s="2" t="s">
        <v>878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0.42</v>
      </c>
      <c r="H686" s="2" t="e">
        <f t="shared" si="40"/>
        <v>#NUM!</v>
      </c>
      <c r="I686" s="2">
        <f t="shared" si="41"/>
        <v>0.37390096630005903</v>
      </c>
      <c r="J686" s="2" t="e">
        <f t="shared" si="42"/>
        <v>#NUM!</v>
      </c>
      <c r="K686">
        <f t="shared" si="43"/>
        <v>0.13999999999999999</v>
      </c>
    </row>
    <row r="687" spans="1:11" ht="13.9" x14ac:dyDescent="0.3">
      <c r="A687" s="2" t="s">
        <v>553</v>
      </c>
      <c r="B687" s="2">
        <v>0</v>
      </c>
      <c r="C687" s="2">
        <v>0</v>
      </c>
      <c r="D687" s="2">
        <v>0</v>
      </c>
      <c r="E687" s="2">
        <v>0.1</v>
      </c>
      <c r="F687" s="2">
        <v>0</v>
      </c>
      <c r="G687" s="2">
        <v>0.32</v>
      </c>
      <c r="H687" s="2" t="e">
        <f t="shared" si="40"/>
        <v>#NUM!</v>
      </c>
      <c r="I687" s="2">
        <f t="shared" si="41"/>
        <v>0.21266625296557221</v>
      </c>
      <c r="J687" s="2" t="e">
        <f t="shared" si="42"/>
        <v>#NUM!</v>
      </c>
      <c r="K687">
        <f t="shared" si="43"/>
        <v>0.14000000000000001</v>
      </c>
    </row>
    <row r="688" spans="1:11" ht="13.9" x14ac:dyDescent="0.3">
      <c r="A688" s="2" t="s">
        <v>132</v>
      </c>
      <c r="B688" s="2">
        <v>0</v>
      </c>
      <c r="C688" s="2">
        <v>0</v>
      </c>
      <c r="D688" s="2">
        <v>0</v>
      </c>
      <c r="E688" s="2">
        <v>0.3</v>
      </c>
      <c r="F688" s="2">
        <v>0.13</v>
      </c>
      <c r="G688" s="2">
        <v>0</v>
      </c>
      <c r="H688" s="2" t="e">
        <f t="shared" si="40"/>
        <v>#NUM!</v>
      </c>
      <c r="I688" s="2">
        <f t="shared" si="41"/>
        <v>0.17424917661275183</v>
      </c>
      <c r="J688" s="2" t="e">
        <f t="shared" si="42"/>
        <v>#NUM!</v>
      </c>
      <c r="K688">
        <f t="shared" si="43"/>
        <v>0.14333333333333334</v>
      </c>
    </row>
    <row r="689" spans="1:11" ht="13.9" x14ac:dyDescent="0.3">
      <c r="A689" s="2" t="s">
        <v>814</v>
      </c>
      <c r="B689" s="2">
        <v>0</v>
      </c>
      <c r="C689" s="2">
        <v>0</v>
      </c>
      <c r="D689" s="2">
        <v>0</v>
      </c>
      <c r="E689" s="2">
        <v>0.2</v>
      </c>
      <c r="F689" s="2">
        <v>0.27</v>
      </c>
      <c r="G689" s="2">
        <v>0</v>
      </c>
      <c r="H689" s="2" t="e">
        <f t="shared" si="40"/>
        <v>#NUM!</v>
      </c>
      <c r="I689" s="2">
        <f t="shared" si="41"/>
        <v>0.12486409699865564</v>
      </c>
      <c r="J689" s="2" t="e">
        <f t="shared" si="42"/>
        <v>#NUM!</v>
      </c>
      <c r="K689">
        <f t="shared" si="43"/>
        <v>0.15666666666666668</v>
      </c>
    </row>
    <row r="690" spans="1:11" ht="13.9" x14ac:dyDescent="0.3">
      <c r="A690" s="2" t="s">
        <v>362</v>
      </c>
      <c r="B690" s="2">
        <v>0</v>
      </c>
      <c r="C690" s="2">
        <v>0</v>
      </c>
      <c r="D690" s="2">
        <v>0</v>
      </c>
      <c r="E690" s="2">
        <v>0.1</v>
      </c>
      <c r="F690" s="2">
        <v>0.27</v>
      </c>
      <c r="G690" s="2">
        <v>0.11</v>
      </c>
      <c r="H690" s="2" t="e">
        <f t="shared" si="40"/>
        <v>#NUM!</v>
      </c>
      <c r="I690" s="2">
        <f t="shared" si="41"/>
        <v>4.3893358557895674E-2</v>
      </c>
      <c r="J690" s="2" t="e">
        <f t="shared" si="42"/>
        <v>#NUM!</v>
      </c>
      <c r="K690">
        <f t="shared" si="43"/>
        <v>0.16</v>
      </c>
    </row>
    <row r="691" spans="1:11" ht="13.9" x14ac:dyDescent="0.3">
      <c r="A691" s="2" t="s">
        <v>932</v>
      </c>
      <c r="B691" s="2">
        <v>0</v>
      </c>
      <c r="C691" s="2">
        <v>0</v>
      </c>
      <c r="D691" s="2">
        <v>0</v>
      </c>
      <c r="E691" s="2">
        <v>0</v>
      </c>
      <c r="F691" s="2">
        <v>0.27</v>
      </c>
      <c r="G691" s="2">
        <v>0.21</v>
      </c>
      <c r="H691" s="2" t="e">
        <f t="shared" si="40"/>
        <v>#NUM!</v>
      </c>
      <c r="I691" s="2">
        <f t="shared" si="41"/>
        <v>0.12229424536952219</v>
      </c>
      <c r="J691" s="2" t="e">
        <f t="shared" si="42"/>
        <v>#NUM!</v>
      </c>
      <c r="K691">
        <f t="shared" si="43"/>
        <v>0.16</v>
      </c>
    </row>
    <row r="692" spans="1:11" ht="13.9" x14ac:dyDescent="0.3">
      <c r="A692" s="2" t="s">
        <v>91</v>
      </c>
      <c r="B692" s="2">
        <v>0</v>
      </c>
      <c r="C692" s="2">
        <v>0</v>
      </c>
      <c r="D692" s="2">
        <v>0</v>
      </c>
      <c r="E692" s="2">
        <v>0.49</v>
      </c>
      <c r="F692" s="2">
        <v>0</v>
      </c>
      <c r="G692" s="2">
        <v>0</v>
      </c>
      <c r="H692" s="2" t="e">
        <f t="shared" si="40"/>
        <v>#NUM!</v>
      </c>
      <c r="I692" s="2">
        <f t="shared" si="41"/>
        <v>0.37390096630005903</v>
      </c>
      <c r="J692" s="2" t="e">
        <f t="shared" si="42"/>
        <v>#NUM!</v>
      </c>
      <c r="K692">
        <f t="shared" si="43"/>
        <v>0.16333333333333333</v>
      </c>
    </row>
    <row r="693" spans="1:11" ht="13.9" x14ac:dyDescent="0.3">
      <c r="A693" s="2" t="s">
        <v>163</v>
      </c>
      <c r="B693" s="2">
        <v>0</v>
      </c>
      <c r="C693" s="2">
        <v>0</v>
      </c>
      <c r="D693" s="2">
        <v>0</v>
      </c>
      <c r="E693" s="2">
        <v>0.49</v>
      </c>
      <c r="F693" s="2">
        <v>0</v>
      </c>
      <c r="G693" s="2">
        <v>0</v>
      </c>
      <c r="H693" s="2" t="e">
        <f t="shared" si="40"/>
        <v>#NUM!</v>
      </c>
      <c r="I693" s="2">
        <f t="shared" si="41"/>
        <v>0.37390096630005903</v>
      </c>
      <c r="J693" s="2" t="e">
        <f t="shared" si="42"/>
        <v>#NUM!</v>
      </c>
      <c r="K693">
        <f t="shared" si="43"/>
        <v>0.16333333333333333</v>
      </c>
    </row>
    <row r="694" spans="1:11" ht="13.9" x14ac:dyDescent="0.3">
      <c r="A694" s="2" t="s">
        <v>211</v>
      </c>
      <c r="B694" s="2">
        <v>0</v>
      </c>
      <c r="C694" s="2">
        <v>0</v>
      </c>
      <c r="D694" s="2">
        <v>0</v>
      </c>
      <c r="E694" s="2">
        <v>0.49</v>
      </c>
      <c r="F694" s="2">
        <v>0</v>
      </c>
      <c r="G694" s="2">
        <v>0</v>
      </c>
      <c r="H694" s="2" t="e">
        <f t="shared" si="40"/>
        <v>#NUM!</v>
      </c>
      <c r="I694" s="2">
        <f t="shared" si="41"/>
        <v>0.37390096630005903</v>
      </c>
      <c r="J694" s="2" t="e">
        <f t="shared" si="42"/>
        <v>#NUM!</v>
      </c>
      <c r="K694">
        <f t="shared" si="43"/>
        <v>0.16333333333333333</v>
      </c>
    </row>
    <row r="695" spans="1:11" ht="13.9" x14ac:dyDescent="0.3">
      <c r="A695" s="2" t="s">
        <v>320</v>
      </c>
      <c r="B695" s="2">
        <v>0</v>
      </c>
      <c r="C695" s="2">
        <v>0</v>
      </c>
      <c r="D695" s="2">
        <v>0</v>
      </c>
      <c r="E695" s="2">
        <v>0.49</v>
      </c>
      <c r="F695" s="2">
        <v>0</v>
      </c>
      <c r="G695" s="2">
        <v>0</v>
      </c>
      <c r="H695" s="2" t="e">
        <f t="shared" si="40"/>
        <v>#NUM!</v>
      </c>
      <c r="I695" s="2">
        <f t="shared" si="41"/>
        <v>0.37390096630005903</v>
      </c>
      <c r="J695" s="2" t="e">
        <f t="shared" si="42"/>
        <v>#NUM!</v>
      </c>
      <c r="K695">
        <f t="shared" si="43"/>
        <v>0.16333333333333333</v>
      </c>
    </row>
    <row r="696" spans="1:11" ht="13.9" x14ac:dyDescent="0.3">
      <c r="A696" s="2" t="s">
        <v>357</v>
      </c>
      <c r="B696" s="2">
        <v>0</v>
      </c>
      <c r="C696" s="2">
        <v>0</v>
      </c>
      <c r="D696" s="2">
        <v>0</v>
      </c>
      <c r="E696" s="2">
        <v>0.49</v>
      </c>
      <c r="F696" s="2">
        <v>0</v>
      </c>
      <c r="G696" s="2">
        <v>0</v>
      </c>
      <c r="H696" s="2" t="e">
        <f t="shared" si="40"/>
        <v>#NUM!</v>
      </c>
      <c r="I696" s="2">
        <f t="shared" si="41"/>
        <v>0.37390096630005903</v>
      </c>
      <c r="J696" s="2" t="e">
        <f t="shared" si="42"/>
        <v>#NUM!</v>
      </c>
      <c r="K696">
        <f t="shared" si="43"/>
        <v>0.16333333333333333</v>
      </c>
    </row>
    <row r="697" spans="1:11" ht="13.9" x14ac:dyDescent="0.3">
      <c r="A697" s="2" t="s">
        <v>501</v>
      </c>
      <c r="B697" s="2">
        <v>0</v>
      </c>
      <c r="C697" s="2">
        <v>0</v>
      </c>
      <c r="D697" s="2">
        <v>0</v>
      </c>
      <c r="E697" s="2">
        <v>0.49</v>
      </c>
      <c r="F697" s="2">
        <v>0</v>
      </c>
      <c r="G697" s="2">
        <v>0</v>
      </c>
      <c r="H697" s="2" t="e">
        <f t="shared" si="40"/>
        <v>#NUM!</v>
      </c>
      <c r="I697" s="2">
        <f t="shared" si="41"/>
        <v>0.37390096630005903</v>
      </c>
      <c r="J697" s="2" t="e">
        <f t="shared" si="42"/>
        <v>#NUM!</v>
      </c>
      <c r="K697">
        <f t="shared" si="43"/>
        <v>0.16333333333333333</v>
      </c>
    </row>
    <row r="698" spans="1:11" ht="13.9" x14ac:dyDescent="0.3">
      <c r="A698" s="2" t="s">
        <v>578</v>
      </c>
      <c r="B698" s="2">
        <v>0</v>
      </c>
      <c r="C698" s="2">
        <v>0</v>
      </c>
      <c r="D698" s="2">
        <v>0</v>
      </c>
      <c r="E698" s="2">
        <v>0.49</v>
      </c>
      <c r="F698" s="2">
        <v>0</v>
      </c>
      <c r="G698" s="2">
        <v>0</v>
      </c>
      <c r="H698" s="2" t="e">
        <f t="shared" si="40"/>
        <v>#NUM!</v>
      </c>
      <c r="I698" s="2">
        <f t="shared" si="41"/>
        <v>0.37390096630005903</v>
      </c>
      <c r="J698" s="2" t="e">
        <f t="shared" si="42"/>
        <v>#NUM!</v>
      </c>
      <c r="K698">
        <f t="shared" si="43"/>
        <v>0.16333333333333333</v>
      </c>
    </row>
    <row r="699" spans="1:11" ht="13.9" x14ac:dyDescent="0.3">
      <c r="A699" s="2" t="s">
        <v>637</v>
      </c>
      <c r="B699" s="2">
        <v>0</v>
      </c>
      <c r="C699" s="2">
        <v>0</v>
      </c>
      <c r="D699" s="2">
        <v>0</v>
      </c>
      <c r="E699" s="2">
        <v>0.49</v>
      </c>
      <c r="F699" s="2">
        <v>0</v>
      </c>
      <c r="G699" s="2">
        <v>0</v>
      </c>
      <c r="H699" s="2" t="e">
        <f t="shared" si="40"/>
        <v>#NUM!</v>
      </c>
      <c r="I699" s="2">
        <f t="shared" si="41"/>
        <v>0.37390096630005903</v>
      </c>
      <c r="J699" s="2" t="e">
        <f t="shared" si="42"/>
        <v>#NUM!</v>
      </c>
      <c r="K699">
        <f t="shared" si="43"/>
        <v>0.16333333333333333</v>
      </c>
    </row>
    <row r="700" spans="1:11" ht="13.9" x14ac:dyDescent="0.3">
      <c r="A700" s="2" t="s">
        <v>642</v>
      </c>
      <c r="B700" s="2">
        <v>0</v>
      </c>
      <c r="C700" s="2">
        <v>0</v>
      </c>
      <c r="D700" s="2">
        <v>0</v>
      </c>
      <c r="E700" s="2">
        <v>0.49</v>
      </c>
      <c r="F700" s="2">
        <v>0</v>
      </c>
      <c r="G700" s="2">
        <v>0</v>
      </c>
      <c r="H700" s="2" t="e">
        <f t="shared" si="40"/>
        <v>#NUM!</v>
      </c>
      <c r="I700" s="2">
        <f t="shared" si="41"/>
        <v>0.37390096630005903</v>
      </c>
      <c r="J700" s="2" t="e">
        <f t="shared" si="42"/>
        <v>#NUM!</v>
      </c>
      <c r="K700">
        <f t="shared" si="43"/>
        <v>0.16333333333333333</v>
      </c>
    </row>
    <row r="701" spans="1:11" ht="13.9" x14ac:dyDescent="0.3">
      <c r="A701" s="2" t="s">
        <v>648</v>
      </c>
      <c r="B701" s="2">
        <v>0</v>
      </c>
      <c r="C701" s="2">
        <v>0</v>
      </c>
      <c r="D701" s="2">
        <v>0</v>
      </c>
      <c r="E701" s="2">
        <v>0.49</v>
      </c>
      <c r="F701" s="2">
        <v>0</v>
      </c>
      <c r="G701" s="2">
        <v>0</v>
      </c>
      <c r="H701" s="2" t="e">
        <f t="shared" si="40"/>
        <v>#NUM!</v>
      </c>
      <c r="I701" s="2">
        <f t="shared" si="41"/>
        <v>0.37390096630005903</v>
      </c>
      <c r="J701" s="2" t="e">
        <f t="shared" si="42"/>
        <v>#NUM!</v>
      </c>
      <c r="K701">
        <f t="shared" si="43"/>
        <v>0.16333333333333333</v>
      </c>
    </row>
    <row r="702" spans="1:11" ht="13.9" x14ac:dyDescent="0.3">
      <c r="A702" s="2" t="s">
        <v>726</v>
      </c>
      <c r="B702" s="2">
        <v>0</v>
      </c>
      <c r="C702" s="2">
        <v>0</v>
      </c>
      <c r="D702" s="2">
        <v>0</v>
      </c>
      <c r="E702" s="2">
        <v>0.49</v>
      </c>
      <c r="F702" s="2">
        <v>0</v>
      </c>
      <c r="G702" s="2">
        <v>0</v>
      </c>
      <c r="H702" s="2" t="e">
        <f t="shared" si="40"/>
        <v>#NUM!</v>
      </c>
      <c r="I702" s="2">
        <f t="shared" si="41"/>
        <v>0.37390096630005903</v>
      </c>
      <c r="J702" s="2" t="e">
        <f t="shared" si="42"/>
        <v>#NUM!</v>
      </c>
      <c r="K702">
        <f t="shared" si="43"/>
        <v>0.16333333333333333</v>
      </c>
    </row>
    <row r="703" spans="1:11" ht="13.9" x14ac:dyDescent="0.3">
      <c r="A703" s="2" t="s">
        <v>798</v>
      </c>
      <c r="B703" s="2">
        <v>0</v>
      </c>
      <c r="C703" s="2">
        <v>0</v>
      </c>
      <c r="D703" s="2">
        <v>0</v>
      </c>
      <c r="E703" s="2">
        <v>0.49</v>
      </c>
      <c r="F703" s="2">
        <v>0</v>
      </c>
      <c r="G703" s="2">
        <v>0</v>
      </c>
      <c r="H703" s="2" t="e">
        <f t="shared" si="40"/>
        <v>#NUM!</v>
      </c>
      <c r="I703" s="2">
        <f t="shared" si="41"/>
        <v>0.37390096630005903</v>
      </c>
      <c r="J703" s="2" t="e">
        <f t="shared" si="42"/>
        <v>#NUM!</v>
      </c>
      <c r="K703">
        <f t="shared" si="43"/>
        <v>0.16333333333333333</v>
      </c>
    </row>
    <row r="704" spans="1:11" ht="13.9" x14ac:dyDescent="0.3">
      <c r="A704" s="2" t="s">
        <v>852</v>
      </c>
      <c r="B704" s="2">
        <v>0</v>
      </c>
      <c r="C704" s="2">
        <v>0</v>
      </c>
      <c r="D704" s="2">
        <v>0</v>
      </c>
      <c r="E704" s="2">
        <v>0.39</v>
      </c>
      <c r="F704" s="2">
        <v>0</v>
      </c>
      <c r="G704" s="2">
        <v>0.11</v>
      </c>
      <c r="H704" s="2" t="e">
        <f t="shared" si="40"/>
        <v>#NUM!</v>
      </c>
      <c r="I704" s="2">
        <f t="shared" si="41"/>
        <v>0.22444645074560185</v>
      </c>
      <c r="J704" s="2" t="e">
        <f t="shared" si="42"/>
        <v>#NUM!</v>
      </c>
      <c r="K704">
        <f t="shared" si="43"/>
        <v>0.16666666666666666</v>
      </c>
    </row>
    <row r="705" spans="1:11" ht="13.9" x14ac:dyDescent="0.3">
      <c r="A705" s="2" t="s">
        <v>205</v>
      </c>
      <c r="B705" s="2">
        <v>0</v>
      </c>
      <c r="C705" s="2">
        <v>0</v>
      </c>
      <c r="D705" s="2">
        <v>0</v>
      </c>
      <c r="E705" s="2">
        <v>0.39</v>
      </c>
      <c r="F705" s="2">
        <v>0.13</v>
      </c>
      <c r="G705" s="2">
        <v>0</v>
      </c>
      <c r="H705" s="2" t="e">
        <f t="shared" si="40"/>
        <v>#NUM!</v>
      </c>
      <c r="I705" s="2">
        <f t="shared" si="41"/>
        <v>0.20510645520407772</v>
      </c>
      <c r="J705" s="2" t="e">
        <f t="shared" si="42"/>
        <v>#NUM!</v>
      </c>
      <c r="K705">
        <f t="shared" si="43"/>
        <v>0.17333333333333334</v>
      </c>
    </row>
    <row r="706" spans="1:11" ht="13.9" x14ac:dyDescent="0.3">
      <c r="A706" s="2" t="s">
        <v>575</v>
      </c>
      <c r="B706" s="2">
        <v>0</v>
      </c>
      <c r="C706" s="2">
        <v>0</v>
      </c>
      <c r="D706" s="2">
        <v>0</v>
      </c>
      <c r="E706" s="2">
        <v>0.39</v>
      </c>
      <c r="F706" s="2">
        <v>0.13</v>
      </c>
      <c r="G706" s="2">
        <v>0</v>
      </c>
      <c r="H706" s="2" t="e">
        <f t="shared" ref="H706:H769" si="44">LOG(SUM(B706:D706)/SUM(E706:G706),2)</f>
        <v>#NUM!</v>
      </c>
      <c r="I706" s="2">
        <f t="shared" ref="I706:I769" si="45">_xlfn.T.TEST(B706:D706,E706:G706,2,2)</f>
        <v>0.20510645520407772</v>
      </c>
      <c r="J706" s="2" t="e">
        <f t="shared" ref="J706:J769" si="46">LOG(SUM(B706:D706),2)</f>
        <v>#NUM!</v>
      </c>
      <c r="K706">
        <f t="shared" ref="K706:K769" si="47">AVERAGE(E706:G706)</f>
        <v>0.17333333333333334</v>
      </c>
    </row>
    <row r="707" spans="1:11" ht="13.9" x14ac:dyDescent="0.3">
      <c r="A707" s="2" t="s">
        <v>29</v>
      </c>
      <c r="B707" s="2">
        <v>0</v>
      </c>
      <c r="C707" s="2">
        <v>0</v>
      </c>
      <c r="D707" s="2">
        <v>0</v>
      </c>
      <c r="E707" s="2">
        <v>0</v>
      </c>
      <c r="F707" s="2">
        <v>0.53</v>
      </c>
      <c r="G707" s="2">
        <v>0</v>
      </c>
      <c r="H707" s="2" t="e">
        <f t="shared" si="44"/>
        <v>#NUM!</v>
      </c>
      <c r="I707" s="2">
        <f t="shared" si="45"/>
        <v>0.37390096630005903</v>
      </c>
      <c r="J707" s="2" t="e">
        <f t="shared" si="46"/>
        <v>#NUM!</v>
      </c>
      <c r="K707">
        <f t="shared" si="47"/>
        <v>0.17666666666666667</v>
      </c>
    </row>
    <row r="708" spans="1:11" ht="13.9" x14ac:dyDescent="0.3">
      <c r="A708" s="2" t="s">
        <v>150</v>
      </c>
      <c r="B708" s="2">
        <v>0</v>
      </c>
      <c r="C708" s="2">
        <v>0</v>
      </c>
      <c r="D708" s="2">
        <v>0</v>
      </c>
      <c r="E708" s="2">
        <v>0</v>
      </c>
      <c r="F708" s="2">
        <v>0.53</v>
      </c>
      <c r="G708" s="2">
        <v>0</v>
      </c>
      <c r="H708" s="2" t="e">
        <f t="shared" si="44"/>
        <v>#NUM!</v>
      </c>
      <c r="I708" s="2">
        <f t="shared" si="45"/>
        <v>0.37390096630005903</v>
      </c>
      <c r="J708" s="2" t="e">
        <f t="shared" si="46"/>
        <v>#NUM!</v>
      </c>
      <c r="K708">
        <f t="shared" si="47"/>
        <v>0.17666666666666667</v>
      </c>
    </row>
    <row r="709" spans="1:11" ht="13.9" x14ac:dyDescent="0.3">
      <c r="A709" s="2" t="s">
        <v>206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0.53</v>
      </c>
      <c r="H709" s="2" t="e">
        <f t="shared" si="44"/>
        <v>#NUM!</v>
      </c>
      <c r="I709" s="2">
        <f t="shared" si="45"/>
        <v>0.37390096630005903</v>
      </c>
      <c r="J709" s="2" t="e">
        <f t="shared" si="46"/>
        <v>#NUM!</v>
      </c>
      <c r="K709">
        <f t="shared" si="47"/>
        <v>0.17666666666666667</v>
      </c>
    </row>
    <row r="710" spans="1:11" ht="13.9" x14ac:dyDescent="0.3">
      <c r="A710" s="2" t="s">
        <v>285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0.53</v>
      </c>
      <c r="H710" s="2" t="e">
        <f t="shared" si="44"/>
        <v>#NUM!</v>
      </c>
      <c r="I710" s="2">
        <f t="shared" si="45"/>
        <v>0.37390096630005903</v>
      </c>
      <c r="J710" s="2" t="e">
        <f t="shared" si="46"/>
        <v>#NUM!</v>
      </c>
      <c r="K710">
        <f t="shared" si="47"/>
        <v>0.17666666666666667</v>
      </c>
    </row>
    <row r="711" spans="1:11" ht="13.9" x14ac:dyDescent="0.3">
      <c r="A711" s="2" t="s">
        <v>289</v>
      </c>
      <c r="B711" s="2">
        <v>0</v>
      </c>
      <c r="C711" s="2">
        <v>0</v>
      </c>
      <c r="D711" s="2">
        <v>0</v>
      </c>
      <c r="E711" s="2">
        <v>0</v>
      </c>
      <c r="F711" s="2">
        <v>0.53</v>
      </c>
      <c r="G711" s="2">
        <v>0</v>
      </c>
      <c r="H711" s="2" t="e">
        <f t="shared" si="44"/>
        <v>#NUM!</v>
      </c>
      <c r="I711" s="2">
        <f t="shared" si="45"/>
        <v>0.37390096630005903</v>
      </c>
      <c r="J711" s="2" t="e">
        <f t="shared" si="46"/>
        <v>#NUM!</v>
      </c>
      <c r="K711">
        <f t="shared" si="47"/>
        <v>0.17666666666666667</v>
      </c>
    </row>
    <row r="712" spans="1:11" ht="13.9" x14ac:dyDescent="0.3">
      <c r="A712" s="2" t="s">
        <v>304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0.53</v>
      </c>
      <c r="H712" s="2" t="e">
        <f t="shared" si="44"/>
        <v>#NUM!</v>
      </c>
      <c r="I712" s="2">
        <f t="shared" si="45"/>
        <v>0.37390096630005903</v>
      </c>
      <c r="J712" s="2" t="e">
        <f t="shared" si="46"/>
        <v>#NUM!</v>
      </c>
      <c r="K712">
        <f t="shared" si="47"/>
        <v>0.17666666666666667</v>
      </c>
    </row>
    <row r="713" spans="1:11" ht="13.9" x14ac:dyDescent="0.3">
      <c r="A713" s="2" t="s">
        <v>340</v>
      </c>
      <c r="B713" s="2">
        <v>0</v>
      </c>
      <c r="C713" s="2">
        <v>0</v>
      </c>
      <c r="D713" s="2">
        <v>0</v>
      </c>
      <c r="E713" s="2">
        <v>0</v>
      </c>
      <c r="F713" s="2">
        <v>0.53</v>
      </c>
      <c r="G713" s="2">
        <v>0</v>
      </c>
      <c r="H713" s="2" t="e">
        <f t="shared" si="44"/>
        <v>#NUM!</v>
      </c>
      <c r="I713" s="2">
        <f t="shared" si="45"/>
        <v>0.37390096630005903</v>
      </c>
      <c r="J713" s="2" t="e">
        <f t="shared" si="46"/>
        <v>#NUM!</v>
      </c>
      <c r="K713">
        <f t="shared" si="47"/>
        <v>0.17666666666666667</v>
      </c>
    </row>
    <row r="714" spans="1:11" ht="13.9" x14ac:dyDescent="0.3">
      <c r="A714" s="2" t="s">
        <v>446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0.53</v>
      </c>
      <c r="H714" s="2" t="e">
        <f t="shared" si="44"/>
        <v>#NUM!</v>
      </c>
      <c r="I714" s="2">
        <f t="shared" si="45"/>
        <v>0.37390096630005903</v>
      </c>
      <c r="J714" s="2" t="e">
        <f t="shared" si="46"/>
        <v>#NUM!</v>
      </c>
      <c r="K714">
        <f t="shared" si="47"/>
        <v>0.17666666666666667</v>
      </c>
    </row>
    <row r="715" spans="1:11" ht="13.9" x14ac:dyDescent="0.3">
      <c r="A715" s="2" t="s">
        <v>480</v>
      </c>
      <c r="B715" s="2">
        <v>0</v>
      </c>
      <c r="C715" s="2">
        <v>0</v>
      </c>
      <c r="D715" s="2">
        <v>0</v>
      </c>
      <c r="E715" s="2">
        <v>0</v>
      </c>
      <c r="F715" s="2">
        <v>0.53</v>
      </c>
      <c r="G715" s="2">
        <v>0</v>
      </c>
      <c r="H715" s="2" t="e">
        <f t="shared" si="44"/>
        <v>#NUM!</v>
      </c>
      <c r="I715" s="2">
        <f t="shared" si="45"/>
        <v>0.37390096630005903</v>
      </c>
      <c r="J715" s="2" t="e">
        <f t="shared" si="46"/>
        <v>#NUM!</v>
      </c>
      <c r="K715">
        <f t="shared" si="47"/>
        <v>0.17666666666666667</v>
      </c>
    </row>
    <row r="716" spans="1:11" ht="13.9" x14ac:dyDescent="0.3">
      <c r="A716" s="2" t="s">
        <v>536</v>
      </c>
      <c r="B716" s="2">
        <v>0</v>
      </c>
      <c r="C716" s="2">
        <v>0</v>
      </c>
      <c r="D716" s="2">
        <v>0</v>
      </c>
      <c r="E716" s="2">
        <v>0</v>
      </c>
      <c r="F716" s="2">
        <v>0.53</v>
      </c>
      <c r="G716" s="2">
        <v>0</v>
      </c>
      <c r="H716" s="2" t="e">
        <f t="shared" si="44"/>
        <v>#NUM!</v>
      </c>
      <c r="I716" s="2">
        <f t="shared" si="45"/>
        <v>0.37390096630005903</v>
      </c>
      <c r="J716" s="2" t="e">
        <f t="shared" si="46"/>
        <v>#NUM!</v>
      </c>
      <c r="K716">
        <f t="shared" si="47"/>
        <v>0.17666666666666667</v>
      </c>
    </row>
    <row r="717" spans="1:11" ht="13.9" x14ac:dyDescent="0.3">
      <c r="A717" s="2" t="s">
        <v>549</v>
      </c>
      <c r="B717" s="2">
        <v>0</v>
      </c>
      <c r="C717" s="2">
        <v>0</v>
      </c>
      <c r="D717" s="2">
        <v>0</v>
      </c>
      <c r="E717" s="2">
        <v>0</v>
      </c>
      <c r="F717" s="2">
        <v>0.53</v>
      </c>
      <c r="G717" s="2">
        <v>0</v>
      </c>
      <c r="H717" s="2" t="e">
        <f t="shared" si="44"/>
        <v>#NUM!</v>
      </c>
      <c r="I717" s="2">
        <f t="shared" si="45"/>
        <v>0.37390096630005903</v>
      </c>
      <c r="J717" s="2" t="e">
        <f t="shared" si="46"/>
        <v>#NUM!</v>
      </c>
      <c r="K717">
        <f t="shared" si="47"/>
        <v>0.17666666666666667</v>
      </c>
    </row>
    <row r="718" spans="1:11" ht="13.9" x14ac:dyDescent="0.3">
      <c r="A718" s="2" t="s">
        <v>580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 t="e">
        <f t="shared" si="44"/>
        <v>#NUM!</v>
      </c>
      <c r="I718" s="2">
        <f t="shared" si="45"/>
        <v>0.37390096630005903</v>
      </c>
      <c r="J718" s="2" t="e">
        <f t="shared" si="46"/>
        <v>#NUM!</v>
      </c>
      <c r="K718">
        <f t="shared" si="47"/>
        <v>0.17666666666666667</v>
      </c>
    </row>
    <row r="719" spans="1:11" ht="13.9" x14ac:dyDescent="0.3">
      <c r="A719" s="2" t="s">
        <v>588</v>
      </c>
      <c r="B719" s="2">
        <v>0</v>
      </c>
      <c r="C719" s="2">
        <v>0</v>
      </c>
      <c r="D719" s="2">
        <v>0</v>
      </c>
      <c r="E719" s="2">
        <v>0</v>
      </c>
      <c r="F719" s="2">
        <v>0.53</v>
      </c>
      <c r="G719" s="2">
        <v>0</v>
      </c>
      <c r="H719" s="2" t="e">
        <f t="shared" si="44"/>
        <v>#NUM!</v>
      </c>
      <c r="I719" s="2">
        <f t="shared" si="45"/>
        <v>0.37390096630005903</v>
      </c>
      <c r="J719" s="2" t="e">
        <f t="shared" si="46"/>
        <v>#NUM!</v>
      </c>
      <c r="K719">
        <f t="shared" si="47"/>
        <v>0.17666666666666667</v>
      </c>
    </row>
    <row r="720" spans="1:11" ht="13.9" x14ac:dyDescent="0.3">
      <c r="A720" s="2" t="s">
        <v>713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0.53</v>
      </c>
      <c r="H720" s="2" t="e">
        <f t="shared" si="44"/>
        <v>#NUM!</v>
      </c>
      <c r="I720" s="2">
        <f t="shared" si="45"/>
        <v>0.37390096630005903</v>
      </c>
      <c r="J720" s="2" t="e">
        <f t="shared" si="46"/>
        <v>#NUM!</v>
      </c>
      <c r="K720">
        <f t="shared" si="47"/>
        <v>0.17666666666666667</v>
      </c>
    </row>
    <row r="721" spans="1:11" ht="13.9" x14ac:dyDescent="0.3">
      <c r="A721" s="2" t="s">
        <v>714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0.53</v>
      </c>
      <c r="H721" s="2" t="e">
        <f t="shared" si="44"/>
        <v>#NUM!</v>
      </c>
      <c r="I721" s="2">
        <f t="shared" si="45"/>
        <v>0.37390096630005903</v>
      </c>
      <c r="J721" s="2" t="e">
        <f t="shared" si="46"/>
        <v>#NUM!</v>
      </c>
      <c r="K721">
        <f t="shared" si="47"/>
        <v>0.17666666666666667</v>
      </c>
    </row>
    <row r="722" spans="1:11" ht="13.9" x14ac:dyDescent="0.3">
      <c r="A722" s="2" t="s">
        <v>804</v>
      </c>
      <c r="B722" s="2">
        <v>0</v>
      </c>
      <c r="C722" s="2">
        <v>0</v>
      </c>
      <c r="D722" s="2">
        <v>0</v>
      </c>
      <c r="E722" s="2">
        <v>0</v>
      </c>
      <c r="F722" s="2">
        <v>0.53</v>
      </c>
      <c r="G722" s="2">
        <v>0</v>
      </c>
      <c r="H722" s="2" t="e">
        <f t="shared" si="44"/>
        <v>#NUM!</v>
      </c>
      <c r="I722" s="2">
        <f t="shared" si="45"/>
        <v>0.37390096630005903</v>
      </c>
      <c r="J722" s="2" t="e">
        <f t="shared" si="46"/>
        <v>#NUM!</v>
      </c>
      <c r="K722">
        <f t="shared" si="47"/>
        <v>0.17666666666666667</v>
      </c>
    </row>
    <row r="723" spans="1:11" ht="13.9" x14ac:dyDescent="0.3">
      <c r="A723" s="2" t="s">
        <v>841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0.53</v>
      </c>
      <c r="H723" s="2" t="e">
        <f t="shared" si="44"/>
        <v>#NUM!</v>
      </c>
      <c r="I723" s="2">
        <f t="shared" si="45"/>
        <v>0.37390096630005903</v>
      </c>
      <c r="J723" s="2" t="e">
        <f t="shared" si="46"/>
        <v>#NUM!</v>
      </c>
      <c r="K723">
        <f t="shared" si="47"/>
        <v>0.17666666666666667</v>
      </c>
    </row>
    <row r="724" spans="1:11" ht="13.9" x14ac:dyDescent="0.3">
      <c r="A724" s="2" t="s">
        <v>856</v>
      </c>
      <c r="B724" s="2">
        <v>0</v>
      </c>
      <c r="C724" s="2">
        <v>0</v>
      </c>
      <c r="D724" s="2">
        <v>0</v>
      </c>
      <c r="E724" s="2">
        <v>0</v>
      </c>
      <c r="F724" s="2">
        <v>0.53</v>
      </c>
      <c r="G724" s="2">
        <v>0</v>
      </c>
      <c r="H724" s="2" t="e">
        <f t="shared" si="44"/>
        <v>#NUM!</v>
      </c>
      <c r="I724" s="2">
        <f t="shared" si="45"/>
        <v>0.37390096630005903</v>
      </c>
      <c r="J724" s="2" t="e">
        <f t="shared" si="46"/>
        <v>#NUM!</v>
      </c>
      <c r="K724">
        <f t="shared" si="47"/>
        <v>0.17666666666666667</v>
      </c>
    </row>
    <row r="725" spans="1:11" ht="13.9" x14ac:dyDescent="0.3">
      <c r="A725" s="2" t="s">
        <v>930</v>
      </c>
      <c r="B725" s="2">
        <v>0</v>
      </c>
      <c r="C725" s="2">
        <v>0</v>
      </c>
      <c r="D725" s="2">
        <v>0</v>
      </c>
      <c r="E725" s="2">
        <v>0</v>
      </c>
      <c r="F725" s="2">
        <v>0.53</v>
      </c>
      <c r="G725" s="2">
        <v>0</v>
      </c>
      <c r="H725" s="2" t="e">
        <f t="shared" si="44"/>
        <v>#NUM!</v>
      </c>
      <c r="I725" s="2">
        <f t="shared" si="45"/>
        <v>0.37390096630005903</v>
      </c>
      <c r="J725" s="2" t="e">
        <f t="shared" si="46"/>
        <v>#NUM!</v>
      </c>
      <c r="K725">
        <f t="shared" si="47"/>
        <v>0.17666666666666667</v>
      </c>
    </row>
    <row r="726" spans="1:11" ht="13.9" x14ac:dyDescent="0.3">
      <c r="A726" s="2" t="s">
        <v>323</v>
      </c>
      <c r="B726" s="2">
        <v>0</v>
      </c>
      <c r="C726" s="2">
        <v>0</v>
      </c>
      <c r="D726" s="2">
        <v>0</v>
      </c>
      <c r="E726" s="2">
        <v>0.3</v>
      </c>
      <c r="F726" s="2">
        <v>0.27</v>
      </c>
      <c r="G726" s="2">
        <v>0</v>
      </c>
      <c r="H726" s="2" t="e">
        <f t="shared" si="44"/>
        <v>#NUM!</v>
      </c>
      <c r="I726" s="2">
        <f t="shared" si="45"/>
        <v>0.11721716888134213</v>
      </c>
      <c r="J726" s="2" t="e">
        <f t="shared" si="46"/>
        <v>#NUM!</v>
      </c>
      <c r="K726">
        <f t="shared" si="47"/>
        <v>0.19000000000000003</v>
      </c>
    </row>
    <row r="727" spans="1:11" ht="13.9" x14ac:dyDescent="0.3">
      <c r="A727" s="2" t="s">
        <v>666</v>
      </c>
      <c r="B727" s="2">
        <v>0</v>
      </c>
      <c r="C727" s="2">
        <v>0</v>
      </c>
      <c r="D727" s="2">
        <v>0</v>
      </c>
      <c r="E727" s="2">
        <v>0.3</v>
      </c>
      <c r="F727" s="2">
        <v>0.27</v>
      </c>
      <c r="G727" s="2">
        <v>0</v>
      </c>
      <c r="H727" s="2" t="e">
        <f t="shared" si="44"/>
        <v>#NUM!</v>
      </c>
      <c r="I727" s="2">
        <f t="shared" si="45"/>
        <v>0.11721716888134213</v>
      </c>
      <c r="J727" s="2" t="e">
        <f t="shared" si="46"/>
        <v>#NUM!</v>
      </c>
      <c r="K727">
        <f t="shared" si="47"/>
        <v>0.19000000000000003</v>
      </c>
    </row>
    <row r="728" spans="1:11" ht="13.9" x14ac:dyDescent="0.3">
      <c r="A728" s="2" t="s">
        <v>686</v>
      </c>
      <c r="B728" s="2">
        <v>0</v>
      </c>
      <c r="C728" s="2">
        <v>0</v>
      </c>
      <c r="D728" s="2">
        <v>0</v>
      </c>
      <c r="E728" s="2">
        <v>0.3</v>
      </c>
      <c r="F728" s="2">
        <v>0.27</v>
      </c>
      <c r="G728" s="2">
        <v>0</v>
      </c>
      <c r="H728" s="2" t="e">
        <f t="shared" si="44"/>
        <v>#NUM!</v>
      </c>
      <c r="I728" s="2">
        <f t="shared" si="45"/>
        <v>0.11721716888134213</v>
      </c>
      <c r="J728" s="2" t="e">
        <f t="shared" si="46"/>
        <v>#NUM!</v>
      </c>
      <c r="K728">
        <f t="shared" si="47"/>
        <v>0.19000000000000003</v>
      </c>
    </row>
    <row r="729" spans="1:11" ht="13.9" x14ac:dyDescent="0.3">
      <c r="A729" s="2" t="s">
        <v>842</v>
      </c>
      <c r="B729" s="2">
        <v>0</v>
      </c>
      <c r="C729" s="2">
        <v>0</v>
      </c>
      <c r="D729" s="2">
        <v>0</v>
      </c>
      <c r="E729" s="2">
        <v>0.59</v>
      </c>
      <c r="F729" s="2">
        <v>0</v>
      </c>
      <c r="G729" s="2">
        <v>0</v>
      </c>
      <c r="H729" s="2" t="e">
        <f t="shared" si="44"/>
        <v>#NUM!</v>
      </c>
      <c r="I729" s="2">
        <f t="shared" si="45"/>
        <v>0.37390096630005903</v>
      </c>
      <c r="J729" s="2" t="e">
        <f t="shared" si="46"/>
        <v>#NUM!</v>
      </c>
      <c r="K729">
        <f t="shared" si="47"/>
        <v>0.19666666666666666</v>
      </c>
    </row>
    <row r="730" spans="1:11" ht="13.9" x14ac:dyDescent="0.3">
      <c r="A730" s="2" t="s">
        <v>881</v>
      </c>
      <c r="B730" s="2">
        <v>0</v>
      </c>
      <c r="C730" s="2">
        <v>0</v>
      </c>
      <c r="D730" s="2">
        <v>0</v>
      </c>
      <c r="E730" s="2">
        <v>0.59</v>
      </c>
      <c r="F730" s="2">
        <v>0</v>
      </c>
      <c r="G730" s="2">
        <v>0</v>
      </c>
      <c r="H730" s="2" t="e">
        <f t="shared" si="44"/>
        <v>#NUM!</v>
      </c>
      <c r="I730" s="2">
        <f t="shared" si="45"/>
        <v>0.37390096630005903</v>
      </c>
      <c r="J730" s="2" t="e">
        <f t="shared" si="46"/>
        <v>#NUM!</v>
      </c>
      <c r="K730">
        <f t="shared" si="47"/>
        <v>0.19666666666666666</v>
      </c>
    </row>
    <row r="731" spans="1:11" ht="13.9" x14ac:dyDescent="0.3">
      <c r="A731" s="2" t="s">
        <v>890</v>
      </c>
      <c r="B731" s="2">
        <v>0</v>
      </c>
      <c r="C731" s="2">
        <v>0</v>
      </c>
      <c r="D731" s="2">
        <v>0</v>
      </c>
      <c r="E731" s="2">
        <v>0.59</v>
      </c>
      <c r="F731" s="2">
        <v>0</v>
      </c>
      <c r="G731" s="2">
        <v>0</v>
      </c>
      <c r="H731" s="2" t="e">
        <f t="shared" si="44"/>
        <v>#NUM!</v>
      </c>
      <c r="I731" s="2">
        <f t="shared" si="45"/>
        <v>0.37390096630005903</v>
      </c>
      <c r="J731" s="2" t="e">
        <f t="shared" si="46"/>
        <v>#NUM!</v>
      </c>
      <c r="K731">
        <f t="shared" si="47"/>
        <v>0.19666666666666666</v>
      </c>
    </row>
    <row r="732" spans="1:11" ht="13.9" x14ac:dyDescent="0.3">
      <c r="A732" s="2" t="s">
        <v>619</v>
      </c>
      <c r="B732" s="2">
        <v>0</v>
      </c>
      <c r="C732" s="2">
        <v>0</v>
      </c>
      <c r="D732" s="2">
        <v>0</v>
      </c>
      <c r="E732" s="2">
        <v>0</v>
      </c>
      <c r="F732" s="2">
        <v>0.27</v>
      </c>
      <c r="G732" s="2">
        <v>0.32</v>
      </c>
      <c r="H732" s="2" t="e">
        <f t="shared" si="44"/>
        <v>#NUM!</v>
      </c>
      <c r="I732" s="2">
        <f t="shared" si="45"/>
        <v>0.11896532418500548</v>
      </c>
      <c r="J732" s="2" t="e">
        <f t="shared" si="46"/>
        <v>#NUM!</v>
      </c>
      <c r="K732">
        <f t="shared" si="47"/>
        <v>0.19666666666666668</v>
      </c>
    </row>
    <row r="733" spans="1:11" ht="13.9" x14ac:dyDescent="0.3">
      <c r="A733" s="2" t="s">
        <v>571</v>
      </c>
      <c r="B733" s="2">
        <v>0</v>
      </c>
      <c r="C733" s="2">
        <v>0</v>
      </c>
      <c r="D733" s="2">
        <v>0</v>
      </c>
      <c r="E733" s="2">
        <v>0.49</v>
      </c>
      <c r="F733" s="2">
        <v>0.13</v>
      </c>
      <c r="G733" s="2">
        <v>0</v>
      </c>
      <c r="H733" s="2" t="e">
        <f t="shared" si="44"/>
        <v>#NUM!</v>
      </c>
      <c r="I733" s="2">
        <f t="shared" si="45"/>
        <v>0.23129897449669085</v>
      </c>
      <c r="J733" s="2" t="e">
        <f t="shared" si="46"/>
        <v>#NUM!</v>
      </c>
      <c r="K733">
        <f t="shared" si="47"/>
        <v>0.20666666666666667</v>
      </c>
    </row>
    <row r="734" spans="1:11" ht="13.9" x14ac:dyDescent="0.3">
      <c r="A734" s="2" t="s">
        <v>810</v>
      </c>
      <c r="B734" s="2">
        <v>0</v>
      </c>
      <c r="C734" s="2">
        <v>0</v>
      </c>
      <c r="D734" s="2">
        <v>0</v>
      </c>
      <c r="E734" s="2">
        <v>0.3</v>
      </c>
      <c r="F734" s="2">
        <v>0</v>
      </c>
      <c r="G734" s="2">
        <v>0.32</v>
      </c>
      <c r="H734" s="2" t="e">
        <f t="shared" si="44"/>
        <v>#NUM!</v>
      </c>
      <c r="I734" s="2">
        <f t="shared" si="45"/>
        <v>0.11653025104531886</v>
      </c>
      <c r="J734" s="2" t="e">
        <f t="shared" si="46"/>
        <v>#NUM!</v>
      </c>
      <c r="K734">
        <f t="shared" si="47"/>
        <v>0.20666666666666667</v>
      </c>
    </row>
    <row r="735" spans="1:11" ht="13.9" x14ac:dyDescent="0.3">
      <c r="A735" s="2" t="s">
        <v>333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0.63</v>
      </c>
      <c r="H735" s="2" t="e">
        <f t="shared" si="44"/>
        <v>#NUM!</v>
      </c>
      <c r="I735" s="2">
        <f t="shared" si="45"/>
        <v>0.37390096630005903</v>
      </c>
      <c r="J735" s="2" t="e">
        <f t="shared" si="46"/>
        <v>#NUM!</v>
      </c>
      <c r="K735">
        <f t="shared" si="47"/>
        <v>0.21</v>
      </c>
    </row>
    <row r="736" spans="1:11" ht="13.9" x14ac:dyDescent="0.3">
      <c r="A736" s="2" t="s">
        <v>443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0.63</v>
      </c>
      <c r="H736" s="2" t="e">
        <f t="shared" si="44"/>
        <v>#NUM!</v>
      </c>
      <c r="I736" s="2">
        <f t="shared" si="45"/>
        <v>0.37390096630005903</v>
      </c>
      <c r="J736" s="2" t="e">
        <f t="shared" si="46"/>
        <v>#NUM!</v>
      </c>
      <c r="K736">
        <f t="shared" si="47"/>
        <v>0.21</v>
      </c>
    </row>
    <row r="737" spans="1:11" ht="13.9" x14ac:dyDescent="0.3">
      <c r="A737" s="2" t="s">
        <v>494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0.63</v>
      </c>
      <c r="H737" s="2" t="e">
        <f t="shared" si="44"/>
        <v>#NUM!</v>
      </c>
      <c r="I737" s="2">
        <f t="shared" si="45"/>
        <v>0.37390096630005903</v>
      </c>
      <c r="J737" s="2" t="e">
        <f t="shared" si="46"/>
        <v>#NUM!</v>
      </c>
      <c r="K737">
        <f t="shared" si="47"/>
        <v>0.21</v>
      </c>
    </row>
    <row r="738" spans="1:11" ht="13.9" x14ac:dyDescent="0.3">
      <c r="A738" s="2" t="s">
        <v>673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0.63</v>
      </c>
      <c r="H738" s="2" t="e">
        <f t="shared" si="44"/>
        <v>#NUM!</v>
      </c>
      <c r="I738" s="2">
        <f t="shared" si="45"/>
        <v>0.37390096630005903</v>
      </c>
      <c r="J738" s="2" t="e">
        <f t="shared" si="46"/>
        <v>#NUM!</v>
      </c>
      <c r="K738">
        <f t="shared" si="47"/>
        <v>0.21</v>
      </c>
    </row>
    <row r="739" spans="1:11" ht="13.9" x14ac:dyDescent="0.3">
      <c r="A739" s="2" t="s">
        <v>783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0.63</v>
      </c>
      <c r="H739" s="2" t="e">
        <f t="shared" si="44"/>
        <v>#NUM!</v>
      </c>
      <c r="I739" s="2">
        <f t="shared" si="45"/>
        <v>0.37390096630005903</v>
      </c>
      <c r="J739" s="2" t="e">
        <f t="shared" si="46"/>
        <v>#NUM!</v>
      </c>
      <c r="K739">
        <f t="shared" si="47"/>
        <v>0.21</v>
      </c>
    </row>
    <row r="740" spans="1:11" ht="13.9" x14ac:dyDescent="0.3">
      <c r="A740" s="2" t="s">
        <v>900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0.63</v>
      </c>
      <c r="H740" s="2" t="e">
        <f t="shared" si="44"/>
        <v>#NUM!</v>
      </c>
      <c r="I740" s="2">
        <f t="shared" si="45"/>
        <v>0.37390096630005903</v>
      </c>
      <c r="J740" s="2" t="e">
        <f t="shared" si="46"/>
        <v>#NUM!</v>
      </c>
      <c r="K740">
        <f t="shared" si="47"/>
        <v>0.21</v>
      </c>
    </row>
    <row r="741" spans="1:11" ht="13.9" x14ac:dyDescent="0.3">
      <c r="A741" s="2" t="s">
        <v>111</v>
      </c>
      <c r="B741" s="2">
        <v>0</v>
      </c>
      <c r="C741" s="2">
        <v>0</v>
      </c>
      <c r="D741" s="2">
        <v>0</v>
      </c>
      <c r="E741" s="2">
        <v>0</v>
      </c>
      <c r="F741" s="2">
        <v>0.67</v>
      </c>
      <c r="G741" s="2">
        <v>0</v>
      </c>
      <c r="H741" s="2" t="e">
        <f t="shared" si="44"/>
        <v>#NUM!</v>
      </c>
      <c r="I741" s="2">
        <f t="shared" si="45"/>
        <v>0.37390096630005903</v>
      </c>
      <c r="J741" s="2" t="e">
        <f t="shared" si="46"/>
        <v>#NUM!</v>
      </c>
      <c r="K741">
        <f t="shared" si="47"/>
        <v>0.22333333333333336</v>
      </c>
    </row>
    <row r="742" spans="1:11" ht="13.9" x14ac:dyDescent="0.3">
      <c r="A742" s="2" t="s">
        <v>124</v>
      </c>
      <c r="B742" s="2">
        <v>0</v>
      </c>
      <c r="C742" s="2">
        <v>0</v>
      </c>
      <c r="D742" s="2">
        <v>0</v>
      </c>
      <c r="E742" s="2">
        <v>0</v>
      </c>
      <c r="F742" s="2">
        <v>0.67</v>
      </c>
      <c r="G742" s="2">
        <v>0</v>
      </c>
      <c r="H742" s="2" t="e">
        <f t="shared" si="44"/>
        <v>#NUM!</v>
      </c>
      <c r="I742" s="2">
        <f t="shared" si="45"/>
        <v>0.37390096630005903</v>
      </c>
      <c r="J742" s="2" t="e">
        <f t="shared" si="46"/>
        <v>#NUM!</v>
      </c>
      <c r="K742">
        <f t="shared" si="47"/>
        <v>0.22333333333333336</v>
      </c>
    </row>
    <row r="743" spans="1:11" ht="13.9" x14ac:dyDescent="0.3">
      <c r="A743" s="2" t="s">
        <v>645</v>
      </c>
      <c r="B743" s="2">
        <v>0</v>
      </c>
      <c r="C743" s="2">
        <v>0</v>
      </c>
      <c r="D743" s="2">
        <v>0</v>
      </c>
      <c r="E743" s="2">
        <v>0</v>
      </c>
      <c r="F743" s="2">
        <v>0.67</v>
      </c>
      <c r="G743" s="2">
        <v>0</v>
      </c>
      <c r="H743" s="2" t="e">
        <f t="shared" si="44"/>
        <v>#NUM!</v>
      </c>
      <c r="I743" s="2">
        <f t="shared" si="45"/>
        <v>0.37390096630005903</v>
      </c>
      <c r="J743" s="2" t="e">
        <f t="shared" si="46"/>
        <v>#NUM!</v>
      </c>
      <c r="K743">
        <f t="shared" si="47"/>
        <v>0.22333333333333336</v>
      </c>
    </row>
    <row r="744" spans="1:11" ht="13.9" x14ac:dyDescent="0.3">
      <c r="A744" s="2" t="s">
        <v>909</v>
      </c>
      <c r="B744" s="2">
        <v>0</v>
      </c>
      <c r="C744" s="2">
        <v>0</v>
      </c>
      <c r="D744" s="2">
        <v>0</v>
      </c>
      <c r="E744" s="2">
        <v>0</v>
      </c>
      <c r="F744" s="2">
        <v>0.67</v>
      </c>
      <c r="G744" s="2">
        <v>0</v>
      </c>
      <c r="H744" s="2" t="e">
        <f t="shared" si="44"/>
        <v>#NUM!</v>
      </c>
      <c r="I744" s="2">
        <f t="shared" si="45"/>
        <v>0.37390096630005903</v>
      </c>
      <c r="J744" s="2" t="e">
        <f t="shared" si="46"/>
        <v>#NUM!</v>
      </c>
      <c r="K744">
        <f t="shared" si="47"/>
        <v>0.22333333333333336</v>
      </c>
    </row>
    <row r="745" spans="1:11" ht="13.9" x14ac:dyDescent="0.3">
      <c r="A745" s="2" t="s">
        <v>581</v>
      </c>
      <c r="B745" s="2">
        <v>0</v>
      </c>
      <c r="C745" s="2">
        <v>0</v>
      </c>
      <c r="D745" s="2">
        <v>0</v>
      </c>
      <c r="E745" s="2">
        <v>0.69</v>
      </c>
      <c r="F745" s="2">
        <v>0</v>
      </c>
      <c r="G745" s="2">
        <v>0</v>
      </c>
      <c r="H745" s="2" t="e">
        <f t="shared" si="44"/>
        <v>#NUM!</v>
      </c>
      <c r="I745" s="2">
        <f t="shared" si="45"/>
        <v>0.37390096630005903</v>
      </c>
      <c r="J745" s="2" t="e">
        <f t="shared" si="46"/>
        <v>#NUM!</v>
      </c>
      <c r="K745">
        <f t="shared" si="47"/>
        <v>0.22999999999999998</v>
      </c>
    </row>
    <row r="746" spans="1:11" ht="13.9" x14ac:dyDescent="0.3">
      <c r="A746" s="2" t="s">
        <v>631</v>
      </c>
      <c r="B746" s="2">
        <v>0</v>
      </c>
      <c r="C746" s="2">
        <v>0</v>
      </c>
      <c r="D746" s="2">
        <v>0</v>
      </c>
      <c r="E746" s="2">
        <v>0.69</v>
      </c>
      <c r="F746" s="2">
        <v>0</v>
      </c>
      <c r="G746" s="2">
        <v>0</v>
      </c>
      <c r="H746" s="2" t="e">
        <f t="shared" si="44"/>
        <v>#NUM!</v>
      </c>
      <c r="I746" s="2">
        <f t="shared" si="45"/>
        <v>0.37390096630005903</v>
      </c>
      <c r="J746" s="2" t="e">
        <f t="shared" si="46"/>
        <v>#NUM!</v>
      </c>
      <c r="K746">
        <f t="shared" si="47"/>
        <v>0.22999999999999998</v>
      </c>
    </row>
    <row r="747" spans="1:11" ht="13.9" x14ac:dyDescent="0.3">
      <c r="A747" s="2" t="s">
        <v>568</v>
      </c>
      <c r="B747" s="2">
        <v>0</v>
      </c>
      <c r="C747" s="2">
        <v>0</v>
      </c>
      <c r="D747" s="2">
        <v>0</v>
      </c>
      <c r="E747" s="2">
        <v>0.3</v>
      </c>
      <c r="F747" s="2">
        <v>0.4</v>
      </c>
      <c r="G747" s="2">
        <v>0</v>
      </c>
      <c r="H747" s="2" t="e">
        <f t="shared" si="44"/>
        <v>#NUM!</v>
      </c>
      <c r="I747" s="2">
        <f t="shared" si="45"/>
        <v>0.12417023554784123</v>
      </c>
      <c r="J747" s="2" t="e">
        <f t="shared" si="46"/>
        <v>#NUM!</v>
      </c>
      <c r="K747">
        <f t="shared" si="47"/>
        <v>0.23333333333333331</v>
      </c>
    </row>
    <row r="748" spans="1:11" ht="13.9" x14ac:dyDescent="0.3">
      <c r="A748" s="2" t="s">
        <v>404</v>
      </c>
      <c r="B748" s="2">
        <v>0</v>
      </c>
      <c r="C748" s="2">
        <v>0</v>
      </c>
      <c r="D748" s="2">
        <v>0</v>
      </c>
      <c r="E748" s="2">
        <v>0.2</v>
      </c>
      <c r="F748" s="2">
        <v>0</v>
      </c>
      <c r="G748" s="2">
        <v>0.53</v>
      </c>
      <c r="H748" s="2" t="e">
        <f t="shared" si="44"/>
        <v>#NUM!</v>
      </c>
      <c r="I748" s="2">
        <f t="shared" si="45"/>
        <v>0.19043834507523322</v>
      </c>
      <c r="J748" s="2" t="e">
        <f t="shared" si="46"/>
        <v>#NUM!</v>
      </c>
      <c r="K748">
        <f t="shared" si="47"/>
        <v>0.24333333333333332</v>
      </c>
    </row>
    <row r="749" spans="1:11" ht="13.9" x14ac:dyDescent="0.3">
      <c r="A749" s="2" t="s">
        <v>26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0.74</v>
      </c>
      <c r="H749" s="2" t="e">
        <f t="shared" si="44"/>
        <v>#NUM!</v>
      </c>
      <c r="I749" s="2">
        <f t="shared" si="45"/>
        <v>0.37390096630005903</v>
      </c>
      <c r="J749" s="2" t="e">
        <f t="shared" si="46"/>
        <v>#NUM!</v>
      </c>
      <c r="K749">
        <f t="shared" si="47"/>
        <v>0.24666666666666667</v>
      </c>
    </row>
    <row r="750" spans="1:11" ht="13.9" x14ac:dyDescent="0.3">
      <c r="A750" s="2" t="s">
        <v>335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0.74</v>
      </c>
      <c r="H750" s="2" t="e">
        <f t="shared" si="44"/>
        <v>#NUM!</v>
      </c>
      <c r="I750" s="2">
        <f t="shared" si="45"/>
        <v>0.37390096630005903</v>
      </c>
      <c r="J750" s="2" t="e">
        <f t="shared" si="46"/>
        <v>#NUM!</v>
      </c>
      <c r="K750">
        <f t="shared" si="47"/>
        <v>0.24666666666666667</v>
      </c>
    </row>
    <row r="751" spans="1:11" ht="13.9" x14ac:dyDescent="0.3">
      <c r="A751" s="2" t="s">
        <v>795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0.74</v>
      </c>
      <c r="H751" s="2" t="e">
        <f t="shared" si="44"/>
        <v>#NUM!</v>
      </c>
      <c r="I751" s="2">
        <f t="shared" si="45"/>
        <v>0.37390096630005903</v>
      </c>
      <c r="J751" s="2" t="e">
        <f t="shared" si="46"/>
        <v>#NUM!</v>
      </c>
      <c r="K751">
        <f t="shared" si="47"/>
        <v>0.24666666666666667</v>
      </c>
    </row>
    <row r="752" spans="1:11" ht="13.9" x14ac:dyDescent="0.3">
      <c r="A752" s="2" t="s">
        <v>893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0.74</v>
      </c>
      <c r="H752" s="2" t="e">
        <f t="shared" si="44"/>
        <v>#NUM!</v>
      </c>
      <c r="I752" s="2">
        <f t="shared" si="45"/>
        <v>0.37390096630005903</v>
      </c>
      <c r="J752" s="2" t="e">
        <f t="shared" si="46"/>
        <v>#NUM!</v>
      </c>
      <c r="K752">
        <f t="shared" si="47"/>
        <v>0.24666666666666667</v>
      </c>
    </row>
    <row r="753" spans="1:11" ht="13.9" x14ac:dyDescent="0.3">
      <c r="A753" s="2" t="s">
        <v>106</v>
      </c>
      <c r="B753" s="2">
        <v>0</v>
      </c>
      <c r="C753" s="2">
        <v>0</v>
      </c>
      <c r="D753" s="2">
        <v>0</v>
      </c>
      <c r="E753" s="2">
        <v>0.3</v>
      </c>
      <c r="F753" s="2">
        <v>0.27</v>
      </c>
      <c r="G753" s="2">
        <v>0.21</v>
      </c>
      <c r="H753" s="2" t="e">
        <f t="shared" si="44"/>
        <v>#NUM!</v>
      </c>
      <c r="I753" s="2">
        <f t="shared" si="45"/>
        <v>6.0124634629060594E-4</v>
      </c>
      <c r="J753" s="2" t="e">
        <f t="shared" si="46"/>
        <v>#NUM!</v>
      </c>
      <c r="K753">
        <f t="shared" si="47"/>
        <v>0.26</v>
      </c>
    </row>
    <row r="754" spans="1:11" ht="13.9" x14ac:dyDescent="0.3">
      <c r="A754" s="2" t="s">
        <v>375</v>
      </c>
      <c r="B754" s="2">
        <v>0</v>
      </c>
      <c r="C754" s="2">
        <v>0</v>
      </c>
      <c r="D754" s="2">
        <v>0</v>
      </c>
      <c r="E754" s="2">
        <v>0.79</v>
      </c>
      <c r="F754" s="2">
        <v>0</v>
      </c>
      <c r="G754" s="2">
        <v>0</v>
      </c>
      <c r="H754" s="2" t="e">
        <f t="shared" si="44"/>
        <v>#NUM!</v>
      </c>
      <c r="I754" s="2">
        <f t="shared" si="45"/>
        <v>0.37390096630005903</v>
      </c>
      <c r="J754" s="2" t="e">
        <f t="shared" si="46"/>
        <v>#NUM!</v>
      </c>
      <c r="K754">
        <f t="shared" si="47"/>
        <v>0.26333333333333336</v>
      </c>
    </row>
    <row r="755" spans="1:11" ht="13.9" x14ac:dyDescent="0.3">
      <c r="A755" s="2" t="s">
        <v>177</v>
      </c>
      <c r="B755" s="2">
        <v>0</v>
      </c>
      <c r="C755" s="2">
        <v>0</v>
      </c>
      <c r="D755" s="2">
        <v>0</v>
      </c>
      <c r="E755" s="2">
        <v>0</v>
      </c>
      <c r="F755" s="2">
        <v>0.8</v>
      </c>
      <c r="G755" s="2">
        <v>0</v>
      </c>
      <c r="H755" s="2" t="e">
        <f t="shared" si="44"/>
        <v>#NUM!</v>
      </c>
      <c r="I755" s="2">
        <f t="shared" si="45"/>
        <v>0.37390096630005903</v>
      </c>
      <c r="J755" s="2" t="e">
        <f t="shared" si="46"/>
        <v>#NUM!</v>
      </c>
      <c r="K755">
        <f t="shared" si="47"/>
        <v>0.26666666666666666</v>
      </c>
    </row>
    <row r="756" spans="1:11" ht="13.9" x14ac:dyDescent="0.3">
      <c r="A756" s="2" t="s">
        <v>425</v>
      </c>
      <c r="B756" s="2">
        <v>0</v>
      </c>
      <c r="C756" s="2">
        <v>0</v>
      </c>
      <c r="D756" s="2">
        <v>0</v>
      </c>
      <c r="E756" s="2">
        <v>0.69</v>
      </c>
      <c r="F756" s="2">
        <v>0</v>
      </c>
      <c r="G756" s="2">
        <v>0.11</v>
      </c>
      <c r="H756" s="2" t="e">
        <f t="shared" si="44"/>
        <v>#NUM!</v>
      </c>
      <c r="I756" s="2">
        <f t="shared" si="45"/>
        <v>0.28079102975461145</v>
      </c>
      <c r="J756" s="2" t="e">
        <f t="shared" si="46"/>
        <v>#NUM!</v>
      </c>
      <c r="K756">
        <f t="shared" si="47"/>
        <v>0.26666666666666666</v>
      </c>
    </row>
    <row r="757" spans="1:11" ht="13.9" x14ac:dyDescent="0.3">
      <c r="A757" s="2" t="s">
        <v>460</v>
      </c>
      <c r="B757" s="2">
        <v>0</v>
      </c>
      <c r="C757" s="2">
        <v>0</v>
      </c>
      <c r="D757" s="2">
        <v>0</v>
      </c>
      <c r="E757" s="2">
        <v>0</v>
      </c>
      <c r="F757" s="2">
        <v>0.8</v>
      </c>
      <c r="G757" s="2">
        <v>0</v>
      </c>
      <c r="H757" s="2" t="e">
        <f t="shared" si="44"/>
        <v>#NUM!</v>
      </c>
      <c r="I757" s="2">
        <f t="shared" si="45"/>
        <v>0.37390096630005903</v>
      </c>
      <c r="J757" s="2" t="e">
        <f t="shared" si="46"/>
        <v>#NUM!</v>
      </c>
      <c r="K757">
        <f t="shared" si="47"/>
        <v>0.26666666666666666</v>
      </c>
    </row>
    <row r="758" spans="1:11" ht="13.9" x14ac:dyDescent="0.3">
      <c r="A758" s="2" t="s">
        <v>758</v>
      </c>
      <c r="B758" s="2">
        <v>0</v>
      </c>
      <c r="C758" s="2">
        <v>0</v>
      </c>
      <c r="D758" s="2">
        <v>0</v>
      </c>
      <c r="E758" s="2">
        <v>0</v>
      </c>
      <c r="F758" s="2">
        <v>0.27</v>
      </c>
      <c r="G758" s="2">
        <v>0.53</v>
      </c>
      <c r="H758" s="2" t="e">
        <f t="shared" si="44"/>
        <v>#NUM!</v>
      </c>
      <c r="I758" s="2">
        <f t="shared" si="45"/>
        <v>0.15631819763304933</v>
      </c>
      <c r="J758" s="2" t="e">
        <f t="shared" si="46"/>
        <v>#NUM!</v>
      </c>
      <c r="K758">
        <f t="shared" si="47"/>
        <v>0.26666666666666666</v>
      </c>
    </row>
    <row r="759" spans="1:11" ht="13.9" x14ac:dyDescent="0.3">
      <c r="A759" s="2" t="s">
        <v>815</v>
      </c>
      <c r="B759" s="2">
        <v>0</v>
      </c>
      <c r="C759" s="2">
        <v>0</v>
      </c>
      <c r="D759" s="2">
        <v>0</v>
      </c>
      <c r="E759" s="2">
        <v>0</v>
      </c>
      <c r="F759" s="2">
        <v>0.27</v>
      </c>
      <c r="G759" s="2">
        <v>0.53</v>
      </c>
      <c r="H759" s="2" t="e">
        <f t="shared" si="44"/>
        <v>#NUM!</v>
      </c>
      <c r="I759" s="2">
        <f t="shared" si="45"/>
        <v>0.15631819763304933</v>
      </c>
      <c r="J759" s="2" t="e">
        <f t="shared" si="46"/>
        <v>#NUM!</v>
      </c>
      <c r="K759">
        <f t="shared" si="47"/>
        <v>0.26666666666666666</v>
      </c>
    </row>
    <row r="760" spans="1:11" ht="13.9" x14ac:dyDescent="0.3">
      <c r="A760" s="2" t="s">
        <v>884</v>
      </c>
      <c r="B760" s="2">
        <v>0</v>
      </c>
      <c r="C760" s="2">
        <v>0</v>
      </c>
      <c r="D760" s="2">
        <v>0</v>
      </c>
      <c r="E760" s="2">
        <v>0</v>
      </c>
      <c r="F760" s="2">
        <v>0.8</v>
      </c>
      <c r="G760" s="2">
        <v>0</v>
      </c>
      <c r="H760" s="2" t="e">
        <f t="shared" si="44"/>
        <v>#NUM!</v>
      </c>
      <c r="I760" s="2">
        <f t="shared" si="45"/>
        <v>0.37390096630005903</v>
      </c>
      <c r="J760" s="2" t="e">
        <f t="shared" si="46"/>
        <v>#NUM!</v>
      </c>
      <c r="K760">
        <f t="shared" si="47"/>
        <v>0.26666666666666666</v>
      </c>
    </row>
    <row r="761" spans="1:11" ht="13.9" x14ac:dyDescent="0.3">
      <c r="A761" s="2" t="s">
        <v>938</v>
      </c>
      <c r="B761" s="2">
        <v>0</v>
      </c>
      <c r="C761" s="2">
        <v>0</v>
      </c>
      <c r="D761" s="2">
        <v>0</v>
      </c>
      <c r="E761" s="2">
        <v>0</v>
      </c>
      <c r="F761" s="2">
        <v>0.8</v>
      </c>
      <c r="G761" s="2">
        <v>0</v>
      </c>
      <c r="H761" s="2" t="e">
        <f t="shared" si="44"/>
        <v>#NUM!</v>
      </c>
      <c r="I761" s="2">
        <f t="shared" si="45"/>
        <v>0.37390096630005903</v>
      </c>
      <c r="J761" s="2" t="e">
        <f t="shared" si="46"/>
        <v>#NUM!</v>
      </c>
      <c r="K761">
        <f t="shared" si="47"/>
        <v>0.26666666666666666</v>
      </c>
    </row>
    <row r="762" spans="1:11" ht="13.9" x14ac:dyDescent="0.3">
      <c r="A762" s="2" t="s">
        <v>232</v>
      </c>
      <c r="B762" s="2">
        <v>0</v>
      </c>
      <c r="C762" s="2">
        <v>0</v>
      </c>
      <c r="D762" s="2">
        <v>0</v>
      </c>
      <c r="E762" s="2">
        <v>0.49</v>
      </c>
      <c r="F762" s="2">
        <v>0</v>
      </c>
      <c r="G762" s="2">
        <v>0.32</v>
      </c>
      <c r="H762" s="2" t="e">
        <f t="shared" si="44"/>
        <v>#NUM!</v>
      </c>
      <c r="I762" s="2">
        <f t="shared" si="45"/>
        <v>0.13333375295265293</v>
      </c>
      <c r="J762" s="2" t="e">
        <f t="shared" si="46"/>
        <v>#NUM!</v>
      </c>
      <c r="K762">
        <f t="shared" si="47"/>
        <v>0.27</v>
      </c>
    </row>
    <row r="763" spans="1:11" ht="13.9" x14ac:dyDescent="0.3">
      <c r="A763" s="2" t="s">
        <v>923</v>
      </c>
      <c r="B763" s="2">
        <v>0</v>
      </c>
      <c r="C763" s="2">
        <v>0</v>
      </c>
      <c r="D763" s="2">
        <v>0</v>
      </c>
      <c r="E763" s="2">
        <v>0.49</v>
      </c>
      <c r="F763" s="2">
        <v>0</v>
      </c>
      <c r="G763" s="2">
        <v>0.32</v>
      </c>
      <c r="H763" s="2" t="e">
        <f t="shared" si="44"/>
        <v>#NUM!</v>
      </c>
      <c r="I763" s="2">
        <f t="shared" si="45"/>
        <v>0.13333375295265293</v>
      </c>
      <c r="J763" s="2" t="e">
        <f t="shared" si="46"/>
        <v>#NUM!</v>
      </c>
      <c r="K763">
        <f t="shared" si="47"/>
        <v>0.27</v>
      </c>
    </row>
    <row r="764" spans="1:11" ht="13.9" x14ac:dyDescent="0.3">
      <c r="A764" s="2" t="s">
        <v>288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0.84</v>
      </c>
      <c r="H764" s="2" t="e">
        <f t="shared" si="44"/>
        <v>#NUM!</v>
      </c>
      <c r="I764" s="2">
        <f t="shared" si="45"/>
        <v>0.37390096630005903</v>
      </c>
      <c r="J764" s="2" t="e">
        <f t="shared" si="46"/>
        <v>#NUM!</v>
      </c>
      <c r="K764">
        <f t="shared" si="47"/>
        <v>0.27999999999999997</v>
      </c>
    </row>
    <row r="765" spans="1:11" ht="13.9" x14ac:dyDescent="0.3">
      <c r="A765" s="2" t="s">
        <v>310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0.84</v>
      </c>
      <c r="H765" s="2" t="e">
        <f t="shared" si="44"/>
        <v>#NUM!</v>
      </c>
      <c r="I765" s="2">
        <f t="shared" si="45"/>
        <v>0.37390096630005903</v>
      </c>
      <c r="J765" s="2" t="e">
        <f t="shared" si="46"/>
        <v>#NUM!</v>
      </c>
      <c r="K765">
        <f t="shared" si="47"/>
        <v>0.27999999999999997</v>
      </c>
    </row>
    <row r="766" spans="1:11" ht="13.9" x14ac:dyDescent="0.3">
      <c r="A766" s="2" t="s">
        <v>585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0.84</v>
      </c>
      <c r="H766" s="2" t="e">
        <f t="shared" si="44"/>
        <v>#NUM!</v>
      </c>
      <c r="I766" s="2">
        <f t="shared" si="45"/>
        <v>0.37390096630005903</v>
      </c>
      <c r="J766" s="2" t="e">
        <f t="shared" si="46"/>
        <v>#NUM!</v>
      </c>
      <c r="K766">
        <f t="shared" si="47"/>
        <v>0.27999999999999997</v>
      </c>
    </row>
    <row r="767" spans="1:11" ht="13.9" x14ac:dyDescent="0.3">
      <c r="A767" s="2" t="s">
        <v>653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0.84</v>
      </c>
      <c r="H767" s="2" t="e">
        <f t="shared" si="44"/>
        <v>#NUM!</v>
      </c>
      <c r="I767" s="2">
        <f t="shared" si="45"/>
        <v>0.37390096630005903</v>
      </c>
      <c r="J767" s="2" t="e">
        <f t="shared" si="46"/>
        <v>#NUM!</v>
      </c>
      <c r="K767">
        <f t="shared" si="47"/>
        <v>0.27999999999999997</v>
      </c>
    </row>
    <row r="768" spans="1:11" ht="13.9" x14ac:dyDescent="0.3">
      <c r="A768" s="2" t="s">
        <v>706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0.84</v>
      </c>
      <c r="H768" s="2" t="e">
        <f t="shared" si="44"/>
        <v>#NUM!</v>
      </c>
      <c r="I768" s="2">
        <f t="shared" si="45"/>
        <v>0.37390096630005903</v>
      </c>
      <c r="J768" s="2" t="e">
        <f t="shared" si="46"/>
        <v>#NUM!</v>
      </c>
      <c r="K768">
        <f t="shared" si="47"/>
        <v>0.27999999999999997</v>
      </c>
    </row>
    <row r="769" spans="1:11" ht="13.9" x14ac:dyDescent="0.3">
      <c r="A769" s="2" t="s">
        <v>763</v>
      </c>
      <c r="B769" s="2">
        <v>0</v>
      </c>
      <c r="C769" s="2">
        <v>0</v>
      </c>
      <c r="D769" s="2">
        <v>0</v>
      </c>
      <c r="E769" s="2">
        <v>0.59</v>
      </c>
      <c r="F769" s="2">
        <v>0.27</v>
      </c>
      <c r="G769" s="2">
        <v>0</v>
      </c>
      <c r="H769" s="2" t="e">
        <f t="shared" si="44"/>
        <v>#NUM!</v>
      </c>
      <c r="I769" s="2">
        <f t="shared" si="45"/>
        <v>0.16803556157450092</v>
      </c>
      <c r="J769" s="2" t="e">
        <f t="shared" si="46"/>
        <v>#NUM!</v>
      </c>
      <c r="K769">
        <f t="shared" si="47"/>
        <v>0.28666666666666668</v>
      </c>
    </row>
    <row r="770" spans="1:11" ht="13.9" x14ac:dyDescent="0.3">
      <c r="A770" s="2" t="s">
        <v>196</v>
      </c>
      <c r="B770" s="2">
        <v>0</v>
      </c>
      <c r="C770" s="2">
        <v>0</v>
      </c>
      <c r="D770" s="2">
        <v>0</v>
      </c>
      <c r="E770" s="2">
        <v>0.89</v>
      </c>
      <c r="F770" s="2">
        <v>0</v>
      </c>
      <c r="G770" s="2">
        <v>0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J770" s="2" t="e">
        <f t="shared" ref="J770:J833" si="50">LOG(SUM(B770:D770),2)</f>
        <v>#NUM!</v>
      </c>
      <c r="K770">
        <f t="shared" ref="K770:K833" si="51">AVERAGE(E770:G770)</f>
        <v>0.29666666666666669</v>
      </c>
    </row>
    <row r="771" spans="1:11" ht="13.9" x14ac:dyDescent="0.3">
      <c r="A771" s="2" t="s">
        <v>256</v>
      </c>
      <c r="B771" s="2">
        <v>0</v>
      </c>
      <c r="C771" s="2">
        <v>0</v>
      </c>
      <c r="D771" s="2">
        <v>0</v>
      </c>
      <c r="E771" s="2">
        <v>0.2</v>
      </c>
      <c r="F771" s="2">
        <v>0.27</v>
      </c>
      <c r="G771" s="2">
        <v>0.42</v>
      </c>
      <c r="H771" s="2" t="e">
        <f t="shared" si="48"/>
        <v>#NUM!</v>
      </c>
      <c r="I771" s="2">
        <f t="shared" si="49"/>
        <v>1.0248191027726027E-2</v>
      </c>
      <c r="J771" s="2" t="e">
        <f t="shared" si="50"/>
        <v>#NUM!</v>
      </c>
      <c r="K771">
        <f t="shared" si="51"/>
        <v>0.29666666666666669</v>
      </c>
    </row>
    <row r="772" spans="1:11" ht="13.9" x14ac:dyDescent="0.3">
      <c r="A772" s="2" t="s">
        <v>305</v>
      </c>
      <c r="B772" s="2">
        <v>0</v>
      </c>
      <c r="C772" s="2">
        <v>0</v>
      </c>
      <c r="D772" s="2">
        <v>0</v>
      </c>
      <c r="E772" s="2">
        <v>0</v>
      </c>
      <c r="F772" s="2">
        <v>0.94</v>
      </c>
      <c r="G772" s="2">
        <v>0</v>
      </c>
      <c r="H772" s="2" t="e">
        <f t="shared" si="48"/>
        <v>#NUM!</v>
      </c>
      <c r="I772" s="2">
        <f t="shared" si="49"/>
        <v>0.37390096630005903</v>
      </c>
      <c r="J772" s="2" t="e">
        <f t="shared" si="50"/>
        <v>#NUM!</v>
      </c>
      <c r="K772">
        <f t="shared" si="51"/>
        <v>0.3133333333333333</v>
      </c>
    </row>
    <row r="773" spans="1:11" ht="13.9" x14ac:dyDescent="0.3">
      <c r="A773" s="2" t="s">
        <v>640</v>
      </c>
      <c r="B773" s="2">
        <v>0</v>
      </c>
      <c r="C773" s="2">
        <v>0</v>
      </c>
      <c r="D773" s="2">
        <v>0</v>
      </c>
      <c r="E773" s="2">
        <v>0</v>
      </c>
      <c r="F773" s="2">
        <v>0.94</v>
      </c>
      <c r="G773" s="2">
        <v>0</v>
      </c>
      <c r="H773" s="2" t="e">
        <f t="shared" si="48"/>
        <v>#NUM!</v>
      </c>
      <c r="I773" s="2">
        <f t="shared" si="49"/>
        <v>0.37390096630005903</v>
      </c>
      <c r="J773" s="2" t="e">
        <f t="shared" si="50"/>
        <v>#NUM!</v>
      </c>
      <c r="K773">
        <f t="shared" si="51"/>
        <v>0.3133333333333333</v>
      </c>
    </row>
    <row r="774" spans="1:11" ht="13.9" x14ac:dyDescent="0.3">
      <c r="A774" s="2" t="s">
        <v>922</v>
      </c>
      <c r="B774" s="2">
        <v>0</v>
      </c>
      <c r="C774" s="2">
        <v>0</v>
      </c>
      <c r="D774" s="2">
        <v>0</v>
      </c>
      <c r="E774" s="2">
        <v>0</v>
      </c>
      <c r="F774" s="2">
        <v>0.94</v>
      </c>
      <c r="G774" s="2">
        <v>0</v>
      </c>
      <c r="H774" s="2" t="e">
        <f t="shared" si="48"/>
        <v>#NUM!</v>
      </c>
      <c r="I774" s="2">
        <f t="shared" si="49"/>
        <v>0.37390096630005903</v>
      </c>
      <c r="J774" s="2" t="e">
        <f t="shared" si="50"/>
        <v>#NUM!</v>
      </c>
      <c r="K774">
        <f t="shared" si="51"/>
        <v>0.3133333333333333</v>
      </c>
    </row>
    <row r="775" spans="1:11" ht="13.9" x14ac:dyDescent="0.3">
      <c r="A775" s="2" t="s">
        <v>354</v>
      </c>
      <c r="B775" s="2">
        <v>0</v>
      </c>
      <c r="C775" s="2">
        <v>0</v>
      </c>
      <c r="D775" s="2">
        <v>0</v>
      </c>
      <c r="E775" s="2">
        <v>0</v>
      </c>
      <c r="F775" s="2">
        <v>0.53</v>
      </c>
      <c r="G775" s="2">
        <v>0.42</v>
      </c>
      <c r="H775" s="2" t="e">
        <f t="shared" si="48"/>
        <v>#NUM!</v>
      </c>
      <c r="I775" s="2">
        <f t="shared" si="49"/>
        <v>0.12142196810912945</v>
      </c>
      <c r="J775" s="2" t="e">
        <f t="shared" si="50"/>
        <v>#NUM!</v>
      </c>
      <c r="K775">
        <f t="shared" si="51"/>
        <v>0.31666666666666665</v>
      </c>
    </row>
    <row r="776" spans="1:11" ht="13.9" x14ac:dyDescent="0.3">
      <c r="A776" s="2" t="s">
        <v>482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0.95</v>
      </c>
      <c r="H776" s="2" t="e">
        <f t="shared" si="48"/>
        <v>#NUM!</v>
      </c>
      <c r="I776" s="2">
        <f t="shared" si="49"/>
        <v>0.37390096630005903</v>
      </c>
      <c r="J776" s="2" t="e">
        <f t="shared" si="50"/>
        <v>#NUM!</v>
      </c>
      <c r="K776">
        <f t="shared" si="51"/>
        <v>0.31666666666666665</v>
      </c>
    </row>
    <row r="777" spans="1:11" ht="13.9" x14ac:dyDescent="0.3">
      <c r="A777" s="2" t="s">
        <v>876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0.95</v>
      </c>
      <c r="H777" s="2" t="e">
        <f t="shared" si="48"/>
        <v>#NUM!</v>
      </c>
      <c r="I777" s="2">
        <f t="shared" si="49"/>
        <v>0.37390096630005903</v>
      </c>
      <c r="J777" s="2" t="e">
        <f t="shared" si="50"/>
        <v>#NUM!</v>
      </c>
      <c r="K777">
        <f t="shared" si="51"/>
        <v>0.31666666666666665</v>
      </c>
    </row>
    <row r="778" spans="1:11" ht="13.9" x14ac:dyDescent="0.3">
      <c r="A778" s="2" t="s">
        <v>560</v>
      </c>
      <c r="B778" s="2">
        <v>0</v>
      </c>
      <c r="C778" s="2">
        <v>0</v>
      </c>
      <c r="D778" s="2">
        <v>0</v>
      </c>
      <c r="E778" s="2">
        <v>0.69</v>
      </c>
      <c r="F778" s="2">
        <v>0.27</v>
      </c>
      <c r="G778" s="2">
        <v>0</v>
      </c>
      <c r="H778" s="2" t="e">
        <f t="shared" si="48"/>
        <v>#NUM!</v>
      </c>
      <c r="I778" s="2">
        <f t="shared" si="49"/>
        <v>0.1861530590266964</v>
      </c>
      <c r="J778" s="2" t="e">
        <f t="shared" si="50"/>
        <v>#NUM!</v>
      </c>
      <c r="K778">
        <f t="shared" si="51"/>
        <v>0.32</v>
      </c>
    </row>
    <row r="779" spans="1:11" ht="13.9" x14ac:dyDescent="0.3">
      <c r="A779" s="2" t="s">
        <v>768</v>
      </c>
      <c r="B779" s="2">
        <v>0</v>
      </c>
      <c r="C779" s="2">
        <v>0</v>
      </c>
      <c r="D779" s="2">
        <v>0</v>
      </c>
      <c r="E779" s="2">
        <v>0</v>
      </c>
      <c r="F779" s="2">
        <v>0.13</v>
      </c>
      <c r="G779" s="2">
        <v>0.84</v>
      </c>
      <c r="H779" s="2" t="e">
        <f t="shared" si="48"/>
        <v>#NUM!</v>
      </c>
      <c r="I779" s="2">
        <f t="shared" si="49"/>
        <v>0.28320897901188474</v>
      </c>
      <c r="J779" s="2" t="e">
        <f t="shared" si="50"/>
        <v>#NUM!</v>
      </c>
      <c r="K779">
        <f t="shared" si="51"/>
        <v>0.32333333333333331</v>
      </c>
    </row>
    <row r="780" spans="1:11" ht="13.9" x14ac:dyDescent="0.3">
      <c r="A780" s="2" t="s">
        <v>858</v>
      </c>
      <c r="B780" s="2">
        <v>0</v>
      </c>
      <c r="C780" s="2">
        <v>0</v>
      </c>
      <c r="D780" s="2">
        <v>0</v>
      </c>
      <c r="E780" s="2">
        <v>0.39</v>
      </c>
      <c r="F780" s="2">
        <v>0.27</v>
      </c>
      <c r="G780" s="2">
        <v>0.32</v>
      </c>
      <c r="H780" s="2" t="e">
        <f t="shared" si="48"/>
        <v>#NUM!</v>
      </c>
      <c r="I780" s="2">
        <f t="shared" si="49"/>
        <v>7.1768558920570302E-4</v>
      </c>
      <c r="J780" s="2" t="e">
        <f t="shared" si="50"/>
        <v>#NUM!</v>
      </c>
      <c r="K780">
        <f t="shared" si="51"/>
        <v>0.32666666666666666</v>
      </c>
    </row>
    <row r="781" spans="1:11" ht="13.9" x14ac:dyDescent="0.3">
      <c r="A781" s="2" t="s">
        <v>162</v>
      </c>
      <c r="B781" s="2">
        <v>0</v>
      </c>
      <c r="C781" s="2">
        <v>0</v>
      </c>
      <c r="D781" s="2">
        <v>0</v>
      </c>
      <c r="E781" s="2">
        <v>0.99</v>
      </c>
      <c r="F781" s="2">
        <v>0</v>
      </c>
      <c r="G781" s="2">
        <v>0</v>
      </c>
      <c r="H781" s="2" t="e">
        <f t="shared" si="48"/>
        <v>#NUM!</v>
      </c>
      <c r="I781" s="2">
        <f t="shared" si="49"/>
        <v>0.37390096630005903</v>
      </c>
      <c r="J781" s="2" t="e">
        <f t="shared" si="50"/>
        <v>#NUM!</v>
      </c>
      <c r="K781">
        <f t="shared" si="51"/>
        <v>0.33</v>
      </c>
    </row>
    <row r="782" spans="1:11" ht="13.9" x14ac:dyDescent="0.3">
      <c r="A782" s="2" t="s">
        <v>174</v>
      </c>
      <c r="B782" s="2">
        <v>0</v>
      </c>
      <c r="C782" s="2">
        <v>0</v>
      </c>
      <c r="D782" s="2">
        <v>0</v>
      </c>
      <c r="E782" s="2">
        <v>0.99</v>
      </c>
      <c r="F782" s="2">
        <v>0</v>
      </c>
      <c r="G782" s="2">
        <v>0</v>
      </c>
      <c r="H782" s="2" t="e">
        <f t="shared" si="48"/>
        <v>#NUM!</v>
      </c>
      <c r="I782" s="2">
        <f t="shared" si="49"/>
        <v>0.37390096630005903</v>
      </c>
      <c r="J782" s="2" t="e">
        <f t="shared" si="50"/>
        <v>#NUM!</v>
      </c>
      <c r="K782">
        <f t="shared" si="51"/>
        <v>0.33</v>
      </c>
    </row>
    <row r="783" spans="1:11" ht="13.9" x14ac:dyDescent="0.3">
      <c r="A783" s="2" t="s">
        <v>421</v>
      </c>
      <c r="B783" s="2">
        <v>0</v>
      </c>
      <c r="C783" s="2">
        <v>0</v>
      </c>
      <c r="D783" s="2">
        <v>0</v>
      </c>
      <c r="E783" s="2">
        <v>0.3</v>
      </c>
      <c r="F783" s="2">
        <v>0.27</v>
      </c>
      <c r="G783" s="2">
        <v>0.42</v>
      </c>
      <c r="H783" s="2" t="e">
        <f t="shared" si="48"/>
        <v>#NUM!</v>
      </c>
      <c r="I783" s="2">
        <f t="shared" si="49"/>
        <v>1.970910938347841E-3</v>
      </c>
      <c r="J783" s="2" t="e">
        <f t="shared" si="50"/>
        <v>#NUM!</v>
      </c>
      <c r="K783">
        <f t="shared" si="51"/>
        <v>0.33</v>
      </c>
    </row>
    <row r="784" spans="1:11" ht="13.9" x14ac:dyDescent="0.3">
      <c r="A784" s="2" t="s">
        <v>601</v>
      </c>
      <c r="B784" s="2">
        <v>0</v>
      </c>
      <c r="C784" s="2">
        <v>0</v>
      </c>
      <c r="D784" s="2">
        <v>0</v>
      </c>
      <c r="E784" s="2">
        <v>0.99</v>
      </c>
      <c r="F784" s="2">
        <v>0</v>
      </c>
      <c r="G784" s="2">
        <v>0</v>
      </c>
      <c r="H784" s="2" t="e">
        <f t="shared" si="48"/>
        <v>#NUM!</v>
      </c>
      <c r="I784" s="2">
        <f t="shared" si="49"/>
        <v>0.37390096630005903</v>
      </c>
      <c r="J784" s="2" t="e">
        <f t="shared" si="50"/>
        <v>#NUM!</v>
      </c>
      <c r="K784">
        <f t="shared" si="51"/>
        <v>0.33</v>
      </c>
    </row>
    <row r="785" spans="1:11" ht="13.9" x14ac:dyDescent="0.3">
      <c r="A785" s="2" t="s">
        <v>195</v>
      </c>
      <c r="B785" s="2">
        <v>0</v>
      </c>
      <c r="C785" s="2">
        <v>0</v>
      </c>
      <c r="D785" s="2">
        <v>0</v>
      </c>
      <c r="E785" s="2">
        <v>0.1</v>
      </c>
      <c r="F785" s="2">
        <v>0.53</v>
      </c>
      <c r="G785" s="2">
        <v>0.42</v>
      </c>
      <c r="H785" s="2" t="e">
        <f t="shared" si="48"/>
        <v>#NUM!</v>
      </c>
      <c r="I785" s="2">
        <f t="shared" si="49"/>
        <v>5.3327158273051282E-2</v>
      </c>
      <c r="J785" s="2" t="e">
        <f t="shared" si="50"/>
        <v>#NUM!</v>
      </c>
      <c r="K785">
        <f t="shared" si="51"/>
        <v>0.35000000000000003</v>
      </c>
    </row>
    <row r="786" spans="1:11" ht="13.9" x14ac:dyDescent="0.3">
      <c r="A786" s="2" t="s">
        <v>574</v>
      </c>
      <c r="B786" s="2">
        <v>0</v>
      </c>
      <c r="C786" s="2">
        <v>0</v>
      </c>
      <c r="D786" s="2">
        <v>0</v>
      </c>
      <c r="E786" s="2">
        <v>0</v>
      </c>
      <c r="F786" s="2">
        <v>0.94</v>
      </c>
      <c r="G786" s="2">
        <v>0.11</v>
      </c>
      <c r="H786" s="2" t="e">
        <f t="shared" si="48"/>
        <v>#NUM!</v>
      </c>
      <c r="I786" s="2">
        <f t="shared" si="49"/>
        <v>0.30351543212566295</v>
      </c>
      <c r="J786" s="2" t="e">
        <f t="shared" si="50"/>
        <v>#NUM!</v>
      </c>
      <c r="K786">
        <f t="shared" si="51"/>
        <v>0.35000000000000003</v>
      </c>
    </row>
    <row r="787" spans="1:11" ht="13.9" x14ac:dyDescent="0.3">
      <c r="A787" s="2" t="s">
        <v>790</v>
      </c>
      <c r="B787" s="2">
        <v>0</v>
      </c>
      <c r="C787" s="2">
        <v>0</v>
      </c>
      <c r="D787" s="2">
        <v>0</v>
      </c>
      <c r="E787" s="2">
        <v>0.39</v>
      </c>
      <c r="F787" s="2">
        <v>0.13</v>
      </c>
      <c r="G787" s="2">
        <v>0.53</v>
      </c>
      <c r="H787" s="2" t="e">
        <f t="shared" si="48"/>
        <v>#NUM!</v>
      </c>
      <c r="I787" s="2">
        <f t="shared" si="49"/>
        <v>4.0473031428763108E-2</v>
      </c>
      <c r="J787" s="2" t="e">
        <f t="shared" si="50"/>
        <v>#NUM!</v>
      </c>
      <c r="K787">
        <f t="shared" si="51"/>
        <v>0.35000000000000003</v>
      </c>
    </row>
    <row r="788" spans="1:11" ht="13.9" x14ac:dyDescent="0.3">
      <c r="A788" s="2" t="s">
        <v>566</v>
      </c>
      <c r="B788" s="2">
        <v>0</v>
      </c>
      <c r="C788" s="2">
        <v>0</v>
      </c>
      <c r="D788" s="2">
        <v>0</v>
      </c>
      <c r="E788" s="2">
        <v>0.79</v>
      </c>
      <c r="F788" s="2">
        <v>0.27</v>
      </c>
      <c r="G788" s="2">
        <v>0</v>
      </c>
      <c r="H788" s="2" t="e">
        <f t="shared" si="48"/>
        <v>#NUM!</v>
      </c>
      <c r="I788" s="2">
        <f t="shared" si="49"/>
        <v>0.20215848027515795</v>
      </c>
      <c r="J788" s="2" t="e">
        <f t="shared" si="50"/>
        <v>#NUM!</v>
      </c>
      <c r="K788">
        <f t="shared" si="51"/>
        <v>0.35333333333333333</v>
      </c>
    </row>
    <row r="789" spans="1:11" ht="13.9" x14ac:dyDescent="0.3">
      <c r="A789" s="2" t="s">
        <v>312</v>
      </c>
      <c r="B789" s="2">
        <v>0</v>
      </c>
      <c r="C789" s="2">
        <v>0</v>
      </c>
      <c r="D789" s="2">
        <v>0</v>
      </c>
      <c r="E789" s="2">
        <v>0</v>
      </c>
      <c r="F789" s="2">
        <v>1.07</v>
      </c>
      <c r="G789" s="2">
        <v>0</v>
      </c>
      <c r="H789" s="2" t="e">
        <f t="shared" si="48"/>
        <v>#NUM!</v>
      </c>
      <c r="I789" s="2">
        <f t="shared" si="49"/>
        <v>0.37390096630005903</v>
      </c>
      <c r="J789" s="2" t="e">
        <f t="shared" si="50"/>
        <v>#NUM!</v>
      </c>
      <c r="K789">
        <f t="shared" si="51"/>
        <v>0.35666666666666669</v>
      </c>
    </row>
    <row r="790" spans="1:11" ht="13.9" x14ac:dyDescent="0.3">
      <c r="A790" s="2" t="s">
        <v>328</v>
      </c>
      <c r="B790" s="2">
        <v>0</v>
      </c>
      <c r="C790" s="2">
        <v>0</v>
      </c>
      <c r="D790" s="2">
        <v>0</v>
      </c>
      <c r="E790" s="2">
        <v>0</v>
      </c>
      <c r="F790" s="2">
        <v>1.07</v>
      </c>
      <c r="G790" s="2">
        <v>0</v>
      </c>
      <c r="H790" s="2" t="e">
        <f t="shared" si="48"/>
        <v>#NUM!</v>
      </c>
      <c r="I790" s="2">
        <f t="shared" si="49"/>
        <v>0.37390096630005903</v>
      </c>
      <c r="J790" s="2" t="e">
        <f t="shared" si="50"/>
        <v>#NUM!</v>
      </c>
      <c r="K790">
        <f t="shared" si="51"/>
        <v>0.35666666666666669</v>
      </c>
    </row>
    <row r="791" spans="1:11" ht="13.9" x14ac:dyDescent="0.3">
      <c r="A791" s="2" t="s">
        <v>617</v>
      </c>
      <c r="B791" s="2">
        <v>0</v>
      </c>
      <c r="C791" s="2">
        <v>0</v>
      </c>
      <c r="D791" s="2">
        <v>0</v>
      </c>
      <c r="E791" s="2">
        <v>0</v>
      </c>
      <c r="F791" s="2">
        <v>1.07</v>
      </c>
      <c r="G791" s="2">
        <v>0</v>
      </c>
      <c r="H791" s="2" t="e">
        <f t="shared" si="48"/>
        <v>#NUM!</v>
      </c>
      <c r="I791" s="2">
        <f t="shared" si="49"/>
        <v>0.37390096630005903</v>
      </c>
      <c r="J791" s="2" t="e">
        <f t="shared" si="50"/>
        <v>#NUM!</v>
      </c>
      <c r="K791">
        <f t="shared" si="51"/>
        <v>0.35666666666666669</v>
      </c>
    </row>
    <row r="792" spans="1:11" ht="13.9" x14ac:dyDescent="0.3">
      <c r="A792" s="2" t="s">
        <v>905</v>
      </c>
      <c r="B792" s="2">
        <v>0</v>
      </c>
      <c r="C792" s="2">
        <v>0</v>
      </c>
      <c r="D792" s="2">
        <v>0</v>
      </c>
      <c r="E792" s="2">
        <v>0.39</v>
      </c>
      <c r="F792" s="2">
        <v>0.27</v>
      </c>
      <c r="G792" s="2">
        <v>0.42</v>
      </c>
      <c r="H792" s="2" t="e">
        <f t="shared" si="48"/>
        <v>#NUM!</v>
      </c>
      <c r="I792" s="2">
        <f t="shared" si="49"/>
        <v>1.4186112260286725E-3</v>
      </c>
      <c r="J792" s="2" t="e">
        <f t="shared" si="50"/>
        <v>#NUM!</v>
      </c>
      <c r="K792">
        <f t="shared" si="51"/>
        <v>0.36000000000000004</v>
      </c>
    </row>
    <row r="793" spans="1:11" ht="13.9" x14ac:dyDescent="0.3">
      <c r="A793" s="2" t="s">
        <v>663</v>
      </c>
      <c r="B793" s="2">
        <v>0</v>
      </c>
      <c r="C793" s="2">
        <v>0</v>
      </c>
      <c r="D793" s="2">
        <v>0</v>
      </c>
      <c r="E793" s="2">
        <v>0.69</v>
      </c>
      <c r="F793" s="2">
        <v>0.4</v>
      </c>
      <c r="G793" s="2">
        <v>0</v>
      </c>
      <c r="H793" s="2" t="e">
        <f t="shared" si="48"/>
        <v>#NUM!</v>
      </c>
      <c r="I793" s="2">
        <f t="shared" si="49"/>
        <v>0.1434735711166597</v>
      </c>
      <c r="J793" s="2" t="e">
        <f t="shared" si="50"/>
        <v>#NUM!</v>
      </c>
      <c r="K793">
        <f t="shared" si="51"/>
        <v>0.36333333333333329</v>
      </c>
    </row>
    <row r="794" spans="1:11" ht="13.9" x14ac:dyDescent="0.3">
      <c r="A794" s="2" t="s">
        <v>198</v>
      </c>
      <c r="B794" s="2">
        <v>0</v>
      </c>
      <c r="C794" s="2">
        <v>0</v>
      </c>
      <c r="D794" s="2">
        <v>0</v>
      </c>
      <c r="E794" s="2">
        <v>1.0900000000000001</v>
      </c>
      <c r="F794" s="2">
        <v>0</v>
      </c>
      <c r="G794" s="2">
        <v>0</v>
      </c>
      <c r="H794" s="2" t="e">
        <f t="shared" si="48"/>
        <v>#NUM!</v>
      </c>
      <c r="I794" s="2">
        <f t="shared" si="49"/>
        <v>0.37390096630005903</v>
      </c>
      <c r="J794" s="2" t="e">
        <f t="shared" si="50"/>
        <v>#NUM!</v>
      </c>
      <c r="K794">
        <f t="shared" si="51"/>
        <v>0.36333333333333334</v>
      </c>
    </row>
    <row r="795" spans="1:11" ht="13.9" x14ac:dyDescent="0.3">
      <c r="A795" s="2" t="s">
        <v>245</v>
      </c>
      <c r="B795" s="2">
        <v>0</v>
      </c>
      <c r="C795" s="2">
        <v>0</v>
      </c>
      <c r="D795" s="2">
        <v>0</v>
      </c>
      <c r="E795" s="2">
        <v>1.0900000000000001</v>
      </c>
      <c r="F795" s="2">
        <v>0</v>
      </c>
      <c r="G795" s="2">
        <v>0</v>
      </c>
      <c r="H795" s="2" t="e">
        <f t="shared" si="48"/>
        <v>#NUM!</v>
      </c>
      <c r="I795" s="2">
        <f t="shared" si="49"/>
        <v>0.37390096630005903</v>
      </c>
      <c r="J795" s="2" t="e">
        <f t="shared" si="50"/>
        <v>#NUM!</v>
      </c>
      <c r="K795">
        <f t="shared" si="51"/>
        <v>0.36333333333333334</v>
      </c>
    </row>
    <row r="796" spans="1:11" ht="13.9" x14ac:dyDescent="0.3">
      <c r="A796" s="2" t="s">
        <v>707</v>
      </c>
      <c r="B796" s="2">
        <v>0</v>
      </c>
      <c r="C796" s="2">
        <v>0</v>
      </c>
      <c r="D796" s="2">
        <v>0</v>
      </c>
      <c r="E796" s="2">
        <v>0</v>
      </c>
      <c r="F796" s="2">
        <v>0.27</v>
      </c>
      <c r="G796" s="2">
        <v>0.84</v>
      </c>
      <c r="H796" s="2" t="e">
        <f t="shared" si="48"/>
        <v>#NUM!</v>
      </c>
      <c r="I796" s="2">
        <f t="shared" si="49"/>
        <v>0.20937694898279027</v>
      </c>
      <c r="J796" s="2" t="e">
        <f t="shared" si="50"/>
        <v>#NUM!</v>
      </c>
      <c r="K796">
        <f t="shared" si="51"/>
        <v>0.36999999999999994</v>
      </c>
    </row>
    <row r="797" spans="1:11" ht="13.9" x14ac:dyDescent="0.3">
      <c r="A797" s="2" t="s">
        <v>732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1.1599999999999999</v>
      </c>
      <c r="H797" s="2" t="e">
        <f t="shared" si="48"/>
        <v>#NUM!</v>
      </c>
      <c r="I797" s="2">
        <f t="shared" si="49"/>
        <v>0.37390096630005903</v>
      </c>
      <c r="J797" s="2" t="e">
        <f t="shared" si="50"/>
        <v>#NUM!</v>
      </c>
      <c r="K797">
        <f t="shared" si="51"/>
        <v>0.38666666666666666</v>
      </c>
    </row>
    <row r="798" spans="1:11" ht="13.9" x14ac:dyDescent="0.3">
      <c r="A798" s="2" t="s">
        <v>67</v>
      </c>
      <c r="B798" s="2">
        <v>0</v>
      </c>
      <c r="C798" s="2">
        <v>0</v>
      </c>
      <c r="D798" s="2">
        <v>0</v>
      </c>
      <c r="E798" s="2">
        <v>1.18</v>
      </c>
      <c r="F798" s="2">
        <v>0</v>
      </c>
      <c r="G798" s="2">
        <v>0</v>
      </c>
      <c r="H798" s="2" t="e">
        <f t="shared" si="48"/>
        <v>#NUM!</v>
      </c>
      <c r="I798" s="2">
        <f t="shared" si="49"/>
        <v>0.37390096630005903</v>
      </c>
      <c r="J798" s="2" t="e">
        <f t="shared" si="50"/>
        <v>#NUM!</v>
      </c>
      <c r="K798">
        <f t="shared" si="51"/>
        <v>0.39333333333333331</v>
      </c>
    </row>
    <row r="799" spans="1:11" ht="13.9" x14ac:dyDescent="0.3">
      <c r="A799" s="2" t="s">
        <v>125</v>
      </c>
      <c r="B799" s="2">
        <v>0</v>
      </c>
      <c r="C799" s="2">
        <v>0</v>
      </c>
      <c r="D799" s="2">
        <v>0</v>
      </c>
      <c r="E799" s="2">
        <v>1.18</v>
      </c>
      <c r="F799" s="2">
        <v>0</v>
      </c>
      <c r="G799" s="2">
        <v>0</v>
      </c>
      <c r="H799" s="2" t="e">
        <f t="shared" si="48"/>
        <v>#NUM!</v>
      </c>
      <c r="I799" s="2">
        <f t="shared" si="49"/>
        <v>0.37390096630005903</v>
      </c>
      <c r="J799" s="2" t="e">
        <f t="shared" si="50"/>
        <v>#NUM!</v>
      </c>
      <c r="K799">
        <f t="shared" si="51"/>
        <v>0.39333333333333331</v>
      </c>
    </row>
    <row r="800" spans="1:11" ht="13.9" x14ac:dyDescent="0.3">
      <c r="A800" s="2" t="s">
        <v>492</v>
      </c>
      <c r="B800" s="2">
        <v>0</v>
      </c>
      <c r="C800" s="2">
        <v>0</v>
      </c>
      <c r="D800" s="2">
        <v>0</v>
      </c>
      <c r="E800" s="2">
        <v>1.18</v>
      </c>
      <c r="F800" s="2">
        <v>0</v>
      </c>
      <c r="G800" s="2">
        <v>0</v>
      </c>
      <c r="H800" s="2" t="e">
        <f t="shared" si="48"/>
        <v>#NUM!</v>
      </c>
      <c r="I800" s="2">
        <f t="shared" si="49"/>
        <v>0.37390096630005903</v>
      </c>
      <c r="J800" s="2" t="e">
        <f t="shared" si="50"/>
        <v>#NUM!</v>
      </c>
      <c r="K800">
        <f t="shared" si="51"/>
        <v>0.39333333333333331</v>
      </c>
    </row>
    <row r="801" spans="1:11" ht="13.9" x14ac:dyDescent="0.3">
      <c r="A801" s="2" t="s">
        <v>554</v>
      </c>
      <c r="B801" s="2">
        <v>0</v>
      </c>
      <c r="C801" s="2">
        <v>0</v>
      </c>
      <c r="D801" s="2">
        <v>0</v>
      </c>
      <c r="E801" s="2">
        <v>1.18</v>
      </c>
      <c r="F801" s="2">
        <v>0</v>
      </c>
      <c r="G801" s="2">
        <v>0</v>
      </c>
      <c r="H801" s="2" t="e">
        <f t="shared" si="48"/>
        <v>#NUM!</v>
      </c>
      <c r="I801" s="2">
        <f t="shared" si="49"/>
        <v>0.37390096630005903</v>
      </c>
      <c r="J801" s="2" t="e">
        <f t="shared" si="50"/>
        <v>#NUM!</v>
      </c>
      <c r="K801">
        <f t="shared" si="51"/>
        <v>0.39333333333333331</v>
      </c>
    </row>
    <row r="802" spans="1:11" ht="13.9" x14ac:dyDescent="0.3">
      <c r="A802" s="2" t="s">
        <v>539</v>
      </c>
      <c r="B802" s="2">
        <v>0</v>
      </c>
      <c r="C802" s="2">
        <v>0</v>
      </c>
      <c r="D802" s="2">
        <v>0</v>
      </c>
      <c r="E802" s="2">
        <v>0</v>
      </c>
      <c r="F802" s="2">
        <v>1.07</v>
      </c>
      <c r="G802" s="2">
        <v>0.11</v>
      </c>
      <c r="H802" s="2" t="e">
        <f t="shared" si="48"/>
        <v>#NUM!</v>
      </c>
      <c r="I802" s="2">
        <f t="shared" si="49"/>
        <v>0.31148793307493639</v>
      </c>
      <c r="J802" s="2" t="e">
        <f t="shared" si="50"/>
        <v>#NUM!</v>
      </c>
      <c r="K802">
        <f t="shared" si="51"/>
        <v>0.39333333333333337</v>
      </c>
    </row>
    <row r="803" spans="1:11" ht="13.9" x14ac:dyDescent="0.3">
      <c r="A803" s="2" t="s">
        <v>529</v>
      </c>
      <c r="B803" s="2">
        <v>0</v>
      </c>
      <c r="C803" s="2">
        <v>0</v>
      </c>
      <c r="D803" s="2">
        <v>0</v>
      </c>
      <c r="E803" s="2">
        <v>0</v>
      </c>
      <c r="F803" s="2">
        <v>1.2</v>
      </c>
      <c r="G803" s="2">
        <v>0</v>
      </c>
      <c r="H803" s="2" t="e">
        <f t="shared" si="48"/>
        <v>#NUM!</v>
      </c>
      <c r="I803" s="2">
        <f t="shared" si="49"/>
        <v>0.37390096630005903</v>
      </c>
      <c r="J803" s="2" t="e">
        <f t="shared" si="50"/>
        <v>#NUM!</v>
      </c>
      <c r="K803">
        <f t="shared" si="51"/>
        <v>0.39999999999999997</v>
      </c>
    </row>
    <row r="804" spans="1:11" ht="13.9" x14ac:dyDescent="0.3">
      <c r="A804" s="2" t="s">
        <v>546</v>
      </c>
      <c r="B804" s="2">
        <v>0</v>
      </c>
      <c r="C804" s="2">
        <v>0</v>
      </c>
      <c r="D804" s="2">
        <v>0</v>
      </c>
      <c r="E804" s="2">
        <v>0</v>
      </c>
      <c r="F804" s="2">
        <v>1.2</v>
      </c>
      <c r="G804" s="2">
        <v>0</v>
      </c>
      <c r="H804" s="2" t="e">
        <f t="shared" si="48"/>
        <v>#NUM!</v>
      </c>
      <c r="I804" s="2">
        <f t="shared" si="49"/>
        <v>0.37390096630005903</v>
      </c>
      <c r="J804" s="2" t="e">
        <f t="shared" si="50"/>
        <v>#NUM!</v>
      </c>
      <c r="K804">
        <f t="shared" si="51"/>
        <v>0.39999999999999997</v>
      </c>
    </row>
    <row r="805" spans="1:11" ht="13.9" x14ac:dyDescent="0.3">
      <c r="A805" s="2" t="s">
        <v>420</v>
      </c>
      <c r="B805" s="2">
        <v>0</v>
      </c>
      <c r="C805" s="2">
        <v>0</v>
      </c>
      <c r="D805" s="2">
        <v>0</v>
      </c>
      <c r="E805" s="2">
        <v>0</v>
      </c>
      <c r="F805" s="2">
        <v>0.67</v>
      </c>
      <c r="G805" s="2">
        <v>0.53</v>
      </c>
      <c r="H805" s="2" t="e">
        <f t="shared" si="48"/>
        <v>#NUM!</v>
      </c>
      <c r="I805" s="2">
        <f t="shared" si="49"/>
        <v>0.12150223124498691</v>
      </c>
      <c r="J805" s="2" t="e">
        <f t="shared" si="50"/>
        <v>#NUM!</v>
      </c>
      <c r="K805">
        <f t="shared" si="51"/>
        <v>0.40000000000000008</v>
      </c>
    </row>
    <row r="806" spans="1:11" ht="13.9" x14ac:dyDescent="0.3">
      <c r="A806" s="2" t="s">
        <v>154</v>
      </c>
      <c r="B806" s="2">
        <v>0</v>
      </c>
      <c r="C806" s="2">
        <v>0</v>
      </c>
      <c r="D806" s="2">
        <v>0</v>
      </c>
      <c r="E806" s="2">
        <v>0.59</v>
      </c>
      <c r="F806" s="2">
        <v>0</v>
      </c>
      <c r="G806" s="2">
        <v>0.63</v>
      </c>
      <c r="H806" s="2" t="e">
        <f t="shared" si="48"/>
        <v>#NUM!</v>
      </c>
      <c r="I806" s="2">
        <f t="shared" si="49"/>
        <v>0.11654392153981484</v>
      </c>
      <c r="J806" s="2" t="e">
        <f t="shared" si="50"/>
        <v>#NUM!</v>
      </c>
      <c r="K806">
        <f t="shared" si="51"/>
        <v>0.40666666666666668</v>
      </c>
    </row>
    <row r="807" spans="1:11" ht="13.9" x14ac:dyDescent="0.3">
      <c r="A807" s="2" t="s">
        <v>342</v>
      </c>
      <c r="B807" s="2">
        <v>0</v>
      </c>
      <c r="C807" s="2">
        <v>0</v>
      </c>
      <c r="D807" s="2">
        <v>0</v>
      </c>
      <c r="E807" s="2">
        <v>0</v>
      </c>
      <c r="F807" s="2">
        <v>0.8</v>
      </c>
      <c r="G807" s="2">
        <v>0.42</v>
      </c>
      <c r="H807" s="2" t="e">
        <f t="shared" si="48"/>
        <v>#NUM!</v>
      </c>
      <c r="I807" s="2">
        <f t="shared" si="49"/>
        <v>0.15318372414612758</v>
      </c>
      <c r="J807" s="2" t="e">
        <f t="shared" si="50"/>
        <v>#NUM!</v>
      </c>
      <c r="K807">
        <f t="shared" si="51"/>
        <v>0.40666666666666668</v>
      </c>
    </row>
    <row r="808" spans="1:11" ht="13.9" x14ac:dyDescent="0.3">
      <c r="A808" s="2" t="s">
        <v>854</v>
      </c>
      <c r="B808" s="2">
        <v>0</v>
      </c>
      <c r="C808" s="2">
        <v>0</v>
      </c>
      <c r="D808" s="2">
        <v>0</v>
      </c>
      <c r="E808" s="2">
        <v>0.39</v>
      </c>
      <c r="F808" s="2">
        <v>0.53</v>
      </c>
      <c r="G808" s="2">
        <v>0.32</v>
      </c>
      <c r="H808" s="2" t="e">
        <f t="shared" si="48"/>
        <v>#NUM!</v>
      </c>
      <c r="I808" s="2">
        <f t="shared" si="49"/>
        <v>2.5886671395731684E-3</v>
      </c>
      <c r="J808" s="2" t="e">
        <f t="shared" si="50"/>
        <v>#NUM!</v>
      </c>
      <c r="K808">
        <f t="shared" si="51"/>
        <v>0.41333333333333333</v>
      </c>
    </row>
    <row r="809" spans="1:11" ht="13.9" x14ac:dyDescent="0.3">
      <c r="A809" s="2" t="s">
        <v>936</v>
      </c>
      <c r="B809" s="2">
        <v>0</v>
      </c>
      <c r="C809" s="2">
        <v>0</v>
      </c>
      <c r="D809" s="2">
        <v>0</v>
      </c>
      <c r="E809" s="2">
        <v>0.3</v>
      </c>
      <c r="F809" s="2">
        <v>0.94</v>
      </c>
      <c r="G809" s="2">
        <v>0</v>
      </c>
      <c r="H809" s="2" t="e">
        <f t="shared" si="48"/>
        <v>#NUM!</v>
      </c>
      <c r="I809" s="2">
        <f t="shared" si="49"/>
        <v>0.21020970572113021</v>
      </c>
      <c r="J809" s="2" t="e">
        <f t="shared" si="50"/>
        <v>#NUM!</v>
      </c>
      <c r="K809">
        <f t="shared" si="51"/>
        <v>0.41333333333333333</v>
      </c>
    </row>
    <row r="810" spans="1:11" ht="13.9" x14ac:dyDescent="0.3">
      <c r="A810" s="2" t="s">
        <v>449</v>
      </c>
      <c r="B810" s="2">
        <v>0</v>
      </c>
      <c r="C810" s="2">
        <v>0</v>
      </c>
      <c r="D810" s="2">
        <v>0</v>
      </c>
      <c r="E810" s="2">
        <v>0.59</v>
      </c>
      <c r="F810" s="2">
        <v>0.67</v>
      </c>
      <c r="G810" s="2">
        <v>0</v>
      </c>
      <c r="H810" s="2" t="e">
        <f t="shared" si="48"/>
        <v>#NUM!</v>
      </c>
      <c r="I810" s="2">
        <f t="shared" si="49"/>
        <v>0.11771750432170748</v>
      </c>
      <c r="J810" s="2" t="e">
        <f t="shared" si="50"/>
        <v>#NUM!</v>
      </c>
      <c r="K810">
        <f t="shared" si="51"/>
        <v>0.42</v>
      </c>
    </row>
    <row r="811" spans="1:11" ht="13.9" x14ac:dyDescent="0.3">
      <c r="A811" s="2" t="s">
        <v>796</v>
      </c>
      <c r="B811" s="2">
        <v>0</v>
      </c>
      <c r="C811" s="2">
        <v>0</v>
      </c>
      <c r="D811" s="2">
        <v>0</v>
      </c>
      <c r="E811" s="2">
        <v>0</v>
      </c>
      <c r="F811" s="2">
        <v>0.94</v>
      </c>
      <c r="G811" s="2">
        <v>0.32</v>
      </c>
      <c r="H811" s="2" t="e">
        <f t="shared" si="48"/>
        <v>#NUM!</v>
      </c>
      <c r="I811" s="2">
        <f t="shared" si="49"/>
        <v>0.2026245170526938</v>
      </c>
      <c r="J811" s="2" t="e">
        <f t="shared" si="50"/>
        <v>#NUM!</v>
      </c>
      <c r="K811">
        <f t="shared" si="51"/>
        <v>0.42</v>
      </c>
    </row>
    <row r="812" spans="1:11" ht="13.9" x14ac:dyDescent="0.3">
      <c r="A812" s="2" t="s">
        <v>870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1.26</v>
      </c>
      <c r="H812" s="2" t="e">
        <f t="shared" si="48"/>
        <v>#NUM!</v>
      </c>
      <c r="I812" s="2">
        <f t="shared" si="49"/>
        <v>0.37390096630005903</v>
      </c>
      <c r="J812" s="2" t="e">
        <f t="shared" si="50"/>
        <v>#NUM!</v>
      </c>
      <c r="K812">
        <f t="shared" si="51"/>
        <v>0.42</v>
      </c>
    </row>
    <row r="813" spans="1:11" ht="13.9" x14ac:dyDescent="0.3">
      <c r="A813" s="2" t="s">
        <v>60</v>
      </c>
      <c r="B813" s="2">
        <v>0</v>
      </c>
      <c r="C813" s="2">
        <v>0</v>
      </c>
      <c r="D813" s="2">
        <v>0</v>
      </c>
      <c r="E813" s="2">
        <v>0.39</v>
      </c>
      <c r="F813" s="2">
        <v>0.94</v>
      </c>
      <c r="G813" s="2">
        <v>0</v>
      </c>
      <c r="H813" s="2" t="e">
        <f t="shared" si="48"/>
        <v>#NUM!</v>
      </c>
      <c r="I813" s="2">
        <f t="shared" si="49"/>
        <v>0.17928803003973173</v>
      </c>
      <c r="J813" s="2" t="e">
        <f t="shared" si="50"/>
        <v>#NUM!</v>
      </c>
      <c r="K813">
        <f t="shared" si="51"/>
        <v>0.44333333333333336</v>
      </c>
    </row>
    <row r="814" spans="1:11" ht="13.9" x14ac:dyDescent="0.3">
      <c r="A814" s="2" t="s">
        <v>531</v>
      </c>
      <c r="B814" s="2">
        <v>0</v>
      </c>
      <c r="C814" s="2">
        <v>0</v>
      </c>
      <c r="D814" s="2">
        <v>0</v>
      </c>
      <c r="E814" s="2">
        <v>0.59</v>
      </c>
      <c r="F814" s="2">
        <v>0</v>
      </c>
      <c r="G814" s="2">
        <v>0.74</v>
      </c>
      <c r="H814" s="2" t="e">
        <f t="shared" si="48"/>
        <v>#NUM!</v>
      </c>
      <c r="I814" s="2">
        <f t="shared" si="49"/>
        <v>0.12115128356027027</v>
      </c>
      <c r="J814" s="2" t="e">
        <f t="shared" si="50"/>
        <v>#NUM!</v>
      </c>
      <c r="K814">
        <f t="shared" si="51"/>
        <v>0.44333333333333336</v>
      </c>
    </row>
    <row r="815" spans="1:11" ht="13.9" x14ac:dyDescent="0.3">
      <c r="A815" s="2" t="s">
        <v>757</v>
      </c>
      <c r="B815" s="2">
        <v>0</v>
      </c>
      <c r="C815" s="2">
        <v>0</v>
      </c>
      <c r="D815" s="2">
        <v>0</v>
      </c>
      <c r="E815" s="2">
        <v>0</v>
      </c>
      <c r="F815" s="2">
        <v>1.34</v>
      </c>
      <c r="G815" s="2">
        <v>0</v>
      </c>
      <c r="H815" s="2" t="e">
        <f t="shared" si="48"/>
        <v>#NUM!</v>
      </c>
      <c r="I815" s="2">
        <f t="shared" si="49"/>
        <v>0.37390096630005903</v>
      </c>
      <c r="J815" s="2" t="e">
        <f t="shared" si="50"/>
        <v>#NUM!</v>
      </c>
      <c r="K815">
        <f t="shared" si="51"/>
        <v>0.44666666666666671</v>
      </c>
    </row>
    <row r="816" spans="1:11" ht="13.9" x14ac:dyDescent="0.3">
      <c r="A816" s="2" t="s">
        <v>720</v>
      </c>
      <c r="B816" s="2">
        <v>0</v>
      </c>
      <c r="C816" s="2">
        <v>0</v>
      </c>
      <c r="D816" s="2">
        <v>0</v>
      </c>
      <c r="E816" s="2">
        <v>0.3</v>
      </c>
      <c r="F816" s="2">
        <v>0.53</v>
      </c>
      <c r="G816" s="2">
        <v>0.53</v>
      </c>
      <c r="H816" s="2" t="e">
        <f t="shared" si="48"/>
        <v>#NUM!</v>
      </c>
      <c r="I816" s="2">
        <f t="shared" si="49"/>
        <v>4.0956736627444906E-3</v>
      </c>
      <c r="J816" s="2" t="e">
        <f t="shared" si="50"/>
        <v>#NUM!</v>
      </c>
      <c r="K816">
        <f t="shared" si="51"/>
        <v>0.45333333333333337</v>
      </c>
    </row>
    <row r="817" spans="1:11" ht="13.9" x14ac:dyDescent="0.3">
      <c r="A817" s="2" t="s">
        <v>819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1.37</v>
      </c>
      <c r="H817" s="2" t="e">
        <f t="shared" si="48"/>
        <v>#NUM!</v>
      </c>
      <c r="I817" s="2">
        <f t="shared" si="49"/>
        <v>0.37390096630005903</v>
      </c>
      <c r="J817" s="2" t="e">
        <f t="shared" si="50"/>
        <v>#NUM!</v>
      </c>
      <c r="K817">
        <f t="shared" si="51"/>
        <v>0.45666666666666672</v>
      </c>
    </row>
    <row r="818" spans="1:11" ht="13.9" x14ac:dyDescent="0.3">
      <c r="A818" s="2" t="s">
        <v>266</v>
      </c>
      <c r="B818" s="2">
        <v>0</v>
      </c>
      <c r="C818" s="2">
        <v>0</v>
      </c>
      <c r="D818" s="2">
        <v>0</v>
      </c>
      <c r="E818" s="2">
        <v>1.38</v>
      </c>
      <c r="F818" s="2">
        <v>0</v>
      </c>
      <c r="G818" s="2">
        <v>0</v>
      </c>
      <c r="H818" s="2" t="e">
        <f t="shared" si="48"/>
        <v>#NUM!</v>
      </c>
      <c r="I818" s="2">
        <f t="shared" si="49"/>
        <v>0.37390096630005903</v>
      </c>
      <c r="J818" s="2" t="e">
        <f t="shared" si="50"/>
        <v>#NUM!</v>
      </c>
      <c r="K818">
        <f t="shared" si="51"/>
        <v>0.45999999999999996</v>
      </c>
    </row>
    <row r="819" spans="1:11" ht="13.9" x14ac:dyDescent="0.3">
      <c r="A819" s="2" t="s">
        <v>705</v>
      </c>
      <c r="B819" s="2">
        <v>0</v>
      </c>
      <c r="C819" s="2">
        <v>0</v>
      </c>
      <c r="D819" s="2">
        <v>0</v>
      </c>
      <c r="E819" s="2">
        <v>1.38</v>
      </c>
      <c r="F819" s="2">
        <v>0</v>
      </c>
      <c r="G819" s="2">
        <v>0</v>
      </c>
      <c r="H819" s="2" t="e">
        <f t="shared" si="48"/>
        <v>#NUM!</v>
      </c>
      <c r="I819" s="2">
        <f t="shared" si="49"/>
        <v>0.37390096630005903</v>
      </c>
      <c r="J819" s="2" t="e">
        <f t="shared" si="50"/>
        <v>#NUM!</v>
      </c>
      <c r="K819">
        <f t="shared" si="51"/>
        <v>0.45999999999999996</v>
      </c>
    </row>
    <row r="820" spans="1:11" ht="13.9" x14ac:dyDescent="0.3">
      <c r="A820" s="2" t="s">
        <v>570</v>
      </c>
      <c r="B820" s="2">
        <v>0</v>
      </c>
      <c r="C820" s="2">
        <v>0</v>
      </c>
      <c r="D820" s="2">
        <v>0</v>
      </c>
      <c r="E820" s="2">
        <v>0.3</v>
      </c>
      <c r="F820" s="2">
        <v>0.67</v>
      </c>
      <c r="G820" s="2">
        <v>0.42</v>
      </c>
      <c r="H820" s="2" t="e">
        <f t="shared" si="48"/>
        <v>#NUM!</v>
      </c>
      <c r="I820" s="2">
        <f t="shared" si="49"/>
        <v>1.3144004309966744E-2</v>
      </c>
      <c r="J820" s="2" t="e">
        <f t="shared" si="50"/>
        <v>#NUM!</v>
      </c>
      <c r="K820">
        <f t="shared" si="51"/>
        <v>0.46333333333333332</v>
      </c>
    </row>
    <row r="821" spans="1:11" ht="13.9" x14ac:dyDescent="0.3">
      <c r="A821" s="2" t="s">
        <v>873</v>
      </c>
      <c r="B821" s="2">
        <v>0</v>
      </c>
      <c r="C821" s="2">
        <v>0</v>
      </c>
      <c r="D821" s="2">
        <v>0</v>
      </c>
      <c r="E821" s="2">
        <v>0.99</v>
      </c>
      <c r="F821" s="2">
        <v>0.4</v>
      </c>
      <c r="G821" s="2">
        <v>0</v>
      </c>
      <c r="H821" s="2" t="e">
        <f t="shared" si="48"/>
        <v>#NUM!</v>
      </c>
      <c r="I821" s="2">
        <f t="shared" si="49"/>
        <v>0.18238737220540271</v>
      </c>
      <c r="J821" s="2" t="e">
        <f t="shared" si="50"/>
        <v>#NUM!</v>
      </c>
      <c r="K821">
        <f t="shared" si="51"/>
        <v>0.46333333333333337</v>
      </c>
    </row>
    <row r="822" spans="1:11" ht="13.9" x14ac:dyDescent="0.3">
      <c r="A822" s="2" t="s">
        <v>891</v>
      </c>
      <c r="B822" s="2">
        <v>0</v>
      </c>
      <c r="C822" s="2">
        <v>0</v>
      </c>
      <c r="D822" s="2">
        <v>0</v>
      </c>
      <c r="E822" s="2">
        <v>0.59</v>
      </c>
      <c r="F822" s="2">
        <v>0.4</v>
      </c>
      <c r="G822" s="2">
        <v>0.42</v>
      </c>
      <c r="H822" s="2" t="e">
        <f t="shared" si="48"/>
        <v>#NUM!</v>
      </c>
      <c r="I822" s="2">
        <f t="shared" si="49"/>
        <v>1.4594476435095675E-3</v>
      </c>
      <c r="J822" s="2" t="e">
        <f t="shared" si="50"/>
        <v>#NUM!</v>
      </c>
      <c r="K822">
        <f t="shared" si="51"/>
        <v>0.47</v>
      </c>
    </row>
    <row r="823" spans="1:11" ht="13.9" x14ac:dyDescent="0.3">
      <c r="A823" s="2" t="s">
        <v>161</v>
      </c>
      <c r="B823" s="2">
        <v>0</v>
      </c>
      <c r="C823" s="2">
        <v>0</v>
      </c>
      <c r="D823" s="2">
        <v>0</v>
      </c>
      <c r="E823" s="2">
        <v>0.49</v>
      </c>
      <c r="F823" s="2">
        <v>0.67</v>
      </c>
      <c r="G823" s="2">
        <v>0.32</v>
      </c>
      <c r="H823" s="2" t="e">
        <f t="shared" si="48"/>
        <v>#NUM!</v>
      </c>
      <c r="I823" s="2">
        <f t="shared" si="49"/>
        <v>8.1484478837361204E-3</v>
      </c>
      <c r="J823" s="2" t="e">
        <f t="shared" si="50"/>
        <v>#NUM!</v>
      </c>
      <c r="K823">
        <f t="shared" si="51"/>
        <v>0.4933333333333334</v>
      </c>
    </row>
    <row r="824" spans="1:11" ht="13.9" x14ac:dyDescent="0.3">
      <c r="A824" s="2" t="s">
        <v>527</v>
      </c>
      <c r="B824" s="2">
        <v>0</v>
      </c>
      <c r="C824" s="2">
        <v>0</v>
      </c>
      <c r="D824" s="2">
        <v>0</v>
      </c>
      <c r="E824" s="2">
        <v>1.0900000000000001</v>
      </c>
      <c r="F824" s="2">
        <v>0.4</v>
      </c>
      <c r="G824" s="2">
        <v>0</v>
      </c>
      <c r="H824" s="2" t="e">
        <f t="shared" si="48"/>
        <v>#NUM!</v>
      </c>
      <c r="I824" s="2">
        <f t="shared" si="49"/>
        <v>0.19374132372085301</v>
      </c>
      <c r="J824" s="2" t="e">
        <f t="shared" si="50"/>
        <v>#NUM!</v>
      </c>
      <c r="K824">
        <f t="shared" si="51"/>
        <v>0.49666666666666676</v>
      </c>
    </row>
    <row r="825" spans="1:11" ht="13.9" x14ac:dyDescent="0.3">
      <c r="A825" s="2" t="s">
        <v>413</v>
      </c>
      <c r="B825" s="2">
        <v>0</v>
      </c>
      <c r="C825" s="2">
        <v>0</v>
      </c>
      <c r="D825" s="2">
        <v>0</v>
      </c>
      <c r="E825" s="2">
        <v>0</v>
      </c>
      <c r="F825" s="2">
        <v>1.34</v>
      </c>
      <c r="G825" s="2">
        <v>0.21</v>
      </c>
      <c r="H825" s="2" t="e">
        <f t="shared" si="48"/>
        <v>#NUM!</v>
      </c>
      <c r="I825" s="2">
        <f t="shared" si="49"/>
        <v>0.28219207781394706</v>
      </c>
      <c r="J825" s="2" t="e">
        <f t="shared" si="50"/>
        <v>#NUM!</v>
      </c>
      <c r="K825">
        <f t="shared" si="51"/>
        <v>0.51666666666666672</v>
      </c>
    </row>
    <row r="826" spans="1:11" ht="13.9" x14ac:dyDescent="0.3">
      <c r="A826" s="2" t="s">
        <v>259</v>
      </c>
      <c r="B826" s="2">
        <v>0</v>
      </c>
      <c r="C826" s="2">
        <v>0</v>
      </c>
      <c r="D826" s="2">
        <v>0</v>
      </c>
      <c r="E826" s="2">
        <v>1.58</v>
      </c>
      <c r="F826" s="2">
        <v>0</v>
      </c>
      <c r="G826" s="2">
        <v>0</v>
      </c>
      <c r="H826" s="2" t="e">
        <f t="shared" si="48"/>
        <v>#NUM!</v>
      </c>
      <c r="I826" s="2">
        <f t="shared" si="49"/>
        <v>0.37390096630005903</v>
      </c>
      <c r="J826" s="2" t="e">
        <f t="shared" si="50"/>
        <v>#NUM!</v>
      </c>
      <c r="K826">
        <f t="shared" si="51"/>
        <v>0.52666666666666673</v>
      </c>
    </row>
    <row r="827" spans="1:11" ht="13.9" x14ac:dyDescent="0.3">
      <c r="A827" s="2" t="s">
        <v>584</v>
      </c>
      <c r="B827" s="2">
        <v>0</v>
      </c>
      <c r="C827" s="2">
        <v>0</v>
      </c>
      <c r="D827" s="2">
        <v>0</v>
      </c>
      <c r="E827" s="2">
        <v>0.1</v>
      </c>
      <c r="F827" s="2">
        <v>0.53</v>
      </c>
      <c r="G827" s="2">
        <v>0.95</v>
      </c>
      <c r="H827" s="2" t="e">
        <f t="shared" si="48"/>
        <v>#NUM!</v>
      </c>
      <c r="I827" s="2">
        <f t="shared" si="49"/>
        <v>9.8385427660993979E-2</v>
      </c>
      <c r="J827" s="2" t="e">
        <f t="shared" si="50"/>
        <v>#NUM!</v>
      </c>
      <c r="K827">
        <f t="shared" si="51"/>
        <v>0.52666666666666673</v>
      </c>
    </row>
    <row r="828" spans="1:11" ht="13.9" x14ac:dyDescent="0.3">
      <c r="A828" s="2" t="s">
        <v>582</v>
      </c>
      <c r="B828" s="2">
        <v>0</v>
      </c>
      <c r="C828" s="2">
        <v>0</v>
      </c>
      <c r="D828" s="2">
        <v>0</v>
      </c>
      <c r="E828" s="2">
        <v>0</v>
      </c>
      <c r="F828" s="2">
        <v>1.6</v>
      </c>
      <c r="G828" s="2">
        <v>0</v>
      </c>
      <c r="H828" s="2" t="e">
        <f t="shared" si="48"/>
        <v>#NUM!</v>
      </c>
      <c r="I828" s="2">
        <f t="shared" si="49"/>
        <v>0.37390096630005903</v>
      </c>
      <c r="J828" s="2" t="e">
        <f t="shared" si="50"/>
        <v>#NUM!</v>
      </c>
      <c r="K828">
        <f t="shared" si="51"/>
        <v>0.53333333333333333</v>
      </c>
    </row>
    <row r="829" spans="1:11" ht="13.9" x14ac:dyDescent="0.3">
      <c r="A829" s="2" t="s">
        <v>719</v>
      </c>
      <c r="B829" s="2">
        <v>0</v>
      </c>
      <c r="C829" s="2">
        <v>0</v>
      </c>
      <c r="D829" s="2">
        <v>0</v>
      </c>
      <c r="E829" s="2">
        <v>0</v>
      </c>
      <c r="F829" s="2">
        <v>1.6</v>
      </c>
      <c r="G829" s="2">
        <v>0</v>
      </c>
      <c r="H829" s="2" t="e">
        <f t="shared" si="48"/>
        <v>#NUM!</v>
      </c>
      <c r="I829" s="2">
        <f t="shared" si="49"/>
        <v>0.37390096630005903</v>
      </c>
      <c r="J829" s="2" t="e">
        <f t="shared" si="50"/>
        <v>#NUM!</v>
      </c>
      <c r="K829">
        <f t="shared" si="51"/>
        <v>0.53333333333333333</v>
      </c>
    </row>
    <row r="830" spans="1:11" ht="13.9" x14ac:dyDescent="0.3">
      <c r="A830" s="2" t="s">
        <v>523</v>
      </c>
      <c r="B830" s="2">
        <v>0</v>
      </c>
      <c r="C830" s="2">
        <v>0</v>
      </c>
      <c r="D830" s="2">
        <v>0</v>
      </c>
      <c r="E830" s="2">
        <v>1.0900000000000001</v>
      </c>
      <c r="F830" s="2">
        <v>0.53</v>
      </c>
      <c r="G830" s="2">
        <v>0</v>
      </c>
      <c r="H830" s="2" t="e">
        <f t="shared" si="48"/>
        <v>#NUM!</v>
      </c>
      <c r="I830" s="2">
        <f t="shared" si="49"/>
        <v>0.16131413390526517</v>
      </c>
      <c r="J830" s="2" t="e">
        <f t="shared" si="50"/>
        <v>#NUM!</v>
      </c>
      <c r="K830">
        <f t="shared" si="51"/>
        <v>0.54</v>
      </c>
    </row>
    <row r="831" spans="1:11" ht="13.9" x14ac:dyDescent="0.3">
      <c r="A831" s="2" t="s">
        <v>171</v>
      </c>
      <c r="B831" s="2">
        <v>0</v>
      </c>
      <c r="C831" s="2">
        <v>0</v>
      </c>
      <c r="D831" s="2">
        <v>0</v>
      </c>
      <c r="E831" s="2">
        <v>0.59</v>
      </c>
      <c r="F831" s="2">
        <v>0.94</v>
      </c>
      <c r="G831" s="2">
        <v>0.11</v>
      </c>
      <c r="H831" s="2" t="e">
        <f t="shared" si="48"/>
        <v>#NUM!</v>
      </c>
      <c r="I831" s="2">
        <f t="shared" si="49"/>
        <v>8.550966649932086E-2</v>
      </c>
      <c r="J831" s="2" t="e">
        <f t="shared" si="50"/>
        <v>#NUM!</v>
      </c>
      <c r="K831">
        <f t="shared" si="51"/>
        <v>0.54666666666666663</v>
      </c>
    </row>
    <row r="832" spans="1:11" ht="13.9" x14ac:dyDescent="0.3">
      <c r="A832" s="2" t="s">
        <v>222</v>
      </c>
      <c r="B832" s="2">
        <v>0</v>
      </c>
      <c r="C832" s="2">
        <v>0</v>
      </c>
      <c r="D832" s="2">
        <v>0</v>
      </c>
      <c r="E832" s="2">
        <v>1.68</v>
      </c>
      <c r="F832" s="2">
        <v>0</v>
      </c>
      <c r="G832" s="2">
        <v>0</v>
      </c>
      <c r="H832" s="2" t="e">
        <f t="shared" si="48"/>
        <v>#NUM!</v>
      </c>
      <c r="I832" s="2">
        <f t="shared" si="49"/>
        <v>0.37390096630005903</v>
      </c>
      <c r="J832" s="2" t="e">
        <f t="shared" si="50"/>
        <v>#NUM!</v>
      </c>
      <c r="K832">
        <f t="shared" si="51"/>
        <v>0.55999999999999994</v>
      </c>
    </row>
    <row r="833" spans="1:11" ht="13.9" x14ac:dyDescent="0.3">
      <c r="A833" s="2" t="s">
        <v>889</v>
      </c>
      <c r="B833" s="2">
        <v>0</v>
      </c>
      <c r="C833" s="2">
        <v>0</v>
      </c>
      <c r="D833" s="2">
        <v>0</v>
      </c>
      <c r="E833" s="2">
        <v>0.39</v>
      </c>
      <c r="F833" s="2">
        <v>0.13</v>
      </c>
      <c r="G833" s="2">
        <v>1.1599999999999999</v>
      </c>
      <c r="H833" s="2" t="e">
        <f t="shared" si="48"/>
        <v>#NUM!</v>
      </c>
      <c r="I833" s="2">
        <f t="shared" si="49"/>
        <v>0.1444038795773078</v>
      </c>
      <c r="J833" s="2" t="e">
        <f t="shared" si="50"/>
        <v>#NUM!</v>
      </c>
      <c r="K833">
        <f t="shared" si="51"/>
        <v>0.55999999999999994</v>
      </c>
    </row>
    <row r="834" spans="1:11" ht="13.9" x14ac:dyDescent="0.3">
      <c r="A834" s="2" t="s">
        <v>82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1.69</v>
      </c>
      <c r="H834" s="2" t="e">
        <f t="shared" ref="H834:H897" si="52">LOG(SUM(B834:D834)/SUM(E834:G834),2)</f>
        <v>#NUM!</v>
      </c>
      <c r="I834" s="2">
        <f t="shared" ref="I834:I897" si="53">_xlfn.T.TEST(B834:D834,E834:G834,2,2)</f>
        <v>0.37390096630005903</v>
      </c>
      <c r="J834" s="2" t="e">
        <f t="shared" ref="J834:J897" si="54">LOG(SUM(B834:D834),2)</f>
        <v>#NUM!</v>
      </c>
      <c r="K834">
        <f t="shared" ref="K834:K897" si="55">AVERAGE(E834:G834)</f>
        <v>0.56333333333333335</v>
      </c>
    </row>
    <row r="835" spans="1:11" ht="13.9" x14ac:dyDescent="0.3">
      <c r="A835" s="2" t="s">
        <v>241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1.69</v>
      </c>
      <c r="H835" s="2" t="e">
        <f t="shared" si="52"/>
        <v>#NUM!</v>
      </c>
      <c r="I835" s="2">
        <f t="shared" si="53"/>
        <v>0.37390096630005903</v>
      </c>
      <c r="J835" s="2" t="e">
        <f t="shared" si="54"/>
        <v>#NUM!</v>
      </c>
      <c r="K835">
        <f t="shared" si="55"/>
        <v>0.56333333333333335</v>
      </c>
    </row>
    <row r="836" spans="1:11" ht="13.9" x14ac:dyDescent="0.3">
      <c r="A836" s="2" t="s">
        <v>166</v>
      </c>
      <c r="B836" s="2">
        <v>0</v>
      </c>
      <c r="C836" s="2">
        <v>0</v>
      </c>
      <c r="D836" s="2">
        <v>0</v>
      </c>
      <c r="E836" s="2">
        <v>0.2</v>
      </c>
      <c r="F836" s="2">
        <v>0.67</v>
      </c>
      <c r="G836" s="2">
        <v>0.84</v>
      </c>
      <c r="H836" s="2" t="e">
        <f t="shared" si="52"/>
        <v>#NUM!</v>
      </c>
      <c r="I836" s="2">
        <f t="shared" si="53"/>
        <v>4.081627560735069E-2</v>
      </c>
      <c r="J836" s="2" t="e">
        <f t="shared" si="54"/>
        <v>#NUM!</v>
      </c>
      <c r="K836">
        <f t="shared" si="55"/>
        <v>0.56999999999999995</v>
      </c>
    </row>
    <row r="837" spans="1:11" ht="13.9" x14ac:dyDescent="0.3">
      <c r="A837" s="2" t="s">
        <v>517</v>
      </c>
      <c r="B837" s="2">
        <v>0</v>
      </c>
      <c r="C837" s="2">
        <v>0</v>
      </c>
      <c r="D837" s="2">
        <v>0</v>
      </c>
      <c r="E837" s="2">
        <v>0</v>
      </c>
      <c r="F837" s="2">
        <v>1.74</v>
      </c>
      <c r="G837" s="2">
        <v>0</v>
      </c>
      <c r="H837" s="2" t="e">
        <f t="shared" si="52"/>
        <v>#NUM!</v>
      </c>
      <c r="I837" s="2">
        <f t="shared" si="53"/>
        <v>0.37390096630005903</v>
      </c>
      <c r="J837" s="2" t="e">
        <f t="shared" si="54"/>
        <v>#NUM!</v>
      </c>
      <c r="K837">
        <f t="shared" si="55"/>
        <v>0.57999999999999996</v>
      </c>
    </row>
    <row r="838" spans="1:11" ht="13.9" x14ac:dyDescent="0.3">
      <c r="A838" s="2" t="s">
        <v>519</v>
      </c>
      <c r="B838" s="2">
        <v>0</v>
      </c>
      <c r="C838" s="2">
        <v>0</v>
      </c>
      <c r="D838" s="2">
        <v>0</v>
      </c>
      <c r="E838" s="2">
        <v>0</v>
      </c>
      <c r="F838" s="2">
        <v>1.74</v>
      </c>
      <c r="G838" s="2">
        <v>0</v>
      </c>
      <c r="H838" s="2" t="e">
        <f t="shared" si="52"/>
        <v>#NUM!</v>
      </c>
      <c r="I838" s="2">
        <f t="shared" si="53"/>
        <v>0.37390096630005903</v>
      </c>
      <c r="J838" s="2" t="e">
        <f t="shared" si="54"/>
        <v>#NUM!</v>
      </c>
      <c r="K838">
        <f t="shared" si="55"/>
        <v>0.57999999999999996</v>
      </c>
    </row>
    <row r="839" spans="1:11" ht="13.9" x14ac:dyDescent="0.3">
      <c r="A839" s="2" t="s">
        <v>811</v>
      </c>
      <c r="B839" s="2">
        <v>0</v>
      </c>
      <c r="C839" s="2">
        <v>0</v>
      </c>
      <c r="D839" s="2">
        <v>0</v>
      </c>
      <c r="E839" s="2">
        <v>0.69</v>
      </c>
      <c r="F839" s="2">
        <v>1.07</v>
      </c>
      <c r="G839" s="2">
        <v>0</v>
      </c>
      <c r="H839" s="2" t="e">
        <f t="shared" si="52"/>
        <v>#NUM!</v>
      </c>
      <c r="I839" s="2">
        <f t="shared" si="53"/>
        <v>0.13431832993431098</v>
      </c>
      <c r="J839" s="2" t="e">
        <f t="shared" si="54"/>
        <v>#NUM!</v>
      </c>
      <c r="K839">
        <f t="shared" si="55"/>
        <v>0.58666666666666667</v>
      </c>
    </row>
    <row r="840" spans="1:11" ht="13.9" x14ac:dyDescent="0.3">
      <c r="A840" s="2" t="s">
        <v>829</v>
      </c>
      <c r="B840" s="2">
        <v>0</v>
      </c>
      <c r="C840" s="2">
        <v>0</v>
      </c>
      <c r="D840" s="2">
        <v>0</v>
      </c>
      <c r="E840" s="2">
        <v>0.59</v>
      </c>
      <c r="F840" s="2">
        <v>0.13</v>
      </c>
      <c r="G840" s="2">
        <v>1.05</v>
      </c>
      <c r="H840" s="2" t="e">
        <f t="shared" si="52"/>
        <v>#NUM!</v>
      </c>
      <c r="I840" s="2">
        <f t="shared" si="53"/>
        <v>9.0456889047589722E-2</v>
      </c>
      <c r="J840" s="2" t="e">
        <f t="shared" si="54"/>
        <v>#NUM!</v>
      </c>
      <c r="K840">
        <f t="shared" si="55"/>
        <v>0.59</v>
      </c>
    </row>
    <row r="841" spans="1:11" ht="13.9" x14ac:dyDescent="0.3">
      <c r="A841" s="2" t="s">
        <v>403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1.79</v>
      </c>
      <c r="H841" s="2" t="e">
        <f t="shared" si="52"/>
        <v>#NUM!</v>
      </c>
      <c r="I841" s="2">
        <f t="shared" si="53"/>
        <v>0.37390096630005903</v>
      </c>
      <c r="J841" s="2" t="e">
        <f t="shared" si="54"/>
        <v>#NUM!</v>
      </c>
      <c r="K841">
        <f t="shared" si="55"/>
        <v>0.59666666666666668</v>
      </c>
    </row>
    <row r="842" spans="1:11" ht="13.9" x14ac:dyDescent="0.3">
      <c r="A842" s="2" t="s">
        <v>752</v>
      </c>
      <c r="B842" s="2">
        <v>0</v>
      </c>
      <c r="C842" s="2">
        <v>0</v>
      </c>
      <c r="D842" s="2">
        <v>0</v>
      </c>
      <c r="E842" s="2">
        <v>0.69</v>
      </c>
      <c r="F842" s="2">
        <v>0.8</v>
      </c>
      <c r="G842" s="2">
        <v>0.32</v>
      </c>
      <c r="H842" s="2" t="e">
        <f t="shared" si="52"/>
        <v>#NUM!</v>
      </c>
      <c r="I842" s="2">
        <f t="shared" si="53"/>
        <v>1.4194456163939629E-2</v>
      </c>
      <c r="J842" s="2" t="e">
        <f t="shared" si="54"/>
        <v>#NUM!</v>
      </c>
      <c r="K842">
        <f t="shared" si="55"/>
        <v>0.60333333333333339</v>
      </c>
    </row>
    <row r="843" spans="1:11" ht="13.9" x14ac:dyDescent="0.3">
      <c r="A843" s="2" t="s">
        <v>346</v>
      </c>
      <c r="B843" s="2">
        <v>0</v>
      </c>
      <c r="C843" s="2">
        <v>0</v>
      </c>
      <c r="D843" s="2">
        <v>0</v>
      </c>
      <c r="E843" s="2">
        <v>1.48</v>
      </c>
      <c r="F843" s="2">
        <v>0.4</v>
      </c>
      <c r="G843" s="2">
        <v>0</v>
      </c>
      <c r="H843" s="2" t="e">
        <f t="shared" si="52"/>
        <v>#NUM!</v>
      </c>
      <c r="I843" s="2">
        <f t="shared" si="53"/>
        <v>0.22923971816325969</v>
      </c>
      <c r="J843" s="2" t="e">
        <f t="shared" si="54"/>
        <v>#NUM!</v>
      </c>
      <c r="K843">
        <f t="shared" si="55"/>
        <v>0.62666666666666659</v>
      </c>
    </row>
    <row r="844" spans="1:11" ht="13.9" x14ac:dyDescent="0.3">
      <c r="A844" s="2" t="s">
        <v>423</v>
      </c>
      <c r="B844" s="2">
        <v>0</v>
      </c>
      <c r="C844" s="2">
        <v>0</v>
      </c>
      <c r="D844" s="2">
        <v>0</v>
      </c>
      <c r="E844" s="2">
        <v>1.0900000000000001</v>
      </c>
      <c r="F844" s="2">
        <v>0.8</v>
      </c>
      <c r="G844" s="2">
        <v>0</v>
      </c>
      <c r="H844" s="2" t="e">
        <f t="shared" si="52"/>
        <v>#NUM!</v>
      </c>
      <c r="I844" s="2">
        <f t="shared" si="53"/>
        <v>0.12539602686904727</v>
      </c>
      <c r="J844" s="2" t="e">
        <f t="shared" si="54"/>
        <v>#NUM!</v>
      </c>
      <c r="K844">
        <f t="shared" si="55"/>
        <v>0.63</v>
      </c>
    </row>
    <row r="845" spans="1:11" ht="13.9" x14ac:dyDescent="0.3">
      <c r="A845" s="2" t="s">
        <v>685</v>
      </c>
      <c r="B845" s="2">
        <v>0</v>
      </c>
      <c r="C845" s="2">
        <v>0</v>
      </c>
      <c r="D845" s="2">
        <v>0</v>
      </c>
      <c r="E845" s="2">
        <v>0.39</v>
      </c>
      <c r="F845" s="2">
        <v>0.13</v>
      </c>
      <c r="G845" s="2">
        <v>1.37</v>
      </c>
      <c r="H845" s="2" t="e">
        <f t="shared" si="52"/>
        <v>#NUM!</v>
      </c>
      <c r="I845" s="2">
        <f t="shared" si="53"/>
        <v>0.17049807445942508</v>
      </c>
      <c r="J845" s="2" t="e">
        <f t="shared" si="54"/>
        <v>#NUM!</v>
      </c>
      <c r="K845">
        <f t="shared" si="55"/>
        <v>0.63</v>
      </c>
    </row>
    <row r="846" spans="1:11" ht="13.9" x14ac:dyDescent="0.3">
      <c r="A846" s="2" t="s">
        <v>561</v>
      </c>
      <c r="B846" s="2">
        <v>0</v>
      </c>
      <c r="C846" s="2">
        <v>0</v>
      </c>
      <c r="D846" s="2">
        <v>0</v>
      </c>
      <c r="E846" s="2">
        <v>0.39</v>
      </c>
      <c r="F846" s="2">
        <v>1.2</v>
      </c>
      <c r="G846" s="2">
        <v>0.32</v>
      </c>
      <c r="H846" s="2" t="e">
        <f t="shared" si="52"/>
        <v>#NUM!</v>
      </c>
      <c r="I846" s="2">
        <f t="shared" si="53"/>
        <v>8.720373301028353E-2</v>
      </c>
      <c r="J846" s="2" t="e">
        <f t="shared" si="54"/>
        <v>#NUM!</v>
      </c>
      <c r="K846">
        <f t="shared" si="55"/>
        <v>0.6366666666666666</v>
      </c>
    </row>
    <row r="847" spans="1:11" ht="13.9" x14ac:dyDescent="0.3">
      <c r="A847" s="2" t="s">
        <v>595</v>
      </c>
      <c r="B847" s="2">
        <v>0</v>
      </c>
      <c r="C847" s="2">
        <v>0</v>
      </c>
      <c r="D847" s="2">
        <v>0</v>
      </c>
      <c r="E847" s="2">
        <v>1.38</v>
      </c>
      <c r="F847" s="2">
        <v>0</v>
      </c>
      <c r="G847" s="2">
        <v>0.53</v>
      </c>
      <c r="H847" s="2" t="e">
        <f t="shared" si="52"/>
        <v>#NUM!</v>
      </c>
      <c r="I847" s="2">
        <f t="shared" si="53"/>
        <v>0.18835843478770659</v>
      </c>
      <c r="J847" s="2" t="e">
        <f t="shared" si="54"/>
        <v>#NUM!</v>
      </c>
      <c r="K847">
        <f t="shared" si="55"/>
        <v>0.6366666666666666</v>
      </c>
    </row>
    <row r="848" spans="1:11" ht="13.9" x14ac:dyDescent="0.3">
      <c r="A848" s="2" t="s">
        <v>227</v>
      </c>
      <c r="B848" s="2">
        <v>0</v>
      </c>
      <c r="C848" s="2">
        <v>0</v>
      </c>
      <c r="D848" s="2">
        <v>0</v>
      </c>
      <c r="E848" s="2">
        <v>0.79</v>
      </c>
      <c r="F848" s="2">
        <v>0</v>
      </c>
      <c r="G848" s="2">
        <v>1.1599999999999999</v>
      </c>
      <c r="H848" s="2" t="e">
        <f t="shared" si="52"/>
        <v>#NUM!</v>
      </c>
      <c r="I848" s="2">
        <f t="shared" si="53"/>
        <v>0.1302355876437756</v>
      </c>
      <c r="J848" s="2" t="e">
        <f t="shared" si="54"/>
        <v>#NUM!</v>
      </c>
      <c r="K848">
        <f t="shared" si="55"/>
        <v>0.65</v>
      </c>
    </row>
    <row r="849" spans="1:11" ht="13.9" x14ac:dyDescent="0.3">
      <c r="A849" s="2" t="s">
        <v>806</v>
      </c>
      <c r="B849" s="2">
        <v>0</v>
      </c>
      <c r="C849" s="2">
        <v>0</v>
      </c>
      <c r="D849" s="2">
        <v>0</v>
      </c>
      <c r="E849" s="2">
        <v>0.69</v>
      </c>
      <c r="F849" s="2">
        <v>0.94</v>
      </c>
      <c r="G849" s="2">
        <v>0.32</v>
      </c>
      <c r="H849" s="2" t="e">
        <f t="shared" si="52"/>
        <v>#NUM!</v>
      </c>
      <c r="I849" s="2">
        <f t="shared" si="53"/>
        <v>2.2571548002477394E-2</v>
      </c>
      <c r="J849" s="2" t="e">
        <f t="shared" si="54"/>
        <v>#NUM!</v>
      </c>
      <c r="K849">
        <f t="shared" si="55"/>
        <v>0.65</v>
      </c>
    </row>
    <row r="850" spans="1:11" ht="13.9" x14ac:dyDescent="0.3">
      <c r="A850" s="2" t="s">
        <v>450</v>
      </c>
      <c r="B850" s="2">
        <v>0</v>
      </c>
      <c r="C850" s="2">
        <v>0</v>
      </c>
      <c r="D850" s="2">
        <v>0</v>
      </c>
      <c r="E850" s="2">
        <v>0.49</v>
      </c>
      <c r="F850" s="2">
        <v>0</v>
      </c>
      <c r="G850" s="2">
        <v>1.48</v>
      </c>
      <c r="H850" s="2" t="e">
        <f t="shared" si="52"/>
        <v>#NUM!</v>
      </c>
      <c r="I850" s="2">
        <f t="shared" si="53"/>
        <v>0.20590432846867199</v>
      </c>
      <c r="J850" s="2" t="e">
        <f t="shared" si="54"/>
        <v>#NUM!</v>
      </c>
      <c r="K850">
        <f t="shared" si="55"/>
        <v>0.65666666666666662</v>
      </c>
    </row>
    <row r="851" spans="1:11" ht="13.9" x14ac:dyDescent="0.3">
      <c r="A851" s="2" t="s">
        <v>481</v>
      </c>
      <c r="B851" s="2">
        <v>0</v>
      </c>
      <c r="C851" s="2">
        <v>0</v>
      </c>
      <c r="D851" s="2">
        <v>0</v>
      </c>
      <c r="E851" s="2">
        <v>1.58</v>
      </c>
      <c r="F851" s="2">
        <v>0</v>
      </c>
      <c r="G851" s="2">
        <v>0.42</v>
      </c>
      <c r="H851" s="2" t="e">
        <f t="shared" si="52"/>
        <v>#NUM!</v>
      </c>
      <c r="I851" s="2">
        <f t="shared" si="53"/>
        <v>0.23108355581308498</v>
      </c>
      <c r="J851" s="2" t="e">
        <f t="shared" si="54"/>
        <v>#NUM!</v>
      </c>
      <c r="K851">
        <f t="shared" si="55"/>
        <v>0.66666666666666663</v>
      </c>
    </row>
    <row r="852" spans="1:11" ht="13.9" x14ac:dyDescent="0.3">
      <c r="A852" s="2" t="s">
        <v>518</v>
      </c>
      <c r="B852" s="2">
        <v>0</v>
      </c>
      <c r="C852" s="2">
        <v>0</v>
      </c>
      <c r="D852" s="2">
        <v>0</v>
      </c>
      <c r="E852" s="2">
        <v>0</v>
      </c>
      <c r="F852" s="2">
        <v>2.0099999999999998</v>
      </c>
      <c r="G852" s="2">
        <v>0</v>
      </c>
      <c r="H852" s="2" t="e">
        <f t="shared" si="52"/>
        <v>#NUM!</v>
      </c>
      <c r="I852" s="2">
        <f t="shared" si="53"/>
        <v>0.37390096630005903</v>
      </c>
      <c r="J852" s="2" t="e">
        <f t="shared" si="54"/>
        <v>#NUM!</v>
      </c>
      <c r="K852">
        <f t="shared" si="55"/>
        <v>0.66999999999999993</v>
      </c>
    </row>
    <row r="853" spans="1:11" ht="13.9" x14ac:dyDescent="0.3">
      <c r="A853" s="2" t="s">
        <v>917</v>
      </c>
      <c r="B853" s="2">
        <v>0</v>
      </c>
      <c r="C853" s="2">
        <v>0</v>
      </c>
      <c r="D853" s="2">
        <v>0</v>
      </c>
      <c r="E853" s="2">
        <v>0.1</v>
      </c>
      <c r="F853" s="2">
        <v>1.2</v>
      </c>
      <c r="G853" s="2">
        <v>0.74</v>
      </c>
      <c r="H853" s="2" t="e">
        <f t="shared" si="52"/>
        <v>#NUM!</v>
      </c>
      <c r="I853" s="2">
        <f t="shared" si="53"/>
        <v>9.9988250660252603E-2</v>
      </c>
      <c r="J853" s="2" t="e">
        <f t="shared" si="54"/>
        <v>#NUM!</v>
      </c>
      <c r="K853">
        <f t="shared" si="55"/>
        <v>0.68</v>
      </c>
    </row>
    <row r="854" spans="1:11" ht="13.9" x14ac:dyDescent="0.3">
      <c r="A854" s="2" t="s">
        <v>144</v>
      </c>
      <c r="B854" s="2">
        <v>0</v>
      </c>
      <c r="C854" s="2">
        <v>0</v>
      </c>
      <c r="D854" s="2">
        <v>0</v>
      </c>
      <c r="E854" s="2">
        <v>0.89</v>
      </c>
      <c r="F854" s="2">
        <v>0.4</v>
      </c>
      <c r="G854" s="2">
        <v>0.84</v>
      </c>
      <c r="H854" s="2" t="e">
        <f t="shared" si="52"/>
        <v>#NUM!</v>
      </c>
      <c r="I854" s="2">
        <f t="shared" si="53"/>
        <v>1.0331685170671123E-2</v>
      </c>
      <c r="J854" s="2" t="e">
        <f t="shared" si="54"/>
        <v>#NUM!</v>
      </c>
      <c r="K854">
        <f t="shared" si="55"/>
        <v>0.71</v>
      </c>
    </row>
    <row r="855" spans="1:11" ht="13.9" x14ac:dyDescent="0.3">
      <c r="A855" s="2" t="s">
        <v>355</v>
      </c>
      <c r="B855" s="2">
        <v>0</v>
      </c>
      <c r="C855" s="2">
        <v>0</v>
      </c>
      <c r="D855" s="2">
        <v>0</v>
      </c>
      <c r="E855" s="2">
        <v>0.99</v>
      </c>
      <c r="F855" s="2">
        <v>0.4</v>
      </c>
      <c r="G855" s="2">
        <v>0.74</v>
      </c>
      <c r="H855" s="2" t="e">
        <f t="shared" si="52"/>
        <v>#NUM!</v>
      </c>
      <c r="I855" s="2">
        <f t="shared" si="53"/>
        <v>1.4230349545644557E-2</v>
      </c>
      <c r="J855" s="2" t="e">
        <f t="shared" si="54"/>
        <v>#NUM!</v>
      </c>
      <c r="K855">
        <f t="shared" si="55"/>
        <v>0.71</v>
      </c>
    </row>
    <row r="856" spans="1:11" ht="13.9" x14ac:dyDescent="0.3">
      <c r="A856" s="2" t="s">
        <v>437</v>
      </c>
      <c r="B856" s="2">
        <v>0</v>
      </c>
      <c r="C856" s="2">
        <v>0</v>
      </c>
      <c r="D856" s="2">
        <v>0</v>
      </c>
      <c r="E856" s="2">
        <v>0</v>
      </c>
      <c r="F856" s="2">
        <v>2.14</v>
      </c>
      <c r="G856" s="2">
        <v>0</v>
      </c>
      <c r="H856" s="2" t="e">
        <f t="shared" si="52"/>
        <v>#NUM!</v>
      </c>
      <c r="I856" s="2">
        <f t="shared" si="53"/>
        <v>0.37390096630005903</v>
      </c>
      <c r="J856" s="2" t="e">
        <f t="shared" si="54"/>
        <v>#NUM!</v>
      </c>
      <c r="K856">
        <f t="shared" si="55"/>
        <v>0.71333333333333337</v>
      </c>
    </row>
    <row r="857" spans="1:11" ht="13.9" x14ac:dyDescent="0.3">
      <c r="A857" s="2" t="s">
        <v>667</v>
      </c>
      <c r="B857" s="2">
        <v>0</v>
      </c>
      <c r="C857" s="2">
        <v>0</v>
      </c>
      <c r="D857" s="2">
        <v>0</v>
      </c>
      <c r="E857" s="2">
        <v>0.89</v>
      </c>
      <c r="F857" s="2">
        <v>0.67</v>
      </c>
      <c r="G857" s="2">
        <v>0.63</v>
      </c>
      <c r="H857" s="2" t="e">
        <f t="shared" si="52"/>
        <v>#NUM!</v>
      </c>
      <c r="I857" s="2">
        <f t="shared" si="53"/>
        <v>8.3260976632631696E-4</v>
      </c>
      <c r="J857" s="2" t="e">
        <f t="shared" si="54"/>
        <v>#NUM!</v>
      </c>
      <c r="K857">
        <f t="shared" si="55"/>
        <v>0.73</v>
      </c>
    </row>
    <row r="858" spans="1:11" ht="13.9" x14ac:dyDescent="0.3">
      <c r="A858" s="2" t="s">
        <v>907</v>
      </c>
      <c r="B858" s="2">
        <v>0</v>
      </c>
      <c r="C858" s="2">
        <v>0</v>
      </c>
      <c r="D858" s="2">
        <v>0</v>
      </c>
      <c r="E858" s="2">
        <v>1.18</v>
      </c>
      <c r="F858" s="2">
        <v>0.8</v>
      </c>
      <c r="G858" s="2">
        <v>0.21</v>
      </c>
      <c r="H858" s="2" t="e">
        <f t="shared" si="52"/>
        <v>#NUM!</v>
      </c>
      <c r="I858" s="2">
        <f t="shared" si="53"/>
        <v>6.0884188090732552E-2</v>
      </c>
      <c r="J858" s="2" t="e">
        <f t="shared" si="54"/>
        <v>#NUM!</v>
      </c>
      <c r="K858">
        <f t="shared" si="55"/>
        <v>0.73</v>
      </c>
    </row>
    <row r="859" spans="1:11" ht="13.9" x14ac:dyDescent="0.3">
      <c r="A859" s="2" t="s">
        <v>545</v>
      </c>
      <c r="B859" s="2">
        <v>0</v>
      </c>
      <c r="C859" s="2">
        <v>0</v>
      </c>
      <c r="D859" s="2">
        <v>0</v>
      </c>
      <c r="E859" s="2">
        <v>1.58</v>
      </c>
      <c r="F859" s="2">
        <v>0.13</v>
      </c>
      <c r="G859" s="2">
        <v>0.53</v>
      </c>
      <c r="H859" s="2" t="e">
        <f t="shared" si="52"/>
        <v>#NUM!</v>
      </c>
      <c r="I859" s="2">
        <f t="shared" si="53"/>
        <v>0.15925657415627797</v>
      </c>
      <c r="J859" s="2" t="e">
        <f t="shared" si="54"/>
        <v>#NUM!</v>
      </c>
      <c r="K859">
        <f t="shared" si="55"/>
        <v>0.7466666666666667</v>
      </c>
    </row>
    <row r="860" spans="1:11" ht="13.9" x14ac:dyDescent="0.3">
      <c r="A860" s="2" t="s">
        <v>597</v>
      </c>
      <c r="B860" s="2">
        <v>0</v>
      </c>
      <c r="C860" s="2">
        <v>0</v>
      </c>
      <c r="D860" s="2">
        <v>0</v>
      </c>
      <c r="E860" s="2">
        <v>1.0900000000000001</v>
      </c>
      <c r="F860" s="2">
        <v>0.94</v>
      </c>
      <c r="G860" s="2">
        <v>0.21</v>
      </c>
      <c r="H860" s="2" t="e">
        <f t="shared" si="52"/>
        <v>#NUM!</v>
      </c>
      <c r="I860" s="2">
        <f t="shared" si="53"/>
        <v>5.152934400077458E-2</v>
      </c>
      <c r="J860" s="2" t="e">
        <f t="shared" si="54"/>
        <v>#NUM!</v>
      </c>
      <c r="K860">
        <f t="shared" si="55"/>
        <v>0.7466666666666667</v>
      </c>
    </row>
    <row r="861" spans="1:11" ht="13.9" x14ac:dyDescent="0.3">
      <c r="A861" s="2" t="s">
        <v>383</v>
      </c>
      <c r="B861" s="2">
        <v>0</v>
      </c>
      <c r="C861" s="2">
        <v>0</v>
      </c>
      <c r="D861" s="2">
        <v>0</v>
      </c>
      <c r="E861" s="2">
        <v>0.1</v>
      </c>
      <c r="F861" s="2">
        <v>0.8</v>
      </c>
      <c r="G861" s="2">
        <v>1.48</v>
      </c>
      <c r="H861" s="2" t="e">
        <f t="shared" si="52"/>
        <v>#NUM!</v>
      </c>
      <c r="I861" s="2">
        <f t="shared" si="53"/>
        <v>0.11726685761111091</v>
      </c>
      <c r="J861" s="2" t="e">
        <f t="shared" si="54"/>
        <v>#NUM!</v>
      </c>
      <c r="K861">
        <f t="shared" si="55"/>
        <v>0.79333333333333333</v>
      </c>
    </row>
    <row r="862" spans="1:11" ht="13.9" x14ac:dyDescent="0.3">
      <c r="A862" s="2" t="s">
        <v>453</v>
      </c>
      <c r="B862" s="2">
        <v>0</v>
      </c>
      <c r="C862" s="2">
        <v>0</v>
      </c>
      <c r="D862" s="2">
        <v>0</v>
      </c>
      <c r="E862" s="2">
        <v>0</v>
      </c>
      <c r="F862" s="2">
        <v>2.41</v>
      </c>
      <c r="G862" s="2">
        <v>0</v>
      </c>
      <c r="H862" s="2" t="e">
        <f t="shared" si="52"/>
        <v>#NUM!</v>
      </c>
      <c r="I862" s="2">
        <f t="shared" si="53"/>
        <v>0.37390096630005903</v>
      </c>
      <c r="J862" s="2" t="e">
        <f t="shared" si="54"/>
        <v>#NUM!</v>
      </c>
      <c r="K862">
        <f t="shared" si="55"/>
        <v>0.80333333333333334</v>
      </c>
    </row>
    <row r="863" spans="1:11" ht="13.9" x14ac:dyDescent="0.3">
      <c r="A863" s="2" t="s">
        <v>418</v>
      </c>
      <c r="B863" s="2">
        <v>0</v>
      </c>
      <c r="C863" s="2">
        <v>0</v>
      </c>
      <c r="D863" s="2">
        <v>0</v>
      </c>
      <c r="E863" s="2">
        <v>1.38</v>
      </c>
      <c r="F863" s="2">
        <v>0.53</v>
      </c>
      <c r="G863" s="2">
        <v>0.53</v>
      </c>
      <c r="H863" s="2" t="e">
        <f t="shared" si="52"/>
        <v>#NUM!</v>
      </c>
      <c r="I863" s="2">
        <f t="shared" si="53"/>
        <v>4.5441667829238162E-2</v>
      </c>
      <c r="J863" s="2" t="e">
        <f t="shared" si="54"/>
        <v>#NUM!</v>
      </c>
      <c r="K863">
        <f t="shared" si="55"/>
        <v>0.81333333333333335</v>
      </c>
    </row>
    <row r="864" spans="1:11" ht="13.9" x14ac:dyDescent="0.3">
      <c r="A864" s="2" t="s">
        <v>633</v>
      </c>
      <c r="B864" s="2">
        <v>0</v>
      </c>
      <c r="C864" s="2">
        <v>0</v>
      </c>
      <c r="D864" s="2">
        <v>0</v>
      </c>
      <c r="E864" s="2">
        <v>0</v>
      </c>
      <c r="F864" s="2">
        <v>0.67</v>
      </c>
      <c r="G864" s="2">
        <v>1.79</v>
      </c>
      <c r="H864" s="2" t="e">
        <f t="shared" si="52"/>
        <v>#NUM!</v>
      </c>
      <c r="I864" s="2">
        <f t="shared" si="53"/>
        <v>0.19140052518382053</v>
      </c>
      <c r="J864" s="2" t="e">
        <f t="shared" si="54"/>
        <v>#NUM!</v>
      </c>
      <c r="K864">
        <f t="shared" si="55"/>
        <v>0.82</v>
      </c>
    </row>
    <row r="865" spans="1:11" ht="13.9" x14ac:dyDescent="0.3">
      <c r="A865" s="2" t="s">
        <v>904</v>
      </c>
      <c r="B865" s="2">
        <v>0</v>
      </c>
      <c r="C865" s="2">
        <v>0</v>
      </c>
      <c r="D865" s="2">
        <v>0</v>
      </c>
      <c r="E865" s="2">
        <v>2.4700000000000002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J865" s="2" t="e">
        <f t="shared" si="54"/>
        <v>#NUM!</v>
      </c>
      <c r="K865">
        <f t="shared" si="55"/>
        <v>0.82333333333333336</v>
      </c>
    </row>
    <row r="866" spans="1:11" ht="13.9" x14ac:dyDescent="0.3">
      <c r="A866" s="2" t="s">
        <v>19</v>
      </c>
      <c r="B866" s="2">
        <v>0</v>
      </c>
      <c r="C866" s="2">
        <v>0</v>
      </c>
      <c r="D866" s="2">
        <v>0</v>
      </c>
      <c r="E866" s="2">
        <v>0.89</v>
      </c>
      <c r="F866" s="2">
        <v>1.6</v>
      </c>
      <c r="G866" s="2">
        <v>0</v>
      </c>
      <c r="H866" s="2" t="e">
        <f t="shared" si="52"/>
        <v>#NUM!</v>
      </c>
      <c r="I866" s="2">
        <f t="shared" si="53"/>
        <v>0.14739625476772761</v>
      </c>
      <c r="J866" s="2" t="e">
        <f t="shared" si="54"/>
        <v>#NUM!</v>
      </c>
      <c r="K866">
        <f t="shared" si="55"/>
        <v>0.83000000000000007</v>
      </c>
    </row>
    <row r="867" spans="1:11" ht="13.9" x14ac:dyDescent="0.3">
      <c r="A867" s="2" t="s">
        <v>507</v>
      </c>
      <c r="B867" s="2">
        <v>0</v>
      </c>
      <c r="C867" s="2">
        <v>0</v>
      </c>
      <c r="D867" s="2">
        <v>0</v>
      </c>
      <c r="E867" s="2">
        <v>0.59</v>
      </c>
      <c r="F867" s="2">
        <v>0.53</v>
      </c>
      <c r="G867" s="2">
        <v>1.37</v>
      </c>
      <c r="H867" s="2" t="e">
        <f t="shared" si="52"/>
        <v>#NUM!</v>
      </c>
      <c r="I867" s="2">
        <f t="shared" si="53"/>
        <v>3.7374182745025596E-2</v>
      </c>
      <c r="J867" s="2" t="e">
        <f t="shared" si="54"/>
        <v>#NUM!</v>
      </c>
      <c r="K867">
        <f t="shared" si="55"/>
        <v>0.83000000000000007</v>
      </c>
    </row>
    <row r="868" spans="1:11" ht="13.9" x14ac:dyDescent="0.3">
      <c r="A868" s="2" t="s">
        <v>509</v>
      </c>
      <c r="B868" s="2">
        <v>0</v>
      </c>
      <c r="C868" s="2">
        <v>0</v>
      </c>
      <c r="D868" s="2">
        <v>0</v>
      </c>
      <c r="E868" s="2">
        <v>0.3</v>
      </c>
      <c r="F868" s="2">
        <v>0</v>
      </c>
      <c r="G868" s="2">
        <v>2.21</v>
      </c>
      <c r="H868" s="2" t="e">
        <f t="shared" si="52"/>
        <v>#NUM!</v>
      </c>
      <c r="I868" s="2">
        <f t="shared" si="53"/>
        <v>0.29328221279686922</v>
      </c>
      <c r="J868" s="2" t="e">
        <f t="shared" si="54"/>
        <v>#NUM!</v>
      </c>
      <c r="K868">
        <f t="shared" si="55"/>
        <v>0.83666666666666656</v>
      </c>
    </row>
    <row r="869" spans="1:11" ht="13.9" x14ac:dyDescent="0.3">
      <c r="A869" s="2" t="s">
        <v>792</v>
      </c>
      <c r="B869" s="2">
        <v>0</v>
      </c>
      <c r="C869" s="2">
        <v>0</v>
      </c>
      <c r="D869" s="2">
        <v>0</v>
      </c>
      <c r="E869" s="2">
        <v>0.3</v>
      </c>
      <c r="F869" s="2">
        <v>0.8</v>
      </c>
      <c r="G869" s="2">
        <v>1.48</v>
      </c>
      <c r="H869" s="2" t="e">
        <f t="shared" si="52"/>
        <v>#NUM!</v>
      </c>
      <c r="I869" s="2">
        <f t="shared" si="53"/>
        <v>6.5709532473400098E-2</v>
      </c>
      <c r="J869" s="2" t="e">
        <f t="shared" si="54"/>
        <v>#NUM!</v>
      </c>
      <c r="K869">
        <f t="shared" si="55"/>
        <v>0.86</v>
      </c>
    </row>
    <row r="870" spans="1:11" ht="13.9" x14ac:dyDescent="0.3">
      <c r="A870" s="2" t="s">
        <v>849</v>
      </c>
      <c r="B870" s="2">
        <v>0</v>
      </c>
      <c r="C870" s="2">
        <v>0</v>
      </c>
      <c r="D870" s="2">
        <v>0</v>
      </c>
      <c r="E870" s="2">
        <v>0.39</v>
      </c>
      <c r="F870" s="2">
        <v>0.94</v>
      </c>
      <c r="G870" s="2">
        <v>1.26</v>
      </c>
      <c r="H870" s="2" t="e">
        <f t="shared" si="52"/>
        <v>#NUM!</v>
      </c>
      <c r="I870" s="2">
        <f t="shared" si="53"/>
        <v>2.7322575636423048E-2</v>
      </c>
      <c r="J870" s="2" t="e">
        <f t="shared" si="54"/>
        <v>#NUM!</v>
      </c>
      <c r="K870">
        <f t="shared" si="55"/>
        <v>0.86333333333333329</v>
      </c>
    </row>
    <row r="871" spans="1:11" ht="13.9" x14ac:dyDescent="0.3">
      <c r="A871" s="2" t="s">
        <v>441</v>
      </c>
      <c r="B871" s="2">
        <v>0</v>
      </c>
      <c r="C871" s="2">
        <v>0</v>
      </c>
      <c r="D871" s="2">
        <v>0</v>
      </c>
      <c r="E871" s="2">
        <v>1.97</v>
      </c>
      <c r="F871" s="2">
        <v>0.67</v>
      </c>
      <c r="G871" s="2">
        <v>0</v>
      </c>
      <c r="H871" s="2" t="e">
        <f t="shared" si="52"/>
        <v>#NUM!</v>
      </c>
      <c r="I871" s="2">
        <f t="shared" si="53"/>
        <v>0.20273689781628718</v>
      </c>
      <c r="J871" s="2" t="e">
        <f t="shared" si="54"/>
        <v>#NUM!</v>
      </c>
      <c r="K871">
        <f t="shared" si="55"/>
        <v>0.88</v>
      </c>
    </row>
    <row r="872" spans="1:11" ht="13.9" x14ac:dyDescent="0.3">
      <c r="A872" s="2" t="s">
        <v>739</v>
      </c>
      <c r="B872" s="2">
        <v>0</v>
      </c>
      <c r="C872" s="2">
        <v>0</v>
      </c>
      <c r="D872" s="2">
        <v>0</v>
      </c>
      <c r="E872" s="2">
        <v>0.89</v>
      </c>
      <c r="F872" s="2">
        <v>0.53</v>
      </c>
      <c r="G872" s="2">
        <v>1.26</v>
      </c>
      <c r="H872" s="2" t="e">
        <f t="shared" si="52"/>
        <v>#NUM!</v>
      </c>
      <c r="I872" s="2">
        <f t="shared" si="53"/>
        <v>1.3273710713504534E-2</v>
      </c>
      <c r="J872" s="2" t="e">
        <f t="shared" si="54"/>
        <v>#NUM!</v>
      </c>
      <c r="K872">
        <f t="shared" si="55"/>
        <v>0.8933333333333332</v>
      </c>
    </row>
    <row r="873" spans="1:11" ht="13.9" x14ac:dyDescent="0.3">
      <c r="A873" s="2" t="s">
        <v>431</v>
      </c>
      <c r="B873" s="2">
        <v>0</v>
      </c>
      <c r="C873" s="2">
        <v>0</v>
      </c>
      <c r="D873" s="2">
        <v>0</v>
      </c>
      <c r="E873" s="2">
        <v>0.89</v>
      </c>
      <c r="F873" s="2">
        <v>0</v>
      </c>
      <c r="G873" s="2">
        <v>1.79</v>
      </c>
      <c r="H873" s="2" t="e">
        <f t="shared" si="52"/>
        <v>#NUM!</v>
      </c>
      <c r="I873" s="2">
        <f t="shared" si="53"/>
        <v>0.15890239509585566</v>
      </c>
      <c r="J873" s="2" t="e">
        <f t="shared" si="54"/>
        <v>#NUM!</v>
      </c>
      <c r="K873">
        <f t="shared" si="55"/>
        <v>0.89333333333333342</v>
      </c>
    </row>
    <row r="874" spans="1:11" ht="13.9" x14ac:dyDescent="0.3">
      <c r="A874" s="2" t="s">
        <v>334</v>
      </c>
      <c r="B874" s="2">
        <v>0</v>
      </c>
      <c r="C874" s="2">
        <v>0</v>
      </c>
      <c r="D874" s="2">
        <v>0</v>
      </c>
      <c r="E874" s="2">
        <v>1.0900000000000001</v>
      </c>
      <c r="F874" s="2">
        <v>1.07</v>
      </c>
      <c r="G874" s="2">
        <v>0.53</v>
      </c>
      <c r="H874" s="2" t="e">
        <f t="shared" si="52"/>
        <v>#NUM!</v>
      </c>
      <c r="I874" s="2">
        <f t="shared" si="53"/>
        <v>8.1108813901857261E-3</v>
      </c>
      <c r="J874" s="2" t="e">
        <f t="shared" si="54"/>
        <v>#NUM!</v>
      </c>
      <c r="K874">
        <f t="shared" si="55"/>
        <v>0.89666666666666683</v>
      </c>
    </row>
    <row r="875" spans="1:11" ht="13.9" x14ac:dyDescent="0.3">
      <c r="A875" s="2" t="s">
        <v>486</v>
      </c>
      <c r="B875" s="2">
        <v>0</v>
      </c>
      <c r="C875" s="2">
        <v>0</v>
      </c>
      <c r="D875" s="2">
        <v>0</v>
      </c>
      <c r="E875" s="2">
        <v>1.0900000000000001</v>
      </c>
      <c r="F875" s="2">
        <v>0.67</v>
      </c>
      <c r="G875" s="2">
        <v>0.95</v>
      </c>
      <c r="H875" s="2" t="e">
        <f t="shared" si="52"/>
        <v>#NUM!</v>
      </c>
      <c r="I875" s="2">
        <f t="shared" si="53"/>
        <v>1.8566942072259797E-3</v>
      </c>
      <c r="J875" s="2" t="e">
        <f t="shared" si="54"/>
        <v>#NUM!</v>
      </c>
      <c r="K875">
        <f t="shared" si="55"/>
        <v>0.90333333333333332</v>
      </c>
    </row>
    <row r="876" spans="1:11" ht="13.9" x14ac:dyDescent="0.3">
      <c r="A876" s="2" t="s">
        <v>319</v>
      </c>
      <c r="B876" s="2">
        <v>0</v>
      </c>
      <c r="C876" s="2">
        <v>0</v>
      </c>
      <c r="D876" s="2">
        <v>0</v>
      </c>
      <c r="E876" s="2">
        <v>0</v>
      </c>
      <c r="F876" s="2">
        <v>0.53</v>
      </c>
      <c r="G876" s="2">
        <v>2.21</v>
      </c>
      <c r="H876" s="2" t="e">
        <f t="shared" si="52"/>
        <v>#NUM!</v>
      </c>
      <c r="I876" s="2">
        <f t="shared" si="53"/>
        <v>0.24224148840355342</v>
      </c>
      <c r="J876" s="2" t="e">
        <f t="shared" si="54"/>
        <v>#NUM!</v>
      </c>
      <c r="K876">
        <f t="shared" si="55"/>
        <v>0.91333333333333344</v>
      </c>
    </row>
    <row r="877" spans="1:11" ht="13.9" x14ac:dyDescent="0.3">
      <c r="A877" s="2" t="s">
        <v>887</v>
      </c>
      <c r="B877" s="2">
        <v>0</v>
      </c>
      <c r="C877" s="2">
        <v>0</v>
      </c>
      <c r="D877" s="2">
        <v>0</v>
      </c>
      <c r="E877" s="2">
        <v>0.89</v>
      </c>
      <c r="F877" s="2">
        <v>1.87</v>
      </c>
      <c r="G877" s="2">
        <v>0</v>
      </c>
      <c r="H877" s="2" t="e">
        <f t="shared" si="52"/>
        <v>#NUM!</v>
      </c>
      <c r="I877" s="2">
        <f t="shared" si="53"/>
        <v>0.16366189306599946</v>
      </c>
      <c r="J877" s="2" t="e">
        <f t="shared" si="54"/>
        <v>#NUM!</v>
      </c>
      <c r="K877">
        <f t="shared" si="55"/>
        <v>0.92</v>
      </c>
    </row>
    <row r="878" spans="1:11" ht="13.9" x14ac:dyDescent="0.3">
      <c r="A878" s="2" t="s">
        <v>740</v>
      </c>
      <c r="B878" s="2">
        <v>0</v>
      </c>
      <c r="C878" s="2">
        <v>0</v>
      </c>
      <c r="D878" s="2">
        <v>0</v>
      </c>
      <c r="E878" s="2">
        <v>0.69</v>
      </c>
      <c r="F878" s="2">
        <v>1.34</v>
      </c>
      <c r="G878" s="2">
        <v>0.74</v>
      </c>
      <c r="H878" s="2" t="e">
        <f t="shared" si="52"/>
        <v>#NUM!</v>
      </c>
      <c r="I878" s="2">
        <f t="shared" si="53"/>
        <v>1.1498387854108592E-2</v>
      </c>
      <c r="J878" s="2" t="e">
        <f t="shared" si="54"/>
        <v>#NUM!</v>
      </c>
      <c r="K878">
        <f t="shared" si="55"/>
        <v>0.92333333333333345</v>
      </c>
    </row>
    <row r="879" spans="1:11" ht="13.9" x14ac:dyDescent="0.3">
      <c r="A879" s="2" t="s">
        <v>505</v>
      </c>
      <c r="B879" s="2">
        <v>0</v>
      </c>
      <c r="C879" s="2">
        <v>0</v>
      </c>
      <c r="D879" s="2">
        <v>0</v>
      </c>
      <c r="E879" s="2">
        <v>0.99</v>
      </c>
      <c r="F879" s="2">
        <v>0.8</v>
      </c>
      <c r="G879" s="2">
        <v>1.1599999999999999</v>
      </c>
      <c r="H879" s="2" t="e">
        <f t="shared" si="52"/>
        <v>#NUM!</v>
      </c>
      <c r="I879" s="2">
        <f t="shared" si="53"/>
        <v>6.9725478712508724E-4</v>
      </c>
      <c r="J879" s="2" t="e">
        <f t="shared" si="54"/>
        <v>#NUM!</v>
      </c>
      <c r="K879">
        <f t="shared" si="55"/>
        <v>0.98333333333333339</v>
      </c>
    </row>
    <row r="880" spans="1:11" ht="13.9" x14ac:dyDescent="0.3">
      <c r="A880" s="2" t="s">
        <v>534</v>
      </c>
      <c r="B880" s="2">
        <v>0</v>
      </c>
      <c r="C880" s="2">
        <v>0</v>
      </c>
      <c r="D880" s="2">
        <v>0</v>
      </c>
      <c r="E880" s="2">
        <v>0.69</v>
      </c>
      <c r="F880" s="2">
        <v>1.74</v>
      </c>
      <c r="G880" s="2">
        <v>0.53</v>
      </c>
      <c r="H880" s="2" t="e">
        <f t="shared" si="52"/>
        <v>#NUM!</v>
      </c>
      <c r="I880" s="2">
        <f t="shared" si="53"/>
        <v>6.0048469433518471E-2</v>
      </c>
      <c r="J880" s="2" t="e">
        <f t="shared" si="54"/>
        <v>#NUM!</v>
      </c>
      <c r="K880">
        <f t="shared" si="55"/>
        <v>0.98666666666666669</v>
      </c>
    </row>
    <row r="881" spans="1:11" ht="13.9" x14ac:dyDescent="0.3">
      <c r="A881" s="2" t="s">
        <v>37</v>
      </c>
      <c r="B881" s="2">
        <v>0</v>
      </c>
      <c r="C881" s="2">
        <v>0</v>
      </c>
      <c r="D881" s="2">
        <v>0</v>
      </c>
      <c r="E881" s="2">
        <v>2.67</v>
      </c>
      <c r="F881" s="2">
        <v>0</v>
      </c>
      <c r="G881" s="2">
        <v>0.32</v>
      </c>
      <c r="H881" s="2" t="e">
        <f t="shared" si="52"/>
        <v>#NUM!</v>
      </c>
      <c r="I881" s="2">
        <f t="shared" si="53"/>
        <v>0.30194982060867731</v>
      </c>
      <c r="J881" s="2" t="e">
        <f t="shared" si="54"/>
        <v>#NUM!</v>
      </c>
      <c r="K881">
        <f t="shared" si="55"/>
        <v>0.99666666666666659</v>
      </c>
    </row>
    <row r="882" spans="1:11" ht="13.9" x14ac:dyDescent="0.3">
      <c r="A882" s="2" t="s">
        <v>349</v>
      </c>
      <c r="B882" s="2">
        <v>0</v>
      </c>
      <c r="C882" s="2">
        <v>0</v>
      </c>
      <c r="D882" s="2">
        <v>0</v>
      </c>
      <c r="E882" s="2">
        <v>0.99</v>
      </c>
      <c r="F882" s="2">
        <v>0</v>
      </c>
      <c r="G882" s="2">
        <v>2</v>
      </c>
      <c r="H882" s="2" t="e">
        <f t="shared" si="52"/>
        <v>#NUM!</v>
      </c>
      <c r="I882" s="2">
        <f t="shared" si="53"/>
        <v>0.15938043584053399</v>
      </c>
      <c r="J882" s="2" t="e">
        <f t="shared" si="54"/>
        <v>#NUM!</v>
      </c>
      <c r="K882">
        <f t="shared" si="55"/>
        <v>0.9966666666666667</v>
      </c>
    </row>
    <row r="883" spans="1:11" ht="13.9" x14ac:dyDescent="0.3">
      <c r="A883" s="2" t="s">
        <v>98</v>
      </c>
      <c r="B883" s="2">
        <v>0</v>
      </c>
      <c r="C883" s="2">
        <v>0</v>
      </c>
      <c r="D883" s="2">
        <v>0</v>
      </c>
      <c r="E883" s="2">
        <v>1.28</v>
      </c>
      <c r="F883" s="2">
        <v>1.87</v>
      </c>
      <c r="G883" s="2">
        <v>0</v>
      </c>
      <c r="H883" s="2" t="e">
        <f t="shared" si="52"/>
        <v>#NUM!</v>
      </c>
      <c r="I883" s="2">
        <f t="shared" si="53"/>
        <v>0.12987966620121741</v>
      </c>
      <c r="J883" s="2" t="e">
        <f t="shared" si="54"/>
        <v>#NUM!</v>
      </c>
      <c r="K883">
        <f t="shared" si="55"/>
        <v>1.05</v>
      </c>
    </row>
    <row r="884" spans="1:11" ht="13.9" x14ac:dyDescent="0.3">
      <c r="A884" s="2" t="s">
        <v>927</v>
      </c>
      <c r="B884" s="2">
        <v>0</v>
      </c>
      <c r="C884" s="2">
        <v>0</v>
      </c>
      <c r="D884" s="2">
        <v>0</v>
      </c>
      <c r="E884" s="2">
        <v>1.58</v>
      </c>
      <c r="F884" s="2">
        <v>1.6</v>
      </c>
      <c r="G884" s="2">
        <v>0</v>
      </c>
      <c r="H884" s="2" t="e">
        <f t="shared" si="52"/>
        <v>#NUM!</v>
      </c>
      <c r="I884" s="2">
        <f t="shared" si="53"/>
        <v>0.11613225634638036</v>
      </c>
      <c r="J884" s="2" t="e">
        <f t="shared" si="54"/>
        <v>#NUM!</v>
      </c>
      <c r="K884">
        <f t="shared" si="55"/>
        <v>1.06</v>
      </c>
    </row>
    <row r="885" spans="1:11" ht="13.9" x14ac:dyDescent="0.3">
      <c r="A885" s="2" t="s">
        <v>387</v>
      </c>
      <c r="B885" s="2">
        <v>0</v>
      </c>
      <c r="C885" s="2">
        <v>0</v>
      </c>
      <c r="D885" s="2">
        <v>0</v>
      </c>
      <c r="E885" s="2">
        <v>1.48</v>
      </c>
      <c r="F885" s="2">
        <v>0.13</v>
      </c>
      <c r="G885" s="2">
        <v>1.58</v>
      </c>
      <c r="H885" s="2" t="e">
        <f t="shared" si="52"/>
        <v>#NUM!</v>
      </c>
      <c r="I885" s="2">
        <f t="shared" si="53"/>
        <v>8.5328671820094723E-2</v>
      </c>
      <c r="J885" s="2" t="e">
        <f t="shared" si="54"/>
        <v>#NUM!</v>
      </c>
      <c r="K885">
        <f t="shared" si="55"/>
        <v>1.0633333333333332</v>
      </c>
    </row>
    <row r="886" spans="1:11" ht="13.9" x14ac:dyDescent="0.3">
      <c r="A886" s="2" t="s">
        <v>817</v>
      </c>
      <c r="B886" s="2">
        <v>0</v>
      </c>
      <c r="C886" s="2">
        <v>0</v>
      </c>
      <c r="D886" s="2">
        <v>0</v>
      </c>
      <c r="E886" s="2">
        <v>1.48</v>
      </c>
      <c r="F886" s="2">
        <v>0.13</v>
      </c>
      <c r="G886" s="2">
        <v>1.58</v>
      </c>
      <c r="H886" s="2" t="e">
        <f t="shared" si="52"/>
        <v>#NUM!</v>
      </c>
      <c r="I886" s="2">
        <f t="shared" si="53"/>
        <v>8.5328671820094723E-2</v>
      </c>
      <c r="J886" s="2" t="e">
        <f t="shared" si="54"/>
        <v>#NUM!</v>
      </c>
      <c r="K886">
        <f t="shared" si="55"/>
        <v>1.0633333333333332</v>
      </c>
    </row>
    <row r="887" spans="1:11" ht="13.9" x14ac:dyDescent="0.3">
      <c r="A887" s="2" t="s">
        <v>39</v>
      </c>
      <c r="B887" s="2">
        <v>0</v>
      </c>
      <c r="C887" s="2">
        <v>0</v>
      </c>
      <c r="D887" s="2">
        <v>0</v>
      </c>
      <c r="E887" s="2">
        <v>1.38</v>
      </c>
      <c r="F887" s="2">
        <v>1.07</v>
      </c>
      <c r="G887" s="2">
        <v>0.74</v>
      </c>
      <c r="H887" s="2" t="e">
        <f t="shared" si="52"/>
        <v>#NUM!</v>
      </c>
      <c r="I887" s="2">
        <f t="shared" si="53"/>
        <v>4.5224558224350279E-3</v>
      </c>
      <c r="J887" s="2" t="e">
        <f t="shared" si="54"/>
        <v>#NUM!</v>
      </c>
      <c r="K887">
        <f t="shared" si="55"/>
        <v>1.0633333333333335</v>
      </c>
    </row>
    <row r="888" spans="1:11" ht="13.9" x14ac:dyDescent="0.3">
      <c r="A888" s="2" t="s">
        <v>223</v>
      </c>
      <c r="B888" s="2">
        <v>0</v>
      </c>
      <c r="C888" s="2">
        <v>0</v>
      </c>
      <c r="D888" s="2">
        <v>0</v>
      </c>
      <c r="E888" s="2">
        <v>0.3</v>
      </c>
      <c r="F888" s="2">
        <v>2.94</v>
      </c>
      <c r="G888" s="2">
        <v>0</v>
      </c>
      <c r="H888" s="2" t="e">
        <f t="shared" si="52"/>
        <v>#NUM!</v>
      </c>
      <c r="I888" s="2">
        <f t="shared" si="53"/>
        <v>0.3119206008414368</v>
      </c>
      <c r="J888" s="2" t="e">
        <f t="shared" si="54"/>
        <v>#NUM!</v>
      </c>
      <c r="K888">
        <f t="shared" si="55"/>
        <v>1.0799999999999998</v>
      </c>
    </row>
    <row r="889" spans="1:11" ht="13.9" x14ac:dyDescent="0.3">
      <c r="A889" s="2" t="s">
        <v>396</v>
      </c>
      <c r="B889" s="2">
        <v>0</v>
      </c>
      <c r="C889" s="2">
        <v>0</v>
      </c>
      <c r="D889" s="2">
        <v>0</v>
      </c>
      <c r="E889" s="2">
        <v>0.89</v>
      </c>
      <c r="F889" s="2">
        <v>1.34</v>
      </c>
      <c r="G889" s="2">
        <v>1.05</v>
      </c>
      <c r="H889" s="2" t="e">
        <f t="shared" si="52"/>
        <v>#NUM!</v>
      </c>
      <c r="I889" s="2">
        <f t="shared" si="53"/>
        <v>1.1496823682171778E-3</v>
      </c>
      <c r="J889" s="2" t="e">
        <f t="shared" si="54"/>
        <v>#NUM!</v>
      </c>
      <c r="K889">
        <f t="shared" si="55"/>
        <v>1.0933333333333335</v>
      </c>
    </row>
    <row r="890" spans="1:11" ht="13.9" x14ac:dyDescent="0.3">
      <c r="A890" s="2" t="s">
        <v>352</v>
      </c>
      <c r="B890" s="2">
        <v>0</v>
      </c>
      <c r="C890" s="2">
        <v>0</v>
      </c>
      <c r="D890" s="2">
        <v>0</v>
      </c>
      <c r="E890" s="2">
        <v>1.48</v>
      </c>
      <c r="F890" s="2">
        <v>1.34</v>
      </c>
      <c r="G890" s="2">
        <v>0.63</v>
      </c>
      <c r="H890" s="2" t="e">
        <f t="shared" si="52"/>
        <v>#NUM!</v>
      </c>
      <c r="I890" s="2">
        <f t="shared" si="53"/>
        <v>1.1962542602379713E-2</v>
      </c>
      <c r="J890" s="2" t="e">
        <f t="shared" si="54"/>
        <v>#NUM!</v>
      </c>
      <c r="K890">
        <f t="shared" si="55"/>
        <v>1.1500000000000001</v>
      </c>
    </row>
    <row r="891" spans="1:11" ht="13.9" x14ac:dyDescent="0.3">
      <c r="A891" s="2" t="s">
        <v>138</v>
      </c>
      <c r="B891" s="2">
        <v>0</v>
      </c>
      <c r="C891" s="2">
        <v>0</v>
      </c>
      <c r="D891" s="2">
        <v>0</v>
      </c>
      <c r="E891" s="2">
        <v>1.97</v>
      </c>
      <c r="F891" s="2">
        <v>0.4</v>
      </c>
      <c r="G891" s="2">
        <v>1.1599999999999999</v>
      </c>
      <c r="H891" s="2" t="e">
        <f t="shared" si="52"/>
        <v>#NUM!</v>
      </c>
      <c r="I891" s="2">
        <f t="shared" si="53"/>
        <v>6.0314302998405456E-2</v>
      </c>
      <c r="J891" s="2" t="e">
        <f t="shared" si="54"/>
        <v>#NUM!</v>
      </c>
      <c r="K891">
        <f t="shared" si="55"/>
        <v>1.1766666666666667</v>
      </c>
    </row>
    <row r="892" spans="1:11" ht="13.9" x14ac:dyDescent="0.3">
      <c r="A892" s="2" t="s">
        <v>101</v>
      </c>
      <c r="B892" s="2">
        <v>0</v>
      </c>
      <c r="C892" s="2">
        <v>0</v>
      </c>
      <c r="D892" s="2">
        <v>0</v>
      </c>
      <c r="E892" s="2">
        <v>0.39</v>
      </c>
      <c r="F892" s="2">
        <v>2.67</v>
      </c>
      <c r="G892" s="2">
        <v>0.53</v>
      </c>
      <c r="H892" s="2" t="e">
        <f t="shared" si="52"/>
        <v>#NUM!</v>
      </c>
      <c r="I892" s="2">
        <f t="shared" si="53"/>
        <v>0.18012346467787663</v>
      </c>
      <c r="J892" s="2" t="e">
        <f t="shared" si="54"/>
        <v>#NUM!</v>
      </c>
      <c r="K892">
        <f t="shared" si="55"/>
        <v>1.1966666666666665</v>
      </c>
    </row>
    <row r="893" spans="1:11" s="7" customFormat="1" ht="13.9" x14ac:dyDescent="0.3">
      <c r="A893" s="2" t="s">
        <v>350</v>
      </c>
      <c r="B893" s="2">
        <v>0</v>
      </c>
      <c r="C893" s="2">
        <v>0</v>
      </c>
      <c r="D893" s="2">
        <v>0</v>
      </c>
      <c r="E893" s="2">
        <v>1.28</v>
      </c>
      <c r="F893" s="2">
        <v>2.0099999999999998</v>
      </c>
      <c r="G893" s="2">
        <v>0.32</v>
      </c>
      <c r="H893" s="2" t="e">
        <f t="shared" si="52"/>
        <v>#NUM!</v>
      </c>
      <c r="I893" s="2">
        <f t="shared" si="53"/>
        <v>6.976861028888888E-2</v>
      </c>
      <c r="J893" s="2" t="e">
        <f t="shared" si="54"/>
        <v>#NUM!</v>
      </c>
      <c r="K893">
        <f t="shared" si="55"/>
        <v>1.2033333333333334</v>
      </c>
    </row>
    <row r="894" spans="1:11" ht="13.9" x14ac:dyDescent="0.3">
      <c r="A894" s="2" t="s">
        <v>295</v>
      </c>
      <c r="B894" s="2">
        <v>0</v>
      </c>
      <c r="C894" s="2">
        <v>0</v>
      </c>
      <c r="D894" s="2">
        <v>0</v>
      </c>
      <c r="E894" s="2">
        <v>0.89</v>
      </c>
      <c r="F894" s="2">
        <v>2.41</v>
      </c>
      <c r="G894" s="2">
        <v>0.32</v>
      </c>
      <c r="H894" s="2" t="e">
        <f t="shared" si="52"/>
        <v>#NUM!</v>
      </c>
      <c r="I894" s="2">
        <f t="shared" si="53"/>
        <v>0.12516581983949762</v>
      </c>
      <c r="J894" s="2" t="e">
        <f t="shared" si="54"/>
        <v>#NUM!</v>
      </c>
      <c r="K894">
        <f t="shared" si="55"/>
        <v>1.2066666666666668</v>
      </c>
    </row>
    <row r="895" spans="1:11" ht="13.9" x14ac:dyDescent="0.3">
      <c r="A895" s="2" t="s">
        <v>451</v>
      </c>
      <c r="B895" s="2">
        <v>0</v>
      </c>
      <c r="C895" s="2">
        <v>0</v>
      </c>
      <c r="D895" s="2">
        <v>0</v>
      </c>
      <c r="E895" s="2">
        <v>2.96</v>
      </c>
      <c r="F895" s="2">
        <v>0.8</v>
      </c>
      <c r="G895" s="2">
        <v>0</v>
      </c>
      <c r="H895" s="2" t="e">
        <f t="shared" si="52"/>
        <v>#NUM!</v>
      </c>
      <c r="I895" s="2">
        <f t="shared" si="53"/>
        <v>0.22923971816325969</v>
      </c>
      <c r="J895" s="2" t="e">
        <f t="shared" si="54"/>
        <v>#NUM!</v>
      </c>
      <c r="K895">
        <f t="shared" si="55"/>
        <v>1.2533333333333332</v>
      </c>
    </row>
    <row r="896" spans="1:11" ht="13.9" x14ac:dyDescent="0.3">
      <c r="A896" s="2" t="s">
        <v>452</v>
      </c>
      <c r="B896" s="2">
        <v>0</v>
      </c>
      <c r="C896" s="2">
        <v>0</v>
      </c>
      <c r="D896" s="2">
        <v>0</v>
      </c>
      <c r="E896" s="2">
        <v>1.88</v>
      </c>
      <c r="F896" s="2">
        <v>0</v>
      </c>
      <c r="G896" s="2">
        <v>1.9</v>
      </c>
      <c r="H896" s="2" t="e">
        <f t="shared" si="52"/>
        <v>#NUM!</v>
      </c>
      <c r="I896" s="2">
        <f t="shared" si="53"/>
        <v>0.11612765823837161</v>
      </c>
      <c r="J896" s="2" t="e">
        <f t="shared" si="54"/>
        <v>#NUM!</v>
      </c>
      <c r="K896">
        <f t="shared" si="55"/>
        <v>1.26</v>
      </c>
    </row>
    <row r="897" spans="1:11" ht="13.9" x14ac:dyDescent="0.3">
      <c r="A897" s="2" t="s">
        <v>665</v>
      </c>
      <c r="B897" s="2">
        <v>0</v>
      </c>
      <c r="C897" s="2">
        <v>0</v>
      </c>
      <c r="D897" s="2">
        <v>0</v>
      </c>
      <c r="E897" s="2">
        <v>0</v>
      </c>
      <c r="F897" s="2">
        <v>2.27</v>
      </c>
      <c r="G897" s="2">
        <v>1.58</v>
      </c>
      <c r="H897" s="2" t="e">
        <f t="shared" si="52"/>
        <v>#NUM!</v>
      </c>
      <c r="I897" s="2">
        <f t="shared" si="53"/>
        <v>0.12873287639645425</v>
      </c>
      <c r="J897" s="2" t="e">
        <f t="shared" si="54"/>
        <v>#NUM!</v>
      </c>
      <c r="K897">
        <f t="shared" si="55"/>
        <v>1.2833333333333334</v>
      </c>
    </row>
    <row r="898" spans="1:11" ht="13.9" x14ac:dyDescent="0.3">
      <c r="A898" s="2" t="s">
        <v>489</v>
      </c>
      <c r="B898" s="2">
        <v>0</v>
      </c>
      <c r="C898" s="2">
        <v>0</v>
      </c>
      <c r="D898" s="2">
        <v>0</v>
      </c>
      <c r="E898" s="2">
        <v>3.06</v>
      </c>
      <c r="F898" s="2">
        <v>1.2</v>
      </c>
      <c r="G898" s="2">
        <v>0.74</v>
      </c>
      <c r="H898" s="2" t="e">
        <f t="shared" ref="H898:H926" si="56">LOG(SUM(B898:D898)/SUM(E898:G898),2)</f>
        <v>#NUM!</v>
      </c>
      <c r="I898" s="2">
        <f t="shared" ref="I898:I926" si="57">_xlfn.T.TEST(B898:D898,E898:G898,2,2)</f>
        <v>7.8512334704273087E-2</v>
      </c>
      <c r="J898" s="2" t="e">
        <f t="shared" ref="J898:J926" si="58">LOG(SUM(B898:D898),2)</f>
        <v>#NUM!</v>
      </c>
      <c r="K898">
        <f t="shared" ref="K898:K926" si="59">AVERAGE(E898:G898)</f>
        <v>1.6666666666666667</v>
      </c>
    </row>
    <row r="899" spans="1:11" ht="13.9" x14ac:dyDescent="0.3">
      <c r="A899" s="2" t="s">
        <v>635</v>
      </c>
      <c r="B899" s="2">
        <v>0</v>
      </c>
      <c r="C899" s="2">
        <v>0</v>
      </c>
      <c r="D899" s="2">
        <v>0</v>
      </c>
      <c r="E899" s="2">
        <v>4.34</v>
      </c>
      <c r="F899" s="2">
        <v>0.67</v>
      </c>
      <c r="G899" s="2">
        <v>0</v>
      </c>
      <c r="H899" s="2" t="e">
        <f t="shared" si="56"/>
        <v>#NUM!</v>
      </c>
      <c r="I899" s="2">
        <f t="shared" si="57"/>
        <v>0.28340918869317133</v>
      </c>
      <c r="J899" s="2" t="e">
        <f t="shared" si="58"/>
        <v>#NUM!</v>
      </c>
      <c r="K899">
        <f t="shared" si="59"/>
        <v>1.67</v>
      </c>
    </row>
    <row r="900" spans="1:11" ht="13.9" x14ac:dyDescent="0.3">
      <c r="A900" s="2" t="s">
        <v>302</v>
      </c>
      <c r="B900" s="2">
        <v>0</v>
      </c>
      <c r="C900" s="2">
        <v>0</v>
      </c>
      <c r="D900" s="2">
        <v>0</v>
      </c>
      <c r="E900" s="2">
        <v>1.58</v>
      </c>
      <c r="F900" s="2">
        <v>2.54</v>
      </c>
      <c r="G900" s="2">
        <v>0.95</v>
      </c>
      <c r="H900" s="2" t="e">
        <f t="shared" si="56"/>
        <v>#NUM!</v>
      </c>
      <c r="I900" s="2">
        <f t="shared" si="57"/>
        <v>2.1660026100042161E-2</v>
      </c>
      <c r="J900" s="2" t="e">
        <f t="shared" si="58"/>
        <v>#NUM!</v>
      </c>
      <c r="K900">
        <f t="shared" si="59"/>
        <v>1.6900000000000002</v>
      </c>
    </row>
    <row r="901" spans="1:11" ht="13.9" x14ac:dyDescent="0.3">
      <c r="A901" s="2" t="s">
        <v>834</v>
      </c>
      <c r="B901" s="2">
        <v>0</v>
      </c>
      <c r="C901" s="2">
        <v>0</v>
      </c>
      <c r="D901" s="2">
        <v>0</v>
      </c>
      <c r="E901" s="2">
        <v>2.4700000000000002</v>
      </c>
      <c r="F901" s="2">
        <v>1.34</v>
      </c>
      <c r="G901" s="2">
        <v>1.37</v>
      </c>
      <c r="H901" s="2" t="e">
        <f t="shared" si="56"/>
        <v>#NUM!</v>
      </c>
      <c r="I901" s="2">
        <f t="shared" si="57"/>
        <v>9.7014263183178209E-3</v>
      </c>
      <c r="J901" s="2" t="e">
        <f t="shared" si="58"/>
        <v>#NUM!</v>
      </c>
      <c r="K901">
        <f t="shared" si="59"/>
        <v>1.7266666666666668</v>
      </c>
    </row>
    <row r="902" spans="1:11" ht="13.9" x14ac:dyDescent="0.3">
      <c r="A902" s="2" t="s">
        <v>409</v>
      </c>
      <c r="B902" s="2">
        <v>0</v>
      </c>
      <c r="C902" s="2">
        <v>0</v>
      </c>
      <c r="D902" s="2">
        <v>0</v>
      </c>
      <c r="E902" s="2">
        <v>3.16</v>
      </c>
      <c r="F902" s="2">
        <v>1.34</v>
      </c>
      <c r="G902" s="2">
        <v>1.05</v>
      </c>
      <c r="H902" s="2" t="e">
        <f t="shared" si="56"/>
        <v>#NUM!</v>
      </c>
      <c r="I902" s="2">
        <f t="shared" si="57"/>
        <v>4.8730175311204223E-2</v>
      </c>
      <c r="J902" s="2" t="e">
        <f t="shared" si="58"/>
        <v>#NUM!</v>
      </c>
      <c r="K902">
        <f t="shared" si="59"/>
        <v>1.8499999999999999</v>
      </c>
    </row>
    <row r="903" spans="1:11" ht="13.9" x14ac:dyDescent="0.3">
      <c r="A903" s="2" t="s">
        <v>407</v>
      </c>
      <c r="B903" s="2">
        <v>0</v>
      </c>
      <c r="C903" s="2">
        <v>0</v>
      </c>
      <c r="D903" s="2">
        <v>0</v>
      </c>
      <c r="E903" s="2">
        <v>2.17</v>
      </c>
      <c r="F903" s="2">
        <v>1.74</v>
      </c>
      <c r="G903" s="2">
        <v>2</v>
      </c>
      <c r="H903" s="2" t="e">
        <f t="shared" si="56"/>
        <v>#NUM!</v>
      </c>
      <c r="I903" s="2">
        <f t="shared" si="57"/>
        <v>9.4801581259385231E-5</v>
      </c>
      <c r="J903" s="2" t="e">
        <f t="shared" si="58"/>
        <v>#NUM!</v>
      </c>
      <c r="K903">
        <f t="shared" si="59"/>
        <v>1.97</v>
      </c>
    </row>
    <row r="904" spans="1:11" ht="13.9" x14ac:dyDescent="0.3">
      <c r="A904" s="2" t="s">
        <v>901</v>
      </c>
      <c r="B904" s="2">
        <v>0</v>
      </c>
      <c r="C904" s="2">
        <v>0</v>
      </c>
      <c r="D904" s="2">
        <v>0</v>
      </c>
      <c r="E904" s="2">
        <v>1.0900000000000001</v>
      </c>
      <c r="F904" s="2">
        <v>3.61</v>
      </c>
      <c r="G904" s="2">
        <v>1.26</v>
      </c>
      <c r="H904" s="2" t="e">
        <f t="shared" si="56"/>
        <v>#NUM!</v>
      </c>
      <c r="I904" s="2">
        <f t="shared" si="57"/>
        <v>7.0964956623766645E-2</v>
      </c>
      <c r="J904" s="2" t="e">
        <f t="shared" si="58"/>
        <v>#NUM!</v>
      </c>
      <c r="K904">
        <f t="shared" si="59"/>
        <v>1.9866666666666666</v>
      </c>
    </row>
    <row r="905" spans="1:11" ht="13.9" x14ac:dyDescent="0.3">
      <c r="A905" s="2" t="s">
        <v>628</v>
      </c>
      <c r="B905" s="2">
        <v>0</v>
      </c>
      <c r="C905" s="2">
        <v>0</v>
      </c>
      <c r="D905" s="2">
        <v>0</v>
      </c>
      <c r="E905" s="2">
        <v>1.28</v>
      </c>
      <c r="F905" s="2">
        <v>2.81</v>
      </c>
      <c r="G905" s="2">
        <v>2.11</v>
      </c>
      <c r="H905" s="2" t="e">
        <f t="shared" si="56"/>
        <v>#NUM!</v>
      </c>
      <c r="I905" s="2">
        <f t="shared" si="57"/>
        <v>9.4931185972709949E-3</v>
      </c>
      <c r="J905" s="2" t="e">
        <f t="shared" si="58"/>
        <v>#NUM!</v>
      </c>
      <c r="K905">
        <f t="shared" si="59"/>
        <v>2.0666666666666664</v>
      </c>
    </row>
    <row r="906" spans="1:11" ht="13.9" x14ac:dyDescent="0.3">
      <c r="A906" s="2" t="s">
        <v>181</v>
      </c>
      <c r="B906" s="2">
        <v>0</v>
      </c>
      <c r="C906" s="2">
        <v>0</v>
      </c>
      <c r="D906" s="2">
        <v>0</v>
      </c>
      <c r="E906" s="2">
        <v>0.49</v>
      </c>
      <c r="F906" s="2">
        <v>3.88</v>
      </c>
      <c r="G906" s="2">
        <v>1.9</v>
      </c>
      <c r="H906" s="2" t="e">
        <f t="shared" si="56"/>
        <v>#NUM!</v>
      </c>
      <c r="I906" s="2">
        <f t="shared" si="57"/>
        <v>0.1006947216150722</v>
      </c>
      <c r="J906" s="2" t="e">
        <f t="shared" si="58"/>
        <v>#NUM!</v>
      </c>
      <c r="K906">
        <f t="shared" si="59"/>
        <v>2.09</v>
      </c>
    </row>
    <row r="907" spans="1:11" ht="13.9" x14ac:dyDescent="0.3">
      <c r="A907" s="2" t="s">
        <v>805</v>
      </c>
      <c r="B907" s="2">
        <v>0</v>
      </c>
      <c r="C907" s="2">
        <v>0</v>
      </c>
      <c r="D907" s="2">
        <v>0</v>
      </c>
      <c r="E907" s="2">
        <v>4.34</v>
      </c>
      <c r="F907" s="2">
        <v>0.94</v>
      </c>
      <c r="G907" s="2">
        <v>1.48</v>
      </c>
      <c r="H907" s="2" t="e">
        <f t="shared" si="56"/>
        <v>#NUM!</v>
      </c>
      <c r="I907" s="2">
        <f t="shared" si="57"/>
        <v>9.9530347600436719E-2</v>
      </c>
      <c r="J907" s="2" t="e">
        <f t="shared" si="58"/>
        <v>#NUM!</v>
      </c>
      <c r="K907">
        <f t="shared" si="59"/>
        <v>2.2533333333333334</v>
      </c>
    </row>
    <row r="908" spans="1:11" ht="13.9" x14ac:dyDescent="0.3">
      <c r="A908" s="2" t="s">
        <v>747</v>
      </c>
      <c r="B908" s="2">
        <v>0</v>
      </c>
      <c r="C908" s="2">
        <v>0</v>
      </c>
      <c r="D908" s="2">
        <v>0</v>
      </c>
      <c r="E908" s="2">
        <v>4.24</v>
      </c>
      <c r="F908" s="2">
        <v>2.0099999999999998</v>
      </c>
      <c r="G908" s="2">
        <v>0.63</v>
      </c>
      <c r="H908" s="2" t="e">
        <f t="shared" si="56"/>
        <v>#NUM!</v>
      </c>
      <c r="I908" s="2">
        <f t="shared" si="57"/>
        <v>9.4681870123872358E-2</v>
      </c>
      <c r="J908" s="2" t="e">
        <f t="shared" si="58"/>
        <v>#NUM!</v>
      </c>
      <c r="K908">
        <f t="shared" si="59"/>
        <v>2.2933333333333334</v>
      </c>
    </row>
    <row r="909" spans="1:11" ht="13.9" x14ac:dyDescent="0.3">
      <c r="A909" s="2" t="s">
        <v>394</v>
      </c>
      <c r="B909" s="2">
        <v>0</v>
      </c>
      <c r="C909" s="2">
        <v>0</v>
      </c>
      <c r="D909" s="2">
        <v>0</v>
      </c>
      <c r="E909" s="2">
        <v>2.67</v>
      </c>
      <c r="F909" s="2">
        <v>2.54</v>
      </c>
      <c r="G909" s="2">
        <v>1.69</v>
      </c>
      <c r="H909" s="2" t="e">
        <f t="shared" si="56"/>
        <v>#NUM!</v>
      </c>
      <c r="I909" s="2">
        <f t="shared" si="57"/>
        <v>1.7041024560816331E-3</v>
      </c>
      <c r="J909" s="2" t="e">
        <f t="shared" si="58"/>
        <v>#NUM!</v>
      </c>
      <c r="K909">
        <f t="shared" si="59"/>
        <v>2.3000000000000003</v>
      </c>
    </row>
    <row r="910" spans="1:11" ht="13.9" x14ac:dyDescent="0.3">
      <c r="A910" s="2" t="s">
        <v>869</v>
      </c>
      <c r="B910" s="2">
        <v>0</v>
      </c>
      <c r="C910" s="2">
        <v>0</v>
      </c>
      <c r="D910" s="2">
        <v>0</v>
      </c>
      <c r="E910" s="2">
        <v>4.9400000000000004</v>
      </c>
      <c r="F910" s="2">
        <v>0.53</v>
      </c>
      <c r="G910" s="2">
        <v>1.9</v>
      </c>
      <c r="H910" s="2" t="e">
        <f t="shared" si="56"/>
        <v>#NUM!</v>
      </c>
      <c r="I910" s="2">
        <f t="shared" si="57"/>
        <v>0.13248189584332978</v>
      </c>
      <c r="J910" s="2" t="e">
        <f t="shared" si="58"/>
        <v>#NUM!</v>
      </c>
      <c r="K910">
        <f t="shared" si="59"/>
        <v>2.456666666666667</v>
      </c>
    </row>
    <row r="911" spans="1:11" ht="13.9" x14ac:dyDescent="0.3">
      <c r="A911" s="2" t="s">
        <v>148</v>
      </c>
      <c r="B911" s="2">
        <v>0</v>
      </c>
      <c r="C911" s="2">
        <v>0</v>
      </c>
      <c r="D911" s="2">
        <v>0</v>
      </c>
      <c r="E911" s="2">
        <v>2.4700000000000002</v>
      </c>
      <c r="F911" s="2">
        <v>3.08</v>
      </c>
      <c r="G911" s="2">
        <v>2.74</v>
      </c>
      <c r="H911" s="2" t="e">
        <f t="shared" si="56"/>
        <v>#NUM!</v>
      </c>
      <c r="I911" s="2">
        <f t="shared" si="57"/>
        <v>9.7154255579387554E-5</v>
      </c>
      <c r="J911" s="2" t="e">
        <f t="shared" si="58"/>
        <v>#NUM!</v>
      </c>
      <c r="K911">
        <f t="shared" si="59"/>
        <v>2.7633333333333336</v>
      </c>
    </row>
    <row r="912" spans="1:11" ht="13.9" x14ac:dyDescent="0.3">
      <c r="A912" s="2" t="s">
        <v>610</v>
      </c>
      <c r="B912" s="2">
        <v>0</v>
      </c>
      <c r="C912" s="2">
        <v>0</v>
      </c>
      <c r="D912" s="2">
        <v>0</v>
      </c>
      <c r="E912" s="2">
        <v>3.06</v>
      </c>
      <c r="F912" s="2">
        <v>4.28</v>
      </c>
      <c r="G912" s="2">
        <v>1.26</v>
      </c>
      <c r="H912" s="2" t="e">
        <f t="shared" si="56"/>
        <v>#NUM!</v>
      </c>
      <c r="I912" s="2">
        <f t="shared" si="57"/>
        <v>3.0841696481561886E-2</v>
      </c>
      <c r="J912" s="2" t="e">
        <f t="shared" si="58"/>
        <v>#NUM!</v>
      </c>
      <c r="K912">
        <f t="shared" si="59"/>
        <v>2.8666666666666667</v>
      </c>
    </row>
    <row r="913" spans="1:11" ht="13.9" x14ac:dyDescent="0.3">
      <c r="A913" s="2" t="s">
        <v>596</v>
      </c>
      <c r="B913" s="2">
        <v>0</v>
      </c>
      <c r="C913" s="2">
        <v>0</v>
      </c>
      <c r="D913" s="2">
        <v>0</v>
      </c>
      <c r="E913" s="2">
        <v>1.97</v>
      </c>
      <c r="F913" s="2">
        <v>4.01</v>
      </c>
      <c r="G913" s="2">
        <v>2.95</v>
      </c>
      <c r="H913" s="2" t="e">
        <f t="shared" si="56"/>
        <v>#NUM!</v>
      </c>
      <c r="I913" s="2">
        <f t="shared" si="57"/>
        <v>7.2141046050831648E-3</v>
      </c>
      <c r="J913" s="2" t="e">
        <f t="shared" si="58"/>
        <v>#NUM!</v>
      </c>
      <c r="K913">
        <f t="shared" si="59"/>
        <v>2.9766666666666666</v>
      </c>
    </row>
    <row r="914" spans="1:11" ht="13.9" x14ac:dyDescent="0.3">
      <c r="A914" s="2" t="s">
        <v>576</v>
      </c>
      <c r="B914" s="2">
        <v>0</v>
      </c>
      <c r="C914" s="2">
        <v>0</v>
      </c>
      <c r="D914" s="2">
        <v>0</v>
      </c>
      <c r="E914" s="2">
        <v>3.65</v>
      </c>
      <c r="F914" s="2">
        <v>3.61</v>
      </c>
      <c r="G914" s="2">
        <v>2.63</v>
      </c>
      <c r="H914" s="2" t="e">
        <f t="shared" si="56"/>
        <v>#NUM!</v>
      </c>
      <c r="I914" s="2">
        <f t="shared" si="57"/>
        <v>5.8794670813449928E-4</v>
      </c>
      <c r="J914" s="2" t="e">
        <f t="shared" si="58"/>
        <v>#NUM!</v>
      </c>
      <c r="K914">
        <f t="shared" si="59"/>
        <v>3.2966666666666669</v>
      </c>
    </row>
    <row r="915" spans="1:11" ht="13.9" x14ac:dyDescent="0.3">
      <c r="A915" s="2" t="s">
        <v>102</v>
      </c>
      <c r="B915" s="2">
        <v>0</v>
      </c>
      <c r="C915" s="2">
        <v>0</v>
      </c>
      <c r="D915" s="2">
        <v>0</v>
      </c>
      <c r="E915" s="2">
        <v>3.46</v>
      </c>
      <c r="F915" s="2">
        <v>4.95</v>
      </c>
      <c r="G915" s="2">
        <v>1.69</v>
      </c>
      <c r="H915" s="2" t="e">
        <f t="shared" si="56"/>
        <v>#NUM!</v>
      </c>
      <c r="I915" s="2">
        <f t="shared" si="57"/>
        <v>2.3311923204210935E-2</v>
      </c>
      <c r="J915" s="2" t="e">
        <f t="shared" si="58"/>
        <v>#NUM!</v>
      </c>
      <c r="K915">
        <f t="shared" si="59"/>
        <v>3.3666666666666667</v>
      </c>
    </row>
    <row r="916" spans="1:11" ht="13.9" x14ac:dyDescent="0.3">
      <c r="A916" s="2" t="s">
        <v>287</v>
      </c>
      <c r="B916" s="2">
        <v>0</v>
      </c>
      <c r="C916" s="2">
        <v>0</v>
      </c>
      <c r="D916" s="2">
        <v>0</v>
      </c>
      <c r="E916" s="2">
        <v>1.58</v>
      </c>
      <c r="F916" s="2">
        <v>3.61</v>
      </c>
      <c r="G916" s="2">
        <v>5.9</v>
      </c>
      <c r="H916" s="2" t="e">
        <f t="shared" si="56"/>
        <v>#NUM!</v>
      </c>
      <c r="I916" s="2">
        <f t="shared" si="57"/>
        <v>4.1452357436405213E-2</v>
      </c>
      <c r="J916" s="2" t="e">
        <f t="shared" si="58"/>
        <v>#NUM!</v>
      </c>
      <c r="K916">
        <f t="shared" si="59"/>
        <v>3.6966666666666668</v>
      </c>
    </row>
    <row r="917" spans="1:11" ht="13.9" x14ac:dyDescent="0.3">
      <c r="A917" s="2" t="s">
        <v>83</v>
      </c>
      <c r="B917" s="2">
        <v>0</v>
      </c>
      <c r="C917" s="2">
        <v>0</v>
      </c>
      <c r="D917" s="2">
        <v>0</v>
      </c>
      <c r="E917" s="2">
        <v>3.65</v>
      </c>
      <c r="F917" s="2">
        <v>5.62</v>
      </c>
      <c r="G917" s="2">
        <v>2.3199999999999998</v>
      </c>
      <c r="H917" s="2" t="e">
        <f t="shared" si="56"/>
        <v>#NUM!</v>
      </c>
      <c r="I917" s="2">
        <f t="shared" si="57"/>
        <v>1.573015199833416E-2</v>
      </c>
      <c r="J917" s="2" t="e">
        <f t="shared" si="58"/>
        <v>#NUM!</v>
      </c>
      <c r="K917">
        <f t="shared" si="59"/>
        <v>3.8633333333333333</v>
      </c>
    </row>
    <row r="918" spans="1:11" ht="13.9" x14ac:dyDescent="0.3">
      <c r="A918" s="2" t="s">
        <v>84</v>
      </c>
      <c r="B918" s="2">
        <v>0</v>
      </c>
      <c r="C918" s="2">
        <v>0</v>
      </c>
      <c r="D918" s="2">
        <v>0</v>
      </c>
      <c r="E918" s="2">
        <v>3.65</v>
      </c>
      <c r="F918" s="2">
        <v>5.62</v>
      </c>
      <c r="G918" s="2">
        <v>2.3199999999999998</v>
      </c>
      <c r="H918" s="2" t="e">
        <f t="shared" si="56"/>
        <v>#NUM!</v>
      </c>
      <c r="I918" s="2">
        <f t="shared" si="57"/>
        <v>1.573015199833416E-2</v>
      </c>
      <c r="J918" s="2" t="e">
        <f t="shared" si="58"/>
        <v>#NUM!</v>
      </c>
      <c r="K918">
        <f t="shared" si="59"/>
        <v>3.8633333333333333</v>
      </c>
    </row>
    <row r="919" spans="1:11" ht="13.9" x14ac:dyDescent="0.3">
      <c r="A919" s="2" t="s">
        <v>43</v>
      </c>
      <c r="B919" s="2">
        <v>0</v>
      </c>
      <c r="C919" s="2">
        <v>0</v>
      </c>
      <c r="D919" s="2">
        <v>0</v>
      </c>
      <c r="E919" s="2">
        <v>3.75</v>
      </c>
      <c r="F919" s="2">
        <v>4.28</v>
      </c>
      <c r="G919" s="2">
        <v>3.69</v>
      </c>
      <c r="H919" s="2" t="e">
        <f t="shared" si="56"/>
        <v>#NUM!</v>
      </c>
      <c r="I919" s="2">
        <f t="shared" si="57"/>
        <v>3.1332953657204337E-5</v>
      </c>
      <c r="J919" s="2" t="e">
        <f t="shared" si="58"/>
        <v>#NUM!</v>
      </c>
      <c r="K919">
        <f t="shared" si="59"/>
        <v>3.9066666666666667</v>
      </c>
    </row>
    <row r="920" spans="1:11" s="7" customFormat="1" ht="13.9" x14ac:dyDescent="0.3">
      <c r="A920" s="2" t="s">
        <v>629</v>
      </c>
      <c r="B920" s="2">
        <v>0</v>
      </c>
      <c r="C920" s="2">
        <v>0</v>
      </c>
      <c r="D920" s="2">
        <v>0</v>
      </c>
      <c r="E920" s="2">
        <v>1.68</v>
      </c>
      <c r="F920" s="2">
        <v>4.68</v>
      </c>
      <c r="G920" s="2">
        <v>6.74</v>
      </c>
      <c r="H920" s="2" t="e">
        <f t="shared" si="56"/>
        <v>#NUM!</v>
      </c>
      <c r="I920" s="2">
        <f t="shared" si="57"/>
        <v>4.1046793121038032E-2</v>
      </c>
      <c r="J920" s="2" t="e">
        <f t="shared" si="58"/>
        <v>#NUM!</v>
      </c>
      <c r="K920">
        <f t="shared" si="59"/>
        <v>4.3666666666666663</v>
      </c>
    </row>
    <row r="921" spans="1:11" ht="13.9" x14ac:dyDescent="0.3">
      <c r="A921" s="2" t="s">
        <v>784</v>
      </c>
      <c r="B921" s="2">
        <v>0</v>
      </c>
      <c r="C921" s="2">
        <v>0</v>
      </c>
      <c r="D921" s="2">
        <v>0</v>
      </c>
      <c r="E921" s="2">
        <v>3.55</v>
      </c>
      <c r="F921" s="2">
        <v>5.21</v>
      </c>
      <c r="G921" s="2">
        <v>5.37</v>
      </c>
      <c r="H921" s="2" t="e">
        <f t="shared" si="56"/>
        <v>#NUM!</v>
      </c>
      <c r="I921" s="2">
        <f t="shared" si="57"/>
        <v>1.2656996858904359E-3</v>
      </c>
      <c r="J921" s="2" t="e">
        <f t="shared" si="58"/>
        <v>#NUM!</v>
      </c>
      <c r="K921">
        <f t="shared" si="59"/>
        <v>4.71</v>
      </c>
    </row>
    <row r="922" spans="1:11" ht="13.9" x14ac:dyDescent="0.3">
      <c r="A922" s="2" t="s">
        <v>764</v>
      </c>
      <c r="B922" s="2">
        <v>0</v>
      </c>
      <c r="C922" s="2">
        <v>0</v>
      </c>
      <c r="D922" s="2">
        <v>0</v>
      </c>
      <c r="E922" s="2">
        <v>3.36</v>
      </c>
      <c r="F922" s="2">
        <v>7.09</v>
      </c>
      <c r="G922" s="2">
        <v>3.9</v>
      </c>
      <c r="H922" s="2" t="e">
        <f t="shared" si="56"/>
        <v>#NUM!</v>
      </c>
      <c r="I922" s="2">
        <f t="shared" si="57"/>
        <v>1.4731820282112264E-2</v>
      </c>
      <c r="J922" s="2" t="e">
        <f t="shared" si="58"/>
        <v>#NUM!</v>
      </c>
      <c r="K922">
        <f t="shared" si="59"/>
        <v>4.7833333333333332</v>
      </c>
    </row>
    <row r="923" spans="1:11" ht="13.9" x14ac:dyDescent="0.3">
      <c r="A923" s="2" t="s">
        <v>435</v>
      </c>
      <c r="B923" s="2">
        <v>0</v>
      </c>
      <c r="C923" s="2">
        <v>0</v>
      </c>
      <c r="D923" s="2">
        <v>0</v>
      </c>
      <c r="E923" s="2">
        <v>4.4400000000000004</v>
      </c>
      <c r="F923" s="2">
        <v>6.42</v>
      </c>
      <c r="G923" s="2">
        <v>5.8</v>
      </c>
      <c r="H923" s="2" t="e">
        <f t="shared" si="56"/>
        <v>#NUM!</v>
      </c>
      <c r="I923" s="2">
        <f t="shared" si="57"/>
        <v>6.8600316444531752E-4</v>
      </c>
      <c r="J923" s="2" t="e">
        <f t="shared" si="58"/>
        <v>#NUM!</v>
      </c>
      <c r="K923">
        <f t="shared" si="59"/>
        <v>5.5533333333333337</v>
      </c>
    </row>
    <row r="924" spans="1:11" ht="13.9" x14ac:dyDescent="0.3">
      <c r="A924" s="2" t="s">
        <v>721</v>
      </c>
      <c r="B924" s="2">
        <v>0</v>
      </c>
      <c r="C924" s="2">
        <v>0</v>
      </c>
      <c r="D924" s="2">
        <v>0</v>
      </c>
      <c r="E924" s="2">
        <v>6.52</v>
      </c>
      <c r="F924" s="2">
        <v>3.48</v>
      </c>
      <c r="G924" s="2">
        <v>7.48</v>
      </c>
      <c r="H924" s="2" t="e">
        <f t="shared" si="56"/>
        <v>#NUM!</v>
      </c>
      <c r="I924" s="2">
        <f t="shared" si="57"/>
        <v>8.443259355777959E-3</v>
      </c>
      <c r="J924" s="2" t="e">
        <f t="shared" si="58"/>
        <v>#NUM!</v>
      </c>
      <c r="K924">
        <f t="shared" si="59"/>
        <v>5.8266666666666671</v>
      </c>
    </row>
    <row r="925" spans="1:11" ht="13.9" x14ac:dyDescent="0.3">
      <c r="A925" s="2" t="s">
        <v>94</v>
      </c>
      <c r="B925" s="2">
        <v>0</v>
      </c>
      <c r="C925" s="2">
        <v>0</v>
      </c>
      <c r="D925" s="2">
        <v>0</v>
      </c>
      <c r="E925" s="2">
        <v>5.63</v>
      </c>
      <c r="F925" s="2">
        <v>6.69</v>
      </c>
      <c r="G925" s="2">
        <v>7.48</v>
      </c>
      <c r="H925" s="2" t="e">
        <f t="shared" si="56"/>
        <v>#NUM!</v>
      </c>
      <c r="I925" s="2">
        <f t="shared" si="57"/>
        <v>2.4979911181806201E-4</v>
      </c>
      <c r="J925" s="2" t="e">
        <f t="shared" si="58"/>
        <v>#NUM!</v>
      </c>
      <c r="K925">
        <f t="shared" si="59"/>
        <v>6.6000000000000005</v>
      </c>
    </row>
    <row r="926" spans="1:11" ht="13.9" x14ac:dyDescent="0.3">
      <c r="A926" s="2" t="s">
        <v>321</v>
      </c>
      <c r="B926" s="2">
        <v>0</v>
      </c>
      <c r="C926" s="2">
        <v>0</v>
      </c>
      <c r="D926" s="2">
        <v>0</v>
      </c>
      <c r="E926" s="2">
        <v>7.7</v>
      </c>
      <c r="F926" s="2">
        <v>7.49</v>
      </c>
      <c r="G926" s="2">
        <v>5.69</v>
      </c>
      <c r="H926" s="2" t="e">
        <f t="shared" si="56"/>
        <v>#NUM!</v>
      </c>
      <c r="I926" s="2">
        <f t="shared" si="57"/>
        <v>4.006386930770159E-4</v>
      </c>
      <c r="J926" s="2" t="e">
        <f t="shared" si="58"/>
        <v>#NUM!</v>
      </c>
      <c r="K926">
        <f t="shared" si="59"/>
        <v>6.9600000000000009</v>
      </c>
    </row>
  </sheetData>
  <sortState xmlns:xlrd2="http://schemas.microsoft.com/office/spreadsheetml/2017/richdata2" ref="A2:K927">
    <sortCondition ref="H2:H927"/>
  </sortState>
  <phoneticPr fontId="1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5FF-C9E9-4846-87DE-CB8A1E1AEB0F}">
  <dimension ref="A1:K926"/>
  <sheetViews>
    <sheetView topLeftCell="A42" workbookViewId="0">
      <selection activeCell="A167" sqref="A167:A344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0" max="10" width="16.1328125" style="1" bestFit="1" customWidth="1"/>
    <col min="11" max="11" width="12.06640625" customWidth="1"/>
  </cols>
  <sheetData>
    <row r="1" spans="1:11" ht="13.9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7</v>
      </c>
      <c r="F1" s="2" t="s">
        <v>8</v>
      </c>
      <c r="G1" s="2" t="s">
        <v>9</v>
      </c>
      <c r="H1" s="3" t="s">
        <v>944</v>
      </c>
      <c r="I1" s="3" t="s">
        <v>945</v>
      </c>
      <c r="J1" s="3" t="s">
        <v>957</v>
      </c>
      <c r="K1" t="s">
        <v>960</v>
      </c>
    </row>
    <row r="2" spans="1:11" ht="13.9" x14ac:dyDescent="0.3">
      <c r="A2" s="2" t="s">
        <v>743</v>
      </c>
      <c r="B2" s="2">
        <v>3.23</v>
      </c>
      <c r="C2" s="2">
        <v>5.23</v>
      </c>
      <c r="D2" s="2">
        <v>0</v>
      </c>
      <c r="E2" s="2">
        <v>6.07</v>
      </c>
      <c r="F2" s="2">
        <v>2534.34</v>
      </c>
      <c r="G2" s="2">
        <v>9.75</v>
      </c>
      <c r="H2" s="2">
        <f t="shared" ref="H2:H65" si="0">LOG(SUM(B2:D2)/SUM(E2:G2),2)</f>
        <v>-8.2357143876029877</v>
      </c>
      <c r="I2" s="2">
        <f t="shared" ref="I2:I65" si="1">_xlfn.T.TEST(B2:D2,E2:G2,2,2)</f>
        <v>0.37131496171814832</v>
      </c>
      <c r="J2" s="2">
        <f t="shared" ref="J2:J65" si="2">LOG(SUM(B2:D2),2)</f>
        <v>3.0806576633452254</v>
      </c>
      <c r="K2">
        <f t="shared" ref="K2:K65" si="3">AVERAGE(E2:G2)</f>
        <v>850.0533333333334</v>
      </c>
    </row>
    <row r="3" spans="1:11" ht="13.9" x14ac:dyDescent="0.3">
      <c r="A3" s="2" t="s">
        <v>114</v>
      </c>
      <c r="B3" s="2">
        <v>0.18</v>
      </c>
      <c r="C3" s="2">
        <v>0</v>
      </c>
      <c r="D3" s="2">
        <v>0</v>
      </c>
      <c r="E3" s="2">
        <v>23.46</v>
      </c>
      <c r="F3" s="2">
        <v>0</v>
      </c>
      <c r="G3" s="2">
        <v>20.71</v>
      </c>
      <c r="H3" s="2">
        <f t="shared" si="0"/>
        <v>-7.938926115597841</v>
      </c>
      <c r="I3" s="2">
        <f t="shared" si="1"/>
        <v>0.11876036611070445</v>
      </c>
      <c r="J3" s="2">
        <f t="shared" si="2"/>
        <v>-2.4739311883324122</v>
      </c>
      <c r="K3">
        <f t="shared" si="3"/>
        <v>14.723333333333334</v>
      </c>
    </row>
    <row r="4" spans="1:11" ht="13.9" x14ac:dyDescent="0.3">
      <c r="A4" s="2" t="s">
        <v>606</v>
      </c>
      <c r="B4" s="2">
        <v>0</v>
      </c>
      <c r="C4" s="2">
        <v>3.56</v>
      </c>
      <c r="D4" s="2">
        <v>0</v>
      </c>
      <c r="E4" s="2">
        <v>6.79</v>
      </c>
      <c r="F4" s="2">
        <v>408.76</v>
      </c>
      <c r="G4" s="2">
        <v>7.44</v>
      </c>
      <c r="H4" s="2">
        <f t="shared" si="0"/>
        <v>-6.8926025052593811</v>
      </c>
      <c r="I4" s="2">
        <f t="shared" si="1"/>
        <v>0.35532584465594758</v>
      </c>
      <c r="J4" s="2">
        <f t="shared" si="2"/>
        <v>1.8318772411916731</v>
      </c>
      <c r="K4">
        <f t="shared" si="3"/>
        <v>140.99666666666667</v>
      </c>
    </row>
    <row r="5" spans="1:11" ht="13.9" x14ac:dyDescent="0.3">
      <c r="A5" s="2" t="s">
        <v>495</v>
      </c>
      <c r="B5" s="2">
        <v>3.23</v>
      </c>
      <c r="C5" s="2">
        <v>1.26</v>
      </c>
      <c r="D5" s="2">
        <v>3.52</v>
      </c>
      <c r="E5" s="2">
        <v>1.1299999999999999</v>
      </c>
      <c r="F5" s="2">
        <v>899.28</v>
      </c>
      <c r="G5" s="2">
        <v>0.68</v>
      </c>
      <c r="H5" s="2">
        <f t="shared" si="0"/>
        <v>-6.8137251553651135</v>
      </c>
      <c r="I5" s="2">
        <f t="shared" si="1"/>
        <v>0.37644010739418665</v>
      </c>
      <c r="J5" s="2">
        <f t="shared" si="2"/>
        <v>3.0018022426339854</v>
      </c>
      <c r="K5">
        <f t="shared" si="3"/>
        <v>300.36333333333329</v>
      </c>
    </row>
    <row r="6" spans="1:11" ht="13.9" x14ac:dyDescent="0.3">
      <c r="A6" s="2" t="s">
        <v>78</v>
      </c>
      <c r="B6" s="2">
        <v>2.52</v>
      </c>
      <c r="C6" s="2">
        <v>1.05</v>
      </c>
      <c r="D6" s="2">
        <v>1.51</v>
      </c>
      <c r="E6" s="2">
        <v>1.03</v>
      </c>
      <c r="F6" s="2">
        <v>531.39</v>
      </c>
      <c r="G6" s="2">
        <v>0.95</v>
      </c>
      <c r="H6" s="2">
        <f t="shared" si="0"/>
        <v>-6.7141643739308501</v>
      </c>
      <c r="I6" s="2">
        <f t="shared" si="1"/>
        <v>0.37561357397707523</v>
      </c>
      <c r="J6" s="2">
        <f t="shared" si="2"/>
        <v>2.3448284969974416</v>
      </c>
      <c r="K6">
        <f t="shared" si="3"/>
        <v>177.79</v>
      </c>
    </row>
    <row r="7" spans="1:11" ht="13.9" x14ac:dyDescent="0.3">
      <c r="A7" s="2" t="s">
        <v>77</v>
      </c>
      <c r="B7" s="2">
        <v>2.52</v>
      </c>
      <c r="C7" s="2">
        <v>1.05</v>
      </c>
      <c r="D7" s="2">
        <v>1.51</v>
      </c>
      <c r="E7" s="2">
        <v>1.03</v>
      </c>
      <c r="F7" s="2">
        <v>531.39</v>
      </c>
      <c r="G7" s="2">
        <v>0</v>
      </c>
      <c r="H7" s="2">
        <f t="shared" si="0"/>
        <v>-6.7115924589160301</v>
      </c>
      <c r="I7" s="2">
        <f t="shared" si="1"/>
        <v>0.37677118818203398</v>
      </c>
      <c r="J7" s="2">
        <f t="shared" si="2"/>
        <v>2.3448284969974416</v>
      </c>
      <c r="K7">
        <f t="shared" si="3"/>
        <v>177.47333333333333</v>
      </c>
    </row>
    <row r="8" spans="1:11" ht="13.9" x14ac:dyDescent="0.3">
      <c r="A8" s="2" t="s">
        <v>668</v>
      </c>
      <c r="B8" s="2">
        <v>0</v>
      </c>
      <c r="C8" s="2">
        <v>0</v>
      </c>
      <c r="D8" s="2">
        <v>0.5</v>
      </c>
      <c r="E8" s="2">
        <v>0.51</v>
      </c>
      <c r="F8" s="2">
        <v>40.880000000000003</v>
      </c>
      <c r="G8" s="2">
        <v>1.49</v>
      </c>
      <c r="H8" s="2">
        <f t="shared" si="0"/>
        <v>-6.4222330006830477</v>
      </c>
      <c r="I8" s="2">
        <f t="shared" si="1"/>
        <v>0.34795402272128773</v>
      </c>
      <c r="J8" s="2">
        <f t="shared" si="2"/>
        <v>-1</v>
      </c>
      <c r="K8">
        <f t="shared" si="3"/>
        <v>14.293333333333335</v>
      </c>
    </row>
    <row r="9" spans="1:11" ht="13.9" x14ac:dyDescent="0.3">
      <c r="A9" s="2" t="s">
        <v>83</v>
      </c>
      <c r="B9" s="2">
        <v>0</v>
      </c>
      <c r="C9" s="2">
        <v>2.5099999999999998</v>
      </c>
      <c r="D9" s="2">
        <v>0</v>
      </c>
      <c r="E9" s="2">
        <v>4.63</v>
      </c>
      <c r="F9" s="2">
        <v>204.38</v>
      </c>
      <c r="G9" s="2">
        <v>1.76</v>
      </c>
      <c r="H9" s="2">
        <f t="shared" si="0"/>
        <v>-6.3918383608315095</v>
      </c>
      <c r="I9" s="2">
        <f t="shared" si="1"/>
        <v>0.35913333185086571</v>
      </c>
      <c r="J9" s="2">
        <f t="shared" si="2"/>
        <v>1.3276873641760472</v>
      </c>
      <c r="K9">
        <f t="shared" si="3"/>
        <v>70.256666666666661</v>
      </c>
    </row>
    <row r="10" spans="1:11" ht="13.9" x14ac:dyDescent="0.3">
      <c r="A10" s="2" t="s">
        <v>84</v>
      </c>
      <c r="B10" s="2">
        <v>0</v>
      </c>
      <c r="C10" s="2">
        <v>2.5099999999999998</v>
      </c>
      <c r="D10" s="2">
        <v>0</v>
      </c>
      <c r="E10" s="2">
        <v>4.63</v>
      </c>
      <c r="F10" s="2">
        <v>204.38</v>
      </c>
      <c r="G10" s="2">
        <v>1.76</v>
      </c>
      <c r="H10" s="2">
        <f t="shared" si="0"/>
        <v>-6.3918383608315095</v>
      </c>
      <c r="I10" s="2">
        <f t="shared" si="1"/>
        <v>0.35913333185086571</v>
      </c>
      <c r="J10" s="2">
        <f t="shared" si="2"/>
        <v>1.3276873641760472</v>
      </c>
      <c r="K10">
        <f t="shared" si="3"/>
        <v>70.256666666666661</v>
      </c>
    </row>
    <row r="11" spans="1:11" ht="13.9" x14ac:dyDescent="0.3">
      <c r="A11" s="2" t="s">
        <v>203</v>
      </c>
      <c r="B11" s="2">
        <v>0</v>
      </c>
      <c r="C11" s="2">
        <v>1.67</v>
      </c>
      <c r="D11" s="2">
        <v>0.5</v>
      </c>
      <c r="E11" s="2">
        <v>3.5</v>
      </c>
      <c r="F11" s="2">
        <v>163.51</v>
      </c>
      <c r="G11" s="2">
        <v>9.07</v>
      </c>
      <c r="H11" s="2">
        <f t="shared" si="0"/>
        <v>-6.3423921974470785</v>
      </c>
      <c r="I11" s="2">
        <f t="shared" si="1"/>
        <v>0.33093918298579245</v>
      </c>
      <c r="J11" s="2">
        <f t="shared" si="2"/>
        <v>1.1176950426697545</v>
      </c>
      <c r="K11">
        <f t="shared" si="3"/>
        <v>58.693333333333328</v>
      </c>
    </row>
    <row r="12" spans="1:11" ht="13.9" x14ac:dyDescent="0.3">
      <c r="A12" s="2" t="s">
        <v>188</v>
      </c>
      <c r="B12" s="2">
        <v>0</v>
      </c>
      <c r="C12" s="2">
        <v>4.5999999999999996</v>
      </c>
      <c r="D12" s="2">
        <v>0</v>
      </c>
      <c r="E12" s="2">
        <v>2.88</v>
      </c>
      <c r="F12" s="2">
        <v>286.13</v>
      </c>
      <c r="G12" s="2">
        <v>12.18</v>
      </c>
      <c r="H12" s="2">
        <f t="shared" si="0"/>
        <v>-6.0328961995780457</v>
      </c>
      <c r="I12" s="2">
        <f t="shared" si="1"/>
        <v>0.34730211223576724</v>
      </c>
      <c r="J12" s="2">
        <f t="shared" si="2"/>
        <v>2.2016338611696504</v>
      </c>
      <c r="K12">
        <f t="shared" si="3"/>
        <v>100.39666666666666</v>
      </c>
    </row>
    <row r="13" spans="1:11" ht="13.9" x14ac:dyDescent="0.3">
      <c r="A13" s="2" t="s">
        <v>271</v>
      </c>
      <c r="B13" s="2">
        <v>350.5</v>
      </c>
      <c r="C13" s="2">
        <v>533.46</v>
      </c>
      <c r="D13" s="2">
        <v>381.08</v>
      </c>
      <c r="E13" s="2">
        <v>646.25</v>
      </c>
      <c r="F13" s="2">
        <v>60864.94</v>
      </c>
      <c r="G13" s="2">
        <v>712.34</v>
      </c>
      <c r="H13" s="2">
        <f t="shared" si="0"/>
        <v>-5.6202053345283964</v>
      </c>
      <c r="I13" s="2">
        <f t="shared" si="1"/>
        <v>0.36842523136575012</v>
      </c>
      <c r="J13" s="2">
        <f t="shared" si="2"/>
        <v>10.304967287675964</v>
      </c>
      <c r="K13">
        <f t="shared" si="3"/>
        <v>20741.176666666666</v>
      </c>
    </row>
    <row r="14" spans="1:11" ht="13.9" x14ac:dyDescent="0.3">
      <c r="A14" s="2" t="s">
        <v>140</v>
      </c>
      <c r="B14" s="2">
        <v>229.78</v>
      </c>
      <c r="C14" s="2">
        <v>348.45</v>
      </c>
      <c r="D14" s="2">
        <v>358.46</v>
      </c>
      <c r="E14" s="2">
        <v>297.56</v>
      </c>
      <c r="F14" s="2">
        <v>42511.45</v>
      </c>
      <c r="G14" s="2">
        <v>255</v>
      </c>
      <c r="H14" s="2">
        <f t="shared" si="0"/>
        <v>-5.5227671920693719</v>
      </c>
      <c r="I14" s="2">
        <f t="shared" si="1"/>
        <v>0.37500068654065061</v>
      </c>
      <c r="J14" s="2">
        <f t="shared" si="2"/>
        <v>9.8714278529618724</v>
      </c>
      <c r="K14">
        <f t="shared" si="3"/>
        <v>14354.669999999998</v>
      </c>
    </row>
    <row r="15" spans="1:11" ht="13.9" x14ac:dyDescent="0.3">
      <c r="A15" s="2" t="s">
        <v>940</v>
      </c>
      <c r="B15" s="2">
        <v>0</v>
      </c>
      <c r="C15" s="2">
        <v>0.21</v>
      </c>
      <c r="D15" s="2">
        <v>0</v>
      </c>
      <c r="E15" s="2">
        <v>4.12</v>
      </c>
      <c r="F15" s="2">
        <v>0</v>
      </c>
      <c r="G15" s="2">
        <v>4.2</v>
      </c>
      <c r="H15" s="2">
        <f t="shared" si="0"/>
        <v>-5.3081222953623319</v>
      </c>
      <c r="I15" s="2">
        <f t="shared" si="1"/>
        <v>0.12341386205590338</v>
      </c>
      <c r="J15" s="2">
        <f t="shared" si="2"/>
        <v>-2.2515387669959646</v>
      </c>
      <c r="K15">
        <f t="shared" si="3"/>
        <v>2.7733333333333334</v>
      </c>
    </row>
    <row r="16" spans="1:11" ht="13.9" x14ac:dyDescent="0.3">
      <c r="A16" s="2" t="s">
        <v>391</v>
      </c>
      <c r="B16" s="2">
        <v>1.62</v>
      </c>
      <c r="C16" s="2">
        <v>9</v>
      </c>
      <c r="D16" s="2">
        <v>4.0199999999999996</v>
      </c>
      <c r="E16" s="2">
        <v>10.49</v>
      </c>
      <c r="F16" s="2">
        <v>490.52</v>
      </c>
      <c r="G16" s="2">
        <v>24.23</v>
      </c>
      <c r="H16" s="2">
        <f t="shared" si="0"/>
        <v>-5.1649893310761614</v>
      </c>
      <c r="I16" s="2">
        <f t="shared" si="1"/>
        <v>0.34143387252390678</v>
      </c>
      <c r="J16" s="2">
        <f t="shared" si="2"/>
        <v>3.8718436485093184</v>
      </c>
      <c r="K16">
        <f t="shared" si="3"/>
        <v>175.08</v>
      </c>
    </row>
    <row r="17" spans="1:11" ht="13.9" x14ac:dyDescent="0.3">
      <c r="A17" s="2" t="s">
        <v>447</v>
      </c>
      <c r="B17" s="2">
        <v>0</v>
      </c>
      <c r="C17" s="2">
        <v>0</v>
      </c>
      <c r="D17" s="2">
        <v>6.03</v>
      </c>
      <c r="E17" s="2">
        <v>0.1</v>
      </c>
      <c r="F17" s="2">
        <v>204.38</v>
      </c>
      <c r="G17" s="2">
        <v>0</v>
      </c>
      <c r="H17" s="2">
        <f t="shared" si="0"/>
        <v>-5.0836579290469093</v>
      </c>
      <c r="I17" s="2">
        <f t="shared" si="1"/>
        <v>0.38662085009528596</v>
      </c>
      <c r="J17" s="2">
        <f t="shared" si="2"/>
        <v>2.5921580021253603</v>
      </c>
      <c r="K17">
        <f t="shared" si="3"/>
        <v>68.16</v>
      </c>
    </row>
    <row r="18" spans="1:11" ht="13.9" x14ac:dyDescent="0.3">
      <c r="A18" s="2" t="s">
        <v>105</v>
      </c>
      <c r="B18" s="2">
        <v>0</v>
      </c>
      <c r="C18" s="2">
        <v>2.5099999999999998</v>
      </c>
      <c r="D18" s="2">
        <v>11.06</v>
      </c>
      <c r="E18" s="2">
        <v>2.06</v>
      </c>
      <c r="F18" s="2">
        <v>327.01</v>
      </c>
      <c r="G18" s="2">
        <v>3.79</v>
      </c>
      <c r="H18" s="2">
        <f t="shared" si="0"/>
        <v>-4.6164228854351803</v>
      </c>
      <c r="I18" s="2">
        <f t="shared" si="1"/>
        <v>0.38051071779870566</v>
      </c>
      <c r="J18" s="2">
        <f t="shared" si="2"/>
        <v>3.7623488156441294</v>
      </c>
      <c r="K18">
        <f t="shared" si="3"/>
        <v>110.95333333333333</v>
      </c>
    </row>
    <row r="19" spans="1:11" ht="13.9" x14ac:dyDescent="0.3">
      <c r="A19" s="2" t="s">
        <v>274</v>
      </c>
      <c r="B19" s="2">
        <v>0.36</v>
      </c>
      <c r="C19" s="2">
        <v>6.7</v>
      </c>
      <c r="D19" s="2">
        <v>2.5099999999999998</v>
      </c>
      <c r="E19" s="2">
        <v>15.43</v>
      </c>
      <c r="F19" s="2">
        <v>163.51</v>
      </c>
      <c r="G19" s="2">
        <v>34.380000000000003</v>
      </c>
      <c r="H19" s="2">
        <f t="shared" si="0"/>
        <v>-4.4783564981969688</v>
      </c>
      <c r="I19" s="2">
        <f t="shared" si="1"/>
        <v>0.21842027075448833</v>
      </c>
      <c r="J19" s="2">
        <f t="shared" si="2"/>
        <v>3.2585189247113013</v>
      </c>
      <c r="K19">
        <f t="shared" si="3"/>
        <v>71.106666666666669</v>
      </c>
    </row>
    <row r="20" spans="1:11" ht="13.9" x14ac:dyDescent="0.3">
      <c r="A20" s="2" t="s">
        <v>638</v>
      </c>
      <c r="B20" s="2">
        <v>11.32</v>
      </c>
      <c r="C20" s="2">
        <v>2.72</v>
      </c>
      <c r="D20" s="2">
        <v>0</v>
      </c>
      <c r="E20" s="2">
        <v>2.06</v>
      </c>
      <c r="F20" s="2">
        <v>286.13</v>
      </c>
      <c r="G20" s="2">
        <v>0.27</v>
      </c>
      <c r="H20" s="2">
        <f t="shared" si="0"/>
        <v>-4.3607564372056071</v>
      </c>
      <c r="I20" s="2">
        <f t="shared" si="1"/>
        <v>0.3903660290759865</v>
      </c>
      <c r="J20" s="2">
        <f t="shared" si="2"/>
        <v>3.8114710305298365</v>
      </c>
      <c r="K20">
        <f t="shared" si="3"/>
        <v>96.153333333333322</v>
      </c>
    </row>
    <row r="21" spans="1:11" ht="13.9" x14ac:dyDescent="0.3">
      <c r="A21" s="2" t="s">
        <v>299</v>
      </c>
      <c r="B21" s="2">
        <v>134.02000000000001</v>
      </c>
      <c r="C21" s="2">
        <v>231.46</v>
      </c>
      <c r="D21" s="2">
        <v>117.64</v>
      </c>
      <c r="E21" s="2">
        <v>310.11</v>
      </c>
      <c r="F21" s="2">
        <v>8052.65</v>
      </c>
      <c r="G21" s="2">
        <v>348.11</v>
      </c>
      <c r="H21" s="2">
        <f t="shared" si="0"/>
        <v>-4.172363332289474</v>
      </c>
      <c r="I21" s="2">
        <f t="shared" si="1"/>
        <v>0.34682464247921085</v>
      </c>
      <c r="J21" s="2">
        <f t="shared" si="2"/>
        <v>8.9162377678677718</v>
      </c>
      <c r="K21">
        <f t="shared" si="3"/>
        <v>2903.6233333333334</v>
      </c>
    </row>
    <row r="22" spans="1:11" ht="13.9" x14ac:dyDescent="0.3">
      <c r="A22" s="2" t="s">
        <v>869</v>
      </c>
      <c r="B22" s="2">
        <v>0</v>
      </c>
      <c r="C22" s="2">
        <v>0.21</v>
      </c>
      <c r="D22" s="2">
        <v>0</v>
      </c>
      <c r="E22" s="2">
        <v>3.19</v>
      </c>
      <c r="F22" s="2">
        <v>0</v>
      </c>
      <c r="G22" s="2">
        <v>0.54</v>
      </c>
      <c r="H22" s="2">
        <f t="shared" si="0"/>
        <v>-4.1507143974764773</v>
      </c>
      <c r="I22" s="2">
        <f t="shared" si="1"/>
        <v>0.30079104702015669</v>
      </c>
      <c r="J22" s="2">
        <f t="shared" si="2"/>
        <v>-2.2515387669959646</v>
      </c>
      <c r="K22">
        <f t="shared" si="3"/>
        <v>1.2433333333333334</v>
      </c>
    </row>
    <row r="23" spans="1:11" ht="13.9" x14ac:dyDescent="0.3">
      <c r="A23" s="2" t="s">
        <v>197</v>
      </c>
      <c r="B23" s="2">
        <v>0</v>
      </c>
      <c r="C23" s="2">
        <v>5.65</v>
      </c>
      <c r="D23" s="2">
        <v>1.01</v>
      </c>
      <c r="E23" s="2">
        <v>40.85</v>
      </c>
      <c r="F23" s="2">
        <v>40.880000000000003</v>
      </c>
      <c r="G23" s="2">
        <v>31.67</v>
      </c>
      <c r="H23" s="2">
        <f t="shared" si="0"/>
        <v>-4.0897546527583293</v>
      </c>
      <c r="I23" s="2">
        <f t="shared" si="1"/>
        <v>5.4165416743390986E-4</v>
      </c>
      <c r="J23" s="2">
        <f t="shared" si="2"/>
        <v>2.7355221772965375</v>
      </c>
      <c r="K23">
        <f t="shared" si="3"/>
        <v>37.800000000000004</v>
      </c>
    </row>
    <row r="24" spans="1:11" ht="13.9" x14ac:dyDescent="0.3">
      <c r="A24" s="2" t="s">
        <v>261</v>
      </c>
      <c r="B24" s="2">
        <v>0</v>
      </c>
      <c r="C24" s="2">
        <v>2.72</v>
      </c>
      <c r="D24" s="2">
        <v>0</v>
      </c>
      <c r="E24" s="2">
        <v>0.72</v>
      </c>
      <c r="F24" s="2">
        <v>40.880000000000003</v>
      </c>
      <c r="G24" s="2">
        <v>4.47</v>
      </c>
      <c r="H24" s="2">
        <f t="shared" si="0"/>
        <v>-4.0821490413538717</v>
      </c>
      <c r="I24" s="2">
        <f t="shared" si="1"/>
        <v>0.32336505986288888</v>
      </c>
      <c r="J24" s="2">
        <f t="shared" si="2"/>
        <v>1.4436066514756147</v>
      </c>
      <c r="K24">
        <f t="shared" si="3"/>
        <v>15.356666666666667</v>
      </c>
    </row>
    <row r="25" spans="1:11" ht="13.9" x14ac:dyDescent="0.3">
      <c r="A25" s="2" t="s">
        <v>211</v>
      </c>
      <c r="B25" s="2">
        <v>6.65</v>
      </c>
      <c r="C25" s="2">
        <v>6.28</v>
      </c>
      <c r="D25" s="2">
        <v>0</v>
      </c>
      <c r="E25" s="2">
        <v>0</v>
      </c>
      <c r="F25" s="2">
        <v>204.38</v>
      </c>
      <c r="G25" s="2">
        <v>0</v>
      </c>
      <c r="H25" s="2">
        <f t="shared" si="0"/>
        <v>-3.982459845209696</v>
      </c>
      <c r="I25" s="2">
        <f t="shared" si="1"/>
        <v>0.40214240578194654</v>
      </c>
      <c r="J25" s="2">
        <f t="shared" si="2"/>
        <v>3.6926503700355298</v>
      </c>
      <c r="K25">
        <f t="shared" si="3"/>
        <v>68.126666666666665</v>
      </c>
    </row>
    <row r="26" spans="1:11" ht="13.9" x14ac:dyDescent="0.3">
      <c r="A26" s="2" t="s">
        <v>912</v>
      </c>
      <c r="B26" s="2">
        <v>0.18</v>
      </c>
      <c r="C26" s="2">
        <v>7.12</v>
      </c>
      <c r="D26" s="2">
        <v>0.5</v>
      </c>
      <c r="E26" s="2">
        <v>22.22</v>
      </c>
      <c r="F26" s="2">
        <v>81.75</v>
      </c>
      <c r="G26" s="2">
        <v>15.7</v>
      </c>
      <c r="H26" s="2">
        <f t="shared" si="0"/>
        <v>-3.9394435950587088</v>
      </c>
      <c r="I26" s="2">
        <f t="shared" si="1"/>
        <v>0.15244953229162092</v>
      </c>
      <c r="J26" s="2">
        <f t="shared" si="2"/>
        <v>2.9634741239748865</v>
      </c>
      <c r="K26">
        <f t="shared" si="3"/>
        <v>39.89</v>
      </c>
    </row>
    <row r="27" spans="1:11" ht="13.9" x14ac:dyDescent="0.3">
      <c r="A27" s="2" t="s">
        <v>781</v>
      </c>
      <c r="B27" s="2">
        <v>11.68</v>
      </c>
      <c r="C27" s="2">
        <v>31.18</v>
      </c>
      <c r="D27" s="2">
        <v>45.25</v>
      </c>
      <c r="E27" s="2">
        <v>52.06</v>
      </c>
      <c r="F27" s="2">
        <v>1185.42</v>
      </c>
      <c r="G27" s="2">
        <v>88.65</v>
      </c>
      <c r="H27" s="2">
        <f t="shared" si="0"/>
        <v>-3.9117726325986748</v>
      </c>
      <c r="I27" s="2">
        <f t="shared" si="1"/>
        <v>0.32944549668196982</v>
      </c>
      <c r="J27" s="2">
        <f t="shared" si="2"/>
        <v>6.4612338612712827</v>
      </c>
      <c r="K27">
        <f t="shared" si="3"/>
        <v>442.04333333333335</v>
      </c>
    </row>
    <row r="28" spans="1:11" ht="13.9" x14ac:dyDescent="0.3">
      <c r="A28" s="2" t="s">
        <v>594</v>
      </c>
      <c r="B28" s="2">
        <v>0.18</v>
      </c>
      <c r="C28" s="2">
        <v>9.84</v>
      </c>
      <c r="D28" s="2">
        <v>1.01</v>
      </c>
      <c r="E28" s="2">
        <v>95.17</v>
      </c>
      <c r="F28" s="2">
        <v>0</v>
      </c>
      <c r="G28" s="2">
        <v>64.56</v>
      </c>
      <c r="H28" s="2">
        <f t="shared" si="0"/>
        <v>-3.8561306047255828</v>
      </c>
      <c r="I28" s="2">
        <f t="shared" si="1"/>
        <v>0.15385129429623917</v>
      </c>
      <c r="J28" s="2">
        <f t="shared" si="2"/>
        <v>3.463360885816658</v>
      </c>
      <c r="K28">
        <f t="shared" si="3"/>
        <v>53.243333333333339</v>
      </c>
    </row>
    <row r="29" spans="1:11" ht="13.9" x14ac:dyDescent="0.3">
      <c r="A29" s="2" t="s">
        <v>255</v>
      </c>
      <c r="B29" s="2">
        <v>0.36</v>
      </c>
      <c r="C29" s="2">
        <v>18</v>
      </c>
      <c r="D29" s="2">
        <v>17.09</v>
      </c>
      <c r="E29" s="2">
        <v>9.0500000000000007</v>
      </c>
      <c r="F29" s="2">
        <v>408.76</v>
      </c>
      <c r="G29" s="2">
        <v>46.69</v>
      </c>
      <c r="H29" s="2">
        <f t="shared" si="0"/>
        <v>-3.7118210640304992</v>
      </c>
      <c r="I29" s="2">
        <f t="shared" si="1"/>
        <v>0.32496181376593569</v>
      </c>
      <c r="J29" s="2">
        <f t="shared" si="2"/>
        <v>5.1477137223521536</v>
      </c>
      <c r="K29">
        <f t="shared" si="3"/>
        <v>154.83333333333334</v>
      </c>
    </row>
    <row r="30" spans="1:11" ht="13.9" x14ac:dyDescent="0.3">
      <c r="A30" s="2" t="s">
        <v>138</v>
      </c>
      <c r="B30" s="2">
        <v>0</v>
      </c>
      <c r="C30" s="2">
        <v>0.21</v>
      </c>
      <c r="D30" s="2">
        <v>0</v>
      </c>
      <c r="E30" s="2">
        <v>0.41</v>
      </c>
      <c r="F30" s="2">
        <v>0</v>
      </c>
      <c r="G30" s="2">
        <v>2.2999999999999998</v>
      </c>
      <c r="H30" s="2">
        <f t="shared" si="0"/>
        <v>-3.6898316185751114</v>
      </c>
      <c r="I30" s="2">
        <f t="shared" si="1"/>
        <v>0.30665651032988844</v>
      </c>
      <c r="J30" s="2">
        <f t="shared" si="2"/>
        <v>-2.2515387669959646</v>
      </c>
      <c r="K30">
        <f t="shared" si="3"/>
        <v>0.90333333333333332</v>
      </c>
    </row>
    <row r="31" spans="1:11" ht="13.9" x14ac:dyDescent="0.3">
      <c r="A31" s="2" t="s">
        <v>476</v>
      </c>
      <c r="B31" s="2">
        <v>7.01</v>
      </c>
      <c r="C31" s="2">
        <v>20.93</v>
      </c>
      <c r="D31" s="2">
        <v>1.01</v>
      </c>
      <c r="E31" s="2">
        <v>1.75</v>
      </c>
      <c r="F31" s="2">
        <v>327.01</v>
      </c>
      <c r="G31" s="2">
        <v>1.35</v>
      </c>
      <c r="H31" s="2">
        <f t="shared" si="0"/>
        <v>-3.5113115893589866</v>
      </c>
      <c r="I31" s="2">
        <f t="shared" si="1"/>
        <v>0.40779469401161578</v>
      </c>
      <c r="J31" s="2">
        <f t="shared" si="2"/>
        <v>4.8554914431018741</v>
      </c>
      <c r="K31">
        <f t="shared" si="3"/>
        <v>110.03666666666668</v>
      </c>
    </row>
    <row r="32" spans="1:11" ht="13.9" x14ac:dyDescent="0.3">
      <c r="A32" s="2" t="s">
        <v>212</v>
      </c>
      <c r="B32" s="2">
        <v>0</v>
      </c>
      <c r="C32" s="2">
        <v>8.58</v>
      </c>
      <c r="D32" s="2">
        <v>0</v>
      </c>
      <c r="E32" s="2">
        <v>20.48</v>
      </c>
      <c r="F32" s="2">
        <v>40.880000000000003</v>
      </c>
      <c r="G32" s="2">
        <v>33.299999999999997</v>
      </c>
      <c r="H32" s="2">
        <f t="shared" si="0"/>
        <v>-3.4637053692388178</v>
      </c>
      <c r="I32" s="2">
        <f t="shared" si="1"/>
        <v>1.2210952772358671E-2</v>
      </c>
      <c r="J32" s="2">
        <f t="shared" si="2"/>
        <v>3.1009776477248212</v>
      </c>
      <c r="K32">
        <f t="shared" si="3"/>
        <v>31.553333333333331</v>
      </c>
    </row>
    <row r="33" spans="1:11" ht="13.9" x14ac:dyDescent="0.3">
      <c r="A33" s="2" t="s">
        <v>214</v>
      </c>
      <c r="B33" s="2">
        <v>0</v>
      </c>
      <c r="C33" s="2">
        <v>8.58</v>
      </c>
      <c r="D33" s="2">
        <v>0</v>
      </c>
      <c r="E33" s="2">
        <v>20.48</v>
      </c>
      <c r="F33" s="2">
        <v>40.880000000000003</v>
      </c>
      <c r="G33" s="2">
        <v>33.299999999999997</v>
      </c>
      <c r="H33" s="2">
        <f t="shared" si="0"/>
        <v>-3.4637053692388178</v>
      </c>
      <c r="I33" s="2">
        <f t="shared" si="1"/>
        <v>1.2210952772358671E-2</v>
      </c>
      <c r="J33" s="2">
        <f t="shared" si="2"/>
        <v>3.1009776477248212</v>
      </c>
      <c r="K33">
        <f t="shared" si="3"/>
        <v>31.553333333333331</v>
      </c>
    </row>
    <row r="34" spans="1:11" ht="13.9" x14ac:dyDescent="0.3">
      <c r="A34" s="2" t="s">
        <v>819</v>
      </c>
      <c r="B34" s="2">
        <v>0.18</v>
      </c>
      <c r="C34" s="2">
        <v>0</v>
      </c>
      <c r="D34" s="2">
        <v>0</v>
      </c>
      <c r="E34" s="2">
        <v>0.51</v>
      </c>
      <c r="F34" s="2">
        <v>0</v>
      </c>
      <c r="G34" s="2">
        <v>1.35</v>
      </c>
      <c r="H34" s="2">
        <f t="shared" si="0"/>
        <v>-3.3692338096657193</v>
      </c>
      <c r="I34" s="2">
        <f t="shared" si="1"/>
        <v>0.23227863569881238</v>
      </c>
      <c r="J34" s="2">
        <f t="shared" si="2"/>
        <v>-2.4739311883324122</v>
      </c>
      <c r="K34">
        <f t="shared" si="3"/>
        <v>0.62</v>
      </c>
    </row>
    <row r="35" spans="1:11" ht="13.9" x14ac:dyDescent="0.3">
      <c r="A35" s="2" t="s">
        <v>122</v>
      </c>
      <c r="B35" s="2">
        <v>0.36</v>
      </c>
      <c r="C35" s="2">
        <v>0</v>
      </c>
      <c r="D35" s="2">
        <v>0</v>
      </c>
      <c r="E35" s="2">
        <v>2.88</v>
      </c>
      <c r="F35" s="2">
        <v>0</v>
      </c>
      <c r="G35" s="2">
        <v>0.68</v>
      </c>
      <c r="H35" s="2">
        <f t="shared" si="0"/>
        <v>-3.3058084295240855</v>
      </c>
      <c r="I35" s="2">
        <f t="shared" si="1"/>
        <v>0.2909207047722947</v>
      </c>
      <c r="J35" s="2">
        <f t="shared" si="2"/>
        <v>-1.4739311883324124</v>
      </c>
      <c r="K35">
        <f t="shared" si="3"/>
        <v>1.1866666666666668</v>
      </c>
    </row>
    <row r="36" spans="1:11" ht="13.9" x14ac:dyDescent="0.3">
      <c r="A36" s="2" t="s">
        <v>377</v>
      </c>
      <c r="B36" s="2">
        <v>0.18</v>
      </c>
      <c r="C36" s="2">
        <v>4.8099999999999996</v>
      </c>
      <c r="D36" s="2">
        <v>27.65</v>
      </c>
      <c r="E36" s="2">
        <v>4.12</v>
      </c>
      <c r="F36" s="2">
        <v>286.13</v>
      </c>
      <c r="G36" s="2">
        <v>2.17</v>
      </c>
      <c r="H36" s="2">
        <f t="shared" si="0"/>
        <v>-3.1633290250450048</v>
      </c>
      <c r="I36" s="2">
        <f t="shared" si="1"/>
        <v>0.41229333965147053</v>
      </c>
      <c r="J36" s="2">
        <f t="shared" si="2"/>
        <v>5.0285691521967708</v>
      </c>
      <c r="K36">
        <f t="shared" si="3"/>
        <v>97.473333333333343</v>
      </c>
    </row>
    <row r="37" spans="1:11" ht="13.9" x14ac:dyDescent="0.3">
      <c r="A37" s="2" t="s">
        <v>201</v>
      </c>
      <c r="B37" s="2">
        <v>1.26</v>
      </c>
      <c r="C37" s="2">
        <v>11.93</v>
      </c>
      <c r="D37" s="2">
        <v>65.36</v>
      </c>
      <c r="E37" s="2">
        <v>16.05</v>
      </c>
      <c r="F37" s="2">
        <v>613.15</v>
      </c>
      <c r="G37" s="2">
        <v>29.24</v>
      </c>
      <c r="H37" s="2">
        <f t="shared" si="0"/>
        <v>-3.0673688010094704</v>
      </c>
      <c r="I37" s="2">
        <f t="shared" si="1"/>
        <v>0.38393433935987986</v>
      </c>
      <c r="J37" s="2">
        <f t="shared" si="2"/>
        <v>6.2955393704068339</v>
      </c>
      <c r="K37">
        <f t="shared" si="3"/>
        <v>219.48</v>
      </c>
    </row>
    <row r="38" spans="1:11" ht="13.9" x14ac:dyDescent="0.3">
      <c r="A38" s="2" t="s">
        <v>55</v>
      </c>
      <c r="B38" s="2">
        <v>0</v>
      </c>
      <c r="C38" s="2">
        <v>11.09</v>
      </c>
      <c r="D38" s="2">
        <v>0.5</v>
      </c>
      <c r="E38" s="2">
        <v>27.88</v>
      </c>
      <c r="F38" s="2">
        <v>40.880000000000003</v>
      </c>
      <c r="G38" s="2">
        <v>27.2</v>
      </c>
      <c r="H38" s="2">
        <f t="shared" si="0"/>
        <v>-3.0495525912869632</v>
      </c>
      <c r="I38" s="2">
        <f t="shared" si="1"/>
        <v>8.0212352777543645E-3</v>
      </c>
      <c r="J38" s="2">
        <f t="shared" si="2"/>
        <v>3.5348086612317471</v>
      </c>
      <c r="K38">
        <f t="shared" si="3"/>
        <v>31.986666666666668</v>
      </c>
    </row>
    <row r="39" spans="1:11" ht="13.9" x14ac:dyDescent="0.3">
      <c r="A39" s="2" t="s">
        <v>136</v>
      </c>
      <c r="B39" s="2">
        <v>1053.1300000000001</v>
      </c>
      <c r="C39" s="2">
        <v>1918.69</v>
      </c>
      <c r="D39" s="2">
        <v>2716.82</v>
      </c>
      <c r="E39" s="2">
        <v>1360.71</v>
      </c>
      <c r="F39" s="2">
        <v>35889.47</v>
      </c>
      <c r="G39" s="2">
        <v>3015.14</v>
      </c>
      <c r="H39" s="2">
        <f t="shared" si="0"/>
        <v>-2.8233821094556268</v>
      </c>
      <c r="I39" s="2">
        <f t="shared" si="1"/>
        <v>0.36367556426237407</v>
      </c>
      <c r="J39" s="2">
        <f t="shared" si="2"/>
        <v>12.473868069043629</v>
      </c>
      <c r="K39">
        <f t="shared" si="3"/>
        <v>13421.773333333333</v>
      </c>
    </row>
    <row r="40" spans="1:11" ht="13.9" x14ac:dyDescent="0.3">
      <c r="A40" s="2" t="s">
        <v>448</v>
      </c>
      <c r="B40" s="2">
        <v>0</v>
      </c>
      <c r="C40" s="2">
        <v>3.77</v>
      </c>
      <c r="D40" s="2">
        <v>0.5</v>
      </c>
      <c r="E40" s="2">
        <v>12.66</v>
      </c>
      <c r="F40" s="2">
        <v>0</v>
      </c>
      <c r="G40" s="2">
        <v>17.05</v>
      </c>
      <c r="H40" s="2">
        <f t="shared" si="0"/>
        <v>-2.798640630214924</v>
      </c>
      <c r="I40" s="2">
        <f t="shared" si="1"/>
        <v>0.1813115077607996</v>
      </c>
      <c r="J40" s="2">
        <f t="shared" si="2"/>
        <v>2.0942360698457656</v>
      </c>
      <c r="K40">
        <f t="shared" si="3"/>
        <v>9.9033333333333342</v>
      </c>
    </row>
    <row r="41" spans="1:11" ht="13.9" x14ac:dyDescent="0.3">
      <c r="A41" s="2" t="s">
        <v>87</v>
      </c>
      <c r="B41" s="2">
        <v>0.18</v>
      </c>
      <c r="C41" s="2">
        <v>5.23</v>
      </c>
      <c r="D41" s="2">
        <v>24.13</v>
      </c>
      <c r="E41" s="2">
        <v>12.66</v>
      </c>
      <c r="F41" s="2">
        <v>163.51</v>
      </c>
      <c r="G41" s="2">
        <v>13.67</v>
      </c>
      <c r="H41" s="2">
        <f t="shared" si="0"/>
        <v>-2.6840422744291588</v>
      </c>
      <c r="I41" s="2">
        <f t="shared" si="1"/>
        <v>0.35089370608089976</v>
      </c>
      <c r="J41" s="2">
        <f t="shared" si="2"/>
        <v>4.884597920990065</v>
      </c>
      <c r="K41">
        <f t="shared" si="3"/>
        <v>63.279999999999994</v>
      </c>
    </row>
    <row r="42" spans="1:11" ht="13.9" x14ac:dyDescent="0.3">
      <c r="A42" s="2" t="s">
        <v>219</v>
      </c>
      <c r="B42" s="2">
        <v>0</v>
      </c>
      <c r="C42" s="2">
        <v>0.63</v>
      </c>
      <c r="D42" s="2">
        <v>0</v>
      </c>
      <c r="E42" s="2">
        <v>2.06</v>
      </c>
      <c r="F42" s="2">
        <v>0</v>
      </c>
      <c r="G42" s="2">
        <v>1.76</v>
      </c>
      <c r="H42" s="2">
        <f t="shared" si="0"/>
        <v>-2.6001489045358328</v>
      </c>
      <c r="I42" s="2">
        <f t="shared" si="1"/>
        <v>0.19081870489211594</v>
      </c>
      <c r="J42" s="2">
        <f t="shared" si="2"/>
        <v>-0.66657626627480826</v>
      </c>
      <c r="K42">
        <f t="shared" si="3"/>
        <v>1.2733333333333334</v>
      </c>
    </row>
    <row r="43" spans="1:11" ht="13.9" x14ac:dyDescent="0.3">
      <c r="A43" s="2" t="s">
        <v>89</v>
      </c>
      <c r="B43" s="2">
        <v>21.92</v>
      </c>
      <c r="C43" s="2">
        <v>17.79</v>
      </c>
      <c r="D43" s="2">
        <v>34.19</v>
      </c>
      <c r="E43" s="2">
        <v>25.72</v>
      </c>
      <c r="F43" s="2">
        <v>367.89</v>
      </c>
      <c r="G43" s="2">
        <v>42.5</v>
      </c>
      <c r="H43" s="2">
        <f t="shared" si="0"/>
        <v>-2.5610458023044131</v>
      </c>
      <c r="I43" s="2">
        <f t="shared" si="1"/>
        <v>0.3396924659283444</v>
      </c>
      <c r="J43" s="2">
        <f t="shared" si="2"/>
        <v>6.2075024592587891</v>
      </c>
      <c r="K43">
        <f t="shared" si="3"/>
        <v>145.37</v>
      </c>
    </row>
    <row r="44" spans="1:11" ht="13.9" x14ac:dyDescent="0.3">
      <c r="A44" s="2" t="s">
        <v>389</v>
      </c>
      <c r="B44" s="2">
        <v>72.22</v>
      </c>
      <c r="C44" s="2">
        <v>137.71</v>
      </c>
      <c r="D44" s="2">
        <v>235.28</v>
      </c>
      <c r="E44" s="2">
        <v>178.41</v>
      </c>
      <c r="F44" s="2">
        <v>2043.82</v>
      </c>
      <c r="G44" s="2">
        <v>397.25</v>
      </c>
      <c r="H44" s="2">
        <f t="shared" si="0"/>
        <v>-2.5567225439460128</v>
      </c>
      <c r="I44" s="2">
        <f t="shared" si="1"/>
        <v>0.28707308022788863</v>
      </c>
      <c r="J44" s="2">
        <f t="shared" si="2"/>
        <v>8.7983421876396459</v>
      </c>
      <c r="K44">
        <f t="shared" si="3"/>
        <v>873.16</v>
      </c>
    </row>
    <row r="45" spans="1:11" ht="13.9" x14ac:dyDescent="0.3">
      <c r="A45" s="2" t="s">
        <v>139</v>
      </c>
      <c r="B45" s="2">
        <v>525.66999999999996</v>
      </c>
      <c r="C45" s="2">
        <v>616.33000000000004</v>
      </c>
      <c r="D45" s="2">
        <v>843.1</v>
      </c>
      <c r="E45" s="2">
        <v>468.35</v>
      </c>
      <c r="F45" s="2">
        <v>10832.24</v>
      </c>
      <c r="G45" s="2">
        <v>359.62</v>
      </c>
      <c r="H45" s="2">
        <f t="shared" si="0"/>
        <v>-2.5543101811616662</v>
      </c>
      <c r="I45" s="2">
        <f t="shared" si="1"/>
        <v>0.4058023043233821</v>
      </c>
      <c r="J45" s="2">
        <f t="shared" si="2"/>
        <v>10.954995970050582</v>
      </c>
      <c r="K45">
        <f t="shared" si="3"/>
        <v>3886.7366666666671</v>
      </c>
    </row>
    <row r="46" spans="1:11" ht="13.9" x14ac:dyDescent="0.3">
      <c r="A46" s="2" t="s">
        <v>66</v>
      </c>
      <c r="B46" s="2">
        <v>14.37</v>
      </c>
      <c r="C46" s="2">
        <v>20.93</v>
      </c>
      <c r="D46" s="2">
        <v>1.01</v>
      </c>
      <c r="E46" s="2">
        <v>26.44</v>
      </c>
      <c r="F46" s="2">
        <v>0</v>
      </c>
      <c r="G46" s="2">
        <v>182.31</v>
      </c>
      <c r="H46" s="2">
        <f t="shared" si="0"/>
        <v>-2.5233373623359325</v>
      </c>
      <c r="I46" s="2">
        <f t="shared" si="1"/>
        <v>0.3716465475391254</v>
      </c>
      <c r="J46" s="2">
        <f t="shared" si="2"/>
        <v>5.1822950250254829</v>
      </c>
      <c r="K46">
        <f t="shared" si="3"/>
        <v>69.583333333333329</v>
      </c>
    </row>
    <row r="47" spans="1:11" ht="13.9" x14ac:dyDescent="0.3">
      <c r="A47" s="2" t="s">
        <v>230</v>
      </c>
      <c r="B47" s="2">
        <v>12.58</v>
      </c>
      <c r="C47" s="2">
        <v>15.49</v>
      </c>
      <c r="D47" s="2">
        <v>11.56</v>
      </c>
      <c r="E47" s="2">
        <v>4.32</v>
      </c>
      <c r="F47" s="2">
        <v>204.38</v>
      </c>
      <c r="G47" s="2">
        <v>15.56</v>
      </c>
      <c r="H47" s="2">
        <f t="shared" si="0"/>
        <v>-2.500507445518632</v>
      </c>
      <c r="I47" s="2">
        <f t="shared" si="1"/>
        <v>0.39671807878106169</v>
      </c>
      <c r="J47" s="2">
        <f t="shared" si="2"/>
        <v>5.3085210621932593</v>
      </c>
      <c r="K47">
        <f t="shared" si="3"/>
        <v>74.75333333333333</v>
      </c>
    </row>
    <row r="48" spans="1:11" ht="13.9" x14ac:dyDescent="0.3">
      <c r="A48" s="2" t="s">
        <v>126</v>
      </c>
      <c r="B48" s="2">
        <v>0</v>
      </c>
      <c r="C48" s="2">
        <v>1.88</v>
      </c>
      <c r="D48" s="2">
        <v>0</v>
      </c>
      <c r="E48" s="2">
        <v>4.12</v>
      </c>
      <c r="F48" s="2">
        <v>0</v>
      </c>
      <c r="G48" s="2">
        <v>6.5</v>
      </c>
      <c r="H48" s="2">
        <f t="shared" si="0"/>
        <v>-2.4979791991265166</v>
      </c>
      <c r="I48" s="2">
        <f t="shared" si="1"/>
        <v>0.21881952207358382</v>
      </c>
      <c r="J48" s="2">
        <f t="shared" si="2"/>
        <v>0.91073266190291258</v>
      </c>
      <c r="K48">
        <f t="shared" si="3"/>
        <v>3.5400000000000005</v>
      </c>
    </row>
    <row r="49" spans="1:11" ht="13.9" x14ac:dyDescent="0.3">
      <c r="A49" s="2" t="s">
        <v>247</v>
      </c>
      <c r="B49" s="2">
        <v>207.86</v>
      </c>
      <c r="C49" s="2">
        <v>277.72000000000003</v>
      </c>
      <c r="D49" s="2">
        <v>179.48</v>
      </c>
      <c r="E49" s="2">
        <v>309.49</v>
      </c>
      <c r="F49" s="2">
        <v>3147.48</v>
      </c>
      <c r="G49" s="2">
        <v>283.82</v>
      </c>
      <c r="H49" s="2">
        <f t="shared" si="0"/>
        <v>-2.4917865705004396</v>
      </c>
      <c r="I49" s="2">
        <f t="shared" si="1"/>
        <v>0.34156633694078486</v>
      </c>
      <c r="J49" s="2">
        <f t="shared" si="2"/>
        <v>9.3773406924902805</v>
      </c>
      <c r="K49">
        <f t="shared" si="3"/>
        <v>1246.93</v>
      </c>
    </row>
    <row r="50" spans="1:11" ht="13.9" x14ac:dyDescent="0.3">
      <c r="A50" s="2" t="s">
        <v>119</v>
      </c>
      <c r="B50" s="2">
        <v>0</v>
      </c>
      <c r="C50" s="2">
        <v>0.21</v>
      </c>
      <c r="D50" s="2">
        <v>0</v>
      </c>
      <c r="E50" s="2">
        <v>0.62</v>
      </c>
      <c r="F50" s="2">
        <v>0</v>
      </c>
      <c r="G50" s="2">
        <v>0.41</v>
      </c>
      <c r="H50" s="2">
        <f t="shared" si="0"/>
        <v>-2.2941831044044583</v>
      </c>
      <c r="I50" s="2">
        <f t="shared" si="1"/>
        <v>0.23372698617802368</v>
      </c>
      <c r="J50" s="2">
        <f t="shared" si="2"/>
        <v>-2.2515387669959646</v>
      </c>
      <c r="K50">
        <f t="shared" si="3"/>
        <v>0.34333333333333332</v>
      </c>
    </row>
    <row r="51" spans="1:11" ht="13.9" x14ac:dyDescent="0.3">
      <c r="A51" s="2" t="s">
        <v>115</v>
      </c>
      <c r="B51" s="2">
        <v>4.13</v>
      </c>
      <c r="C51" s="2">
        <v>7.95</v>
      </c>
      <c r="D51" s="2">
        <v>0</v>
      </c>
      <c r="E51" s="2">
        <v>26.24</v>
      </c>
      <c r="F51" s="2">
        <v>0</v>
      </c>
      <c r="G51" s="2">
        <v>32.89</v>
      </c>
      <c r="H51" s="2">
        <f t="shared" si="0"/>
        <v>-2.2912698224395629</v>
      </c>
      <c r="I51" s="2">
        <f t="shared" si="1"/>
        <v>0.20248330666713965</v>
      </c>
      <c r="J51" s="2">
        <f t="shared" si="2"/>
        <v>3.5945485495503542</v>
      </c>
      <c r="K51">
        <f t="shared" si="3"/>
        <v>19.709999999999997</v>
      </c>
    </row>
    <row r="52" spans="1:11" ht="13.9" x14ac:dyDescent="0.3">
      <c r="A52" s="2" t="s">
        <v>62</v>
      </c>
      <c r="B52" s="2">
        <v>33.6</v>
      </c>
      <c r="C52" s="2">
        <v>63.2</v>
      </c>
      <c r="D52" s="2">
        <v>276.01</v>
      </c>
      <c r="E52" s="2">
        <v>6.38</v>
      </c>
      <c r="F52" s="2">
        <v>1675.93</v>
      </c>
      <c r="G52" s="2">
        <v>6.5</v>
      </c>
      <c r="H52" s="2">
        <f t="shared" si="0"/>
        <v>-2.1794945630081788</v>
      </c>
      <c r="I52" s="2">
        <f t="shared" si="1"/>
        <v>0.47846707300991986</v>
      </c>
      <c r="J52" s="2">
        <f t="shared" si="2"/>
        <v>8.5422967481492087</v>
      </c>
      <c r="K52">
        <f t="shared" si="3"/>
        <v>562.93666666666672</v>
      </c>
    </row>
    <row r="53" spans="1:11" ht="13.9" x14ac:dyDescent="0.3">
      <c r="A53" s="2" t="s">
        <v>157</v>
      </c>
      <c r="B53" s="2">
        <v>1604.13</v>
      </c>
      <c r="C53" s="2">
        <v>2463.2399999999998</v>
      </c>
      <c r="D53" s="2">
        <v>1629.89</v>
      </c>
      <c r="E53" s="2">
        <v>4177.32</v>
      </c>
      <c r="F53" s="2">
        <v>16841.07</v>
      </c>
      <c r="G53" s="2">
        <v>4539.97</v>
      </c>
      <c r="H53" s="2">
        <f t="shared" si="0"/>
        <v>-2.1654551144130538</v>
      </c>
      <c r="I53" s="2">
        <f t="shared" si="1"/>
        <v>0.18770708300110342</v>
      </c>
      <c r="J53" s="2">
        <f t="shared" si="2"/>
        <v>12.476052531164045</v>
      </c>
      <c r="K53">
        <f t="shared" si="3"/>
        <v>8519.4533333333329</v>
      </c>
    </row>
    <row r="54" spans="1:11" ht="13.9" x14ac:dyDescent="0.3">
      <c r="A54" s="2" t="s">
        <v>54</v>
      </c>
      <c r="B54" s="2">
        <v>0</v>
      </c>
      <c r="C54" s="2">
        <v>9</v>
      </c>
      <c r="D54" s="2">
        <v>0.5</v>
      </c>
      <c r="E54" s="2">
        <v>18.52</v>
      </c>
      <c r="F54" s="2">
        <v>0</v>
      </c>
      <c r="G54" s="2">
        <v>22.2</v>
      </c>
      <c r="H54" s="2">
        <f t="shared" si="0"/>
        <v>-2.0997381428573849</v>
      </c>
      <c r="I54" s="2">
        <f t="shared" si="1"/>
        <v>0.23571138058436067</v>
      </c>
      <c r="J54" s="2">
        <f t="shared" si="2"/>
        <v>3.2479275134435857</v>
      </c>
      <c r="K54">
        <f t="shared" si="3"/>
        <v>13.573333333333332</v>
      </c>
    </row>
    <row r="55" spans="1:11" ht="13.9" x14ac:dyDescent="0.3">
      <c r="A55" s="2" t="s">
        <v>272</v>
      </c>
      <c r="B55" s="2">
        <v>254.93</v>
      </c>
      <c r="C55" s="2">
        <v>634.54</v>
      </c>
      <c r="D55" s="2">
        <v>459</v>
      </c>
      <c r="E55" s="2">
        <v>1187.1400000000001</v>
      </c>
      <c r="F55" s="2">
        <v>3433.62</v>
      </c>
      <c r="G55" s="2">
        <v>1111.3399999999999</v>
      </c>
      <c r="H55" s="2">
        <f t="shared" si="0"/>
        <v>-2.0877403528544214</v>
      </c>
      <c r="I55" s="2">
        <f t="shared" si="1"/>
        <v>0.13045147077721397</v>
      </c>
      <c r="J55" s="2">
        <f t="shared" si="2"/>
        <v>10.397107710327063</v>
      </c>
      <c r="K55">
        <f t="shared" si="3"/>
        <v>1910.7</v>
      </c>
    </row>
    <row r="56" spans="1:11" ht="13.9" x14ac:dyDescent="0.3">
      <c r="A56" s="2" t="s">
        <v>438</v>
      </c>
      <c r="B56" s="2">
        <v>11.32</v>
      </c>
      <c r="C56" s="2">
        <v>5.44</v>
      </c>
      <c r="D56" s="2">
        <v>0</v>
      </c>
      <c r="E56" s="2">
        <v>17.7</v>
      </c>
      <c r="F56" s="2">
        <v>40.880000000000003</v>
      </c>
      <c r="G56" s="2">
        <v>12.18</v>
      </c>
      <c r="H56" s="2">
        <f t="shared" si="0"/>
        <v>-2.0779118989911067</v>
      </c>
      <c r="I56" s="2">
        <f t="shared" si="1"/>
        <v>0.12742724870184469</v>
      </c>
      <c r="J56" s="2">
        <f t="shared" si="2"/>
        <v>4.0669502439246266</v>
      </c>
      <c r="K56">
        <f t="shared" si="3"/>
        <v>23.586666666666662</v>
      </c>
    </row>
    <row r="57" spans="1:11" ht="13.9" x14ac:dyDescent="0.3">
      <c r="A57" s="2" t="s">
        <v>172</v>
      </c>
      <c r="B57" s="2">
        <v>0.18</v>
      </c>
      <c r="C57" s="2">
        <v>1.05</v>
      </c>
      <c r="D57" s="2">
        <v>0</v>
      </c>
      <c r="E57" s="2">
        <v>2.68</v>
      </c>
      <c r="F57" s="2">
        <v>0</v>
      </c>
      <c r="G57" s="2">
        <v>2.44</v>
      </c>
      <c r="H57" s="2">
        <f t="shared" si="0"/>
        <v>-2.0574854946607601</v>
      </c>
      <c r="I57" s="2">
        <f t="shared" si="1"/>
        <v>0.2296050988399698</v>
      </c>
      <c r="J57" s="2">
        <f t="shared" si="2"/>
        <v>0.29865831556451516</v>
      </c>
      <c r="K57">
        <f t="shared" si="3"/>
        <v>1.7066666666666668</v>
      </c>
    </row>
    <row r="58" spans="1:11" ht="13.9" x14ac:dyDescent="0.3">
      <c r="A58" s="2" t="s">
        <v>187</v>
      </c>
      <c r="B58" s="2">
        <v>15.09</v>
      </c>
      <c r="C58" s="2">
        <v>4.8099999999999996</v>
      </c>
      <c r="D58" s="2">
        <v>15.08</v>
      </c>
      <c r="E58" s="2">
        <v>44.14</v>
      </c>
      <c r="F58" s="2">
        <v>40.880000000000003</v>
      </c>
      <c r="G58" s="2">
        <v>57.39</v>
      </c>
      <c r="H58" s="2">
        <f t="shared" si="0"/>
        <v>-2.0254482612289362</v>
      </c>
      <c r="I58" s="2">
        <f t="shared" si="1"/>
        <v>4.2068212877849984E-3</v>
      </c>
      <c r="J58" s="2">
        <f t="shared" si="2"/>
        <v>5.1284583841469278</v>
      </c>
      <c r="K58">
        <f t="shared" si="3"/>
        <v>47.470000000000006</v>
      </c>
    </row>
    <row r="59" spans="1:11" ht="13.9" x14ac:dyDescent="0.3">
      <c r="A59" s="2" t="s">
        <v>888</v>
      </c>
      <c r="B59" s="2">
        <v>1335.37</v>
      </c>
      <c r="C59" s="2">
        <v>1104.79</v>
      </c>
      <c r="D59" s="2">
        <v>915.49</v>
      </c>
      <c r="E59" s="2">
        <v>3854.04</v>
      </c>
      <c r="F59" s="2">
        <v>4496.3999999999996</v>
      </c>
      <c r="G59" s="2">
        <v>3388.57</v>
      </c>
      <c r="H59" s="2">
        <f t="shared" si="0"/>
        <v>-1.8066465918563352</v>
      </c>
      <c r="I59" s="2">
        <f t="shared" si="1"/>
        <v>1.2398504802061169E-3</v>
      </c>
      <c r="J59" s="2">
        <f t="shared" si="2"/>
        <v>11.712376532741189</v>
      </c>
      <c r="K59">
        <f t="shared" si="3"/>
        <v>3913.0033333333326</v>
      </c>
    </row>
    <row r="60" spans="1:11" ht="13.9" x14ac:dyDescent="0.3">
      <c r="A60" s="2" t="s">
        <v>183</v>
      </c>
      <c r="B60" s="2">
        <v>416.26</v>
      </c>
      <c r="C60" s="2">
        <v>407.47</v>
      </c>
      <c r="D60" s="2">
        <v>387.61</v>
      </c>
      <c r="E60" s="2">
        <v>1544.78</v>
      </c>
      <c r="F60" s="2">
        <v>817.53</v>
      </c>
      <c r="G60" s="2">
        <v>1731.5</v>
      </c>
      <c r="H60" s="2">
        <f t="shared" si="0"/>
        <v>-1.7568402874131068</v>
      </c>
      <c r="I60" s="2">
        <f t="shared" si="1"/>
        <v>2.6180238618999908E-2</v>
      </c>
      <c r="J60" s="2">
        <f t="shared" si="2"/>
        <v>10.242388143474825</v>
      </c>
      <c r="K60">
        <f t="shared" si="3"/>
        <v>1364.6033333333332</v>
      </c>
    </row>
    <row r="61" spans="1:11" ht="13.9" x14ac:dyDescent="0.3">
      <c r="A61" s="2" t="s">
        <v>625</v>
      </c>
      <c r="B61" s="2">
        <v>3.95</v>
      </c>
      <c r="C61" s="2">
        <v>8.16</v>
      </c>
      <c r="D61" s="2">
        <v>0</v>
      </c>
      <c r="E61" s="2">
        <v>14.92</v>
      </c>
      <c r="F61" s="2">
        <v>0</v>
      </c>
      <c r="G61" s="2">
        <v>25.99</v>
      </c>
      <c r="H61" s="2">
        <f t="shared" si="0"/>
        <v>-1.7562546721937176</v>
      </c>
      <c r="I61" s="2">
        <f t="shared" si="1"/>
        <v>0.2905887654438189</v>
      </c>
      <c r="J61" s="2">
        <f t="shared" si="2"/>
        <v>3.5981269599196044</v>
      </c>
      <c r="K61">
        <f t="shared" si="3"/>
        <v>13.636666666666665</v>
      </c>
    </row>
    <row r="62" spans="1:11" ht="13.9" x14ac:dyDescent="0.3">
      <c r="A62" s="2" t="s">
        <v>727</v>
      </c>
      <c r="B62" s="2">
        <v>20.66</v>
      </c>
      <c r="C62" s="2">
        <v>32.44</v>
      </c>
      <c r="D62" s="2">
        <v>81.44</v>
      </c>
      <c r="E62" s="2">
        <v>37.549999999999997</v>
      </c>
      <c r="F62" s="2">
        <v>327.01</v>
      </c>
      <c r="G62" s="2">
        <v>87.71</v>
      </c>
      <c r="H62" s="2">
        <f t="shared" si="0"/>
        <v>-1.7491491389296281</v>
      </c>
      <c r="I62" s="2">
        <f t="shared" si="1"/>
        <v>0.31022298728018427</v>
      </c>
      <c r="J62" s="2">
        <f t="shared" si="2"/>
        <v>7.0718913530566301</v>
      </c>
      <c r="K62">
        <f t="shared" si="3"/>
        <v>150.75666666666666</v>
      </c>
    </row>
    <row r="63" spans="1:11" ht="13.9" x14ac:dyDescent="0.3">
      <c r="A63" s="2" t="s">
        <v>455</v>
      </c>
      <c r="B63" s="2">
        <v>3613.73</v>
      </c>
      <c r="C63" s="2">
        <v>4070.1</v>
      </c>
      <c r="D63" s="2">
        <v>6064.58</v>
      </c>
      <c r="E63" s="2">
        <v>2060.5700000000002</v>
      </c>
      <c r="F63" s="2">
        <v>39568.35</v>
      </c>
      <c r="G63" s="2">
        <v>3370.84</v>
      </c>
      <c r="H63" s="2">
        <f t="shared" si="0"/>
        <v>-1.7106525260657455</v>
      </c>
      <c r="I63" s="2">
        <f t="shared" si="1"/>
        <v>0.44518285900859528</v>
      </c>
      <c r="J63" s="2">
        <f t="shared" si="2"/>
        <v>13.746977160531946</v>
      </c>
      <c r="K63">
        <f t="shared" si="3"/>
        <v>14999.919999999998</v>
      </c>
    </row>
    <row r="64" spans="1:11" ht="13.9" x14ac:dyDescent="0.3">
      <c r="A64" s="2" t="s">
        <v>422</v>
      </c>
      <c r="B64" s="2">
        <v>25.51</v>
      </c>
      <c r="C64" s="2">
        <v>21.35</v>
      </c>
      <c r="D64" s="2">
        <v>22.62</v>
      </c>
      <c r="E64" s="2">
        <v>5.66</v>
      </c>
      <c r="F64" s="2">
        <v>204.38</v>
      </c>
      <c r="G64" s="2">
        <v>16.510000000000002</v>
      </c>
      <c r="H64" s="2">
        <f t="shared" si="0"/>
        <v>-1.7051598316903582</v>
      </c>
      <c r="I64" s="2">
        <f t="shared" si="1"/>
        <v>0.46261246749850898</v>
      </c>
      <c r="J64" s="2">
        <f t="shared" si="2"/>
        <v>6.1185258489356693</v>
      </c>
      <c r="K64">
        <f t="shared" si="3"/>
        <v>75.516666666666666</v>
      </c>
    </row>
    <row r="65" spans="1:11" ht="13.9" x14ac:dyDescent="0.3">
      <c r="A65" s="2" t="s">
        <v>471</v>
      </c>
      <c r="B65" s="2">
        <v>11.68</v>
      </c>
      <c r="C65" s="2">
        <v>27.42</v>
      </c>
      <c r="D65" s="2">
        <v>31.67</v>
      </c>
      <c r="E65" s="2">
        <v>13.17</v>
      </c>
      <c r="F65" s="2">
        <v>204.38</v>
      </c>
      <c r="G65" s="2">
        <v>8.8000000000000007</v>
      </c>
      <c r="H65" s="2">
        <f t="shared" si="0"/>
        <v>-1.6773454821745828</v>
      </c>
      <c r="I65" s="2">
        <f t="shared" si="1"/>
        <v>0.46813332769161325</v>
      </c>
      <c r="J65" s="2">
        <f t="shared" si="2"/>
        <v>6.1450660141858942</v>
      </c>
      <c r="K65">
        <f t="shared" si="3"/>
        <v>75.45</v>
      </c>
    </row>
    <row r="66" spans="1:11" ht="13.9" x14ac:dyDescent="0.3">
      <c r="A66" s="2" t="s">
        <v>526</v>
      </c>
      <c r="B66" s="2">
        <v>0.18</v>
      </c>
      <c r="C66" s="2">
        <v>3.77</v>
      </c>
      <c r="D66" s="2">
        <v>0</v>
      </c>
      <c r="E66" s="2">
        <v>6.07</v>
      </c>
      <c r="F66" s="2">
        <v>0</v>
      </c>
      <c r="G66" s="2">
        <v>6.5</v>
      </c>
      <c r="H66" s="2">
        <f t="shared" ref="H66:H129" si="4">LOG(SUM(B66:D66)/SUM(E66:G66),2)</f>
        <v>-1.6700600913560424</v>
      </c>
      <c r="I66" s="2">
        <f t="shared" ref="I66:I129" si="5">_xlfn.T.TEST(B66:D66,E66:G66,2,2)</f>
        <v>0.30276225463032741</v>
      </c>
      <c r="J66" s="2">
        <f t="shared" ref="J66:J129" si="6">LOG(SUM(B66:D66),2)</f>
        <v>1.9818526532897409</v>
      </c>
      <c r="K66">
        <f t="shared" ref="K66:K129" si="7">AVERAGE(E66:G66)</f>
        <v>4.1900000000000004</v>
      </c>
    </row>
    <row r="67" spans="1:11" ht="13.9" x14ac:dyDescent="0.3">
      <c r="A67" s="2" t="s">
        <v>376</v>
      </c>
      <c r="B67" s="2">
        <v>11.32</v>
      </c>
      <c r="C67" s="2">
        <v>5.65</v>
      </c>
      <c r="D67" s="2">
        <v>0</v>
      </c>
      <c r="E67" s="2">
        <v>3.19</v>
      </c>
      <c r="F67" s="2">
        <v>40.880000000000003</v>
      </c>
      <c r="G67" s="2">
        <v>8.93</v>
      </c>
      <c r="H67" s="2">
        <f t="shared" si="4"/>
        <v>-1.6430057947952605</v>
      </c>
      <c r="I67" s="2">
        <f t="shared" si="5"/>
        <v>0.37962596010743554</v>
      </c>
      <c r="J67" s="2">
        <f t="shared" si="6"/>
        <v>4.0849146597679384</v>
      </c>
      <c r="K67">
        <f t="shared" si="7"/>
        <v>17.666666666666668</v>
      </c>
    </row>
    <row r="68" spans="1:11" ht="13.9" x14ac:dyDescent="0.3">
      <c r="A68" s="2" t="s">
        <v>667</v>
      </c>
      <c r="B68" s="2">
        <v>0.36</v>
      </c>
      <c r="C68" s="2">
        <v>0</v>
      </c>
      <c r="D68" s="2">
        <v>0</v>
      </c>
      <c r="E68" s="2">
        <v>0.31</v>
      </c>
      <c r="F68" s="2">
        <v>0</v>
      </c>
      <c r="G68" s="2">
        <v>0.81</v>
      </c>
      <c r="H68" s="2">
        <f t="shared" si="4"/>
        <v>-1.637429920615292</v>
      </c>
      <c r="I68" s="2">
        <f t="shared" si="5"/>
        <v>0.39277065922797194</v>
      </c>
      <c r="J68" s="2">
        <f t="shared" si="6"/>
        <v>-1.4739311883324124</v>
      </c>
      <c r="K68">
        <f t="shared" si="7"/>
        <v>0.37333333333333335</v>
      </c>
    </row>
    <row r="69" spans="1:11" ht="13.9" x14ac:dyDescent="0.3">
      <c r="A69" s="2" t="s">
        <v>931</v>
      </c>
      <c r="B69" s="2">
        <v>8.6199999999999992</v>
      </c>
      <c r="C69" s="2">
        <v>0</v>
      </c>
      <c r="D69" s="2">
        <v>0</v>
      </c>
      <c r="E69" s="2">
        <v>13.68</v>
      </c>
      <c r="F69" s="2">
        <v>0</v>
      </c>
      <c r="G69" s="2">
        <v>12.99</v>
      </c>
      <c r="H69" s="2">
        <f t="shared" si="4"/>
        <v>-1.6294580504618283</v>
      </c>
      <c r="I69" s="2">
        <f t="shared" si="5"/>
        <v>0.31941911535730849</v>
      </c>
      <c r="J69" s="2">
        <f t="shared" si="6"/>
        <v>3.1076878693143732</v>
      </c>
      <c r="K69">
        <f t="shared" si="7"/>
        <v>8.89</v>
      </c>
    </row>
    <row r="70" spans="1:11" ht="13.9" x14ac:dyDescent="0.3">
      <c r="A70" s="2" t="s">
        <v>263</v>
      </c>
      <c r="B70" s="2">
        <v>1.08</v>
      </c>
      <c r="C70" s="2">
        <v>19.670000000000002</v>
      </c>
      <c r="D70" s="2">
        <v>2.5099999999999998</v>
      </c>
      <c r="E70" s="2">
        <v>36.11</v>
      </c>
      <c r="F70" s="2">
        <v>0</v>
      </c>
      <c r="G70" s="2">
        <v>33.700000000000003</v>
      </c>
      <c r="H70" s="2">
        <f t="shared" si="4"/>
        <v>-1.5855826146532865</v>
      </c>
      <c r="I70" s="2">
        <f t="shared" si="5"/>
        <v>0.30169631617702136</v>
      </c>
      <c r="J70" s="2">
        <f t="shared" si="6"/>
        <v>4.5397791916984938</v>
      </c>
      <c r="K70">
        <f t="shared" si="7"/>
        <v>23.27</v>
      </c>
    </row>
    <row r="71" spans="1:11" ht="13.9" x14ac:dyDescent="0.3">
      <c r="A71" s="2" t="s">
        <v>772</v>
      </c>
      <c r="B71" s="2">
        <v>8.98</v>
      </c>
      <c r="C71" s="2">
        <v>8.58</v>
      </c>
      <c r="D71" s="2">
        <v>0</v>
      </c>
      <c r="E71" s="2">
        <v>7</v>
      </c>
      <c r="F71" s="2">
        <v>40.880000000000003</v>
      </c>
      <c r="G71" s="2">
        <v>4.47</v>
      </c>
      <c r="H71" s="2">
        <f t="shared" si="4"/>
        <v>-1.5758966922828126</v>
      </c>
      <c r="I71" s="2">
        <f t="shared" si="5"/>
        <v>0.39205039145521242</v>
      </c>
      <c r="J71" s="2">
        <f t="shared" si="6"/>
        <v>4.1342209397606338</v>
      </c>
      <c r="K71">
        <f t="shared" si="7"/>
        <v>17.45</v>
      </c>
    </row>
    <row r="72" spans="1:11" ht="13.9" x14ac:dyDescent="0.3">
      <c r="A72" s="2" t="s">
        <v>49</v>
      </c>
      <c r="B72" s="2">
        <v>162.41</v>
      </c>
      <c r="C72" s="2">
        <v>242.14</v>
      </c>
      <c r="D72" s="2">
        <v>400.69</v>
      </c>
      <c r="E72" s="2">
        <v>277.29000000000002</v>
      </c>
      <c r="F72" s="2">
        <v>1471.55</v>
      </c>
      <c r="G72" s="2">
        <v>599.73</v>
      </c>
      <c r="H72" s="2">
        <f t="shared" si="4"/>
        <v>-1.544291849801394</v>
      </c>
      <c r="I72" s="2">
        <f t="shared" si="5"/>
        <v>0.22993284075820261</v>
      </c>
      <c r="J72" s="2">
        <f t="shared" si="6"/>
        <v>9.6532750291580527</v>
      </c>
      <c r="K72">
        <f t="shared" si="7"/>
        <v>782.85666666666657</v>
      </c>
    </row>
    <row r="73" spans="1:11" ht="13.9" x14ac:dyDescent="0.3">
      <c r="A73" s="2" t="s">
        <v>121</v>
      </c>
      <c r="B73" s="2">
        <v>0</v>
      </c>
      <c r="C73" s="2">
        <v>0.21</v>
      </c>
      <c r="D73" s="2">
        <v>0</v>
      </c>
      <c r="E73" s="2">
        <v>0.31</v>
      </c>
      <c r="F73" s="2">
        <v>0</v>
      </c>
      <c r="G73" s="2">
        <v>0.27</v>
      </c>
      <c r="H73" s="2">
        <f t="shared" si="4"/>
        <v>-1.4656635723488121</v>
      </c>
      <c r="I73" s="2">
        <f t="shared" si="5"/>
        <v>0.36180895582463124</v>
      </c>
      <c r="J73" s="2">
        <f t="shared" si="6"/>
        <v>-2.2515387669959646</v>
      </c>
      <c r="K73">
        <f t="shared" si="7"/>
        <v>0.19333333333333336</v>
      </c>
    </row>
    <row r="74" spans="1:11" ht="13.9" x14ac:dyDescent="0.3">
      <c r="A74" s="2" t="s">
        <v>384</v>
      </c>
      <c r="B74" s="2">
        <v>0</v>
      </c>
      <c r="C74" s="2">
        <v>0</v>
      </c>
      <c r="D74" s="2">
        <v>17.600000000000001</v>
      </c>
      <c r="E74" s="2">
        <v>4.32</v>
      </c>
      <c r="F74" s="2">
        <v>40.880000000000003</v>
      </c>
      <c r="G74" s="2">
        <v>3.38</v>
      </c>
      <c r="H74" s="2">
        <f t="shared" si="4"/>
        <v>-1.4647870611112055</v>
      </c>
      <c r="I74" s="2">
        <f t="shared" si="5"/>
        <v>0.49201616950164512</v>
      </c>
      <c r="J74" s="2">
        <f t="shared" si="6"/>
        <v>4.1375035237499356</v>
      </c>
      <c r="K74">
        <f t="shared" si="7"/>
        <v>16.193333333333335</v>
      </c>
    </row>
    <row r="75" spans="1:11" ht="13.9" x14ac:dyDescent="0.3">
      <c r="A75" s="2" t="s">
        <v>385</v>
      </c>
      <c r="B75" s="2">
        <v>11.5</v>
      </c>
      <c r="C75" s="2">
        <v>15.49</v>
      </c>
      <c r="D75" s="2">
        <v>0</v>
      </c>
      <c r="E75" s="2">
        <v>42.6</v>
      </c>
      <c r="F75" s="2">
        <v>0</v>
      </c>
      <c r="G75" s="2">
        <v>31.54</v>
      </c>
      <c r="H75" s="2">
        <f t="shared" si="4"/>
        <v>-1.457827138352304</v>
      </c>
      <c r="I75" s="2">
        <f t="shared" si="5"/>
        <v>0.31156718024672908</v>
      </c>
      <c r="J75" s="2">
        <f t="shared" si="6"/>
        <v>4.754353071692127</v>
      </c>
      <c r="K75">
        <f t="shared" si="7"/>
        <v>24.713333333333335</v>
      </c>
    </row>
    <row r="76" spans="1:11" ht="13.9" x14ac:dyDescent="0.3">
      <c r="A76" s="2" t="s">
        <v>165</v>
      </c>
      <c r="B76" s="2">
        <v>199.06</v>
      </c>
      <c r="C76" s="2">
        <v>230</v>
      </c>
      <c r="D76" s="2">
        <v>257.91000000000003</v>
      </c>
      <c r="E76" s="2">
        <v>584.72</v>
      </c>
      <c r="F76" s="2">
        <v>245.26</v>
      </c>
      <c r="G76" s="2">
        <v>1025.8</v>
      </c>
      <c r="H76" s="2">
        <f t="shared" si="4"/>
        <v>-1.4337066882220086</v>
      </c>
      <c r="I76" s="2">
        <f t="shared" si="5"/>
        <v>0.1606682720030661</v>
      </c>
      <c r="J76" s="2">
        <f t="shared" si="6"/>
        <v>9.424103287659074</v>
      </c>
      <c r="K76">
        <f t="shared" si="7"/>
        <v>618.59333333333336</v>
      </c>
    </row>
    <row r="77" spans="1:11" ht="13.9" x14ac:dyDescent="0.3">
      <c r="A77" s="2" t="s">
        <v>371</v>
      </c>
      <c r="B77" s="2">
        <v>13.11</v>
      </c>
      <c r="C77" s="2">
        <v>28.25</v>
      </c>
      <c r="D77" s="2">
        <v>13.07</v>
      </c>
      <c r="E77" s="2">
        <v>55.35</v>
      </c>
      <c r="F77" s="2">
        <v>40.880000000000003</v>
      </c>
      <c r="G77" s="2">
        <v>46.97</v>
      </c>
      <c r="H77" s="2">
        <f t="shared" si="4"/>
        <v>-1.3955575514265248</v>
      </c>
      <c r="I77" s="2">
        <f t="shared" si="5"/>
        <v>1.0776204729483884E-2</v>
      </c>
      <c r="J77" s="2">
        <f t="shared" si="6"/>
        <v>5.7663301309503687</v>
      </c>
      <c r="K77">
        <f t="shared" si="7"/>
        <v>47.733333333333327</v>
      </c>
    </row>
    <row r="78" spans="1:11" ht="13.9" x14ac:dyDescent="0.3">
      <c r="A78" s="2" t="s">
        <v>934</v>
      </c>
      <c r="B78" s="2">
        <v>39.340000000000003</v>
      </c>
      <c r="C78" s="2">
        <v>21.35</v>
      </c>
      <c r="D78" s="2">
        <v>0</v>
      </c>
      <c r="E78" s="2">
        <v>34.159999999999997</v>
      </c>
      <c r="F78" s="2">
        <v>81.75</v>
      </c>
      <c r="G78" s="2">
        <v>40.06</v>
      </c>
      <c r="H78" s="2">
        <f t="shared" si="4"/>
        <v>-1.3617378353230429</v>
      </c>
      <c r="I78" s="2">
        <f t="shared" si="5"/>
        <v>0.16649130750073521</v>
      </c>
      <c r="J78" s="2">
        <f t="shared" si="6"/>
        <v>5.9233869155047145</v>
      </c>
      <c r="K78">
        <f t="shared" si="7"/>
        <v>51.99</v>
      </c>
    </row>
    <row r="79" spans="1:11" ht="13.9" x14ac:dyDescent="0.3">
      <c r="A79" s="2" t="s">
        <v>504</v>
      </c>
      <c r="B79" s="2">
        <v>3.41</v>
      </c>
      <c r="C79" s="2">
        <v>0</v>
      </c>
      <c r="D79" s="2">
        <v>0</v>
      </c>
      <c r="E79" s="2">
        <v>2.88</v>
      </c>
      <c r="F79" s="2">
        <v>0</v>
      </c>
      <c r="G79" s="2">
        <v>5.82</v>
      </c>
      <c r="H79" s="2">
        <f t="shared" si="4"/>
        <v>-1.3512436617119181</v>
      </c>
      <c r="I79" s="2">
        <f t="shared" si="5"/>
        <v>0.43374506226376397</v>
      </c>
      <c r="J79" s="2">
        <f t="shared" si="6"/>
        <v>1.7697717392494476</v>
      </c>
      <c r="K79">
        <f t="shared" si="7"/>
        <v>2.9</v>
      </c>
    </row>
    <row r="80" spans="1:11" ht="13.9" x14ac:dyDescent="0.3">
      <c r="A80" s="2" t="s">
        <v>636</v>
      </c>
      <c r="B80" s="2">
        <v>0</v>
      </c>
      <c r="C80" s="2">
        <v>1.88</v>
      </c>
      <c r="D80" s="2">
        <v>0</v>
      </c>
      <c r="E80" s="2">
        <v>0.72</v>
      </c>
      <c r="F80" s="2">
        <v>0</v>
      </c>
      <c r="G80" s="2">
        <v>3.93</v>
      </c>
      <c r="H80" s="2">
        <f t="shared" si="4"/>
        <v>-1.3064980543177567</v>
      </c>
      <c r="I80" s="2">
        <f t="shared" si="5"/>
        <v>0.53469192617445249</v>
      </c>
      <c r="J80" s="2">
        <f t="shared" si="6"/>
        <v>0.91073266190291258</v>
      </c>
      <c r="K80">
        <f t="shared" si="7"/>
        <v>1.55</v>
      </c>
    </row>
    <row r="81" spans="1:11" ht="13.9" x14ac:dyDescent="0.3">
      <c r="A81" s="2" t="s">
        <v>81</v>
      </c>
      <c r="B81" s="2">
        <v>417.34</v>
      </c>
      <c r="C81" s="2">
        <v>331.71</v>
      </c>
      <c r="D81" s="2">
        <v>276.01</v>
      </c>
      <c r="E81" s="2">
        <v>648.72</v>
      </c>
      <c r="F81" s="2">
        <v>1348.92</v>
      </c>
      <c r="G81" s="2">
        <v>509.99</v>
      </c>
      <c r="H81" s="2">
        <f t="shared" si="4"/>
        <v>-1.2906161369529963</v>
      </c>
      <c r="I81" s="2">
        <f t="shared" si="5"/>
        <v>0.1332760358215285</v>
      </c>
      <c r="J81" s="2">
        <f t="shared" si="6"/>
        <v>10.001492642362603</v>
      </c>
      <c r="K81">
        <f t="shared" si="7"/>
        <v>835.87666666666667</v>
      </c>
    </row>
    <row r="82" spans="1:11" ht="13.9" x14ac:dyDescent="0.3">
      <c r="A82" s="2" t="s">
        <v>551</v>
      </c>
      <c r="B82" s="2">
        <v>10.24</v>
      </c>
      <c r="C82" s="2">
        <v>12.56</v>
      </c>
      <c r="D82" s="2">
        <v>9.0500000000000007</v>
      </c>
      <c r="E82" s="2">
        <v>27.78</v>
      </c>
      <c r="F82" s="2">
        <v>0</v>
      </c>
      <c r="G82" s="2">
        <v>46.97</v>
      </c>
      <c r="H82" s="2">
        <f t="shared" si="4"/>
        <v>-1.2307802068291669</v>
      </c>
      <c r="I82" s="2">
        <f t="shared" si="5"/>
        <v>0.35467266036473144</v>
      </c>
      <c r="J82" s="2">
        <f t="shared" si="6"/>
        <v>4.9932214673689383</v>
      </c>
      <c r="K82">
        <f t="shared" si="7"/>
        <v>24.916666666666668</v>
      </c>
    </row>
    <row r="83" spans="1:11" ht="13.9" x14ac:dyDescent="0.3">
      <c r="A83" s="2" t="s">
        <v>618</v>
      </c>
      <c r="B83" s="2">
        <v>5.21</v>
      </c>
      <c r="C83" s="2">
        <v>9.6300000000000008</v>
      </c>
      <c r="D83" s="2">
        <v>5.53</v>
      </c>
      <c r="E83" s="2">
        <v>19.45</v>
      </c>
      <c r="F83" s="2">
        <v>0</v>
      </c>
      <c r="G83" s="2">
        <v>27.75</v>
      </c>
      <c r="H83" s="2">
        <f t="shared" si="4"/>
        <v>-1.2123408792833157</v>
      </c>
      <c r="I83" s="2">
        <f t="shared" si="5"/>
        <v>0.34424510279821185</v>
      </c>
      <c r="J83" s="2">
        <f t="shared" si="6"/>
        <v>4.3483740751911633</v>
      </c>
      <c r="K83">
        <f t="shared" si="7"/>
        <v>15.733333333333334</v>
      </c>
    </row>
    <row r="84" spans="1:11" ht="13.9" x14ac:dyDescent="0.3">
      <c r="A84" s="2" t="s">
        <v>454</v>
      </c>
      <c r="B84" s="2">
        <v>7.9</v>
      </c>
      <c r="C84" s="2">
        <v>44.37</v>
      </c>
      <c r="D84" s="2">
        <v>39.72</v>
      </c>
      <c r="E84" s="2">
        <v>15.54</v>
      </c>
      <c r="F84" s="2">
        <v>163.51</v>
      </c>
      <c r="G84" s="2">
        <v>33.43</v>
      </c>
      <c r="H84" s="2">
        <f t="shared" si="4"/>
        <v>-1.2077781087166992</v>
      </c>
      <c r="I84" s="2">
        <f t="shared" si="5"/>
        <v>0.44995941939768958</v>
      </c>
      <c r="J84" s="2">
        <f t="shared" si="6"/>
        <v>6.5234051328555012</v>
      </c>
      <c r="K84">
        <f t="shared" si="7"/>
        <v>70.826666666666668</v>
      </c>
    </row>
    <row r="85" spans="1:11" ht="13.9" x14ac:dyDescent="0.3">
      <c r="A85" s="2" t="s">
        <v>292</v>
      </c>
      <c r="B85" s="2">
        <v>3.05</v>
      </c>
      <c r="C85" s="2">
        <v>0</v>
      </c>
      <c r="D85" s="2">
        <v>0</v>
      </c>
      <c r="E85" s="2">
        <v>2.98</v>
      </c>
      <c r="F85" s="2">
        <v>0</v>
      </c>
      <c r="G85" s="2">
        <v>4.0599999999999996</v>
      </c>
      <c r="H85" s="2">
        <f t="shared" si="4"/>
        <v>-1.2067661861870485</v>
      </c>
      <c r="I85" s="2">
        <f t="shared" si="5"/>
        <v>0.4482321943881345</v>
      </c>
      <c r="J85" s="2">
        <f t="shared" si="6"/>
        <v>1.6088092426755241</v>
      </c>
      <c r="K85">
        <f t="shared" si="7"/>
        <v>2.3466666666666662</v>
      </c>
    </row>
    <row r="86" spans="1:11" ht="13.9" x14ac:dyDescent="0.3">
      <c r="A86" s="2" t="s">
        <v>240</v>
      </c>
      <c r="B86" s="2">
        <v>9.34</v>
      </c>
      <c r="C86" s="2">
        <v>0</v>
      </c>
      <c r="D86" s="2">
        <v>0</v>
      </c>
      <c r="E86" s="2">
        <v>12.14</v>
      </c>
      <c r="F86" s="2">
        <v>0</v>
      </c>
      <c r="G86" s="2">
        <v>9.1999999999999993</v>
      </c>
      <c r="H86" s="2">
        <f t="shared" si="4"/>
        <v>-1.1920657211147629</v>
      </c>
      <c r="I86" s="2">
        <f t="shared" si="5"/>
        <v>0.45173395715383763</v>
      </c>
      <c r="J86" s="2">
        <f t="shared" si="6"/>
        <v>3.2234225499349369</v>
      </c>
      <c r="K86">
        <f t="shared" si="7"/>
        <v>7.1133333333333333</v>
      </c>
    </row>
    <row r="87" spans="1:11" ht="13.9" x14ac:dyDescent="0.3">
      <c r="A87" s="2" t="s">
        <v>330</v>
      </c>
      <c r="B87" s="2">
        <v>0</v>
      </c>
      <c r="C87" s="2">
        <v>2.09</v>
      </c>
      <c r="D87" s="2">
        <v>5.03</v>
      </c>
      <c r="E87" s="2">
        <v>9.0500000000000007</v>
      </c>
      <c r="F87" s="2">
        <v>0</v>
      </c>
      <c r="G87" s="2">
        <v>6.63</v>
      </c>
      <c r="H87" s="2">
        <f t="shared" si="4"/>
        <v>-1.1389764131488105</v>
      </c>
      <c r="I87" s="2">
        <f t="shared" si="5"/>
        <v>0.40575779197035916</v>
      </c>
      <c r="J87" s="2">
        <f t="shared" si="6"/>
        <v>2.8318772411916733</v>
      </c>
      <c r="K87">
        <f t="shared" si="7"/>
        <v>5.2266666666666666</v>
      </c>
    </row>
    <row r="88" spans="1:11" ht="13.9" x14ac:dyDescent="0.3">
      <c r="A88" s="2" t="s">
        <v>777</v>
      </c>
      <c r="B88" s="2">
        <v>10.6</v>
      </c>
      <c r="C88" s="2">
        <v>7.53</v>
      </c>
      <c r="D88" s="2">
        <v>0</v>
      </c>
      <c r="E88" s="2">
        <v>15.84</v>
      </c>
      <c r="F88" s="2">
        <v>0</v>
      </c>
      <c r="G88" s="2">
        <v>23.01</v>
      </c>
      <c r="H88" s="2">
        <f t="shared" si="4"/>
        <v>-1.0995356735509145</v>
      </c>
      <c r="I88" s="2">
        <f t="shared" si="5"/>
        <v>0.40874887234669804</v>
      </c>
      <c r="J88" s="2">
        <f t="shared" si="6"/>
        <v>4.1803070199694332</v>
      </c>
      <c r="K88">
        <f t="shared" si="7"/>
        <v>12.950000000000001</v>
      </c>
    </row>
    <row r="89" spans="1:11" ht="13.9" x14ac:dyDescent="0.3">
      <c r="A89" s="2" t="s">
        <v>717</v>
      </c>
      <c r="B89" s="2">
        <v>204.45</v>
      </c>
      <c r="C89" s="2">
        <v>114.06</v>
      </c>
      <c r="D89" s="2">
        <v>280.52999999999997</v>
      </c>
      <c r="E89" s="2">
        <v>31.38</v>
      </c>
      <c r="F89" s="2">
        <v>1185.42</v>
      </c>
      <c r="G89" s="2">
        <v>55.9</v>
      </c>
      <c r="H89" s="2">
        <f t="shared" si="4"/>
        <v>-1.0871681430487454</v>
      </c>
      <c r="I89" s="2">
        <f t="shared" si="5"/>
        <v>0.58980470539143703</v>
      </c>
      <c r="J89" s="2">
        <f t="shared" si="6"/>
        <v>9.2265085298086795</v>
      </c>
      <c r="K89">
        <f t="shared" si="7"/>
        <v>424.23333333333341</v>
      </c>
    </row>
    <row r="90" spans="1:11" ht="13.9" x14ac:dyDescent="0.3">
      <c r="A90" s="2" t="s">
        <v>215</v>
      </c>
      <c r="B90" s="2">
        <v>0.18</v>
      </c>
      <c r="C90" s="2">
        <v>0.63</v>
      </c>
      <c r="D90" s="2">
        <v>0</v>
      </c>
      <c r="E90" s="2">
        <v>1.44</v>
      </c>
      <c r="F90" s="2">
        <v>0</v>
      </c>
      <c r="G90" s="2">
        <v>0.27</v>
      </c>
      <c r="H90" s="2">
        <f t="shared" si="4"/>
        <v>-1.0780025120012731</v>
      </c>
      <c r="I90" s="2">
        <f t="shared" si="5"/>
        <v>0.56585597084483175</v>
      </c>
      <c r="J90" s="2">
        <f t="shared" si="6"/>
        <v>-0.30400618689009989</v>
      </c>
      <c r="K90">
        <f t="shared" si="7"/>
        <v>0.56999999999999995</v>
      </c>
    </row>
    <row r="91" spans="1:11" ht="13.9" x14ac:dyDescent="0.3">
      <c r="A91" s="2" t="s">
        <v>298</v>
      </c>
      <c r="B91" s="2">
        <v>1842.53</v>
      </c>
      <c r="C91" s="2">
        <v>3174.17</v>
      </c>
      <c r="D91" s="2">
        <v>4432.17</v>
      </c>
      <c r="E91" s="2">
        <v>3987.28</v>
      </c>
      <c r="F91" s="2">
        <v>9360.69</v>
      </c>
      <c r="G91" s="2">
        <v>6306.53</v>
      </c>
      <c r="H91" s="2">
        <f t="shared" si="4"/>
        <v>-1.0566459514453193</v>
      </c>
      <c r="I91" s="2">
        <f t="shared" si="5"/>
        <v>0.12008559486178365</v>
      </c>
      <c r="J91" s="2">
        <f t="shared" si="6"/>
        <v>13.205926090940382</v>
      </c>
      <c r="K91">
        <f t="shared" si="7"/>
        <v>6551.5</v>
      </c>
    </row>
    <row r="92" spans="1:11" ht="13.9" x14ac:dyDescent="0.3">
      <c r="A92" s="2" t="s">
        <v>151</v>
      </c>
      <c r="B92" s="2">
        <v>167017.59</v>
      </c>
      <c r="C92" s="2">
        <v>219498.55</v>
      </c>
      <c r="D92" s="2">
        <v>196217.17</v>
      </c>
      <c r="E92" s="2">
        <v>546281.47</v>
      </c>
      <c r="F92" s="2">
        <v>186478.09</v>
      </c>
      <c r="G92" s="2">
        <v>475505.43</v>
      </c>
      <c r="H92" s="2">
        <f t="shared" si="4"/>
        <v>-1.0520292082771188</v>
      </c>
      <c r="I92" s="2">
        <f t="shared" si="5"/>
        <v>0.13376183828117807</v>
      </c>
      <c r="J92" s="2">
        <f t="shared" si="6"/>
        <v>19.152476254314259</v>
      </c>
      <c r="K92">
        <f t="shared" si="7"/>
        <v>402754.99666666664</v>
      </c>
    </row>
    <row r="93" spans="1:11" ht="13.9" x14ac:dyDescent="0.3">
      <c r="A93" s="2" t="s">
        <v>607</v>
      </c>
      <c r="B93" s="2">
        <v>9.16</v>
      </c>
      <c r="C93" s="2">
        <v>11.93</v>
      </c>
      <c r="D93" s="2">
        <v>39.72</v>
      </c>
      <c r="E93" s="2">
        <v>51.24</v>
      </c>
      <c r="F93" s="2">
        <v>0</v>
      </c>
      <c r="G93" s="2">
        <v>70.25</v>
      </c>
      <c r="H93" s="2">
        <f t="shared" si="4"/>
        <v>-0.99845707397316541</v>
      </c>
      <c r="I93" s="2">
        <f t="shared" si="5"/>
        <v>0.43135145637662364</v>
      </c>
      <c r="J93" s="2">
        <f t="shared" si="6"/>
        <v>5.9262366844133298</v>
      </c>
      <c r="K93">
        <f t="shared" si="7"/>
        <v>40.49666666666667</v>
      </c>
    </row>
    <row r="94" spans="1:11" ht="13.9" x14ac:dyDescent="0.3">
      <c r="A94" s="2" t="s">
        <v>291</v>
      </c>
      <c r="B94" s="2">
        <v>41.14</v>
      </c>
      <c r="C94" s="2">
        <v>26.58</v>
      </c>
      <c r="D94" s="2">
        <v>76.92</v>
      </c>
      <c r="E94" s="2">
        <v>62.25</v>
      </c>
      <c r="F94" s="2">
        <v>163.51</v>
      </c>
      <c r="G94" s="2">
        <v>61.18</v>
      </c>
      <c r="H94" s="2">
        <f t="shared" si="4"/>
        <v>-0.98828251378443677</v>
      </c>
      <c r="I94" s="2">
        <f t="shared" si="5"/>
        <v>0.27001887428074778</v>
      </c>
      <c r="J94" s="2">
        <f t="shared" si="6"/>
        <v>7.1763227726404626</v>
      </c>
      <c r="K94">
        <f t="shared" si="7"/>
        <v>95.646666666666661</v>
      </c>
    </row>
    <row r="95" spans="1:11" ht="13.9" x14ac:dyDescent="0.3">
      <c r="A95" s="2" t="s">
        <v>199</v>
      </c>
      <c r="B95" s="2">
        <v>167.44</v>
      </c>
      <c r="C95" s="2">
        <v>434.26</v>
      </c>
      <c r="D95" s="2">
        <v>582.17999999999995</v>
      </c>
      <c r="E95" s="2">
        <v>453.74</v>
      </c>
      <c r="F95" s="2">
        <v>817.53</v>
      </c>
      <c r="G95" s="2">
        <v>1048.95</v>
      </c>
      <c r="H95" s="2">
        <f t="shared" si="4"/>
        <v>-0.97073875169043644</v>
      </c>
      <c r="I95" s="2">
        <f t="shared" si="5"/>
        <v>0.1478062868895654</v>
      </c>
      <c r="J95" s="2">
        <f t="shared" si="6"/>
        <v>10.209307139126716</v>
      </c>
      <c r="K95">
        <f t="shared" si="7"/>
        <v>773.40666666666675</v>
      </c>
    </row>
    <row r="96" spans="1:11" ht="13.9" x14ac:dyDescent="0.3">
      <c r="A96" s="2" t="s">
        <v>53</v>
      </c>
      <c r="B96" s="2">
        <v>862.16</v>
      </c>
      <c r="C96" s="2">
        <v>867.68</v>
      </c>
      <c r="D96" s="2">
        <v>733</v>
      </c>
      <c r="E96" s="2">
        <v>1919.2</v>
      </c>
      <c r="F96" s="2">
        <v>940.16</v>
      </c>
      <c r="G96" s="2">
        <v>1941.56</v>
      </c>
      <c r="H96" s="2">
        <f t="shared" si="4"/>
        <v>-0.96298799062620144</v>
      </c>
      <c r="I96" s="2">
        <f t="shared" si="5"/>
        <v>7.9375988125644753E-2</v>
      </c>
      <c r="J96" s="2">
        <f t="shared" si="6"/>
        <v>11.266107189923067</v>
      </c>
      <c r="K96">
        <f t="shared" si="7"/>
        <v>1600.3066666666666</v>
      </c>
    </row>
    <row r="97" spans="1:11" ht="13.9" x14ac:dyDescent="0.3">
      <c r="A97" s="2" t="s">
        <v>269</v>
      </c>
      <c r="B97" s="2">
        <v>598.79</v>
      </c>
      <c r="C97" s="2">
        <v>878.98</v>
      </c>
      <c r="D97" s="2">
        <v>1117.5999999999999</v>
      </c>
      <c r="E97" s="2">
        <v>1672.37</v>
      </c>
      <c r="F97" s="2">
        <v>1185.42</v>
      </c>
      <c r="G97" s="2">
        <v>2193.1799999999998</v>
      </c>
      <c r="H97" s="2">
        <f t="shared" si="4"/>
        <v>-0.96062024687192382</v>
      </c>
      <c r="I97" s="2">
        <f t="shared" si="5"/>
        <v>6.6718589953598681E-2</v>
      </c>
      <c r="J97" s="2">
        <f t="shared" si="6"/>
        <v>11.34172451076503</v>
      </c>
      <c r="K97">
        <f t="shared" si="7"/>
        <v>1683.6566666666665</v>
      </c>
    </row>
    <row r="98" spans="1:11" ht="13.9" x14ac:dyDescent="0.3">
      <c r="A98" s="2" t="s">
        <v>766</v>
      </c>
      <c r="B98" s="2">
        <v>0.54</v>
      </c>
      <c r="C98" s="2">
        <v>8.58</v>
      </c>
      <c r="D98" s="2">
        <v>17.600000000000001</v>
      </c>
      <c r="E98" s="2">
        <v>20.48</v>
      </c>
      <c r="F98" s="2">
        <v>0</v>
      </c>
      <c r="G98" s="2">
        <v>31.13</v>
      </c>
      <c r="H98" s="2">
        <f t="shared" si="4"/>
        <v>-0.94973062280999754</v>
      </c>
      <c r="I98" s="2">
        <f t="shared" si="5"/>
        <v>0.46884763101838212</v>
      </c>
      <c r="J98" s="2">
        <f t="shared" si="6"/>
        <v>4.7398481026993284</v>
      </c>
      <c r="K98">
        <f t="shared" si="7"/>
        <v>17.203333333333333</v>
      </c>
    </row>
    <row r="99" spans="1:11" ht="13.9" x14ac:dyDescent="0.3">
      <c r="A99" s="2" t="s">
        <v>293</v>
      </c>
      <c r="B99" s="2">
        <v>22.1</v>
      </c>
      <c r="C99" s="2">
        <v>176.21</v>
      </c>
      <c r="D99" s="2">
        <v>173.95</v>
      </c>
      <c r="E99" s="2">
        <v>36.729999999999997</v>
      </c>
      <c r="F99" s="2">
        <v>613.15</v>
      </c>
      <c r="G99" s="2">
        <v>68.489999999999995</v>
      </c>
      <c r="H99" s="2">
        <f t="shared" si="4"/>
        <v>-0.94841649828152197</v>
      </c>
      <c r="I99" s="2">
        <f t="shared" si="5"/>
        <v>0.5838676021506054</v>
      </c>
      <c r="J99" s="2">
        <f t="shared" si="6"/>
        <v>8.5401667941405481</v>
      </c>
      <c r="K99">
        <f t="shared" si="7"/>
        <v>239.45666666666668</v>
      </c>
    </row>
    <row r="100" spans="1:11" ht="13.9" x14ac:dyDescent="0.3">
      <c r="A100" s="2" t="s">
        <v>218</v>
      </c>
      <c r="B100" s="2">
        <v>9.52</v>
      </c>
      <c r="C100" s="2">
        <v>4.1900000000000004</v>
      </c>
      <c r="D100" s="2">
        <v>0</v>
      </c>
      <c r="E100" s="2">
        <v>9.67</v>
      </c>
      <c r="F100" s="2">
        <v>0</v>
      </c>
      <c r="G100" s="2">
        <v>16.239999999999998</v>
      </c>
      <c r="H100" s="2">
        <f t="shared" si="4"/>
        <v>-0.9182804444008682</v>
      </c>
      <c r="I100" s="2">
        <f t="shared" si="5"/>
        <v>0.49791603678515989</v>
      </c>
      <c r="J100" s="2">
        <f t="shared" si="6"/>
        <v>3.7771566660045015</v>
      </c>
      <c r="K100">
        <f t="shared" si="7"/>
        <v>8.6366666666666649</v>
      </c>
    </row>
    <row r="101" spans="1:11" ht="13.9" x14ac:dyDescent="0.3">
      <c r="A101" s="2" t="s">
        <v>929</v>
      </c>
      <c r="B101" s="2">
        <v>63.96</v>
      </c>
      <c r="C101" s="2">
        <v>135.61000000000001</v>
      </c>
      <c r="D101" s="2">
        <v>249.86</v>
      </c>
      <c r="E101" s="2">
        <v>196.52</v>
      </c>
      <c r="F101" s="2">
        <v>163.51</v>
      </c>
      <c r="G101" s="2">
        <v>482.92</v>
      </c>
      <c r="H101" s="2">
        <f t="shared" si="4"/>
        <v>-0.90735063014516371</v>
      </c>
      <c r="I101" s="2">
        <f t="shared" si="5"/>
        <v>0.31752866296151849</v>
      </c>
      <c r="J101" s="2">
        <f t="shared" si="6"/>
        <v>8.8119526191582995</v>
      </c>
      <c r="K101">
        <f t="shared" si="7"/>
        <v>280.98333333333335</v>
      </c>
    </row>
    <row r="102" spans="1:11" ht="13.9" x14ac:dyDescent="0.3">
      <c r="A102" s="2" t="s">
        <v>722</v>
      </c>
      <c r="B102" s="2">
        <v>473.39</v>
      </c>
      <c r="C102" s="2">
        <v>674.51</v>
      </c>
      <c r="D102" s="2">
        <v>627.91999999999996</v>
      </c>
      <c r="E102" s="2">
        <v>1306.5899999999999</v>
      </c>
      <c r="F102" s="2">
        <v>1062.79</v>
      </c>
      <c r="G102" s="2">
        <v>959.21</v>
      </c>
      <c r="H102" s="2">
        <f t="shared" si="4"/>
        <v>-0.90642582187254628</v>
      </c>
      <c r="I102" s="2">
        <f t="shared" si="5"/>
        <v>1.2361254266423391E-2</v>
      </c>
      <c r="J102" s="2">
        <f t="shared" si="6"/>
        <v>10.794269639847872</v>
      </c>
      <c r="K102">
        <f t="shared" si="7"/>
        <v>1109.53</v>
      </c>
    </row>
    <row r="103" spans="1:11" ht="13.9" x14ac:dyDescent="0.3">
      <c r="A103" s="2" t="s">
        <v>751</v>
      </c>
      <c r="B103" s="2">
        <v>238.94</v>
      </c>
      <c r="C103" s="2">
        <v>229.58</v>
      </c>
      <c r="D103" s="2">
        <v>282.04000000000002</v>
      </c>
      <c r="E103" s="2">
        <v>353.53</v>
      </c>
      <c r="F103" s="2">
        <v>613.15</v>
      </c>
      <c r="G103" s="2">
        <v>435.28</v>
      </c>
      <c r="H103" s="2">
        <f t="shared" si="4"/>
        <v>-0.90140587664537775</v>
      </c>
      <c r="I103" s="2">
        <f t="shared" si="5"/>
        <v>5.0213430554006462E-2</v>
      </c>
      <c r="J103" s="2">
        <f t="shared" si="6"/>
        <v>9.5518235957212561</v>
      </c>
      <c r="K103">
        <f t="shared" si="7"/>
        <v>467.32</v>
      </c>
    </row>
    <row r="104" spans="1:11" ht="13.9" x14ac:dyDescent="0.3">
      <c r="A104" s="2" t="s">
        <v>435</v>
      </c>
      <c r="B104" s="2">
        <v>0</v>
      </c>
      <c r="C104" s="2">
        <v>6.49</v>
      </c>
      <c r="D104" s="2">
        <v>0</v>
      </c>
      <c r="E104" s="2">
        <v>4.22</v>
      </c>
      <c r="F104" s="2">
        <v>0</v>
      </c>
      <c r="G104" s="2">
        <v>7.85</v>
      </c>
      <c r="H104" s="2">
        <f t="shared" si="4"/>
        <v>-0.89513529275588288</v>
      </c>
      <c r="I104" s="2">
        <f t="shared" si="5"/>
        <v>0.58483950185356492</v>
      </c>
      <c r="J104" s="2">
        <f t="shared" si="6"/>
        <v>2.6982184782244136</v>
      </c>
      <c r="K104">
        <f t="shared" si="7"/>
        <v>4.0233333333333334</v>
      </c>
    </row>
    <row r="105" spans="1:11" ht="13.9" x14ac:dyDescent="0.3">
      <c r="A105" s="2" t="s">
        <v>147</v>
      </c>
      <c r="B105" s="2">
        <v>201.03</v>
      </c>
      <c r="C105" s="2">
        <v>279.18</v>
      </c>
      <c r="D105" s="2">
        <v>463.03</v>
      </c>
      <c r="E105" s="2">
        <v>488.11</v>
      </c>
      <c r="F105" s="2">
        <v>408.76</v>
      </c>
      <c r="G105" s="2">
        <v>856.62</v>
      </c>
      <c r="H105" s="2">
        <f t="shared" si="4"/>
        <v>-0.89453239792183881</v>
      </c>
      <c r="I105" s="2">
        <f t="shared" si="5"/>
        <v>0.16323548299553928</v>
      </c>
      <c r="J105" s="2">
        <f t="shared" si="6"/>
        <v>9.8814810897908849</v>
      </c>
      <c r="K105">
        <f t="shared" si="7"/>
        <v>584.49666666666667</v>
      </c>
    </row>
    <row r="106" spans="1:11" ht="13.9" x14ac:dyDescent="0.3">
      <c r="A106" s="2" t="s">
        <v>33</v>
      </c>
      <c r="B106" s="2">
        <v>3.59</v>
      </c>
      <c r="C106" s="2">
        <v>13.39</v>
      </c>
      <c r="D106" s="2">
        <v>3.02</v>
      </c>
      <c r="E106" s="2">
        <v>13.68</v>
      </c>
      <c r="F106" s="2">
        <v>0</v>
      </c>
      <c r="G106" s="2">
        <v>22.87</v>
      </c>
      <c r="H106" s="2">
        <f t="shared" si="4"/>
        <v>-0.86987140617771264</v>
      </c>
      <c r="I106" s="2">
        <f t="shared" si="5"/>
        <v>0.50000905667992346</v>
      </c>
      <c r="J106" s="2">
        <f t="shared" si="6"/>
        <v>4.3219280948873626</v>
      </c>
      <c r="K106">
        <f t="shared" si="7"/>
        <v>12.183333333333332</v>
      </c>
    </row>
    <row r="107" spans="1:11" ht="13.9" x14ac:dyDescent="0.3">
      <c r="A107" s="2" t="s">
        <v>877</v>
      </c>
      <c r="B107" s="2">
        <v>6.29</v>
      </c>
      <c r="C107" s="2">
        <v>0</v>
      </c>
      <c r="D107" s="2">
        <v>0</v>
      </c>
      <c r="E107" s="2">
        <v>6.69</v>
      </c>
      <c r="F107" s="2">
        <v>0</v>
      </c>
      <c r="G107" s="2">
        <v>4.74</v>
      </c>
      <c r="H107" s="2">
        <f t="shared" si="4"/>
        <v>-0.86169348133518908</v>
      </c>
      <c r="I107" s="2">
        <f t="shared" si="5"/>
        <v>0.58495570488955695</v>
      </c>
      <c r="J107" s="2">
        <f t="shared" si="6"/>
        <v>2.6530600171045644</v>
      </c>
      <c r="K107">
        <f t="shared" si="7"/>
        <v>3.81</v>
      </c>
    </row>
    <row r="108" spans="1:11" ht="13.9" x14ac:dyDescent="0.3">
      <c r="A108" s="2" t="s">
        <v>248</v>
      </c>
      <c r="B108" s="2">
        <v>123.06</v>
      </c>
      <c r="C108" s="2">
        <v>153.82</v>
      </c>
      <c r="D108" s="2">
        <v>137.25</v>
      </c>
      <c r="E108" s="2">
        <v>61.22</v>
      </c>
      <c r="F108" s="2">
        <v>613.15</v>
      </c>
      <c r="G108" s="2">
        <v>70.92</v>
      </c>
      <c r="H108" s="2">
        <f t="shared" si="4"/>
        <v>-0.84771818549520439</v>
      </c>
      <c r="I108" s="2">
        <f t="shared" si="5"/>
        <v>0.57810404547919103</v>
      </c>
      <c r="J108" s="2">
        <f t="shared" si="6"/>
        <v>8.693939906569776</v>
      </c>
      <c r="K108">
        <f t="shared" si="7"/>
        <v>248.42999999999998</v>
      </c>
    </row>
    <row r="109" spans="1:11" ht="13.9" x14ac:dyDescent="0.3">
      <c r="A109" s="2" t="s">
        <v>290</v>
      </c>
      <c r="B109" s="2">
        <v>10.42</v>
      </c>
      <c r="C109" s="2">
        <v>57.76</v>
      </c>
      <c r="D109" s="2">
        <v>13.07</v>
      </c>
      <c r="E109" s="2">
        <v>47.53</v>
      </c>
      <c r="F109" s="2">
        <v>40.880000000000003</v>
      </c>
      <c r="G109" s="2">
        <v>56.44</v>
      </c>
      <c r="H109" s="2">
        <f t="shared" si="4"/>
        <v>-0.83411996646722408</v>
      </c>
      <c r="I109" s="2">
        <f t="shared" si="5"/>
        <v>0.25592368380222014</v>
      </c>
      <c r="J109" s="2">
        <f t="shared" si="6"/>
        <v>6.344295907915817</v>
      </c>
      <c r="K109">
        <f t="shared" si="7"/>
        <v>48.283333333333331</v>
      </c>
    </row>
    <row r="110" spans="1:11" ht="13.9" x14ac:dyDescent="0.3">
      <c r="A110" s="2" t="s">
        <v>916</v>
      </c>
      <c r="B110" s="2">
        <v>9.8800000000000008</v>
      </c>
      <c r="C110" s="2">
        <v>9.2100000000000009</v>
      </c>
      <c r="D110" s="2">
        <v>0</v>
      </c>
      <c r="E110" s="2">
        <v>21.09</v>
      </c>
      <c r="F110" s="2">
        <v>0</v>
      </c>
      <c r="G110" s="2">
        <v>12.86</v>
      </c>
      <c r="H110" s="2">
        <f t="shared" si="4"/>
        <v>-0.83059447172815648</v>
      </c>
      <c r="I110" s="2">
        <f t="shared" si="5"/>
        <v>0.51340927705975059</v>
      </c>
      <c r="J110" s="2">
        <f t="shared" si="6"/>
        <v>4.2547451976292132</v>
      </c>
      <c r="K110">
        <f t="shared" si="7"/>
        <v>11.316666666666668</v>
      </c>
    </row>
    <row r="111" spans="1:11" ht="13.9" x14ac:dyDescent="0.3">
      <c r="A111" s="2" t="s">
        <v>699</v>
      </c>
      <c r="B111" s="2">
        <v>0</v>
      </c>
      <c r="C111" s="2">
        <v>0.21</v>
      </c>
      <c r="D111" s="2">
        <v>0</v>
      </c>
      <c r="E111" s="2">
        <v>0.1</v>
      </c>
      <c r="F111" s="2">
        <v>0</v>
      </c>
      <c r="G111" s="2">
        <v>0.27</v>
      </c>
      <c r="H111" s="2">
        <f t="shared" si="4"/>
        <v>-0.81713594285018953</v>
      </c>
      <c r="I111" s="2">
        <f t="shared" si="5"/>
        <v>0.63949250866372687</v>
      </c>
      <c r="J111" s="2">
        <f t="shared" si="6"/>
        <v>-2.2515387669959646</v>
      </c>
      <c r="K111">
        <f t="shared" si="7"/>
        <v>0.12333333333333334</v>
      </c>
    </row>
    <row r="112" spans="1:11" ht="13.9" x14ac:dyDescent="0.3">
      <c r="A112" s="2" t="s">
        <v>715</v>
      </c>
      <c r="B112" s="2">
        <v>6.47</v>
      </c>
      <c r="C112" s="2">
        <v>20.3</v>
      </c>
      <c r="D112" s="2">
        <v>34.19</v>
      </c>
      <c r="E112" s="2">
        <v>6.69</v>
      </c>
      <c r="F112" s="2">
        <v>81.75</v>
      </c>
      <c r="G112" s="2">
        <v>18.14</v>
      </c>
      <c r="H112" s="2">
        <f t="shared" si="4"/>
        <v>-0.80600193026671252</v>
      </c>
      <c r="I112" s="2">
        <f t="shared" si="5"/>
        <v>0.5711302551266183</v>
      </c>
      <c r="J112" s="2">
        <f t="shared" si="6"/>
        <v>5.9297909977185981</v>
      </c>
      <c r="K112">
        <f t="shared" si="7"/>
        <v>35.526666666666664</v>
      </c>
    </row>
    <row r="113" spans="1:11" ht="13.9" x14ac:dyDescent="0.3">
      <c r="A113" s="2" t="s">
        <v>943</v>
      </c>
      <c r="B113" s="2">
        <v>28.56</v>
      </c>
      <c r="C113" s="2">
        <v>51.9</v>
      </c>
      <c r="D113" s="2">
        <v>30.67</v>
      </c>
      <c r="E113" s="2">
        <v>64.72</v>
      </c>
      <c r="F113" s="2">
        <v>0</v>
      </c>
      <c r="G113" s="2">
        <v>129.38999999999999</v>
      </c>
      <c r="H113" s="2">
        <f t="shared" si="4"/>
        <v>-0.80462611279021323</v>
      </c>
      <c r="I113" s="2">
        <f t="shared" si="5"/>
        <v>0.50792455937723735</v>
      </c>
      <c r="J113" s="2">
        <f t="shared" si="6"/>
        <v>6.7961045205321451</v>
      </c>
      <c r="K113">
        <f t="shared" si="7"/>
        <v>64.703333333333333</v>
      </c>
    </row>
    <row r="114" spans="1:11" ht="13.9" x14ac:dyDescent="0.3">
      <c r="A114" s="2" t="s">
        <v>185</v>
      </c>
      <c r="B114" s="2">
        <v>149.11000000000001</v>
      </c>
      <c r="C114" s="2">
        <v>164.29</v>
      </c>
      <c r="D114" s="2">
        <v>348.9</v>
      </c>
      <c r="E114" s="2">
        <v>552.62</v>
      </c>
      <c r="F114" s="2">
        <v>204.38</v>
      </c>
      <c r="G114" s="2">
        <v>384.79</v>
      </c>
      <c r="H114" s="2">
        <f t="shared" si="4"/>
        <v>-0.78574056877740939</v>
      </c>
      <c r="I114" s="2">
        <f t="shared" si="5"/>
        <v>0.25140346431787802</v>
      </c>
      <c r="J114" s="2">
        <f t="shared" si="6"/>
        <v>9.3713410480058439</v>
      </c>
      <c r="K114">
        <f t="shared" si="7"/>
        <v>380.59666666666664</v>
      </c>
    </row>
    <row r="115" spans="1:11" ht="13.9" x14ac:dyDescent="0.3">
      <c r="A115" s="2" t="s">
        <v>745</v>
      </c>
      <c r="B115" s="2">
        <v>0.18</v>
      </c>
      <c r="C115" s="2">
        <v>0</v>
      </c>
      <c r="D115" s="2">
        <v>0</v>
      </c>
      <c r="E115" s="2">
        <v>0.31</v>
      </c>
      <c r="F115" s="2">
        <v>0</v>
      </c>
      <c r="G115" s="2">
        <v>0</v>
      </c>
      <c r="H115" s="2">
        <f t="shared" si="4"/>
        <v>-0.78427130894456298</v>
      </c>
      <c r="I115" s="2">
        <f t="shared" si="5"/>
        <v>0.73521378916689417</v>
      </c>
      <c r="J115" s="2">
        <f t="shared" si="6"/>
        <v>-2.4739311883324122</v>
      </c>
      <c r="K115">
        <f t="shared" si="7"/>
        <v>0.10333333333333333</v>
      </c>
    </row>
    <row r="116" spans="1:11" ht="13.9" x14ac:dyDescent="0.3">
      <c r="A116" s="2" t="s">
        <v>200</v>
      </c>
      <c r="B116" s="2">
        <v>314.02999999999997</v>
      </c>
      <c r="C116" s="2">
        <v>483.86</v>
      </c>
      <c r="D116" s="2">
        <v>292.08999999999997</v>
      </c>
      <c r="E116" s="2">
        <v>703.56</v>
      </c>
      <c r="F116" s="2">
        <v>531.39</v>
      </c>
      <c r="G116" s="2">
        <v>632.89</v>
      </c>
      <c r="H116" s="2">
        <f t="shared" si="4"/>
        <v>-0.77706921515472605</v>
      </c>
      <c r="I116" s="2">
        <f t="shared" si="5"/>
        <v>2.9898047172418604E-2</v>
      </c>
      <c r="J116" s="2">
        <f t="shared" si="6"/>
        <v>10.090085947952788</v>
      </c>
      <c r="K116">
        <f t="shared" si="7"/>
        <v>622.61333333333323</v>
      </c>
    </row>
    <row r="117" spans="1:11" ht="13.9" x14ac:dyDescent="0.3">
      <c r="A117" s="8" t="s">
        <v>99</v>
      </c>
      <c r="B117" s="2">
        <v>0</v>
      </c>
      <c r="C117" s="2">
        <v>6.7</v>
      </c>
      <c r="D117" s="2">
        <v>0</v>
      </c>
      <c r="E117" s="2">
        <v>5.56</v>
      </c>
      <c r="F117" s="2">
        <v>0</v>
      </c>
      <c r="G117" s="2">
        <v>5.82</v>
      </c>
      <c r="H117" s="2">
        <f t="shared" si="4"/>
        <v>-0.76426755696144699</v>
      </c>
      <c r="I117" s="2">
        <f t="shared" si="5"/>
        <v>0.62274888764095992</v>
      </c>
      <c r="J117" s="2">
        <f t="shared" si="6"/>
        <v>2.7441610955704103</v>
      </c>
      <c r="K117">
        <f t="shared" si="7"/>
        <v>3.793333333333333</v>
      </c>
    </row>
    <row r="118" spans="1:11" ht="13.9" x14ac:dyDescent="0.3">
      <c r="A118" s="2" t="s">
        <v>294</v>
      </c>
      <c r="B118" s="2">
        <v>3.23</v>
      </c>
      <c r="C118" s="2">
        <v>6.49</v>
      </c>
      <c r="D118" s="2">
        <v>0</v>
      </c>
      <c r="E118" s="2">
        <v>9.0500000000000007</v>
      </c>
      <c r="F118" s="2">
        <v>0</v>
      </c>
      <c r="G118" s="2">
        <v>7.31</v>
      </c>
      <c r="H118" s="2">
        <f t="shared" si="4"/>
        <v>-0.75114452933596787</v>
      </c>
      <c r="I118" s="2">
        <f t="shared" si="5"/>
        <v>0.54448378382833584</v>
      </c>
      <c r="J118" s="2">
        <f t="shared" si="6"/>
        <v>3.2809563138310565</v>
      </c>
      <c r="K118">
        <f t="shared" si="7"/>
        <v>5.4533333333333331</v>
      </c>
    </row>
    <row r="119" spans="1:11" ht="13.9" x14ac:dyDescent="0.3">
      <c r="A119" s="2" t="s">
        <v>32</v>
      </c>
      <c r="B119" s="2">
        <v>16269.8</v>
      </c>
      <c r="C119" s="2">
        <v>15437.2</v>
      </c>
      <c r="D119" s="2">
        <v>13431.25</v>
      </c>
      <c r="E119" s="2">
        <v>24727.34</v>
      </c>
      <c r="F119" s="2">
        <v>28000.33</v>
      </c>
      <c r="G119" s="2">
        <v>23100.35</v>
      </c>
      <c r="H119" s="2">
        <f t="shared" si="4"/>
        <v>-0.74838056551515897</v>
      </c>
      <c r="I119" s="2">
        <f t="shared" si="5"/>
        <v>3.5905252131801422E-3</v>
      </c>
      <c r="J119" s="2">
        <f t="shared" si="6"/>
        <v>15.462062866194788</v>
      </c>
      <c r="K119">
        <f t="shared" si="7"/>
        <v>25276.006666666664</v>
      </c>
    </row>
    <row r="120" spans="1:11" ht="13.9" x14ac:dyDescent="0.3">
      <c r="A120" s="2" t="s">
        <v>919</v>
      </c>
      <c r="B120" s="2">
        <v>3747.76</v>
      </c>
      <c r="C120" s="2">
        <v>6779.66</v>
      </c>
      <c r="D120" s="2">
        <v>9669.24</v>
      </c>
      <c r="E120" s="2">
        <v>11314.25</v>
      </c>
      <c r="F120" s="2">
        <v>6662.85</v>
      </c>
      <c r="G120" s="2">
        <v>15917.31</v>
      </c>
      <c r="H120" s="2">
        <f t="shared" si="4"/>
        <v>-0.74693062938635491</v>
      </c>
      <c r="I120" s="2">
        <f t="shared" si="5"/>
        <v>0.22339857434913044</v>
      </c>
      <c r="J120" s="2">
        <f t="shared" si="6"/>
        <v>14.301829108177511</v>
      </c>
      <c r="K120">
        <f t="shared" si="7"/>
        <v>11298.136666666665</v>
      </c>
    </row>
    <row r="121" spans="1:11" ht="13.9" x14ac:dyDescent="0.3">
      <c r="A121" s="2" t="s">
        <v>149</v>
      </c>
      <c r="B121" s="2">
        <v>4694.3500000000004</v>
      </c>
      <c r="C121" s="2">
        <v>7137.32</v>
      </c>
      <c r="D121" s="2">
        <v>6295.84</v>
      </c>
      <c r="E121" s="2">
        <v>10571.28</v>
      </c>
      <c r="F121" s="2">
        <v>7439.5</v>
      </c>
      <c r="G121" s="2">
        <v>12405.17</v>
      </c>
      <c r="H121" s="2">
        <f t="shared" si="4"/>
        <v>-0.74664729580734457</v>
      </c>
      <c r="I121" s="2">
        <f t="shared" si="5"/>
        <v>6.4456945291516854E-2</v>
      </c>
      <c r="J121" s="2">
        <f t="shared" si="6"/>
        <v>14.145893149233787</v>
      </c>
      <c r="K121">
        <f t="shared" si="7"/>
        <v>10138.65</v>
      </c>
    </row>
    <row r="122" spans="1:11" ht="13.9" x14ac:dyDescent="0.3">
      <c r="A122" s="2" t="s">
        <v>235</v>
      </c>
      <c r="B122" s="2">
        <v>0</v>
      </c>
      <c r="C122" s="2">
        <v>9.6300000000000008</v>
      </c>
      <c r="D122" s="2">
        <v>32.68</v>
      </c>
      <c r="E122" s="2">
        <v>13.58</v>
      </c>
      <c r="F122" s="2">
        <v>40.880000000000003</v>
      </c>
      <c r="G122" s="2">
        <v>16.38</v>
      </c>
      <c r="H122" s="2">
        <f t="shared" si="4"/>
        <v>-0.74356552639556384</v>
      </c>
      <c r="I122" s="2">
        <f t="shared" si="5"/>
        <v>0.50522379537014861</v>
      </c>
      <c r="J122" s="2">
        <f t="shared" si="6"/>
        <v>5.4029267805816259</v>
      </c>
      <c r="K122">
        <f t="shared" si="7"/>
        <v>23.613333333333333</v>
      </c>
    </row>
    <row r="123" spans="1:11" ht="13.9" x14ac:dyDescent="0.3">
      <c r="A123" s="2" t="s">
        <v>724</v>
      </c>
      <c r="B123" s="2">
        <v>88.21</v>
      </c>
      <c r="C123" s="2">
        <v>157.59</v>
      </c>
      <c r="D123" s="2">
        <v>240.31</v>
      </c>
      <c r="E123" s="2">
        <v>231.91</v>
      </c>
      <c r="F123" s="2">
        <v>286.13</v>
      </c>
      <c r="G123" s="2">
        <v>293.43</v>
      </c>
      <c r="H123" s="2">
        <f t="shared" si="4"/>
        <v>-0.73925494660750368</v>
      </c>
      <c r="I123" s="2">
        <f t="shared" si="5"/>
        <v>8.6985657444950973E-2</v>
      </c>
      <c r="J123" s="2">
        <f t="shared" si="6"/>
        <v>8.9251390025723083</v>
      </c>
      <c r="K123">
        <f t="shared" si="7"/>
        <v>270.49</v>
      </c>
    </row>
    <row r="124" spans="1:11" ht="13.9" x14ac:dyDescent="0.3">
      <c r="A124" s="2" t="s">
        <v>605</v>
      </c>
      <c r="B124" s="2">
        <v>851.74</v>
      </c>
      <c r="C124" s="2">
        <v>801.34</v>
      </c>
      <c r="D124" s="2">
        <v>1492.64</v>
      </c>
      <c r="E124" s="2">
        <v>1316.68</v>
      </c>
      <c r="F124" s="2">
        <v>2616.09</v>
      </c>
      <c r="G124" s="2">
        <v>1300.1500000000001</v>
      </c>
      <c r="H124" s="2">
        <f t="shared" si="4"/>
        <v>-0.73422594101321159</v>
      </c>
      <c r="I124" s="2">
        <f t="shared" si="5"/>
        <v>0.22821473682506224</v>
      </c>
      <c r="J124" s="2">
        <f t="shared" si="6"/>
        <v>11.619174547091184</v>
      </c>
      <c r="K124">
        <f t="shared" si="7"/>
        <v>1744.3066666666666</v>
      </c>
    </row>
    <row r="125" spans="1:11" ht="13.9" x14ac:dyDescent="0.3">
      <c r="A125" s="2" t="s">
        <v>689</v>
      </c>
      <c r="B125" s="2">
        <v>0.18</v>
      </c>
      <c r="C125" s="2">
        <v>4.1900000000000004</v>
      </c>
      <c r="D125" s="2">
        <v>1.51</v>
      </c>
      <c r="E125" s="2">
        <v>4.84</v>
      </c>
      <c r="F125" s="2">
        <v>0</v>
      </c>
      <c r="G125" s="2">
        <v>4.74</v>
      </c>
      <c r="H125" s="2">
        <f t="shared" si="4"/>
        <v>-0.70420950089981593</v>
      </c>
      <c r="I125" s="2">
        <f t="shared" si="5"/>
        <v>0.5680688846738825</v>
      </c>
      <c r="J125" s="2">
        <f t="shared" si="6"/>
        <v>2.5558161550616396</v>
      </c>
      <c r="K125">
        <f t="shared" si="7"/>
        <v>3.1933333333333334</v>
      </c>
    </row>
    <row r="126" spans="1:11" ht="13.9" x14ac:dyDescent="0.3">
      <c r="A126" s="2" t="s">
        <v>267</v>
      </c>
      <c r="B126" s="2">
        <v>5927.14</v>
      </c>
      <c r="C126" s="2">
        <v>11937.81</v>
      </c>
      <c r="D126" s="2">
        <v>13177.37</v>
      </c>
      <c r="E126" s="2">
        <v>16512.330000000002</v>
      </c>
      <c r="F126" s="2">
        <v>10750.49</v>
      </c>
      <c r="G126" s="2">
        <v>22292.87</v>
      </c>
      <c r="H126" s="2">
        <f t="shared" si="4"/>
        <v>-0.67481433382848743</v>
      </c>
      <c r="I126" s="2">
        <f t="shared" si="5"/>
        <v>0.1990439731133283</v>
      </c>
      <c r="J126" s="2">
        <f t="shared" si="6"/>
        <v>14.921948763344398</v>
      </c>
      <c r="K126">
        <f t="shared" si="7"/>
        <v>16518.563333333335</v>
      </c>
    </row>
    <row r="127" spans="1:11" ht="13.9" x14ac:dyDescent="0.3">
      <c r="A127" s="2" t="s">
        <v>920</v>
      </c>
      <c r="B127" s="2">
        <v>14.01</v>
      </c>
      <c r="C127" s="2">
        <v>7.95</v>
      </c>
      <c r="D127" s="2">
        <v>12.57</v>
      </c>
      <c r="E127" s="2">
        <v>5.14</v>
      </c>
      <c r="F127" s="2">
        <v>40.880000000000003</v>
      </c>
      <c r="G127" s="2">
        <v>8.66</v>
      </c>
      <c r="H127" s="2">
        <f t="shared" si="4"/>
        <v>-0.66316290875267359</v>
      </c>
      <c r="I127" s="2">
        <f t="shared" si="5"/>
        <v>0.59109478931411252</v>
      </c>
      <c r="J127" s="2">
        <f t="shared" si="6"/>
        <v>5.1097784290786619</v>
      </c>
      <c r="K127">
        <f t="shared" si="7"/>
        <v>18.22666666666667</v>
      </c>
    </row>
    <row r="128" spans="1:11" ht="13.9" x14ac:dyDescent="0.3">
      <c r="A128" s="2" t="s">
        <v>287</v>
      </c>
      <c r="B128" s="2">
        <v>0.18</v>
      </c>
      <c r="C128" s="2">
        <v>4.3899999999999997</v>
      </c>
      <c r="D128" s="2">
        <v>0</v>
      </c>
      <c r="E128" s="2">
        <v>2.06</v>
      </c>
      <c r="F128" s="2">
        <v>0</v>
      </c>
      <c r="G128" s="2">
        <v>5.01</v>
      </c>
      <c r="H128" s="2">
        <f t="shared" si="4"/>
        <v>-0.62951604975132947</v>
      </c>
      <c r="I128" s="2">
        <f t="shared" si="5"/>
        <v>0.70413777518194998</v>
      </c>
      <c r="J128" s="2">
        <f t="shared" si="6"/>
        <v>2.192194165283345</v>
      </c>
      <c r="K128">
        <f t="shared" si="7"/>
        <v>2.3566666666666669</v>
      </c>
    </row>
    <row r="129" spans="1:11" ht="13.9" x14ac:dyDescent="0.3">
      <c r="A129" s="2" t="s">
        <v>378</v>
      </c>
      <c r="B129" s="2">
        <v>90.73</v>
      </c>
      <c r="C129" s="2">
        <v>105.48</v>
      </c>
      <c r="D129" s="2">
        <v>198.58</v>
      </c>
      <c r="E129" s="2">
        <v>177.69</v>
      </c>
      <c r="F129" s="2">
        <v>245.26</v>
      </c>
      <c r="G129" s="2">
        <v>178.93</v>
      </c>
      <c r="H129" s="2">
        <f t="shared" si="4"/>
        <v>-0.60839043100792178</v>
      </c>
      <c r="I129" s="2">
        <f t="shared" si="5"/>
        <v>0.1632756501198841</v>
      </c>
      <c r="J129" s="2">
        <f t="shared" si="6"/>
        <v>8.6249416366786509</v>
      </c>
      <c r="K129">
        <f t="shared" si="7"/>
        <v>200.62666666666667</v>
      </c>
    </row>
    <row r="130" spans="1:11" ht="13.9" x14ac:dyDescent="0.3">
      <c r="A130" s="2" t="s">
        <v>381</v>
      </c>
      <c r="B130" s="2">
        <v>155.58000000000001</v>
      </c>
      <c r="C130" s="2">
        <v>106.52</v>
      </c>
      <c r="D130" s="2">
        <v>171.44</v>
      </c>
      <c r="E130" s="2">
        <v>91.88</v>
      </c>
      <c r="F130" s="2">
        <v>449.64</v>
      </c>
      <c r="G130" s="2">
        <v>108.68</v>
      </c>
      <c r="H130" s="2">
        <f t="shared" ref="H130:H193" si="8">LOG(SUM(B130:D130)/SUM(E130:G130),2)</f>
        <v>-0.58471844807277018</v>
      </c>
      <c r="I130" s="2">
        <f t="shared" ref="I130:I193" si="9">_xlfn.T.TEST(B130:D130,E130:G130,2,2)</f>
        <v>0.57415725891681979</v>
      </c>
      <c r="J130" s="2">
        <f t="shared" ref="J130:J193" si="10">LOG(SUM(B130:D130),2)</f>
        <v>8.7600212977302228</v>
      </c>
      <c r="K130">
        <f t="shared" ref="K130:K193" si="11">AVERAGE(E130:G130)</f>
        <v>216.73333333333335</v>
      </c>
    </row>
    <row r="131" spans="1:11" ht="13.9" x14ac:dyDescent="0.3">
      <c r="A131" s="2" t="s">
        <v>942</v>
      </c>
      <c r="B131" s="2">
        <v>1.44</v>
      </c>
      <c r="C131" s="2">
        <v>0.42</v>
      </c>
      <c r="D131" s="2">
        <v>1.51</v>
      </c>
      <c r="E131" s="2">
        <v>1.75</v>
      </c>
      <c r="F131" s="2">
        <v>0</v>
      </c>
      <c r="G131" s="2">
        <v>3.25</v>
      </c>
      <c r="H131" s="2">
        <f t="shared" si="8"/>
        <v>-0.5691795034802285</v>
      </c>
      <c r="I131" s="2">
        <f t="shared" si="9"/>
        <v>0.61678523233976557</v>
      </c>
      <c r="J131" s="2">
        <f t="shared" si="10"/>
        <v>1.7527485914071339</v>
      </c>
      <c r="K131">
        <f t="shared" si="11"/>
        <v>1.6666666666666667</v>
      </c>
    </row>
    <row r="132" spans="1:11" ht="13.9" x14ac:dyDescent="0.3">
      <c r="A132" s="2" t="s">
        <v>416</v>
      </c>
      <c r="B132" s="2">
        <v>3.41</v>
      </c>
      <c r="C132" s="2">
        <v>0</v>
      </c>
      <c r="D132" s="2">
        <v>0</v>
      </c>
      <c r="E132" s="2">
        <v>2.88</v>
      </c>
      <c r="F132" s="2">
        <v>0</v>
      </c>
      <c r="G132" s="2">
        <v>2.17</v>
      </c>
      <c r="H132" s="2">
        <f t="shared" si="8"/>
        <v>-0.56651164861498449</v>
      </c>
      <c r="I132" s="2">
        <f t="shared" si="9"/>
        <v>0.72153482493209498</v>
      </c>
      <c r="J132" s="2">
        <f t="shared" si="10"/>
        <v>1.7697717392494476</v>
      </c>
      <c r="K132">
        <f t="shared" si="11"/>
        <v>1.6833333333333333</v>
      </c>
    </row>
    <row r="133" spans="1:11" ht="13.9" x14ac:dyDescent="0.3">
      <c r="A133" s="2" t="s">
        <v>42</v>
      </c>
      <c r="B133" s="2">
        <v>9.34</v>
      </c>
      <c r="C133" s="2">
        <v>83.5</v>
      </c>
      <c r="D133" s="2">
        <v>41.22</v>
      </c>
      <c r="E133" s="2">
        <v>52.06</v>
      </c>
      <c r="F133" s="2">
        <v>40.880000000000003</v>
      </c>
      <c r="G133" s="2">
        <v>103.41</v>
      </c>
      <c r="H133" s="2">
        <f t="shared" si="8"/>
        <v>-0.55054875904700329</v>
      </c>
      <c r="I133" s="2">
        <f t="shared" si="9"/>
        <v>0.51143333985535244</v>
      </c>
      <c r="J133" s="2">
        <f t="shared" si="10"/>
        <v>7.0667350287320314</v>
      </c>
      <c r="K133">
        <f t="shared" si="11"/>
        <v>65.45</v>
      </c>
    </row>
    <row r="134" spans="1:11" ht="13.9" x14ac:dyDescent="0.3">
      <c r="A134" s="2" t="s">
        <v>432</v>
      </c>
      <c r="B134" s="2">
        <v>151.44999999999999</v>
      </c>
      <c r="C134" s="2">
        <v>109.87</v>
      </c>
      <c r="D134" s="2">
        <v>112.61</v>
      </c>
      <c r="E134" s="2">
        <v>162.57</v>
      </c>
      <c r="F134" s="2">
        <v>245.26</v>
      </c>
      <c r="G134" s="2">
        <v>137.51</v>
      </c>
      <c r="H134" s="2">
        <f t="shared" si="8"/>
        <v>-0.54438775749253598</v>
      </c>
      <c r="I134" s="2">
        <f t="shared" si="9"/>
        <v>0.1800062185506173</v>
      </c>
      <c r="J134" s="2">
        <f t="shared" si="10"/>
        <v>8.5466244114789429</v>
      </c>
      <c r="K134">
        <f t="shared" si="11"/>
        <v>181.77999999999997</v>
      </c>
    </row>
    <row r="135" spans="1:11" ht="13.9" x14ac:dyDescent="0.3">
      <c r="A135" s="2" t="s">
        <v>208</v>
      </c>
      <c r="B135" s="2">
        <v>0.36</v>
      </c>
      <c r="C135" s="2">
        <v>24.07</v>
      </c>
      <c r="D135" s="2">
        <v>32.18</v>
      </c>
      <c r="E135" s="2">
        <v>18.62</v>
      </c>
      <c r="F135" s="2">
        <v>40.880000000000003</v>
      </c>
      <c r="G135" s="2">
        <v>23.01</v>
      </c>
      <c r="H135" s="2">
        <f t="shared" si="8"/>
        <v>-0.54351205722765306</v>
      </c>
      <c r="I135" s="2">
        <f t="shared" si="9"/>
        <v>0.50238607247977773</v>
      </c>
      <c r="J135" s="2">
        <f t="shared" si="10"/>
        <v>5.822985018546877</v>
      </c>
      <c r="K135">
        <f t="shared" si="11"/>
        <v>27.503333333333334</v>
      </c>
    </row>
    <row r="136" spans="1:11" ht="13.9" x14ac:dyDescent="0.3">
      <c r="A136" s="2" t="s">
        <v>270</v>
      </c>
      <c r="B136" s="2">
        <v>723.82</v>
      </c>
      <c r="C136" s="2">
        <v>842.15</v>
      </c>
      <c r="D136" s="2">
        <v>1039.67</v>
      </c>
      <c r="E136" s="2">
        <v>1124.99</v>
      </c>
      <c r="F136" s="2">
        <v>1553.3</v>
      </c>
      <c r="G136" s="2">
        <v>1068.3</v>
      </c>
      <c r="H136" s="2">
        <f t="shared" si="8"/>
        <v>-0.52394033580095267</v>
      </c>
      <c r="I136" s="2">
        <f t="shared" si="9"/>
        <v>0.1003769312258392</v>
      </c>
      <c r="J136" s="2">
        <f t="shared" si="10"/>
        <v>11.347422056944328</v>
      </c>
      <c r="K136">
        <f t="shared" si="11"/>
        <v>1248.8633333333335</v>
      </c>
    </row>
    <row r="137" spans="1:11" ht="13.9" x14ac:dyDescent="0.3">
      <c r="A137" s="2" t="s">
        <v>221</v>
      </c>
      <c r="B137" s="2">
        <v>0.18</v>
      </c>
      <c r="C137" s="2">
        <v>15.7</v>
      </c>
      <c r="D137" s="2">
        <v>0</v>
      </c>
      <c r="E137" s="2">
        <v>8.44</v>
      </c>
      <c r="F137" s="2">
        <v>0</v>
      </c>
      <c r="G137" s="2">
        <v>14.21</v>
      </c>
      <c r="H137" s="2">
        <f t="shared" si="8"/>
        <v>-0.51230013779063976</v>
      </c>
      <c r="I137" s="2">
        <f t="shared" si="9"/>
        <v>0.7510931493822508</v>
      </c>
      <c r="J137" s="2">
        <f t="shared" si="10"/>
        <v>3.9891390073682333</v>
      </c>
      <c r="K137">
        <f t="shared" si="11"/>
        <v>7.55</v>
      </c>
    </row>
    <row r="138" spans="1:11" ht="13.9" x14ac:dyDescent="0.3">
      <c r="A138" s="2" t="s">
        <v>466</v>
      </c>
      <c r="B138" s="2">
        <v>7.01</v>
      </c>
      <c r="C138" s="2">
        <v>11.09</v>
      </c>
      <c r="D138" s="2">
        <v>0</v>
      </c>
      <c r="E138" s="2">
        <v>9.4700000000000006</v>
      </c>
      <c r="F138" s="2">
        <v>0</v>
      </c>
      <c r="G138" s="2">
        <v>16.239999999999998</v>
      </c>
      <c r="H138" s="2">
        <f t="shared" si="8"/>
        <v>-0.50633991286308822</v>
      </c>
      <c r="I138" s="2">
        <f t="shared" si="9"/>
        <v>0.68012751641410296</v>
      </c>
      <c r="J138" s="2">
        <f t="shared" si="10"/>
        <v>4.177917792195843</v>
      </c>
      <c r="K138">
        <f t="shared" si="11"/>
        <v>8.57</v>
      </c>
    </row>
    <row r="139" spans="1:11" ht="13.9" x14ac:dyDescent="0.3">
      <c r="A139" s="2" t="s">
        <v>190</v>
      </c>
      <c r="B139" s="2">
        <v>17.61</v>
      </c>
      <c r="C139" s="2">
        <v>36.619999999999997</v>
      </c>
      <c r="D139" s="2">
        <v>63.35</v>
      </c>
      <c r="E139" s="2">
        <v>61.84</v>
      </c>
      <c r="F139" s="2">
        <v>40.880000000000003</v>
      </c>
      <c r="G139" s="2">
        <v>59.15</v>
      </c>
      <c r="H139" s="2">
        <f t="shared" si="8"/>
        <v>-0.46119294709316644</v>
      </c>
      <c r="I139" s="2">
        <f t="shared" si="9"/>
        <v>0.37527338638430813</v>
      </c>
      <c r="J139" s="2">
        <f t="shared" si="10"/>
        <v>6.8774988727835344</v>
      </c>
      <c r="K139">
        <f t="shared" si="11"/>
        <v>53.956666666666671</v>
      </c>
    </row>
    <row r="140" spans="1:11" ht="13.9" x14ac:dyDescent="0.3">
      <c r="A140" s="2" t="s">
        <v>97</v>
      </c>
      <c r="B140" s="2">
        <v>519.91999999999996</v>
      </c>
      <c r="C140" s="2">
        <v>859.31</v>
      </c>
      <c r="D140" s="2">
        <v>1173.4000000000001</v>
      </c>
      <c r="E140" s="2">
        <v>1245.68</v>
      </c>
      <c r="F140" s="2">
        <v>981.03</v>
      </c>
      <c r="G140" s="2">
        <v>1262.52</v>
      </c>
      <c r="H140" s="2">
        <f t="shared" si="8"/>
        <v>-0.45092426261733359</v>
      </c>
      <c r="I140" s="2">
        <f t="shared" si="9"/>
        <v>0.21051500800972281</v>
      </c>
      <c r="J140" s="2">
        <f t="shared" si="10"/>
        <v>11.31776872101667</v>
      </c>
      <c r="K140">
        <f t="shared" si="11"/>
        <v>1163.0766666666666</v>
      </c>
    </row>
    <row r="141" spans="1:11" ht="13.9" x14ac:dyDescent="0.3">
      <c r="A141" s="2" t="s">
        <v>160</v>
      </c>
      <c r="B141" s="2">
        <v>104.2</v>
      </c>
      <c r="C141" s="2">
        <v>169.52</v>
      </c>
      <c r="D141" s="2">
        <v>126.19</v>
      </c>
      <c r="E141" s="2">
        <v>180.98</v>
      </c>
      <c r="F141" s="2">
        <v>122.63</v>
      </c>
      <c r="G141" s="2">
        <v>225.35</v>
      </c>
      <c r="H141" s="2">
        <f t="shared" si="8"/>
        <v>-0.40348327265076145</v>
      </c>
      <c r="I141" s="2">
        <f t="shared" si="9"/>
        <v>0.29108432765332359</v>
      </c>
      <c r="J141" s="2">
        <f t="shared" si="10"/>
        <v>8.6435315468668286</v>
      </c>
      <c r="K141">
        <f t="shared" si="11"/>
        <v>176.32000000000002</v>
      </c>
    </row>
    <row r="142" spans="1:11" ht="13.9" x14ac:dyDescent="0.3">
      <c r="A142" s="2" t="s">
        <v>249</v>
      </c>
      <c r="B142" s="2">
        <v>2.87</v>
      </c>
      <c r="C142" s="2">
        <v>2.09</v>
      </c>
      <c r="D142" s="2">
        <v>10.56</v>
      </c>
      <c r="E142" s="2">
        <v>12.04</v>
      </c>
      <c r="F142" s="2">
        <v>0</v>
      </c>
      <c r="G142" s="2">
        <v>8.39</v>
      </c>
      <c r="H142" s="2">
        <f t="shared" si="8"/>
        <v>-0.39656064654609979</v>
      </c>
      <c r="I142" s="2">
        <f t="shared" si="9"/>
        <v>0.73297814905070036</v>
      </c>
      <c r="J142" s="2">
        <f t="shared" si="10"/>
        <v>3.956056652412403</v>
      </c>
      <c r="K142">
        <f t="shared" si="11"/>
        <v>6.81</v>
      </c>
    </row>
    <row r="143" spans="1:11" ht="13.9" x14ac:dyDescent="0.3">
      <c r="A143" s="2" t="s">
        <v>456</v>
      </c>
      <c r="B143" s="2">
        <v>14.37</v>
      </c>
      <c r="C143" s="2">
        <v>5.65</v>
      </c>
      <c r="D143" s="2">
        <v>11.56</v>
      </c>
      <c r="E143" s="2">
        <v>13.58</v>
      </c>
      <c r="F143" s="2">
        <v>0</v>
      </c>
      <c r="G143" s="2">
        <v>27.88</v>
      </c>
      <c r="H143" s="2">
        <f t="shared" si="8"/>
        <v>-0.39270894524917788</v>
      </c>
      <c r="I143" s="2">
        <f t="shared" si="9"/>
        <v>0.7165693929890925</v>
      </c>
      <c r="J143" s="2">
        <f t="shared" si="10"/>
        <v>4.9809392660855121</v>
      </c>
      <c r="K143">
        <f t="shared" si="11"/>
        <v>13.82</v>
      </c>
    </row>
    <row r="144" spans="1:11" ht="13.9" x14ac:dyDescent="0.3">
      <c r="A144" s="2" t="s">
        <v>393</v>
      </c>
      <c r="B144" s="2">
        <v>6.29</v>
      </c>
      <c r="C144" s="2">
        <v>12.98</v>
      </c>
      <c r="D144" s="2">
        <v>31.17</v>
      </c>
      <c r="E144" s="2">
        <v>11.73</v>
      </c>
      <c r="F144" s="2">
        <v>0</v>
      </c>
      <c r="G144" s="2">
        <v>54.41</v>
      </c>
      <c r="H144" s="2">
        <f t="shared" si="8"/>
        <v>-0.39095476986289507</v>
      </c>
      <c r="I144" s="2">
        <f t="shared" si="9"/>
        <v>0.78714611113977351</v>
      </c>
      <c r="J144" s="2">
        <f t="shared" si="10"/>
        <v>5.6564963705534952</v>
      </c>
      <c r="K144">
        <f t="shared" si="11"/>
        <v>22.046666666666667</v>
      </c>
    </row>
    <row r="145" spans="1:11" ht="13.9" x14ac:dyDescent="0.3">
      <c r="A145" s="2" t="s">
        <v>135</v>
      </c>
      <c r="B145" s="2">
        <v>43.84</v>
      </c>
      <c r="C145" s="2">
        <v>54.62</v>
      </c>
      <c r="D145" s="2">
        <v>58.32</v>
      </c>
      <c r="E145" s="2">
        <v>39.92</v>
      </c>
      <c r="F145" s="2">
        <v>81.75</v>
      </c>
      <c r="G145" s="2">
        <v>79.72</v>
      </c>
      <c r="H145" s="2">
        <f t="shared" si="8"/>
        <v>-0.36125051775571398</v>
      </c>
      <c r="I145" s="2">
        <f t="shared" si="9"/>
        <v>0.3569324739109343</v>
      </c>
      <c r="J145" s="2">
        <f t="shared" si="10"/>
        <v>7.2925977202664534</v>
      </c>
      <c r="K145">
        <f t="shared" si="11"/>
        <v>67.13</v>
      </c>
    </row>
    <row r="146" spans="1:11" ht="13.9" x14ac:dyDescent="0.3">
      <c r="A146" s="2" t="s">
        <v>848</v>
      </c>
      <c r="B146" s="2">
        <v>15.45</v>
      </c>
      <c r="C146" s="2">
        <v>11.72</v>
      </c>
      <c r="D146" s="2">
        <v>58.82</v>
      </c>
      <c r="E146" s="2">
        <v>40.74</v>
      </c>
      <c r="F146" s="2">
        <v>0</v>
      </c>
      <c r="G146" s="2">
        <v>66.59</v>
      </c>
      <c r="H146" s="2">
        <f t="shared" si="8"/>
        <v>-0.31981258279309505</v>
      </c>
      <c r="I146" s="2">
        <f t="shared" si="9"/>
        <v>0.78666204996590039</v>
      </c>
      <c r="J146" s="2">
        <f t="shared" si="10"/>
        <v>6.4260969897108176</v>
      </c>
      <c r="K146">
        <f t="shared" si="11"/>
        <v>35.776666666666671</v>
      </c>
    </row>
    <row r="147" spans="1:11" ht="13.9" x14ac:dyDescent="0.3">
      <c r="A147" s="2" t="s">
        <v>117</v>
      </c>
      <c r="B147" s="2">
        <v>53.9</v>
      </c>
      <c r="C147" s="2">
        <v>22.39</v>
      </c>
      <c r="D147" s="2">
        <v>47.26</v>
      </c>
      <c r="E147" s="2">
        <v>53.81</v>
      </c>
      <c r="F147" s="2">
        <v>0</v>
      </c>
      <c r="G147" s="2">
        <v>99.07</v>
      </c>
      <c r="H147" s="2">
        <f t="shared" si="8"/>
        <v>-0.30730467276130996</v>
      </c>
      <c r="I147" s="2">
        <f t="shared" si="9"/>
        <v>0.76234476765531256</v>
      </c>
      <c r="J147" s="2">
        <f t="shared" si="10"/>
        <v>6.9489512004414218</v>
      </c>
      <c r="K147">
        <f t="shared" si="11"/>
        <v>50.96</v>
      </c>
    </row>
    <row r="148" spans="1:11" ht="13.9" x14ac:dyDescent="0.3">
      <c r="A148" s="2" t="s">
        <v>155</v>
      </c>
      <c r="B148" s="2">
        <v>16.89</v>
      </c>
      <c r="C148" s="2">
        <v>51.27</v>
      </c>
      <c r="D148" s="2">
        <v>80.44</v>
      </c>
      <c r="E148" s="2">
        <v>49.9</v>
      </c>
      <c r="F148" s="2">
        <v>40.880000000000003</v>
      </c>
      <c r="G148" s="2">
        <v>88.52</v>
      </c>
      <c r="H148" s="2">
        <f t="shared" si="8"/>
        <v>-0.27094137232977883</v>
      </c>
      <c r="I148" s="2">
        <f t="shared" si="9"/>
        <v>0.68530561675081736</v>
      </c>
      <c r="J148" s="2">
        <f t="shared" si="10"/>
        <v>7.2152903056512336</v>
      </c>
      <c r="K148">
        <f t="shared" si="11"/>
        <v>59.766666666666673</v>
      </c>
    </row>
    <row r="149" spans="1:11" ht="13.9" x14ac:dyDescent="0.3">
      <c r="A149" s="2" t="s">
        <v>510</v>
      </c>
      <c r="B149" s="2">
        <v>11.5</v>
      </c>
      <c r="C149" s="2">
        <v>43.32</v>
      </c>
      <c r="D149" s="2">
        <v>41.73</v>
      </c>
      <c r="E149" s="2">
        <v>50.52</v>
      </c>
      <c r="F149" s="2">
        <v>0</v>
      </c>
      <c r="G149" s="2">
        <v>64.56</v>
      </c>
      <c r="H149" s="2">
        <f t="shared" si="8"/>
        <v>-0.25328896190127453</v>
      </c>
      <c r="I149" s="2">
        <f t="shared" si="9"/>
        <v>0.79434807334707258</v>
      </c>
      <c r="J149" s="2">
        <f t="shared" si="10"/>
        <v>6.5932043540632881</v>
      </c>
      <c r="K149">
        <f t="shared" si="11"/>
        <v>38.360000000000007</v>
      </c>
    </row>
    <row r="150" spans="1:11" ht="13.9" x14ac:dyDescent="0.3">
      <c r="A150" s="2" t="s">
        <v>189</v>
      </c>
      <c r="B150" s="2">
        <v>113.9</v>
      </c>
      <c r="C150" s="2">
        <v>162.61000000000001</v>
      </c>
      <c r="D150" s="2">
        <v>261.93</v>
      </c>
      <c r="E150" s="2">
        <v>175.94</v>
      </c>
      <c r="F150" s="2">
        <v>163.51</v>
      </c>
      <c r="G150" s="2">
        <v>295.87</v>
      </c>
      <c r="H150" s="2">
        <f t="shared" si="8"/>
        <v>-0.23869784633243998</v>
      </c>
      <c r="I150" s="2">
        <f t="shared" si="9"/>
        <v>0.6226027502410264</v>
      </c>
      <c r="J150" s="2">
        <f t="shared" si="10"/>
        <v>9.0726417796227778</v>
      </c>
      <c r="K150">
        <f t="shared" si="11"/>
        <v>211.77333333333331</v>
      </c>
    </row>
    <row r="151" spans="1:11" ht="13.9" x14ac:dyDescent="0.3">
      <c r="A151" s="2" t="s">
        <v>650</v>
      </c>
      <c r="B151" s="2">
        <v>283.49</v>
      </c>
      <c r="C151" s="2">
        <v>579.91999999999996</v>
      </c>
      <c r="D151" s="2">
        <v>525.37</v>
      </c>
      <c r="E151" s="2">
        <v>534.51</v>
      </c>
      <c r="F151" s="2">
        <v>327.01</v>
      </c>
      <c r="G151" s="2">
        <v>764.17</v>
      </c>
      <c r="H151" s="2">
        <f t="shared" si="8"/>
        <v>-0.22723410202272007</v>
      </c>
      <c r="I151" s="2">
        <f t="shared" si="9"/>
        <v>0.6386648844039875</v>
      </c>
      <c r="J151" s="2">
        <f t="shared" si="10"/>
        <v>10.439602361269257</v>
      </c>
      <c r="K151">
        <f t="shared" si="11"/>
        <v>541.89666666666665</v>
      </c>
    </row>
    <row r="152" spans="1:11" ht="13.9" x14ac:dyDescent="0.3">
      <c r="A152" s="2" t="s">
        <v>493</v>
      </c>
      <c r="B152" s="2">
        <v>0.18</v>
      </c>
      <c r="C152" s="2">
        <v>0</v>
      </c>
      <c r="D152" s="2">
        <v>0</v>
      </c>
      <c r="E152" s="2">
        <v>0.21</v>
      </c>
      <c r="F152" s="2">
        <v>0</v>
      </c>
      <c r="G152" s="2">
        <v>0</v>
      </c>
      <c r="H152" s="2">
        <f t="shared" si="8"/>
        <v>-0.22239242133644802</v>
      </c>
      <c r="I152" s="2">
        <f t="shared" si="9"/>
        <v>0.91884984911766754</v>
      </c>
      <c r="J152" s="2">
        <f t="shared" si="10"/>
        <v>-2.4739311883324122</v>
      </c>
      <c r="K152">
        <f t="shared" si="11"/>
        <v>6.9999999999999993E-2</v>
      </c>
    </row>
    <row r="153" spans="1:11" ht="13.9" x14ac:dyDescent="0.3">
      <c r="A153" s="2" t="s">
        <v>258</v>
      </c>
      <c r="B153" s="2">
        <v>4.3099999999999996</v>
      </c>
      <c r="C153" s="2">
        <v>5.65</v>
      </c>
      <c r="D153" s="2">
        <v>0</v>
      </c>
      <c r="E153" s="2">
        <v>4.84</v>
      </c>
      <c r="F153" s="2">
        <v>0</v>
      </c>
      <c r="G153" s="2">
        <v>6.63</v>
      </c>
      <c r="H153" s="2">
        <f t="shared" si="8"/>
        <v>-0.20364774394774374</v>
      </c>
      <c r="I153" s="2">
        <f t="shared" si="9"/>
        <v>0.85662511692521759</v>
      </c>
      <c r="J153" s="2">
        <f t="shared" si="10"/>
        <v>3.3161457422933562</v>
      </c>
      <c r="K153">
        <f t="shared" si="11"/>
        <v>3.8233333333333328</v>
      </c>
    </row>
    <row r="154" spans="1:11" ht="13.9" x14ac:dyDescent="0.3">
      <c r="A154" s="2" t="s">
        <v>178</v>
      </c>
      <c r="B154" s="2">
        <v>0</v>
      </c>
      <c r="C154" s="2">
        <v>0</v>
      </c>
      <c r="D154" s="2">
        <v>1.01</v>
      </c>
      <c r="E154" s="2">
        <v>0.62</v>
      </c>
      <c r="F154" s="2">
        <v>0</v>
      </c>
      <c r="G154" s="2">
        <v>0.54</v>
      </c>
      <c r="H154" s="2">
        <f t="shared" si="8"/>
        <v>-0.19976951237577756</v>
      </c>
      <c r="I154" s="2">
        <f t="shared" si="9"/>
        <v>0.90390870373680221</v>
      </c>
      <c r="J154" s="2">
        <f t="shared" si="10"/>
        <v>1.4355292977070055E-2</v>
      </c>
      <c r="K154">
        <f t="shared" si="11"/>
        <v>0.38666666666666671</v>
      </c>
    </row>
    <row r="155" spans="1:11" ht="13.9" x14ac:dyDescent="0.3">
      <c r="A155" s="2" t="s">
        <v>718</v>
      </c>
      <c r="B155" s="2">
        <v>4.8499999999999996</v>
      </c>
      <c r="C155" s="2">
        <v>14.23</v>
      </c>
      <c r="D155" s="2">
        <v>8.5500000000000007</v>
      </c>
      <c r="E155" s="2">
        <v>12.14</v>
      </c>
      <c r="F155" s="2">
        <v>0</v>
      </c>
      <c r="G155" s="2">
        <v>19.350000000000001</v>
      </c>
      <c r="H155" s="2">
        <f t="shared" si="8"/>
        <v>-0.18865819532291814</v>
      </c>
      <c r="I155" s="2">
        <f t="shared" si="9"/>
        <v>0.84743761703469311</v>
      </c>
      <c r="J155" s="2">
        <f t="shared" si="10"/>
        <v>4.7881636570377673</v>
      </c>
      <c r="K155">
        <f t="shared" si="11"/>
        <v>10.496666666666668</v>
      </c>
    </row>
    <row r="156" spans="1:11" ht="13.9" x14ac:dyDescent="0.3">
      <c r="A156" s="2" t="s">
        <v>141</v>
      </c>
      <c r="B156" s="2">
        <v>22950.22</v>
      </c>
      <c r="C156" s="2">
        <v>34979.019999999997</v>
      </c>
      <c r="D156" s="2">
        <v>31510.86</v>
      </c>
      <c r="E156" s="2">
        <v>36692.68</v>
      </c>
      <c r="F156" s="2">
        <v>26201.77</v>
      </c>
      <c r="G156" s="2">
        <v>38539.879999999997</v>
      </c>
      <c r="H156" s="2">
        <f t="shared" si="8"/>
        <v>-0.18155230241362844</v>
      </c>
      <c r="I156" s="2">
        <f t="shared" si="9"/>
        <v>0.48858854688291076</v>
      </c>
      <c r="J156" s="2">
        <f t="shared" si="10"/>
        <v>16.448634180760777</v>
      </c>
      <c r="K156">
        <f t="shared" si="11"/>
        <v>33811.443333333329</v>
      </c>
    </row>
    <row r="157" spans="1:11" ht="13.9" x14ac:dyDescent="0.3">
      <c r="A157" s="2" t="s">
        <v>158</v>
      </c>
      <c r="B157" s="2">
        <v>9.34</v>
      </c>
      <c r="C157" s="2">
        <v>9.84</v>
      </c>
      <c r="D157" s="2">
        <v>38.21</v>
      </c>
      <c r="E157" s="2">
        <v>10.08</v>
      </c>
      <c r="F157" s="2">
        <v>40.880000000000003</v>
      </c>
      <c r="G157" s="2">
        <v>13.4</v>
      </c>
      <c r="H157" s="2">
        <f t="shared" si="8"/>
        <v>-0.16536495165617773</v>
      </c>
      <c r="I157" s="2">
        <f t="shared" si="9"/>
        <v>0.87310134562990804</v>
      </c>
      <c r="J157" s="2">
        <f t="shared" si="10"/>
        <v>5.8427274692925435</v>
      </c>
      <c r="K157">
        <f t="shared" si="11"/>
        <v>21.453333333333333</v>
      </c>
    </row>
    <row r="158" spans="1:11" ht="13.9" x14ac:dyDescent="0.3">
      <c r="A158" s="2" t="s">
        <v>159</v>
      </c>
      <c r="B158" s="2">
        <v>9.34</v>
      </c>
      <c r="C158" s="2">
        <v>9.84</v>
      </c>
      <c r="D158" s="2">
        <v>38.21</v>
      </c>
      <c r="E158" s="2">
        <v>9.67</v>
      </c>
      <c r="F158" s="2">
        <v>40.880000000000003</v>
      </c>
      <c r="G158" s="2">
        <v>13.4</v>
      </c>
      <c r="H158" s="2">
        <f t="shared" si="8"/>
        <v>-0.15614498470173094</v>
      </c>
      <c r="I158" s="2">
        <f t="shared" si="9"/>
        <v>0.88098043985346741</v>
      </c>
      <c r="J158" s="2">
        <f t="shared" si="10"/>
        <v>5.8427274692925435</v>
      </c>
      <c r="K158">
        <f t="shared" si="11"/>
        <v>21.316666666666666</v>
      </c>
    </row>
    <row r="159" spans="1:11" ht="13.9" x14ac:dyDescent="0.3">
      <c r="A159" s="2" t="s">
        <v>104</v>
      </c>
      <c r="B159" s="2">
        <v>9.52</v>
      </c>
      <c r="C159" s="2">
        <v>11.72</v>
      </c>
      <c r="D159" s="2">
        <v>24.13</v>
      </c>
      <c r="E159" s="2">
        <v>4.42</v>
      </c>
      <c r="F159" s="2">
        <v>0</v>
      </c>
      <c r="G159" s="2">
        <v>44.8</v>
      </c>
      <c r="H159" s="2">
        <f t="shared" si="8"/>
        <v>-0.11750599810741523</v>
      </c>
      <c r="I159" s="2">
        <f t="shared" si="9"/>
        <v>0.93576809786680371</v>
      </c>
      <c r="J159" s="2">
        <f t="shared" si="10"/>
        <v>5.5036667545760203</v>
      </c>
      <c r="K159">
        <f t="shared" si="11"/>
        <v>16.406666666666666</v>
      </c>
    </row>
    <row r="160" spans="1:11" ht="13.9" x14ac:dyDescent="0.3">
      <c r="A160" s="2" t="s">
        <v>433</v>
      </c>
      <c r="B160" s="2">
        <v>37.729999999999997</v>
      </c>
      <c r="C160" s="2">
        <v>10.46</v>
      </c>
      <c r="D160" s="2">
        <v>50.78</v>
      </c>
      <c r="E160" s="2">
        <v>39.200000000000003</v>
      </c>
      <c r="F160" s="2">
        <v>40.880000000000003</v>
      </c>
      <c r="G160" s="2">
        <v>27.07</v>
      </c>
      <c r="H160" s="2">
        <f t="shared" si="8"/>
        <v>-0.114568666277823</v>
      </c>
      <c r="I160" s="2">
        <f t="shared" si="9"/>
        <v>0.83988386320741715</v>
      </c>
      <c r="J160" s="2">
        <f t="shared" si="10"/>
        <v>6.628919373511363</v>
      </c>
      <c r="K160">
        <f t="shared" si="11"/>
        <v>35.716666666666669</v>
      </c>
    </row>
    <row r="161" spans="1:11" ht="13.9" x14ac:dyDescent="0.3">
      <c r="A161" s="2" t="s">
        <v>341</v>
      </c>
      <c r="B161" s="2">
        <v>0.18</v>
      </c>
      <c r="C161" s="2">
        <v>6.91</v>
      </c>
      <c r="D161" s="2">
        <v>0</v>
      </c>
      <c r="E161" s="2">
        <v>3.29</v>
      </c>
      <c r="F161" s="2">
        <v>0</v>
      </c>
      <c r="G161" s="2">
        <v>4.33</v>
      </c>
      <c r="H161" s="2">
        <f t="shared" si="8"/>
        <v>-0.10400537025380602</v>
      </c>
      <c r="I161" s="2">
        <f t="shared" si="9"/>
        <v>0.94950974029668322</v>
      </c>
      <c r="J161" s="2">
        <f t="shared" si="10"/>
        <v>2.8257856274647914</v>
      </c>
      <c r="K161">
        <f t="shared" si="11"/>
        <v>2.54</v>
      </c>
    </row>
    <row r="162" spans="1:11" ht="13.9" x14ac:dyDescent="0.3">
      <c r="A162" s="2" t="s">
        <v>231</v>
      </c>
      <c r="B162" s="2">
        <v>0</v>
      </c>
      <c r="C162" s="2">
        <v>0</v>
      </c>
      <c r="D162" s="2">
        <v>2.5099999999999998</v>
      </c>
      <c r="E162" s="2">
        <v>1.44</v>
      </c>
      <c r="F162" s="2">
        <v>0</v>
      </c>
      <c r="G162" s="2">
        <v>1.22</v>
      </c>
      <c r="H162" s="2">
        <f t="shared" si="8"/>
        <v>-8.373888155041774E-2</v>
      </c>
      <c r="I162" s="2">
        <f t="shared" si="9"/>
        <v>0.96050729125789192</v>
      </c>
      <c r="J162" s="2">
        <f t="shared" si="10"/>
        <v>1.3276873641760472</v>
      </c>
      <c r="K162">
        <f t="shared" si="11"/>
        <v>0.88666666666666671</v>
      </c>
    </row>
    <row r="163" spans="1:11" ht="13.9" x14ac:dyDescent="0.3">
      <c r="A163" s="2" t="s">
        <v>682</v>
      </c>
      <c r="B163" s="2">
        <v>10.6</v>
      </c>
      <c r="C163" s="2">
        <v>18.21</v>
      </c>
      <c r="D163" s="2">
        <v>12.07</v>
      </c>
      <c r="E163" s="2">
        <v>27.16</v>
      </c>
      <c r="F163" s="2">
        <v>0</v>
      </c>
      <c r="G163" s="2">
        <v>14.89</v>
      </c>
      <c r="H163" s="2">
        <f t="shared" si="8"/>
        <v>-4.0710604204885023E-2</v>
      </c>
      <c r="I163" s="2">
        <f t="shared" si="9"/>
        <v>0.96430749910270941</v>
      </c>
      <c r="J163" s="2">
        <f t="shared" si="10"/>
        <v>5.353323291162897</v>
      </c>
      <c r="K163">
        <f t="shared" si="11"/>
        <v>14.016666666666666</v>
      </c>
    </row>
    <row r="164" spans="1:11" ht="13.9" x14ac:dyDescent="0.3">
      <c r="A164" s="2" t="s">
        <v>281</v>
      </c>
      <c r="B164" s="2">
        <v>0</v>
      </c>
      <c r="C164" s="2">
        <v>1.05</v>
      </c>
      <c r="D164" s="2">
        <v>0</v>
      </c>
      <c r="E164" s="2">
        <v>0</v>
      </c>
      <c r="F164" s="2">
        <v>0</v>
      </c>
      <c r="G164" s="2">
        <v>1.08</v>
      </c>
      <c r="H164" s="2">
        <f t="shared" si="8"/>
        <v>-4.0641984497345927E-2</v>
      </c>
      <c r="I164" s="2">
        <f t="shared" si="9"/>
        <v>0.98506384014328829</v>
      </c>
      <c r="J164" s="2">
        <f t="shared" si="10"/>
        <v>7.0389327891398012E-2</v>
      </c>
      <c r="K164">
        <f t="shared" si="11"/>
        <v>0.36000000000000004</v>
      </c>
    </row>
    <row r="165" spans="1:11" ht="13.9" x14ac:dyDescent="0.3">
      <c r="A165" s="2" t="s">
        <v>30</v>
      </c>
      <c r="B165" s="2">
        <v>7655.4</v>
      </c>
      <c r="C165" s="2">
        <v>9935.2000000000007</v>
      </c>
      <c r="D165" s="2">
        <v>9073.99</v>
      </c>
      <c r="E165" s="2">
        <v>4367.97</v>
      </c>
      <c r="F165" s="2">
        <v>15778.29</v>
      </c>
      <c r="G165" s="2">
        <v>6822.07</v>
      </c>
      <c r="H165" s="2">
        <f t="shared" si="8"/>
        <v>-1.6341041161550041E-2</v>
      </c>
      <c r="I165" s="2">
        <f t="shared" si="9"/>
        <v>0.97849653519337965</v>
      </c>
      <c r="J165" s="2">
        <f t="shared" si="10"/>
        <v>14.702637524577133</v>
      </c>
      <c r="K165">
        <f t="shared" si="11"/>
        <v>8989.4433333333345</v>
      </c>
    </row>
    <row r="166" spans="1:11" ht="13.9" x14ac:dyDescent="0.3">
      <c r="A166" s="2" t="s">
        <v>511</v>
      </c>
      <c r="B166" s="2">
        <v>129.71</v>
      </c>
      <c r="C166" s="2">
        <v>328.57</v>
      </c>
      <c r="D166" s="2">
        <v>268.45999999999998</v>
      </c>
      <c r="E166" s="2">
        <v>266.38</v>
      </c>
      <c r="F166" s="2">
        <v>163.51</v>
      </c>
      <c r="G166" s="2">
        <v>304.13</v>
      </c>
      <c r="H166" s="2">
        <f t="shared" si="8"/>
        <v>-1.438005812452663E-2</v>
      </c>
      <c r="I166" s="2">
        <f t="shared" si="9"/>
        <v>0.9748463906701097</v>
      </c>
      <c r="J166" s="2">
        <f t="shared" si="10"/>
        <v>9.5052955046747094</v>
      </c>
      <c r="K166">
        <f t="shared" si="11"/>
        <v>244.67333333333332</v>
      </c>
    </row>
    <row r="167" spans="1:11" ht="13.9" x14ac:dyDescent="0.3">
      <c r="A167" s="2" t="s">
        <v>137</v>
      </c>
      <c r="B167" s="2">
        <v>41.86</v>
      </c>
      <c r="C167" s="2">
        <v>52.53</v>
      </c>
      <c r="D167" s="2">
        <v>36.200000000000003</v>
      </c>
      <c r="E167" s="2">
        <v>42.39</v>
      </c>
      <c r="F167" s="2">
        <v>40.880000000000003</v>
      </c>
      <c r="G167" s="2">
        <v>45.75</v>
      </c>
      <c r="H167" s="2">
        <f t="shared" si="8"/>
        <v>1.7449703998578234E-2</v>
      </c>
      <c r="I167" s="2">
        <f t="shared" si="9"/>
        <v>0.92166478386296058</v>
      </c>
      <c r="J167" s="2">
        <f t="shared" si="10"/>
        <v>7.028900615734333</v>
      </c>
      <c r="K167">
        <f t="shared" si="11"/>
        <v>43.006666666666668</v>
      </c>
    </row>
    <row r="168" spans="1:11" ht="13.9" x14ac:dyDescent="0.3">
      <c r="A168" s="2" t="s">
        <v>356</v>
      </c>
      <c r="B168" s="2">
        <v>1.08</v>
      </c>
      <c r="C168" s="2">
        <v>0</v>
      </c>
      <c r="D168" s="2">
        <v>0</v>
      </c>
      <c r="E168" s="2">
        <v>0.51</v>
      </c>
      <c r="F168" s="2">
        <v>0</v>
      </c>
      <c r="G168" s="2">
        <v>0.54</v>
      </c>
      <c r="H168" s="2">
        <f t="shared" si="8"/>
        <v>4.064198449734608E-2</v>
      </c>
      <c r="I168" s="2">
        <f t="shared" si="9"/>
        <v>0.98126998760156148</v>
      </c>
      <c r="J168" s="2">
        <f t="shared" si="10"/>
        <v>0.11103131238874395</v>
      </c>
      <c r="K168">
        <f t="shared" si="11"/>
        <v>0.35000000000000003</v>
      </c>
    </row>
    <row r="169" spans="1:11" ht="13.9" x14ac:dyDescent="0.3">
      <c r="A169" s="2" t="s">
        <v>604</v>
      </c>
      <c r="B169" s="2">
        <v>0.18</v>
      </c>
      <c r="C169" s="2">
        <v>16.95</v>
      </c>
      <c r="D169" s="2">
        <v>11.06</v>
      </c>
      <c r="E169" s="2">
        <v>17.59</v>
      </c>
      <c r="F169" s="2">
        <v>0</v>
      </c>
      <c r="G169" s="2">
        <v>9.75</v>
      </c>
      <c r="H169" s="2">
        <f t="shared" si="8"/>
        <v>4.4170234964361808E-2</v>
      </c>
      <c r="I169" s="2">
        <f t="shared" si="9"/>
        <v>0.96996193845606871</v>
      </c>
      <c r="J169" s="2">
        <f t="shared" si="10"/>
        <v>4.8171115727956968</v>
      </c>
      <c r="K169">
        <f t="shared" si="11"/>
        <v>9.1133333333333333</v>
      </c>
    </row>
    <row r="170" spans="1:11" ht="13.9" x14ac:dyDescent="0.3">
      <c r="A170" s="2" t="s">
        <v>143</v>
      </c>
      <c r="B170" s="2">
        <v>0.18</v>
      </c>
      <c r="C170" s="2">
        <v>0.21</v>
      </c>
      <c r="D170" s="2">
        <v>0</v>
      </c>
      <c r="E170" s="2">
        <v>0.1</v>
      </c>
      <c r="F170" s="2">
        <v>0</v>
      </c>
      <c r="G170" s="2">
        <v>0.27</v>
      </c>
      <c r="H170" s="2">
        <f t="shared" si="8"/>
        <v>7.594885323329871E-2</v>
      </c>
      <c r="I170" s="2">
        <f t="shared" si="9"/>
        <v>0.95127370660671695</v>
      </c>
      <c r="J170" s="2">
        <f t="shared" si="10"/>
        <v>-1.3584539709124763</v>
      </c>
      <c r="K170">
        <f t="shared" si="11"/>
        <v>0.12333333333333334</v>
      </c>
    </row>
    <row r="171" spans="1:11" ht="13.9" x14ac:dyDescent="0.3">
      <c r="A171" s="2" t="s">
        <v>886</v>
      </c>
      <c r="B171" s="2">
        <v>72.58</v>
      </c>
      <c r="C171" s="2">
        <v>108.83</v>
      </c>
      <c r="D171" s="2">
        <v>213.16</v>
      </c>
      <c r="E171" s="2">
        <v>104.54</v>
      </c>
      <c r="F171" s="2">
        <v>81.75</v>
      </c>
      <c r="G171" s="2">
        <v>182.85</v>
      </c>
      <c r="H171" s="2">
        <f t="shared" si="8"/>
        <v>9.6113192597275646E-2</v>
      </c>
      <c r="I171" s="2">
        <f t="shared" si="9"/>
        <v>0.87861290229443356</v>
      </c>
      <c r="J171" s="2">
        <f t="shared" si="10"/>
        <v>8.6241374588200976</v>
      </c>
      <c r="K171">
        <f t="shared" si="11"/>
        <v>123.04666666666667</v>
      </c>
    </row>
    <row r="172" spans="1:11" ht="13.9" x14ac:dyDescent="0.3">
      <c r="A172" s="2" t="s">
        <v>236</v>
      </c>
      <c r="B172" s="2">
        <v>33394.21</v>
      </c>
      <c r="C172" s="2">
        <v>43786.82</v>
      </c>
      <c r="D172" s="2">
        <v>41758.75</v>
      </c>
      <c r="E172" s="2">
        <v>45426.25</v>
      </c>
      <c r="F172" s="2">
        <v>26406.15</v>
      </c>
      <c r="G172" s="2">
        <v>36749.1</v>
      </c>
      <c r="H172" s="2">
        <f t="shared" si="8"/>
        <v>0.13145299307183844</v>
      </c>
      <c r="I172" s="2">
        <f t="shared" si="9"/>
        <v>0.61557978358426801</v>
      </c>
      <c r="J172" s="2">
        <f t="shared" si="10"/>
        <v>16.859871786748329</v>
      </c>
      <c r="K172">
        <f t="shared" si="11"/>
        <v>36193.833333333336</v>
      </c>
    </row>
    <row r="173" spans="1:11" ht="13.9" x14ac:dyDescent="0.3">
      <c r="A173" s="2" t="s">
        <v>401</v>
      </c>
      <c r="B173" s="2">
        <v>2.16</v>
      </c>
      <c r="C173" s="2">
        <v>0.84</v>
      </c>
      <c r="D173" s="2">
        <v>0</v>
      </c>
      <c r="E173" s="2">
        <v>0.82</v>
      </c>
      <c r="F173" s="2">
        <v>0</v>
      </c>
      <c r="G173" s="2">
        <v>1.89</v>
      </c>
      <c r="H173" s="2">
        <f t="shared" si="8"/>
        <v>0.14666964914200947</v>
      </c>
      <c r="I173" s="2">
        <f t="shared" si="9"/>
        <v>0.91325338248676702</v>
      </c>
      <c r="J173" s="2">
        <f t="shared" si="10"/>
        <v>1.5849625007211563</v>
      </c>
      <c r="K173">
        <f t="shared" si="11"/>
        <v>0.90333333333333332</v>
      </c>
    </row>
    <row r="174" spans="1:11" ht="13.9" x14ac:dyDescent="0.3">
      <c r="A174" s="2" t="s">
        <v>394</v>
      </c>
      <c r="B174" s="2">
        <v>0</v>
      </c>
      <c r="C174" s="2">
        <v>2.72</v>
      </c>
      <c r="D174" s="2">
        <v>0</v>
      </c>
      <c r="E174" s="2">
        <v>1.44</v>
      </c>
      <c r="F174" s="2">
        <v>0</v>
      </c>
      <c r="G174" s="2">
        <v>0.95</v>
      </c>
      <c r="H174" s="2">
        <f t="shared" si="8"/>
        <v>0.18659603326959126</v>
      </c>
      <c r="I174" s="2">
        <f t="shared" si="9"/>
        <v>0.91773686195203663</v>
      </c>
      <c r="J174" s="2">
        <f t="shared" si="10"/>
        <v>1.4436066514756147</v>
      </c>
      <c r="K174">
        <f t="shared" si="11"/>
        <v>0.79666666666666652</v>
      </c>
    </row>
    <row r="175" spans="1:11" ht="13.9" x14ac:dyDescent="0.3">
      <c r="A175" s="2" t="s">
        <v>933</v>
      </c>
      <c r="B175" s="2">
        <v>0.18</v>
      </c>
      <c r="C175" s="2">
        <v>14.23</v>
      </c>
      <c r="D175" s="2">
        <v>25.14</v>
      </c>
      <c r="E175" s="2">
        <v>16.670000000000002</v>
      </c>
      <c r="F175" s="2">
        <v>0</v>
      </c>
      <c r="G175" s="2">
        <v>17.32</v>
      </c>
      <c r="H175" s="2">
        <f t="shared" si="8"/>
        <v>0.21856733281848215</v>
      </c>
      <c r="I175" s="2">
        <f t="shared" si="9"/>
        <v>0.84989603041893735</v>
      </c>
      <c r="J175" s="2">
        <f t="shared" si="10"/>
        <v>5.3056057895854298</v>
      </c>
      <c r="K175">
        <f t="shared" si="11"/>
        <v>11.33</v>
      </c>
    </row>
    <row r="176" spans="1:11" ht="13.9" x14ac:dyDescent="0.3">
      <c r="A176" s="2" t="s">
        <v>672</v>
      </c>
      <c r="B176" s="2">
        <v>0.18</v>
      </c>
      <c r="C176" s="2">
        <v>4.1900000000000004</v>
      </c>
      <c r="D176" s="2">
        <v>7.04</v>
      </c>
      <c r="E176" s="2">
        <v>4.84</v>
      </c>
      <c r="F176" s="2">
        <v>0</v>
      </c>
      <c r="G176" s="2">
        <v>4.74</v>
      </c>
      <c r="H176" s="2">
        <f t="shared" si="8"/>
        <v>0.25220123055250149</v>
      </c>
      <c r="I176" s="2">
        <f t="shared" si="9"/>
        <v>0.82278447474637839</v>
      </c>
      <c r="J176" s="2">
        <f t="shared" si="10"/>
        <v>3.5122268865139574</v>
      </c>
      <c r="K176">
        <f t="shared" si="11"/>
        <v>3.1933333333333334</v>
      </c>
    </row>
    <row r="177" spans="1:11" ht="13.9" x14ac:dyDescent="0.3">
      <c r="A177" s="2" t="s">
        <v>300</v>
      </c>
      <c r="B177" s="2">
        <v>1446.57</v>
      </c>
      <c r="C177" s="2">
        <v>1822.63</v>
      </c>
      <c r="D177" s="2">
        <v>2028.06</v>
      </c>
      <c r="E177" s="2">
        <v>952.55</v>
      </c>
      <c r="F177" s="2">
        <v>2697.84</v>
      </c>
      <c r="G177" s="2">
        <v>729.52</v>
      </c>
      <c r="H177" s="2">
        <f t="shared" si="8"/>
        <v>0.27434509559647074</v>
      </c>
      <c r="I177" s="2">
        <f t="shared" si="9"/>
        <v>0.660229986531775</v>
      </c>
      <c r="J177" s="2">
        <f t="shared" si="10"/>
        <v>12.371030605361788</v>
      </c>
      <c r="K177">
        <f t="shared" si="11"/>
        <v>1459.97</v>
      </c>
    </row>
    <row r="178" spans="1:11" ht="13.9" x14ac:dyDescent="0.3">
      <c r="A178" s="2" t="s">
        <v>364</v>
      </c>
      <c r="B178" s="2">
        <v>11.14</v>
      </c>
      <c r="C178" s="2">
        <v>3.35</v>
      </c>
      <c r="D178" s="2">
        <v>25.64</v>
      </c>
      <c r="E178" s="2">
        <v>21.61</v>
      </c>
      <c r="F178" s="2">
        <v>0</v>
      </c>
      <c r="G178" s="2">
        <v>11.5</v>
      </c>
      <c r="H178" s="2">
        <f t="shared" si="8"/>
        <v>0.27741414538299614</v>
      </c>
      <c r="I178" s="2">
        <f t="shared" si="9"/>
        <v>0.80841468053147225</v>
      </c>
      <c r="J178" s="2">
        <f t="shared" si="10"/>
        <v>5.3266092510052703</v>
      </c>
      <c r="K178">
        <f t="shared" si="11"/>
        <v>11.036666666666667</v>
      </c>
    </row>
    <row r="179" spans="1:11" ht="13.9" x14ac:dyDescent="0.3">
      <c r="A179" s="2" t="s">
        <v>69</v>
      </c>
      <c r="B179" s="2">
        <v>60.36</v>
      </c>
      <c r="C179" s="2">
        <v>58.81</v>
      </c>
      <c r="D179" s="2">
        <v>44.74</v>
      </c>
      <c r="E179" s="2">
        <v>52.78</v>
      </c>
      <c r="F179" s="2">
        <v>40.880000000000003</v>
      </c>
      <c r="G179" s="2">
        <v>41.15</v>
      </c>
      <c r="H179" s="2">
        <f t="shared" si="8"/>
        <v>0.28197635722965025</v>
      </c>
      <c r="I179" s="2">
        <f t="shared" si="9"/>
        <v>0.20020682065315892</v>
      </c>
      <c r="J179" s="2">
        <f t="shared" si="10"/>
        <v>7.3567600644092437</v>
      </c>
      <c r="K179">
        <f t="shared" si="11"/>
        <v>44.936666666666667</v>
      </c>
    </row>
    <row r="180" spans="1:11" ht="13.9" x14ac:dyDescent="0.3">
      <c r="A180" s="2" t="s">
        <v>379</v>
      </c>
      <c r="B180" s="2">
        <v>407.63</v>
      </c>
      <c r="C180" s="2">
        <v>679.74</v>
      </c>
      <c r="D180" s="2">
        <v>454.98</v>
      </c>
      <c r="E180" s="2">
        <v>592.03</v>
      </c>
      <c r="F180" s="2">
        <v>81.75</v>
      </c>
      <c r="G180" s="2">
        <v>592.96</v>
      </c>
      <c r="H180" s="2">
        <f t="shared" si="8"/>
        <v>0.28400974819227631</v>
      </c>
      <c r="I180" s="2">
        <f t="shared" si="9"/>
        <v>0.65368969359935936</v>
      </c>
      <c r="J180" s="2">
        <f t="shared" si="10"/>
        <v>10.590914472721446</v>
      </c>
      <c r="K180">
        <f t="shared" si="11"/>
        <v>422.24666666666667</v>
      </c>
    </row>
    <row r="181" spans="1:11" ht="13.9" x14ac:dyDescent="0.3">
      <c r="A181" s="2" t="s">
        <v>50</v>
      </c>
      <c r="B181" s="2">
        <v>18.5</v>
      </c>
      <c r="C181" s="2">
        <v>50.23</v>
      </c>
      <c r="D181" s="2">
        <v>94.01</v>
      </c>
      <c r="E181" s="2">
        <v>51.34</v>
      </c>
      <c r="F181" s="2">
        <v>40.880000000000003</v>
      </c>
      <c r="G181" s="2">
        <v>40.880000000000003</v>
      </c>
      <c r="H181" s="2">
        <f t="shared" si="8"/>
        <v>0.29005832456106734</v>
      </c>
      <c r="I181" s="2">
        <f t="shared" si="9"/>
        <v>0.678857294467063</v>
      </c>
      <c r="J181" s="2">
        <f t="shared" si="10"/>
        <v>7.3464250855855964</v>
      </c>
      <c r="K181">
        <f t="shared" si="11"/>
        <v>44.366666666666667</v>
      </c>
    </row>
    <row r="182" spans="1:11" ht="13.9" x14ac:dyDescent="0.3">
      <c r="A182" s="2" t="s">
        <v>652</v>
      </c>
      <c r="B182" s="2">
        <v>107.43</v>
      </c>
      <c r="C182" s="2">
        <v>159.68</v>
      </c>
      <c r="D182" s="2">
        <v>130.21</v>
      </c>
      <c r="E182" s="2">
        <v>123.78</v>
      </c>
      <c r="F182" s="2">
        <v>81.75</v>
      </c>
      <c r="G182" s="2">
        <v>117.75</v>
      </c>
      <c r="H182" s="2">
        <f t="shared" si="8"/>
        <v>0.29751715993469657</v>
      </c>
      <c r="I182" s="2">
        <f t="shared" si="9"/>
        <v>0.28521800208406456</v>
      </c>
      <c r="J182" s="2">
        <f t="shared" si="10"/>
        <v>8.6341576063434307</v>
      </c>
      <c r="K182">
        <f t="shared" si="11"/>
        <v>107.75999999999999</v>
      </c>
    </row>
    <row r="183" spans="1:11" ht="13.9" x14ac:dyDescent="0.3">
      <c r="A183" s="2" t="s">
        <v>262</v>
      </c>
      <c r="B183" s="2">
        <v>872.4</v>
      </c>
      <c r="C183" s="2">
        <v>1009.36</v>
      </c>
      <c r="D183" s="2">
        <v>1280.48</v>
      </c>
      <c r="E183" s="2">
        <v>496.34</v>
      </c>
      <c r="F183" s="2">
        <v>1471.55</v>
      </c>
      <c r="G183" s="2">
        <v>568.33000000000004</v>
      </c>
      <c r="H183" s="2">
        <f t="shared" si="8"/>
        <v>0.31826697102914042</v>
      </c>
      <c r="I183" s="2">
        <f t="shared" si="9"/>
        <v>0.56808578666005038</v>
      </c>
      <c r="J183" s="2">
        <f t="shared" si="10"/>
        <v>11.626731150672788</v>
      </c>
      <c r="K183">
        <f t="shared" si="11"/>
        <v>845.40666666666664</v>
      </c>
    </row>
    <row r="184" spans="1:11" ht="13.9" x14ac:dyDescent="0.3">
      <c r="A184" s="2" t="s">
        <v>392</v>
      </c>
      <c r="B184" s="2">
        <v>48.87</v>
      </c>
      <c r="C184" s="2">
        <v>130.59</v>
      </c>
      <c r="D184" s="2">
        <v>164.9</v>
      </c>
      <c r="E184" s="2">
        <v>88.79</v>
      </c>
      <c r="F184" s="2">
        <v>40.880000000000003</v>
      </c>
      <c r="G184" s="2">
        <v>145.63</v>
      </c>
      <c r="H184" s="2">
        <f t="shared" si="8"/>
        <v>0.32291296267032171</v>
      </c>
      <c r="I184" s="2">
        <f t="shared" si="9"/>
        <v>0.64189710436079417</v>
      </c>
      <c r="J184" s="2">
        <f t="shared" si="10"/>
        <v>8.4277737623785214</v>
      </c>
      <c r="K184">
        <f t="shared" si="11"/>
        <v>91.766666666666666</v>
      </c>
    </row>
    <row r="185" spans="1:11" ht="13.9" x14ac:dyDescent="0.3">
      <c r="A185" s="2" t="s">
        <v>477</v>
      </c>
      <c r="B185" s="2">
        <v>0</v>
      </c>
      <c r="C185" s="2">
        <v>2.2999999999999998</v>
      </c>
      <c r="D185" s="2">
        <v>8.5500000000000007</v>
      </c>
      <c r="E185" s="2">
        <v>2.98</v>
      </c>
      <c r="F185" s="2">
        <v>0</v>
      </c>
      <c r="G185" s="2">
        <v>5.55</v>
      </c>
      <c r="H185" s="2">
        <f t="shared" si="8"/>
        <v>0.34707739601355175</v>
      </c>
      <c r="I185" s="2">
        <f t="shared" si="9"/>
        <v>0.81028744411067888</v>
      </c>
      <c r="J185" s="2">
        <f t="shared" si="10"/>
        <v>3.4396231375571173</v>
      </c>
      <c r="K185">
        <f t="shared" si="11"/>
        <v>2.8433333333333333</v>
      </c>
    </row>
    <row r="186" spans="1:11" ht="13.9" x14ac:dyDescent="0.3">
      <c r="A186" s="2" t="s">
        <v>153</v>
      </c>
      <c r="B186" s="2">
        <v>894.32</v>
      </c>
      <c r="C186" s="2">
        <v>1642.86</v>
      </c>
      <c r="D186" s="2">
        <v>2201.5100000000002</v>
      </c>
      <c r="E186" s="2">
        <v>1373.47</v>
      </c>
      <c r="F186" s="2">
        <v>490.52</v>
      </c>
      <c r="G186" s="2">
        <v>1842.49</v>
      </c>
      <c r="H186" s="2">
        <f t="shared" si="8"/>
        <v>0.35443855780948397</v>
      </c>
      <c r="I186" s="2">
        <f t="shared" si="9"/>
        <v>0.56426148138273435</v>
      </c>
      <c r="J186" s="2">
        <f t="shared" si="10"/>
        <v>12.210272569162631</v>
      </c>
      <c r="K186">
        <f t="shared" si="11"/>
        <v>1235.4933333333333</v>
      </c>
    </row>
    <row r="187" spans="1:11" ht="13.9" x14ac:dyDescent="0.3">
      <c r="A187" s="2" t="s">
        <v>941</v>
      </c>
      <c r="B187" s="2">
        <v>7.19</v>
      </c>
      <c r="C187" s="2">
        <v>8.3699999999999992</v>
      </c>
      <c r="D187" s="2">
        <v>33.68</v>
      </c>
      <c r="E187" s="2">
        <v>16.98</v>
      </c>
      <c r="F187" s="2">
        <v>0</v>
      </c>
      <c r="G187" s="2">
        <v>21.52</v>
      </c>
      <c r="H187" s="2">
        <f t="shared" si="8"/>
        <v>0.3549723160148312</v>
      </c>
      <c r="I187" s="2">
        <f t="shared" si="9"/>
        <v>0.75781364161661102</v>
      </c>
      <c r="J187" s="2">
        <f t="shared" si="10"/>
        <v>5.6217588567097332</v>
      </c>
      <c r="K187">
        <f t="shared" si="11"/>
        <v>12.833333333333334</v>
      </c>
    </row>
    <row r="188" spans="1:11" ht="13.9" x14ac:dyDescent="0.3">
      <c r="A188" s="2" t="s">
        <v>74</v>
      </c>
      <c r="B188" s="2">
        <v>0.18</v>
      </c>
      <c r="C188" s="2">
        <v>0</v>
      </c>
      <c r="D188" s="2">
        <v>0</v>
      </c>
      <c r="E188" s="2">
        <v>0</v>
      </c>
      <c r="F188" s="2">
        <v>0</v>
      </c>
      <c r="G188" s="2">
        <v>0.14000000000000001</v>
      </c>
      <c r="H188" s="2">
        <f t="shared" si="8"/>
        <v>0.36257007938470814</v>
      </c>
      <c r="I188" s="2">
        <f t="shared" si="9"/>
        <v>0.86927786633163096</v>
      </c>
      <c r="J188" s="2">
        <f t="shared" si="10"/>
        <v>-2.4739311883324122</v>
      </c>
      <c r="K188">
        <f t="shared" si="11"/>
        <v>4.6666666666666669E-2</v>
      </c>
    </row>
    <row r="189" spans="1:11" ht="13.9" x14ac:dyDescent="0.3">
      <c r="A189" s="2" t="s">
        <v>79</v>
      </c>
      <c r="B189" s="2">
        <v>0.18</v>
      </c>
      <c r="C189" s="2">
        <v>0</v>
      </c>
      <c r="D189" s="2">
        <v>0</v>
      </c>
      <c r="E189" s="2">
        <v>0</v>
      </c>
      <c r="F189" s="2">
        <v>0</v>
      </c>
      <c r="G189" s="2">
        <v>0.14000000000000001</v>
      </c>
      <c r="H189" s="2">
        <f t="shared" si="8"/>
        <v>0.36257007938470814</v>
      </c>
      <c r="I189" s="2">
        <f t="shared" si="9"/>
        <v>0.86927786633163096</v>
      </c>
      <c r="J189" s="2">
        <f t="shared" si="10"/>
        <v>-2.4739311883324122</v>
      </c>
      <c r="K189">
        <f t="shared" si="11"/>
        <v>4.6666666666666669E-2</v>
      </c>
    </row>
    <row r="190" spans="1:11" ht="13.9" x14ac:dyDescent="0.3">
      <c r="A190" s="2" t="s">
        <v>419</v>
      </c>
      <c r="B190" s="2">
        <v>0.18</v>
      </c>
      <c r="C190" s="2">
        <v>0</v>
      </c>
      <c r="D190" s="2">
        <v>0</v>
      </c>
      <c r="E190" s="2">
        <v>0</v>
      </c>
      <c r="F190" s="2">
        <v>0</v>
      </c>
      <c r="G190" s="2">
        <v>0.14000000000000001</v>
      </c>
      <c r="H190" s="2">
        <f t="shared" si="8"/>
        <v>0.36257007938470814</v>
      </c>
      <c r="I190" s="2">
        <f t="shared" si="9"/>
        <v>0.86927786633163096</v>
      </c>
      <c r="J190" s="2">
        <f t="shared" si="10"/>
        <v>-2.4739311883324122</v>
      </c>
      <c r="K190">
        <f t="shared" si="11"/>
        <v>4.6666666666666669E-2</v>
      </c>
    </row>
    <row r="191" spans="1:11" ht="13.9" x14ac:dyDescent="0.3">
      <c r="A191" s="2" t="s">
        <v>901</v>
      </c>
      <c r="B191" s="2">
        <v>0</v>
      </c>
      <c r="C191" s="2">
        <v>4.5999999999999996</v>
      </c>
      <c r="D191" s="2">
        <v>0</v>
      </c>
      <c r="E191" s="2">
        <v>1.44</v>
      </c>
      <c r="F191" s="2">
        <v>0</v>
      </c>
      <c r="G191" s="2">
        <v>2.0299999999999998</v>
      </c>
      <c r="H191" s="2">
        <f t="shared" si="8"/>
        <v>0.40669819836611426</v>
      </c>
      <c r="I191" s="2">
        <f t="shared" si="9"/>
        <v>0.83038028086068039</v>
      </c>
      <c r="J191" s="2">
        <f t="shared" si="10"/>
        <v>2.2016338611696504</v>
      </c>
      <c r="K191">
        <f t="shared" si="11"/>
        <v>1.1566666666666665</v>
      </c>
    </row>
    <row r="192" spans="1:11" ht="13.9" x14ac:dyDescent="0.3">
      <c r="A192" s="2" t="s">
        <v>321</v>
      </c>
      <c r="B192" s="2">
        <v>0</v>
      </c>
      <c r="C192" s="2">
        <v>0</v>
      </c>
      <c r="D192" s="2">
        <v>19.100000000000001</v>
      </c>
      <c r="E192" s="2">
        <v>6.48</v>
      </c>
      <c r="F192" s="2">
        <v>0</v>
      </c>
      <c r="G192" s="2">
        <v>7.71</v>
      </c>
      <c r="H192" s="2">
        <f t="shared" si="8"/>
        <v>0.42869804886255974</v>
      </c>
      <c r="I192" s="2">
        <f t="shared" si="9"/>
        <v>0.82165712930307255</v>
      </c>
      <c r="J192" s="2">
        <f t="shared" si="10"/>
        <v>4.2555007331483869</v>
      </c>
      <c r="K192">
        <f t="shared" si="11"/>
        <v>4.7300000000000004</v>
      </c>
    </row>
    <row r="193" spans="1:11" ht="13.9" x14ac:dyDescent="0.3">
      <c r="A193" s="2" t="s">
        <v>44</v>
      </c>
      <c r="B193" s="2">
        <v>0.18</v>
      </c>
      <c r="C193" s="2">
        <v>10.050000000000001</v>
      </c>
      <c r="D193" s="2">
        <v>21.62</v>
      </c>
      <c r="E193" s="2">
        <v>8.0299999999999994</v>
      </c>
      <c r="F193" s="2">
        <v>0</v>
      </c>
      <c r="G193" s="2">
        <v>15.56</v>
      </c>
      <c r="H193" s="2">
        <f t="shared" si="8"/>
        <v>0.43311795390420033</v>
      </c>
      <c r="I193" s="2">
        <f t="shared" si="9"/>
        <v>0.73721067932423434</v>
      </c>
      <c r="J193" s="2">
        <f t="shared" si="10"/>
        <v>4.9932214673689383</v>
      </c>
      <c r="K193">
        <f t="shared" si="11"/>
        <v>7.8633333333333333</v>
      </c>
    </row>
    <row r="194" spans="1:11" ht="13.9" x14ac:dyDescent="0.3">
      <c r="A194" s="2" t="s">
        <v>144</v>
      </c>
      <c r="B194" s="2">
        <v>0</v>
      </c>
      <c r="C194" s="2">
        <v>1.05</v>
      </c>
      <c r="D194" s="2">
        <v>1.51</v>
      </c>
      <c r="E194" s="2">
        <v>0.62</v>
      </c>
      <c r="F194" s="2">
        <v>0</v>
      </c>
      <c r="G194" s="2">
        <v>1.22</v>
      </c>
      <c r="H194" s="2">
        <f t="shared" ref="H194:H257" si="12">LOG(SUM(B194:D194)/SUM(E194:G194),2)</f>
        <v>0.47643804394298733</v>
      </c>
      <c r="I194" s="2">
        <f t="shared" ref="I194:I257" si="13">_xlfn.T.TEST(B194:D194,E194:G194,2,2)</f>
        <v>0.69484098685753182</v>
      </c>
      <c r="J194" s="2">
        <f t="shared" ref="J194:J257" si="14">LOG(SUM(B194:D194),2)</f>
        <v>1.3561438102252754</v>
      </c>
      <c r="K194">
        <f t="shared" ref="K194:K257" si="15">AVERAGE(E194:G194)</f>
        <v>0.61333333333333329</v>
      </c>
    </row>
    <row r="195" spans="1:11" ht="13.9" x14ac:dyDescent="0.3">
      <c r="A195" s="2" t="s">
        <v>465</v>
      </c>
      <c r="B195" s="2">
        <v>19.22</v>
      </c>
      <c r="C195" s="2">
        <v>24.49</v>
      </c>
      <c r="D195" s="2">
        <v>65.86</v>
      </c>
      <c r="E195" s="2">
        <v>14.4</v>
      </c>
      <c r="F195" s="2">
        <v>40.880000000000003</v>
      </c>
      <c r="G195" s="2">
        <v>21.52</v>
      </c>
      <c r="H195" s="2">
        <f t="shared" si="12"/>
        <v>0.51267462990559343</v>
      </c>
      <c r="I195" s="2">
        <f t="shared" si="13"/>
        <v>0.54955291481842061</v>
      </c>
      <c r="J195" s="2">
        <f t="shared" si="14"/>
        <v>6.7757090357393874</v>
      </c>
      <c r="K195">
        <f t="shared" si="15"/>
        <v>25.599999999999998</v>
      </c>
    </row>
    <row r="196" spans="1:11" ht="13.9" x14ac:dyDescent="0.3">
      <c r="A196" s="2" t="s">
        <v>892</v>
      </c>
      <c r="B196" s="2">
        <v>84.8</v>
      </c>
      <c r="C196" s="2">
        <v>202.58</v>
      </c>
      <c r="D196" s="2">
        <v>256.89999999999998</v>
      </c>
      <c r="E196" s="2">
        <v>146.62</v>
      </c>
      <c r="F196" s="2">
        <v>0</v>
      </c>
      <c r="G196" s="2">
        <v>232.66</v>
      </c>
      <c r="H196" s="2">
        <f t="shared" si="12"/>
        <v>0.52108572588727164</v>
      </c>
      <c r="I196" s="2">
        <f t="shared" si="13"/>
        <v>0.55201013626092155</v>
      </c>
      <c r="J196" s="2">
        <f t="shared" si="14"/>
        <v>9.0882052138389433</v>
      </c>
      <c r="K196">
        <f t="shared" si="15"/>
        <v>126.42666666666666</v>
      </c>
    </row>
    <row r="197" spans="1:11" ht="13.9" x14ac:dyDescent="0.3">
      <c r="A197" s="2" t="s">
        <v>388</v>
      </c>
      <c r="B197" s="2">
        <v>4.8499999999999996</v>
      </c>
      <c r="C197" s="2">
        <v>3.98</v>
      </c>
      <c r="D197" s="2">
        <v>25.14</v>
      </c>
      <c r="E197" s="2">
        <v>15.33</v>
      </c>
      <c r="F197" s="2">
        <v>0</v>
      </c>
      <c r="G197" s="2">
        <v>8.26</v>
      </c>
      <c r="H197" s="2">
        <f t="shared" si="12"/>
        <v>0.52608579963973823</v>
      </c>
      <c r="I197" s="2">
        <f t="shared" si="13"/>
        <v>0.69511271963005361</v>
      </c>
      <c r="J197" s="2">
        <f t="shared" si="14"/>
        <v>5.0861893131044766</v>
      </c>
      <c r="K197">
        <f t="shared" si="15"/>
        <v>7.8633333333333333</v>
      </c>
    </row>
    <row r="198" spans="1:11" ht="13.9" x14ac:dyDescent="0.3">
      <c r="A198" s="2" t="s">
        <v>661</v>
      </c>
      <c r="B198" s="2">
        <v>0.18</v>
      </c>
      <c r="C198" s="2">
        <v>0</v>
      </c>
      <c r="D198" s="2">
        <v>7.04</v>
      </c>
      <c r="E198" s="2">
        <v>2.57</v>
      </c>
      <c r="F198" s="2">
        <v>0</v>
      </c>
      <c r="G198" s="2">
        <v>2.44</v>
      </c>
      <c r="H198" s="2">
        <f t="shared" si="12"/>
        <v>0.52718823369196277</v>
      </c>
      <c r="I198" s="2">
        <f t="shared" si="13"/>
        <v>0.77979818840065651</v>
      </c>
      <c r="J198" s="2">
        <f t="shared" si="14"/>
        <v>2.8519988371124461</v>
      </c>
      <c r="K198">
        <f t="shared" si="15"/>
        <v>1.67</v>
      </c>
    </row>
    <row r="199" spans="1:11" ht="13.9" x14ac:dyDescent="0.3">
      <c r="A199" s="2" t="s">
        <v>691</v>
      </c>
      <c r="B199" s="2">
        <v>0.18</v>
      </c>
      <c r="C199" s="2">
        <v>0</v>
      </c>
      <c r="D199" s="2">
        <v>7.04</v>
      </c>
      <c r="E199" s="2">
        <v>2.57</v>
      </c>
      <c r="F199" s="2">
        <v>0</v>
      </c>
      <c r="G199" s="2">
        <v>2.44</v>
      </c>
      <c r="H199" s="2">
        <f t="shared" si="12"/>
        <v>0.52718823369196277</v>
      </c>
      <c r="I199" s="2">
        <f t="shared" si="13"/>
        <v>0.77979818840065651</v>
      </c>
      <c r="J199" s="2">
        <f t="shared" si="14"/>
        <v>2.8519988371124461</v>
      </c>
      <c r="K199">
        <f t="shared" si="15"/>
        <v>1.67</v>
      </c>
    </row>
    <row r="200" spans="1:11" ht="13.9" x14ac:dyDescent="0.3">
      <c r="A200" s="2" t="s">
        <v>927</v>
      </c>
      <c r="B200" s="2">
        <v>0</v>
      </c>
      <c r="C200" s="2">
        <v>3.77</v>
      </c>
      <c r="D200" s="2">
        <v>0</v>
      </c>
      <c r="E200" s="2">
        <v>1.34</v>
      </c>
      <c r="F200" s="2">
        <v>0</v>
      </c>
      <c r="G200" s="2">
        <v>1.22</v>
      </c>
      <c r="H200" s="2">
        <f t="shared" si="12"/>
        <v>0.55842071326866438</v>
      </c>
      <c r="I200" s="2">
        <f t="shared" si="13"/>
        <v>0.77641896722672232</v>
      </c>
      <c r="J200" s="2">
        <f t="shared" si="14"/>
        <v>1.9145645234939395</v>
      </c>
      <c r="K200">
        <f t="shared" si="15"/>
        <v>0.85333333333333339</v>
      </c>
    </row>
    <row r="201" spans="1:11" ht="13.9" x14ac:dyDescent="0.3">
      <c r="A201" s="2" t="s">
        <v>275</v>
      </c>
      <c r="B201" s="2">
        <v>15.63</v>
      </c>
      <c r="C201" s="2">
        <v>22.6</v>
      </c>
      <c r="D201" s="2">
        <v>28.66</v>
      </c>
      <c r="E201" s="2">
        <v>15.12</v>
      </c>
      <c r="F201" s="2">
        <v>0</v>
      </c>
      <c r="G201" s="2">
        <v>29.51</v>
      </c>
      <c r="H201" s="2">
        <f t="shared" si="12"/>
        <v>0.58377673867511815</v>
      </c>
      <c r="I201" s="2">
        <f t="shared" si="13"/>
        <v>0.47027658867103944</v>
      </c>
      <c r="J201" s="2">
        <f t="shared" si="14"/>
        <v>6.0637186401522492</v>
      </c>
      <c r="K201">
        <f t="shared" si="15"/>
        <v>14.876666666666667</v>
      </c>
    </row>
    <row r="202" spans="1:11" ht="13.9" x14ac:dyDescent="0.3">
      <c r="A202" s="2" t="s">
        <v>228</v>
      </c>
      <c r="B202" s="2">
        <v>6.29</v>
      </c>
      <c r="C202" s="2">
        <v>0</v>
      </c>
      <c r="D202" s="2">
        <v>0</v>
      </c>
      <c r="E202" s="2">
        <v>1.75</v>
      </c>
      <c r="F202" s="2">
        <v>0</v>
      </c>
      <c r="G202" s="2">
        <v>2.44</v>
      </c>
      <c r="H202" s="2">
        <f t="shared" si="12"/>
        <v>0.58610977317993784</v>
      </c>
      <c r="I202" s="2">
        <f t="shared" si="13"/>
        <v>0.76817349260998535</v>
      </c>
      <c r="J202" s="2">
        <f t="shared" si="14"/>
        <v>2.6530600171045644</v>
      </c>
      <c r="K202">
        <f t="shared" si="15"/>
        <v>1.3966666666666665</v>
      </c>
    </row>
    <row r="203" spans="1:11" ht="13.9" x14ac:dyDescent="0.3">
      <c r="A203" s="2" t="s">
        <v>629</v>
      </c>
      <c r="B203" s="2">
        <v>0</v>
      </c>
      <c r="C203" s="2">
        <v>4.8099999999999996</v>
      </c>
      <c r="D203" s="2">
        <v>0</v>
      </c>
      <c r="E203" s="2">
        <v>1.85</v>
      </c>
      <c r="F203" s="2">
        <v>0</v>
      </c>
      <c r="G203" s="2">
        <v>1.35</v>
      </c>
      <c r="H203" s="2">
        <f t="shared" si="12"/>
        <v>0.58796498888267945</v>
      </c>
      <c r="I203" s="2">
        <f t="shared" si="13"/>
        <v>0.767482890500916</v>
      </c>
      <c r="J203" s="2">
        <f t="shared" si="14"/>
        <v>2.266036893995317</v>
      </c>
      <c r="K203">
        <f t="shared" si="15"/>
        <v>1.0666666666666667</v>
      </c>
    </row>
    <row r="204" spans="1:11" ht="13.9" x14ac:dyDescent="0.3">
      <c r="A204" s="2" t="s">
        <v>576</v>
      </c>
      <c r="B204" s="2">
        <v>0</v>
      </c>
      <c r="C204" s="2">
        <v>3.56</v>
      </c>
      <c r="D204" s="2">
        <v>12.07</v>
      </c>
      <c r="E204" s="2">
        <v>5.25</v>
      </c>
      <c r="F204" s="2">
        <v>0</v>
      </c>
      <c r="G204" s="2">
        <v>5.14</v>
      </c>
      <c r="H204" s="2">
        <f t="shared" si="12"/>
        <v>0.58912212409545262</v>
      </c>
      <c r="I204" s="2">
        <f t="shared" si="13"/>
        <v>0.68324420236307737</v>
      </c>
      <c r="J204" s="2">
        <f t="shared" si="14"/>
        <v>3.9662458732249397</v>
      </c>
      <c r="K204">
        <f t="shared" si="15"/>
        <v>3.4633333333333334</v>
      </c>
    </row>
    <row r="205" spans="1:11" ht="13.9" x14ac:dyDescent="0.3">
      <c r="A205" s="2" t="s">
        <v>73</v>
      </c>
      <c r="B205" s="2">
        <v>31.26</v>
      </c>
      <c r="C205" s="2">
        <v>54.62</v>
      </c>
      <c r="D205" s="2">
        <v>129.71</v>
      </c>
      <c r="E205" s="2">
        <v>45.68</v>
      </c>
      <c r="F205" s="2">
        <v>40.880000000000003</v>
      </c>
      <c r="G205" s="2">
        <v>49.4</v>
      </c>
      <c r="H205" s="2">
        <f t="shared" si="12"/>
        <v>0.66510799419190647</v>
      </c>
      <c r="I205" s="2">
        <f t="shared" si="13"/>
        <v>0.42343379205848997</v>
      </c>
      <c r="J205" s="2">
        <f t="shared" si="14"/>
        <v>7.752146450958854</v>
      </c>
      <c r="K205">
        <f t="shared" si="15"/>
        <v>45.32</v>
      </c>
    </row>
    <row r="206" spans="1:11" ht="13.9" x14ac:dyDescent="0.3">
      <c r="A206" s="2" t="s">
        <v>895</v>
      </c>
      <c r="B206" s="2">
        <v>3.41</v>
      </c>
      <c r="C206" s="2">
        <v>1.46</v>
      </c>
      <c r="D206" s="2">
        <v>0.5</v>
      </c>
      <c r="E206" s="2">
        <v>1.54</v>
      </c>
      <c r="F206" s="2">
        <v>0</v>
      </c>
      <c r="G206" s="2">
        <v>1.76</v>
      </c>
      <c r="H206" s="2">
        <f t="shared" si="12"/>
        <v>0.70245606373959701</v>
      </c>
      <c r="I206" s="2">
        <f t="shared" si="13"/>
        <v>0.53566040831382156</v>
      </c>
      <c r="J206" s="2">
        <f t="shared" si="14"/>
        <v>2.4249220882106881</v>
      </c>
      <c r="K206">
        <f t="shared" si="15"/>
        <v>1.0999999999999999</v>
      </c>
    </row>
    <row r="207" spans="1:11" ht="13.9" x14ac:dyDescent="0.3">
      <c r="A207" s="2" t="s">
        <v>58</v>
      </c>
      <c r="B207" s="2">
        <v>3.59</v>
      </c>
      <c r="C207" s="2">
        <v>0</v>
      </c>
      <c r="D207" s="2">
        <v>0</v>
      </c>
      <c r="E207" s="2">
        <v>0.51</v>
      </c>
      <c r="F207" s="2">
        <v>0</v>
      </c>
      <c r="G207" s="2">
        <v>1.62</v>
      </c>
      <c r="H207" s="2">
        <f t="shared" si="12"/>
        <v>0.75313041359721322</v>
      </c>
      <c r="I207" s="2">
        <f t="shared" si="13"/>
        <v>0.72487764501697605</v>
      </c>
      <c r="J207" s="2">
        <f t="shared" si="14"/>
        <v>1.8439838440483267</v>
      </c>
      <c r="K207">
        <f t="shared" si="15"/>
        <v>0.71</v>
      </c>
    </row>
    <row r="208" spans="1:11" ht="13.9" x14ac:dyDescent="0.3">
      <c r="A208" s="2" t="s">
        <v>204</v>
      </c>
      <c r="B208" s="2">
        <v>0</v>
      </c>
      <c r="C208" s="2">
        <v>19.46</v>
      </c>
      <c r="D208" s="2">
        <v>28.15</v>
      </c>
      <c r="E208" s="2">
        <v>10.49</v>
      </c>
      <c r="F208" s="2">
        <v>0</v>
      </c>
      <c r="G208" s="2">
        <v>17.600000000000001</v>
      </c>
      <c r="H208" s="2">
        <f t="shared" si="12"/>
        <v>0.76120800442993963</v>
      </c>
      <c r="I208" s="2">
        <f t="shared" si="13"/>
        <v>0.54173231644861497</v>
      </c>
      <c r="J208" s="2">
        <f t="shared" si="14"/>
        <v>5.5731927237816139</v>
      </c>
      <c r="K208">
        <f t="shared" si="15"/>
        <v>9.3633333333333351</v>
      </c>
    </row>
    <row r="209" spans="1:11" ht="13.9" x14ac:dyDescent="0.3">
      <c r="A209" s="2" t="s">
        <v>458</v>
      </c>
      <c r="B209" s="2">
        <v>0</v>
      </c>
      <c r="C209" s="2">
        <v>2.2999999999999998</v>
      </c>
      <c r="D209" s="2">
        <v>13.57</v>
      </c>
      <c r="E209" s="2">
        <v>2.37</v>
      </c>
      <c r="F209" s="2">
        <v>0</v>
      </c>
      <c r="G209" s="2">
        <v>6.9</v>
      </c>
      <c r="H209" s="2">
        <f t="shared" si="12"/>
        <v>0.7756608842096514</v>
      </c>
      <c r="I209" s="2">
        <f t="shared" si="13"/>
        <v>0.66118478928899349</v>
      </c>
      <c r="J209" s="2">
        <f t="shared" si="14"/>
        <v>3.9882302230604569</v>
      </c>
      <c r="K209">
        <f t="shared" si="15"/>
        <v>3.09</v>
      </c>
    </row>
    <row r="210" spans="1:11" ht="13.9" x14ac:dyDescent="0.3">
      <c r="A210" s="2" t="s">
        <v>925</v>
      </c>
      <c r="B210" s="2">
        <v>84.08</v>
      </c>
      <c r="C210" s="2">
        <v>125.57</v>
      </c>
      <c r="D210" s="2">
        <v>225.23</v>
      </c>
      <c r="E210" s="2">
        <v>62.35</v>
      </c>
      <c r="F210" s="2">
        <v>81.75</v>
      </c>
      <c r="G210" s="2">
        <v>109.5</v>
      </c>
      <c r="H210" s="2">
        <f t="shared" si="12"/>
        <v>0.77806261574062185</v>
      </c>
      <c r="I210" s="2">
        <f t="shared" si="13"/>
        <v>0.24215038720913507</v>
      </c>
      <c r="J210" s="2">
        <f t="shared" si="14"/>
        <v>8.7644735509926672</v>
      </c>
      <c r="K210">
        <f t="shared" si="15"/>
        <v>84.533333333333331</v>
      </c>
    </row>
    <row r="211" spans="1:11" ht="13.9" x14ac:dyDescent="0.3">
      <c r="A211" s="2" t="s">
        <v>894</v>
      </c>
      <c r="B211" s="2">
        <v>0</v>
      </c>
      <c r="C211" s="2">
        <v>0</v>
      </c>
      <c r="D211" s="2">
        <v>6.54</v>
      </c>
      <c r="E211" s="2">
        <v>1.23</v>
      </c>
      <c r="F211" s="2">
        <v>0</v>
      </c>
      <c r="G211" s="2">
        <v>2.57</v>
      </c>
      <c r="H211" s="2">
        <f t="shared" si="12"/>
        <v>0.78329121716713479</v>
      </c>
      <c r="I211" s="2">
        <f t="shared" si="13"/>
        <v>0.71190484327805326</v>
      </c>
      <c r="J211" s="2">
        <f t="shared" si="14"/>
        <v>2.7092906357233577</v>
      </c>
      <c r="K211">
        <f t="shared" si="15"/>
        <v>1.2666666666666666</v>
      </c>
    </row>
    <row r="212" spans="1:11" ht="13.9" x14ac:dyDescent="0.3">
      <c r="A212" s="2" t="s">
        <v>331</v>
      </c>
      <c r="B212" s="2">
        <v>0</v>
      </c>
      <c r="C212" s="2">
        <v>0.21</v>
      </c>
      <c r="D212" s="2">
        <v>0.5</v>
      </c>
      <c r="E212" s="2">
        <v>0.41</v>
      </c>
      <c r="F212" s="2">
        <v>0</v>
      </c>
      <c r="G212" s="2">
        <v>0</v>
      </c>
      <c r="H212" s="2">
        <f t="shared" si="12"/>
        <v>0.79219511488659844</v>
      </c>
      <c r="I212" s="2">
        <f t="shared" si="13"/>
        <v>0.64207009002253856</v>
      </c>
      <c r="J212" s="2">
        <f t="shared" si="14"/>
        <v>-0.49410907027004275</v>
      </c>
      <c r="K212">
        <f t="shared" si="15"/>
        <v>0.13666666666666666</v>
      </c>
    </row>
    <row r="213" spans="1:11" ht="13.9" x14ac:dyDescent="0.3">
      <c r="A213" s="2" t="s">
        <v>85</v>
      </c>
      <c r="B213" s="2">
        <v>1.08</v>
      </c>
      <c r="C213" s="2">
        <v>0</v>
      </c>
      <c r="D213" s="2">
        <v>0</v>
      </c>
      <c r="E213" s="2">
        <v>0.21</v>
      </c>
      <c r="F213" s="2">
        <v>0</v>
      </c>
      <c r="G213" s="2">
        <v>0.41</v>
      </c>
      <c r="H213" s="2">
        <f t="shared" si="12"/>
        <v>0.80069119177659354</v>
      </c>
      <c r="I213" s="2">
        <f t="shared" si="13"/>
        <v>0.70646241179113889</v>
      </c>
      <c r="J213" s="2">
        <f t="shared" si="14"/>
        <v>0.11103131238874395</v>
      </c>
      <c r="K213">
        <f t="shared" si="15"/>
        <v>0.20666666666666667</v>
      </c>
    </row>
    <row r="214" spans="1:11" ht="13.9" x14ac:dyDescent="0.3">
      <c r="A214" s="2" t="s">
        <v>34</v>
      </c>
      <c r="B214" s="2">
        <v>20037.14</v>
      </c>
      <c r="C214" s="2">
        <v>29137.57</v>
      </c>
      <c r="D214" s="2">
        <v>30471.19</v>
      </c>
      <c r="E214" s="2">
        <v>19933.310000000001</v>
      </c>
      <c r="F214" s="2">
        <v>11363.64</v>
      </c>
      <c r="G214" s="2">
        <v>14278.52</v>
      </c>
      <c r="H214" s="2">
        <f t="shared" si="12"/>
        <v>0.80534256258999137</v>
      </c>
      <c r="I214" s="2">
        <f t="shared" si="13"/>
        <v>5.1466965013160358E-2</v>
      </c>
      <c r="J214" s="2">
        <f t="shared" si="14"/>
        <v>16.281312476367052</v>
      </c>
      <c r="K214">
        <f t="shared" si="15"/>
        <v>15191.823333333334</v>
      </c>
    </row>
    <row r="215" spans="1:11" ht="13.9" x14ac:dyDescent="0.3">
      <c r="A215" s="2" t="s">
        <v>543</v>
      </c>
      <c r="B215" s="2">
        <v>10.24</v>
      </c>
      <c r="C215" s="2">
        <v>0</v>
      </c>
      <c r="D215" s="2">
        <v>0</v>
      </c>
      <c r="E215" s="2">
        <v>1.34</v>
      </c>
      <c r="F215" s="2">
        <v>0</v>
      </c>
      <c r="G215" s="2">
        <v>4.47</v>
      </c>
      <c r="H215" s="2">
        <f t="shared" si="12"/>
        <v>0.81760564659547119</v>
      </c>
      <c r="I215" s="2">
        <f t="shared" si="13"/>
        <v>0.70734127239009736</v>
      </c>
      <c r="J215" s="2">
        <f t="shared" si="14"/>
        <v>3.3561438102252756</v>
      </c>
      <c r="K215">
        <f t="shared" si="15"/>
        <v>1.9366666666666665</v>
      </c>
    </row>
    <row r="216" spans="1:11" ht="13.9" x14ac:dyDescent="0.3">
      <c r="A216" s="2" t="s">
        <v>264</v>
      </c>
      <c r="B216" s="2">
        <v>3.95</v>
      </c>
      <c r="C216" s="2">
        <v>3.14</v>
      </c>
      <c r="D216" s="2">
        <v>6.03</v>
      </c>
      <c r="E216" s="2">
        <v>1.23</v>
      </c>
      <c r="F216" s="2">
        <v>0</v>
      </c>
      <c r="G216" s="2">
        <v>6.09</v>
      </c>
      <c r="H216" s="2">
        <f t="shared" si="12"/>
        <v>0.84185216633404125</v>
      </c>
      <c r="I216" s="2">
        <f t="shared" si="13"/>
        <v>0.39877999371988826</v>
      </c>
      <c r="J216" s="2">
        <f t="shared" si="14"/>
        <v>3.7136958148433594</v>
      </c>
      <c r="K216">
        <f t="shared" si="15"/>
        <v>2.44</v>
      </c>
    </row>
    <row r="217" spans="1:11" ht="13.9" x14ac:dyDescent="0.3">
      <c r="A217" s="2" t="s">
        <v>118</v>
      </c>
      <c r="B217" s="2">
        <v>10.06</v>
      </c>
      <c r="C217" s="2">
        <v>0</v>
      </c>
      <c r="D217" s="2">
        <v>24.13</v>
      </c>
      <c r="E217" s="2">
        <v>4.32</v>
      </c>
      <c r="F217" s="2">
        <v>0</v>
      </c>
      <c r="G217" s="2">
        <v>14.62</v>
      </c>
      <c r="H217" s="2">
        <f t="shared" si="12"/>
        <v>0.85213809196500967</v>
      </c>
      <c r="I217" s="2">
        <f t="shared" si="13"/>
        <v>0.57033941025156565</v>
      </c>
      <c r="J217" s="2">
        <f t="shared" si="14"/>
        <v>5.0955025176586695</v>
      </c>
      <c r="K217">
        <f t="shared" si="15"/>
        <v>6.3133333333333326</v>
      </c>
    </row>
    <row r="218" spans="1:11" ht="13.9" x14ac:dyDescent="0.3">
      <c r="A218" s="2" t="s">
        <v>108</v>
      </c>
      <c r="B218" s="2">
        <v>0</v>
      </c>
      <c r="C218" s="2">
        <v>4.3899999999999997</v>
      </c>
      <c r="D218" s="2">
        <v>28.15</v>
      </c>
      <c r="E218" s="2">
        <v>7.31</v>
      </c>
      <c r="F218" s="2">
        <v>0</v>
      </c>
      <c r="G218" s="2">
        <v>10.69</v>
      </c>
      <c r="H218" s="2">
        <f t="shared" si="12"/>
        <v>0.8542173444554908</v>
      </c>
      <c r="I218" s="2">
        <f t="shared" si="13"/>
        <v>0.62963103510123863</v>
      </c>
      <c r="J218" s="2">
        <f t="shared" si="14"/>
        <v>5.0241423458978032</v>
      </c>
      <c r="K218">
        <f t="shared" si="15"/>
        <v>6</v>
      </c>
    </row>
    <row r="219" spans="1:11" ht="13.9" x14ac:dyDescent="0.3">
      <c r="A219" s="2" t="s">
        <v>748</v>
      </c>
      <c r="B219" s="2">
        <v>31.26</v>
      </c>
      <c r="C219" s="2">
        <v>19.88</v>
      </c>
      <c r="D219" s="2">
        <v>31.17</v>
      </c>
      <c r="E219" s="2">
        <v>16.670000000000002</v>
      </c>
      <c r="F219" s="2">
        <v>0</v>
      </c>
      <c r="G219" s="2">
        <v>28.42</v>
      </c>
      <c r="H219" s="2">
        <f t="shared" si="12"/>
        <v>0.86826020711125373</v>
      </c>
      <c r="I219" s="2">
        <f t="shared" si="13"/>
        <v>0.24314041411056822</v>
      </c>
      <c r="J219" s="2">
        <f t="shared" si="14"/>
        <v>6.3629958119740504</v>
      </c>
      <c r="K219">
        <f t="shared" si="15"/>
        <v>15.030000000000001</v>
      </c>
    </row>
    <row r="220" spans="1:11" ht="13.9" x14ac:dyDescent="0.3">
      <c r="A220" s="6" t="s">
        <v>937</v>
      </c>
      <c r="B220" s="6">
        <v>676.4</v>
      </c>
      <c r="C220" s="6">
        <v>549.15</v>
      </c>
      <c r="D220" s="6">
        <v>536.42999999999995</v>
      </c>
      <c r="E220" s="6">
        <v>376.37</v>
      </c>
      <c r="F220" s="6">
        <v>204.38</v>
      </c>
      <c r="G220" s="6">
        <v>382.49</v>
      </c>
      <c r="H220" s="6">
        <f t="shared" si="12"/>
        <v>0.87123033996124688</v>
      </c>
      <c r="I220" s="6">
        <f t="shared" si="13"/>
        <v>2.2326774858584607E-2</v>
      </c>
      <c r="J220" s="2">
        <f t="shared" si="14"/>
        <v>10.782981833174345</v>
      </c>
      <c r="K220">
        <f t="shared" si="15"/>
        <v>321.08</v>
      </c>
    </row>
    <row r="221" spans="1:11" ht="13.9" x14ac:dyDescent="0.3">
      <c r="A221" s="2" t="s">
        <v>898</v>
      </c>
      <c r="B221" s="2">
        <v>1.26</v>
      </c>
      <c r="C221" s="2">
        <v>0</v>
      </c>
      <c r="D221" s="2">
        <v>0</v>
      </c>
      <c r="E221" s="2">
        <v>0</v>
      </c>
      <c r="F221" s="2">
        <v>0</v>
      </c>
      <c r="G221" s="2">
        <v>0.68</v>
      </c>
      <c r="H221" s="2">
        <f t="shared" si="12"/>
        <v>0.88981708224957701</v>
      </c>
      <c r="I221" s="2">
        <f t="shared" si="13"/>
        <v>0.7061408468350745</v>
      </c>
      <c r="J221" s="2">
        <f t="shared" si="14"/>
        <v>0.3334237337251918</v>
      </c>
      <c r="K221">
        <f t="shared" si="15"/>
        <v>0.22666666666666668</v>
      </c>
    </row>
    <row r="222" spans="1:11" ht="13.9" x14ac:dyDescent="0.3">
      <c r="A222" s="2" t="s">
        <v>169</v>
      </c>
      <c r="B222" s="2">
        <v>1.44</v>
      </c>
      <c r="C222" s="2">
        <v>8.7899999999999991</v>
      </c>
      <c r="D222" s="2">
        <v>0</v>
      </c>
      <c r="E222" s="2">
        <v>2.57</v>
      </c>
      <c r="F222" s="2">
        <v>0</v>
      </c>
      <c r="G222" s="2">
        <v>2.71</v>
      </c>
      <c r="H222" s="2">
        <f t="shared" si="12"/>
        <v>0.95419631038687525</v>
      </c>
      <c r="I222" s="2">
        <f t="shared" si="13"/>
        <v>0.59501995482854797</v>
      </c>
      <c r="J222" s="2">
        <f t="shared" si="14"/>
        <v>3.3547342399706039</v>
      </c>
      <c r="K222">
        <f t="shared" si="15"/>
        <v>1.7599999999999998</v>
      </c>
    </row>
    <row r="223" spans="1:11" ht="13.9" x14ac:dyDescent="0.3">
      <c r="A223" s="2" t="s">
        <v>366</v>
      </c>
      <c r="B223" s="2">
        <v>7.19</v>
      </c>
      <c r="C223" s="2">
        <v>12.77</v>
      </c>
      <c r="D223" s="2">
        <v>24.63</v>
      </c>
      <c r="E223" s="2">
        <v>6.28</v>
      </c>
      <c r="F223" s="2">
        <v>0</v>
      </c>
      <c r="G223" s="2">
        <v>16.239999999999998</v>
      </c>
      <c r="H223" s="2">
        <f t="shared" si="12"/>
        <v>0.98551337223367519</v>
      </c>
      <c r="I223" s="2">
        <f t="shared" si="13"/>
        <v>0.35168526836112268</v>
      </c>
      <c r="J223" s="2">
        <f t="shared" si="14"/>
        <v>5.4786482945391803</v>
      </c>
      <c r="K223">
        <f t="shared" si="15"/>
        <v>7.5066666666666668</v>
      </c>
    </row>
    <row r="224" spans="1:11" ht="13.9" x14ac:dyDescent="0.3">
      <c r="A224" s="2" t="s">
        <v>170</v>
      </c>
      <c r="B224" s="2">
        <v>21.38</v>
      </c>
      <c r="C224" s="2">
        <v>36.21</v>
      </c>
      <c r="D224" s="2">
        <v>0</v>
      </c>
      <c r="E224" s="2">
        <v>7.31</v>
      </c>
      <c r="F224" s="2">
        <v>0</v>
      </c>
      <c r="G224" s="2">
        <v>21.66</v>
      </c>
      <c r="H224" s="2">
        <f t="shared" si="12"/>
        <v>0.99125863742570741</v>
      </c>
      <c r="I224" s="2">
        <f t="shared" si="13"/>
        <v>0.48079148107392261</v>
      </c>
      <c r="J224" s="2">
        <f t="shared" si="14"/>
        <v>5.8477464169213862</v>
      </c>
      <c r="K224">
        <f t="shared" si="15"/>
        <v>9.6566666666666663</v>
      </c>
    </row>
    <row r="225" spans="1:11" ht="13.9" x14ac:dyDescent="0.3">
      <c r="A225" s="2" t="s">
        <v>25</v>
      </c>
      <c r="B225" s="2">
        <v>1070.74</v>
      </c>
      <c r="C225" s="2">
        <v>1099.77</v>
      </c>
      <c r="D225" s="2">
        <v>1258.3599999999999</v>
      </c>
      <c r="E225" s="2">
        <v>153.19999999999999</v>
      </c>
      <c r="F225" s="2">
        <v>1308.04</v>
      </c>
      <c r="G225" s="2">
        <v>260.14</v>
      </c>
      <c r="H225" s="2">
        <f t="shared" si="12"/>
        <v>0.99416759592401305</v>
      </c>
      <c r="I225" s="2">
        <f t="shared" si="13"/>
        <v>0.20173545219125949</v>
      </c>
      <c r="J225" s="2">
        <f t="shared" si="14"/>
        <v>11.743517492548758</v>
      </c>
      <c r="K225">
        <f t="shared" si="15"/>
        <v>573.79333333333341</v>
      </c>
    </row>
    <row r="226" spans="1:11" ht="13.9" x14ac:dyDescent="0.3">
      <c r="A226" s="2" t="s">
        <v>23</v>
      </c>
      <c r="B226" s="2">
        <v>0</v>
      </c>
      <c r="C226" s="2">
        <v>0</v>
      </c>
      <c r="D226" s="2">
        <v>35.69</v>
      </c>
      <c r="E226" s="2">
        <v>6.79</v>
      </c>
      <c r="F226" s="2">
        <v>0</v>
      </c>
      <c r="G226" s="2">
        <v>11.1</v>
      </c>
      <c r="H226" s="2">
        <f t="shared" si="12"/>
        <v>0.9963665139971144</v>
      </c>
      <c r="I226" s="2">
        <f t="shared" si="13"/>
        <v>0.655444488412398</v>
      </c>
      <c r="J226" s="2">
        <f t="shared" si="14"/>
        <v>5.1574479962742981</v>
      </c>
      <c r="K226">
        <f t="shared" si="15"/>
        <v>5.9633333333333338</v>
      </c>
    </row>
    <row r="227" spans="1:11" ht="13.9" x14ac:dyDescent="0.3">
      <c r="A227" s="2" t="s">
        <v>868</v>
      </c>
      <c r="B227" s="2">
        <v>0</v>
      </c>
      <c r="C227" s="2">
        <v>0</v>
      </c>
      <c r="D227" s="2">
        <v>28.15</v>
      </c>
      <c r="E227" s="2">
        <v>4.01</v>
      </c>
      <c r="F227" s="2">
        <v>0</v>
      </c>
      <c r="G227" s="2">
        <v>10.02</v>
      </c>
      <c r="H227" s="2">
        <f t="shared" si="12"/>
        <v>1.0046199133476927</v>
      </c>
      <c r="I227" s="2">
        <f t="shared" si="13"/>
        <v>0.65690571128459285</v>
      </c>
      <c r="J227" s="2">
        <f t="shared" si="14"/>
        <v>4.815063017192867</v>
      </c>
      <c r="K227">
        <f t="shared" si="15"/>
        <v>4.6766666666666667</v>
      </c>
    </row>
    <row r="228" spans="1:11" ht="13.9" x14ac:dyDescent="0.3">
      <c r="A228" s="2" t="s">
        <v>20</v>
      </c>
      <c r="B228" s="2">
        <v>70416.53</v>
      </c>
      <c r="C228" s="2">
        <v>64101.94</v>
      </c>
      <c r="D228" s="2">
        <v>66334.789999999994</v>
      </c>
      <c r="E228" s="2">
        <v>19342.72</v>
      </c>
      <c r="F228" s="2">
        <v>48193.26</v>
      </c>
      <c r="G228" s="2">
        <v>30781.48</v>
      </c>
      <c r="H228" s="2">
        <f t="shared" si="12"/>
        <v>1.0306223278611133</v>
      </c>
      <c r="I228" s="2">
        <f t="shared" si="13"/>
        <v>1.6410341128668543E-2</v>
      </c>
      <c r="J228" s="2">
        <f t="shared" si="14"/>
        <v>17.615782352039584</v>
      </c>
      <c r="K228">
        <f t="shared" si="15"/>
        <v>32772.486666666671</v>
      </c>
    </row>
    <row r="229" spans="1:11" ht="13.9" x14ac:dyDescent="0.3">
      <c r="A229" s="2" t="s">
        <v>805</v>
      </c>
      <c r="B229" s="2">
        <v>0</v>
      </c>
      <c r="C229" s="2">
        <v>7.53</v>
      </c>
      <c r="D229" s="2">
        <v>0.5</v>
      </c>
      <c r="E229" s="2">
        <v>1.1299999999999999</v>
      </c>
      <c r="F229" s="2">
        <v>0</v>
      </c>
      <c r="G229" s="2">
        <v>2.71</v>
      </c>
      <c r="H229" s="2">
        <f t="shared" si="12"/>
        <v>1.0642936767961586</v>
      </c>
      <c r="I229" s="2">
        <f t="shared" si="13"/>
        <v>0.61366639379253218</v>
      </c>
      <c r="J229" s="2">
        <f t="shared" si="14"/>
        <v>3.0053999877425897</v>
      </c>
      <c r="K229">
        <f t="shared" si="15"/>
        <v>1.28</v>
      </c>
    </row>
    <row r="230" spans="1:11" ht="13.9" x14ac:dyDescent="0.3">
      <c r="A230" s="2" t="s">
        <v>627</v>
      </c>
      <c r="B230" s="2">
        <v>0</v>
      </c>
      <c r="C230" s="2">
        <v>10.88</v>
      </c>
      <c r="D230" s="2">
        <v>2.5099999999999998</v>
      </c>
      <c r="E230" s="2">
        <v>1.23</v>
      </c>
      <c r="F230" s="2">
        <v>0</v>
      </c>
      <c r="G230" s="2">
        <v>5.01</v>
      </c>
      <c r="H230" s="2">
        <f t="shared" si="12"/>
        <v>1.1015380264620624</v>
      </c>
      <c r="I230" s="2">
        <f t="shared" si="13"/>
        <v>0.5460611959227859</v>
      </c>
      <c r="J230" s="2">
        <f t="shared" si="14"/>
        <v>3.7430840555495859</v>
      </c>
      <c r="K230">
        <f t="shared" si="15"/>
        <v>2.08</v>
      </c>
    </row>
    <row r="231" spans="1:11" ht="13.9" x14ac:dyDescent="0.3">
      <c r="A231" s="2" t="s">
        <v>279</v>
      </c>
      <c r="B231" s="2">
        <v>125.4</v>
      </c>
      <c r="C231" s="2">
        <v>228.53</v>
      </c>
      <c r="D231" s="2">
        <v>382.08</v>
      </c>
      <c r="E231" s="2">
        <v>92.81</v>
      </c>
      <c r="F231" s="2">
        <v>122.63</v>
      </c>
      <c r="G231" s="2">
        <v>126.69</v>
      </c>
      <c r="H231" s="2">
        <f t="shared" si="12"/>
        <v>1.1051807542212533</v>
      </c>
      <c r="I231" s="2">
        <f t="shared" si="13"/>
        <v>0.15631919622006016</v>
      </c>
      <c r="J231" s="2">
        <f t="shared" si="14"/>
        <v>9.5235815577586447</v>
      </c>
      <c r="K231">
        <f t="shared" si="15"/>
        <v>114.04333333333334</v>
      </c>
    </row>
    <row r="232" spans="1:11" ht="13.9" x14ac:dyDescent="0.3">
      <c r="A232" s="2" t="s">
        <v>421</v>
      </c>
      <c r="B232" s="2">
        <v>5.93</v>
      </c>
      <c r="C232" s="2">
        <v>4.3899999999999997</v>
      </c>
      <c r="D232" s="2">
        <v>0</v>
      </c>
      <c r="E232" s="2">
        <v>2.88</v>
      </c>
      <c r="F232" s="2">
        <v>0</v>
      </c>
      <c r="G232" s="2">
        <v>1.89</v>
      </c>
      <c r="H232" s="2">
        <f t="shared" si="12"/>
        <v>1.1133817994177428</v>
      </c>
      <c r="I232" s="2">
        <f t="shared" si="13"/>
        <v>0.40023859874067264</v>
      </c>
      <c r="J232" s="2">
        <f t="shared" si="14"/>
        <v>3.3673710656485296</v>
      </c>
      <c r="K232">
        <f t="shared" si="15"/>
        <v>1.5899999999999999</v>
      </c>
    </row>
    <row r="233" spans="1:11" ht="13.9" x14ac:dyDescent="0.3">
      <c r="A233" s="2" t="s">
        <v>225</v>
      </c>
      <c r="B233" s="2">
        <v>8.08</v>
      </c>
      <c r="C233" s="2">
        <v>0</v>
      </c>
      <c r="D233" s="2">
        <v>0</v>
      </c>
      <c r="E233" s="2">
        <v>2.37</v>
      </c>
      <c r="F233" s="2">
        <v>0</v>
      </c>
      <c r="G233" s="2">
        <v>1.35</v>
      </c>
      <c r="H233" s="2">
        <f t="shared" si="12"/>
        <v>1.1190526716437634</v>
      </c>
      <c r="I233" s="2">
        <f t="shared" si="13"/>
        <v>0.62867579207802282</v>
      </c>
      <c r="J233" s="2">
        <f t="shared" si="14"/>
        <v>3.0143552929770703</v>
      </c>
      <c r="K233">
        <f t="shared" si="15"/>
        <v>1.24</v>
      </c>
    </row>
    <row r="234" spans="1:11" ht="13.9" x14ac:dyDescent="0.3">
      <c r="A234" s="2" t="s">
        <v>775</v>
      </c>
      <c r="B234" s="2">
        <v>31.08</v>
      </c>
      <c r="C234" s="2">
        <v>47.72</v>
      </c>
      <c r="D234" s="2">
        <v>0.5</v>
      </c>
      <c r="E234" s="2">
        <v>20.48</v>
      </c>
      <c r="F234" s="2">
        <v>0</v>
      </c>
      <c r="G234" s="2">
        <v>15.84</v>
      </c>
      <c r="H234" s="2">
        <f t="shared" si="12"/>
        <v>1.1265566633004256</v>
      </c>
      <c r="I234" s="2">
        <f t="shared" si="13"/>
        <v>0.39798591110721776</v>
      </c>
      <c r="J234" s="2">
        <f t="shared" si="14"/>
        <v>6.3092489608166167</v>
      </c>
      <c r="K234">
        <f t="shared" si="15"/>
        <v>12.106666666666667</v>
      </c>
    </row>
    <row r="235" spans="1:11" ht="13.9" x14ac:dyDescent="0.3">
      <c r="A235" s="2" t="s">
        <v>220</v>
      </c>
      <c r="B235" s="2">
        <v>37.909999999999997</v>
      </c>
      <c r="C235" s="2">
        <v>10.050000000000001</v>
      </c>
      <c r="D235" s="2">
        <v>50.78</v>
      </c>
      <c r="E235" s="2">
        <v>23.36</v>
      </c>
      <c r="F235" s="2">
        <v>0</v>
      </c>
      <c r="G235" s="2">
        <v>21.52</v>
      </c>
      <c r="H235" s="2">
        <f t="shared" si="12"/>
        <v>1.137561969132304</v>
      </c>
      <c r="I235" s="2">
        <f t="shared" si="13"/>
        <v>0.27383159217870234</v>
      </c>
      <c r="J235" s="2">
        <f t="shared" si="14"/>
        <v>6.6255627399663721</v>
      </c>
      <c r="K235">
        <f t="shared" si="15"/>
        <v>14.959999999999999</v>
      </c>
    </row>
    <row r="236" spans="1:11" ht="13.9" x14ac:dyDescent="0.3">
      <c r="A236" s="2" t="s">
        <v>134</v>
      </c>
      <c r="B236" s="2">
        <v>41.14</v>
      </c>
      <c r="C236" s="2">
        <v>26.79</v>
      </c>
      <c r="D236" s="2">
        <v>50.27</v>
      </c>
      <c r="E236" s="2">
        <v>3.91</v>
      </c>
      <c r="F236" s="2">
        <v>40.880000000000003</v>
      </c>
      <c r="G236" s="2">
        <v>8.8000000000000007</v>
      </c>
      <c r="H236" s="2">
        <f t="shared" si="12"/>
        <v>1.1411943143536019</v>
      </c>
      <c r="I236" s="2">
        <f t="shared" si="13"/>
        <v>0.18480205764301669</v>
      </c>
      <c r="J236" s="2">
        <f t="shared" si="14"/>
        <v>6.8850862252901708</v>
      </c>
      <c r="K236">
        <f t="shared" si="15"/>
        <v>17.863333333333333</v>
      </c>
    </row>
    <row r="237" spans="1:11" ht="13.9" x14ac:dyDescent="0.3">
      <c r="A237" s="2" t="s">
        <v>28</v>
      </c>
      <c r="B237" s="2">
        <v>204730.86</v>
      </c>
      <c r="C237" s="2">
        <v>158538.32999999999</v>
      </c>
      <c r="D237" s="2">
        <v>144428.71</v>
      </c>
      <c r="E237" s="2">
        <v>64760.74</v>
      </c>
      <c r="F237" s="2">
        <v>92748.53</v>
      </c>
      <c r="G237" s="2">
        <v>71931.679999999993</v>
      </c>
      <c r="H237" s="2">
        <f t="shared" si="12"/>
        <v>1.1458473899922588</v>
      </c>
      <c r="I237" s="2">
        <f t="shared" si="13"/>
        <v>9.8391803967005781E-3</v>
      </c>
      <c r="J237" s="2">
        <f t="shared" si="14"/>
        <v>18.953610767071115</v>
      </c>
      <c r="K237">
        <f t="shared" si="15"/>
        <v>76480.316666666666</v>
      </c>
    </row>
    <row r="238" spans="1:11" ht="13.9" x14ac:dyDescent="0.3">
      <c r="A238" s="2" t="s">
        <v>128</v>
      </c>
      <c r="B238" s="2">
        <v>3.95</v>
      </c>
      <c r="C238" s="2">
        <v>9.42</v>
      </c>
      <c r="D238" s="2">
        <v>20.61</v>
      </c>
      <c r="E238" s="2">
        <v>6.89</v>
      </c>
      <c r="F238" s="2">
        <v>0</v>
      </c>
      <c r="G238" s="2">
        <v>8.39</v>
      </c>
      <c r="H238" s="2">
        <f t="shared" si="12"/>
        <v>1.1530413091484719</v>
      </c>
      <c r="I238" s="2">
        <f t="shared" si="13"/>
        <v>0.32360749531682731</v>
      </c>
      <c r="J238" s="2">
        <f t="shared" si="14"/>
        <v>5.0866139474094965</v>
      </c>
      <c r="K238">
        <f t="shared" si="15"/>
        <v>5.0933333333333337</v>
      </c>
    </row>
    <row r="239" spans="1:11" ht="13.9" x14ac:dyDescent="0.3">
      <c r="A239" s="2" t="s">
        <v>368</v>
      </c>
      <c r="B239" s="2">
        <v>8.8000000000000007</v>
      </c>
      <c r="C239" s="2">
        <v>9.42</v>
      </c>
      <c r="D239" s="2">
        <v>25.64</v>
      </c>
      <c r="E239" s="2">
        <v>9.8800000000000008</v>
      </c>
      <c r="F239" s="2">
        <v>0</v>
      </c>
      <c r="G239" s="2">
        <v>9.61</v>
      </c>
      <c r="H239" s="2">
        <f t="shared" si="12"/>
        <v>1.1701717214157035</v>
      </c>
      <c r="I239" s="2">
        <f t="shared" si="13"/>
        <v>0.27311966734436344</v>
      </c>
      <c r="J239" s="2">
        <f t="shared" si="14"/>
        <v>5.4548339068988687</v>
      </c>
      <c r="K239">
        <f t="shared" si="15"/>
        <v>6.496666666666667</v>
      </c>
    </row>
    <row r="240" spans="1:11" ht="13.9" x14ac:dyDescent="0.3">
      <c r="A240" s="2" t="s">
        <v>398</v>
      </c>
      <c r="B240" s="2">
        <v>0</v>
      </c>
      <c r="C240" s="2">
        <v>6.49</v>
      </c>
      <c r="D240" s="2">
        <v>0</v>
      </c>
      <c r="E240" s="2">
        <v>0</v>
      </c>
      <c r="F240" s="2">
        <v>0</v>
      </c>
      <c r="G240" s="2">
        <v>2.84</v>
      </c>
      <c r="H240" s="2">
        <f t="shared" si="12"/>
        <v>1.1923275484944567</v>
      </c>
      <c r="I240" s="2">
        <f t="shared" si="13"/>
        <v>0.63355678613943223</v>
      </c>
      <c r="J240" s="2">
        <f t="shared" si="14"/>
        <v>2.6982184782244136</v>
      </c>
      <c r="K240">
        <f t="shared" si="15"/>
        <v>0.94666666666666666</v>
      </c>
    </row>
    <row r="241" spans="1:11" ht="13.9" x14ac:dyDescent="0.3">
      <c r="A241" s="2" t="s">
        <v>400</v>
      </c>
      <c r="B241" s="2">
        <v>0</v>
      </c>
      <c r="C241" s="2">
        <v>6.49</v>
      </c>
      <c r="D241" s="2">
        <v>0</v>
      </c>
      <c r="E241" s="2">
        <v>0</v>
      </c>
      <c r="F241" s="2">
        <v>0</v>
      </c>
      <c r="G241" s="2">
        <v>2.84</v>
      </c>
      <c r="H241" s="2">
        <f t="shared" si="12"/>
        <v>1.1923275484944567</v>
      </c>
      <c r="I241" s="2">
        <f t="shared" si="13"/>
        <v>0.63355678613943223</v>
      </c>
      <c r="J241" s="2">
        <f t="shared" si="14"/>
        <v>2.6982184782244136</v>
      </c>
      <c r="K241">
        <f t="shared" si="15"/>
        <v>0.94666666666666666</v>
      </c>
    </row>
    <row r="242" spans="1:11" ht="13.9" x14ac:dyDescent="0.3">
      <c r="A242" s="2" t="s">
        <v>22</v>
      </c>
      <c r="B242" s="2">
        <v>1672.76</v>
      </c>
      <c r="C242" s="2">
        <v>1245.8499999999999</v>
      </c>
      <c r="D242" s="2">
        <v>1140.72</v>
      </c>
      <c r="E242" s="2">
        <v>197.24</v>
      </c>
      <c r="F242" s="2">
        <v>1267.17</v>
      </c>
      <c r="G242" s="2">
        <v>294.52</v>
      </c>
      <c r="H242" s="2">
        <f t="shared" si="12"/>
        <v>1.2065435584173236</v>
      </c>
      <c r="I242" s="2">
        <f t="shared" si="13"/>
        <v>0.11263341305223615</v>
      </c>
      <c r="J242" s="2">
        <f t="shared" si="14"/>
        <v>11.98702591220972</v>
      </c>
      <c r="K242">
        <f t="shared" si="15"/>
        <v>586.31000000000006</v>
      </c>
    </row>
    <row r="243" spans="1:11" ht="13.9" x14ac:dyDescent="0.3">
      <c r="A243" s="2" t="s">
        <v>730</v>
      </c>
      <c r="B243" s="2">
        <v>11.32</v>
      </c>
      <c r="C243" s="2">
        <v>0</v>
      </c>
      <c r="D243" s="2">
        <v>0</v>
      </c>
      <c r="E243" s="2">
        <v>4.22</v>
      </c>
      <c r="F243" s="2">
        <v>0</v>
      </c>
      <c r="G243" s="2">
        <v>0.68</v>
      </c>
      <c r="H243" s="2">
        <f t="shared" si="12"/>
        <v>1.2080203038293118</v>
      </c>
      <c r="I243" s="2">
        <f t="shared" si="13"/>
        <v>0.62047083684639537</v>
      </c>
      <c r="J243" s="2">
        <f t="shared" si="14"/>
        <v>3.5008020530571575</v>
      </c>
      <c r="K243">
        <f t="shared" si="15"/>
        <v>1.6333333333333331</v>
      </c>
    </row>
    <row r="244" spans="1:11" ht="13.9" x14ac:dyDescent="0.3">
      <c r="A244" s="2" t="s">
        <v>367</v>
      </c>
      <c r="B244" s="2">
        <v>0</v>
      </c>
      <c r="C244" s="2">
        <v>7.74</v>
      </c>
      <c r="D244" s="2">
        <v>13.07</v>
      </c>
      <c r="E244" s="2">
        <v>2.57</v>
      </c>
      <c r="F244" s="2">
        <v>0</v>
      </c>
      <c r="G244" s="2">
        <v>6.36</v>
      </c>
      <c r="H244" s="2">
        <f t="shared" si="12"/>
        <v>1.2205448846141118</v>
      </c>
      <c r="I244" s="2">
        <f t="shared" si="13"/>
        <v>0.40117924157544738</v>
      </c>
      <c r="J244" s="2">
        <f t="shared" si="14"/>
        <v>4.3792050599606105</v>
      </c>
      <c r="K244">
        <f t="shared" si="15"/>
        <v>2.9766666666666666</v>
      </c>
    </row>
    <row r="245" spans="1:11" ht="13.9" x14ac:dyDescent="0.3">
      <c r="A245" s="2" t="s">
        <v>177</v>
      </c>
      <c r="B245" s="2">
        <v>0</v>
      </c>
      <c r="C245" s="2">
        <v>1.67</v>
      </c>
      <c r="D245" s="2">
        <v>0</v>
      </c>
      <c r="E245" s="2">
        <v>0</v>
      </c>
      <c r="F245" s="2">
        <v>0</v>
      </c>
      <c r="G245" s="2">
        <v>0.68</v>
      </c>
      <c r="H245" s="2">
        <f t="shared" si="12"/>
        <v>1.2962414512237126</v>
      </c>
      <c r="I245" s="2">
        <f t="shared" si="13"/>
        <v>0.61218468108132751</v>
      </c>
      <c r="J245" s="2">
        <f t="shared" si="14"/>
        <v>0.73984810269932755</v>
      </c>
      <c r="K245">
        <f t="shared" si="15"/>
        <v>0.22666666666666668</v>
      </c>
    </row>
    <row r="246" spans="1:11" ht="13.9" x14ac:dyDescent="0.3">
      <c r="A246" s="2" t="s">
        <v>405</v>
      </c>
      <c r="B246" s="2">
        <v>4.13</v>
      </c>
      <c r="C246" s="2">
        <v>0.21</v>
      </c>
      <c r="D246" s="2">
        <v>2.0099999999999998</v>
      </c>
      <c r="E246" s="2">
        <v>1.95</v>
      </c>
      <c r="F246" s="2">
        <v>0</v>
      </c>
      <c r="G246" s="2">
        <v>0.54</v>
      </c>
      <c r="H246" s="2">
        <f t="shared" si="12"/>
        <v>1.3506108495914471</v>
      </c>
      <c r="I246" s="2">
        <f t="shared" si="13"/>
        <v>0.36941568094888533</v>
      </c>
      <c r="J246" s="2">
        <f t="shared" si="14"/>
        <v>2.6667565918848033</v>
      </c>
      <c r="K246">
        <f t="shared" si="15"/>
        <v>0.83000000000000007</v>
      </c>
    </row>
    <row r="247" spans="1:11" ht="13.9" x14ac:dyDescent="0.3">
      <c r="A247" s="2" t="s">
        <v>207</v>
      </c>
      <c r="B247" s="2">
        <v>46.89</v>
      </c>
      <c r="C247" s="2">
        <v>9.42</v>
      </c>
      <c r="D247" s="2">
        <v>20.11</v>
      </c>
      <c r="E247" s="2">
        <v>9.67</v>
      </c>
      <c r="F247" s="2">
        <v>0</v>
      </c>
      <c r="G247" s="2">
        <v>20.170000000000002</v>
      </c>
      <c r="H247" s="2">
        <f t="shared" si="12"/>
        <v>1.3567027221022734</v>
      </c>
      <c r="I247" s="2">
        <f t="shared" si="13"/>
        <v>0.28448347526939693</v>
      </c>
      <c r="J247" s="2">
        <f t="shared" si="14"/>
        <v>6.2558783525827861</v>
      </c>
      <c r="K247">
        <f t="shared" si="15"/>
        <v>9.9466666666666672</v>
      </c>
    </row>
    <row r="248" spans="1:11" ht="13.9" x14ac:dyDescent="0.3">
      <c r="A248" s="2" t="s">
        <v>355</v>
      </c>
      <c r="B248" s="2">
        <v>10.24</v>
      </c>
      <c r="C248" s="2">
        <v>0</v>
      </c>
      <c r="D248" s="2">
        <v>0</v>
      </c>
      <c r="E248" s="2">
        <v>1.54</v>
      </c>
      <c r="F248" s="2">
        <v>0</v>
      </c>
      <c r="G248" s="2">
        <v>2.44</v>
      </c>
      <c r="H248" s="2">
        <f t="shared" si="12"/>
        <v>1.3633753794563512</v>
      </c>
      <c r="I248" s="2">
        <f t="shared" si="13"/>
        <v>0.58178903140539717</v>
      </c>
      <c r="J248" s="2">
        <f t="shared" si="14"/>
        <v>3.3561438102252756</v>
      </c>
      <c r="K248">
        <f t="shared" si="15"/>
        <v>1.3266666666666667</v>
      </c>
    </row>
    <row r="249" spans="1:11" ht="13.9" x14ac:dyDescent="0.3">
      <c r="A249" s="2" t="s">
        <v>296</v>
      </c>
      <c r="B249" s="2">
        <v>567.71</v>
      </c>
      <c r="C249" s="2">
        <v>931.93</v>
      </c>
      <c r="D249" s="2">
        <v>2455.89</v>
      </c>
      <c r="E249" s="2">
        <v>346.53</v>
      </c>
      <c r="F249" s="2">
        <v>490.52</v>
      </c>
      <c r="G249" s="2">
        <v>698.8</v>
      </c>
      <c r="H249" s="2">
        <f t="shared" si="12"/>
        <v>1.3648336928323177</v>
      </c>
      <c r="I249" s="2">
        <f t="shared" si="13"/>
        <v>0.24159533499851471</v>
      </c>
      <c r="J249" s="2">
        <f t="shared" si="14"/>
        <v>11.949655298486134</v>
      </c>
      <c r="K249">
        <f t="shared" si="15"/>
        <v>511.95</v>
      </c>
    </row>
    <row r="250" spans="1:11" ht="13.9" x14ac:dyDescent="0.3">
      <c r="A250" s="2" t="s">
        <v>133</v>
      </c>
      <c r="B250" s="2">
        <v>15.27</v>
      </c>
      <c r="C250" s="2">
        <v>12.14</v>
      </c>
      <c r="D250" s="2">
        <v>0</v>
      </c>
      <c r="E250" s="2">
        <v>7.2</v>
      </c>
      <c r="F250" s="2">
        <v>0</v>
      </c>
      <c r="G250" s="2">
        <v>3.38</v>
      </c>
      <c r="H250" s="2">
        <f t="shared" si="12"/>
        <v>1.3733627007117495</v>
      </c>
      <c r="I250" s="2">
        <f t="shared" si="13"/>
        <v>0.33309557176078197</v>
      </c>
      <c r="J250" s="2">
        <f t="shared" si="14"/>
        <v>4.776630423051051</v>
      </c>
      <c r="K250">
        <f t="shared" si="15"/>
        <v>3.5266666666666668</v>
      </c>
    </row>
    <row r="251" spans="1:11" ht="13.9" x14ac:dyDescent="0.3">
      <c r="A251" s="2" t="s">
        <v>234</v>
      </c>
      <c r="B251" s="2">
        <v>0</v>
      </c>
      <c r="C251" s="2">
        <v>35.159999999999997</v>
      </c>
      <c r="D251" s="2">
        <v>20.11</v>
      </c>
      <c r="E251" s="2">
        <v>11.83</v>
      </c>
      <c r="F251" s="2">
        <v>0</v>
      </c>
      <c r="G251" s="2">
        <v>9.4700000000000006</v>
      </c>
      <c r="H251" s="2">
        <f t="shared" si="12"/>
        <v>1.3756431821009603</v>
      </c>
      <c r="I251" s="2">
        <f t="shared" si="13"/>
        <v>0.35388545065804283</v>
      </c>
      <c r="J251" s="2">
        <f t="shared" si="14"/>
        <v>5.7884247074394359</v>
      </c>
      <c r="K251">
        <f t="shared" si="15"/>
        <v>7.1000000000000005</v>
      </c>
    </row>
    <row r="252" spans="1:11" ht="13.9" x14ac:dyDescent="0.3">
      <c r="A252" s="2" t="s">
        <v>246</v>
      </c>
      <c r="B252" s="2">
        <v>1913.49</v>
      </c>
      <c r="C252" s="2">
        <v>3335.52</v>
      </c>
      <c r="D252" s="2">
        <v>7819.15</v>
      </c>
      <c r="E252" s="2">
        <v>655.1</v>
      </c>
      <c r="F252" s="2">
        <v>2329.9499999999998</v>
      </c>
      <c r="G252" s="2">
        <v>1980.82</v>
      </c>
      <c r="H252" s="2">
        <f t="shared" si="12"/>
        <v>1.3959376243844432</v>
      </c>
      <c r="I252" s="2">
        <f t="shared" si="13"/>
        <v>0.21835130986515772</v>
      </c>
      <c r="J252" s="2">
        <f t="shared" si="14"/>
        <v>13.673768403181057</v>
      </c>
      <c r="K252">
        <f t="shared" si="15"/>
        <v>1655.29</v>
      </c>
    </row>
    <row r="253" spans="1:11" ht="13.9" x14ac:dyDescent="0.3">
      <c r="A253" s="2" t="s">
        <v>181</v>
      </c>
      <c r="B253" s="2">
        <v>0</v>
      </c>
      <c r="C253" s="2">
        <v>0</v>
      </c>
      <c r="D253" s="2">
        <v>5.03</v>
      </c>
      <c r="E253" s="2">
        <v>0.41</v>
      </c>
      <c r="F253" s="2">
        <v>0</v>
      </c>
      <c r="G253" s="2">
        <v>1.49</v>
      </c>
      <c r="H253" s="2">
        <f t="shared" si="12"/>
        <v>1.4045589814745796</v>
      </c>
      <c r="I253" s="2">
        <f t="shared" si="13"/>
        <v>0.57993566528816043</v>
      </c>
      <c r="J253" s="2">
        <f t="shared" si="14"/>
        <v>2.3305584000308026</v>
      </c>
      <c r="K253">
        <f t="shared" si="15"/>
        <v>0.6333333333333333</v>
      </c>
    </row>
    <row r="254" spans="1:11" ht="13.9" x14ac:dyDescent="0.3">
      <c r="A254" s="2" t="s">
        <v>102</v>
      </c>
      <c r="B254" s="2">
        <v>15.81</v>
      </c>
      <c r="C254" s="2">
        <v>0</v>
      </c>
      <c r="D254" s="2">
        <v>0</v>
      </c>
      <c r="E254" s="2">
        <v>2.06</v>
      </c>
      <c r="F254" s="2">
        <v>0</v>
      </c>
      <c r="G254" s="2">
        <v>3.79</v>
      </c>
      <c r="H254" s="2">
        <f t="shared" si="12"/>
        <v>1.4343288378876042</v>
      </c>
      <c r="I254" s="2">
        <f t="shared" si="13"/>
        <v>0.57074432076439541</v>
      </c>
      <c r="J254" s="2">
        <f t="shared" si="14"/>
        <v>3.9827654625836462</v>
      </c>
      <c r="K254">
        <f t="shared" si="15"/>
        <v>1.95</v>
      </c>
    </row>
    <row r="255" spans="1:11" ht="13.9" x14ac:dyDescent="0.3">
      <c r="A255" s="2" t="s">
        <v>386</v>
      </c>
      <c r="B255" s="2">
        <v>7.37</v>
      </c>
      <c r="C255" s="2">
        <v>14.23</v>
      </c>
      <c r="D255" s="2">
        <v>1.01</v>
      </c>
      <c r="E255" s="2">
        <v>2.06</v>
      </c>
      <c r="F255" s="2">
        <v>0</v>
      </c>
      <c r="G255" s="2">
        <v>6.09</v>
      </c>
      <c r="H255" s="2">
        <f t="shared" si="12"/>
        <v>1.4720890276330894</v>
      </c>
      <c r="I255" s="2">
        <f t="shared" si="13"/>
        <v>0.31664253772273421</v>
      </c>
      <c r="J255" s="2">
        <f t="shared" si="14"/>
        <v>4.4988890869768046</v>
      </c>
      <c r="K255">
        <f t="shared" si="15"/>
        <v>2.7166666666666668</v>
      </c>
    </row>
    <row r="256" spans="1:11" ht="13.9" x14ac:dyDescent="0.3">
      <c r="A256" s="2" t="s">
        <v>612</v>
      </c>
      <c r="B256" s="2">
        <v>0</v>
      </c>
      <c r="C256" s="2">
        <v>8.7899999999999991</v>
      </c>
      <c r="D256" s="2">
        <v>0</v>
      </c>
      <c r="E256" s="2">
        <v>0.93</v>
      </c>
      <c r="F256" s="2">
        <v>0</v>
      </c>
      <c r="G256" s="2">
        <v>2.17</v>
      </c>
      <c r="H256" s="2">
        <f t="shared" si="12"/>
        <v>1.5035949498691663</v>
      </c>
      <c r="I256" s="2">
        <f t="shared" si="13"/>
        <v>0.56115966726734912</v>
      </c>
      <c r="J256" s="2">
        <f t="shared" si="14"/>
        <v>3.1358631653686793</v>
      </c>
      <c r="K256">
        <f t="shared" si="15"/>
        <v>1.0333333333333334</v>
      </c>
    </row>
    <row r="257" spans="1:11" ht="13.9" x14ac:dyDescent="0.3">
      <c r="A257" s="2" t="s">
        <v>328</v>
      </c>
      <c r="B257" s="2">
        <v>0</v>
      </c>
      <c r="C257" s="2">
        <v>2.93</v>
      </c>
      <c r="D257" s="2">
        <v>0</v>
      </c>
      <c r="E257" s="2">
        <v>0.62</v>
      </c>
      <c r="F257" s="2">
        <v>0</v>
      </c>
      <c r="G257" s="2">
        <v>0.41</v>
      </c>
      <c r="H257" s="2">
        <f t="shared" si="12"/>
        <v>1.5082563272390297</v>
      </c>
      <c r="I257" s="2">
        <f t="shared" si="13"/>
        <v>0.55847200177528578</v>
      </c>
      <c r="J257" s="2">
        <f t="shared" si="14"/>
        <v>1.5509006646475234</v>
      </c>
      <c r="K257">
        <f t="shared" si="15"/>
        <v>0.34333333333333332</v>
      </c>
    </row>
    <row r="258" spans="1:11" ht="13.9" x14ac:dyDescent="0.3">
      <c r="A258" s="2" t="s">
        <v>24</v>
      </c>
      <c r="B258" s="2">
        <v>153.6</v>
      </c>
      <c r="C258" s="2">
        <v>136.03</v>
      </c>
      <c r="D258" s="2">
        <v>126.19</v>
      </c>
      <c r="E258" s="2">
        <v>46.51</v>
      </c>
      <c r="F258" s="2">
        <v>40.880000000000003</v>
      </c>
      <c r="G258" s="2">
        <v>57.79</v>
      </c>
      <c r="H258" s="2">
        <f t="shared" ref="H258:H321" si="16">LOG(SUM(B258:D258)/SUM(E258:G258),2)</f>
        <v>1.5181164289068962</v>
      </c>
      <c r="I258" s="2">
        <f t="shared" ref="I258:I321" si="17">_xlfn.T.TEST(B258:D258,E258:G258,2,2)</f>
        <v>6.6786070443664838E-4</v>
      </c>
      <c r="J258" s="2">
        <f t="shared" ref="J258:J321" si="18">LOG(SUM(B258:D258),2)</f>
        <v>8.6998153400030009</v>
      </c>
      <c r="K258">
        <f t="shared" ref="K258:K321" si="19">AVERAGE(E258:G258)</f>
        <v>48.393333333333338</v>
      </c>
    </row>
    <row r="259" spans="1:11" ht="13.9" x14ac:dyDescent="0.3">
      <c r="A259" s="2" t="s">
        <v>21</v>
      </c>
      <c r="B259" s="2">
        <v>51597.440000000002</v>
      </c>
      <c r="C259" s="2">
        <v>26402.89</v>
      </c>
      <c r="D259" s="2">
        <v>40348.06</v>
      </c>
      <c r="E259" s="2">
        <v>6445.41</v>
      </c>
      <c r="F259" s="2">
        <v>28245.59</v>
      </c>
      <c r="G259" s="2">
        <v>6436.74</v>
      </c>
      <c r="H259" s="2">
        <f t="shared" si="16"/>
        <v>1.5248563779627702</v>
      </c>
      <c r="I259" s="2">
        <f t="shared" si="17"/>
        <v>6.6695794946872833E-2</v>
      </c>
      <c r="J259" s="2">
        <f t="shared" si="18"/>
        <v>16.852680554359658</v>
      </c>
      <c r="K259">
        <f t="shared" si="19"/>
        <v>13709.246666666666</v>
      </c>
    </row>
    <row r="260" spans="1:11" ht="13.9" x14ac:dyDescent="0.3">
      <c r="A260" s="2" t="s">
        <v>935</v>
      </c>
      <c r="B260" s="2">
        <v>0.18</v>
      </c>
      <c r="C260" s="2">
        <v>8.3699999999999992</v>
      </c>
      <c r="D260" s="2">
        <v>0</v>
      </c>
      <c r="E260" s="2">
        <v>1.54</v>
      </c>
      <c r="F260" s="2">
        <v>0</v>
      </c>
      <c r="G260" s="2">
        <v>1.35</v>
      </c>
      <c r="H260" s="2">
        <f t="shared" si="16"/>
        <v>1.5648549272725811</v>
      </c>
      <c r="I260" s="2">
        <f t="shared" si="17"/>
        <v>0.53774087447562358</v>
      </c>
      <c r="J260" s="2">
        <f t="shared" si="18"/>
        <v>3.0959244199985352</v>
      </c>
      <c r="K260">
        <f t="shared" si="19"/>
        <v>0.96333333333333337</v>
      </c>
    </row>
    <row r="261" spans="1:11" ht="13.9" x14ac:dyDescent="0.3">
      <c r="A261" s="2" t="s">
        <v>284</v>
      </c>
      <c r="B261" s="2">
        <v>0</v>
      </c>
      <c r="C261" s="2">
        <v>23.86</v>
      </c>
      <c r="D261" s="2">
        <v>0</v>
      </c>
      <c r="E261" s="2">
        <v>4.63</v>
      </c>
      <c r="F261" s="2">
        <v>0</v>
      </c>
      <c r="G261" s="2">
        <v>3.38</v>
      </c>
      <c r="H261" s="5">
        <f t="shared" si="16"/>
        <v>1.574719895286518</v>
      </c>
      <c r="I261" s="5">
        <f t="shared" si="17"/>
        <v>0.54852997292041072</v>
      </c>
      <c r="J261" s="2">
        <f t="shared" si="18"/>
        <v>4.5765221379205032</v>
      </c>
      <c r="K261">
        <f t="shared" si="19"/>
        <v>2.67</v>
      </c>
    </row>
    <row r="262" spans="1:11" ht="13.9" x14ac:dyDescent="0.3">
      <c r="A262" s="2" t="s">
        <v>666</v>
      </c>
      <c r="B262" s="2">
        <v>0</v>
      </c>
      <c r="C262" s="2">
        <v>7.95</v>
      </c>
      <c r="D262" s="2">
        <v>0</v>
      </c>
      <c r="E262" s="2">
        <v>0.72</v>
      </c>
      <c r="F262" s="2">
        <v>0</v>
      </c>
      <c r="G262" s="2">
        <v>1.89</v>
      </c>
      <c r="H262" s="2">
        <f t="shared" si="16"/>
        <v>1.6069050536018334</v>
      </c>
      <c r="I262" s="2">
        <f t="shared" si="17"/>
        <v>0.54668588294932463</v>
      </c>
      <c r="J262" s="2">
        <f t="shared" si="18"/>
        <v>2.9909548603969931</v>
      </c>
      <c r="K262">
        <f t="shared" si="19"/>
        <v>0.87</v>
      </c>
    </row>
    <row r="263" spans="1:11" ht="13.9" x14ac:dyDescent="0.3">
      <c r="A263" s="2" t="s">
        <v>686</v>
      </c>
      <c r="B263" s="2">
        <v>0</v>
      </c>
      <c r="C263" s="2">
        <v>7.95</v>
      </c>
      <c r="D263" s="2">
        <v>0</v>
      </c>
      <c r="E263" s="2">
        <v>0.72</v>
      </c>
      <c r="F263" s="2">
        <v>0</v>
      </c>
      <c r="G263" s="2">
        <v>1.89</v>
      </c>
      <c r="H263" s="2">
        <f t="shared" si="16"/>
        <v>1.6069050536018334</v>
      </c>
      <c r="I263" s="2">
        <f t="shared" si="17"/>
        <v>0.54668588294932463</v>
      </c>
      <c r="J263" s="2">
        <f t="shared" si="18"/>
        <v>2.9909548603969931</v>
      </c>
      <c r="K263">
        <f t="shared" si="19"/>
        <v>0.87</v>
      </c>
    </row>
    <row r="264" spans="1:11" ht="13.9" x14ac:dyDescent="0.3">
      <c r="A264" s="2" t="s">
        <v>173</v>
      </c>
      <c r="B264" s="2">
        <v>194.21</v>
      </c>
      <c r="C264" s="2">
        <v>306.18</v>
      </c>
      <c r="D264" s="2">
        <v>540.45000000000005</v>
      </c>
      <c r="E264" s="2">
        <v>104.02</v>
      </c>
      <c r="F264" s="2">
        <v>40.880000000000003</v>
      </c>
      <c r="G264" s="2">
        <v>187.73</v>
      </c>
      <c r="H264" s="2">
        <f t="shared" si="16"/>
        <v>1.645758115016672</v>
      </c>
      <c r="I264" s="2">
        <f t="shared" si="17"/>
        <v>9.9533130060959374E-2</v>
      </c>
      <c r="J264" s="2">
        <f t="shared" si="18"/>
        <v>10.023532596385344</v>
      </c>
      <c r="K264">
        <f t="shared" si="19"/>
        <v>110.87666666666667</v>
      </c>
    </row>
    <row r="265" spans="1:11" ht="13.9" x14ac:dyDescent="0.3">
      <c r="A265" s="2" t="s">
        <v>417</v>
      </c>
      <c r="B265" s="2">
        <v>35.93</v>
      </c>
      <c r="C265" s="2">
        <v>36.409999999999997</v>
      </c>
      <c r="D265" s="2">
        <v>69.88</v>
      </c>
      <c r="E265" s="2">
        <v>24.9</v>
      </c>
      <c r="F265" s="2">
        <v>0</v>
      </c>
      <c r="G265" s="2">
        <v>20.440000000000001</v>
      </c>
      <c r="H265" s="2">
        <f t="shared" si="16"/>
        <v>1.6492680651928628</v>
      </c>
      <c r="I265" s="2">
        <f t="shared" si="17"/>
        <v>7.6488788007032141E-2</v>
      </c>
      <c r="J265" s="2">
        <f t="shared" si="18"/>
        <v>7.1519805511589247</v>
      </c>
      <c r="K265">
        <f t="shared" si="19"/>
        <v>15.113333333333335</v>
      </c>
    </row>
    <row r="266" spans="1:11" ht="13.9" x14ac:dyDescent="0.3">
      <c r="A266" s="2" t="s">
        <v>635</v>
      </c>
      <c r="B266" s="2">
        <v>0</v>
      </c>
      <c r="C266" s="2">
        <v>0</v>
      </c>
      <c r="D266" s="2">
        <v>9.0500000000000007</v>
      </c>
      <c r="E266" s="2">
        <v>1.23</v>
      </c>
      <c r="F266" s="2">
        <v>0</v>
      </c>
      <c r="G266" s="2">
        <v>1.62</v>
      </c>
      <c r="H266" s="2">
        <f t="shared" si="16"/>
        <v>1.6669558729184637</v>
      </c>
      <c r="I266" s="2">
        <f t="shared" si="17"/>
        <v>0.53594619859309356</v>
      </c>
      <c r="J266" s="2">
        <f t="shared" si="18"/>
        <v>3.177917792195843</v>
      </c>
      <c r="K266">
        <f t="shared" si="19"/>
        <v>0.95000000000000007</v>
      </c>
    </row>
    <row r="267" spans="1:11" ht="13.9" x14ac:dyDescent="0.3">
      <c r="A267" s="2" t="s">
        <v>834</v>
      </c>
      <c r="B267" s="2">
        <v>0</v>
      </c>
      <c r="C267" s="2">
        <v>4.3899999999999997</v>
      </c>
      <c r="D267" s="2">
        <v>19.61</v>
      </c>
      <c r="E267" s="2">
        <v>4.63</v>
      </c>
      <c r="F267" s="2">
        <v>0</v>
      </c>
      <c r="G267" s="2">
        <v>2.84</v>
      </c>
      <c r="H267" s="2">
        <f t="shared" si="16"/>
        <v>1.683854257706644</v>
      </c>
      <c r="I267" s="2">
        <f t="shared" si="17"/>
        <v>0.41694747411107663</v>
      </c>
      <c r="J267" s="2">
        <f t="shared" si="18"/>
        <v>4.584962500721157</v>
      </c>
      <c r="K267">
        <f t="shared" si="19"/>
        <v>2.4899999999999998</v>
      </c>
    </row>
    <row r="268" spans="1:11" ht="13.9" x14ac:dyDescent="0.3">
      <c r="A268" s="2" t="s">
        <v>88</v>
      </c>
      <c r="B268" s="2">
        <v>3.77</v>
      </c>
      <c r="C268" s="2">
        <v>7.95</v>
      </c>
      <c r="D268" s="2">
        <v>4.0199999999999996</v>
      </c>
      <c r="E268" s="2">
        <v>1.23</v>
      </c>
      <c r="F268" s="2">
        <v>0</v>
      </c>
      <c r="G268" s="2">
        <v>3.65</v>
      </c>
      <c r="H268" s="2">
        <f t="shared" si="16"/>
        <v>1.6894824879446002</v>
      </c>
      <c r="I268" s="2">
        <f t="shared" si="17"/>
        <v>0.10407637598537672</v>
      </c>
      <c r="J268" s="2">
        <f t="shared" si="18"/>
        <v>3.9763636357327616</v>
      </c>
      <c r="K268">
        <f t="shared" si="19"/>
        <v>1.6266666666666667</v>
      </c>
    </row>
    <row r="269" spans="1:11" ht="13.9" x14ac:dyDescent="0.3">
      <c r="A269" s="2" t="s">
        <v>339</v>
      </c>
      <c r="B269" s="2">
        <v>23.18</v>
      </c>
      <c r="C269" s="2">
        <v>0</v>
      </c>
      <c r="D269" s="2">
        <v>15.08</v>
      </c>
      <c r="E269" s="2">
        <v>5.86</v>
      </c>
      <c r="F269" s="2">
        <v>0</v>
      </c>
      <c r="G269" s="2">
        <v>5.96</v>
      </c>
      <c r="H269" s="2">
        <f t="shared" si="16"/>
        <v>1.6946068381685799</v>
      </c>
      <c r="I269" s="2">
        <f t="shared" si="17"/>
        <v>0.28067386011978523</v>
      </c>
      <c r="J269" s="2">
        <f t="shared" si="18"/>
        <v>5.2577649685713874</v>
      </c>
      <c r="K269">
        <f t="shared" si="19"/>
        <v>3.94</v>
      </c>
    </row>
    <row r="270" spans="1:11" ht="13.9" x14ac:dyDescent="0.3">
      <c r="A270" s="2" t="s">
        <v>276</v>
      </c>
      <c r="B270" s="2">
        <v>0</v>
      </c>
      <c r="C270" s="2">
        <v>3.98</v>
      </c>
      <c r="D270" s="2">
        <v>0</v>
      </c>
      <c r="E270" s="2">
        <v>0.41</v>
      </c>
      <c r="F270" s="2">
        <v>0</v>
      </c>
      <c r="G270" s="2">
        <v>0.81</v>
      </c>
      <c r="H270" s="2">
        <f t="shared" si="16"/>
        <v>1.7058872829807625</v>
      </c>
      <c r="I270" s="2">
        <f t="shared" si="17"/>
        <v>0.53214820038667587</v>
      </c>
      <c r="J270" s="2">
        <f t="shared" si="18"/>
        <v>1.9927684307689242</v>
      </c>
      <c r="K270">
        <f t="shared" si="19"/>
        <v>0.40666666666666668</v>
      </c>
    </row>
    <row r="271" spans="1:11" ht="13.9" x14ac:dyDescent="0.3">
      <c r="A271" s="2" t="s">
        <v>217</v>
      </c>
      <c r="B271" s="2">
        <v>68.989999999999995</v>
      </c>
      <c r="C271" s="2">
        <v>62.78</v>
      </c>
      <c r="D271" s="2">
        <v>130.21</v>
      </c>
      <c r="E271" s="2">
        <v>20.059999999999999</v>
      </c>
      <c r="F271" s="2">
        <v>40.880000000000003</v>
      </c>
      <c r="G271" s="2">
        <v>17.46</v>
      </c>
      <c r="H271" s="2">
        <f t="shared" si="16"/>
        <v>1.7405311187135442</v>
      </c>
      <c r="I271" s="2">
        <f t="shared" si="17"/>
        <v>5.4716445573451615E-2</v>
      </c>
      <c r="J271" s="2">
        <f t="shared" si="18"/>
        <v>8.0333128679413903</v>
      </c>
      <c r="K271">
        <f t="shared" si="19"/>
        <v>26.133333333333336</v>
      </c>
    </row>
    <row r="272" spans="1:11" ht="13.9" x14ac:dyDescent="0.3">
      <c r="A272" s="2" t="s">
        <v>36</v>
      </c>
      <c r="B272" s="2">
        <v>0</v>
      </c>
      <c r="C272" s="2">
        <v>2.2999999999999998</v>
      </c>
      <c r="D272" s="2">
        <v>0</v>
      </c>
      <c r="E272" s="2">
        <v>0.41</v>
      </c>
      <c r="F272" s="2">
        <v>0</v>
      </c>
      <c r="G272" s="2">
        <v>0.27</v>
      </c>
      <c r="H272" s="2">
        <f t="shared" si="16"/>
        <v>1.7580272096940357</v>
      </c>
      <c r="I272" s="2">
        <f t="shared" si="17"/>
        <v>0.52484656742480496</v>
      </c>
      <c r="J272" s="2">
        <f t="shared" si="18"/>
        <v>1.2016338611696504</v>
      </c>
      <c r="K272">
        <f t="shared" si="19"/>
        <v>0.22666666666666666</v>
      </c>
    </row>
    <row r="273" spans="1:11" ht="13.9" x14ac:dyDescent="0.3">
      <c r="A273" s="2" t="s">
        <v>610</v>
      </c>
      <c r="B273" s="2">
        <v>0</v>
      </c>
      <c r="C273" s="2">
        <v>0</v>
      </c>
      <c r="D273" s="2">
        <v>10.56</v>
      </c>
      <c r="E273" s="2">
        <v>1.85</v>
      </c>
      <c r="F273" s="2">
        <v>0</v>
      </c>
      <c r="G273" s="2">
        <v>1.22</v>
      </c>
      <c r="H273" s="2">
        <f t="shared" si="16"/>
        <v>1.7822992739882739</v>
      </c>
      <c r="I273" s="2">
        <f t="shared" si="17"/>
        <v>0.52194531378936682</v>
      </c>
      <c r="J273" s="2">
        <f t="shared" si="18"/>
        <v>3.400537929583729</v>
      </c>
      <c r="K273">
        <f t="shared" si="19"/>
        <v>1.0233333333333334</v>
      </c>
    </row>
    <row r="274" spans="1:11" ht="13.9" x14ac:dyDescent="0.3">
      <c r="A274" s="2" t="s">
        <v>210</v>
      </c>
      <c r="B274" s="2">
        <v>91.62</v>
      </c>
      <c r="C274" s="2">
        <v>141.26</v>
      </c>
      <c r="D274" s="2">
        <v>432.36</v>
      </c>
      <c r="E274" s="2">
        <v>35.39</v>
      </c>
      <c r="F274" s="2">
        <v>81.75</v>
      </c>
      <c r="G274" s="2">
        <v>74.58</v>
      </c>
      <c r="H274" s="2">
        <f t="shared" si="16"/>
        <v>1.7948740735055393</v>
      </c>
      <c r="I274" s="2">
        <f t="shared" si="17"/>
        <v>0.21507154031377734</v>
      </c>
      <c r="J274" s="2">
        <f t="shared" si="18"/>
        <v>9.3777311083497779</v>
      </c>
      <c r="K274">
        <f t="shared" si="19"/>
        <v>63.906666666666666</v>
      </c>
    </row>
    <row r="275" spans="1:11" ht="13.9" x14ac:dyDescent="0.3">
      <c r="A275" s="2" t="s">
        <v>603</v>
      </c>
      <c r="B275" s="2">
        <v>64.14</v>
      </c>
      <c r="C275" s="2">
        <v>130.16999999999999</v>
      </c>
      <c r="D275" s="2">
        <v>289.08</v>
      </c>
      <c r="E275" s="2">
        <v>28.19</v>
      </c>
      <c r="F275" s="2">
        <v>81.75</v>
      </c>
      <c r="G275" s="2">
        <v>28.42</v>
      </c>
      <c r="H275" s="2">
        <f t="shared" si="16"/>
        <v>1.804760709224918</v>
      </c>
      <c r="I275" s="2">
        <f t="shared" si="17"/>
        <v>0.17131872067548923</v>
      </c>
      <c r="J275" s="2">
        <f t="shared" si="18"/>
        <v>8.9170438178231226</v>
      </c>
      <c r="K275">
        <f t="shared" si="19"/>
        <v>46.120000000000005</v>
      </c>
    </row>
    <row r="276" spans="1:11" ht="13.9" x14ac:dyDescent="0.3">
      <c r="A276" s="2" t="s">
        <v>497</v>
      </c>
      <c r="B276" s="2">
        <v>0</v>
      </c>
      <c r="C276" s="2">
        <v>0</v>
      </c>
      <c r="D276" s="2">
        <v>0.5</v>
      </c>
      <c r="E276" s="2">
        <v>0</v>
      </c>
      <c r="F276" s="2">
        <v>0</v>
      </c>
      <c r="G276" s="2">
        <v>0.14000000000000001</v>
      </c>
      <c r="H276" s="2">
        <f t="shared" si="16"/>
        <v>1.8365012677171204</v>
      </c>
      <c r="I276" s="2">
        <f t="shared" si="17"/>
        <v>0.5262549116472891</v>
      </c>
      <c r="J276" s="2">
        <f t="shared" si="18"/>
        <v>-1</v>
      </c>
      <c r="K276">
        <f t="shared" si="19"/>
        <v>4.6666666666666669E-2</v>
      </c>
    </row>
    <row r="277" spans="1:11" ht="13.9" x14ac:dyDescent="0.3">
      <c r="A277" s="2" t="s">
        <v>716</v>
      </c>
      <c r="B277" s="2">
        <v>1.62</v>
      </c>
      <c r="C277" s="2">
        <v>0</v>
      </c>
      <c r="D277" s="2">
        <v>7.04</v>
      </c>
      <c r="E277" s="2">
        <v>1.34</v>
      </c>
      <c r="F277" s="2">
        <v>0</v>
      </c>
      <c r="G277" s="2">
        <v>1.08</v>
      </c>
      <c r="H277" s="2">
        <f t="shared" si="16"/>
        <v>1.8393599774521305</v>
      </c>
      <c r="I277" s="2">
        <f t="shared" si="17"/>
        <v>0.391652459367127</v>
      </c>
      <c r="J277" s="2">
        <f t="shared" si="18"/>
        <v>3.1143670249520001</v>
      </c>
      <c r="K277">
        <f t="shared" si="19"/>
        <v>0.80666666666666664</v>
      </c>
    </row>
    <row r="278" spans="1:11" ht="13.9" x14ac:dyDescent="0.3">
      <c r="A278" s="2" t="s">
        <v>441</v>
      </c>
      <c r="B278" s="2">
        <v>0</v>
      </c>
      <c r="C278" s="2">
        <v>10.46</v>
      </c>
      <c r="D278" s="2">
        <v>1.01</v>
      </c>
      <c r="E278" s="2">
        <v>1.95</v>
      </c>
      <c r="F278" s="2">
        <v>0</v>
      </c>
      <c r="G278" s="2">
        <v>1.22</v>
      </c>
      <c r="H278" s="2">
        <f t="shared" si="16"/>
        <v>1.8553106458764179</v>
      </c>
      <c r="I278" s="2">
        <f t="shared" si="17"/>
        <v>0.45892670773721561</v>
      </c>
      <c r="J278" s="2">
        <f t="shared" si="18"/>
        <v>3.5197934862411002</v>
      </c>
      <c r="K278">
        <f t="shared" si="19"/>
        <v>1.0566666666666666</v>
      </c>
    </row>
    <row r="279" spans="1:11" ht="13.9" x14ac:dyDescent="0.3">
      <c r="A279" s="2" t="s">
        <v>40</v>
      </c>
      <c r="B279" s="2">
        <v>0</v>
      </c>
      <c r="C279" s="2">
        <v>10.050000000000001</v>
      </c>
      <c r="D279" s="2">
        <v>14.08</v>
      </c>
      <c r="E279" s="2">
        <v>4.63</v>
      </c>
      <c r="F279" s="2">
        <v>0</v>
      </c>
      <c r="G279" s="2">
        <v>2.0299999999999998</v>
      </c>
      <c r="H279" s="2">
        <f t="shared" si="16"/>
        <v>1.8572338331444893</v>
      </c>
      <c r="I279" s="2">
        <f t="shared" si="17"/>
        <v>0.25586408185714049</v>
      </c>
      <c r="J279" s="2">
        <f t="shared" si="18"/>
        <v>4.5927560104410272</v>
      </c>
      <c r="K279">
        <f t="shared" si="19"/>
        <v>2.2200000000000002</v>
      </c>
    </row>
    <row r="280" spans="1:11" ht="13.9" x14ac:dyDescent="0.3">
      <c r="A280" s="2" t="s">
        <v>913</v>
      </c>
      <c r="B280" s="2">
        <v>0</v>
      </c>
      <c r="C280" s="2">
        <v>0</v>
      </c>
      <c r="D280" s="2">
        <v>4.5199999999999996</v>
      </c>
      <c r="E280" s="2">
        <v>0</v>
      </c>
      <c r="F280" s="2">
        <v>0</v>
      </c>
      <c r="G280" s="2">
        <v>1.22</v>
      </c>
      <c r="H280" s="2">
        <f t="shared" si="16"/>
        <v>1.8894416248523016</v>
      </c>
      <c r="I280" s="2">
        <f t="shared" si="17"/>
        <v>0.51977246542006394</v>
      </c>
      <c r="J280" s="2">
        <f t="shared" si="18"/>
        <v>2.176322772640463</v>
      </c>
      <c r="K280">
        <f t="shared" si="19"/>
        <v>0.40666666666666668</v>
      </c>
    </row>
    <row r="281" spans="1:11" ht="13.9" x14ac:dyDescent="0.3">
      <c r="A281" s="8" t="s">
        <v>681</v>
      </c>
      <c r="B281" s="2">
        <v>0.54</v>
      </c>
      <c r="C281" s="2">
        <v>0</v>
      </c>
      <c r="D281" s="2">
        <v>7.04</v>
      </c>
      <c r="E281" s="2">
        <v>1.75</v>
      </c>
      <c r="F281" s="2">
        <v>0</v>
      </c>
      <c r="G281" s="2">
        <v>0.27</v>
      </c>
      <c r="H281" s="2">
        <f t="shared" si="16"/>
        <v>1.907842555419297</v>
      </c>
      <c r="I281" s="2">
        <f t="shared" si="17"/>
        <v>0.47028413069166208</v>
      </c>
      <c r="J281" s="2">
        <f t="shared" si="18"/>
        <v>2.9221978483963671</v>
      </c>
      <c r="K281">
        <f t="shared" si="19"/>
        <v>0.67333333333333334</v>
      </c>
    </row>
    <row r="282" spans="1:11" ht="13.9" x14ac:dyDescent="0.3">
      <c r="A282" s="2" t="s">
        <v>768</v>
      </c>
      <c r="B282" s="2">
        <v>0.36</v>
      </c>
      <c r="C282" s="2">
        <v>0.21</v>
      </c>
      <c r="D282" s="2">
        <v>1.01</v>
      </c>
      <c r="E282" s="2">
        <v>0</v>
      </c>
      <c r="F282" s="2">
        <v>0</v>
      </c>
      <c r="G282" s="2">
        <v>0.41</v>
      </c>
      <c r="H282" s="2">
        <f t="shared" si="16"/>
        <v>1.9462287435590195</v>
      </c>
      <c r="I282" s="2">
        <f t="shared" si="17"/>
        <v>0.23745971629479487</v>
      </c>
      <c r="J282" s="2">
        <f t="shared" si="18"/>
        <v>0.65992455840237829</v>
      </c>
      <c r="K282">
        <f t="shared" si="19"/>
        <v>0.13666666666666666</v>
      </c>
    </row>
    <row r="283" spans="1:11" ht="13.9" x14ac:dyDescent="0.3">
      <c r="A283" s="2" t="s">
        <v>746</v>
      </c>
      <c r="B283" s="2">
        <v>0</v>
      </c>
      <c r="C283" s="2">
        <v>5.86</v>
      </c>
      <c r="D283" s="2">
        <v>0</v>
      </c>
      <c r="E283" s="2">
        <v>1.23</v>
      </c>
      <c r="F283" s="2">
        <v>0</v>
      </c>
      <c r="G283" s="2">
        <v>0.27</v>
      </c>
      <c r="H283" s="2">
        <f t="shared" si="16"/>
        <v>1.9659381639263671</v>
      </c>
      <c r="I283" s="2">
        <f t="shared" si="17"/>
        <v>0.50540104734822122</v>
      </c>
      <c r="J283" s="2">
        <f t="shared" si="18"/>
        <v>2.5509006646475232</v>
      </c>
      <c r="K283">
        <f t="shared" si="19"/>
        <v>0.5</v>
      </c>
    </row>
    <row r="284" spans="1:11" ht="13.9" x14ac:dyDescent="0.3">
      <c r="A284" s="2" t="s">
        <v>226</v>
      </c>
      <c r="B284" s="2">
        <v>82.64</v>
      </c>
      <c r="C284" s="2">
        <v>139.80000000000001</v>
      </c>
      <c r="D284" s="2">
        <v>158.36000000000001</v>
      </c>
      <c r="E284" s="2">
        <v>47.53</v>
      </c>
      <c r="F284" s="2">
        <v>0</v>
      </c>
      <c r="G284" s="2">
        <v>49.67</v>
      </c>
      <c r="H284" s="2">
        <f t="shared" si="16"/>
        <v>1.9700052597021627</v>
      </c>
      <c r="I284" s="2">
        <f t="shared" si="17"/>
        <v>2.777263054979728E-2</v>
      </c>
      <c r="J284" s="2">
        <f t="shared" si="18"/>
        <v>8.5728896684205829</v>
      </c>
      <c r="K284">
        <f t="shared" si="19"/>
        <v>32.4</v>
      </c>
    </row>
    <row r="285" spans="1:11" ht="13.9" x14ac:dyDescent="0.3">
      <c r="A285" s="2" t="s">
        <v>363</v>
      </c>
      <c r="B285" s="2">
        <v>5.21</v>
      </c>
      <c r="C285" s="2">
        <v>0</v>
      </c>
      <c r="D285" s="2">
        <v>0</v>
      </c>
      <c r="E285" s="2">
        <v>0.51</v>
      </c>
      <c r="F285" s="2">
        <v>0</v>
      </c>
      <c r="G285" s="2">
        <v>0.81</v>
      </c>
      <c r="H285" s="2">
        <f t="shared" si="16"/>
        <v>1.9807454429200548</v>
      </c>
      <c r="I285" s="2">
        <f t="shared" si="17"/>
        <v>0.50047910018303399</v>
      </c>
      <c r="J285" s="2">
        <f t="shared" si="18"/>
        <v>2.3812833725037836</v>
      </c>
      <c r="K285">
        <f t="shared" si="19"/>
        <v>0.44</v>
      </c>
    </row>
    <row r="286" spans="1:11" ht="13.9" x14ac:dyDescent="0.3">
      <c r="A286" s="2" t="s">
        <v>76</v>
      </c>
      <c r="B286" s="2">
        <v>6.11</v>
      </c>
      <c r="C286" s="2">
        <v>0</v>
      </c>
      <c r="D286" s="2">
        <v>27.65</v>
      </c>
      <c r="E286" s="2">
        <v>5.14</v>
      </c>
      <c r="F286" s="2">
        <v>0</v>
      </c>
      <c r="G286" s="2">
        <v>3.11</v>
      </c>
      <c r="H286" s="2">
        <f t="shared" si="16"/>
        <v>2.032848879574007</v>
      </c>
      <c r="I286" s="2">
        <f t="shared" si="17"/>
        <v>0.37464493741162036</v>
      </c>
      <c r="J286" s="2">
        <f t="shared" si="18"/>
        <v>5.0772429989324603</v>
      </c>
      <c r="K286">
        <f t="shared" si="19"/>
        <v>2.75</v>
      </c>
    </row>
    <row r="287" spans="1:11" ht="13.9" x14ac:dyDescent="0.3">
      <c r="A287" s="2" t="s">
        <v>184</v>
      </c>
      <c r="B287" s="2">
        <v>4.13</v>
      </c>
      <c r="C287" s="2">
        <v>3.77</v>
      </c>
      <c r="D287" s="2">
        <v>1.51</v>
      </c>
      <c r="E287" s="2">
        <v>0.62</v>
      </c>
      <c r="F287" s="2">
        <v>0</v>
      </c>
      <c r="G287" s="2">
        <v>1.62</v>
      </c>
      <c r="H287" s="2">
        <f t="shared" si="16"/>
        <v>2.0706959906709326</v>
      </c>
      <c r="I287" s="2">
        <f t="shared" si="17"/>
        <v>6.4921338139876619E-2</v>
      </c>
      <c r="J287" s="2">
        <f t="shared" si="18"/>
        <v>3.2341947229538124</v>
      </c>
      <c r="K287">
        <f t="shared" si="19"/>
        <v>0.7466666666666667</v>
      </c>
    </row>
    <row r="288" spans="1:11" ht="13.9" x14ac:dyDescent="0.3">
      <c r="A288" s="2" t="s">
        <v>282</v>
      </c>
      <c r="B288" s="2">
        <v>24.79</v>
      </c>
      <c r="C288" s="2">
        <v>39.340000000000003</v>
      </c>
      <c r="D288" s="2">
        <v>156.86000000000001</v>
      </c>
      <c r="E288" s="2">
        <v>20.48</v>
      </c>
      <c r="F288" s="2">
        <v>0</v>
      </c>
      <c r="G288" s="2">
        <v>31.27</v>
      </c>
      <c r="H288" s="2">
        <f t="shared" si="16"/>
        <v>2.0943503200965394</v>
      </c>
      <c r="I288" s="2">
        <f t="shared" si="17"/>
        <v>0.25792879310517408</v>
      </c>
      <c r="J288" s="2">
        <f t="shared" si="18"/>
        <v>7.7878372775958651</v>
      </c>
      <c r="K288">
        <f t="shared" si="19"/>
        <v>17.25</v>
      </c>
    </row>
    <row r="289" spans="1:11" ht="13.9" x14ac:dyDescent="0.3">
      <c r="A289" s="2" t="s">
        <v>921</v>
      </c>
      <c r="B289" s="2">
        <v>6.11</v>
      </c>
      <c r="C289" s="2">
        <v>0</v>
      </c>
      <c r="D289" s="2">
        <v>8.5500000000000007</v>
      </c>
      <c r="E289" s="2">
        <v>2.88</v>
      </c>
      <c r="F289" s="2">
        <v>0</v>
      </c>
      <c r="G289" s="2">
        <v>0.54</v>
      </c>
      <c r="H289" s="2">
        <f t="shared" si="16"/>
        <v>2.0998168732479141</v>
      </c>
      <c r="I289" s="2">
        <f t="shared" si="17"/>
        <v>0.23639640620828056</v>
      </c>
      <c r="J289" s="2">
        <f t="shared" si="18"/>
        <v>3.8738131983590871</v>
      </c>
      <c r="K289">
        <f t="shared" si="19"/>
        <v>1.1399999999999999</v>
      </c>
    </row>
    <row r="290" spans="1:11" ht="13.9" x14ac:dyDescent="0.3">
      <c r="A290" s="2" t="s">
        <v>449</v>
      </c>
      <c r="B290" s="2">
        <v>0</v>
      </c>
      <c r="C290" s="2">
        <v>6.49</v>
      </c>
      <c r="D290" s="2">
        <v>0</v>
      </c>
      <c r="E290" s="2">
        <v>0</v>
      </c>
      <c r="F290" s="2">
        <v>0</v>
      </c>
      <c r="G290" s="2">
        <v>1.49</v>
      </c>
      <c r="H290" s="2">
        <f t="shared" si="16"/>
        <v>2.1229061475369773</v>
      </c>
      <c r="I290" s="2">
        <f t="shared" si="17"/>
        <v>0.49448401244425316</v>
      </c>
      <c r="J290" s="2">
        <f t="shared" si="18"/>
        <v>2.6982184782244136</v>
      </c>
      <c r="K290">
        <f t="shared" si="19"/>
        <v>0.49666666666666665</v>
      </c>
    </row>
    <row r="291" spans="1:11" ht="13.9" x14ac:dyDescent="0.3">
      <c r="A291" s="2" t="s">
        <v>253</v>
      </c>
      <c r="B291" s="2">
        <v>10.42</v>
      </c>
      <c r="C291" s="2">
        <v>0</v>
      </c>
      <c r="D291" s="2">
        <v>0</v>
      </c>
      <c r="E291" s="2">
        <v>1.44</v>
      </c>
      <c r="F291" s="2">
        <v>0</v>
      </c>
      <c r="G291" s="2">
        <v>0.95</v>
      </c>
      <c r="H291" s="2">
        <f t="shared" si="16"/>
        <v>2.1242727542977602</v>
      </c>
      <c r="I291" s="2">
        <f t="shared" si="17"/>
        <v>0.48691869150981276</v>
      </c>
      <c r="J291" s="2">
        <f t="shared" si="18"/>
        <v>3.3812833725037836</v>
      </c>
      <c r="K291">
        <f t="shared" si="19"/>
        <v>0.79666666666666652</v>
      </c>
    </row>
    <row r="292" spans="1:11" ht="13.9" x14ac:dyDescent="0.3">
      <c r="A292" s="2" t="s">
        <v>596</v>
      </c>
      <c r="B292" s="2">
        <v>0</v>
      </c>
      <c r="C292" s="2">
        <v>0.21</v>
      </c>
      <c r="D292" s="2">
        <v>25.64</v>
      </c>
      <c r="E292" s="2">
        <v>0.82</v>
      </c>
      <c r="F292" s="2">
        <v>0</v>
      </c>
      <c r="G292" s="2">
        <v>5.01</v>
      </c>
      <c r="H292" s="2">
        <f t="shared" si="16"/>
        <v>2.1485964920018006</v>
      </c>
      <c r="I292" s="2">
        <f t="shared" si="17"/>
        <v>0.48356638003337654</v>
      </c>
      <c r="J292" s="2">
        <f t="shared" si="18"/>
        <v>4.6920923754275723</v>
      </c>
      <c r="K292">
        <f t="shared" si="19"/>
        <v>1.9433333333333334</v>
      </c>
    </row>
    <row r="293" spans="1:11" ht="13.9" x14ac:dyDescent="0.3">
      <c r="A293" s="2" t="s">
        <v>516</v>
      </c>
      <c r="B293" s="2">
        <v>0.18</v>
      </c>
      <c r="C293" s="2">
        <v>7.53</v>
      </c>
      <c r="D293" s="2">
        <v>1.01</v>
      </c>
      <c r="E293" s="2">
        <v>1.65</v>
      </c>
      <c r="F293" s="2">
        <v>0</v>
      </c>
      <c r="G293" s="2">
        <v>0.27</v>
      </c>
      <c r="H293" s="2">
        <f t="shared" si="16"/>
        <v>2.1832218240557704</v>
      </c>
      <c r="I293" s="2">
        <f t="shared" si="17"/>
        <v>0.39475568117069526</v>
      </c>
      <c r="J293" s="2">
        <f t="shared" si="18"/>
        <v>3.1243281350022016</v>
      </c>
      <c r="K293">
        <f t="shared" si="19"/>
        <v>0.64</v>
      </c>
    </row>
    <row r="294" spans="1:11" ht="13.9" x14ac:dyDescent="0.3">
      <c r="A294" s="2" t="s">
        <v>678</v>
      </c>
      <c r="B294" s="2">
        <v>0</v>
      </c>
      <c r="C294" s="2">
        <v>0</v>
      </c>
      <c r="D294" s="2">
        <v>9.0500000000000007</v>
      </c>
      <c r="E294" s="2">
        <v>1.44</v>
      </c>
      <c r="F294" s="2">
        <v>0</v>
      </c>
      <c r="G294" s="2">
        <v>0.54</v>
      </c>
      <c r="H294" s="2">
        <f t="shared" si="16"/>
        <v>2.1924173618909584</v>
      </c>
      <c r="I294" s="2">
        <f t="shared" si="17"/>
        <v>0.4822641301737548</v>
      </c>
      <c r="J294" s="2">
        <f t="shared" si="18"/>
        <v>3.177917792195843</v>
      </c>
      <c r="K294">
        <f t="shared" si="19"/>
        <v>0.66</v>
      </c>
    </row>
    <row r="295" spans="1:11" ht="13.9" x14ac:dyDescent="0.3">
      <c r="A295" s="2" t="s">
        <v>858</v>
      </c>
      <c r="B295" s="2">
        <v>0</v>
      </c>
      <c r="C295" s="2">
        <v>0</v>
      </c>
      <c r="D295" s="2">
        <v>14.08</v>
      </c>
      <c r="E295" s="2">
        <v>0.1</v>
      </c>
      <c r="F295" s="2">
        <v>0</v>
      </c>
      <c r="G295" s="2">
        <v>2.98</v>
      </c>
      <c r="H295" s="2">
        <f t="shared" si="16"/>
        <v>2.1926450779423958</v>
      </c>
      <c r="I295" s="2">
        <f t="shared" si="17"/>
        <v>0.48699250920817627</v>
      </c>
      <c r="J295" s="2">
        <f t="shared" si="18"/>
        <v>3.8155754288625725</v>
      </c>
      <c r="K295">
        <f t="shared" si="19"/>
        <v>1.0266666666666666</v>
      </c>
    </row>
    <row r="296" spans="1:11" ht="13.9" x14ac:dyDescent="0.3">
      <c r="A296" s="2" t="s">
        <v>776</v>
      </c>
      <c r="B296" s="2">
        <v>8.98</v>
      </c>
      <c r="C296" s="2">
        <v>27.42</v>
      </c>
      <c r="D296" s="2">
        <v>53.29</v>
      </c>
      <c r="E296" s="2">
        <v>4.42</v>
      </c>
      <c r="F296" s="2">
        <v>0</v>
      </c>
      <c r="G296" s="2">
        <v>14.62</v>
      </c>
      <c r="H296" s="2">
        <f t="shared" si="16"/>
        <v>2.2359136619652742</v>
      </c>
      <c r="I296" s="2">
        <f t="shared" si="17"/>
        <v>0.15745216759394998</v>
      </c>
      <c r="J296" s="2">
        <f t="shared" si="18"/>
        <v>6.4868752354984922</v>
      </c>
      <c r="K296">
        <f t="shared" si="19"/>
        <v>6.3466666666666667</v>
      </c>
    </row>
    <row r="297" spans="1:11" ht="13.9" x14ac:dyDescent="0.3">
      <c r="A297" s="2" t="s">
        <v>216</v>
      </c>
      <c r="B297" s="2">
        <v>30.54</v>
      </c>
      <c r="C297" s="2">
        <v>27.42</v>
      </c>
      <c r="D297" s="2">
        <v>124.68</v>
      </c>
      <c r="E297" s="2">
        <v>23.66</v>
      </c>
      <c r="F297" s="2">
        <v>0</v>
      </c>
      <c r="G297" s="2">
        <v>14.62</v>
      </c>
      <c r="H297" s="2">
        <f t="shared" si="16"/>
        <v>2.254340029738676</v>
      </c>
      <c r="I297" s="2">
        <f t="shared" si="17"/>
        <v>0.21452247901835059</v>
      </c>
      <c r="J297" s="2">
        <f t="shared" si="18"/>
        <v>7.5128589544499773</v>
      </c>
      <c r="K297">
        <f t="shared" si="19"/>
        <v>12.76</v>
      </c>
    </row>
    <row r="298" spans="1:11" ht="13.9" x14ac:dyDescent="0.3">
      <c r="A298" s="2" t="s">
        <v>93</v>
      </c>
      <c r="B298" s="2">
        <v>0</v>
      </c>
      <c r="C298" s="2">
        <v>7.74</v>
      </c>
      <c r="D298" s="2">
        <v>0</v>
      </c>
      <c r="E298" s="2">
        <v>1.34</v>
      </c>
      <c r="F298" s="2">
        <v>0</v>
      </c>
      <c r="G298" s="2">
        <v>0.27</v>
      </c>
      <c r="H298" s="2">
        <f t="shared" si="16"/>
        <v>2.2652728780297933</v>
      </c>
      <c r="I298" s="2">
        <f t="shared" si="17"/>
        <v>0.47780192817935047</v>
      </c>
      <c r="J298" s="2">
        <f t="shared" si="18"/>
        <v>2.9523335663696861</v>
      </c>
      <c r="K298">
        <f t="shared" si="19"/>
        <v>0.53666666666666674</v>
      </c>
    </row>
    <row r="299" spans="1:11" ht="13.9" x14ac:dyDescent="0.3">
      <c r="A299" s="2" t="s">
        <v>464</v>
      </c>
      <c r="B299" s="2">
        <v>0.18</v>
      </c>
      <c r="C299" s="2">
        <v>0</v>
      </c>
      <c r="D299" s="2">
        <v>0.5</v>
      </c>
      <c r="E299" s="2">
        <v>0</v>
      </c>
      <c r="F299" s="2">
        <v>0</v>
      </c>
      <c r="G299" s="2">
        <v>0.14000000000000001</v>
      </c>
      <c r="H299" s="2">
        <f t="shared" si="16"/>
        <v>2.2801079191927349</v>
      </c>
      <c r="I299" s="2">
        <f t="shared" si="17"/>
        <v>0.30594999652180999</v>
      </c>
      <c r="J299" s="2">
        <f t="shared" si="18"/>
        <v>-0.55639334852438549</v>
      </c>
      <c r="K299">
        <f t="shared" si="19"/>
        <v>4.6666666666666669E-2</v>
      </c>
    </row>
    <row r="300" spans="1:11" ht="13.9" x14ac:dyDescent="0.3">
      <c r="A300" s="2" t="s">
        <v>626</v>
      </c>
      <c r="B300" s="2">
        <v>0</v>
      </c>
      <c r="C300" s="2">
        <v>0</v>
      </c>
      <c r="D300" s="2">
        <v>2.5099999999999998</v>
      </c>
      <c r="E300" s="2">
        <v>0.1</v>
      </c>
      <c r="F300" s="2">
        <v>0</v>
      </c>
      <c r="G300" s="2">
        <v>0.41</v>
      </c>
      <c r="H300" s="2">
        <f t="shared" si="16"/>
        <v>2.2991182119792763</v>
      </c>
      <c r="I300" s="2">
        <f t="shared" si="17"/>
        <v>0.47462201605889431</v>
      </c>
      <c r="J300" s="2">
        <f t="shared" si="18"/>
        <v>1.3276873641760472</v>
      </c>
      <c r="K300">
        <f t="shared" si="19"/>
        <v>0.17</v>
      </c>
    </row>
    <row r="301" spans="1:11" ht="13.9" x14ac:dyDescent="0.3">
      <c r="A301" s="2" t="s">
        <v>887</v>
      </c>
      <c r="B301" s="2">
        <v>0</v>
      </c>
      <c r="C301" s="2">
        <v>0</v>
      </c>
      <c r="D301" s="2">
        <v>7.54</v>
      </c>
      <c r="E301" s="2">
        <v>0.31</v>
      </c>
      <c r="F301" s="2">
        <v>0</v>
      </c>
      <c r="G301" s="2">
        <v>1.22</v>
      </c>
      <c r="H301" s="2">
        <f t="shared" si="16"/>
        <v>2.3010328705760128</v>
      </c>
      <c r="I301" s="2">
        <f t="shared" si="17"/>
        <v>0.474373104383563</v>
      </c>
      <c r="J301" s="2">
        <f t="shared" si="18"/>
        <v>2.9145645234939401</v>
      </c>
      <c r="K301">
        <f t="shared" si="19"/>
        <v>0.51</v>
      </c>
    </row>
    <row r="302" spans="1:11" ht="13.9" x14ac:dyDescent="0.3">
      <c r="A302" s="2" t="s">
        <v>229</v>
      </c>
      <c r="B302" s="2">
        <v>0</v>
      </c>
      <c r="C302" s="2">
        <v>1.05</v>
      </c>
      <c r="D302" s="2">
        <v>5.03</v>
      </c>
      <c r="E302" s="2">
        <v>0</v>
      </c>
      <c r="F302" s="2">
        <v>0</v>
      </c>
      <c r="G302" s="2">
        <v>1.22</v>
      </c>
      <c r="H302" s="2">
        <f t="shared" si="16"/>
        <v>2.3171901758806994</v>
      </c>
      <c r="I302" s="2">
        <f t="shared" si="17"/>
        <v>0.36452756980615481</v>
      </c>
      <c r="J302" s="2">
        <f t="shared" si="18"/>
        <v>2.6040713236688608</v>
      </c>
      <c r="K302">
        <f t="shared" si="19"/>
        <v>0.40666666666666668</v>
      </c>
    </row>
    <row r="303" spans="1:11" ht="13.9" x14ac:dyDescent="0.3">
      <c r="A303" s="2" t="s">
        <v>56</v>
      </c>
      <c r="B303" s="2">
        <v>0</v>
      </c>
      <c r="C303" s="2">
        <v>0</v>
      </c>
      <c r="D303" s="2">
        <v>25.14</v>
      </c>
      <c r="E303" s="2">
        <v>1.23</v>
      </c>
      <c r="F303" s="2">
        <v>0</v>
      </c>
      <c r="G303" s="2">
        <v>3.38</v>
      </c>
      <c r="H303" s="2">
        <f t="shared" si="16"/>
        <v>2.4471459939911702</v>
      </c>
      <c r="I303" s="2">
        <f t="shared" si="17"/>
        <v>0.46285483888094681</v>
      </c>
      <c r="J303" s="2">
        <f t="shared" si="18"/>
        <v>4.6519127446457835</v>
      </c>
      <c r="K303">
        <f t="shared" si="19"/>
        <v>1.5366666666666664</v>
      </c>
    </row>
    <row r="304" spans="1:11" ht="13.9" x14ac:dyDescent="0.3">
      <c r="A304" s="2" t="s">
        <v>588</v>
      </c>
      <c r="B304" s="2">
        <v>0</v>
      </c>
      <c r="C304" s="2">
        <v>6.28</v>
      </c>
      <c r="D304" s="2">
        <v>0</v>
      </c>
      <c r="E304" s="2">
        <v>1.1299999999999999</v>
      </c>
      <c r="F304" s="2">
        <v>0</v>
      </c>
      <c r="G304" s="2">
        <v>0</v>
      </c>
      <c r="H304" s="2">
        <f t="shared" si="16"/>
        <v>2.4744417864764392</v>
      </c>
      <c r="I304" s="2">
        <f t="shared" si="17"/>
        <v>0.46486306570601693</v>
      </c>
      <c r="J304" s="2">
        <f t="shared" si="18"/>
        <v>2.6507645591169027</v>
      </c>
      <c r="K304">
        <f t="shared" si="19"/>
        <v>0.37666666666666665</v>
      </c>
    </row>
    <row r="305" spans="1:11" ht="13.9" x14ac:dyDescent="0.3">
      <c r="A305" s="2" t="s">
        <v>380</v>
      </c>
      <c r="B305" s="2">
        <v>227.62</v>
      </c>
      <c r="C305" s="2">
        <v>391.36</v>
      </c>
      <c r="D305" s="2">
        <v>1056.76</v>
      </c>
      <c r="E305" s="2">
        <v>56.38</v>
      </c>
      <c r="F305" s="2">
        <v>40.880000000000003</v>
      </c>
      <c r="G305" s="2">
        <v>193.95</v>
      </c>
      <c r="H305" s="2">
        <f t="shared" si="16"/>
        <v>2.5246665216716209</v>
      </c>
      <c r="I305" s="2">
        <f t="shared" si="17"/>
        <v>0.14834906119181837</v>
      </c>
      <c r="J305" s="2">
        <f t="shared" si="18"/>
        <v>10.710582609231235</v>
      </c>
      <c r="K305">
        <f t="shared" si="19"/>
        <v>97.07</v>
      </c>
    </row>
    <row r="306" spans="1:11" ht="13.9" x14ac:dyDescent="0.3">
      <c r="A306" s="2" t="s">
        <v>48</v>
      </c>
      <c r="B306" s="2">
        <v>17.25</v>
      </c>
      <c r="C306" s="2">
        <v>30.56</v>
      </c>
      <c r="D306" s="2">
        <v>56.81</v>
      </c>
      <c r="E306" s="2">
        <v>8.23</v>
      </c>
      <c r="F306" s="2">
        <v>0</v>
      </c>
      <c r="G306" s="2">
        <v>9.8800000000000008</v>
      </c>
      <c r="H306" s="2">
        <f t="shared" si="16"/>
        <v>2.5303002237278287</v>
      </c>
      <c r="I306" s="2">
        <f t="shared" si="17"/>
        <v>7.4381569235697123E-2</v>
      </c>
      <c r="J306" s="2">
        <f t="shared" si="18"/>
        <v>6.7090148649032724</v>
      </c>
      <c r="K306">
        <f t="shared" si="19"/>
        <v>6.0366666666666662</v>
      </c>
    </row>
    <row r="307" spans="1:11" ht="13.9" x14ac:dyDescent="0.3">
      <c r="A307" s="2" t="s">
        <v>628</v>
      </c>
      <c r="B307" s="2">
        <v>0</v>
      </c>
      <c r="C307" s="2">
        <v>0</v>
      </c>
      <c r="D307" s="2">
        <v>20.61</v>
      </c>
      <c r="E307" s="2">
        <v>1.75</v>
      </c>
      <c r="F307" s="2">
        <v>0</v>
      </c>
      <c r="G307" s="2">
        <v>1.76</v>
      </c>
      <c r="H307" s="2">
        <f t="shared" si="16"/>
        <v>2.5538015692346958</v>
      </c>
      <c r="I307" s="2">
        <f t="shared" si="17"/>
        <v>0.45486751291604094</v>
      </c>
      <c r="J307" s="2">
        <f t="shared" si="18"/>
        <v>4.3652725997645314</v>
      </c>
      <c r="K307">
        <f t="shared" si="19"/>
        <v>1.17</v>
      </c>
    </row>
    <row r="308" spans="1:11" ht="13.9" x14ac:dyDescent="0.3">
      <c r="A308" s="2" t="s">
        <v>175</v>
      </c>
      <c r="B308" s="2">
        <v>17.25</v>
      </c>
      <c r="C308" s="2">
        <v>47.09</v>
      </c>
      <c r="D308" s="2">
        <v>56.31</v>
      </c>
      <c r="E308" s="2">
        <v>9.16</v>
      </c>
      <c r="F308" s="2">
        <v>0</v>
      </c>
      <c r="G308" s="2">
        <v>10.69</v>
      </c>
      <c r="H308" s="2">
        <f t="shared" si="16"/>
        <v>2.6036170030727939</v>
      </c>
      <c r="I308" s="2">
        <f t="shared" si="17"/>
        <v>5.1767062843889579E-2</v>
      </c>
      <c r="J308" s="2">
        <f t="shared" si="18"/>
        <v>6.9146841053283898</v>
      </c>
      <c r="K308">
        <f t="shared" si="19"/>
        <v>6.6166666666666671</v>
      </c>
    </row>
    <row r="309" spans="1:11" ht="13.9" x14ac:dyDescent="0.3">
      <c r="A309" s="2" t="s">
        <v>338</v>
      </c>
      <c r="B309" s="2">
        <v>0</v>
      </c>
      <c r="C309" s="2">
        <v>0</v>
      </c>
      <c r="D309" s="2">
        <v>16.09</v>
      </c>
      <c r="E309" s="2">
        <v>1.54</v>
      </c>
      <c r="F309" s="2">
        <v>0</v>
      </c>
      <c r="G309" s="2">
        <v>1.08</v>
      </c>
      <c r="H309" s="2">
        <f t="shared" si="16"/>
        <v>2.6185256091859959</v>
      </c>
      <c r="I309" s="2">
        <f t="shared" si="17"/>
        <v>0.4511139505794417</v>
      </c>
      <c r="J309" s="2">
        <f t="shared" si="18"/>
        <v>4.0080924209487216</v>
      </c>
      <c r="K309">
        <f t="shared" si="19"/>
        <v>0.87333333333333341</v>
      </c>
    </row>
    <row r="310" spans="1:11" ht="13.9" x14ac:dyDescent="0.3">
      <c r="A310" s="2" t="s">
        <v>156</v>
      </c>
      <c r="B310" s="2">
        <v>3477.38</v>
      </c>
      <c r="C310" s="2">
        <v>4315.37</v>
      </c>
      <c r="D310" s="2">
        <v>12846.57</v>
      </c>
      <c r="E310" s="2">
        <v>596.86</v>
      </c>
      <c r="F310" s="2">
        <v>981.03</v>
      </c>
      <c r="G310" s="2">
        <v>1669.65</v>
      </c>
      <c r="H310" s="2">
        <f t="shared" si="16"/>
        <v>2.6679762387354313</v>
      </c>
      <c r="I310" s="2">
        <f t="shared" si="17"/>
        <v>0.12635802904097465</v>
      </c>
      <c r="J310" s="2">
        <f t="shared" si="18"/>
        <v>14.333107818877062</v>
      </c>
      <c r="K310">
        <f t="shared" si="19"/>
        <v>1082.5133333333333</v>
      </c>
    </row>
    <row r="311" spans="1:11" ht="13.9" x14ac:dyDescent="0.3">
      <c r="A311" s="2" t="s">
        <v>148</v>
      </c>
      <c r="B311" s="2">
        <v>0</v>
      </c>
      <c r="C311" s="2">
        <v>0</v>
      </c>
      <c r="D311" s="2">
        <v>30.16</v>
      </c>
      <c r="E311" s="2">
        <v>1.75</v>
      </c>
      <c r="F311" s="2">
        <v>0</v>
      </c>
      <c r="G311" s="2">
        <v>2.84</v>
      </c>
      <c r="H311" s="2">
        <f t="shared" si="16"/>
        <v>2.7160703698548563</v>
      </c>
      <c r="I311" s="2">
        <f t="shared" si="17"/>
        <v>0.44571282770982967</v>
      </c>
      <c r="J311" s="2">
        <f t="shared" si="18"/>
        <v>4.9145645234939392</v>
      </c>
      <c r="K311">
        <f t="shared" si="19"/>
        <v>1.53</v>
      </c>
    </row>
    <row r="312" spans="1:11" ht="13.9" x14ac:dyDescent="0.3">
      <c r="A312" s="2" t="s">
        <v>459</v>
      </c>
      <c r="B312" s="2">
        <v>2.16</v>
      </c>
      <c r="C312" s="2">
        <v>7.53</v>
      </c>
      <c r="D312" s="2">
        <v>33.68</v>
      </c>
      <c r="E312" s="2">
        <v>1.54</v>
      </c>
      <c r="F312" s="2">
        <v>0</v>
      </c>
      <c r="G312" s="2">
        <v>5.01</v>
      </c>
      <c r="H312" s="2">
        <f t="shared" si="16"/>
        <v>2.7271306314382904</v>
      </c>
      <c r="I312" s="2">
        <f t="shared" si="17"/>
        <v>0.28066512115867109</v>
      </c>
      <c r="J312" s="2">
        <f t="shared" si="18"/>
        <v>5.4386255380883792</v>
      </c>
      <c r="K312">
        <f t="shared" si="19"/>
        <v>2.1833333333333331</v>
      </c>
    </row>
    <row r="313" spans="1:11" ht="13.9" x14ac:dyDescent="0.3">
      <c r="A313" s="2" t="s">
        <v>98</v>
      </c>
      <c r="B313" s="2">
        <v>0</v>
      </c>
      <c r="C313" s="2">
        <v>0</v>
      </c>
      <c r="D313" s="2">
        <v>15.59</v>
      </c>
      <c r="E313" s="2">
        <v>2.2599999999999998</v>
      </c>
      <c r="F313" s="2">
        <v>0</v>
      </c>
      <c r="G313" s="2">
        <v>0</v>
      </c>
      <c r="H313" s="2">
        <f t="shared" si="16"/>
        <v>2.7862262502825974</v>
      </c>
      <c r="I313" s="2">
        <f t="shared" si="17"/>
        <v>0.44509935942505735</v>
      </c>
      <c r="J313" s="2">
        <f t="shared" si="18"/>
        <v>3.9625490229230604</v>
      </c>
      <c r="K313">
        <f t="shared" si="19"/>
        <v>0.7533333333333333</v>
      </c>
    </row>
    <row r="314" spans="1:11" ht="13.9" x14ac:dyDescent="0.3">
      <c r="A314" s="2" t="s">
        <v>224</v>
      </c>
      <c r="B314" s="2">
        <v>0</v>
      </c>
      <c r="C314" s="2">
        <v>5.86</v>
      </c>
      <c r="D314" s="2">
        <v>0</v>
      </c>
      <c r="E314" s="2">
        <v>0.82</v>
      </c>
      <c r="F314" s="2">
        <v>0</v>
      </c>
      <c r="G314" s="2">
        <v>0</v>
      </c>
      <c r="H314" s="2">
        <f t="shared" si="16"/>
        <v>2.8372048498041647</v>
      </c>
      <c r="I314" s="2">
        <f t="shared" si="17"/>
        <v>0.44233398639705429</v>
      </c>
      <c r="J314" s="2">
        <f t="shared" si="18"/>
        <v>2.5509006646475232</v>
      </c>
      <c r="K314">
        <f t="shared" si="19"/>
        <v>0.27333333333333332</v>
      </c>
    </row>
    <row r="315" spans="1:11" ht="13.9" x14ac:dyDescent="0.3">
      <c r="A315" s="2" t="s">
        <v>113</v>
      </c>
      <c r="B315" s="2">
        <v>0</v>
      </c>
      <c r="C315" s="2">
        <v>9.2100000000000009</v>
      </c>
      <c r="D315" s="2">
        <v>0</v>
      </c>
      <c r="E315" s="2">
        <v>0.51</v>
      </c>
      <c r="F315" s="2">
        <v>0</v>
      </c>
      <c r="G315" s="2">
        <v>0.68</v>
      </c>
      <c r="H315" s="2">
        <f t="shared" si="16"/>
        <v>2.9522395827833923</v>
      </c>
      <c r="I315" s="2">
        <f t="shared" si="17"/>
        <v>0.43394412493357398</v>
      </c>
      <c r="J315" s="2">
        <f t="shared" si="18"/>
        <v>3.2032011563166112</v>
      </c>
      <c r="K315">
        <f t="shared" si="19"/>
        <v>0.39666666666666667</v>
      </c>
    </row>
    <row r="316" spans="1:11" ht="13.9" x14ac:dyDescent="0.3">
      <c r="A316" s="2" t="s">
        <v>195</v>
      </c>
      <c r="B316" s="2">
        <v>0</v>
      </c>
      <c r="C316" s="2">
        <v>0</v>
      </c>
      <c r="D316" s="2">
        <v>9.0500000000000007</v>
      </c>
      <c r="E316" s="2">
        <v>0.41</v>
      </c>
      <c r="F316" s="2">
        <v>0</v>
      </c>
      <c r="G316" s="2">
        <v>0.68</v>
      </c>
      <c r="H316" s="2">
        <f t="shared" si="16"/>
        <v>3.0535896571936414</v>
      </c>
      <c r="I316" s="2">
        <f t="shared" si="17"/>
        <v>0.42967507284319584</v>
      </c>
      <c r="J316" s="2">
        <f t="shared" si="18"/>
        <v>3.177917792195843</v>
      </c>
      <c r="K316">
        <f t="shared" si="19"/>
        <v>0.36333333333333334</v>
      </c>
    </row>
    <row r="317" spans="1:11" ht="13.9" x14ac:dyDescent="0.3">
      <c r="A317" s="2" t="s">
        <v>374</v>
      </c>
      <c r="B317" s="2">
        <v>11.14</v>
      </c>
      <c r="C317" s="2">
        <v>23.23</v>
      </c>
      <c r="D317" s="2">
        <v>5.03</v>
      </c>
      <c r="E317" s="2">
        <v>2.16</v>
      </c>
      <c r="F317" s="2">
        <v>0</v>
      </c>
      <c r="G317" s="2">
        <v>2.2999999999999998</v>
      </c>
      <c r="H317" s="2">
        <f t="shared" si="16"/>
        <v>3.1430800144234343</v>
      </c>
      <c r="I317" s="2">
        <f t="shared" si="17"/>
        <v>9.720143008466231E-2</v>
      </c>
      <c r="J317" s="2">
        <f t="shared" si="18"/>
        <v>5.3001237245690147</v>
      </c>
      <c r="K317">
        <f t="shared" si="19"/>
        <v>1.4866666666666666</v>
      </c>
    </row>
    <row r="318" spans="1:11" ht="13.9" x14ac:dyDescent="0.3">
      <c r="A318" s="2" t="s">
        <v>80</v>
      </c>
      <c r="B318" s="2">
        <v>48.87</v>
      </c>
      <c r="C318" s="2">
        <v>52.53</v>
      </c>
      <c r="D318" s="2">
        <v>88.99</v>
      </c>
      <c r="E318" s="2">
        <v>7.61</v>
      </c>
      <c r="F318" s="2">
        <v>0</v>
      </c>
      <c r="G318" s="2">
        <v>12.86</v>
      </c>
      <c r="H318" s="2">
        <f t="shared" si="16"/>
        <v>3.2173746973836539</v>
      </c>
      <c r="I318" s="2">
        <f t="shared" si="17"/>
        <v>1.3201403217838312E-2</v>
      </c>
      <c r="J318" s="2">
        <f t="shared" si="18"/>
        <v>7.5728138946323407</v>
      </c>
      <c r="K318">
        <f t="shared" si="19"/>
        <v>6.8233333333333333</v>
      </c>
    </row>
    <row r="319" spans="1:11" ht="13.9" x14ac:dyDescent="0.3">
      <c r="A319" s="2" t="s">
        <v>752</v>
      </c>
      <c r="B319" s="2">
        <v>0</v>
      </c>
      <c r="C319" s="2">
        <v>5.0199999999999996</v>
      </c>
      <c r="D319" s="2">
        <v>0</v>
      </c>
      <c r="E319" s="2">
        <v>0.51</v>
      </c>
      <c r="F319" s="2">
        <v>0</v>
      </c>
      <c r="G319" s="2">
        <v>0</v>
      </c>
      <c r="H319" s="2">
        <f t="shared" si="16"/>
        <v>3.2991182119792759</v>
      </c>
      <c r="I319" s="2">
        <f t="shared" si="17"/>
        <v>0.4219438721311744</v>
      </c>
      <c r="J319" s="2">
        <f t="shared" si="18"/>
        <v>2.3276873641760472</v>
      </c>
      <c r="K319">
        <f t="shared" si="19"/>
        <v>0.17</v>
      </c>
    </row>
    <row r="320" spans="1:11" ht="13.9" x14ac:dyDescent="0.3">
      <c r="A320" s="2" t="s">
        <v>168</v>
      </c>
      <c r="B320" s="2">
        <v>9.16</v>
      </c>
      <c r="C320" s="2">
        <v>34.53</v>
      </c>
      <c r="D320" s="2">
        <v>105.07</v>
      </c>
      <c r="E320" s="2">
        <v>5.25</v>
      </c>
      <c r="F320" s="2">
        <v>0</v>
      </c>
      <c r="G320" s="2">
        <v>8.8000000000000007</v>
      </c>
      <c r="H320" s="2">
        <f t="shared" si="16"/>
        <v>3.4043446175036993</v>
      </c>
      <c r="I320" s="2">
        <f t="shared" si="17"/>
        <v>0.19404141165173255</v>
      </c>
      <c r="J320" s="2">
        <f t="shared" si="18"/>
        <v>7.2168428428372637</v>
      </c>
      <c r="K320">
        <f t="shared" si="19"/>
        <v>4.6833333333333336</v>
      </c>
    </row>
    <row r="321" spans="1:11" ht="13.9" x14ac:dyDescent="0.3">
      <c r="A321" s="2" t="s">
        <v>633</v>
      </c>
      <c r="B321" s="2">
        <v>3.05</v>
      </c>
      <c r="C321" s="2">
        <v>9</v>
      </c>
      <c r="D321" s="2">
        <v>0</v>
      </c>
      <c r="E321" s="2">
        <v>0.62</v>
      </c>
      <c r="F321" s="2">
        <v>0</v>
      </c>
      <c r="G321" s="2">
        <v>0.41</v>
      </c>
      <c r="H321" s="2">
        <f t="shared" si="16"/>
        <v>3.5483169039341056</v>
      </c>
      <c r="I321" s="2">
        <f t="shared" si="17"/>
        <v>0.23780167513625353</v>
      </c>
      <c r="J321" s="2">
        <f t="shared" si="18"/>
        <v>3.5909612413425993</v>
      </c>
      <c r="K321">
        <f t="shared" si="19"/>
        <v>0.34333333333333332</v>
      </c>
    </row>
    <row r="322" spans="1:11" ht="13.9" x14ac:dyDescent="0.3">
      <c r="A322" s="2" t="s">
        <v>779</v>
      </c>
      <c r="B322" s="2">
        <v>6.47</v>
      </c>
      <c r="C322" s="2">
        <v>2.5099999999999998</v>
      </c>
      <c r="D322" s="2">
        <v>8.5500000000000007</v>
      </c>
      <c r="E322" s="2">
        <v>0.21</v>
      </c>
      <c r="F322" s="2">
        <v>0</v>
      </c>
      <c r="G322" s="2">
        <v>1.22</v>
      </c>
      <c r="H322" s="2">
        <f t="shared" ref="H322:H385" si="20">LOG(SUM(B322:D322)/SUM(E322:G322),2)</f>
        <v>3.6157389439811491</v>
      </c>
      <c r="I322" s="2">
        <f t="shared" ref="I322:I385" si="21">_xlfn.T.TEST(B322:D322,E322:G322,2,2)</f>
        <v>4.1423052852190043E-2</v>
      </c>
      <c r="J322" s="2">
        <f t="shared" ref="J322:J385" si="22">LOG(SUM(B322:D322),2)</f>
        <v>4.1317540909848134</v>
      </c>
      <c r="K322">
        <f t="shared" ref="K322:K385" si="23">AVERAGE(E322:G322)</f>
        <v>0.47666666666666663</v>
      </c>
    </row>
    <row r="323" spans="1:11" ht="13.9" x14ac:dyDescent="0.3">
      <c r="A323" s="2" t="s">
        <v>457</v>
      </c>
      <c r="B323" s="2">
        <v>1.98</v>
      </c>
      <c r="C323" s="2">
        <v>4.3899999999999997</v>
      </c>
      <c r="D323" s="2">
        <v>56.81</v>
      </c>
      <c r="E323" s="2">
        <v>2.57</v>
      </c>
      <c r="F323" s="2">
        <v>0</v>
      </c>
      <c r="G323" s="2">
        <v>2.57</v>
      </c>
      <c r="H323" s="2">
        <f t="shared" si="20"/>
        <v>3.619627672552995</v>
      </c>
      <c r="I323" s="2">
        <f t="shared" si="21"/>
        <v>0.34080454920591313</v>
      </c>
      <c r="J323" s="2">
        <f t="shared" si="22"/>
        <v>5.9813960319721486</v>
      </c>
      <c r="K323">
        <f t="shared" si="23"/>
        <v>1.7133333333333332</v>
      </c>
    </row>
    <row r="324" spans="1:11" ht="13.9" x14ac:dyDescent="0.3">
      <c r="A324" s="2" t="s">
        <v>737</v>
      </c>
      <c r="B324" s="2">
        <v>0.18</v>
      </c>
      <c r="C324" s="2">
        <v>1.05</v>
      </c>
      <c r="D324" s="2">
        <v>0</v>
      </c>
      <c r="E324" s="2">
        <v>0.1</v>
      </c>
      <c r="F324" s="2">
        <v>0</v>
      </c>
      <c r="G324" s="2">
        <v>0</v>
      </c>
      <c r="H324" s="2">
        <f t="shared" si="20"/>
        <v>3.6205864104518772</v>
      </c>
      <c r="I324" s="2">
        <f t="shared" si="21"/>
        <v>0.31210872120506128</v>
      </c>
      <c r="J324" s="2">
        <f t="shared" si="22"/>
        <v>0.29865831556451516</v>
      </c>
      <c r="K324">
        <f t="shared" si="23"/>
        <v>3.3333333333333333E-2</v>
      </c>
    </row>
    <row r="325" spans="1:11" ht="13.9" x14ac:dyDescent="0.3">
      <c r="A325" s="2" t="s">
        <v>450</v>
      </c>
      <c r="B325" s="2">
        <v>0</v>
      </c>
      <c r="C325" s="2">
        <v>0</v>
      </c>
      <c r="D325" s="2">
        <v>10.56</v>
      </c>
      <c r="E325" s="2">
        <v>0.82</v>
      </c>
      <c r="F325" s="2">
        <v>0</v>
      </c>
      <c r="G325" s="2">
        <v>0</v>
      </c>
      <c r="H325" s="2">
        <f t="shared" si="20"/>
        <v>3.68684211474037</v>
      </c>
      <c r="I325" s="2">
        <f t="shared" si="21"/>
        <v>0.40982904835264733</v>
      </c>
      <c r="J325" s="2">
        <f t="shared" si="22"/>
        <v>3.400537929583729</v>
      </c>
      <c r="K325">
        <f t="shared" si="23"/>
        <v>0.27333333333333332</v>
      </c>
    </row>
    <row r="326" spans="1:11" ht="13.9" x14ac:dyDescent="0.3">
      <c r="A326" s="2" t="s">
        <v>908</v>
      </c>
      <c r="B326" s="2">
        <v>4.8499999999999996</v>
      </c>
      <c r="C326" s="2">
        <v>0.21</v>
      </c>
      <c r="D326" s="2">
        <v>23.63</v>
      </c>
      <c r="E326" s="2">
        <v>1.1299999999999999</v>
      </c>
      <c r="F326" s="2">
        <v>0</v>
      </c>
      <c r="G326" s="2">
        <v>0.81</v>
      </c>
      <c r="H326" s="2">
        <f t="shared" si="20"/>
        <v>3.8864194105815368</v>
      </c>
      <c r="I326" s="2">
        <f t="shared" si="21"/>
        <v>0.28141362252671959</v>
      </c>
      <c r="J326" s="2">
        <f t="shared" si="22"/>
        <v>4.8424760629939394</v>
      </c>
      <c r="K326">
        <f t="shared" si="23"/>
        <v>0.64666666666666661</v>
      </c>
    </row>
    <row r="327" spans="1:11" ht="13.9" x14ac:dyDescent="0.3">
      <c r="A327" s="2" t="s">
        <v>142</v>
      </c>
      <c r="B327" s="2">
        <v>20.3</v>
      </c>
      <c r="C327" s="2">
        <v>31.39</v>
      </c>
      <c r="D327" s="2">
        <v>10.56</v>
      </c>
      <c r="E327" s="2">
        <v>3.4</v>
      </c>
      <c r="F327" s="2">
        <v>0</v>
      </c>
      <c r="G327" s="2">
        <v>0.68</v>
      </c>
      <c r="H327" s="2">
        <f t="shared" si="20"/>
        <v>3.9314327798713098</v>
      </c>
      <c r="I327" s="2">
        <f t="shared" si="21"/>
        <v>3.3682949519537216E-2</v>
      </c>
      <c r="J327" s="2">
        <f t="shared" si="22"/>
        <v>5.9600019320680806</v>
      </c>
      <c r="K327">
        <f t="shared" si="23"/>
        <v>1.36</v>
      </c>
    </row>
    <row r="328" spans="1:11" ht="13.9" x14ac:dyDescent="0.3">
      <c r="A328" s="2" t="s">
        <v>193</v>
      </c>
      <c r="B328" s="2">
        <v>0</v>
      </c>
      <c r="C328" s="2">
        <v>13.39</v>
      </c>
      <c r="D328" s="2">
        <v>15.59</v>
      </c>
      <c r="E328" s="2">
        <v>1.44</v>
      </c>
      <c r="F328" s="2">
        <v>0</v>
      </c>
      <c r="G328" s="2">
        <v>0.41</v>
      </c>
      <c r="H328" s="2">
        <f t="shared" si="20"/>
        <v>3.9694604190406171</v>
      </c>
      <c r="I328" s="2">
        <f t="shared" si="21"/>
        <v>0.138115413925611</v>
      </c>
      <c r="J328" s="2">
        <f t="shared" si="22"/>
        <v>4.8569856897822046</v>
      </c>
      <c r="K328">
        <f t="shared" si="23"/>
        <v>0.61666666666666659</v>
      </c>
    </row>
    <row r="329" spans="1:11" ht="13.9" x14ac:dyDescent="0.3">
      <c r="A329" s="2" t="s">
        <v>765</v>
      </c>
      <c r="B329" s="2">
        <v>8.98</v>
      </c>
      <c r="C329" s="2">
        <v>28.25</v>
      </c>
      <c r="D329" s="2">
        <v>11.56</v>
      </c>
      <c r="E329" s="2">
        <v>1.03</v>
      </c>
      <c r="F329" s="2">
        <v>0</v>
      </c>
      <c r="G329" s="2">
        <v>2.0299999999999998</v>
      </c>
      <c r="H329" s="2">
        <f t="shared" si="20"/>
        <v>3.9949819252333758</v>
      </c>
      <c r="I329" s="2">
        <f t="shared" si="21"/>
        <v>6.5904700739158453E-2</v>
      </c>
      <c r="J329" s="2">
        <f t="shared" si="22"/>
        <v>5.6085135781513022</v>
      </c>
      <c r="K329">
        <f t="shared" si="23"/>
        <v>1.0199999999999998</v>
      </c>
    </row>
    <row r="330" spans="1:11" ht="13.9" x14ac:dyDescent="0.3">
      <c r="A330" s="2" t="s">
        <v>152</v>
      </c>
      <c r="B330" s="2">
        <v>0</v>
      </c>
      <c r="C330" s="2">
        <v>0</v>
      </c>
      <c r="D330" s="2">
        <v>12.57</v>
      </c>
      <c r="E330" s="2">
        <v>0.72</v>
      </c>
      <c r="F330" s="2">
        <v>0</v>
      </c>
      <c r="G330" s="2">
        <v>0</v>
      </c>
      <c r="H330" s="2">
        <f t="shared" si="20"/>
        <v>4.1258439329781957</v>
      </c>
      <c r="I330" s="2">
        <f t="shared" si="21"/>
        <v>0.39990288398116736</v>
      </c>
      <c r="J330" s="2">
        <f t="shared" si="22"/>
        <v>3.6519127446457831</v>
      </c>
      <c r="K330">
        <f t="shared" si="23"/>
        <v>0.24</v>
      </c>
    </row>
    <row r="331" spans="1:11" ht="13.9" x14ac:dyDescent="0.3">
      <c r="A331" s="2" t="s">
        <v>202</v>
      </c>
      <c r="B331" s="2">
        <v>0</v>
      </c>
      <c r="C331" s="2">
        <v>6.28</v>
      </c>
      <c r="D331" s="2">
        <v>0</v>
      </c>
      <c r="E331" s="2">
        <v>0.21</v>
      </c>
      <c r="F331" s="2">
        <v>0</v>
      </c>
      <c r="G331" s="2">
        <v>0.14000000000000001</v>
      </c>
      <c r="H331" s="2">
        <f t="shared" si="20"/>
        <v>4.1653377319466607</v>
      </c>
      <c r="I331" s="2">
        <f t="shared" si="21"/>
        <v>0.39868586814394236</v>
      </c>
      <c r="J331" s="2">
        <f t="shared" si="22"/>
        <v>2.6507645591169027</v>
      </c>
      <c r="K331">
        <f t="shared" si="23"/>
        <v>0.11666666666666665</v>
      </c>
    </row>
    <row r="332" spans="1:11" ht="13.9" x14ac:dyDescent="0.3">
      <c r="A332" s="2" t="s">
        <v>739</v>
      </c>
      <c r="B332" s="2">
        <v>0</v>
      </c>
      <c r="C332" s="2">
        <v>5.86</v>
      </c>
      <c r="D332" s="2">
        <v>0</v>
      </c>
      <c r="E332" s="2">
        <v>0.31</v>
      </c>
      <c r="F332" s="2">
        <v>0</v>
      </c>
      <c r="G332" s="2">
        <v>0</v>
      </c>
      <c r="H332" s="2">
        <f t="shared" si="20"/>
        <v>4.2405605440353726</v>
      </c>
      <c r="I332" s="2">
        <f t="shared" si="21"/>
        <v>0.39781590918103021</v>
      </c>
      <c r="J332" s="2">
        <f t="shared" si="22"/>
        <v>2.5509006646475232</v>
      </c>
      <c r="K332">
        <f t="shared" si="23"/>
        <v>0.10333333333333333</v>
      </c>
    </row>
    <row r="333" spans="1:11" ht="13.9" x14ac:dyDescent="0.3">
      <c r="A333" s="2" t="s">
        <v>472</v>
      </c>
      <c r="B333" s="2">
        <v>8.44</v>
      </c>
      <c r="C333" s="2">
        <v>20.09</v>
      </c>
      <c r="D333" s="2">
        <v>14.58</v>
      </c>
      <c r="E333" s="2">
        <v>1.95</v>
      </c>
      <c r="F333" s="2">
        <v>0</v>
      </c>
      <c r="G333" s="2">
        <v>0.27</v>
      </c>
      <c r="H333" s="2">
        <f t="shared" si="20"/>
        <v>4.2793909808283868</v>
      </c>
      <c r="I333" s="2">
        <f t="shared" si="21"/>
        <v>1.6320565669332394E-2</v>
      </c>
      <c r="J333" s="2">
        <f t="shared" si="22"/>
        <v>5.4299506574037677</v>
      </c>
      <c r="K333">
        <f t="shared" si="23"/>
        <v>0.73999999999999988</v>
      </c>
    </row>
    <row r="334" spans="1:11" ht="13.9" x14ac:dyDescent="0.3">
      <c r="A334" s="2" t="s">
        <v>723</v>
      </c>
      <c r="B334" s="2">
        <v>9.8800000000000008</v>
      </c>
      <c r="C334" s="2">
        <v>0</v>
      </c>
      <c r="D334" s="2">
        <v>58.32</v>
      </c>
      <c r="E334" s="2">
        <v>2.2599999999999998</v>
      </c>
      <c r="F334" s="2">
        <v>0</v>
      </c>
      <c r="G334" s="2">
        <v>1.22</v>
      </c>
      <c r="H334" s="2">
        <f t="shared" si="20"/>
        <v>4.2926125280628069</v>
      </c>
      <c r="I334" s="2">
        <f t="shared" si="21"/>
        <v>0.29761546605266603</v>
      </c>
      <c r="J334" s="2">
        <f t="shared" si="22"/>
        <v>6.0916998341368105</v>
      </c>
      <c r="K334">
        <f t="shared" si="23"/>
        <v>1.1599999999999999</v>
      </c>
    </row>
    <row r="335" spans="1:11" ht="13.9" x14ac:dyDescent="0.3">
      <c r="A335" s="2" t="s">
        <v>372</v>
      </c>
      <c r="B335" s="2">
        <v>10.24</v>
      </c>
      <c r="C335" s="2">
        <v>4.8099999999999996</v>
      </c>
      <c r="D335" s="2">
        <v>0</v>
      </c>
      <c r="E335" s="2">
        <v>0.72</v>
      </c>
      <c r="F335" s="2">
        <v>0</v>
      </c>
      <c r="G335" s="2">
        <v>0</v>
      </c>
      <c r="H335" s="2">
        <f t="shared" si="20"/>
        <v>4.3856227702047521</v>
      </c>
      <c r="I335" s="2">
        <f t="shared" si="21"/>
        <v>0.18276499298380758</v>
      </c>
      <c r="J335" s="2">
        <f t="shared" si="22"/>
        <v>3.9116915818723403</v>
      </c>
      <c r="K335">
        <f t="shared" si="23"/>
        <v>0.24</v>
      </c>
    </row>
    <row r="336" spans="1:11" ht="13.9" x14ac:dyDescent="0.3">
      <c r="A336" s="2" t="s">
        <v>312</v>
      </c>
      <c r="B336" s="2">
        <v>0</v>
      </c>
      <c r="C336" s="2">
        <v>0</v>
      </c>
      <c r="D336" s="2">
        <v>12.07</v>
      </c>
      <c r="E336" s="2">
        <v>0.51</v>
      </c>
      <c r="F336" s="2">
        <v>0</v>
      </c>
      <c r="G336" s="2">
        <v>0</v>
      </c>
      <c r="H336" s="2">
        <f t="shared" si="20"/>
        <v>4.5647846187835261</v>
      </c>
      <c r="I336" s="2">
        <f t="shared" si="21"/>
        <v>0.39280910804390073</v>
      </c>
      <c r="J336" s="2">
        <f t="shared" si="22"/>
        <v>3.593353770980297</v>
      </c>
      <c r="K336">
        <f t="shared" si="23"/>
        <v>0.17</v>
      </c>
    </row>
    <row r="337" spans="1:11" ht="13.9" x14ac:dyDescent="0.3">
      <c r="A337" s="2" t="s">
        <v>782</v>
      </c>
      <c r="B337" s="2">
        <v>2.87</v>
      </c>
      <c r="C337" s="2">
        <v>13.81</v>
      </c>
      <c r="D337" s="2">
        <v>6.03</v>
      </c>
      <c r="E337" s="2">
        <v>0.41</v>
      </c>
      <c r="F337" s="2">
        <v>0</v>
      </c>
      <c r="G337" s="2">
        <v>0.54</v>
      </c>
      <c r="H337" s="2">
        <f t="shared" si="20"/>
        <v>4.5792563823759407</v>
      </c>
      <c r="I337" s="2">
        <f t="shared" si="21"/>
        <v>8.9752503308364207E-2</v>
      </c>
      <c r="J337" s="2">
        <f t="shared" si="22"/>
        <v>4.5052558009321633</v>
      </c>
      <c r="K337">
        <f t="shared" si="23"/>
        <v>0.31666666666666665</v>
      </c>
    </row>
    <row r="338" spans="1:11" ht="13.9" x14ac:dyDescent="0.3">
      <c r="A338" s="2" t="s">
        <v>828</v>
      </c>
      <c r="B338" s="2">
        <v>12.04</v>
      </c>
      <c r="C338" s="2">
        <v>3.98</v>
      </c>
      <c r="D338" s="2">
        <v>0</v>
      </c>
      <c r="E338" s="2">
        <v>0.51</v>
      </c>
      <c r="F338" s="2">
        <v>0</v>
      </c>
      <c r="G338" s="2">
        <v>0</v>
      </c>
      <c r="H338" s="2">
        <f t="shared" si="20"/>
        <v>4.9732330904372146</v>
      </c>
      <c r="I338" s="2">
        <f t="shared" si="21"/>
        <v>0.21855049341514293</v>
      </c>
      <c r="J338" s="2">
        <f t="shared" si="22"/>
        <v>4.0018022426339854</v>
      </c>
      <c r="K338">
        <f t="shared" si="23"/>
        <v>0.17</v>
      </c>
    </row>
    <row r="339" spans="1:11" ht="13.9" x14ac:dyDescent="0.3">
      <c r="A339" s="2" t="s">
        <v>914</v>
      </c>
      <c r="B339" s="2">
        <v>2.34</v>
      </c>
      <c r="C339" s="2">
        <v>0</v>
      </c>
      <c r="D339" s="2">
        <v>17.09</v>
      </c>
      <c r="E339" s="2">
        <v>0.51</v>
      </c>
      <c r="F339" s="2">
        <v>0</v>
      </c>
      <c r="G339" s="2">
        <v>0</v>
      </c>
      <c r="H339" s="2">
        <f t="shared" si="20"/>
        <v>5.2516448436138488</v>
      </c>
      <c r="I339" s="2">
        <f t="shared" si="21"/>
        <v>0.30397514946033127</v>
      </c>
      <c r="J339" s="2">
        <f t="shared" si="22"/>
        <v>4.2802139958106196</v>
      </c>
      <c r="K339">
        <f t="shared" si="23"/>
        <v>0.17</v>
      </c>
    </row>
    <row r="340" spans="1:11" ht="13.9" x14ac:dyDescent="0.3">
      <c r="A340" s="2" t="s">
        <v>369</v>
      </c>
      <c r="B340" s="2">
        <v>0</v>
      </c>
      <c r="C340" s="2">
        <v>4.8099999999999996</v>
      </c>
      <c r="D340" s="2">
        <v>0</v>
      </c>
      <c r="E340" s="2">
        <v>0.1</v>
      </c>
      <c r="F340" s="2">
        <v>0</v>
      </c>
      <c r="G340" s="2">
        <v>0</v>
      </c>
      <c r="H340" s="5">
        <f t="shared" si="20"/>
        <v>5.5879649888826792</v>
      </c>
      <c r="I340" s="5">
        <f t="shared" si="21"/>
        <v>0.38301240670567549</v>
      </c>
      <c r="J340" s="2">
        <f t="shared" si="22"/>
        <v>2.266036893995317</v>
      </c>
      <c r="K340">
        <f t="shared" si="23"/>
        <v>3.3333333333333333E-2</v>
      </c>
    </row>
    <row r="341" spans="1:11" ht="13.9" x14ac:dyDescent="0.3">
      <c r="A341" s="2" t="s">
        <v>283</v>
      </c>
      <c r="B341" s="2">
        <v>57.67</v>
      </c>
      <c r="C341" s="2">
        <v>38.93</v>
      </c>
      <c r="D341" s="2">
        <v>137.75</v>
      </c>
      <c r="E341" s="2">
        <v>1.65</v>
      </c>
      <c r="F341" s="2">
        <v>0</v>
      </c>
      <c r="G341" s="2">
        <v>2.84</v>
      </c>
      <c r="H341" s="2">
        <f t="shared" si="20"/>
        <v>5.7058055396252403</v>
      </c>
      <c r="I341" s="2">
        <f t="shared" si="21"/>
        <v>6.4837458158012007E-2</v>
      </c>
      <c r="J341" s="2">
        <f t="shared" si="22"/>
        <v>7.8725209845916622</v>
      </c>
      <c r="K341">
        <f t="shared" si="23"/>
        <v>1.4966666666666668</v>
      </c>
    </row>
    <row r="342" spans="1:11" ht="13.9" x14ac:dyDescent="0.3">
      <c r="A342" s="2" t="s">
        <v>90</v>
      </c>
      <c r="B342" s="2">
        <v>0</v>
      </c>
      <c r="C342" s="2">
        <v>0</v>
      </c>
      <c r="D342" s="2">
        <v>17.09</v>
      </c>
      <c r="E342" s="2">
        <v>0.1</v>
      </c>
      <c r="F342" s="2">
        <v>0</v>
      </c>
      <c r="G342" s="2">
        <v>0.14000000000000001</v>
      </c>
      <c r="H342" s="2">
        <f t="shared" si="20"/>
        <v>6.1539741809549833</v>
      </c>
      <c r="I342" s="2">
        <f t="shared" si="21"/>
        <v>0.37998398294277697</v>
      </c>
      <c r="J342" s="2">
        <f t="shared" si="22"/>
        <v>4.0950804919014141</v>
      </c>
      <c r="K342">
        <f t="shared" si="23"/>
        <v>0.08</v>
      </c>
    </row>
    <row r="343" spans="1:11" ht="13.9" x14ac:dyDescent="0.3">
      <c r="A343" s="2" t="s">
        <v>602</v>
      </c>
      <c r="B343" s="2">
        <v>0</v>
      </c>
      <c r="C343" s="2">
        <v>11.51</v>
      </c>
      <c r="D343" s="2">
        <v>0</v>
      </c>
      <c r="E343" s="2">
        <v>0</v>
      </c>
      <c r="F343" s="2">
        <v>0</v>
      </c>
      <c r="G343" s="2">
        <v>0.14000000000000001</v>
      </c>
      <c r="H343" s="2">
        <f t="shared" si="20"/>
        <v>6.3613171960746264</v>
      </c>
      <c r="I343" s="2">
        <f t="shared" si="21"/>
        <v>0.37918655318526179</v>
      </c>
      <c r="J343" s="2">
        <f t="shared" si="22"/>
        <v>3.5248159283575062</v>
      </c>
      <c r="K343">
        <f t="shared" si="23"/>
        <v>4.6666666666666669E-2</v>
      </c>
    </row>
    <row r="344" spans="1:11" ht="13.9" x14ac:dyDescent="0.3">
      <c r="A344" s="2" t="s">
        <v>186</v>
      </c>
      <c r="B344" s="2">
        <v>301.45999999999998</v>
      </c>
      <c r="C344" s="2">
        <v>28.67</v>
      </c>
      <c r="D344" s="2">
        <v>29.66</v>
      </c>
      <c r="E344" s="2">
        <v>0.62</v>
      </c>
      <c r="F344" s="2">
        <v>0</v>
      </c>
      <c r="G344" s="2">
        <v>0</v>
      </c>
      <c r="H344" s="2">
        <f t="shared" si="20"/>
        <v>9.1806711580563096</v>
      </c>
      <c r="I344" s="2">
        <f t="shared" si="21"/>
        <v>0.2575994508293698</v>
      </c>
      <c r="J344" s="2">
        <f t="shared" si="22"/>
        <v>8.4910112786684611</v>
      </c>
      <c r="K344">
        <f t="shared" si="23"/>
        <v>0.20666666666666667</v>
      </c>
    </row>
    <row r="345" spans="1:11" ht="13.9" x14ac:dyDescent="0.3">
      <c r="A345" s="2" t="s">
        <v>881</v>
      </c>
      <c r="B345" s="2">
        <v>0.18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 t="e">
        <f t="shared" si="20"/>
        <v>#DIV/0!</v>
      </c>
      <c r="I345" s="2">
        <f t="shared" si="21"/>
        <v>0.37390096630005903</v>
      </c>
      <c r="J345" s="2">
        <f t="shared" si="22"/>
        <v>-2.4739311883324122</v>
      </c>
      <c r="K345">
        <f t="shared" si="23"/>
        <v>0</v>
      </c>
    </row>
    <row r="346" spans="1:11" ht="13.9" x14ac:dyDescent="0.3">
      <c r="A346" s="2" t="s">
        <v>206</v>
      </c>
      <c r="B346" s="2">
        <v>0</v>
      </c>
      <c r="C346" s="2">
        <v>0.21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>
        <f t="shared" si="21"/>
        <v>0.37390096630005903</v>
      </c>
      <c r="J346" s="2">
        <f t="shared" si="22"/>
        <v>-2.2515387669959646</v>
      </c>
      <c r="K346">
        <f t="shared" si="23"/>
        <v>0</v>
      </c>
    </row>
    <row r="347" spans="1:11" ht="13.9" x14ac:dyDescent="0.3">
      <c r="A347" s="2" t="s">
        <v>239</v>
      </c>
      <c r="B347" s="2">
        <v>0</v>
      </c>
      <c r="C347" s="2">
        <v>0.21</v>
      </c>
      <c r="D347" s="2">
        <v>0</v>
      </c>
      <c r="E347" s="2">
        <v>0</v>
      </c>
      <c r="F347" s="2">
        <v>0</v>
      </c>
      <c r="G347" s="2">
        <v>0</v>
      </c>
      <c r="H347" s="2" t="e">
        <f t="shared" si="20"/>
        <v>#DIV/0!</v>
      </c>
      <c r="I347" s="2">
        <f t="shared" si="21"/>
        <v>0.37390096630005903</v>
      </c>
      <c r="J347" s="2">
        <f t="shared" si="22"/>
        <v>-2.2515387669959646</v>
      </c>
      <c r="K347">
        <f t="shared" si="23"/>
        <v>0</v>
      </c>
    </row>
    <row r="348" spans="1:11" ht="13.9" x14ac:dyDescent="0.3">
      <c r="A348" s="2" t="s">
        <v>337</v>
      </c>
      <c r="B348" s="2">
        <v>0</v>
      </c>
      <c r="C348" s="2">
        <v>0.21</v>
      </c>
      <c r="D348" s="2">
        <v>0</v>
      </c>
      <c r="E348" s="2">
        <v>0</v>
      </c>
      <c r="F348" s="2">
        <v>0</v>
      </c>
      <c r="G348" s="2">
        <v>0</v>
      </c>
      <c r="H348" s="2" t="e">
        <f t="shared" si="20"/>
        <v>#DIV/0!</v>
      </c>
      <c r="I348" s="2">
        <f t="shared" si="21"/>
        <v>0.37390096630005903</v>
      </c>
      <c r="J348" s="2">
        <f t="shared" si="22"/>
        <v>-2.2515387669959646</v>
      </c>
      <c r="K348">
        <f t="shared" si="23"/>
        <v>0</v>
      </c>
    </row>
    <row r="349" spans="1:11" ht="13.9" x14ac:dyDescent="0.3">
      <c r="A349" s="2" t="s">
        <v>424</v>
      </c>
      <c r="B349" s="2">
        <v>0</v>
      </c>
      <c r="C349" s="2">
        <v>0.21</v>
      </c>
      <c r="D349" s="2">
        <v>0</v>
      </c>
      <c r="E349" s="2">
        <v>0</v>
      </c>
      <c r="F349" s="2">
        <v>0</v>
      </c>
      <c r="G349" s="2">
        <v>0</v>
      </c>
      <c r="H349" s="2" t="e">
        <f t="shared" si="20"/>
        <v>#DIV/0!</v>
      </c>
      <c r="I349" s="2">
        <f t="shared" si="21"/>
        <v>0.37390096630005903</v>
      </c>
      <c r="J349" s="2">
        <f t="shared" si="22"/>
        <v>-2.2515387669959646</v>
      </c>
      <c r="K349">
        <f t="shared" si="23"/>
        <v>0</v>
      </c>
    </row>
    <row r="350" spans="1:11" ht="13.9" x14ac:dyDescent="0.3">
      <c r="A350" s="2" t="s">
        <v>425</v>
      </c>
      <c r="B350" s="2">
        <v>0</v>
      </c>
      <c r="C350" s="2">
        <v>0.21</v>
      </c>
      <c r="D350" s="2">
        <v>0</v>
      </c>
      <c r="E350" s="2">
        <v>0</v>
      </c>
      <c r="F350" s="2">
        <v>0</v>
      </c>
      <c r="G350" s="2">
        <v>0</v>
      </c>
      <c r="H350" s="2" t="e">
        <f t="shared" si="20"/>
        <v>#DIV/0!</v>
      </c>
      <c r="I350" s="2">
        <f t="shared" si="21"/>
        <v>0.37390096630005903</v>
      </c>
      <c r="J350" s="2">
        <f t="shared" si="22"/>
        <v>-2.2515387669959646</v>
      </c>
      <c r="K350">
        <f t="shared" si="23"/>
        <v>0</v>
      </c>
    </row>
    <row r="351" spans="1:11" ht="13.9" x14ac:dyDescent="0.3">
      <c r="A351" s="2" t="s">
        <v>499</v>
      </c>
      <c r="B351" s="2">
        <v>0</v>
      </c>
      <c r="C351" s="2">
        <v>0.21</v>
      </c>
      <c r="D351" s="2">
        <v>0</v>
      </c>
      <c r="E351" s="2">
        <v>0</v>
      </c>
      <c r="F351" s="2">
        <v>0</v>
      </c>
      <c r="G351" s="2">
        <v>0</v>
      </c>
      <c r="H351" s="2" t="e">
        <f t="shared" si="20"/>
        <v>#DIV/0!</v>
      </c>
      <c r="I351" s="2">
        <f t="shared" si="21"/>
        <v>0.37390096630005903</v>
      </c>
      <c r="J351" s="2">
        <f t="shared" si="22"/>
        <v>-2.2515387669959646</v>
      </c>
      <c r="K351">
        <f t="shared" si="23"/>
        <v>0</v>
      </c>
    </row>
    <row r="352" spans="1:11" ht="13.9" x14ac:dyDescent="0.3">
      <c r="A352" s="2" t="s">
        <v>702</v>
      </c>
      <c r="B352" s="2">
        <v>0</v>
      </c>
      <c r="C352" s="2">
        <v>0.21</v>
      </c>
      <c r="D352" s="2">
        <v>0</v>
      </c>
      <c r="E352" s="2">
        <v>0</v>
      </c>
      <c r="F352" s="2">
        <v>0</v>
      </c>
      <c r="G352" s="2">
        <v>0</v>
      </c>
      <c r="H352" s="2" t="e">
        <f t="shared" si="20"/>
        <v>#DIV/0!</v>
      </c>
      <c r="I352" s="2">
        <f t="shared" si="21"/>
        <v>0.37390096630005903</v>
      </c>
      <c r="J352" s="2">
        <f t="shared" si="22"/>
        <v>-2.2515387669959646</v>
      </c>
      <c r="K352">
        <f t="shared" si="23"/>
        <v>0</v>
      </c>
    </row>
    <row r="353" spans="1:11" ht="13.9" x14ac:dyDescent="0.3">
      <c r="A353" s="2" t="s">
        <v>484</v>
      </c>
      <c r="B353" s="2">
        <v>0.36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 t="e">
        <f t="shared" si="20"/>
        <v>#DIV/0!</v>
      </c>
      <c r="I353" s="2">
        <f t="shared" si="21"/>
        <v>0.37390096630005903</v>
      </c>
      <c r="J353" s="2">
        <f t="shared" si="22"/>
        <v>-1.4739311883324124</v>
      </c>
      <c r="K353">
        <f t="shared" si="23"/>
        <v>0</v>
      </c>
    </row>
    <row r="354" spans="1:11" ht="13.9" x14ac:dyDescent="0.3">
      <c r="A354" s="2" t="s">
        <v>429</v>
      </c>
      <c r="B354" s="2">
        <v>0.18</v>
      </c>
      <c r="C354" s="2">
        <v>0.21</v>
      </c>
      <c r="D354" s="2">
        <v>0</v>
      </c>
      <c r="E354" s="2">
        <v>0</v>
      </c>
      <c r="F354" s="2">
        <v>0</v>
      </c>
      <c r="G354" s="2">
        <v>0</v>
      </c>
      <c r="H354" s="2" t="e">
        <f t="shared" si="20"/>
        <v>#DIV/0!</v>
      </c>
      <c r="I354" s="2">
        <f t="shared" si="21"/>
        <v>0.11846479931931941</v>
      </c>
      <c r="J354" s="2">
        <f t="shared" si="22"/>
        <v>-1.3584539709124763</v>
      </c>
      <c r="K354">
        <f t="shared" si="23"/>
        <v>0</v>
      </c>
    </row>
    <row r="355" spans="1:11" ht="13.9" x14ac:dyDescent="0.3">
      <c r="A355" s="2" t="s">
        <v>46</v>
      </c>
      <c r="B355" s="2">
        <v>0</v>
      </c>
      <c r="C355" s="2">
        <v>0.42</v>
      </c>
      <c r="D355" s="2">
        <v>0</v>
      </c>
      <c r="E355" s="2">
        <v>0</v>
      </c>
      <c r="F355" s="2">
        <v>0</v>
      </c>
      <c r="G355" s="2">
        <v>0</v>
      </c>
      <c r="H355" s="2" t="e">
        <f t="shared" si="20"/>
        <v>#DIV/0!</v>
      </c>
      <c r="I355" s="2">
        <f t="shared" si="21"/>
        <v>0.37390096630005903</v>
      </c>
      <c r="J355" s="2">
        <f t="shared" si="22"/>
        <v>-1.2515387669959643</v>
      </c>
      <c r="K355">
        <f t="shared" si="23"/>
        <v>0</v>
      </c>
    </row>
    <row r="356" spans="1:11" ht="13.9" x14ac:dyDescent="0.3">
      <c r="A356" s="2" t="s">
        <v>194</v>
      </c>
      <c r="B356" s="2">
        <v>0</v>
      </c>
      <c r="C356" s="2">
        <v>0</v>
      </c>
      <c r="D356" s="2">
        <v>0.5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>
        <f t="shared" si="21"/>
        <v>0.37390096630005903</v>
      </c>
      <c r="J356" s="2">
        <f t="shared" si="22"/>
        <v>-1</v>
      </c>
      <c r="K356">
        <f t="shared" si="23"/>
        <v>0</v>
      </c>
    </row>
    <row r="357" spans="1:11" ht="13.9" x14ac:dyDescent="0.3">
      <c r="A357" s="2" t="s">
        <v>309</v>
      </c>
      <c r="B357" s="2">
        <v>0</v>
      </c>
      <c r="C357" s="2">
        <v>0</v>
      </c>
      <c r="D357" s="2">
        <v>0.5</v>
      </c>
      <c r="E357" s="2">
        <v>0</v>
      </c>
      <c r="F357" s="2">
        <v>0</v>
      </c>
      <c r="G357" s="2">
        <v>0</v>
      </c>
      <c r="H357" s="2" t="e">
        <f t="shared" si="20"/>
        <v>#DIV/0!</v>
      </c>
      <c r="I357" s="2">
        <f t="shared" si="21"/>
        <v>0.37390096630005903</v>
      </c>
      <c r="J357" s="2">
        <f t="shared" si="22"/>
        <v>-1</v>
      </c>
      <c r="K357">
        <f t="shared" si="23"/>
        <v>0</v>
      </c>
    </row>
    <row r="358" spans="1:11" ht="13.9" x14ac:dyDescent="0.3">
      <c r="A358" s="2" t="s">
        <v>382</v>
      </c>
      <c r="B358" s="2">
        <v>0</v>
      </c>
      <c r="C358" s="2">
        <v>0</v>
      </c>
      <c r="D358" s="2">
        <v>0.5</v>
      </c>
      <c r="E358" s="2">
        <v>0</v>
      </c>
      <c r="F358" s="2">
        <v>0</v>
      </c>
      <c r="G358" s="2">
        <v>0</v>
      </c>
      <c r="H358" s="2" t="e">
        <f t="shared" si="20"/>
        <v>#DIV/0!</v>
      </c>
      <c r="I358" s="2">
        <f t="shared" si="21"/>
        <v>0.37390096630005903</v>
      </c>
      <c r="J358" s="2">
        <f t="shared" si="22"/>
        <v>-1</v>
      </c>
      <c r="K358">
        <f t="shared" si="23"/>
        <v>0</v>
      </c>
    </row>
    <row r="359" spans="1:11" ht="13.9" x14ac:dyDescent="0.3">
      <c r="A359" s="2" t="s">
        <v>468</v>
      </c>
      <c r="B359" s="2">
        <v>0.72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 t="e">
        <f t="shared" si="20"/>
        <v>#DIV/0!</v>
      </c>
      <c r="I359" s="2">
        <f t="shared" si="21"/>
        <v>0.37390096630005903</v>
      </c>
      <c r="J359" s="2">
        <f t="shared" si="22"/>
        <v>-0.47393118833241243</v>
      </c>
      <c r="K359">
        <f t="shared" si="23"/>
        <v>0</v>
      </c>
    </row>
    <row r="360" spans="1:11" ht="13.9" x14ac:dyDescent="0.3">
      <c r="A360" s="2" t="s">
        <v>649</v>
      </c>
      <c r="B360" s="2">
        <v>0.72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 t="e">
        <f t="shared" si="20"/>
        <v>#DIV/0!</v>
      </c>
      <c r="I360" s="2">
        <f t="shared" si="21"/>
        <v>0.37390096630005903</v>
      </c>
      <c r="J360" s="2">
        <f t="shared" si="22"/>
        <v>-0.47393118833241243</v>
      </c>
      <c r="K360">
        <f t="shared" si="23"/>
        <v>0</v>
      </c>
    </row>
    <row r="361" spans="1:11" ht="13.9" x14ac:dyDescent="0.3">
      <c r="A361" s="2" t="s">
        <v>365</v>
      </c>
      <c r="B361" s="2">
        <v>0.9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 t="e">
        <f t="shared" si="20"/>
        <v>#DIV/0!</v>
      </c>
      <c r="I361" s="2">
        <f t="shared" si="21"/>
        <v>0.37390096630005903</v>
      </c>
      <c r="J361" s="2">
        <f t="shared" si="22"/>
        <v>-0.15200309344504997</v>
      </c>
      <c r="K361">
        <f t="shared" si="23"/>
        <v>0</v>
      </c>
    </row>
    <row r="362" spans="1:11" ht="13.9" x14ac:dyDescent="0.3">
      <c r="A362" s="2" t="s">
        <v>558</v>
      </c>
      <c r="B362" s="2">
        <v>1.62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 t="e">
        <f t="shared" si="20"/>
        <v>#DIV/0!</v>
      </c>
      <c r="I362" s="2">
        <f t="shared" si="21"/>
        <v>0.37390096630005903</v>
      </c>
      <c r="J362" s="2">
        <f t="shared" si="22"/>
        <v>0.69599381310990016</v>
      </c>
      <c r="K362">
        <f t="shared" si="23"/>
        <v>0</v>
      </c>
    </row>
    <row r="363" spans="1:11" ht="13.9" x14ac:dyDescent="0.3">
      <c r="A363" s="2" t="s">
        <v>788</v>
      </c>
      <c r="B363" s="2">
        <v>0</v>
      </c>
      <c r="C363" s="2">
        <v>1.67</v>
      </c>
      <c r="D363" s="2">
        <v>0</v>
      </c>
      <c r="E363" s="2">
        <v>0</v>
      </c>
      <c r="F363" s="2">
        <v>0</v>
      </c>
      <c r="G363" s="2">
        <v>0</v>
      </c>
      <c r="H363" s="2" t="e">
        <f t="shared" si="20"/>
        <v>#DIV/0!</v>
      </c>
      <c r="I363" s="2">
        <f t="shared" si="21"/>
        <v>0.37390096630005903</v>
      </c>
      <c r="J363" s="2">
        <f t="shared" si="22"/>
        <v>0.73984810269932755</v>
      </c>
      <c r="K363">
        <f t="shared" si="23"/>
        <v>0</v>
      </c>
    </row>
    <row r="364" spans="1:11" ht="13.9" x14ac:dyDescent="0.3">
      <c r="A364" s="2" t="s">
        <v>735</v>
      </c>
      <c r="B364" s="2">
        <v>0</v>
      </c>
      <c r="C364" s="2">
        <v>1.88</v>
      </c>
      <c r="D364" s="2">
        <v>0</v>
      </c>
      <c r="E364" s="2">
        <v>0</v>
      </c>
      <c r="F364" s="2">
        <v>0</v>
      </c>
      <c r="G364" s="2">
        <v>0</v>
      </c>
      <c r="H364" s="2" t="e">
        <f t="shared" si="20"/>
        <v>#DIV/0!</v>
      </c>
      <c r="I364" s="2">
        <f t="shared" si="21"/>
        <v>0.37390096630005903</v>
      </c>
      <c r="J364" s="2">
        <f t="shared" si="22"/>
        <v>0.91073266190291258</v>
      </c>
      <c r="K364">
        <f t="shared" si="23"/>
        <v>0</v>
      </c>
    </row>
    <row r="365" spans="1:11" ht="13.9" x14ac:dyDescent="0.3">
      <c r="A365" s="2" t="s">
        <v>191</v>
      </c>
      <c r="B365" s="2">
        <v>0</v>
      </c>
      <c r="C365" s="2">
        <v>2.09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>
        <f t="shared" si="21"/>
        <v>0.37390096630005903</v>
      </c>
      <c r="J365" s="2">
        <f t="shared" si="22"/>
        <v>1.0635029423061579</v>
      </c>
      <c r="K365">
        <f t="shared" si="23"/>
        <v>0</v>
      </c>
    </row>
    <row r="366" spans="1:11" ht="13.9" x14ac:dyDescent="0.3">
      <c r="A366" s="2" t="s">
        <v>198</v>
      </c>
      <c r="B366" s="2">
        <v>0</v>
      </c>
      <c r="C366" s="2">
        <v>2.2999999999999998</v>
      </c>
      <c r="D366" s="2">
        <v>0</v>
      </c>
      <c r="E366" s="2">
        <v>0</v>
      </c>
      <c r="F366" s="2">
        <v>0</v>
      </c>
      <c r="G366" s="2">
        <v>0</v>
      </c>
      <c r="H366" s="2" t="e">
        <f t="shared" si="20"/>
        <v>#DIV/0!</v>
      </c>
      <c r="I366" s="2">
        <f t="shared" si="21"/>
        <v>0.37390096630005903</v>
      </c>
      <c r="J366" s="2">
        <f t="shared" si="22"/>
        <v>1.2016338611696504</v>
      </c>
      <c r="K366">
        <f t="shared" si="23"/>
        <v>0</v>
      </c>
    </row>
    <row r="367" spans="1:11" ht="13.9" x14ac:dyDescent="0.3">
      <c r="A367" s="2" t="s">
        <v>583</v>
      </c>
      <c r="B367" s="2">
        <v>3.05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 t="e">
        <f t="shared" si="20"/>
        <v>#DIV/0!</v>
      </c>
      <c r="I367" s="2">
        <f t="shared" si="21"/>
        <v>0.37390096630005903</v>
      </c>
      <c r="J367" s="2">
        <f t="shared" si="22"/>
        <v>1.6088092426755241</v>
      </c>
      <c r="K367">
        <f t="shared" si="23"/>
        <v>0</v>
      </c>
    </row>
    <row r="368" spans="1:11" ht="13.9" x14ac:dyDescent="0.3">
      <c r="A368" s="2" t="s">
        <v>579</v>
      </c>
      <c r="B368" s="2">
        <v>3.23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 t="e">
        <f t="shared" si="20"/>
        <v>#DIV/0!</v>
      </c>
      <c r="I368" s="2">
        <f t="shared" si="21"/>
        <v>0.37390096630005903</v>
      </c>
      <c r="J368" s="2">
        <f t="shared" si="22"/>
        <v>1.6915341649192002</v>
      </c>
      <c r="K368">
        <f t="shared" si="23"/>
        <v>0</v>
      </c>
    </row>
    <row r="369" spans="1:11" ht="13.9" x14ac:dyDescent="0.3">
      <c r="A369" s="2" t="s">
        <v>490</v>
      </c>
      <c r="B369" s="2">
        <v>0</v>
      </c>
      <c r="C369" s="2">
        <v>0</v>
      </c>
      <c r="D369" s="2">
        <v>3.52</v>
      </c>
      <c r="E369" s="2">
        <v>0</v>
      </c>
      <c r="F369" s="2">
        <v>0</v>
      </c>
      <c r="G369" s="2">
        <v>0</v>
      </c>
      <c r="H369" s="2" t="e">
        <f t="shared" si="20"/>
        <v>#DIV/0!</v>
      </c>
      <c r="I369" s="2">
        <f t="shared" si="21"/>
        <v>0.37390096630005903</v>
      </c>
      <c r="J369" s="2">
        <f t="shared" si="22"/>
        <v>1.8155754288625725</v>
      </c>
      <c r="K369">
        <f t="shared" si="23"/>
        <v>0</v>
      </c>
    </row>
    <row r="370" spans="1:11" ht="13.9" x14ac:dyDescent="0.3">
      <c r="A370" s="2" t="s">
        <v>773</v>
      </c>
      <c r="B370" s="2">
        <v>0</v>
      </c>
      <c r="C370" s="2">
        <v>3.98</v>
      </c>
      <c r="D370" s="2">
        <v>0</v>
      </c>
      <c r="E370" s="2">
        <v>0</v>
      </c>
      <c r="F370" s="2">
        <v>0</v>
      </c>
      <c r="G370" s="2">
        <v>0</v>
      </c>
      <c r="H370" s="2" t="e">
        <f t="shared" si="20"/>
        <v>#DIV/0!</v>
      </c>
      <c r="I370" s="2">
        <f t="shared" si="21"/>
        <v>0.37390096630005903</v>
      </c>
      <c r="J370" s="2">
        <f t="shared" si="22"/>
        <v>1.9927684307689242</v>
      </c>
      <c r="K370">
        <f t="shared" si="23"/>
        <v>0</v>
      </c>
    </row>
    <row r="371" spans="1:11" ht="13.9" x14ac:dyDescent="0.3">
      <c r="A371" s="2" t="s">
        <v>620</v>
      </c>
      <c r="B371" s="2">
        <v>0</v>
      </c>
      <c r="C371" s="2">
        <v>4.1900000000000004</v>
      </c>
      <c r="D371" s="2">
        <v>0</v>
      </c>
      <c r="E371" s="2">
        <v>0</v>
      </c>
      <c r="F371" s="2">
        <v>0</v>
      </c>
      <c r="G371" s="2">
        <v>0</v>
      </c>
      <c r="H371" s="2" t="e">
        <f t="shared" si="20"/>
        <v>#DIV/0!</v>
      </c>
      <c r="I371" s="2">
        <f t="shared" si="21"/>
        <v>0.37390096630005903</v>
      </c>
      <c r="J371" s="2">
        <f t="shared" si="22"/>
        <v>2.066950243924627</v>
      </c>
      <c r="K371">
        <f t="shared" si="23"/>
        <v>0</v>
      </c>
    </row>
    <row r="372" spans="1:11" ht="13.9" x14ac:dyDescent="0.3">
      <c r="A372" s="2" t="s">
        <v>533</v>
      </c>
      <c r="B372" s="2">
        <v>4.49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 t="e">
        <f t="shared" si="20"/>
        <v>#DIV/0!</v>
      </c>
      <c r="I372" s="2">
        <f t="shared" si="21"/>
        <v>0.37390096630005903</v>
      </c>
      <c r="J372" s="2">
        <f t="shared" si="22"/>
        <v>2.1667154449664223</v>
      </c>
      <c r="K372">
        <f t="shared" si="23"/>
        <v>0</v>
      </c>
    </row>
    <row r="373" spans="1:11" ht="13.9" x14ac:dyDescent="0.3">
      <c r="A373" s="2" t="s">
        <v>180</v>
      </c>
      <c r="B373" s="2">
        <v>0</v>
      </c>
      <c r="C373" s="2">
        <v>5.44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20"/>
        <v>#DIV/0!</v>
      </c>
      <c r="I373" s="2">
        <f t="shared" si="21"/>
        <v>0.37390096630005903</v>
      </c>
      <c r="J373" s="2">
        <f t="shared" si="22"/>
        <v>2.4436066514756147</v>
      </c>
      <c r="K373">
        <f t="shared" si="23"/>
        <v>0</v>
      </c>
    </row>
    <row r="374" spans="1:11" ht="13.9" x14ac:dyDescent="0.3">
      <c r="A374" s="2" t="s">
        <v>555</v>
      </c>
      <c r="B374" s="2">
        <v>0</v>
      </c>
      <c r="C374" s="2">
        <v>0</v>
      </c>
      <c r="D374" s="2">
        <v>6.03</v>
      </c>
      <c r="E374" s="2">
        <v>0</v>
      </c>
      <c r="F374" s="2">
        <v>0</v>
      </c>
      <c r="G374" s="2">
        <v>0</v>
      </c>
      <c r="H374" s="2" t="e">
        <f t="shared" si="20"/>
        <v>#DIV/0!</v>
      </c>
      <c r="I374" s="2">
        <f t="shared" si="21"/>
        <v>0.37390096630005903</v>
      </c>
      <c r="J374" s="2">
        <f t="shared" si="22"/>
        <v>2.5921580021253603</v>
      </c>
      <c r="K374">
        <f t="shared" si="23"/>
        <v>0</v>
      </c>
    </row>
    <row r="375" spans="1:11" ht="13.9" x14ac:dyDescent="0.3">
      <c r="A375" s="2" t="s">
        <v>590</v>
      </c>
      <c r="B375" s="2">
        <v>1.26</v>
      </c>
      <c r="C375" s="2">
        <v>4.8099999999999996</v>
      </c>
      <c r="D375" s="2">
        <v>0</v>
      </c>
      <c r="E375" s="2">
        <v>0</v>
      </c>
      <c r="F375" s="2">
        <v>0</v>
      </c>
      <c r="G375" s="2">
        <v>0</v>
      </c>
      <c r="H375" s="2" t="e">
        <f t="shared" si="20"/>
        <v>#DIV/0!</v>
      </c>
      <c r="I375" s="2">
        <f t="shared" si="21"/>
        <v>0.23270268411330711</v>
      </c>
      <c r="J375" s="2">
        <f t="shared" si="22"/>
        <v>2.6016965164809571</v>
      </c>
      <c r="K375">
        <f t="shared" si="23"/>
        <v>0</v>
      </c>
    </row>
    <row r="376" spans="1:11" ht="13.9" x14ac:dyDescent="0.3">
      <c r="A376" s="2" t="s">
        <v>353</v>
      </c>
      <c r="B376" s="2">
        <v>7.01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 t="e">
        <f t="shared" si="20"/>
        <v>#DIV/0!</v>
      </c>
      <c r="I376" s="2">
        <f t="shared" si="21"/>
        <v>0.37390096630005903</v>
      </c>
      <c r="J376" s="2">
        <f t="shared" si="22"/>
        <v>2.8094144442358986</v>
      </c>
      <c r="K376">
        <f t="shared" si="23"/>
        <v>0</v>
      </c>
    </row>
    <row r="377" spans="1:11" ht="13.9" x14ac:dyDescent="0.3">
      <c r="A377" s="2" t="s">
        <v>452</v>
      </c>
      <c r="B377" s="2">
        <v>0</v>
      </c>
      <c r="C377" s="2">
        <v>7.53</v>
      </c>
      <c r="D377" s="2">
        <v>0</v>
      </c>
      <c r="E377" s="2">
        <v>0</v>
      </c>
      <c r="F377" s="2">
        <v>0</v>
      </c>
      <c r="G377" s="2">
        <v>0</v>
      </c>
      <c r="H377" s="2" t="e">
        <f t="shared" si="20"/>
        <v>#DIV/0!</v>
      </c>
      <c r="I377" s="2">
        <f t="shared" si="21"/>
        <v>0.37390096630005903</v>
      </c>
      <c r="J377" s="2">
        <f t="shared" si="22"/>
        <v>2.9126498648972032</v>
      </c>
      <c r="K377">
        <f t="shared" si="23"/>
        <v>0</v>
      </c>
    </row>
    <row r="378" spans="1:11" ht="13.9" x14ac:dyDescent="0.3">
      <c r="A378" s="2" t="s">
        <v>609</v>
      </c>
      <c r="B378" s="2">
        <v>0</v>
      </c>
      <c r="C378" s="2">
        <v>7.53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20"/>
        <v>#DIV/0!</v>
      </c>
      <c r="I378" s="2">
        <f t="shared" si="21"/>
        <v>0.37390096630005903</v>
      </c>
      <c r="J378" s="2">
        <f t="shared" si="22"/>
        <v>2.9126498648972032</v>
      </c>
      <c r="K378">
        <f t="shared" si="23"/>
        <v>0</v>
      </c>
    </row>
    <row r="379" spans="1:11" ht="13.9" x14ac:dyDescent="0.3">
      <c r="A379" s="2" t="s">
        <v>712</v>
      </c>
      <c r="B379" s="2">
        <v>9.52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 t="e">
        <f t="shared" si="20"/>
        <v>#DIV/0!</v>
      </c>
      <c r="I379" s="2">
        <f t="shared" si="21"/>
        <v>0.37390096630005903</v>
      </c>
      <c r="J379" s="2">
        <f t="shared" si="22"/>
        <v>3.2509615735332189</v>
      </c>
      <c r="K379">
        <f t="shared" si="23"/>
        <v>0</v>
      </c>
    </row>
    <row r="380" spans="1:11" ht="13.9" x14ac:dyDescent="0.3">
      <c r="A380" s="2" t="s">
        <v>749</v>
      </c>
      <c r="B380" s="2">
        <v>9.6999999999999993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>
        <f t="shared" si="21"/>
        <v>0.37390096630005903</v>
      </c>
      <c r="J380" s="2">
        <f t="shared" si="22"/>
        <v>3.2779847472997652</v>
      </c>
      <c r="K380">
        <f t="shared" si="23"/>
        <v>0</v>
      </c>
    </row>
    <row r="381" spans="1:11" ht="13.9" x14ac:dyDescent="0.3">
      <c r="A381" s="2" t="s">
        <v>460</v>
      </c>
      <c r="B381" s="2">
        <v>10.06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 t="e">
        <f t="shared" si="20"/>
        <v>#DIV/0!</v>
      </c>
      <c r="I381" s="2">
        <f t="shared" si="21"/>
        <v>0.37390096630005903</v>
      </c>
      <c r="J381" s="2">
        <f t="shared" si="22"/>
        <v>3.3305584000308026</v>
      </c>
      <c r="K381">
        <f t="shared" si="23"/>
        <v>0</v>
      </c>
    </row>
    <row r="382" spans="1:11" ht="13.9" x14ac:dyDescent="0.3">
      <c r="A382" s="2" t="s">
        <v>502</v>
      </c>
      <c r="B382" s="2">
        <v>10.24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20"/>
        <v>#DIV/0!</v>
      </c>
      <c r="I382" s="2">
        <f t="shared" si="21"/>
        <v>0.37390096630005903</v>
      </c>
      <c r="J382" s="2">
        <f t="shared" si="22"/>
        <v>3.3561438102252756</v>
      </c>
      <c r="K382">
        <f t="shared" si="23"/>
        <v>0</v>
      </c>
    </row>
    <row r="383" spans="1:11" ht="13.9" x14ac:dyDescent="0.3">
      <c r="A383" s="2" t="s">
        <v>59</v>
      </c>
      <c r="B383" s="2">
        <v>11.14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 t="e">
        <f t="shared" si="20"/>
        <v>#DIV/0!</v>
      </c>
      <c r="I383" s="2">
        <f t="shared" si="21"/>
        <v>0.37390096630005903</v>
      </c>
      <c r="J383" s="2">
        <f t="shared" si="22"/>
        <v>3.4776773275653072</v>
      </c>
      <c r="K383">
        <f t="shared" si="23"/>
        <v>0</v>
      </c>
    </row>
    <row r="384" spans="1:11" ht="13.9" x14ac:dyDescent="0.3">
      <c r="A384" s="2" t="s">
        <v>63</v>
      </c>
      <c r="B384" s="2">
        <v>0</v>
      </c>
      <c r="C384" s="2">
        <v>0</v>
      </c>
      <c r="D384" s="2">
        <v>12.57</v>
      </c>
      <c r="E384" s="2">
        <v>0</v>
      </c>
      <c r="F384" s="2">
        <v>0</v>
      </c>
      <c r="G384" s="2">
        <v>0</v>
      </c>
      <c r="H384" s="2" t="e">
        <f t="shared" si="20"/>
        <v>#DIV/0!</v>
      </c>
      <c r="I384" s="2">
        <f t="shared" si="21"/>
        <v>0.37390096630005903</v>
      </c>
      <c r="J384" s="2">
        <f t="shared" si="22"/>
        <v>3.6519127446457831</v>
      </c>
      <c r="K384">
        <f t="shared" si="23"/>
        <v>0</v>
      </c>
    </row>
    <row r="385" spans="1:11" ht="13.9" x14ac:dyDescent="0.3">
      <c r="A385" s="2" t="s">
        <v>285</v>
      </c>
      <c r="B385" s="2">
        <v>9.6999999999999993</v>
      </c>
      <c r="C385" s="2">
        <v>6.49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20"/>
        <v>#DIV/0!</v>
      </c>
      <c r="I385" s="2">
        <f t="shared" si="21"/>
        <v>0.13151224217957475</v>
      </c>
      <c r="J385" s="2">
        <f t="shared" si="22"/>
        <v>4.0170310805278415</v>
      </c>
      <c r="K385">
        <f t="shared" si="23"/>
        <v>0</v>
      </c>
    </row>
    <row r="386" spans="1:11" ht="13.9" x14ac:dyDescent="0.3">
      <c r="A386" s="2" t="s">
        <v>525</v>
      </c>
      <c r="B386" s="2">
        <v>0</v>
      </c>
      <c r="C386" s="2">
        <v>0</v>
      </c>
      <c r="D386" s="2">
        <v>24.13</v>
      </c>
      <c r="E386" s="2">
        <v>0</v>
      </c>
      <c r="F386" s="2">
        <v>0</v>
      </c>
      <c r="G386" s="2">
        <v>0</v>
      </c>
      <c r="H386" s="2" t="e">
        <f t="shared" ref="H386:H449" si="24">LOG(SUM(B386:D386)/SUM(E386:G386),2)</f>
        <v>#DIV/0!</v>
      </c>
      <c r="I386" s="2">
        <f t="shared" ref="I386:I449" si="25">_xlfn.T.TEST(B386:D386,E386:G386,2,2)</f>
        <v>0.37390096630005903</v>
      </c>
      <c r="J386" s="2">
        <f t="shared" ref="J386:J449" si="26">LOG(SUM(B386:D386),2)</f>
        <v>4.5927560104410272</v>
      </c>
      <c r="K386">
        <f t="shared" ref="K386:K449" si="27">AVERAGE(E386:G386)</f>
        <v>0</v>
      </c>
    </row>
    <row r="387" spans="1:11" ht="13.9" x14ac:dyDescent="0.3">
      <c r="A387" s="2" t="s">
        <v>174</v>
      </c>
      <c r="B387" s="2">
        <v>0</v>
      </c>
      <c r="C387" s="2">
        <v>0</v>
      </c>
      <c r="D387" s="2">
        <v>30.67</v>
      </c>
      <c r="E387" s="2">
        <v>0</v>
      </c>
      <c r="F387" s="2">
        <v>0</v>
      </c>
      <c r="G387" s="2">
        <v>0</v>
      </c>
      <c r="H387" s="2" t="e">
        <f t="shared" si="24"/>
        <v>#DIV/0!</v>
      </c>
      <c r="I387" s="2">
        <f t="shared" si="25"/>
        <v>0.37390096630005903</v>
      </c>
      <c r="J387" s="2">
        <f t="shared" si="26"/>
        <v>4.9387562614922951</v>
      </c>
      <c r="K387">
        <f t="shared" si="27"/>
        <v>0</v>
      </c>
    </row>
    <row r="388" spans="1:11" ht="13.9" x14ac:dyDescent="0.3">
      <c r="A388" s="2" t="s">
        <v>778</v>
      </c>
      <c r="B388" s="2">
        <v>0</v>
      </c>
      <c r="C388" s="2">
        <v>8.3699999999999992</v>
      </c>
      <c r="D388" s="2">
        <v>28.66</v>
      </c>
      <c r="E388" s="2">
        <v>0</v>
      </c>
      <c r="F388" s="2">
        <v>0</v>
      </c>
      <c r="G388" s="2">
        <v>0</v>
      </c>
      <c r="H388" s="2" t="e">
        <f t="shared" si="24"/>
        <v>#DIV/0!</v>
      </c>
      <c r="I388" s="2">
        <f t="shared" si="25"/>
        <v>0.22048371573700468</v>
      </c>
      <c r="J388" s="2">
        <f t="shared" si="26"/>
        <v>5.2106226443969055</v>
      </c>
      <c r="K388">
        <f t="shared" si="27"/>
        <v>0</v>
      </c>
    </row>
    <row r="389" spans="1:11" ht="13.9" x14ac:dyDescent="0.3">
      <c r="A389" s="6" t="s">
        <v>910</v>
      </c>
      <c r="B389" s="6">
        <v>42.58</v>
      </c>
      <c r="C389" s="6">
        <v>42.27</v>
      </c>
      <c r="D389" s="6">
        <v>125.18</v>
      </c>
      <c r="E389" s="6">
        <v>0</v>
      </c>
      <c r="F389" s="6">
        <v>0</v>
      </c>
      <c r="G389" s="6">
        <v>0</v>
      </c>
      <c r="H389" s="6" t="e">
        <f t="shared" si="24"/>
        <v>#DIV/0!</v>
      </c>
      <c r="I389" s="6">
        <f t="shared" si="25"/>
        <v>6.4119706422422124E-2</v>
      </c>
      <c r="J389" s="2">
        <f t="shared" si="26"/>
        <v>7.7144516022377019</v>
      </c>
      <c r="K389">
        <f t="shared" si="27"/>
        <v>0</v>
      </c>
    </row>
    <row r="390" spans="1:11" ht="13.9" x14ac:dyDescent="0.3">
      <c r="A390" s="2" t="s">
        <v>26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 t="e">
        <f t="shared" si="24"/>
        <v>#DIV/0!</v>
      </c>
      <c r="I390" s="2" t="e">
        <f t="shared" si="25"/>
        <v>#DIV/0!</v>
      </c>
      <c r="J390" s="2" t="e">
        <f t="shared" si="26"/>
        <v>#NUM!</v>
      </c>
      <c r="K390">
        <f t="shared" si="27"/>
        <v>0</v>
      </c>
    </row>
    <row r="391" spans="1:11" ht="13.9" x14ac:dyDescent="0.3">
      <c r="A391" s="2" t="s">
        <v>35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24"/>
        <v>#DIV/0!</v>
      </c>
      <c r="I391" s="2" t="e">
        <f t="shared" si="25"/>
        <v>#DIV/0!</v>
      </c>
      <c r="J391" s="2" t="e">
        <f t="shared" si="26"/>
        <v>#NUM!</v>
      </c>
      <c r="K391">
        <f t="shared" si="27"/>
        <v>0</v>
      </c>
    </row>
    <row r="392" spans="1:11" ht="13.9" x14ac:dyDescent="0.3">
      <c r="A392" s="2" t="s">
        <v>37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 t="e">
        <f t="shared" si="24"/>
        <v>#DIV/0!</v>
      </c>
      <c r="I392" s="2" t="e">
        <f t="shared" si="25"/>
        <v>#DIV/0!</v>
      </c>
      <c r="J392" s="2" t="e">
        <f t="shared" si="26"/>
        <v>#NUM!</v>
      </c>
      <c r="K392">
        <f t="shared" si="27"/>
        <v>0</v>
      </c>
    </row>
    <row r="393" spans="1:11" ht="13.9" x14ac:dyDescent="0.3">
      <c r="A393" s="2" t="s">
        <v>38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24"/>
        <v>#DIV/0!</v>
      </c>
      <c r="I393" s="2" t="e">
        <f t="shared" si="25"/>
        <v>#DIV/0!</v>
      </c>
      <c r="J393" s="2" t="e">
        <f t="shared" si="26"/>
        <v>#NUM!</v>
      </c>
      <c r="K393">
        <f t="shared" si="27"/>
        <v>0</v>
      </c>
    </row>
    <row r="394" spans="1:11" ht="13.9" x14ac:dyDescent="0.3">
      <c r="A394" s="2" t="s">
        <v>41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 t="e">
        <f t="shared" si="24"/>
        <v>#DIV/0!</v>
      </c>
      <c r="I394" s="2" t="e">
        <f t="shared" si="25"/>
        <v>#DIV/0!</v>
      </c>
      <c r="J394" s="2" t="e">
        <f t="shared" si="26"/>
        <v>#NUM!</v>
      </c>
      <c r="K394">
        <f t="shared" si="27"/>
        <v>0</v>
      </c>
    </row>
    <row r="395" spans="1:11" ht="13.9" x14ac:dyDescent="0.3">
      <c r="A395" s="2" t="s">
        <v>45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J395" s="2" t="e">
        <f t="shared" si="26"/>
        <v>#NUM!</v>
      </c>
      <c r="K395">
        <f t="shared" si="27"/>
        <v>0</v>
      </c>
    </row>
    <row r="396" spans="1:11" ht="13.9" x14ac:dyDescent="0.3">
      <c r="A396" s="2" t="s">
        <v>51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24"/>
        <v>#DIV/0!</v>
      </c>
      <c r="I396" s="2" t="e">
        <f t="shared" si="25"/>
        <v>#DIV/0!</v>
      </c>
      <c r="J396" s="2" t="e">
        <f t="shared" si="26"/>
        <v>#NUM!</v>
      </c>
      <c r="K396">
        <f t="shared" si="27"/>
        <v>0</v>
      </c>
    </row>
    <row r="397" spans="1:11" ht="13.9" x14ac:dyDescent="0.3">
      <c r="A397" s="2" t="s">
        <v>52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J397" s="2" t="e">
        <f t="shared" si="26"/>
        <v>#NUM!</v>
      </c>
      <c r="K397">
        <f t="shared" si="27"/>
        <v>0</v>
      </c>
    </row>
    <row r="398" spans="1:11" ht="13.9" x14ac:dyDescent="0.3">
      <c r="A398" s="2" t="s">
        <v>60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J398" s="2" t="e">
        <f t="shared" si="26"/>
        <v>#NUM!</v>
      </c>
      <c r="K398">
        <f t="shared" si="27"/>
        <v>0</v>
      </c>
    </row>
    <row r="399" spans="1:11" ht="13.9" x14ac:dyDescent="0.3">
      <c r="A399" s="2" t="s">
        <v>64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 t="e">
        <f t="shared" si="24"/>
        <v>#DIV/0!</v>
      </c>
      <c r="I399" s="2" t="e">
        <f t="shared" si="25"/>
        <v>#DIV/0!</v>
      </c>
      <c r="J399" s="2" t="e">
        <f t="shared" si="26"/>
        <v>#NUM!</v>
      </c>
      <c r="K399">
        <f t="shared" si="27"/>
        <v>0</v>
      </c>
    </row>
    <row r="400" spans="1:11" ht="13.9" x14ac:dyDescent="0.3">
      <c r="A400" s="2" t="s">
        <v>65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 t="e">
        <f t="shared" si="24"/>
        <v>#DIV/0!</v>
      </c>
      <c r="I400" s="2" t="e">
        <f t="shared" si="25"/>
        <v>#DIV/0!</v>
      </c>
      <c r="J400" s="2" t="e">
        <f t="shared" si="26"/>
        <v>#NUM!</v>
      </c>
      <c r="K400">
        <f t="shared" si="27"/>
        <v>0</v>
      </c>
    </row>
    <row r="401" spans="1:11" ht="13.9" x14ac:dyDescent="0.3">
      <c r="A401" s="2" t="s">
        <v>71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24"/>
        <v>#DIV/0!</v>
      </c>
      <c r="I401" s="2" t="e">
        <f t="shared" si="25"/>
        <v>#DIV/0!</v>
      </c>
      <c r="J401" s="2" t="e">
        <f t="shared" si="26"/>
        <v>#NUM!</v>
      </c>
      <c r="K401">
        <f t="shared" si="27"/>
        <v>0</v>
      </c>
    </row>
    <row r="402" spans="1:11" ht="13.9" x14ac:dyDescent="0.3">
      <c r="A402" s="2" t="s">
        <v>75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 t="e">
        <f t="shared" si="24"/>
        <v>#DIV/0!</v>
      </c>
      <c r="I402" s="2" t="e">
        <f t="shared" si="25"/>
        <v>#DIV/0!</v>
      </c>
      <c r="J402" s="2" t="e">
        <f t="shared" si="26"/>
        <v>#NUM!</v>
      </c>
      <c r="K402">
        <f t="shared" si="27"/>
        <v>0</v>
      </c>
    </row>
    <row r="403" spans="1:11" ht="13.9" x14ac:dyDescent="0.3">
      <c r="A403" s="2" t="s">
        <v>82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24"/>
        <v>#DIV/0!</v>
      </c>
      <c r="I403" s="2" t="e">
        <f t="shared" si="25"/>
        <v>#DIV/0!</v>
      </c>
      <c r="J403" s="2" t="e">
        <f t="shared" si="26"/>
        <v>#NUM!</v>
      </c>
      <c r="K403">
        <f t="shared" si="27"/>
        <v>0</v>
      </c>
    </row>
    <row r="404" spans="1:11" ht="13.9" x14ac:dyDescent="0.3">
      <c r="A404" s="2" t="s">
        <v>91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 t="e">
        <f t="shared" si="24"/>
        <v>#DIV/0!</v>
      </c>
      <c r="I404" s="2" t="e">
        <f t="shared" si="25"/>
        <v>#DIV/0!</v>
      </c>
      <c r="J404" s="2" t="e">
        <f t="shared" si="26"/>
        <v>#NUM!</v>
      </c>
      <c r="K404">
        <f t="shared" si="27"/>
        <v>0</v>
      </c>
    </row>
    <row r="405" spans="1:11" ht="13.9" x14ac:dyDescent="0.3">
      <c r="A405" s="2" t="s">
        <v>96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 t="e">
        <f t="shared" si="24"/>
        <v>#DIV/0!</v>
      </c>
      <c r="I405" s="2" t="e">
        <f t="shared" si="25"/>
        <v>#DIV/0!</v>
      </c>
      <c r="J405" s="2" t="e">
        <f t="shared" si="26"/>
        <v>#NUM!</v>
      </c>
      <c r="K405">
        <f t="shared" si="27"/>
        <v>0</v>
      </c>
    </row>
    <row r="406" spans="1:11" ht="13.9" x14ac:dyDescent="0.3">
      <c r="A406" s="2" t="s">
        <v>100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 t="e">
        <f t="shared" si="25"/>
        <v>#DIV/0!</v>
      </c>
      <c r="J406" s="2" t="e">
        <f t="shared" si="26"/>
        <v>#NUM!</v>
      </c>
      <c r="K406">
        <f t="shared" si="27"/>
        <v>0</v>
      </c>
    </row>
    <row r="407" spans="1:11" ht="13.9" x14ac:dyDescent="0.3">
      <c r="A407" s="2" t="s">
        <v>103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J407" s="2" t="e">
        <f t="shared" si="26"/>
        <v>#NUM!</v>
      </c>
      <c r="K407">
        <f t="shared" si="27"/>
        <v>0</v>
      </c>
    </row>
    <row r="408" spans="1:11" ht="13.9" x14ac:dyDescent="0.3">
      <c r="A408" s="2" t="s">
        <v>106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24"/>
        <v>#DIV/0!</v>
      </c>
      <c r="I408" s="2" t="e">
        <f t="shared" si="25"/>
        <v>#DIV/0!</v>
      </c>
      <c r="J408" s="2" t="e">
        <f t="shared" si="26"/>
        <v>#NUM!</v>
      </c>
      <c r="K408">
        <f t="shared" si="27"/>
        <v>0</v>
      </c>
    </row>
    <row r="409" spans="1:11" ht="13.9" x14ac:dyDescent="0.3">
      <c r="A409" s="2" t="s">
        <v>107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J409" s="2" t="e">
        <f t="shared" si="26"/>
        <v>#NUM!</v>
      </c>
      <c r="K409">
        <f t="shared" si="27"/>
        <v>0</v>
      </c>
    </row>
    <row r="410" spans="1:11" ht="13.9" x14ac:dyDescent="0.3">
      <c r="A410" s="2" t="s">
        <v>110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J410" s="2" t="e">
        <f t="shared" si="26"/>
        <v>#NUM!</v>
      </c>
      <c r="K410">
        <f t="shared" si="27"/>
        <v>0</v>
      </c>
    </row>
    <row r="411" spans="1:11" ht="13.9" x14ac:dyDescent="0.3">
      <c r="A411" s="2" t="s">
        <v>112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J411" s="2" t="e">
        <f t="shared" si="26"/>
        <v>#NUM!</v>
      </c>
      <c r="K411">
        <f t="shared" si="27"/>
        <v>0</v>
      </c>
    </row>
    <row r="412" spans="1:11" ht="13.9" x14ac:dyDescent="0.3">
      <c r="A412" s="2" t="s">
        <v>124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J412" s="2" t="e">
        <f t="shared" si="26"/>
        <v>#NUM!</v>
      </c>
      <c r="K412">
        <f t="shared" si="27"/>
        <v>0</v>
      </c>
    </row>
    <row r="413" spans="1:11" ht="13.9" x14ac:dyDescent="0.3">
      <c r="A413" s="2" t="s">
        <v>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24"/>
        <v>#DIV/0!</v>
      </c>
      <c r="I413" s="2" t="e">
        <f t="shared" si="25"/>
        <v>#DIV/0!</v>
      </c>
      <c r="J413" s="2" t="e">
        <f t="shared" si="26"/>
        <v>#NUM!</v>
      </c>
      <c r="K413">
        <f t="shared" si="27"/>
        <v>0</v>
      </c>
    </row>
    <row r="414" spans="1:11" ht="13.9" x14ac:dyDescent="0.3">
      <c r="A414" s="2" t="s">
        <v>130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24"/>
        <v>#DIV/0!</v>
      </c>
      <c r="I414" s="2" t="e">
        <f t="shared" si="25"/>
        <v>#DIV/0!</v>
      </c>
      <c r="J414" s="2" t="e">
        <f t="shared" si="26"/>
        <v>#NUM!</v>
      </c>
      <c r="K414">
        <f t="shared" si="27"/>
        <v>0</v>
      </c>
    </row>
    <row r="415" spans="1:11" ht="13.9" x14ac:dyDescent="0.3">
      <c r="A415" s="2" t="s">
        <v>131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 t="e">
        <f t="shared" si="24"/>
        <v>#DIV/0!</v>
      </c>
      <c r="I415" s="2" t="e">
        <f t="shared" si="25"/>
        <v>#DIV/0!</v>
      </c>
      <c r="J415" s="2" t="e">
        <f t="shared" si="26"/>
        <v>#NUM!</v>
      </c>
      <c r="K415">
        <f t="shared" si="27"/>
        <v>0</v>
      </c>
    </row>
    <row r="416" spans="1:11" ht="13.9" x14ac:dyDescent="0.3">
      <c r="A416" s="2" t="s">
        <v>146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 t="e">
        <f t="shared" si="24"/>
        <v>#DIV/0!</v>
      </c>
      <c r="I416" s="2" t="e">
        <f t="shared" si="25"/>
        <v>#DIV/0!</v>
      </c>
      <c r="J416" s="2" t="e">
        <f t="shared" si="26"/>
        <v>#NUM!</v>
      </c>
      <c r="K416">
        <f t="shared" si="27"/>
        <v>0</v>
      </c>
    </row>
    <row r="417" spans="1:11" ht="13.9" x14ac:dyDescent="0.3">
      <c r="A417" s="2" t="s">
        <v>150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 t="e">
        <f t="shared" si="24"/>
        <v>#DIV/0!</v>
      </c>
      <c r="I417" s="2" t="e">
        <f t="shared" si="25"/>
        <v>#DIV/0!</v>
      </c>
      <c r="J417" s="2" t="e">
        <f t="shared" si="26"/>
        <v>#NUM!</v>
      </c>
      <c r="K417">
        <f t="shared" si="27"/>
        <v>0</v>
      </c>
    </row>
    <row r="418" spans="1:11" ht="13.9" x14ac:dyDescent="0.3">
      <c r="A418" s="2" t="s">
        <v>161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 t="e">
        <f t="shared" si="24"/>
        <v>#DIV/0!</v>
      </c>
      <c r="I418" s="2" t="e">
        <f t="shared" si="25"/>
        <v>#DIV/0!</v>
      </c>
      <c r="J418" s="2" t="e">
        <f t="shared" si="26"/>
        <v>#NUM!</v>
      </c>
      <c r="K418">
        <f t="shared" si="27"/>
        <v>0</v>
      </c>
    </row>
    <row r="419" spans="1:11" ht="13.9" x14ac:dyDescent="0.3">
      <c r="A419" s="2" t="s">
        <v>162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J419" s="2" t="e">
        <f t="shared" si="26"/>
        <v>#NUM!</v>
      </c>
      <c r="K419">
        <f t="shared" si="27"/>
        <v>0</v>
      </c>
    </row>
    <row r="420" spans="1:11" ht="13.9" x14ac:dyDescent="0.3">
      <c r="A420" s="2" t="s">
        <v>163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 t="e">
        <f t="shared" si="24"/>
        <v>#DIV/0!</v>
      </c>
      <c r="I420" s="2" t="e">
        <f t="shared" si="25"/>
        <v>#DIV/0!</v>
      </c>
      <c r="J420" s="2" t="e">
        <f t="shared" si="26"/>
        <v>#NUM!</v>
      </c>
      <c r="K420">
        <f t="shared" si="27"/>
        <v>0</v>
      </c>
    </row>
    <row r="421" spans="1:11" ht="13.9" x14ac:dyDescent="0.3">
      <c r="A421" s="2" t="s">
        <v>167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 t="e">
        <f t="shared" si="24"/>
        <v>#DIV/0!</v>
      </c>
      <c r="I421" s="2" t="e">
        <f t="shared" si="25"/>
        <v>#DIV/0!</v>
      </c>
      <c r="J421" s="2" t="e">
        <f t="shared" si="26"/>
        <v>#NUM!</v>
      </c>
      <c r="K421">
        <f t="shared" si="27"/>
        <v>0</v>
      </c>
    </row>
    <row r="422" spans="1:11" ht="13.9" x14ac:dyDescent="0.3">
      <c r="A422" s="2" t="s">
        <v>179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J422" s="2" t="e">
        <f t="shared" si="26"/>
        <v>#NUM!</v>
      </c>
      <c r="K422">
        <f t="shared" si="27"/>
        <v>0</v>
      </c>
    </row>
    <row r="423" spans="1:11" ht="13.9" x14ac:dyDescent="0.3">
      <c r="A423" s="2" t="s">
        <v>182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 t="e">
        <f t="shared" si="24"/>
        <v>#DIV/0!</v>
      </c>
      <c r="I423" s="2" t="e">
        <f t="shared" si="25"/>
        <v>#DIV/0!</v>
      </c>
      <c r="J423" s="2" t="e">
        <f t="shared" si="26"/>
        <v>#NUM!</v>
      </c>
      <c r="K423">
        <f t="shared" si="27"/>
        <v>0</v>
      </c>
    </row>
    <row r="424" spans="1:11" ht="13.9" x14ac:dyDescent="0.3">
      <c r="A424" s="2" t="s">
        <v>196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 t="e">
        <f t="shared" si="24"/>
        <v>#DIV/0!</v>
      </c>
      <c r="I424" s="2" t="e">
        <f t="shared" si="25"/>
        <v>#DIV/0!</v>
      </c>
      <c r="J424" s="2" t="e">
        <f t="shared" si="26"/>
        <v>#NUM!</v>
      </c>
      <c r="K424">
        <f t="shared" si="27"/>
        <v>0</v>
      </c>
    </row>
    <row r="425" spans="1:11" ht="13.9" x14ac:dyDescent="0.3">
      <c r="A425" s="2" t="s">
        <v>209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J425" s="2" t="e">
        <f t="shared" si="26"/>
        <v>#NUM!</v>
      </c>
      <c r="K425">
        <f t="shared" si="27"/>
        <v>0</v>
      </c>
    </row>
    <row r="426" spans="1:11" ht="13.9" x14ac:dyDescent="0.3">
      <c r="A426" s="2" t="s">
        <v>222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24"/>
        <v>#DIV/0!</v>
      </c>
      <c r="I426" s="2" t="e">
        <f t="shared" si="25"/>
        <v>#DIV/0!</v>
      </c>
      <c r="J426" s="2" t="e">
        <f t="shared" si="26"/>
        <v>#NUM!</v>
      </c>
      <c r="K426">
        <f t="shared" si="27"/>
        <v>0</v>
      </c>
    </row>
    <row r="427" spans="1:11" ht="13.9" x14ac:dyDescent="0.3">
      <c r="A427" s="2" t="s">
        <v>223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24"/>
        <v>#DIV/0!</v>
      </c>
      <c r="I427" s="2" t="e">
        <f t="shared" si="25"/>
        <v>#DIV/0!</v>
      </c>
      <c r="J427" s="2" t="e">
        <f t="shared" si="26"/>
        <v>#NUM!</v>
      </c>
      <c r="K427">
        <f t="shared" si="27"/>
        <v>0</v>
      </c>
    </row>
    <row r="428" spans="1:11" ht="13.9" x14ac:dyDescent="0.3">
      <c r="A428" s="2" t="s">
        <v>232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J428" s="2" t="e">
        <f t="shared" si="26"/>
        <v>#NUM!</v>
      </c>
      <c r="K428">
        <f t="shared" si="27"/>
        <v>0</v>
      </c>
    </row>
    <row r="429" spans="1:11" ht="13.9" x14ac:dyDescent="0.3">
      <c r="A429" s="2" t="s">
        <v>233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J429" s="2" t="e">
        <f t="shared" si="26"/>
        <v>#NUM!</v>
      </c>
      <c r="K429">
        <f t="shared" si="27"/>
        <v>0</v>
      </c>
    </row>
    <row r="430" spans="1:11" ht="13.9" x14ac:dyDescent="0.3">
      <c r="A430" s="2" t="s">
        <v>237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 t="e">
        <f t="shared" si="24"/>
        <v>#DIV/0!</v>
      </c>
      <c r="I430" s="2" t="e">
        <f t="shared" si="25"/>
        <v>#DIV/0!</v>
      </c>
      <c r="J430" s="2" t="e">
        <f t="shared" si="26"/>
        <v>#NUM!</v>
      </c>
      <c r="K430">
        <f t="shared" si="27"/>
        <v>0</v>
      </c>
    </row>
    <row r="431" spans="1:11" ht="13.9" x14ac:dyDescent="0.3">
      <c r="A431" s="2" t="s">
        <v>238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 t="e">
        <f t="shared" si="24"/>
        <v>#DIV/0!</v>
      </c>
      <c r="I431" s="2" t="e">
        <f t="shared" si="25"/>
        <v>#DIV/0!</v>
      </c>
      <c r="J431" s="2" t="e">
        <f t="shared" si="26"/>
        <v>#NUM!</v>
      </c>
      <c r="K431">
        <f t="shared" si="27"/>
        <v>0</v>
      </c>
    </row>
    <row r="432" spans="1:11" ht="13.9" x14ac:dyDescent="0.3">
      <c r="A432" s="2" t="s">
        <v>241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 t="e">
        <f t="shared" si="24"/>
        <v>#DIV/0!</v>
      </c>
      <c r="I432" s="2" t="e">
        <f t="shared" si="25"/>
        <v>#DIV/0!</v>
      </c>
      <c r="J432" s="2" t="e">
        <f t="shared" si="26"/>
        <v>#NUM!</v>
      </c>
      <c r="K432">
        <f t="shared" si="27"/>
        <v>0</v>
      </c>
    </row>
    <row r="433" spans="1:11" ht="13.9" x14ac:dyDescent="0.3">
      <c r="A433" s="2" t="s">
        <v>245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 t="e">
        <f t="shared" si="24"/>
        <v>#DIV/0!</v>
      </c>
      <c r="I433" s="2" t="e">
        <f t="shared" si="25"/>
        <v>#DIV/0!</v>
      </c>
      <c r="J433" s="2" t="e">
        <f t="shared" si="26"/>
        <v>#NUM!</v>
      </c>
      <c r="K433">
        <f t="shared" si="27"/>
        <v>0</v>
      </c>
    </row>
    <row r="434" spans="1:11" ht="13.9" x14ac:dyDescent="0.3">
      <c r="A434" s="2" t="s">
        <v>250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 t="e">
        <f t="shared" si="24"/>
        <v>#DIV/0!</v>
      </c>
      <c r="I434" s="2" t="e">
        <f t="shared" si="25"/>
        <v>#DIV/0!</v>
      </c>
      <c r="J434" s="2" t="e">
        <f t="shared" si="26"/>
        <v>#NUM!</v>
      </c>
      <c r="K434">
        <f t="shared" si="27"/>
        <v>0</v>
      </c>
    </row>
    <row r="435" spans="1:11" ht="13.9" x14ac:dyDescent="0.3">
      <c r="A435" s="2" t="s">
        <v>251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24"/>
        <v>#DIV/0!</v>
      </c>
      <c r="I435" s="2" t="e">
        <f t="shared" si="25"/>
        <v>#DIV/0!</v>
      </c>
      <c r="J435" s="2" t="e">
        <f t="shared" si="26"/>
        <v>#NUM!</v>
      </c>
      <c r="K435">
        <f t="shared" si="27"/>
        <v>0</v>
      </c>
    </row>
    <row r="436" spans="1:11" ht="13.9" x14ac:dyDescent="0.3">
      <c r="A436" s="2" t="s">
        <v>252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 t="e">
        <f t="shared" si="24"/>
        <v>#DIV/0!</v>
      </c>
      <c r="I436" s="2" t="e">
        <f t="shared" si="25"/>
        <v>#DIV/0!</v>
      </c>
      <c r="J436" s="2" t="e">
        <f t="shared" si="26"/>
        <v>#NUM!</v>
      </c>
      <c r="K436">
        <f t="shared" si="27"/>
        <v>0</v>
      </c>
    </row>
    <row r="437" spans="1:11" ht="13.9" x14ac:dyDescent="0.3">
      <c r="A437" s="2" t="s">
        <v>254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 t="e">
        <f t="shared" si="24"/>
        <v>#DIV/0!</v>
      </c>
      <c r="I437" s="2" t="e">
        <f t="shared" si="25"/>
        <v>#DIV/0!</v>
      </c>
      <c r="J437" s="2" t="e">
        <f t="shared" si="26"/>
        <v>#NUM!</v>
      </c>
      <c r="K437">
        <f t="shared" si="27"/>
        <v>0</v>
      </c>
    </row>
    <row r="438" spans="1:11" ht="13.9" x14ac:dyDescent="0.3">
      <c r="A438" s="2" t="s">
        <v>256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 t="e">
        <f t="shared" si="24"/>
        <v>#DIV/0!</v>
      </c>
      <c r="I438" s="2" t="e">
        <f t="shared" si="25"/>
        <v>#DIV/0!</v>
      </c>
      <c r="J438" s="2" t="e">
        <f t="shared" si="26"/>
        <v>#NUM!</v>
      </c>
      <c r="K438">
        <f t="shared" si="27"/>
        <v>0</v>
      </c>
    </row>
    <row r="439" spans="1:11" ht="13.9" x14ac:dyDescent="0.3">
      <c r="A439" s="2" t="s">
        <v>259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 t="e">
        <f t="shared" si="24"/>
        <v>#DIV/0!</v>
      </c>
      <c r="I439" s="2" t="e">
        <f t="shared" si="25"/>
        <v>#DIV/0!</v>
      </c>
      <c r="J439" s="2" t="e">
        <f t="shared" si="26"/>
        <v>#NUM!</v>
      </c>
      <c r="K439">
        <f t="shared" si="27"/>
        <v>0</v>
      </c>
    </row>
    <row r="440" spans="1:11" ht="13.9" x14ac:dyDescent="0.3">
      <c r="A440" s="2" t="s">
        <v>260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 t="e">
        <f t="shared" si="24"/>
        <v>#DIV/0!</v>
      </c>
      <c r="I440" s="2" t="e">
        <f t="shared" si="25"/>
        <v>#DIV/0!</v>
      </c>
      <c r="J440" s="2" t="e">
        <f t="shared" si="26"/>
        <v>#NUM!</v>
      </c>
      <c r="K440">
        <f t="shared" si="27"/>
        <v>0</v>
      </c>
    </row>
    <row r="441" spans="1:11" ht="13.9" x14ac:dyDescent="0.3">
      <c r="A441" s="2" t="s">
        <v>268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 t="e">
        <f t="shared" si="24"/>
        <v>#DIV/0!</v>
      </c>
      <c r="I441" s="2" t="e">
        <f t="shared" si="25"/>
        <v>#DIV/0!</v>
      </c>
      <c r="J441" s="2" t="e">
        <f t="shared" si="26"/>
        <v>#NUM!</v>
      </c>
      <c r="K441">
        <f t="shared" si="27"/>
        <v>0</v>
      </c>
    </row>
    <row r="442" spans="1:11" ht="13.9" x14ac:dyDescent="0.3">
      <c r="A442" s="2" t="s">
        <v>273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 t="e">
        <f t="shared" si="24"/>
        <v>#DIV/0!</v>
      </c>
      <c r="I442" s="2" t="e">
        <f t="shared" si="25"/>
        <v>#DIV/0!</v>
      </c>
      <c r="J442" s="2" t="e">
        <f t="shared" si="26"/>
        <v>#NUM!</v>
      </c>
      <c r="K442">
        <f t="shared" si="27"/>
        <v>0</v>
      </c>
    </row>
    <row r="443" spans="1:11" ht="13.9" x14ac:dyDescent="0.3">
      <c r="A443" s="2" t="s">
        <v>278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24"/>
        <v>#DIV/0!</v>
      </c>
      <c r="I443" s="2" t="e">
        <f t="shared" si="25"/>
        <v>#DIV/0!</v>
      </c>
      <c r="J443" s="2" t="e">
        <f t="shared" si="26"/>
        <v>#NUM!</v>
      </c>
      <c r="K443">
        <f t="shared" si="27"/>
        <v>0</v>
      </c>
    </row>
    <row r="444" spans="1:11" ht="13.9" x14ac:dyDescent="0.3">
      <c r="A444" s="2" t="s">
        <v>280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J444" s="2" t="e">
        <f t="shared" si="26"/>
        <v>#NUM!</v>
      </c>
      <c r="K444">
        <f t="shared" si="27"/>
        <v>0</v>
      </c>
    </row>
    <row r="445" spans="1:11" ht="13.9" x14ac:dyDescent="0.3">
      <c r="A445" s="2" t="s">
        <v>286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J445" s="2" t="e">
        <f t="shared" si="26"/>
        <v>#NUM!</v>
      </c>
      <c r="K445">
        <f t="shared" si="27"/>
        <v>0</v>
      </c>
    </row>
    <row r="446" spans="1:11" ht="13.9" x14ac:dyDescent="0.3">
      <c r="A446" s="2" t="s">
        <v>289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24"/>
        <v>#DIV/0!</v>
      </c>
      <c r="I446" s="2" t="e">
        <f t="shared" si="25"/>
        <v>#DIV/0!</v>
      </c>
      <c r="J446" s="2" t="e">
        <f t="shared" si="26"/>
        <v>#NUM!</v>
      </c>
      <c r="K446">
        <f t="shared" si="27"/>
        <v>0</v>
      </c>
    </row>
    <row r="447" spans="1:11" ht="13.9" x14ac:dyDescent="0.3">
      <c r="A447" s="2" t="s">
        <v>303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 t="e">
        <f t="shared" si="24"/>
        <v>#DIV/0!</v>
      </c>
      <c r="I447" s="2" t="e">
        <f t="shared" si="25"/>
        <v>#DIV/0!</v>
      </c>
      <c r="J447" s="2" t="e">
        <f t="shared" si="26"/>
        <v>#NUM!</v>
      </c>
      <c r="K447">
        <f t="shared" si="27"/>
        <v>0</v>
      </c>
    </row>
    <row r="448" spans="1:11" ht="13.9" x14ac:dyDescent="0.3">
      <c r="A448" s="2" t="s">
        <v>305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 t="e">
        <f t="shared" si="24"/>
        <v>#DIV/0!</v>
      </c>
      <c r="I448" s="2" t="e">
        <f t="shared" si="25"/>
        <v>#DIV/0!</v>
      </c>
      <c r="J448" s="2" t="e">
        <f t="shared" si="26"/>
        <v>#NUM!</v>
      </c>
      <c r="K448">
        <f t="shared" si="27"/>
        <v>0</v>
      </c>
    </row>
    <row r="449" spans="1:11" ht="13.9" x14ac:dyDescent="0.3">
      <c r="A449" s="2" t="s">
        <v>306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 t="e">
        <f t="shared" si="24"/>
        <v>#DIV/0!</v>
      </c>
      <c r="I449" s="2" t="e">
        <f t="shared" si="25"/>
        <v>#DIV/0!</v>
      </c>
      <c r="J449" s="2" t="e">
        <f t="shared" si="26"/>
        <v>#NUM!</v>
      </c>
      <c r="K449">
        <f t="shared" si="27"/>
        <v>0</v>
      </c>
    </row>
    <row r="450" spans="1:11" ht="13.9" x14ac:dyDescent="0.3">
      <c r="A450" s="2" t="s">
        <v>310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8">LOG(SUM(B450:D450)/SUM(E450:G450),2)</f>
        <v>#DIV/0!</v>
      </c>
      <c r="I450" s="2" t="e">
        <f t="shared" ref="I450:I513" si="29">_xlfn.T.TEST(B450:D450,E450:G450,2,2)</f>
        <v>#DIV/0!</v>
      </c>
      <c r="J450" s="2" t="e">
        <f t="shared" ref="J450:J513" si="30">LOG(SUM(B450:D450),2)</f>
        <v>#NUM!</v>
      </c>
      <c r="K450">
        <f t="shared" ref="K450:K513" si="31">AVERAGE(E450:G450)</f>
        <v>0</v>
      </c>
    </row>
    <row r="451" spans="1:11" ht="13.9" x14ac:dyDescent="0.3">
      <c r="A451" s="2" t="s">
        <v>311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J451" s="2" t="e">
        <f t="shared" si="30"/>
        <v>#NUM!</v>
      </c>
      <c r="K451">
        <f t="shared" si="31"/>
        <v>0</v>
      </c>
    </row>
    <row r="452" spans="1:11" ht="13.9" x14ac:dyDescent="0.3">
      <c r="A452" s="2" t="s">
        <v>313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J452" s="2" t="e">
        <f t="shared" si="30"/>
        <v>#NUM!</v>
      </c>
      <c r="K452">
        <f t="shared" si="31"/>
        <v>0</v>
      </c>
    </row>
    <row r="453" spans="1:11" ht="13.9" x14ac:dyDescent="0.3">
      <c r="A453" s="2" t="s">
        <v>315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 t="e">
        <f t="shared" si="28"/>
        <v>#DIV/0!</v>
      </c>
      <c r="I453" s="2" t="e">
        <f t="shared" si="29"/>
        <v>#DIV/0!</v>
      </c>
      <c r="J453" s="2" t="e">
        <f t="shared" si="30"/>
        <v>#NUM!</v>
      </c>
      <c r="K453">
        <f t="shared" si="31"/>
        <v>0</v>
      </c>
    </row>
    <row r="454" spans="1:11" ht="13.9" x14ac:dyDescent="0.3">
      <c r="A454" s="2" t="s">
        <v>317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 t="e">
        <f t="shared" si="28"/>
        <v>#DIV/0!</v>
      </c>
      <c r="I454" s="2" t="e">
        <f t="shared" si="29"/>
        <v>#DIV/0!</v>
      </c>
      <c r="J454" s="2" t="e">
        <f t="shared" si="30"/>
        <v>#NUM!</v>
      </c>
      <c r="K454">
        <f t="shared" si="31"/>
        <v>0</v>
      </c>
    </row>
    <row r="455" spans="1:11" ht="13.9" x14ac:dyDescent="0.3">
      <c r="A455" s="2" t="s">
        <v>318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 t="e">
        <f t="shared" si="28"/>
        <v>#DIV/0!</v>
      </c>
      <c r="I455" s="2" t="e">
        <f t="shared" si="29"/>
        <v>#DIV/0!</v>
      </c>
      <c r="J455" s="2" t="e">
        <f t="shared" si="30"/>
        <v>#NUM!</v>
      </c>
      <c r="K455">
        <f t="shared" si="31"/>
        <v>0</v>
      </c>
    </row>
    <row r="456" spans="1:11" ht="13.9" x14ac:dyDescent="0.3">
      <c r="A456" s="2" t="s">
        <v>322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J456" s="2" t="e">
        <f t="shared" si="30"/>
        <v>#NUM!</v>
      </c>
      <c r="K456">
        <f t="shared" si="31"/>
        <v>0</v>
      </c>
    </row>
    <row r="457" spans="1:11" ht="13.9" x14ac:dyDescent="0.3">
      <c r="A457" s="2" t="s">
        <v>329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 t="e">
        <f t="shared" si="28"/>
        <v>#DIV/0!</v>
      </c>
      <c r="I457" s="2" t="e">
        <f t="shared" si="29"/>
        <v>#DIV/0!</v>
      </c>
      <c r="J457" s="2" t="e">
        <f t="shared" si="30"/>
        <v>#NUM!</v>
      </c>
      <c r="K457">
        <f t="shared" si="31"/>
        <v>0</v>
      </c>
    </row>
    <row r="458" spans="1:11" ht="13.9" x14ac:dyDescent="0.3">
      <c r="A458" s="2" t="s">
        <v>332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 t="e">
        <f t="shared" si="28"/>
        <v>#DIV/0!</v>
      </c>
      <c r="I458" s="2" t="e">
        <f t="shared" si="29"/>
        <v>#DIV/0!</v>
      </c>
      <c r="J458" s="2" t="e">
        <f t="shared" si="30"/>
        <v>#NUM!</v>
      </c>
      <c r="K458">
        <f t="shared" si="31"/>
        <v>0</v>
      </c>
    </row>
    <row r="459" spans="1:11" ht="13.9" x14ac:dyDescent="0.3">
      <c r="A459" s="2" t="s">
        <v>333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 t="e">
        <f t="shared" si="28"/>
        <v>#DIV/0!</v>
      </c>
      <c r="I459" s="2" t="e">
        <f t="shared" si="29"/>
        <v>#DIV/0!</v>
      </c>
      <c r="J459" s="2" t="e">
        <f t="shared" si="30"/>
        <v>#NUM!</v>
      </c>
      <c r="K459">
        <f t="shared" si="31"/>
        <v>0</v>
      </c>
    </row>
    <row r="460" spans="1:11" ht="13.9" x14ac:dyDescent="0.3">
      <c r="A460" s="2" t="s">
        <v>335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 t="e">
        <f t="shared" si="28"/>
        <v>#DIV/0!</v>
      </c>
      <c r="I460" s="2" t="e">
        <f t="shared" si="29"/>
        <v>#DIV/0!</v>
      </c>
      <c r="J460" s="2" t="e">
        <f t="shared" si="30"/>
        <v>#NUM!</v>
      </c>
      <c r="K460">
        <f t="shared" si="31"/>
        <v>0</v>
      </c>
    </row>
    <row r="461" spans="1:11" ht="13.9" x14ac:dyDescent="0.3">
      <c r="A461" s="2" t="s">
        <v>336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J461" s="2" t="e">
        <f t="shared" si="30"/>
        <v>#NUM!</v>
      </c>
      <c r="K461">
        <f t="shared" si="31"/>
        <v>0</v>
      </c>
    </row>
    <row r="462" spans="1:11" ht="13.9" x14ac:dyDescent="0.3">
      <c r="A462" s="2" t="s">
        <v>340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J462" s="2" t="e">
        <f t="shared" si="30"/>
        <v>#NUM!</v>
      </c>
      <c r="K462">
        <f t="shared" si="31"/>
        <v>0</v>
      </c>
    </row>
    <row r="463" spans="1:11" ht="13.9" x14ac:dyDescent="0.3">
      <c r="A463" s="2" t="s">
        <v>343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 t="e">
        <f t="shared" si="28"/>
        <v>#DIV/0!</v>
      </c>
      <c r="I463" s="2" t="e">
        <f t="shared" si="29"/>
        <v>#DIV/0!</v>
      </c>
      <c r="J463" s="2" t="e">
        <f t="shared" si="30"/>
        <v>#NUM!</v>
      </c>
      <c r="K463">
        <f t="shared" si="31"/>
        <v>0</v>
      </c>
    </row>
    <row r="464" spans="1:11" ht="13.9" x14ac:dyDescent="0.3">
      <c r="A464" s="2" t="s">
        <v>344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 t="e">
        <f t="shared" si="28"/>
        <v>#DIV/0!</v>
      </c>
      <c r="I464" s="2" t="e">
        <f t="shared" si="29"/>
        <v>#DIV/0!</v>
      </c>
      <c r="J464" s="2" t="e">
        <f t="shared" si="30"/>
        <v>#NUM!</v>
      </c>
      <c r="K464">
        <f t="shared" si="31"/>
        <v>0</v>
      </c>
    </row>
    <row r="465" spans="1:11" ht="13.9" x14ac:dyDescent="0.3">
      <c r="A465" s="2" t="s">
        <v>347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J465" s="2" t="e">
        <f t="shared" si="30"/>
        <v>#NUM!</v>
      </c>
      <c r="K465">
        <f t="shared" si="31"/>
        <v>0</v>
      </c>
    </row>
    <row r="466" spans="1:11" ht="13.9" x14ac:dyDescent="0.3">
      <c r="A466" s="2" t="s">
        <v>348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J466" s="2" t="e">
        <f t="shared" si="30"/>
        <v>#NUM!</v>
      </c>
      <c r="K466">
        <f t="shared" si="31"/>
        <v>0</v>
      </c>
    </row>
    <row r="467" spans="1:11" ht="13.9" x14ac:dyDescent="0.3">
      <c r="A467" s="2" t="s">
        <v>354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 t="e">
        <f t="shared" si="29"/>
        <v>#DIV/0!</v>
      </c>
      <c r="J467" s="2" t="e">
        <f t="shared" si="30"/>
        <v>#NUM!</v>
      </c>
      <c r="K467">
        <f t="shared" si="31"/>
        <v>0</v>
      </c>
    </row>
    <row r="468" spans="1:11" ht="13.9" x14ac:dyDescent="0.3">
      <c r="A468" s="2" t="s">
        <v>357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 t="e">
        <f t="shared" si="28"/>
        <v>#DIV/0!</v>
      </c>
      <c r="I468" s="2" t="e">
        <f t="shared" si="29"/>
        <v>#DIV/0!</v>
      </c>
      <c r="J468" s="2" t="e">
        <f t="shared" si="30"/>
        <v>#NUM!</v>
      </c>
      <c r="K468">
        <f t="shared" si="31"/>
        <v>0</v>
      </c>
    </row>
    <row r="469" spans="1:11" ht="13.9" x14ac:dyDescent="0.3">
      <c r="A469" s="2" t="s">
        <v>358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 t="e">
        <f t="shared" si="28"/>
        <v>#DIV/0!</v>
      </c>
      <c r="I469" s="2" t="e">
        <f t="shared" si="29"/>
        <v>#DIV/0!</v>
      </c>
      <c r="J469" s="2" t="e">
        <f t="shared" si="30"/>
        <v>#NUM!</v>
      </c>
      <c r="K469">
        <f t="shared" si="31"/>
        <v>0</v>
      </c>
    </row>
    <row r="470" spans="1:11" ht="13.9" x14ac:dyDescent="0.3">
      <c r="A470" s="2" t="s">
        <v>359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8"/>
        <v>#DIV/0!</v>
      </c>
      <c r="I470" s="2" t="e">
        <f t="shared" si="29"/>
        <v>#DIV/0!</v>
      </c>
      <c r="J470" s="2" t="e">
        <f t="shared" si="30"/>
        <v>#NUM!</v>
      </c>
      <c r="K470">
        <f t="shared" si="31"/>
        <v>0</v>
      </c>
    </row>
    <row r="471" spans="1:11" ht="13.9" x14ac:dyDescent="0.3">
      <c r="A471" s="2" t="s">
        <v>390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J471" s="2" t="e">
        <f t="shared" si="30"/>
        <v>#NUM!</v>
      </c>
      <c r="K471">
        <f t="shared" si="31"/>
        <v>0</v>
      </c>
    </row>
    <row r="472" spans="1:11" ht="13.9" x14ac:dyDescent="0.3">
      <c r="A472" s="2" t="s">
        <v>395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 t="e">
        <f t="shared" si="28"/>
        <v>#DIV/0!</v>
      </c>
      <c r="I472" s="2" t="e">
        <f t="shared" si="29"/>
        <v>#DIV/0!</v>
      </c>
      <c r="J472" s="2" t="e">
        <f t="shared" si="30"/>
        <v>#NUM!</v>
      </c>
      <c r="K472">
        <f t="shared" si="31"/>
        <v>0</v>
      </c>
    </row>
    <row r="473" spans="1:11" ht="13.9" x14ac:dyDescent="0.3">
      <c r="A473" s="2" t="s">
        <v>397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 t="e">
        <f t="shared" si="29"/>
        <v>#DIV/0!</v>
      </c>
      <c r="J473" s="2" t="e">
        <f t="shared" si="30"/>
        <v>#NUM!</v>
      </c>
      <c r="K473">
        <f t="shared" si="31"/>
        <v>0</v>
      </c>
    </row>
    <row r="474" spans="1:11" ht="13.9" x14ac:dyDescent="0.3">
      <c r="A474" s="2" t="s">
        <v>399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J474" s="2" t="e">
        <f t="shared" si="30"/>
        <v>#NUM!</v>
      </c>
      <c r="K474">
        <f t="shared" si="31"/>
        <v>0</v>
      </c>
    </row>
    <row r="475" spans="1:11" ht="13.9" x14ac:dyDescent="0.3">
      <c r="A475" s="2" t="s">
        <v>406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8"/>
        <v>#DIV/0!</v>
      </c>
      <c r="I475" s="2" t="e">
        <f t="shared" si="29"/>
        <v>#DIV/0!</v>
      </c>
      <c r="J475" s="2" t="e">
        <f t="shared" si="30"/>
        <v>#NUM!</v>
      </c>
      <c r="K475">
        <f t="shared" si="31"/>
        <v>0</v>
      </c>
    </row>
    <row r="476" spans="1:11" ht="13.9" x14ac:dyDescent="0.3">
      <c r="A476" s="2" t="s">
        <v>408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 t="e">
        <f t="shared" si="28"/>
        <v>#DIV/0!</v>
      </c>
      <c r="I476" s="2" t="e">
        <f t="shared" si="29"/>
        <v>#DIV/0!</v>
      </c>
      <c r="J476" s="2" t="e">
        <f t="shared" si="30"/>
        <v>#NUM!</v>
      </c>
      <c r="K476">
        <f t="shared" si="31"/>
        <v>0</v>
      </c>
    </row>
    <row r="477" spans="1:11" ht="13.9" x14ac:dyDescent="0.3">
      <c r="A477" s="2" t="s">
        <v>410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8"/>
        <v>#DIV/0!</v>
      </c>
      <c r="I477" s="2" t="e">
        <f t="shared" si="29"/>
        <v>#DIV/0!</v>
      </c>
      <c r="J477" s="2" t="e">
        <f t="shared" si="30"/>
        <v>#NUM!</v>
      </c>
      <c r="K477">
        <f t="shared" si="31"/>
        <v>0</v>
      </c>
    </row>
    <row r="478" spans="1:11" ht="13.9" x14ac:dyDescent="0.3">
      <c r="A478" s="2" t="s">
        <v>414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 t="e">
        <f t="shared" si="28"/>
        <v>#DIV/0!</v>
      </c>
      <c r="I478" s="2" t="e">
        <f t="shared" si="29"/>
        <v>#DIV/0!</v>
      </c>
      <c r="J478" s="2" t="e">
        <f t="shared" si="30"/>
        <v>#NUM!</v>
      </c>
      <c r="K478">
        <f t="shared" si="31"/>
        <v>0</v>
      </c>
    </row>
    <row r="479" spans="1:11" ht="13.9" x14ac:dyDescent="0.3">
      <c r="A479" s="2" t="s">
        <v>415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 t="e">
        <f t="shared" si="28"/>
        <v>#DIV/0!</v>
      </c>
      <c r="I479" s="2" t="e">
        <f t="shared" si="29"/>
        <v>#DIV/0!</v>
      </c>
      <c r="J479" s="2" t="e">
        <f t="shared" si="30"/>
        <v>#NUM!</v>
      </c>
      <c r="K479">
        <f t="shared" si="31"/>
        <v>0</v>
      </c>
    </row>
    <row r="480" spans="1:11" ht="13.9" x14ac:dyDescent="0.3">
      <c r="A480" s="2" t="s">
        <v>418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 t="e">
        <f t="shared" si="28"/>
        <v>#DIV/0!</v>
      </c>
      <c r="I480" s="2" t="e">
        <f t="shared" si="29"/>
        <v>#DIV/0!</v>
      </c>
      <c r="J480" s="2" t="e">
        <f t="shared" si="30"/>
        <v>#NUM!</v>
      </c>
      <c r="K480">
        <f t="shared" si="31"/>
        <v>0</v>
      </c>
    </row>
    <row r="481" spans="1:11" ht="13.9" x14ac:dyDescent="0.3">
      <c r="A481" s="2" t="s">
        <v>420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8"/>
        <v>#DIV/0!</v>
      </c>
      <c r="I481" s="2" t="e">
        <f t="shared" si="29"/>
        <v>#DIV/0!</v>
      </c>
      <c r="J481" s="2" t="e">
        <f t="shared" si="30"/>
        <v>#NUM!</v>
      </c>
      <c r="K481">
        <f t="shared" si="31"/>
        <v>0</v>
      </c>
    </row>
    <row r="482" spans="1:11" ht="13.9" x14ac:dyDescent="0.3">
      <c r="A482" s="2" t="s">
        <v>423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J482" s="2" t="e">
        <f t="shared" si="30"/>
        <v>#NUM!</v>
      </c>
      <c r="K482">
        <f t="shared" si="31"/>
        <v>0</v>
      </c>
    </row>
    <row r="483" spans="1:11" ht="13.9" x14ac:dyDescent="0.3">
      <c r="A483" s="2" t="s">
        <v>426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8"/>
        <v>#DIV/0!</v>
      </c>
      <c r="I483" s="2" t="e">
        <f t="shared" si="29"/>
        <v>#DIV/0!</v>
      </c>
      <c r="J483" s="2" t="e">
        <f t="shared" si="30"/>
        <v>#NUM!</v>
      </c>
      <c r="K483">
        <f t="shared" si="31"/>
        <v>0</v>
      </c>
    </row>
    <row r="484" spans="1:11" ht="13.9" x14ac:dyDescent="0.3">
      <c r="A484" s="2" t="s">
        <v>427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J484" s="2" t="e">
        <f t="shared" si="30"/>
        <v>#NUM!</v>
      </c>
      <c r="K484">
        <f t="shared" si="31"/>
        <v>0</v>
      </c>
    </row>
    <row r="485" spans="1:11" ht="13.9" x14ac:dyDescent="0.3">
      <c r="A485" s="2" t="s">
        <v>428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 t="e">
        <f t="shared" si="29"/>
        <v>#DIV/0!</v>
      </c>
      <c r="J485" s="2" t="e">
        <f t="shared" si="30"/>
        <v>#NUM!</v>
      </c>
      <c r="K485">
        <f t="shared" si="31"/>
        <v>0</v>
      </c>
    </row>
    <row r="486" spans="1:11" ht="13.9" x14ac:dyDescent="0.3">
      <c r="A486" s="2" t="s">
        <v>436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J486" s="2" t="e">
        <f t="shared" si="30"/>
        <v>#NUM!</v>
      </c>
      <c r="K486">
        <f t="shared" si="31"/>
        <v>0</v>
      </c>
    </row>
    <row r="487" spans="1:11" ht="13.9" x14ac:dyDescent="0.3">
      <c r="A487" s="2" t="s">
        <v>439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 t="e">
        <f t="shared" si="28"/>
        <v>#DIV/0!</v>
      </c>
      <c r="I487" s="2" t="e">
        <f t="shared" si="29"/>
        <v>#DIV/0!</v>
      </c>
      <c r="J487" s="2" t="e">
        <f t="shared" si="30"/>
        <v>#NUM!</v>
      </c>
      <c r="K487">
        <f t="shared" si="31"/>
        <v>0</v>
      </c>
    </row>
    <row r="488" spans="1:11" ht="13.9" x14ac:dyDescent="0.3">
      <c r="A488" s="2" t="s">
        <v>442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 t="e">
        <f t="shared" si="28"/>
        <v>#DIV/0!</v>
      </c>
      <c r="I488" s="2" t="e">
        <f t="shared" si="29"/>
        <v>#DIV/0!</v>
      </c>
      <c r="J488" s="2" t="e">
        <f t="shared" si="30"/>
        <v>#NUM!</v>
      </c>
      <c r="K488">
        <f t="shared" si="31"/>
        <v>0</v>
      </c>
    </row>
    <row r="489" spans="1:11" ht="13.9" x14ac:dyDescent="0.3">
      <c r="A489" s="2" t="s">
        <v>445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8"/>
        <v>#DIV/0!</v>
      </c>
      <c r="I489" s="2" t="e">
        <f t="shared" si="29"/>
        <v>#DIV/0!</v>
      </c>
      <c r="J489" s="2" t="e">
        <f t="shared" si="30"/>
        <v>#NUM!</v>
      </c>
      <c r="K489">
        <f t="shared" si="31"/>
        <v>0</v>
      </c>
    </row>
    <row r="490" spans="1:11" ht="13.9" x14ac:dyDescent="0.3">
      <c r="A490" s="2" t="s">
        <v>446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 t="e">
        <f t="shared" si="28"/>
        <v>#DIV/0!</v>
      </c>
      <c r="I490" s="2" t="e">
        <f t="shared" si="29"/>
        <v>#DIV/0!</v>
      </c>
      <c r="J490" s="2" t="e">
        <f t="shared" si="30"/>
        <v>#NUM!</v>
      </c>
      <c r="K490">
        <f t="shared" si="31"/>
        <v>0</v>
      </c>
    </row>
    <row r="491" spans="1:11" ht="13.9" x14ac:dyDescent="0.3">
      <c r="A491" s="2" t="s">
        <v>461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J491" s="2" t="e">
        <f t="shared" si="30"/>
        <v>#NUM!</v>
      </c>
      <c r="K491">
        <f t="shared" si="31"/>
        <v>0</v>
      </c>
    </row>
    <row r="492" spans="1:11" ht="13.9" x14ac:dyDescent="0.3">
      <c r="A492" s="2" t="s">
        <v>467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8"/>
        <v>#DIV/0!</v>
      </c>
      <c r="I492" s="2" t="e">
        <f t="shared" si="29"/>
        <v>#DIV/0!</v>
      </c>
      <c r="J492" s="2" t="e">
        <f t="shared" si="30"/>
        <v>#NUM!</v>
      </c>
      <c r="K492">
        <f t="shared" si="31"/>
        <v>0</v>
      </c>
    </row>
    <row r="493" spans="1:11" ht="13.9" x14ac:dyDescent="0.3">
      <c r="A493" s="2" t="s">
        <v>478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 t="e">
        <f t="shared" si="28"/>
        <v>#DIV/0!</v>
      </c>
      <c r="I493" s="2" t="e">
        <f t="shared" si="29"/>
        <v>#DIV/0!</v>
      </c>
      <c r="J493" s="2" t="e">
        <f t="shared" si="30"/>
        <v>#NUM!</v>
      </c>
      <c r="K493">
        <f t="shared" si="31"/>
        <v>0</v>
      </c>
    </row>
    <row r="494" spans="1:11" ht="13.9" x14ac:dyDescent="0.3">
      <c r="A494" s="2" t="s">
        <v>479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 t="e">
        <f t="shared" si="28"/>
        <v>#DIV/0!</v>
      </c>
      <c r="I494" s="2" t="e">
        <f t="shared" si="29"/>
        <v>#DIV/0!</v>
      </c>
      <c r="J494" s="2" t="e">
        <f t="shared" si="30"/>
        <v>#NUM!</v>
      </c>
      <c r="K494">
        <f t="shared" si="31"/>
        <v>0</v>
      </c>
    </row>
    <row r="495" spans="1:11" ht="13.9" x14ac:dyDescent="0.3">
      <c r="A495" s="2" t="s">
        <v>482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8"/>
        <v>#DIV/0!</v>
      </c>
      <c r="I495" s="2" t="e">
        <f t="shared" si="29"/>
        <v>#DIV/0!</v>
      </c>
      <c r="J495" s="2" t="e">
        <f t="shared" si="30"/>
        <v>#NUM!</v>
      </c>
      <c r="K495">
        <f t="shared" si="31"/>
        <v>0</v>
      </c>
    </row>
    <row r="496" spans="1:11" ht="13.9" x14ac:dyDescent="0.3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J496" s="2" t="e">
        <f t="shared" si="30"/>
        <v>#NUM!</v>
      </c>
      <c r="K496">
        <f t="shared" si="31"/>
        <v>0</v>
      </c>
    </row>
    <row r="497" spans="1:11" ht="13.9" x14ac:dyDescent="0.3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 t="e">
        <f t="shared" si="28"/>
        <v>#DIV/0!</v>
      </c>
      <c r="I497" s="2" t="e">
        <f t="shared" si="29"/>
        <v>#DIV/0!</v>
      </c>
      <c r="J497" s="2" t="e">
        <f t="shared" si="30"/>
        <v>#NUM!</v>
      </c>
      <c r="K497">
        <f t="shared" si="31"/>
        <v>0</v>
      </c>
    </row>
    <row r="498" spans="1:11" ht="13.9" x14ac:dyDescent="0.3">
      <c r="A498" s="2" t="s">
        <v>491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J498" s="2" t="e">
        <f t="shared" si="30"/>
        <v>#NUM!</v>
      </c>
      <c r="K498">
        <f t="shared" si="31"/>
        <v>0</v>
      </c>
    </row>
    <row r="499" spans="1:11" ht="13.9" x14ac:dyDescent="0.3">
      <c r="A499" s="2" t="s">
        <v>498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 t="e">
        <f t="shared" si="28"/>
        <v>#DIV/0!</v>
      </c>
      <c r="I499" s="2" t="e">
        <f t="shared" si="29"/>
        <v>#DIV/0!</v>
      </c>
      <c r="J499" s="2" t="e">
        <f t="shared" si="30"/>
        <v>#NUM!</v>
      </c>
      <c r="K499">
        <f t="shared" si="31"/>
        <v>0</v>
      </c>
    </row>
    <row r="500" spans="1:11" ht="13.9" x14ac:dyDescent="0.3">
      <c r="A500" s="2" t="s">
        <v>501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8"/>
        <v>#DIV/0!</v>
      </c>
      <c r="I500" s="2" t="e">
        <f t="shared" si="29"/>
        <v>#DIV/0!</v>
      </c>
      <c r="J500" s="2" t="e">
        <f t="shared" si="30"/>
        <v>#NUM!</v>
      </c>
      <c r="K500">
        <f t="shared" si="31"/>
        <v>0</v>
      </c>
    </row>
    <row r="501" spans="1:11" ht="13.9" x14ac:dyDescent="0.3">
      <c r="A501" s="2" t="s">
        <v>503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8"/>
        <v>#DIV/0!</v>
      </c>
      <c r="I501" s="2" t="e">
        <f t="shared" si="29"/>
        <v>#DIV/0!</v>
      </c>
      <c r="J501" s="2" t="e">
        <f t="shared" si="30"/>
        <v>#NUM!</v>
      </c>
      <c r="K501">
        <f t="shared" si="31"/>
        <v>0</v>
      </c>
    </row>
    <row r="502" spans="1:11" ht="13.9" x14ac:dyDescent="0.3">
      <c r="A502" s="2" t="s">
        <v>506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8"/>
        <v>#DIV/0!</v>
      </c>
      <c r="I502" s="2" t="e">
        <f t="shared" si="29"/>
        <v>#DIV/0!</v>
      </c>
      <c r="J502" s="2" t="e">
        <f t="shared" si="30"/>
        <v>#NUM!</v>
      </c>
      <c r="K502">
        <f t="shared" si="31"/>
        <v>0</v>
      </c>
    </row>
    <row r="503" spans="1:11" ht="13.9" x14ac:dyDescent="0.3">
      <c r="A503" s="2" t="s">
        <v>508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J503" s="2" t="e">
        <f t="shared" si="30"/>
        <v>#NUM!</v>
      </c>
      <c r="K503">
        <f t="shared" si="31"/>
        <v>0</v>
      </c>
    </row>
    <row r="504" spans="1:11" ht="13.9" x14ac:dyDescent="0.3">
      <c r="A504" s="2" t="s">
        <v>509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8"/>
        <v>#DIV/0!</v>
      </c>
      <c r="I504" s="2" t="e">
        <f t="shared" si="29"/>
        <v>#DIV/0!</v>
      </c>
      <c r="J504" s="2" t="e">
        <f t="shared" si="30"/>
        <v>#NUM!</v>
      </c>
      <c r="K504">
        <f t="shared" si="31"/>
        <v>0</v>
      </c>
    </row>
    <row r="505" spans="1:11" ht="13.9" x14ac:dyDescent="0.3">
      <c r="A505" s="2" t="s">
        <v>512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8"/>
        <v>#DIV/0!</v>
      </c>
      <c r="I505" s="2" t="e">
        <f t="shared" si="29"/>
        <v>#DIV/0!</v>
      </c>
      <c r="J505" s="2" t="e">
        <f t="shared" si="30"/>
        <v>#NUM!</v>
      </c>
      <c r="K505">
        <f t="shared" si="31"/>
        <v>0</v>
      </c>
    </row>
    <row r="506" spans="1:11" ht="13.9" x14ac:dyDescent="0.3">
      <c r="A506" s="2" t="s">
        <v>513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 t="e">
        <f t="shared" si="28"/>
        <v>#DIV/0!</v>
      </c>
      <c r="I506" s="2" t="e">
        <f t="shared" si="29"/>
        <v>#DIV/0!</v>
      </c>
      <c r="J506" s="2" t="e">
        <f t="shared" si="30"/>
        <v>#NUM!</v>
      </c>
      <c r="K506">
        <f t="shared" si="31"/>
        <v>0</v>
      </c>
    </row>
    <row r="507" spans="1:11" ht="13.9" x14ac:dyDescent="0.3">
      <c r="A507" s="2" t="s">
        <v>515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J507" s="2" t="e">
        <f t="shared" si="30"/>
        <v>#NUM!</v>
      </c>
      <c r="K507">
        <f t="shared" si="31"/>
        <v>0</v>
      </c>
    </row>
    <row r="508" spans="1:11" ht="13.9" x14ac:dyDescent="0.3">
      <c r="A508" s="2" t="s">
        <v>517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J508" s="2" t="e">
        <f t="shared" si="30"/>
        <v>#NUM!</v>
      </c>
      <c r="K508">
        <f t="shared" si="31"/>
        <v>0</v>
      </c>
    </row>
    <row r="509" spans="1:11" ht="13.9" x14ac:dyDescent="0.3">
      <c r="A509" s="2" t="s">
        <v>518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 t="e">
        <f t="shared" si="28"/>
        <v>#DIV/0!</v>
      </c>
      <c r="I509" s="2" t="e">
        <f t="shared" si="29"/>
        <v>#DIV/0!</v>
      </c>
      <c r="J509" s="2" t="e">
        <f t="shared" si="30"/>
        <v>#NUM!</v>
      </c>
      <c r="K509">
        <f t="shared" si="31"/>
        <v>0</v>
      </c>
    </row>
    <row r="510" spans="1:11" ht="13.9" x14ac:dyDescent="0.3">
      <c r="A510" s="2" t="s">
        <v>519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J510" s="2" t="e">
        <f t="shared" si="30"/>
        <v>#NUM!</v>
      </c>
      <c r="K510">
        <f t="shared" si="31"/>
        <v>0</v>
      </c>
    </row>
    <row r="511" spans="1:11" ht="13.9" x14ac:dyDescent="0.3">
      <c r="A511" s="2" t="s">
        <v>520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J511" s="2" t="e">
        <f t="shared" si="30"/>
        <v>#NUM!</v>
      </c>
      <c r="K511">
        <f t="shared" si="31"/>
        <v>0</v>
      </c>
    </row>
    <row r="512" spans="1:11" ht="13.9" x14ac:dyDescent="0.3">
      <c r="A512" s="2" t="s">
        <v>521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J512" s="2" t="e">
        <f t="shared" si="30"/>
        <v>#NUM!</v>
      </c>
      <c r="K512">
        <f t="shared" si="31"/>
        <v>0</v>
      </c>
    </row>
    <row r="513" spans="1:11" ht="13.9" x14ac:dyDescent="0.3">
      <c r="A513" s="2" t="s">
        <v>524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J513" s="2" t="e">
        <f t="shared" si="30"/>
        <v>#NUM!</v>
      </c>
      <c r="K513">
        <f t="shared" si="31"/>
        <v>0</v>
      </c>
    </row>
    <row r="514" spans="1:11" ht="13.9" x14ac:dyDescent="0.3">
      <c r="A514" s="2" t="s">
        <v>527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 t="e">
        <f t="shared" ref="H514:H577" si="32">LOG(SUM(B514:D514)/SUM(E514:G514),2)</f>
        <v>#DIV/0!</v>
      </c>
      <c r="I514" s="2" t="e">
        <f t="shared" ref="I514:I577" si="33">_xlfn.T.TEST(B514:D514,E514:G514,2,2)</f>
        <v>#DIV/0!</v>
      </c>
      <c r="J514" s="2" t="e">
        <f t="shared" ref="J514:J577" si="34">LOG(SUM(B514:D514),2)</f>
        <v>#NUM!</v>
      </c>
      <c r="K514">
        <f t="shared" ref="K514:K577" si="35">AVERAGE(E514:G514)</f>
        <v>0</v>
      </c>
    </row>
    <row r="515" spans="1:11" ht="13.9" x14ac:dyDescent="0.3">
      <c r="A515" s="2" t="s">
        <v>528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J515" s="2" t="e">
        <f t="shared" si="34"/>
        <v>#NUM!</v>
      </c>
      <c r="K515">
        <f t="shared" si="35"/>
        <v>0</v>
      </c>
    </row>
    <row r="516" spans="1:11" ht="13.9" x14ac:dyDescent="0.3">
      <c r="A516" s="2" t="s">
        <v>529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J516" s="2" t="e">
        <f t="shared" si="34"/>
        <v>#NUM!</v>
      </c>
      <c r="K516">
        <f t="shared" si="35"/>
        <v>0</v>
      </c>
    </row>
    <row r="517" spans="1:11" ht="13.9" x14ac:dyDescent="0.3">
      <c r="A517" s="2" t="s">
        <v>532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 t="e">
        <f t="shared" si="32"/>
        <v>#DIV/0!</v>
      </c>
      <c r="I517" s="2" t="e">
        <f t="shared" si="33"/>
        <v>#DIV/0!</v>
      </c>
      <c r="J517" s="2" t="e">
        <f t="shared" si="34"/>
        <v>#NUM!</v>
      </c>
      <c r="K517">
        <f t="shared" si="35"/>
        <v>0</v>
      </c>
    </row>
    <row r="518" spans="1:11" ht="13.9" x14ac:dyDescent="0.3">
      <c r="A518" s="2" t="s">
        <v>536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 t="e">
        <f t="shared" si="32"/>
        <v>#DIV/0!</v>
      </c>
      <c r="I518" s="2" t="e">
        <f t="shared" si="33"/>
        <v>#DIV/0!</v>
      </c>
      <c r="J518" s="2" t="e">
        <f t="shared" si="34"/>
        <v>#NUM!</v>
      </c>
      <c r="K518">
        <f t="shared" si="35"/>
        <v>0</v>
      </c>
    </row>
    <row r="519" spans="1:11" ht="13.9" x14ac:dyDescent="0.3">
      <c r="A519" s="2" t="s">
        <v>537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32"/>
        <v>#DIV/0!</v>
      </c>
      <c r="I519" s="2" t="e">
        <f t="shared" si="33"/>
        <v>#DIV/0!</v>
      </c>
      <c r="J519" s="2" t="e">
        <f t="shared" si="34"/>
        <v>#NUM!</v>
      </c>
      <c r="K519">
        <f t="shared" si="35"/>
        <v>0</v>
      </c>
    </row>
    <row r="520" spans="1:11" ht="13.9" x14ac:dyDescent="0.3">
      <c r="A520" s="2" t="s">
        <v>541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J520" s="2" t="e">
        <f t="shared" si="34"/>
        <v>#NUM!</v>
      </c>
      <c r="K520">
        <f t="shared" si="35"/>
        <v>0</v>
      </c>
    </row>
    <row r="521" spans="1:11" ht="13.9" x14ac:dyDescent="0.3">
      <c r="A521" s="2" t="s">
        <v>542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32"/>
        <v>#DIV/0!</v>
      </c>
      <c r="I521" s="2" t="e">
        <f t="shared" si="33"/>
        <v>#DIV/0!</v>
      </c>
      <c r="J521" s="2" t="e">
        <f t="shared" si="34"/>
        <v>#NUM!</v>
      </c>
      <c r="K521">
        <f t="shared" si="35"/>
        <v>0</v>
      </c>
    </row>
    <row r="522" spans="1:11" ht="13.9" x14ac:dyDescent="0.3">
      <c r="A522" s="2" t="s">
        <v>549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32"/>
        <v>#DIV/0!</v>
      </c>
      <c r="I522" s="2" t="e">
        <f t="shared" si="33"/>
        <v>#DIV/0!</v>
      </c>
      <c r="J522" s="2" t="e">
        <f t="shared" si="34"/>
        <v>#NUM!</v>
      </c>
      <c r="K522">
        <f t="shared" si="35"/>
        <v>0</v>
      </c>
    </row>
    <row r="523" spans="1:11" ht="13.9" x14ac:dyDescent="0.3">
      <c r="A523" s="2" t="s">
        <v>553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 t="e">
        <f t="shared" si="32"/>
        <v>#DIV/0!</v>
      </c>
      <c r="I523" s="2" t="e">
        <f t="shared" si="33"/>
        <v>#DIV/0!</v>
      </c>
      <c r="J523" s="2" t="e">
        <f t="shared" si="34"/>
        <v>#NUM!</v>
      </c>
      <c r="K523">
        <f t="shared" si="35"/>
        <v>0</v>
      </c>
    </row>
    <row r="524" spans="1:11" ht="13.9" x14ac:dyDescent="0.3">
      <c r="A524" s="2" t="s">
        <v>556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J524" s="2" t="e">
        <f t="shared" si="34"/>
        <v>#NUM!</v>
      </c>
      <c r="K524">
        <f t="shared" si="35"/>
        <v>0</v>
      </c>
    </row>
    <row r="525" spans="1:11" ht="13.9" x14ac:dyDescent="0.3">
      <c r="A525" s="2" t="s">
        <v>559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J525" s="2" t="e">
        <f t="shared" si="34"/>
        <v>#NUM!</v>
      </c>
      <c r="K525">
        <f t="shared" si="35"/>
        <v>0</v>
      </c>
    </row>
    <row r="526" spans="1:11" ht="13.9" x14ac:dyDescent="0.3">
      <c r="A526" s="2" t="s">
        <v>560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 t="e">
        <f t="shared" si="32"/>
        <v>#DIV/0!</v>
      </c>
      <c r="I526" s="2" t="e">
        <f t="shared" si="33"/>
        <v>#DIV/0!</v>
      </c>
      <c r="J526" s="2" t="e">
        <f t="shared" si="34"/>
        <v>#NUM!</v>
      </c>
      <c r="K526">
        <f t="shared" si="35"/>
        <v>0</v>
      </c>
    </row>
    <row r="527" spans="1:11" ht="13.9" x14ac:dyDescent="0.3">
      <c r="A527" s="2" t="s">
        <v>566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 t="e">
        <f t="shared" si="32"/>
        <v>#DIV/0!</v>
      </c>
      <c r="I527" s="2" t="e">
        <f t="shared" si="33"/>
        <v>#DIV/0!</v>
      </c>
      <c r="J527" s="2" t="e">
        <f t="shared" si="34"/>
        <v>#NUM!</v>
      </c>
      <c r="K527">
        <f t="shared" si="35"/>
        <v>0</v>
      </c>
    </row>
    <row r="528" spans="1:11" ht="13.9" x14ac:dyDescent="0.3">
      <c r="A528" s="2" t="s">
        <v>568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 t="e">
        <f t="shared" si="32"/>
        <v>#DIV/0!</v>
      </c>
      <c r="I528" s="2" t="e">
        <f t="shared" si="33"/>
        <v>#DIV/0!</v>
      </c>
      <c r="J528" s="2" t="e">
        <f t="shared" si="34"/>
        <v>#NUM!</v>
      </c>
      <c r="K528">
        <f t="shared" si="35"/>
        <v>0</v>
      </c>
    </row>
    <row r="529" spans="1:11" ht="13.9" x14ac:dyDescent="0.3">
      <c r="A529" s="2" t="s">
        <v>569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 t="e">
        <f t="shared" si="32"/>
        <v>#DIV/0!</v>
      </c>
      <c r="I529" s="2" t="e">
        <f t="shared" si="33"/>
        <v>#DIV/0!</v>
      </c>
      <c r="J529" s="2" t="e">
        <f t="shared" si="34"/>
        <v>#NUM!</v>
      </c>
      <c r="K529">
        <f t="shared" si="35"/>
        <v>0</v>
      </c>
    </row>
    <row r="530" spans="1:11" ht="13.9" x14ac:dyDescent="0.3">
      <c r="A530" s="2" t="s">
        <v>570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J530" s="2" t="e">
        <f t="shared" si="34"/>
        <v>#NUM!</v>
      </c>
      <c r="K530">
        <f t="shared" si="35"/>
        <v>0</v>
      </c>
    </row>
    <row r="531" spans="1:11" ht="13.9" x14ac:dyDescent="0.3">
      <c r="A531" s="2" t="s">
        <v>574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32"/>
        <v>#DIV/0!</v>
      </c>
      <c r="I531" s="2" t="e">
        <f t="shared" si="33"/>
        <v>#DIV/0!</v>
      </c>
      <c r="J531" s="2" t="e">
        <f t="shared" si="34"/>
        <v>#NUM!</v>
      </c>
      <c r="K531">
        <f t="shared" si="35"/>
        <v>0</v>
      </c>
    </row>
    <row r="532" spans="1:11" ht="13.9" x14ac:dyDescent="0.3">
      <c r="A532" s="2" t="s">
        <v>575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J532" s="2" t="e">
        <f t="shared" si="34"/>
        <v>#NUM!</v>
      </c>
      <c r="K532">
        <f t="shared" si="35"/>
        <v>0</v>
      </c>
    </row>
    <row r="533" spans="1:11" ht="13.9" x14ac:dyDescent="0.3">
      <c r="A533" s="2" t="s">
        <v>577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 t="e">
        <f t="shared" si="32"/>
        <v>#DIV/0!</v>
      </c>
      <c r="I533" s="2" t="e">
        <f t="shared" si="33"/>
        <v>#DIV/0!</v>
      </c>
      <c r="J533" s="2" t="e">
        <f t="shared" si="34"/>
        <v>#NUM!</v>
      </c>
      <c r="K533">
        <f t="shared" si="35"/>
        <v>0</v>
      </c>
    </row>
    <row r="534" spans="1:11" ht="13.9" x14ac:dyDescent="0.3">
      <c r="A534" s="2" t="s">
        <v>578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 t="e">
        <f t="shared" si="32"/>
        <v>#DIV/0!</v>
      </c>
      <c r="I534" s="2" t="e">
        <f t="shared" si="33"/>
        <v>#DIV/0!</v>
      </c>
      <c r="J534" s="2" t="e">
        <f t="shared" si="34"/>
        <v>#NUM!</v>
      </c>
      <c r="K534">
        <f t="shared" si="35"/>
        <v>0</v>
      </c>
    </row>
    <row r="535" spans="1:11" ht="13.9" x14ac:dyDescent="0.3">
      <c r="A535" s="2" t="s">
        <v>582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 t="e">
        <f t="shared" si="32"/>
        <v>#DIV/0!</v>
      </c>
      <c r="I535" s="2" t="e">
        <f t="shared" si="33"/>
        <v>#DIV/0!</v>
      </c>
      <c r="J535" s="2" t="e">
        <f t="shared" si="34"/>
        <v>#NUM!</v>
      </c>
      <c r="K535">
        <f t="shared" si="35"/>
        <v>0</v>
      </c>
    </row>
    <row r="536" spans="1:11" ht="13.9" x14ac:dyDescent="0.3">
      <c r="A536" s="2" t="s">
        <v>584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32"/>
        <v>#DIV/0!</v>
      </c>
      <c r="I536" s="2" t="e">
        <f t="shared" si="33"/>
        <v>#DIV/0!</v>
      </c>
      <c r="J536" s="2" t="e">
        <f t="shared" si="34"/>
        <v>#NUM!</v>
      </c>
      <c r="K536">
        <f t="shared" si="35"/>
        <v>0</v>
      </c>
    </row>
    <row r="537" spans="1:11" ht="13.9" x14ac:dyDescent="0.3">
      <c r="A537" s="2" t="s">
        <v>585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32"/>
        <v>#DIV/0!</v>
      </c>
      <c r="I537" s="2" t="e">
        <f t="shared" si="33"/>
        <v>#DIV/0!</v>
      </c>
      <c r="J537" s="2" t="e">
        <f t="shared" si="34"/>
        <v>#NUM!</v>
      </c>
      <c r="K537">
        <f t="shared" si="35"/>
        <v>0</v>
      </c>
    </row>
    <row r="538" spans="1:11" ht="13.9" x14ac:dyDescent="0.3">
      <c r="A538" s="2" t="s">
        <v>592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J538" s="2" t="e">
        <f t="shared" si="34"/>
        <v>#NUM!</v>
      </c>
      <c r="K538">
        <f t="shared" si="35"/>
        <v>0</v>
      </c>
    </row>
    <row r="539" spans="1:11" ht="13.9" x14ac:dyDescent="0.3">
      <c r="A539" s="2" t="s">
        <v>598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32"/>
        <v>#DIV/0!</v>
      </c>
      <c r="I539" s="2" t="e">
        <f t="shared" si="33"/>
        <v>#DIV/0!</v>
      </c>
      <c r="J539" s="2" t="e">
        <f t="shared" si="34"/>
        <v>#NUM!</v>
      </c>
      <c r="K539">
        <f t="shared" si="35"/>
        <v>0</v>
      </c>
    </row>
    <row r="540" spans="1:11" ht="13.9" x14ac:dyDescent="0.3">
      <c r="A540" s="2" t="s">
        <v>601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32"/>
        <v>#DIV/0!</v>
      </c>
      <c r="I540" s="2" t="e">
        <f t="shared" si="33"/>
        <v>#DIV/0!</v>
      </c>
      <c r="J540" s="2" t="e">
        <f t="shared" si="34"/>
        <v>#NUM!</v>
      </c>
      <c r="K540">
        <f t="shared" si="35"/>
        <v>0</v>
      </c>
    </row>
    <row r="541" spans="1:11" ht="13.9" x14ac:dyDescent="0.3">
      <c r="A541" s="2" t="s">
        <v>613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J541" s="2" t="e">
        <f t="shared" si="34"/>
        <v>#NUM!</v>
      </c>
      <c r="K541">
        <f t="shared" si="35"/>
        <v>0</v>
      </c>
    </row>
    <row r="542" spans="1:11" ht="13.9" x14ac:dyDescent="0.3">
      <c r="A542" s="2" t="s">
        <v>615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J542" s="2" t="e">
        <f t="shared" si="34"/>
        <v>#NUM!</v>
      </c>
      <c r="K542">
        <f t="shared" si="35"/>
        <v>0</v>
      </c>
    </row>
    <row r="543" spans="1:11" ht="13.9" x14ac:dyDescent="0.3">
      <c r="A543" s="2" t="s">
        <v>617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32"/>
        <v>#DIV/0!</v>
      </c>
      <c r="I543" s="2" t="e">
        <f t="shared" si="33"/>
        <v>#DIV/0!</v>
      </c>
      <c r="J543" s="2" t="e">
        <f t="shared" si="34"/>
        <v>#NUM!</v>
      </c>
      <c r="K543">
        <f t="shared" si="35"/>
        <v>0</v>
      </c>
    </row>
    <row r="544" spans="1:11" ht="13.9" x14ac:dyDescent="0.3">
      <c r="A544" s="2" t="s">
        <v>619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 t="e">
        <f t="shared" si="32"/>
        <v>#DIV/0!</v>
      </c>
      <c r="I544" s="2" t="e">
        <f t="shared" si="33"/>
        <v>#DIV/0!</v>
      </c>
      <c r="J544" s="2" t="e">
        <f t="shared" si="34"/>
        <v>#NUM!</v>
      </c>
      <c r="K544">
        <f t="shared" si="35"/>
        <v>0</v>
      </c>
    </row>
    <row r="545" spans="1:11" ht="13.9" x14ac:dyDescent="0.3">
      <c r="A545" s="2" t="s">
        <v>621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32"/>
        <v>#DIV/0!</v>
      </c>
      <c r="I545" s="2" t="e">
        <f t="shared" si="33"/>
        <v>#DIV/0!</v>
      </c>
      <c r="J545" s="2" t="e">
        <f t="shared" si="34"/>
        <v>#NUM!</v>
      </c>
      <c r="K545">
        <f t="shared" si="35"/>
        <v>0</v>
      </c>
    </row>
    <row r="546" spans="1:11" ht="13.9" x14ac:dyDescent="0.3">
      <c r="A546" s="2" t="s">
        <v>623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32"/>
        <v>#DIV/0!</v>
      </c>
      <c r="I546" s="2" t="e">
        <f t="shared" si="33"/>
        <v>#DIV/0!</v>
      </c>
      <c r="J546" s="2" t="e">
        <f t="shared" si="34"/>
        <v>#NUM!</v>
      </c>
      <c r="K546">
        <f t="shared" si="35"/>
        <v>0</v>
      </c>
    </row>
    <row r="547" spans="1:11" ht="13.9" x14ac:dyDescent="0.3">
      <c r="A547" s="2" t="s">
        <v>630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J547" s="2" t="e">
        <f t="shared" si="34"/>
        <v>#NUM!</v>
      </c>
      <c r="K547">
        <f t="shared" si="35"/>
        <v>0</v>
      </c>
    </row>
    <row r="548" spans="1:11" ht="13.9" x14ac:dyDescent="0.3">
      <c r="A548" s="2" t="s">
        <v>631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J548" s="2" t="e">
        <f t="shared" si="34"/>
        <v>#NUM!</v>
      </c>
      <c r="K548">
        <f t="shared" si="35"/>
        <v>0</v>
      </c>
    </row>
    <row r="549" spans="1:11" ht="13.9" x14ac:dyDescent="0.3">
      <c r="A549" s="2" t="s">
        <v>632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32"/>
        <v>#DIV/0!</v>
      </c>
      <c r="I549" s="2" t="e">
        <f t="shared" si="33"/>
        <v>#DIV/0!</v>
      </c>
      <c r="J549" s="2" t="e">
        <f t="shared" si="34"/>
        <v>#NUM!</v>
      </c>
      <c r="K549">
        <f t="shared" si="35"/>
        <v>0</v>
      </c>
    </row>
    <row r="550" spans="1:11" ht="13.9" x14ac:dyDescent="0.3">
      <c r="A550" s="2" t="s">
        <v>634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32"/>
        <v>#DIV/0!</v>
      </c>
      <c r="I550" s="2" t="e">
        <f t="shared" si="33"/>
        <v>#DIV/0!</v>
      </c>
      <c r="J550" s="2" t="e">
        <f t="shared" si="34"/>
        <v>#NUM!</v>
      </c>
      <c r="K550">
        <f t="shared" si="35"/>
        <v>0</v>
      </c>
    </row>
    <row r="551" spans="1:11" ht="13.9" x14ac:dyDescent="0.3">
      <c r="A551" s="2" t="s">
        <v>639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32"/>
        <v>#DIV/0!</v>
      </c>
      <c r="I551" s="2" t="e">
        <f t="shared" si="33"/>
        <v>#DIV/0!</v>
      </c>
      <c r="J551" s="2" t="e">
        <f t="shared" si="34"/>
        <v>#NUM!</v>
      </c>
      <c r="K551">
        <f t="shared" si="35"/>
        <v>0</v>
      </c>
    </row>
    <row r="552" spans="1:11" ht="13.9" x14ac:dyDescent="0.3">
      <c r="A552" s="2" t="s">
        <v>640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J552" s="2" t="e">
        <f t="shared" si="34"/>
        <v>#NUM!</v>
      </c>
      <c r="K552">
        <f t="shared" si="35"/>
        <v>0</v>
      </c>
    </row>
    <row r="553" spans="1:11" ht="13.9" x14ac:dyDescent="0.3">
      <c r="A553" s="2" t="s">
        <v>642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32"/>
        <v>#DIV/0!</v>
      </c>
      <c r="I553" s="2" t="e">
        <f t="shared" si="33"/>
        <v>#DIV/0!</v>
      </c>
      <c r="J553" s="2" t="e">
        <f t="shared" si="34"/>
        <v>#NUM!</v>
      </c>
      <c r="K553">
        <f t="shared" si="35"/>
        <v>0</v>
      </c>
    </row>
    <row r="554" spans="1:11" ht="13.9" x14ac:dyDescent="0.3">
      <c r="A554" s="2" t="s">
        <v>643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32"/>
        <v>#DIV/0!</v>
      </c>
      <c r="I554" s="2" t="e">
        <f t="shared" si="33"/>
        <v>#DIV/0!</v>
      </c>
      <c r="J554" s="2" t="e">
        <f t="shared" si="34"/>
        <v>#NUM!</v>
      </c>
      <c r="K554">
        <f t="shared" si="35"/>
        <v>0</v>
      </c>
    </row>
    <row r="555" spans="1:11" ht="13.9" x14ac:dyDescent="0.3">
      <c r="A555" s="2" t="s">
        <v>644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32"/>
        <v>#DIV/0!</v>
      </c>
      <c r="I555" s="2" t="e">
        <f t="shared" si="33"/>
        <v>#DIV/0!</v>
      </c>
      <c r="J555" s="2" t="e">
        <f t="shared" si="34"/>
        <v>#NUM!</v>
      </c>
      <c r="K555">
        <f t="shared" si="35"/>
        <v>0</v>
      </c>
    </row>
    <row r="556" spans="1:11" ht="13.9" x14ac:dyDescent="0.3">
      <c r="A556" s="2" t="s">
        <v>645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32"/>
        <v>#DIV/0!</v>
      </c>
      <c r="I556" s="2" t="e">
        <f t="shared" si="33"/>
        <v>#DIV/0!</v>
      </c>
      <c r="J556" s="2" t="e">
        <f t="shared" si="34"/>
        <v>#NUM!</v>
      </c>
      <c r="K556">
        <f t="shared" si="35"/>
        <v>0</v>
      </c>
    </row>
    <row r="557" spans="1:11" ht="13.9" x14ac:dyDescent="0.3">
      <c r="A557" s="2" t="s">
        <v>646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32"/>
        <v>#DIV/0!</v>
      </c>
      <c r="I557" s="2" t="e">
        <f t="shared" si="33"/>
        <v>#DIV/0!</v>
      </c>
      <c r="J557" s="2" t="e">
        <f t="shared" si="34"/>
        <v>#NUM!</v>
      </c>
      <c r="K557">
        <f t="shared" si="35"/>
        <v>0</v>
      </c>
    </row>
    <row r="558" spans="1:11" ht="13.9" x14ac:dyDescent="0.3">
      <c r="A558" s="2" t="s">
        <v>648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32"/>
        <v>#DIV/0!</v>
      </c>
      <c r="I558" s="2" t="e">
        <f t="shared" si="33"/>
        <v>#DIV/0!</v>
      </c>
      <c r="J558" s="2" t="e">
        <f t="shared" si="34"/>
        <v>#NUM!</v>
      </c>
      <c r="K558">
        <f t="shared" si="35"/>
        <v>0</v>
      </c>
    </row>
    <row r="559" spans="1:11" ht="13.9" x14ac:dyDescent="0.3">
      <c r="A559" s="2" t="s">
        <v>651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 t="e">
        <f t="shared" si="32"/>
        <v>#DIV/0!</v>
      </c>
      <c r="I559" s="2" t="e">
        <f t="shared" si="33"/>
        <v>#DIV/0!</v>
      </c>
      <c r="J559" s="2" t="e">
        <f t="shared" si="34"/>
        <v>#NUM!</v>
      </c>
      <c r="K559">
        <f t="shared" si="35"/>
        <v>0</v>
      </c>
    </row>
    <row r="560" spans="1:11" ht="13.9" x14ac:dyDescent="0.3">
      <c r="A560" s="2" t="s">
        <v>653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J560" s="2" t="e">
        <f t="shared" si="34"/>
        <v>#NUM!</v>
      </c>
      <c r="K560">
        <f t="shared" si="35"/>
        <v>0</v>
      </c>
    </row>
    <row r="561" spans="1:11" ht="13.9" x14ac:dyDescent="0.3">
      <c r="A561" s="2" t="s">
        <v>654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J561" s="2" t="e">
        <f t="shared" si="34"/>
        <v>#NUM!</v>
      </c>
      <c r="K561">
        <f t="shared" si="35"/>
        <v>0</v>
      </c>
    </row>
    <row r="562" spans="1:11" ht="13.9" x14ac:dyDescent="0.3">
      <c r="A562" s="2" t="s">
        <v>655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 t="e">
        <f t="shared" si="33"/>
        <v>#DIV/0!</v>
      </c>
      <c r="J562" s="2" t="e">
        <f t="shared" si="34"/>
        <v>#NUM!</v>
      </c>
      <c r="K562">
        <f t="shared" si="35"/>
        <v>0</v>
      </c>
    </row>
    <row r="563" spans="1:11" ht="13.9" x14ac:dyDescent="0.3">
      <c r="A563" s="2" t="s">
        <v>657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 t="e">
        <f t="shared" si="32"/>
        <v>#DIV/0!</v>
      </c>
      <c r="I563" s="2" t="e">
        <f t="shared" si="33"/>
        <v>#DIV/0!</v>
      </c>
      <c r="J563" s="2" t="e">
        <f t="shared" si="34"/>
        <v>#NUM!</v>
      </c>
      <c r="K563">
        <f t="shared" si="35"/>
        <v>0</v>
      </c>
    </row>
    <row r="564" spans="1:11" ht="13.9" x14ac:dyDescent="0.3">
      <c r="A564" s="2" t="s">
        <v>658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 t="e">
        <f t="shared" si="32"/>
        <v>#DIV/0!</v>
      </c>
      <c r="I564" s="2" t="e">
        <f t="shared" si="33"/>
        <v>#DIV/0!</v>
      </c>
      <c r="J564" s="2" t="e">
        <f t="shared" si="34"/>
        <v>#NUM!</v>
      </c>
      <c r="K564">
        <f t="shared" si="35"/>
        <v>0</v>
      </c>
    </row>
    <row r="565" spans="1:11" ht="13.9" x14ac:dyDescent="0.3">
      <c r="A565" s="2" t="s">
        <v>662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J565" s="2" t="e">
        <f t="shared" si="34"/>
        <v>#NUM!</v>
      </c>
      <c r="K565">
        <f t="shared" si="35"/>
        <v>0</v>
      </c>
    </row>
    <row r="566" spans="1:11" ht="13.9" x14ac:dyDescent="0.3">
      <c r="A566" s="2" t="s">
        <v>664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 t="e">
        <f t="shared" si="33"/>
        <v>#DIV/0!</v>
      </c>
      <c r="J566" s="2" t="e">
        <f t="shared" si="34"/>
        <v>#NUM!</v>
      </c>
      <c r="K566">
        <f t="shared" si="35"/>
        <v>0</v>
      </c>
    </row>
    <row r="567" spans="1:11" ht="13.9" x14ac:dyDescent="0.3">
      <c r="A567" s="2" t="s">
        <v>669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 t="e">
        <f t="shared" si="32"/>
        <v>#DIV/0!</v>
      </c>
      <c r="I567" s="2" t="e">
        <f t="shared" si="33"/>
        <v>#DIV/0!</v>
      </c>
      <c r="J567" s="2" t="e">
        <f t="shared" si="34"/>
        <v>#NUM!</v>
      </c>
      <c r="K567">
        <f t="shared" si="35"/>
        <v>0</v>
      </c>
    </row>
    <row r="568" spans="1:11" ht="13.9" x14ac:dyDescent="0.3">
      <c r="A568" s="2" t="s">
        <v>671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J568" s="2" t="e">
        <f t="shared" si="34"/>
        <v>#NUM!</v>
      </c>
      <c r="K568">
        <f t="shared" si="35"/>
        <v>0</v>
      </c>
    </row>
    <row r="569" spans="1:11" ht="13.9" x14ac:dyDescent="0.3">
      <c r="A569" s="2" t="s">
        <v>677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 t="e">
        <f t="shared" si="32"/>
        <v>#DIV/0!</v>
      </c>
      <c r="I569" s="2" t="e">
        <f t="shared" si="33"/>
        <v>#DIV/0!</v>
      </c>
      <c r="J569" s="2" t="e">
        <f t="shared" si="34"/>
        <v>#NUM!</v>
      </c>
      <c r="K569">
        <f t="shared" si="35"/>
        <v>0</v>
      </c>
    </row>
    <row r="570" spans="1:11" ht="13.9" x14ac:dyDescent="0.3">
      <c r="A570" s="2" t="s">
        <v>679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J570" s="2" t="e">
        <f t="shared" si="34"/>
        <v>#NUM!</v>
      </c>
      <c r="K570">
        <f t="shared" si="35"/>
        <v>0</v>
      </c>
    </row>
    <row r="571" spans="1:11" ht="13.9" x14ac:dyDescent="0.3">
      <c r="A571" s="2" t="s">
        <v>684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 t="e">
        <f t="shared" si="32"/>
        <v>#DIV/0!</v>
      </c>
      <c r="I571" s="2" t="e">
        <f t="shared" si="33"/>
        <v>#DIV/0!</v>
      </c>
      <c r="J571" s="2" t="e">
        <f t="shared" si="34"/>
        <v>#NUM!</v>
      </c>
      <c r="K571">
        <f t="shared" si="35"/>
        <v>0</v>
      </c>
    </row>
    <row r="572" spans="1:11" ht="13.9" x14ac:dyDescent="0.3">
      <c r="A572" s="2" t="s">
        <v>688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 t="e">
        <f t="shared" si="32"/>
        <v>#DIV/0!</v>
      </c>
      <c r="I572" s="2" t="e">
        <f t="shared" si="33"/>
        <v>#DIV/0!</v>
      </c>
      <c r="J572" s="2" t="e">
        <f t="shared" si="34"/>
        <v>#NUM!</v>
      </c>
      <c r="K572">
        <f t="shared" si="35"/>
        <v>0</v>
      </c>
    </row>
    <row r="573" spans="1:11" ht="13.9" x14ac:dyDescent="0.3">
      <c r="A573" s="2" t="s">
        <v>690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 t="e">
        <f t="shared" si="32"/>
        <v>#DIV/0!</v>
      </c>
      <c r="I573" s="2" t="e">
        <f t="shared" si="33"/>
        <v>#DIV/0!</v>
      </c>
      <c r="J573" s="2" t="e">
        <f t="shared" si="34"/>
        <v>#NUM!</v>
      </c>
      <c r="K573">
        <f t="shared" si="35"/>
        <v>0</v>
      </c>
    </row>
    <row r="574" spans="1:11" ht="13.9" x14ac:dyDescent="0.3">
      <c r="A574" s="2" t="s">
        <v>698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 t="e">
        <f t="shared" si="32"/>
        <v>#DIV/0!</v>
      </c>
      <c r="I574" s="2" t="e">
        <f t="shared" si="33"/>
        <v>#DIV/0!</v>
      </c>
      <c r="J574" s="2" t="e">
        <f t="shared" si="34"/>
        <v>#NUM!</v>
      </c>
      <c r="K574">
        <f t="shared" si="35"/>
        <v>0</v>
      </c>
    </row>
    <row r="575" spans="1:11" ht="13.9" x14ac:dyDescent="0.3">
      <c r="A575" s="2" t="s">
        <v>700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J575" s="2" t="e">
        <f t="shared" si="34"/>
        <v>#NUM!</v>
      </c>
      <c r="K575">
        <f t="shared" si="35"/>
        <v>0</v>
      </c>
    </row>
    <row r="576" spans="1:11" ht="13.9" x14ac:dyDescent="0.3">
      <c r="A576" s="2" t="s">
        <v>704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J576" s="2" t="e">
        <f t="shared" si="34"/>
        <v>#NUM!</v>
      </c>
      <c r="K576">
        <f t="shared" si="35"/>
        <v>0</v>
      </c>
    </row>
    <row r="577" spans="1:11" ht="13.9" x14ac:dyDescent="0.3">
      <c r="A577" s="2" t="s">
        <v>705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 t="e">
        <f t="shared" si="32"/>
        <v>#DIV/0!</v>
      </c>
      <c r="I577" s="2" t="e">
        <f t="shared" si="33"/>
        <v>#DIV/0!</v>
      </c>
      <c r="J577" s="2" t="e">
        <f t="shared" si="34"/>
        <v>#NUM!</v>
      </c>
      <c r="K577">
        <f t="shared" si="35"/>
        <v>0</v>
      </c>
    </row>
    <row r="578" spans="1:11" ht="13.9" x14ac:dyDescent="0.3">
      <c r="A578" s="2" t="s">
        <v>706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 t="e">
        <f t="shared" ref="H578:H641" si="36">LOG(SUM(B578:D578)/SUM(E578:G578),2)</f>
        <v>#DIV/0!</v>
      </c>
      <c r="I578" s="2" t="e">
        <f t="shared" ref="I578:I641" si="37">_xlfn.T.TEST(B578:D578,E578:G578,2,2)</f>
        <v>#DIV/0!</v>
      </c>
      <c r="J578" s="2" t="e">
        <f t="shared" ref="J578:J641" si="38">LOG(SUM(B578:D578),2)</f>
        <v>#NUM!</v>
      </c>
      <c r="K578">
        <f t="shared" ref="K578:K641" si="39">AVERAGE(E578:G578)</f>
        <v>0</v>
      </c>
    </row>
    <row r="579" spans="1:11" ht="13.9" x14ac:dyDescent="0.3">
      <c r="A579" s="2" t="s">
        <v>710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 t="e">
        <f t="shared" si="36"/>
        <v>#DIV/0!</v>
      </c>
      <c r="I579" s="2" t="e">
        <f t="shared" si="37"/>
        <v>#DIV/0!</v>
      </c>
      <c r="J579" s="2" t="e">
        <f t="shared" si="38"/>
        <v>#NUM!</v>
      </c>
      <c r="K579">
        <f t="shared" si="39"/>
        <v>0</v>
      </c>
    </row>
    <row r="580" spans="1:11" ht="13.9" x14ac:dyDescent="0.3">
      <c r="A580" s="2" t="s">
        <v>711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 t="e">
        <f t="shared" si="36"/>
        <v>#DIV/0!</v>
      </c>
      <c r="I580" s="2" t="e">
        <f t="shared" si="37"/>
        <v>#DIV/0!</v>
      </c>
      <c r="J580" s="2" t="e">
        <f t="shared" si="38"/>
        <v>#NUM!</v>
      </c>
      <c r="K580">
        <f t="shared" si="39"/>
        <v>0</v>
      </c>
    </row>
    <row r="581" spans="1:11" ht="13.9" x14ac:dyDescent="0.3">
      <c r="A581" s="2" t="s">
        <v>713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 t="e">
        <f t="shared" si="36"/>
        <v>#DIV/0!</v>
      </c>
      <c r="I581" s="2" t="e">
        <f t="shared" si="37"/>
        <v>#DIV/0!</v>
      </c>
      <c r="J581" s="2" t="e">
        <f t="shared" si="38"/>
        <v>#NUM!</v>
      </c>
      <c r="K581">
        <f t="shared" si="39"/>
        <v>0</v>
      </c>
    </row>
    <row r="582" spans="1:11" ht="13.9" x14ac:dyDescent="0.3">
      <c r="A582" s="2" t="s">
        <v>714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36"/>
        <v>#DIV/0!</v>
      </c>
      <c r="I582" s="2" t="e">
        <f t="shared" si="37"/>
        <v>#DIV/0!</v>
      </c>
      <c r="J582" s="2" t="e">
        <f t="shared" si="38"/>
        <v>#NUM!</v>
      </c>
      <c r="K582">
        <f t="shared" si="39"/>
        <v>0</v>
      </c>
    </row>
    <row r="583" spans="1:11" ht="13.9" x14ac:dyDescent="0.3">
      <c r="A583" s="2" t="s">
        <v>726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J583" s="2" t="e">
        <f t="shared" si="38"/>
        <v>#NUM!</v>
      </c>
      <c r="K583">
        <f t="shared" si="39"/>
        <v>0</v>
      </c>
    </row>
    <row r="584" spans="1:11" ht="13.9" x14ac:dyDescent="0.3">
      <c r="A584" s="2" t="s">
        <v>729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J584" s="2" t="e">
        <f t="shared" si="38"/>
        <v>#NUM!</v>
      </c>
      <c r="K584">
        <f t="shared" si="39"/>
        <v>0</v>
      </c>
    </row>
    <row r="585" spans="1:11" ht="13.9" x14ac:dyDescent="0.3">
      <c r="A585" s="2" t="s">
        <v>732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36"/>
        <v>#DIV/0!</v>
      </c>
      <c r="I585" s="2" t="e">
        <f t="shared" si="37"/>
        <v>#DIV/0!</v>
      </c>
      <c r="J585" s="2" t="e">
        <f t="shared" si="38"/>
        <v>#NUM!</v>
      </c>
      <c r="K585">
        <f t="shared" si="39"/>
        <v>0</v>
      </c>
    </row>
    <row r="586" spans="1:11" ht="13.9" x14ac:dyDescent="0.3">
      <c r="A586" s="2" t="s">
        <v>733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 t="e">
        <f t="shared" si="36"/>
        <v>#DIV/0!</v>
      </c>
      <c r="I586" s="2" t="e">
        <f t="shared" si="37"/>
        <v>#DIV/0!</v>
      </c>
      <c r="J586" s="2" t="e">
        <f t="shared" si="38"/>
        <v>#NUM!</v>
      </c>
      <c r="K586">
        <f t="shared" si="39"/>
        <v>0</v>
      </c>
    </row>
    <row r="587" spans="1:11" ht="13.9" x14ac:dyDescent="0.3">
      <c r="A587" s="2" t="s">
        <v>736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 t="e">
        <f t="shared" si="36"/>
        <v>#DIV/0!</v>
      </c>
      <c r="I587" s="2" t="e">
        <f t="shared" si="37"/>
        <v>#DIV/0!</v>
      </c>
      <c r="J587" s="2" t="e">
        <f t="shared" si="38"/>
        <v>#NUM!</v>
      </c>
      <c r="K587">
        <f t="shared" si="39"/>
        <v>0</v>
      </c>
    </row>
    <row r="588" spans="1:11" ht="13.9" x14ac:dyDescent="0.3">
      <c r="A588" s="2" t="s">
        <v>738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 t="e">
        <f t="shared" si="36"/>
        <v>#DIV/0!</v>
      </c>
      <c r="I588" s="2" t="e">
        <f t="shared" si="37"/>
        <v>#DIV/0!</v>
      </c>
      <c r="J588" s="2" t="e">
        <f t="shared" si="38"/>
        <v>#NUM!</v>
      </c>
      <c r="K588">
        <f t="shared" si="39"/>
        <v>0</v>
      </c>
    </row>
    <row r="589" spans="1:11" ht="13.9" x14ac:dyDescent="0.3">
      <c r="A589" s="2" t="s">
        <v>742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 t="e">
        <f t="shared" si="36"/>
        <v>#DIV/0!</v>
      </c>
      <c r="I589" s="2" t="e">
        <f t="shared" si="37"/>
        <v>#DIV/0!</v>
      </c>
      <c r="J589" s="2" t="e">
        <f t="shared" si="38"/>
        <v>#NUM!</v>
      </c>
      <c r="K589">
        <f t="shared" si="39"/>
        <v>0</v>
      </c>
    </row>
    <row r="590" spans="1:11" ht="13.9" x14ac:dyDescent="0.3">
      <c r="A590" s="2" t="s">
        <v>744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 t="e">
        <f t="shared" si="36"/>
        <v>#DIV/0!</v>
      </c>
      <c r="I590" s="2" t="e">
        <f t="shared" si="37"/>
        <v>#DIV/0!</v>
      </c>
      <c r="J590" s="2" t="e">
        <f t="shared" si="38"/>
        <v>#NUM!</v>
      </c>
      <c r="K590">
        <f t="shared" si="39"/>
        <v>0</v>
      </c>
    </row>
    <row r="591" spans="1:11" ht="13.9" x14ac:dyDescent="0.3">
      <c r="A591" s="2" t="s">
        <v>750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 t="e">
        <f t="shared" si="36"/>
        <v>#DIV/0!</v>
      </c>
      <c r="I591" s="2" t="e">
        <f t="shared" si="37"/>
        <v>#DIV/0!</v>
      </c>
      <c r="J591" s="2" t="e">
        <f t="shared" si="38"/>
        <v>#NUM!</v>
      </c>
      <c r="K591">
        <f t="shared" si="39"/>
        <v>0</v>
      </c>
    </row>
    <row r="592" spans="1:11" ht="13.9" x14ac:dyDescent="0.3">
      <c r="A592" s="2" t="s">
        <v>753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J592" s="2" t="e">
        <f t="shared" si="38"/>
        <v>#NUM!</v>
      </c>
      <c r="K592">
        <f t="shared" si="39"/>
        <v>0</v>
      </c>
    </row>
    <row r="593" spans="1:11" ht="13.9" x14ac:dyDescent="0.3">
      <c r="A593" s="2" t="s">
        <v>755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 t="e">
        <f t="shared" si="36"/>
        <v>#DIV/0!</v>
      </c>
      <c r="I593" s="2" t="e">
        <f t="shared" si="37"/>
        <v>#DIV/0!</v>
      </c>
      <c r="J593" s="2" t="e">
        <f t="shared" si="38"/>
        <v>#NUM!</v>
      </c>
      <c r="K593">
        <f t="shared" si="39"/>
        <v>0</v>
      </c>
    </row>
    <row r="594" spans="1:11" ht="13.9" x14ac:dyDescent="0.3">
      <c r="A594" s="2" t="s">
        <v>756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 t="e">
        <f t="shared" si="36"/>
        <v>#DIV/0!</v>
      </c>
      <c r="I594" s="2" t="e">
        <f t="shared" si="37"/>
        <v>#DIV/0!</v>
      </c>
      <c r="J594" s="2" t="e">
        <f t="shared" si="38"/>
        <v>#NUM!</v>
      </c>
      <c r="K594">
        <f t="shared" si="39"/>
        <v>0</v>
      </c>
    </row>
    <row r="595" spans="1:11" ht="13.9" x14ac:dyDescent="0.3">
      <c r="A595" s="2" t="s">
        <v>758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 t="e">
        <f t="shared" si="36"/>
        <v>#DIV/0!</v>
      </c>
      <c r="I595" s="2" t="e">
        <f t="shared" si="37"/>
        <v>#DIV/0!</v>
      </c>
      <c r="J595" s="2" t="e">
        <f t="shared" si="38"/>
        <v>#NUM!</v>
      </c>
      <c r="K595">
        <f t="shared" si="39"/>
        <v>0</v>
      </c>
    </row>
    <row r="596" spans="1:11" ht="13.9" x14ac:dyDescent="0.3">
      <c r="A596" s="2" t="s">
        <v>759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J596" s="2" t="e">
        <f t="shared" si="38"/>
        <v>#NUM!</v>
      </c>
      <c r="K596">
        <f t="shared" si="39"/>
        <v>0</v>
      </c>
    </row>
    <row r="597" spans="1:11" ht="13.9" x14ac:dyDescent="0.3">
      <c r="A597" s="2" t="s">
        <v>760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36"/>
        <v>#DIV/0!</v>
      </c>
      <c r="I597" s="2" t="e">
        <f t="shared" si="37"/>
        <v>#DIV/0!</v>
      </c>
      <c r="J597" s="2" t="e">
        <f t="shared" si="38"/>
        <v>#NUM!</v>
      </c>
      <c r="K597">
        <f t="shared" si="39"/>
        <v>0</v>
      </c>
    </row>
    <row r="598" spans="1:11" ht="13.9" x14ac:dyDescent="0.3">
      <c r="A598" s="2" t="s">
        <v>761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 t="e">
        <f t="shared" si="36"/>
        <v>#DIV/0!</v>
      </c>
      <c r="I598" s="2" t="e">
        <f t="shared" si="37"/>
        <v>#DIV/0!</v>
      </c>
      <c r="J598" s="2" t="e">
        <f t="shared" si="38"/>
        <v>#NUM!</v>
      </c>
      <c r="K598">
        <f t="shared" si="39"/>
        <v>0</v>
      </c>
    </row>
    <row r="599" spans="1:11" ht="13.9" x14ac:dyDescent="0.3">
      <c r="A599" s="2" t="s">
        <v>762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J599" s="2" t="e">
        <f t="shared" si="38"/>
        <v>#NUM!</v>
      </c>
      <c r="K599">
        <f t="shared" si="39"/>
        <v>0</v>
      </c>
    </row>
    <row r="600" spans="1:11" ht="13.9" x14ac:dyDescent="0.3">
      <c r="A600" s="2" t="s">
        <v>767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J600" s="2" t="e">
        <f t="shared" si="38"/>
        <v>#NUM!</v>
      </c>
      <c r="K600">
        <f t="shared" si="39"/>
        <v>0</v>
      </c>
    </row>
    <row r="601" spans="1:11" ht="13.9" x14ac:dyDescent="0.3">
      <c r="A601" s="2" t="s">
        <v>770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 t="e">
        <f t="shared" si="36"/>
        <v>#DIV/0!</v>
      </c>
      <c r="I601" s="2" t="e">
        <f t="shared" si="37"/>
        <v>#DIV/0!</v>
      </c>
      <c r="J601" s="2" t="e">
        <f t="shared" si="38"/>
        <v>#NUM!</v>
      </c>
      <c r="K601">
        <f t="shared" si="39"/>
        <v>0</v>
      </c>
    </row>
    <row r="602" spans="1:11" ht="13.9" x14ac:dyDescent="0.3">
      <c r="A602" s="2" t="s">
        <v>780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J602" s="2" t="e">
        <f t="shared" si="38"/>
        <v>#NUM!</v>
      </c>
      <c r="K602">
        <f t="shared" si="39"/>
        <v>0</v>
      </c>
    </row>
    <row r="603" spans="1:11" ht="13.9" x14ac:dyDescent="0.3">
      <c r="A603" s="2" t="s">
        <v>783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J603" s="2" t="e">
        <f t="shared" si="38"/>
        <v>#NUM!</v>
      </c>
      <c r="K603">
        <f t="shared" si="39"/>
        <v>0</v>
      </c>
    </row>
    <row r="604" spans="1:11" ht="13.9" x14ac:dyDescent="0.3">
      <c r="A604" s="2" t="s">
        <v>787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J604" s="2" t="e">
        <f t="shared" si="38"/>
        <v>#NUM!</v>
      </c>
      <c r="K604">
        <f t="shared" si="39"/>
        <v>0</v>
      </c>
    </row>
    <row r="605" spans="1:11" ht="13.9" x14ac:dyDescent="0.3">
      <c r="A605" s="2" t="s">
        <v>789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 t="e">
        <f t="shared" si="36"/>
        <v>#DIV/0!</v>
      </c>
      <c r="I605" s="2" t="e">
        <f t="shared" si="37"/>
        <v>#DIV/0!</v>
      </c>
      <c r="J605" s="2" t="e">
        <f t="shared" si="38"/>
        <v>#NUM!</v>
      </c>
      <c r="K605">
        <f t="shared" si="39"/>
        <v>0</v>
      </c>
    </row>
    <row r="606" spans="1:11" ht="13.9" x14ac:dyDescent="0.3">
      <c r="A606" s="2" t="s">
        <v>793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 t="e">
        <f t="shared" si="36"/>
        <v>#DIV/0!</v>
      </c>
      <c r="I606" s="2" t="e">
        <f t="shared" si="37"/>
        <v>#DIV/0!</v>
      </c>
      <c r="J606" s="2" t="e">
        <f t="shared" si="38"/>
        <v>#NUM!</v>
      </c>
      <c r="K606">
        <f t="shared" si="39"/>
        <v>0</v>
      </c>
    </row>
    <row r="607" spans="1:11" ht="13.9" x14ac:dyDescent="0.3">
      <c r="A607" s="2" t="s">
        <v>795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 t="e">
        <f t="shared" si="36"/>
        <v>#DIV/0!</v>
      </c>
      <c r="I607" s="2" t="e">
        <f t="shared" si="37"/>
        <v>#DIV/0!</v>
      </c>
      <c r="J607" s="2" t="e">
        <f t="shared" si="38"/>
        <v>#NUM!</v>
      </c>
      <c r="K607">
        <f t="shared" si="39"/>
        <v>0</v>
      </c>
    </row>
    <row r="608" spans="1:11" ht="13.9" x14ac:dyDescent="0.3">
      <c r="A608" s="2" t="s">
        <v>796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 t="e">
        <f t="shared" si="36"/>
        <v>#DIV/0!</v>
      </c>
      <c r="I608" s="2" t="e">
        <f t="shared" si="37"/>
        <v>#DIV/0!</v>
      </c>
      <c r="J608" s="2" t="e">
        <f t="shared" si="38"/>
        <v>#NUM!</v>
      </c>
      <c r="K608">
        <f t="shared" si="39"/>
        <v>0</v>
      </c>
    </row>
    <row r="609" spans="1:11" ht="13.9" x14ac:dyDescent="0.3">
      <c r="A609" s="2" t="s">
        <v>797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 t="e">
        <f t="shared" si="36"/>
        <v>#DIV/0!</v>
      </c>
      <c r="I609" s="2" t="e">
        <f t="shared" si="37"/>
        <v>#DIV/0!</v>
      </c>
      <c r="J609" s="2" t="e">
        <f t="shared" si="38"/>
        <v>#NUM!</v>
      </c>
      <c r="K609">
        <f t="shared" si="39"/>
        <v>0</v>
      </c>
    </row>
    <row r="610" spans="1:11" ht="13.9" x14ac:dyDescent="0.3">
      <c r="A610" s="2" t="s">
        <v>800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 t="e">
        <f t="shared" si="36"/>
        <v>#DIV/0!</v>
      </c>
      <c r="I610" s="2" t="e">
        <f t="shared" si="37"/>
        <v>#DIV/0!</v>
      </c>
      <c r="J610" s="2" t="e">
        <f t="shared" si="38"/>
        <v>#NUM!</v>
      </c>
      <c r="K610">
        <f t="shared" si="39"/>
        <v>0</v>
      </c>
    </row>
    <row r="611" spans="1:11" ht="13.9" x14ac:dyDescent="0.3">
      <c r="A611" s="2" t="s">
        <v>801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 t="e">
        <f t="shared" si="36"/>
        <v>#DIV/0!</v>
      </c>
      <c r="I611" s="2" t="e">
        <f t="shared" si="37"/>
        <v>#DIV/0!</v>
      </c>
      <c r="J611" s="2" t="e">
        <f t="shared" si="38"/>
        <v>#NUM!</v>
      </c>
      <c r="K611">
        <f t="shared" si="39"/>
        <v>0</v>
      </c>
    </row>
    <row r="612" spans="1:11" ht="13.9" x14ac:dyDescent="0.3">
      <c r="A612" s="2" t="s">
        <v>802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 t="e">
        <f t="shared" si="36"/>
        <v>#DIV/0!</v>
      </c>
      <c r="I612" s="2" t="e">
        <f t="shared" si="37"/>
        <v>#DIV/0!</v>
      </c>
      <c r="J612" s="2" t="e">
        <f t="shared" si="38"/>
        <v>#NUM!</v>
      </c>
      <c r="K612">
        <f t="shared" si="39"/>
        <v>0</v>
      </c>
    </row>
    <row r="613" spans="1:11" ht="13.9" x14ac:dyDescent="0.3">
      <c r="A613" s="2" t="s">
        <v>804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J613" s="2" t="e">
        <f t="shared" si="38"/>
        <v>#NUM!</v>
      </c>
      <c r="K613">
        <f t="shared" si="39"/>
        <v>0</v>
      </c>
    </row>
    <row r="614" spans="1:11" ht="13.9" x14ac:dyDescent="0.3">
      <c r="A614" s="2" t="s">
        <v>806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 t="e">
        <f t="shared" si="36"/>
        <v>#DIV/0!</v>
      </c>
      <c r="I614" s="2" t="e">
        <f t="shared" si="37"/>
        <v>#DIV/0!</v>
      </c>
      <c r="J614" s="2" t="e">
        <f t="shared" si="38"/>
        <v>#NUM!</v>
      </c>
      <c r="K614">
        <f t="shared" si="39"/>
        <v>0</v>
      </c>
    </row>
    <row r="615" spans="1:11" ht="13.9" x14ac:dyDescent="0.3">
      <c r="A615" s="2" t="s">
        <v>813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J615" s="2" t="e">
        <f t="shared" si="38"/>
        <v>#NUM!</v>
      </c>
      <c r="K615">
        <f t="shared" si="39"/>
        <v>0</v>
      </c>
    </row>
    <row r="616" spans="1:11" ht="13.9" x14ac:dyDescent="0.3">
      <c r="A616" s="2" t="s">
        <v>816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 t="e">
        <f t="shared" si="36"/>
        <v>#DIV/0!</v>
      </c>
      <c r="I616" s="2" t="e">
        <f t="shared" si="37"/>
        <v>#DIV/0!</v>
      </c>
      <c r="J616" s="2" t="e">
        <f t="shared" si="38"/>
        <v>#NUM!</v>
      </c>
      <c r="K616">
        <f t="shared" si="39"/>
        <v>0</v>
      </c>
    </row>
    <row r="617" spans="1:11" ht="13.9" x14ac:dyDescent="0.3">
      <c r="A617" s="2" t="s">
        <v>817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J617" s="2" t="e">
        <f t="shared" si="38"/>
        <v>#NUM!</v>
      </c>
      <c r="K617">
        <f t="shared" si="39"/>
        <v>0</v>
      </c>
    </row>
    <row r="618" spans="1:11" ht="13.9" x14ac:dyDescent="0.3">
      <c r="A618" s="2" t="s">
        <v>818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 t="e">
        <f t="shared" si="36"/>
        <v>#DIV/0!</v>
      </c>
      <c r="I618" s="2" t="e">
        <f t="shared" si="37"/>
        <v>#DIV/0!</v>
      </c>
      <c r="J618" s="2" t="e">
        <f t="shared" si="38"/>
        <v>#NUM!</v>
      </c>
      <c r="K618">
        <f t="shared" si="39"/>
        <v>0</v>
      </c>
    </row>
    <row r="619" spans="1:11" ht="13.9" x14ac:dyDescent="0.3">
      <c r="A619" s="2" t="s">
        <v>821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 t="e">
        <f t="shared" si="36"/>
        <v>#DIV/0!</v>
      </c>
      <c r="I619" s="2" t="e">
        <f t="shared" si="37"/>
        <v>#DIV/0!</v>
      </c>
      <c r="J619" s="2" t="e">
        <f t="shared" si="38"/>
        <v>#NUM!</v>
      </c>
      <c r="K619">
        <f t="shared" si="39"/>
        <v>0</v>
      </c>
    </row>
    <row r="620" spans="1:11" ht="13.9" x14ac:dyDescent="0.3">
      <c r="A620" s="2" t="s">
        <v>822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 t="e">
        <f t="shared" si="36"/>
        <v>#DIV/0!</v>
      </c>
      <c r="I620" s="2" t="e">
        <f t="shared" si="37"/>
        <v>#DIV/0!</v>
      </c>
      <c r="J620" s="2" t="e">
        <f t="shared" si="38"/>
        <v>#NUM!</v>
      </c>
      <c r="K620">
        <f t="shared" si="39"/>
        <v>0</v>
      </c>
    </row>
    <row r="621" spans="1:11" ht="13.9" x14ac:dyDescent="0.3">
      <c r="A621" s="2" t="s">
        <v>823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 t="e">
        <f t="shared" si="36"/>
        <v>#DIV/0!</v>
      </c>
      <c r="I621" s="2" t="e">
        <f t="shared" si="37"/>
        <v>#DIV/0!</v>
      </c>
      <c r="J621" s="2" t="e">
        <f t="shared" si="38"/>
        <v>#NUM!</v>
      </c>
      <c r="K621">
        <f t="shared" si="39"/>
        <v>0</v>
      </c>
    </row>
    <row r="622" spans="1:11" ht="13.9" x14ac:dyDescent="0.3">
      <c r="A622" s="2" t="s">
        <v>824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J622" s="2" t="e">
        <f t="shared" si="38"/>
        <v>#NUM!</v>
      </c>
      <c r="K622">
        <f t="shared" si="39"/>
        <v>0</v>
      </c>
    </row>
    <row r="623" spans="1:11" ht="13.9" x14ac:dyDescent="0.3">
      <c r="A623" s="2" t="s">
        <v>825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J623" s="2" t="e">
        <f t="shared" si="38"/>
        <v>#NUM!</v>
      </c>
      <c r="K623">
        <f t="shared" si="39"/>
        <v>0</v>
      </c>
    </row>
    <row r="624" spans="1:11" ht="13.9" x14ac:dyDescent="0.3">
      <c r="A624" s="2" t="s">
        <v>826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 t="e">
        <f t="shared" si="36"/>
        <v>#DIV/0!</v>
      </c>
      <c r="I624" s="2" t="e">
        <f t="shared" si="37"/>
        <v>#DIV/0!</v>
      </c>
      <c r="J624" s="2" t="e">
        <f t="shared" si="38"/>
        <v>#NUM!</v>
      </c>
      <c r="K624">
        <f t="shared" si="39"/>
        <v>0</v>
      </c>
    </row>
    <row r="625" spans="1:11" ht="13.9" x14ac:dyDescent="0.3">
      <c r="A625" s="2" t="s">
        <v>827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J625" s="2" t="e">
        <f t="shared" si="38"/>
        <v>#NUM!</v>
      </c>
      <c r="K625">
        <f t="shared" si="39"/>
        <v>0</v>
      </c>
    </row>
    <row r="626" spans="1:11" ht="13.9" x14ac:dyDescent="0.3">
      <c r="A626" s="2" t="s">
        <v>830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J626" s="2" t="e">
        <f t="shared" si="38"/>
        <v>#NUM!</v>
      </c>
      <c r="K626">
        <f t="shared" si="39"/>
        <v>0</v>
      </c>
    </row>
    <row r="627" spans="1:11" ht="13.9" x14ac:dyDescent="0.3">
      <c r="A627" s="2" t="s">
        <v>831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J627" s="2" t="e">
        <f t="shared" si="38"/>
        <v>#NUM!</v>
      </c>
      <c r="K627">
        <f t="shared" si="39"/>
        <v>0</v>
      </c>
    </row>
    <row r="628" spans="1:11" ht="13.9" x14ac:dyDescent="0.3">
      <c r="A628" s="2" t="s">
        <v>833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J628" s="2" t="e">
        <f t="shared" si="38"/>
        <v>#NUM!</v>
      </c>
      <c r="K628">
        <f t="shared" si="39"/>
        <v>0</v>
      </c>
    </row>
    <row r="629" spans="1:11" ht="13.9" x14ac:dyDescent="0.3">
      <c r="A629" s="2" t="s">
        <v>836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 t="e">
        <f t="shared" si="36"/>
        <v>#DIV/0!</v>
      </c>
      <c r="I629" s="2" t="e">
        <f t="shared" si="37"/>
        <v>#DIV/0!</v>
      </c>
      <c r="J629" s="2" t="e">
        <f t="shared" si="38"/>
        <v>#NUM!</v>
      </c>
      <c r="K629">
        <f t="shared" si="39"/>
        <v>0</v>
      </c>
    </row>
    <row r="630" spans="1:11" ht="13.9" x14ac:dyDescent="0.3">
      <c r="A630" s="2" t="s">
        <v>837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36"/>
        <v>#DIV/0!</v>
      </c>
      <c r="I630" s="2" t="e">
        <f t="shared" si="37"/>
        <v>#DIV/0!</v>
      </c>
      <c r="J630" s="2" t="e">
        <f t="shared" si="38"/>
        <v>#NUM!</v>
      </c>
      <c r="K630">
        <f t="shared" si="39"/>
        <v>0</v>
      </c>
    </row>
    <row r="631" spans="1:11" ht="13.9" x14ac:dyDescent="0.3">
      <c r="A631" s="2" t="s">
        <v>838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J631" s="2" t="e">
        <f t="shared" si="38"/>
        <v>#NUM!</v>
      </c>
      <c r="K631">
        <f t="shared" si="39"/>
        <v>0</v>
      </c>
    </row>
    <row r="632" spans="1:11" ht="13.9" x14ac:dyDescent="0.3">
      <c r="A632" s="2" t="s">
        <v>839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J632" s="2" t="e">
        <f t="shared" si="38"/>
        <v>#NUM!</v>
      </c>
      <c r="K632">
        <f t="shared" si="39"/>
        <v>0</v>
      </c>
    </row>
    <row r="633" spans="1:11" ht="13.9" x14ac:dyDescent="0.3">
      <c r="A633" s="2" t="s">
        <v>840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 t="e">
        <f t="shared" si="36"/>
        <v>#DIV/0!</v>
      </c>
      <c r="I633" s="2" t="e">
        <f t="shared" si="37"/>
        <v>#DIV/0!</v>
      </c>
      <c r="J633" s="2" t="e">
        <f t="shared" si="38"/>
        <v>#NUM!</v>
      </c>
      <c r="K633">
        <f t="shared" si="39"/>
        <v>0</v>
      </c>
    </row>
    <row r="634" spans="1:11" ht="13.9" x14ac:dyDescent="0.3">
      <c r="A634" s="2" t="s">
        <v>841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J634" s="2" t="e">
        <f t="shared" si="38"/>
        <v>#NUM!</v>
      </c>
      <c r="K634">
        <f t="shared" si="39"/>
        <v>0</v>
      </c>
    </row>
    <row r="635" spans="1:11" ht="13.9" x14ac:dyDescent="0.3">
      <c r="A635" s="2" t="s">
        <v>842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 t="e">
        <f t="shared" si="36"/>
        <v>#DIV/0!</v>
      </c>
      <c r="I635" s="2" t="e">
        <f t="shared" si="37"/>
        <v>#DIV/0!</v>
      </c>
      <c r="J635" s="2" t="e">
        <f t="shared" si="38"/>
        <v>#NUM!</v>
      </c>
      <c r="K635">
        <f t="shared" si="39"/>
        <v>0</v>
      </c>
    </row>
    <row r="636" spans="1:11" ht="13.9" x14ac:dyDescent="0.3">
      <c r="A636" s="2" t="s">
        <v>843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 t="e">
        <f t="shared" si="36"/>
        <v>#DIV/0!</v>
      </c>
      <c r="I636" s="2" t="e">
        <f t="shared" si="37"/>
        <v>#DIV/0!</v>
      </c>
      <c r="J636" s="2" t="e">
        <f t="shared" si="38"/>
        <v>#NUM!</v>
      </c>
      <c r="K636">
        <f t="shared" si="39"/>
        <v>0</v>
      </c>
    </row>
    <row r="637" spans="1:11" ht="13.9" x14ac:dyDescent="0.3">
      <c r="A637" s="2" t="s">
        <v>845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J637" s="2" t="e">
        <f t="shared" si="38"/>
        <v>#NUM!</v>
      </c>
      <c r="K637">
        <f t="shared" si="39"/>
        <v>0</v>
      </c>
    </row>
    <row r="638" spans="1:11" ht="13.9" x14ac:dyDescent="0.3">
      <c r="A638" s="2" t="s">
        <v>847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J638" s="2" t="e">
        <f t="shared" si="38"/>
        <v>#NUM!</v>
      </c>
      <c r="K638">
        <f t="shared" si="39"/>
        <v>0</v>
      </c>
    </row>
    <row r="639" spans="1:11" ht="13.9" x14ac:dyDescent="0.3">
      <c r="A639" s="2" t="s">
        <v>850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 t="e">
        <f t="shared" si="36"/>
        <v>#DIV/0!</v>
      </c>
      <c r="I639" s="2" t="e">
        <f t="shared" si="37"/>
        <v>#DIV/0!</v>
      </c>
      <c r="J639" s="2" t="e">
        <f t="shared" si="38"/>
        <v>#NUM!</v>
      </c>
      <c r="K639">
        <f t="shared" si="39"/>
        <v>0</v>
      </c>
    </row>
    <row r="640" spans="1:11" ht="13.9" x14ac:dyDescent="0.3">
      <c r="A640" s="2" t="s">
        <v>851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J640" s="2" t="e">
        <f t="shared" si="38"/>
        <v>#NUM!</v>
      </c>
      <c r="K640">
        <f t="shared" si="39"/>
        <v>0</v>
      </c>
    </row>
    <row r="641" spans="1:11" ht="13.9" x14ac:dyDescent="0.3">
      <c r="A641" s="2" t="s">
        <v>854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J641" s="2" t="e">
        <f t="shared" si="38"/>
        <v>#NUM!</v>
      </c>
      <c r="K641">
        <f t="shared" si="39"/>
        <v>0</v>
      </c>
    </row>
    <row r="642" spans="1:11" ht="13.9" x14ac:dyDescent="0.3">
      <c r="A642" s="2" t="s">
        <v>856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 t="e">
        <f t="shared" ref="H642:H705" si="40">LOG(SUM(B642:D642)/SUM(E642:G642),2)</f>
        <v>#DIV/0!</v>
      </c>
      <c r="I642" s="2" t="e">
        <f t="shared" ref="I642:I705" si="41">_xlfn.T.TEST(B642:D642,E642:G642,2,2)</f>
        <v>#DIV/0!</v>
      </c>
      <c r="J642" s="2" t="e">
        <f t="shared" ref="J642:J705" si="42">LOG(SUM(B642:D642),2)</f>
        <v>#NUM!</v>
      </c>
      <c r="K642">
        <f t="shared" ref="K642:K705" si="43">AVERAGE(E642:G642)</f>
        <v>0</v>
      </c>
    </row>
    <row r="643" spans="1:11" ht="13.9" x14ac:dyDescent="0.3">
      <c r="A643" s="2" t="s">
        <v>857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 t="e">
        <f t="shared" si="40"/>
        <v>#DIV/0!</v>
      </c>
      <c r="I643" s="2" t="e">
        <f t="shared" si="41"/>
        <v>#DIV/0!</v>
      </c>
      <c r="J643" s="2" t="e">
        <f t="shared" si="42"/>
        <v>#NUM!</v>
      </c>
      <c r="K643">
        <f t="shared" si="43"/>
        <v>0</v>
      </c>
    </row>
    <row r="644" spans="1:11" ht="13.9" x14ac:dyDescent="0.3">
      <c r="A644" s="2" t="s">
        <v>859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 t="e">
        <f t="shared" si="40"/>
        <v>#DIV/0!</v>
      </c>
      <c r="I644" s="2" t="e">
        <f t="shared" si="41"/>
        <v>#DIV/0!</v>
      </c>
      <c r="J644" s="2" t="e">
        <f t="shared" si="42"/>
        <v>#NUM!</v>
      </c>
      <c r="K644">
        <f t="shared" si="43"/>
        <v>0</v>
      </c>
    </row>
    <row r="645" spans="1:11" ht="13.9" x14ac:dyDescent="0.3">
      <c r="A645" s="2" t="s">
        <v>862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J645" s="2" t="e">
        <f t="shared" si="42"/>
        <v>#NUM!</v>
      </c>
      <c r="K645">
        <f t="shared" si="43"/>
        <v>0</v>
      </c>
    </row>
    <row r="646" spans="1:11" ht="13.9" x14ac:dyDescent="0.3">
      <c r="A646" s="2" t="s">
        <v>863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 t="e">
        <f t="shared" si="40"/>
        <v>#DIV/0!</v>
      </c>
      <c r="I646" s="2" t="e">
        <f t="shared" si="41"/>
        <v>#DIV/0!</v>
      </c>
      <c r="J646" s="2" t="e">
        <f t="shared" si="42"/>
        <v>#NUM!</v>
      </c>
      <c r="K646">
        <f t="shared" si="43"/>
        <v>0</v>
      </c>
    </row>
    <row r="647" spans="1:11" ht="13.9" x14ac:dyDescent="0.3">
      <c r="A647" s="2" t="s">
        <v>864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J647" s="2" t="e">
        <f t="shared" si="42"/>
        <v>#NUM!</v>
      </c>
      <c r="K647">
        <f t="shared" si="43"/>
        <v>0</v>
      </c>
    </row>
    <row r="648" spans="1:11" ht="13.9" x14ac:dyDescent="0.3">
      <c r="A648" s="2" t="s">
        <v>865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 t="e">
        <f t="shared" si="40"/>
        <v>#DIV/0!</v>
      </c>
      <c r="I648" s="2" t="e">
        <f t="shared" si="41"/>
        <v>#DIV/0!</v>
      </c>
      <c r="J648" s="2" t="e">
        <f t="shared" si="42"/>
        <v>#NUM!</v>
      </c>
      <c r="K648">
        <f t="shared" si="43"/>
        <v>0</v>
      </c>
    </row>
    <row r="649" spans="1:11" ht="13.9" x14ac:dyDescent="0.3">
      <c r="A649" s="2" t="s">
        <v>866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 t="e">
        <f t="shared" si="40"/>
        <v>#DIV/0!</v>
      </c>
      <c r="I649" s="2" t="e">
        <f t="shared" si="41"/>
        <v>#DIV/0!</v>
      </c>
      <c r="J649" s="2" t="e">
        <f t="shared" si="42"/>
        <v>#NUM!</v>
      </c>
      <c r="K649">
        <f t="shared" si="43"/>
        <v>0</v>
      </c>
    </row>
    <row r="650" spans="1:11" ht="13.9" x14ac:dyDescent="0.3">
      <c r="A650" s="2" t="s">
        <v>870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 t="e">
        <f t="shared" si="40"/>
        <v>#DIV/0!</v>
      </c>
      <c r="I650" s="2" t="e">
        <f t="shared" si="41"/>
        <v>#DIV/0!</v>
      </c>
      <c r="J650" s="2" t="e">
        <f t="shared" si="42"/>
        <v>#NUM!</v>
      </c>
      <c r="K650">
        <f t="shared" si="43"/>
        <v>0</v>
      </c>
    </row>
    <row r="651" spans="1:11" ht="13.9" x14ac:dyDescent="0.3">
      <c r="A651" s="2" t="s">
        <v>873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 t="e">
        <f t="shared" si="40"/>
        <v>#DIV/0!</v>
      </c>
      <c r="I651" s="2" t="e">
        <f t="shared" si="41"/>
        <v>#DIV/0!</v>
      </c>
      <c r="J651" s="2" t="e">
        <f t="shared" si="42"/>
        <v>#NUM!</v>
      </c>
      <c r="K651">
        <f t="shared" si="43"/>
        <v>0</v>
      </c>
    </row>
    <row r="652" spans="1:11" ht="13.9" x14ac:dyDescent="0.3">
      <c r="A652" s="2" t="s">
        <v>874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J652" s="2" t="e">
        <f t="shared" si="42"/>
        <v>#NUM!</v>
      </c>
      <c r="K652">
        <f t="shared" si="43"/>
        <v>0</v>
      </c>
    </row>
    <row r="653" spans="1:11" ht="13.9" x14ac:dyDescent="0.3">
      <c r="A653" s="2" t="s">
        <v>876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J653" s="2" t="e">
        <f t="shared" si="42"/>
        <v>#NUM!</v>
      </c>
      <c r="K653">
        <f t="shared" si="43"/>
        <v>0</v>
      </c>
    </row>
    <row r="654" spans="1:11" ht="13.9" x14ac:dyDescent="0.3">
      <c r="A654" s="2" t="s">
        <v>878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J654" s="2" t="e">
        <f t="shared" si="42"/>
        <v>#NUM!</v>
      </c>
      <c r="K654">
        <f t="shared" si="43"/>
        <v>0</v>
      </c>
    </row>
    <row r="655" spans="1:11" ht="13.9" x14ac:dyDescent="0.3">
      <c r="A655" s="2" t="s">
        <v>879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 t="e">
        <f t="shared" si="40"/>
        <v>#DIV/0!</v>
      </c>
      <c r="I655" s="2" t="e">
        <f t="shared" si="41"/>
        <v>#DIV/0!</v>
      </c>
      <c r="J655" s="2" t="e">
        <f t="shared" si="42"/>
        <v>#NUM!</v>
      </c>
      <c r="K655">
        <f t="shared" si="43"/>
        <v>0</v>
      </c>
    </row>
    <row r="656" spans="1:11" ht="13.9" x14ac:dyDescent="0.3">
      <c r="A656" s="2" t="s">
        <v>880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40"/>
        <v>#DIV/0!</v>
      </c>
      <c r="I656" s="2" t="e">
        <f t="shared" si="41"/>
        <v>#DIV/0!</v>
      </c>
      <c r="J656" s="2" t="e">
        <f t="shared" si="42"/>
        <v>#NUM!</v>
      </c>
      <c r="K656">
        <f t="shared" si="43"/>
        <v>0</v>
      </c>
    </row>
    <row r="657" spans="1:11" ht="13.9" x14ac:dyDescent="0.3">
      <c r="A657" s="2" t="s">
        <v>884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 t="e">
        <f t="shared" si="40"/>
        <v>#DIV/0!</v>
      </c>
      <c r="I657" s="2" t="e">
        <f t="shared" si="41"/>
        <v>#DIV/0!</v>
      </c>
      <c r="J657" s="2" t="e">
        <f t="shared" si="42"/>
        <v>#NUM!</v>
      </c>
      <c r="K657">
        <f t="shared" si="43"/>
        <v>0</v>
      </c>
    </row>
    <row r="658" spans="1:11" ht="13.9" x14ac:dyDescent="0.3">
      <c r="A658" s="2" t="s">
        <v>885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 t="e">
        <f t="shared" si="40"/>
        <v>#DIV/0!</v>
      </c>
      <c r="I658" s="2" t="e">
        <f t="shared" si="41"/>
        <v>#DIV/0!</v>
      </c>
      <c r="J658" s="2" t="e">
        <f t="shared" si="42"/>
        <v>#NUM!</v>
      </c>
      <c r="K658">
        <f t="shared" si="43"/>
        <v>0</v>
      </c>
    </row>
    <row r="659" spans="1:11" ht="13.9" x14ac:dyDescent="0.3">
      <c r="A659" s="2" t="s">
        <v>890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J659" s="2" t="e">
        <f t="shared" si="42"/>
        <v>#NUM!</v>
      </c>
      <c r="K659">
        <f t="shared" si="43"/>
        <v>0</v>
      </c>
    </row>
    <row r="660" spans="1:11" ht="13.9" x14ac:dyDescent="0.3">
      <c r="A660" s="2" t="s">
        <v>893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J660" s="2" t="e">
        <f t="shared" si="42"/>
        <v>#NUM!</v>
      </c>
      <c r="K660">
        <f t="shared" si="43"/>
        <v>0</v>
      </c>
    </row>
    <row r="661" spans="1:11" ht="13.9" x14ac:dyDescent="0.3">
      <c r="A661" s="2" t="s">
        <v>900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 t="e">
        <f t="shared" si="40"/>
        <v>#DIV/0!</v>
      </c>
      <c r="I661" s="2" t="e">
        <f t="shared" si="41"/>
        <v>#DIV/0!</v>
      </c>
      <c r="J661" s="2" t="e">
        <f t="shared" si="42"/>
        <v>#NUM!</v>
      </c>
      <c r="K661">
        <f t="shared" si="43"/>
        <v>0</v>
      </c>
    </row>
    <row r="662" spans="1:11" ht="13.9" x14ac:dyDescent="0.3">
      <c r="A662" s="2" t="s">
        <v>902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J662" s="2" t="e">
        <f t="shared" si="42"/>
        <v>#NUM!</v>
      </c>
      <c r="K662">
        <f t="shared" si="43"/>
        <v>0</v>
      </c>
    </row>
    <row r="663" spans="1:11" ht="13.9" x14ac:dyDescent="0.3">
      <c r="A663" s="2" t="s">
        <v>917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 t="e">
        <f t="shared" si="40"/>
        <v>#DIV/0!</v>
      </c>
      <c r="I663" s="2" t="e">
        <f t="shared" si="41"/>
        <v>#DIV/0!</v>
      </c>
      <c r="J663" s="2" t="e">
        <f t="shared" si="42"/>
        <v>#NUM!</v>
      </c>
      <c r="K663">
        <f t="shared" si="43"/>
        <v>0</v>
      </c>
    </row>
    <row r="664" spans="1:11" ht="13.9" x14ac:dyDescent="0.3">
      <c r="A664" s="2" t="s">
        <v>918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 t="e">
        <f t="shared" si="40"/>
        <v>#DIV/0!</v>
      </c>
      <c r="I664" s="2" t="e">
        <f t="shared" si="41"/>
        <v>#DIV/0!</v>
      </c>
      <c r="J664" s="2" t="e">
        <f t="shared" si="42"/>
        <v>#NUM!</v>
      </c>
      <c r="K664">
        <f t="shared" si="43"/>
        <v>0</v>
      </c>
    </row>
    <row r="665" spans="1:11" ht="13.9" x14ac:dyDescent="0.3">
      <c r="A665" s="2" t="s">
        <v>923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 t="e">
        <f t="shared" si="40"/>
        <v>#DIV/0!</v>
      </c>
      <c r="I665" s="2" t="e">
        <f t="shared" si="41"/>
        <v>#DIV/0!</v>
      </c>
      <c r="J665" s="2" t="e">
        <f t="shared" si="42"/>
        <v>#NUM!</v>
      </c>
      <c r="K665">
        <f t="shared" si="43"/>
        <v>0</v>
      </c>
    </row>
    <row r="666" spans="1:11" ht="13.9" x14ac:dyDescent="0.3">
      <c r="A666" s="2" t="s">
        <v>924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 t="e">
        <f t="shared" si="40"/>
        <v>#DIV/0!</v>
      </c>
      <c r="I666" s="2" t="e">
        <f t="shared" si="41"/>
        <v>#DIV/0!</v>
      </c>
      <c r="J666" s="2" t="e">
        <f t="shared" si="42"/>
        <v>#NUM!</v>
      </c>
      <c r="K666">
        <f t="shared" si="43"/>
        <v>0</v>
      </c>
    </row>
    <row r="667" spans="1:11" ht="13.9" x14ac:dyDescent="0.3">
      <c r="A667" s="2" t="s">
        <v>926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 t="e">
        <f t="shared" si="40"/>
        <v>#DIV/0!</v>
      </c>
      <c r="I667" s="2" t="e">
        <f t="shared" si="41"/>
        <v>#DIV/0!</v>
      </c>
      <c r="J667" s="2" t="e">
        <f t="shared" si="42"/>
        <v>#NUM!</v>
      </c>
      <c r="K667">
        <f t="shared" si="43"/>
        <v>0</v>
      </c>
    </row>
    <row r="668" spans="1:11" ht="13.9" x14ac:dyDescent="0.3">
      <c r="A668" s="2" t="s">
        <v>930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 t="e">
        <f t="shared" si="40"/>
        <v>#DIV/0!</v>
      </c>
      <c r="I668" s="2" t="e">
        <f t="shared" si="41"/>
        <v>#DIV/0!</v>
      </c>
      <c r="J668" s="2" t="e">
        <f t="shared" si="42"/>
        <v>#NUM!</v>
      </c>
      <c r="K668">
        <f t="shared" si="43"/>
        <v>0</v>
      </c>
    </row>
    <row r="669" spans="1:11" ht="13.9" x14ac:dyDescent="0.3">
      <c r="A669" s="2" t="s">
        <v>932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 t="e">
        <f t="shared" si="40"/>
        <v>#DIV/0!</v>
      </c>
      <c r="I669" s="2" t="e">
        <f t="shared" si="41"/>
        <v>#DIV/0!</v>
      </c>
      <c r="J669" s="2" t="e">
        <f t="shared" si="42"/>
        <v>#NUM!</v>
      </c>
      <c r="K669">
        <f t="shared" si="43"/>
        <v>0</v>
      </c>
    </row>
    <row r="670" spans="1:11" ht="13.9" x14ac:dyDescent="0.3">
      <c r="A670" s="2" t="s">
        <v>938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40"/>
        <v>#DIV/0!</v>
      </c>
      <c r="I670" s="2" t="e">
        <f t="shared" si="41"/>
        <v>#DIV/0!</v>
      </c>
      <c r="J670" s="2" t="e">
        <f t="shared" si="42"/>
        <v>#NUM!</v>
      </c>
      <c r="K670">
        <f t="shared" si="43"/>
        <v>0</v>
      </c>
    </row>
    <row r="671" spans="1:11" ht="13.9" x14ac:dyDescent="0.3">
      <c r="A671" s="2" t="s">
        <v>939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J671" s="2" t="e">
        <f t="shared" si="42"/>
        <v>#NUM!</v>
      </c>
      <c r="K671">
        <f t="shared" si="43"/>
        <v>0</v>
      </c>
    </row>
    <row r="672" spans="1:11" ht="13.9" x14ac:dyDescent="0.3">
      <c r="A672" s="2" t="s">
        <v>86</v>
      </c>
      <c r="B672" s="2">
        <v>0</v>
      </c>
      <c r="C672" s="2">
        <v>0</v>
      </c>
      <c r="D672" s="2">
        <v>0</v>
      </c>
      <c r="E672" s="2">
        <v>0.1</v>
      </c>
      <c r="F672" s="2">
        <v>0</v>
      </c>
      <c r="G672" s="2">
        <v>0</v>
      </c>
      <c r="H672" s="2" t="e">
        <f t="shared" si="40"/>
        <v>#NUM!</v>
      </c>
      <c r="I672" s="2">
        <f t="shared" si="41"/>
        <v>0.37390096630005903</v>
      </c>
      <c r="J672" s="2" t="e">
        <f t="shared" si="42"/>
        <v>#NUM!</v>
      </c>
      <c r="K672">
        <f t="shared" si="43"/>
        <v>3.3333333333333333E-2</v>
      </c>
    </row>
    <row r="673" spans="1:11" ht="13.9" x14ac:dyDescent="0.3">
      <c r="A673" s="2" t="s">
        <v>154</v>
      </c>
      <c r="B673" s="2">
        <v>0</v>
      </c>
      <c r="C673" s="2">
        <v>0</v>
      </c>
      <c r="D673" s="2">
        <v>0</v>
      </c>
      <c r="E673" s="2">
        <v>0.1</v>
      </c>
      <c r="F673" s="2">
        <v>0</v>
      </c>
      <c r="G673" s="2">
        <v>0</v>
      </c>
      <c r="H673" s="2" t="e">
        <f t="shared" si="40"/>
        <v>#NUM!</v>
      </c>
      <c r="I673" s="2">
        <f t="shared" si="41"/>
        <v>0.37390096630005903</v>
      </c>
      <c r="J673" s="2" t="e">
        <f t="shared" si="42"/>
        <v>#NUM!</v>
      </c>
      <c r="K673">
        <f t="shared" si="43"/>
        <v>3.3333333333333333E-2</v>
      </c>
    </row>
    <row r="674" spans="1:11" ht="13.9" x14ac:dyDescent="0.3">
      <c r="A674" s="2" t="s">
        <v>166</v>
      </c>
      <c r="B674" s="2">
        <v>0</v>
      </c>
      <c r="C674" s="2">
        <v>0</v>
      </c>
      <c r="D674" s="2">
        <v>0</v>
      </c>
      <c r="E674" s="2">
        <v>0.1</v>
      </c>
      <c r="F674" s="2">
        <v>0</v>
      </c>
      <c r="G674" s="2">
        <v>0</v>
      </c>
      <c r="H674" s="2" t="e">
        <f t="shared" si="40"/>
        <v>#NUM!</v>
      </c>
      <c r="I674" s="2">
        <f t="shared" si="41"/>
        <v>0.37390096630005903</v>
      </c>
      <c r="J674" s="2" t="e">
        <f t="shared" si="42"/>
        <v>#NUM!</v>
      </c>
      <c r="K674">
        <f t="shared" si="43"/>
        <v>3.3333333333333333E-2</v>
      </c>
    </row>
    <row r="675" spans="1:11" ht="13.9" x14ac:dyDescent="0.3">
      <c r="A675" s="2" t="s">
        <v>326</v>
      </c>
      <c r="B675" s="2">
        <v>0</v>
      </c>
      <c r="C675" s="2">
        <v>0</v>
      </c>
      <c r="D675" s="2">
        <v>0</v>
      </c>
      <c r="E675" s="2">
        <v>0.1</v>
      </c>
      <c r="F675" s="2">
        <v>0</v>
      </c>
      <c r="G675" s="2">
        <v>0</v>
      </c>
      <c r="H675" s="2" t="e">
        <f t="shared" si="40"/>
        <v>#NUM!</v>
      </c>
      <c r="I675" s="2">
        <f t="shared" si="41"/>
        <v>0.37390096630005903</v>
      </c>
      <c r="J675" s="2" t="e">
        <f t="shared" si="42"/>
        <v>#NUM!</v>
      </c>
      <c r="K675">
        <f t="shared" si="43"/>
        <v>3.3333333333333333E-2</v>
      </c>
    </row>
    <row r="676" spans="1:11" ht="13.9" x14ac:dyDescent="0.3">
      <c r="A676" s="2" t="s">
        <v>327</v>
      </c>
      <c r="B676" s="2">
        <v>0</v>
      </c>
      <c r="C676" s="2">
        <v>0</v>
      </c>
      <c r="D676" s="2">
        <v>0</v>
      </c>
      <c r="E676" s="2">
        <v>0.1</v>
      </c>
      <c r="F676" s="2">
        <v>0</v>
      </c>
      <c r="G676" s="2">
        <v>0</v>
      </c>
      <c r="H676" s="2" t="e">
        <f t="shared" si="40"/>
        <v>#NUM!</v>
      </c>
      <c r="I676" s="2">
        <f t="shared" si="41"/>
        <v>0.37390096630005903</v>
      </c>
      <c r="J676" s="2" t="e">
        <f t="shared" si="42"/>
        <v>#NUM!</v>
      </c>
      <c r="K676">
        <f t="shared" si="43"/>
        <v>3.3333333333333333E-2</v>
      </c>
    </row>
    <row r="677" spans="1:11" ht="13.9" x14ac:dyDescent="0.3">
      <c r="A677" s="2" t="s">
        <v>342</v>
      </c>
      <c r="B677" s="2">
        <v>0</v>
      </c>
      <c r="C677" s="2">
        <v>0</v>
      </c>
      <c r="D677" s="2">
        <v>0</v>
      </c>
      <c r="E677" s="2">
        <v>0.1</v>
      </c>
      <c r="F677" s="2">
        <v>0</v>
      </c>
      <c r="G677" s="2">
        <v>0</v>
      </c>
      <c r="H677" s="2" t="e">
        <f t="shared" si="40"/>
        <v>#NUM!</v>
      </c>
      <c r="I677" s="2">
        <f t="shared" si="41"/>
        <v>0.37390096630005903</v>
      </c>
      <c r="J677" s="2" t="e">
        <f t="shared" si="42"/>
        <v>#NUM!</v>
      </c>
      <c r="K677">
        <f t="shared" si="43"/>
        <v>3.3333333333333333E-2</v>
      </c>
    </row>
    <row r="678" spans="1:11" ht="13.9" x14ac:dyDescent="0.3">
      <c r="A678" s="2" t="s">
        <v>494</v>
      </c>
      <c r="B678" s="2">
        <v>0</v>
      </c>
      <c r="C678" s="2">
        <v>0</v>
      </c>
      <c r="D678" s="2">
        <v>0</v>
      </c>
      <c r="E678" s="2">
        <v>0.1</v>
      </c>
      <c r="F678" s="2">
        <v>0</v>
      </c>
      <c r="G678" s="2">
        <v>0</v>
      </c>
      <c r="H678" s="2" t="e">
        <f t="shared" si="40"/>
        <v>#NUM!</v>
      </c>
      <c r="I678" s="2">
        <f t="shared" si="41"/>
        <v>0.37390096630005903</v>
      </c>
      <c r="J678" s="2" t="e">
        <f t="shared" si="42"/>
        <v>#NUM!</v>
      </c>
      <c r="K678">
        <f t="shared" si="43"/>
        <v>3.3333333333333333E-2</v>
      </c>
    </row>
    <row r="679" spans="1:11" ht="13.9" x14ac:dyDescent="0.3">
      <c r="A679" s="2" t="s">
        <v>563</v>
      </c>
      <c r="B679" s="2">
        <v>0</v>
      </c>
      <c r="C679" s="2">
        <v>0</v>
      </c>
      <c r="D679" s="2">
        <v>0</v>
      </c>
      <c r="E679" s="2">
        <v>0.1</v>
      </c>
      <c r="F679" s="2">
        <v>0</v>
      </c>
      <c r="G679" s="2">
        <v>0</v>
      </c>
      <c r="H679" s="2" t="e">
        <f t="shared" si="40"/>
        <v>#NUM!</v>
      </c>
      <c r="I679" s="2">
        <f t="shared" si="41"/>
        <v>0.37390096630005903</v>
      </c>
      <c r="J679" s="2" t="e">
        <f t="shared" si="42"/>
        <v>#NUM!</v>
      </c>
      <c r="K679">
        <f t="shared" si="43"/>
        <v>3.3333333333333333E-2</v>
      </c>
    </row>
    <row r="680" spans="1:11" ht="13.9" x14ac:dyDescent="0.3">
      <c r="A680" s="2" t="s">
        <v>564</v>
      </c>
      <c r="B680" s="2">
        <v>0</v>
      </c>
      <c r="C680" s="2">
        <v>0</v>
      </c>
      <c r="D680" s="2">
        <v>0</v>
      </c>
      <c r="E680" s="2">
        <v>0.1</v>
      </c>
      <c r="F680" s="2">
        <v>0</v>
      </c>
      <c r="G680" s="2">
        <v>0</v>
      </c>
      <c r="H680" s="2" t="e">
        <f t="shared" si="40"/>
        <v>#NUM!</v>
      </c>
      <c r="I680" s="2">
        <f t="shared" si="41"/>
        <v>0.37390096630005903</v>
      </c>
      <c r="J680" s="2" t="e">
        <f t="shared" si="42"/>
        <v>#NUM!</v>
      </c>
      <c r="K680">
        <f t="shared" si="43"/>
        <v>3.3333333333333333E-2</v>
      </c>
    </row>
    <row r="681" spans="1:11" ht="13.9" x14ac:dyDescent="0.3">
      <c r="A681" s="2" t="s">
        <v>599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40"/>
        <v>#NUM!</v>
      </c>
      <c r="I681" s="2">
        <f t="shared" si="41"/>
        <v>0.37390096630005903</v>
      </c>
      <c r="J681" s="2" t="e">
        <f t="shared" si="42"/>
        <v>#NUM!</v>
      </c>
      <c r="K681">
        <f t="shared" si="43"/>
        <v>3.3333333333333333E-2</v>
      </c>
    </row>
    <row r="682" spans="1:11" ht="13.9" x14ac:dyDescent="0.3">
      <c r="A682" s="2" t="s">
        <v>701</v>
      </c>
      <c r="B682" s="2">
        <v>0</v>
      </c>
      <c r="C682" s="2">
        <v>0</v>
      </c>
      <c r="D682" s="2">
        <v>0</v>
      </c>
      <c r="E682" s="2">
        <v>0.1</v>
      </c>
      <c r="F682" s="2">
        <v>0</v>
      </c>
      <c r="G682" s="2">
        <v>0</v>
      </c>
      <c r="H682" s="2" t="e">
        <f t="shared" si="40"/>
        <v>#NUM!</v>
      </c>
      <c r="I682" s="2">
        <f t="shared" si="41"/>
        <v>0.37390096630005903</v>
      </c>
      <c r="J682" s="2" t="e">
        <f t="shared" si="42"/>
        <v>#NUM!</v>
      </c>
      <c r="K682">
        <f t="shared" si="43"/>
        <v>3.3333333333333333E-2</v>
      </c>
    </row>
    <row r="683" spans="1:11" ht="13.9" x14ac:dyDescent="0.3">
      <c r="A683" s="2" t="s">
        <v>731</v>
      </c>
      <c r="B683" s="2">
        <v>0</v>
      </c>
      <c r="C683" s="2">
        <v>0</v>
      </c>
      <c r="D683" s="2">
        <v>0</v>
      </c>
      <c r="E683" s="2">
        <v>0.1</v>
      </c>
      <c r="F683" s="2">
        <v>0</v>
      </c>
      <c r="G683" s="2">
        <v>0</v>
      </c>
      <c r="H683" s="2" t="e">
        <f t="shared" si="40"/>
        <v>#NUM!</v>
      </c>
      <c r="I683" s="2">
        <f t="shared" si="41"/>
        <v>0.37390096630005903</v>
      </c>
      <c r="J683" s="2" t="e">
        <f t="shared" si="42"/>
        <v>#NUM!</v>
      </c>
      <c r="K683">
        <f t="shared" si="43"/>
        <v>3.3333333333333333E-2</v>
      </c>
    </row>
    <row r="684" spans="1:11" ht="13.9" x14ac:dyDescent="0.3">
      <c r="A684" s="2" t="s">
        <v>769</v>
      </c>
      <c r="B684" s="2">
        <v>0</v>
      </c>
      <c r="C684" s="2">
        <v>0</v>
      </c>
      <c r="D684" s="2">
        <v>0</v>
      </c>
      <c r="E684" s="2">
        <v>0.1</v>
      </c>
      <c r="F684" s="2">
        <v>0</v>
      </c>
      <c r="G684" s="2">
        <v>0</v>
      </c>
      <c r="H684" s="2" t="e">
        <f t="shared" si="40"/>
        <v>#NUM!</v>
      </c>
      <c r="I684" s="2">
        <f t="shared" si="41"/>
        <v>0.37390096630005903</v>
      </c>
      <c r="J684" s="2" t="e">
        <f t="shared" si="42"/>
        <v>#NUM!</v>
      </c>
      <c r="K684">
        <f t="shared" si="43"/>
        <v>3.3333333333333333E-2</v>
      </c>
    </row>
    <row r="685" spans="1:11" ht="13.9" x14ac:dyDescent="0.3">
      <c r="A685" s="2" t="s">
        <v>786</v>
      </c>
      <c r="B685" s="2">
        <v>0</v>
      </c>
      <c r="C685" s="2">
        <v>0</v>
      </c>
      <c r="D685" s="2">
        <v>0</v>
      </c>
      <c r="E685" s="2">
        <v>0.1</v>
      </c>
      <c r="F685" s="2">
        <v>0</v>
      </c>
      <c r="G685" s="2">
        <v>0</v>
      </c>
      <c r="H685" s="2" t="e">
        <f t="shared" si="40"/>
        <v>#NUM!</v>
      </c>
      <c r="I685" s="2">
        <f t="shared" si="41"/>
        <v>0.37390096630005903</v>
      </c>
      <c r="J685" s="2" t="e">
        <f t="shared" si="42"/>
        <v>#NUM!</v>
      </c>
      <c r="K685">
        <f t="shared" si="43"/>
        <v>3.3333333333333333E-2</v>
      </c>
    </row>
    <row r="686" spans="1:11" ht="13.9" x14ac:dyDescent="0.3">
      <c r="A686" s="2" t="s">
        <v>807</v>
      </c>
      <c r="B686" s="2">
        <v>0</v>
      </c>
      <c r="C686" s="2">
        <v>0</v>
      </c>
      <c r="D686" s="2">
        <v>0</v>
      </c>
      <c r="E686" s="2">
        <v>0.1</v>
      </c>
      <c r="F686" s="2">
        <v>0</v>
      </c>
      <c r="G686" s="2">
        <v>0</v>
      </c>
      <c r="H686" s="2" t="e">
        <f t="shared" si="40"/>
        <v>#NUM!</v>
      </c>
      <c r="I686" s="2">
        <f t="shared" si="41"/>
        <v>0.37390096630005903</v>
      </c>
      <c r="J686" s="2" t="e">
        <f t="shared" si="42"/>
        <v>#NUM!</v>
      </c>
      <c r="K686">
        <f t="shared" si="43"/>
        <v>3.3333333333333333E-2</v>
      </c>
    </row>
    <row r="687" spans="1:11" ht="13.9" x14ac:dyDescent="0.3">
      <c r="A687" s="2" t="s">
        <v>835</v>
      </c>
      <c r="B687" s="2">
        <v>0</v>
      </c>
      <c r="C687" s="2">
        <v>0</v>
      </c>
      <c r="D687" s="2">
        <v>0</v>
      </c>
      <c r="E687" s="2">
        <v>0.1</v>
      </c>
      <c r="F687" s="2">
        <v>0</v>
      </c>
      <c r="G687" s="2">
        <v>0</v>
      </c>
      <c r="H687" s="2" t="e">
        <f t="shared" si="40"/>
        <v>#NUM!</v>
      </c>
      <c r="I687" s="2">
        <f t="shared" si="41"/>
        <v>0.37390096630005903</v>
      </c>
      <c r="J687" s="2" t="e">
        <f t="shared" si="42"/>
        <v>#NUM!</v>
      </c>
      <c r="K687">
        <f t="shared" si="43"/>
        <v>3.3333333333333333E-2</v>
      </c>
    </row>
    <row r="688" spans="1:11" ht="13.9" x14ac:dyDescent="0.3">
      <c r="A688" s="2" t="s">
        <v>853</v>
      </c>
      <c r="B688" s="2">
        <v>0</v>
      </c>
      <c r="C688" s="2">
        <v>0</v>
      </c>
      <c r="D688" s="2">
        <v>0</v>
      </c>
      <c r="E688" s="2">
        <v>0.1</v>
      </c>
      <c r="F688" s="2">
        <v>0</v>
      </c>
      <c r="G688" s="2">
        <v>0</v>
      </c>
      <c r="H688" s="2" t="e">
        <f t="shared" si="40"/>
        <v>#NUM!</v>
      </c>
      <c r="I688" s="2">
        <f t="shared" si="41"/>
        <v>0.37390096630005903</v>
      </c>
      <c r="J688" s="2" t="e">
        <f t="shared" si="42"/>
        <v>#NUM!</v>
      </c>
      <c r="K688">
        <f t="shared" si="43"/>
        <v>3.3333333333333333E-2</v>
      </c>
    </row>
    <row r="689" spans="1:11" ht="13.9" x14ac:dyDescent="0.3">
      <c r="A689" s="2" t="s">
        <v>872</v>
      </c>
      <c r="B689" s="2">
        <v>0</v>
      </c>
      <c r="C689" s="2">
        <v>0</v>
      </c>
      <c r="D689" s="2">
        <v>0</v>
      </c>
      <c r="E689" s="2">
        <v>0.1</v>
      </c>
      <c r="F689" s="2">
        <v>0</v>
      </c>
      <c r="G689" s="2">
        <v>0</v>
      </c>
      <c r="H689" s="2" t="e">
        <f t="shared" si="40"/>
        <v>#NUM!</v>
      </c>
      <c r="I689" s="2">
        <f t="shared" si="41"/>
        <v>0.37390096630005903</v>
      </c>
      <c r="J689" s="2" t="e">
        <f t="shared" si="42"/>
        <v>#NUM!</v>
      </c>
      <c r="K689">
        <f t="shared" si="43"/>
        <v>3.3333333333333333E-2</v>
      </c>
    </row>
    <row r="690" spans="1:11" ht="13.9" x14ac:dyDescent="0.3">
      <c r="A690" s="2" t="s">
        <v>47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0.14000000000000001</v>
      </c>
      <c r="H690" s="2" t="e">
        <f t="shared" si="40"/>
        <v>#NUM!</v>
      </c>
      <c r="I690" s="2">
        <f t="shared" si="41"/>
        <v>0.37390096630005903</v>
      </c>
      <c r="J690" s="2" t="e">
        <f t="shared" si="42"/>
        <v>#NUM!</v>
      </c>
      <c r="K690">
        <f t="shared" si="43"/>
        <v>4.6666666666666669E-2</v>
      </c>
    </row>
    <row r="691" spans="1:11" ht="13.9" x14ac:dyDescent="0.3">
      <c r="A691" s="2" t="s">
        <v>68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0.14000000000000001</v>
      </c>
      <c r="H691" s="2" t="e">
        <f t="shared" si="40"/>
        <v>#NUM!</v>
      </c>
      <c r="I691" s="2">
        <f t="shared" si="41"/>
        <v>0.37390096630005903</v>
      </c>
      <c r="J691" s="2" t="e">
        <f t="shared" si="42"/>
        <v>#NUM!</v>
      </c>
      <c r="K691">
        <f t="shared" si="43"/>
        <v>4.6666666666666669E-2</v>
      </c>
    </row>
    <row r="692" spans="1:11" ht="13.9" x14ac:dyDescent="0.3">
      <c r="A692" s="2" t="s">
        <v>192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0.14000000000000001</v>
      </c>
      <c r="H692" s="2" t="e">
        <f t="shared" si="40"/>
        <v>#NUM!</v>
      </c>
      <c r="I692" s="2">
        <f t="shared" si="41"/>
        <v>0.37390096630005903</v>
      </c>
      <c r="J692" s="2" t="e">
        <f t="shared" si="42"/>
        <v>#NUM!</v>
      </c>
      <c r="K692">
        <f t="shared" si="43"/>
        <v>4.6666666666666669E-2</v>
      </c>
    </row>
    <row r="693" spans="1:11" ht="13.9" x14ac:dyDescent="0.3">
      <c r="A693" s="2" t="s">
        <v>243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0.14000000000000001</v>
      </c>
      <c r="H693" s="2" t="e">
        <f t="shared" si="40"/>
        <v>#NUM!</v>
      </c>
      <c r="I693" s="2">
        <f t="shared" si="41"/>
        <v>0.37390096630005903</v>
      </c>
      <c r="J693" s="2" t="e">
        <f t="shared" si="42"/>
        <v>#NUM!</v>
      </c>
      <c r="K693">
        <f t="shared" si="43"/>
        <v>4.6666666666666669E-2</v>
      </c>
    </row>
    <row r="694" spans="1:11" ht="13.9" x14ac:dyDescent="0.3">
      <c r="A694" s="2" t="s">
        <v>319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0.14000000000000001</v>
      </c>
      <c r="H694" s="2" t="e">
        <f t="shared" si="40"/>
        <v>#NUM!</v>
      </c>
      <c r="I694" s="2">
        <f t="shared" si="41"/>
        <v>0.37390096630005903</v>
      </c>
      <c r="J694" s="2" t="e">
        <f t="shared" si="42"/>
        <v>#NUM!</v>
      </c>
      <c r="K694">
        <f t="shared" si="43"/>
        <v>4.6666666666666669E-2</v>
      </c>
    </row>
    <row r="695" spans="1:11" ht="13.9" x14ac:dyDescent="0.3">
      <c r="A695" s="2" t="s">
        <v>323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0.14000000000000001</v>
      </c>
      <c r="H695" s="2" t="e">
        <f t="shared" si="40"/>
        <v>#NUM!</v>
      </c>
      <c r="I695" s="2">
        <f t="shared" si="41"/>
        <v>0.37390096630005903</v>
      </c>
      <c r="J695" s="2" t="e">
        <f t="shared" si="42"/>
        <v>#NUM!</v>
      </c>
      <c r="K695">
        <f t="shared" si="43"/>
        <v>4.6666666666666669E-2</v>
      </c>
    </row>
    <row r="696" spans="1:11" ht="13.9" x14ac:dyDescent="0.3">
      <c r="A696" s="2" t="s">
        <v>351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0.14000000000000001</v>
      </c>
      <c r="H696" s="2" t="e">
        <f t="shared" si="40"/>
        <v>#NUM!</v>
      </c>
      <c r="I696" s="2">
        <f t="shared" si="41"/>
        <v>0.37390096630005903</v>
      </c>
      <c r="J696" s="2" t="e">
        <f t="shared" si="42"/>
        <v>#NUM!</v>
      </c>
      <c r="K696">
        <f t="shared" si="43"/>
        <v>4.6666666666666669E-2</v>
      </c>
    </row>
    <row r="697" spans="1:11" ht="13.9" x14ac:dyDescent="0.3">
      <c r="A697" s="2" t="s">
        <v>375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0.14000000000000001</v>
      </c>
      <c r="H697" s="2" t="e">
        <f t="shared" si="40"/>
        <v>#NUM!</v>
      </c>
      <c r="I697" s="2">
        <f t="shared" si="41"/>
        <v>0.37390096630005903</v>
      </c>
      <c r="J697" s="2" t="e">
        <f t="shared" si="42"/>
        <v>#NUM!</v>
      </c>
      <c r="K697">
        <f t="shared" si="43"/>
        <v>4.6666666666666669E-2</v>
      </c>
    </row>
    <row r="698" spans="1:11" ht="13.9" x14ac:dyDescent="0.3">
      <c r="A698" s="2" t="s">
        <v>530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0.14000000000000001</v>
      </c>
      <c r="H698" s="2" t="e">
        <f t="shared" si="40"/>
        <v>#NUM!</v>
      </c>
      <c r="I698" s="2">
        <f t="shared" si="41"/>
        <v>0.37390096630005903</v>
      </c>
      <c r="J698" s="2" t="e">
        <f t="shared" si="42"/>
        <v>#NUM!</v>
      </c>
      <c r="K698">
        <f t="shared" si="43"/>
        <v>4.6666666666666669E-2</v>
      </c>
    </row>
    <row r="699" spans="1:11" ht="13.9" x14ac:dyDescent="0.3">
      <c r="A699" s="2" t="s">
        <v>538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0.14000000000000001</v>
      </c>
      <c r="H699" s="2" t="e">
        <f t="shared" si="40"/>
        <v>#NUM!</v>
      </c>
      <c r="I699" s="2">
        <f t="shared" si="41"/>
        <v>0.37390096630005903</v>
      </c>
      <c r="J699" s="2" t="e">
        <f t="shared" si="42"/>
        <v>#NUM!</v>
      </c>
      <c r="K699">
        <f t="shared" si="43"/>
        <v>4.6666666666666669E-2</v>
      </c>
    </row>
    <row r="700" spans="1:11" ht="13.9" x14ac:dyDescent="0.3">
      <c r="A700" s="2" t="s">
        <v>708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0.14000000000000001</v>
      </c>
      <c r="H700" s="2" t="e">
        <f t="shared" si="40"/>
        <v>#NUM!</v>
      </c>
      <c r="I700" s="2">
        <f t="shared" si="41"/>
        <v>0.37390096630005903</v>
      </c>
      <c r="J700" s="2" t="e">
        <f t="shared" si="42"/>
        <v>#NUM!</v>
      </c>
      <c r="K700">
        <f t="shared" si="43"/>
        <v>4.6666666666666669E-2</v>
      </c>
    </row>
    <row r="701" spans="1:11" ht="13.9" x14ac:dyDescent="0.3">
      <c r="A701" s="2" t="s">
        <v>808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0.14000000000000001</v>
      </c>
      <c r="H701" s="2" t="e">
        <f t="shared" si="40"/>
        <v>#NUM!</v>
      </c>
      <c r="I701" s="2">
        <f t="shared" si="41"/>
        <v>0.37390096630005903</v>
      </c>
      <c r="J701" s="2" t="e">
        <f t="shared" si="42"/>
        <v>#NUM!</v>
      </c>
      <c r="K701">
        <f t="shared" si="43"/>
        <v>4.6666666666666669E-2</v>
      </c>
    </row>
    <row r="702" spans="1:11" ht="13.9" x14ac:dyDescent="0.3">
      <c r="A702" s="2" t="s">
        <v>812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0.14000000000000001</v>
      </c>
      <c r="H702" s="2" t="e">
        <f t="shared" si="40"/>
        <v>#NUM!</v>
      </c>
      <c r="I702" s="2">
        <f t="shared" si="41"/>
        <v>0.37390096630005903</v>
      </c>
      <c r="J702" s="2" t="e">
        <f t="shared" si="42"/>
        <v>#NUM!</v>
      </c>
      <c r="K702">
        <f t="shared" si="43"/>
        <v>4.6666666666666669E-2</v>
      </c>
    </row>
    <row r="703" spans="1:11" ht="13.9" x14ac:dyDescent="0.3">
      <c r="A703" s="2" t="s">
        <v>906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0.14000000000000001</v>
      </c>
      <c r="H703" s="2" t="e">
        <f t="shared" si="40"/>
        <v>#NUM!</v>
      </c>
      <c r="I703" s="2">
        <f t="shared" si="41"/>
        <v>0.37390096630005903</v>
      </c>
      <c r="J703" s="2" t="e">
        <f t="shared" si="42"/>
        <v>#NUM!</v>
      </c>
      <c r="K703">
        <f t="shared" si="43"/>
        <v>4.6666666666666669E-2</v>
      </c>
    </row>
    <row r="704" spans="1:11" ht="13.9" x14ac:dyDescent="0.3">
      <c r="A704" s="2" t="s">
        <v>31</v>
      </c>
      <c r="B704" s="2">
        <v>0</v>
      </c>
      <c r="C704" s="2">
        <v>0</v>
      </c>
      <c r="D704" s="2">
        <v>0</v>
      </c>
      <c r="E704" s="2">
        <v>0.21</v>
      </c>
      <c r="F704" s="2">
        <v>0</v>
      </c>
      <c r="G704" s="2">
        <v>0</v>
      </c>
      <c r="H704" s="2" t="e">
        <f t="shared" si="40"/>
        <v>#NUM!</v>
      </c>
      <c r="I704" s="2">
        <f t="shared" si="41"/>
        <v>0.37390096630005903</v>
      </c>
      <c r="J704" s="2" t="e">
        <f t="shared" si="42"/>
        <v>#NUM!</v>
      </c>
      <c r="K704">
        <f t="shared" si="43"/>
        <v>6.9999999999999993E-2</v>
      </c>
    </row>
    <row r="705" spans="1:11" ht="13.9" x14ac:dyDescent="0.3">
      <c r="A705" s="2" t="s">
        <v>325</v>
      </c>
      <c r="B705" s="2">
        <v>0</v>
      </c>
      <c r="C705" s="2">
        <v>0</v>
      </c>
      <c r="D705" s="2">
        <v>0</v>
      </c>
      <c r="E705" s="2">
        <v>0.21</v>
      </c>
      <c r="F705" s="2">
        <v>0</v>
      </c>
      <c r="G705" s="2">
        <v>0</v>
      </c>
      <c r="H705" s="2" t="e">
        <f t="shared" si="40"/>
        <v>#NUM!</v>
      </c>
      <c r="I705" s="2">
        <f t="shared" si="41"/>
        <v>0.37390096630005903</v>
      </c>
      <c r="J705" s="2" t="e">
        <f t="shared" si="42"/>
        <v>#NUM!</v>
      </c>
      <c r="K705">
        <f t="shared" si="43"/>
        <v>6.9999999999999993E-2</v>
      </c>
    </row>
    <row r="706" spans="1:11" ht="13.9" x14ac:dyDescent="0.3">
      <c r="A706" s="2" t="s">
        <v>345</v>
      </c>
      <c r="B706" s="2">
        <v>0</v>
      </c>
      <c r="C706" s="2">
        <v>0</v>
      </c>
      <c r="D706" s="2">
        <v>0</v>
      </c>
      <c r="E706" s="2">
        <v>0.21</v>
      </c>
      <c r="F706" s="2">
        <v>0</v>
      </c>
      <c r="G706" s="2">
        <v>0</v>
      </c>
      <c r="H706" s="2" t="e">
        <f t="shared" ref="H706:H769" si="44">LOG(SUM(B706:D706)/SUM(E706:G706),2)</f>
        <v>#NUM!</v>
      </c>
      <c r="I706" s="2">
        <f t="shared" ref="I706:I769" si="45">_xlfn.T.TEST(B706:D706,E706:G706,2,2)</f>
        <v>0.37390096630005903</v>
      </c>
      <c r="J706" s="2" t="e">
        <f t="shared" ref="J706:J769" si="46">LOG(SUM(B706:D706),2)</f>
        <v>#NUM!</v>
      </c>
      <c r="K706">
        <f t="shared" ref="K706:K769" si="47">AVERAGE(E706:G706)</f>
        <v>6.9999999999999993E-2</v>
      </c>
    </row>
    <row r="707" spans="1:11" ht="13.9" x14ac:dyDescent="0.3">
      <c r="A707" s="2" t="s">
        <v>349</v>
      </c>
      <c r="B707" s="2">
        <v>0</v>
      </c>
      <c r="C707" s="2">
        <v>0</v>
      </c>
      <c r="D707" s="2">
        <v>0</v>
      </c>
      <c r="E707" s="2">
        <v>0.21</v>
      </c>
      <c r="F707" s="2">
        <v>0</v>
      </c>
      <c r="G707" s="2">
        <v>0</v>
      </c>
      <c r="H707" s="2" t="e">
        <f t="shared" si="44"/>
        <v>#NUM!</v>
      </c>
      <c r="I707" s="2">
        <f t="shared" si="45"/>
        <v>0.37390096630005903</v>
      </c>
      <c r="J707" s="2" t="e">
        <f t="shared" si="46"/>
        <v>#NUM!</v>
      </c>
      <c r="K707">
        <f t="shared" si="47"/>
        <v>6.9999999999999993E-2</v>
      </c>
    </row>
    <row r="708" spans="1:11" ht="13.9" x14ac:dyDescent="0.3">
      <c r="A708" s="2" t="s">
        <v>463</v>
      </c>
      <c r="B708" s="2">
        <v>0</v>
      </c>
      <c r="C708" s="2">
        <v>0</v>
      </c>
      <c r="D708" s="2">
        <v>0</v>
      </c>
      <c r="E708" s="2">
        <v>0.21</v>
      </c>
      <c r="F708" s="2">
        <v>0</v>
      </c>
      <c r="G708" s="2">
        <v>0</v>
      </c>
      <c r="H708" s="2" t="e">
        <f t="shared" si="44"/>
        <v>#NUM!</v>
      </c>
      <c r="I708" s="2">
        <f t="shared" si="45"/>
        <v>0.37390096630005903</v>
      </c>
      <c r="J708" s="2" t="e">
        <f t="shared" si="46"/>
        <v>#NUM!</v>
      </c>
      <c r="K708">
        <f t="shared" si="47"/>
        <v>6.9999999999999993E-2</v>
      </c>
    </row>
    <row r="709" spans="1:11" ht="13.9" x14ac:dyDescent="0.3">
      <c r="A709" s="2" t="s">
        <v>561</v>
      </c>
      <c r="B709" s="2">
        <v>0</v>
      </c>
      <c r="C709" s="2">
        <v>0</v>
      </c>
      <c r="D709" s="2">
        <v>0</v>
      </c>
      <c r="E709" s="2">
        <v>0.21</v>
      </c>
      <c r="F709" s="2">
        <v>0</v>
      </c>
      <c r="G709" s="2">
        <v>0</v>
      </c>
      <c r="H709" s="2" t="e">
        <f t="shared" si="44"/>
        <v>#NUM!</v>
      </c>
      <c r="I709" s="2">
        <f t="shared" si="45"/>
        <v>0.37390096630005903</v>
      </c>
      <c r="J709" s="2" t="e">
        <f t="shared" si="46"/>
        <v>#NUM!</v>
      </c>
      <c r="K709">
        <f t="shared" si="47"/>
        <v>6.9999999999999993E-2</v>
      </c>
    </row>
    <row r="710" spans="1:11" ht="13.9" x14ac:dyDescent="0.3">
      <c r="A710" s="2" t="s">
        <v>696</v>
      </c>
      <c r="B710" s="2">
        <v>0</v>
      </c>
      <c r="C710" s="2">
        <v>0</v>
      </c>
      <c r="D710" s="2">
        <v>0</v>
      </c>
      <c r="E710" s="2">
        <v>0.21</v>
      </c>
      <c r="F710" s="2">
        <v>0</v>
      </c>
      <c r="G710" s="2">
        <v>0</v>
      </c>
      <c r="H710" s="2" t="e">
        <f t="shared" si="44"/>
        <v>#NUM!</v>
      </c>
      <c r="I710" s="2">
        <f t="shared" si="45"/>
        <v>0.37390096630005903</v>
      </c>
      <c r="J710" s="2" t="e">
        <f t="shared" si="46"/>
        <v>#NUM!</v>
      </c>
      <c r="K710">
        <f t="shared" si="47"/>
        <v>6.9999999999999993E-2</v>
      </c>
    </row>
    <row r="711" spans="1:11" ht="13.9" x14ac:dyDescent="0.3">
      <c r="A711" s="2" t="s">
        <v>861</v>
      </c>
      <c r="B711" s="2">
        <v>0</v>
      </c>
      <c r="C711" s="2">
        <v>0</v>
      </c>
      <c r="D711" s="2">
        <v>0</v>
      </c>
      <c r="E711" s="2">
        <v>0.21</v>
      </c>
      <c r="F711" s="2">
        <v>0</v>
      </c>
      <c r="G711" s="2">
        <v>0</v>
      </c>
      <c r="H711" s="2" t="e">
        <f t="shared" si="44"/>
        <v>#NUM!</v>
      </c>
      <c r="I711" s="2">
        <f t="shared" si="45"/>
        <v>0.37390096630005903</v>
      </c>
      <c r="J711" s="2" t="e">
        <f t="shared" si="46"/>
        <v>#NUM!</v>
      </c>
      <c r="K711">
        <f t="shared" si="47"/>
        <v>6.9999999999999993E-2</v>
      </c>
    </row>
    <row r="712" spans="1:11" ht="13.9" x14ac:dyDescent="0.3">
      <c r="A712" s="2" t="s">
        <v>903</v>
      </c>
      <c r="B712" s="2">
        <v>0</v>
      </c>
      <c r="C712" s="2">
        <v>0</v>
      </c>
      <c r="D712" s="2">
        <v>0</v>
      </c>
      <c r="E712" s="2">
        <v>0.21</v>
      </c>
      <c r="F712" s="2">
        <v>0</v>
      </c>
      <c r="G712" s="2">
        <v>0</v>
      </c>
      <c r="H712" s="2" t="e">
        <f t="shared" si="44"/>
        <v>#NUM!</v>
      </c>
      <c r="I712" s="2">
        <f t="shared" si="45"/>
        <v>0.37390096630005903</v>
      </c>
      <c r="J712" s="2" t="e">
        <f t="shared" si="46"/>
        <v>#NUM!</v>
      </c>
      <c r="K712">
        <f t="shared" si="47"/>
        <v>6.9999999999999993E-2</v>
      </c>
    </row>
    <row r="713" spans="1:11" ht="13.9" x14ac:dyDescent="0.3">
      <c r="A713" s="2" t="s">
        <v>909</v>
      </c>
      <c r="B713" s="2">
        <v>0</v>
      </c>
      <c r="C713" s="2">
        <v>0</v>
      </c>
      <c r="D713" s="2">
        <v>0</v>
      </c>
      <c r="E713" s="2">
        <v>0.21</v>
      </c>
      <c r="F713" s="2">
        <v>0</v>
      </c>
      <c r="G713" s="2">
        <v>0</v>
      </c>
      <c r="H713" s="2" t="e">
        <f t="shared" si="44"/>
        <v>#NUM!</v>
      </c>
      <c r="I713" s="2">
        <f t="shared" si="45"/>
        <v>0.37390096630005903</v>
      </c>
      <c r="J713" s="2" t="e">
        <f t="shared" si="46"/>
        <v>#NUM!</v>
      </c>
      <c r="K713">
        <f t="shared" si="47"/>
        <v>6.9999999999999993E-2</v>
      </c>
    </row>
    <row r="714" spans="1:11" ht="13.9" x14ac:dyDescent="0.3">
      <c r="A714" s="2" t="s">
        <v>430</v>
      </c>
      <c r="B714" s="2">
        <v>0</v>
      </c>
      <c r="C714" s="2">
        <v>0</v>
      </c>
      <c r="D714" s="2">
        <v>0</v>
      </c>
      <c r="E714" s="2">
        <v>0.1</v>
      </c>
      <c r="F714" s="2">
        <v>0</v>
      </c>
      <c r="G714" s="2">
        <v>0.14000000000000001</v>
      </c>
      <c r="H714" s="2" t="e">
        <f t="shared" si="44"/>
        <v>#NUM!</v>
      </c>
      <c r="I714" s="2">
        <f t="shared" si="45"/>
        <v>0.12704639298528589</v>
      </c>
      <c r="J714" s="2" t="e">
        <f t="shared" si="46"/>
        <v>#NUM!</v>
      </c>
      <c r="K714">
        <f t="shared" si="47"/>
        <v>0.08</v>
      </c>
    </row>
    <row r="715" spans="1:11" ht="13.9" x14ac:dyDescent="0.3">
      <c r="A715" s="2" t="s">
        <v>670</v>
      </c>
      <c r="B715" s="2">
        <v>0</v>
      </c>
      <c r="C715" s="2">
        <v>0</v>
      </c>
      <c r="D715" s="2">
        <v>0</v>
      </c>
      <c r="E715" s="2">
        <v>0.1</v>
      </c>
      <c r="F715" s="2">
        <v>0</v>
      </c>
      <c r="G715" s="2">
        <v>0.14000000000000001</v>
      </c>
      <c r="H715" s="2" t="e">
        <f t="shared" si="44"/>
        <v>#NUM!</v>
      </c>
      <c r="I715" s="2">
        <f t="shared" si="45"/>
        <v>0.12704639298528589</v>
      </c>
      <c r="J715" s="2" t="e">
        <f t="shared" si="46"/>
        <v>#NUM!</v>
      </c>
      <c r="K715">
        <f t="shared" si="47"/>
        <v>0.08</v>
      </c>
    </row>
    <row r="716" spans="1:11" ht="13.9" x14ac:dyDescent="0.3">
      <c r="A716" s="2" t="s">
        <v>109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0.27</v>
      </c>
      <c r="H716" s="2" t="e">
        <f t="shared" si="44"/>
        <v>#NUM!</v>
      </c>
      <c r="I716" s="2">
        <f t="shared" si="45"/>
        <v>0.37390096630005903</v>
      </c>
      <c r="J716" s="2" t="e">
        <f t="shared" si="46"/>
        <v>#NUM!</v>
      </c>
      <c r="K716">
        <f t="shared" si="47"/>
        <v>9.0000000000000011E-2</v>
      </c>
    </row>
    <row r="717" spans="1:11" ht="13.9" x14ac:dyDescent="0.3">
      <c r="A717" s="2" t="s">
        <v>120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0.27</v>
      </c>
      <c r="H717" s="2" t="e">
        <f t="shared" si="44"/>
        <v>#NUM!</v>
      </c>
      <c r="I717" s="2">
        <f t="shared" si="45"/>
        <v>0.37390096630005903</v>
      </c>
      <c r="J717" s="2" t="e">
        <f t="shared" si="46"/>
        <v>#NUM!</v>
      </c>
      <c r="K717">
        <f t="shared" si="47"/>
        <v>9.0000000000000011E-2</v>
      </c>
    </row>
    <row r="718" spans="1:11" ht="13.9" x14ac:dyDescent="0.3">
      <c r="A718" s="2" t="s">
        <v>265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0.27</v>
      </c>
      <c r="H718" s="2" t="e">
        <f t="shared" si="44"/>
        <v>#NUM!</v>
      </c>
      <c r="I718" s="2">
        <f t="shared" si="45"/>
        <v>0.37390096630005903</v>
      </c>
      <c r="J718" s="2" t="e">
        <f t="shared" si="46"/>
        <v>#NUM!</v>
      </c>
      <c r="K718">
        <f t="shared" si="47"/>
        <v>9.0000000000000011E-2</v>
      </c>
    </row>
    <row r="719" spans="1:11" ht="13.9" x14ac:dyDescent="0.3">
      <c r="A719" s="2" t="s">
        <v>277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0.27</v>
      </c>
      <c r="H719" s="2" t="e">
        <f t="shared" si="44"/>
        <v>#NUM!</v>
      </c>
      <c r="I719" s="2">
        <f t="shared" si="45"/>
        <v>0.37390096630005903</v>
      </c>
      <c r="J719" s="2" t="e">
        <f t="shared" si="46"/>
        <v>#NUM!</v>
      </c>
      <c r="K719">
        <f t="shared" si="47"/>
        <v>9.0000000000000011E-2</v>
      </c>
    </row>
    <row r="720" spans="1:11" ht="13.9" x14ac:dyDescent="0.3">
      <c r="A720" s="2" t="s">
        <v>295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0.27</v>
      </c>
      <c r="H720" s="2" t="e">
        <f t="shared" si="44"/>
        <v>#NUM!</v>
      </c>
      <c r="I720" s="2">
        <f t="shared" si="45"/>
        <v>0.37390096630005903</v>
      </c>
      <c r="J720" s="2" t="e">
        <f t="shared" si="46"/>
        <v>#NUM!</v>
      </c>
      <c r="K720">
        <f t="shared" si="47"/>
        <v>9.0000000000000011E-2</v>
      </c>
    </row>
    <row r="721" spans="1:11" ht="13.9" x14ac:dyDescent="0.3">
      <c r="A721" s="2" t="s">
        <v>362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0.27</v>
      </c>
      <c r="H721" s="2" t="e">
        <f t="shared" si="44"/>
        <v>#NUM!</v>
      </c>
      <c r="I721" s="2">
        <f t="shared" si="45"/>
        <v>0.37390096630005903</v>
      </c>
      <c r="J721" s="2" t="e">
        <f t="shared" si="46"/>
        <v>#NUM!</v>
      </c>
      <c r="K721">
        <f t="shared" si="47"/>
        <v>9.0000000000000011E-2</v>
      </c>
    </row>
    <row r="722" spans="1:11" ht="13.9" x14ac:dyDescent="0.3">
      <c r="A722" s="2" t="s">
        <v>413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0.27</v>
      </c>
      <c r="H722" s="2" t="e">
        <f t="shared" si="44"/>
        <v>#NUM!</v>
      </c>
      <c r="I722" s="2">
        <f t="shared" si="45"/>
        <v>0.37390096630005903</v>
      </c>
      <c r="J722" s="2" t="e">
        <f t="shared" si="46"/>
        <v>#NUM!</v>
      </c>
      <c r="K722">
        <f t="shared" si="47"/>
        <v>9.0000000000000011E-2</v>
      </c>
    </row>
    <row r="723" spans="1:11" ht="13.9" x14ac:dyDescent="0.3">
      <c r="A723" s="2" t="s">
        <v>473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0.27</v>
      </c>
      <c r="H723" s="2" t="e">
        <f t="shared" si="44"/>
        <v>#NUM!</v>
      </c>
      <c r="I723" s="2">
        <f t="shared" si="45"/>
        <v>0.37390096630005903</v>
      </c>
      <c r="J723" s="2" t="e">
        <f t="shared" si="46"/>
        <v>#NUM!</v>
      </c>
      <c r="K723">
        <f t="shared" si="47"/>
        <v>9.0000000000000011E-2</v>
      </c>
    </row>
    <row r="724" spans="1:11" ht="13.9" x14ac:dyDescent="0.3">
      <c r="A724" s="2" t="s">
        <v>547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0.27</v>
      </c>
      <c r="H724" s="2" t="e">
        <f t="shared" si="44"/>
        <v>#NUM!</v>
      </c>
      <c r="I724" s="2">
        <f t="shared" si="45"/>
        <v>0.37390096630005903</v>
      </c>
      <c r="J724" s="2" t="e">
        <f t="shared" si="46"/>
        <v>#NUM!</v>
      </c>
      <c r="K724">
        <f t="shared" si="47"/>
        <v>9.0000000000000011E-2</v>
      </c>
    </row>
    <row r="725" spans="1:11" ht="13.9" x14ac:dyDescent="0.3">
      <c r="A725" s="2" t="s">
        <v>573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0.27</v>
      </c>
      <c r="H725" s="2" t="e">
        <f t="shared" si="44"/>
        <v>#NUM!</v>
      </c>
      <c r="I725" s="2">
        <f t="shared" si="45"/>
        <v>0.37390096630005903</v>
      </c>
      <c r="J725" s="2" t="e">
        <f t="shared" si="46"/>
        <v>#NUM!</v>
      </c>
      <c r="K725">
        <f t="shared" si="47"/>
        <v>9.0000000000000011E-2</v>
      </c>
    </row>
    <row r="726" spans="1:11" ht="13.9" x14ac:dyDescent="0.3">
      <c r="A726" s="2" t="s">
        <v>614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0.27</v>
      </c>
      <c r="H726" s="2" t="e">
        <f t="shared" si="44"/>
        <v>#NUM!</v>
      </c>
      <c r="I726" s="2">
        <f t="shared" si="45"/>
        <v>0.37390096630005903</v>
      </c>
      <c r="J726" s="2" t="e">
        <f t="shared" si="46"/>
        <v>#NUM!</v>
      </c>
      <c r="K726">
        <f t="shared" si="47"/>
        <v>9.0000000000000011E-2</v>
      </c>
    </row>
    <row r="727" spans="1:11" ht="13.9" x14ac:dyDescent="0.3">
      <c r="A727" s="2" t="s">
        <v>676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0.27</v>
      </c>
      <c r="H727" s="2" t="e">
        <f t="shared" si="44"/>
        <v>#NUM!</v>
      </c>
      <c r="I727" s="2">
        <f t="shared" si="45"/>
        <v>0.37390096630005903</v>
      </c>
      <c r="J727" s="2" t="e">
        <f t="shared" si="46"/>
        <v>#NUM!</v>
      </c>
      <c r="K727">
        <f t="shared" si="47"/>
        <v>9.0000000000000011E-2</v>
      </c>
    </row>
    <row r="728" spans="1:11" ht="13.9" x14ac:dyDescent="0.3">
      <c r="A728" s="2" t="s">
        <v>697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0.27</v>
      </c>
      <c r="H728" s="2" t="e">
        <f t="shared" si="44"/>
        <v>#NUM!</v>
      </c>
      <c r="I728" s="2">
        <f t="shared" si="45"/>
        <v>0.37390096630005903</v>
      </c>
      <c r="J728" s="2" t="e">
        <f t="shared" si="46"/>
        <v>#NUM!</v>
      </c>
      <c r="K728">
        <f t="shared" si="47"/>
        <v>9.0000000000000011E-2</v>
      </c>
    </row>
    <row r="729" spans="1:11" ht="13.9" x14ac:dyDescent="0.3">
      <c r="A729" s="2" t="s">
        <v>703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0.27</v>
      </c>
      <c r="H729" s="2" t="e">
        <f t="shared" si="44"/>
        <v>#NUM!</v>
      </c>
      <c r="I729" s="2">
        <f t="shared" si="45"/>
        <v>0.37390096630005903</v>
      </c>
      <c r="J729" s="2" t="e">
        <f t="shared" si="46"/>
        <v>#NUM!</v>
      </c>
      <c r="K729">
        <f t="shared" si="47"/>
        <v>9.0000000000000011E-2</v>
      </c>
    </row>
    <row r="730" spans="1:11" ht="13.9" x14ac:dyDescent="0.3">
      <c r="A730" s="2" t="s">
        <v>794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0.27</v>
      </c>
      <c r="H730" s="2" t="e">
        <f t="shared" si="44"/>
        <v>#NUM!</v>
      </c>
      <c r="I730" s="2">
        <f t="shared" si="45"/>
        <v>0.37390096630005903</v>
      </c>
      <c r="J730" s="2" t="e">
        <f t="shared" si="46"/>
        <v>#NUM!</v>
      </c>
      <c r="K730">
        <f t="shared" si="47"/>
        <v>9.0000000000000011E-2</v>
      </c>
    </row>
    <row r="731" spans="1:11" ht="13.9" x14ac:dyDescent="0.3">
      <c r="A731" s="2" t="s">
        <v>928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0.27</v>
      </c>
      <c r="H731" s="2" t="e">
        <f t="shared" si="44"/>
        <v>#NUM!</v>
      </c>
      <c r="I731" s="2">
        <f t="shared" si="45"/>
        <v>0.37390096630005903</v>
      </c>
      <c r="J731" s="2" t="e">
        <f t="shared" si="46"/>
        <v>#NUM!</v>
      </c>
      <c r="K731">
        <f t="shared" si="47"/>
        <v>9.0000000000000011E-2</v>
      </c>
    </row>
    <row r="732" spans="1:11" ht="13.9" x14ac:dyDescent="0.3">
      <c r="A732" s="2" t="s">
        <v>72</v>
      </c>
      <c r="B732" s="2">
        <v>0</v>
      </c>
      <c r="C732" s="2">
        <v>0</v>
      </c>
      <c r="D732" s="2">
        <v>0</v>
      </c>
      <c r="E732" s="2">
        <v>0.31</v>
      </c>
      <c r="F732" s="2">
        <v>0</v>
      </c>
      <c r="G732" s="2">
        <v>0</v>
      </c>
      <c r="H732" s="2" t="e">
        <f t="shared" si="44"/>
        <v>#NUM!</v>
      </c>
      <c r="I732" s="2">
        <f t="shared" si="45"/>
        <v>0.37390096630005903</v>
      </c>
      <c r="J732" s="2" t="e">
        <f t="shared" si="46"/>
        <v>#NUM!</v>
      </c>
      <c r="K732">
        <f t="shared" si="47"/>
        <v>0.10333333333333333</v>
      </c>
    </row>
    <row r="733" spans="1:11" ht="13.9" x14ac:dyDescent="0.3">
      <c r="A733" s="2" t="s">
        <v>129</v>
      </c>
      <c r="B733" s="2">
        <v>0</v>
      </c>
      <c r="C733" s="2">
        <v>0</v>
      </c>
      <c r="D733" s="2">
        <v>0</v>
      </c>
      <c r="E733" s="2">
        <v>0.31</v>
      </c>
      <c r="F733" s="2">
        <v>0</v>
      </c>
      <c r="G733" s="2">
        <v>0</v>
      </c>
      <c r="H733" s="2" t="e">
        <f t="shared" si="44"/>
        <v>#NUM!</v>
      </c>
      <c r="I733" s="2">
        <f t="shared" si="45"/>
        <v>0.37390096630005903</v>
      </c>
      <c r="J733" s="2" t="e">
        <f t="shared" si="46"/>
        <v>#NUM!</v>
      </c>
      <c r="K733">
        <f t="shared" si="47"/>
        <v>0.10333333333333333</v>
      </c>
    </row>
    <row r="734" spans="1:11" ht="13.9" x14ac:dyDescent="0.3">
      <c r="A734" s="2" t="s">
        <v>565</v>
      </c>
      <c r="B734" s="2">
        <v>0</v>
      </c>
      <c r="C734" s="2">
        <v>0</v>
      </c>
      <c r="D734" s="2">
        <v>0</v>
      </c>
      <c r="E734" s="2">
        <v>0.31</v>
      </c>
      <c r="F734" s="2">
        <v>0</v>
      </c>
      <c r="G734" s="2">
        <v>0</v>
      </c>
      <c r="H734" s="2" t="e">
        <f t="shared" si="44"/>
        <v>#NUM!</v>
      </c>
      <c r="I734" s="2">
        <f t="shared" si="45"/>
        <v>0.37390096630005903</v>
      </c>
      <c r="J734" s="2" t="e">
        <f t="shared" si="46"/>
        <v>#NUM!</v>
      </c>
      <c r="K734">
        <f t="shared" si="47"/>
        <v>0.10333333333333333</v>
      </c>
    </row>
    <row r="735" spans="1:11" ht="13.9" x14ac:dyDescent="0.3">
      <c r="A735" s="2" t="s">
        <v>571</v>
      </c>
      <c r="B735" s="2">
        <v>0</v>
      </c>
      <c r="C735" s="2">
        <v>0</v>
      </c>
      <c r="D735" s="2">
        <v>0</v>
      </c>
      <c r="E735" s="2">
        <v>0.31</v>
      </c>
      <c r="F735" s="2">
        <v>0</v>
      </c>
      <c r="G735" s="2">
        <v>0</v>
      </c>
      <c r="H735" s="2" t="e">
        <f t="shared" si="44"/>
        <v>#NUM!</v>
      </c>
      <c r="I735" s="2">
        <f t="shared" si="45"/>
        <v>0.37390096630005903</v>
      </c>
      <c r="J735" s="2" t="e">
        <f t="shared" si="46"/>
        <v>#NUM!</v>
      </c>
      <c r="K735">
        <f t="shared" si="47"/>
        <v>0.10333333333333333</v>
      </c>
    </row>
    <row r="736" spans="1:11" ht="13.9" x14ac:dyDescent="0.3">
      <c r="A736" s="2" t="s">
        <v>581</v>
      </c>
      <c r="B736" s="2">
        <v>0</v>
      </c>
      <c r="C736" s="2">
        <v>0</v>
      </c>
      <c r="D736" s="2">
        <v>0</v>
      </c>
      <c r="E736" s="2">
        <v>0.31</v>
      </c>
      <c r="F736" s="2">
        <v>0</v>
      </c>
      <c r="G736" s="2">
        <v>0</v>
      </c>
      <c r="H736" s="2" t="e">
        <f t="shared" si="44"/>
        <v>#NUM!</v>
      </c>
      <c r="I736" s="2">
        <f t="shared" si="45"/>
        <v>0.37390096630005903</v>
      </c>
      <c r="J736" s="2" t="e">
        <f t="shared" si="46"/>
        <v>#NUM!</v>
      </c>
      <c r="K736">
        <f t="shared" si="47"/>
        <v>0.10333333333333333</v>
      </c>
    </row>
    <row r="737" spans="1:11" ht="13.9" x14ac:dyDescent="0.3">
      <c r="A737" s="2" t="s">
        <v>763</v>
      </c>
      <c r="B737" s="2">
        <v>0</v>
      </c>
      <c r="C737" s="2">
        <v>0</v>
      </c>
      <c r="D737" s="2">
        <v>0</v>
      </c>
      <c r="E737" s="2">
        <v>0.31</v>
      </c>
      <c r="F737" s="2">
        <v>0</v>
      </c>
      <c r="G737" s="2">
        <v>0</v>
      </c>
      <c r="H737" s="2" t="e">
        <f t="shared" si="44"/>
        <v>#NUM!</v>
      </c>
      <c r="I737" s="2">
        <f t="shared" si="45"/>
        <v>0.37390096630005903</v>
      </c>
      <c r="J737" s="2" t="e">
        <f t="shared" si="46"/>
        <v>#NUM!</v>
      </c>
      <c r="K737">
        <f t="shared" si="47"/>
        <v>0.10333333333333333</v>
      </c>
    </row>
    <row r="738" spans="1:11" ht="13.9" x14ac:dyDescent="0.3">
      <c r="A738" s="2" t="s">
        <v>791</v>
      </c>
      <c r="B738" s="2">
        <v>0</v>
      </c>
      <c r="C738" s="2">
        <v>0</v>
      </c>
      <c r="D738" s="2">
        <v>0</v>
      </c>
      <c r="E738" s="2">
        <v>0.31</v>
      </c>
      <c r="F738" s="2">
        <v>0</v>
      </c>
      <c r="G738" s="2">
        <v>0</v>
      </c>
      <c r="H738" s="2" t="e">
        <f t="shared" si="44"/>
        <v>#NUM!</v>
      </c>
      <c r="I738" s="2">
        <f t="shared" si="45"/>
        <v>0.37390096630005903</v>
      </c>
      <c r="J738" s="2" t="e">
        <f t="shared" si="46"/>
        <v>#NUM!</v>
      </c>
      <c r="K738">
        <f t="shared" si="47"/>
        <v>0.10333333333333333</v>
      </c>
    </row>
    <row r="739" spans="1:11" ht="13.9" x14ac:dyDescent="0.3">
      <c r="A739" s="2" t="s">
        <v>820</v>
      </c>
      <c r="B739" s="2">
        <v>0</v>
      </c>
      <c r="C739" s="2">
        <v>0</v>
      </c>
      <c r="D739" s="2">
        <v>0</v>
      </c>
      <c r="E739" s="2">
        <v>0.31</v>
      </c>
      <c r="F739" s="2">
        <v>0</v>
      </c>
      <c r="G739" s="2">
        <v>0</v>
      </c>
      <c r="H739" s="2" t="e">
        <f t="shared" si="44"/>
        <v>#NUM!</v>
      </c>
      <c r="I739" s="2">
        <f t="shared" si="45"/>
        <v>0.37390096630005903</v>
      </c>
      <c r="J739" s="2" t="e">
        <f t="shared" si="46"/>
        <v>#NUM!</v>
      </c>
      <c r="K739">
        <f t="shared" si="47"/>
        <v>0.10333333333333333</v>
      </c>
    </row>
    <row r="740" spans="1:11" ht="13.9" x14ac:dyDescent="0.3">
      <c r="A740" s="2" t="s">
        <v>867</v>
      </c>
      <c r="B740" s="2">
        <v>0</v>
      </c>
      <c r="C740" s="2">
        <v>0</v>
      </c>
      <c r="D740" s="2">
        <v>0</v>
      </c>
      <c r="E740" s="2">
        <v>0.31</v>
      </c>
      <c r="F740" s="2">
        <v>0</v>
      </c>
      <c r="G740" s="2">
        <v>0</v>
      </c>
      <c r="H740" s="2" t="e">
        <f t="shared" si="44"/>
        <v>#NUM!</v>
      </c>
      <c r="I740" s="2">
        <f t="shared" si="45"/>
        <v>0.37390096630005903</v>
      </c>
      <c r="J740" s="2" t="e">
        <f t="shared" si="46"/>
        <v>#NUM!</v>
      </c>
      <c r="K740">
        <f t="shared" si="47"/>
        <v>0.10333333333333333</v>
      </c>
    </row>
    <row r="741" spans="1:11" ht="13.9" x14ac:dyDescent="0.3">
      <c r="A741" s="2" t="s">
        <v>875</v>
      </c>
      <c r="B741" s="2">
        <v>0</v>
      </c>
      <c r="C741" s="2">
        <v>0</v>
      </c>
      <c r="D741" s="2">
        <v>0</v>
      </c>
      <c r="E741" s="2">
        <v>0.31</v>
      </c>
      <c r="F741" s="2">
        <v>0</v>
      </c>
      <c r="G741" s="2">
        <v>0</v>
      </c>
      <c r="H741" s="2" t="e">
        <f t="shared" si="44"/>
        <v>#NUM!</v>
      </c>
      <c r="I741" s="2">
        <f t="shared" si="45"/>
        <v>0.37390096630005903</v>
      </c>
      <c r="J741" s="2" t="e">
        <f t="shared" si="46"/>
        <v>#NUM!</v>
      </c>
      <c r="K741">
        <f t="shared" si="47"/>
        <v>0.10333333333333333</v>
      </c>
    </row>
    <row r="742" spans="1:11" ht="13.9" x14ac:dyDescent="0.3">
      <c r="A742" s="2" t="s">
        <v>915</v>
      </c>
      <c r="B742" s="2">
        <v>0</v>
      </c>
      <c r="C742" s="2">
        <v>0</v>
      </c>
      <c r="D742" s="2">
        <v>0</v>
      </c>
      <c r="E742" s="2">
        <v>0.31</v>
      </c>
      <c r="F742" s="2">
        <v>0</v>
      </c>
      <c r="G742" s="2">
        <v>0</v>
      </c>
      <c r="H742" s="2" t="e">
        <f t="shared" si="44"/>
        <v>#NUM!</v>
      </c>
      <c r="I742" s="2">
        <f t="shared" si="45"/>
        <v>0.37390096630005903</v>
      </c>
      <c r="J742" s="2" t="e">
        <f t="shared" si="46"/>
        <v>#NUM!</v>
      </c>
      <c r="K742">
        <f t="shared" si="47"/>
        <v>0.10333333333333333</v>
      </c>
    </row>
    <row r="743" spans="1:11" ht="13.9" x14ac:dyDescent="0.3">
      <c r="A743" s="2" t="s">
        <v>213</v>
      </c>
      <c r="B743" s="2">
        <v>0</v>
      </c>
      <c r="C743" s="2">
        <v>0</v>
      </c>
      <c r="D743" s="2">
        <v>0</v>
      </c>
      <c r="E743" s="2">
        <v>0.1</v>
      </c>
      <c r="F743" s="2">
        <v>0</v>
      </c>
      <c r="G743" s="2">
        <v>0.27</v>
      </c>
      <c r="H743" s="2" t="e">
        <f t="shared" si="44"/>
        <v>#NUM!</v>
      </c>
      <c r="I743" s="2">
        <f t="shared" si="45"/>
        <v>0.19265015532098587</v>
      </c>
      <c r="J743" s="2" t="e">
        <f t="shared" si="46"/>
        <v>#NUM!</v>
      </c>
      <c r="K743">
        <f t="shared" si="47"/>
        <v>0.12333333333333334</v>
      </c>
    </row>
    <row r="744" spans="1:11" ht="13.9" x14ac:dyDescent="0.3">
      <c r="A744" s="2" t="s">
        <v>29</v>
      </c>
      <c r="B744" s="2">
        <v>0</v>
      </c>
      <c r="C744" s="2">
        <v>0</v>
      </c>
      <c r="D744" s="2">
        <v>0</v>
      </c>
      <c r="E744" s="2">
        <v>0.41</v>
      </c>
      <c r="F744" s="2">
        <v>0</v>
      </c>
      <c r="G744" s="2">
        <v>0</v>
      </c>
      <c r="H744" s="2" t="e">
        <f t="shared" si="44"/>
        <v>#NUM!</v>
      </c>
      <c r="I744" s="2">
        <f t="shared" si="45"/>
        <v>0.37390096630005903</v>
      </c>
      <c r="J744" s="2" t="e">
        <f t="shared" si="46"/>
        <v>#NUM!</v>
      </c>
      <c r="K744">
        <f t="shared" si="47"/>
        <v>0.13666666666666666</v>
      </c>
    </row>
    <row r="745" spans="1:11" ht="13.9" x14ac:dyDescent="0.3">
      <c r="A745" s="2" t="s">
        <v>67</v>
      </c>
      <c r="B745" s="2">
        <v>0</v>
      </c>
      <c r="C745" s="2">
        <v>0</v>
      </c>
      <c r="D745" s="2">
        <v>0</v>
      </c>
      <c r="E745" s="2">
        <v>0.41</v>
      </c>
      <c r="F745" s="2">
        <v>0</v>
      </c>
      <c r="G745" s="2">
        <v>0</v>
      </c>
      <c r="H745" s="2" t="e">
        <f t="shared" si="44"/>
        <v>#NUM!</v>
      </c>
      <c r="I745" s="2">
        <f t="shared" si="45"/>
        <v>0.37390096630005903</v>
      </c>
      <c r="J745" s="2" t="e">
        <f t="shared" si="46"/>
        <v>#NUM!</v>
      </c>
      <c r="K745">
        <f t="shared" si="47"/>
        <v>0.13666666666666666</v>
      </c>
    </row>
    <row r="746" spans="1:11" ht="13.9" x14ac:dyDescent="0.3">
      <c r="A746" s="2" t="s">
        <v>101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0.41</v>
      </c>
      <c r="H746" s="2" t="e">
        <f t="shared" si="44"/>
        <v>#NUM!</v>
      </c>
      <c r="I746" s="2">
        <f t="shared" si="45"/>
        <v>0.37390096630005903</v>
      </c>
      <c r="J746" s="2" t="e">
        <f t="shared" si="46"/>
        <v>#NUM!</v>
      </c>
      <c r="K746">
        <f t="shared" si="47"/>
        <v>0.13666666666666666</v>
      </c>
    </row>
    <row r="747" spans="1:11" ht="13.9" x14ac:dyDescent="0.3">
      <c r="A747" s="2" t="s">
        <v>111</v>
      </c>
      <c r="B747" s="2">
        <v>0</v>
      </c>
      <c r="C747" s="2">
        <v>0</v>
      </c>
      <c r="D747" s="2">
        <v>0</v>
      </c>
      <c r="E747" s="2">
        <v>0.41</v>
      </c>
      <c r="F747" s="2">
        <v>0</v>
      </c>
      <c r="G747" s="2">
        <v>0</v>
      </c>
      <c r="H747" s="2" t="e">
        <f t="shared" si="44"/>
        <v>#NUM!</v>
      </c>
      <c r="I747" s="2">
        <f t="shared" si="45"/>
        <v>0.37390096630005903</v>
      </c>
      <c r="J747" s="2" t="e">
        <f t="shared" si="46"/>
        <v>#NUM!</v>
      </c>
      <c r="K747">
        <f t="shared" si="47"/>
        <v>0.13666666666666666</v>
      </c>
    </row>
    <row r="748" spans="1:11" ht="13.9" x14ac:dyDescent="0.3">
      <c r="A748" s="2" t="s">
        <v>227</v>
      </c>
      <c r="B748" s="2">
        <v>0</v>
      </c>
      <c r="C748" s="2">
        <v>0</v>
      </c>
      <c r="D748" s="2">
        <v>0</v>
      </c>
      <c r="E748" s="2">
        <v>0.41</v>
      </c>
      <c r="F748" s="2">
        <v>0</v>
      </c>
      <c r="G748" s="2">
        <v>0</v>
      </c>
      <c r="H748" s="2" t="e">
        <f t="shared" si="44"/>
        <v>#NUM!</v>
      </c>
      <c r="I748" s="2">
        <f t="shared" si="45"/>
        <v>0.37390096630005903</v>
      </c>
      <c r="J748" s="2" t="e">
        <f t="shared" si="46"/>
        <v>#NUM!</v>
      </c>
      <c r="K748">
        <f t="shared" si="47"/>
        <v>0.13666666666666666</v>
      </c>
    </row>
    <row r="749" spans="1:11" ht="13.9" x14ac:dyDescent="0.3">
      <c r="A749" s="2" t="s">
        <v>301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0.41</v>
      </c>
      <c r="H749" s="2" t="e">
        <f t="shared" si="44"/>
        <v>#NUM!</v>
      </c>
      <c r="I749" s="2">
        <f t="shared" si="45"/>
        <v>0.37390096630005903</v>
      </c>
      <c r="J749" s="2" t="e">
        <f t="shared" si="46"/>
        <v>#NUM!</v>
      </c>
      <c r="K749">
        <f t="shared" si="47"/>
        <v>0.13666666666666666</v>
      </c>
    </row>
    <row r="750" spans="1:11" ht="13.9" x14ac:dyDescent="0.3">
      <c r="A750" s="2" t="s">
        <v>308</v>
      </c>
      <c r="B750" s="2">
        <v>0</v>
      </c>
      <c r="C750" s="2">
        <v>0</v>
      </c>
      <c r="D750" s="2">
        <v>0</v>
      </c>
      <c r="E750" s="2">
        <v>0.41</v>
      </c>
      <c r="F750" s="2">
        <v>0</v>
      </c>
      <c r="G750" s="2">
        <v>0</v>
      </c>
      <c r="H750" s="2" t="e">
        <f t="shared" si="44"/>
        <v>#NUM!</v>
      </c>
      <c r="I750" s="2">
        <f t="shared" si="45"/>
        <v>0.37390096630005903</v>
      </c>
      <c r="J750" s="2" t="e">
        <f t="shared" si="46"/>
        <v>#NUM!</v>
      </c>
      <c r="K750">
        <f t="shared" si="47"/>
        <v>0.13666666666666666</v>
      </c>
    </row>
    <row r="751" spans="1:11" ht="13.9" x14ac:dyDescent="0.3">
      <c r="A751" s="2" t="s">
        <v>370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0.41</v>
      </c>
      <c r="H751" s="2" t="e">
        <f t="shared" si="44"/>
        <v>#NUM!</v>
      </c>
      <c r="I751" s="2">
        <f t="shared" si="45"/>
        <v>0.37390096630005903</v>
      </c>
      <c r="J751" s="2" t="e">
        <f t="shared" si="46"/>
        <v>#NUM!</v>
      </c>
      <c r="K751">
        <f t="shared" si="47"/>
        <v>0.13666666666666666</v>
      </c>
    </row>
    <row r="752" spans="1:11" ht="13.9" x14ac:dyDescent="0.3">
      <c r="A752" s="2" t="s">
        <v>412</v>
      </c>
      <c r="B752" s="2">
        <v>0</v>
      </c>
      <c r="C752" s="2">
        <v>0</v>
      </c>
      <c r="D752" s="2">
        <v>0</v>
      </c>
      <c r="E752" s="2">
        <v>0.41</v>
      </c>
      <c r="F752" s="2">
        <v>0</v>
      </c>
      <c r="G752" s="2">
        <v>0</v>
      </c>
      <c r="H752" s="2" t="e">
        <f t="shared" si="44"/>
        <v>#NUM!</v>
      </c>
      <c r="I752" s="2">
        <f t="shared" si="45"/>
        <v>0.37390096630005903</v>
      </c>
      <c r="J752" s="2" t="e">
        <f t="shared" si="46"/>
        <v>#NUM!</v>
      </c>
      <c r="K752">
        <f t="shared" si="47"/>
        <v>0.13666666666666666</v>
      </c>
    </row>
    <row r="753" spans="1:11" ht="13.9" x14ac:dyDescent="0.3">
      <c r="A753" s="2" t="s">
        <v>443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0.41</v>
      </c>
      <c r="H753" s="2" t="e">
        <f t="shared" si="44"/>
        <v>#NUM!</v>
      </c>
      <c r="I753" s="2">
        <f t="shared" si="45"/>
        <v>0.37390096630005903</v>
      </c>
      <c r="J753" s="2" t="e">
        <f t="shared" si="46"/>
        <v>#NUM!</v>
      </c>
      <c r="K753">
        <f t="shared" si="47"/>
        <v>0.13666666666666666</v>
      </c>
    </row>
    <row r="754" spans="1:11" ht="13.9" x14ac:dyDescent="0.3">
      <c r="A754" s="2" t="s">
        <v>453</v>
      </c>
      <c r="B754" s="2">
        <v>0</v>
      </c>
      <c r="C754" s="2">
        <v>0</v>
      </c>
      <c r="D754" s="2">
        <v>0</v>
      </c>
      <c r="E754" s="2">
        <v>0.41</v>
      </c>
      <c r="F754" s="2">
        <v>0</v>
      </c>
      <c r="G754" s="2">
        <v>0</v>
      </c>
      <c r="H754" s="2" t="e">
        <f t="shared" si="44"/>
        <v>#NUM!</v>
      </c>
      <c r="I754" s="2">
        <f t="shared" si="45"/>
        <v>0.37390096630005903</v>
      </c>
      <c r="J754" s="2" t="e">
        <f t="shared" si="46"/>
        <v>#NUM!</v>
      </c>
      <c r="K754">
        <f t="shared" si="47"/>
        <v>0.13666666666666666</v>
      </c>
    </row>
    <row r="755" spans="1:11" ht="13.9" x14ac:dyDescent="0.3">
      <c r="A755" s="2" t="s">
        <v>483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0.41</v>
      </c>
      <c r="H755" s="2" t="e">
        <f t="shared" si="44"/>
        <v>#NUM!</v>
      </c>
      <c r="I755" s="2">
        <f t="shared" si="45"/>
        <v>0.37390096630005903</v>
      </c>
      <c r="J755" s="2" t="e">
        <f t="shared" si="46"/>
        <v>#NUM!</v>
      </c>
      <c r="K755">
        <f t="shared" si="47"/>
        <v>0.13666666666666666</v>
      </c>
    </row>
    <row r="756" spans="1:11" ht="13.9" x14ac:dyDescent="0.3">
      <c r="A756" s="2" t="s">
        <v>540</v>
      </c>
      <c r="B756" s="2">
        <v>0</v>
      </c>
      <c r="C756" s="2">
        <v>0</v>
      </c>
      <c r="D756" s="2">
        <v>0</v>
      </c>
      <c r="E756" s="2">
        <v>0.41</v>
      </c>
      <c r="F756" s="2">
        <v>0</v>
      </c>
      <c r="G756" s="2">
        <v>0</v>
      </c>
      <c r="H756" s="2" t="e">
        <f t="shared" si="44"/>
        <v>#NUM!</v>
      </c>
      <c r="I756" s="2">
        <f t="shared" si="45"/>
        <v>0.37390096630005903</v>
      </c>
      <c r="J756" s="2" t="e">
        <f t="shared" si="46"/>
        <v>#NUM!</v>
      </c>
      <c r="K756">
        <f t="shared" si="47"/>
        <v>0.13666666666666666</v>
      </c>
    </row>
    <row r="757" spans="1:11" ht="13.9" x14ac:dyDescent="0.3">
      <c r="A757" s="2" t="s">
        <v>600</v>
      </c>
      <c r="B757" s="2">
        <v>0</v>
      </c>
      <c r="C757" s="2">
        <v>0</v>
      </c>
      <c r="D757" s="2">
        <v>0</v>
      </c>
      <c r="E757" s="2">
        <v>0.41</v>
      </c>
      <c r="F757" s="2">
        <v>0</v>
      </c>
      <c r="G757" s="2">
        <v>0</v>
      </c>
      <c r="H757" s="2" t="e">
        <f t="shared" si="44"/>
        <v>#NUM!</v>
      </c>
      <c r="I757" s="2">
        <f t="shared" si="45"/>
        <v>0.37390096630005903</v>
      </c>
      <c r="J757" s="2" t="e">
        <f t="shared" si="46"/>
        <v>#NUM!</v>
      </c>
      <c r="K757">
        <f t="shared" si="47"/>
        <v>0.13666666666666666</v>
      </c>
    </row>
    <row r="758" spans="1:11" ht="13.9" x14ac:dyDescent="0.3">
      <c r="A758" s="2" t="s">
        <v>616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0.41</v>
      </c>
      <c r="H758" s="2" t="e">
        <f t="shared" si="44"/>
        <v>#NUM!</v>
      </c>
      <c r="I758" s="2">
        <f t="shared" si="45"/>
        <v>0.37390096630005903</v>
      </c>
      <c r="J758" s="2" t="e">
        <f t="shared" si="46"/>
        <v>#NUM!</v>
      </c>
      <c r="K758">
        <f t="shared" si="47"/>
        <v>0.13666666666666666</v>
      </c>
    </row>
    <row r="759" spans="1:11" ht="13.9" x14ac:dyDescent="0.3">
      <c r="A759" s="2" t="s">
        <v>785</v>
      </c>
      <c r="B759" s="2">
        <v>0</v>
      </c>
      <c r="C759" s="2">
        <v>0</v>
      </c>
      <c r="D759" s="2">
        <v>0</v>
      </c>
      <c r="E759" s="2">
        <v>0.41</v>
      </c>
      <c r="F759" s="2">
        <v>0</v>
      </c>
      <c r="G759" s="2">
        <v>0</v>
      </c>
      <c r="H759" s="2" t="e">
        <f t="shared" si="44"/>
        <v>#NUM!</v>
      </c>
      <c r="I759" s="2">
        <f t="shared" si="45"/>
        <v>0.37390096630005903</v>
      </c>
      <c r="J759" s="2" t="e">
        <f t="shared" si="46"/>
        <v>#NUM!</v>
      </c>
      <c r="K759">
        <f t="shared" si="47"/>
        <v>0.13666666666666666</v>
      </c>
    </row>
    <row r="760" spans="1:11" ht="13.9" x14ac:dyDescent="0.3">
      <c r="A760" s="2" t="s">
        <v>815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0.41</v>
      </c>
      <c r="H760" s="2" t="e">
        <f t="shared" si="44"/>
        <v>#NUM!</v>
      </c>
      <c r="I760" s="2">
        <f t="shared" si="45"/>
        <v>0.37390096630005903</v>
      </c>
      <c r="J760" s="2" t="e">
        <f t="shared" si="46"/>
        <v>#NUM!</v>
      </c>
      <c r="K760">
        <f t="shared" si="47"/>
        <v>0.13666666666666666</v>
      </c>
    </row>
    <row r="761" spans="1:11" ht="13.9" x14ac:dyDescent="0.3">
      <c r="A761" s="2" t="s">
        <v>905</v>
      </c>
      <c r="B761" s="2">
        <v>0</v>
      </c>
      <c r="C761" s="2">
        <v>0</v>
      </c>
      <c r="D761" s="2">
        <v>0</v>
      </c>
      <c r="E761" s="2">
        <v>0.41</v>
      </c>
      <c r="F761" s="2">
        <v>0</v>
      </c>
      <c r="G761" s="2">
        <v>0</v>
      </c>
      <c r="H761" s="2" t="e">
        <f t="shared" si="44"/>
        <v>#NUM!</v>
      </c>
      <c r="I761" s="2">
        <f t="shared" si="45"/>
        <v>0.37390096630005903</v>
      </c>
      <c r="J761" s="2" t="e">
        <f t="shared" si="46"/>
        <v>#NUM!</v>
      </c>
      <c r="K761">
        <f t="shared" si="47"/>
        <v>0.13666666666666666</v>
      </c>
    </row>
    <row r="762" spans="1:11" ht="13.9" x14ac:dyDescent="0.3">
      <c r="A762" s="2" t="s">
        <v>92</v>
      </c>
      <c r="B762" s="2">
        <v>0</v>
      </c>
      <c r="C762" s="2">
        <v>0</v>
      </c>
      <c r="D762" s="2">
        <v>0</v>
      </c>
      <c r="E762" s="2">
        <v>0.51</v>
      </c>
      <c r="F762" s="2">
        <v>0</v>
      </c>
      <c r="G762" s="2">
        <v>0</v>
      </c>
      <c r="H762" s="2" t="e">
        <f t="shared" si="44"/>
        <v>#NUM!</v>
      </c>
      <c r="I762" s="2">
        <f t="shared" si="45"/>
        <v>0.37390096630005903</v>
      </c>
      <c r="J762" s="2" t="e">
        <f t="shared" si="46"/>
        <v>#NUM!</v>
      </c>
      <c r="K762">
        <f t="shared" si="47"/>
        <v>0.17</v>
      </c>
    </row>
    <row r="763" spans="1:11" ht="13.9" x14ac:dyDescent="0.3">
      <c r="A763" s="2" t="s">
        <v>164</v>
      </c>
      <c r="B763" s="2">
        <v>0</v>
      </c>
      <c r="C763" s="2">
        <v>0</v>
      </c>
      <c r="D763" s="2">
        <v>0</v>
      </c>
      <c r="E763" s="2">
        <v>0.51</v>
      </c>
      <c r="F763" s="2">
        <v>0</v>
      </c>
      <c r="G763" s="2">
        <v>0</v>
      </c>
      <c r="H763" s="2" t="e">
        <f t="shared" si="44"/>
        <v>#NUM!</v>
      </c>
      <c r="I763" s="2">
        <f t="shared" si="45"/>
        <v>0.37390096630005903</v>
      </c>
      <c r="J763" s="2" t="e">
        <f t="shared" si="46"/>
        <v>#NUM!</v>
      </c>
      <c r="K763">
        <f t="shared" si="47"/>
        <v>0.17</v>
      </c>
    </row>
    <row r="764" spans="1:11" ht="13.9" x14ac:dyDescent="0.3">
      <c r="A764" s="2" t="s">
        <v>485</v>
      </c>
      <c r="B764" s="2">
        <v>0</v>
      </c>
      <c r="C764" s="2">
        <v>0</v>
      </c>
      <c r="D764" s="2">
        <v>0</v>
      </c>
      <c r="E764" s="2">
        <v>0.51</v>
      </c>
      <c r="F764" s="2">
        <v>0</v>
      </c>
      <c r="G764" s="2">
        <v>0</v>
      </c>
      <c r="H764" s="2" t="e">
        <f t="shared" si="44"/>
        <v>#NUM!</v>
      </c>
      <c r="I764" s="2">
        <f t="shared" si="45"/>
        <v>0.37390096630005903</v>
      </c>
      <c r="J764" s="2" t="e">
        <f t="shared" si="46"/>
        <v>#NUM!</v>
      </c>
      <c r="K764">
        <f t="shared" si="47"/>
        <v>0.17</v>
      </c>
    </row>
    <row r="765" spans="1:11" ht="13.9" x14ac:dyDescent="0.3">
      <c r="A765" s="2" t="s">
        <v>709</v>
      </c>
      <c r="B765" s="2">
        <v>0</v>
      </c>
      <c r="C765" s="2">
        <v>0</v>
      </c>
      <c r="D765" s="2">
        <v>0</v>
      </c>
      <c r="E765" s="2">
        <v>0.51</v>
      </c>
      <c r="F765" s="2">
        <v>0</v>
      </c>
      <c r="G765" s="2">
        <v>0</v>
      </c>
      <c r="H765" s="2" t="e">
        <f t="shared" si="44"/>
        <v>#NUM!</v>
      </c>
      <c r="I765" s="2">
        <f t="shared" si="45"/>
        <v>0.37390096630005903</v>
      </c>
      <c r="J765" s="2" t="e">
        <f t="shared" si="46"/>
        <v>#NUM!</v>
      </c>
      <c r="K765">
        <f t="shared" si="47"/>
        <v>0.17</v>
      </c>
    </row>
    <row r="766" spans="1:11" ht="13.9" x14ac:dyDescent="0.3">
      <c r="A766" s="2" t="s">
        <v>720</v>
      </c>
      <c r="B766" s="2">
        <v>0</v>
      </c>
      <c r="C766" s="2">
        <v>0</v>
      </c>
      <c r="D766" s="2">
        <v>0</v>
      </c>
      <c r="E766" s="2">
        <v>0.51</v>
      </c>
      <c r="F766" s="2">
        <v>0</v>
      </c>
      <c r="G766" s="2">
        <v>0</v>
      </c>
      <c r="H766" s="2" t="e">
        <f t="shared" si="44"/>
        <v>#NUM!</v>
      </c>
      <c r="I766" s="2">
        <f t="shared" si="45"/>
        <v>0.37390096630005903</v>
      </c>
      <c r="J766" s="2" t="e">
        <f t="shared" si="46"/>
        <v>#NUM!</v>
      </c>
      <c r="K766">
        <f t="shared" si="47"/>
        <v>0.17</v>
      </c>
    </row>
    <row r="767" spans="1:11" ht="13.9" x14ac:dyDescent="0.3">
      <c r="A767" s="2" t="s">
        <v>127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0.54</v>
      </c>
      <c r="H767" s="2" t="e">
        <f t="shared" si="44"/>
        <v>#NUM!</v>
      </c>
      <c r="I767" s="2">
        <f t="shared" si="45"/>
        <v>0.37390096630005903</v>
      </c>
      <c r="J767" s="2" t="e">
        <f t="shared" si="46"/>
        <v>#NUM!</v>
      </c>
      <c r="K767">
        <f t="shared" si="47"/>
        <v>0.18000000000000002</v>
      </c>
    </row>
    <row r="768" spans="1:11" ht="13.9" x14ac:dyDescent="0.3">
      <c r="A768" s="2" t="s">
        <v>304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0.54</v>
      </c>
      <c r="H768" s="2" t="e">
        <f t="shared" si="44"/>
        <v>#NUM!</v>
      </c>
      <c r="I768" s="2">
        <f t="shared" si="45"/>
        <v>0.37390096630005903</v>
      </c>
      <c r="J768" s="2" t="e">
        <f t="shared" si="46"/>
        <v>#NUM!</v>
      </c>
      <c r="K768">
        <f t="shared" si="47"/>
        <v>0.18000000000000002</v>
      </c>
    </row>
    <row r="769" spans="1:11" ht="13.9" x14ac:dyDescent="0.3">
      <c r="A769" s="2" t="s">
        <v>470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0.54</v>
      </c>
      <c r="H769" s="2" t="e">
        <f t="shared" si="44"/>
        <v>#NUM!</v>
      </c>
      <c r="I769" s="2">
        <f t="shared" si="45"/>
        <v>0.37390096630005903</v>
      </c>
      <c r="J769" s="2" t="e">
        <f t="shared" si="46"/>
        <v>#NUM!</v>
      </c>
      <c r="K769">
        <f t="shared" si="47"/>
        <v>0.18000000000000002</v>
      </c>
    </row>
    <row r="770" spans="1:11" ht="13.9" x14ac:dyDescent="0.3">
      <c r="A770" s="2" t="s">
        <v>687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0.54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J770" s="2" t="e">
        <f t="shared" ref="J770:J833" si="50">LOG(SUM(B770:D770),2)</f>
        <v>#NUM!</v>
      </c>
      <c r="K770">
        <f t="shared" ref="K770:K833" si="51">AVERAGE(E770:G770)</f>
        <v>0.18000000000000002</v>
      </c>
    </row>
    <row r="771" spans="1:11" ht="13.9" x14ac:dyDescent="0.3">
      <c r="A771" s="2" t="s">
        <v>57</v>
      </c>
      <c r="B771" s="2">
        <v>0</v>
      </c>
      <c r="C771" s="2">
        <v>0</v>
      </c>
      <c r="D771" s="2">
        <v>0</v>
      </c>
      <c r="E771" s="2">
        <v>0.62</v>
      </c>
      <c r="F771" s="2">
        <v>0</v>
      </c>
      <c r="G771" s="2">
        <v>0</v>
      </c>
      <c r="H771" s="2" t="e">
        <f t="shared" si="48"/>
        <v>#NUM!</v>
      </c>
      <c r="I771" s="2">
        <f t="shared" si="49"/>
        <v>0.37390096630005903</v>
      </c>
      <c r="J771" s="2" t="e">
        <f t="shared" si="50"/>
        <v>#NUM!</v>
      </c>
      <c r="K771">
        <f t="shared" si="51"/>
        <v>0.20666666666666667</v>
      </c>
    </row>
    <row r="772" spans="1:11" ht="13.9" x14ac:dyDescent="0.3">
      <c r="A772" s="2" t="s">
        <v>205</v>
      </c>
      <c r="B772" s="2">
        <v>0</v>
      </c>
      <c r="C772" s="2">
        <v>0</v>
      </c>
      <c r="D772" s="2">
        <v>0</v>
      </c>
      <c r="E772" s="2">
        <v>0.62</v>
      </c>
      <c r="F772" s="2">
        <v>0</v>
      </c>
      <c r="G772" s="2">
        <v>0</v>
      </c>
      <c r="H772" s="2" t="e">
        <f t="shared" si="48"/>
        <v>#NUM!</v>
      </c>
      <c r="I772" s="2">
        <f t="shared" si="49"/>
        <v>0.37390096630005903</v>
      </c>
      <c r="J772" s="2" t="e">
        <f t="shared" si="50"/>
        <v>#NUM!</v>
      </c>
      <c r="K772">
        <f t="shared" si="51"/>
        <v>0.20666666666666667</v>
      </c>
    </row>
    <row r="773" spans="1:11" ht="13.9" x14ac:dyDescent="0.3">
      <c r="A773" s="2" t="s">
        <v>373</v>
      </c>
      <c r="B773" s="2">
        <v>0</v>
      </c>
      <c r="C773" s="2">
        <v>0</v>
      </c>
      <c r="D773" s="2">
        <v>0</v>
      </c>
      <c r="E773" s="2">
        <v>0.62</v>
      </c>
      <c r="F773" s="2">
        <v>0</v>
      </c>
      <c r="G773" s="2">
        <v>0</v>
      </c>
      <c r="H773" s="2" t="e">
        <f t="shared" si="48"/>
        <v>#NUM!</v>
      </c>
      <c r="I773" s="2">
        <f t="shared" si="49"/>
        <v>0.37390096630005903</v>
      </c>
      <c r="J773" s="2" t="e">
        <f t="shared" si="50"/>
        <v>#NUM!</v>
      </c>
      <c r="K773">
        <f t="shared" si="51"/>
        <v>0.20666666666666667</v>
      </c>
    </row>
    <row r="774" spans="1:11" ht="13.9" x14ac:dyDescent="0.3">
      <c r="A774" s="2" t="s">
        <v>481</v>
      </c>
      <c r="B774" s="2">
        <v>0</v>
      </c>
      <c r="C774" s="2">
        <v>0</v>
      </c>
      <c r="D774" s="2">
        <v>0</v>
      </c>
      <c r="E774" s="2">
        <v>0.62</v>
      </c>
      <c r="F774" s="2">
        <v>0</v>
      </c>
      <c r="G774" s="2">
        <v>0</v>
      </c>
      <c r="H774" s="2" t="e">
        <f t="shared" si="48"/>
        <v>#NUM!</v>
      </c>
      <c r="I774" s="2">
        <f t="shared" si="49"/>
        <v>0.37390096630005903</v>
      </c>
      <c r="J774" s="2" t="e">
        <f t="shared" si="50"/>
        <v>#NUM!</v>
      </c>
      <c r="K774">
        <f t="shared" si="51"/>
        <v>0.20666666666666667</v>
      </c>
    </row>
    <row r="775" spans="1:11" ht="13.9" x14ac:dyDescent="0.3">
      <c r="A775" s="2" t="s">
        <v>500</v>
      </c>
      <c r="B775" s="2">
        <v>0</v>
      </c>
      <c r="C775" s="2">
        <v>0</v>
      </c>
      <c r="D775" s="2">
        <v>0</v>
      </c>
      <c r="E775" s="2">
        <v>0.62</v>
      </c>
      <c r="F775" s="2">
        <v>0</v>
      </c>
      <c r="G775" s="2">
        <v>0</v>
      </c>
      <c r="H775" s="2" t="e">
        <f t="shared" si="48"/>
        <v>#NUM!</v>
      </c>
      <c r="I775" s="2">
        <f t="shared" si="49"/>
        <v>0.37390096630005903</v>
      </c>
      <c r="J775" s="2" t="e">
        <f t="shared" si="50"/>
        <v>#NUM!</v>
      </c>
      <c r="K775">
        <f t="shared" si="51"/>
        <v>0.20666666666666667</v>
      </c>
    </row>
    <row r="776" spans="1:11" ht="13.9" x14ac:dyDescent="0.3">
      <c r="A776" s="2" t="s">
        <v>673</v>
      </c>
      <c r="B776" s="2">
        <v>0</v>
      </c>
      <c r="C776" s="2">
        <v>0</v>
      </c>
      <c r="D776" s="2">
        <v>0</v>
      </c>
      <c r="E776" s="2">
        <v>0.62</v>
      </c>
      <c r="F776" s="2">
        <v>0</v>
      </c>
      <c r="G776" s="2">
        <v>0</v>
      </c>
      <c r="H776" s="2" t="e">
        <f t="shared" si="48"/>
        <v>#NUM!</v>
      </c>
      <c r="I776" s="2">
        <f t="shared" si="49"/>
        <v>0.37390096630005903</v>
      </c>
      <c r="J776" s="2" t="e">
        <f t="shared" si="50"/>
        <v>#NUM!</v>
      </c>
      <c r="K776">
        <f t="shared" si="51"/>
        <v>0.20666666666666667</v>
      </c>
    </row>
    <row r="777" spans="1:11" ht="13.9" x14ac:dyDescent="0.3">
      <c r="A777" s="2" t="s">
        <v>799</v>
      </c>
      <c r="B777" s="2">
        <v>0</v>
      </c>
      <c r="C777" s="2">
        <v>0</v>
      </c>
      <c r="D777" s="2">
        <v>0</v>
      </c>
      <c r="E777" s="2">
        <v>0.62</v>
      </c>
      <c r="F777" s="2">
        <v>0</v>
      </c>
      <c r="G777" s="2">
        <v>0</v>
      </c>
      <c r="H777" s="2" t="e">
        <f t="shared" si="48"/>
        <v>#NUM!</v>
      </c>
      <c r="I777" s="2">
        <f t="shared" si="49"/>
        <v>0.37390096630005903</v>
      </c>
      <c r="J777" s="2" t="e">
        <f t="shared" si="50"/>
        <v>#NUM!</v>
      </c>
      <c r="K777">
        <f t="shared" si="51"/>
        <v>0.20666666666666667</v>
      </c>
    </row>
    <row r="778" spans="1:11" ht="13.9" x14ac:dyDescent="0.3">
      <c r="A778" s="2" t="s">
        <v>871</v>
      </c>
      <c r="B778" s="2">
        <v>0</v>
      </c>
      <c r="C778" s="2">
        <v>0</v>
      </c>
      <c r="D778" s="2">
        <v>0</v>
      </c>
      <c r="E778" s="2">
        <v>0.62</v>
      </c>
      <c r="F778" s="2">
        <v>0</v>
      </c>
      <c r="G778" s="2">
        <v>0</v>
      </c>
      <c r="H778" s="2" t="e">
        <f t="shared" si="48"/>
        <v>#NUM!</v>
      </c>
      <c r="I778" s="2">
        <f t="shared" si="49"/>
        <v>0.37390096630005903</v>
      </c>
      <c r="J778" s="2" t="e">
        <f t="shared" si="50"/>
        <v>#NUM!</v>
      </c>
      <c r="K778">
        <f t="shared" si="51"/>
        <v>0.20666666666666667</v>
      </c>
    </row>
    <row r="779" spans="1:11" ht="13.9" x14ac:dyDescent="0.3">
      <c r="A779" s="2" t="s">
        <v>387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0.68</v>
      </c>
      <c r="H779" s="2" t="e">
        <f t="shared" si="48"/>
        <v>#NUM!</v>
      </c>
      <c r="I779" s="2">
        <f t="shared" si="49"/>
        <v>0.37390096630005903</v>
      </c>
      <c r="J779" s="2" t="e">
        <f t="shared" si="50"/>
        <v>#NUM!</v>
      </c>
      <c r="K779">
        <f t="shared" si="51"/>
        <v>0.22666666666666668</v>
      </c>
    </row>
    <row r="780" spans="1:11" ht="13.9" x14ac:dyDescent="0.3">
      <c r="A780" s="2" t="s">
        <v>492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0.68</v>
      </c>
      <c r="H780" s="2" t="e">
        <f t="shared" si="48"/>
        <v>#NUM!</v>
      </c>
      <c r="I780" s="2">
        <f t="shared" si="49"/>
        <v>0.37390096630005903</v>
      </c>
      <c r="J780" s="2" t="e">
        <f t="shared" si="50"/>
        <v>#NUM!</v>
      </c>
      <c r="K780">
        <f t="shared" si="51"/>
        <v>0.22666666666666668</v>
      </c>
    </row>
    <row r="781" spans="1:11" ht="13.9" x14ac:dyDescent="0.3">
      <c r="A781" s="2" t="s">
        <v>637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0.68</v>
      </c>
      <c r="H781" s="2" t="e">
        <f t="shared" si="48"/>
        <v>#NUM!</v>
      </c>
      <c r="I781" s="2">
        <f t="shared" si="49"/>
        <v>0.37390096630005903</v>
      </c>
      <c r="J781" s="2" t="e">
        <f t="shared" si="50"/>
        <v>#NUM!</v>
      </c>
      <c r="K781">
        <f t="shared" si="51"/>
        <v>0.22666666666666668</v>
      </c>
    </row>
    <row r="782" spans="1:11" ht="13.9" x14ac:dyDescent="0.3">
      <c r="A782" s="2" t="s">
        <v>734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0.68</v>
      </c>
      <c r="H782" s="2" t="e">
        <f t="shared" si="48"/>
        <v>#NUM!</v>
      </c>
      <c r="I782" s="2">
        <f t="shared" si="49"/>
        <v>0.37390096630005903</v>
      </c>
      <c r="J782" s="2" t="e">
        <f t="shared" si="50"/>
        <v>#NUM!</v>
      </c>
      <c r="K782">
        <f t="shared" si="51"/>
        <v>0.22666666666666668</v>
      </c>
    </row>
    <row r="783" spans="1:11" ht="13.9" x14ac:dyDescent="0.3">
      <c r="A783" s="2" t="s">
        <v>757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0.68</v>
      </c>
      <c r="H783" s="2" t="e">
        <f t="shared" si="48"/>
        <v>#NUM!</v>
      </c>
      <c r="I783" s="2">
        <f t="shared" si="49"/>
        <v>0.37390096630005903</v>
      </c>
      <c r="J783" s="2" t="e">
        <f t="shared" si="50"/>
        <v>#NUM!</v>
      </c>
      <c r="K783">
        <f t="shared" si="51"/>
        <v>0.22666666666666668</v>
      </c>
    </row>
    <row r="784" spans="1:11" ht="13.9" x14ac:dyDescent="0.3">
      <c r="A784" s="2" t="s">
        <v>844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0.68</v>
      </c>
      <c r="H784" s="2" t="e">
        <f t="shared" si="48"/>
        <v>#NUM!</v>
      </c>
      <c r="I784" s="2">
        <f t="shared" si="49"/>
        <v>0.37390096630005903</v>
      </c>
      <c r="J784" s="2" t="e">
        <f t="shared" si="50"/>
        <v>#NUM!</v>
      </c>
      <c r="K784">
        <f t="shared" si="51"/>
        <v>0.22666666666666668</v>
      </c>
    </row>
    <row r="785" spans="1:11" ht="13.9" x14ac:dyDescent="0.3">
      <c r="A785" s="2" t="s">
        <v>855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0.68</v>
      </c>
      <c r="H785" s="2" t="e">
        <f t="shared" si="48"/>
        <v>#NUM!</v>
      </c>
      <c r="I785" s="2">
        <f t="shared" si="49"/>
        <v>0.37390096630005903</v>
      </c>
      <c r="J785" s="2" t="e">
        <f t="shared" si="50"/>
        <v>#NUM!</v>
      </c>
      <c r="K785">
        <f t="shared" si="51"/>
        <v>0.22666666666666668</v>
      </c>
    </row>
    <row r="786" spans="1:11" ht="13.9" x14ac:dyDescent="0.3">
      <c r="A786" s="2" t="s">
        <v>27</v>
      </c>
      <c r="B786" s="2">
        <v>0</v>
      </c>
      <c r="C786" s="2">
        <v>0</v>
      </c>
      <c r="D786" s="2">
        <v>0</v>
      </c>
      <c r="E786" s="2">
        <v>0.72</v>
      </c>
      <c r="F786" s="2">
        <v>0</v>
      </c>
      <c r="G786" s="2">
        <v>0</v>
      </c>
      <c r="H786" s="2" t="e">
        <f t="shared" si="48"/>
        <v>#NUM!</v>
      </c>
      <c r="I786" s="2">
        <f t="shared" si="49"/>
        <v>0.37390096630005903</v>
      </c>
      <c r="J786" s="2" t="e">
        <f t="shared" si="50"/>
        <v>#NUM!</v>
      </c>
      <c r="K786">
        <f t="shared" si="51"/>
        <v>0.24</v>
      </c>
    </row>
    <row r="787" spans="1:11" ht="13.9" x14ac:dyDescent="0.3">
      <c r="A787" s="2" t="s">
        <v>132</v>
      </c>
      <c r="B787" s="2">
        <v>0</v>
      </c>
      <c r="C787" s="2">
        <v>0</v>
      </c>
      <c r="D787" s="2">
        <v>0</v>
      </c>
      <c r="E787" s="2">
        <v>0.72</v>
      </c>
      <c r="F787" s="2">
        <v>0</v>
      </c>
      <c r="G787" s="2">
        <v>0</v>
      </c>
      <c r="H787" s="2" t="e">
        <f t="shared" si="48"/>
        <v>#NUM!</v>
      </c>
      <c r="I787" s="2">
        <f t="shared" si="49"/>
        <v>0.37390096630005903</v>
      </c>
      <c r="J787" s="2" t="e">
        <f t="shared" si="50"/>
        <v>#NUM!</v>
      </c>
      <c r="K787">
        <f t="shared" si="51"/>
        <v>0.24</v>
      </c>
    </row>
    <row r="788" spans="1:11" ht="13.9" x14ac:dyDescent="0.3">
      <c r="A788" s="2" t="s">
        <v>266</v>
      </c>
      <c r="B788" s="2">
        <v>0</v>
      </c>
      <c r="C788" s="2">
        <v>0</v>
      </c>
      <c r="D788" s="2">
        <v>0</v>
      </c>
      <c r="E788" s="2">
        <v>0.72</v>
      </c>
      <c r="F788" s="2">
        <v>0</v>
      </c>
      <c r="G788" s="2">
        <v>0</v>
      </c>
      <c r="H788" s="2" t="e">
        <f t="shared" si="48"/>
        <v>#NUM!</v>
      </c>
      <c r="I788" s="2">
        <f t="shared" si="49"/>
        <v>0.37390096630005903</v>
      </c>
      <c r="J788" s="2" t="e">
        <f t="shared" si="50"/>
        <v>#NUM!</v>
      </c>
      <c r="K788">
        <f t="shared" si="51"/>
        <v>0.24</v>
      </c>
    </row>
    <row r="789" spans="1:11" ht="13.9" x14ac:dyDescent="0.3">
      <c r="A789" s="2" t="s">
        <v>320</v>
      </c>
      <c r="B789" s="2">
        <v>0</v>
      </c>
      <c r="C789" s="2">
        <v>0</v>
      </c>
      <c r="D789" s="2">
        <v>0</v>
      </c>
      <c r="E789" s="2">
        <v>0.72</v>
      </c>
      <c r="F789" s="2">
        <v>0</v>
      </c>
      <c r="G789" s="2">
        <v>0</v>
      </c>
      <c r="H789" s="2" t="e">
        <f t="shared" si="48"/>
        <v>#NUM!</v>
      </c>
      <c r="I789" s="2">
        <f t="shared" si="49"/>
        <v>0.37390096630005903</v>
      </c>
      <c r="J789" s="2" t="e">
        <f t="shared" si="50"/>
        <v>#NUM!</v>
      </c>
      <c r="K789">
        <f t="shared" si="51"/>
        <v>0.24</v>
      </c>
    </row>
    <row r="790" spans="1:11" ht="13.9" x14ac:dyDescent="0.3">
      <c r="A790" s="2" t="s">
        <v>507</v>
      </c>
      <c r="B790" s="2">
        <v>0</v>
      </c>
      <c r="C790" s="2">
        <v>0</v>
      </c>
      <c r="D790" s="2">
        <v>0</v>
      </c>
      <c r="E790" s="2">
        <v>0.31</v>
      </c>
      <c r="F790" s="2">
        <v>0</v>
      </c>
      <c r="G790" s="2">
        <v>0.41</v>
      </c>
      <c r="H790" s="2" t="e">
        <f t="shared" si="48"/>
        <v>#NUM!</v>
      </c>
      <c r="I790" s="2">
        <f t="shared" si="49"/>
        <v>0.12373238021215915</v>
      </c>
      <c r="J790" s="2" t="e">
        <f t="shared" si="50"/>
        <v>#NUM!</v>
      </c>
      <c r="K790">
        <f t="shared" si="51"/>
        <v>0.24</v>
      </c>
    </row>
    <row r="791" spans="1:11" ht="13.9" x14ac:dyDescent="0.3">
      <c r="A791" s="2" t="s">
        <v>545</v>
      </c>
      <c r="B791" s="2">
        <v>0</v>
      </c>
      <c r="C791" s="2">
        <v>0</v>
      </c>
      <c r="D791" s="2">
        <v>0</v>
      </c>
      <c r="E791" s="2">
        <v>0.72</v>
      </c>
      <c r="F791" s="2">
        <v>0</v>
      </c>
      <c r="G791" s="2">
        <v>0</v>
      </c>
      <c r="H791" s="2" t="e">
        <f t="shared" si="48"/>
        <v>#NUM!</v>
      </c>
      <c r="I791" s="2">
        <f t="shared" si="49"/>
        <v>0.37390096630005903</v>
      </c>
      <c r="J791" s="2" t="e">
        <f t="shared" si="50"/>
        <v>#NUM!</v>
      </c>
      <c r="K791">
        <f t="shared" si="51"/>
        <v>0.24</v>
      </c>
    </row>
    <row r="792" spans="1:11" ht="13.9" x14ac:dyDescent="0.3">
      <c r="A792" s="2" t="s">
        <v>548</v>
      </c>
      <c r="B792" s="2">
        <v>0</v>
      </c>
      <c r="C792" s="2">
        <v>0</v>
      </c>
      <c r="D792" s="2">
        <v>0</v>
      </c>
      <c r="E792" s="2">
        <v>0.72</v>
      </c>
      <c r="F792" s="2">
        <v>0</v>
      </c>
      <c r="G792" s="2">
        <v>0</v>
      </c>
      <c r="H792" s="2" t="e">
        <f t="shared" si="48"/>
        <v>#NUM!</v>
      </c>
      <c r="I792" s="2">
        <f t="shared" si="49"/>
        <v>0.37390096630005903</v>
      </c>
      <c r="J792" s="2" t="e">
        <f t="shared" si="50"/>
        <v>#NUM!</v>
      </c>
      <c r="K792">
        <f t="shared" si="51"/>
        <v>0.24</v>
      </c>
    </row>
    <row r="793" spans="1:11" ht="13.9" x14ac:dyDescent="0.3">
      <c r="A793" s="2" t="s">
        <v>725</v>
      </c>
      <c r="B793" s="2">
        <v>0</v>
      </c>
      <c r="C793" s="2">
        <v>0</v>
      </c>
      <c r="D793" s="2">
        <v>0</v>
      </c>
      <c r="E793" s="2">
        <v>0.72</v>
      </c>
      <c r="F793" s="2">
        <v>0</v>
      </c>
      <c r="G793" s="2">
        <v>0</v>
      </c>
      <c r="H793" s="2" t="e">
        <f t="shared" si="48"/>
        <v>#NUM!</v>
      </c>
      <c r="I793" s="2">
        <f t="shared" si="49"/>
        <v>0.37390096630005903</v>
      </c>
      <c r="J793" s="2" t="e">
        <f t="shared" si="50"/>
        <v>#NUM!</v>
      </c>
      <c r="K793">
        <f t="shared" si="51"/>
        <v>0.24</v>
      </c>
    </row>
    <row r="794" spans="1:11" ht="13.9" x14ac:dyDescent="0.3">
      <c r="A794" s="2" t="s">
        <v>747</v>
      </c>
      <c r="B794" s="2">
        <v>0</v>
      </c>
      <c r="C794" s="2">
        <v>0</v>
      </c>
      <c r="D794" s="2">
        <v>0</v>
      </c>
      <c r="E794" s="2">
        <v>0.72</v>
      </c>
      <c r="F794" s="2">
        <v>0</v>
      </c>
      <c r="G794" s="2">
        <v>0</v>
      </c>
      <c r="H794" s="2" t="e">
        <f t="shared" si="48"/>
        <v>#NUM!</v>
      </c>
      <c r="I794" s="2">
        <f t="shared" si="49"/>
        <v>0.37390096630005903</v>
      </c>
      <c r="J794" s="2" t="e">
        <f t="shared" si="50"/>
        <v>#NUM!</v>
      </c>
      <c r="K794">
        <f t="shared" si="51"/>
        <v>0.24</v>
      </c>
    </row>
    <row r="795" spans="1:11" ht="13.9" x14ac:dyDescent="0.3">
      <c r="A795" s="2" t="s">
        <v>665</v>
      </c>
      <c r="B795" s="2">
        <v>0</v>
      </c>
      <c r="C795" s="2">
        <v>0</v>
      </c>
      <c r="D795" s="2">
        <v>0</v>
      </c>
      <c r="E795" s="2">
        <v>0.62</v>
      </c>
      <c r="F795" s="2">
        <v>0</v>
      </c>
      <c r="G795" s="2">
        <v>0.14000000000000001</v>
      </c>
      <c r="H795" s="2" t="e">
        <f t="shared" si="48"/>
        <v>#NUM!</v>
      </c>
      <c r="I795" s="2">
        <f t="shared" si="49"/>
        <v>0.24852132960146875</v>
      </c>
      <c r="J795" s="2" t="e">
        <f t="shared" si="50"/>
        <v>#NUM!</v>
      </c>
      <c r="K795">
        <f t="shared" si="51"/>
        <v>0.25333333333333335</v>
      </c>
    </row>
    <row r="796" spans="1:11" ht="13.9" x14ac:dyDescent="0.3">
      <c r="A796" s="2" t="s">
        <v>444</v>
      </c>
      <c r="B796" s="2">
        <v>0</v>
      </c>
      <c r="C796" s="2">
        <v>0</v>
      </c>
      <c r="D796" s="2">
        <v>0</v>
      </c>
      <c r="E796" s="2">
        <v>0.51</v>
      </c>
      <c r="F796" s="2">
        <v>0</v>
      </c>
      <c r="G796" s="2">
        <v>0.27</v>
      </c>
      <c r="H796" s="2" t="e">
        <f t="shared" si="48"/>
        <v>#NUM!</v>
      </c>
      <c r="I796" s="2">
        <f t="shared" si="49"/>
        <v>0.15232633449782892</v>
      </c>
      <c r="J796" s="2" t="e">
        <f t="shared" si="50"/>
        <v>#NUM!</v>
      </c>
      <c r="K796">
        <f t="shared" si="51"/>
        <v>0.26</v>
      </c>
    </row>
    <row r="797" spans="1:11" ht="13.9" x14ac:dyDescent="0.3">
      <c r="A797" s="2" t="s">
        <v>95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0.81</v>
      </c>
      <c r="H797" s="2" t="e">
        <f t="shared" si="48"/>
        <v>#NUM!</v>
      </c>
      <c r="I797" s="2">
        <f t="shared" si="49"/>
        <v>0.37390096630005903</v>
      </c>
      <c r="J797" s="2" t="e">
        <f t="shared" si="50"/>
        <v>#NUM!</v>
      </c>
      <c r="K797">
        <f t="shared" si="51"/>
        <v>0.27</v>
      </c>
    </row>
    <row r="798" spans="1:11" ht="13.9" x14ac:dyDescent="0.3">
      <c r="A798" s="2" t="s">
        <v>145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0.81</v>
      </c>
      <c r="H798" s="2" t="e">
        <f t="shared" si="48"/>
        <v>#NUM!</v>
      </c>
      <c r="I798" s="2">
        <f t="shared" si="49"/>
        <v>0.37390096630005903</v>
      </c>
      <c r="J798" s="2" t="e">
        <f t="shared" si="50"/>
        <v>#NUM!</v>
      </c>
      <c r="K798">
        <f t="shared" si="51"/>
        <v>0.27</v>
      </c>
    </row>
    <row r="799" spans="1:11" ht="13.9" x14ac:dyDescent="0.3">
      <c r="A799" s="2" t="s">
        <v>522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0.81</v>
      </c>
      <c r="H799" s="2" t="e">
        <f t="shared" si="48"/>
        <v>#NUM!</v>
      </c>
      <c r="I799" s="2">
        <f t="shared" si="49"/>
        <v>0.37390096630005903</v>
      </c>
      <c r="J799" s="2" t="e">
        <f t="shared" si="50"/>
        <v>#NUM!</v>
      </c>
      <c r="K799">
        <f t="shared" si="51"/>
        <v>0.27</v>
      </c>
    </row>
    <row r="800" spans="1:11" ht="13.9" x14ac:dyDescent="0.3">
      <c r="A800" s="2" t="s">
        <v>572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0.81</v>
      </c>
      <c r="H800" s="2" t="e">
        <f t="shared" si="48"/>
        <v>#NUM!</v>
      </c>
      <c r="I800" s="2">
        <f t="shared" si="49"/>
        <v>0.37390096630005903</v>
      </c>
      <c r="J800" s="2" t="e">
        <f t="shared" si="50"/>
        <v>#NUM!</v>
      </c>
      <c r="K800">
        <f t="shared" si="51"/>
        <v>0.27</v>
      </c>
    </row>
    <row r="801" spans="1:11" ht="13.9" x14ac:dyDescent="0.3">
      <c r="A801" s="2" t="s">
        <v>694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0.81</v>
      </c>
      <c r="H801" s="2" t="e">
        <f t="shared" si="48"/>
        <v>#NUM!</v>
      </c>
      <c r="I801" s="2">
        <f t="shared" si="49"/>
        <v>0.37390096630005903</v>
      </c>
      <c r="J801" s="2" t="e">
        <f t="shared" si="50"/>
        <v>#NUM!</v>
      </c>
      <c r="K801">
        <f t="shared" si="51"/>
        <v>0.27</v>
      </c>
    </row>
    <row r="802" spans="1:11" ht="13.9" x14ac:dyDescent="0.3">
      <c r="A802" s="2" t="s">
        <v>798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0.81</v>
      </c>
      <c r="H802" s="2" t="e">
        <f t="shared" si="48"/>
        <v>#NUM!</v>
      </c>
      <c r="I802" s="2">
        <f t="shared" si="49"/>
        <v>0.37390096630005903</v>
      </c>
      <c r="J802" s="2" t="e">
        <f t="shared" si="50"/>
        <v>#NUM!</v>
      </c>
      <c r="K802">
        <f t="shared" si="51"/>
        <v>0.27</v>
      </c>
    </row>
    <row r="803" spans="1:11" ht="13.9" x14ac:dyDescent="0.3">
      <c r="A803" s="2" t="s">
        <v>882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0.81</v>
      </c>
      <c r="H803" s="2" t="e">
        <f t="shared" si="48"/>
        <v>#NUM!</v>
      </c>
      <c r="I803" s="2">
        <f t="shared" si="49"/>
        <v>0.37390096630005903</v>
      </c>
      <c r="J803" s="2" t="e">
        <f t="shared" si="50"/>
        <v>#NUM!</v>
      </c>
      <c r="K803">
        <f t="shared" si="51"/>
        <v>0.27</v>
      </c>
    </row>
    <row r="804" spans="1:11" ht="13.9" x14ac:dyDescent="0.3">
      <c r="A804" s="2" t="s">
        <v>899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0.81</v>
      </c>
      <c r="H804" s="2" t="e">
        <f t="shared" si="48"/>
        <v>#NUM!</v>
      </c>
      <c r="I804" s="2">
        <f t="shared" si="49"/>
        <v>0.37390096630005903</v>
      </c>
      <c r="J804" s="2" t="e">
        <f t="shared" si="50"/>
        <v>#NUM!</v>
      </c>
      <c r="K804">
        <f t="shared" si="51"/>
        <v>0.27</v>
      </c>
    </row>
    <row r="805" spans="1:11" ht="13.9" x14ac:dyDescent="0.3">
      <c r="A805" s="2" t="s">
        <v>469</v>
      </c>
      <c r="B805" s="2">
        <v>0</v>
      </c>
      <c r="C805" s="2">
        <v>0</v>
      </c>
      <c r="D805" s="2">
        <v>0</v>
      </c>
      <c r="E805" s="2">
        <v>0.82</v>
      </c>
      <c r="F805" s="2">
        <v>0</v>
      </c>
      <c r="G805" s="2">
        <v>0</v>
      </c>
      <c r="H805" s="2" t="e">
        <f t="shared" si="48"/>
        <v>#NUM!</v>
      </c>
      <c r="I805" s="2">
        <f t="shared" si="49"/>
        <v>0.37390096630005903</v>
      </c>
      <c r="J805" s="2" t="e">
        <f t="shared" si="50"/>
        <v>#NUM!</v>
      </c>
      <c r="K805">
        <f t="shared" si="51"/>
        <v>0.27333333333333332</v>
      </c>
    </row>
    <row r="806" spans="1:11" ht="13.9" x14ac:dyDescent="0.3">
      <c r="A806" s="2" t="s">
        <v>741</v>
      </c>
      <c r="B806" s="2">
        <v>0</v>
      </c>
      <c r="C806" s="2">
        <v>0</v>
      </c>
      <c r="D806" s="2">
        <v>0</v>
      </c>
      <c r="E806" s="2">
        <v>0.82</v>
      </c>
      <c r="F806" s="2">
        <v>0</v>
      </c>
      <c r="G806" s="2">
        <v>0</v>
      </c>
      <c r="H806" s="2" t="e">
        <f t="shared" si="48"/>
        <v>#NUM!</v>
      </c>
      <c r="I806" s="2">
        <f t="shared" si="49"/>
        <v>0.37390096630005903</v>
      </c>
      <c r="J806" s="2" t="e">
        <f t="shared" si="50"/>
        <v>#NUM!</v>
      </c>
      <c r="K806">
        <f t="shared" si="51"/>
        <v>0.27333333333333332</v>
      </c>
    </row>
    <row r="807" spans="1:11" ht="13.9" x14ac:dyDescent="0.3">
      <c r="A807" s="2" t="s">
        <v>852</v>
      </c>
      <c r="B807" s="2">
        <v>0</v>
      </c>
      <c r="C807" s="2">
        <v>0</v>
      </c>
      <c r="D807" s="2">
        <v>0</v>
      </c>
      <c r="E807" s="2">
        <v>0.82</v>
      </c>
      <c r="F807" s="2">
        <v>0</v>
      </c>
      <c r="G807" s="2">
        <v>0</v>
      </c>
      <c r="H807" s="2" t="e">
        <f t="shared" si="48"/>
        <v>#NUM!</v>
      </c>
      <c r="I807" s="2">
        <f t="shared" si="49"/>
        <v>0.37390096630005903</v>
      </c>
      <c r="J807" s="2" t="e">
        <f t="shared" si="50"/>
        <v>#NUM!</v>
      </c>
      <c r="K807">
        <f t="shared" si="51"/>
        <v>0.27333333333333332</v>
      </c>
    </row>
    <row r="808" spans="1:11" ht="13.9" x14ac:dyDescent="0.3">
      <c r="A808" s="2" t="s">
        <v>402</v>
      </c>
      <c r="B808" s="2">
        <v>0</v>
      </c>
      <c r="C808" s="2">
        <v>0</v>
      </c>
      <c r="D808" s="2">
        <v>0</v>
      </c>
      <c r="E808" s="2">
        <v>0.31</v>
      </c>
      <c r="F808" s="2">
        <v>0</v>
      </c>
      <c r="G808" s="2">
        <v>0.54</v>
      </c>
      <c r="H808" s="2" t="e">
        <f t="shared" si="48"/>
        <v>#NUM!</v>
      </c>
      <c r="I808" s="2">
        <f t="shared" si="49"/>
        <v>0.14438407235636969</v>
      </c>
      <c r="J808" s="2" t="e">
        <f t="shared" si="50"/>
        <v>#NUM!</v>
      </c>
      <c r="K808">
        <f t="shared" si="51"/>
        <v>0.28333333333333338</v>
      </c>
    </row>
    <row r="809" spans="1:11" ht="13.9" x14ac:dyDescent="0.3">
      <c r="A809" s="2" t="s">
        <v>535</v>
      </c>
      <c r="B809" s="2">
        <v>0</v>
      </c>
      <c r="C809" s="2">
        <v>0</v>
      </c>
      <c r="D809" s="2">
        <v>0</v>
      </c>
      <c r="E809" s="2">
        <v>0.93</v>
      </c>
      <c r="F809" s="2">
        <v>0</v>
      </c>
      <c r="G809" s="2">
        <v>0</v>
      </c>
      <c r="H809" s="2" t="e">
        <f t="shared" si="48"/>
        <v>#NUM!</v>
      </c>
      <c r="I809" s="2">
        <f t="shared" si="49"/>
        <v>0.37390096630005903</v>
      </c>
      <c r="J809" s="2" t="e">
        <f t="shared" si="50"/>
        <v>#NUM!</v>
      </c>
      <c r="K809">
        <f t="shared" si="51"/>
        <v>0.31</v>
      </c>
    </row>
    <row r="810" spans="1:11" ht="13.9" x14ac:dyDescent="0.3">
      <c r="A810" s="2" t="s">
        <v>597</v>
      </c>
      <c r="B810" s="2">
        <v>0</v>
      </c>
      <c r="C810" s="2">
        <v>0</v>
      </c>
      <c r="D810" s="2">
        <v>0</v>
      </c>
      <c r="E810" s="2">
        <v>0.93</v>
      </c>
      <c r="F810" s="2">
        <v>0</v>
      </c>
      <c r="G810" s="2">
        <v>0</v>
      </c>
      <c r="H810" s="2" t="e">
        <f t="shared" si="48"/>
        <v>#NUM!</v>
      </c>
      <c r="I810" s="2">
        <f t="shared" si="49"/>
        <v>0.37390096630005903</v>
      </c>
      <c r="J810" s="2" t="e">
        <f t="shared" si="50"/>
        <v>#NUM!</v>
      </c>
      <c r="K810">
        <f t="shared" si="51"/>
        <v>0.31</v>
      </c>
    </row>
    <row r="811" spans="1:11" ht="13.9" x14ac:dyDescent="0.3">
      <c r="A811" s="2" t="s">
        <v>647</v>
      </c>
      <c r="B811" s="2">
        <v>0</v>
      </c>
      <c r="C811" s="2">
        <v>0</v>
      </c>
      <c r="D811" s="2">
        <v>0</v>
      </c>
      <c r="E811" s="2">
        <v>0.93</v>
      </c>
      <c r="F811" s="2">
        <v>0</v>
      </c>
      <c r="G811" s="2">
        <v>0</v>
      </c>
      <c r="H811" s="2" t="e">
        <f t="shared" si="48"/>
        <v>#NUM!</v>
      </c>
      <c r="I811" s="2">
        <f t="shared" si="49"/>
        <v>0.37390096630005903</v>
      </c>
      <c r="J811" s="2" t="e">
        <f t="shared" si="50"/>
        <v>#NUM!</v>
      </c>
      <c r="K811">
        <f t="shared" si="51"/>
        <v>0.31</v>
      </c>
    </row>
    <row r="812" spans="1:11" ht="13.9" x14ac:dyDescent="0.3">
      <c r="A812" s="2" t="s">
        <v>475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0.95</v>
      </c>
      <c r="H812" s="2" t="e">
        <f t="shared" si="48"/>
        <v>#NUM!</v>
      </c>
      <c r="I812" s="2">
        <f t="shared" si="49"/>
        <v>0.37390096630005903</v>
      </c>
      <c r="J812" s="2" t="e">
        <f t="shared" si="50"/>
        <v>#NUM!</v>
      </c>
      <c r="K812">
        <f t="shared" si="51"/>
        <v>0.31666666666666665</v>
      </c>
    </row>
    <row r="813" spans="1:11" ht="13.9" x14ac:dyDescent="0.3">
      <c r="A813" s="2" t="s">
        <v>531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0.95</v>
      </c>
      <c r="H813" s="2" t="e">
        <f t="shared" si="48"/>
        <v>#NUM!</v>
      </c>
      <c r="I813" s="2">
        <f t="shared" si="49"/>
        <v>0.37390096630005903</v>
      </c>
      <c r="J813" s="2" t="e">
        <f t="shared" si="50"/>
        <v>#NUM!</v>
      </c>
      <c r="K813">
        <f t="shared" si="51"/>
        <v>0.31666666666666665</v>
      </c>
    </row>
    <row r="814" spans="1:11" ht="13.9" x14ac:dyDescent="0.3">
      <c r="A814" s="2" t="s">
        <v>562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0.95</v>
      </c>
      <c r="H814" s="2" t="e">
        <f t="shared" si="48"/>
        <v>#NUM!</v>
      </c>
      <c r="I814" s="2">
        <f t="shared" si="49"/>
        <v>0.37390096630005903</v>
      </c>
      <c r="J814" s="2" t="e">
        <f t="shared" si="50"/>
        <v>#NUM!</v>
      </c>
      <c r="K814">
        <f t="shared" si="51"/>
        <v>0.31666666666666665</v>
      </c>
    </row>
    <row r="815" spans="1:11" ht="13.9" x14ac:dyDescent="0.3">
      <c r="A815" s="2" t="s">
        <v>792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0.95</v>
      </c>
      <c r="H815" s="2" t="e">
        <f t="shared" si="48"/>
        <v>#NUM!</v>
      </c>
      <c r="I815" s="2">
        <f t="shared" si="49"/>
        <v>0.37390096630005903</v>
      </c>
      <c r="J815" s="2" t="e">
        <f t="shared" si="50"/>
        <v>#NUM!</v>
      </c>
      <c r="K815">
        <f t="shared" si="51"/>
        <v>0.31666666666666665</v>
      </c>
    </row>
    <row r="816" spans="1:11" ht="13.9" x14ac:dyDescent="0.3">
      <c r="A816" s="2" t="s">
        <v>803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0.95</v>
      </c>
      <c r="H816" s="2" t="e">
        <f t="shared" si="48"/>
        <v>#NUM!</v>
      </c>
      <c r="I816" s="2">
        <f t="shared" si="49"/>
        <v>0.37390096630005903</v>
      </c>
      <c r="J816" s="2" t="e">
        <f t="shared" si="50"/>
        <v>#NUM!</v>
      </c>
      <c r="K816">
        <f t="shared" si="51"/>
        <v>0.31666666666666665</v>
      </c>
    </row>
    <row r="817" spans="1:11" ht="13.9" x14ac:dyDescent="0.3">
      <c r="A817" s="2" t="s">
        <v>897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0.95</v>
      </c>
      <c r="H817" s="2" t="e">
        <f t="shared" si="48"/>
        <v>#NUM!</v>
      </c>
      <c r="I817" s="2">
        <f t="shared" si="49"/>
        <v>0.37390096630005903</v>
      </c>
      <c r="J817" s="2" t="e">
        <f t="shared" si="50"/>
        <v>#NUM!</v>
      </c>
      <c r="K817">
        <f t="shared" si="51"/>
        <v>0.31666666666666665</v>
      </c>
    </row>
    <row r="818" spans="1:11" ht="13.9" x14ac:dyDescent="0.3">
      <c r="A818" s="2" t="s">
        <v>904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0.95</v>
      </c>
      <c r="H818" s="2" t="e">
        <f t="shared" si="48"/>
        <v>#NUM!</v>
      </c>
      <c r="I818" s="2">
        <f t="shared" si="49"/>
        <v>0.37390096630005903</v>
      </c>
      <c r="J818" s="2" t="e">
        <f t="shared" si="50"/>
        <v>#NUM!</v>
      </c>
      <c r="K818">
        <f t="shared" si="51"/>
        <v>0.31666666666666665</v>
      </c>
    </row>
    <row r="819" spans="1:11" ht="13.9" x14ac:dyDescent="0.3">
      <c r="A819" s="2" t="s">
        <v>361</v>
      </c>
      <c r="B819" s="2">
        <v>0</v>
      </c>
      <c r="C819" s="2">
        <v>0</v>
      </c>
      <c r="D819" s="2">
        <v>0</v>
      </c>
      <c r="E819" s="2">
        <v>0.31</v>
      </c>
      <c r="F819" s="2">
        <v>0</v>
      </c>
      <c r="G819" s="2">
        <v>0.68</v>
      </c>
      <c r="H819" s="2" t="e">
        <f t="shared" si="48"/>
        <v>#NUM!</v>
      </c>
      <c r="I819" s="2">
        <f t="shared" si="49"/>
        <v>0.16846605525595862</v>
      </c>
      <c r="J819" s="2" t="e">
        <f t="shared" si="50"/>
        <v>#NUM!</v>
      </c>
      <c r="K819">
        <f t="shared" si="51"/>
        <v>0.33</v>
      </c>
    </row>
    <row r="820" spans="1:11" ht="13.9" x14ac:dyDescent="0.3">
      <c r="A820" s="2" t="s">
        <v>552</v>
      </c>
      <c r="B820" s="2">
        <v>0</v>
      </c>
      <c r="C820" s="2">
        <v>0</v>
      </c>
      <c r="D820" s="2">
        <v>0</v>
      </c>
      <c r="E820" s="2">
        <v>0.72</v>
      </c>
      <c r="F820" s="2">
        <v>0</v>
      </c>
      <c r="G820" s="2">
        <v>0.27</v>
      </c>
      <c r="H820" s="2" t="e">
        <f t="shared" si="48"/>
        <v>#NUM!</v>
      </c>
      <c r="I820" s="2">
        <f t="shared" si="49"/>
        <v>0.19117998721848575</v>
      </c>
      <c r="J820" s="2" t="e">
        <f t="shared" si="50"/>
        <v>#NUM!</v>
      </c>
      <c r="K820">
        <f t="shared" si="51"/>
        <v>0.33</v>
      </c>
    </row>
    <row r="821" spans="1:11" ht="13.9" x14ac:dyDescent="0.3">
      <c r="A821" s="2" t="s">
        <v>39</v>
      </c>
      <c r="B821" s="2">
        <v>0</v>
      </c>
      <c r="C821" s="2">
        <v>0</v>
      </c>
      <c r="D821" s="2">
        <v>0</v>
      </c>
      <c r="E821" s="2">
        <v>1.03</v>
      </c>
      <c r="F821" s="2">
        <v>0</v>
      </c>
      <c r="G821" s="2">
        <v>0</v>
      </c>
      <c r="H821" s="2" t="e">
        <f t="shared" si="48"/>
        <v>#NUM!</v>
      </c>
      <c r="I821" s="2">
        <f t="shared" si="49"/>
        <v>0.37390096630005903</v>
      </c>
      <c r="J821" s="2" t="e">
        <f t="shared" si="50"/>
        <v>#NUM!</v>
      </c>
      <c r="K821">
        <f t="shared" si="51"/>
        <v>0.34333333333333332</v>
      </c>
    </row>
    <row r="822" spans="1:11" ht="13.9" x14ac:dyDescent="0.3">
      <c r="A822" s="2" t="s">
        <v>595</v>
      </c>
      <c r="B822" s="2">
        <v>0</v>
      </c>
      <c r="C822" s="2">
        <v>0</v>
      </c>
      <c r="D822" s="2">
        <v>0</v>
      </c>
      <c r="E822" s="2">
        <v>1.03</v>
      </c>
      <c r="F822" s="2">
        <v>0</v>
      </c>
      <c r="G822" s="2">
        <v>0</v>
      </c>
      <c r="H822" s="2" t="e">
        <f t="shared" si="48"/>
        <v>#NUM!</v>
      </c>
      <c r="I822" s="2">
        <f t="shared" si="49"/>
        <v>0.37390096630005903</v>
      </c>
      <c r="J822" s="2" t="e">
        <f t="shared" si="50"/>
        <v>#NUM!</v>
      </c>
      <c r="K822">
        <f t="shared" si="51"/>
        <v>0.34333333333333332</v>
      </c>
    </row>
    <row r="823" spans="1:11" ht="13.9" x14ac:dyDescent="0.3">
      <c r="A823" s="2" t="s">
        <v>505</v>
      </c>
      <c r="B823" s="2">
        <v>0</v>
      </c>
      <c r="C823" s="2">
        <v>0</v>
      </c>
      <c r="D823" s="2">
        <v>0</v>
      </c>
      <c r="E823" s="2">
        <v>0.51</v>
      </c>
      <c r="F823" s="2">
        <v>0</v>
      </c>
      <c r="G823" s="2">
        <v>0.54</v>
      </c>
      <c r="H823" s="2" t="e">
        <f t="shared" si="48"/>
        <v>#NUM!</v>
      </c>
      <c r="I823" s="2">
        <f t="shared" si="49"/>
        <v>0.11644111590956105</v>
      </c>
      <c r="J823" s="2" t="e">
        <f t="shared" si="50"/>
        <v>#NUM!</v>
      </c>
      <c r="K823">
        <f t="shared" si="51"/>
        <v>0.35000000000000003</v>
      </c>
    </row>
    <row r="824" spans="1:11" ht="13.9" x14ac:dyDescent="0.3">
      <c r="A824" s="2" t="s">
        <v>591</v>
      </c>
      <c r="B824" s="2">
        <v>0</v>
      </c>
      <c r="C824" s="2">
        <v>0</v>
      </c>
      <c r="D824" s="2">
        <v>0</v>
      </c>
      <c r="E824" s="2">
        <v>0.51</v>
      </c>
      <c r="F824" s="2">
        <v>0</v>
      </c>
      <c r="G824" s="2">
        <v>0.54</v>
      </c>
      <c r="H824" s="2" t="e">
        <f t="shared" si="48"/>
        <v>#NUM!</v>
      </c>
      <c r="I824" s="2">
        <f t="shared" si="49"/>
        <v>0.11644111590956105</v>
      </c>
      <c r="J824" s="2" t="e">
        <f t="shared" si="50"/>
        <v>#NUM!</v>
      </c>
      <c r="K824">
        <f t="shared" si="51"/>
        <v>0.35000000000000003</v>
      </c>
    </row>
    <row r="825" spans="1:11" ht="13.9" x14ac:dyDescent="0.3">
      <c r="A825" s="2" t="s">
        <v>656</v>
      </c>
      <c r="B825" s="2">
        <v>0</v>
      </c>
      <c r="C825" s="2">
        <v>0</v>
      </c>
      <c r="D825" s="2">
        <v>0</v>
      </c>
      <c r="E825" s="2">
        <v>0.1</v>
      </c>
      <c r="F825" s="2">
        <v>0</v>
      </c>
      <c r="G825" s="2">
        <v>0.95</v>
      </c>
      <c r="H825" s="2" t="e">
        <f t="shared" si="48"/>
        <v>#NUM!</v>
      </c>
      <c r="I825" s="2">
        <f t="shared" si="49"/>
        <v>0.31009649504930942</v>
      </c>
      <c r="J825" s="2" t="e">
        <f t="shared" si="50"/>
        <v>#NUM!</v>
      </c>
      <c r="K825">
        <f t="shared" si="51"/>
        <v>0.35000000000000003</v>
      </c>
    </row>
    <row r="826" spans="1:11" ht="13.9" x14ac:dyDescent="0.3">
      <c r="A826" s="2" t="s">
        <v>297</v>
      </c>
      <c r="B826" s="2">
        <v>0</v>
      </c>
      <c r="C826" s="2">
        <v>0</v>
      </c>
      <c r="D826" s="2">
        <v>0</v>
      </c>
      <c r="E826" s="2">
        <v>0.93</v>
      </c>
      <c r="F826" s="2">
        <v>0</v>
      </c>
      <c r="G826" s="2">
        <v>0.14000000000000001</v>
      </c>
      <c r="H826" s="2" t="e">
        <f t="shared" si="48"/>
        <v>#NUM!</v>
      </c>
      <c r="I826" s="2">
        <f t="shared" si="49"/>
        <v>0.28541863874957513</v>
      </c>
      <c r="J826" s="2" t="e">
        <f t="shared" si="50"/>
        <v>#NUM!</v>
      </c>
      <c r="K826">
        <f t="shared" si="51"/>
        <v>0.35666666666666669</v>
      </c>
    </row>
    <row r="827" spans="1:11" ht="13.9" x14ac:dyDescent="0.3">
      <c r="A827" s="2" t="s">
        <v>462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1.08</v>
      </c>
      <c r="H827" s="2" t="e">
        <f t="shared" si="48"/>
        <v>#NUM!</v>
      </c>
      <c r="I827" s="2">
        <f t="shared" si="49"/>
        <v>0.37390096630005903</v>
      </c>
      <c r="J827" s="2" t="e">
        <f t="shared" si="50"/>
        <v>#NUM!</v>
      </c>
      <c r="K827">
        <f t="shared" si="51"/>
        <v>0.36000000000000004</v>
      </c>
    </row>
    <row r="828" spans="1:11" ht="13.9" x14ac:dyDescent="0.3">
      <c r="A828" s="2" t="s">
        <v>523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1.08</v>
      </c>
      <c r="H828" s="2" t="e">
        <f t="shared" si="48"/>
        <v>#NUM!</v>
      </c>
      <c r="I828" s="2">
        <f t="shared" si="49"/>
        <v>0.37390096630005903</v>
      </c>
      <c r="J828" s="2" t="e">
        <f t="shared" si="50"/>
        <v>#NUM!</v>
      </c>
      <c r="K828">
        <f t="shared" si="51"/>
        <v>0.36000000000000004</v>
      </c>
    </row>
    <row r="829" spans="1:11" ht="13.9" x14ac:dyDescent="0.3">
      <c r="A829" s="2" t="s">
        <v>554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1.08</v>
      </c>
      <c r="H829" s="2" t="e">
        <f t="shared" si="48"/>
        <v>#NUM!</v>
      </c>
      <c r="I829" s="2">
        <f t="shared" si="49"/>
        <v>0.37390096630005903</v>
      </c>
      <c r="J829" s="2" t="e">
        <f t="shared" si="50"/>
        <v>#NUM!</v>
      </c>
      <c r="K829">
        <f t="shared" si="51"/>
        <v>0.36000000000000004</v>
      </c>
    </row>
    <row r="830" spans="1:11" ht="13.9" x14ac:dyDescent="0.3">
      <c r="A830" s="2" t="s">
        <v>557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1.08</v>
      </c>
      <c r="H830" s="2" t="e">
        <f t="shared" si="48"/>
        <v>#NUM!</v>
      </c>
      <c r="I830" s="2">
        <f t="shared" si="49"/>
        <v>0.37390096630005903</v>
      </c>
      <c r="J830" s="2" t="e">
        <f t="shared" si="50"/>
        <v>#NUM!</v>
      </c>
      <c r="K830">
        <f t="shared" si="51"/>
        <v>0.36000000000000004</v>
      </c>
    </row>
    <row r="831" spans="1:11" ht="13.9" x14ac:dyDescent="0.3">
      <c r="A831" s="2" t="s">
        <v>486</v>
      </c>
      <c r="B831" s="2">
        <v>0</v>
      </c>
      <c r="C831" s="2">
        <v>0</v>
      </c>
      <c r="D831" s="2">
        <v>0</v>
      </c>
      <c r="E831" s="2">
        <v>0.82</v>
      </c>
      <c r="F831" s="2">
        <v>0</v>
      </c>
      <c r="G831" s="2">
        <v>0.27</v>
      </c>
      <c r="H831" s="2" t="e">
        <f t="shared" si="48"/>
        <v>#NUM!</v>
      </c>
      <c r="I831" s="2">
        <f t="shared" si="49"/>
        <v>0.20654992188403973</v>
      </c>
      <c r="J831" s="2" t="e">
        <f t="shared" si="50"/>
        <v>#NUM!</v>
      </c>
      <c r="K831">
        <f t="shared" si="51"/>
        <v>0.36333333333333329</v>
      </c>
    </row>
    <row r="832" spans="1:11" ht="13.9" x14ac:dyDescent="0.3">
      <c r="A832" s="2" t="s">
        <v>692</v>
      </c>
      <c r="B832" s="2">
        <v>0</v>
      </c>
      <c r="C832" s="2">
        <v>0</v>
      </c>
      <c r="D832" s="2">
        <v>0</v>
      </c>
      <c r="E832" s="2">
        <v>0.41</v>
      </c>
      <c r="F832" s="2">
        <v>0</v>
      </c>
      <c r="G832" s="2">
        <v>0.68</v>
      </c>
      <c r="H832" s="2" t="e">
        <f t="shared" si="48"/>
        <v>#NUM!</v>
      </c>
      <c r="I832" s="2">
        <f t="shared" si="49"/>
        <v>0.13992620896169952</v>
      </c>
      <c r="J832" s="2" t="e">
        <f t="shared" si="50"/>
        <v>#NUM!</v>
      </c>
      <c r="K832">
        <f t="shared" si="51"/>
        <v>0.36333333333333334</v>
      </c>
    </row>
    <row r="833" spans="1:11" ht="13.9" x14ac:dyDescent="0.3">
      <c r="A833" s="2" t="s">
        <v>403</v>
      </c>
      <c r="B833" s="2">
        <v>0</v>
      </c>
      <c r="C833" s="2">
        <v>0</v>
      </c>
      <c r="D833" s="2">
        <v>0</v>
      </c>
      <c r="E833" s="2">
        <v>1.1299999999999999</v>
      </c>
      <c r="F833" s="2">
        <v>0</v>
      </c>
      <c r="G833" s="2">
        <v>0</v>
      </c>
      <c r="H833" s="2" t="e">
        <f t="shared" si="48"/>
        <v>#NUM!</v>
      </c>
      <c r="I833" s="2">
        <f t="shared" si="49"/>
        <v>0.37390096630005903</v>
      </c>
      <c r="J833" s="2" t="e">
        <f t="shared" si="50"/>
        <v>#NUM!</v>
      </c>
      <c r="K833">
        <f t="shared" si="51"/>
        <v>0.37666666666666665</v>
      </c>
    </row>
    <row r="834" spans="1:11" ht="13.9" x14ac:dyDescent="0.3">
      <c r="A834" s="2" t="s">
        <v>580</v>
      </c>
      <c r="B834" s="2">
        <v>0</v>
      </c>
      <c r="C834" s="2">
        <v>0</v>
      </c>
      <c r="D834" s="2">
        <v>0</v>
      </c>
      <c r="E834" s="2">
        <v>1.1299999999999999</v>
      </c>
      <c r="F834" s="2">
        <v>0</v>
      </c>
      <c r="G834" s="2">
        <v>0</v>
      </c>
      <c r="H834" s="2" t="e">
        <f t="shared" ref="H834:H897" si="52">LOG(SUM(B834:D834)/SUM(E834:G834),2)</f>
        <v>#NUM!</v>
      </c>
      <c r="I834" s="2">
        <f t="shared" ref="I834:I897" si="53">_xlfn.T.TEST(B834:D834,E834:G834,2,2)</f>
        <v>0.37390096630005903</v>
      </c>
      <c r="J834" s="2" t="e">
        <f t="shared" ref="J834:J897" si="54">LOG(SUM(B834:D834),2)</f>
        <v>#NUM!</v>
      </c>
      <c r="K834">
        <f t="shared" ref="K834:K897" si="55">AVERAGE(E834:G834)</f>
        <v>0.37666666666666665</v>
      </c>
    </row>
    <row r="835" spans="1:11" ht="13.9" x14ac:dyDescent="0.3">
      <c r="A835" s="2" t="s">
        <v>675</v>
      </c>
      <c r="B835" s="2">
        <v>0</v>
      </c>
      <c r="C835" s="2">
        <v>0</v>
      </c>
      <c r="D835" s="2">
        <v>0</v>
      </c>
      <c r="E835" s="2">
        <v>0.72</v>
      </c>
      <c r="F835" s="2">
        <v>0</v>
      </c>
      <c r="G835" s="2">
        <v>0.41</v>
      </c>
      <c r="H835" s="2" t="e">
        <f t="shared" si="52"/>
        <v>#NUM!</v>
      </c>
      <c r="I835" s="2">
        <f t="shared" si="53"/>
        <v>0.14514692278909413</v>
      </c>
      <c r="J835" s="2" t="e">
        <f t="shared" si="54"/>
        <v>#NUM!</v>
      </c>
      <c r="K835">
        <f t="shared" si="55"/>
        <v>0.37666666666666665</v>
      </c>
    </row>
    <row r="836" spans="1:11" ht="13.9" x14ac:dyDescent="0.3">
      <c r="A836" s="2" t="s">
        <v>809</v>
      </c>
      <c r="B836" s="2">
        <v>0</v>
      </c>
      <c r="C836" s="2">
        <v>0</v>
      </c>
      <c r="D836" s="2">
        <v>0</v>
      </c>
      <c r="E836" s="2">
        <v>0.62</v>
      </c>
      <c r="F836" s="2">
        <v>0</v>
      </c>
      <c r="G836" s="2">
        <v>0.54</v>
      </c>
      <c r="H836" s="2" t="e">
        <f t="shared" si="52"/>
        <v>#NUM!</v>
      </c>
      <c r="I836" s="2">
        <f t="shared" si="53"/>
        <v>0.11800491355674664</v>
      </c>
      <c r="J836" s="2" t="e">
        <f t="shared" si="54"/>
        <v>#NUM!</v>
      </c>
      <c r="K836">
        <f t="shared" si="55"/>
        <v>0.38666666666666671</v>
      </c>
    </row>
    <row r="837" spans="1:11" ht="13.9" x14ac:dyDescent="0.3">
      <c r="A837" s="2" t="s">
        <v>176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1.22</v>
      </c>
      <c r="H837" s="2" t="e">
        <f t="shared" si="52"/>
        <v>#NUM!</v>
      </c>
      <c r="I837" s="2">
        <f t="shared" si="53"/>
        <v>0.37390096630005903</v>
      </c>
      <c r="J837" s="2" t="e">
        <f t="shared" si="54"/>
        <v>#NUM!</v>
      </c>
      <c r="K837">
        <f t="shared" si="55"/>
        <v>0.40666666666666668</v>
      </c>
    </row>
    <row r="838" spans="1:11" ht="13.9" x14ac:dyDescent="0.3">
      <c r="A838" s="2" t="s">
        <v>534</v>
      </c>
      <c r="B838" s="2">
        <v>0</v>
      </c>
      <c r="C838" s="2">
        <v>0</v>
      </c>
      <c r="D838" s="2">
        <v>0</v>
      </c>
      <c r="E838" s="2">
        <v>0.41</v>
      </c>
      <c r="F838" s="2">
        <v>0</v>
      </c>
      <c r="G838" s="2">
        <v>0.81</v>
      </c>
      <c r="H838" s="2" t="e">
        <f t="shared" si="52"/>
        <v>#NUM!</v>
      </c>
      <c r="I838" s="2">
        <f t="shared" si="53"/>
        <v>0.15699679863226787</v>
      </c>
      <c r="J838" s="2" t="e">
        <f t="shared" si="54"/>
        <v>#NUM!</v>
      </c>
      <c r="K838">
        <f t="shared" si="55"/>
        <v>0.40666666666666668</v>
      </c>
    </row>
    <row r="839" spans="1:11" ht="13.9" x14ac:dyDescent="0.3">
      <c r="A839" s="2" t="s">
        <v>550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1.22</v>
      </c>
      <c r="H839" s="2" t="e">
        <f t="shared" si="52"/>
        <v>#NUM!</v>
      </c>
      <c r="I839" s="2">
        <f t="shared" si="53"/>
        <v>0.37390096630005903</v>
      </c>
      <c r="J839" s="2" t="e">
        <f t="shared" si="54"/>
        <v>#NUM!</v>
      </c>
      <c r="K839">
        <f t="shared" si="55"/>
        <v>0.40666666666666668</v>
      </c>
    </row>
    <row r="840" spans="1:11" ht="13.9" x14ac:dyDescent="0.3">
      <c r="A840" s="2" t="s">
        <v>567</v>
      </c>
      <c r="B840" s="2">
        <v>0</v>
      </c>
      <c r="C840" s="2">
        <v>0</v>
      </c>
      <c r="D840" s="2">
        <v>0</v>
      </c>
      <c r="E840" s="2">
        <v>1.23</v>
      </c>
      <c r="F840" s="2">
        <v>0</v>
      </c>
      <c r="G840" s="2">
        <v>0</v>
      </c>
      <c r="H840" s="2" t="e">
        <f t="shared" si="52"/>
        <v>#NUM!</v>
      </c>
      <c r="I840" s="2">
        <f t="shared" si="53"/>
        <v>0.37390096630005903</v>
      </c>
      <c r="J840" s="2" t="e">
        <f t="shared" si="54"/>
        <v>#NUM!</v>
      </c>
      <c r="K840">
        <f t="shared" si="55"/>
        <v>0.41</v>
      </c>
    </row>
    <row r="841" spans="1:11" ht="13.9" x14ac:dyDescent="0.3">
      <c r="A841" s="2" t="s">
        <v>740</v>
      </c>
      <c r="B841" s="2">
        <v>0</v>
      </c>
      <c r="C841" s="2">
        <v>0</v>
      </c>
      <c r="D841" s="2">
        <v>0</v>
      </c>
      <c r="E841" s="2">
        <v>1.03</v>
      </c>
      <c r="F841" s="2">
        <v>0</v>
      </c>
      <c r="G841" s="2">
        <v>0.27</v>
      </c>
      <c r="H841" s="2" t="e">
        <f t="shared" si="52"/>
        <v>#NUM!</v>
      </c>
      <c r="I841" s="2">
        <f t="shared" si="53"/>
        <v>0.23262633311758715</v>
      </c>
      <c r="J841" s="2" t="e">
        <f t="shared" si="54"/>
        <v>#NUM!</v>
      </c>
      <c r="K841">
        <f t="shared" si="55"/>
        <v>0.43333333333333335</v>
      </c>
    </row>
    <row r="842" spans="1:11" ht="13.9" x14ac:dyDescent="0.3">
      <c r="A842" s="2" t="s">
        <v>832</v>
      </c>
      <c r="B842" s="2">
        <v>0</v>
      </c>
      <c r="C842" s="2">
        <v>0</v>
      </c>
      <c r="D842" s="2">
        <v>0</v>
      </c>
      <c r="E842" s="2">
        <v>0.1</v>
      </c>
      <c r="F842" s="2">
        <v>0</v>
      </c>
      <c r="G842" s="2">
        <v>1.22</v>
      </c>
      <c r="H842" s="2" t="e">
        <f t="shared" si="52"/>
        <v>#NUM!</v>
      </c>
      <c r="I842" s="2">
        <f t="shared" si="53"/>
        <v>0.32347882207091694</v>
      </c>
      <c r="J842" s="2" t="e">
        <f t="shared" si="54"/>
        <v>#NUM!</v>
      </c>
      <c r="K842">
        <f t="shared" si="55"/>
        <v>0.44</v>
      </c>
    </row>
    <row r="843" spans="1:11" ht="13.9" x14ac:dyDescent="0.3">
      <c r="A843" s="2" t="s">
        <v>546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1.35</v>
      </c>
      <c r="H843" s="2" t="e">
        <f t="shared" si="52"/>
        <v>#NUM!</v>
      </c>
      <c r="I843" s="2">
        <f t="shared" si="53"/>
        <v>0.37390096630005903</v>
      </c>
      <c r="J843" s="2" t="e">
        <f t="shared" si="54"/>
        <v>#NUM!</v>
      </c>
      <c r="K843">
        <f t="shared" si="55"/>
        <v>0.45</v>
      </c>
    </row>
    <row r="844" spans="1:11" ht="13.9" x14ac:dyDescent="0.3">
      <c r="A844" s="2" t="s">
        <v>936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1.35</v>
      </c>
      <c r="H844" s="2" t="e">
        <f t="shared" si="52"/>
        <v>#NUM!</v>
      </c>
      <c r="I844" s="2">
        <f t="shared" si="53"/>
        <v>0.37390096630005903</v>
      </c>
      <c r="J844" s="2" t="e">
        <f t="shared" si="54"/>
        <v>#NUM!</v>
      </c>
      <c r="K844">
        <f t="shared" si="55"/>
        <v>0.45</v>
      </c>
    </row>
    <row r="845" spans="1:11" ht="13.9" x14ac:dyDescent="0.3">
      <c r="A845" s="2" t="s">
        <v>350</v>
      </c>
      <c r="B845" s="2">
        <v>0</v>
      </c>
      <c r="C845" s="2">
        <v>0</v>
      </c>
      <c r="D845" s="2">
        <v>0</v>
      </c>
      <c r="E845" s="2">
        <v>0.82</v>
      </c>
      <c r="F845" s="2">
        <v>0</v>
      </c>
      <c r="G845" s="2">
        <v>0.54</v>
      </c>
      <c r="H845" s="2" t="e">
        <f t="shared" si="52"/>
        <v>#NUM!</v>
      </c>
      <c r="I845" s="2">
        <f t="shared" si="53"/>
        <v>0.13269603943196495</v>
      </c>
      <c r="J845" s="2" t="e">
        <f t="shared" si="54"/>
        <v>#NUM!</v>
      </c>
      <c r="K845">
        <f t="shared" si="55"/>
        <v>0.45333333333333331</v>
      </c>
    </row>
    <row r="846" spans="1:11" ht="13.9" x14ac:dyDescent="0.3">
      <c r="A846" s="2" t="s">
        <v>659</v>
      </c>
      <c r="B846" s="2">
        <v>0</v>
      </c>
      <c r="C846" s="2">
        <v>0</v>
      </c>
      <c r="D846" s="2">
        <v>0</v>
      </c>
      <c r="E846" s="2">
        <v>0.72</v>
      </c>
      <c r="F846" s="2">
        <v>0</v>
      </c>
      <c r="G846" s="2">
        <v>0.68</v>
      </c>
      <c r="H846" s="2" t="e">
        <f t="shared" si="52"/>
        <v>#NUM!</v>
      </c>
      <c r="I846" s="2">
        <f t="shared" si="53"/>
        <v>0.1164411159095611</v>
      </c>
      <c r="J846" s="2" t="e">
        <f t="shared" si="54"/>
        <v>#NUM!</v>
      </c>
      <c r="K846">
        <f t="shared" si="55"/>
        <v>0.46666666666666662</v>
      </c>
    </row>
    <row r="847" spans="1:11" ht="13.9" x14ac:dyDescent="0.3">
      <c r="A847" s="2" t="s">
        <v>660</v>
      </c>
      <c r="B847" s="2">
        <v>0</v>
      </c>
      <c r="C847" s="2">
        <v>0</v>
      </c>
      <c r="D847" s="2">
        <v>0</v>
      </c>
      <c r="E847" s="2">
        <v>0.72</v>
      </c>
      <c r="F847" s="2">
        <v>0</v>
      </c>
      <c r="G847" s="2">
        <v>0.68</v>
      </c>
      <c r="H847" s="2" t="e">
        <f t="shared" si="52"/>
        <v>#NUM!</v>
      </c>
      <c r="I847" s="2">
        <f t="shared" si="53"/>
        <v>0.1164411159095611</v>
      </c>
      <c r="J847" s="2" t="e">
        <f t="shared" si="54"/>
        <v>#NUM!</v>
      </c>
      <c r="K847">
        <f t="shared" si="55"/>
        <v>0.46666666666666662</v>
      </c>
    </row>
    <row r="848" spans="1:11" ht="13.9" x14ac:dyDescent="0.3">
      <c r="A848" s="2" t="s">
        <v>674</v>
      </c>
      <c r="B848" s="2">
        <v>0</v>
      </c>
      <c r="C848" s="2">
        <v>0</v>
      </c>
      <c r="D848" s="2">
        <v>0</v>
      </c>
      <c r="E848" s="2">
        <v>0.72</v>
      </c>
      <c r="F848" s="2">
        <v>0</v>
      </c>
      <c r="G848" s="2">
        <v>0.68</v>
      </c>
      <c r="H848" s="2" t="e">
        <f t="shared" si="52"/>
        <v>#NUM!</v>
      </c>
      <c r="I848" s="2">
        <f t="shared" si="53"/>
        <v>0.1164411159095611</v>
      </c>
      <c r="J848" s="2" t="e">
        <f t="shared" si="54"/>
        <v>#NUM!</v>
      </c>
      <c r="K848">
        <f t="shared" si="55"/>
        <v>0.46666666666666662</v>
      </c>
    </row>
    <row r="849" spans="1:11" ht="13.9" x14ac:dyDescent="0.3">
      <c r="A849" s="2" t="s">
        <v>680</v>
      </c>
      <c r="B849" s="2">
        <v>0</v>
      </c>
      <c r="C849" s="2">
        <v>0</v>
      </c>
      <c r="D849" s="2">
        <v>0</v>
      </c>
      <c r="E849" s="2">
        <v>0.72</v>
      </c>
      <c r="F849" s="2">
        <v>0</v>
      </c>
      <c r="G849" s="2">
        <v>0.68</v>
      </c>
      <c r="H849" s="2" t="e">
        <f t="shared" si="52"/>
        <v>#NUM!</v>
      </c>
      <c r="I849" s="2">
        <f t="shared" si="53"/>
        <v>0.1164411159095611</v>
      </c>
      <c r="J849" s="2" t="e">
        <f t="shared" si="54"/>
        <v>#NUM!</v>
      </c>
      <c r="K849">
        <f t="shared" si="55"/>
        <v>0.46666666666666662</v>
      </c>
    </row>
    <row r="850" spans="1:11" ht="13.9" x14ac:dyDescent="0.3">
      <c r="A850" s="2" t="s">
        <v>811</v>
      </c>
      <c r="B850" s="2">
        <v>0</v>
      </c>
      <c r="C850" s="2">
        <v>0</v>
      </c>
      <c r="D850" s="2">
        <v>0</v>
      </c>
      <c r="E850" s="2">
        <v>1.44</v>
      </c>
      <c r="F850" s="2">
        <v>0</v>
      </c>
      <c r="G850" s="2">
        <v>0</v>
      </c>
      <c r="H850" s="2" t="e">
        <f t="shared" si="52"/>
        <v>#NUM!</v>
      </c>
      <c r="I850" s="2">
        <f t="shared" si="53"/>
        <v>0.37390096630005903</v>
      </c>
      <c r="J850" s="2" t="e">
        <f t="shared" si="54"/>
        <v>#NUM!</v>
      </c>
      <c r="K850">
        <f t="shared" si="55"/>
        <v>0.48</v>
      </c>
    </row>
    <row r="851" spans="1:11" ht="13.9" x14ac:dyDescent="0.3">
      <c r="A851" s="2" t="s">
        <v>434</v>
      </c>
      <c r="B851" s="2">
        <v>0</v>
      </c>
      <c r="C851" s="2">
        <v>0</v>
      </c>
      <c r="D851" s="2">
        <v>0</v>
      </c>
      <c r="E851" s="2">
        <v>0.1</v>
      </c>
      <c r="F851" s="2">
        <v>0</v>
      </c>
      <c r="G851" s="2">
        <v>1.35</v>
      </c>
      <c r="H851" s="2" t="e">
        <f t="shared" si="52"/>
        <v>#NUM!</v>
      </c>
      <c r="I851" s="2">
        <f t="shared" si="53"/>
        <v>0.32811379819755454</v>
      </c>
      <c r="J851" s="2" t="e">
        <f t="shared" si="54"/>
        <v>#NUM!</v>
      </c>
      <c r="K851">
        <f t="shared" si="55"/>
        <v>0.48333333333333339</v>
      </c>
    </row>
    <row r="852" spans="1:11" ht="13.9" x14ac:dyDescent="0.3">
      <c r="A852" s="2" t="s">
        <v>474</v>
      </c>
      <c r="B852" s="2">
        <v>0</v>
      </c>
      <c r="C852" s="2">
        <v>0</v>
      </c>
      <c r="D852" s="2">
        <v>0</v>
      </c>
      <c r="E852" s="2">
        <v>0.82</v>
      </c>
      <c r="F852" s="2">
        <v>0</v>
      </c>
      <c r="G852" s="2">
        <v>0.68</v>
      </c>
      <c r="H852" s="2" t="e">
        <f t="shared" si="52"/>
        <v>#NUM!</v>
      </c>
      <c r="I852" s="2">
        <f t="shared" si="53"/>
        <v>0.11956990922285785</v>
      </c>
      <c r="J852" s="2" t="e">
        <f t="shared" si="54"/>
        <v>#NUM!</v>
      </c>
      <c r="K852">
        <f t="shared" si="55"/>
        <v>0.5</v>
      </c>
    </row>
    <row r="853" spans="1:11" ht="13.9" x14ac:dyDescent="0.3">
      <c r="A853" s="2" t="s">
        <v>314</v>
      </c>
      <c r="B853" s="2">
        <v>0</v>
      </c>
      <c r="C853" s="2">
        <v>0</v>
      </c>
      <c r="D853" s="2">
        <v>0</v>
      </c>
      <c r="E853" s="2">
        <v>0.31</v>
      </c>
      <c r="F853" s="2">
        <v>0</v>
      </c>
      <c r="G853" s="2">
        <v>1.22</v>
      </c>
      <c r="H853" s="2" t="e">
        <f t="shared" si="52"/>
        <v>#NUM!</v>
      </c>
      <c r="I853" s="2">
        <f t="shared" si="53"/>
        <v>0.23603457154468926</v>
      </c>
      <c r="J853" s="2" t="e">
        <f t="shared" si="54"/>
        <v>#NUM!</v>
      </c>
      <c r="K853">
        <f t="shared" si="55"/>
        <v>0.51</v>
      </c>
    </row>
    <row r="854" spans="1:11" ht="13.9" x14ac:dyDescent="0.3">
      <c r="A854" s="2" t="s">
        <v>346</v>
      </c>
      <c r="B854" s="2">
        <v>0</v>
      </c>
      <c r="C854" s="2">
        <v>0</v>
      </c>
      <c r="D854" s="2">
        <v>0</v>
      </c>
      <c r="E854" s="2">
        <v>0.72</v>
      </c>
      <c r="F854" s="2">
        <v>0</v>
      </c>
      <c r="G854" s="2">
        <v>0.81</v>
      </c>
      <c r="H854" s="2" t="e">
        <f t="shared" si="52"/>
        <v>#NUM!</v>
      </c>
      <c r="I854" s="2">
        <f t="shared" si="53"/>
        <v>0.11749101920491983</v>
      </c>
      <c r="J854" s="2" t="e">
        <f t="shared" si="54"/>
        <v>#NUM!</v>
      </c>
      <c r="K854">
        <f t="shared" si="55"/>
        <v>0.51</v>
      </c>
    </row>
    <row r="855" spans="1:11" ht="13.9" x14ac:dyDescent="0.3">
      <c r="A855" s="2" t="s">
        <v>814</v>
      </c>
      <c r="B855" s="2">
        <v>0</v>
      </c>
      <c r="C855" s="2">
        <v>0</v>
      </c>
      <c r="D855" s="2">
        <v>0</v>
      </c>
      <c r="E855" s="2">
        <v>0.72</v>
      </c>
      <c r="F855" s="2">
        <v>0</v>
      </c>
      <c r="G855" s="2">
        <v>0.81</v>
      </c>
      <c r="H855" s="2" t="e">
        <f t="shared" si="52"/>
        <v>#NUM!</v>
      </c>
      <c r="I855" s="2">
        <f t="shared" si="53"/>
        <v>0.11749101920491983</v>
      </c>
      <c r="J855" s="2" t="e">
        <f t="shared" si="54"/>
        <v>#NUM!</v>
      </c>
      <c r="K855">
        <f t="shared" si="55"/>
        <v>0.51</v>
      </c>
    </row>
    <row r="856" spans="1:11" ht="13.9" x14ac:dyDescent="0.3">
      <c r="A856" s="2" t="s">
        <v>911</v>
      </c>
      <c r="B856" s="2">
        <v>0</v>
      </c>
      <c r="C856" s="2">
        <v>0</v>
      </c>
      <c r="D856" s="2">
        <v>0</v>
      </c>
      <c r="E856" s="2">
        <v>0.31</v>
      </c>
      <c r="F856" s="2">
        <v>0</v>
      </c>
      <c r="G856" s="2">
        <v>1.22</v>
      </c>
      <c r="H856" s="2" t="e">
        <f t="shared" si="52"/>
        <v>#NUM!</v>
      </c>
      <c r="I856" s="2">
        <f t="shared" si="53"/>
        <v>0.23603457154468926</v>
      </c>
      <c r="J856" s="2" t="e">
        <f t="shared" si="54"/>
        <v>#NUM!</v>
      </c>
      <c r="K856">
        <f t="shared" si="55"/>
        <v>0.51</v>
      </c>
    </row>
    <row r="857" spans="1:11" ht="13.9" x14ac:dyDescent="0.3">
      <c r="A857" s="2" t="s">
        <v>123</v>
      </c>
      <c r="B857" s="2">
        <v>0</v>
      </c>
      <c r="C857" s="2">
        <v>0</v>
      </c>
      <c r="D857" s="2">
        <v>0</v>
      </c>
      <c r="E857" s="2">
        <v>0.51</v>
      </c>
      <c r="F857" s="2">
        <v>0</v>
      </c>
      <c r="G857" s="2">
        <v>1.08</v>
      </c>
      <c r="H857" s="2" t="e">
        <f t="shared" si="52"/>
        <v>#NUM!</v>
      </c>
      <c r="I857" s="2">
        <f t="shared" si="53"/>
        <v>0.16452799588312797</v>
      </c>
      <c r="J857" s="2" t="e">
        <f t="shared" si="54"/>
        <v>#NUM!</v>
      </c>
      <c r="K857">
        <f t="shared" si="55"/>
        <v>0.53</v>
      </c>
    </row>
    <row r="858" spans="1:11" ht="13.9" x14ac:dyDescent="0.3">
      <c r="A858" s="2" t="s">
        <v>624</v>
      </c>
      <c r="B858" s="2">
        <v>0</v>
      </c>
      <c r="C858" s="2">
        <v>0</v>
      </c>
      <c r="D858" s="2">
        <v>0</v>
      </c>
      <c r="E858" s="2">
        <v>0.1</v>
      </c>
      <c r="F858" s="2">
        <v>0</v>
      </c>
      <c r="G858" s="2">
        <v>1.49</v>
      </c>
      <c r="H858" s="2" t="e">
        <f t="shared" si="52"/>
        <v>#NUM!</v>
      </c>
      <c r="I858" s="2">
        <f t="shared" si="53"/>
        <v>0.33224201222489275</v>
      </c>
      <c r="J858" s="2" t="e">
        <f t="shared" si="54"/>
        <v>#NUM!</v>
      </c>
      <c r="K858">
        <f t="shared" si="55"/>
        <v>0.53</v>
      </c>
    </row>
    <row r="859" spans="1:11" ht="13.9" x14ac:dyDescent="0.3">
      <c r="A859" s="2" t="s">
        <v>431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1.62</v>
      </c>
      <c r="H859" s="2" t="e">
        <f t="shared" si="52"/>
        <v>#NUM!</v>
      </c>
      <c r="I859" s="2">
        <f t="shared" si="53"/>
        <v>0.37390096630005903</v>
      </c>
      <c r="J859" s="2" t="e">
        <f t="shared" si="54"/>
        <v>#NUM!</v>
      </c>
      <c r="K859">
        <f t="shared" si="55"/>
        <v>0.54</v>
      </c>
    </row>
    <row r="860" spans="1:11" ht="13.9" x14ac:dyDescent="0.3">
      <c r="A860" s="2" t="s">
        <v>719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1.62</v>
      </c>
      <c r="H860" s="2" t="e">
        <f t="shared" si="52"/>
        <v>#NUM!</v>
      </c>
      <c r="I860" s="2">
        <f t="shared" si="53"/>
        <v>0.37390096630005903</v>
      </c>
      <c r="J860" s="2" t="e">
        <f t="shared" si="54"/>
        <v>#NUM!</v>
      </c>
      <c r="K860">
        <f t="shared" si="55"/>
        <v>0.54</v>
      </c>
    </row>
    <row r="861" spans="1:11" ht="13.9" x14ac:dyDescent="0.3">
      <c r="A861" s="2" t="s">
        <v>849</v>
      </c>
      <c r="B861" s="2">
        <v>0</v>
      </c>
      <c r="C861" s="2">
        <v>0</v>
      </c>
      <c r="D861" s="2">
        <v>0</v>
      </c>
      <c r="E861" s="2">
        <v>0.82</v>
      </c>
      <c r="F861" s="2">
        <v>0</v>
      </c>
      <c r="G861" s="2">
        <v>0.81</v>
      </c>
      <c r="H861" s="2" t="e">
        <f t="shared" si="52"/>
        <v>#NUM!</v>
      </c>
      <c r="I861" s="2">
        <f t="shared" si="53"/>
        <v>0.11613149366812972</v>
      </c>
      <c r="J861" s="2" t="e">
        <f t="shared" si="54"/>
        <v>#NUM!</v>
      </c>
      <c r="K861">
        <f t="shared" si="55"/>
        <v>0.54333333333333333</v>
      </c>
    </row>
    <row r="862" spans="1:11" ht="13.9" x14ac:dyDescent="0.3">
      <c r="A862" s="2" t="s">
        <v>19</v>
      </c>
      <c r="B862" s="2">
        <v>0</v>
      </c>
      <c r="C862" s="2">
        <v>0</v>
      </c>
      <c r="D862" s="2">
        <v>0</v>
      </c>
      <c r="E862" s="2">
        <v>1.65</v>
      </c>
      <c r="F862" s="2">
        <v>0</v>
      </c>
      <c r="G862" s="2">
        <v>0</v>
      </c>
      <c r="H862" s="2" t="e">
        <f t="shared" si="52"/>
        <v>#NUM!</v>
      </c>
      <c r="I862" s="2">
        <f t="shared" si="53"/>
        <v>0.37390096630005903</v>
      </c>
      <c r="J862" s="2" t="e">
        <f t="shared" si="54"/>
        <v>#NUM!</v>
      </c>
      <c r="K862">
        <f t="shared" si="55"/>
        <v>0.54999999999999993</v>
      </c>
    </row>
    <row r="863" spans="1:11" ht="13.9" x14ac:dyDescent="0.3">
      <c r="A863" s="2" t="s">
        <v>437</v>
      </c>
      <c r="B863" s="2">
        <v>0</v>
      </c>
      <c r="C863" s="2">
        <v>0</v>
      </c>
      <c r="D863" s="2">
        <v>0</v>
      </c>
      <c r="E863" s="2">
        <v>0.51</v>
      </c>
      <c r="F863" s="2">
        <v>0</v>
      </c>
      <c r="G863" s="2">
        <v>1.22</v>
      </c>
      <c r="H863" s="2" t="e">
        <f t="shared" si="52"/>
        <v>#NUM!</v>
      </c>
      <c r="I863" s="2">
        <f t="shared" si="53"/>
        <v>0.17841016846128757</v>
      </c>
      <c r="J863" s="2" t="e">
        <f t="shared" si="54"/>
        <v>#NUM!</v>
      </c>
      <c r="K863">
        <f t="shared" si="55"/>
        <v>0.57666666666666666</v>
      </c>
    </row>
    <row r="864" spans="1:11" ht="13.9" x14ac:dyDescent="0.3">
      <c r="A864" s="2" t="s">
        <v>480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1.76</v>
      </c>
      <c r="H864" s="2" t="e">
        <f t="shared" si="52"/>
        <v>#NUM!</v>
      </c>
      <c r="I864" s="2">
        <f t="shared" si="53"/>
        <v>0.37390096630005903</v>
      </c>
      <c r="J864" s="2" t="e">
        <f t="shared" si="54"/>
        <v>#NUM!</v>
      </c>
      <c r="K864">
        <f t="shared" si="55"/>
        <v>0.58666666666666667</v>
      </c>
    </row>
    <row r="865" spans="1:11" ht="13.9" x14ac:dyDescent="0.3">
      <c r="A865" s="2" t="s">
        <v>544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1.76</v>
      </c>
      <c r="H865" s="2" t="e">
        <f t="shared" si="52"/>
        <v>#NUM!</v>
      </c>
      <c r="I865" s="2">
        <f t="shared" si="53"/>
        <v>0.37390096630005903</v>
      </c>
      <c r="J865" s="2" t="e">
        <f t="shared" si="54"/>
        <v>#NUM!</v>
      </c>
      <c r="K865">
        <f t="shared" si="55"/>
        <v>0.58666666666666667</v>
      </c>
    </row>
    <row r="866" spans="1:11" ht="13.9" x14ac:dyDescent="0.3">
      <c r="A866" s="2" t="s">
        <v>409</v>
      </c>
      <c r="B866" s="2">
        <v>0</v>
      </c>
      <c r="C866" s="2">
        <v>0</v>
      </c>
      <c r="D866" s="2">
        <v>0</v>
      </c>
      <c r="E866" s="2">
        <v>1.23</v>
      </c>
      <c r="F866" s="2">
        <v>0</v>
      </c>
      <c r="G866" s="2">
        <v>0.54</v>
      </c>
      <c r="H866" s="2" t="e">
        <f t="shared" si="52"/>
        <v>#NUM!</v>
      </c>
      <c r="I866" s="2">
        <f t="shared" si="53"/>
        <v>0.17275077445252598</v>
      </c>
      <c r="J866" s="2" t="e">
        <f t="shared" si="54"/>
        <v>#NUM!</v>
      </c>
      <c r="K866">
        <f t="shared" si="55"/>
        <v>0.59</v>
      </c>
    </row>
    <row r="867" spans="1:11" ht="13.9" x14ac:dyDescent="0.3">
      <c r="A867" s="2" t="s">
        <v>171</v>
      </c>
      <c r="B867" s="2">
        <v>0</v>
      </c>
      <c r="C867" s="2">
        <v>0</v>
      </c>
      <c r="D867" s="2">
        <v>0</v>
      </c>
      <c r="E867" s="2">
        <v>0.21</v>
      </c>
      <c r="F867" s="2">
        <v>0</v>
      </c>
      <c r="G867" s="2">
        <v>1.62</v>
      </c>
      <c r="H867" s="2" t="e">
        <f t="shared" si="52"/>
        <v>#NUM!</v>
      </c>
      <c r="I867" s="2">
        <f t="shared" si="53"/>
        <v>0.29659124348046351</v>
      </c>
      <c r="J867" s="2" t="e">
        <f t="shared" si="54"/>
        <v>#NUM!</v>
      </c>
      <c r="K867">
        <f t="shared" si="55"/>
        <v>0.61</v>
      </c>
    </row>
    <row r="868" spans="1:11" ht="13.9" x14ac:dyDescent="0.3">
      <c r="A868" s="2" t="s">
        <v>539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1.89</v>
      </c>
      <c r="H868" s="2" t="e">
        <f t="shared" si="52"/>
        <v>#NUM!</v>
      </c>
      <c r="I868" s="2">
        <f t="shared" si="53"/>
        <v>0.37390096630005903</v>
      </c>
      <c r="J868" s="2" t="e">
        <f t="shared" si="54"/>
        <v>#NUM!</v>
      </c>
      <c r="K868">
        <f t="shared" si="55"/>
        <v>0.63</v>
      </c>
    </row>
    <row r="869" spans="1:11" ht="13.9" x14ac:dyDescent="0.3">
      <c r="A869" s="2" t="s">
        <v>790</v>
      </c>
      <c r="B869" s="2">
        <v>0</v>
      </c>
      <c r="C869" s="2">
        <v>0</v>
      </c>
      <c r="D869" s="2">
        <v>0</v>
      </c>
      <c r="E869" s="2">
        <v>0.51</v>
      </c>
      <c r="F869" s="2">
        <v>0</v>
      </c>
      <c r="G869" s="2">
        <v>1.49</v>
      </c>
      <c r="H869" s="2" t="e">
        <f t="shared" si="52"/>
        <v>#NUM!</v>
      </c>
      <c r="I869" s="2">
        <f t="shared" si="53"/>
        <v>0.20198250776465046</v>
      </c>
      <c r="J869" s="2" t="e">
        <f t="shared" si="54"/>
        <v>#NUM!</v>
      </c>
      <c r="K869">
        <f t="shared" si="55"/>
        <v>0.66666666666666663</v>
      </c>
    </row>
    <row r="870" spans="1:11" ht="13.9" x14ac:dyDescent="0.3">
      <c r="A870" s="2" t="s">
        <v>440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2.0299999999999998</v>
      </c>
      <c r="H870" s="2" t="e">
        <f t="shared" si="52"/>
        <v>#NUM!</v>
      </c>
      <c r="I870" s="2">
        <f t="shared" si="53"/>
        <v>0.37390096630005903</v>
      </c>
      <c r="J870" s="2" t="e">
        <f t="shared" si="54"/>
        <v>#NUM!</v>
      </c>
      <c r="K870">
        <f t="shared" si="55"/>
        <v>0.67666666666666664</v>
      </c>
    </row>
    <row r="871" spans="1:11" ht="13.9" x14ac:dyDescent="0.3">
      <c r="A871" s="2" t="s">
        <v>116</v>
      </c>
      <c r="B871" s="2">
        <v>0</v>
      </c>
      <c r="C871" s="2">
        <v>0</v>
      </c>
      <c r="D871" s="2">
        <v>0</v>
      </c>
      <c r="E871" s="2">
        <v>0.41</v>
      </c>
      <c r="F871" s="2">
        <v>0</v>
      </c>
      <c r="G871" s="2">
        <v>1.62</v>
      </c>
      <c r="H871" s="2" t="e">
        <f t="shared" si="52"/>
        <v>#NUM!</v>
      </c>
      <c r="I871" s="2">
        <f t="shared" si="53"/>
        <v>0.23646803877235414</v>
      </c>
      <c r="J871" s="2" t="e">
        <f t="shared" si="54"/>
        <v>#NUM!</v>
      </c>
      <c r="K871">
        <f t="shared" si="55"/>
        <v>0.67666666666666675</v>
      </c>
    </row>
    <row r="872" spans="1:11" ht="13.9" x14ac:dyDescent="0.3">
      <c r="A872" s="2" t="s">
        <v>683</v>
      </c>
      <c r="B872" s="2">
        <v>0</v>
      </c>
      <c r="C872" s="2">
        <v>0</v>
      </c>
      <c r="D872" s="2">
        <v>0</v>
      </c>
      <c r="E872" s="2">
        <v>0.82</v>
      </c>
      <c r="F872" s="2">
        <v>0</v>
      </c>
      <c r="G872" s="2">
        <v>1.22</v>
      </c>
      <c r="H872" s="2" t="e">
        <f t="shared" si="52"/>
        <v>#NUM!</v>
      </c>
      <c r="I872" s="2">
        <f t="shared" si="53"/>
        <v>0.13117903003554612</v>
      </c>
      <c r="J872" s="2" t="e">
        <f t="shared" si="54"/>
        <v>#NUM!</v>
      </c>
      <c r="K872">
        <f t="shared" si="55"/>
        <v>0.68</v>
      </c>
    </row>
    <row r="873" spans="1:11" ht="13.9" x14ac:dyDescent="0.3">
      <c r="A873" s="2" t="s">
        <v>587</v>
      </c>
      <c r="B873" s="2">
        <v>0</v>
      </c>
      <c r="C873" s="2">
        <v>0</v>
      </c>
      <c r="D873" s="2">
        <v>0</v>
      </c>
      <c r="E873" s="2">
        <v>0.21</v>
      </c>
      <c r="F873" s="2">
        <v>0</v>
      </c>
      <c r="G873" s="2">
        <v>1.89</v>
      </c>
      <c r="H873" s="2" t="e">
        <f t="shared" si="52"/>
        <v>#NUM!</v>
      </c>
      <c r="I873" s="2">
        <f t="shared" si="53"/>
        <v>0.30680858549861045</v>
      </c>
      <c r="J873" s="2" t="e">
        <f t="shared" si="54"/>
        <v>#NUM!</v>
      </c>
      <c r="K873">
        <f t="shared" si="55"/>
        <v>0.70000000000000007</v>
      </c>
    </row>
    <row r="874" spans="1:11" ht="13.9" x14ac:dyDescent="0.3">
      <c r="A874" s="2" t="s">
        <v>307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2.17</v>
      </c>
      <c r="H874" s="2" t="e">
        <f t="shared" si="52"/>
        <v>#NUM!</v>
      </c>
      <c r="I874" s="2">
        <f t="shared" si="53"/>
        <v>0.37390096630005903</v>
      </c>
      <c r="J874" s="2" t="e">
        <f t="shared" si="54"/>
        <v>#NUM!</v>
      </c>
      <c r="K874">
        <f t="shared" si="55"/>
        <v>0.72333333333333327</v>
      </c>
    </row>
    <row r="875" spans="1:11" ht="13.9" x14ac:dyDescent="0.3">
      <c r="A875" s="2" t="s">
        <v>352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2.17</v>
      </c>
      <c r="H875" s="2" t="e">
        <f t="shared" si="52"/>
        <v>#NUM!</v>
      </c>
      <c r="I875" s="2">
        <f t="shared" si="53"/>
        <v>0.37390096630005903</v>
      </c>
      <c r="J875" s="2" t="e">
        <f t="shared" si="54"/>
        <v>#NUM!</v>
      </c>
      <c r="K875">
        <f t="shared" si="55"/>
        <v>0.72333333333333327</v>
      </c>
    </row>
    <row r="876" spans="1:11" ht="13.9" x14ac:dyDescent="0.3">
      <c r="A876" s="2" t="s">
        <v>383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2.17</v>
      </c>
      <c r="H876" s="2" t="e">
        <f t="shared" si="52"/>
        <v>#NUM!</v>
      </c>
      <c r="I876" s="2">
        <f t="shared" si="53"/>
        <v>0.37390096630005903</v>
      </c>
      <c r="J876" s="2" t="e">
        <f t="shared" si="54"/>
        <v>#NUM!</v>
      </c>
      <c r="K876">
        <f t="shared" si="55"/>
        <v>0.72333333333333327</v>
      </c>
    </row>
    <row r="877" spans="1:11" ht="13.9" x14ac:dyDescent="0.3">
      <c r="A877" s="2" t="s">
        <v>810</v>
      </c>
      <c r="B877" s="2">
        <v>0</v>
      </c>
      <c r="C877" s="2">
        <v>0</v>
      </c>
      <c r="D877" s="2">
        <v>0</v>
      </c>
      <c r="E877" s="2">
        <v>0.31</v>
      </c>
      <c r="F877" s="2">
        <v>0</v>
      </c>
      <c r="G877" s="2">
        <v>1.89</v>
      </c>
      <c r="H877" s="2" t="e">
        <f t="shared" si="52"/>
        <v>#NUM!</v>
      </c>
      <c r="I877" s="2">
        <f t="shared" si="53"/>
        <v>0.27842236753211863</v>
      </c>
      <c r="J877" s="2" t="e">
        <f t="shared" si="54"/>
        <v>#NUM!</v>
      </c>
      <c r="K877">
        <f t="shared" si="55"/>
        <v>0.73333333333333328</v>
      </c>
    </row>
    <row r="878" spans="1:11" ht="13.9" x14ac:dyDescent="0.3">
      <c r="A878" s="2" t="s">
        <v>860</v>
      </c>
      <c r="B878" s="2">
        <v>0</v>
      </c>
      <c r="C878" s="2">
        <v>0</v>
      </c>
      <c r="D878" s="2">
        <v>0</v>
      </c>
      <c r="E878" s="2">
        <v>0.72</v>
      </c>
      <c r="F878" s="2">
        <v>0</v>
      </c>
      <c r="G878" s="2">
        <v>1.49</v>
      </c>
      <c r="H878" s="2" t="e">
        <f t="shared" si="52"/>
        <v>#NUM!</v>
      </c>
      <c r="I878" s="2">
        <f t="shared" si="53"/>
        <v>0.1619933248132697</v>
      </c>
      <c r="J878" s="2" t="e">
        <f t="shared" si="54"/>
        <v>#NUM!</v>
      </c>
      <c r="K878">
        <f t="shared" si="55"/>
        <v>0.73666666666666669</v>
      </c>
    </row>
    <row r="879" spans="1:11" ht="13.9" x14ac:dyDescent="0.3">
      <c r="A879" s="2" t="s">
        <v>663</v>
      </c>
      <c r="B879" s="2">
        <v>0</v>
      </c>
      <c r="C879" s="2">
        <v>0</v>
      </c>
      <c r="D879" s="2">
        <v>0</v>
      </c>
      <c r="E879" s="2">
        <v>0.21</v>
      </c>
      <c r="F879" s="2">
        <v>0</v>
      </c>
      <c r="G879" s="2">
        <v>2.0299999999999998</v>
      </c>
      <c r="H879" s="2" t="e">
        <f t="shared" si="52"/>
        <v>#NUM!</v>
      </c>
      <c r="I879" s="2">
        <f t="shared" si="53"/>
        <v>0.31112278603169208</v>
      </c>
      <c r="J879" s="2" t="e">
        <f t="shared" si="54"/>
        <v>#NUM!</v>
      </c>
      <c r="K879">
        <f t="shared" si="55"/>
        <v>0.74666666666666659</v>
      </c>
    </row>
    <row r="880" spans="1:11" ht="13.9" x14ac:dyDescent="0.3">
      <c r="A880" s="2" t="s">
        <v>244</v>
      </c>
      <c r="B880" s="2">
        <v>0</v>
      </c>
      <c r="C880" s="2">
        <v>0</v>
      </c>
      <c r="D880" s="2">
        <v>0</v>
      </c>
      <c r="E880" s="2">
        <v>1.75</v>
      </c>
      <c r="F880" s="2">
        <v>0</v>
      </c>
      <c r="G880" s="2">
        <v>0.54</v>
      </c>
      <c r="H880" s="2" t="e">
        <f t="shared" si="52"/>
        <v>#NUM!</v>
      </c>
      <c r="I880" s="2">
        <f t="shared" si="53"/>
        <v>0.2141371439716821</v>
      </c>
      <c r="J880" s="2" t="e">
        <f t="shared" si="54"/>
        <v>#NUM!</v>
      </c>
      <c r="K880">
        <f t="shared" si="55"/>
        <v>0.76333333333333331</v>
      </c>
    </row>
    <row r="881" spans="1:11" ht="13.9" x14ac:dyDescent="0.3">
      <c r="A881" s="2" t="s">
        <v>846</v>
      </c>
      <c r="B881" s="2">
        <v>0</v>
      </c>
      <c r="C881" s="2">
        <v>0</v>
      </c>
      <c r="D881" s="2">
        <v>0</v>
      </c>
      <c r="E881" s="2">
        <v>1.1299999999999999</v>
      </c>
      <c r="F881" s="2">
        <v>0</v>
      </c>
      <c r="G881" s="2">
        <v>1.22</v>
      </c>
      <c r="H881" s="2" t="e">
        <f t="shared" si="52"/>
        <v>#NUM!</v>
      </c>
      <c r="I881" s="2">
        <f t="shared" si="53"/>
        <v>0.11669958915797259</v>
      </c>
      <c r="J881" s="2" t="e">
        <f t="shared" si="54"/>
        <v>#NUM!</v>
      </c>
      <c r="K881">
        <f t="shared" si="55"/>
        <v>0.78333333333333321</v>
      </c>
    </row>
    <row r="882" spans="1:11" ht="13.9" x14ac:dyDescent="0.3">
      <c r="A882" s="2" t="s">
        <v>685</v>
      </c>
      <c r="B882" s="2">
        <v>0</v>
      </c>
      <c r="C882" s="2">
        <v>0</v>
      </c>
      <c r="D882" s="2">
        <v>0</v>
      </c>
      <c r="E882" s="2">
        <v>1.54</v>
      </c>
      <c r="F882" s="2">
        <v>0</v>
      </c>
      <c r="G882" s="2">
        <v>0.81</v>
      </c>
      <c r="H882" s="2" t="e">
        <f t="shared" si="52"/>
        <v>#NUM!</v>
      </c>
      <c r="I882" s="2">
        <f t="shared" si="53"/>
        <v>0.15299326590166459</v>
      </c>
      <c r="J882" s="2" t="e">
        <f t="shared" si="54"/>
        <v>#NUM!</v>
      </c>
      <c r="K882">
        <f t="shared" si="55"/>
        <v>0.78333333333333333</v>
      </c>
    </row>
    <row r="883" spans="1:11" ht="13.9" x14ac:dyDescent="0.3">
      <c r="A883" s="2" t="s">
        <v>829</v>
      </c>
      <c r="B883" s="2">
        <v>0</v>
      </c>
      <c r="C883" s="2">
        <v>0</v>
      </c>
      <c r="D883" s="2">
        <v>0</v>
      </c>
      <c r="E883" s="2">
        <v>1.85</v>
      </c>
      <c r="F883" s="2">
        <v>0</v>
      </c>
      <c r="G883" s="2">
        <v>0.54</v>
      </c>
      <c r="H883" s="2" t="e">
        <f t="shared" si="52"/>
        <v>#NUM!</v>
      </c>
      <c r="I883" s="2">
        <f t="shared" si="53"/>
        <v>0.22054358309891101</v>
      </c>
      <c r="J883" s="2" t="e">
        <f t="shared" si="54"/>
        <v>#NUM!</v>
      </c>
      <c r="K883">
        <f t="shared" si="55"/>
        <v>0.79666666666666675</v>
      </c>
    </row>
    <row r="884" spans="1:11" ht="13.9" x14ac:dyDescent="0.3">
      <c r="A884" s="2" t="s">
        <v>242</v>
      </c>
      <c r="B884" s="2">
        <v>0</v>
      </c>
      <c r="C884" s="2">
        <v>0</v>
      </c>
      <c r="D884" s="2">
        <v>0</v>
      </c>
      <c r="E884" s="2">
        <v>0.93</v>
      </c>
      <c r="F884" s="2">
        <v>0</v>
      </c>
      <c r="G884" s="2">
        <v>1.49</v>
      </c>
      <c r="H884" s="2" t="e">
        <f t="shared" si="52"/>
        <v>#NUM!</v>
      </c>
      <c r="I884" s="2">
        <f t="shared" si="53"/>
        <v>0.13696427071498948</v>
      </c>
      <c r="J884" s="2" t="e">
        <f t="shared" si="54"/>
        <v>#NUM!</v>
      </c>
      <c r="K884">
        <f t="shared" si="55"/>
        <v>0.80666666666666664</v>
      </c>
    </row>
    <row r="885" spans="1:11" ht="13.9" x14ac:dyDescent="0.3">
      <c r="A885" s="2" t="s">
        <v>891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2.44</v>
      </c>
      <c r="H885" s="2" t="e">
        <f t="shared" si="52"/>
        <v>#NUM!</v>
      </c>
      <c r="I885" s="2">
        <f t="shared" si="53"/>
        <v>0.37390096630005903</v>
      </c>
      <c r="J885" s="2" t="e">
        <f t="shared" si="54"/>
        <v>#NUM!</v>
      </c>
      <c r="K885">
        <f t="shared" si="55"/>
        <v>0.81333333333333335</v>
      </c>
    </row>
    <row r="886" spans="1:11" ht="13.9" x14ac:dyDescent="0.3">
      <c r="A886" s="2" t="s">
        <v>360</v>
      </c>
      <c r="B886" s="2">
        <v>0</v>
      </c>
      <c r="C886" s="2">
        <v>0</v>
      </c>
      <c r="D886" s="2">
        <v>0</v>
      </c>
      <c r="E886" s="2">
        <v>0.72</v>
      </c>
      <c r="F886" s="2">
        <v>0</v>
      </c>
      <c r="G886" s="2">
        <v>1.89</v>
      </c>
      <c r="H886" s="2" t="e">
        <f t="shared" si="52"/>
        <v>#NUM!</v>
      </c>
      <c r="I886" s="2">
        <f t="shared" si="53"/>
        <v>0.18931767648133244</v>
      </c>
      <c r="J886" s="2" t="e">
        <f t="shared" si="54"/>
        <v>#NUM!</v>
      </c>
      <c r="K886">
        <f t="shared" si="55"/>
        <v>0.87</v>
      </c>
    </row>
    <row r="887" spans="1:11" ht="13.9" x14ac:dyDescent="0.3">
      <c r="A887" s="2" t="s">
        <v>451</v>
      </c>
      <c r="B887" s="2">
        <v>0</v>
      </c>
      <c r="C887" s="2">
        <v>0</v>
      </c>
      <c r="D887" s="2">
        <v>0</v>
      </c>
      <c r="E887" s="2">
        <v>1.44</v>
      </c>
      <c r="F887" s="2">
        <v>0</v>
      </c>
      <c r="G887" s="2">
        <v>1.22</v>
      </c>
      <c r="H887" s="2" t="e">
        <f t="shared" si="52"/>
        <v>#NUM!</v>
      </c>
      <c r="I887" s="2">
        <f t="shared" si="53"/>
        <v>0.11883024240352499</v>
      </c>
      <c r="J887" s="2" t="e">
        <f t="shared" si="54"/>
        <v>#NUM!</v>
      </c>
      <c r="K887">
        <f t="shared" si="55"/>
        <v>0.88666666666666671</v>
      </c>
    </row>
    <row r="888" spans="1:11" ht="13.9" x14ac:dyDescent="0.3">
      <c r="A888" s="2" t="s">
        <v>608</v>
      </c>
      <c r="B888" s="2">
        <v>0</v>
      </c>
      <c r="C888" s="2">
        <v>0</v>
      </c>
      <c r="D888" s="2">
        <v>0</v>
      </c>
      <c r="E888" s="2">
        <v>2.2599999999999998</v>
      </c>
      <c r="F888" s="2">
        <v>0</v>
      </c>
      <c r="G888" s="2">
        <v>0.41</v>
      </c>
      <c r="H888" s="2" t="e">
        <f t="shared" si="52"/>
        <v>#NUM!</v>
      </c>
      <c r="I888" s="2">
        <f t="shared" si="53"/>
        <v>0.26964307605782228</v>
      </c>
      <c r="J888" s="2" t="e">
        <f t="shared" si="54"/>
        <v>#NUM!</v>
      </c>
      <c r="K888">
        <f t="shared" si="55"/>
        <v>0.89</v>
      </c>
    </row>
    <row r="889" spans="1:11" ht="13.9" x14ac:dyDescent="0.3">
      <c r="A889" s="2" t="s">
        <v>889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2.71</v>
      </c>
      <c r="H889" s="2" t="e">
        <f t="shared" si="52"/>
        <v>#NUM!</v>
      </c>
      <c r="I889" s="2">
        <f t="shared" si="53"/>
        <v>0.37390096630005903</v>
      </c>
      <c r="J889" s="2" t="e">
        <f t="shared" si="54"/>
        <v>#NUM!</v>
      </c>
      <c r="K889">
        <f t="shared" si="55"/>
        <v>0.90333333333333332</v>
      </c>
    </row>
    <row r="890" spans="1:11" ht="13.9" x14ac:dyDescent="0.3">
      <c r="A890" s="2" t="s">
        <v>489</v>
      </c>
      <c r="B890" s="2">
        <v>0</v>
      </c>
      <c r="C890" s="2">
        <v>0</v>
      </c>
      <c r="D890" s="2">
        <v>0</v>
      </c>
      <c r="E890" s="2">
        <v>2.88</v>
      </c>
      <c r="F890" s="2">
        <v>0</v>
      </c>
      <c r="G890" s="2">
        <v>0</v>
      </c>
      <c r="H890" s="2" t="e">
        <f t="shared" si="52"/>
        <v>#NUM!</v>
      </c>
      <c r="I890" s="2">
        <f t="shared" si="53"/>
        <v>0.37390096630005903</v>
      </c>
      <c r="J890" s="2" t="e">
        <f t="shared" si="54"/>
        <v>#NUM!</v>
      </c>
      <c r="K890">
        <f t="shared" si="55"/>
        <v>0.96</v>
      </c>
    </row>
    <row r="891" spans="1:11" ht="13.9" x14ac:dyDescent="0.3">
      <c r="A891" s="2" t="s">
        <v>302</v>
      </c>
      <c r="B891" s="2">
        <v>0</v>
      </c>
      <c r="C891" s="2">
        <v>0</v>
      </c>
      <c r="D891" s="2">
        <v>0</v>
      </c>
      <c r="E891" s="2">
        <v>2.2599999999999998</v>
      </c>
      <c r="F891" s="2">
        <v>0</v>
      </c>
      <c r="G891" s="2">
        <v>0.68</v>
      </c>
      <c r="H891" s="2" t="e">
        <f t="shared" si="52"/>
        <v>#NUM!</v>
      </c>
      <c r="I891" s="2">
        <f t="shared" si="53"/>
        <v>0.21705690138286429</v>
      </c>
      <c r="J891" s="2" t="e">
        <f t="shared" si="54"/>
        <v>#NUM!</v>
      </c>
      <c r="K891">
        <f t="shared" si="55"/>
        <v>0.98</v>
      </c>
    </row>
    <row r="892" spans="1:11" ht="13.9" x14ac:dyDescent="0.3">
      <c r="A892" s="2" t="s">
        <v>707</v>
      </c>
      <c r="B892" s="2">
        <v>0</v>
      </c>
      <c r="C892" s="2">
        <v>0</v>
      </c>
      <c r="D892" s="2">
        <v>0</v>
      </c>
      <c r="E892" s="2">
        <v>0.31</v>
      </c>
      <c r="F892" s="2">
        <v>0</v>
      </c>
      <c r="G892" s="2">
        <v>2.71</v>
      </c>
      <c r="H892" s="2" t="e">
        <f t="shared" si="52"/>
        <v>#NUM!</v>
      </c>
      <c r="I892" s="2">
        <f t="shared" si="53"/>
        <v>0.3049772363913329</v>
      </c>
      <c r="J892" s="2" t="e">
        <f t="shared" si="54"/>
        <v>#NUM!</v>
      </c>
      <c r="K892">
        <f t="shared" si="55"/>
        <v>1.0066666666666666</v>
      </c>
    </row>
    <row r="893" spans="1:11" s="7" customFormat="1" ht="13.9" x14ac:dyDescent="0.3">
      <c r="A893" s="2" t="s">
        <v>411</v>
      </c>
      <c r="B893" s="2">
        <v>0</v>
      </c>
      <c r="C893" s="2">
        <v>0</v>
      </c>
      <c r="D893" s="2">
        <v>0</v>
      </c>
      <c r="E893" s="2">
        <v>1.23</v>
      </c>
      <c r="F893" s="2">
        <v>0</v>
      </c>
      <c r="G893" s="2">
        <v>1.89</v>
      </c>
      <c r="H893" s="2" t="e">
        <f t="shared" si="52"/>
        <v>#NUM!</v>
      </c>
      <c r="I893" s="2">
        <f t="shared" si="53"/>
        <v>0.13360242991684559</v>
      </c>
      <c r="J893" s="2" t="e">
        <f t="shared" si="54"/>
        <v>#NUM!</v>
      </c>
      <c r="K893">
        <f t="shared" si="55"/>
        <v>1.04</v>
      </c>
    </row>
    <row r="894" spans="1:11" ht="13.9" x14ac:dyDescent="0.3">
      <c r="A894" s="2" t="s">
        <v>589</v>
      </c>
      <c r="B894" s="2">
        <v>0</v>
      </c>
      <c r="C894" s="2">
        <v>0</v>
      </c>
      <c r="D894" s="2">
        <v>0</v>
      </c>
      <c r="E894" s="2">
        <v>2.4700000000000002</v>
      </c>
      <c r="F894" s="2">
        <v>0</v>
      </c>
      <c r="G894" s="2">
        <v>0.68</v>
      </c>
      <c r="H894" s="2" t="e">
        <f t="shared" si="52"/>
        <v>#NUM!</v>
      </c>
      <c r="I894" s="2">
        <f t="shared" si="53"/>
        <v>0.22717568453362202</v>
      </c>
      <c r="J894" s="2" t="e">
        <f t="shared" si="54"/>
        <v>#NUM!</v>
      </c>
      <c r="K894">
        <f t="shared" si="55"/>
        <v>1.05</v>
      </c>
    </row>
    <row r="895" spans="1:11" ht="13.9" x14ac:dyDescent="0.3">
      <c r="A895" s="2" t="s">
        <v>922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3.25</v>
      </c>
      <c r="H895" s="2" t="e">
        <f t="shared" si="52"/>
        <v>#NUM!</v>
      </c>
      <c r="I895" s="2">
        <f t="shared" si="53"/>
        <v>0.37390096630005903</v>
      </c>
      <c r="J895" s="2" t="e">
        <f t="shared" si="54"/>
        <v>#NUM!</v>
      </c>
      <c r="K895">
        <f t="shared" si="55"/>
        <v>1.0833333333333333</v>
      </c>
    </row>
    <row r="896" spans="1:11" ht="13.9" x14ac:dyDescent="0.3">
      <c r="A896" s="2" t="s">
        <v>407</v>
      </c>
      <c r="B896" s="2">
        <v>0</v>
      </c>
      <c r="C896" s="2">
        <v>0</v>
      </c>
      <c r="D896" s="2">
        <v>0</v>
      </c>
      <c r="E896" s="2">
        <v>0.72</v>
      </c>
      <c r="F896" s="2">
        <v>0</v>
      </c>
      <c r="G896" s="2">
        <v>2.71</v>
      </c>
      <c r="H896" s="2" t="e">
        <f t="shared" si="52"/>
        <v>#NUM!</v>
      </c>
      <c r="I896" s="2">
        <f t="shared" si="53"/>
        <v>0.23114195605244375</v>
      </c>
      <c r="J896" s="2" t="e">
        <f t="shared" si="54"/>
        <v>#NUM!</v>
      </c>
      <c r="K896">
        <f t="shared" si="55"/>
        <v>1.1433333333333333</v>
      </c>
    </row>
    <row r="897" spans="1:11" ht="13.9" x14ac:dyDescent="0.3">
      <c r="A897" s="2" t="s">
        <v>883</v>
      </c>
      <c r="B897" s="2">
        <v>0</v>
      </c>
      <c r="C897" s="2">
        <v>0</v>
      </c>
      <c r="D897" s="2">
        <v>0</v>
      </c>
      <c r="E897" s="2">
        <v>0.62</v>
      </c>
      <c r="F897" s="2">
        <v>0</v>
      </c>
      <c r="G897" s="2">
        <v>2.84</v>
      </c>
      <c r="H897" s="2" t="e">
        <f t="shared" si="52"/>
        <v>#NUM!</v>
      </c>
      <c r="I897" s="2">
        <f t="shared" si="53"/>
        <v>0.2519576791984951</v>
      </c>
      <c r="J897" s="2" t="e">
        <f t="shared" si="54"/>
        <v>#NUM!</v>
      </c>
      <c r="K897">
        <f t="shared" si="55"/>
        <v>1.1533333333333333</v>
      </c>
    </row>
    <row r="898" spans="1:11" ht="13.9" x14ac:dyDescent="0.3">
      <c r="A898" s="2" t="s">
        <v>695</v>
      </c>
      <c r="B898" s="2">
        <v>0</v>
      </c>
      <c r="C898" s="2">
        <v>0</v>
      </c>
      <c r="D898" s="2">
        <v>0</v>
      </c>
      <c r="E898" s="2">
        <v>1.65</v>
      </c>
      <c r="F898" s="2">
        <v>0</v>
      </c>
      <c r="G898" s="2">
        <v>2.2999999999999998</v>
      </c>
      <c r="H898" s="2" t="e">
        <f t="shared" ref="H898:H926" si="56">LOG(SUM(B898:D898)/SUM(E898:G898),2)</f>
        <v>#NUM!</v>
      </c>
      <c r="I898" s="2">
        <f t="shared" ref="I898:I926" si="57">_xlfn.T.TEST(B898:D898,E898:G898,2,2)</f>
        <v>0.12677442570073946</v>
      </c>
      <c r="J898" s="2" t="e">
        <f t="shared" ref="J898:J926" si="58">LOG(SUM(B898:D898),2)</f>
        <v>#NUM!</v>
      </c>
      <c r="K898">
        <f t="shared" ref="K898:K926" si="59">AVERAGE(E898:G898)</f>
        <v>1.3166666666666667</v>
      </c>
    </row>
    <row r="899" spans="1:11" ht="13.9" x14ac:dyDescent="0.3">
      <c r="A899" s="2" t="s">
        <v>907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4.0599999999999996</v>
      </c>
      <c r="H899" s="2" t="e">
        <f t="shared" si="56"/>
        <v>#NUM!</v>
      </c>
      <c r="I899" s="2">
        <f t="shared" si="57"/>
        <v>0.37390096630005903</v>
      </c>
      <c r="J899" s="2" t="e">
        <f t="shared" si="58"/>
        <v>#NUM!</v>
      </c>
      <c r="K899">
        <f t="shared" si="59"/>
        <v>1.3533333333333333</v>
      </c>
    </row>
    <row r="900" spans="1:11" ht="13.9" x14ac:dyDescent="0.3">
      <c r="A900" s="2" t="s">
        <v>754</v>
      </c>
      <c r="B900" s="2">
        <v>0</v>
      </c>
      <c r="C900" s="2">
        <v>0</v>
      </c>
      <c r="D900" s="2">
        <v>0</v>
      </c>
      <c r="E900" s="2">
        <v>1.23</v>
      </c>
      <c r="F900" s="2">
        <v>0</v>
      </c>
      <c r="G900" s="2">
        <v>2.98</v>
      </c>
      <c r="H900" s="2" t="e">
        <f t="shared" si="56"/>
        <v>#NUM!</v>
      </c>
      <c r="I900" s="2">
        <f t="shared" si="57"/>
        <v>0.17989178632712399</v>
      </c>
      <c r="J900" s="2" t="e">
        <f t="shared" si="58"/>
        <v>#NUM!</v>
      </c>
      <c r="K900">
        <f t="shared" si="59"/>
        <v>1.4033333333333333</v>
      </c>
    </row>
    <row r="901" spans="1:11" ht="13.9" x14ac:dyDescent="0.3">
      <c r="A901" s="2" t="s">
        <v>43</v>
      </c>
      <c r="B901" s="2">
        <v>0</v>
      </c>
      <c r="C901" s="2">
        <v>0</v>
      </c>
      <c r="D901" s="2">
        <v>0</v>
      </c>
      <c r="E901" s="2">
        <v>1.44</v>
      </c>
      <c r="F901" s="2">
        <v>0</v>
      </c>
      <c r="G901" s="2">
        <v>3.11</v>
      </c>
      <c r="H901" s="2" t="e">
        <f t="shared" si="56"/>
        <v>#NUM!</v>
      </c>
      <c r="I901" s="2">
        <f t="shared" si="57"/>
        <v>0.16671952306276194</v>
      </c>
      <c r="J901" s="2" t="e">
        <f t="shared" si="58"/>
        <v>#NUM!</v>
      </c>
      <c r="K901">
        <f t="shared" si="59"/>
        <v>1.5166666666666666</v>
      </c>
    </row>
    <row r="902" spans="1:11" ht="13.9" x14ac:dyDescent="0.3">
      <c r="A902" s="2" t="s">
        <v>404</v>
      </c>
      <c r="B902" s="2">
        <v>0</v>
      </c>
      <c r="C902" s="2">
        <v>0</v>
      </c>
      <c r="D902" s="2">
        <v>0</v>
      </c>
      <c r="E902" s="2">
        <v>1.75</v>
      </c>
      <c r="F902" s="2">
        <v>0</v>
      </c>
      <c r="G902" s="2">
        <v>2.84</v>
      </c>
      <c r="H902" s="2" t="e">
        <f t="shared" si="56"/>
        <v>#NUM!</v>
      </c>
      <c r="I902" s="2">
        <f t="shared" si="57"/>
        <v>0.13804562066976742</v>
      </c>
      <c r="J902" s="2" t="e">
        <f t="shared" si="58"/>
        <v>#NUM!</v>
      </c>
      <c r="K902">
        <f t="shared" si="59"/>
        <v>1.53</v>
      </c>
    </row>
    <row r="903" spans="1:11" ht="13.9" x14ac:dyDescent="0.3">
      <c r="A903" s="2" t="s">
        <v>784</v>
      </c>
      <c r="B903" s="2">
        <v>0</v>
      </c>
      <c r="C903" s="2">
        <v>0</v>
      </c>
      <c r="D903" s="2">
        <v>0</v>
      </c>
      <c r="E903" s="2">
        <v>3.4</v>
      </c>
      <c r="F903" s="2">
        <v>0</v>
      </c>
      <c r="G903" s="2">
        <v>1.22</v>
      </c>
      <c r="H903" s="2" t="e">
        <f t="shared" si="56"/>
        <v>#NUM!</v>
      </c>
      <c r="I903" s="2">
        <f t="shared" si="57"/>
        <v>0.19640033947247904</v>
      </c>
      <c r="J903" s="2" t="e">
        <f t="shared" si="58"/>
        <v>#NUM!</v>
      </c>
      <c r="K903">
        <f t="shared" si="59"/>
        <v>1.54</v>
      </c>
    </row>
    <row r="904" spans="1:11" ht="13.9" x14ac:dyDescent="0.3">
      <c r="A904" s="2" t="s">
        <v>728</v>
      </c>
      <c r="B904" s="2">
        <v>0</v>
      </c>
      <c r="C904" s="2">
        <v>0</v>
      </c>
      <c r="D904" s="2">
        <v>0</v>
      </c>
      <c r="E904" s="2">
        <v>2.98</v>
      </c>
      <c r="F904" s="2">
        <v>0</v>
      </c>
      <c r="G904" s="2">
        <v>2.2999999999999998</v>
      </c>
      <c r="H904" s="2" t="e">
        <f t="shared" si="56"/>
        <v>#NUM!</v>
      </c>
      <c r="I904" s="2">
        <f t="shared" si="57"/>
        <v>0.12267186028321368</v>
      </c>
      <c r="J904" s="2" t="e">
        <f t="shared" si="58"/>
        <v>#NUM!</v>
      </c>
      <c r="K904">
        <f t="shared" si="59"/>
        <v>1.7599999999999998</v>
      </c>
    </row>
    <row r="905" spans="1:11" ht="13.9" x14ac:dyDescent="0.3">
      <c r="A905" s="2" t="s">
        <v>611</v>
      </c>
      <c r="B905" s="2">
        <v>0</v>
      </c>
      <c r="C905" s="2">
        <v>0</v>
      </c>
      <c r="D905" s="2">
        <v>0</v>
      </c>
      <c r="E905" s="2">
        <v>2.2599999999999998</v>
      </c>
      <c r="F905" s="2">
        <v>0</v>
      </c>
      <c r="G905" s="2">
        <v>3.25</v>
      </c>
      <c r="H905" s="2" t="e">
        <f t="shared" si="56"/>
        <v>#NUM!</v>
      </c>
      <c r="I905" s="2">
        <f t="shared" si="57"/>
        <v>0.12879583666271874</v>
      </c>
      <c r="J905" s="2" t="e">
        <f t="shared" si="58"/>
        <v>#NUM!</v>
      </c>
      <c r="K905">
        <f t="shared" si="59"/>
        <v>1.8366666666666667</v>
      </c>
    </row>
    <row r="906" spans="1:11" ht="13.9" x14ac:dyDescent="0.3">
      <c r="A906" s="2" t="s">
        <v>70</v>
      </c>
      <c r="B906" s="2">
        <v>0</v>
      </c>
      <c r="C906" s="2">
        <v>0</v>
      </c>
      <c r="D906" s="2">
        <v>0</v>
      </c>
      <c r="E906" s="2">
        <v>3.81</v>
      </c>
      <c r="F906" s="2">
        <v>0</v>
      </c>
      <c r="G906" s="2">
        <v>1.76</v>
      </c>
      <c r="H906" s="2" t="e">
        <f t="shared" si="56"/>
        <v>#NUM!</v>
      </c>
      <c r="I906" s="2">
        <f t="shared" si="57"/>
        <v>0.16698118510481685</v>
      </c>
      <c r="J906" s="2" t="e">
        <f t="shared" si="58"/>
        <v>#NUM!</v>
      </c>
      <c r="K906">
        <f t="shared" si="59"/>
        <v>1.8566666666666667</v>
      </c>
    </row>
    <row r="907" spans="1:11" ht="13.9" x14ac:dyDescent="0.3">
      <c r="A907" s="2" t="s">
        <v>764</v>
      </c>
      <c r="B907" s="2">
        <v>0</v>
      </c>
      <c r="C907" s="2">
        <v>0</v>
      </c>
      <c r="D907" s="2">
        <v>0</v>
      </c>
      <c r="E907" s="2">
        <v>2.68</v>
      </c>
      <c r="F907" s="2">
        <v>0</v>
      </c>
      <c r="G907" s="2">
        <v>2.98</v>
      </c>
      <c r="H907" s="2" t="e">
        <f t="shared" si="56"/>
        <v>#NUM!</v>
      </c>
      <c r="I907" s="2">
        <f t="shared" si="57"/>
        <v>0.11723276410001338</v>
      </c>
      <c r="J907" s="2" t="e">
        <f t="shared" si="58"/>
        <v>#NUM!</v>
      </c>
      <c r="K907">
        <f t="shared" si="59"/>
        <v>1.8866666666666667</v>
      </c>
    </row>
    <row r="908" spans="1:11" ht="13.9" x14ac:dyDescent="0.3">
      <c r="A908" s="2" t="s">
        <v>586</v>
      </c>
      <c r="B908" s="2">
        <v>0</v>
      </c>
      <c r="C908" s="2">
        <v>0</v>
      </c>
      <c r="D908" s="2">
        <v>0</v>
      </c>
      <c r="E908" s="2">
        <v>1.34</v>
      </c>
      <c r="F908" s="2">
        <v>0</v>
      </c>
      <c r="G908" s="2">
        <v>4.47</v>
      </c>
      <c r="H908" s="2" t="e">
        <f t="shared" si="56"/>
        <v>#NUM!</v>
      </c>
      <c r="I908" s="2">
        <f t="shared" si="57"/>
        <v>0.2174826207600479</v>
      </c>
      <c r="J908" s="2" t="e">
        <f t="shared" si="58"/>
        <v>#NUM!</v>
      </c>
      <c r="K908">
        <f t="shared" si="59"/>
        <v>1.9366666666666665</v>
      </c>
    </row>
    <row r="909" spans="1:11" ht="13.9" x14ac:dyDescent="0.3">
      <c r="A909" s="2" t="s">
        <v>721</v>
      </c>
      <c r="B909" s="2">
        <v>0</v>
      </c>
      <c r="C909" s="2">
        <v>0</v>
      </c>
      <c r="D909" s="2">
        <v>0</v>
      </c>
      <c r="E909" s="2">
        <v>4.22</v>
      </c>
      <c r="F909" s="2">
        <v>0</v>
      </c>
      <c r="G909" s="2">
        <v>1.62</v>
      </c>
      <c r="H909" s="2" t="e">
        <f t="shared" si="56"/>
        <v>#NUM!</v>
      </c>
      <c r="I909" s="2">
        <f t="shared" si="57"/>
        <v>0.18841125213317594</v>
      </c>
      <c r="J909" s="2" t="e">
        <f t="shared" si="58"/>
        <v>#NUM!</v>
      </c>
      <c r="K909">
        <f t="shared" si="59"/>
        <v>1.9466666666666665</v>
      </c>
    </row>
    <row r="910" spans="1:11" ht="13.9" x14ac:dyDescent="0.3">
      <c r="A910" s="2" t="s">
        <v>334</v>
      </c>
      <c r="B910" s="2">
        <v>0</v>
      </c>
      <c r="C910" s="2">
        <v>0</v>
      </c>
      <c r="D910" s="2">
        <v>0</v>
      </c>
      <c r="E910" s="2">
        <v>3.29</v>
      </c>
      <c r="F910" s="2">
        <v>0</v>
      </c>
      <c r="G910" s="2">
        <v>2.57</v>
      </c>
      <c r="H910" s="2" t="e">
        <f t="shared" si="56"/>
        <v>#NUM!</v>
      </c>
      <c r="I910" s="2">
        <f t="shared" si="57"/>
        <v>0.12208643291038682</v>
      </c>
      <c r="J910" s="2" t="e">
        <f t="shared" si="58"/>
        <v>#NUM!</v>
      </c>
      <c r="K910">
        <f t="shared" si="59"/>
        <v>1.9533333333333331</v>
      </c>
    </row>
    <row r="911" spans="1:11" ht="13.9" x14ac:dyDescent="0.3">
      <c r="A911" s="2" t="s">
        <v>622</v>
      </c>
      <c r="B911" s="2">
        <v>0</v>
      </c>
      <c r="C911" s="2">
        <v>0</v>
      </c>
      <c r="D911" s="2">
        <v>0</v>
      </c>
      <c r="E911" s="2">
        <v>2.2599999999999998</v>
      </c>
      <c r="F911" s="2">
        <v>0</v>
      </c>
      <c r="G911" s="2">
        <v>4.74</v>
      </c>
      <c r="H911" s="2" t="e">
        <f t="shared" si="56"/>
        <v>#NUM!</v>
      </c>
      <c r="I911" s="2">
        <f t="shared" si="57"/>
        <v>0.16346342524754634</v>
      </c>
      <c r="J911" s="2" t="e">
        <f t="shared" si="58"/>
        <v>#NUM!</v>
      </c>
      <c r="K911">
        <f t="shared" si="59"/>
        <v>2.3333333333333335</v>
      </c>
    </row>
    <row r="912" spans="1:11" ht="13.9" x14ac:dyDescent="0.3">
      <c r="A912" s="2" t="s">
        <v>257</v>
      </c>
      <c r="B912" s="2">
        <v>0</v>
      </c>
      <c r="C912" s="2">
        <v>0</v>
      </c>
      <c r="D912" s="2">
        <v>0</v>
      </c>
      <c r="E912" s="2">
        <v>0.93</v>
      </c>
      <c r="F912" s="2">
        <v>0</v>
      </c>
      <c r="G912" s="2">
        <v>6.9</v>
      </c>
      <c r="H912" s="2" t="e">
        <f t="shared" si="56"/>
        <v>#NUM!</v>
      </c>
      <c r="I912" s="2">
        <f t="shared" si="57"/>
        <v>0.29380149775312842</v>
      </c>
      <c r="J912" s="2" t="e">
        <f t="shared" si="58"/>
        <v>#NUM!</v>
      </c>
      <c r="K912">
        <f t="shared" si="59"/>
        <v>2.61</v>
      </c>
    </row>
    <row r="913" spans="1:11" ht="13.9" x14ac:dyDescent="0.3">
      <c r="A913" s="2" t="s">
        <v>771</v>
      </c>
      <c r="B913" s="2">
        <v>0</v>
      </c>
      <c r="C913" s="2">
        <v>0</v>
      </c>
      <c r="D913" s="2">
        <v>0</v>
      </c>
      <c r="E913" s="2">
        <v>4.9400000000000004</v>
      </c>
      <c r="F913" s="2">
        <v>0</v>
      </c>
      <c r="G913" s="2">
        <v>2.98</v>
      </c>
      <c r="H913" s="2" t="e">
        <f t="shared" si="56"/>
        <v>#NUM!</v>
      </c>
      <c r="I913" s="2">
        <f t="shared" si="57"/>
        <v>0.13988285211681975</v>
      </c>
      <c r="J913" s="2" t="e">
        <f t="shared" si="58"/>
        <v>#NUM!</v>
      </c>
      <c r="K913">
        <f t="shared" si="59"/>
        <v>2.64</v>
      </c>
    </row>
    <row r="914" spans="1:11" ht="13.9" x14ac:dyDescent="0.3">
      <c r="A914" s="2" t="s">
        <v>94</v>
      </c>
      <c r="B914" s="2">
        <v>0</v>
      </c>
      <c r="C914" s="2">
        <v>0</v>
      </c>
      <c r="D914" s="2">
        <v>0</v>
      </c>
      <c r="E914" s="2">
        <v>8.1300000000000008</v>
      </c>
      <c r="F914" s="2">
        <v>0</v>
      </c>
      <c r="G914" s="2">
        <v>5.28</v>
      </c>
      <c r="H914" s="2" t="e">
        <f t="shared" si="56"/>
        <v>#NUM!</v>
      </c>
      <c r="I914" s="2">
        <f t="shared" si="57"/>
        <v>0.13376332777958017</v>
      </c>
      <c r="J914" s="2" t="e">
        <f t="shared" si="58"/>
        <v>#NUM!</v>
      </c>
      <c r="K914">
        <f t="shared" si="59"/>
        <v>4.47</v>
      </c>
    </row>
    <row r="915" spans="1:11" ht="13.9" x14ac:dyDescent="0.3">
      <c r="A915" s="2" t="s">
        <v>774</v>
      </c>
      <c r="B915" s="2">
        <v>0</v>
      </c>
      <c r="C915" s="2">
        <v>0</v>
      </c>
      <c r="D915" s="2">
        <v>0</v>
      </c>
      <c r="E915" s="2">
        <v>11.11</v>
      </c>
      <c r="F915" s="2">
        <v>0</v>
      </c>
      <c r="G915" s="2">
        <v>15.56</v>
      </c>
      <c r="H915" s="2" t="e">
        <f t="shared" si="56"/>
        <v>#NUM!</v>
      </c>
      <c r="I915" s="2">
        <f t="shared" si="57"/>
        <v>0.12707072098279371</v>
      </c>
      <c r="J915" s="2" t="e">
        <f t="shared" si="58"/>
        <v>#NUM!</v>
      </c>
      <c r="K915">
        <f t="shared" si="59"/>
        <v>8.89</v>
      </c>
    </row>
    <row r="916" spans="1:11" ht="13.9" x14ac:dyDescent="0.3">
      <c r="A916" s="2" t="s">
        <v>693</v>
      </c>
      <c r="B916" s="2">
        <v>0</v>
      </c>
      <c r="C916" s="2">
        <v>0</v>
      </c>
      <c r="D916" s="2">
        <v>0</v>
      </c>
      <c r="E916" s="2">
        <v>0.31</v>
      </c>
      <c r="F916" s="2">
        <v>40.880000000000003</v>
      </c>
      <c r="G916" s="2">
        <v>2.2999999999999998</v>
      </c>
      <c r="H916" s="2" t="e">
        <f t="shared" si="56"/>
        <v>#NUM!</v>
      </c>
      <c r="I916" s="2">
        <f t="shared" si="57"/>
        <v>0.33390361053730538</v>
      </c>
      <c r="J916" s="2" t="e">
        <f t="shared" si="58"/>
        <v>#NUM!</v>
      </c>
      <c r="K916">
        <f t="shared" si="59"/>
        <v>14.496666666666668</v>
      </c>
    </row>
    <row r="917" spans="1:11" ht="13.9" x14ac:dyDescent="0.3">
      <c r="A917" s="2" t="s">
        <v>324</v>
      </c>
      <c r="B917" s="2">
        <v>0</v>
      </c>
      <c r="C917" s="2">
        <v>0</v>
      </c>
      <c r="D917" s="2">
        <v>0</v>
      </c>
      <c r="E917" s="2">
        <v>6.89</v>
      </c>
      <c r="F917" s="2">
        <v>81.75</v>
      </c>
      <c r="G917" s="2">
        <v>8.5299999999999994</v>
      </c>
      <c r="H917" s="2" t="e">
        <f t="shared" si="56"/>
        <v>#NUM!</v>
      </c>
      <c r="I917" s="2">
        <f t="shared" si="57"/>
        <v>0.2596996907920901</v>
      </c>
      <c r="J917" s="2" t="e">
        <f t="shared" si="58"/>
        <v>#NUM!</v>
      </c>
      <c r="K917">
        <f t="shared" si="59"/>
        <v>32.39</v>
      </c>
    </row>
    <row r="918" spans="1:11" ht="13.9" x14ac:dyDescent="0.3">
      <c r="A918" s="2" t="s">
        <v>61</v>
      </c>
      <c r="B918" s="2">
        <v>0</v>
      </c>
      <c r="C918" s="2">
        <v>0</v>
      </c>
      <c r="D918" s="2">
        <v>0</v>
      </c>
      <c r="E918" s="2">
        <v>0</v>
      </c>
      <c r="F918" s="2">
        <v>122.63</v>
      </c>
      <c r="G918" s="2">
        <v>0</v>
      </c>
      <c r="H918" s="2" t="e">
        <f t="shared" si="56"/>
        <v>#NUM!</v>
      </c>
      <c r="I918" s="2">
        <f t="shared" si="57"/>
        <v>0.37390096630005903</v>
      </c>
      <c r="J918" s="2" t="e">
        <f t="shared" si="58"/>
        <v>#NUM!</v>
      </c>
      <c r="K918">
        <f t="shared" si="59"/>
        <v>40.876666666666665</v>
      </c>
    </row>
    <row r="919" spans="1:11" ht="13.9" x14ac:dyDescent="0.3">
      <c r="A919" s="2" t="s">
        <v>593</v>
      </c>
      <c r="B919" s="2">
        <v>0</v>
      </c>
      <c r="C919" s="2">
        <v>0</v>
      </c>
      <c r="D919" s="2">
        <v>0</v>
      </c>
      <c r="E919" s="2">
        <v>0</v>
      </c>
      <c r="F919" s="2">
        <v>122.63</v>
      </c>
      <c r="G919" s="2">
        <v>0</v>
      </c>
      <c r="H919" s="2" t="e">
        <f t="shared" si="56"/>
        <v>#NUM!</v>
      </c>
      <c r="I919" s="2">
        <f t="shared" si="57"/>
        <v>0.37390096630005903</v>
      </c>
      <c r="J919" s="2" t="e">
        <f t="shared" si="58"/>
        <v>#NUM!</v>
      </c>
      <c r="K919">
        <f t="shared" si="59"/>
        <v>40.876666666666665</v>
      </c>
    </row>
    <row r="920" spans="1:11" s="7" customFormat="1" ht="13.9" x14ac:dyDescent="0.3">
      <c r="A920" s="2" t="s">
        <v>896</v>
      </c>
      <c r="B920" s="2">
        <v>0</v>
      </c>
      <c r="C920" s="2">
        <v>0</v>
      </c>
      <c r="D920" s="2">
        <v>0</v>
      </c>
      <c r="E920" s="2">
        <v>0</v>
      </c>
      <c r="F920" s="2">
        <v>122.63</v>
      </c>
      <c r="G920" s="2">
        <v>0.68</v>
      </c>
      <c r="H920" s="2" t="e">
        <f t="shared" si="56"/>
        <v>#NUM!</v>
      </c>
      <c r="I920" s="2">
        <f t="shared" si="57"/>
        <v>0.37033993423004985</v>
      </c>
      <c r="J920" s="2" t="e">
        <f t="shared" si="58"/>
        <v>#NUM!</v>
      </c>
      <c r="K920">
        <f t="shared" si="59"/>
        <v>41.103333333333332</v>
      </c>
    </row>
    <row r="921" spans="1:11" ht="13.9" x14ac:dyDescent="0.3">
      <c r="A921" s="2" t="s">
        <v>288</v>
      </c>
      <c r="B921" s="2">
        <v>0</v>
      </c>
      <c r="C921" s="2">
        <v>0</v>
      </c>
      <c r="D921" s="2">
        <v>0</v>
      </c>
      <c r="E921" s="2">
        <v>0</v>
      </c>
      <c r="F921" s="2">
        <v>163.51</v>
      </c>
      <c r="G921" s="2">
        <v>0</v>
      </c>
      <c r="H921" s="2" t="e">
        <f t="shared" si="56"/>
        <v>#NUM!</v>
      </c>
      <c r="I921" s="2">
        <f t="shared" si="57"/>
        <v>0.37390096630005903</v>
      </c>
      <c r="J921" s="2" t="e">
        <f t="shared" si="58"/>
        <v>#NUM!</v>
      </c>
      <c r="K921">
        <f t="shared" si="59"/>
        <v>54.50333333333333</v>
      </c>
    </row>
    <row r="922" spans="1:11" ht="13.9" x14ac:dyDescent="0.3">
      <c r="A922" s="2" t="s">
        <v>316</v>
      </c>
      <c r="B922" s="2">
        <v>0</v>
      </c>
      <c r="C922" s="2">
        <v>0</v>
      </c>
      <c r="D922" s="2">
        <v>0</v>
      </c>
      <c r="E922" s="2">
        <v>0</v>
      </c>
      <c r="F922" s="2">
        <v>163.51</v>
      </c>
      <c r="G922" s="2">
        <v>0</v>
      </c>
      <c r="H922" s="2" t="e">
        <f t="shared" si="56"/>
        <v>#NUM!</v>
      </c>
      <c r="I922" s="2">
        <f t="shared" si="57"/>
        <v>0.37390096630005903</v>
      </c>
      <c r="J922" s="2" t="e">
        <f t="shared" si="58"/>
        <v>#NUM!</v>
      </c>
      <c r="K922">
        <f t="shared" si="59"/>
        <v>54.50333333333333</v>
      </c>
    </row>
    <row r="923" spans="1:11" ht="13.9" x14ac:dyDescent="0.3">
      <c r="A923" s="2" t="s">
        <v>641</v>
      </c>
      <c r="B923" s="2">
        <v>0</v>
      </c>
      <c r="C923" s="2">
        <v>0</v>
      </c>
      <c r="D923" s="2">
        <v>0</v>
      </c>
      <c r="E923" s="2">
        <v>0.41</v>
      </c>
      <c r="F923" s="2">
        <v>163.51</v>
      </c>
      <c r="G923" s="2">
        <v>0.68</v>
      </c>
      <c r="H923" s="2" t="e">
        <f t="shared" si="56"/>
        <v>#NUM!</v>
      </c>
      <c r="I923" s="2">
        <f t="shared" si="57"/>
        <v>0.36961564153084114</v>
      </c>
      <c r="J923" s="2" t="e">
        <f t="shared" si="58"/>
        <v>#NUM!</v>
      </c>
      <c r="K923">
        <f t="shared" si="59"/>
        <v>54.866666666666667</v>
      </c>
    </row>
    <row r="924" spans="1:11" ht="13.9" x14ac:dyDescent="0.3">
      <c r="A924" s="2" t="s">
        <v>514</v>
      </c>
      <c r="B924" s="2">
        <v>0</v>
      </c>
      <c r="C924" s="2">
        <v>0</v>
      </c>
      <c r="D924" s="2">
        <v>0</v>
      </c>
      <c r="E924" s="2">
        <v>0</v>
      </c>
      <c r="F924" s="2">
        <v>204.38</v>
      </c>
      <c r="G924" s="2">
        <v>0</v>
      </c>
      <c r="H924" s="2" t="e">
        <f t="shared" si="56"/>
        <v>#NUM!</v>
      </c>
      <c r="I924" s="2">
        <f t="shared" si="57"/>
        <v>0.37390096630005903</v>
      </c>
      <c r="J924" s="2" t="e">
        <f t="shared" si="58"/>
        <v>#NUM!</v>
      </c>
      <c r="K924">
        <f t="shared" si="59"/>
        <v>68.126666666666665</v>
      </c>
    </row>
    <row r="925" spans="1:11" ht="13.9" x14ac:dyDescent="0.3">
      <c r="A925" s="2" t="s">
        <v>496</v>
      </c>
      <c r="B925" s="2">
        <v>0</v>
      </c>
      <c r="C925" s="2">
        <v>0</v>
      </c>
      <c r="D925" s="2">
        <v>0</v>
      </c>
      <c r="E925" s="2">
        <v>0.31</v>
      </c>
      <c r="F925" s="2">
        <v>204.38</v>
      </c>
      <c r="G925" s="2">
        <v>0.41</v>
      </c>
      <c r="H925" s="2" t="e">
        <f t="shared" si="56"/>
        <v>#NUM!</v>
      </c>
      <c r="I925" s="2">
        <f t="shared" si="57"/>
        <v>0.37163434150090968</v>
      </c>
      <c r="J925" s="2" t="e">
        <f t="shared" si="58"/>
        <v>#NUM!</v>
      </c>
      <c r="K925">
        <f t="shared" si="59"/>
        <v>68.36666666666666</v>
      </c>
    </row>
    <row r="926" spans="1:11" ht="13.9" x14ac:dyDescent="0.3">
      <c r="A926" s="2" t="s">
        <v>396</v>
      </c>
      <c r="B926" s="2">
        <v>0</v>
      </c>
      <c r="C926" s="2">
        <v>0</v>
      </c>
      <c r="D926" s="2">
        <v>0</v>
      </c>
      <c r="E926" s="2">
        <v>0</v>
      </c>
      <c r="F926" s="2">
        <v>408.76</v>
      </c>
      <c r="G926" s="2">
        <v>0.41</v>
      </c>
      <c r="H926" s="2" t="e">
        <f t="shared" si="56"/>
        <v>#NUM!</v>
      </c>
      <c r="I926" s="2">
        <f t="shared" si="57"/>
        <v>0.3732553494844113</v>
      </c>
      <c r="J926" s="2" t="e">
        <f t="shared" si="58"/>
        <v>#NUM!</v>
      </c>
      <c r="K926">
        <f t="shared" si="59"/>
        <v>136.39000000000001</v>
      </c>
    </row>
  </sheetData>
  <sortState xmlns:xlrd2="http://schemas.microsoft.com/office/spreadsheetml/2017/richdata2" ref="A2:K930">
    <sortCondition ref="H2:H930"/>
  </sortState>
  <phoneticPr fontId="1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64B4-7350-42F8-B5A8-A7B072403655}">
  <dimension ref="A1:U728"/>
  <sheetViews>
    <sheetView zoomScale="58" workbookViewId="0">
      <selection activeCell="U10" sqref="U10"/>
    </sheetView>
  </sheetViews>
  <sheetFormatPr defaultRowHeight="13.5" x14ac:dyDescent="0.3"/>
  <cols>
    <col min="4" max="4" width="14.9296875" customWidth="1"/>
    <col min="7" max="7" width="12.86328125" customWidth="1"/>
    <col min="8" max="8" width="12.19921875" customWidth="1"/>
    <col min="16" max="16" width="8.86328125" customWidth="1"/>
    <col min="17" max="17" width="0.6640625" customWidth="1"/>
    <col min="18" max="18" width="16.06640625" customWidth="1"/>
    <col min="21" max="21" width="15.06640625" customWidth="1"/>
  </cols>
  <sheetData>
    <row r="1" spans="1:21" x14ac:dyDescent="0.3">
      <c r="A1" t="s">
        <v>961</v>
      </c>
      <c r="E1" t="s">
        <v>968</v>
      </c>
      <c r="I1" t="s">
        <v>969</v>
      </c>
    </row>
    <row r="2" spans="1:21" ht="13.9" x14ac:dyDescent="0.3">
      <c r="B2" s="9" t="s">
        <v>962</v>
      </c>
      <c r="C2" s="9" t="s">
        <v>959</v>
      </c>
      <c r="D2" s="3" t="s">
        <v>967</v>
      </c>
      <c r="E2" s="9"/>
      <c r="F2" s="9" t="s">
        <v>962</v>
      </c>
      <c r="G2" s="9" t="s">
        <v>959</v>
      </c>
      <c r="H2" s="3" t="s">
        <v>967</v>
      </c>
      <c r="I2" s="9"/>
      <c r="J2" s="9" t="s">
        <v>962</v>
      </c>
      <c r="K2" s="9" t="s">
        <v>959</v>
      </c>
      <c r="L2" s="3" t="s">
        <v>967</v>
      </c>
    </row>
    <row r="3" spans="1:21" ht="15.4" x14ac:dyDescent="0.3">
      <c r="B3" s="2" t="s">
        <v>61</v>
      </c>
      <c r="C3" s="2" t="s">
        <v>151</v>
      </c>
      <c r="D3" s="2" t="s">
        <v>754</v>
      </c>
      <c r="F3" s="2" t="s">
        <v>31</v>
      </c>
      <c r="G3" s="2" t="s">
        <v>131</v>
      </c>
      <c r="H3" s="2" t="s">
        <v>73</v>
      </c>
      <c r="J3" s="2" t="s">
        <v>74</v>
      </c>
      <c r="K3" s="2" t="s">
        <v>737</v>
      </c>
      <c r="L3" s="2" t="s">
        <v>137</v>
      </c>
      <c r="R3" s="2"/>
      <c r="S3" s="2" t="s">
        <v>999</v>
      </c>
      <c r="T3" s="2" t="s">
        <v>963</v>
      </c>
      <c r="U3" s="2" t="s">
        <v>967</v>
      </c>
    </row>
    <row r="4" spans="1:21" ht="13.9" x14ac:dyDescent="0.3">
      <c r="B4" s="2" t="s">
        <v>119</v>
      </c>
      <c r="C4" s="2" t="s">
        <v>28</v>
      </c>
      <c r="D4" s="2" t="s">
        <v>122</v>
      </c>
      <c r="F4" s="2" t="s">
        <v>65</v>
      </c>
      <c r="G4" s="2" t="s">
        <v>260</v>
      </c>
      <c r="H4" s="2" t="s">
        <v>253</v>
      </c>
      <c r="J4" s="2" t="s">
        <v>79</v>
      </c>
      <c r="K4" s="2" t="s">
        <v>369</v>
      </c>
      <c r="L4" s="2" t="s">
        <v>356</v>
      </c>
      <c r="R4" s="2" t="s">
        <v>966</v>
      </c>
      <c r="S4" s="2">
        <v>354</v>
      </c>
      <c r="T4" s="2">
        <v>681</v>
      </c>
      <c r="U4" s="2">
        <v>155</v>
      </c>
    </row>
    <row r="5" spans="1:21" ht="14.25" x14ac:dyDescent="0.4">
      <c r="B5" s="2" t="s">
        <v>172</v>
      </c>
      <c r="C5" s="2" t="s">
        <v>236</v>
      </c>
      <c r="D5" s="2" t="s">
        <v>535</v>
      </c>
      <c r="F5" s="2" t="s">
        <v>176</v>
      </c>
      <c r="G5" s="2" t="s">
        <v>238</v>
      </c>
      <c r="H5" s="2" t="s">
        <v>898</v>
      </c>
      <c r="J5" s="2" t="s">
        <v>114</v>
      </c>
      <c r="K5" s="2" t="s">
        <v>86</v>
      </c>
      <c r="L5" s="2" t="s">
        <v>604</v>
      </c>
      <c r="R5" s="2" t="s">
        <v>965</v>
      </c>
      <c r="S5" s="2">
        <v>389</v>
      </c>
      <c r="T5" s="2">
        <v>726</v>
      </c>
      <c r="U5" s="10">
        <v>195</v>
      </c>
    </row>
    <row r="6" spans="1:21" ht="14.25" x14ac:dyDescent="0.4">
      <c r="B6" s="2" t="s">
        <v>284</v>
      </c>
      <c r="C6" s="2" t="s">
        <v>141</v>
      </c>
      <c r="D6" s="2" t="s">
        <v>248</v>
      </c>
      <c r="F6" s="2" t="s">
        <v>194</v>
      </c>
      <c r="G6" s="2" t="s">
        <v>326</v>
      </c>
      <c r="H6" s="2" t="s">
        <v>153</v>
      </c>
      <c r="J6" s="2" t="s">
        <v>419</v>
      </c>
      <c r="K6" s="2" t="s">
        <v>154</v>
      </c>
      <c r="L6" s="2" t="s">
        <v>143</v>
      </c>
      <c r="R6" s="2" t="s">
        <v>964</v>
      </c>
      <c r="S6" s="2">
        <v>388</v>
      </c>
      <c r="T6" s="2">
        <v>598</v>
      </c>
      <c r="U6" s="10">
        <v>178</v>
      </c>
    </row>
    <row r="7" spans="1:21" ht="13.9" x14ac:dyDescent="0.3">
      <c r="B7" s="2" t="s">
        <v>450</v>
      </c>
      <c r="C7" s="2" t="s">
        <v>32</v>
      </c>
      <c r="D7" s="2" t="s">
        <v>886</v>
      </c>
      <c r="F7" s="2" t="s">
        <v>314</v>
      </c>
      <c r="G7" s="2" t="s">
        <v>327</v>
      </c>
      <c r="H7" s="2" t="s">
        <v>136</v>
      </c>
      <c r="J7" s="2" t="s">
        <v>493</v>
      </c>
      <c r="K7" s="2" t="s">
        <v>166</v>
      </c>
      <c r="L7" s="2" t="s">
        <v>886</v>
      </c>
    </row>
    <row r="8" spans="1:21" ht="13.9" x14ac:dyDescent="0.3">
      <c r="B8" s="2" t="s">
        <v>470</v>
      </c>
      <c r="C8" s="2" t="s">
        <v>20</v>
      </c>
      <c r="D8" s="2" t="s">
        <v>105</v>
      </c>
      <c r="F8" s="2" t="s">
        <v>475</v>
      </c>
      <c r="G8" s="2" t="s">
        <v>358</v>
      </c>
      <c r="H8" s="2" t="s">
        <v>76</v>
      </c>
      <c r="J8" s="2" t="s">
        <v>745</v>
      </c>
      <c r="K8" s="2" t="s">
        <v>326</v>
      </c>
      <c r="L8" s="2" t="s">
        <v>236</v>
      </c>
    </row>
    <row r="9" spans="1:21" ht="13.9" x14ac:dyDescent="0.3">
      <c r="B9" s="2" t="s">
        <v>738</v>
      </c>
      <c r="C9" s="2" t="s">
        <v>34</v>
      </c>
      <c r="D9" s="2" t="s">
        <v>901</v>
      </c>
      <c r="F9" s="2" t="s">
        <v>699</v>
      </c>
      <c r="G9" s="2" t="s">
        <v>359</v>
      </c>
      <c r="H9" s="2" t="s">
        <v>892</v>
      </c>
      <c r="J9" s="2" t="s">
        <v>819</v>
      </c>
      <c r="K9" s="2" t="s">
        <v>327</v>
      </c>
      <c r="L9" s="2" t="s">
        <v>401</v>
      </c>
    </row>
    <row r="10" spans="1:21" ht="13.9" x14ac:dyDescent="0.3">
      <c r="B10" s="2" t="s">
        <v>83</v>
      </c>
      <c r="C10" s="2" t="s">
        <v>267</v>
      </c>
      <c r="D10" s="2" t="s">
        <v>925</v>
      </c>
      <c r="F10" s="2" t="s">
        <v>911</v>
      </c>
      <c r="G10" s="2" t="s">
        <v>428</v>
      </c>
      <c r="H10" s="2" t="s">
        <v>152</v>
      </c>
      <c r="J10" s="2" t="s">
        <v>881</v>
      </c>
      <c r="K10" s="2" t="s">
        <v>342</v>
      </c>
      <c r="L10" s="2" t="s">
        <v>394</v>
      </c>
    </row>
    <row r="11" spans="1:21" ht="13.9" x14ac:dyDescent="0.3">
      <c r="B11" s="2" t="s">
        <v>84</v>
      </c>
      <c r="C11" s="2" t="s">
        <v>149</v>
      </c>
      <c r="D11" s="2" t="s">
        <v>470</v>
      </c>
      <c r="F11" s="2" t="s">
        <v>51</v>
      </c>
      <c r="G11" s="2" t="s">
        <v>506</v>
      </c>
      <c r="H11" s="2" t="s">
        <v>730</v>
      </c>
      <c r="J11" s="2" t="s">
        <v>119</v>
      </c>
      <c r="K11" s="2" t="s">
        <v>494</v>
      </c>
      <c r="L11" s="2" t="s">
        <v>933</v>
      </c>
    </row>
    <row r="12" spans="1:21" ht="13.9" x14ac:dyDescent="0.3">
      <c r="B12" s="2" t="s">
        <v>143</v>
      </c>
      <c r="C12" s="2" t="s">
        <v>919</v>
      </c>
      <c r="D12" s="2" t="s">
        <v>34</v>
      </c>
      <c r="F12" s="2" t="s">
        <v>240</v>
      </c>
      <c r="G12" s="2" t="s">
        <v>662</v>
      </c>
      <c r="H12" s="2" t="s">
        <v>401</v>
      </c>
      <c r="J12" s="2" t="s">
        <v>121</v>
      </c>
      <c r="K12" s="2" t="s">
        <v>563</v>
      </c>
      <c r="L12" s="2" t="s">
        <v>672</v>
      </c>
    </row>
    <row r="13" spans="1:21" ht="13.9" x14ac:dyDescent="0.3">
      <c r="B13" s="2" t="s">
        <v>178</v>
      </c>
      <c r="C13" s="2" t="s">
        <v>21</v>
      </c>
      <c r="D13" s="2" t="s">
        <v>139</v>
      </c>
      <c r="F13" s="2" t="s">
        <v>244</v>
      </c>
      <c r="G13" s="2" t="s">
        <v>684</v>
      </c>
      <c r="H13" s="2" t="s">
        <v>85</v>
      </c>
      <c r="J13" s="2" t="s">
        <v>138</v>
      </c>
      <c r="K13" s="2" t="s">
        <v>564</v>
      </c>
      <c r="L13" s="2" t="s">
        <v>300</v>
      </c>
    </row>
    <row r="14" spans="1:21" ht="13.9" x14ac:dyDescent="0.3">
      <c r="B14" s="2" t="s">
        <v>368</v>
      </c>
      <c r="C14" s="2" t="s">
        <v>30</v>
      </c>
      <c r="D14" s="2" t="s">
        <v>430</v>
      </c>
      <c r="F14" s="2" t="s">
        <v>252</v>
      </c>
      <c r="G14" s="2" t="s">
        <v>698</v>
      </c>
      <c r="H14" s="2" t="s">
        <v>886</v>
      </c>
      <c r="J14" s="2" t="s">
        <v>206</v>
      </c>
      <c r="K14" s="2" t="s">
        <v>599</v>
      </c>
      <c r="L14" s="2" t="s">
        <v>364</v>
      </c>
    </row>
    <row r="15" spans="1:21" ht="13.9" x14ac:dyDescent="0.3">
      <c r="B15" s="2" t="s">
        <v>395</v>
      </c>
      <c r="C15" s="2" t="s">
        <v>298</v>
      </c>
      <c r="D15" s="2" t="s">
        <v>393</v>
      </c>
      <c r="F15" s="2" t="s">
        <v>258</v>
      </c>
      <c r="G15" s="2" t="s">
        <v>797</v>
      </c>
      <c r="H15" s="2" t="s">
        <v>543</v>
      </c>
      <c r="J15" s="2" t="s">
        <v>239</v>
      </c>
      <c r="K15" s="2" t="s">
        <v>701</v>
      </c>
      <c r="L15" s="2" t="s">
        <v>69</v>
      </c>
    </row>
    <row r="16" spans="1:21" ht="13.9" x14ac:dyDescent="0.3">
      <c r="B16" s="2" t="s">
        <v>488</v>
      </c>
      <c r="C16" s="2" t="s">
        <v>157</v>
      </c>
      <c r="D16" s="2" t="s">
        <v>50</v>
      </c>
      <c r="F16" s="2" t="s">
        <v>297</v>
      </c>
      <c r="G16" s="2" t="s">
        <v>802</v>
      </c>
      <c r="H16" s="2" t="s">
        <v>652</v>
      </c>
      <c r="J16" s="2" t="s">
        <v>337</v>
      </c>
      <c r="K16" s="2" t="s">
        <v>731</v>
      </c>
      <c r="L16" s="2" t="s">
        <v>379</v>
      </c>
    </row>
    <row r="17" spans="2:12" ht="13.9" x14ac:dyDescent="0.3">
      <c r="B17" s="2" t="s">
        <v>496</v>
      </c>
      <c r="C17" s="2" t="s">
        <v>888</v>
      </c>
      <c r="D17" s="2" t="s">
        <v>234</v>
      </c>
      <c r="F17" s="2" t="s">
        <v>552</v>
      </c>
      <c r="G17" s="2" t="s">
        <v>823</v>
      </c>
      <c r="H17" s="2" t="s">
        <v>422</v>
      </c>
      <c r="J17" s="2" t="s">
        <v>424</v>
      </c>
      <c r="K17" s="2" t="s">
        <v>769</v>
      </c>
      <c r="L17" s="2" t="s">
        <v>50</v>
      </c>
    </row>
    <row r="18" spans="2:12" ht="13.9" x14ac:dyDescent="0.3">
      <c r="B18" s="2" t="s">
        <v>859</v>
      </c>
      <c r="C18" s="2" t="s">
        <v>455</v>
      </c>
      <c r="D18" s="2" t="s">
        <v>471</v>
      </c>
      <c r="F18" s="2" t="s">
        <v>661</v>
      </c>
      <c r="G18" s="2" t="s">
        <v>836</v>
      </c>
      <c r="H18" s="2" t="s">
        <v>942</v>
      </c>
      <c r="J18" s="2" t="s">
        <v>425</v>
      </c>
      <c r="K18" s="2" t="s">
        <v>786</v>
      </c>
      <c r="L18" s="2" t="s">
        <v>652</v>
      </c>
    </row>
    <row r="19" spans="2:12" ht="13.9" x14ac:dyDescent="0.3">
      <c r="B19" s="2" t="s">
        <v>54</v>
      </c>
      <c r="C19" s="2" t="s">
        <v>53</v>
      </c>
      <c r="D19" s="2" t="s">
        <v>291</v>
      </c>
      <c r="F19" s="2" t="s">
        <v>691</v>
      </c>
      <c r="G19" s="2" t="s">
        <v>844</v>
      </c>
      <c r="H19" s="2" t="s">
        <v>48</v>
      </c>
      <c r="J19" s="2" t="s">
        <v>499</v>
      </c>
      <c r="K19" s="2" t="s">
        <v>807</v>
      </c>
      <c r="L19" s="2" t="s">
        <v>262</v>
      </c>
    </row>
    <row r="20" spans="2:12" ht="13.9" x14ac:dyDescent="0.3">
      <c r="B20" s="2" t="s">
        <v>430</v>
      </c>
      <c r="C20" s="2" t="s">
        <v>269</v>
      </c>
      <c r="D20" s="2" t="s">
        <v>255</v>
      </c>
      <c r="F20" s="2" t="s">
        <v>754</v>
      </c>
      <c r="G20" s="2" t="s">
        <v>926</v>
      </c>
      <c r="H20" s="2" t="s">
        <v>941</v>
      </c>
      <c r="J20" s="2" t="s">
        <v>699</v>
      </c>
      <c r="K20" s="2" t="s">
        <v>835</v>
      </c>
      <c r="L20" s="2" t="s">
        <v>392</v>
      </c>
    </row>
    <row r="21" spans="2:12" ht="13.9" x14ac:dyDescent="0.3">
      <c r="B21" s="2" t="s">
        <v>449</v>
      </c>
      <c r="C21" s="2" t="s">
        <v>136</v>
      </c>
      <c r="D21" s="2" t="s">
        <v>588</v>
      </c>
      <c r="F21" s="2" t="s">
        <v>772</v>
      </c>
      <c r="G21" s="2" t="s">
        <v>512</v>
      </c>
      <c r="H21" s="2" t="s">
        <v>716</v>
      </c>
      <c r="J21" s="2" t="s">
        <v>702</v>
      </c>
      <c r="K21" s="2" t="s">
        <v>853</v>
      </c>
      <c r="L21" s="2" t="s">
        <v>477</v>
      </c>
    </row>
    <row r="22" spans="2:12" ht="13.9" x14ac:dyDescent="0.3">
      <c r="B22" s="2" t="s">
        <v>464</v>
      </c>
      <c r="C22" s="2" t="s">
        <v>183</v>
      </c>
      <c r="D22" s="2" t="s">
        <v>661</v>
      </c>
      <c r="F22" s="2" t="s">
        <v>894</v>
      </c>
      <c r="G22" s="2" t="s">
        <v>809</v>
      </c>
      <c r="H22" s="2" t="s">
        <v>785</v>
      </c>
      <c r="J22" s="2" t="s">
        <v>869</v>
      </c>
      <c r="K22" s="2" t="s">
        <v>872</v>
      </c>
      <c r="L22" s="2" t="s">
        <v>153</v>
      </c>
    </row>
    <row r="23" spans="2:12" ht="13.9" x14ac:dyDescent="0.3">
      <c r="B23" s="2" t="s">
        <v>629</v>
      </c>
      <c r="C23" s="2" t="s">
        <v>605</v>
      </c>
      <c r="D23" s="2" t="s">
        <v>691</v>
      </c>
      <c r="F23" s="2" t="s">
        <v>940</v>
      </c>
      <c r="G23" s="2" t="s">
        <v>442</v>
      </c>
      <c r="H23" s="2" t="s">
        <v>291</v>
      </c>
      <c r="J23" s="2" t="s">
        <v>940</v>
      </c>
      <c r="K23" s="2" t="s">
        <v>74</v>
      </c>
      <c r="L23" s="2" t="s">
        <v>941</v>
      </c>
    </row>
    <row r="24" spans="2:12" ht="13.9" x14ac:dyDescent="0.3">
      <c r="B24" s="2" t="s">
        <v>665</v>
      </c>
      <c r="C24" s="2" t="s">
        <v>153</v>
      </c>
      <c r="D24" s="2" t="s">
        <v>455</v>
      </c>
      <c r="F24" s="2" t="s">
        <v>59</v>
      </c>
      <c r="G24" s="6" t="s">
        <v>910</v>
      </c>
      <c r="H24" s="2" t="s">
        <v>775</v>
      </c>
      <c r="J24" s="2" t="s">
        <v>122</v>
      </c>
      <c r="K24" s="2" t="s">
        <v>79</v>
      </c>
      <c r="L24" s="2" t="s">
        <v>74</v>
      </c>
    </row>
    <row r="25" spans="2:12" ht="13.9" x14ac:dyDescent="0.3">
      <c r="B25" s="2" t="s">
        <v>773</v>
      </c>
      <c r="C25" s="2" t="s">
        <v>97</v>
      </c>
      <c r="D25" s="2" t="s">
        <v>367</v>
      </c>
      <c r="F25" s="2" t="s">
        <v>143</v>
      </c>
      <c r="G25" s="2" t="s">
        <v>92</v>
      </c>
      <c r="H25" s="2" t="s">
        <v>140</v>
      </c>
      <c r="J25" s="2" t="s">
        <v>484</v>
      </c>
      <c r="K25" s="2" t="s">
        <v>419</v>
      </c>
      <c r="L25" s="2" t="s">
        <v>79</v>
      </c>
    </row>
    <row r="26" spans="2:12" ht="13.9" x14ac:dyDescent="0.3">
      <c r="B26" s="2" t="s">
        <v>868</v>
      </c>
      <c r="C26" s="2" t="s">
        <v>270</v>
      </c>
      <c r="D26" s="2" t="s">
        <v>104</v>
      </c>
      <c r="F26" s="2" t="s">
        <v>341</v>
      </c>
      <c r="G26" s="2" t="s">
        <v>213</v>
      </c>
      <c r="H26" s="2" t="s">
        <v>201</v>
      </c>
      <c r="J26" s="2" t="s">
        <v>667</v>
      </c>
      <c r="K26" s="2" t="s">
        <v>497</v>
      </c>
      <c r="L26" s="2" t="s">
        <v>419</v>
      </c>
    </row>
    <row r="27" spans="2:12" ht="13.9" x14ac:dyDescent="0.3">
      <c r="B27" s="2" t="s">
        <v>85</v>
      </c>
      <c r="C27" s="2" t="s">
        <v>272</v>
      </c>
      <c r="D27" s="2" t="s">
        <v>300</v>
      </c>
      <c r="F27" s="2" t="s">
        <v>419</v>
      </c>
      <c r="G27" s="2" t="s">
        <v>369</v>
      </c>
      <c r="H27" s="6" t="s">
        <v>99</v>
      </c>
      <c r="J27" s="2" t="s">
        <v>143</v>
      </c>
      <c r="K27" s="2" t="s">
        <v>464</v>
      </c>
      <c r="L27" s="2" t="s">
        <v>901</v>
      </c>
    </row>
    <row r="28" spans="2:12" ht="13.9" x14ac:dyDescent="0.3">
      <c r="B28" s="2" t="s">
        <v>512</v>
      </c>
      <c r="C28" s="2" t="s">
        <v>156</v>
      </c>
      <c r="D28" s="2" t="s">
        <v>175</v>
      </c>
      <c r="F28" s="2" t="s">
        <v>535</v>
      </c>
      <c r="G28" s="2" t="s">
        <v>426</v>
      </c>
      <c r="H28" s="2" t="s">
        <v>219</v>
      </c>
      <c r="J28" s="2" t="s">
        <v>429</v>
      </c>
      <c r="K28" s="2" t="s">
        <v>602</v>
      </c>
      <c r="L28" s="2" t="s">
        <v>321</v>
      </c>
    </row>
    <row r="29" spans="2:12" ht="13.9" x14ac:dyDescent="0.3">
      <c r="B29" s="2" t="s">
        <v>535</v>
      </c>
      <c r="C29" s="2" t="s">
        <v>300</v>
      </c>
      <c r="D29" s="2" t="s">
        <v>262</v>
      </c>
      <c r="F29" s="2" t="s">
        <v>612</v>
      </c>
      <c r="G29" s="2" t="s">
        <v>427</v>
      </c>
      <c r="H29" s="2" t="s">
        <v>477</v>
      </c>
      <c r="J29" s="2" t="s">
        <v>46</v>
      </c>
      <c r="K29" s="2" t="s">
        <v>47</v>
      </c>
      <c r="L29" s="2" t="s">
        <v>44</v>
      </c>
    </row>
    <row r="30" spans="2:12" ht="13.9" x14ac:dyDescent="0.3">
      <c r="B30" s="2" t="s">
        <v>846</v>
      </c>
      <c r="C30" s="2" t="s">
        <v>722</v>
      </c>
      <c r="D30" s="2" t="s">
        <v>283</v>
      </c>
      <c r="F30" s="2" t="s">
        <v>621</v>
      </c>
      <c r="G30" s="2" t="s">
        <v>439</v>
      </c>
      <c r="H30" s="2" t="s">
        <v>264</v>
      </c>
      <c r="J30" s="2" t="s">
        <v>194</v>
      </c>
      <c r="K30" s="2" t="s">
        <v>68</v>
      </c>
      <c r="L30" s="2" t="s">
        <v>144</v>
      </c>
    </row>
    <row r="31" spans="2:12" ht="13.9" x14ac:dyDescent="0.3">
      <c r="B31" s="2" t="s">
        <v>193</v>
      </c>
      <c r="C31" s="2" t="s">
        <v>147</v>
      </c>
      <c r="D31" s="2" t="s">
        <v>339</v>
      </c>
      <c r="F31" s="2" t="s">
        <v>646</v>
      </c>
      <c r="G31" s="2" t="s">
        <v>461</v>
      </c>
      <c r="H31" s="2" t="s">
        <v>376</v>
      </c>
      <c r="J31" s="2" t="s">
        <v>309</v>
      </c>
      <c r="K31" s="2" t="s">
        <v>192</v>
      </c>
      <c r="L31" s="2" t="s">
        <v>465</v>
      </c>
    </row>
    <row r="32" spans="2:12" ht="13.9" x14ac:dyDescent="0.3">
      <c r="B32" s="2" t="s">
        <v>90</v>
      </c>
      <c r="C32" s="2" t="s">
        <v>165</v>
      </c>
      <c r="D32" s="2" t="s">
        <v>364</v>
      </c>
      <c r="F32" s="2" t="s">
        <v>731</v>
      </c>
      <c r="G32" s="2" t="s">
        <v>550</v>
      </c>
      <c r="H32" s="2" t="s">
        <v>377</v>
      </c>
      <c r="J32" s="2" t="s">
        <v>382</v>
      </c>
      <c r="K32" s="2" t="s">
        <v>243</v>
      </c>
      <c r="L32" s="2" t="s">
        <v>892</v>
      </c>
    </row>
    <row r="33" spans="2:12" ht="13.9" x14ac:dyDescent="0.3">
      <c r="B33" s="2" t="s">
        <v>330</v>
      </c>
      <c r="C33" s="2" t="s">
        <v>200</v>
      </c>
      <c r="D33" s="2" t="s">
        <v>36</v>
      </c>
      <c r="F33" s="2" t="s">
        <v>464</v>
      </c>
      <c r="G33" s="2" t="s">
        <v>591</v>
      </c>
      <c r="H33" s="2" t="s">
        <v>108</v>
      </c>
      <c r="J33" s="2" t="s">
        <v>497</v>
      </c>
      <c r="K33" s="2" t="s">
        <v>319</v>
      </c>
      <c r="L33" s="2" t="s">
        <v>388</v>
      </c>
    </row>
    <row r="34" spans="2:12" ht="13.9" x14ac:dyDescent="0.3">
      <c r="B34" s="2" t="s">
        <v>76</v>
      </c>
      <c r="C34" s="2" t="s">
        <v>81</v>
      </c>
      <c r="D34" s="2" t="s">
        <v>883</v>
      </c>
      <c r="F34" s="2" t="s">
        <v>832</v>
      </c>
      <c r="G34" s="2" t="s">
        <v>729</v>
      </c>
      <c r="H34" s="2" t="s">
        <v>30</v>
      </c>
      <c r="J34" s="2" t="s">
        <v>668</v>
      </c>
      <c r="K34" s="2" t="s">
        <v>323</v>
      </c>
      <c r="L34" s="2" t="s">
        <v>661</v>
      </c>
    </row>
    <row r="35" spans="2:12" ht="13.9" x14ac:dyDescent="0.3">
      <c r="B35" s="2" t="s">
        <v>323</v>
      </c>
      <c r="C35" s="2" t="s">
        <v>246</v>
      </c>
      <c r="D35" s="2" t="s">
        <v>30</v>
      </c>
      <c r="F35" s="2" t="s">
        <v>257</v>
      </c>
      <c r="G35" s="2" t="s">
        <v>780</v>
      </c>
      <c r="H35" s="2" t="s">
        <v>204</v>
      </c>
      <c r="J35" s="2" t="s">
        <v>219</v>
      </c>
      <c r="K35" s="2" t="s">
        <v>351</v>
      </c>
      <c r="L35" s="2" t="s">
        <v>691</v>
      </c>
    </row>
    <row r="36" spans="2:12" ht="13.9" x14ac:dyDescent="0.3">
      <c r="B36" s="2" t="s">
        <v>737</v>
      </c>
      <c r="C36" s="2" t="s">
        <v>379</v>
      </c>
      <c r="D36" s="2" t="s">
        <v>441</v>
      </c>
      <c r="F36" s="2" t="s">
        <v>512</v>
      </c>
      <c r="G36" s="2" t="s">
        <v>879</v>
      </c>
      <c r="H36" s="2" t="s">
        <v>434</v>
      </c>
      <c r="J36" s="2" t="s">
        <v>464</v>
      </c>
      <c r="K36" s="2" t="s">
        <v>375</v>
      </c>
      <c r="L36" s="2" t="s">
        <v>927</v>
      </c>
    </row>
    <row r="37" spans="2:12" ht="13.9" x14ac:dyDescent="0.3">
      <c r="B37" s="2" t="s">
        <v>397</v>
      </c>
      <c r="C37" s="2" t="s">
        <v>650</v>
      </c>
      <c r="D37" s="2" t="s">
        <v>376</v>
      </c>
      <c r="F37" s="2" t="s">
        <v>131</v>
      </c>
      <c r="G37" s="2" t="s">
        <v>899</v>
      </c>
      <c r="H37" s="2" t="s">
        <v>828</v>
      </c>
      <c r="J37" s="2" t="s">
        <v>331</v>
      </c>
      <c r="K37" s="2" t="s">
        <v>530</v>
      </c>
      <c r="L37" s="2" t="s">
        <v>275</v>
      </c>
    </row>
    <row r="38" spans="2:12" ht="13.9" x14ac:dyDescent="0.3">
      <c r="B38" s="2" t="s">
        <v>507</v>
      </c>
      <c r="C38" s="2" t="s">
        <v>271</v>
      </c>
      <c r="D38" s="2" t="s">
        <v>48</v>
      </c>
      <c r="F38" s="2" t="s">
        <v>281</v>
      </c>
      <c r="G38" s="2" t="s">
        <v>687</v>
      </c>
      <c r="H38" s="2" t="s">
        <v>134</v>
      </c>
      <c r="J38" s="2" t="s">
        <v>468</v>
      </c>
      <c r="K38" s="2" t="s">
        <v>538</v>
      </c>
      <c r="L38" s="2" t="s">
        <v>228</v>
      </c>
    </row>
    <row r="39" spans="2:12" ht="13.9" x14ac:dyDescent="0.3">
      <c r="B39" s="2" t="s">
        <v>668</v>
      </c>
      <c r="C39" s="2" t="s">
        <v>199</v>
      </c>
      <c r="D39" s="2" t="s">
        <v>279</v>
      </c>
      <c r="F39" s="2" t="s">
        <v>36</v>
      </c>
      <c r="G39" s="2" t="s">
        <v>807</v>
      </c>
      <c r="H39" s="2" t="s">
        <v>766</v>
      </c>
      <c r="J39" s="2" t="s">
        <v>649</v>
      </c>
      <c r="K39" s="2" t="s">
        <v>708</v>
      </c>
      <c r="L39" s="2" t="s">
        <v>629</v>
      </c>
    </row>
    <row r="40" spans="2:12" ht="13.9" x14ac:dyDescent="0.3">
      <c r="B40" s="2" t="s">
        <v>932</v>
      </c>
      <c r="C40" s="2" t="s">
        <v>262</v>
      </c>
      <c r="D40" s="2" t="s">
        <v>396</v>
      </c>
      <c r="F40" s="2" t="s">
        <v>120</v>
      </c>
      <c r="G40" s="2" t="s">
        <v>496</v>
      </c>
      <c r="H40" s="2" t="s">
        <v>386</v>
      </c>
      <c r="J40" s="2" t="s">
        <v>215</v>
      </c>
      <c r="K40" s="2" t="s">
        <v>808</v>
      </c>
      <c r="L40" s="2" t="s">
        <v>576</v>
      </c>
    </row>
    <row r="41" spans="2:12" ht="13.9" x14ac:dyDescent="0.3">
      <c r="B41" s="2" t="s">
        <v>940</v>
      </c>
      <c r="C41" s="2" t="s">
        <v>185</v>
      </c>
      <c r="D41" s="2" t="s">
        <v>282</v>
      </c>
      <c r="F41" s="2" t="s">
        <v>434</v>
      </c>
      <c r="G41" s="2" t="s">
        <v>474</v>
      </c>
      <c r="H41" s="2" t="s">
        <v>678</v>
      </c>
      <c r="J41" s="2" t="s">
        <v>365</v>
      </c>
      <c r="K41" s="2" t="s">
        <v>812</v>
      </c>
      <c r="L41" s="2" t="s">
        <v>73</v>
      </c>
    </row>
    <row r="42" spans="2:12" ht="13.9" x14ac:dyDescent="0.3">
      <c r="B42" s="2" t="s">
        <v>514</v>
      </c>
      <c r="C42" s="2" t="s">
        <v>296</v>
      </c>
      <c r="D42" s="2" t="s">
        <v>90</v>
      </c>
      <c r="F42" s="2" t="s">
        <v>361</v>
      </c>
      <c r="G42" s="2" t="s">
        <v>68</v>
      </c>
      <c r="H42" s="2" t="s">
        <v>497</v>
      </c>
      <c r="J42" s="2" t="s">
        <v>178</v>
      </c>
      <c r="K42" s="2" t="s">
        <v>906</v>
      </c>
      <c r="L42" s="2" t="s">
        <v>895</v>
      </c>
    </row>
    <row r="43" spans="2:12" ht="13.9" x14ac:dyDescent="0.3">
      <c r="B43" s="2" t="s">
        <v>920</v>
      </c>
      <c r="C43" s="2" t="s">
        <v>139</v>
      </c>
      <c r="D43" s="6" t="s">
        <v>937</v>
      </c>
      <c r="F43" s="2" t="s">
        <v>360</v>
      </c>
      <c r="G43" s="2" t="s">
        <v>86</v>
      </c>
      <c r="H43" s="6" t="s">
        <v>937</v>
      </c>
      <c r="J43" s="2" t="s">
        <v>281</v>
      </c>
      <c r="K43" s="2" t="s">
        <v>493</v>
      </c>
      <c r="L43" s="2" t="s">
        <v>58</v>
      </c>
    </row>
    <row r="44" spans="2:12" ht="13.9" x14ac:dyDescent="0.3">
      <c r="B44" s="2" t="s">
        <v>176</v>
      </c>
      <c r="C44" s="6" t="s">
        <v>937</v>
      </c>
      <c r="D44" s="2" t="s">
        <v>512</v>
      </c>
      <c r="F44" s="2" t="s">
        <v>589</v>
      </c>
      <c r="G44" s="2" t="s">
        <v>100</v>
      </c>
      <c r="H44" s="2" t="s">
        <v>175</v>
      </c>
      <c r="J44" s="2" t="s">
        <v>85</v>
      </c>
      <c r="K44" s="2" t="s">
        <v>31</v>
      </c>
      <c r="L44" s="2" t="s">
        <v>204</v>
      </c>
    </row>
    <row r="45" spans="2:12" ht="13.9" x14ac:dyDescent="0.3">
      <c r="B45" s="2" t="s">
        <v>772</v>
      </c>
      <c r="C45" s="2" t="s">
        <v>751</v>
      </c>
      <c r="D45" s="2" t="s">
        <v>636</v>
      </c>
      <c r="F45" s="2" t="s">
        <v>215</v>
      </c>
      <c r="G45" s="2" t="s">
        <v>224</v>
      </c>
      <c r="H45" s="2" t="s">
        <v>590</v>
      </c>
      <c r="J45" s="2" t="s">
        <v>356</v>
      </c>
      <c r="K45" s="2" t="s">
        <v>325</v>
      </c>
      <c r="L45" s="2" t="s">
        <v>458</v>
      </c>
    </row>
    <row r="46" spans="2:12" ht="13.9" x14ac:dyDescent="0.3">
      <c r="B46" s="2" t="s">
        <v>215</v>
      </c>
      <c r="C46" s="2" t="s">
        <v>140</v>
      </c>
      <c r="D46" s="2" t="s">
        <v>381</v>
      </c>
      <c r="F46" s="2" t="s">
        <v>898</v>
      </c>
      <c r="G46" s="2" t="s">
        <v>280</v>
      </c>
      <c r="H46" s="2" t="s">
        <v>248</v>
      </c>
      <c r="J46" s="2" t="s">
        <v>172</v>
      </c>
      <c r="K46" s="2" t="s">
        <v>345</v>
      </c>
      <c r="L46" s="2" t="s">
        <v>925</v>
      </c>
    </row>
    <row r="47" spans="2:12" ht="13.9" x14ac:dyDescent="0.3">
      <c r="B47" s="2" t="s">
        <v>337</v>
      </c>
      <c r="C47" s="2" t="s">
        <v>724</v>
      </c>
      <c r="D47" s="2" t="s">
        <v>728</v>
      </c>
      <c r="F47" s="2" t="s">
        <v>659</v>
      </c>
      <c r="G47" s="2" t="s">
        <v>370</v>
      </c>
      <c r="H47" s="2" t="s">
        <v>925</v>
      </c>
      <c r="J47" s="2" t="s">
        <v>737</v>
      </c>
      <c r="K47" s="2" t="s">
        <v>349</v>
      </c>
      <c r="L47" s="2" t="s">
        <v>894</v>
      </c>
    </row>
    <row r="48" spans="2:12" ht="13.9" x14ac:dyDescent="0.3">
      <c r="B48" s="2" t="s">
        <v>704</v>
      </c>
      <c r="C48" s="2" t="s">
        <v>299</v>
      </c>
      <c r="D48" s="2" t="s">
        <v>116</v>
      </c>
      <c r="F48" s="2" t="s">
        <v>660</v>
      </c>
      <c r="G48" s="2" t="s">
        <v>402</v>
      </c>
      <c r="H48" s="2" t="s">
        <v>659</v>
      </c>
      <c r="J48" s="2" t="s">
        <v>898</v>
      </c>
      <c r="K48" s="2" t="s">
        <v>463</v>
      </c>
      <c r="L48" s="2" t="s">
        <v>331</v>
      </c>
    </row>
    <row r="49" spans="2:12" ht="13.9" x14ac:dyDescent="0.3">
      <c r="B49" s="2" t="s">
        <v>231</v>
      </c>
      <c r="C49" s="2" t="s">
        <v>247</v>
      </c>
      <c r="D49" s="2" t="s">
        <v>785</v>
      </c>
      <c r="F49" s="2" t="s">
        <v>674</v>
      </c>
      <c r="G49" s="2" t="s">
        <v>445</v>
      </c>
      <c r="H49" s="2" t="s">
        <v>660</v>
      </c>
      <c r="J49" s="2" t="s">
        <v>768</v>
      </c>
      <c r="K49" s="2" t="s">
        <v>561</v>
      </c>
      <c r="L49" s="2" t="s">
        <v>85</v>
      </c>
    </row>
    <row r="50" spans="2:12" ht="13.9" x14ac:dyDescent="0.3">
      <c r="B50" s="2" t="s">
        <v>447</v>
      </c>
      <c r="C50" s="2" t="s">
        <v>22</v>
      </c>
      <c r="D50" s="2" t="s">
        <v>828</v>
      </c>
      <c r="F50" s="2" t="s">
        <v>675</v>
      </c>
      <c r="G50" s="2" t="s">
        <v>556</v>
      </c>
      <c r="H50" s="2" t="s">
        <v>674</v>
      </c>
      <c r="J50" s="2" t="s">
        <v>558</v>
      </c>
      <c r="K50" s="2" t="s">
        <v>696</v>
      </c>
      <c r="L50" s="2" t="s">
        <v>34</v>
      </c>
    </row>
    <row r="51" spans="2:12" ht="13.9" x14ac:dyDescent="0.3">
      <c r="B51" s="2" t="s">
        <v>45</v>
      </c>
      <c r="C51" s="2" t="s">
        <v>49</v>
      </c>
      <c r="D51" s="2" t="s">
        <v>514</v>
      </c>
      <c r="F51" s="2" t="s">
        <v>680</v>
      </c>
      <c r="G51" s="2" t="s">
        <v>592</v>
      </c>
      <c r="H51" s="2" t="s">
        <v>680</v>
      </c>
      <c r="J51" s="2" t="s">
        <v>177</v>
      </c>
      <c r="K51" s="2" t="s">
        <v>861</v>
      </c>
      <c r="L51" s="2" t="s">
        <v>543</v>
      </c>
    </row>
    <row r="52" spans="2:12" ht="13.9" x14ac:dyDescent="0.3">
      <c r="B52" s="2" t="s">
        <v>606</v>
      </c>
      <c r="C52" s="2" t="s">
        <v>511</v>
      </c>
      <c r="D52" s="2" t="s">
        <v>350</v>
      </c>
      <c r="F52" s="2" t="s">
        <v>716</v>
      </c>
      <c r="G52" s="2" t="s">
        <v>598</v>
      </c>
      <c r="H52" s="2" t="s">
        <v>728</v>
      </c>
      <c r="J52" s="2" t="s">
        <v>788</v>
      </c>
      <c r="K52" s="2" t="s">
        <v>903</v>
      </c>
      <c r="L52" s="2" t="s">
        <v>264</v>
      </c>
    </row>
    <row r="53" spans="2:12" ht="13.9" x14ac:dyDescent="0.3">
      <c r="B53" s="2" t="s">
        <v>883</v>
      </c>
      <c r="C53" s="2" t="s">
        <v>189</v>
      </c>
      <c r="D53" s="2" t="s">
        <v>627</v>
      </c>
      <c r="F53" s="2" t="s">
        <v>627</v>
      </c>
      <c r="G53" s="2" t="s">
        <v>632</v>
      </c>
      <c r="H53" s="2" t="s">
        <v>34</v>
      </c>
      <c r="J53" s="2" t="s">
        <v>126</v>
      </c>
      <c r="K53" s="2" t="s">
        <v>909</v>
      </c>
      <c r="L53" s="2" t="s">
        <v>118</v>
      </c>
    </row>
    <row r="54" spans="2:12" ht="13.9" x14ac:dyDescent="0.3">
      <c r="B54" s="2" t="s">
        <v>181</v>
      </c>
      <c r="C54" s="2" t="s">
        <v>25</v>
      </c>
      <c r="D54" s="2" t="s">
        <v>355</v>
      </c>
      <c r="F54" s="2" t="s">
        <v>85</v>
      </c>
      <c r="G54" s="2" t="s">
        <v>711</v>
      </c>
      <c r="H54" s="2" t="s">
        <v>120</v>
      </c>
      <c r="J54" s="2" t="s">
        <v>636</v>
      </c>
      <c r="K54" s="2" t="s">
        <v>90</v>
      </c>
      <c r="L54" s="2" t="s">
        <v>108</v>
      </c>
    </row>
    <row r="55" spans="2:12" ht="13.9" x14ac:dyDescent="0.3">
      <c r="B55" s="2" t="s">
        <v>211</v>
      </c>
      <c r="C55" s="2" t="s">
        <v>389</v>
      </c>
      <c r="D55" s="2" t="s">
        <v>417</v>
      </c>
      <c r="F55" s="2" t="s">
        <v>274</v>
      </c>
      <c r="G55" s="2" t="s">
        <v>818</v>
      </c>
      <c r="H55" s="2" t="s">
        <v>695</v>
      </c>
      <c r="J55" s="2" t="s">
        <v>735</v>
      </c>
      <c r="K55" s="2" t="s">
        <v>430</v>
      </c>
      <c r="L55" s="2" t="s">
        <v>748</v>
      </c>
    </row>
    <row r="56" spans="2:12" ht="13.9" x14ac:dyDescent="0.3">
      <c r="B56" s="2" t="s">
        <v>235</v>
      </c>
      <c r="C56" s="2" t="s">
        <v>432</v>
      </c>
      <c r="D56" s="2" t="s">
        <v>143</v>
      </c>
      <c r="F56" s="2" t="s">
        <v>276</v>
      </c>
      <c r="G56" s="2" t="s">
        <v>820</v>
      </c>
      <c r="H56" s="2" t="s">
        <v>158</v>
      </c>
      <c r="J56" s="2" t="s">
        <v>191</v>
      </c>
      <c r="K56" s="2" t="s">
        <v>670</v>
      </c>
      <c r="L56" s="6" t="s">
        <v>937</v>
      </c>
    </row>
    <row r="57" spans="2:12" ht="13.9" x14ac:dyDescent="0.3">
      <c r="B57" s="2" t="s">
        <v>251</v>
      </c>
      <c r="C57" s="2" t="s">
        <v>929</v>
      </c>
      <c r="D57" s="2" t="s">
        <v>292</v>
      </c>
      <c r="F57" s="2" t="s">
        <v>626</v>
      </c>
      <c r="G57" s="2" t="s">
        <v>822</v>
      </c>
      <c r="H57" s="2" t="s">
        <v>920</v>
      </c>
      <c r="J57" s="2" t="s">
        <v>203</v>
      </c>
      <c r="K57" s="2" t="s">
        <v>109</v>
      </c>
      <c r="L57" s="2" t="s">
        <v>898</v>
      </c>
    </row>
    <row r="58" spans="2:12" ht="13.9" x14ac:dyDescent="0.3">
      <c r="B58" s="2" t="s">
        <v>387</v>
      </c>
      <c r="C58" s="2" t="s">
        <v>378</v>
      </c>
      <c r="D58" s="2" t="s">
        <v>633</v>
      </c>
      <c r="F58" s="2" t="s">
        <v>664</v>
      </c>
      <c r="G58" s="2" t="s">
        <v>824</v>
      </c>
      <c r="H58" s="2" t="s">
        <v>159</v>
      </c>
      <c r="J58" s="2" t="s">
        <v>36</v>
      </c>
      <c r="K58" s="2" t="s">
        <v>120</v>
      </c>
      <c r="L58" s="2" t="s">
        <v>169</v>
      </c>
    </row>
    <row r="59" spans="2:12" ht="13.9" x14ac:dyDescent="0.3">
      <c r="B59" s="2" t="s">
        <v>816</v>
      </c>
      <c r="C59" s="2" t="s">
        <v>160</v>
      </c>
      <c r="D59" s="2" t="s">
        <v>173</v>
      </c>
      <c r="F59" s="2" t="s">
        <v>671</v>
      </c>
      <c r="G59" s="2" t="s">
        <v>857</v>
      </c>
      <c r="H59" s="2" t="s">
        <v>296</v>
      </c>
      <c r="J59" s="2" t="s">
        <v>198</v>
      </c>
      <c r="K59" s="2" t="s">
        <v>265</v>
      </c>
      <c r="L59" s="2" t="s">
        <v>366</v>
      </c>
    </row>
    <row r="60" spans="2:12" ht="13.9" x14ac:dyDescent="0.3">
      <c r="B60" s="2" t="s">
        <v>188</v>
      </c>
      <c r="C60" s="2" t="s">
        <v>892</v>
      </c>
      <c r="D60" s="2" t="s">
        <v>560</v>
      </c>
      <c r="F60" s="2" t="s">
        <v>679</v>
      </c>
      <c r="G60" s="2" t="s">
        <v>902</v>
      </c>
      <c r="H60" s="2" t="s">
        <v>262</v>
      </c>
      <c r="J60" s="2" t="s">
        <v>83</v>
      </c>
      <c r="K60" s="2" t="s">
        <v>277</v>
      </c>
      <c r="L60" s="2" t="s">
        <v>170</v>
      </c>
    </row>
    <row r="61" spans="2:12" ht="13.9" x14ac:dyDescent="0.3">
      <c r="B61" s="2" t="s">
        <v>414</v>
      </c>
      <c r="C61" s="2" t="s">
        <v>381</v>
      </c>
      <c r="D61" s="2" t="s">
        <v>296</v>
      </c>
      <c r="F61" s="2" t="s">
        <v>690</v>
      </c>
      <c r="G61" s="2" t="s">
        <v>119</v>
      </c>
      <c r="H61" s="2" t="s">
        <v>411</v>
      </c>
      <c r="J61" s="2" t="s">
        <v>84</v>
      </c>
      <c r="K61" s="2" t="s">
        <v>295</v>
      </c>
      <c r="L61" s="2" t="s">
        <v>25</v>
      </c>
    </row>
    <row r="62" spans="2:12" ht="13.9" x14ac:dyDescent="0.3">
      <c r="B62" s="2" t="s">
        <v>793</v>
      </c>
      <c r="C62" s="2" t="s">
        <v>173</v>
      </c>
      <c r="D62" s="2" t="s">
        <v>204</v>
      </c>
      <c r="F62" s="2" t="s">
        <v>845</v>
      </c>
      <c r="G62" s="2" t="s">
        <v>513</v>
      </c>
      <c r="H62" s="2" t="s">
        <v>279</v>
      </c>
      <c r="J62" s="2" t="s">
        <v>231</v>
      </c>
      <c r="K62" s="2" t="s">
        <v>362</v>
      </c>
      <c r="L62" s="2" t="s">
        <v>23</v>
      </c>
    </row>
    <row r="63" spans="2:12" ht="13.9" x14ac:dyDescent="0.3">
      <c r="B63" s="2" t="s">
        <v>425</v>
      </c>
      <c r="C63" s="2" t="s">
        <v>886</v>
      </c>
      <c r="D63" s="2" t="s">
        <v>88</v>
      </c>
      <c r="F63" s="2" t="s">
        <v>514</v>
      </c>
      <c r="G63" s="2" t="s">
        <v>520</v>
      </c>
      <c r="H63" s="2" t="s">
        <v>381</v>
      </c>
      <c r="J63" s="2" t="s">
        <v>626</v>
      </c>
      <c r="K63" s="2" t="s">
        <v>413</v>
      </c>
      <c r="L63" s="2" t="s">
        <v>868</v>
      </c>
    </row>
    <row r="64" spans="2:12" ht="13.9" x14ac:dyDescent="0.3">
      <c r="B64" s="2" t="s">
        <v>107</v>
      </c>
      <c r="C64" s="2" t="s">
        <v>279</v>
      </c>
      <c r="D64" s="2" t="s">
        <v>464</v>
      </c>
      <c r="F64" s="2" t="s">
        <v>687</v>
      </c>
      <c r="G64" s="2" t="s">
        <v>559</v>
      </c>
      <c r="H64" s="2" t="s">
        <v>307</v>
      </c>
      <c r="J64" s="2" t="s">
        <v>144</v>
      </c>
      <c r="K64" s="2" t="s">
        <v>473</v>
      </c>
      <c r="L64" s="2" t="s">
        <v>20</v>
      </c>
    </row>
    <row r="65" spans="2:12" ht="13.9" x14ac:dyDescent="0.3">
      <c r="B65" s="2" t="s">
        <v>716</v>
      </c>
      <c r="C65" s="2" t="s">
        <v>652</v>
      </c>
      <c r="D65" s="2" t="s">
        <v>776</v>
      </c>
      <c r="F65" s="2" t="s">
        <v>231</v>
      </c>
      <c r="G65" s="2" t="s">
        <v>634</v>
      </c>
      <c r="H65" s="2" t="s">
        <v>139</v>
      </c>
      <c r="J65" s="2" t="s">
        <v>261</v>
      </c>
      <c r="K65" s="2" t="s">
        <v>547</v>
      </c>
      <c r="L65" s="2" t="s">
        <v>805</v>
      </c>
    </row>
    <row r="66" spans="2:12" ht="13.9" x14ac:dyDescent="0.3">
      <c r="B66" s="2" t="s">
        <v>814</v>
      </c>
      <c r="C66" s="2" t="s">
        <v>380</v>
      </c>
      <c r="D66" s="2" t="s">
        <v>465</v>
      </c>
      <c r="F66" s="2" t="s">
        <v>172</v>
      </c>
      <c r="G66" s="2" t="s">
        <v>787</v>
      </c>
      <c r="H66" s="2" t="s">
        <v>895</v>
      </c>
      <c r="J66" s="2" t="s">
        <v>394</v>
      </c>
      <c r="K66" s="2" t="s">
        <v>573</v>
      </c>
      <c r="L66" s="2" t="s">
        <v>627</v>
      </c>
    </row>
    <row r="67" spans="2:12" ht="13.9" x14ac:dyDescent="0.3">
      <c r="B67" s="2" t="s">
        <v>921</v>
      </c>
      <c r="C67" s="2" t="s">
        <v>943</v>
      </c>
      <c r="D67" s="2" t="s">
        <v>226</v>
      </c>
      <c r="F67" s="2" t="s">
        <v>188</v>
      </c>
      <c r="G67" s="2" t="s">
        <v>813</v>
      </c>
      <c r="H67" s="2" t="s">
        <v>44</v>
      </c>
      <c r="J67" s="2" t="s">
        <v>328</v>
      </c>
      <c r="K67" s="2" t="s">
        <v>614</v>
      </c>
      <c r="L67" s="2" t="s">
        <v>279</v>
      </c>
    </row>
    <row r="68" spans="2:12" ht="13.9" x14ac:dyDescent="0.3">
      <c r="B68" s="2" t="s">
        <v>633</v>
      </c>
      <c r="C68" s="2" t="s">
        <v>135</v>
      </c>
      <c r="D68" s="2" t="s">
        <v>133</v>
      </c>
      <c r="F68" s="2" t="s">
        <v>337</v>
      </c>
      <c r="G68" s="2" t="s">
        <v>837</v>
      </c>
      <c r="H68" s="2" t="s">
        <v>455</v>
      </c>
      <c r="J68" s="2" t="s">
        <v>401</v>
      </c>
      <c r="K68" s="2" t="s">
        <v>676</v>
      </c>
      <c r="L68" s="2" t="s">
        <v>421</v>
      </c>
    </row>
    <row r="69" spans="2:12" ht="13.9" x14ac:dyDescent="0.3">
      <c r="B69" s="2" t="s">
        <v>229</v>
      </c>
      <c r="C69" s="2" t="s">
        <v>155</v>
      </c>
      <c r="D69" s="2" t="s">
        <v>374</v>
      </c>
      <c r="F69" s="2" t="s">
        <v>401</v>
      </c>
      <c r="G69" s="2" t="s">
        <v>390</v>
      </c>
      <c r="H69" s="2" t="s">
        <v>465</v>
      </c>
      <c r="J69" s="2" t="s">
        <v>292</v>
      </c>
      <c r="K69" s="2" t="s">
        <v>697</v>
      </c>
      <c r="L69" s="2" t="s">
        <v>225</v>
      </c>
    </row>
    <row r="70" spans="2:12" ht="13.9" x14ac:dyDescent="0.3">
      <c r="B70" s="2" t="s">
        <v>451</v>
      </c>
      <c r="C70" s="2" t="s">
        <v>42</v>
      </c>
      <c r="D70" s="2" t="s">
        <v>476</v>
      </c>
      <c r="F70" s="2" t="s">
        <v>683</v>
      </c>
      <c r="G70" s="2" t="s">
        <v>540</v>
      </c>
      <c r="H70" s="2" t="s">
        <v>675</v>
      </c>
      <c r="J70" s="2" t="s">
        <v>583</v>
      </c>
      <c r="K70" s="2" t="s">
        <v>703</v>
      </c>
      <c r="L70" s="2" t="s">
        <v>775</v>
      </c>
    </row>
    <row r="71" spans="2:12" ht="13.9" x14ac:dyDescent="0.3">
      <c r="B71" s="2" t="s">
        <v>36</v>
      </c>
      <c r="C71" s="2" t="s">
        <v>392</v>
      </c>
      <c r="D71" s="2" t="s">
        <v>608</v>
      </c>
      <c r="F71" s="2" t="s">
        <v>807</v>
      </c>
      <c r="G71" s="2" t="s">
        <v>703</v>
      </c>
      <c r="H71" s="2" t="s">
        <v>908</v>
      </c>
      <c r="J71" s="2" t="s">
        <v>579</v>
      </c>
      <c r="K71" s="2" t="s">
        <v>794</v>
      </c>
      <c r="L71" s="2" t="s">
        <v>220</v>
      </c>
    </row>
    <row r="72" spans="2:12" ht="13.9" x14ac:dyDescent="0.3">
      <c r="B72" s="2" t="s">
        <v>596</v>
      </c>
      <c r="C72" s="2" t="s">
        <v>607</v>
      </c>
      <c r="D72" s="2" t="s">
        <v>628</v>
      </c>
      <c r="F72" s="2" t="s">
        <v>208</v>
      </c>
      <c r="G72" s="2" t="s">
        <v>833</v>
      </c>
      <c r="H72" s="2" t="s">
        <v>458</v>
      </c>
      <c r="J72" s="2" t="s">
        <v>942</v>
      </c>
      <c r="K72" s="2" t="s">
        <v>928</v>
      </c>
      <c r="L72" s="2" t="s">
        <v>134</v>
      </c>
    </row>
    <row r="73" spans="2:12" ht="13.9" x14ac:dyDescent="0.3">
      <c r="B73" s="2" t="s">
        <v>828</v>
      </c>
      <c r="C73" s="2" t="s">
        <v>291</v>
      </c>
      <c r="D73" s="2" t="s">
        <v>422</v>
      </c>
      <c r="F73" s="2" t="s">
        <v>828</v>
      </c>
      <c r="G73" s="2" t="s">
        <v>737</v>
      </c>
      <c r="H73" s="2" t="s">
        <v>284</v>
      </c>
      <c r="J73" s="2" t="s">
        <v>416</v>
      </c>
      <c r="K73" s="2" t="s">
        <v>745</v>
      </c>
      <c r="L73" s="2" t="s">
        <v>28</v>
      </c>
    </row>
    <row r="74" spans="2:12" ht="13.9" x14ac:dyDescent="0.3">
      <c r="B74" s="2" t="s">
        <v>152</v>
      </c>
      <c r="C74" s="2" t="s">
        <v>594</v>
      </c>
      <c r="D74" s="2" t="s">
        <v>168</v>
      </c>
      <c r="F74" s="2" t="s">
        <v>883</v>
      </c>
      <c r="G74" s="2" t="s">
        <v>624</v>
      </c>
      <c r="H74" s="2" t="s">
        <v>300</v>
      </c>
      <c r="J74" s="2" t="s">
        <v>504</v>
      </c>
      <c r="K74" s="2" t="s">
        <v>739</v>
      </c>
      <c r="L74" s="2" t="s">
        <v>128</v>
      </c>
    </row>
    <row r="75" spans="2:12" ht="13.9" x14ac:dyDescent="0.3">
      <c r="B75" s="2" t="s">
        <v>421</v>
      </c>
      <c r="C75" s="2" t="s">
        <v>925</v>
      </c>
      <c r="D75" s="2" t="s">
        <v>207</v>
      </c>
      <c r="F75" s="2" t="s">
        <v>116</v>
      </c>
      <c r="G75" s="2" t="s">
        <v>464</v>
      </c>
      <c r="H75" s="2" t="s">
        <v>58</v>
      </c>
      <c r="J75" s="2" t="s">
        <v>490</v>
      </c>
      <c r="K75" s="2" t="s">
        <v>72</v>
      </c>
      <c r="L75" s="2" t="s">
        <v>368</v>
      </c>
    </row>
    <row r="76" spans="2:12" ht="13.9" x14ac:dyDescent="0.3">
      <c r="B76" s="2" t="s">
        <v>557</v>
      </c>
      <c r="C76" s="2" t="s">
        <v>248</v>
      </c>
      <c r="D76" s="2" t="s">
        <v>24</v>
      </c>
      <c r="F76" s="2" t="s">
        <v>367</v>
      </c>
      <c r="G76" s="2" t="s">
        <v>365</v>
      </c>
      <c r="H76" s="2" t="s">
        <v>226</v>
      </c>
      <c r="J76" s="2" t="s">
        <v>606</v>
      </c>
      <c r="K76" s="2" t="s">
        <v>129</v>
      </c>
      <c r="L76" s="2" t="s">
        <v>398</v>
      </c>
    </row>
    <row r="77" spans="2:12" ht="13.9" x14ac:dyDescent="0.3">
      <c r="B77" s="2" t="s">
        <v>887</v>
      </c>
      <c r="C77" s="2" t="s">
        <v>190</v>
      </c>
      <c r="D77" s="2" t="s">
        <v>28</v>
      </c>
      <c r="F77" s="2" t="s">
        <v>202</v>
      </c>
      <c r="G77" s="2" t="s">
        <v>395</v>
      </c>
      <c r="H77" s="2" t="s">
        <v>50</v>
      </c>
      <c r="J77" s="2" t="s">
        <v>58</v>
      </c>
      <c r="K77" s="2" t="s">
        <v>565</v>
      </c>
      <c r="L77" s="2" t="s">
        <v>400</v>
      </c>
    </row>
    <row r="78" spans="2:12" ht="13.9" x14ac:dyDescent="0.3">
      <c r="B78" s="2" t="s">
        <v>41</v>
      </c>
      <c r="C78" s="2" t="s">
        <v>510</v>
      </c>
      <c r="D78" s="2" t="s">
        <v>398</v>
      </c>
      <c r="F78" s="2" t="s">
        <v>167</v>
      </c>
      <c r="G78" s="2" t="s">
        <v>914</v>
      </c>
      <c r="H78" s="2" t="s">
        <v>24</v>
      </c>
      <c r="J78" s="2" t="s">
        <v>927</v>
      </c>
      <c r="K78" s="2" t="s">
        <v>571</v>
      </c>
      <c r="L78" s="2" t="s">
        <v>22</v>
      </c>
    </row>
    <row r="79" spans="2:12" ht="13.9" x14ac:dyDescent="0.3">
      <c r="B79" s="2" t="s">
        <v>560</v>
      </c>
      <c r="C79" s="2" t="s">
        <v>371</v>
      </c>
      <c r="D79" s="2" t="s">
        <v>400</v>
      </c>
      <c r="F79" s="2" t="s">
        <v>479</v>
      </c>
      <c r="G79" s="2" t="s">
        <v>281</v>
      </c>
      <c r="H79" s="2" t="s">
        <v>683</v>
      </c>
      <c r="J79" s="2" t="s">
        <v>526</v>
      </c>
      <c r="K79" s="2" t="s">
        <v>581</v>
      </c>
      <c r="L79" s="2" t="s">
        <v>730</v>
      </c>
    </row>
    <row r="80" spans="2:12" ht="13.9" x14ac:dyDescent="0.3">
      <c r="B80" s="2" t="s">
        <v>785</v>
      </c>
      <c r="C80" s="2" t="s">
        <v>73</v>
      </c>
      <c r="D80" s="2" t="s">
        <v>421</v>
      </c>
      <c r="F80" s="8" t="s">
        <v>681</v>
      </c>
      <c r="G80" s="2" t="s">
        <v>301</v>
      </c>
      <c r="H80" s="2" t="s">
        <v>202</v>
      </c>
      <c r="J80" s="2" t="s">
        <v>276</v>
      </c>
      <c r="K80" s="2" t="s">
        <v>763</v>
      </c>
      <c r="L80" s="2" t="s">
        <v>367</v>
      </c>
    </row>
    <row r="81" spans="2:12" ht="13.9" x14ac:dyDescent="0.3">
      <c r="B81" s="2" t="s">
        <v>484</v>
      </c>
      <c r="C81" s="2" t="s">
        <v>24</v>
      </c>
      <c r="D81" s="2" t="s">
        <v>152</v>
      </c>
      <c r="F81" s="2" t="s">
        <v>504</v>
      </c>
      <c r="G81" s="2" t="s">
        <v>821</v>
      </c>
      <c r="H81" s="2" t="s">
        <v>282</v>
      </c>
      <c r="J81" s="2" t="s">
        <v>773</v>
      </c>
      <c r="K81" s="2" t="s">
        <v>791</v>
      </c>
      <c r="L81" s="2" t="s">
        <v>177</v>
      </c>
    </row>
    <row r="82" spans="2:12" ht="13.9" x14ac:dyDescent="0.3">
      <c r="B82" s="2" t="s">
        <v>63</v>
      </c>
      <c r="C82" s="2" t="s">
        <v>781</v>
      </c>
      <c r="D82" s="2" t="s">
        <v>70</v>
      </c>
      <c r="F82" s="2" t="s">
        <v>228</v>
      </c>
      <c r="G82" s="2" t="s">
        <v>242</v>
      </c>
      <c r="H82" s="2" t="s">
        <v>88</v>
      </c>
      <c r="J82" s="2" t="s">
        <v>620</v>
      </c>
      <c r="K82" s="2" t="s">
        <v>820</v>
      </c>
      <c r="L82" s="2" t="s">
        <v>405</v>
      </c>
    </row>
    <row r="83" spans="2:12" ht="13.9" x14ac:dyDescent="0.3">
      <c r="B83" s="2" t="s">
        <v>901</v>
      </c>
      <c r="C83" s="2" t="s">
        <v>226</v>
      </c>
      <c r="D83" s="2" t="s">
        <v>264</v>
      </c>
      <c r="F83" s="2" t="s">
        <v>95</v>
      </c>
      <c r="G83" s="2" t="s">
        <v>52</v>
      </c>
      <c r="H83" s="2" t="s">
        <v>416</v>
      </c>
      <c r="J83" s="2" t="s">
        <v>448</v>
      </c>
      <c r="K83" s="2" t="s">
        <v>867</v>
      </c>
      <c r="L83" s="2" t="s">
        <v>207</v>
      </c>
    </row>
    <row r="84" spans="2:12" ht="13.9" x14ac:dyDescent="0.3">
      <c r="B84" s="2" t="s">
        <v>177</v>
      </c>
      <c r="C84" s="2" t="s">
        <v>117</v>
      </c>
      <c r="D84" s="2" t="s">
        <v>779</v>
      </c>
      <c r="F84" s="2" t="s">
        <v>774</v>
      </c>
      <c r="G84" s="2" t="s">
        <v>75</v>
      </c>
      <c r="H84" s="2" t="s">
        <v>28</v>
      </c>
      <c r="J84" s="2" t="s">
        <v>533</v>
      </c>
      <c r="K84" s="2" t="s">
        <v>875</v>
      </c>
      <c r="L84" s="2" t="s">
        <v>355</v>
      </c>
    </row>
    <row r="85" spans="2:12" ht="13.9" x14ac:dyDescent="0.3">
      <c r="B85" s="2" t="s">
        <v>350</v>
      </c>
      <c r="C85" s="2" t="s">
        <v>50</v>
      </c>
      <c r="D85" s="2" t="s">
        <v>20</v>
      </c>
      <c r="F85" s="2" t="s">
        <v>785</v>
      </c>
      <c r="G85" s="2" t="s">
        <v>96</v>
      </c>
      <c r="H85" s="2" t="s">
        <v>464</v>
      </c>
      <c r="J85" s="2" t="s">
        <v>913</v>
      </c>
      <c r="K85" s="2" t="s">
        <v>915</v>
      </c>
      <c r="L85" s="2" t="s">
        <v>296</v>
      </c>
    </row>
    <row r="86" spans="2:12" ht="13.9" x14ac:dyDescent="0.3">
      <c r="B86" s="2" t="s">
        <v>869</v>
      </c>
      <c r="C86" s="2" t="s">
        <v>187</v>
      </c>
      <c r="D86" s="2" t="s">
        <v>638</v>
      </c>
      <c r="F86" s="2" t="s">
        <v>126</v>
      </c>
      <c r="G86" s="2" t="s">
        <v>164</v>
      </c>
      <c r="H86" s="2" t="s">
        <v>638</v>
      </c>
      <c r="J86" s="2" t="s">
        <v>287</v>
      </c>
      <c r="K86" s="2" t="s">
        <v>202</v>
      </c>
      <c r="L86" s="2" t="s">
        <v>133</v>
      </c>
    </row>
    <row r="87" spans="2:12" ht="13.9" x14ac:dyDescent="0.3">
      <c r="B87" s="2" t="s">
        <v>120</v>
      </c>
      <c r="C87" s="2" t="s">
        <v>263</v>
      </c>
      <c r="D87" s="2" t="s">
        <v>894</v>
      </c>
      <c r="F87" s="2" t="s">
        <v>408</v>
      </c>
      <c r="G87" s="2" t="s">
        <v>191</v>
      </c>
      <c r="H87" s="2" t="s">
        <v>216</v>
      </c>
      <c r="J87" s="2" t="s">
        <v>188</v>
      </c>
      <c r="K87" s="2" t="s">
        <v>699</v>
      </c>
      <c r="L87" s="2" t="s">
        <v>234</v>
      </c>
    </row>
    <row r="88" spans="2:12" ht="13.9" x14ac:dyDescent="0.3">
      <c r="B88" s="2" t="s">
        <v>228</v>
      </c>
      <c r="C88" s="2" t="s">
        <v>290</v>
      </c>
      <c r="D88" s="2" t="s">
        <v>217</v>
      </c>
      <c r="F88" s="8" t="s">
        <v>655</v>
      </c>
      <c r="G88" s="2" t="s">
        <v>192</v>
      </c>
      <c r="H88" s="2" t="s">
        <v>526</v>
      </c>
      <c r="J88" s="2" t="s">
        <v>901</v>
      </c>
      <c r="K88" s="2" t="s">
        <v>143</v>
      </c>
      <c r="L88" s="2" t="s">
        <v>246</v>
      </c>
    </row>
    <row r="89" spans="2:12" ht="13.9" x14ac:dyDescent="0.3">
      <c r="B89" s="2" t="s">
        <v>287</v>
      </c>
      <c r="C89" s="2" t="s">
        <v>727</v>
      </c>
      <c r="D89" s="2" t="s">
        <v>784</v>
      </c>
      <c r="F89" s="2" t="s">
        <v>229</v>
      </c>
      <c r="G89" s="2" t="s">
        <v>286</v>
      </c>
      <c r="H89" s="2" t="s">
        <v>366</v>
      </c>
      <c r="J89" s="2" t="s">
        <v>369</v>
      </c>
      <c r="K89" s="2" t="s">
        <v>213</v>
      </c>
      <c r="L89" s="2" t="s">
        <v>181</v>
      </c>
    </row>
    <row r="90" spans="2:12" ht="13.9" x14ac:dyDescent="0.3">
      <c r="B90" s="2" t="s">
        <v>608</v>
      </c>
      <c r="C90" s="2" t="s">
        <v>137</v>
      </c>
      <c r="D90" s="2" t="s">
        <v>927</v>
      </c>
      <c r="F90" s="2" t="s">
        <v>121</v>
      </c>
      <c r="G90" s="2" t="s">
        <v>315</v>
      </c>
      <c r="H90" s="2" t="s">
        <v>294</v>
      </c>
      <c r="J90" s="2" t="s">
        <v>629</v>
      </c>
      <c r="K90" s="2" t="s">
        <v>331</v>
      </c>
      <c r="L90" s="2" t="s">
        <v>102</v>
      </c>
    </row>
    <row r="91" spans="2:12" ht="13.9" x14ac:dyDescent="0.3">
      <c r="B91" s="2" t="s">
        <v>750</v>
      </c>
      <c r="C91" s="2" t="s">
        <v>433</v>
      </c>
      <c r="D91" s="2" t="s">
        <v>257</v>
      </c>
      <c r="F91" s="2" t="s">
        <v>331</v>
      </c>
      <c r="G91" s="2" t="s">
        <v>410</v>
      </c>
      <c r="H91" s="2" t="s">
        <v>626</v>
      </c>
      <c r="J91" s="2" t="s">
        <v>752</v>
      </c>
      <c r="K91" s="2" t="s">
        <v>768</v>
      </c>
      <c r="L91" s="2" t="s">
        <v>386</v>
      </c>
    </row>
    <row r="92" spans="2:12" ht="13.9" x14ac:dyDescent="0.3">
      <c r="B92" s="2" t="s">
        <v>881</v>
      </c>
      <c r="C92" s="2" t="s">
        <v>717</v>
      </c>
      <c r="D92" s="2" t="s">
        <v>246</v>
      </c>
      <c r="F92" s="2" t="s">
        <v>301</v>
      </c>
      <c r="G92" s="2" t="s">
        <v>491</v>
      </c>
      <c r="H92" s="2" t="s">
        <v>611</v>
      </c>
      <c r="J92" s="2" t="s">
        <v>181</v>
      </c>
      <c r="K92" s="2" t="s">
        <v>29</v>
      </c>
      <c r="L92" s="2" t="s">
        <v>612</v>
      </c>
    </row>
    <row r="93" spans="2:12" ht="13.9" x14ac:dyDescent="0.3">
      <c r="B93" s="2" t="s">
        <v>134</v>
      </c>
      <c r="C93" s="2" t="s">
        <v>89</v>
      </c>
      <c r="D93" s="2" t="s">
        <v>603</v>
      </c>
      <c r="F93" s="2" t="s">
        <v>447</v>
      </c>
      <c r="G93" s="2" t="s">
        <v>615</v>
      </c>
      <c r="H93" s="2" t="s">
        <v>339</v>
      </c>
      <c r="J93" s="2" t="s">
        <v>77</v>
      </c>
      <c r="K93" s="2" t="s">
        <v>67</v>
      </c>
      <c r="L93" s="2" t="s">
        <v>328</v>
      </c>
    </row>
    <row r="94" spans="2:12" ht="13.9" x14ac:dyDescent="0.3">
      <c r="B94" s="2" t="s">
        <v>839</v>
      </c>
      <c r="C94" s="2" t="s">
        <v>210</v>
      </c>
      <c r="D94" s="2" t="s">
        <v>372</v>
      </c>
      <c r="F94" s="2" t="s">
        <v>399</v>
      </c>
      <c r="G94" s="2" t="s">
        <v>874</v>
      </c>
      <c r="H94" s="2" t="s">
        <v>113</v>
      </c>
      <c r="J94" s="2" t="s">
        <v>78</v>
      </c>
      <c r="K94" s="2" t="s">
        <v>101</v>
      </c>
      <c r="L94" s="2" t="s">
        <v>24</v>
      </c>
    </row>
    <row r="95" spans="2:12" ht="13.9" x14ac:dyDescent="0.3">
      <c r="B95" s="2" t="s">
        <v>411</v>
      </c>
      <c r="C95" s="2" t="s">
        <v>69</v>
      </c>
      <c r="D95" s="2" t="s">
        <v>516</v>
      </c>
      <c r="F95" s="2" t="s">
        <v>496</v>
      </c>
      <c r="G95" s="2" t="s">
        <v>399</v>
      </c>
      <c r="H95" s="2" t="s">
        <v>537</v>
      </c>
      <c r="J95" s="2" t="s">
        <v>363</v>
      </c>
      <c r="K95" s="2" t="s">
        <v>111</v>
      </c>
      <c r="L95" s="2" t="s">
        <v>21</v>
      </c>
    </row>
    <row r="96" spans="2:12" ht="13.9" x14ac:dyDescent="0.3">
      <c r="B96" s="2" t="s">
        <v>628</v>
      </c>
      <c r="C96" s="2" t="s">
        <v>934</v>
      </c>
      <c r="D96" s="2" t="s">
        <v>386</v>
      </c>
      <c r="F96" s="2" t="s">
        <v>307</v>
      </c>
      <c r="G96" s="2" t="s">
        <v>343</v>
      </c>
      <c r="H96" s="2" t="s">
        <v>173</v>
      </c>
      <c r="J96" s="2" t="s">
        <v>895</v>
      </c>
      <c r="K96" s="2" t="s">
        <v>227</v>
      </c>
      <c r="L96" s="2" t="s">
        <v>935</v>
      </c>
    </row>
    <row r="97" spans="2:12" ht="13.9" x14ac:dyDescent="0.3">
      <c r="B97" s="2" t="s">
        <v>588</v>
      </c>
      <c r="C97" s="2" t="s">
        <v>55</v>
      </c>
      <c r="D97" s="2" t="s">
        <v>156</v>
      </c>
      <c r="F97" s="2" t="s">
        <v>590</v>
      </c>
      <c r="G97" s="2" t="s">
        <v>344</v>
      </c>
      <c r="H97" s="2" t="s">
        <v>281</v>
      </c>
      <c r="J97" s="2" t="s">
        <v>180</v>
      </c>
      <c r="K97" s="2" t="s">
        <v>301</v>
      </c>
      <c r="L97" s="2" t="s">
        <v>284</v>
      </c>
    </row>
    <row r="98" spans="2:12" ht="13.9" x14ac:dyDescent="0.3">
      <c r="B98" s="2" t="s">
        <v>754</v>
      </c>
      <c r="C98" s="2" t="s">
        <v>385</v>
      </c>
      <c r="D98" s="2" t="s">
        <v>750</v>
      </c>
      <c r="F98" s="2" t="s">
        <v>497</v>
      </c>
      <c r="G98" s="2" t="s">
        <v>573</v>
      </c>
      <c r="H98" s="2" t="s">
        <v>56</v>
      </c>
      <c r="J98" s="2" t="s">
        <v>224</v>
      </c>
      <c r="K98" s="2" t="s">
        <v>308</v>
      </c>
      <c r="L98" s="2" t="s">
        <v>666</v>
      </c>
    </row>
    <row r="99" spans="2:12" ht="13.9" x14ac:dyDescent="0.3">
      <c r="B99" s="2" t="s">
        <v>355</v>
      </c>
      <c r="C99" s="2" t="s">
        <v>197</v>
      </c>
      <c r="D99" s="2" t="s">
        <v>380</v>
      </c>
      <c r="F99" s="2" t="s">
        <v>219</v>
      </c>
      <c r="G99" s="2" t="s">
        <v>630</v>
      </c>
      <c r="H99" s="2" t="s">
        <v>20</v>
      </c>
      <c r="J99" s="2" t="s">
        <v>739</v>
      </c>
      <c r="K99" s="2" t="s">
        <v>370</v>
      </c>
      <c r="L99" s="2" t="s">
        <v>686</v>
      </c>
    </row>
    <row r="100" spans="2:12" ht="13.9" x14ac:dyDescent="0.3">
      <c r="B100" s="2" t="s">
        <v>105</v>
      </c>
      <c r="C100" s="2" t="s">
        <v>848</v>
      </c>
      <c r="D100" s="2" t="s">
        <v>293</v>
      </c>
      <c r="F100" s="2" t="s">
        <v>895</v>
      </c>
      <c r="G100" s="2" t="s">
        <v>656</v>
      </c>
      <c r="H100" s="2" t="s">
        <v>372</v>
      </c>
      <c r="J100" s="2" t="s">
        <v>746</v>
      </c>
      <c r="K100" s="2" t="s">
        <v>412</v>
      </c>
      <c r="L100" s="2" t="s">
        <v>173</v>
      </c>
    </row>
    <row r="101" spans="2:12" ht="13.9" x14ac:dyDescent="0.3">
      <c r="B101" s="2" t="s">
        <v>441</v>
      </c>
      <c r="C101" s="2" t="s">
        <v>114</v>
      </c>
      <c r="D101" s="2" t="s">
        <v>31</v>
      </c>
      <c r="F101" s="2" t="s">
        <v>152</v>
      </c>
      <c r="G101" s="2" t="s">
        <v>788</v>
      </c>
      <c r="H101" s="2" t="s">
        <v>636</v>
      </c>
      <c r="J101" s="2" t="s">
        <v>689</v>
      </c>
      <c r="K101" s="2" t="s">
        <v>443</v>
      </c>
      <c r="L101" s="2" t="s">
        <v>417</v>
      </c>
    </row>
    <row r="102" spans="2:12" ht="13.9" x14ac:dyDescent="0.3">
      <c r="B102" s="2" t="s">
        <v>777</v>
      </c>
      <c r="C102" s="2" t="s">
        <v>293</v>
      </c>
      <c r="D102" s="2" t="s">
        <v>210</v>
      </c>
      <c r="F102" s="2" t="s">
        <v>695</v>
      </c>
      <c r="G102" s="2" t="s">
        <v>882</v>
      </c>
      <c r="H102" s="2" t="s">
        <v>356</v>
      </c>
      <c r="J102" s="2" t="s">
        <v>447</v>
      </c>
      <c r="K102" s="2" t="s">
        <v>453</v>
      </c>
      <c r="L102" s="2" t="s">
        <v>635</v>
      </c>
    </row>
    <row r="103" spans="2:12" ht="13.9" x14ac:dyDescent="0.3">
      <c r="B103" s="2" t="s">
        <v>902</v>
      </c>
      <c r="C103" s="2" t="s">
        <v>551</v>
      </c>
      <c r="D103" s="2" t="s">
        <v>723</v>
      </c>
      <c r="F103" s="2" t="s">
        <v>821</v>
      </c>
      <c r="G103" s="2" t="s">
        <v>475</v>
      </c>
      <c r="H103" s="2" t="s">
        <v>471</v>
      </c>
      <c r="J103" s="2" t="s">
        <v>555</v>
      </c>
      <c r="K103" s="2" t="s">
        <v>483</v>
      </c>
      <c r="L103" s="2" t="s">
        <v>834</v>
      </c>
    </row>
    <row r="104" spans="2:12" ht="13.9" x14ac:dyDescent="0.3">
      <c r="B104" s="2" t="s">
        <v>805</v>
      </c>
      <c r="C104" s="2" t="s">
        <v>417</v>
      </c>
      <c r="D104" s="2" t="s">
        <v>177</v>
      </c>
      <c r="F104" s="2" t="s">
        <v>118</v>
      </c>
      <c r="G104" s="2" t="s">
        <v>47</v>
      </c>
      <c r="H104" s="2" t="s">
        <v>935</v>
      </c>
      <c r="J104" s="2" t="s">
        <v>590</v>
      </c>
      <c r="K104" s="2" t="s">
        <v>540</v>
      </c>
      <c r="L104" s="2" t="s">
        <v>88</v>
      </c>
    </row>
    <row r="105" spans="2:12" ht="13.9" x14ac:dyDescent="0.3">
      <c r="B105" s="2" t="s">
        <v>396</v>
      </c>
      <c r="C105" s="2" t="s">
        <v>201</v>
      </c>
      <c r="D105" s="2" t="s">
        <v>509</v>
      </c>
      <c r="F105" s="2" t="s">
        <v>345</v>
      </c>
      <c r="G105" s="2" t="s">
        <v>110</v>
      </c>
      <c r="H105" s="2" t="s">
        <v>142</v>
      </c>
      <c r="J105" s="2" t="s">
        <v>229</v>
      </c>
      <c r="K105" s="2" t="s">
        <v>600</v>
      </c>
      <c r="L105" s="2" t="s">
        <v>339</v>
      </c>
    </row>
    <row r="106" spans="2:12" ht="13.9" x14ac:dyDescent="0.3">
      <c r="B106" s="2" t="s">
        <v>435</v>
      </c>
      <c r="C106" s="2" t="s">
        <v>66</v>
      </c>
      <c r="D106" s="2" t="s">
        <v>142</v>
      </c>
      <c r="F106" s="2" t="s">
        <v>440</v>
      </c>
      <c r="G106" s="2" t="s">
        <v>112</v>
      </c>
      <c r="H106" s="2" t="s">
        <v>122</v>
      </c>
      <c r="J106" s="2" t="s">
        <v>202</v>
      </c>
      <c r="K106" s="2" t="s">
        <v>616</v>
      </c>
      <c r="L106" s="2" t="s">
        <v>276</v>
      </c>
    </row>
    <row r="107" spans="2:12" ht="13.9" x14ac:dyDescent="0.3">
      <c r="B107" s="2" t="s">
        <v>594</v>
      </c>
      <c r="C107" s="2" t="s">
        <v>217</v>
      </c>
      <c r="D107" s="2" t="s">
        <v>229</v>
      </c>
      <c r="F107" s="2" t="s">
        <v>908</v>
      </c>
      <c r="G107" s="2" t="s">
        <v>237</v>
      </c>
      <c r="H107" s="2" t="s">
        <v>417</v>
      </c>
      <c r="J107" s="2" t="s">
        <v>588</v>
      </c>
      <c r="K107" s="2" t="s">
        <v>785</v>
      </c>
      <c r="L107" s="2" t="s">
        <v>217</v>
      </c>
    </row>
    <row r="108" spans="2:12" ht="13.9" x14ac:dyDescent="0.3">
      <c r="B108" s="2" t="s">
        <v>398</v>
      </c>
      <c r="C108" s="2" t="s">
        <v>212</v>
      </c>
      <c r="D108" s="2" t="s">
        <v>377</v>
      </c>
      <c r="F108" s="2" t="s">
        <v>767</v>
      </c>
      <c r="G108" s="2" t="s">
        <v>498</v>
      </c>
      <c r="H108" s="2" t="s">
        <v>229</v>
      </c>
      <c r="J108" s="2" t="s">
        <v>228</v>
      </c>
      <c r="K108" s="2" t="s">
        <v>815</v>
      </c>
      <c r="L108" s="2" t="s">
        <v>36</v>
      </c>
    </row>
    <row r="109" spans="2:12" ht="13.9" x14ac:dyDescent="0.3">
      <c r="B109" s="2" t="s">
        <v>400</v>
      </c>
      <c r="C109" s="2" t="s">
        <v>214</v>
      </c>
      <c r="D109" s="2" t="s">
        <v>22</v>
      </c>
      <c r="F109" s="2" t="s">
        <v>325</v>
      </c>
      <c r="G109" s="2" t="s">
        <v>563</v>
      </c>
      <c r="H109" s="2" t="s">
        <v>184</v>
      </c>
      <c r="J109" s="2" t="s">
        <v>877</v>
      </c>
      <c r="K109" s="2" t="s">
        <v>905</v>
      </c>
      <c r="L109" s="2" t="s">
        <v>610</v>
      </c>
    </row>
    <row r="110" spans="2:12" ht="13.9" x14ac:dyDescent="0.3">
      <c r="B110" s="2" t="s">
        <v>169</v>
      </c>
      <c r="C110" s="2" t="s">
        <v>603</v>
      </c>
      <c r="D110" s="2" t="s">
        <v>459</v>
      </c>
      <c r="F110" s="2" t="s">
        <v>356</v>
      </c>
      <c r="G110" s="2" t="s">
        <v>577</v>
      </c>
      <c r="H110" s="2" t="s">
        <v>246</v>
      </c>
      <c r="J110" s="2" t="s">
        <v>405</v>
      </c>
      <c r="K110" s="2" t="s">
        <v>626</v>
      </c>
      <c r="L110" s="2" t="s">
        <v>210</v>
      </c>
    </row>
    <row r="111" spans="2:12" ht="13.9" x14ac:dyDescent="0.3">
      <c r="B111" s="2" t="s">
        <v>636</v>
      </c>
      <c r="C111" s="2" t="s">
        <v>438</v>
      </c>
      <c r="D111" s="2" t="s">
        <v>228</v>
      </c>
      <c r="F111" s="2" t="s">
        <v>63</v>
      </c>
      <c r="G111" s="2" t="s">
        <v>608</v>
      </c>
      <c r="H111" s="2" t="s">
        <v>207</v>
      </c>
      <c r="J111" s="2" t="s">
        <v>398</v>
      </c>
      <c r="K111" s="2" t="s">
        <v>752</v>
      </c>
      <c r="L111" s="2" t="s">
        <v>603</v>
      </c>
    </row>
    <row r="112" spans="2:12" ht="13.9" x14ac:dyDescent="0.3">
      <c r="B112" s="2" t="s">
        <v>31</v>
      </c>
      <c r="C112" s="2" t="s">
        <v>941</v>
      </c>
      <c r="D112" s="2" t="s">
        <v>184</v>
      </c>
      <c r="F112" s="2" t="s">
        <v>474</v>
      </c>
      <c r="G112" s="2" t="s">
        <v>614</v>
      </c>
      <c r="H112" s="2" t="s">
        <v>105</v>
      </c>
      <c r="J112" s="2" t="s">
        <v>400</v>
      </c>
      <c r="K112" s="2" t="s">
        <v>312</v>
      </c>
      <c r="L112" s="2" t="s">
        <v>497</v>
      </c>
    </row>
    <row r="113" spans="2:12" ht="13.9" x14ac:dyDescent="0.3">
      <c r="B113" s="2" t="s">
        <v>23</v>
      </c>
      <c r="C113" s="2" t="s">
        <v>275</v>
      </c>
      <c r="D113" s="2" t="s">
        <v>25</v>
      </c>
      <c r="F113" s="2" t="s">
        <v>543</v>
      </c>
      <c r="G113" s="2" t="s">
        <v>734</v>
      </c>
      <c r="H113" s="2" t="s">
        <v>293</v>
      </c>
      <c r="J113" s="2" t="s">
        <v>435</v>
      </c>
      <c r="K113" s="2" t="s">
        <v>828</v>
      </c>
      <c r="L113" s="2" t="s">
        <v>716</v>
      </c>
    </row>
    <row r="114" spans="2:12" ht="13.9" x14ac:dyDescent="0.3">
      <c r="B114" s="2" t="s">
        <v>325</v>
      </c>
      <c r="C114" s="2" t="s">
        <v>220</v>
      </c>
      <c r="D114" s="2" t="s">
        <v>457</v>
      </c>
      <c r="F114" s="2" t="s">
        <v>694</v>
      </c>
      <c r="G114" s="2" t="s">
        <v>825</v>
      </c>
      <c r="H114" s="2" t="s">
        <v>776</v>
      </c>
      <c r="J114" s="2" t="s">
        <v>449</v>
      </c>
      <c r="K114" s="2" t="s">
        <v>914</v>
      </c>
      <c r="L114" s="2" t="s">
        <v>441</v>
      </c>
    </row>
    <row r="115" spans="2:12" ht="13.9" x14ac:dyDescent="0.3">
      <c r="B115" s="2" t="s">
        <v>586</v>
      </c>
      <c r="C115" s="2" t="s">
        <v>766</v>
      </c>
      <c r="D115" s="2" t="s">
        <v>914</v>
      </c>
      <c r="F115" s="2" t="s">
        <v>623</v>
      </c>
      <c r="G115" s="2" t="s">
        <v>906</v>
      </c>
      <c r="H115" s="2" t="s">
        <v>440</v>
      </c>
      <c r="J115" s="2" t="s">
        <v>894</v>
      </c>
      <c r="K115" s="2" t="s">
        <v>92</v>
      </c>
      <c r="L115" s="2" t="s">
        <v>40</v>
      </c>
    </row>
    <row r="116" spans="2:12" ht="13.9" x14ac:dyDescent="0.3">
      <c r="B116" s="2" t="s">
        <v>924</v>
      </c>
      <c r="C116" s="2" t="s">
        <v>682</v>
      </c>
      <c r="D116" s="2" t="s">
        <v>411</v>
      </c>
      <c r="F116" s="2" t="s">
        <v>203</v>
      </c>
      <c r="G116" s="2" t="s">
        <v>90</v>
      </c>
      <c r="H116" s="2" t="s">
        <v>408</v>
      </c>
      <c r="J116" s="2" t="s">
        <v>197</v>
      </c>
      <c r="K116" s="2" t="s">
        <v>164</v>
      </c>
      <c r="L116" s="2" t="s">
        <v>913</v>
      </c>
    </row>
    <row r="117" spans="2:12" ht="13.9" x14ac:dyDescent="0.3">
      <c r="B117" s="2" t="s">
        <v>286</v>
      </c>
      <c r="C117" s="2" t="s">
        <v>916</v>
      </c>
      <c r="D117" s="2" t="s">
        <v>170</v>
      </c>
      <c r="F117" s="2" t="s">
        <v>260</v>
      </c>
      <c r="G117" s="2" t="s">
        <v>72</v>
      </c>
      <c r="H117" s="2" t="s">
        <v>156</v>
      </c>
      <c r="J117" s="8" t="s">
        <v>99</v>
      </c>
      <c r="K117" s="2" t="s">
        <v>485</v>
      </c>
      <c r="L117" s="8" t="s">
        <v>681</v>
      </c>
    </row>
    <row r="118" spans="2:12" ht="13.9" x14ac:dyDescent="0.3">
      <c r="B118" s="2" t="s">
        <v>495</v>
      </c>
      <c r="C118" s="2" t="s">
        <v>208</v>
      </c>
      <c r="D118" s="2" t="s">
        <v>887</v>
      </c>
      <c r="F118" s="2" t="s">
        <v>459</v>
      </c>
      <c r="G118" s="2" t="s">
        <v>864</v>
      </c>
      <c r="H118" s="2" t="s">
        <v>516</v>
      </c>
      <c r="J118" s="2" t="s">
        <v>353</v>
      </c>
      <c r="K118" s="2" t="s">
        <v>709</v>
      </c>
      <c r="L118" s="2" t="s">
        <v>768</v>
      </c>
    </row>
    <row r="119" spans="2:12" ht="13.9" x14ac:dyDescent="0.3">
      <c r="B119" s="2" t="s">
        <v>623</v>
      </c>
      <c r="C119" s="2" t="s">
        <v>448</v>
      </c>
      <c r="D119" s="2" t="s">
        <v>331</v>
      </c>
      <c r="F119" s="2" t="s">
        <v>292</v>
      </c>
      <c r="G119" s="2" t="s">
        <v>297</v>
      </c>
      <c r="H119" s="2" t="s">
        <v>93</v>
      </c>
      <c r="J119" s="2" t="s">
        <v>341</v>
      </c>
      <c r="K119" s="2" t="s">
        <v>720</v>
      </c>
      <c r="L119" s="2" t="s">
        <v>746</v>
      </c>
    </row>
    <row r="120" spans="2:12" ht="13.9" x14ac:dyDescent="0.3">
      <c r="B120" s="2" t="s">
        <v>423</v>
      </c>
      <c r="C120" s="2" t="s">
        <v>933</v>
      </c>
      <c r="D120" s="2" t="s">
        <v>93</v>
      </c>
      <c r="F120" s="2" t="s">
        <v>760</v>
      </c>
      <c r="G120" s="2" t="s">
        <v>866</v>
      </c>
      <c r="H120" s="2" t="s">
        <v>170</v>
      </c>
      <c r="J120" s="2" t="s">
        <v>330</v>
      </c>
      <c r="K120" s="2" t="s">
        <v>127</v>
      </c>
      <c r="L120" s="2" t="s">
        <v>226</v>
      </c>
    </row>
    <row r="121" spans="2:12" ht="13.9" x14ac:dyDescent="0.3">
      <c r="B121" s="2" t="s">
        <v>56</v>
      </c>
      <c r="C121" s="2" t="s">
        <v>775</v>
      </c>
      <c r="D121" s="2" t="s">
        <v>557</v>
      </c>
      <c r="F121" s="2" t="s">
        <v>762</v>
      </c>
      <c r="G121" s="2" t="s">
        <v>800</v>
      </c>
      <c r="H121" s="2" t="s">
        <v>398</v>
      </c>
      <c r="J121" s="2" t="s">
        <v>661</v>
      </c>
      <c r="K121" s="2" t="s">
        <v>304</v>
      </c>
      <c r="L121" s="2" t="s">
        <v>363</v>
      </c>
    </row>
    <row r="122" spans="2:12" ht="13.9" x14ac:dyDescent="0.3">
      <c r="B122" s="2" t="s">
        <v>458</v>
      </c>
      <c r="C122" s="2" t="s">
        <v>388</v>
      </c>
      <c r="D122" s="2" t="s">
        <v>80</v>
      </c>
      <c r="F122" s="2" t="s">
        <v>830</v>
      </c>
      <c r="G122" s="2" t="s">
        <v>129</v>
      </c>
      <c r="H122" s="2" t="s">
        <v>400</v>
      </c>
      <c r="J122" s="2" t="s">
        <v>691</v>
      </c>
      <c r="K122" s="2" t="s">
        <v>470</v>
      </c>
      <c r="L122" s="2" t="s">
        <v>76</v>
      </c>
    </row>
    <row r="123" spans="2:12" ht="13.9" x14ac:dyDescent="0.3">
      <c r="B123" s="2" t="s">
        <v>116</v>
      </c>
      <c r="C123" s="2" t="s">
        <v>216</v>
      </c>
      <c r="D123" s="2" t="s">
        <v>21</v>
      </c>
      <c r="F123" s="2" t="s">
        <v>411</v>
      </c>
      <c r="G123" s="2" t="s">
        <v>313</v>
      </c>
      <c r="H123" s="2" t="s">
        <v>116</v>
      </c>
      <c r="J123" s="2" t="s">
        <v>452</v>
      </c>
      <c r="K123" s="2" t="s">
        <v>687</v>
      </c>
      <c r="L123" s="2" t="s">
        <v>184</v>
      </c>
    </row>
    <row r="124" spans="2:12" ht="13.9" x14ac:dyDescent="0.3">
      <c r="B124" s="2" t="s">
        <v>914</v>
      </c>
      <c r="C124" s="2" t="s">
        <v>54</v>
      </c>
      <c r="D124" s="2" t="s">
        <v>717</v>
      </c>
      <c r="F124" s="2" t="s">
        <v>809</v>
      </c>
      <c r="G124" s="2" t="s">
        <v>463</v>
      </c>
      <c r="H124" s="2" t="s">
        <v>261</v>
      </c>
      <c r="J124" s="2" t="s">
        <v>609</v>
      </c>
      <c r="K124" s="2" t="s">
        <v>121</v>
      </c>
      <c r="L124" s="2" t="s">
        <v>282</v>
      </c>
    </row>
    <row r="125" spans="2:12" ht="13.9" x14ac:dyDescent="0.3">
      <c r="B125" s="2" t="s">
        <v>148</v>
      </c>
      <c r="C125" s="2" t="s">
        <v>454</v>
      </c>
      <c r="D125" s="2" t="s">
        <v>111</v>
      </c>
      <c r="F125" s="2" t="s">
        <v>692</v>
      </c>
      <c r="G125" s="2" t="s">
        <v>515</v>
      </c>
      <c r="H125" s="2" t="s">
        <v>221</v>
      </c>
      <c r="J125" s="2" t="s">
        <v>887</v>
      </c>
      <c r="K125" s="2" t="s">
        <v>85</v>
      </c>
      <c r="L125" s="2" t="s">
        <v>921</v>
      </c>
    </row>
    <row r="126" spans="2:12" ht="13.9" x14ac:dyDescent="0.3">
      <c r="B126" s="2" t="s">
        <v>894</v>
      </c>
      <c r="C126" s="2" t="s">
        <v>748</v>
      </c>
      <c r="D126" s="2" t="s">
        <v>917</v>
      </c>
      <c r="F126" s="2" t="s">
        <v>843</v>
      </c>
      <c r="G126" s="2" t="s">
        <v>544</v>
      </c>
      <c r="H126" s="2" t="s">
        <v>133</v>
      </c>
      <c r="J126" s="8" t="s">
        <v>681</v>
      </c>
      <c r="K126" s="2" t="s">
        <v>186</v>
      </c>
      <c r="L126" s="2" t="s">
        <v>449</v>
      </c>
    </row>
    <row r="127" spans="2:12" ht="13.9" x14ac:dyDescent="0.3">
      <c r="B127" s="2" t="s">
        <v>927</v>
      </c>
      <c r="C127" s="2" t="s">
        <v>282</v>
      </c>
      <c r="D127" s="2" t="s">
        <v>782</v>
      </c>
      <c r="F127" s="2" t="s">
        <v>384</v>
      </c>
      <c r="G127" s="2" t="s">
        <v>863</v>
      </c>
      <c r="H127" s="2" t="s">
        <v>234</v>
      </c>
      <c r="J127" s="2" t="s">
        <v>93</v>
      </c>
      <c r="K127" s="2" t="s">
        <v>57</v>
      </c>
      <c r="L127" s="2" t="s">
        <v>253</v>
      </c>
    </row>
    <row r="128" spans="2:12" ht="13.9" x14ac:dyDescent="0.3">
      <c r="B128" s="2" t="s">
        <v>613</v>
      </c>
      <c r="C128" s="2" t="s">
        <v>471</v>
      </c>
      <c r="D128" s="2" t="s">
        <v>419</v>
      </c>
      <c r="F128" s="2" t="s">
        <v>442</v>
      </c>
      <c r="G128" s="2" t="s">
        <v>939</v>
      </c>
      <c r="H128" s="2" t="s">
        <v>921</v>
      </c>
      <c r="J128" s="2" t="s">
        <v>912</v>
      </c>
      <c r="K128" s="2" t="s">
        <v>205</v>
      </c>
      <c r="L128" s="2" t="s">
        <v>596</v>
      </c>
    </row>
    <row r="129" spans="2:12" ht="13.9" x14ac:dyDescent="0.3">
      <c r="B129" s="2" t="s">
        <v>916</v>
      </c>
      <c r="C129" s="2" t="s">
        <v>115</v>
      </c>
      <c r="D129" s="2" t="s">
        <v>123</v>
      </c>
      <c r="F129" s="2" t="s">
        <v>735</v>
      </c>
      <c r="G129" s="2" t="s">
        <v>897</v>
      </c>
      <c r="H129" s="2" t="s">
        <v>217</v>
      </c>
      <c r="J129" s="2" t="s">
        <v>666</v>
      </c>
      <c r="K129" s="2" t="s">
        <v>373</v>
      </c>
      <c r="L129" s="2" t="s">
        <v>516</v>
      </c>
    </row>
    <row r="130" spans="2:12" ht="13.9" x14ac:dyDescent="0.3">
      <c r="B130" s="2" t="s">
        <v>391</v>
      </c>
      <c r="C130" s="2" t="s">
        <v>235</v>
      </c>
      <c r="D130" s="2" t="s">
        <v>908</v>
      </c>
      <c r="F130" s="2" t="s">
        <v>865</v>
      </c>
      <c r="G130" s="2" t="s">
        <v>415</v>
      </c>
      <c r="H130" s="2" t="s">
        <v>70</v>
      </c>
      <c r="J130" s="2" t="s">
        <v>686</v>
      </c>
      <c r="K130" s="2" t="s">
        <v>481</v>
      </c>
      <c r="L130" s="2" t="s">
        <v>678</v>
      </c>
    </row>
    <row r="131" spans="2:12" ht="13.9" x14ac:dyDescent="0.3">
      <c r="B131" s="2" t="s">
        <v>728</v>
      </c>
      <c r="C131" s="2" t="s">
        <v>465</v>
      </c>
      <c r="D131" s="2" t="s">
        <v>78</v>
      </c>
      <c r="F131" s="2" t="s">
        <v>777</v>
      </c>
      <c r="G131" s="2" t="s">
        <v>467</v>
      </c>
      <c r="H131" s="2" t="s">
        <v>603</v>
      </c>
      <c r="J131" s="2" t="s">
        <v>495</v>
      </c>
      <c r="K131" s="2" t="s">
        <v>500</v>
      </c>
      <c r="L131" s="2" t="s">
        <v>858</v>
      </c>
    </row>
    <row r="132" spans="2:12" ht="13.9" x14ac:dyDescent="0.3">
      <c r="B132" s="2" t="s">
        <v>420</v>
      </c>
      <c r="C132" s="2" t="s">
        <v>625</v>
      </c>
      <c r="D132" s="2" t="s">
        <v>223</v>
      </c>
      <c r="F132" s="2" t="s">
        <v>746</v>
      </c>
      <c r="G132" s="2" t="s">
        <v>487</v>
      </c>
      <c r="H132" s="2" t="s">
        <v>779</v>
      </c>
      <c r="J132" s="2" t="s">
        <v>805</v>
      </c>
      <c r="K132" s="2" t="s">
        <v>673</v>
      </c>
      <c r="L132" s="2" t="s">
        <v>776</v>
      </c>
    </row>
    <row r="133" spans="2:12" ht="13.9" x14ac:dyDescent="0.3">
      <c r="B133" s="2" t="s">
        <v>70</v>
      </c>
      <c r="C133" s="2" t="s">
        <v>364</v>
      </c>
      <c r="D133" s="2" t="s">
        <v>253</v>
      </c>
      <c r="F133" s="2" t="s">
        <v>866</v>
      </c>
      <c r="G133" s="2" t="s">
        <v>733</v>
      </c>
      <c r="H133" s="2" t="s">
        <v>210</v>
      </c>
      <c r="J133" s="2" t="s">
        <v>225</v>
      </c>
      <c r="K133" s="2" t="s">
        <v>799</v>
      </c>
      <c r="L133" s="2" t="s">
        <v>216</v>
      </c>
    </row>
    <row r="134" spans="2:12" ht="13.9" x14ac:dyDescent="0.3">
      <c r="B134" s="2" t="s">
        <v>122</v>
      </c>
      <c r="C134" s="2" t="s">
        <v>777</v>
      </c>
      <c r="D134" s="2" t="s">
        <v>647</v>
      </c>
      <c r="F134" s="2" t="s">
        <v>897</v>
      </c>
      <c r="G134" s="2" t="s">
        <v>803</v>
      </c>
      <c r="H134" s="2" t="s">
        <v>123</v>
      </c>
      <c r="J134" s="2" t="s">
        <v>743</v>
      </c>
      <c r="K134" s="2" t="s">
        <v>871</v>
      </c>
      <c r="L134" s="2" t="s">
        <v>93</v>
      </c>
    </row>
    <row r="135" spans="2:12" ht="13.9" x14ac:dyDescent="0.3">
      <c r="B135" s="2" t="s">
        <v>526</v>
      </c>
      <c r="C135" s="2" t="s">
        <v>204</v>
      </c>
      <c r="D135" s="2" t="s">
        <v>472</v>
      </c>
      <c r="F135" s="2" t="s">
        <v>913</v>
      </c>
      <c r="G135" s="2" t="s">
        <v>827</v>
      </c>
      <c r="H135" s="2" t="s">
        <v>78</v>
      </c>
      <c r="J135" s="2" t="s">
        <v>935</v>
      </c>
      <c r="K135" s="2" t="s">
        <v>36</v>
      </c>
      <c r="L135" s="2" t="s">
        <v>464</v>
      </c>
    </row>
    <row r="136" spans="2:12" ht="13.9" x14ac:dyDescent="0.3">
      <c r="B136" s="2" t="s">
        <v>111</v>
      </c>
      <c r="C136" s="2" t="s">
        <v>456</v>
      </c>
      <c r="D136" s="2" t="s">
        <v>161</v>
      </c>
      <c r="F136" s="2" t="s">
        <v>800</v>
      </c>
      <c r="G136" s="2" t="s">
        <v>831</v>
      </c>
      <c r="H136" s="2" t="s">
        <v>121</v>
      </c>
      <c r="J136" s="2" t="s">
        <v>212</v>
      </c>
      <c r="K136" s="2" t="s">
        <v>898</v>
      </c>
      <c r="L136" s="2" t="s">
        <v>626</v>
      </c>
    </row>
    <row r="137" spans="2:12" ht="13.9" x14ac:dyDescent="0.3">
      <c r="B137" s="2" t="s">
        <v>339</v>
      </c>
      <c r="C137" s="2" t="s">
        <v>393</v>
      </c>
      <c r="D137" s="2" t="s">
        <v>106</v>
      </c>
      <c r="F137" s="2" t="s">
        <v>914</v>
      </c>
      <c r="G137" s="2" t="s">
        <v>847</v>
      </c>
      <c r="H137" s="2" t="s">
        <v>405</v>
      </c>
      <c r="J137" s="2" t="s">
        <v>214</v>
      </c>
      <c r="K137" s="2" t="s">
        <v>177</v>
      </c>
      <c r="L137" s="2" t="s">
        <v>887</v>
      </c>
    </row>
    <row r="138" spans="2:12" ht="13.9" x14ac:dyDescent="0.3">
      <c r="B138" s="2" t="s">
        <v>504</v>
      </c>
      <c r="C138" s="2" t="s">
        <v>218</v>
      </c>
      <c r="D138" s="2" t="s">
        <v>623</v>
      </c>
      <c r="F138" s="2" t="s">
        <v>405</v>
      </c>
      <c r="G138" s="2" t="s">
        <v>871</v>
      </c>
      <c r="H138" s="2" t="s">
        <v>472</v>
      </c>
      <c r="J138" s="2" t="s">
        <v>931</v>
      </c>
      <c r="K138" s="2" t="s">
        <v>387</v>
      </c>
      <c r="L138" s="2" t="s">
        <v>229</v>
      </c>
    </row>
    <row r="139" spans="2:12" ht="13.9" x14ac:dyDescent="0.3">
      <c r="B139" s="2" t="s">
        <v>770</v>
      </c>
      <c r="C139" s="2" t="s">
        <v>604</v>
      </c>
      <c r="D139" s="2" t="s">
        <v>765</v>
      </c>
      <c r="F139" s="2" t="s">
        <v>184</v>
      </c>
      <c r="G139" s="2" t="s">
        <v>918</v>
      </c>
      <c r="H139" s="2" t="s">
        <v>447</v>
      </c>
      <c r="J139" s="2" t="s">
        <v>716</v>
      </c>
      <c r="K139" s="2" t="s">
        <v>492</v>
      </c>
      <c r="L139" s="2" t="s">
        <v>56</v>
      </c>
    </row>
    <row r="140" spans="2:12" ht="13.9" x14ac:dyDescent="0.3">
      <c r="B140" s="2" t="s">
        <v>419</v>
      </c>
      <c r="C140" s="2" t="s">
        <v>274</v>
      </c>
      <c r="D140" s="2" t="s">
        <v>233</v>
      </c>
      <c r="F140" s="2" t="s">
        <v>338</v>
      </c>
      <c r="G140" s="2" t="s">
        <v>753</v>
      </c>
      <c r="H140" s="2" t="s">
        <v>380</v>
      </c>
      <c r="J140" s="2" t="s">
        <v>516</v>
      </c>
      <c r="K140" s="2" t="s">
        <v>637</v>
      </c>
      <c r="L140" s="2" t="s">
        <v>588</v>
      </c>
    </row>
    <row r="141" spans="2:12" ht="13.9" x14ac:dyDescent="0.3">
      <c r="B141" s="2" t="s">
        <v>625</v>
      </c>
      <c r="C141" s="2" t="s">
        <v>718</v>
      </c>
      <c r="D141" s="2" t="s">
        <v>77</v>
      </c>
      <c r="F141" s="2" t="s">
        <v>58</v>
      </c>
      <c r="G141" s="2" t="s">
        <v>793</v>
      </c>
      <c r="H141" s="2" t="s">
        <v>668</v>
      </c>
      <c r="J141" s="2" t="s">
        <v>612</v>
      </c>
      <c r="K141" s="2" t="s">
        <v>734</v>
      </c>
      <c r="L141" s="2" t="s">
        <v>380</v>
      </c>
    </row>
    <row r="142" spans="2:12" ht="13.9" x14ac:dyDescent="0.3">
      <c r="B142" s="2" t="s">
        <v>771</v>
      </c>
      <c r="C142" s="2" t="s">
        <v>158</v>
      </c>
      <c r="D142" s="2" t="s">
        <v>716</v>
      </c>
      <c r="F142" s="2" t="s">
        <v>197</v>
      </c>
      <c r="G142" s="2" t="s">
        <v>808</v>
      </c>
      <c r="H142" s="2" t="s">
        <v>77</v>
      </c>
      <c r="J142" s="2" t="s">
        <v>195</v>
      </c>
      <c r="K142" s="2" t="s">
        <v>757</v>
      </c>
      <c r="L142" s="2" t="s">
        <v>48</v>
      </c>
    </row>
    <row r="143" spans="2:12" ht="13.9" x14ac:dyDescent="0.3">
      <c r="B143" s="2" t="s">
        <v>647</v>
      </c>
      <c r="C143" s="2" t="s">
        <v>159</v>
      </c>
      <c r="D143" s="2" t="s">
        <v>425</v>
      </c>
      <c r="F143" s="2" t="s">
        <v>398</v>
      </c>
      <c r="G143" s="2" t="s">
        <v>314</v>
      </c>
      <c r="H143" s="2" t="s">
        <v>512</v>
      </c>
      <c r="J143" s="2" t="s">
        <v>635</v>
      </c>
      <c r="K143" s="2" t="s">
        <v>844</v>
      </c>
      <c r="L143" s="2" t="s">
        <v>628</v>
      </c>
    </row>
    <row r="144" spans="2:12" ht="13.9" x14ac:dyDescent="0.3">
      <c r="B144" s="2" t="s">
        <v>233</v>
      </c>
      <c r="C144" s="2" t="s">
        <v>931</v>
      </c>
      <c r="D144" s="2" t="s">
        <v>495</v>
      </c>
      <c r="F144" s="2" t="s">
        <v>400</v>
      </c>
      <c r="G144" s="2" t="s">
        <v>239</v>
      </c>
      <c r="H144" s="2" t="s">
        <v>693</v>
      </c>
      <c r="J144" s="2" t="s">
        <v>678</v>
      </c>
      <c r="K144" s="2" t="s">
        <v>855</v>
      </c>
      <c r="L144" s="2" t="s">
        <v>175</v>
      </c>
    </row>
    <row r="145" spans="2:12" ht="13.9" x14ac:dyDescent="0.3">
      <c r="B145" s="2" t="s">
        <v>324</v>
      </c>
      <c r="C145" s="2" t="s">
        <v>391</v>
      </c>
      <c r="D145" s="2" t="s">
        <v>839</v>
      </c>
      <c r="F145" s="2" t="s">
        <v>495</v>
      </c>
      <c r="G145" s="2" t="s">
        <v>347</v>
      </c>
      <c r="H145" s="2" t="s">
        <v>25</v>
      </c>
      <c r="J145" s="2" t="s">
        <v>113</v>
      </c>
      <c r="K145" s="2" t="s">
        <v>152</v>
      </c>
      <c r="L145" s="2" t="s">
        <v>338</v>
      </c>
    </row>
    <row r="146" spans="2:12" ht="13.9" x14ac:dyDescent="0.3">
      <c r="B146" s="2" t="s">
        <v>223</v>
      </c>
      <c r="C146" s="2" t="s">
        <v>912</v>
      </c>
      <c r="D146" s="2" t="s">
        <v>420</v>
      </c>
      <c r="F146" s="2" t="s">
        <v>778</v>
      </c>
      <c r="G146" s="2" t="s">
        <v>470</v>
      </c>
      <c r="H146" s="2" t="s">
        <v>22</v>
      </c>
      <c r="J146" s="2" t="s">
        <v>240</v>
      </c>
      <c r="K146" s="2" t="s">
        <v>372</v>
      </c>
      <c r="L146" s="2" t="s">
        <v>156</v>
      </c>
    </row>
    <row r="147" spans="2:12" ht="13.9" x14ac:dyDescent="0.3">
      <c r="B147" s="2" t="s">
        <v>627</v>
      </c>
      <c r="C147" s="2" t="s">
        <v>33</v>
      </c>
      <c r="D147" s="2" t="s">
        <v>286</v>
      </c>
      <c r="F147" s="2" t="s">
        <v>169</v>
      </c>
      <c r="G147" s="2" t="s">
        <v>485</v>
      </c>
      <c r="H147" s="2" t="s">
        <v>457</v>
      </c>
      <c r="J147" s="2" t="s">
        <v>184</v>
      </c>
      <c r="K147" s="2" t="s">
        <v>27</v>
      </c>
      <c r="L147" s="2" t="s">
        <v>148</v>
      </c>
    </row>
    <row r="148" spans="2:12" ht="13.9" x14ac:dyDescent="0.3">
      <c r="B148" s="2" t="s">
        <v>87</v>
      </c>
      <c r="C148" s="2" t="s">
        <v>618</v>
      </c>
      <c r="D148" s="2" t="s">
        <v>447</v>
      </c>
      <c r="F148" s="2" t="s">
        <v>242</v>
      </c>
      <c r="G148" s="2" t="s">
        <v>838</v>
      </c>
      <c r="H148" s="2" t="s">
        <v>913</v>
      </c>
      <c r="J148" s="2" t="s">
        <v>54</v>
      </c>
      <c r="K148" s="2" t="s">
        <v>132</v>
      </c>
      <c r="L148" s="2" t="s">
        <v>459</v>
      </c>
    </row>
    <row r="149" spans="2:12" ht="13.9" x14ac:dyDescent="0.3">
      <c r="B149" s="2" t="s">
        <v>161</v>
      </c>
      <c r="C149" s="2" t="s">
        <v>249</v>
      </c>
      <c r="D149" s="2" t="s">
        <v>120</v>
      </c>
      <c r="F149" s="2" t="s">
        <v>23</v>
      </c>
      <c r="G149" s="2" t="s">
        <v>878</v>
      </c>
      <c r="H149" s="2" t="s">
        <v>493</v>
      </c>
      <c r="J149" s="2" t="s">
        <v>712</v>
      </c>
      <c r="K149" s="2" t="s">
        <v>266</v>
      </c>
      <c r="L149" s="2" t="s">
        <v>98</v>
      </c>
    </row>
    <row r="150" spans="2:12" ht="13.9" x14ac:dyDescent="0.3">
      <c r="B150" s="2" t="s">
        <v>516</v>
      </c>
      <c r="C150" s="2" t="s">
        <v>255</v>
      </c>
      <c r="D150" s="2" t="s">
        <v>45</v>
      </c>
      <c r="F150" s="2" t="s">
        <v>284</v>
      </c>
      <c r="G150" s="2" t="s">
        <v>553</v>
      </c>
      <c r="H150" s="2" t="s">
        <v>331</v>
      </c>
      <c r="J150" s="2" t="s">
        <v>274</v>
      </c>
      <c r="K150" s="2" t="s">
        <v>320</v>
      </c>
      <c r="L150" s="2" t="s">
        <v>224</v>
      </c>
    </row>
    <row r="151" spans="2:12" ht="13.9" x14ac:dyDescent="0.3">
      <c r="B151" s="2" t="s">
        <v>743</v>
      </c>
      <c r="C151" s="2" t="s">
        <v>368</v>
      </c>
      <c r="D151" s="2" t="s">
        <v>225</v>
      </c>
      <c r="F151" s="2" t="s">
        <v>123</v>
      </c>
      <c r="G151" s="2" t="s">
        <v>621</v>
      </c>
      <c r="H151" s="2" t="s">
        <v>746</v>
      </c>
      <c r="J151" s="2" t="s">
        <v>749</v>
      </c>
      <c r="K151" s="2" t="s">
        <v>507</v>
      </c>
      <c r="L151" s="2" t="s">
        <v>113</v>
      </c>
    </row>
    <row r="152" spans="2:12" ht="13.9" x14ac:dyDescent="0.3">
      <c r="B152" s="2" t="s">
        <v>202</v>
      </c>
      <c r="C152" s="2" t="s">
        <v>230</v>
      </c>
      <c r="D152" s="2" t="s">
        <v>186</v>
      </c>
      <c r="F152" s="2" t="s">
        <v>537</v>
      </c>
      <c r="G152" s="2" t="s">
        <v>132</v>
      </c>
      <c r="H152" s="2" t="s">
        <v>476</v>
      </c>
      <c r="J152" s="2" t="s">
        <v>294</v>
      </c>
      <c r="K152" s="2" t="s">
        <v>545</v>
      </c>
      <c r="L152" s="2" t="s">
        <v>195</v>
      </c>
    </row>
    <row r="153" spans="2:12" ht="13.9" x14ac:dyDescent="0.3">
      <c r="B153" s="2" t="s">
        <v>44</v>
      </c>
      <c r="C153" s="2" t="s">
        <v>774</v>
      </c>
      <c r="D153" s="2" t="s">
        <v>568</v>
      </c>
      <c r="F153" s="2" t="s">
        <v>586</v>
      </c>
      <c r="G153" s="2" t="s">
        <v>120</v>
      </c>
      <c r="H153" s="2" t="s">
        <v>168</v>
      </c>
      <c r="J153" s="2" t="s">
        <v>258</v>
      </c>
      <c r="K153" s="2" t="s">
        <v>548</v>
      </c>
      <c r="L153" s="2" t="s">
        <v>374</v>
      </c>
    </row>
    <row r="154" spans="2:12" ht="13.9" x14ac:dyDescent="0.3">
      <c r="B154" s="2" t="s">
        <v>917</v>
      </c>
      <c r="C154" s="2" t="s">
        <v>366</v>
      </c>
      <c r="D154" s="2" t="s">
        <v>65</v>
      </c>
      <c r="F154" s="2" t="s">
        <v>113</v>
      </c>
      <c r="G154" s="2" t="s">
        <v>814</v>
      </c>
      <c r="H154" s="2" t="s">
        <v>62</v>
      </c>
      <c r="J154" s="2" t="s">
        <v>460</v>
      </c>
      <c r="K154" s="2" t="s">
        <v>725</v>
      </c>
      <c r="L154" s="2" t="s">
        <v>80</v>
      </c>
    </row>
    <row r="155" spans="2:12" ht="13.9" x14ac:dyDescent="0.3">
      <c r="B155" s="2" t="s">
        <v>93</v>
      </c>
      <c r="C155" s="2" t="s">
        <v>715</v>
      </c>
      <c r="D155" s="2" t="s">
        <v>202</v>
      </c>
      <c r="F155" s="2" t="s">
        <v>672</v>
      </c>
      <c r="G155" s="2" t="s">
        <v>362</v>
      </c>
      <c r="H155" s="2" t="s">
        <v>622</v>
      </c>
      <c r="J155" s="2" t="s">
        <v>169</v>
      </c>
      <c r="K155" s="2" t="s">
        <v>747</v>
      </c>
      <c r="L155" s="2" t="s">
        <v>752</v>
      </c>
    </row>
    <row r="156" spans="2:12" ht="13.9" x14ac:dyDescent="0.3">
      <c r="B156" s="2" t="s">
        <v>106</v>
      </c>
      <c r="C156" s="2" t="s">
        <v>175</v>
      </c>
      <c r="D156" s="2" t="s">
        <v>62</v>
      </c>
      <c r="F156" s="2" t="s">
        <v>689</v>
      </c>
      <c r="G156" s="2" t="s">
        <v>932</v>
      </c>
      <c r="H156" s="2" t="s">
        <v>717</v>
      </c>
      <c r="J156" s="2" t="s">
        <v>355</v>
      </c>
      <c r="K156" s="2" t="s">
        <v>665</v>
      </c>
      <c r="L156" s="2" t="s">
        <v>168</v>
      </c>
    </row>
    <row r="157" spans="2:12" ht="13.9" x14ac:dyDescent="0.3">
      <c r="B157" s="2" t="s">
        <v>88</v>
      </c>
      <c r="C157" s="2" t="s">
        <v>868</v>
      </c>
      <c r="D157" s="6" t="s">
        <v>956</v>
      </c>
      <c r="F157" s="2" t="s">
        <v>239</v>
      </c>
      <c r="G157" s="2" t="s">
        <v>646</v>
      </c>
      <c r="H157" s="2" t="s">
        <v>283</v>
      </c>
      <c r="J157" s="2" t="s">
        <v>502</v>
      </c>
      <c r="K157" s="2" t="s">
        <v>444</v>
      </c>
      <c r="L157" s="2" t="s">
        <v>633</v>
      </c>
    </row>
    <row r="158" spans="2:12" ht="13.9" x14ac:dyDescent="0.3">
      <c r="B158" s="2" t="s">
        <v>123</v>
      </c>
      <c r="C158" s="2" t="s">
        <v>87</v>
      </c>
      <c r="F158" s="2" t="s">
        <v>678</v>
      </c>
      <c r="G158" s="2" t="s">
        <v>167</v>
      </c>
      <c r="H158" s="2" t="s">
        <v>765</v>
      </c>
      <c r="J158" s="2" t="s">
        <v>543</v>
      </c>
      <c r="K158" s="2" t="s">
        <v>95</v>
      </c>
      <c r="L158" s="2" t="s">
        <v>779</v>
      </c>
    </row>
    <row r="159" spans="2:12" ht="13.9" x14ac:dyDescent="0.3">
      <c r="B159" s="2" t="s">
        <v>477</v>
      </c>
      <c r="C159" s="2" t="s">
        <v>108</v>
      </c>
      <c r="F159" s="2" t="s">
        <v>493</v>
      </c>
      <c r="G159" s="2" t="s">
        <v>623</v>
      </c>
      <c r="H159" s="2" t="s">
        <v>131</v>
      </c>
      <c r="J159" s="2" t="s">
        <v>421</v>
      </c>
      <c r="K159" s="2" t="s">
        <v>145</v>
      </c>
      <c r="L159" s="2" t="s">
        <v>457</v>
      </c>
    </row>
    <row r="160" spans="2:12" ht="13.9" x14ac:dyDescent="0.3">
      <c r="B160" s="2" t="s">
        <v>274</v>
      </c>
      <c r="C160" s="2" t="s">
        <v>207</v>
      </c>
      <c r="F160" s="2" t="s">
        <v>668</v>
      </c>
      <c r="G160" s="2" t="s">
        <v>91</v>
      </c>
      <c r="H160" s="2" t="s">
        <v>641</v>
      </c>
      <c r="J160" s="2" t="s">
        <v>253</v>
      </c>
      <c r="K160" s="2" t="s">
        <v>522</v>
      </c>
      <c r="L160" s="2" t="s">
        <v>737</v>
      </c>
    </row>
    <row r="161" spans="2:12" ht="13.9" x14ac:dyDescent="0.3">
      <c r="B161" s="2" t="s">
        <v>249</v>
      </c>
      <c r="C161" s="2" t="s">
        <v>48</v>
      </c>
      <c r="F161" s="2" t="s">
        <v>693</v>
      </c>
      <c r="G161" s="2" t="s">
        <v>163</v>
      </c>
      <c r="H161" s="2" t="s">
        <v>374</v>
      </c>
      <c r="J161" s="2" t="s">
        <v>450</v>
      </c>
      <c r="K161" s="2" t="s">
        <v>572</v>
      </c>
      <c r="L161" s="2" t="s">
        <v>450</v>
      </c>
    </row>
    <row r="162" spans="2:12" ht="13.9" x14ac:dyDescent="0.3">
      <c r="B162" s="2" t="s">
        <v>723</v>
      </c>
      <c r="C162" s="2" t="s">
        <v>606</v>
      </c>
      <c r="F162" s="2" t="s">
        <v>105</v>
      </c>
      <c r="G162" s="2" t="s">
        <v>211</v>
      </c>
      <c r="H162" s="2" t="s">
        <v>167</v>
      </c>
      <c r="J162" s="2" t="s">
        <v>610</v>
      </c>
      <c r="K162" s="2" t="s">
        <v>694</v>
      </c>
      <c r="L162" s="2" t="s">
        <v>908</v>
      </c>
    </row>
    <row r="163" spans="2:12" ht="13.9" x14ac:dyDescent="0.3">
      <c r="B163" s="2" t="s">
        <v>824</v>
      </c>
      <c r="C163" s="2" t="s">
        <v>240</v>
      </c>
      <c r="F163" s="2" t="s">
        <v>921</v>
      </c>
      <c r="G163" s="2" t="s">
        <v>320</v>
      </c>
      <c r="H163" s="2" t="s">
        <v>338</v>
      </c>
      <c r="J163" s="2" t="s">
        <v>477</v>
      </c>
      <c r="K163" s="2" t="s">
        <v>798</v>
      </c>
      <c r="L163" s="2" t="s">
        <v>142</v>
      </c>
    </row>
    <row r="164" spans="2:12" ht="13.9" x14ac:dyDescent="0.3">
      <c r="B164" s="2" t="s">
        <v>568</v>
      </c>
      <c r="C164" s="2" t="s">
        <v>466</v>
      </c>
      <c r="F164" s="2" t="s">
        <v>638</v>
      </c>
      <c r="G164" s="2" t="s">
        <v>357</v>
      </c>
      <c r="H164" s="2" t="s">
        <v>21</v>
      </c>
      <c r="J164" s="2" t="s">
        <v>594</v>
      </c>
      <c r="K164" s="2" t="s">
        <v>882</v>
      </c>
      <c r="L164" s="2" t="s">
        <v>193</v>
      </c>
    </row>
    <row r="165" spans="2:12" ht="13.9" x14ac:dyDescent="0.3">
      <c r="B165" s="2" t="s">
        <v>290</v>
      </c>
      <c r="C165" s="2" t="s">
        <v>128</v>
      </c>
      <c r="F165" s="2" t="s">
        <v>391</v>
      </c>
      <c r="G165" s="2" t="s">
        <v>501</v>
      </c>
      <c r="H165" s="2" t="s">
        <v>692</v>
      </c>
      <c r="J165" s="2" t="s">
        <v>59</v>
      </c>
      <c r="K165" s="2" t="s">
        <v>899</v>
      </c>
      <c r="L165" s="2" t="s">
        <v>765</v>
      </c>
    </row>
    <row r="166" spans="2:12" ht="13.9" x14ac:dyDescent="0.3">
      <c r="B166" s="2" t="s">
        <v>77</v>
      </c>
      <c r="C166" s="2" t="s">
        <v>44</v>
      </c>
      <c r="F166" s="2" t="s">
        <v>253</v>
      </c>
      <c r="G166" s="2" t="s">
        <v>578</v>
      </c>
      <c r="H166" s="2" t="s">
        <v>80</v>
      </c>
      <c r="J166" s="2" t="s">
        <v>730</v>
      </c>
      <c r="K166" s="2" t="s">
        <v>224</v>
      </c>
      <c r="L166" s="2" t="s">
        <v>152</v>
      </c>
    </row>
    <row r="167" spans="2:12" ht="13.9" x14ac:dyDescent="0.3">
      <c r="B167" s="2" t="s">
        <v>78</v>
      </c>
      <c r="C167" s="2" t="s">
        <v>221</v>
      </c>
      <c r="F167" s="2" t="s">
        <v>748</v>
      </c>
      <c r="G167" s="2" t="s">
        <v>637</v>
      </c>
      <c r="H167" s="2" t="s">
        <v>602</v>
      </c>
      <c r="J167" s="2" t="s">
        <v>672</v>
      </c>
      <c r="K167" s="2" t="s">
        <v>450</v>
      </c>
      <c r="L167" s="2" t="s">
        <v>202</v>
      </c>
    </row>
    <row r="168" spans="2:12" ht="13.9" x14ac:dyDescent="0.3">
      <c r="B168" s="2" t="s">
        <v>448</v>
      </c>
      <c r="C168" s="2" t="s">
        <v>62</v>
      </c>
      <c r="F168" s="2" t="s">
        <v>942</v>
      </c>
      <c r="G168" s="2" t="s">
        <v>642</v>
      </c>
      <c r="H168" s="2" t="s">
        <v>846</v>
      </c>
      <c r="J168" s="2" t="s">
        <v>441</v>
      </c>
      <c r="K168" s="2" t="s">
        <v>469</v>
      </c>
      <c r="L168" s="2" t="s">
        <v>739</v>
      </c>
    </row>
    <row r="169" spans="2:12" ht="13.9" x14ac:dyDescent="0.3">
      <c r="B169" s="2" t="s">
        <v>661</v>
      </c>
      <c r="C169" s="2" t="s">
        <v>168</v>
      </c>
      <c r="F169" s="2" t="s">
        <v>728</v>
      </c>
      <c r="G169" s="2" t="s">
        <v>648</v>
      </c>
      <c r="H169" s="2" t="s">
        <v>723</v>
      </c>
      <c r="J169" s="2" t="s">
        <v>602</v>
      </c>
      <c r="K169" s="2" t="s">
        <v>741</v>
      </c>
      <c r="L169" s="2" t="s">
        <v>472</v>
      </c>
    </row>
    <row r="170" spans="2:12" ht="13.9" x14ac:dyDescent="0.3">
      <c r="B170" s="2" t="s">
        <v>691</v>
      </c>
      <c r="C170" s="2" t="s">
        <v>920</v>
      </c>
      <c r="F170" s="2" t="s">
        <v>618</v>
      </c>
      <c r="G170" s="2" t="s">
        <v>726</v>
      </c>
      <c r="H170" s="2" t="s">
        <v>325</v>
      </c>
      <c r="J170" s="2" t="s">
        <v>55</v>
      </c>
      <c r="K170" s="2" t="s">
        <v>852</v>
      </c>
      <c r="L170" s="2" t="s">
        <v>723</v>
      </c>
    </row>
    <row r="171" spans="2:12" ht="13.9" x14ac:dyDescent="0.3">
      <c r="B171" s="2" t="s">
        <v>638</v>
      </c>
      <c r="C171" s="2" t="s">
        <v>134</v>
      </c>
      <c r="F171" s="2" t="s">
        <v>93</v>
      </c>
      <c r="G171" s="2" t="s">
        <v>798</v>
      </c>
      <c r="H171" s="2" t="s">
        <v>495</v>
      </c>
      <c r="J171" s="2" t="s">
        <v>633</v>
      </c>
      <c r="K171" s="2" t="s">
        <v>402</v>
      </c>
      <c r="L171" s="2" t="s">
        <v>372</v>
      </c>
    </row>
    <row r="172" spans="2:12" ht="13.9" x14ac:dyDescent="0.3">
      <c r="B172" s="2" t="s">
        <v>509</v>
      </c>
      <c r="C172" s="2" t="s">
        <v>104</v>
      </c>
      <c r="F172" s="2" t="s">
        <v>56</v>
      </c>
      <c r="G172" s="2" t="s">
        <v>176</v>
      </c>
      <c r="H172" s="2" t="s">
        <v>623</v>
      </c>
      <c r="J172" s="2" t="s">
        <v>312</v>
      </c>
      <c r="K172" s="2" t="s">
        <v>535</v>
      </c>
      <c r="L172" s="2" t="s">
        <v>312</v>
      </c>
    </row>
    <row r="173" spans="2:12" ht="13.9" x14ac:dyDescent="0.3">
      <c r="B173" s="2" t="s">
        <v>689</v>
      </c>
      <c r="C173" s="2" t="s">
        <v>526</v>
      </c>
      <c r="F173" s="2" t="s">
        <v>877</v>
      </c>
      <c r="G173" s="2" t="s">
        <v>852</v>
      </c>
      <c r="H173" s="2" t="s">
        <v>735</v>
      </c>
      <c r="J173" s="2" t="s">
        <v>115</v>
      </c>
      <c r="K173" s="2" t="s">
        <v>597</v>
      </c>
      <c r="L173" s="2" t="s">
        <v>782</v>
      </c>
    </row>
    <row r="174" spans="2:12" ht="13.9" x14ac:dyDescent="0.3">
      <c r="B174" s="2" t="s">
        <v>65</v>
      </c>
      <c r="C174" s="2" t="s">
        <v>234</v>
      </c>
      <c r="F174" s="2" t="s">
        <v>516</v>
      </c>
      <c r="G174" s="2" t="s">
        <v>51</v>
      </c>
      <c r="H174" s="2" t="s">
        <v>225</v>
      </c>
      <c r="J174" s="2" t="s">
        <v>625</v>
      </c>
      <c r="K174" s="2" t="s">
        <v>647</v>
      </c>
      <c r="L174" s="2" t="s">
        <v>828</v>
      </c>
    </row>
    <row r="175" spans="2:12" ht="13.9" x14ac:dyDescent="0.3">
      <c r="B175" s="2" t="s">
        <v>908</v>
      </c>
      <c r="C175" s="2" t="s">
        <v>324</v>
      </c>
      <c r="F175" s="2" t="s">
        <v>40</v>
      </c>
      <c r="G175" s="2" t="s">
        <v>205</v>
      </c>
      <c r="H175" s="2" t="s">
        <v>399</v>
      </c>
      <c r="J175" s="2" t="s">
        <v>63</v>
      </c>
      <c r="K175" s="2" t="s">
        <v>782</v>
      </c>
      <c r="L175" s="2" t="s">
        <v>914</v>
      </c>
    </row>
    <row r="176" spans="2:12" ht="13.9" x14ac:dyDescent="0.3">
      <c r="B176" s="2" t="s">
        <v>221</v>
      </c>
      <c r="C176" s="2" t="s">
        <v>330</v>
      </c>
      <c r="F176" s="2" t="s">
        <v>700</v>
      </c>
      <c r="G176" s="2" t="s">
        <v>575</v>
      </c>
      <c r="H176" s="2" t="s">
        <v>301</v>
      </c>
      <c r="J176" s="2" t="s">
        <v>152</v>
      </c>
      <c r="K176" s="2" t="s">
        <v>475</v>
      </c>
      <c r="L176" s="2" t="s">
        <v>369</v>
      </c>
    </row>
    <row r="177" spans="2:12" ht="13.9" x14ac:dyDescent="0.3">
      <c r="B177" s="2" t="s">
        <v>672</v>
      </c>
      <c r="C177" s="2" t="s">
        <v>877</v>
      </c>
      <c r="F177" s="2" t="s">
        <v>730</v>
      </c>
      <c r="G177" s="2" t="s">
        <v>31</v>
      </c>
      <c r="H177" s="2" t="s">
        <v>687</v>
      </c>
      <c r="J177" s="2" t="s">
        <v>211</v>
      </c>
      <c r="K177" s="2" t="s">
        <v>531</v>
      </c>
      <c r="L177" s="2" t="s">
        <v>283</v>
      </c>
    </row>
    <row r="178" spans="2:12" ht="13.9" x14ac:dyDescent="0.3">
      <c r="B178" s="2" t="s">
        <v>388</v>
      </c>
      <c r="C178" s="2" t="s">
        <v>294</v>
      </c>
      <c r="F178" s="2" t="s">
        <v>376</v>
      </c>
      <c r="G178" s="2" t="s">
        <v>535</v>
      </c>
      <c r="H178" s="2" t="s">
        <v>897</v>
      </c>
      <c r="J178" s="2" t="s">
        <v>264</v>
      </c>
      <c r="K178" s="2" t="s">
        <v>562</v>
      </c>
      <c r="L178" s="2" t="s">
        <v>90</v>
      </c>
    </row>
    <row r="179" spans="2:12" ht="13.9" x14ac:dyDescent="0.3">
      <c r="B179" s="2" t="s">
        <v>367</v>
      </c>
      <c r="C179" s="2" t="s">
        <v>422</v>
      </c>
      <c r="F179" s="2" t="s">
        <v>931</v>
      </c>
      <c r="G179" s="2" t="s">
        <v>434</v>
      </c>
      <c r="H179" s="2" t="s">
        <v>866</v>
      </c>
      <c r="J179" s="2" t="s">
        <v>627</v>
      </c>
      <c r="K179" s="2" t="s">
        <v>792</v>
      </c>
      <c r="L179" s="2" t="s">
        <v>602</v>
      </c>
    </row>
    <row r="180" spans="2:12" ht="13.9" x14ac:dyDescent="0.3">
      <c r="B180" s="2" t="s">
        <v>682</v>
      </c>
      <c r="C180" s="2" t="s">
        <v>283</v>
      </c>
      <c r="F180" s="2" t="s">
        <v>710</v>
      </c>
      <c r="G180" s="2" t="s">
        <v>735</v>
      </c>
      <c r="H180" s="2" t="s">
        <v>821</v>
      </c>
      <c r="J180" s="2" t="s">
        <v>105</v>
      </c>
      <c r="K180" s="2" t="s">
        <v>803</v>
      </c>
      <c r="L180" s="2" t="s">
        <v>186</v>
      </c>
    </row>
    <row r="181" spans="2:12" ht="13.9" x14ac:dyDescent="0.3">
      <c r="B181" s="2" t="s">
        <v>184</v>
      </c>
      <c r="C181" s="2" t="s">
        <v>118</v>
      </c>
      <c r="F181" s="2" t="s">
        <v>386</v>
      </c>
      <c r="G181" s="2" t="s">
        <v>521</v>
      </c>
      <c r="H181" s="2" t="s">
        <v>800</v>
      </c>
      <c r="J181" s="2" t="s">
        <v>218</v>
      </c>
      <c r="K181" s="2" t="s">
        <v>897</v>
      </c>
    </row>
    <row r="182" spans="2:12" ht="13.9" x14ac:dyDescent="0.3">
      <c r="B182" s="2" t="s">
        <v>727</v>
      </c>
      <c r="C182" s="2" t="s">
        <v>772</v>
      </c>
      <c r="F182" s="2" t="s">
        <v>521</v>
      </c>
      <c r="G182" s="2" t="s">
        <v>29</v>
      </c>
      <c r="H182" s="2" t="s">
        <v>700</v>
      </c>
      <c r="J182" s="2" t="s">
        <v>638</v>
      </c>
      <c r="K182" s="2" t="s">
        <v>904</v>
      </c>
    </row>
    <row r="183" spans="2:12" ht="13.9" x14ac:dyDescent="0.3">
      <c r="B183" s="2" t="s">
        <v>114</v>
      </c>
      <c r="C183" s="2" t="s">
        <v>258</v>
      </c>
      <c r="F183" s="2" t="s">
        <v>737</v>
      </c>
      <c r="G183" s="2" t="s">
        <v>150</v>
      </c>
      <c r="H183" s="2" t="s">
        <v>807</v>
      </c>
      <c r="J183" s="2" t="s">
        <v>858</v>
      </c>
      <c r="K183" s="2" t="s">
        <v>361</v>
      </c>
    </row>
    <row r="184" spans="2:12" ht="13.9" x14ac:dyDescent="0.3">
      <c r="B184" s="2" t="s">
        <v>385</v>
      </c>
      <c r="C184" s="2" t="s">
        <v>743</v>
      </c>
      <c r="F184" s="2" t="s">
        <v>104</v>
      </c>
      <c r="G184" s="2" t="s">
        <v>206</v>
      </c>
      <c r="H184" s="2" t="s">
        <v>239</v>
      </c>
      <c r="J184" s="2" t="s">
        <v>391</v>
      </c>
      <c r="K184" s="2" t="s">
        <v>552</v>
      </c>
    </row>
    <row r="185" spans="2:12" ht="13.9" x14ac:dyDescent="0.3">
      <c r="B185" s="2" t="s">
        <v>253</v>
      </c>
      <c r="C185" s="2" t="s">
        <v>776</v>
      </c>
      <c r="F185" s="2" t="s">
        <v>324</v>
      </c>
      <c r="G185" s="2" t="s">
        <v>285</v>
      </c>
      <c r="H185" s="2" t="s">
        <v>193</v>
      </c>
      <c r="J185" s="2" t="s">
        <v>921</v>
      </c>
      <c r="K185" s="2" t="s">
        <v>119</v>
      </c>
    </row>
    <row r="186" spans="2:12" ht="13.9" x14ac:dyDescent="0.3">
      <c r="B186" s="2" t="s">
        <v>456</v>
      </c>
      <c r="C186" s="2" t="s">
        <v>80</v>
      </c>
      <c r="F186" s="2" t="s">
        <v>466</v>
      </c>
      <c r="G186" s="2" t="s">
        <v>289</v>
      </c>
      <c r="H186" s="2" t="s">
        <v>521</v>
      </c>
      <c r="J186" s="2" t="s">
        <v>372</v>
      </c>
      <c r="K186" s="2" t="s">
        <v>328</v>
      </c>
    </row>
    <row r="187" spans="2:12" ht="13.9" x14ac:dyDescent="0.3">
      <c r="B187" s="2" t="s">
        <v>933</v>
      </c>
      <c r="C187" s="2" t="s">
        <v>94</v>
      </c>
      <c r="F187" s="2" t="s">
        <v>128</v>
      </c>
      <c r="G187" s="2" t="s">
        <v>304</v>
      </c>
      <c r="H187" s="2" t="s">
        <v>186</v>
      </c>
      <c r="J187" s="2" t="s">
        <v>249</v>
      </c>
      <c r="K187" s="2" t="s">
        <v>633</v>
      </c>
    </row>
    <row r="188" spans="2:12" ht="13.9" x14ac:dyDescent="0.3">
      <c r="B188" s="2" t="s">
        <v>33</v>
      </c>
      <c r="C188" s="2" t="s">
        <v>133</v>
      </c>
      <c r="F188" s="2" t="s">
        <v>771</v>
      </c>
      <c r="G188" s="2" t="s">
        <v>340</v>
      </c>
      <c r="H188" s="2" t="s">
        <v>782</v>
      </c>
      <c r="J188" s="2" t="s">
        <v>98</v>
      </c>
      <c r="K188" s="2" t="s">
        <v>39</v>
      </c>
    </row>
    <row r="189" spans="2:12" ht="13.9" x14ac:dyDescent="0.3">
      <c r="B189" s="2" t="s">
        <v>912</v>
      </c>
      <c r="C189" s="2" t="s">
        <v>611</v>
      </c>
      <c r="F189" s="2" t="s">
        <v>625</v>
      </c>
      <c r="G189" s="2" t="s">
        <v>446</v>
      </c>
      <c r="H189" s="2" t="s">
        <v>914</v>
      </c>
      <c r="J189" s="2" t="s">
        <v>576</v>
      </c>
      <c r="K189" s="2" t="s">
        <v>595</v>
      </c>
    </row>
    <row r="190" spans="2:12" ht="13.9" x14ac:dyDescent="0.3">
      <c r="B190" s="2" t="s">
        <v>108</v>
      </c>
      <c r="C190" s="2" t="s">
        <v>376</v>
      </c>
      <c r="F190" s="2" t="s">
        <v>261</v>
      </c>
      <c r="G190" s="2" t="s">
        <v>480</v>
      </c>
      <c r="H190" s="2" t="s">
        <v>242</v>
      </c>
      <c r="J190" s="2" t="s">
        <v>88</v>
      </c>
      <c r="K190" s="2" t="s">
        <v>356</v>
      </c>
    </row>
    <row r="191" spans="2:12" ht="13.9" x14ac:dyDescent="0.3">
      <c r="B191" s="2" t="s">
        <v>782</v>
      </c>
      <c r="C191" s="2" t="s">
        <v>477</v>
      </c>
      <c r="F191" s="2" t="s">
        <v>377</v>
      </c>
      <c r="G191" s="2" t="s">
        <v>536</v>
      </c>
      <c r="H191" s="2" t="s">
        <v>496</v>
      </c>
      <c r="J191" s="2" t="s">
        <v>102</v>
      </c>
      <c r="K191" s="2" t="s">
        <v>505</v>
      </c>
    </row>
    <row r="192" spans="2:12" ht="13.9" x14ac:dyDescent="0.3">
      <c r="B192" s="2" t="s">
        <v>931</v>
      </c>
      <c r="C192" s="8" t="s">
        <v>99</v>
      </c>
      <c r="F192" s="2" t="s">
        <v>76</v>
      </c>
      <c r="G192" s="2" t="s">
        <v>549</v>
      </c>
      <c r="H192" s="2" t="s">
        <v>474</v>
      </c>
      <c r="J192" s="2" t="s">
        <v>458</v>
      </c>
      <c r="K192" s="2" t="s">
        <v>591</v>
      </c>
    </row>
    <row r="193" spans="2:11" ht="13.9" x14ac:dyDescent="0.3">
      <c r="B193" s="2" t="s">
        <v>128</v>
      </c>
      <c r="C193" s="2" t="s">
        <v>170</v>
      </c>
      <c r="F193" s="2" t="s">
        <v>264</v>
      </c>
      <c r="G193" s="2" t="s">
        <v>580</v>
      </c>
      <c r="H193" s="2" t="s">
        <v>809</v>
      </c>
      <c r="J193" s="2" t="s">
        <v>221</v>
      </c>
      <c r="K193" s="2" t="s">
        <v>656</v>
      </c>
    </row>
    <row r="194" spans="2:11" ht="13.9" x14ac:dyDescent="0.3">
      <c r="B194" s="2" t="s">
        <v>476</v>
      </c>
      <c r="C194" s="2" t="s">
        <v>689</v>
      </c>
      <c r="F194" s="2" t="s">
        <v>916</v>
      </c>
      <c r="G194" s="2" t="s">
        <v>588</v>
      </c>
      <c r="H194" s="2" t="s">
        <v>442</v>
      </c>
      <c r="J194" s="2" t="s">
        <v>828</v>
      </c>
      <c r="K194" s="2" t="s">
        <v>297</v>
      </c>
    </row>
    <row r="195" spans="2:11" ht="13.9" x14ac:dyDescent="0.3">
      <c r="B195" s="2" t="s">
        <v>715</v>
      </c>
      <c r="C195" s="2" t="s">
        <v>672</v>
      </c>
      <c r="F195" s="2" t="s">
        <v>743</v>
      </c>
      <c r="G195" s="2" t="s">
        <v>713</v>
      </c>
      <c r="H195" s="2" t="s">
        <v>260</v>
      </c>
      <c r="J195" s="2" t="s">
        <v>338</v>
      </c>
      <c r="K195" s="2" t="s">
        <v>281</v>
      </c>
    </row>
    <row r="196" spans="2:11" ht="13.9" x14ac:dyDescent="0.3">
      <c r="B196" s="2" t="s">
        <v>292</v>
      </c>
      <c r="C196" s="2" t="s">
        <v>142</v>
      </c>
      <c r="F196" s="2" t="s">
        <v>372</v>
      </c>
      <c r="G196" s="2" t="s">
        <v>714</v>
      </c>
      <c r="H196" s="2" t="s">
        <v>737</v>
      </c>
      <c r="J196" s="2" t="s">
        <v>285</v>
      </c>
      <c r="K196" s="2" t="s">
        <v>462</v>
      </c>
    </row>
    <row r="197" spans="2:11" ht="13.9" x14ac:dyDescent="0.3">
      <c r="B197" s="2" t="s">
        <v>366</v>
      </c>
      <c r="C197" s="2" t="s">
        <v>771</v>
      </c>
      <c r="F197" s="2" t="s">
        <v>602</v>
      </c>
      <c r="G197" s="2" t="s">
        <v>804</v>
      </c>
      <c r="H197" s="6" t="s">
        <v>910</v>
      </c>
      <c r="J197" s="2" t="s">
        <v>438</v>
      </c>
      <c r="K197" s="2" t="s">
        <v>523</v>
      </c>
    </row>
    <row r="198" spans="2:11" ht="13.9" x14ac:dyDescent="0.3">
      <c r="B198" s="2" t="s">
        <v>718</v>
      </c>
      <c r="C198" s="2" t="s">
        <v>321</v>
      </c>
      <c r="F198" s="2" t="s">
        <v>606</v>
      </c>
      <c r="G198" s="2" t="s">
        <v>841</v>
      </c>
      <c r="J198" s="2" t="s">
        <v>376</v>
      </c>
      <c r="K198" s="2" t="s">
        <v>554</v>
      </c>
    </row>
    <row r="199" spans="2:11" ht="13.9" x14ac:dyDescent="0.3">
      <c r="B199" s="2" t="s">
        <v>294</v>
      </c>
      <c r="C199" s="2" t="s">
        <v>287</v>
      </c>
      <c r="F199" s="2" t="s">
        <v>88</v>
      </c>
      <c r="G199" s="2" t="s">
        <v>856</v>
      </c>
      <c r="J199" s="2" t="s">
        <v>90</v>
      </c>
      <c r="K199" s="2" t="s">
        <v>557</v>
      </c>
    </row>
    <row r="200" spans="2:11" ht="13.9" x14ac:dyDescent="0.3">
      <c r="B200" s="2" t="s">
        <v>257</v>
      </c>
      <c r="C200" s="2" t="s">
        <v>40</v>
      </c>
      <c r="F200" s="2" t="s">
        <v>388</v>
      </c>
      <c r="G200" s="2" t="s">
        <v>930</v>
      </c>
      <c r="J200" s="2" t="s">
        <v>779</v>
      </c>
      <c r="K200" s="2" t="s">
        <v>486</v>
      </c>
    </row>
    <row r="201" spans="2:11" ht="13.9" x14ac:dyDescent="0.3">
      <c r="B201" s="2" t="s">
        <v>784</v>
      </c>
      <c r="C201" s="2" t="s">
        <v>384</v>
      </c>
      <c r="F201" s="6" t="s">
        <v>99</v>
      </c>
      <c r="G201" s="2" t="s">
        <v>323</v>
      </c>
      <c r="J201" s="2" t="s">
        <v>772</v>
      </c>
      <c r="K201" s="2" t="s">
        <v>195</v>
      </c>
    </row>
    <row r="202" spans="2:11" ht="13.9" x14ac:dyDescent="0.3">
      <c r="B202" s="2" t="s">
        <v>263</v>
      </c>
      <c r="C202" s="2" t="s">
        <v>457</v>
      </c>
      <c r="F202" s="2" t="s">
        <v>122</v>
      </c>
      <c r="G202" s="2" t="s">
        <v>666</v>
      </c>
      <c r="J202" s="2" t="s">
        <v>384</v>
      </c>
      <c r="K202" s="2" t="s">
        <v>692</v>
      </c>
    </row>
    <row r="203" spans="2:11" ht="13.9" x14ac:dyDescent="0.3">
      <c r="B203" s="2" t="s">
        <v>374</v>
      </c>
      <c r="C203" s="2" t="s">
        <v>203</v>
      </c>
      <c r="F203" s="2" t="s">
        <v>330</v>
      </c>
      <c r="G203" s="2" t="s">
        <v>686</v>
      </c>
      <c r="J203" s="2" t="s">
        <v>466</v>
      </c>
      <c r="K203" s="2" t="s">
        <v>667</v>
      </c>
    </row>
    <row r="204" spans="2:11" ht="13.9" x14ac:dyDescent="0.3">
      <c r="B204" s="2" t="s">
        <v>197</v>
      </c>
      <c r="C204" s="2" t="s">
        <v>188</v>
      </c>
      <c r="F204" s="2" t="s">
        <v>448</v>
      </c>
      <c r="G204" s="2" t="s">
        <v>842</v>
      </c>
      <c r="J204" s="2" t="s">
        <v>777</v>
      </c>
      <c r="K204" s="2" t="s">
        <v>588</v>
      </c>
    </row>
    <row r="205" spans="2:11" ht="13.9" x14ac:dyDescent="0.3">
      <c r="B205" s="2" t="s">
        <v>372</v>
      </c>
      <c r="C205" s="2" t="s">
        <v>126</v>
      </c>
      <c r="F205" s="2" t="s">
        <v>77</v>
      </c>
      <c r="G205" s="2" t="s">
        <v>881</v>
      </c>
      <c r="J205" s="2" t="s">
        <v>916</v>
      </c>
      <c r="K205" s="2" t="s">
        <v>403</v>
      </c>
    </row>
    <row r="206" spans="2:11" ht="13.9" x14ac:dyDescent="0.3">
      <c r="B206" s="2" t="s">
        <v>331</v>
      </c>
      <c r="C206" s="2" t="s">
        <v>148</v>
      </c>
      <c r="F206" s="2" t="s">
        <v>438</v>
      </c>
      <c r="G206" s="2" t="s">
        <v>890</v>
      </c>
      <c r="J206" s="2" t="s">
        <v>321</v>
      </c>
      <c r="K206" s="2" t="s">
        <v>580</v>
      </c>
    </row>
    <row r="207" spans="2:11" ht="13.9" x14ac:dyDescent="0.3">
      <c r="B207" s="2" t="s">
        <v>66</v>
      </c>
      <c r="C207" s="2" t="s">
        <v>779</v>
      </c>
      <c r="F207" s="2" t="s">
        <v>66</v>
      </c>
      <c r="G207" s="2" t="s">
        <v>619</v>
      </c>
      <c r="J207" s="2" t="s">
        <v>914</v>
      </c>
      <c r="K207" s="2" t="s">
        <v>675</v>
      </c>
    </row>
    <row r="208" spans="2:11" ht="13.9" x14ac:dyDescent="0.3">
      <c r="B208" s="2" t="s">
        <v>264</v>
      </c>
      <c r="C208" s="2" t="s">
        <v>764</v>
      </c>
      <c r="F208" s="2" t="s">
        <v>235</v>
      </c>
      <c r="G208" s="2" t="s">
        <v>325</v>
      </c>
      <c r="J208" s="2" t="s">
        <v>33</v>
      </c>
      <c r="K208" s="2" t="s">
        <v>178</v>
      </c>
    </row>
    <row r="209" spans="2:11" ht="13.9" x14ac:dyDescent="0.3">
      <c r="B209" s="2" t="s">
        <v>941</v>
      </c>
      <c r="C209" s="2" t="s">
        <v>367</v>
      </c>
      <c r="F209" s="2" t="s">
        <v>78</v>
      </c>
      <c r="G209" s="2" t="s">
        <v>571</v>
      </c>
      <c r="J209" s="2" t="s">
        <v>618</v>
      </c>
      <c r="K209" s="2" t="s">
        <v>809</v>
      </c>
    </row>
    <row r="210" spans="2:11" ht="13.9" x14ac:dyDescent="0.3">
      <c r="B210" s="2" t="s">
        <v>376</v>
      </c>
      <c r="C210" s="2" t="s">
        <v>504</v>
      </c>
      <c r="F210" s="2" t="s">
        <v>912</v>
      </c>
      <c r="G210" s="2" t="s">
        <v>810</v>
      </c>
      <c r="J210" s="2" t="s">
        <v>628</v>
      </c>
      <c r="K210" s="2" t="s">
        <v>113</v>
      </c>
    </row>
    <row r="211" spans="2:11" ht="13.9" x14ac:dyDescent="0.3">
      <c r="B211" s="2" t="s">
        <v>208</v>
      </c>
      <c r="C211" s="2" t="s">
        <v>23</v>
      </c>
      <c r="F211" s="2" t="s">
        <v>70</v>
      </c>
      <c r="G211" s="2" t="s">
        <v>675</v>
      </c>
      <c r="J211" s="2" t="s">
        <v>367</v>
      </c>
      <c r="K211" s="2" t="s">
        <v>276</v>
      </c>
    </row>
    <row r="212" spans="2:11" ht="13.9" x14ac:dyDescent="0.3">
      <c r="B212" s="2" t="s">
        <v>454</v>
      </c>
      <c r="C212" s="2" t="s">
        <v>261</v>
      </c>
      <c r="F212" s="2" t="s">
        <v>636</v>
      </c>
      <c r="G212" s="2" t="s">
        <v>700</v>
      </c>
      <c r="J212" s="2" t="s">
        <v>386</v>
      </c>
      <c r="K212" s="2" t="s">
        <v>913</v>
      </c>
    </row>
    <row r="213" spans="2:11" ht="13.9" x14ac:dyDescent="0.3">
      <c r="B213" s="2" t="s">
        <v>748</v>
      </c>
      <c r="C213" s="2" t="s">
        <v>435</v>
      </c>
      <c r="F213" s="2" t="s">
        <v>718</v>
      </c>
      <c r="G213" s="2" t="s">
        <v>333</v>
      </c>
      <c r="J213" s="2" t="s">
        <v>782</v>
      </c>
      <c r="K213" s="2" t="s">
        <v>229</v>
      </c>
    </row>
    <row r="214" spans="2:11" ht="13.9" x14ac:dyDescent="0.3">
      <c r="B214" s="2" t="s">
        <v>230</v>
      </c>
      <c r="C214" s="2" t="s">
        <v>661</v>
      </c>
      <c r="F214" s="2" t="s">
        <v>385</v>
      </c>
      <c r="G214" s="2" t="s">
        <v>443</v>
      </c>
      <c r="J214" s="2" t="s">
        <v>263</v>
      </c>
      <c r="K214" s="2" t="s">
        <v>176</v>
      </c>
    </row>
    <row r="215" spans="2:11" ht="13.9" x14ac:dyDescent="0.3">
      <c r="B215" s="2" t="s">
        <v>234</v>
      </c>
      <c r="C215" s="2" t="s">
        <v>691</v>
      </c>
      <c r="F215" s="2" t="s">
        <v>782</v>
      </c>
      <c r="G215" s="2" t="s">
        <v>494</v>
      </c>
      <c r="J215" s="2" t="s">
        <v>284</v>
      </c>
      <c r="K215" s="2" t="s">
        <v>534</v>
      </c>
    </row>
    <row r="216" spans="2:11" ht="13.9" x14ac:dyDescent="0.3">
      <c r="B216" s="2" t="s">
        <v>607</v>
      </c>
      <c r="C216" s="2" t="s">
        <v>284</v>
      </c>
      <c r="F216" s="2" t="s">
        <v>249</v>
      </c>
      <c r="G216" s="2" t="s">
        <v>673</v>
      </c>
      <c r="J216" s="2" t="s">
        <v>834</v>
      </c>
      <c r="K216" s="2" t="s">
        <v>550</v>
      </c>
    </row>
    <row r="217" spans="2:11" ht="13.9" x14ac:dyDescent="0.3">
      <c r="B217" s="2" t="s">
        <v>459</v>
      </c>
      <c r="C217" s="2" t="s">
        <v>292</v>
      </c>
      <c r="F217" s="2" t="s">
        <v>477</v>
      </c>
      <c r="G217" s="2" t="s">
        <v>783</v>
      </c>
      <c r="J217" s="2" t="s">
        <v>40</v>
      </c>
      <c r="K217" s="2" t="s">
        <v>567</v>
      </c>
    </row>
    <row r="218" spans="2:11" ht="13.9" x14ac:dyDescent="0.3">
      <c r="B218" s="2" t="s">
        <v>283</v>
      </c>
      <c r="C218" s="2" t="s">
        <v>942</v>
      </c>
      <c r="F218" s="2" t="s">
        <v>622</v>
      </c>
      <c r="G218" s="2" t="s">
        <v>900</v>
      </c>
      <c r="J218" s="2" t="s">
        <v>525</v>
      </c>
      <c r="K218" s="2" t="s">
        <v>740</v>
      </c>
    </row>
    <row r="219" spans="2:11" ht="13.9" x14ac:dyDescent="0.3">
      <c r="B219" s="2" t="s">
        <v>934</v>
      </c>
      <c r="C219" s="2" t="s">
        <v>458</v>
      </c>
      <c r="F219" s="2" t="s">
        <v>230</v>
      </c>
      <c r="G219" s="2" t="s">
        <v>911</v>
      </c>
      <c r="J219" s="2" t="s">
        <v>56</v>
      </c>
      <c r="K219" s="2" t="s">
        <v>363</v>
      </c>
    </row>
    <row r="220" spans="2:11" ht="13.9" x14ac:dyDescent="0.3">
      <c r="B220" s="2" t="s">
        <v>371</v>
      </c>
      <c r="C220" s="2" t="s">
        <v>56</v>
      </c>
      <c r="F220" s="2" t="s">
        <v>114</v>
      </c>
      <c r="G220" s="2" t="s">
        <v>111</v>
      </c>
      <c r="J220" s="2" t="s">
        <v>596</v>
      </c>
      <c r="K220" s="2" t="s">
        <v>832</v>
      </c>
    </row>
    <row r="221" spans="2:11" ht="13.9" x14ac:dyDescent="0.3">
      <c r="B221" s="2" t="s">
        <v>220</v>
      </c>
      <c r="C221" s="2" t="s">
        <v>377</v>
      </c>
      <c r="F221" s="2" t="s">
        <v>715</v>
      </c>
      <c r="G221" s="2" t="s">
        <v>124</v>
      </c>
      <c r="J221" s="2" t="s">
        <v>766</v>
      </c>
      <c r="K221" s="2" t="s">
        <v>546</v>
      </c>
    </row>
    <row r="222" spans="2:11" ht="13.9" x14ac:dyDescent="0.3">
      <c r="B222" s="2" t="s">
        <v>104</v>
      </c>
      <c r="C222" s="2" t="s">
        <v>374</v>
      </c>
      <c r="F222" s="2" t="s">
        <v>263</v>
      </c>
      <c r="G222" s="2" t="s">
        <v>645</v>
      </c>
      <c r="J222" s="2" t="s">
        <v>385</v>
      </c>
      <c r="K222" s="2" t="s">
        <v>936</v>
      </c>
    </row>
    <row r="223" spans="2:11" ht="13.9" x14ac:dyDescent="0.3">
      <c r="B223" s="2" t="s">
        <v>604</v>
      </c>
      <c r="C223" s="2" t="s">
        <v>622</v>
      </c>
      <c r="F223" s="2" t="s">
        <v>935</v>
      </c>
      <c r="G223" s="2" t="s">
        <v>909</v>
      </c>
      <c r="J223" s="2" t="s">
        <v>133</v>
      </c>
      <c r="K223" s="2" t="s">
        <v>350</v>
      </c>
    </row>
    <row r="224" spans="2:11" ht="13.9" x14ac:dyDescent="0.3">
      <c r="B224" s="2" t="s">
        <v>386</v>
      </c>
      <c r="C224" s="2" t="s">
        <v>122</v>
      </c>
      <c r="F224" s="2" t="s">
        <v>458</v>
      </c>
      <c r="G224" s="2" t="s">
        <v>581</v>
      </c>
      <c r="J224" s="2" t="s">
        <v>718</v>
      </c>
      <c r="K224" s="2" t="s">
        <v>659</v>
      </c>
    </row>
    <row r="225" spans="2:11" ht="13.9" x14ac:dyDescent="0.3">
      <c r="B225" s="2" t="s">
        <v>779</v>
      </c>
      <c r="C225" s="2" t="s">
        <v>940</v>
      </c>
      <c r="F225" s="2" t="s">
        <v>641</v>
      </c>
      <c r="G225" s="2" t="s">
        <v>631</v>
      </c>
      <c r="J225" s="2" t="s">
        <v>868</v>
      </c>
      <c r="K225" s="2" t="s">
        <v>660</v>
      </c>
    </row>
    <row r="226" spans="2:11" ht="13.9" x14ac:dyDescent="0.3">
      <c r="B226" s="2" t="s">
        <v>218</v>
      </c>
      <c r="C226" s="2" t="s">
        <v>181</v>
      </c>
      <c r="F226" s="2" t="s">
        <v>108</v>
      </c>
      <c r="G226" s="2" t="s">
        <v>568</v>
      </c>
      <c r="J226" s="2" t="s">
        <v>604</v>
      </c>
      <c r="K226" s="2" t="s">
        <v>674</v>
      </c>
    </row>
    <row r="227" spans="2:11" ht="13.9" x14ac:dyDescent="0.3">
      <c r="B227" s="2" t="s">
        <v>212</v>
      </c>
      <c r="C227" s="2" t="s">
        <v>264</v>
      </c>
      <c r="F227" s="2" t="s">
        <v>134</v>
      </c>
      <c r="G227" s="2" t="s">
        <v>331</v>
      </c>
      <c r="J227" s="2" t="s">
        <v>908</v>
      </c>
      <c r="K227" s="2" t="s">
        <v>680</v>
      </c>
    </row>
    <row r="228" spans="2:11" ht="13.9" x14ac:dyDescent="0.3">
      <c r="B228" s="2" t="s">
        <v>214</v>
      </c>
      <c r="C228" s="2" t="s">
        <v>341</v>
      </c>
      <c r="F228" s="2" t="s">
        <v>933</v>
      </c>
      <c r="G228" s="2" t="s">
        <v>404</v>
      </c>
      <c r="J228" s="2" t="s">
        <v>476</v>
      </c>
      <c r="K228" s="2" t="s">
        <v>779</v>
      </c>
    </row>
    <row r="229" spans="2:11" ht="13.9" x14ac:dyDescent="0.3">
      <c r="B229" s="2" t="s">
        <v>848</v>
      </c>
      <c r="C229" s="2" t="s">
        <v>169</v>
      </c>
      <c r="F229" s="2" t="s">
        <v>368</v>
      </c>
      <c r="G229" s="2" t="s">
        <v>26</v>
      </c>
      <c r="J229" s="2" t="s">
        <v>193</v>
      </c>
      <c r="K229" s="2" t="s">
        <v>811</v>
      </c>
    </row>
    <row r="230" spans="2:11" ht="13.9" x14ac:dyDescent="0.3">
      <c r="B230" s="2" t="s">
        <v>133</v>
      </c>
      <c r="C230" s="2" t="s">
        <v>386</v>
      </c>
      <c r="F230" s="2" t="s">
        <v>607</v>
      </c>
      <c r="G230" s="2" t="s">
        <v>335</v>
      </c>
      <c r="J230" s="2" t="s">
        <v>87</v>
      </c>
      <c r="K230" s="2" t="s">
        <v>434</v>
      </c>
    </row>
    <row r="231" spans="2:11" ht="13.9" x14ac:dyDescent="0.3">
      <c r="B231" s="2" t="s">
        <v>158</v>
      </c>
      <c r="C231" s="2" t="s">
        <v>416</v>
      </c>
      <c r="F231" s="2" t="s">
        <v>723</v>
      </c>
      <c r="G231" s="2" t="s">
        <v>795</v>
      </c>
      <c r="J231" s="2" t="s">
        <v>148</v>
      </c>
      <c r="K231" s="2" t="s">
        <v>449</v>
      </c>
    </row>
    <row r="232" spans="2:11" ht="13.9" x14ac:dyDescent="0.3">
      <c r="B232" s="2" t="s">
        <v>159</v>
      </c>
      <c r="C232" s="2" t="s">
        <v>586</v>
      </c>
      <c r="F232" s="2" t="s">
        <v>682</v>
      </c>
      <c r="G232" s="2" t="s">
        <v>893</v>
      </c>
      <c r="J232" s="2" t="s">
        <v>174</v>
      </c>
      <c r="K232" s="2" t="s">
        <v>746</v>
      </c>
    </row>
    <row r="233" spans="2:11" ht="13.9" x14ac:dyDescent="0.3">
      <c r="B233" s="2" t="s">
        <v>438</v>
      </c>
      <c r="C233" s="2" t="s">
        <v>476</v>
      </c>
      <c r="F233" s="2" t="s">
        <v>779</v>
      </c>
      <c r="G233" s="2" t="s">
        <v>782</v>
      </c>
      <c r="J233" s="2" t="s">
        <v>456</v>
      </c>
      <c r="K233" s="2" t="s">
        <v>474</v>
      </c>
    </row>
    <row r="234" spans="2:11" ht="13.9" x14ac:dyDescent="0.3">
      <c r="B234" s="2" t="s">
        <v>766</v>
      </c>
      <c r="C234" s="2" t="s">
        <v>596</v>
      </c>
      <c r="F234" s="2" t="s">
        <v>212</v>
      </c>
      <c r="G234" s="2" t="s">
        <v>659</v>
      </c>
      <c r="J234" s="2" t="s">
        <v>44</v>
      </c>
      <c r="K234" s="2" t="s">
        <v>887</v>
      </c>
    </row>
    <row r="235" spans="2:11" ht="13.9" x14ac:dyDescent="0.3">
      <c r="B235" s="2" t="s">
        <v>776</v>
      </c>
      <c r="C235" s="2" t="s">
        <v>43</v>
      </c>
      <c r="F235" s="2" t="s">
        <v>214</v>
      </c>
      <c r="G235" s="2" t="s">
        <v>660</v>
      </c>
      <c r="J235" s="2" t="s">
        <v>551</v>
      </c>
      <c r="K235" s="2" t="s">
        <v>314</v>
      </c>
    </row>
    <row r="236" spans="2:11" ht="13.9" x14ac:dyDescent="0.3">
      <c r="B236" s="2" t="s">
        <v>433</v>
      </c>
      <c r="C236" s="2" t="s">
        <v>451</v>
      </c>
      <c r="F236" s="2" t="s">
        <v>218</v>
      </c>
      <c r="G236" s="2" t="s">
        <v>674</v>
      </c>
      <c r="J236" s="2" t="s">
        <v>108</v>
      </c>
      <c r="K236" s="2" t="s">
        <v>346</v>
      </c>
    </row>
    <row r="237" spans="2:11" ht="13.9" x14ac:dyDescent="0.3">
      <c r="B237" s="2" t="s">
        <v>55</v>
      </c>
      <c r="C237" s="2" t="s">
        <v>83</v>
      </c>
      <c r="F237" s="2" t="s">
        <v>87</v>
      </c>
      <c r="G237" s="2" t="s">
        <v>680</v>
      </c>
      <c r="J237" s="2" t="s">
        <v>377</v>
      </c>
      <c r="K237" s="2" t="s">
        <v>814</v>
      </c>
    </row>
    <row r="238" spans="2:11" ht="13.9" x14ac:dyDescent="0.3">
      <c r="B238" s="2" t="s">
        <v>48</v>
      </c>
      <c r="C238" s="2" t="s">
        <v>84</v>
      </c>
      <c r="F238" s="2" t="s">
        <v>456</v>
      </c>
      <c r="G238" s="2" t="s">
        <v>106</v>
      </c>
      <c r="J238" s="2" t="s">
        <v>76</v>
      </c>
      <c r="K238" s="2" t="s">
        <v>911</v>
      </c>
    </row>
    <row r="239" spans="2:11" ht="13.9" x14ac:dyDescent="0.3">
      <c r="B239" s="2" t="s">
        <v>216</v>
      </c>
      <c r="C239" s="2" t="s">
        <v>730</v>
      </c>
      <c r="F239" s="2" t="s">
        <v>472</v>
      </c>
      <c r="G239" s="2" t="s">
        <v>626</v>
      </c>
      <c r="J239" s="2" t="s">
        <v>388</v>
      </c>
      <c r="K239" s="2" t="s">
        <v>123</v>
      </c>
    </row>
    <row r="240" spans="2:11" ht="13.9" x14ac:dyDescent="0.3">
      <c r="B240" s="2" t="s">
        <v>137</v>
      </c>
      <c r="C240" s="2" t="s">
        <v>394</v>
      </c>
      <c r="F240" s="2" t="s">
        <v>416</v>
      </c>
      <c r="G240" s="2" t="s">
        <v>375</v>
      </c>
      <c r="J240" s="2" t="s">
        <v>128</v>
      </c>
      <c r="K240" s="2" t="s">
        <v>624</v>
      </c>
    </row>
    <row r="241" spans="2:11" ht="13.9" x14ac:dyDescent="0.3">
      <c r="B241" s="2" t="s">
        <v>175</v>
      </c>
      <c r="C241" s="2" t="s">
        <v>721</v>
      </c>
      <c r="F241" s="2" t="s">
        <v>611</v>
      </c>
      <c r="G241" s="2" t="s">
        <v>194</v>
      </c>
      <c r="J241" s="2" t="s">
        <v>118</v>
      </c>
      <c r="K241" s="2" t="s">
        <v>93</v>
      </c>
    </row>
    <row r="242" spans="2:11" ht="13.9" x14ac:dyDescent="0.3">
      <c r="B242" s="2" t="s">
        <v>255</v>
      </c>
      <c r="C242" s="2" t="s">
        <v>576</v>
      </c>
      <c r="F242" s="2" t="s">
        <v>868</v>
      </c>
      <c r="G242" s="2" t="s">
        <v>177</v>
      </c>
      <c r="J242" s="2" t="s">
        <v>920</v>
      </c>
      <c r="K242" s="2" t="s">
        <v>431</v>
      </c>
    </row>
    <row r="243" spans="2:11" ht="13.9" x14ac:dyDescent="0.3">
      <c r="B243" s="2" t="s">
        <v>275</v>
      </c>
      <c r="C243" s="2" t="s">
        <v>805</v>
      </c>
      <c r="F243" s="2" t="s">
        <v>48</v>
      </c>
      <c r="G243" s="2" t="s">
        <v>425</v>
      </c>
      <c r="J243" s="2" t="s">
        <v>187</v>
      </c>
      <c r="K243" s="2" t="s">
        <v>719</v>
      </c>
    </row>
    <row r="244" spans="2:11" ht="13.9" x14ac:dyDescent="0.3">
      <c r="B244" s="2" t="s">
        <v>472</v>
      </c>
      <c r="C244" s="2" t="s">
        <v>935</v>
      </c>
      <c r="F244" s="2" t="s">
        <v>339</v>
      </c>
      <c r="G244" s="2" t="s">
        <v>460</v>
      </c>
      <c r="J244" s="2" t="s">
        <v>255</v>
      </c>
      <c r="K244" s="2" t="s">
        <v>849</v>
      </c>
    </row>
    <row r="245" spans="2:11" ht="13.9" x14ac:dyDescent="0.3">
      <c r="B245" s="2" t="s">
        <v>377</v>
      </c>
      <c r="C245" s="2" t="s">
        <v>231</v>
      </c>
      <c r="F245" s="2" t="s">
        <v>294</v>
      </c>
      <c r="G245" s="2" t="s">
        <v>758</v>
      </c>
      <c r="J245" s="2" t="s">
        <v>23</v>
      </c>
      <c r="K245" s="2" t="s">
        <v>19</v>
      </c>
    </row>
    <row r="246" spans="2:11" ht="13.9" x14ac:dyDescent="0.3">
      <c r="B246" s="2" t="s">
        <v>775</v>
      </c>
      <c r="C246" s="2" t="s">
        <v>784</v>
      </c>
      <c r="F246" s="2" t="s">
        <v>193</v>
      </c>
      <c r="G246" s="2" t="s">
        <v>815</v>
      </c>
      <c r="J246" s="2" t="s">
        <v>66</v>
      </c>
      <c r="K246" s="2" t="s">
        <v>215</v>
      </c>
    </row>
    <row r="247" spans="2:11" ht="13.9" x14ac:dyDescent="0.3">
      <c r="B247" s="2" t="s">
        <v>115</v>
      </c>
      <c r="C247" s="2" t="s">
        <v>610</v>
      </c>
      <c r="F247" s="2" t="s">
        <v>115</v>
      </c>
      <c r="G247" s="2" t="s">
        <v>884</v>
      </c>
      <c r="J247" s="2" t="s">
        <v>778</v>
      </c>
      <c r="K247" s="2" t="s">
        <v>437</v>
      </c>
    </row>
    <row r="248" spans="2:11" ht="13.9" x14ac:dyDescent="0.3">
      <c r="B248" s="2" t="s">
        <v>422</v>
      </c>
      <c r="C248" s="2" t="s">
        <v>339</v>
      </c>
      <c r="F248" s="2" t="s">
        <v>594</v>
      </c>
      <c r="G248" s="2" t="s">
        <v>938</v>
      </c>
      <c r="J248" s="2" t="s">
        <v>339</v>
      </c>
      <c r="K248" s="2" t="s">
        <v>480</v>
      </c>
    </row>
    <row r="249" spans="2:11" ht="13.9" x14ac:dyDescent="0.3">
      <c r="B249" s="2" t="s">
        <v>201</v>
      </c>
      <c r="C249" s="2" t="s">
        <v>257</v>
      </c>
      <c r="F249" s="2" t="s">
        <v>33</v>
      </c>
      <c r="G249" s="2" t="s">
        <v>232</v>
      </c>
      <c r="J249" s="2" t="s">
        <v>374</v>
      </c>
      <c r="K249" s="2" t="s">
        <v>544</v>
      </c>
    </row>
    <row r="250" spans="2:11" ht="13.9" x14ac:dyDescent="0.3">
      <c r="B250" s="2" t="s">
        <v>186</v>
      </c>
      <c r="C250" s="2" t="s">
        <v>76</v>
      </c>
      <c r="F250" s="2" t="s">
        <v>846</v>
      </c>
      <c r="G250" s="2" t="s">
        <v>923</v>
      </c>
      <c r="J250" s="2" t="s">
        <v>933</v>
      </c>
      <c r="K250" s="2" t="s">
        <v>409</v>
      </c>
    </row>
    <row r="251" spans="2:11" ht="13.9" x14ac:dyDescent="0.3">
      <c r="B251" s="2" t="s">
        <v>73</v>
      </c>
      <c r="C251" s="2" t="s">
        <v>665</v>
      </c>
      <c r="F251" s="2" t="s">
        <v>44</v>
      </c>
      <c r="G251" s="2" t="s">
        <v>288</v>
      </c>
      <c r="J251" s="2" t="s">
        <v>230</v>
      </c>
      <c r="K251" s="2" t="s">
        <v>171</v>
      </c>
    </row>
    <row r="252" spans="2:11" ht="13.9" x14ac:dyDescent="0.3">
      <c r="B252" s="2" t="s">
        <v>393</v>
      </c>
      <c r="C252" s="2" t="s">
        <v>372</v>
      </c>
      <c r="F252" s="2" t="s">
        <v>604</v>
      </c>
      <c r="G252" s="2" t="s">
        <v>310</v>
      </c>
      <c r="J252" s="2" t="s">
        <v>364</v>
      </c>
      <c r="K252" s="2" t="s">
        <v>144</v>
      </c>
    </row>
    <row r="253" spans="2:11" ht="13.9" x14ac:dyDescent="0.3">
      <c r="B253" s="2" t="s">
        <v>765</v>
      </c>
      <c r="C253" s="2" t="s">
        <v>138</v>
      </c>
      <c r="F253" s="2" t="s">
        <v>526</v>
      </c>
      <c r="G253" s="2" t="s">
        <v>585</v>
      </c>
      <c r="J253" s="2" t="s">
        <v>682</v>
      </c>
      <c r="K253" s="2" t="s">
        <v>193</v>
      </c>
    </row>
    <row r="254" spans="2:11" ht="13.9" x14ac:dyDescent="0.3">
      <c r="B254" s="2" t="s">
        <v>551</v>
      </c>
      <c r="C254" s="2" t="s">
        <v>172</v>
      </c>
      <c r="F254" s="2" t="s">
        <v>255</v>
      </c>
      <c r="G254" s="2" t="s">
        <v>653</v>
      </c>
      <c r="J254" s="2" t="s">
        <v>235</v>
      </c>
      <c r="K254" s="2" t="s">
        <v>819</v>
      </c>
    </row>
    <row r="255" spans="2:11" ht="13.9" x14ac:dyDescent="0.3">
      <c r="B255" s="2" t="s">
        <v>943</v>
      </c>
      <c r="C255" s="2" t="s">
        <v>88</v>
      </c>
      <c r="F255" s="2" t="s">
        <v>55</v>
      </c>
      <c r="G255" s="2" t="s">
        <v>706</v>
      </c>
      <c r="J255" s="2" t="s">
        <v>472</v>
      </c>
      <c r="K255" s="2" t="s">
        <v>539</v>
      </c>
    </row>
    <row r="256" spans="2:11" ht="13.9" x14ac:dyDescent="0.3">
      <c r="B256" s="2" t="s">
        <v>117</v>
      </c>
      <c r="C256" s="2" t="s">
        <v>921</v>
      </c>
      <c r="F256" s="2" t="s">
        <v>422</v>
      </c>
      <c r="G256" s="2" t="s">
        <v>763</v>
      </c>
      <c r="J256" s="2" t="s">
        <v>459</v>
      </c>
      <c r="K256" s="2" t="s">
        <v>181</v>
      </c>
    </row>
    <row r="257" spans="2:11" ht="13.9" x14ac:dyDescent="0.3">
      <c r="B257" s="2" t="s">
        <v>168</v>
      </c>
      <c r="C257" s="2" t="s">
        <v>360</v>
      </c>
      <c r="F257" s="2" t="s">
        <v>54</v>
      </c>
      <c r="G257" s="2" t="s">
        <v>116</v>
      </c>
      <c r="J257" s="2" t="s">
        <v>368</v>
      </c>
      <c r="K257" s="2" t="s">
        <v>516</v>
      </c>
    </row>
    <row r="258" spans="2:11" ht="13.9" x14ac:dyDescent="0.3">
      <c r="B258" s="6" t="s">
        <v>956</v>
      </c>
      <c r="C258" s="2" t="s">
        <v>627</v>
      </c>
      <c r="F258" s="2" t="s">
        <v>220</v>
      </c>
      <c r="G258" s="2" t="s">
        <v>692</v>
      </c>
      <c r="J258" s="2" t="s">
        <v>366</v>
      </c>
      <c r="K258" s="2" t="s">
        <v>908</v>
      </c>
    </row>
    <row r="259" spans="2:11" ht="13.9" x14ac:dyDescent="0.3">
      <c r="B259" s="2" t="s">
        <v>457</v>
      </c>
      <c r="C259" s="2" t="s">
        <v>459</v>
      </c>
      <c r="F259" s="2" t="s">
        <v>727</v>
      </c>
      <c r="G259" s="2" t="s">
        <v>196</v>
      </c>
      <c r="J259" s="2" t="s">
        <v>104</v>
      </c>
      <c r="K259" s="2" t="s">
        <v>678</v>
      </c>
    </row>
    <row r="260" spans="2:11" ht="13.9" x14ac:dyDescent="0.3">
      <c r="B260" s="2" t="s">
        <v>207</v>
      </c>
      <c r="C260" s="2" t="s">
        <v>590</v>
      </c>
      <c r="F260" s="2" t="s">
        <v>454</v>
      </c>
      <c r="G260" s="2" t="s">
        <v>256</v>
      </c>
      <c r="J260" s="2" t="s">
        <v>204</v>
      </c>
      <c r="K260" s="2" t="s">
        <v>790</v>
      </c>
    </row>
    <row r="261" spans="2:11" ht="13.9" x14ac:dyDescent="0.3">
      <c r="B261" s="2" t="s">
        <v>364</v>
      </c>
      <c r="C261" s="2" t="s">
        <v>105</v>
      </c>
      <c r="F261" s="2" t="s">
        <v>765</v>
      </c>
      <c r="G261" s="2" t="s">
        <v>121</v>
      </c>
      <c r="J261" s="2" t="s">
        <v>765</v>
      </c>
      <c r="K261" s="8" t="s">
        <v>681</v>
      </c>
    </row>
    <row r="262" spans="2:11" ht="13.9" x14ac:dyDescent="0.3">
      <c r="B262" s="2" t="s">
        <v>471</v>
      </c>
      <c r="C262" s="2" t="s">
        <v>754</v>
      </c>
      <c r="F262" s="2" t="s">
        <v>142</v>
      </c>
      <c r="G262" s="2" t="s">
        <v>447</v>
      </c>
      <c r="J262" s="2" t="s">
        <v>941</v>
      </c>
      <c r="K262" s="2" t="s">
        <v>440</v>
      </c>
    </row>
    <row r="263" spans="2:11" ht="13.9" x14ac:dyDescent="0.3">
      <c r="B263" s="2" t="s">
        <v>142</v>
      </c>
      <c r="C263" s="2" t="s">
        <v>102</v>
      </c>
      <c r="F263" s="2" t="s">
        <v>920</v>
      </c>
      <c r="G263" s="2" t="s">
        <v>305</v>
      </c>
      <c r="J263" s="2" t="s">
        <v>393</v>
      </c>
      <c r="K263" s="2" t="s">
        <v>116</v>
      </c>
    </row>
    <row r="264" spans="2:11" ht="13.9" x14ac:dyDescent="0.3">
      <c r="B264" s="2" t="s">
        <v>187</v>
      </c>
      <c r="C264" s="2" t="s">
        <v>811</v>
      </c>
      <c r="F264" s="2" t="s">
        <v>175</v>
      </c>
      <c r="G264" s="2" t="s">
        <v>640</v>
      </c>
      <c r="J264" s="2" t="s">
        <v>371</v>
      </c>
      <c r="K264" s="2" t="s">
        <v>683</v>
      </c>
    </row>
    <row r="265" spans="2:11" ht="13.9" x14ac:dyDescent="0.3">
      <c r="B265" s="2" t="s">
        <v>69</v>
      </c>
      <c r="C265" s="2" t="s">
        <v>334</v>
      </c>
      <c r="F265" s="2" t="s">
        <v>290</v>
      </c>
      <c r="G265" s="2" t="s">
        <v>922</v>
      </c>
      <c r="J265" s="2" t="s">
        <v>234</v>
      </c>
      <c r="K265" s="2" t="s">
        <v>587</v>
      </c>
    </row>
    <row r="266" spans="2:11" ht="13.9" x14ac:dyDescent="0.3">
      <c r="B266" s="2" t="s">
        <v>89</v>
      </c>
      <c r="C266" s="2" t="s">
        <v>543</v>
      </c>
      <c r="F266" s="2" t="s">
        <v>476</v>
      </c>
      <c r="G266" s="2" t="s">
        <v>495</v>
      </c>
      <c r="J266" s="2" t="s">
        <v>208</v>
      </c>
      <c r="K266" s="2" t="s">
        <v>58</v>
      </c>
    </row>
    <row r="267" spans="2:11" ht="13.9" x14ac:dyDescent="0.3">
      <c r="B267" s="2" t="s">
        <v>781</v>
      </c>
      <c r="C267" s="2" t="s">
        <v>695</v>
      </c>
      <c r="F267" s="2" t="s">
        <v>364</v>
      </c>
      <c r="G267" s="2" t="s">
        <v>354</v>
      </c>
      <c r="J267" s="2" t="s">
        <v>158</v>
      </c>
      <c r="K267" s="2" t="s">
        <v>307</v>
      </c>
    </row>
    <row r="268" spans="2:11" ht="13.9" x14ac:dyDescent="0.3">
      <c r="B268" s="2" t="s">
        <v>282</v>
      </c>
      <c r="C268" s="2" t="s">
        <v>409</v>
      </c>
      <c r="F268" s="2" t="s">
        <v>204</v>
      </c>
      <c r="G268" s="2" t="s">
        <v>482</v>
      </c>
      <c r="J268" s="2" t="s">
        <v>159</v>
      </c>
      <c r="K268" s="2" t="s">
        <v>352</v>
      </c>
    </row>
    <row r="269" spans="2:11" ht="13.9" x14ac:dyDescent="0.3">
      <c r="B269" s="2" t="s">
        <v>170</v>
      </c>
      <c r="C269" s="2" t="s">
        <v>869</v>
      </c>
      <c r="F269" s="2" t="s">
        <v>393</v>
      </c>
      <c r="G269" s="2" t="s">
        <v>876</v>
      </c>
      <c r="J269" s="2" t="s">
        <v>170</v>
      </c>
      <c r="K269" s="2" t="s">
        <v>383</v>
      </c>
    </row>
    <row r="270" spans="2:11" ht="13.9" x14ac:dyDescent="0.3">
      <c r="B270" s="2" t="s">
        <v>190</v>
      </c>
      <c r="C270" s="2" t="s">
        <v>765</v>
      </c>
      <c r="F270" s="2" t="s">
        <v>457</v>
      </c>
      <c r="G270" s="2" t="s">
        <v>560</v>
      </c>
      <c r="J270" s="2" t="s">
        <v>934</v>
      </c>
      <c r="K270" s="2" t="s">
        <v>810</v>
      </c>
    </row>
    <row r="271" spans="2:11" ht="13.9" x14ac:dyDescent="0.3">
      <c r="B271" s="2" t="s">
        <v>204</v>
      </c>
      <c r="C271" s="2" t="s">
        <v>629</v>
      </c>
      <c r="F271" s="2" t="s">
        <v>776</v>
      </c>
      <c r="G271" s="2" t="s">
        <v>768</v>
      </c>
      <c r="J271" s="2" t="s">
        <v>607</v>
      </c>
      <c r="K271" s="2" t="s">
        <v>860</v>
      </c>
    </row>
    <row r="272" spans="2:11" ht="13.9" x14ac:dyDescent="0.3">
      <c r="B272" s="2" t="s">
        <v>392</v>
      </c>
      <c r="C272" s="2" t="s">
        <v>834</v>
      </c>
      <c r="F272" s="2" t="s">
        <v>133</v>
      </c>
      <c r="G272" s="2" t="s">
        <v>858</v>
      </c>
      <c r="J272" s="2" t="s">
        <v>715</v>
      </c>
      <c r="K272" s="2" t="s">
        <v>472</v>
      </c>
    </row>
    <row r="273" spans="2:11" ht="13.9" x14ac:dyDescent="0.3">
      <c r="B273" s="2" t="s">
        <v>225</v>
      </c>
      <c r="C273" s="2" t="s">
        <v>728</v>
      </c>
      <c r="F273" s="2" t="s">
        <v>69</v>
      </c>
      <c r="G273" s="2" t="s">
        <v>162</v>
      </c>
      <c r="J273" s="2" t="s">
        <v>142</v>
      </c>
      <c r="K273" s="2" t="s">
        <v>663</v>
      </c>
    </row>
    <row r="274" spans="2:11" ht="13.9" x14ac:dyDescent="0.3">
      <c r="B274" s="2" t="s">
        <v>42</v>
      </c>
      <c r="C274" s="2" t="s">
        <v>638</v>
      </c>
      <c r="F274" s="2" t="s">
        <v>225</v>
      </c>
      <c r="G274" s="2" t="s">
        <v>174</v>
      </c>
      <c r="J274" s="2" t="s">
        <v>457</v>
      </c>
      <c r="K274" s="2" t="s">
        <v>184</v>
      </c>
    </row>
    <row r="275" spans="2:11" ht="13.9" x14ac:dyDescent="0.3">
      <c r="B275" s="2" t="s">
        <v>465</v>
      </c>
      <c r="C275" s="2" t="s">
        <v>472</v>
      </c>
      <c r="F275" s="2" t="s">
        <v>374</v>
      </c>
      <c r="G275" s="2" t="s">
        <v>421</v>
      </c>
      <c r="J275" s="2" t="s">
        <v>275</v>
      </c>
      <c r="K275" s="2" t="s">
        <v>98</v>
      </c>
    </row>
    <row r="276" spans="2:11" ht="13.9" x14ac:dyDescent="0.3">
      <c r="B276" s="2" t="s">
        <v>80</v>
      </c>
      <c r="C276" s="2" t="s">
        <v>858</v>
      </c>
      <c r="F276" s="2" t="s">
        <v>158</v>
      </c>
      <c r="G276" s="2" t="s">
        <v>601</v>
      </c>
      <c r="J276" s="2" t="s">
        <v>723</v>
      </c>
      <c r="K276" s="2" t="s">
        <v>244</v>
      </c>
    </row>
    <row r="277" spans="2:11" ht="13.9" x14ac:dyDescent="0.3">
      <c r="B277" s="2" t="s">
        <v>135</v>
      </c>
      <c r="C277" s="2" t="s">
        <v>225</v>
      </c>
      <c r="F277" s="2" t="s">
        <v>159</v>
      </c>
      <c r="G277" s="2" t="s">
        <v>195</v>
      </c>
      <c r="J277" s="2" t="s">
        <v>422</v>
      </c>
      <c r="K277" s="2" t="s">
        <v>846</v>
      </c>
    </row>
    <row r="278" spans="2:11" ht="13.9" x14ac:dyDescent="0.3">
      <c r="B278" s="2" t="s">
        <v>510</v>
      </c>
      <c r="C278" s="2" t="s">
        <v>668</v>
      </c>
      <c r="F278" s="2" t="s">
        <v>366</v>
      </c>
      <c r="G278" s="2" t="s">
        <v>574</v>
      </c>
      <c r="J278" s="2" t="s">
        <v>471</v>
      </c>
      <c r="K278" s="2" t="s">
        <v>685</v>
      </c>
    </row>
    <row r="279" spans="2:11" ht="13.9" x14ac:dyDescent="0.3">
      <c r="B279" s="2" t="s">
        <v>155</v>
      </c>
      <c r="C279" s="2" t="s">
        <v>693</v>
      </c>
      <c r="F279" s="2" t="s">
        <v>275</v>
      </c>
      <c r="G279" s="2" t="s">
        <v>790</v>
      </c>
      <c r="J279" s="2" t="s">
        <v>89</v>
      </c>
      <c r="K279" s="2" t="s">
        <v>394</v>
      </c>
    </row>
    <row r="280" spans="2:11" ht="13.9" x14ac:dyDescent="0.3">
      <c r="B280" s="2" t="s">
        <v>160</v>
      </c>
      <c r="C280" s="2" t="s">
        <v>453</v>
      </c>
      <c r="F280" s="2" t="s">
        <v>465</v>
      </c>
      <c r="G280" s="2" t="s">
        <v>566</v>
      </c>
      <c r="J280" s="2" t="s">
        <v>207</v>
      </c>
      <c r="K280" s="2" t="s">
        <v>253</v>
      </c>
    </row>
    <row r="281" spans="2:11" ht="13.9" x14ac:dyDescent="0.3">
      <c r="B281" s="2" t="s">
        <v>417</v>
      </c>
      <c r="C281" s="2" t="s">
        <v>116</v>
      </c>
      <c r="F281" s="6" t="s">
        <v>910</v>
      </c>
      <c r="G281" s="2" t="s">
        <v>312</v>
      </c>
      <c r="J281" s="2" t="s">
        <v>201</v>
      </c>
      <c r="K281" s="2" t="s">
        <v>829</v>
      </c>
    </row>
    <row r="282" spans="2:11" ht="13.9" x14ac:dyDescent="0.3">
      <c r="B282" s="2" t="s">
        <v>50</v>
      </c>
      <c r="C282" s="2" t="s">
        <v>497</v>
      </c>
      <c r="F282" s="2" t="s">
        <v>941</v>
      </c>
      <c r="G282" s="2" t="s">
        <v>328</v>
      </c>
      <c r="J282" s="2" t="s">
        <v>775</v>
      </c>
      <c r="K282" s="2" t="s">
        <v>716</v>
      </c>
    </row>
    <row r="283" spans="2:11" ht="13.9" x14ac:dyDescent="0.3">
      <c r="B283" s="2" t="s">
        <v>378</v>
      </c>
      <c r="C283" s="2" t="s">
        <v>901</v>
      </c>
      <c r="F283" s="2" t="s">
        <v>551</v>
      </c>
      <c r="G283" s="2" t="s">
        <v>617</v>
      </c>
      <c r="J283" s="2" t="s">
        <v>290</v>
      </c>
      <c r="K283" s="2" t="s">
        <v>242</v>
      </c>
    </row>
    <row r="284" spans="2:11" ht="13.9" x14ac:dyDescent="0.3">
      <c r="B284" s="2" t="s">
        <v>248</v>
      </c>
      <c r="C284" s="2" t="s">
        <v>636</v>
      </c>
      <c r="F284" s="2" t="s">
        <v>510</v>
      </c>
      <c r="G284" s="2" t="s">
        <v>898</v>
      </c>
      <c r="J284" s="2" t="s">
        <v>748</v>
      </c>
      <c r="K284" s="2" t="s">
        <v>891</v>
      </c>
    </row>
    <row r="285" spans="2:11" ht="13.9" x14ac:dyDescent="0.3">
      <c r="B285" s="2" t="s">
        <v>929</v>
      </c>
      <c r="C285" s="2" t="s">
        <v>396</v>
      </c>
      <c r="F285" s="2" t="s">
        <v>775</v>
      </c>
      <c r="G285" s="2" t="s">
        <v>905</v>
      </c>
      <c r="J285" s="2" t="s">
        <v>848</v>
      </c>
      <c r="K285" s="2" t="s">
        <v>405</v>
      </c>
    </row>
    <row r="286" spans="2:11" ht="13.9" x14ac:dyDescent="0.3">
      <c r="B286" s="2" t="s">
        <v>925</v>
      </c>
      <c r="C286" s="2" t="s">
        <v>588</v>
      </c>
      <c r="F286" s="2" t="s">
        <v>848</v>
      </c>
      <c r="G286" s="2" t="s">
        <v>663</v>
      </c>
      <c r="J286" s="2" t="s">
        <v>781</v>
      </c>
      <c r="K286" s="2" t="s">
        <v>927</v>
      </c>
    </row>
    <row r="287" spans="2:11" ht="13.9" x14ac:dyDescent="0.3">
      <c r="B287" s="2" t="s">
        <v>217</v>
      </c>
      <c r="C287" s="2" t="s">
        <v>846</v>
      </c>
      <c r="F287" s="2" t="s">
        <v>186</v>
      </c>
      <c r="G287" s="2" t="s">
        <v>198</v>
      </c>
      <c r="J287" s="2" t="s">
        <v>776</v>
      </c>
      <c r="K287" s="2" t="s">
        <v>666</v>
      </c>
    </row>
    <row r="288" spans="2:11" ht="13.9" x14ac:dyDescent="0.3">
      <c r="B288" s="2" t="s">
        <v>299</v>
      </c>
      <c r="C288" s="2" t="s">
        <v>98</v>
      </c>
      <c r="F288" s="2" t="s">
        <v>371</v>
      </c>
      <c r="G288" s="2" t="s">
        <v>245</v>
      </c>
      <c r="J288" s="2" t="s">
        <v>454</v>
      </c>
      <c r="K288" s="2" t="s">
        <v>686</v>
      </c>
    </row>
    <row r="289" spans="2:11" ht="13.9" x14ac:dyDescent="0.3">
      <c r="B289" s="2" t="s">
        <v>389</v>
      </c>
      <c r="C289" s="2" t="s">
        <v>441</v>
      </c>
      <c r="F289" s="2" t="s">
        <v>187</v>
      </c>
      <c r="G289" s="2" t="s">
        <v>707</v>
      </c>
      <c r="J289" s="2" t="s">
        <v>510</v>
      </c>
      <c r="K289" s="2" t="s">
        <v>360</v>
      </c>
    </row>
    <row r="290" spans="2:11" ht="13.9" x14ac:dyDescent="0.3">
      <c r="B290" s="2" t="s">
        <v>291</v>
      </c>
      <c r="C290" s="2" t="s">
        <v>612</v>
      </c>
      <c r="F290" s="2" t="s">
        <v>201</v>
      </c>
      <c r="G290" s="2" t="s">
        <v>732</v>
      </c>
      <c r="J290" s="2" t="s">
        <v>220</v>
      </c>
      <c r="K290" s="2" t="s">
        <v>338</v>
      </c>
    </row>
    <row r="291" spans="2:11" ht="13.9" x14ac:dyDescent="0.3">
      <c r="B291" s="2" t="s">
        <v>603</v>
      </c>
      <c r="C291" s="2" t="s">
        <v>331</v>
      </c>
      <c r="F291" s="2" t="s">
        <v>89</v>
      </c>
      <c r="G291" s="2" t="s">
        <v>716</v>
      </c>
      <c r="J291" s="2" t="s">
        <v>433</v>
      </c>
      <c r="K291" s="2" t="s">
        <v>231</v>
      </c>
    </row>
    <row r="292" spans="2:11" ht="13.9" x14ac:dyDescent="0.3">
      <c r="B292" s="2" t="s">
        <v>652</v>
      </c>
      <c r="C292" s="2" t="s">
        <v>895</v>
      </c>
      <c r="F292" s="2" t="s">
        <v>934</v>
      </c>
      <c r="G292" s="2" t="s">
        <v>67</v>
      </c>
      <c r="J292" s="2" t="s">
        <v>48</v>
      </c>
      <c r="K292" s="2" t="s">
        <v>451</v>
      </c>
    </row>
    <row r="293" spans="2:11" ht="13.9" x14ac:dyDescent="0.3">
      <c r="B293" s="2" t="s">
        <v>226</v>
      </c>
      <c r="C293" s="2" t="s">
        <v>101</v>
      </c>
      <c r="F293" s="2" t="s">
        <v>117</v>
      </c>
      <c r="G293" s="2" t="s">
        <v>125</v>
      </c>
      <c r="J293" s="2" t="s">
        <v>465</v>
      </c>
      <c r="K293" s="2" t="s">
        <v>608</v>
      </c>
    </row>
    <row r="294" spans="2:11" ht="13.9" x14ac:dyDescent="0.3">
      <c r="B294" s="2" t="s">
        <v>189</v>
      </c>
      <c r="C294" s="2" t="s">
        <v>195</v>
      </c>
      <c r="F294" s="2" t="s">
        <v>471</v>
      </c>
      <c r="G294" s="2" t="s">
        <v>492</v>
      </c>
      <c r="J294" s="2" t="s">
        <v>943</v>
      </c>
      <c r="K294" s="2" t="s">
        <v>138</v>
      </c>
    </row>
    <row r="295" spans="2:11" ht="13.9" x14ac:dyDescent="0.3">
      <c r="B295" s="2" t="s">
        <v>886</v>
      </c>
      <c r="C295" s="2" t="s">
        <v>219</v>
      </c>
      <c r="F295" s="2" t="s">
        <v>766</v>
      </c>
      <c r="G295" s="2" t="s">
        <v>554</v>
      </c>
      <c r="J295" s="2" t="s">
        <v>190</v>
      </c>
      <c r="K295" s="2" t="s">
        <v>401</v>
      </c>
    </row>
    <row r="296" spans="2:11" ht="13.9" x14ac:dyDescent="0.3">
      <c r="B296" s="2" t="s">
        <v>293</v>
      </c>
      <c r="C296" s="2" t="s">
        <v>663</v>
      </c>
      <c r="F296" s="2" t="s">
        <v>283</v>
      </c>
      <c r="G296" s="2" t="s">
        <v>539</v>
      </c>
      <c r="J296" s="2" t="s">
        <v>134</v>
      </c>
      <c r="K296" s="2" t="s">
        <v>889</v>
      </c>
    </row>
    <row r="297" spans="2:11" ht="13.9" x14ac:dyDescent="0.3">
      <c r="B297" s="2" t="s">
        <v>185</v>
      </c>
      <c r="C297" s="2" t="s">
        <v>678</v>
      </c>
      <c r="F297" s="2" t="s">
        <v>170</v>
      </c>
      <c r="G297" s="2" t="s">
        <v>529</v>
      </c>
      <c r="J297" s="2" t="s">
        <v>175</v>
      </c>
      <c r="K297" s="2" t="s">
        <v>398</v>
      </c>
    </row>
    <row r="298" spans="2:11" ht="13.9" x14ac:dyDescent="0.3">
      <c r="B298" s="2" t="s">
        <v>892</v>
      </c>
      <c r="C298" s="2" t="s">
        <v>584</v>
      </c>
      <c r="F298" s="2" t="s">
        <v>207</v>
      </c>
      <c r="G298" s="2" t="s">
        <v>546</v>
      </c>
      <c r="J298" s="2" t="s">
        <v>117</v>
      </c>
      <c r="K298" s="2" t="s">
        <v>400</v>
      </c>
    </row>
    <row r="299" spans="2:11" ht="13.9" x14ac:dyDescent="0.3">
      <c r="B299" s="2" t="s">
        <v>24</v>
      </c>
      <c r="C299" s="2" t="s">
        <v>176</v>
      </c>
      <c r="F299" s="2" t="s">
        <v>62</v>
      </c>
      <c r="G299" s="2" t="s">
        <v>746</v>
      </c>
      <c r="J299" s="2" t="s">
        <v>137</v>
      </c>
      <c r="K299" s="2" t="s">
        <v>635</v>
      </c>
    </row>
    <row r="300" spans="2:11" ht="13.9" x14ac:dyDescent="0.3">
      <c r="B300" s="2" t="s">
        <v>49</v>
      </c>
      <c r="C300" s="2" t="s">
        <v>70</v>
      </c>
      <c r="F300" s="2" t="s">
        <v>221</v>
      </c>
      <c r="G300" s="2" t="s">
        <v>338</v>
      </c>
      <c r="J300" s="2" t="s">
        <v>42</v>
      </c>
      <c r="K300" s="2" t="s">
        <v>489</v>
      </c>
    </row>
    <row r="301" spans="2:11" ht="13.9" x14ac:dyDescent="0.3">
      <c r="B301" s="2" t="s">
        <v>432</v>
      </c>
      <c r="C301" s="2" t="s">
        <v>437</v>
      </c>
      <c r="F301" s="2" t="s">
        <v>433</v>
      </c>
      <c r="G301" s="2" t="s">
        <v>420</v>
      </c>
      <c r="J301" s="2" t="s">
        <v>727</v>
      </c>
      <c r="K301" s="2" t="s">
        <v>935</v>
      </c>
    </row>
    <row r="302" spans="2:11" ht="13.9" x14ac:dyDescent="0.3">
      <c r="B302" s="2" t="s">
        <v>751</v>
      </c>
      <c r="C302" s="2" t="s">
        <v>338</v>
      </c>
      <c r="F302" s="2" t="s">
        <v>155</v>
      </c>
      <c r="G302" s="2" t="s">
        <v>154</v>
      </c>
      <c r="J302" s="2" t="s">
        <v>417</v>
      </c>
      <c r="K302" s="2" t="s">
        <v>302</v>
      </c>
    </row>
    <row r="303" spans="2:11" ht="13.9" x14ac:dyDescent="0.3">
      <c r="B303" s="2" t="s">
        <v>247</v>
      </c>
      <c r="C303" s="2" t="s">
        <v>450</v>
      </c>
      <c r="F303" s="2" t="s">
        <v>137</v>
      </c>
      <c r="G303" s="2" t="s">
        <v>342</v>
      </c>
      <c r="J303" s="2" t="s">
        <v>291</v>
      </c>
      <c r="K303" s="2" t="s">
        <v>707</v>
      </c>
    </row>
    <row r="304" spans="2:11" ht="13.9" x14ac:dyDescent="0.3">
      <c r="B304" s="2" t="s">
        <v>724</v>
      </c>
      <c r="C304" s="2" t="s">
        <v>832</v>
      </c>
      <c r="F304" s="2" t="s">
        <v>168</v>
      </c>
      <c r="G304" s="2" t="s">
        <v>854</v>
      </c>
      <c r="J304" s="2" t="s">
        <v>155</v>
      </c>
      <c r="K304" s="2" t="s">
        <v>765</v>
      </c>
    </row>
    <row r="305" spans="2:11" ht="13.9" x14ac:dyDescent="0.3">
      <c r="B305" s="2" t="s">
        <v>210</v>
      </c>
      <c r="C305" s="2" t="s">
        <v>534</v>
      </c>
      <c r="F305" s="2" t="s">
        <v>80</v>
      </c>
      <c r="G305" s="2" t="s">
        <v>936</v>
      </c>
      <c r="J305" s="2" t="s">
        <v>168</v>
      </c>
      <c r="K305" s="2" t="s">
        <v>610</v>
      </c>
    </row>
    <row r="306" spans="2:11" ht="13.9" x14ac:dyDescent="0.3">
      <c r="B306" s="2" t="s">
        <v>279</v>
      </c>
      <c r="C306" s="2" t="s">
        <v>509</v>
      </c>
      <c r="F306" s="2" t="s">
        <v>234</v>
      </c>
      <c r="G306" s="2" t="s">
        <v>449</v>
      </c>
      <c r="J306" s="2" t="s">
        <v>135</v>
      </c>
      <c r="K306" s="2" t="s">
        <v>858</v>
      </c>
    </row>
    <row r="307" spans="2:11" ht="13.9" x14ac:dyDescent="0.3">
      <c r="B307" s="2" t="s">
        <v>650</v>
      </c>
      <c r="C307" s="2" t="s">
        <v>493</v>
      </c>
      <c r="F307" s="2" t="s">
        <v>216</v>
      </c>
      <c r="G307" s="2" t="s">
        <v>796</v>
      </c>
      <c r="J307" s="2" t="s">
        <v>50</v>
      </c>
      <c r="K307" s="2" t="s">
        <v>612</v>
      </c>
    </row>
    <row r="308" spans="2:11" ht="13.9" x14ac:dyDescent="0.3">
      <c r="B308" s="2" t="s">
        <v>147</v>
      </c>
      <c r="C308" s="2" t="s">
        <v>355</v>
      </c>
      <c r="F308" s="2" t="s">
        <v>42</v>
      </c>
      <c r="G308" s="2" t="s">
        <v>870</v>
      </c>
      <c r="J308" s="2" t="s">
        <v>69</v>
      </c>
      <c r="K308" s="2" t="s">
        <v>411</v>
      </c>
    </row>
    <row r="309" spans="2:11" ht="13.9" x14ac:dyDescent="0.3">
      <c r="B309" s="2" t="s">
        <v>511</v>
      </c>
      <c r="C309" s="2" t="s">
        <v>184</v>
      </c>
      <c r="F309" s="2" t="s">
        <v>781</v>
      </c>
      <c r="G309" s="2" t="s">
        <v>408</v>
      </c>
      <c r="J309" s="2" t="s">
        <v>216</v>
      </c>
      <c r="K309" s="2" t="s">
        <v>589</v>
      </c>
    </row>
    <row r="310" spans="2:11" ht="13.9" x14ac:dyDescent="0.3">
      <c r="B310" s="2" t="s">
        <v>165</v>
      </c>
      <c r="C310" s="2" t="s">
        <v>387</v>
      </c>
      <c r="F310" s="2" t="s">
        <v>282</v>
      </c>
      <c r="G310" s="2" t="s">
        <v>683</v>
      </c>
      <c r="J310" s="2" t="s">
        <v>80</v>
      </c>
      <c r="K310" s="2" t="s">
        <v>441</v>
      </c>
    </row>
    <row r="311" spans="2:11" ht="13.9" x14ac:dyDescent="0.3">
      <c r="B311" s="2" t="s">
        <v>271</v>
      </c>
      <c r="C311" s="2" t="s">
        <v>723</v>
      </c>
      <c r="F311" s="2" t="s">
        <v>190</v>
      </c>
      <c r="G311" s="2" t="s">
        <v>419</v>
      </c>
      <c r="J311" s="6" t="s">
        <v>910</v>
      </c>
      <c r="K311" s="2" t="s">
        <v>629</v>
      </c>
    </row>
    <row r="312" spans="2:11" ht="13.9" x14ac:dyDescent="0.3">
      <c r="B312" s="2" t="s">
        <v>140</v>
      </c>
      <c r="C312" s="2" t="s">
        <v>516</v>
      </c>
      <c r="F312" s="2" t="s">
        <v>943</v>
      </c>
      <c r="G312" s="2" t="s">
        <v>60</v>
      </c>
      <c r="J312" s="2" t="s">
        <v>73</v>
      </c>
      <c r="K312" s="2" t="s">
        <v>922</v>
      </c>
    </row>
    <row r="313" spans="2:11" ht="13.9" x14ac:dyDescent="0.3">
      <c r="B313" s="2" t="s">
        <v>199</v>
      </c>
      <c r="C313" s="2" t="s">
        <v>666</v>
      </c>
      <c r="F313" s="2" t="s">
        <v>417</v>
      </c>
      <c r="G313" s="2" t="s">
        <v>531</v>
      </c>
      <c r="J313" s="2" t="s">
        <v>282</v>
      </c>
      <c r="K313" s="2" t="s">
        <v>895</v>
      </c>
    </row>
    <row r="314" spans="2:11" ht="13.9" x14ac:dyDescent="0.3">
      <c r="B314" s="2" t="s">
        <v>81</v>
      </c>
      <c r="C314" s="2" t="s">
        <v>686</v>
      </c>
      <c r="F314" s="2" t="s">
        <v>392</v>
      </c>
      <c r="G314" s="2" t="s">
        <v>757</v>
      </c>
      <c r="J314" s="2" t="s">
        <v>283</v>
      </c>
      <c r="K314" s="2" t="s">
        <v>921</v>
      </c>
    </row>
    <row r="315" spans="2:11" ht="13.9" x14ac:dyDescent="0.3">
      <c r="B315" s="2" t="s">
        <v>173</v>
      </c>
      <c r="C315" s="2" t="s">
        <v>460</v>
      </c>
      <c r="F315" s="2" t="s">
        <v>135</v>
      </c>
      <c r="G315" s="2" t="s">
        <v>720</v>
      </c>
      <c r="J315" s="2" t="s">
        <v>217</v>
      </c>
      <c r="K315" s="2" t="s">
        <v>407</v>
      </c>
    </row>
    <row r="316" spans="2:11" ht="13.9" x14ac:dyDescent="0.3">
      <c r="B316" s="2" t="s">
        <v>381</v>
      </c>
      <c r="C316" s="2" t="s">
        <v>276</v>
      </c>
      <c r="F316" s="2" t="s">
        <v>73</v>
      </c>
      <c r="G316" s="2" t="s">
        <v>85</v>
      </c>
      <c r="J316" s="2" t="s">
        <v>392</v>
      </c>
      <c r="K316" s="2" t="s">
        <v>883</v>
      </c>
    </row>
    <row r="317" spans="2:11" ht="13.9" x14ac:dyDescent="0.3">
      <c r="B317" s="2" t="s">
        <v>717</v>
      </c>
      <c r="C317" s="2" t="s">
        <v>849</v>
      </c>
      <c r="F317" s="2" t="s">
        <v>291</v>
      </c>
      <c r="G317" s="2" t="s">
        <v>819</v>
      </c>
      <c r="J317" s="2" t="s">
        <v>186</v>
      </c>
      <c r="K317" s="2" t="s">
        <v>901</v>
      </c>
    </row>
    <row r="318" spans="2:11" ht="13.9" x14ac:dyDescent="0.3">
      <c r="B318" s="2" t="s">
        <v>200</v>
      </c>
      <c r="C318" s="2" t="s">
        <v>894</v>
      </c>
      <c r="F318" s="2" t="s">
        <v>50</v>
      </c>
      <c r="G318" s="2" t="s">
        <v>266</v>
      </c>
      <c r="J318" s="2" t="s">
        <v>293</v>
      </c>
      <c r="K318" s="2" t="s">
        <v>723</v>
      </c>
    </row>
    <row r="319" spans="2:11" ht="13.9" x14ac:dyDescent="0.3">
      <c r="B319" s="2" t="s">
        <v>183</v>
      </c>
      <c r="C319" s="2" t="s">
        <v>641</v>
      </c>
      <c r="F319" s="2" t="s">
        <v>217</v>
      </c>
      <c r="G319" s="2" t="s">
        <v>705</v>
      </c>
      <c r="J319" s="2" t="s">
        <v>62</v>
      </c>
      <c r="K319" s="2" t="s">
        <v>628</v>
      </c>
    </row>
    <row r="320" spans="2:11" ht="13.9" x14ac:dyDescent="0.3">
      <c r="B320" s="2" t="s">
        <v>380</v>
      </c>
      <c r="C320" s="2" t="s">
        <v>938</v>
      </c>
      <c r="F320" s="2" t="s">
        <v>248</v>
      </c>
      <c r="G320" s="2" t="s">
        <v>570</v>
      </c>
      <c r="J320" s="2" t="s">
        <v>432</v>
      </c>
      <c r="K320" s="2" t="s">
        <v>122</v>
      </c>
    </row>
    <row r="321" spans="2:11" ht="13.9" x14ac:dyDescent="0.3">
      <c r="B321" s="2" t="s">
        <v>272</v>
      </c>
      <c r="C321" s="2" t="s">
        <v>113</v>
      </c>
      <c r="F321" s="2" t="s">
        <v>603</v>
      </c>
      <c r="G321" s="2" t="s">
        <v>873</v>
      </c>
      <c r="J321" s="2" t="s">
        <v>226</v>
      </c>
      <c r="K321" s="2" t="s">
        <v>225</v>
      </c>
    </row>
    <row r="322" spans="2:11" ht="13.9" x14ac:dyDescent="0.3">
      <c r="B322" s="2" t="s">
        <v>722</v>
      </c>
      <c r="C322" s="2" t="s">
        <v>307</v>
      </c>
      <c r="F322" s="2" t="s">
        <v>925</v>
      </c>
      <c r="G322" s="2" t="s">
        <v>891</v>
      </c>
      <c r="J322" s="2" t="s">
        <v>886</v>
      </c>
      <c r="K322" s="2" t="s">
        <v>869</v>
      </c>
    </row>
    <row r="323" spans="2:11" ht="13.9" x14ac:dyDescent="0.3">
      <c r="B323" s="2" t="s">
        <v>379</v>
      </c>
      <c r="C323" s="2" t="s">
        <v>927</v>
      </c>
      <c r="F323" s="2" t="s">
        <v>226</v>
      </c>
      <c r="G323" s="2" t="s">
        <v>229</v>
      </c>
      <c r="J323" s="2" t="s">
        <v>378</v>
      </c>
      <c r="K323" s="2" t="s">
        <v>894</v>
      </c>
    </row>
    <row r="324" spans="2:11" ht="13.9" x14ac:dyDescent="0.3">
      <c r="B324" s="2" t="s">
        <v>97</v>
      </c>
      <c r="C324" s="2" t="s">
        <v>904</v>
      </c>
      <c r="F324" s="2" t="s">
        <v>293</v>
      </c>
      <c r="G324" s="2" t="s">
        <v>193</v>
      </c>
      <c r="J324" s="2" t="s">
        <v>652</v>
      </c>
      <c r="K324" s="2" t="s">
        <v>219</v>
      </c>
    </row>
    <row r="325" spans="2:11" ht="13.9" x14ac:dyDescent="0.3">
      <c r="B325" s="2" t="s">
        <v>53</v>
      </c>
      <c r="C325" s="2" t="s">
        <v>398</v>
      </c>
      <c r="F325" s="2" t="s">
        <v>24</v>
      </c>
      <c r="G325" s="2" t="s">
        <v>913</v>
      </c>
      <c r="J325" s="2" t="s">
        <v>160</v>
      </c>
      <c r="K325" s="2" t="s">
        <v>805</v>
      </c>
    </row>
    <row r="326" spans="2:11" ht="13.9" x14ac:dyDescent="0.3">
      <c r="B326" s="2" t="s">
        <v>139</v>
      </c>
      <c r="C326" s="2" t="s">
        <v>400</v>
      </c>
      <c r="F326" s="2" t="s">
        <v>389</v>
      </c>
      <c r="G326" s="2" t="s">
        <v>59</v>
      </c>
      <c r="J326" s="2" t="s">
        <v>248</v>
      </c>
      <c r="K326" s="2" t="s">
        <v>695</v>
      </c>
    </row>
    <row r="327" spans="2:11" ht="13.9" x14ac:dyDescent="0.3">
      <c r="B327" s="2" t="s">
        <v>270</v>
      </c>
      <c r="C327" s="2" t="s">
        <v>129</v>
      </c>
      <c r="F327" s="2" t="s">
        <v>432</v>
      </c>
      <c r="G327" s="2" t="s">
        <v>161</v>
      </c>
      <c r="J327" s="2" t="s">
        <v>24</v>
      </c>
      <c r="K327" s="2" t="s">
        <v>355</v>
      </c>
    </row>
    <row r="328" spans="2:11" ht="13.9" x14ac:dyDescent="0.3">
      <c r="B328" s="6" t="s">
        <v>937</v>
      </c>
      <c r="C328" s="2" t="s">
        <v>685</v>
      </c>
      <c r="F328" s="2" t="s">
        <v>160</v>
      </c>
      <c r="G328" s="2" t="s">
        <v>202</v>
      </c>
      <c r="J328" s="2" t="s">
        <v>381</v>
      </c>
      <c r="K328" s="2" t="s">
        <v>907</v>
      </c>
    </row>
    <row r="329" spans="2:11" ht="13.9" x14ac:dyDescent="0.3">
      <c r="B329" s="2" t="s">
        <v>269</v>
      </c>
      <c r="C329" s="2" t="s">
        <v>572</v>
      </c>
      <c r="F329" s="2" t="s">
        <v>299</v>
      </c>
      <c r="G329" s="2" t="s">
        <v>527</v>
      </c>
      <c r="J329" s="2" t="s">
        <v>925</v>
      </c>
      <c r="K329" s="2" t="s">
        <v>142</v>
      </c>
    </row>
    <row r="330" spans="2:11" ht="13.9" x14ac:dyDescent="0.3">
      <c r="B330" s="2" t="s">
        <v>262</v>
      </c>
      <c r="C330" s="2" t="s">
        <v>752</v>
      </c>
      <c r="F330" s="2" t="s">
        <v>929</v>
      </c>
      <c r="G330" s="2" t="s">
        <v>413</v>
      </c>
      <c r="J330" s="2" t="s">
        <v>389</v>
      </c>
      <c r="K330" s="2" t="s">
        <v>228</v>
      </c>
    </row>
    <row r="331" spans="2:11" ht="13.9" x14ac:dyDescent="0.3">
      <c r="B331" s="2" t="s">
        <v>888</v>
      </c>
      <c r="C331" s="2" t="s">
        <v>350</v>
      </c>
      <c r="F331" s="2" t="s">
        <v>652</v>
      </c>
      <c r="G331" s="2" t="s">
        <v>259</v>
      </c>
      <c r="J331" s="2" t="s">
        <v>929</v>
      </c>
      <c r="K331" s="2" t="s">
        <v>754</v>
      </c>
    </row>
    <row r="332" spans="2:11" ht="13.9" x14ac:dyDescent="0.3">
      <c r="B332" s="2" t="s">
        <v>62</v>
      </c>
      <c r="C332" s="2" t="s">
        <v>215</v>
      </c>
      <c r="F332" s="2" t="s">
        <v>886</v>
      </c>
      <c r="G332" s="2" t="s">
        <v>584</v>
      </c>
      <c r="J332" s="2" t="s">
        <v>299</v>
      </c>
      <c r="K332" s="2" t="s">
        <v>374</v>
      </c>
    </row>
    <row r="333" spans="2:11" ht="13.9" x14ac:dyDescent="0.3">
      <c r="B333" s="2" t="s">
        <v>605</v>
      </c>
      <c r="C333" s="2" t="s">
        <v>418</v>
      </c>
      <c r="F333" s="2" t="s">
        <v>378</v>
      </c>
      <c r="G333" s="2" t="s">
        <v>440</v>
      </c>
      <c r="J333" s="2" t="s">
        <v>603</v>
      </c>
      <c r="K333" s="2" t="s">
        <v>283</v>
      </c>
    </row>
    <row r="334" spans="2:11" ht="13.9" x14ac:dyDescent="0.3">
      <c r="B334" s="2" t="s">
        <v>296</v>
      </c>
      <c r="C334" s="2" t="s">
        <v>681</v>
      </c>
      <c r="F334" s="2" t="s">
        <v>210</v>
      </c>
      <c r="G334" s="2" t="s">
        <v>582</v>
      </c>
      <c r="J334" s="2" t="s">
        <v>724</v>
      </c>
      <c r="K334" s="2" t="s">
        <v>43</v>
      </c>
    </row>
    <row r="335" spans="2:11" ht="13.9" x14ac:dyDescent="0.3">
      <c r="B335" s="2" t="s">
        <v>153</v>
      </c>
      <c r="C335" s="2" t="s">
        <v>144</v>
      </c>
      <c r="F335" s="2" t="s">
        <v>724</v>
      </c>
      <c r="G335" s="2" t="s">
        <v>719</v>
      </c>
      <c r="J335" s="2" t="s">
        <v>189</v>
      </c>
      <c r="K335" s="2" t="s">
        <v>148</v>
      </c>
    </row>
    <row r="336" spans="2:11" ht="13.9" x14ac:dyDescent="0.3">
      <c r="B336" s="2" t="s">
        <v>157</v>
      </c>
      <c r="C336" s="2" t="s">
        <v>870</v>
      </c>
      <c r="F336" s="2" t="s">
        <v>185</v>
      </c>
      <c r="G336" s="2" t="s">
        <v>523</v>
      </c>
      <c r="J336" s="2" t="s">
        <v>892</v>
      </c>
      <c r="K336" s="2" t="s">
        <v>404</v>
      </c>
    </row>
    <row r="337" spans="2:11" ht="13.9" x14ac:dyDescent="0.3">
      <c r="B337" s="2" t="s">
        <v>25</v>
      </c>
      <c r="C337" s="2" t="s">
        <v>242</v>
      </c>
      <c r="F337" s="2" t="s">
        <v>247</v>
      </c>
      <c r="G337" s="2" t="s">
        <v>244</v>
      </c>
      <c r="J337" s="2" t="s">
        <v>717</v>
      </c>
      <c r="K337" s="2" t="s">
        <v>56</v>
      </c>
    </row>
    <row r="338" spans="2:11" ht="13.9" x14ac:dyDescent="0.3">
      <c r="B338" s="2" t="s">
        <v>136</v>
      </c>
      <c r="C338" s="2" t="s">
        <v>352</v>
      </c>
      <c r="F338" s="2" t="s">
        <v>49</v>
      </c>
      <c r="G338" s="2" t="s">
        <v>171</v>
      </c>
      <c r="J338" s="2" t="s">
        <v>185</v>
      </c>
      <c r="K338" s="2" t="s">
        <v>784</v>
      </c>
    </row>
    <row r="339" spans="2:11" ht="13.9" x14ac:dyDescent="0.3">
      <c r="B339" s="2" t="s">
        <v>300</v>
      </c>
      <c r="C339" s="2" t="s">
        <v>370</v>
      </c>
      <c r="F339" s="2" t="s">
        <v>381</v>
      </c>
      <c r="G339" s="2" t="s">
        <v>222</v>
      </c>
      <c r="J339" s="2" t="s">
        <v>247</v>
      </c>
      <c r="K339" s="2" t="s">
        <v>636</v>
      </c>
    </row>
    <row r="340" spans="2:11" ht="13.9" x14ac:dyDescent="0.3">
      <c r="B340" s="2" t="s">
        <v>22</v>
      </c>
      <c r="C340" s="2" t="s">
        <v>36</v>
      </c>
      <c r="F340" s="2" t="s">
        <v>892</v>
      </c>
      <c r="G340" s="2" t="s">
        <v>889</v>
      </c>
      <c r="J340" s="2" t="s">
        <v>210</v>
      </c>
      <c r="K340" s="2" t="s">
        <v>421</v>
      </c>
    </row>
    <row r="341" spans="2:11" ht="13.9" x14ac:dyDescent="0.3">
      <c r="B341" s="2" t="s">
        <v>298</v>
      </c>
      <c r="C341" s="2" t="s">
        <v>91</v>
      </c>
      <c r="F341" s="2" t="s">
        <v>751</v>
      </c>
      <c r="G341" s="2" t="s">
        <v>405</v>
      </c>
      <c r="J341" s="2" t="s">
        <v>165</v>
      </c>
      <c r="K341" s="2" t="s">
        <v>88</v>
      </c>
    </row>
    <row r="342" spans="2:11" ht="13.9" x14ac:dyDescent="0.3">
      <c r="B342" s="2" t="s">
        <v>246</v>
      </c>
      <c r="C342" s="2" t="s">
        <v>486</v>
      </c>
      <c r="F342" s="2" t="s">
        <v>189</v>
      </c>
      <c r="G342" s="2" t="s">
        <v>82</v>
      </c>
      <c r="J342" s="2" t="s">
        <v>511</v>
      </c>
      <c r="K342" s="2" t="s">
        <v>730</v>
      </c>
    </row>
    <row r="343" spans="2:11" ht="13.9" x14ac:dyDescent="0.3">
      <c r="B343" s="2" t="s">
        <v>455</v>
      </c>
      <c r="C343" s="2" t="s">
        <v>699</v>
      </c>
      <c r="F343" s="2" t="s">
        <v>279</v>
      </c>
      <c r="G343" s="2" t="s">
        <v>241</v>
      </c>
      <c r="J343" s="2" t="s">
        <v>279</v>
      </c>
      <c r="K343" s="2" t="s">
        <v>942</v>
      </c>
    </row>
    <row r="344" spans="2:11" ht="13.9" x14ac:dyDescent="0.3">
      <c r="B344" s="2" t="s">
        <v>149</v>
      </c>
      <c r="C344" s="2" t="s">
        <v>782</v>
      </c>
      <c r="F344" s="2" t="s">
        <v>717</v>
      </c>
      <c r="G344" s="2" t="s">
        <v>166</v>
      </c>
      <c r="J344" s="2" t="s">
        <v>751</v>
      </c>
      <c r="K344" s="2" t="s">
        <v>661</v>
      </c>
    </row>
    <row r="345" spans="2:11" ht="13.9" x14ac:dyDescent="0.3">
      <c r="B345" s="2" t="s">
        <v>156</v>
      </c>
      <c r="C345" s="2" t="s">
        <v>667</v>
      </c>
      <c r="F345" s="2" t="s">
        <v>511</v>
      </c>
      <c r="G345" s="2" t="s">
        <v>517</v>
      </c>
      <c r="J345" s="2" t="s">
        <v>49</v>
      </c>
      <c r="K345" s="2" t="s">
        <v>691</v>
      </c>
    </row>
    <row r="346" spans="2:11" ht="13.9" x14ac:dyDescent="0.3">
      <c r="B346" s="2" t="s">
        <v>919</v>
      </c>
      <c r="C346" s="2" t="s">
        <v>552</v>
      </c>
      <c r="F346" s="2" t="s">
        <v>165</v>
      </c>
      <c r="G346" s="2" t="s">
        <v>519</v>
      </c>
      <c r="J346" s="2" t="s">
        <v>140</v>
      </c>
      <c r="K346" s="2" t="s">
        <v>416</v>
      </c>
    </row>
    <row r="347" spans="2:11" ht="13.9" x14ac:dyDescent="0.3">
      <c r="B347" s="2" t="s">
        <v>267</v>
      </c>
      <c r="C347" s="2" t="s">
        <v>186</v>
      </c>
      <c r="F347" s="2" t="s">
        <v>199</v>
      </c>
      <c r="G347" s="2" t="s">
        <v>811</v>
      </c>
      <c r="J347" s="2" t="s">
        <v>147</v>
      </c>
      <c r="K347" s="2" t="s">
        <v>172</v>
      </c>
    </row>
    <row r="348" spans="2:11" ht="13.9" x14ac:dyDescent="0.3">
      <c r="B348" s="2" t="s">
        <v>30</v>
      </c>
      <c r="C348" s="2" t="s">
        <v>531</v>
      </c>
      <c r="F348" s="2" t="s">
        <v>650</v>
      </c>
      <c r="G348" s="2" t="s">
        <v>829</v>
      </c>
      <c r="J348" s="2" t="s">
        <v>81</v>
      </c>
      <c r="K348" s="2" t="s">
        <v>457</v>
      </c>
    </row>
    <row r="349" spans="2:11" ht="13.9" x14ac:dyDescent="0.3">
      <c r="B349" s="2" t="s">
        <v>32</v>
      </c>
      <c r="C349" s="2" t="s">
        <v>628</v>
      </c>
      <c r="F349" s="2" t="s">
        <v>173</v>
      </c>
      <c r="G349" s="2" t="s">
        <v>403</v>
      </c>
      <c r="J349" s="2" t="s">
        <v>173</v>
      </c>
      <c r="K349" s="2" t="s">
        <v>169</v>
      </c>
    </row>
    <row r="350" spans="2:11" ht="13.9" x14ac:dyDescent="0.3">
      <c r="B350" s="2" t="s">
        <v>141</v>
      </c>
      <c r="C350" s="2" t="s">
        <v>785</v>
      </c>
      <c r="F350" s="2" t="s">
        <v>81</v>
      </c>
      <c r="G350" s="2" t="s">
        <v>752</v>
      </c>
      <c r="J350" s="2" t="s">
        <v>200</v>
      </c>
      <c r="K350" s="2" t="s">
        <v>728</v>
      </c>
    </row>
    <row r="351" spans="2:11" ht="13.9" x14ac:dyDescent="0.3">
      <c r="B351" s="2" t="s">
        <v>34</v>
      </c>
      <c r="C351" s="2" t="s">
        <v>911</v>
      </c>
      <c r="F351" s="2" t="s">
        <v>147</v>
      </c>
      <c r="G351" s="2" t="s">
        <v>602</v>
      </c>
      <c r="J351" s="2" t="s">
        <v>199</v>
      </c>
      <c r="K351" s="2" t="s">
        <v>611</v>
      </c>
    </row>
    <row r="352" spans="2:11" ht="13.9" x14ac:dyDescent="0.3">
      <c r="B352" s="2" t="s">
        <v>236</v>
      </c>
      <c r="C352" s="2" t="s">
        <v>907</v>
      </c>
      <c r="F352" s="2" t="s">
        <v>140</v>
      </c>
      <c r="G352" s="2" t="s">
        <v>894</v>
      </c>
      <c r="J352" s="2" t="s">
        <v>183</v>
      </c>
      <c r="K352" s="2" t="s">
        <v>70</v>
      </c>
    </row>
    <row r="353" spans="2:11" ht="13.9" x14ac:dyDescent="0.3">
      <c r="B353" s="2" t="s">
        <v>21</v>
      </c>
      <c r="C353" s="2" t="s">
        <v>193</v>
      </c>
      <c r="F353" s="2" t="s">
        <v>271</v>
      </c>
      <c r="G353" s="2" t="s">
        <v>346</v>
      </c>
      <c r="J353" s="2" t="s">
        <v>271</v>
      </c>
      <c r="K353" s="2" t="s">
        <v>764</v>
      </c>
    </row>
    <row r="354" spans="2:11" ht="13.9" x14ac:dyDescent="0.3">
      <c r="B354" s="2" t="s">
        <v>20</v>
      </c>
      <c r="C354" s="2" t="s">
        <v>819</v>
      </c>
      <c r="F354" s="2" t="s">
        <v>200</v>
      </c>
      <c r="G354" s="2" t="s">
        <v>361</v>
      </c>
      <c r="J354" s="2" t="s">
        <v>272</v>
      </c>
      <c r="K354" s="2" t="s">
        <v>543</v>
      </c>
    </row>
    <row r="355" spans="2:11" ht="13.9" x14ac:dyDescent="0.3">
      <c r="B355" s="2" t="s">
        <v>151</v>
      </c>
      <c r="C355" s="2" t="s">
        <v>694</v>
      </c>
      <c r="F355" s="2" t="s">
        <v>380</v>
      </c>
      <c r="G355" s="2" t="s">
        <v>423</v>
      </c>
      <c r="J355" s="2" t="s">
        <v>650</v>
      </c>
      <c r="K355" s="2" t="s">
        <v>586</v>
      </c>
    </row>
    <row r="356" spans="2:11" ht="13.9" x14ac:dyDescent="0.3">
      <c r="B356" s="2" t="s">
        <v>28</v>
      </c>
      <c r="C356" s="2" t="s">
        <v>361</v>
      </c>
      <c r="F356" s="2" t="s">
        <v>183</v>
      </c>
      <c r="G356" s="2" t="s">
        <v>685</v>
      </c>
      <c r="J356" s="2" t="s">
        <v>379</v>
      </c>
      <c r="K356" s="2" t="s">
        <v>596</v>
      </c>
    </row>
    <row r="357" spans="2:11" ht="13.9" x14ac:dyDescent="0.3">
      <c r="C357" s="2" t="s">
        <v>39</v>
      </c>
      <c r="F357" s="2" t="s">
        <v>379</v>
      </c>
      <c r="G357" s="2" t="s">
        <v>561</v>
      </c>
      <c r="J357" s="2" t="s">
        <v>380</v>
      </c>
      <c r="K357" s="2" t="s">
        <v>721</v>
      </c>
    </row>
    <row r="358" spans="2:11" ht="13.9" x14ac:dyDescent="0.3">
      <c r="C358" s="2" t="s">
        <v>92</v>
      </c>
      <c r="F358" s="2" t="s">
        <v>272</v>
      </c>
      <c r="G358" s="2" t="s">
        <v>595</v>
      </c>
      <c r="J358" s="6" t="s">
        <v>937</v>
      </c>
      <c r="K358" s="2" t="s">
        <v>102</v>
      </c>
    </row>
    <row r="359" spans="2:11" ht="13.9" x14ac:dyDescent="0.3">
      <c r="C359" s="2" t="s">
        <v>95</v>
      </c>
      <c r="F359" s="6" t="s">
        <v>937</v>
      </c>
      <c r="G359" s="2" t="s">
        <v>493</v>
      </c>
      <c r="J359" s="2" t="s">
        <v>722</v>
      </c>
      <c r="K359" s="2" t="s">
        <v>334</v>
      </c>
    </row>
    <row r="360" spans="2:11" ht="13.9" x14ac:dyDescent="0.3">
      <c r="C360" s="2" t="s">
        <v>227</v>
      </c>
      <c r="F360" s="2" t="s">
        <v>722</v>
      </c>
      <c r="G360" s="2" t="s">
        <v>227</v>
      </c>
      <c r="J360" s="2" t="s">
        <v>139</v>
      </c>
      <c r="K360" s="2" t="s">
        <v>627</v>
      </c>
    </row>
    <row r="361" spans="2:11" ht="13.9" x14ac:dyDescent="0.3">
      <c r="C361" s="2" t="s">
        <v>178</v>
      </c>
      <c r="F361" s="2" t="s">
        <v>296</v>
      </c>
      <c r="G361" s="2" t="s">
        <v>806</v>
      </c>
      <c r="J361" s="2" t="s">
        <v>53</v>
      </c>
      <c r="K361" s="2" t="s">
        <v>459</v>
      </c>
    </row>
    <row r="362" spans="2:11" ht="13.9" x14ac:dyDescent="0.3">
      <c r="C362" s="2" t="s">
        <v>467</v>
      </c>
      <c r="F362" s="2" t="s">
        <v>139</v>
      </c>
      <c r="G362" s="2" t="s">
        <v>828</v>
      </c>
      <c r="J362" s="2" t="s">
        <v>97</v>
      </c>
      <c r="K362" s="2" t="s">
        <v>40</v>
      </c>
    </row>
    <row r="363" spans="2:11" ht="13.9" x14ac:dyDescent="0.3">
      <c r="C363" s="2" t="s">
        <v>803</v>
      </c>
      <c r="F363" s="2" t="s">
        <v>269</v>
      </c>
      <c r="G363" s="2" t="s">
        <v>450</v>
      </c>
      <c r="J363" s="2" t="s">
        <v>269</v>
      </c>
      <c r="K363" s="2" t="s">
        <v>622</v>
      </c>
    </row>
    <row r="364" spans="2:11" ht="13.9" x14ac:dyDescent="0.3">
      <c r="C364" s="2" t="s">
        <v>608</v>
      </c>
      <c r="F364" s="2" t="s">
        <v>97</v>
      </c>
      <c r="G364" s="2" t="s">
        <v>356</v>
      </c>
      <c r="J364" s="2" t="s">
        <v>270</v>
      </c>
      <c r="K364" s="2" t="s">
        <v>292</v>
      </c>
    </row>
    <row r="365" spans="2:11" ht="13.9" x14ac:dyDescent="0.3">
      <c r="C365" s="2" t="s">
        <v>311</v>
      </c>
      <c r="F365" s="2" t="s">
        <v>53</v>
      </c>
      <c r="G365" s="2" t="s">
        <v>481</v>
      </c>
      <c r="J365" s="2" t="s">
        <v>605</v>
      </c>
      <c r="K365" s="2" t="s">
        <v>287</v>
      </c>
    </row>
    <row r="366" spans="2:11" ht="13.9" x14ac:dyDescent="0.3">
      <c r="C366" s="2" t="s">
        <v>356</v>
      </c>
      <c r="F366" s="2" t="s">
        <v>270</v>
      </c>
      <c r="G366" s="2" t="s">
        <v>518</v>
      </c>
      <c r="J366" s="2" t="s">
        <v>262</v>
      </c>
      <c r="K366" s="2" t="s">
        <v>264</v>
      </c>
    </row>
    <row r="367" spans="2:11" ht="13.9" x14ac:dyDescent="0.3">
      <c r="C367" s="2" t="s">
        <v>898</v>
      </c>
      <c r="F367" s="2" t="s">
        <v>262</v>
      </c>
      <c r="G367" s="2" t="s">
        <v>917</v>
      </c>
      <c r="J367" s="2" t="s">
        <v>888</v>
      </c>
      <c r="K367" s="2" t="s">
        <v>834</v>
      </c>
    </row>
    <row r="368" spans="2:11" ht="13.9" x14ac:dyDescent="0.3">
      <c r="C368" s="2" t="s">
        <v>828</v>
      </c>
      <c r="F368" s="2" t="s">
        <v>605</v>
      </c>
      <c r="G368" s="2" t="s">
        <v>123</v>
      </c>
      <c r="J368" s="2" t="s">
        <v>25</v>
      </c>
      <c r="K368" s="2" t="s">
        <v>341</v>
      </c>
    </row>
    <row r="369" spans="3:11" ht="13.9" x14ac:dyDescent="0.3">
      <c r="C369" s="2" t="s">
        <v>755</v>
      </c>
      <c r="F369" s="2" t="s">
        <v>25</v>
      </c>
      <c r="G369" s="2" t="s">
        <v>693</v>
      </c>
      <c r="J369" s="2" t="s">
        <v>296</v>
      </c>
      <c r="K369" s="2" t="s">
        <v>257</v>
      </c>
    </row>
    <row r="370" spans="3:11" ht="13.9" x14ac:dyDescent="0.3">
      <c r="C370" s="2" t="s">
        <v>93</v>
      </c>
      <c r="F370" s="2" t="s">
        <v>888</v>
      </c>
      <c r="G370" s="2" t="s">
        <v>36</v>
      </c>
      <c r="J370" s="2" t="s">
        <v>22</v>
      </c>
      <c r="K370" s="2" t="s">
        <v>771</v>
      </c>
    </row>
    <row r="371" spans="3:11" ht="13.9" x14ac:dyDescent="0.3">
      <c r="C371" s="2" t="s">
        <v>560</v>
      </c>
      <c r="F371" s="2" t="s">
        <v>22</v>
      </c>
      <c r="G371" s="2" t="s">
        <v>144</v>
      </c>
      <c r="J371" s="2" t="s">
        <v>153</v>
      </c>
      <c r="K371" s="2" t="s">
        <v>284</v>
      </c>
    </row>
    <row r="372" spans="3:11" ht="13.9" x14ac:dyDescent="0.3">
      <c r="C372" s="2" t="s">
        <v>390</v>
      </c>
      <c r="F372" s="2" t="s">
        <v>153</v>
      </c>
      <c r="G372" s="2" t="s">
        <v>355</v>
      </c>
      <c r="J372" s="2" t="s">
        <v>300</v>
      </c>
      <c r="K372" s="2" t="s">
        <v>386</v>
      </c>
    </row>
    <row r="373" spans="3:11" ht="13.9" x14ac:dyDescent="0.3">
      <c r="C373" s="2" t="s">
        <v>589</v>
      </c>
      <c r="F373" s="2" t="s">
        <v>136</v>
      </c>
      <c r="G373" s="2" t="s">
        <v>437</v>
      </c>
      <c r="J373" s="2" t="s">
        <v>136</v>
      </c>
      <c r="K373" s="2" t="s">
        <v>76</v>
      </c>
    </row>
    <row r="374" spans="3:11" ht="13.9" x14ac:dyDescent="0.3">
      <c r="C374" s="2" t="s">
        <v>746</v>
      </c>
      <c r="F374" s="2" t="s">
        <v>157</v>
      </c>
      <c r="G374" s="2" t="s">
        <v>832</v>
      </c>
      <c r="J374" s="2" t="s">
        <v>157</v>
      </c>
      <c r="K374" s="2" t="s">
        <v>940</v>
      </c>
    </row>
    <row r="375" spans="3:11" ht="13.9" x14ac:dyDescent="0.3">
      <c r="C375" s="2" t="s">
        <v>783</v>
      </c>
      <c r="F375" s="2" t="s">
        <v>300</v>
      </c>
      <c r="G375" s="2" t="s">
        <v>667</v>
      </c>
      <c r="J375" s="2" t="s">
        <v>298</v>
      </c>
      <c r="K375" s="2" t="s">
        <v>477</v>
      </c>
    </row>
    <row r="376" spans="3:11" ht="13.9" x14ac:dyDescent="0.3">
      <c r="C376" s="2" t="s">
        <v>908</v>
      </c>
      <c r="F376" s="2" t="s">
        <v>246</v>
      </c>
      <c r="G376" s="2" t="s">
        <v>907</v>
      </c>
      <c r="J376" s="2" t="s">
        <v>246</v>
      </c>
      <c r="K376" s="2" t="s">
        <v>504</v>
      </c>
    </row>
    <row r="377" spans="3:11" ht="13.9" x14ac:dyDescent="0.3">
      <c r="C377" s="2" t="s">
        <v>301</v>
      </c>
      <c r="F377" s="2" t="s">
        <v>298</v>
      </c>
      <c r="G377" s="2" t="s">
        <v>668</v>
      </c>
      <c r="J377" s="2" t="s">
        <v>455</v>
      </c>
      <c r="K377" s="2" t="s">
        <v>367</v>
      </c>
    </row>
    <row r="378" spans="3:11" ht="13.9" x14ac:dyDescent="0.3">
      <c r="C378" s="2" t="s">
        <v>253</v>
      </c>
      <c r="F378" s="2" t="s">
        <v>156</v>
      </c>
      <c r="G378" s="2" t="s">
        <v>276</v>
      </c>
      <c r="J378" s="2" t="s">
        <v>149</v>
      </c>
      <c r="K378" s="2" t="s">
        <v>458</v>
      </c>
    </row>
    <row r="379" spans="3:11" ht="13.9" x14ac:dyDescent="0.3">
      <c r="C379" s="2" t="s">
        <v>407</v>
      </c>
      <c r="F379" s="2" t="s">
        <v>455</v>
      </c>
      <c r="G379" s="2" t="s">
        <v>545</v>
      </c>
      <c r="J379" s="2" t="s">
        <v>919</v>
      </c>
      <c r="K379" s="2" t="s">
        <v>689</v>
      </c>
    </row>
    <row r="380" spans="3:11" ht="13.9" x14ac:dyDescent="0.3">
      <c r="C380" s="2" t="s">
        <v>659</v>
      </c>
      <c r="F380" s="2" t="s">
        <v>149</v>
      </c>
      <c r="G380" s="2" t="s">
        <v>597</v>
      </c>
      <c r="J380" s="2" t="s">
        <v>156</v>
      </c>
      <c r="K380" s="2" t="s">
        <v>672</v>
      </c>
    </row>
    <row r="381" spans="3:11" ht="13.9" x14ac:dyDescent="0.3">
      <c r="C381" s="2" t="s">
        <v>660</v>
      </c>
      <c r="F381" s="2" t="s">
        <v>919</v>
      </c>
      <c r="G381" s="2" t="s">
        <v>383</v>
      </c>
      <c r="J381" s="2" t="s">
        <v>30</v>
      </c>
      <c r="K381" s="2" t="s">
        <v>576</v>
      </c>
    </row>
    <row r="382" spans="3:11" ht="13.9" x14ac:dyDescent="0.3">
      <c r="C382" s="2" t="s">
        <v>674</v>
      </c>
      <c r="F382" s="2" t="s">
        <v>30</v>
      </c>
      <c r="G382" s="2" t="s">
        <v>453</v>
      </c>
      <c r="J382" s="2" t="s">
        <v>267</v>
      </c>
      <c r="K382" s="2" t="s">
        <v>133</v>
      </c>
    </row>
    <row r="383" spans="3:11" ht="13.9" x14ac:dyDescent="0.3">
      <c r="C383" s="2" t="s">
        <v>680</v>
      </c>
      <c r="F383" s="2" t="s">
        <v>267</v>
      </c>
      <c r="G383" s="2" t="s">
        <v>418</v>
      </c>
      <c r="J383" s="2" t="s">
        <v>32</v>
      </c>
      <c r="K383" s="2" t="s">
        <v>126</v>
      </c>
    </row>
    <row r="384" spans="3:11" ht="13.9" x14ac:dyDescent="0.3">
      <c r="C384" s="2" t="s">
        <v>566</v>
      </c>
      <c r="F384" s="2" t="s">
        <v>32</v>
      </c>
      <c r="G384" s="2" t="s">
        <v>633</v>
      </c>
      <c r="J384" s="2" t="s">
        <v>34</v>
      </c>
      <c r="K384" s="8" t="s">
        <v>99</v>
      </c>
    </row>
    <row r="385" spans="3:11" ht="13.9" x14ac:dyDescent="0.3">
      <c r="C385" s="2" t="s">
        <v>637</v>
      </c>
      <c r="F385" s="2" t="s">
        <v>141</v>
      </c>
      <c r="G385" s="2" t="s">
        <v>904</v>
      </c>
      <c r="J385" s="2" t="s">
        <v>141</v>
      </c>
      <c r="K385" s="2" t="s">
        <v>877</v>
      </c>
    </row>
    <row r="386" spans="3:11" ht="13.9" x14ac:dyDescent="0.3">
      <c r="C386" s="2" t="s">
        <v>67</v>
      </c>
      <c r="F386" s="2" t="s">
        <v>34</v>
      </c>
      <c r="G386" s="2" t="s">
        <v>401</v>
      </c>
      <c r="J386" s="2" t="s">
        <v>21</v>
      </c>
      <c r="K386" s="2" t="s">
        <v>258</v>
      </c>
    </row>
    <row r="387" spans="3:11" ht="13.9" x14ac:dyDescent="0.3">
      <c r="C387" s="2" t="s">
        <v>78</v>
      </c>
      <c r="F387" s="2" t="s">
        <v>236</v>
      </c>
      <c r="G387" s="2" t="s">
        <v>19</v>
      </c>
      <c r="J387" s="2" t="s">
        <v>236</v>
      </c>
      <c r="K387" s="2" t="s">
        <v>339</v>
      </c>
    </row>
    <row r="388" spans="3:11" ht="13.9" x14ac:dyDescent="0.3">
      <c r="C388" s="2" t="s">
        <v>574</v>
      </c>
      <c r="F388" s="2" t="s">
        <v>21</v>
      </c>
      <c r="G388" s="2" t="s">
        <v>507</v>
      </c>
      <c r="J388" s="2" t="s">
        <v>20</v>
      </c>
      <c r="K388" s="2" t="s">
        <v>435</v>
      </c>
    </row>
    <row r="389" spans="3:11" ht="13.9" x14ac:dyDescent="0.3">
      <c r="C389" s="2" t="s">
        <v>633</v>
      </c>
      <c r="F389" s="2" t="s">
        <v>20</v>
      </c>
      <c r="G389" s="2" t="s">
        <v>509</v>
      </c>
      <c r="J389" s="2" t="s">
        <v>28</v>
      </c>
      <c r="K389" s="2" t="s">
        <v>526</v>
      </c>
    </row>
    <row r="390" spans="3:11" ht="13.9" x14ac:dyDescent="0.3">
      <c r="C390" s="2" t="s">
        <v>521</v>
      </c>
      <c r="F390" s="2" t="s">
        <v>28</v>
      </c>
      <c r="G390" s="2" t="s">
        <v>908</v>
      </c>
      <c r="J390" s="2" t="s">
        <v>151</v>
      </c>
      <c r="K390" s="2" t="s">
        <v>94</v>
      </c>
    </row>
    <row r="391" spans="3:11" ht="13.9" x14ac:dyDescent="0.3">
      <c r="C391" s="2" t="s">
        <v>792</v>
      </c>
      <c r="F391" s="2" t="s">
        <v>151</v>
      </c>
      <c r="G391" s="2" t="s">
        <v>307</v>
      </c>
      <c r="K391" s="2" t="s">
        <v>868</v>
      </c>
    </row>
    <row r="392" spans="3:11" ht="13.9" x14ac:dyDescent="0.3">
      <c r="C392" s="2" t="s">
        <v>905</v>
      </c>
      <c r="G392" s="2" t="s">
        <v>398</v>
      </c>
      <c r="K392" s="2" t="s">
        <v>168</v>
      </c>
    </row>
    <row r="393" spans="3:11" ht="13.9" x14ac:dyDescent="0.3">
      <c r="C393" s="2" t="s">
        <v>123</v>
      </c>
      <c r="G393" s="2" t="s">
        <v>400</v>
      </c>
      <c r="K393" s="2" t="s">
        <v>321</v>
      </c>
    </row>
    <row r="394" spans="3:11" ht="13.9" x14ac:dyDescent="0.3">
      <c r="C394" s="2" t="s">
        <v>597</v>
      </c>
      <c r="G394" s="2" t="s">
        <v>895</v>
      </c>
      <c r="K394" s="2" t="s">
        <v>128</v>
      </c>
    </row>
    <row r="395" spans="3:11" ht="13.9" x14ac:dyDescent="0.3">
      <c r="C395" s="2" t="s">
        <v>58</v>
      </c>
      <c r="G395" s="2" t="s">
        <v>792</v>
      </c>
      <c r="K395" s="2" t="s">
        <v>330</v>
      </c>
    </row>
    <row r="396" spans="3:11" ht="13.9" x14ac:dyDescent="0.3">
      <c r="C396" s="2" t="s">
        <v>109</v>
      </c>
      <c r="G396" s="2" t="s">
        <v>849</v>
      </c>
      <c r="K396" s="2" t="s">
        <v>294</v>
      </c>
    </row>
    <row r="397" spans="3:11" ht="13.9" x14ac:dyDescent="0.3">
      <c r="C397" s="2" t="s">
        <v>917</v>
      </c>
      <c r="G397" s="2" t="s">
        <v>441</v>
      </c>
      <c r="K397" s="2" t="s">
        <v>23</v>
      </c>
    </row>
    <row r="398" spans="3:11" ht="13.9" x14ac:dyDescent="0.3">
      <c r="C398" s="2" t="s">
        <v>31</v>
      </c>
      <c r="G398" s="2" t="s">
        <v>739</v>
      </c>
      <c r="K398" s="2" t="s">
        <v>108</v>
      </c>
    </row>
    <row r="399" spans="3:11" ht="13.9" x14ac:dyDescent="0.3">
      <c r="C399" s="2" t="s">
        <v>883</v>
      </c>
      <c r="G399" s="2" t="s">
        <v>431</v>
      </c>
      <c r="K399" s="2" t="s">
        <v>48</v>
      </c>
    </row>
    <row r="400" spans="3:11" ht="13.9" x14ac:dyDescent="0.3">
      <c r="C400" s="2" t="s">
        <v>914</v>
      </c>
      <c r="G400" s="2" t="s">
        <v>334</v>
      </c>
      <c r="K400" s="2" t="s">
        <v>118</v>
      </c>
    </row>
    <row r="401" spans="3:11" ht="13.9" x14ac:dyDescent="0.3">
      <c r="C401" s="2" t="s">
        <v>481</v>
      </c>
      <c r="G401" s="2" t="s">
        <v>486</v>
      </c>
      <c r="K401" s="2" t="s">
        <v>776</v>
      </c>
    </row>
    <row r="402" spans="3:11" ht="13.9" x14ac:dyDescent="0.3">
      <c r="C402" s="2" t="s">
        <v>646</v>
      </c>
      <c r="G402" s="2" t="s">
        <v>319</v>
      </c>
      <c r="K402" s="2" t="s">
        <v>368</v>
      </c>
    </row>
    <row r="403" spans="3:11" ht="13.9" x14ac:dyDescent="0.3">
      <c r="C403" s="2" t="s">
        <v>653</v>
      </c>
      <c r="G403" s="2" t="s">
        <v>921</v>
      </c>
      <c r="K403" s="2" t="s">
        <v>175</v>
      </c>
    </row>
    <row r="404" spans="3:11" ht="13.9" x14ac:dyDescent="0.3">
      <c r="C404" s="2" t="s">
        <v>322</v>
      </c>
      <c r="G404" s="2" t="s">
        <v>887</v>
      </c>
      <c r="K404" s="2" t="s">
        <v>249</v>
      </c>
    </row>
    <row r="405" spans="3:11" ht="13.9" x14ac:dyDescent="0.3">
      <c r="C405" s="2" t="s">
        <v>744</v>
      </c>
      <c r="G405" s="2" t="s">
        <v>740</v>
      </c>
      <c r="K405" s="2" t="s">
        <v>80</v>
      </c>
    </row>
    <row r="406" spans="3:11" ht="13.9" x14ac:dyDescent="0.3">
      <c r="C406" s="2" t="s">
        <v>889</v>
      </c>
      <c r="G406" s="2" t="s">
        <v>184</v>
      </c>
      <c r="K406" s="2" t="s">
        <v>234</v>
      </c>
    </row>
    <row r="407" spans="3:11" ht="13.9" x14ac:dyDescent="0.3">
      <c r="C407" s="2" t="s">
        <v>198</v>
      </c>
      <c r="G407" s="2" t="s">
        <v>695</v>
      </c>
      <c r="K407" s="2" t="s">
        <v>240</v>
      </c>
    </row>
    <row r="408" spans="3:11" ht="13.9" x14ac:dyDescent="0.3">
      <c r="C408" s="2" t="s">
        <v>747</v>
      </c>
      <c r="G408" s="2" t="s">
        <v>360</v>
      </c>
      <c r="K408" s="2" t="s">
        <v>366</v>
      </c>
    </row>
    <row r="409" spans="3:11" ht="13.9" x14ac:dyDescent="0.3">
      <c r="C409" s="2" t="s">
        <v>405</v>
      </c>
      <c r="G409" s="2" t="s">
        <v>505</v>
      </c>
      <c r="K409" s="2" t="s">
        <v>221</v>
      </c>
    </row>
    <row r="410" spans="3:11" ht="13.9" x14ac:dyDescent="0.3">
      <c r="C410" s="2" t="s">
        <v>421</v>
      </c>
      <c r="G410" s="2" t="s">
        <v>534</v>
      </c>
      <c r="K410" s="2" t="s">
        <v>44</v>
      </c>
    </row>
    <row r="411" spans="3:11" ht="13.9" x14ac:dyDescent="0.3">
      <c r="C411" s="2" t="s">
        <v>312</v>
      </c>
      <c r="G411" s="2" t="s">
        <v>552</v>
      </c>
      <c r="K411" s="2" t="s">
        <v>388</v>
      </c>
    </row>
    <row r="412" spans="3:11" ht="13.9" x14ac:dyDescent="0.3">
      <c r="C412" s="2" t="s">
        <v>900</v>
      </c>
      <c r="G412" s="2" t="s">
        <v>37</v>
      </c>
      <c r="K412" s="2" t="s">
        <v>466</v>
      </c>
    </row>
    <row r="413" spans="3:11" ht="13.9" x14ac:dyDescent="0.3">
      <c r="C413" s="2" t="s">
        <v>544</v>
      </c>
      <c r="G413" s="2" t="s">
        <v>349</v>
      </c>
      <c r="K413" s="2" t="s">
        <v>218</v>
      </c>
    </row>
    <row r="414" spans="3:11" ht="13.9" x14ac:dyDescent="0.3">
      <c r="C414" s="2" t="s">
        <v>268</v>
      </c>
      <c r="G414" s="2" t="s">
        <v>186</v>
      </c>
      <c r="K414" s="2" t="s">
        <v>931</v>
      </c>
    </row>
    <row r="415" spans="3:11" ht="13.9" x14ac:dyDescent="0.3">
      <c r="C415" s="2" t="s">
        <v>152</v>
      </c>
      <c r="G415" s="2" t="s">
        <v>590</v>
      </c>
      <c r="K415" s="2" t="s">
        <v>774</v>
      </c>
    </row>
    <row r="416" spans="3:11" ht="13.9" x14ac:dyDescent="0.3">
      <c r="C416" s="2" t="s">
        <v>545</v>
      </c>
      <c r="G416" s="2" t="s">
        <v>98</v>
      </c>
      <c r="K416" s="2" t="s">
        <v>604</v>
      </c>
    </row>
    <row r="417" spans="3:11" ht="13.9" x14ac:dyDescent="0.3">
      <c r="C417" s="2" t="s">
        <v>683</v>
      </c>
      <c r="G417" s="2" t="s">
        <v>927</v>
      </c>
      <c r="K417" s="2" t="s">
        <v>204</v>
      </c>
    </row>
    <row r="418" spans="3:11" ht="13.9" x14ac:dyDescent="0.3">
      <c r="C418" s="2" t="s">
        <v>930</v>
      </c>
      <c r="G418" s="2" t="s">
        <v>387</v>
      </c>
      <c r="K418" s="2" t="s">
        <v>170</v>
      </c>
    </row>
    <row r="419" spans="3:11" ht="13.9" x14ac:dyDescent="0.3">
      <c r="C419" s="2" t="s">
        <v>206</v>
      </c>
      <c r="G419" s="2" t="s">
        <v>817</v>
      </c>
      <c r="K419" s="2" t="s">
        <v>448</v>
      </c>
    </row>
    <row r="420" spans="3:11" ht="13.9" x14ac:dyDescent="0.3">
      <c r="C420" s="2" t="s">
        <v>111</v>
      </c>
      <c r="G420" s="2" t="s">
        <v>39</v>
      </c>
      <c r="K420" s="2" t="s">
        <v>207</v>
      </c>
    </row>
    <row r="421" spans="3:11" ht="13.9" x14ac:dyDescent="0.3">
      <c r="C421" s="2" t="s">
        <v>850</v>
      </c>
      <c r="G421" s="2" t="s">
        <v>497</v>
      </c>
      <c r="K421" s="2" t="s">
        <v>718</v>
      </c>
    </row>
    <row r="422" spans="3:11" ht="13.9" x14ac:dyDescent="0.3">
      <c r="C422" s="2" t="s">
        <v>419</v>
      </c>
      <c r="G422" s="2" t="s">
        <v>223</v>
      </c>
      <c r="K422" s="2" t="s">
        <v>364</v>
      </c>
    </row>
    <row r="423" spans="3:11" ht="13.9" x14ac:dyDescent="0.3">
      <c r="C423" s="2" t="s">
        <v>223</v>
      </c>
      <c r="G423" s="2" t="s">
        <v>215</v>
      </c>
      <c r="K423" s="2" t="s">
        <v>916</v>
      </c>
    </row>
    <row r="424" spans="3:11" ht="13.9" x14ac:dyDescent="0.3">
      <c r="C424" s="2" t="s">
        <v>523</v>
      </c>
      <c r="G424" s="2" t="s">
        <v>396</v>
      </c>
      <c r="K424" s="2" t="s">
        <v>933</v>
      </c>
    </row>
    <row r="425" spans="3:11" ht="13.9" x14ac:dyDescent="0.3">
      <c r="C425" s="2" t="s">
        <v>536</v>
      </c>
      <c r="G425" s="2" t="s">
        <v>411</v>
      </c>
      <c r="K425" s="2" t="s">
        <v>775</v>
      </c>
    </row>
    <row r="426" spans="3:11" ht="13.9" x14ac:dyDescent="0.3">
      <c r="C426" s="2" t="s">
        <v>540</v>
      </c>
      <c r="G426" s="2" t="s">
        <v>723</v>
      </c>
      <c r="K426" s="2" t="s">
        <v>33</v>
      </c>
    </row>
    <row r="427" spans="3:11" ht="13.9" x14ac:dyDescent="0.3">
      <c r="C427" s="2" t="s">
        <v>77</v>
      </c>
      <c r="G427" s="2" t="s">
        <v>785</v>
      </c>
      <c r="K427" s="2" t="s">
        <v>216</v>
      </c>
    </row>
    <row r="428" spans="3:11" ht="13.9" x14ac:dyDescent="0.3">
      <c r="C428" s="2" t="s">
        <v>106</v>
      </c>
      <c r="G428" s="2" t="s">
        <v>352</v>
      </c>
      <c r="K428" s="2" t="s">
        <v>941</v>
      </c>
    </row>
    <row r="429" spans="3:11" ht="13.9" x14ac:dyDescent="0.3">
      <c r="C429" s="2" t="s">
        <v>740</v>
      </c>
      <c r="G429" s="2" t="s">
        <v>138</v>
      </c>
      <c r="K429" s="2" t="s">
        <v>777</v>
      </c>
    </row>
    <row r="430" spans="3:11" ht="13.9" x14ac:dyDescent="0.3">
      <c r="C430" s="2" t="s">
        <v>644</v>
      </c>
      <c r="G430" s="2" t="s">
        <v>883</v>
      </c>
      <c r="K430" s="2" t="s">
        <v>54</v>
      </c>
    </row>
    <row r="431" spans="3:11" ht="13.9" x14ac:dyDescent="0.3">
      <c r="C431" s="2" t="s">
        <v>507</v>
      </c>
      <c r="G431" s="2" t="s">
        <v>622</v>
      </c>
      <c r="K431" s="2" t="s">
        <v>625</v>
      </c>
    </row>
    <row r="432" spans="3:11" ht="13.9" x14ac:dyDescent="0.3">
      <c r="C432" s="2" t="s">
        <v>750</v>
      </c>
      <c r="G432" s="2" t="s">
        <v>589</v>
      </c>
      <c r="K432" s="2" t="s">
        <v>456</v>
      </c>
    </row>
    <row r="433" spans="3:11" ht="13.9" x14ac:dyDescent="0.3">
      <c r="C433" s="2" t="s">
        <v>241</v>
      </c>
      <c r="G433" s="2" t="s">
        <v>101</v>
      </c>
      <c r="K433" s="2" t="s">
        <v>682</v>
      </c>
    </row>
    <row r="434" spans="3:11" ht="13.9" x14ac:dyDescent="0.3">
      <c r="C434" s="2" t="s">
        <v>541</v>
      </c>
      <c r="G434" s="2" t="s">
        <v>350</v>
      </c>
      <c r="K434" s="2" t="s">
        <v>668</v>
      </c>
    </row>
    <row r="435" spans="3:11" ht="13.9" x14ac:dyDescent="0.3">
      <c r="C435" s="2" t="s">
        <v>567</v>
      </c>
      <c r="G435" s="2" t="s">
        <v>295</v>
      </c>
      <c r="K435" s="2" t="s">
        <v>693</v>
      </c>
    </row>
    <row r="436" spans="3:11" ht="13.9" x14ac:dyDescent="0.3">
      <c r="C436" s="2" t="s">
        <v>702</v>
      </c>
      <c r="G436" s="2" t="s">
        <v>105</v>
      </c>
      <c r="K436" s="2" t="s">
        <v>114</v>
      </c>
    </row>
    <row r="437" spans="3:11" ht="13.9" x14ac:dyDescent="0.3">
      <c r="C437" s="2" t="s">
        <v>651</v>
      </c>
      <c r="G437" s="2" t="s">
        <v>93</v>
      </c>
      <c r="K437" s="2" t="s">
        <v>275</v>
      </c>
    </row>
    <row r="438" spans="3:11" ht="13.9" x14ac:dyDescent="0.3">
      <c r="C438" s="2" t="s">
        <v>488</v>
      </c>
      <c r="G438" s="2" t="s">
        <v>77</v>
      </c>
      <c r="K438" s="2" t="s">
        <v>220</v>
      </c>
    </row>
    <row r="439" spans="3:11" ht="13.9" x14ac:dyDescent="0.3">
      <c r="C439" s="2" t="s">
        <v>647</v>
      </c>
      <c r="G439" s="2" t="s">
        <v>451</v>
      </c>
      <c r="K439" s="2" t="s">
        <v>748</v>
      </c>
    </row>
    <row r="440" spans="3:11" ht="13.9" x14ac:dyDescent="0.3">
      <c r="C440" s="2" t="s">
        <v>72</v>
      </c>
      <c r="G440" s="2" t="s">
        <v>452</v>
      </c>
      <c r="K440" s="2" t="s">
        <v>417</v>
      </c>
    </row>
    <row r="441" spans="3:11" ht="13.9" x14ac:dyDescent="0.3">
      <c r="C441" s="2" t="s">
        <v>196</v>
      </c>
      <c r="G441" s="2" t="s">
        <v>516</v>
      </c>
      <c r="K441" s="2" t="s">
        <v>261</v>
      </c>
    </row>
    <row r="442" spans="3:11" ht="13.9" x14ac:dyDescent="0.3">
      <c r="C442" s="2" t="s">
        <v>346</v>
      </c>
      <c r="G442" s="2" t="s">
        <v>641</v>
      </c>
      <c r="K442" s="2" t="s">
        <v>618</v>
      </c>
    </row>
    <row r="443" spans="3:11" ht="13.9" x14ac:dyDescent="0.3">
      <c r="C443" s="2" t="s">
        <v>707</v>
      </c>
      <c r="G443" s="2" t="s">
        <v>665</v>
      </c>
      <c r="K443" s="2" t="s">
        <v>384</v>
      </c>
    </row>
    <row r="444" spans="3:11" ht="13.9" x14ac:dyDescent="0.3">
      <c r="C444" s="2" t="s">
        <v>675</v>
      </c>
      <c r="G444" s="2" t="s">
        <v>537</v>
      </c>
      <c r="K444" s="2" t="s">
        <v>104</v>
      </c>
    </row>
    <row r="445" spans="3:11" ht="13.9" x14ac:dyDescent="0.3">
      <c r="C445" s="2" t="s">
        <v>599</v>
      </c>
      <c r="G445" s="2" t="s">
        <v>172</v>
      </c>
      <c r="K445" s="2" t="s">
        <v>766</v>
      </c>
    </row>
    <row r="446" spans="3:11" ht="13.9" x14ac:dyDescent="0.3">
      <c r="C446" s="2" t="s">
        <v>505</v>
      </c>
      <c r="G446" s="2" t="s">
        <v>58</v>
      </c>
      <c r="K446" s="2" t="s">
        <v>282</v>
      </c>
    </row>
    <row r="447" spans="3:11" ht="13.9" x14ac:dyDescent="0.3">
      <c r="C447" s="2" t="s">
        <v>132</v>
      </c>
      <c r="G447" s="2" t="s">
        <v>219</v>
      </c>
      <c r="K447" s="2" t="s">
        <v>772</v>
      </c>
    </row>
    <row r="448" spans="3:11" ht="13.9" x14ac:dyDescent="0.3">
      <c r="C448" s="2" t="s">
        <v>789</v>
      </c>
      <c r="G448" s="2" t="s">
        <v>261</v>
      </c>
      <c r="K448" s="2" t="s">
        <v>376</v>
      </c>
    </row>
    <row r="449" spans="3:11" ht="13.9" x14ac:dyDescent="0.3">
      <c r="C449" s="2" t="s">
        <v>161</v>
      </c>
      <c r="G449" s="2" t="s">
        <v>113</v>
      </c>
      <c r="K449" s="2" t="s">
        <v>134</v>
      </c>
    </row>
    <row r="450" spans="3:11" ht="13.9" x14ac:dyDescent="0.3">
      <c r="C450" s="2" t="s">
        <v>854</v>
      </c>
      <c r="G450" s="2" t="s">
        <v>228</v>
      </c>
      <c r="K450" s="2" t="s">
        <v>920</v>
      </c>
    </row>
    <row r="451" spans="3:11" ht="13.9" x14ac:dyDescent="0.3">
      <c r="C451" s="2" t="s">
        <v>449</v>
      </c>
      <c r="G451" s="2" t="s">
        <v>225</v>
      </c>
      <c r="K451" s="2" t="s">
        <v>115</v>
      </c>
    </row>
    <row r="452" spans="3:11" ht="13.9" x14ac:dyDescent="0.3">
      <c r="C452" s="2" t="s">
        <v>297</v>
      </c>
      <c r="G452" s="2" t="s">
        <v>284</v>
      </c>
      <c r="K452" s="2" t="s">
        <v>159</v>
      </c>
    </row>
    <row r="453" spans="3:11" ht="13.9" x14ac:dyDescent="0.3">
      <c r="C453" s="2" t="s">
        <v>815</v>
      </c>
      <c r="G453" s="2" t="s">
        <v>78</v>
      </c>
      <c r="K453" s="2" t="s">
        <v>158</v>
      </c>
    </row>
    <row r="454" spans="3:11" ht="13.9" x14ac:dyDescent="0.3">
      <c r="C454" s="2" t="s">
        <v>829</v>
      </c>
      <c r="G454" s="2" t="s">
        <v>152</v>
      </c>
      <c r="K454" s="2" t="s">
        <v>393</v>
      </c>
    </row>
    <row r="455" spans="3:11" ht="13.9" x14ac:dyDescent="0.3">
      <c r="C455" s="2" t="s">
        <v>406</v>
      </c>
      <c r="G455" s="2" t="s">
        <v>95</v>
      </c>
      <c r="K455" s="2" t="s">
        <v>263</v>
      </c>
    </row>
    <row r="456" spans="3:11" ht="13.9" x14ac:dyDescent="0.3">
      <c r="C456" s="2" t="s">
        <v>411</v>
      </c>
      <c r="G456" s="2" t="s">
        <v>661</v>
      </c>
      <c r="K456" s="2" t="s">
        <v>438</v>
      </c>
    </row>
    <row r="457" spans="3:11" ht="13.9" x14ac:dyDescent="0.3">
      <c r="C457" s="2" t="s">
        <v>232</v>
      </c>
      <c r="G457" s="2" t="s">
        <v>691</v>
      </c>
      <c r="K457" s="2" t="s">
        <v>235</v>
      </c>
    </row>
    <row r="458" spans="3:11" ht="13.9" x14ac:dyDescent="0.3">
      <c r="C458" s="2" t="s">
        <v>177</v>
      </c>
      <c r="G458" s="2" t="s">
        <v>70</v>
      </c>
      <c r="K458" s="2" t="s">
        <v>385</v>
      </c>
    </row>
    <row r="459" spans="3:11" ht="13.9" x14ac:dyDescent="0.3">
      <c r="C459" s="2" t="s">
        <v>103</v>
      </c>
      <c r="G459" s="2" t="s">
        <v>56</v>
      </c>
      <c r="K459" s="2" t="s">
        <v>551</v>
      </c>
    </row>
    <row r="460" spans="3:11" ht="13.9" x14ac:dyDescent="0.3">
      <c r="C460" s="2" t="s">
        <v>205</v>
      </c>
      <c r="G460" s="2" t="s">
        <v>846</v>
      </c>
      <c r="K460" s="2" t="s">
        <v>465</v>
      </c>
    </row>
    <row r="461" spans="3:11" ht="13.9" x14ac:dyDescent="0.3">
      <c r="C461" s="2" t="s">
        <v>228</v>
      </c>
      <c r="G461" s="2" t="s">
        <v>489</v>
      </c>
      <c r="K461" s="2" t="s">
        <v>217</v>
      </c>
    </row>
    <row r="462" spans="3:11" ht="13.9" x14ac:dyDescent="0.3">
      <c r="C462" s="2" t="s">
        <v>278</v>
      </c>
      <c r="G462" s="2" t="s">
        <v>635</v>
      </c>
      <c r="K462" s="2" t="s">
        <v>208</v>
      </c>
    </row>
    <row r="463" spans="3:11" ht="13.9" x14ac:dyDescent="0.3">
      <c r="C463" s="2" t="s">
        <v>489</v>
      </c>
      <c r="G463" s="2" t="s">
        <v>638</v>
      </c>
      <c r="K463" s="2" t="s">
        <v>212</v>
      </c>
    </row>
    <row r="464" spans="3:11" ht="13.9" x14ac:dyDescent="0.3">
      <c r="C464" s="2" t="s">
        <v>595</v>
      </c>
      <c r="G464" s="2" t="s">
        <v>302</v>
      </c>
      <c r="K464" s="2" t="s">
        <v>214</v>
      </c>
    </row>
    <row r="465" spans="3:11" ht="13.9" x14ac:dyDescent="0.3">
      <c r="C465" s="2" t="s">
        <v>756</v>
      </c>
      <c r="G465" s="2" t="s">
        <v>543</v>
      </c>
      <c r="K465" s="2" t="s">
        <v>55</v>
      </c>
    </row>
    <row r="466" spans="3:11" ht="13.9" x14ac:dyDescent="0.3">
      <c r="C466" s="2" t="s">
        <v>635</v>
      </c>
      <c r="G466" s="2" t="s">
        <v>834</v>
      </c>
      <c r="K466" s="2" t="s">
        <v>324</v>
      </c>
    </row>
    <row r="467" spans="3:11" ht="13.9" x14ac:dyDescent="0.3">
      <c r="C467" s="2" t="s">
        <v>130</v>
      </c>
      <c r="G467" s="2" t="s">
        <v>409</v>
      </c>
      <c r="K467" s="2" t="s">
        <v>226</v>
      </c>
    </row>
    <row r="468" spans="3:11" ht="13.9" x14ac:dyDescent="0.3">
      <c r="C468" s="2" t="s">
        <v>162</v>
      </c>
      <c r="G468" s="2" t="s">
        <v>612</v>
      </c>
      <c r="K468" s="2" t="s">
        <v>715</v>
      </c>
    </row>
    <row r="469" spans="3:11" ht="13.9" x14ac:dyDescent="0.3">
      <c r="C469" s="2" t="s">
        <v>233</v>
      </c>
      <c r="G469" s="2" t="s">
        <v>231</v>
      </c>
      <c r="K469" s="2" t="s">
        <v>433</v>
      </c>
    </row>
    <row r="470" spans="3:11" ht="13.9" x14ac:dyDescent="0.3">
      <c r="C470" s="2" t="s">
        <v>146</v>
      </c>
      <c r="G470" s="2" t="s">
        <v>754</v>
      </c>
      <c r="K470" s="2" t="s">
        <v>848</v>
      </c>
    </row>
    <row r="471" spans="3:11" ht="13.9" x14ac:dyDescent="0.3">
      <c r="C471" s="2" t="s">
        <v>475</v>
      </c>
      <c r="G471" s="2" t="s">
        <v>122</v>
      </c>
      <c r="K471" s="2" t="s">
        <v>197</v>
      </c>
    </row>
    <row r="472" spans="3:11" ht="13.9" x14ac:dyDescent="0.3">
      <c r="C472" s="2" t="s">
        <v>502</v>
      </c>
      <c r="G472" s="2" t="s">
        <v>407</v>
      </c>
      <c r="K472" s="2" t="s">
        <v>510</v>
      </c>
    </row>
    <row r="473" spans="3:11" ht="13.9" x14ac:dyDescent="0.3">
      <c r="C473" s="2" t="s">
        <v>926</v>
      </c>
      <c r="G473" s="2" t="s">
        <v>372</v>
      </c>
      <c r="K473" s="2" t="s">
        <v>912</v>
      </c>
    </row>
    <row r="474" spans="3:11" ht="13.9" x14ac:dyDescent="0.3">
      <c r="C474" s="2" t="s">
        <v>909</v>
      </c>
      <c r="G474" s="2" t="s">
        <v>901</v>
      </c>
      <c r="K474" s="2" t="s">
        <v>607</v>
      </c>
    </row>
    <row r="475" spans="3:11" ht="13.9" x14ac:dyDescent="0.3">
      <c r="C475" s="2" t="s">
        <v>403</v>
      </c>
      <c r="G475" s="8" t="s">
        <v>681</v>
      </c>
      <c r="K475" s="2" t="s">
        <v>61</v>
      </c>
    </row>
    <row r="476" spans="3:11" ht="13.9" x14ac:dyDescent="0.3">
      <c r="C476" s="2" t="s">
        <v>855</v>
      </c>
      <c r="G476" s="2" t="s">
        <v>628</v>
      </c>
      <c r="K476" s="2" t="s">
        <v>593</v>
      </c>
    </row>
    <row r="477" spans="3:11" ht="13.9" x14ac:dyDescent="0.3">
      <c r="C477" s="2" t="s">
        <v>739</v>
      </c>
      <c r="G477" s="2" t="s">
        <v>181</v>
      </c>
      <c r="K477" s="2" t="s">
        <v>896</v>
      </c>
    </row>
    <row r="478" spans="3:11" ht="13.9" x14ac:dyDescent="0.3">
      <c r="C478" s="2" t="s">
        <v>891</v>
      </c>
      <c r="G478" s="2" t="s">
        <v>472</v>
      </c>
      <c r="K478" s="2" t="s">
        <v>137</v>
      </c>
    </row>
    <row r="479" spans="3:11" ht="13.9" x14ac:dyDescent="0.3">
      <c r="C479" s="2" t="s">
        <v>35</v>
      </c>
      <c r="G479" s="2" t="s">
        <v>779</v>
      </c>
      <c r="K479" s="2" t="s">
        <v>50</v>
      </c>
    </row>
    <row r="480" spans="3:11" ht="13.9" x14ac:dyDescent="0.3">
      <c r="C480" s="2" t="s">
        <v>125</v>
      </c>
      <c r="G480" s="2" t="s">
        <v>805</v>
      </c>
      <c r="K480" s="2" t="s">
        <v>69</v>
      </c>
    </row>
    <row r="481" spans="3:11" ht="13.9" x14ac:dyDescent="0.3">
      <c r="C481" s="2" t="s">
        <v>266</v>
      </c>
      <c r="G481" s="2" t="s">
        <v>747</v>
      </c>
      <c r="K481" s="2" t="s">
        <v>73</v>
      </c>
    </row>
    <row r="482" spans="3:11" ht="13.9" x14ac:dyDescent="0.3">
      <c r="C482" s="2" t="s">
        <v>285</v>
      </c>
      <c r="G482" s="2" t="s">
        <v>394</v>
      </c>
      <c r="K482" s="2" t="s">
        <v>603</v>
      </c>
    </row>
    <row r="483" spans="3:11" ht="13.9" x14ac:dyDescent="0.3">
      <c r="C483" s="2" t="s">
        <v>480</v>
      </c>
      <c r="G483" s="2" t="s">
        <v>678</v>
      </c>
      <c r="K483" s="2" t="s">
        <v>187</v>
      </c>
    </row>
    <row r="484" spans="3:11" ht="13.9" x14ac:dyDescent="0.3">
      <c r="C484" s="2" t="s">
        <v>550</v>
      </c>
      <c r="G484" s="2" t="s">
        <v>459</v>
      </c>
      <c r="K484" s="2" t="s">
        <v>371</v>
      </c>
    </row>
    <row r="485" spans="3:11" ht="13.9" x14ac:dyDescent="0.3">
      <c r="C485" s="2" t="s">
        <v>440</v>
      </c>
      <c r="G485" s="2" t="s">
        <v>765</v>
      </c>
      <c r="K485" s="2" t="s">
        <v>290</v>
      </c>
    </row>
    <row r="486" spans="3:11" ht="13.9" x14ac:dyDescent="0.3">
      <c r="C486" s="2" t="s">
        <v>503</v>
      </c>
      <c r="G486" s="2" t="s">
        <v>869</v>
      </c>
      <c r="K486" s="2" t="s">
        <v>24</v>
      </c>
    </row>
    <row r="487" spans="3:11" ht="13.9" x14ac:dyDescent="0.3">
      <c r="C487" s="2" t="s">
        <v>581</v>
      </c>
      <c r="G487" s="2" t="s">
        <v>88</v>
      </c>
      <c r="K487" s="2" t="s">
        <v>117</v>
      </c>
    </row>
    <row r="488" spans="3:11" ht="13.9" x14ac:dyDescent="0.3">
      <c r="C488" s="2" t="s">
        <v>399</v>
      </c>
      <c r="G488" s="2" t="s">
        <v>292</v>
      </c>
      <c r="K488" s="2" t="s">
        <v>934</v>
      </c>
    </row>
    <row r="489" spans="3:11" ht="13.9" x14ac:dyDescent="0.3">
      <c r="C489" s="2" t="s">
        <v>85</v>
      </c>
      <c r="G489" s="2" t="s">
        <v>728</v>
      </c>
      <c r="K489" s="2" t="s">
        <v>594</v>
      </c>
    </row>
    <row r="490" spans="3:11" ht="13.9" x14ac:dyDescent="0.3">
      <c r="C490" s="2" t="s">
        <v>224</v>
      </c>
      <c r="G490" s="2" t="s">
        <v>627</v>
      </c>
      <c r="K490" s="2" t="s">
        <v>190</v>
      </c>
    </row>
    <row r="491" spans="3:11" ht="13.9" x14ac:dyDescent="0.3">
      <c r="C491" s="2" t="s">
        <v>362</v>
      </c>
      <c r="G491" s="2" t="s">
        <v>636</v>
      </c>
      <c r="K491" s="2" t="s">
        <v>288</v>
      </c>
    </row>
    <row r="492" spans="3:11" ht="13.9" x14ac:dyDescent="0.3">
      <c r="C492" s="2" t="s">
        <v>768</v>
      </c>
      <c r="G492" s="2" t="s">
        <v>148</v>
      </c>
      <c r="K492" s="2" t="s">
        <v>316</v>
      </c>
    </row>
    <row r="493" spans="3:11" ht="13.9" x14ac:dyDescent="0.3">
      <c r="C493" s="2" t="s">
        <v>913</v>
      </c>
      <c r="G493" s="2" t="s">
        <v>610</v>
      </c>
      <c r="K493" s="2" t="s">
        <v>641</v>
      </c>
    </row>
    <row r="494" spans="3:11" ht="13.9" x14ac:dyDescent="0.3">
      <c r="C494" s="2" t="s">
        <v>737</v>
      </c>
      <c r="G494" s="2" t="s">
        <v>935</v>
      </c>
      <c r="K494" s="2" t="s">
        <v>203</v>
      </c>
    </row>
    <row r="495" spans="3:11" ht="13.9" x14ac:dyDescent="0.3">
      <c r="C495" s="2" t="s">
        <v>546</v>
      </c>
      <c r="G495" s="2" t="s">
        <v>596</v>
      </c>
      <c r="K495" s="2" t="s">
        <v>155</v>
      </c>
    </row>
    <row r="496" spans="3:11" ht="13.9" x14ac:dyDescent="0.3">
      <c r="C496" s="2" t="s">
        <v>229</v>
      </c>
      <c r="G496" s="2" t="s">
        <v>476</v>
      </c>
      <c r="K496" s="2" t="s">
        <v>87</v>
      </c>
    </row>
    <row r="497" spans="3:11" ht="13.9" x14ac:dyDescent="0.3">
      <c r="C497" s="2" t="s">
        <v>623</v>
      </c>
      <c r="G497" s="2" t="s">
        <v>169</v>
      </c>
      <c r="K497" s="2" t="s">
        <v>210</v>
      </c>
    </row>
    <row r="498" spans="3:11" ht="13.9" x14ac:dyDescent="0.3">
      <c r="C498" s="2" t="s">
        <v>131</v>
      </c>
      <c r="G498" s="2" t="s">
        <v>374</v>
      </c>
      <c r="K498" s="2" t="s">
        <v>943</v>
      </c>
    </row>
    <row r="499" spans="3:11" ht="13.9" x14ac:dyDescent="0.3">
      <c r="C499" s="2" t="s">
        <v>209</v>
      </c>
      <c r="G499" s="2" t="s">
        <v>386</v>
      </c>
      <c r="K499" s="2" t="s">
        <v>42</v>
      </c>
    </row>
    <row r="500" spans="3:11" ht="13.9" x14ac:dyDescent="0.3">
      <c r="C500" s="2" t="s">
        <v>332</v>
      </c>
      <c r="G500" s="2" t="s">
        <v>576</v>
      </c>
      <c r="K500" s="2" t="s">
        <v>135</v>
      </c>
    </row>
    <row r="501" spans="3:11" ht="13.9" x14ac:dyDescent="0.3">
      <c r="C501" s="2" t="s">
        <v>436</v>
      </c>
      <c r="G501" s="2" t="s">
        <v>257</v>
      </c>
      <c r="K501" s="2" t="s">
        <v>211</v>
      </c>
    </row>
    <row r="502" spans="3:11" ht="13.9" x14ac:dyDescent="0.3">
      <c r="C502" s="2" t="s">
        <v>538</v>
      </c>
      <c r="G502" s="2" t="s">
        <v>102</v>
      </c>
      <c r="K502" s="2" t="s">
        <v>514</v>
      </c>
    </row>
    <row r="503" spans="3:11" ht="13.9" x14ac:dyDescent="0.3">
      <c r="C503" s="2" t="s">
        <v>669</v>
      </c>
      <c r="G503" s="2" t="s">
        <v>940</v>
      </c>
      <c r="K503" s="2" t="s">
        <v>447</v>
      </c>
    </row>
    <row r="504" spans="3:11" ht="13.9" x14ac:dyDescent="0.3">
      <c r="C504" s="2" t="s">
        <v>763</v>
      </c>
      <c r="G504" s="2" t="s">
        <v>942</v>
      </c>
      <c r="K504" s="2" t="s">
        <v>496</v>
      </c>
    </row>
    <row r="505" spans="3:11" ht="13.9" x14ac:dyDescent="0.3">
      <c r="C505" s="2" t="s">
        <v>395</v>
      </c>
      <c r="G505" s="2" t="s">
        <v>376</v>
      </c>
      <c r="K505" s="2" t="s">
        <v>66</v>
      </c>
    </row>
    <row r="506" spans="3:11" ht="13.9" x14ac:dyDescent="0.3">
      <c r="C506" s="2" t="s">
        <v>496</v>
      </c>
      <c r="G506" s="2" t="s">
        <v>457</v>
      </c>
      <c r="K506" s="2" t="s">
        <v>83</v>
      </c>
    </row>
    <row r="507" spans="3:11" ht="13.9" x14ac:dyDescent="0.3">
      <c r="C507" s="2" t="s">
        <v>37</v>
      </c>
      <c r="G507" s="2" t="s">
        <v>287</v>
      </c>
      <c r="K507" s="2" t="s">
        <v>84</v>
      </c>
    </row>
    <row r="508" spans="3:11" ht="13.9" x14ac:dyDescent="0.3">
      <c r="C508" s="2" t="s">
        <v>256</v>
      </c>
      <c r="G508" s="2" t="s">
        <v>253</v>
      </c>
      <c r="K508" s="2" t="s">
        <v>454</v>
      </c>
    </row>
    <row r="509" spans="3:11" ht="13.9" x14ac:dyDescent="0.3">
      <c r="C509" s="2" t="s">
        <v>302</v>
      </c>
      <c r="G509" s="2" t="s">
        <v>367</v>
      </c>
      <c r="K509" s="2" t="s">
        <v>274</v>
      </c>
    </row>
    <row r="510" spans="3:11" ht="13.9" x14ac:dyDescent="0.3">
      <c r="C510" s="2" t="s">
        <v>336</v>
      </c>
      <c r="G510" s="2" t="s">
        <v>203</v>
      </c>
      <c r="K510" s="2" t="s">
        <v>230</v>
      </c>
    </row>
    <row r="511" spans="3:11" ht="13.9" x14ac:dyDescent="0.3">
      <c r="C511" s="2" t="s">
        <v>342</v>
      </c>
      <c r="G511" s="2" t="s">
        <v>83</v>
      </c>
      <c r="K511" s="2" t="s">
        <v>471</v>
      </c>
    </row>
    <row r="512" spans="3:11" ht="13.9" x14ac:dyDescent="0.3">
      <c r="C512" s="2" t="s">
        <v>404</v>
      </c>
      <c r="G512" s="2" t="s">
        <v>84</v>
      </c>
      <c r="K512" s="2" t="s">
        <v>422</v>
      </c>
    </row>
    <row r="513" spans="3:11" ht="13.9" x14ac:dyDescent="0.3">
      <c r="C513" s="2" t="s">
        <v>561</v>
      </c>
      <c r="G513" s="2" t="s">
        <v>377</v>
      </c>
      <c r="K513" s="2" t="s">
        <v>925</v>
      </c>
    </row>
    <row r="514" spans="3:11" ht="13.9" x14ac:dyDescent="0.3">
      <c r="C514" s="2" t="s">
        <v>643</v>
      </c>
      <c r="G514" s="2" t="s">
        <v>43</v>
      </c>
      <c r="K514" s="2" t="s">
        <v>392</v>
      </c>
    </row>
    <row r="515" spans="3:11" ht="13.9" x14ac:dyDescent="0.3">
      <c r="C515" s="2" t="s">
        <v>703</v>
      </c>
      <c r="G515" s="2" t="s">
        <v>23</v>
      </c>
      <c r="K515" s="2" t="s">
        <v>291</v>
      </c>
    </row>
    <row r="516" spans="3:11" ht="13.9" x14ac:dyDescent="0.3">
      <c r="C516" s="2" t="s">
        <v>873</v>
      </c>
      <c r="G516" s="2" t="s">
        <v>264</v>
      </c>
      <c r="K516" s="2" t="s">
        <v>638</v>
      </c>
    </row>
    <row r="517" spans="3:11" ht="13.9" x14ac:dyDescent="0.3">
      <c r="C517" s="2" t="s">
        <v>887</v>
      </c>
      <c r="G517" s="2" t="s">
        <v>458</v>
      </c>
      <c r="K517" s="2" t="s">
        <v>380</v>
      </c>
    </row>
    <row r="518" spans="3:11" ht="13.9" x14ac:dyDescent="0.3">
      <c r="C518" s="2" t="s">
        <v>179</v>
      </c>
      <c r="G518" s="2" t="s">
        <v>730</v>
      </c>
      <c r="K518" s="2" t="s">
        <v>377</v>
      </c>
    </row>
    <row r="519" spans="3:11" ht="13.9" x14ac:dyDescent="0.3">
      <c r="C519" s="2" t="s">
        <v>343</v>
      </c>
      <c r="G519" s="2" t="s">
        <v>384</v>
      </c>
      <c r="K519" s="2" t="s">
        <v>188</v>
      </c>
    </row>
    <row r="520" spans="3:11" ht="13.9" x14ac:dyDescent="0.3">
      <c r="C520" s="2" t="s">
        <v>344</v>
      </c>
      <c r="G520" s="2" t="s">
        <v>672</v>
      </c>
      <c r="K520" s="2" t="s">
        <v>652</v>
      </c>
    </row>
    <row r="521" spans="3:11" ht="13.9" x14ac:dyDescent="0.3">
      <c r="C521" s="2" t="s">
        <v>383</v>
      </c>
      <c r="G521" s="2" t="s">
        <v>689</v>
      </c>
      <c r="K521" s="2" t="s">
        <v>476</v>
      </c>
    </row>
    <row r="522" spans="3:11" ht="13.9" x14ac:dyDescent="0.3">
      <c r="C522" s="2" t="s">
        <v>487</v>
      </c>
      <c r="G522" s="2" t="s">
        <v>629</v>
      </c>
      <c r="K522" s="2" t="s">
        <v>173</v>
      </c>
    </row>
    <row r="523" spans="3:11" ht="13.9" x14ac:dyDescent="0.3">
      <c r="C523" s="2" t="s">
        <v>498</v>
      </c>
      <c r="G523" s="6" t="s">
        <v>99</v>
      </c>
      <c r="K523" s="2" t="s">
        <v>105</v>
      </c>
    </row>
    <row r="524" spans="3:11" ht="13.9" x14ac:dyDescent="0.3">
      <c r="C524" s="2" t="s">
        <v>553</v>
      </c>
      <c r="G524" s="2" t="s">
        <v>341</v>
      </c>
      <c r="K524" s="2" t="s">
        <v>279</v>
      </c>
    </row>
    <row r="525" spans="3:11" ht="13.9" x14ac:dyDescent="0.3">
      <c r="C525" s="2" t="s">
        <v>570</v>
      </c>
      <c r="G525" s="2" t="s">
        <v>126</v>
      </c>
      <c r="K525" s="2" t="s">
        <v>886</v>
      </c>
    </row>
    <row r="526" spans="3:11" ht="13.9" x14ac:dyDescent="0.3">
      <c r="C526" s="2" t="s">
        <v>697</v>
      </c>
      <c r="G526" s="2" t="s">
        <v>784</v>
      </c>
      <c r="K526" s="2" t="s">
        <v>892</v>
      </c>
    </row>
    <row r="527" spans="3:11" ht="13.9" x14ac:dyDescent="0.3">
      <c r="C527" s="2" t="s">
        <v>810</v>
      </c>
      <c r="G527" s="2" t="s">
        <v>764</v>
      </c>
      <c r="K527" s="2" t="s">
        <v>396</v>
      </c>
    </row>
    <row r="528" spans="3:11" ht="13.9" x14ac:dyDescent="0.3">
      <c r="C528" s="2" t="s">
        <v>840</v>
      </c>
      <c r="G528" s="2" t="s">
        <v>76</v>
      </c>
      <c r="K528" s="2" t="s">
        <v>606</v>
      </c>
    </row>
    <row r="529" spans="3:11" ht="13.9" x14ac:dyDescent="0.3">
      <c r="C529" s="2" t="s">
        <v>357</v>
      </c>
      <c r="G529" s="2" t="s">
        <v>188</v>
      </c>
      <c r="K529" s="2" t="s">
        <v>89</v>
      </c>
    </row>
    <row r="530" spans="3:11" ht="13.9" x14ac:dyDescent="0.3">
      <c r="C530" s="2" t="s">
        <v>790</v>
      </c>
      <c r="G530" s="2" t="s">
        <v>611</v>
      </c>
      <c r="K530" s="2" t="s">
        <v>727</v>
      </c>
    </row>
    <row r="531" spans="3:11" ht="13.9" x14ac:dyDescent="0.3">
      <c r="C531" s="2" t="s">
        <v>495</v>
      </c>
      <c r="G531" s="2" t="s">
        <v>416</v>
      </c>
      <c r="K531" s="2" t="s">
        <v>255</v>
      </c>
    </row>
    <row r="532" spans="3:11" ht="13.9" x14ac:dyDescent="0.3">
      <c r="C532" s="2" t="s">
        <v>761</v>
      </c>
      <c r="G532" s="2" t="s">
        <v>504</v>
      </c>
      <c r="K532" s="2" t="s">
        <v>391</v>
      </c>
    </row>
    <row r="533" spans="3:11" ht="13.9" x14ac:dyDescent="0.3">
      <c r="C533" s="2" t="s">
        <v>626</v>
      </c>
      <c r="G533" s="2" t="s">
        <v>877</v>
      </c>
      <c r="K533" s="2" t="s">
        <v>160</v>
      </c>
    </row>
    <row r="534" spans="3:11" ht="13.9" x14ac:dyDescent="0.3">
      <c r="C534" s="2" t="s">
        <v>420</v>
      </c>
      <c r="G534" s="2" t="s">
        <v>339</v>
      </c>
      <c r="K534" s="2" t="s">
        <v>77</v>
      </c>
    </row>
    <row r="535" spans="3:11" ht="13.9" x14ac:dyDescent="0.3">
      <c r="C535" s="2" t="s">
        <v>568</v>
      </c>
      <c r="G535" s="2" t="s">
        <v>586</v>
      </c>
      <c r="K535" s="2" t="s">
        <v>78</v>
      </c>
    </row>
    <row r="536" spans="3:11" ht="13.9" x14ac:dyDescent="0.3">
      <c r="C536" s="2" t="s">
        <v>65</v>
      </c>
      <c r="G536" s="2" t="s">
        <v>294</v>
      </c>
      <c r="K536" s="2" t="s">
        <v>432</v>
      </c>
    </row>
    <row r="537" spans="3:11" ht="13.9" x14ac:dyDescent="0.3">
      <c r="C537" s="2" t="s">
        <v>243</v>
      </c>
      <c r="G537" s="2" t="s">
        <v>133</v>
      </c>
      <c r="K537" s="2" t="s">
        <v>378</v>
      </c>
    </row>
    <row r="538" spans="3:11" ht="13.9" x14ac:dyDescent="0.3">
      <c r="C538" s="2" t="s">
        <v>506</v>
      </c>
      <c r="G538" s="2" t="s">
        <v>283</v>
      </c>
      <c r="K538" s="2" t="s">
        <v>189</v>
      </c>
    </row>
    <row r="539" spans="3:11" ht="13.9" x14ac:dyDescent="0.3">
      <c r="C539" s="2" t="s">
        <v>524</v>
      </c>
      <c r="G539" s="2" t="s">
        <v>435</v>
      </c>
      <c r="K539" s="2" t="s">
        <v>381</v>
      </c>
    </row>
    <row r="540" spans="3:11" ht="13.9" x14ac:dyDescent="0.3">
      <c r="C540" s="2" t="s">
        <v>548</v>
      </c>
      <c r="G540" s="2" t="s">
        <v>80</v>
      </c>
      <c r="K540" s="2" t="s">
        <v>201</v>
      </c>
    </row>
    <row r="541" spans="3:11" ht="13.9" x14ac:dyDescent="0.3">
      <c r="C541" s="2" t="s">
        <v>579</v>
      </c>
      <c r="G541" s="2" t="s">
        <v>142</v>
      </c>
      <c r="K541" s="2" t="s">
        <v>293</v>
      </c>
    </row>
    <row r="542" spans="3:11" ht="13.9" x14ac:dyDescent="0.3">
      <c r="C542" s="2" t="s">
        <v>732</v>
      </c>
      <c r="G542" s="2" t="s">
        <v>721</v>
      </c>
      <c r="K542" s="2" t="s">
        <v>511</v>
      </c>
    </row>
    <row r="543" spans="3:11" ht="13.9" x14ac:dyDescent="0.3">
      <c r="C543" s="2" t="s">
        <v>514</v>
      </c>
      <c r="G543" s="2" t="s">
        <v>771</v>
      </c>
      <c r="K543" s="2" t="s">
        <v>248</v>
      </c>
    </row>
    <row r="544" spans="3:11" ht="13.9" x14ac:dyDescent="0.3">
      <c r="C544" s="2" t="s">
        <v>164</v>
      </c>
      <c r="G544" s="2" t="s">
        <v>324</v>
      </c>
      <c r="K544" s="2" t="s">
        <v>724</v>
      </c>
    </row>
    <row r="545" spans="3:11" ht="13.9" x14ac:dyDescent="0.3">
      <c r="C545" s="2" t="s">
        <v>557</v>
      </c>
      <c r="G545" s="2" t="s">
        <v>772</v>
      </c>
      <c r="K545" s="2" t="s">
        <v>929</v>
      </c>
    </row>
    <row r="546" spans="3:11" ht="13.9" x14ac:dyDescent="0.3">
      <c r="C546" s="2" t="s">
        <v>19</v>
      </c>
      <c r="G546" s="2" t="s">
        <v>134</v>
      </c>
      <c r="K546" s="2" t="s">
        <v>495</v>
      </c>
    </row>
    <row r="547" spans="3:11" ht="13.9" x14ac:dyDescent="0.3">
      <c r="C547" s="2" t="s">
        <v>174</v>
      </c>
      <c r="G547" s="2" t="s">
        <v>477</v>
      </c>
      <c r="K547" s="6" t="s">
        <v>937</v>
      </c>
    </row>
    <row r="548" spans="3:11" ht="13.9" x14ac:dyDescent="0.3">
      <c r="C548" s="2" t="s">
        <v>452</v>
      </c>
      <c r="G548" s="2" t="s">
        <v>606</v>
      </c>
      <c r="K548" s="2" t="s">
        <v>185</v>
      </c>
    </row>
    <row r="549" spans="3:11" ht="13.9" x14ac:dyDescent="0.3">
      <c r="C549" s="2" t="s">
        <v>542</v>
      </c>
      <c r="G549" s="2" t="s">
        <v>776</v>
      </c>
      <c r="K549" s="2" t="s">
        <v>379</v>
      </c>
    </row>
    <row r="550" spans="3:11" ht="13.9" x14ac:dyDescent="0.3">
      <c r="C550" s="2" t="s">
        <v>615</v>
      </c>
      <c r="G550" s="2" t="s">
        <v>62</v>
      </c>
      <c r="K550" s="2" t="s">
        <v>717</v>
      </c>
    </row>
    <row r="551" spans="3:11" ht="13.9" x14ac:dyDescent="0.3">
      <c r="C551" s="2" t="s">
        <v>631</v>
      </c>
      <c r="G551" s="2" t="s">
        <v>258</v>
      </c>
      <c r="K551" s="2" t="s">
        <v>781</v>
      </c>
    </row>
    <row r="552" spans="3:11" ht="13.9" x14ac:dyDescent="0.3">
      <c r="C552" s="2" t="s">
        <v>806</v>
      </c>
      <c r="G552" s="2" t="s">
        <v>526</v>
      </c>
      <c r="K552" s="2" t="s">
        <v>751</v>
      </c>
    </row>
    <row r="553" spans="3:11" ht="13.9" x14ac:dyDescent="0.3">
      <c r="C553" s="2" t="s">
        <v>820</v>
      </c>
      <c r="G553" s="2" t="s">
        <v>466</v>
      </c>
      <c r="K553" s="2" t="s">
        <v>296</v>
      </c>
    </row>
    <row r="554" spans="3:11" ht="13.9" x14ac:dyDescent="0.3">
      <c r="C554" s="2" t="s">
        <v>857</v>
      </c>
      <c r="G554" s="2" t="s">
        <v>94</v>
      </c>
      <c r="K554" s="2" t="s">
        <v>650</v>
      </c>
    </row>
    <row r="555" spans="3:11" ht="13.9" x14ac:dyDescent="0.3">
      <c r="C555" s="2" t="s">
        <v>71</v>
      </c>
      <c r="G555" s="2" t="s">
        <v>40</v>
      </c>
      <c r="K555" s="2" t="s">
        <v>62</v>
      </c>
    </row>
    <row r="556" spans="3:11" ht="13.9" x14ac:dyDescent="0.3">
      <c r="C556" s="2" t="s">
        <v>485</v>
      </c>
      <c r="G556" s="2" t="s">
        <v>128</v>
      </c>
      <c r="K556" s="2" t="s">
        <v>25</v>
      </c>
    </row>
    <row r="557" spans="3:11" ht="13.9" x14ac:dyDescent="0.3">
      <c r="C557" s="2" t="s">
        <v>719</v>
      </c>
      <c r="G557" s="2" t="s">
        <v>108</v>
      </c>
      <c r="K557" s="2" t="s">
        <v>147</v>
      </c>
    </row>
    <row r="558" spans="3:11" ht="13.9" x14ac:dyDescent="0.3">
      <c r="C558" s="2" t="s">
        <v>822</v>
      </c>
      <c r="G558" s="2" t="s">
        <v>168</v>
      </c>
      <c r="K558" s="2" t="s">
        <v>22</v>
      </c>
    </row>
    <row r="559" spans="3:11" ht="13.9" x14ac:dyDescent="0.3">
      <c r="C559" s="2" t="s">
        <v>837</v>
      </c>
      <c r="G559" s="2" t="s">
        <v>321</v>
      </c>
      <c r="K559" s="2" t="s">
        <v>165</v>
      </c>
    </row>
    <row r="560" spans="3:11" ht="13.9" x14ac:dyDescent="0.3">
      <c r="C560" s="2" t="s">
        <v>358</v>
      </c>
      <c r="G560" s="2" t="s">
        <v>743</v>
      </c>
      <c r="K560" s="2" t="s">
        <v>200</v>
      </c>
    </row>
    <row r="561" spans="3:11" ht="13.9" x14ac:dyDescent="0.3">
      <c r="C561" s="2" t="s">
        <v>213</v>
      </c>
      <c r="G561" s="2" t="s">
        <v>44</v>
      </c>
      <c r="K561" s="2" t="s">
        <v>199</v>
      </c>
    </row>
    <row r="562" spans="3:11" ht="13.9" x14ac:dyDescent="0.3">
      <c r="C562" s="2" t="s">
        <v>314</v>
      </c>
      <c r="G562" s="2" t="s">
        <v>330</v>
      </c>
      <c r="K562" s="2" t="s">
        <v>49</v>
      </c>
    </row>
    <row r="563" spans="3:11" ht="13.9" x14ac:dyDescent="0.3">
      <c r="C563" s="2" t="s">
        <v>347</v>
      </c>
      <c r="G563" s="2" t="s">
        <v>118</v>
      </c>
      <c r="K563" s="2" t="s">
        <v>81</v>
      </c>
    </row>
    <row r="564" spans="3:11" ht="13.9" x14ac:dyDescent="0.3">
      <c r="C564" s="2" t="s">
        <v>519</v>
      </c>
      <c r="G564" s="2" t="s">
        <v>366</v>
      </c>
      <c r="K564" s="2" t="s">
        <v>262</v>
      </c>
    </row>
    <row r="565" spans="3:11" ht="13.9" x14ac:dyDescent="0.3">
      <c r="C565" s="2" t="s">
        <v>658</v>
      </c>
      <c r="G565" s="2" t="s">
        <v>920</v>
      </c>
      <c r="K565" s="2" t="s">
        <v>743</v>
      </c>
    </row>
    <row r="566" spans="3:11" ht="13.9" x14ac:dyDescent="0.3">
      <c r="C566" s="2" t="s">
        <v>760</v>
      </c>
      <c r="G566" s="2" t="s">
        <v>774</v>
      </c>
      <c r="K566" s="2" t="s">
        <v>389</v>
      </c>
    </row>
    <row r="567" spans="3:11" ht="13.9" x14ac:dyDescent="0.3">
      <c r="C567" s="2" t="s">
        <v>762</v>
      </c>
      <c r="G567" s="2" t="s">
        <v>368</v>
      </c>
      <c r="K567" s="2" t="s">
        <v>156</v>
      </c>
    </row>
    <row r="568" spans="3:11" ht="13.9" x14ac:dyDescent="0.3">
      <c r="C568" s="2" t="s">
        <v>851</v>
      </c>
      <c r="G568" s="2" t="s">
        <v>230</v>
      </c>
      <c r="K568" s="2" t="s">
        <v>722</v>
      </c>
    </row>
    <row r="569" spans="3:11" ht="13.9" x14ac:dyDescent="0.3">
      <c r="C569" s="2" t="s">
        <v>939</v>
      </c>
      <c r="G569" s="2" t="s">
        <v>170</v>
      </c>
      <c r="K569" s="2" t="s">
        <v>97</v>
      </c>
    </row>
    <row r="570" spans="3:11" ht="13.9" x14ac:dyDescent="0.3">
      <c r="C570" s="2" t="s">
        <v>286</v>
      </c>
      <c r="G570" s="2" t="s">
        <v>218</v>
      </c>
      <c r="K570" s="2" t="s">
        <v>153</v>
      </c>
    </row>
    <row r="571" spans="3:11" ht="13.9" x14ac:dyDescent="0.3">
      <c r="C571" s="6" t="s">
        <v>956</v>
      </c>
      <c r="G571" s="2" t="s">
        <v>48</v>
      </c>
      <c r="K571" s="2" t="s">
        <v>247</v>
      </c>
    </row>
    <row r="572" spans="3:11" ht="13.9" x14ac:dyDescent="0.3">
      <c r="C572" s="2" t="s">
        <v>86</v>
      </c>
      <c r="G572" s="2" t="s">
        <v>221</v>
      </c>
      <c r="K572" s="2" t="s">
        <v>270</v>
      </c>
    </row>
    <row r="573" spans="3:11" ht="13.9" x14ac:dyDescent="0.3">
      <c r="C573" s="2" t="s">
        <v>569</v>
      </c>
      <c r="G573" s="2" t="s">
        <v>240</v>
      </c>
      <c r="K573" s="2" t="s">
        <v>183</v>
      </c>
    </row>
    <row r="574" spans="3:11" ht="13.9" x14ac:dyDescent="0.3">
      <c r="C574" s="2" t="s">
        <v>861</v>
      </c>
      <c r="G574" s="2" t="s">
        <v>715</v>
      </c>
      <c r="K574" s="2" t="s">
        <v>300</v>
      </c>
    </row>
    <row r="575" spans="3:11" ht="13.9" x14ac:dyDescent="0.3">
      <c r="C575" s="2" t="s">
        <v>885</v>
      </c>
      <c r="G575" s="2" t="s">
        <v>87</v>
      </c>
      <c r="K575" s="2" t="s">
        <v>53</v>
      </c>
    </row>
    <row r="576" spans="3:11" ht="13.9" x14ac:dyDescent="0.3">
      <c r="C576" s="2" t="s">
        <v>535</v>
      </c>
      <c r="G576" s="2" t="s">
        <v>234</v>
      </c>
      <c r="K576" s="2" t="s">
        <v>246</v>
      </c>
    </row>
    <row r="577" spans="3:11" ht="13.9" x14ac:dyDescent="0.3">
      <c r="C577" s="2" t="s">
        <v>202</v>
      </c>
      <c r="G577" s="2" t="s">
        <v>175</v>
      </c>
      <c r="K577" s="2" t="s">
        <v>269</v>
      </c>
    </row>
    <row r="578" spans="3:11" ht="13.9" x14ac:dyDescent="0.3">
      <c r="C578" s="2" t="s">
        <v>281</v>
      </c>
      <c r="G578" s="2" t="s">
        <v>207</v>
      </c>
      <c r="K578" s="2" t="s">
        <v>605</v>
      </c>
    </row>
    <row r="579" spans="3:11" ht="13.9" x14ac:dyDescent="0.3">
      <c r="C579" s="2" t="s">
        <v>444</v>
      </c>
      <c r="G579" s="2" t="s">
        <v>465</v>
      </c>
      <c r="K579" s="2" t="s">
        <v>272</v>
      </c>
    </row>
    <row r="580" spans="3:11" ht="13.9" x14ac:dyDescent="0.3">
      <c r="C580" s="2" t="s">
        <v>786</v>
      </c>
      <c r="G580" s="2" t="s">
        <v>391</v>
      </c>
      <c r="K580" s="2" t="s">
        <v>299</v>
      </c>
    </row>
    <row r="581" spans="3:11" ht="13.9" x14ac:dyDescent="0.3">
      <c r="C581" s="2" t="s">
        <v>802</v>
      </c>
      <c r="G581" s="2" t="s">
        <v>159</v>
      </c>
      <c r="K581" s="2" t="s">
        <v>139</v>
      </c>
    </row>
    <row r="582" spans="3:11" ht="13.9" x14ac:dyDescent="0.3">
      <c r="C582" s="2" t="s">
        <v>882</v>
      </c>
      <c r="G582" s="2" t="s">
        <v>158</v>
      </c>
      <c r="K582" s="2" t="s">
        <v>888</v>
      </c>
    </row>
    <row r="583" spans="3:11" ht="13.9" x14ac:dyDescent="0.3">
      <c r="C583" s="2" t="s">
        <v>401</v>
      </c>
      <c r="G583" s="2" t="s">
        <v>471</v>
      </c>
      <c r="K583" s="2" t="s">
        <v>298</v>
      </c>
    </row>
    <row r="584" spans="3:11" ht="13.9" x14ac:dyDescent="0.3">
      <c r="C584" s="2" t="s">
        <v>434</v>
      </c>
      <c r="G584" s="2" t="s">
        <v>931</v>
      </c>
      <c r="K584" s="2" t="s">
        <v>157</v>
      </c>
    </row>
    <row r="585" spans="3:11" ht="13.9" x14ac:dyDescent="0.3">
      <c r="C585" s="2" t="s">
        <v>624</v>
      </c>
      <c r="G585" s="2" t="s">
        <v>868</v>
      </c>
      <c r="K585" s="2" t="s">
        <v>30</v>
      </c>
    </row>
    <row r="586" spans="3:11" ht="13.9" x14ac:dyDescent="0.3">
      <c r="C586" s="2" t="s">
        <v>254</v>
      </c>
      <c r="G586" s="2" t="s">
        <v>249</v>
      </c>
      <c r="K586" s="2" t="s">
        <v>149</v>
      </c>
    </row>
    <row r="587" spans="3:11" ht="13.9" x14ac:dyDescent="0.3">
      <c r="C587" s="2" t="s">
        <v>677</v>
      </c>
      <c r="G587" s="2" t="s">
        <v>33</v>
      </c>
      <c r="K587" s="2" t="s">
        <v>919</v>
      </c>
    </row>
    <row r="588" spans="3:11" ht="13.9" x14ac:dyDescent="0.3">
      <c r="C588" s="2" t="s">
        <v>696</v>
      </c>
      <c r="G588" s="2" t="s">
        <v>422</v>
      </c>
      <c r="K588" s="2" t="s">
        <v>136</v>
      </c>
    </row>
    <row r="589" spans="3:11" ht="13.9" x14ac:dyDescent="0.3">
      <c r="C589" s="2" t="s">
        <v>759</v>
      </c>
      <c r="G589" s="2" t="s">
        <v>456</v>
      </c>
      <c r="K589" s="2" t="s">
        <v>21</v>
      </c>
    </row>
    <row r="590" spans="3:11" ht="13.9" x14ac:dyDescent="0.3">
      <c r="C590" s="2" t="s">
        <v>795</v>
      </c>
      <c r="G590" s="2" t="s">
        <v>204</v>
      </c>
      <c r="K590" s="2" t="s">
        <v>140</v>
      </c>
    </row>
    <row r="591" spans="3:11" ht="13.9" x14ac:dyDescent="0.3">
      <c r="C591" s="2" t="s">
        <v>90</v>
      </c>
      <c r="G591" s="2" t="s">
        <v>718</v>
      </c>
      <c r="K591" s="2" t="s">
        <v>455</v>
      </c>
    </row>
    <row r="592" spans="3:11" ht="13.9" x14ac:dyDescent="0.3">
      <c r="C592" s="2" t="s">
        <v>839</v>
      </c>
      <c r="G592" s="2" t="s">
        <v>388</v>
      </c>
      <c r="K592" s="2" t="s">
        <v>34</v>
      </c>
    </row>
    <row r="593" spans="3:11" ht="13.9" x14ac:dyDescent="0.3">
      <c r="C593" s="2" t="s">
        <v>96</v>
      </c>
      <c r="G593" s="2" t="s">
        <v>448</v>
      </c>
      <c r="K593" s="2" t="s">
        <v>267</v>
      </c>
    </row>
    <row r="594" spans="3:11" ht="13.9" x14ac:dyDescent="0.3">
      <c r="C594" s="2" t="s">
        <v>100</v>
      </c>
      <c r="G594" s="2" t="s">
        <v>604</v>
      </c>
      <c r="K594" s="2" t="s">
        <v>271</v>
      </c>
    </row>
    <row r="595" spans="3:11" ht="13.9" x14ac:dyDescent="0.3">
      <c r="C595" s="2" t="s">
        <v>329</v>
      </c>
      <c r="G595" s="2" t="s">
        <v>625</v>
      </c>
      <c r="K595" s="2" t="s">
        <v>32</v>
      </c>
    </row>
    <row r="596" spans="3:11" ht="13.9" x14ac:dyDescent="0.3">
      <c r="C596" s="2" t="s">
        <v>353</v>
      </c>
      <c r="G596" s="2" t="s">
        <v>104</v>
      </c>
      <c r="K596" s="2" t="s">
        <v>20</v>
      </c>
    </row>
    <row r="597" spans="3:11" ht="13.9" x14ac:dyDescent="0.3">
      <c r="C597" s="2" t="s">
        <v>500</v>
      </c>
      <c r="G597" s="2" t="s">
        <v>274</v>
      </c>
      <c r="K597" s="2" t="s">
        <v>141</v>
      </c>
    </row>
    <row r="598" spans="3:11" ht="13.9" x14ac:dyDescent="0.3">
      <c r="C598" s="2" t="s">
        <v>517</v>
      </c>
      <c r="G598" s="2" t="s">
        <v>618</v>
      </c>
      <c r="K598" s="2" t="s">
        <v>236</v>
      </c>
    </row>
    <row r="599" spans="3:11" ht="13.9" x14ac:dyDescent="0.3">
      <c r="C599" s="2" t="s">
        <v>518</v>
      </c>
      <c r="G599" s="2" t="s">
        <v>255</v>
      </c>
      <c r="K599" s="2" t="s">
        <v>28</v>
      </c>
    </row>
    <row r="600" spans="3:11" ht="13.9" x14ac:dyDescent="0.3">
      <c r="C600" s="2" t="s">
        <v>656</v>
      </c>
      <c r="G600" s="2" t="s">
        <v>454</v>
      </c>
      <c r="K600" s="2" t="s">
        <v>151</v>
      </c>
    </row>
    <row r="601" spans="3:11" ht="13.9" x14ac:dyDescent="0.3">
      <c r="C601" s="2" t="s">
        <v>928</v>
      </c>
      <c r="G601" s="2" t="s">
        <v>115</v>
      </c>
    </row>
    <row r="602" spans="3:11" ht="13.9" x14ac:dyDescent="0.3">
      <c r="C602" s="2" t="s">
        <v>119</v>
      </c>
      <c r="G602" s="2" t="s">
        <v>777</v>
      </c>
    </row>
    <row r="603" spans="3:11" ht="13.9" x14ac:dyDescent="0.3">
      <c r="C603" s="2" t="s">
        <v>120</v>
      </c>
      <c r="G603" s="2" t="s">
        <v>208</v>
      </c>
    </row>
    <row r="604" spans="3:11" ht="13.9" x14ac:dyDescent="0.3">
      <c r="C604" s="2" t="s">
        <v>348</v>
      </c>
      <c r="G604" s="2" t="s">
        <v>235</v>
      </c>
    </row>
    <row r="605" spans="3:11" ht="13.9" x14ac:dyDescent="0.3">
      <c r="C605" s="2" t="s">
        <v>508</v>
      </c>
      <c r="G605" s="2" t="s">
        <v>748</v>
      </c>
    </row>
    <row r="606" spans="3:11" ht="13.9" x14ac:dyDescent="0.3">
      <c r="C606" s="2" t="s">
        <v>591</v>
      </c>
      <c r="G606" s="2" t="s">
        <v>912</v>
      </c>
    </row>
    <row r="607" spans="3:11" ht="13.9" x14ac:dyDescent="0.3">
      <c r="C607" s="2" t="s">
        <v>796</v>
      </c>
      <c r="G607" s="2" t="s">
        <v>438</v>
      </c>
    </row>
    <row r="608" spans="3:11" ht="13.9" x14ac:dyDescent="0.3">
      <c r="C608" s="2" t="s">
        <v>808</v>
      </c>
      <c r="G608" s="2" t="s">
        <v>216</v>
      </c>
    </row>
    <row r="609" spans="3:7" ht="13.9" x14ac:dyDescent="0.3">
      <c r="C609" s="2" t="s">
        <v>897</v>
      </c>
      <c r="G609" s="2" t="s">
        <v>220</v>
      </c>
    </row>
    <row r="610" spans="3:7" ht="13.9" x14ac:dyDescent="0.3">
      <c r="C610" s="2" t="s">
        <v>430</v>
      </c>
      <c r="G610" s="2" t="s">
        <v>916</v>
      </c>
    </row>
    <row r="611" spans="3:7" ht="13.9" x14ac:dyDescent="0.3">
      <c r="C611" s="2" t="s">
        <v>121</v>
      </c>
      <c r="G611" s="2" t="s">
        <v>417</v>
      </c>
    </row>
    <row r="612" spans="3:7" ht="13.9" x14ac:dyDescent="0.3">
      <c r="C612" s="2" t="s">
        <v>731</v>
      </c>
      <c r="G612" s="2" t="s">
        <v>941</v>
      </c>
    </row>
    <row r="613" spans="3:7" ht="13.9" x14ac:dyDescent="0.3">
      <c r="C613" s="2" t="s">
        <v>821</v>
      </c>
      <c r="G613" s="2" t="s">
        <v>775</v>
      </c>
    </row>
    <row r="614" spans="3:7" ht="13.9" x14ac:dyDescent="0.3">
      <c r="C614" s="2" t="s">
        <v>512</v>
      </c>
      <c r="G614" s="2" t="s">
        <v>275</v>
      </c>
    </row>
    <row r="615" spans="3:7" ht="13.9" x14ac:dyDescent="0.3">
      <c r="C615" s="2" t="s">
        <v>716</v>
      </c>
      <c r="G615" s="2" t="s">
        <v>54</v>
      </c>
    </row>
    <row r="616" spans="3:7" ht="13.9" x14ac:dyDescent="0.3">
      <c r="C616" s="2" t="s">
        <v>127</v>
      </c>
      <c r="G616" s="2" t="s">
        <v>933</v>
      </c>
    </row>
    <row r="617" spans="3:7" ht="13.9" x14ac:dyDescent="0.3">
      <c r="C617" s="2" t="s">
        <v>474</v>
      </c>
      <c r="G617" s="2" t="s">
        <v>682</v>
      </c>
    </row>
    <row r="618" spans="3:7" ht="13.9" x14ac:dyDescent="0.3">
      <c r="C618" s="2" t="s">
        <v>742</v>
      </c>
      <c r="G618" s="2" t="s">
        <v>217</v>
      </c>
    </row>
    <row r="619" spans="3:7" ht="13.9" x14ac:dyDescent="0.3">
      <c r="C619" s="2" t="s">
        <v>801</v>
      </c>
      <c r="G619" s="2" t="s">
        <v>766</v>
      </c>
    </row>
    <row r="620" spans="3:7" ht="13.9" x14ac:dyDescent="0.3">
      <c r="C620" s="2" t="s">
        <v>817</v>
      </c>
      <c r="G620" s="2" t="s">
        <v>282</v>
      </c>
    </row>
    <row r="621" spans="3:7" ht="13.9" x14ac:dyDescent="0.3">
      <c r="C621" s="2" t="s">
        <v>425</v>
      </c>
      <c r="G621" s="2" t="s">
        <v>212</v>
      </c>
    </row>
    <row r="622" spans="3:7" ht="13.9" x14ac:dyDescent="0.3">
      <c r="C622" s="2" t="s">
        <v>38</v>
      </c>
      <c r="G622" s="2" t="s">
        <v>214</v>
      </c>
    </row>
    <row r="623" spans="3:7" ht="13.9" x14ac:dyDescent="0.3">
      <c r="C623" s="2" t="s">
        <v>303</v>
      </c>
      <c r="G623" s="2" t="s">
        <v>393</v>
      </c>
    </row>
    <row r="624" spans="3:7" ht="13.9" x14ac:dyDescent="0.3">
      <c r="C624" s="2" t="s">
        <v>306</v>
      </c>
      <c r="G624" s="2" t="s">
        <v>603</v>
      </c>
    </row>
    <row r="625" spans="3:7" ht="13.9" x14ac:dyDescent="0.3">
      <c r="C625" s="2" t="s">
        <v>318</v>
      </c>
      <c r="G625" s="2" t="s">
        <v>201</v>
      </c>
    </row>
    <row r="626" spans="3:7" ht="13.9" x14ac:dyDescent="0.3">
      <c r="C626" s="2" t="s">
        <v>410</v>
      </c>
      <c r="G626" s="2" t="s">
        <v>364</v>
      </c>
    </row>
    <row r="627" spans="3:7" ht="13.9" x14ac:dyDescent="0.3">
      <c r="C627" s="2" t="s">
        <v>562</v>
      </c>
      <c r="G627" s="2" t="s">
        <v>385</v>
      </c>
    </row>
    <row r="628" spans="3:7" ht="13.9" x14ac:dyDescent="0.3">
      <c r="C628" s="2" t="s">
        <v>580</v>
      </c>
      <c r="G628" s="2" t="s">
        <v>551</v>
      </c>
    </row>
    <row r="629" spans="3:7" ht="13.9" x14ac:dyDescent="0.3">
      <c r="C629" s="2" t="s">
        <v>598</v>
      </c>
      <c r="G629" s="2" t="s">
        <v>55</v>
      </c>
    </row>
    <row r="630" spans="3:7" ht="13.9" x14ac:dyDescent="0.3">
      <c r="C630" s="2" t="s">
        <v>657</v>
      </c>
      <c r="G630" s="2" t="s">
        <v>197</v>
      </c>
    </row>
    <row r="631" spans="3:7" ht="13.9" x14ac:dyDescent="0.3">
      <c r="C631" s="2" t="s">
        <v>684</v>
      </c>
      <c r="G631" s="2" t="s">
        <v>263</v>
      </c>
    </row>
    <row r="632" spans="3:7" ht="13.9" x14ac:dyDescent="0.3">
      <c r="C632" s="2" t="s">
        <v>688</v>
      </c>
      <c r="G632" s="2" t="s">
        <v>293</v>
      </c>
    </row>
    <row r="633" spans="3:7" ht="13.9" x14ac:dyDescent="0.3">
      <c r="C633" s="2" t="s">
        <v>698</v>
      </c>
      <c r="G633" s="2" t="s">
        <v>210</v>
      </c>
    </row>
    <row r="634" spans="3:7" ht="13.9" x14ac:dyDescent="0.3">
      <c r="C634" s="2" t="s">
        <v>788</v>
      </c>
      <c r="G634" s="2" t="s">
        <v>89</v>
      </c>
    </row>
    <row r="635" spans="3:7" ht="13.9" x14ac:dyDescent="0.3">
      <c r="C635" s="2" t="s">
        <v>798</v>
      </c>
      <c r="G635" s="2" t="s">
        <v>848</v>
      </c>
    </row>
    <row r="636" spans="3:7" ht="13.9" x14ac:dyDescent="0.3">
      <c r="C636" s="2" t="s">
        <v>863</v>
      </c>
      <c r="G636" s="2" t="s">
        <v>114</v>
      </c>
    </row>
    <row r="637" spans="3:7" ht="13.9" x14ac:dyDescent="0.3">
      <c r="C637" s="2" t="s">
        <v>880</v>
      </c>
      <c r="G637" s="2" t="s">
        <v>717</v>
      </c>
    </row>
    <row r="638" spans="3:7" ht="13.9" x14ac:dyDescent="0.3">
      <c r="C638" s="2" t="s">
        <v>922</v>
      </c>
      <c r="G638" s="2" t="s">
        <v>433</v>
      </c>
    </row>
    <row r="639" spans="3:7" ht="13.9" x14ac:dyDescent="0.3">
      <c r="C639" s="2" t="s">
        <v>143</v>
      </c>
      <c r="G639" s="2" t="s">
        <v>934</v>
      </c>
    </row>
    <row r="640" spans="3:7" ht="13.9" x14ac:dyDescent="0.3">
      <c r="C640" s="2" t="s">
        <v>464</v>
      </c>
      <c r="G640" s="2" t="s">
        <v>727</v>
      </c>
    </row>
    <row r="641" spans="3:7" ht="13.9" x14ac:dyDescent="0.3">
      <c r="C641" s="2" t="s">
        <v>79</v>
      </c>
      <c r="G641" s="2" t="s">
        <v>69</v>
      </c>
    </row>
    <row r="642" spans="3:7" ht="13.9" x14ac:dyDescent="0.3">
      <c r="C642" s="2" t="s">
        <v>166</v>
      </c>
      <c r="G642" s="2" t="s">
        <v>137</v>
      </c>
    </row>
    <row r="643" spans="3:7" ht="13.9" x14ac:dyDescent="0.3">
      <c r="C643" s="2" t="s">
        <v>171</v>
      </c>
      <c r="G643" s="2" t="s">
        <v>50</v>
      </c>
    </row>
    <row r="644" spans="3:7" ht="13.9" x14ac:dyDescent="0.3">
      <c r="C644" s="2" t="s">
        <v>244</v>
      </c>
      <c r="G644" s="2" t="s">
        <v>371</v>
      </c>
    </row>
    <row r="645" spans="3:7" ht="13.9" x14ac:dyDescent="0.3">
      <c r="C645" s="2" t="s">
        <v>359</v>
      </c>
      <c r="G645" s="2" t="s">
        <v>290</v>
      </c>
    </row>
    <row r="646" spans="3:7" ht="13.9" x14ac:dyDescent="0.3">
      <c r="C646" s="2" t="s">
        <v>365</v>
      </c>
      <c r="G646" s="2" t="s">
        <v>781</v>
      </c>
    </row>
    <row r="647" spans="3:7" ht="13.9" x14ac:dyDescent="0.3">
      <c r="C647" s="2" t="s">
        <v>369</v>
      </c>
      <c r="G647" s="2" t="s">
        <v>226</v>
      </c>
    </row>
    <row r="648" spans="3:7" ht="13.9" x14ac:dyDescent="0.3">
      <c r="C648" s="2" t="s">
        <v>556</v>
      </c>
      <c r="G648" s="2" t="s">
        <v>187</v>
      </c>
    </row>
    <row r="649" spans="3:7" ht="13.9" x14ac:dyDescent="0.3">
      <c r="C649" s="2" t="s">
        <v>654</v>
      </c>
      <c r="G649" s="2" t="s">
        <v>24</v>
      </c>
    </row>
    <row r="650" spans="3:7" ht="13.9" x14ac:dyDescent="0.3">
      <c r="C650" s="2" t="s">
        <v>708</v>
      </c>
      <c r="G650" s="2" t="s">
        <v>510</v>
      </c>
    </row>
    <row r="651" spans="3:7" ht="13.9" x14ac:dyDescent="0.3">
      <c r="C651" s="2" t="s">
        <v>729</v>
      </c>
      <c r="G651" s="2" t="s">
        <v>66</v>
      </c>
    </row>
    <row r="652" spans="3:7" ht="13.9" x14ac:dyDescent="0.3">
      <c r="C652" s="2" t="s">
        <v>736</v>
      </c>
      <c r="G652" s="2" t="s">
        <v>190</v>
      </c>
    </row>
    <row r="653" spans="3:7" ht="13.9" x14ac:dyDescent="0.3">
      <c r="C653" s="2" t="s">
        <v>862</v>
      </c>
      <c r="G653" s="2" t="s">
        <v>117</v>
      </c>
    </row>
    <row r="654" spans="3:7" ht="13.9" x14ac:dyDescent="0.3">
      <c r="C654" s="2" t="s">
        <v>470</v>
      </c>
      <c r="G654" s="2" t="s">
        <v>248</v>
      </c>
    </row>
    <row r="655" spans="3:7" ht="13.9" x14ac:dyDescent="0.3">
      <c r="C655" s="2" t="s">
        <v>447</v>
      </c>
      <c r="G655" s="2" t="s">
        <v>73</v>
      </c>
    </row>
    <row r="656" spans="3:7" ht="13.9" x14ac:dyDescent="0.3">
      <c r="C656" s="2" t="s">
        <v>45</v>
      </c>
      <c r="G656" s="2" t="s">
        <v>925</v>
      </c>
    </row>
    <row r="657" spans="3:7" ht="13.9" x14ac:dyDescent="0.3">
      <c r="C657" s="2" t="s">
        <v>29</v>
      </c>
      <c r="G657" s="2" t="s">
        <v>42</v>
      </c>
    </row>
    <row r="658" spans="3:7" ht="13.9" x14ac:dyDescent="0.3">
      <c r="C658" s="2" t="s">
        <v>64</v>
      </c>
      <c r="G658" s="2" t="s">
        <v>607</v>
      </c>
    </row>
    <row r="659" spans="3:7" ht="13.9" x14ac:dyDescent="0.3">
      <c r="C659" s="2" t="s">
        <v>112</v>
      </c>
      <c r="G659" s="2" t="s">
        <v>291</v>
      </c>
    </row>
    <row r="660" spans="3:7" ht="13.9" x14ac:dyDescent="0.3">
      <c r="C660" s="2" t="s">
        <v>182</v>
      </c>
      <c r="G660" s="2" t="s">
        <v>155</v>
      </c>
    </row>
    <row r="661" spans="3:7" ht="13.9" x14ac:dyDescent="0.3">
      <c r="C661" s="2" t="s">
        <v>250</v>
      </c>
      <c r="G661" s="2" t="s">
        <v>135</v>
      </c>
    </row>
    <row r="662" spans="3:7" ht="13.9" x14ac:dyDescent="0.3">
      <c r="C662" s="2" t="s">
        <v>273</v>
      </c>
      <c r="G662" s="2" t="s">
        <v>392</v>
      </c>
    </row>
    <row r="663" spans="3:7" ht="13.9" x14ac:dyDescent="0.3">
      <c r="C663" s="2" t="s">
        <v>317</v>
      </c>
      <c r="G663" s="2" t="s">
        <v>380</v>
      </c>
    </row>
    <row r="664" spans="3:7" ht="13.9" x14ac:dyDescent="0.3">
      <c r="C664" s="2" t="s">
        <v>319</v>
      </c>
      <c r="G664" s="2" t="s">
        <v>594</v>
      </c>
    </row>
    <row r="665" spans="3:7" ht="13.9" x14ac:dyDescent="0.3">
      <c r="C665" s="2" t="s">
        <v>328</v>
      </c>
      <c r="G665" s="2" t="s">
        <v>943</v>
      </c>
    </row>
    <row r="666" spans="3:7" ht="13.9" x14ac:dyDescent="0.3">
      <c r="C666" s="2" t="s">
        <v>349</v>
      </c>
      <c r="G666" s="2" t="s">
        <v>381</v>
      </c>
    </row>
    <row r="667" spans="3:7" ht="13.9" x14ac:dyDescent="0.3">
      <c r="C667" s="2" t="s">
        <v>375</v>
      </c>
      <c r="G667" s="2" t="s">
        <v>652</v>
      </c>
    </row>
    <row r="668" spans="3:7" ht="13.9" x14ac:dyDescent="0.3">
      <c r="C668" s="2" t="s">
        <v>408</v>
      </c>
      <c r="G668" s="2" t="s">
        <v>886</v>
      </c>
    </row>
    <row r="669" spans="3:7" ht="13.9" x14ac:dyDescent="0.3">
      <c r="C669" s="2" t="s">
        <v>478</v>
      </c>
      <c r="G669" s="2" t="s">
        <v>279</v>
      </c>
    </row>
    <row r="670" spans="3:7" ht="13.9" x14ac:dyDescent="0.3">
      <c r="C670" s="2" t="s">
        <v>490</v>
      </c>
      <c r="G670" s="2" t="s">
        <v>173</v>
      </c>
    </row>
    <row r="671" spans="3:7" ht="13.9" x14ac:dyDescent="0.3">
      <c r="C671" s="2" t="s">
        <v>522</v>
      </c>
      <c r="G671" s="2" t="s">
        <v>378</v>
      </c>
    </row>
    <row r="672" spans="3:7" ht="13.9" x14ac:dyDescent="0.3">
      <c r="C672" s="2" t="s">
        <v>528</v>
      </c>
      <c r="G672" s="2" t="s">
        <v>892</v>
      </c>
    </row>
    <row r="673" spans="3:7" ht="13.9" x14ac:dyDescent="0.3">
      <c r="C673" s="2" t="s">
        <v>532</v>
      </c>
      <c r="G673" s="2" t="s">
        <v>432</v>
      </c>
    </row>
    <row r="674" spans="3:7" ht="13.9" x14ac:dyDescent="0.3">
      <c r="C674" s="2" t="s">
        <v>575</v>
      </c>
      <c r="G674" s="2" t="s">
        <v>25</v>
      </c>
    </row>
    <row r="675" spans="3:7" ht="13.9" x14ac:dyDescent="0.3">
      <c r="C675" s="2" t="s">
        <v>583</v>
      </c>
      <c r="G675" s="2" t="s">
        <v>160</v>
      </c>
    </row>
    <row r="676" spans="3:7" ht="13.9" x14ac:dyDescent="0.3">
      <c r="C676" s="2" t="s">
        <v>639</v>
      </c>
      <c r="G676" s="2" t="s">
        <v>929</v>
      </c>
    </row>
    <row r="677" spans="3:7" ht="13.9" x14ac:dyDescent="0.3">
      <c r="C677" s="2" t="s">
        <v>733</v>
      </c>
      <c r="G677" s="2" t="s">
        <v>389</v>
      </c>
    </row>
    <row r="678" spans="3:7" ht="13.9" x14ac:dyDescent="0.3">
      <c r="C678" s="2" t="s">
        <v>778</v>
      </c>
      <c r="G678" s="2" t="s">
        <v>247</v>
      </c>
    </row>
    <row r="679" spans="3:7" ht="13.9" x14ac:dyDescent="0.3">
      <c r="C679" s="2" t="s">
        <v>787</v>
      </c>
      <c r="G679" s="2" t="s">
        <v>22</v>
      </c>
    </row>
    <row r="680" spans="3:7" ht="13.9" x14ac:dyDescent="0.3">
      <c r="C680" s="2" t="s">
        <v>807</v>
      </c>
      <c r="G680" s="2" t="s">
        <v>189</v>
      </c>
    </row>
    <row r="681" spans="3:7" ht="13.9" x14ac:dyDescent="0.3">
      <c r="C681" s="2" t="s">
        <v>826</v>
      </c>
      <c r="G681" s="2" t="s">
        <v>511</v>
      </c>
    </row>
    <row r="682" spans="3:7" ht="13.9" x14ac:dyDescent="0.3">
      <c r="C682" s="2" t="s">
        <v>899</v>
      </c>
      <c r="G682" s="2" t="s">
        <v>299</v>
      </c>
    </row>
    <row r="683" spans="3:7" ht="13.9" x14ac:dyDescent="0.3">
      <c r="C683" s="2" t="s">
        <v>906</v>
      </c>
      <c r="G683" s="2" t="s">
        <v>140</v>
      </c>
    </row>
    <row r="684" spans="3:7" ht="13.9" x14ac:dyDescent="0.3">
      <c r="G684" s="2" t="s">
        <v>724</v>
      </c>
    </row>
    <row r="685" spans="3:7" ht="13.9" x14ac:dyDescent="0.3">
      <c r="G685" s="2" t="s">
        <v>49</v>
      </c>
    </row>
    <row r="686" spans="3:7" ht="13.9" x14ac:dyDescent="0.3">
      <c r="G686" s="2" t="s">
        <v>751</v>
      </c>
    </row>
    <row r="687" spans="3:7" ht="13.9" x14ac:dyDescent="0.3">
      <c r="G687" s="6" t="s">
        <v>937</v>
      </c>
    </row>
    <row r="688" spans="3:7" ht="13.9" x14ac:dyDescent="0.3">
      <c r="G688" s="2" t="s">
        <v>139</v>
      </c>
    </row>
    <row r="689" spans="7:7" ht="13.9" x14ac:dyDescent="0.3">
      <c r="G689" s="2" t="s">
        <v>185</v>
      </c>
    </row>
    <row r="690" spans="7:7" ht="13.9" x14ac:dyDescent="0.3">
      <c r="G690" s="2" t="s">
        <v>296</v>
      </c>
    </row>
    <row r="691" spans="7:7" ht="13.9" x14ac:dyDescent="0.3">
      <c r="G691" s="2" t="s">
        <v>262</v>
      </c>
    </row>
    <row r="692" spans="7:7" ht="13.9" x14ac:dyDescent="0.3">
      <c r="G692" s="2" t="s">
        <v>199</v>
      </c>
    </row>
    <row r="693" spans="7:7" ht="13.9" x14ac:dyDescent="0.3">
      <c r="G693" s="2" t="s">
        <v>650</v>
      </c>
    </row>
    <row r="694" spans="7:7" ht="13.9" x14ac:dyDescent="0.3">
      <c r="G694" s="2" t="s">
        <v>271</v>
      </c>
    </row>
    <row r="695" spans="7:7" ht="13.9" x14ac:dyDescent="0.3">
      <c r="G695" s="2" t="s">
        <v>379</v>
      </c>
    </row>
    <row r="696" spans="7:7" ht="13.9" x14ac:dyDescent="0.3">
      <c r="G696" s="2" t="s">
        <v>81</v>
      </c>
    </row>
    <row r="697" spans="7:7" ht="13.9" x14ac:dyDescent="0.3">
      <c r="G697" s="2" t="s">
        <v>200</v>
      </c>
    </row>
    <row r="698" spans="7:7" ht="13.9" x14ac:dyDescent="0.3">
      <c r="G698" s="2" t="s">
        <v>165</v>
      </c>
    </row>
    <row r="699" spans="7:7" ht="13.9" x14ac:dyDescent="0.3">
      <c r="G699" s="2" t="s">
        <v>246</v>
      </c>
    </row>
    <row r="700" spans="7:7" ht="13.9" x14ac:dyDescent="0.3">
      <c r="G700" s="2" t="s">
        <v>147</v>
      </c>
    </row>
    <row r="701" spans="7:7" ht="13.9" x14ac:dyDescent="0.3">
      <c r="G701" s="2" t="s">
        <v>300</v>
      </c>
    </row>
    <row r="702" spans="7:7" ht="13.9" x14ac:dyDescent="0.3">
      <c r="G702" s="2" t="s">
        <v>722</v>
      </c>
    </row>
    <row r="703" spans="7:7" ht="13.9" x14ac:dyDescent="0.3">
      <c r="G703" s="2" t="s">
        <v>156</v>
      </c>
    </row>
    <row r="704" spans="7:7" ht="13.9" x14ac:dyDescent="0.3">
      <c r="G704" s="2" t="s">
        <v>97</v>
      </c>
    </row>
    <row r="705" spans="7:7" ht="13.9" x14ac:dyDescent="0.3">
      <c r="G705" s="2" t="s">
        <v>270</v>
      </c>
    </row>
    <row r="706" spans="7:7" ht="13.9" x14ac:dyDescent="0.3">
      <c r="G706" s="2" t="s">
        <v>605</v>
      </c>
    </row>
    <row r="707" spans="7:7" ht="13.9" x14ac:dyDescent="0.3">
      <c r="G707" s="2" t="s">
        <v>272</v>
      </c>
    </row>
    <row r="708" spans="7:7" ht="13.9" x14ac:dyDescent="0.3">
      <c r="G708" s="2" t="s">
        <v>153</v>
      </c>
    </row>
    <row r="709" spans="7:7" ht="13.9" x14ac:dyDescent="0.3">
      <c r="G709" s="2" t="s">
        <v>183</v>
      </c>
    </row>
    <row r="710" spans="7:7" ht="13.9" x14ac:dyDescent="0.3">
      <c r="G710" s="2" t="s">
        <v>136</v>
      </c>
    </row>
    <row r="711" spans="7:7" ht="13.9" x14ac:dyDescent="0.3">
      <c r="G711" s="2" t="s">
        <v>53</v>
      </c>
    </row>
    <row r="712" spans="7:7" ht="13.9" x14ac:dyDescent="0.3">
      <c r="G712" s="2" t="s">
        <v>269</v>
      </c>
    </row>
    <row r="713" spans="7:7" ht="13.9" x14ac:dyDescent="0.3">
      <c r="G713" s="2" t="s">
        <v>455</v>
      </c>
    </row>
    <row r="714" spans="7:7" ht="13.9" x14ac:dyDescent="0.3">
      <c r="G714" s="2" t="s">
        <v>888</v>
      </c>
    </row>
    <row r="715" spans="7:7" ht="13.9" x14ac:dyDescent="0.3">
      <c r="G715" s="2" t="s">
        <v>157</v>
      </c>
    </row>
    <row r="716" spans="7:7" ht="13.9" x14ac:dyDescent="0.3">
      <c r="G716" s="2" t="s">
        <v>298</v>
      </c>
    </row>
    <row r="717" spans="7:7" ht="13.9" x14ac:dyDescent="0.3">
      <c r="G717" s="2" t="s">
        <v>21</v>
      </c>
    </row>
    <row r="718" spans="7:7" ht="13.9" x14ac:dyDescent="0.3">
      <c r="G718" s="2" t="s">
        <v>30</v>
      </c>
    </row>
    <row r="719" spans="7:7" ht="13.9" x14ac:dyDescent="0.3">
      <c r="G719" s="2" t="s">
        <v>919</v>
      </c>
    </row>
    <row r="720" spans="7:7" ht="13.9" x14ac:dyDescent="0.3">
      <c r="G720" s="2" t="s">
        <v>149</v>
      </c>
    </row>
    <row r="721" spans="7:7" ht="13.9" x14ac:dyDescent="0.3">
      <c r="G721" s="2" t="s">
        <v>267</v>
      </c>
    </row>
    <row r="722" spans="7:7" ht="13.9" x14ac:dyDescent="0.3">
      <c r="G722" s="2" t="s">
        <v>34</v>
      </c>
    </row>
    <row r="723" spans="7:7" ht="13.9" x14ac:dyDescent="0.3">
      <c r="G723" s="2" t="s">
        <v>20</v>
      </c>
    </row>
    <row r="724" spans="7:7" ht="13.9" x14ac:dyDescent="0.3">
      <c r="G724" s="2" t="s">
        <v>32</v>
      </c>
    </row>
    <row r="725" spans="7:7" ht="13.9" x14ac:dyDescent="0.3">
      <c r="G725" s="2" t="s">
        <v>141</v>
      </c>
    </row>
    <row r="726" spans="7:7" ht="13.9" x14ac:dyDescent="0.3">
      <c r="G726" s="2" t="s">
        <v>236</v>
      </c>
    </row>
    <row r="727" spans="7:7" ht="13.9" x14ac:dyDescent="0.3">
      <c r="G727" s="2" t="s">
        <v>28</v>
      </c>
    </row>
    <row r="728" spans="7:7" ht="13.9" x14ac:dyDescent="0.3">
      <c r="G728" s="2" t="s">
        <v>151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02EA-F957-42B6-808F-245D895302E7}">
  <dimension ref="A1:T813"/>
  <sheetViews>
    <sheetView topLeftCell="J1" workbookViewId="0">
      <selection activeCell="P74" sqref="P74"/>
    </sheetView>
  </sheetViews>
  <sheetFormatPr defaultRowHeight="13.5" x14ac:dyDescent="0.3"/>
  <cols>
    <col min="7" max="7" width="5.6640625" customWidth="1"/>
  </cols>
  <sheetData>
    <row r="1" spans="1:19" x14ac:dyDescent="0.3">
      <c r="B1">
        <v>166</v>
      </c>
      <c r="E1">
        <v>149</v>
      </c>
      <c r="H1">
        <v>161</v>
      </c>
      <c r="L1">
        <v>44</v>
      </c>
      <c r="P1">
        <v>69</v>
      </c>
      <c r="S1">
        <v>54</v>
      </c>
    </row>
    <row r="2" spans="1:19" x14ac:dyDescent="0.3">
      <c r="A2" t="s">
        <v>970</v>
      </c>
      <c r="D2" t="s">
        <v>971</v>
      </c>
      <c r="G2" t="s">
        <v>972</v>
      </c>
      <c r="K2" t="s">
        <v>970</v>
      </c>
      <c r="O2" t="s">
        <v>971</v>
      </c>
      <c r="R2" t="s">
        <v>972</v>
      </c>
    </row>
    <row r="3" spans="1:19" ht="13.9" x14ac:dyDescent="0.3">
      <c r="B3" s="2" t="s">
        <v>284</v>
      </c>
      <c r="E3" s="2" t="s">
        <v>393</v>
      </c>
      <c r="H3" s="2" t="s">
        <v>137</v>
      </c>
      <c r="I3" s="9"/>
      <c r="L3" s="8" t="s">
        <v>910</v>
      </c>
      <c r="P3" s="2" t="s">
        <v>828</v>
      </c>
      <c r="S3" s="2" t="s">
        <v>186</v>
      </c>
    </row>
    <row r="4" spans="1:19" ht="13.9" x14ac:dyDescent="0.3">
      <c r="B4" s="2" t="s">
        <v>54</v>
      </c>
      <c r="E4" s="2" t="s">
        <v>165</v>
      </c>
      <c r="H4" s="2" t="s">
        <v>356</v>
      </c>
      <c r="I4" s="9"/>
      <c r="L4" s="2" t="s">
        <v>186</v>
      </c>
      <c r="P4" s="2" t="s">
        <v>186</v>
      </c>
      <c r="S4" s="2" t="s">
        <v>765</v>
      </c>
    </row>
    <row r="5" spans="1:19" ht="13.9" x14ac:dyDescent="0.3">
      <c r="B5" s="2" t="s">
        <v>368</v>
      </c>
      <c r="E5" s="2" t="s">
        <v>183</v>
      </c>
      <c r="H5" s="2" t="s">
        <v>604</v>
      </c>
      <c r="I5" s="9"/>
      <c r="L5" s="2" t="s">
        <v>782</v>
      </c>
      <c r="P5" s="2" t="s">
        <v>152</v>
      </c>
      <c r="S5" s="2" t="s">
        <v>472</v>
      </c>
    </row>
    <row r="6" spans="1:19" ht="13.9" x14ac:dyDescent="0.3">
      <c r="B6" s="2" t="s">
        <v>193</v>
      </c>
      <c r="E6" s="2" t="s">
        <v>456</v>
      </c>
      <c r="H6" s="2" t="s">
        <v>143</v>
      </c>
      <c r="I6" s="9"/>
      <c r="L6" s="2" t="s">
        <v>80</v>
      </c>
      <c r="P6" s="2" t="s">
        <v>602</v>
      </c>
      <c r="S6" s="2" t="s">
        <v>908</v>
      </c>
    </row>
    <row r="7" spans="1:19" ht="13.9" x14ac:dyDescent="0.3">
      <c r="B7" s="2" t="s">
        <v>868</v>
      </c>
      <c r="E7" s="2" t="s">
        <v>135</v>
      </c>
      <c r="H7" s="2" t="s">
        <v>886</v>
      </c>
      <c r="I7" s="9"/>
      <c r="L7" s="2" t="s">
        <v>914</v>
      </c>
      <c r="P7" s="2" t="s">
        <v>202</v>
      </c>
      <c r="S7" s="2" t="s">
        <v>782</v>
      </c>
    </row>
    <row r="8" spans="1:19" ht="13.9" x14ac:dyDescent="0.3">
      <c r="B8" s="2" t="s">
        <v>496</v>
      </c>
      <c r="E8" s="2" t="s">
        <v>401</v>
      </c>
      <c r="H8" s="2" t="s">
        <v>236</v>
      </c>
      <c r="I8" s="9"/>
      <c r="L8" s="2" t="s">
        <v>723</v>
      </c>
      <c r="P8" s="2" t="s">
        <v>372</v>
      </c>
      <c r="S8" s="2" t="s">
        <v>80</v>
      </c>
    </row>
    <row r="9" spans="1:19" ht="13.9" x14ac:dyDescent="0.3">
      <c r="B9" s="2" t="s">
        <v>846</v>
      </c>
      <c r="E9" s="2" t="s">
        <v>477</v>
      </c>
      <c r="H9" s="2" t="s">
        <v>401</v>
      </c>
      <c r="I9" s="9"/>
      <c r="L9" s="2" t="s">
        <v>380</v>
      </c>
      <c r="P9" s="2" t="s">
        <v>283</v>
      </c>
      <c r="S9" s="2" t="s">
        <v>914</v>
      </c>
    </row>
    <row r="10" spans="1:19" ht="13.9" x14ac:dyDescent="0.3">
      <c r="B10" s="2" t="s">
        <v>737</v>
      </c>
      <c r="E10" s="2" t="s">
        <v>921</v>
      </c>
      <c r="H10" s="2" t="s">
        <v>394</v>
      </c>
      <c r="I10" s="9"/>
      <c r="L10" s="2" t="s">
        <v>603</v>
      </c>
      <c r="P10" s="2" t="s">
        <v>908</v>
      </c>
      <c r="S10" s="2" t="s">
        <v>457</v>
      </c>
    </row>
    <row r="11" spans="1:19" ht="13.9" x14ac:dyDescent="0.3">
      <c r="B11" s="2" t="s">
        <v>920</v>
      </c>
      <c r="E11" s="2" t="s">
        <v>935</v>
      </c>
      <c r="H11" s="2" t="s">
        <v>933</v>
      </c>
      <c r="I11" s="9"/>
      <c r="L11" s="2" t="s">
        <v>217</v>
      </c>
      <c r="P11" s="2" t="s">
        <v>142</v>
      </c>
      <c r="S11" s="2" t="s">
        <v>459</v>
      </c>
    </row>
    <row r="12" spans="1:19" ht="13.9" x14ac:dyDescent="0.3">
      <c r="B12" s="2" t="s">
        <v>330</v>
      </c>
      <c r="E12" s="2" t="s">
        <v>511</v>
      </c>
      <c r="H12" s="2" t="s">
        <v>672</v>
      </c>
      <c r="I12" s="9"/>
      <c r="L12" s="2" t="s">
        <v>779</v>
      </c>
      <c r="P12" s="2" t="s">
        <v>48</v>
      </c>
      <c r="S12" s="2" t="s">
        <v>142</v>
      </c>
    </row>
    <row r="13" spans="1:19" ht="13.9" x14ac:dyDescent="0.3">
      <c r="B13" s="2" t="s">
        <v>172</v>
      </c>
      <c r="E13" s="2" t="s">
        <v>141</v>
      </c>
      <c r="H13" s="2" t="s">
        <v>300</v>
      </c>
      <c r="I13" s="9"/>
      <c r="L13" s="2" t="s">
        <v>70</v>
      </c>
      <c r="P13" s="2" t="s">
        <v>253</v>
      </c>
      <c r="S13" s="2" t="s">
        <v>723</v>
      </c>
    </row>
    <row r="14" spans="1:19" ht="13.9" x14ac:dyDescent="0.3">
      <c r="B14" s="2" t="s">
        <v>668</v>
      </c>
      <c r="E14" s="2" t="s">
        <v>137</v>
      </c>
      <c r="H14" s="2" t="s">
        <v>364</v>
      </c>
      <c r="I14" s="9"/>
      <c r="L14" s="2" t="s">
        <v>398</v>
      </c>
      <c r="P14" s="2" t="s">
        <v>472</v>
      </c>
      <c r="S14" s="2" t="s">
        <v>380</v>
      </c>
    </row>
    <row r="15" spans="1:19" ht="13.9" x14ac:dyDescent="0.3">
      <c r="B15" s="2" t="s">
        <v>76</v>
      </c>
      <c r="E15" s="2" t="s">
        <v>34</v>
      </c>
      <c r="H15" s="2" t="s">
        <v>69</v>
      </c>
      <c r="I15" s="9"/>
      <c r="L15" s="2" t="s">
        <v>400</v>
      </c>
      <c r="P15" s="2" t="s">
        <v>76</v>
      </c>
      <c r="S15" s="2" t="s">
        <v>156</v>
      </c>
    </row>
    <row r="16" spans="1:19" ht="13.9" x14ac:dyDescent="0.3">
      <c r="B16" s="2" t="s">
        <v>606</v>
      </c>
      <c r="E16" s="2" t="s">
        <v>940</v>
      </c>
      <c r="H16" s="2" t="s">
        <v>379</v>
      </c>
      <c r="I16" s="9"/>
      <c r="L16" s="2" t="s">
        <v>207</v>
      </c>
      <c r="P16" s="2" t="s">
        <v>175</v>
      </c>
      <c r="S16" s="2" t="s">
        <v>516</v>
      </c>
    </row>
    <row r="17" spans="2:19" ht="13.9" x14ac:dyDescent="0.3">
      <c r="B17" s="2" t="s">
        <v>235</v>
      </c>
      <c r="E17" s="2" t="s">
        <v>925</v>
      </c>
      <c r="H17" s="2" t="s">
        <v>50</v>
      </c>
      <c r="I17" s="9"/>
      <c r="L17" s="2" t="s">
        <v>168</v>
      </c>
      <c r="P17" s="2" t="s">
        <v>113</v>
      </c>
      <c r="S17" s="2" t="s">
        <v>372</v>
      </c>
    </row>
    <row r="18" spans="2:19" ht="13.9" x14ac:dyDescent="0.3">
      <c r="B18" s="2" t="s">
        <v>921</v>
      </c>
      <c r="E18" s="2" t="s">
        <v>432</v>
      </c>
      <c r="H18" s="2" t="s">
        <v>652</v>
      </c>
      <c r="I18" s="9"/>
      <c r="L18" s="2" t="s">
        <v>476</v>
      </c>
      <c r="P18" s="2" t="s">
        <v>716</v>
      </c>
      <c r="S18" s="2" t="s">
        <v>217</v>
      </c>
    </row>
    <row r="19" spans="2:19" ht="13.9" x14ac:dyDescent="0.3">
      <c r="B19" s="2" t="s">
        <v>134</v>
      </c>
      <c r="E19" s="2" t="s">
        <v>32</v>
      </c>
      <c r="H19" s="2" t="s">
        <v>262</v>
      </c>
      <c r="I19" s="9"/>
      <c r="L19" s="2" t="s">
        <v>374</v>
      </c>
      <c r="P19" s="2" t="s">
        <v>678</v>
      </c>
      <c r="S19" s="2" t="s">
        <v>779</v>
      </c>
    </row>
    <row r="20" spans="2:19" ht="13.9" x14ac:dyDescent="0.3">
      <c r="B20" s="2" t="s">
        <v>914</v>
      </c>
      <c r="E20" s="2" t="s">
        <v>151</v>
      </c>
      <c r="H20" s="2" t="s">
        <v>392</v>
      </c>
      <c r="I20" s="9"/>
      <c r="L20" s="2" t="s">
        <v>133</v>
      </c>
      <c r="P20" s="2" t="s">
        <v>779</v>
      </c>
      <c r="S20" s="2" t="s">
        <v>152</v>
      </c>
    </row>
    <row r="21" spans="2:19" ht="13.9" x14ac:dyDescent="0.3">
      <c r="B21" s="2" t="s">
        <v>221</v>
      </c>
      <c r="E21" s="2" t="s">
        <v>417</v>
      </c>
      <c r="H21" s="2" t="s">
        <v>477</v>
      </c>
      <c r="I21" s="9"/>
      <c r="L21" s="2" t="s">
        <v>776</v>
      </c>
      <c r="P21" s="2" t="s">
        <v>765</v>
      </c>
      <c r="S21" s="2" t="s">
        <v>24</v>
      </c>
    </row>
    <row r="22" spans="2:19" ht="13.9" x14ac:dyDescent="0.3">
      <c r="B22" s="2" t="s">
        <v>526</v>
      </c>
      <c r="E22" s="2" t="s">
        <v>652</v>
      </c>
      <c r="H22" s="2" t="s">
        <v>153</v>
      </c>
      <c r="I22" s="9"/>
      <c r="L22" s="2" t="s">
        <v>173</v>
      </c>
      <c r="P22" s="2" t="s">
        <v>497</v>
      </c>
      <c r="S22" s="2" t="s">
        <v>168</v>
      </c>
    </row>
    <row r="23" spans="2:19" ht="13.9" x14ac:dyDescent="0.3">
      <c r="B23" s="2" t="s">
        <v>283</v>
      </c>
      <c r="E23" s="2" t="s">
        <v>200</v>
      </c>
      <c r="H23" s="2" t="s">
        <v>941</v>
      </c>
      <c r="I23" s="9"/>
      <c r="L23" s="2" t="s">
        <v>417</v>
      </c>
      <c r="P23" s="2" t="s">
        <v>723</v>
      </c>
      <c r="S23" s="2" t="s">
        <v>628</v>
      </c>
    </row>
    <row r="24" spans="2:19" ht="13.9" x14ac:dyDescent="0.3">
      <c r="B24" s="2" t="s">
        <v>910</v>
      </c>
      <c r="E24" s="2" t="s">
        <v>848</v>
      </c>
      <c r="H24" s="2" t="s">
        <v>74</v>
      </c>
      <c r="I24" s="9"/>
      <c r="L24" s="2" t="s">
        <v>116</v>
      </c>
      <c r="P24" s="2" t="s">
        <v>457</v>
      </c>
      <c r="S24" s="2" t="s">
        <v>374</v>
      </c>
    </row>
    <row r="25" spans="2:19" ht="13.9" x14ac:dyDescent="0.3">
      <c r="B25" s="2" t="s">
        <v>594</v>
      </c>
      <c r="E25" s="2" t="s">
        <v>941</v>
      </c>
      <c r="H25" s="2" t="s">
        <v>79</v>
      </c>
      <c r="I25" s="9"/>
      <c r="L25" s="2" t="s">
        <v>381</v>
      </c>
      <c r="P25" s="2" t="s">
        <v>464</v>
      </c>
      <c r="S25" s="2" t="s">
        <v>133</v>
      </c>
    </row>
    <row r="26" spans="2:19" ht="13.9" x14ac:dyDescent="0.3">
      <c r="B26" s="2" t="s">
        <v>44</v>
      </c>
      <c r="E26" s="2" t="s">
        <v>604</v>
      </c>
      <c r="H26" s="2" t="s">
        <v>419</v>
      </c>
      <c r="I26" s="9"/>
      <c r="L26" s="2" t="s">
        <v>636</v>
      </c>
      <c r="P26" s="2" t="s">
        <v>730</v>
      </c>
      <c r="S26" s="2" t="s">
        <v>226</v>
      </c>
    </row>
    <row r="27" spans="2:19" ht="13.9" x14ac:dyDescent="0.3">
      <c r="B27" s="2" t="s">
        <v>366</v>
      </c>
      <c r="E27" s="2" t="s">
        <v>919</v>
      </c>
      <c r="H27" s="2" t="s">
        <v>901</v>
      </c>
      <c r="I27" s="9"/>
      <c r="L27" s="2" t="s">
        <v>512</v>
      </c>
      <c r="P27" s="2" t="s">
        <v>56</v>
      </c>
      <c r="S27" s="2" t="s">
        <v>776</v>
      </c>
    </row>
    <row r="28" spans="2:19" ht="13.9" x14ac:dyDescent="0.3">
      <c r="B28" s="2" t="s">
        <v>782</v>
      </c>
      <c r="E28" s="2" t="s">
        <v>380</v>
      </c>
      <c r="H28" s="2" t="s">
        <v>321</v>
      </c>
      <c r="I28" s="9"/>
      <c r="L28" s="2" t="s">
        <v>282</v>
      </c>
      <c r="P28" s="2" t="s">
        <v>626</v>
      </c>
      <c r="S28" s="2" t="s">
        <v>464</v>
      </c>
    </row>
    <row r="29" spans="2:19" ht="13.9" x14ac:dyDescent="0.3">
      <c r="B29" s="2" t="s">
        <v>290</v>
      </c>
      <c r="E29" s="2" t="s">
        <v>914</v>
      </c>
      <c r="H29" s="2" t="s">
        <v>44</v>
      </c>
      <c r="I29" s="9"/>
      <c r="L29" s="2" t="s">
        <v>279</v>
      </c>
      <c r="P29" s="2" t="s">
        <v>216</v>
      </c>
      <c r="S29" s="2" t="s">
        <v>88</v>
      </c>
    </row>
    <row r="30" spans="2:19" ht="13.9" x14ac:dyDescent="0.3">
      <c r="B30" s="2" t="s">
        <v>941</v>
      </c>
      <c r="E30" s="2" t="s">
        <v>279</v>
      </c>
      <c r="H30" s="2" t="s">
        <v>144</v>
      </c>
      <c r="I30" s="9"/>
      <c r="L30" s="2" t="s">
        <v>339</v>
      </c>
      <c r="P30" s="2" t="s">
        <v>282</v>
      </c>
      <c r="S30" s="2" t="s">
        <v>296</v>
      </c>
    </row>
    <row r="31" spans="2:19" ht="13.9" x14ac:dyDescent="0.3">
      <c r="B31" s="2" t="s">
        <v>371</v>
      </c>
      <c r="E31" s="2" t="s">
        <v>724</v>
      </c>
      <c r="H31" s="2" t="s">
        <v>465</v>
      </c>
      <c r="I31" s="9"/>
      <c r="L31" s="2" t="s">
        <v>283</v>
      </c>
      <c r="P31" s="2" t="s">
        <v>156</v>
      </c>
      <c r="S31" s="2" t="s">
        <v>173</v>
      </c>
    </row>
    <row r="32" spans="2:19" ht="13.9" x14ac:dyDescent="0.3">
      <c r="B32" s="2" t="s">
        <v>56</v>
      </c>
      <c r="E32" s="2" t="s">
        <v>937</v>
      </c>
      <c r="H32" s="2" t="s">
        <v>892</v>
      </c>
      <c r="I32" s="9"/>
      <c r="L32" s="2" t="s">
        <v>262</v>
      </c>
      <c r="P32" s="2" t="s">
        <v>386</v>
      </c>
      <c r="S32" s="2" t="s">
        <v>633</v>
      </c>
    </row>
    <row r="33" spans="2:19" ht="13.9" x14ac:dyDescent="0.3">
      <c r="B33" s="2" t="s">
        <v>216</v>
      </c>
      <c r="E33" s="2" t="s">
        <v>236</v>
      </c>
      <c r="H33" s="2" t="s">
        <v>388</v>
      </c>
      <c r="I33" s="9"/>
      <c r="L33" s="2" t="s">
        <v>175</v>
      </c>
      <c r="P33" s="2" t="s">
        <v>226</v>
      </c>
      <c r="S33" s="2" t="s">
        <v>417</v>
      </c>
    </row>
    <row r="34" spans="2:19" ht="13.9" x14ac:dyDescent="0.3">
      <c r="B34" s="2" t="s">
        <v>512</v>
      </c>
      <c r="E34" s="2" t="s">
        <v>80</v>
      </c>
      <c r="H34" s="2" t="s">
        <v>661</v>
      </c>
      <c r="I34" s="9"/>
      <c r="L34" s="2" t="s">
        <v>300</v>
      </c>
      <c r="P34" s="2" t="s">
        <v>775</v>
      </c>
      <c r="S34" s="2" t="s">
        <v>355</v>
      </c>
    </row>
    <row r="35" spans="2:19" ht="13.9" x14ac:dyDescent="0.3">
      <c r="B35" s="2" t="s">
        <v>433</v>
      </c>
      <c r="E35" s="2" t="s">
        <v>153</v>
      </c>
      <c r="H35" s="2" t="s">
        <v>691</v>
      </c>
      <c r="I35" s="9"/>
      <c r="L35" s="2" t="s">
        <v>455</v>
      </c>
      <c r="P35" s="2" t="s">
        <v>898</v>
      </c>
      <c r="S35" s="2" t="s">
        <v>627</v>
      </c>
    </row>
    <row r="36" spans="2:19" ht="13.9" x14ac:dyDescent="0.3">
      <c r="B36" s="2" t="s">
        <v>73</v>
      </c>
      <c r="E36" s="2" t="s">
        <v>204</v>
      </c>
      <c r="H36" s="2" t="s">
        <v>927</v>
      </c>
      <c r="I36" s="9"/>
      <c r="L36" s="2" t="s">
        <v>471</v>
      </c>
      <c r="P36" s="2" t="s">
        <v>229</v>
      </c>
      <c r="S36" s="2" t="s">
        <v>828</v>
      </c>
    </row>
    <row r="37" spans="2:19" ht="13.9" x14ac:dyDescent="0.3">
      <c r="B37" s="2" t="s">
        <v>234</v>
      </c>
      <c r="E37" s="2" t="s">
        <v>147</v>
      </c>
      <c r="H37" s="2" t="s">
        <v>275</v>
      </c>
      <c r="I37" s="9"/>
      <c r="L37" s="2" t="s">
        <v>234</v>
      </c>
      <c r="P37" s="2" t="s">
        <v>168</v>
      </c>
      <c r="S37" s="8" t="s">
        <v>937</v>
      </c>
    </row>
    <row r="38" spans="2:19" ht="13.9" x14ac:dyDescent="0.3">
      <c r="B38" s="2" t="s">
        <v>374</v>
      </c>
      <c r="E38" s="2" t="s">
        <v>53</v>
      </c>
      <c r="H38" s="2" t="s">
        <v>228</v>
      </c>
      <c r="I38" s="9"/>
      <c r="L38" s="2" t="s">
        <v>50</v>
      </c>
      <c r="P38" s="2" t="s">
        <v>85</v>
      </c>
      <c r="S38" s="2" t="s">
        <v>90</v>
      </c>
    </row>
    <row r="39" spans="2:19" ht="13.9" x14ac:dyDescent="0.3">
      <c r="B39" s="2" t="s">
        <v>727</v>
      </c>
      <c r="E39" s="2" t="s">
        <v>160</v>
      </c>
      <c r="H39" s="2" t="s">
        <v>629</v>
      </c>
      <c r="I39" s="9"/>
      <c r="L39" s="2" t="s">
        <v>139</v>
      </c>
      <c r="P39" s="2" t="s">
        <v>543</v>
      </c>
      <c r="S39" s="2" t="s">
        <v>282</v>
      </c>
    </row>
    <row r="40" spans="2:19" ht="13.9" x14ac:dyDescent="0.3">
      <c r="B40" s="2" t="s">
        <v>105</v>
      </c>
      <c r="E40" s="2" t="s">
        <v>173</v>
      </c>
      <c r="H40" s="2" t="s">
        <v>576</v>
      </c>
      <c r="I40" s="9"/>
      <c r="L40" s="2" t="s">
        <v>34</v>
      </c>
      <c r="P40" s="2" t="s">
        <v>73</v>
      </c>
      <c r="S40" s="2" t="s">
        <v>279</v>
      </c>
    </row>
    <row r="41" spans="2:19" ht="13.9" x14ac:dyDescent="0.3">
      <c r="B41" s="2" t="s">
        <v>122</v>
      </c>
      <c r="E41" s="2" t="s">
        <v>267</v>
      </c>
      <c r="H41" s="2" t="s">
        <v>73</v>
      </c>
      <c r="I41" s="9"/>
      <c r="L41" s="2" t="s">
        <v>925</v>
      </c>
      <c r="P41" s="2" t="s">
        <v>134</v>
      </c>
      <c r="S41" s="2" t="s">
        <v>48</v>
      </c>
    </row>
    <row r="42" spans="2:19" ht="13.9" x14ac:dyDescent="0.3">
      <c r="B42" s="2" t="s">
        <v>934</v>
      </c>
      <c r="E42" s="2" t="s">
        <v>374</v>
      </c>
      <c r="H42" s="2" t="s">
        <v>895</v>
      </c>
      <c r="I42" s="9"/>
      <c r="L42" s="2" t="s">
        <v>105</v>
      </c>
      <c r="P42" s="2" t="s">
        <v>88</v>
      </c>
      <c r="S42" s="2" t="s">
        <v>441</v>
      </c>
    </row>
    <row r="43" spans="2:19" ht="13.9" x14ac:dyDescent="0.3">
      <c r="B43" s="2" t="s">
        <v>766</v>
      </c>
      <c r="E43" s="2" t="s">
        <v>185</v>
      </c>
      <c r="H43" s="2" t="s">
        <v>58</v>
      </c>
      <c r="I43" s="9"/>
      <c r="L43" s="2" t="s">
        <v>886</v>
      </c>
      <c r="P43" s="2" t="s">
        <v>776</v>
      </c>
      <c r="S43" s="2" t="s">
        <v>36</v>
      </c>
    </row>
    <row r="44" spans="2:19" ht="13.9" x14ac:dyDescent="0.3">
      <c r="B44" s="2" t="s">
        <v>137</v>
      </c>
      <c r="E44" s="2" t="s">
        <v>269</v>
      </c>
      <c r="H44" s="2" t="s">
        <v>204</v>
      </c>
      <c r="I44" s="9"/>
      <c r="L44" s="2" t="s">
        <v>248</v>
      </c>
      <c r="P44" s="2" t="s">
        <v>296</v>
      </c>
      <c r="S44" s="2" t="s">
        <v>339</v>
      </c>
    </row>
    <row r="45" spans="2:19" ht="13.9" x14ac:dyDescent="0.3">
      <c r="B45" s="2" t="s">
        <v>87</v>
      </c>
      <c r="E45" s="2" t="s">
        <v>516</v>
      </c>
      <c r="H45" s="2" t="s">
        <v>458</v>
      </c>
      <c r="I45" s="9"/>
      <c r="L45" s="2" t="s">
        <v>122</v>
      </c>
      <c r="P45" s="2" t="s">
        <v>264</v>
      </c>
      <c r="S45" s="2" t="s">
        <v>283</v>
      </c>
    </row>
    <row r="46" spans="2:19" ht="13.9" x14ac:dyDescent="0.3">
      <c r="B46" s="2" t="s">
        <v>378</v>
      </c>
      <c r="E46" s="2" t="s">
        <v>24</v>
      </c>
      <c r="H46" s="2" t="s">
        <v>925</v>
      </c>
      <c r="I46" s="9"/>
      <c r="P46" s="2" t="s">
        <v>184</v>
      </c>
      <c r="S46" s="2" t="s">
        <v>175</v>
      </c>
    </row>
    <row r="47" spans="2:19" ht="13.9" x14ac:dyDescent="0.3">
      <c r="B47" s="2" t="s">
        <v>458</v>
      </c>
      <c r="E47" s="2" t="s">
        <v>892</v>
      </c>
      <c r="H47" s="2" t="s">
        <v>894</v>
      </c>
      <c r="I47" s="9"/>
      <c r="P47" s="2" t="s">
        <v>284</v>
      </c>
      <c r="S47" s="2" t="s">
        <v>367</v>
      </c>
    </row>
    <row r="48" spans="2:19" ht="13.9" x14ac:dyDescent="0.3">
      <c r="B48" s="2" t="s">
        <v>476</v>
      </c>
      <c r="E48" s="2" t="s">
        <v>274</v>
      </c>
      <c r="H48" s="2" t="s">
        <v>331</v>
      </c>
      <c r="I48" s="9"/>
      <c r="P48" s="2" t="s">
        <v>108</v>
      </c>
      <c r="S48" s="2" t="s">
        <v>661</v>
      </c>
    </row>
    <row r="49" spans="2:19" ht="13.9" x14ac:dyDescent="0.3">
      <c r="B49" s="2" t="s">
        <v>943</v>
      </c>
      <c r="E49" s="2" t="s">
        <v>339</v>
      </c>
      <c r="H49" s="2" t="s">
        <v>85</v>
      </c>
      <c r="I49" s="9"/>
      <c r="P49" s="2" t="s">
        <v>93</v>
      </c>
      <c r="S49" s="2" t="s">
        <v>691</v>
      </c>
    </row>
    <row r="50" spans="2:19" ht="13.9" x14ac:dyDescent="0.3">
      <c r="B50" s="2" t="s">
        <v>168</v>
      </c>
      <c r="E50" s="2" t="s">
        <v>149</v>
      </c>
      <c r="H50" s="2" t="s">
        <v>34</v>
      </c>
      <c r="I50" s="9"/>
      <c r="P50" s="2" t="s">
        <v>339</v>
      </c>
      <c r="S50" s="2" t="s">
        <v>588</v>
      </c>
    </row>
    <row r="51" spans="2:19" ht="13.9" x14ac:dyDescent="0.3">
      <c r="B51" s="2" t="s">
        <v>294</v>
      </c>
      <c r="E51" s="2" t="s">
        <v>93</v>
      </c>
      <c r="H51" s="2" t="s">
        <v>543</v>
      </c>
      <c r="I51" s="9"/>
      <c r="P51" s="2" t="s">
        <v>892</v>
      </c>
      <c r="S51" s="2" t="s">
        <v>234</v>
      </c>
    </row>
    <row r="52" spans="2:19" ht="13.9" x14ac:dyDescent="0.3">
      <c r="B52" s="2" t="s">
        <v>160</v>
      </c>
      <c r="E52" s="2" t="s">
        <v>108</v>
      </c>
      <c r="H52" s="2" t="s">
        <v>264</v>
      </c>
      <c r="I52" s="9"/>
      <c r="P52" s="2" t="s">
        <v>24</v>
      </c>
      <c r="S52" s="2" t="s">
        <v>50</v>
      </c>
    </row>
    <row r="53" spans="2:19" ht="13.9" x14ac:dyDescent="0.3">
      <c r="B53" s="2" t="s">
        <v>456</v>
      </c>
      <c r="E53" s="2" t="s">
        <v>215</v>
      </c>
      <c r="H53" s="2" t="s">
        <v>118</v>
      </c>
      <c r="I53" s="9"/>
      <c r="P53" s="2" t="s">
        <v>516</v>
      </c>
      <c r="S53" s="2" t="s">
        <v>34</v>
      </c>
    </row>
    <row r="54" spans="2:19" ht="13.9" x14ac:dyDescent="0.3">
      <c r="B54" s="2" t="s">
        <v>33</v>
      </c>
      <c r="E54" s="2" t="s">
        <v>249</v>
      </c>
      <c r="H54" s="2" t="s">
        <v>108</v>
      </c>
      <c r="I54" s="9"/>
      <c r="P54" s="2" t="s">
        <v>374</v>
      </c>
      <c r="S54" s="2" t="s">
        <v>925</v>
      </c>
    </row>
    <row r="55" spans="2:19" ht="13.9" x14ac:dyDescent="0.3">
      <c r="B55" s="2" t="s">
        <v>471</v>
      </c>
      <c r="E55" s="2" t="s">
        <v>284</v>
      </c>
      <c r="H55" s="2" t="s">
        <v>748</v>
      </c>
      <c r="I55" s="9"/>
      <c r="P55" s="2" t="s">
        <v>173</v>
      </c>
      <c r="S55" s="2" t="s">
        <v>901</v>
      </c>
    </row>
    <row r="56" spans="2:19" ht="13.9" x14ac:dyDescent="0.3">
      <c r="B56" s="2" t="s">
        <v>108</v>
      </c>
      <c r="E56" s="2" t="s">
        <v>184</v>
      </c>
      <c r="H56" s="6" t="s">
        <v>937</v>
      </c>
      <c r="I56" s="13"/>
      <c r="P56" s="2" t="s">
        <v>204</v>
      </c>
      <c r="S56" s="2" t="s">
        <v>886</v>
      </c>
    </row>
    <row r="57" spans="2:19" ht="13.9" x14ac:dyDescent="0.3">
      <c r="B57" s="2" t="s">
        <v>85</v>
      </c>
      <c r="E57" s="2" t="s">
        <v>264</v>
      </c>
      <c r="H57" s="2" t="s">
        <v>898</v>
      </c>
      <c r="I57" s="9"/>
      <c r="P57" s="2" t="s">
        <v>153</v>
      </c>
    </row>
    <row r="58" spans="2:19" ht="13.9" x14ac:dyDescent="0.3">
      <c r="B58" s="2" t="s">
        <v>454</v>
      </c>
      <c r="E58" s="2" t="s">
        <v>296</v>
      </c>
      <c r="H58" s="2" t="s">
        <v>169</v>
      </c>
      <c r="I58" s="9"/>
      <c r="P58" s="2" t="s">
        <v>80</v>
      </c>
    </row>
    <row r="59" spans="2:19" ht="13.9" x14ac:dyDescent="0.3">
      <c r="B59" s="2" t="s">
        <v>848</v>
      </c>
      <c r="E59" s="2" t="s">
        <v>263</v>
      </c>
      <c r="H59" s="2" t="s">
        <v>366</v>
      </c>
      <c r="I59" s="9"/>
      <c r="P59" s="6" t="s">
        <v>937</v>
      </c>
    </row>
    <row r="60" spans="2:19" ht="13.9" x14ac:dyDescent="0.3">
      <c r="B60" s="2" t="s">
        <v>682</v>
      </c>
      <c r="E60" s="2" t="s">
        <v>672</v>
      </c>
      <c r="H60" s="2" t="s">
        <v>170</v>
      </c>
      <c r="I60" s="9"/>
      <c r="P60" s="2" t="s">
        <v>279</v>
      </c>
    </row>
    <row r="61" spans="2:19" ht="13.9" x14ac:dyDescent="0.3">
      <c r="B61" s="2" t="s">
        <v>116</v>
      </c>
      <c r="E61" s="2" t="s">
        <v>776</v>
      </c>
      <c r="H61" s="2" t="s">
        <v>25</v>
      </c>
      <c r="I61" s="9"/>
      <c r="P61" s="2" t="s">
        <v>914</v>
      </c>
    </row>
    <row r="62" spans="2:19" ht="13.9" x14ac:dyDescent="0.3">
      <c r="B62" s="2" t="s">
        <v>916</v>
      </c>
      <c r="E62" s="2" t="s">
        <v>88</v>
      </c>
      <c r="H62" s="2" t="s">
        <v>23</v>
      </c>
      <c r="I62" s="9"/>
      <c r="P62" s="2" t="s">
        <v>380</v>
      </c>
    </row>
    <row r="63" spans="2:19" ht="13.9" x14ac:dyDescent="0.3">
      <c r="B63" s="2" t="s">
        <v>448</v>
      </c>
      <c r="E63" s="2" t="s">
        <v>155</v>
      </c>
      <c r="H63" s="2" t="s">
        <v>868</v>
      </c>
      <c r="I63" s="9"/>
      <c r="P63" s="2" t="s">
        <v>941</v>
      </c>
    </row>
    <row r="64" spans="2:19" ht="13.9" x14ac:dyDescent="0.3">
      <c r="B64" s="2" t="s">
        <v>97</v>
      </c>
      <c r="E64" s="2" t="s">
        <v>134</v>
      </c>
      <c r="H64" s="2" t="s">
        <v>20</v>
      </c>
      <c r="I64" s="9"/>
      <c r="P64" s="2" t="s">
        <v>652</v>
      </c>
    </row>
    <row r="65" spans="2:16" ht="13.9" x14ac:dyDescent="0.3">
      <c r="B65" s="2" t="s">
        <v>189</v>
      </c>
      <c r="E65" s="2" t="s">
        <v>66</v>
      </c>
      <c r="H65" s="2" t="s">
        <v>805</v>
      </c>
      <c r="I65" s="9"/>
      <c r="P65" s="2" t="s">
        <v>417</v>
      </c>
    </row>
    <row r="66" spans="2:16" ht="13.9" x14ac:dyDescent="0.3">
      <c r="B66" s="2" t="s">
        <v>159</v>
      </c>
      <c r="E66" s="2" t="s">
        <v>275</v>
      </c>
      <c r="H66" s="2" t="s">
        <v>627</v>
      </c>
      <c r="I66" s="9"/>
      <c r="P66" s="2" t="s">
        <v>925</v>
      </c>
    </row>
    <row r="67" spans="2:16" ht="13.9" x14ac:dyDescent="0.3">
      <c r="B67" s="2" t="s">
        <v>158</v>
      </c>
      <c r="E67" s="2" t="s">
        <v>290</v>
      </c>
      <c r="H67" s="2" t="s">
        <v>279</v>
      </c>
      <c r="I67" s="9"/>
      <c r="P67" s="2" t="s">
        <v>34</v>
      </c>
    </row>
    <row r="68" spans="2:16" ht="13.9" x14ac:dyDescent="0.3">
      <c r="B68" s="2" t="s">
        <v>53</v>
      </c>
      <c r="E68" s="2" t="s">
        <v>73</v>
      </c>
      <c r="H68" s="2" t="s">
        <v>421</v>
      </c>
      <c r="I68" s="9"/>
      <c r="P68" s="2" t="s">
        <v>935</v>
      </c>
    </row>
    <row r="69" spans="2:16" ht="13.9" x14ac:dyDescent="0.3">
      <c r="B69" s="2" t="s">
        <v>201</v>
      </c>
      <c r="E69" s="2" t="s">
        <v>650</v>
      </c>
      <c r="H69" s="2" t="s">
        <v>225</v>
      </c>
      <c r="I69" s="9"/>
      <c r="P69" s="2" t="s">
        <v>921</v>
      </c>
    </row>
    <row r="70" spans="2:16" ht="13.9" x14ac:dyDescent="0.3">
      <c r="B70" s="2" t="s">
        <v>723</v>
      </c>
      <c r="E70" s="2" t="s">
        <v>543</v>
      </c>
      <c r="H70" s="2" t="s">
        <v>775</v>
      </c>
      <c r="I70" s="9"/>
      <c r="P70" s="2" t="s">
        <v>477</v>
      </c>
    </row>
    <row r="71" spans="2:16" ht="13.9" x14ac:dyDescent="0.3">
      <c r="B71" s="2" t="s">
        <v>50</v>
      </c>
      <c r="E71" s="2" t="s">
        <v>117</v>
      </c>
      <c r="H71" s="2" t="s">
        <v>220</v>
      </c>
      <c r="I71" s="9"/>
      <c r="P71" s="2" t="s">
        <v>401</v>
      </c>
    </row>
    <row r="72" spans="2:16" ht="13.9" x14ac:dyDescent="0.3">
      <c r="B72" s="2" t="s">
        <v>781</v>
      </c>
      <c r="E72" s="2" t="s">
        <v>504</v>
      </c>
      <c r="H72" s="2" t="s">
        <v>134</v>
      </c>
      <c r="I72" s="9"/>
    </row>
    <row r="73" spans="2:16" ht="13.9" x14ac:dyDescent="0.3">
      <c r="B73" s="2" t="s">
        <v>140</v>
      </c>
      <c r="E73" s="2" t="s">
        <v>85</v>
      </c>
      <c r="H73" s="2" t="s">
        <v>28</v>
      </c>
      <c r="I73" s="9"/>
    </row>
    <row r="74" spans="2:16" ht="13.9" x14ac:dyDescent="0.3">
      <c r="B74" s="2" t="s">
        <v>220</v>
      </c>
      <c r="E74" s="2" t="s">
        <v>379</v>
      </c>
      <c r="H74" s="2" t="s">
        <v>128</v>
      </c>
      <c r="I74" s="9"/>
      <c r="P74">
        <f>LOG(0.2,2)</f>
        <v>-2.3219280948873622</v>
      </c>
    </row>
    <row r="75" spans="2:16" ht="13.9" x14ac:dyDescent="0.3">
      <c r="B75" s="2" t="s">
        <v>133</v>
      </c>
      <c r="E75" s="2" t="s">
        <v>228</v>
      </c>
      <c r="H75" s="2" t="s">
        <v>368</v>
      </c>
      <c r="I75" s="9"/>
    </row>
    <row r="76" spans="2:16" ht="13.9" x14ac:dyDescent="0.3">
      <c r="B76" s="2" t="s">
        <v>324</v>
      </c>
      <c r="E76" s="2" t="s">
        <v>385</v>
      </c>
      <c r="H76" s="2" t="s">
        <v>398</v>
      </c>
      <c r="I76" s="9"/>
    </row>
    <row r="77" spans="2:16" ht="13.9" x14ac:dyDescent="0.3">
      <c r="B77" s="2" t="s">
        <v>190</v>
      </c>
      <c r="E77" s="2" t="s">
        <v>168</v>
      </c>
      <c r="H77" s="2" t="s">
        <v>400</v>
      </c>
      <c r="I77" s="9"/>
    </row>
    <row r="78" spans="2:16" ht="13.9" x14ac:dyDescent="0.3">
      <c r="B78" s="2" t="s">
        <v>151</v>
      </c>
      <c r="E78" s="2" t="s">
        <v>229</v>
      </c>
      <c r="H78" s="2" t="s">
        <v>22</v>
      </c>
      <c r="I78" s="9"/>
    </row>
    <row r="79" spans="2:16" ht="13.9" x14ac:dyDescent="0.3">
      <c r="B79" s="2" t="s">
        <v>929</v>
      </c>
      <c r="E79" s="2" t="s">
        <v>364</v>
      </c>
      <c r="H79" s="6" t="s">
        <v>730</v>
      </c>
      <c r="I79" s="9"/>
    </row>
    <row r="80" spans="2:16" ht="13.9" x14ac:dyDescent="0.3">
      <c r="B80" s="2" t="s">
        <v>392</v>
      </c>
      <c r="E80" s="2" t="s">
        <v>392</v>
      </c>
      <c r="H80" s="2" t="s">
        <v>367</v>
      </c>
      <c r="I80" s="9"/>
    </row>
    <row r="81" spans="2:9" ht="13.9" x14ac:dyDescent="0.3">
      <c r="B81" s="2" t="s">
        <v>157</v>
      </c>
      <c r="E81" s="2" t="s">
        <v>235</v>
      </c>
      <c r="H81" s="2" t="s">
        <v>177</v>
      </c>
      <c r="I81" s="9"/>
    </row>
    <row r="82" spans="2:9" ht="13.9" x14ac:dyDescent="0.3">
      <c r="B82" s="2" t="s">
        <v>139</v>
      </c>
      <c r="E82" s="2" t="s">
        <v>618</v>
      </c>
      <c r="H82" s="2" t="s">
        <v>405</v>
      </c>
      <c r="I82" s="9"/>
    </row>
    <row r="83" spans="2:9" ht="13.9" x14ac:dyDescent="0.3">
      <c r="B83" s="2" t="s">
        <v>339</v>
      </c>
      <c r="E83" s="2" t="s">
        <v>510</v>
      </c>
      <c r="H83" s="2" t="s">
        <v>207</v>
      </c>
      <c r="I83" s="9"/>
    </row>
    <row r="84" spans="2:9" ht="13.9" x14ac:dyDescent="0.3">
      <c r="B84" s="2" t="s">
        <v>625</v>
      </c>
      <c r="E84" s="2" t="s">
        <v>898</v>
      </c>
      <c r="H84" s="2" t="s">
        <v>355</v>
      </c>
      <c r="I84" s="9"/>
    </row>
    <row r="85" spans="2:9" ht="13.9" x14ac:dyDescent="0.3">
      <c r="B85" s="2" t="s">
        <v>248</v>
      </c>
      <c r="E85" s="2" t="s">
        <v>718</v>
      </c>
      <c r="H85" s="2" t="s">
        <v>296</v>
      </c>
      <c r="I85" s="9"/>
    </row>
    <row r="86" spans="2:9" ht="13.9" x14ac:dyDescent="0.3">
      <c r="B86" s="2" t="s">
        <v>185</v>
      </c>
      <c r="E86" s="2" t="s">
        <v>775</v>
      </c>
      <c r="H86" s="2" t="s">
        <v>133</v>
      </c>
      <c r="I86" s="9"/>
    </row>
    <row r="87" spans="2:9" ht="13.9" x14ac:dyDescent="0.3">
      <c r="B87" s="2" t="s">
        <v>275</v>
      </c>
      <c r="E87" s="2" t="s">
        <v>226</v>
      </c>
      <c r="H87" s="2" t="s">
        <v>234</v>
      </c>
      <c r="I87" s="9"/>
    </row>
    <row r="88" spans="2:9" ht="13.9" x14ac:dyDescent="0.3">
      <c r="B88" s="2" t="s">
        <v>141</v>
      </c>
      <c r="E88" s="2" t="s">
        <v>386</v>
      </c>
      <c r="H88" s="2" t="s">
        <v>246</v>
      </c>
      <c r="I88" s="9"/>
    </row>
    <row r="89" spans="2:9" ht="13.9" x14ac:dyDescent="0.3">
      <c r="B89" s="2" t="s">
        <v>650</v>
      </c>
      <c r="E89" s="2" t="s">
        <v>156</v>
      </c>
      <c r="H89" s="2" t="s">
        <v>181</v>
      </c>
      <c r="I89" s="9"/>
    </row>
    <row r="90" spans="2:9" ht="13.9" x14ac:dyDescent="0.3">
      <c r="B90" s="2" t="s">
        <v>231</v>
      </c>
      <c r="E90" s="2" t="s">
        <v>282</v>
      </c>
      <c r="H90" s="2" t="s">
        <v>102</v>
      </c>
      <c r="I90" s="9"/>
    </row>
    <row r="91" spans="2:9" ht="13.9" x14ac:dyDescent="0.3">
      <c r="B91" s="2" t="s">
        <v>42</v>
      </c>
      <c r="E91" s="2" t="s">
        <v>169</v>
      </c>
      <c r="H91" s="2" t="s">
        <v>386</v>
      </c>
      <c r="I91" s="9"/>
    </row>
    <row r="92" spans="2:9" ht="13.9" x14ac:dyDescent="0.3">
      <c r="B92" s="2" t="s">
        <v>636</v>
      </c>
      <c r="E92" s="2" t="s">
        <v>216</v>
      </c>
      <c r="H92" s="2" t="s">
        <v>612</v>
      </c>
      <c r="I92" s="9"/>
    </row>
    <row r="93" spans="2:9" ht="13.9" x14ac:dyDescent="0.3">
      <c r="B93" s="2" t="s">
        <v>70</v>
      </c>
      <c r="E93" s="2" t="s">
        <v>626</v>
      </c>
      <c r="H93" s="2" t="s">
        <v>328</v>
      </c>
      <c r="I93" s="9"/>
    </row>
    <row r="94" spans="2:9" ht="13.9" x14ac:dyDescent="0.3">
      <c r="B94" s="2" t="s">
        <v>775</v>
      </c>
      <c r="E94" s="2" t="s">
        <v>56</v>
      </c>
      <c r="H94" s="2" t="s">
        <v>24</v>
      </c>
      <c r="I94" s="9"/>
    </row>
    <row r="95" spans="2:9" ht="13.9" x14ac:dyDescent="0.3">
      <c r="B95" s="2" t="s">
        <v>933</v>
      </c>
      <c r="E95" s="2" t="s">
        <v>730</v>
      </c>
      <c r="H95" s="2" t="s">
        <v>21</v>
      </c>
      <c r="I95" s="9"/>
    </row>
    <row r="96" spans="2:9" ht="13.9" x14ac:dyDescent="0.3">
      <c r="B96" s="2" t="s">
        <v>147</v>
      </c>
      <c r="E96" s="2" t="s">
        <v>464</v>
      </c>
      <c r="H96" s="2" t="s">
        <v>935</v>
      </c>
      <c r="I96" s="9"/>
    </row>
    <row r="97" spans="2:9" ht="13.9" x14ac:dyDescent="0.3">
      <c r="B97" s="2" t="s">
        <v>779</v>
      </c>
      <c r="E97" s="2" t="s">
        <v>231</v>
      </c>
      <c r="H97" s="2" t="s">
        <v>284</v>
      </c>
      <c r="I97" s="9"/>
    </row>
    <row r="98" spans="2:9" ht="13.9" x14ac:dyDescent="0.3">
      <c r="B98" s="2" t="s">
        <v>477</v>
      </c>
      <c r="E98" s="2" t="s">
        <v>457</v>
      </c>
      <c r="H98" s="2" t="s">
        <v>666</v>
      </c>
      <c r="I98" s="9"/>
    </row>
    <row r="99" spans="2:9" ht="13.9" x14ac:dyDescent="0.3">
      <c r="B99" s="2" t="s">
        <v>417</v>
      </c>
      <c r="E99" s="2" t="s">
        <v>723</v>
      </c>
      <c r="H99" s="2" t="s">
        <v>686</v>
      </c>
      <c r="I99" s="9"/>
    </row>
    <row r="100" spans="2:9" ht="13.9" x14ac:dyDescent="0.3">
      <c r="B100" s="2" t="s">
        <v>135</v>
      </c>
      <c r="E100" s="2" t="s">
        <v>682</v>
      </c>
      <c r="H100" s="2" t="s">
        <v>173</v>
      </c>
      <c r="I100" s="9"/>
    </row>
    <row r="101" spans="2:9" ht="13.9" x14ac:dyDescent="0.3">
      <c r="B101" s="2" t="s">
        <v>270</v>
      </c>
      <c r="E101" s="2" t="s">
        <v>497</v>
      </c>
      <c r="H101" s="2" t="s">
        <v>417</v>
      </c>
      <c r="I101" s="9"/>
    </row>
    <row r="102" spans="2:9" ht="13.9" x14ac:dyDescent="0.3">
      <c r="B102" s="2" t="s">
        <v>300</v>
      </c>
      <c r="E102" s="2" t="s">
        <v>868</v>
      </c>
      <c r="H102" s="2" t="s">
        <v>635</v>
      </c>
      <c r="I102" s="9"/>
    </row>
    <row r="103" spans="2:9" ht="13.9" x14ac:dyDescent="0.3">
      <c r="B103" s="2" t="s">
        <v>149</v>
      </c>
      <c r="E103" s="2" t="s">
        <v>765</v>
      </c>
      <c r="H103" s="2" t="s">
        <v>834</v>
      </c>
      <c r="I103" s="9"/>
    </row>
    <row r="104" spans="2:9" ht="13.9" x14ac:dyDescent="0.3">
      <c r="B104" s="2" t="s">
        <v>925</v>
      </c>
      <c r="E104" s="2" t="s">
        <v>916</v>
      </c>
      <c r="H104" s="2" t="s">
        <v>88</v>
      </c>
      <c r="I104" s="9"/>
    </row>
    <row r="105" spans="2:9" ht="13.9" x14ac:dyDescent="0.3">
      <c r="B105" s="2" t="s">
        <v>605</v>
      </c>
      <c r="E105" s="2" t="s">
        <v>368</v>
      </c>
      <c r="H105" s="2" t="s">
        <v>339</v>
      </c>
      <c r="I105" s="9"/>
    </row>
    <row r="106" spans="2:9" ht="13.9" x14ac:dyDescent="0.3">
      <c r="B106" s="2" t="s">
        <v>776</v>
      </c>
      <c r="E106" s="2" t="s">
        <v>69</v>
      </c>
      <c r="H106" s="2" t="s">
        <v>276</v>
      </c>
      <c r="I106" s="9"/>
    </row>
    <row r="107" spans="2:9" ht="13.9" x14ac:dyDescent="0.3">
      <c r="B107" s="2" t="s">
        <v>299</v>
      </c>
      <c r="E107" s="2" t="s">
        <v>23</v>
      </c>
      <c r="H107" s="2" t="s">
        <v>217</v>
      </c>
      <c r="I107" s="9"/>
    </row>
    <row r="108" spans="2:9" ht="13.9" x14ac:dyDescent="0.3">
      <c r="B108" s="2" t="s">
        <v>388</v>
      </c>
      <c r="E108" s="2" t="s">
        <v>779</v>
      </c>
      <c r="H108" s="2" t="s">
        <v>36</v>
      </c>
      <c r="I108" s="9"/>
    </row>
    <row r="109" spans="2:9" ht="13.9" x14ac:dyDescent="0.3">
      <c r="B109" s="2" t="s">
        <v>263</v>
      </c>
      <c r="E109" s="2" t="s">
        <v>220</v>
      </c>
      <c r="H109" s="2" t="s">
        <v>610</v>
      </c>
      <c r="I109" s="9"/>
    </row>
    <row r="110" spans="2:9" ht="13.9" x14ac:dyDescent="0.3">
      <c r="B110" s="2" t="s">
        <v>34</v>
      </c>
      <c r="E110" s="2" t="s">
        <v>933</v>
      </c>
      <c r="H110" s="2" t="s">
        <v>210</v>
      </c>
      <c r="I110" s="9"/>
    </row>
    <row r="111" spans="2:9" ht="13.9" x14ac:dyDescent="0.3">
      <c r="B111" s="2" t="s">
        <v>391</v>
      </c>
      <c r="E111" s="2" t="s">
        <v>678</v>
      </c>
      <c r="H111" s="2" t="s">
        <v>603</v>
      </c>
      <c r="I111" s="9"/>
    </row>
    <row r="112" spans="2:9" ht="13.9" x14ac:dyDescent="0.3">
      <c r="B112" s="2" t="s">
        <v>271</v>
      </c>
      <c r="E112" s="2" t="s">
        <v>128</v>
      </c>
      <c r="H112" s="2" t="s">
        <v>497</v>
      </c>
      <c r="I112" s="9"/>
    </row>
    <row r="113" spans="2:9" ht="13.9" x14ac:dyDescent="0.3">
      <c r="B113" s="2" t="s">
        <v>455</v>
      </c>
      <c r="E113" s="2" t="s">
        <v>104</v>
      </c>
      <c r="H113" s="2" t="s">
        <v>716</v>
      </c>
      <c r="I113" s="9"/>
    </row>
    <row r="114" spans="2:9" ht="13.9" x14ac:dyDescent="0.3">
      <c r="B114" s="2" t="s">
        <v>249</v>
      </c>
      <c r="E114" s="2" t="s">
        <v>716</v>
      </c>
      <c r="H114" s="2" t="s">
        <v>441</v>
      </c>
      <c r="I114" s="9"/>
    </row>
    <row r="115" spans="2:9" ht="13.9" x14ac:dyDescent="0.3">
      <c r="B115" s="2" t="s">
        <v>81</v>
      </c>
      <c r="E115" s="2" t="s">
        <v>113</v>
      </c>
      <c r="H115" s="2" t="s">
        <v>40</v>
      </c>
      <c r="I115" s="9"/>
    </row>
    <row r="116" spans="2:9" ht="13.9" x14ac:dyDescent="0.3">
      <c r="B116" s="2" t="s">
        <v>888</v>
      </c>
      <c r="E116" s="2" t="s">
        <v>777</v>
      </c>
      <c r="H116" s="2" t="s">
        <v>913</v>
      </c>
      <c r="I116" s="9"/>
    </row>
    <row r="117" spans="2:9" ht="13.9" x14ac:dyDescent="0.3">
      <c r="B117" s="2" t="s">
        <v>722</v>
      </c>
      <c r="E117" s="2" t="s">
        <v>607</v>
      </c>
      <c r="H117" s="8" t="s">
        <v>681</v>
      </c>
      <c r="I117" s="14"/>
    </row>
    <row r="118" spans="2:9" ht="13.9" x14ac:dyDescent="0.3">
      <c r="B118" s="2" t="s">
        <v>385</v>
      </c>
      <c r="E118" s="2" t="s">
        <v>175</v>
      </c>
      <c r="H118" s="2" t="s">
        <v>768</v>
      </c>
      <c r="I118" s="9"/>
    </row>
    <row r="119" spans="2:9" ht="13.9" x14ac:dyDescent="0.3">
      <c r="B119" s="2" t="s">
        <v>218</v>
      </c>
      <c r="E119" s="2" t="s">
        <v>76</v>
      </c>
      <c r="H119" s="2" t="s">
        <v>746</v>
      </c>
      <c r="I119" s="9"/>
    </row>
    <row r="120" spans="2:9" ht="13.9" x14ac:dyDescent="0.3">
      <c r="B120" s="2" t="s">
        <v>751</v>
      </c>
      <c r="E120" s="2" t="s">
        <v>472</v>
      </c>
      <c r="H120" s="2" t="s">
        <v>226</v>
      </c>
      <c r="I120" s="9"/>
    </row>
    <row r="121" spans="2:9" ht="13.9" x14ac:dyDescent="0.3">
      <c r="B121" s="2" t="s">
        <v>217</v>
      </c>
      <c r="E121" s="2" t="s">
        <v>388</v>
      </c>
      <c r="H121" s="2" t="s">
        <v>363</v>
      </c>
      <c r="I121" s="9"/>
    </row>
    <row r="122" spans="2:9" ht="13.9" x14ac:dyDescent="0.3">
      <c r="B122" s="2" t="s">
        <v>282</v>
      </c>
      <c r="E122" s="2" t="s">
        <v>253</v>
      </c>
      <c r="H122" s="2" t="s">
        <v>76</v>
      </c>
      <c r="I122" s="9"/>
    </row>
    <row r="123" spans="2:9" ht="13.9" x14ac:dyDescent="0.3">
      <c r="B123" s="2" t="s">
        <v>267</v>
      </c>
      <c r="E123" s="2" t="s">
        <v>276</v>
      </c>
      <c r="H123" s="2" t="s">
        <v>184</v>
      </c>
      <c r="I123" s="9"/>
    </row>
    <row r="124" spans="2:9" ht="13.9" x14ac:dyDescent="0.3">
      <c r="B124" s="2" t="s">
        <v>919</v>
      </c>
      <c r="E124" s="2" t="s">
        <v>419</v>
      </c>
      <c r="H124" s="2" t="s">
        <v>282</v>
      </c>
      <c r="I124" s="9"/>
    </row>
    <row r="125" spans="2:9" ht="13.9" x14ac:dyDescent="0.3">
      <c r="B125" s="2" t="s">
        <v>153</v>
      </c>
      <c r="E125" s="2" t="s">
        <v>48</v>
      </c>
      <c r="H125" s="2" t="s">
        <v>921</v>
      </c>
      <c r="I125" s="9"/>
    </row>
    <row r="126" spans="2:9" ht="13.9" x14ac:dyDescent="0.3">
      <c r="B126" s="2" t="s">
        <v>398</v>
      </c>
      <c r="E126" s="2" t="s">
        <v>142</v>
      </c>
      <c r="H126" s="2" t="s">
        <v>449</v>
      </c>
      <c r="I126" s="9"/>
    </row>
    <row r="127" spans="2:9" ht="13.9" x14ac:dyDescent="0.3">
      <c r="B127" s="2" t="s">
        <v>400</v>
      </c>
      <c r="E127" s="2" t="s">
        <v>40</v>
      </c>
      <c r="H127" s="2" t="s">
        <v>253</v>
      </c>
      <c r="I127" s="9"/>
    </row>
    <row r="128" spans="2:9" ht="13.9" x14ac:dyDescent="0.3">
      <c r="B128" s="2" t="s">
        <v>652</v>
      </c>
      <c r="E128" s="2" t="s">
        <v>681</v>
      </c>
      <c r="H128" s="2" t="s">
        <v>596</v>
      </c>
      <c r="I128" s="9"/>
    </row>
    <row r="129" spans="2:9" ht="13.9" x14ac:dyDescent="0.3">
      <c r="B129" s="2" t="s">
        <v>165</v>
      </c>
      <c r="E129" s="2" t="s">
        <v>908</v>
      </c>
      <c r="H129" s="2" t="s">
        <v>516</v>
      </c>
      <c r="I129" s="9"/>
    </row>
    <row r="130" spans="2:9" ht="13.9" x14ac:dyDescent="0.3">
      <c r="B130" s="2" t="s">
        <v>236</v>
      </c>
      <c r="E130" s="2" t="s">
        <v>459</v>
      </c>
      <c r="H130" s="2" t="s">
        <v>678</v>
      </c>
      <c r="I130" s="9"/>
    </row>
    <row r="131" spans="2:9" ht="13.9" x14ac:dyDescent="0.3">
      <c r="B131" s="2" t="s">
        <v>247</v>
      </c>
      <c r="E131" s="2" t="s">
        <v>283</v>
      </c>
      <c r="H131" s="2" t="s">
        <v>858</v>
      </c>
      <c r="I131" s="9"/>
    </row>
    <row r="132" spans="2:9" ht="13.9" x14ac:dyDescent="0.3">
      <c r="B132" s="2" t="s">
        <v>298</v>
      </c>
      <c r="E132" s="2" t="s">
        <v>372</v>
      </c>
      <c r="H132" s="2" t="s">
        <v>776</v>
      </c>
      <c r="I132" s="9"/>
    </row>
    <row r="133" spans="2:9" ht="13.9" x14ac:dyDescent="0.3">
      <c r="B133" s="2" t="s">
        <v>892</v>
      </c>
      <c r="E133" s="2" t="s">
        <v>202</v>
      </c>
      <c r="H133" s="2" t="s">
        <v>216</v>
      </c>
      <c r="I133" s="9"/>
    </row>
    <row r="134" spans="2:9" ht="13.9" x14ac:dyDescent="0.3">
      <c r="B134" s="2" t="s">
        <v>262</v>
      </c>
      <c r="E134" s="2" t="s">
        <v>367</v>
      </c>
      <c r="H134" s="2" t="s">
        <v>93</v>
      </c>
      <c r="I134" s="9"/>
    </row>
    <row r="135" spans="2:9" ht="13.9" x14ac:dyDescent="0.3">
      <c r="B135" s="2" t="s">
        <v>715</v>
      </c>
      <c r="E135" s="2" t="s">
        <v>118</v>
      </c>
      <c r="H135" s="2" t="s">
        <v>464</v>
      </c>
      <c r="I135" s="9"/>
    </row>
    <row r="136" spans="2:9" ht="13.9" x14ac:dyDescent="0.3">
      <c r="B136" s="2" t="s">
        <v>604</v>
      </c>
      <c r="E136" s="2" t="s">
        <v>748</v>
      </c>
      <c r="H136" s="2" t="s">
        <v>626</v>
      </c>
      <c r="I136" s="9"/>
    </row>
    <row r="137" spans="2:9" ht="13.9" x14ac:dyDescent="0.3">
      <c r="B137" s="2" t="s">
        <v>117</v>
      </c>
      <c r="E137" s="2" t="s">
        <v>36</v>
      </c>
      <c r="H137" s="2" t="s">
        <v>887</v>
      </c>
      <c r="I137" s="9"/>
    </row>
    <row r="138" spans="2:9" ht="13.9" x14ac:dyDescent="0.3">
      <c r="B138" s="2" t="s">
        <v>771</v>
      </c>
      <c r="E138" s="2" t="s">
        <v>602</v>
      </c>
      <c r="H138" s="2" t="s">
        <v>229</v>
      </c>
      <c r="I138" s="9"/>
    </row>
    <row r="139" spans="2:9" ht="13.9" x14ac:dyDescent="0.3">
      <c r="B139" s="2" t="s">
        <v>169</v>
      </c>
      <c r="E139" s="2" t="s">
        <v>627</v>
      </c>
      <c r="H139" s="2" t="s">
        <v>56</v>
      </c>
      <c r="I139" s="9"/>
    </row>
    <row r="140" spans="2:9" ht="13.9" x14ac:dyDescent="0.3">
      <c r="B140" s="2" t="s">
        <v>136</v>
      </c>
      <c r="E140" s="2" t="s">
        <v>894</v>
      </c>
      <c r="H140" s="2" t="s">
        <v>588</v>
      </c>
      <c r="I140" s="9"/>
    </row>
    <row r="141" spans="2:9" ht="13.9" x14ac:dyDescent="0.3">
      <c r="B141" s="2" t="s">
        <v>173</v>
      </c>
      <c r="E141" s="2" t="s">
        <v>208</v>
      </c>
      <c r="H141" s="2" t="s">
        <v>380</v>
      </c>
      <c r="I141" s="9"/>
    </row>
    <row r="142" spans="2:9" ht="13.9" x14ac:dyDescent="0.3">
      <c r="B142" s="2" t="s">
        <v>23</v>
      </c>
      <c r="E142" s="2" t="s">
        <v>152</v>
      </c>
      <c r="H142" s="2" t="s">
        <v>48</v>
      </c>
      <c r="I142" s="9"/>
    </row>
    <row r="143" spans="2:9" ht="13.9" x14ac:dyDescent="0.3">
      <c r="B143" s="2" t="s">
        <v>743</v>
      </c>
      <c r="E143" s="2" t="s">
        <v>186</v>
      </c>
      <c r="H143" s="2" t="s">
        <v>628</v>
      </c>
      <c r="I143" s="9"/>
    </row>
    <row r="144" spans="2:9" ht="13.9" x14ac:dyDescent="0.3">
      <c r="B144" s="2" t="s">
        <v>89</v>
      </c>
      <c r="E144" s="2" t="s">
        <v>828</v>
      </c>
      <c r="H144" s="2" t="s">
        <v>175</v>
      </c>
      <c r="I144" s="9"/>
    </row>
    <row r="145" spans="2:9" ht="13.9" x14ac:dyDescent="0.3">
      <c r="B145" s="2" t="s">
        <v>207</v>
      </c>
      <c r="E145" s="2" t="s">
        <v>772</v>
      </c>
      <c r="H145" s="2" t="s">
        <v>338</v>
      </c>
      <c r="I145" s="9"/>
    </row>
    <row r="146" spans="2:9" ht="13.9" x14ac:dyDescent="0.3">
      <c r="B146" s="2" t="s">
        <v>272</v>
      </c>
      <c r="E146" s="2" t="s">
        <v>661</v>
      </c>
      <c r="H146" s="2" t="s">
        <v>156</v>
      </c>
      <c r="I146" s="9"/>
    </row>
    <row r="147" spans="2:9" ht="13.9" x14ac:dyDescent="0.3">
      <c r="B147" s="2" t="s">
        <v>511</v>
      </c>
      <c r="E147" s="2" t="s">
        <v>691</v>
      </c>
      <c r="H147" s="2" t="s">
        <v>148</v>
      </c>
      <c r="I147" s="9"/>
    </row>
    <row r="148" spans="2:9" ht="13.9" x14ac:dyDescent="0.3">
      <c r="B148" s="2" t="s">
        <v>389</v>
      </c>
      <c r="E148" s="2" t="s">
        <v>341</v>
      </c>
      <c r="H148" s="2" t="s">
        <v>459</v>
      </c>
      <c r="I148" s="9"/>
    </row>
    <row r="149" spans="2:9" ht="13.9" x14ac:dyDescent="0.3">
      <c r="B149" s="2" t="s">
        <v>603</v>
      </c>
      <c r="E149" s="2" t="s">
        <v>612</v>
      </c>
      <c r="H149" s="2" t="s">
        <v>98</v>
      </c>
      <c r="I149" s="9"/>
    </row>
    <row r="150" spans="2:9" ht="13.9" x14ac:dyDescent="0.3">
      <c r="B150" s="2" t="s">
        <v>114</v>
      </c>
      <c r="E150" s="2" t="s">
        <v>240</v>
      </c>
      <c r="H150" s="2" t="s">
        <v>224</v>
      </c>
      <c r="I150" s="9"/>
    </row>
    <row r="151" spans="2:9" ht="13.9" x14ac:dyDescent="0.3">
      <c r="B151" s="2" t="s">
        <v>380</v>
      </c>
      <c r="E151" s="2" t="s">
        <v>258</v>
      </c>
      <c r="H151" s="2" t="s">
        <v>113</v>
      </c>
      <c r="I151" s="9"/>
    </row>
    <row r="152" spans="2:9" ht="13.9" x14ac:dyDescent="0.3">
      <c r="B152" s="2" t="s">
        <v>183</v>
      </c>
      <c r="E152" s="2"/>
      <c r="H152" s="2" t="s">
        <v>195</v>
      </c>
      <c r="I152" s="9"/>
    </row>
    <row r="153" spans="2:9" ht="13.9" x14ac:dyDescent="0.3">
      <c r="B153" s="2" t="s">
        <v>551</v>
      </c>
      <c r="E153" s="2"/>
      <c r="H153" s="2" t="s">
        <v>374</v>
      </c>
      <c r="I153" s="9"/>
    </row>
    <row r="154" spans="2:9" ht="13.9" x14ac:dyDescent="0.3">
      <c r="B154" s="2" t="s">
        <v>279</v>
      </c>
      <c r="E154" s="2"/>
      <c r="H154" s="2" t="s">
        <v>80</v>
      </c>
      <c r="I154" s="9"/>
    </row>
    <row r="155" spans="2:9" ht="13.9" x14ac:dyDescent="0.3">
      <c r="B155" s="2" t="s">
        <v>199</v>
      </c>
      <c r="E155" s="2"/>
      <c r="H155" s="2" t="s">
        <v>752</v>
      </c>
      <c r="I155" s="9"/>
    </row>
    <row r="156" spans="2:9" ht="13.9" x14ac:dyDescent="0.3">
      <c r="B156" s="2" t="s">
        <v>176</v>
      </c>
      <c r="E156" s="2"/>
      <c r="H156" s="2" t="s">
        <v>168</v>
      </c>
      <c r="I156" s="9"/>
    </row>
    <row r="157" spans="2:9" ht="13.9" x14ac:dyDescent="0.3">
      <c r="B157" s="2" t="s">
        <v>175</v>
      </c>
      <c r="E157" s="2"/>
      <c r="H157" s="2" t="s">
        <v>633</v>
      </c>
      <c r="I157" s="9"/>
    </row>
    <row r="158" spans="2:9" ht="13.9" x14ac:dyDescent="0.3">
      <c r="B158" s="2" t="s">
        <v>55</v>
      </c>
      <c r="E158" s="2"/>
      <c r="H158" s="2" t="s">
        <v>779</v>
      </c>
      <c r="I158" s="9"/>
    </row>
    <row r="159" spans="2:9" ht="13.9" x14ac:dyDescent="0.3">
      <c r="B159" s="2" t="s">
        <v>80</v>
      </c>
      <c r="E159" s="2"/>
      <c r="H159" s="2" t="s">
        <v>457</v>
      </c>
      <c r="I159" s="9"/>
    </row>
    <row r="160" spans="2:9" ht="13.9" x14ac:dyDescent="0.3">
      <c r="B160" s="2" t="s">
        <v>379</v>
      </c>
      <c r="E160" s="2"/>
      <c r="H160" s="2" t="s">
        <v>737</v>
      </c>
      <c r="I160" s="9"/>
    </row>
    <row r="161" spans="2:9" ht="13.9" x14ac:dyDescent="0.3">
      <c r="B161" s="2" t="s">
        <v>886</v>
      </c>
      <c r="E161" s="2"/>
      <c r="H161" s="2" t="s">
        <v>450</v>
      </c>
      <c r="I161" s="9"/>
    </row>
    <row r="162" spans="2:9" ht="13.9" x14ac:dyDescent="0.3">
      <c r="B162" s="2" t="s">
        <v>186</v>
      </c>
      <c r="E162" s="2"/>
      <c r="H162" s="2" t="s">
        <v>908</v>
      </c>
      <c r="I162" s="9"/>
    </row>
    <row r="163" spans="2:9" ht="13.9" x14ac:dyDescent="0.3">
      <c r="B163" s="2" t="s">
        <v>200</v>
      </c>
      <c r="E163" s="2"/>
      <c r="H163" s="2" t="s">
        <v>142</v>
      </c>
      <c r="I163" s="9"/>
    </row>
    <row r="164" spans="2:9" ht="13.9" x14ac:dyDescent="0.3">
      <c r="B164" s="2" t="s">
        <v>49</v>
      </c>
      <c r="E164" s="2"/>
      <c r="H164" s="2" t="s">
        <v>193</v>
      </c>
      <c r="I164" s="9"/>
    </row>
    <row r="165" spans="2:9" ht="13.9" x14ac:dyDescent="0.3">
      <c r="B165" s="2" t="s">
        <v>381</v>
      </c>
      <c r="E165" s="2"/>
      <c r="H165" s="2" t="s">
        <v>765</v>
      </c>
      <c r="I165" s="9"/>
    </row>
    <row r="166" spans="2:9" ht="13.9" x14ac:dyDescent="0.3">
      <c r="B166" s="2" t="s">
        <v>187</v>
      </c>
      <c r="E166" s="2"/>
      <c r="H166" s="2" t="s">
        <v>152</v>
      </c>
      <c r="I166" s="9"/>
    </row>
    <row r="167" spans="2:9" ht="13.9" x14ac:dyDescent="0.3">
      <c r="B167" s="2" t="s">
        <v>32</v>
      </c>
      <c r="E167" s="2"/>
      <c r="H167" s="2" t="s">
        <v>202</v>
      </c>
      <c r="I167" s="9"/>
    </row>
    <row r="168" spans="2:9" ht="13.9" x14ac:dyDescent="0.3">
      <c r="B168" s="2" t="s">
        <v>269</v>
      </c>
      <c r="E168" s="2"/>
      <c r="H168" s="2" t="s">
        <v>739</v>
      </c>
      <c r="I168" s="9"/>
    </row>
    <row r="169" spans="2:9" ht="13.9" x14ac:dyDescent="0.3">
      <c r="B169" s="2"/>
      <c r="E169" s="2"/>
      <c r="H169" s="2" t="s">
        <v>472</v>
      </c>
      <c r="I169" s="9"/>
    </row>
    <row r="170" spans="2:9" ht="13.9" x14ac:dyDescent="0.3">
      <c r="B170" s="2"/>
      <c r="E170" s="2"/>
      <c r="H170" s="2" t="s">
        <v>723</v>
      </c>
      <c r="I170" s="9"/>
    </row>
    <row r="171" spans="2:9" ht="13.9" x14ac:dyDescent="0.3">
      <c r="B171" s="2"/>
      <c r="E171" s="2"/>
      <c r="H171" s="2" t="s">
        <v>372</v>
      </c>
      <c r="I171" s="9"/>
    </row>
    <row r="172" spans="2:9" ht="13.9" x14ac:dyDescent="0.3">
      <c r="B172" s="2"/>
      <c r="E172" s="2"/>
      <c r="H172" s="2" t="s">
        <v>312</v>
      </c>
      <c r="I172" s="9"/>
    </row>
    <row r="173" spans="2:9" ht="13.9" x14ac:dyDescent="0.3">
      <c r="B173" s="2"/>
      <c r="E173" s="2"/>
      <c r="H173" s="2" t="s">
        <v>782</v>
      </c>
      <c r="I173" s="9"/>
    </row>
    <row r="174" spans="2:9" ht="13.9" x14ac:dyDescent="0.3">
      <c r="B174" s="2"/>
      <c r="E174" s="2"/>
      <c r="H174" s="2" t="s">
        <v>828</v>
      </c>
      <c r="I174" s="9"/>
    </row>
    <row r="175" spans="2:9" ht="13.9" x14ac:dyDescent="0.3">
      <c r="B175" s="2"/>
      <c r="E175" s="2"/>
      <c r="H175" s="2" t="s">
        <v>914</v>
      </c>
      <c r="I175" s="9"/>
    </row>
    <row r="176" spans="2:9" ht="13.9" x14ac:dyDescent="0.3">
      <c r="B176" s="2"/>
      <c r="E176" s="2"/>
      <c r="H176" s="2" t="s">
        <v>369</v>
      </c>
      <c r="I176" s="9"/>
    </row>
    <row r="177" spans="2:9" ht="13.9" x14ac:dyDescent="0.3">
      <c r="B177" s="2"/>
      <c r="E177" s="2"/>
      <c r="H177" s="2" t="s">
        <v>283</v>
      </c>
      <c r="I177" s="9"/>
    </row>
    <row r="178" spans="2:9" ht="13.9" x14ac:dyDescent="0.3">
      <c r="B178" s="2"/>
      <c r="E178" s="2"/>
      <c r="H178" s="2" t="s">
        <v>90</v>
      </c>
      <c r="I178" s="9"/>
    </row>
    <row r="179" spans="2:9" ht="13.9" x14ac:dyDescent="0.3">
      <c r="B179" s="2"/>
      <c r="E179" s="2"/>
      <c r="H179" s="2" t="s">
        <v>602</v>
      </c>
      <c r="I179" s="9"/>
    </row>
    <row r="180" spans="2:9" ht="13.9" x14ac:dyDescent="0.3">
      <c r="B180" s="2"/>
      <c r="E180" s="2"/>
      <c r="H180" s="2" t="s">
        <v>186</v>
      </c>
      <c r="I180" s="9"/>
    </row>
    <row r="181" spans="2:9" ht="13.9" x14ac:dyDescent="0.3">
      <c r="B181" s="2"/>
      <c r="E181" s="2"/>
      <c r="H181" s="2"/>
      <c r="I181" s="9"/>
    </row>
    <row r="182" spans="2:9" ht="13.9" x14ac:dyDescent="0.3">
      <c r="B182" s="2"/>
      <c r="E182" s="2"/>
      <c r="H182" s="2"/>
      <c r="I182" s="9"/>
    </row>
    <row r="183" spans="2:9" ht="13.9" x14ac:dyDescent="0.3">
      <c r="B183" s="2"/>
      <c r="E183" s="2"/>
      <c r="H183" s="2"/>
      <c r="I183" s="9"/>
    </row>
    <row r="184" spans="2:9" ht="13.9" x14ac:dyDescent="0.3">
      <c r="B184" s="2"/>
      <c r="E184" s="2"/>
      <c r="H184" s="2"/>
      <c r="I184" s="9"/>
    </row>
    <row r="185" spans="2:9" ht="13.9" x14ac:dyDescent="0.3">
      <c r="B185" s="2"/>
      <c r="E185" s="2"/>
      <c r="H185" s="2"/>
      <c r="I185" s="9"/>
    </row>
    <row r="186" spans="2:9" ht="13.9" x14ac:dyDescent="0.3">
      <c r="B186" s="2"/>
      <c r="E186" s="2"/>
      <c r="H186" s="2"/>
      <c r="I186" s="9"/>
    </row>
    <row r="187" spans="2:9" ht="13.9" x14ac:dyDescent="0.3">
      <c r="B187" s="2"/>
      <c r="E187" s="2"/>
      <c r="H187" s="2"/>
      <c r="I187" s="9"/>
    </row>
    <row r="188" spans="2:9" ht="13.9" x14ac:dyDescent="0.3">
      <c r="B188" s="2"/>
      <c r="E188" s="2"/>
      <c r="H188" s="2"/>
      <c r="I188" s="9"/>
    </row>
    <row r="189" spans="2:9" ht="13.9" x14ac:dyDescent="0.3">
      <c r="B189" s="2"/>
      <c r="E189" s="2"/>
      <c r="H189" s="2"/>
      <c r="I189" s="9"/>
    </row>
    <row r="190" spans="2:9" ht="13.9" x14ac:dyDescent="0.3">
      <c r="B190" s="2"/>
      <c r="E190" s="2"/>
      <c r="H190" s="2"/>
      <c r="I190" s="9"/>
    </row>
    <row r="191" spans="2:9" ht="13.9" x14ac:dyDescent="0.3">
      <c r="B191" s="2"/>
      <c r="E191" s="2"/>
      <c r="H191" s="2"/>
      <c r="I191" s="9"/>
    </row>
    <row r="192" spans="2:9" ht="13.9" x14ac:dyDescent="0.3">
      <c r="B192" s="2"/>
      <c r="E192" s="2"/>
      <c r="H192" s="2"/>
      <c r="I192" s="9"/>
    </row>
    <row r="193" spans="2:9" ht="13.9" x14ac:dyDescent="0.3">
      <c r="B193" s="2"/>
      <c r="E193" s="2"/>
      <c r="H193" s="2"/>
      <c r="I193" s="9"/>
    </row>
    <row r="194" spans="2:9" ht="13.9" x14ac:dyDescent="0.3">
      <c r="B194" s="2"/>
      <c r="E194" s="2"/>
      <c r="H194" s="2"/>
      <c r="I194" s="9"/>
    </row>
    <row r="195" spans="2:9" ht="13.9" x14ac:dyDescent="0.3">
      <c r="B195" s="2"/>
      <c r="E195" s="2"/>
      <c r="H195" s="2"/>
      <c r="I195" s="9"/>
    </row>
    <row r="196" spans="2:9" ht="13.9" x14ac:dyDescent="0.3">
      <c r="B196" s="2"/>
      <c r="E196" s="2"/>
      <c r="H196" s="2"/>
      <c r="I196" s="9"/>
    </row>
    <row r="197" spans="2:9" ht="13.9" x14ac:dyDescent="0.3">
      <c r="B197" s="2"/>
      <c r="E197" s="2"/>
      <c r="H197" s="2"/>
      <c r="I197" s="9"/>
    </row>
    <row r="198" spans="2:9" ht="13.9" x14ac:dyDescent="0.3">
      <c r="B198" s="2"/>
      <c r="E198" s="2"/>
      <c r="H198" s="2"/>
      <c r="I198" s="9"/>
    </row>
    <row r="199" spans="2:9" ht="13.9" x14ac:dyDescent="0.3">
      <c r="B199" s="2"/>
      <c r="E199" s="2"/>
      <c r="H199" s="2"/>
      <c r="I199" s="9"/>
    </row>
    <row r="200" spans="2:9" ht="13.9" x14ac:dyDescent="0.3">
      <c r="B200" s="2"/>
      <c r="E200" s="2"/>
      <c r="H200" s="2"/>
      <c r="I200" s="9"/>
    </row>
    <row r="201" spans="2:9" ht="13.9" x14ac:dyDescent="0.3">
      <c r="B201" s="2"/>
      <c r="E201" s="2"/>
      <c r="H201" s="2"/>
      <c r="I201" s="9"/>
    </row>
    <row r="202" spans="2:9" ht="13.9" x14ac:dyDescent="0.3">
      <c r="B202" s="2"/>
      <c r="E202" s="2"/>
      <c r="H202" s="2"/>
      <c r="I202" s="9"/>
    </row>
    <row r="203" spans="2:9" ht="13.9" x14ac:dyDescent="0.3">
      <c r="B203" s="2"/>
      <c r="E203" s="2"/>
      <c r="H203" s="2"/>
      <c r="I203" s="9"/>
    </row>
    <row r="204" spans="2:9" ht="13.9" x14ac:dyDescent="0.3">
      <c r="B204" s="2"/>
      <c r="E204" s="2"/>
      <c r="H204" s="2"/>
      <c r="I204" s="9"/>
    </row>
    <row r="205" spans="2:9" ht="13.9" x14ac:dyDescent="0.3">
      <c r="B205" s="2"/>
      <c r="E205" s="2"/>
      <c r="H205" s="2"/>
      <c r="I205" s="9"/>
    </row>
    <row r="206" spans="2:9" ht="13.9" x14ac:dyDescent="0.3">
      <c r="B206" s="2"/>
      <c r="E206" s="2"/>
      <c r="H206" s="2"/>
      <c r="I206" s="9"/>
    </row>
    <row r="207" spans="2:9" ht="13.9" x14ac:dyDescent="0.3">
      <c r="B207" s="2"/>
      <c r="E207" s="2"/>
      <c r="H207" s="2"/>
      <c r="I207" s="9"/>
    </row>
    <row r="208" spans="2:9" ht="13.9" x14ac:dyDescent="0.3">
      <c r="B208" s="2"/>
      <c r="E208" s="2"/>
      <c r="H208" s="2"/>
      <c r="I208" s="9"/>
    </row>
    <row r="209" spans="2:9" ht="13.9" x14ac:dyDescent="0.3">
      <c r="B209" s="2"/>
      <c r="E209" s="2"/>
      <c r="H209" s="2"/>
      <c r="I209" s="9"/>
    </row>
    <row r="210" spans="2:9" ht="13.9" x14ac:dyDescent="0.3">
      <c r="B210" s="2"/>
      <c r="E210" s="2"/>
      <c r="H210" s="2"/>
      <c r="I210" s="9"/>
    </row>
    <row r="211" spans="2:9" ht="13.9" x14ac:dyDescent="0.3">
      <c r="B211" s="2"/>
      <c r="E211" s="2"/>
      <c r="H211" s="2"/>
      <c r="I211" s="9"/>
    </row>
    <row r="212" spans="2:9" ht="13.9" x14ac:dyDescent="0.3">
      <c r="B212" s="2"/>
      <c r="E212" s="2"/>
      <c r="H212" s="2"/>
      <c r="I212" s="9"/>
    </row>
    <row r="213" spans="2:9" ht="13.9" x14ac:dyDescent="0.3">
      <c r="B213" s="2"/>
      <c r="E213" s="2"/>
      <c r="H213" s="2"/>
      <c r="I213" s="9"/>
    </row>
    <row r="214" spans="2:9" ht="13.9" x14ac:dyDescent="0.3">
      <c r="B214" s="2"/>
      <c r="E214" s="2"/>
      <c r="H214" s="2"/>
      <c r="I214" s="9"/>
    </row>
    <row r="215" spans="2:9" ht="13.9" x14ac:dyDescent="0.3">
      <c r="B215" s="2"/>
      <c r="E215" s="2"/>
      <c r="H215" s="2"/>
      <c r="I215" s="9"/>
    </row>
    <row r="216" spans="2:9" ht="13.9" x14ac:dyDescent="0.3">
      <c r="B216" s="2"/>
      <c r="E216" s="2"/>
      <c r="H216" s="2"/>
      <c r="I216" s="9"/>
    </row>
    <row r="217" spans="2:9" ht="13.9" x14ac:dyDescent="0.3">
      <c r="B217" s="2"/>
      <c r="E217" s="2"/>
      <c r="H217" s="2"/>
      <c r="I217" s="9"/>
    </row>
    <row r="218" spans="2:9" ht="13.9" x14ac:dyDescent="0.3">
      <c r="B218" s="2"/>
      <c r="E218" s="2"/>
      <c r="H218" s="2"/>
      <c r="I218" s="9"/>
    </row>
    <row r="219" spans="2:9" ht="13.9" x14ac:dyDescent="0.3">
      <c r="B219" s="2"/>
      <c r="E219" s="2"/>
      <c r="H219" s="2"/>
      <c r="I219" s="9"/>
    </row>
    <row r="220" spans="2:9" ht="13.9" x14ac:dyDescent="0.3">
      <c r="B220" s="2"/>
      <c r="E220" s="2"/>
      <c r="H220" s="2"/>
      <c r="I220" s="9"/>
    </row>
    <row r="221" spans="2:9" ht="13.9" x14ac:dyDescent="0.3">
      <c r="B221" s="2"/>
      <c r="E221" s="2"/>
      <c r="H221" s="2"/>
      <c r="I221" s="9"/>
    </row>
    <row r="222" spans="2:9" ht="13.9" x14ac:dyDescent="0.3">
      <c r="B222" s="2"/>
      <c r="E222" s="2"/>
      <c r="H222" s="2"/>
      <c r="I222" s="9"/>
    </row>
    <row r="223" spans="2:9" ht="13.9" x14ac:dyDescent="0.3">
      <c r="B223" s="2"/>
      <c r="E223" s="2"/>
      <c r="H223" s="2"/>
      <c r="I223" s="9"/>
    </row>
    <row r="224" spans="2:9" ht="13.9" x14ac:dyDescent="0.3">
      <c r="B224" s="2"/>
      <c r="E224" s="2"/>
      <c r="H224" s="2"/>
      <c r="I224" s="9"/>
    </row>
    <row r="225" spans="2:9" ht="13.9" x14ac:dyDescent="0.3">
      <c r="B225" s="2"/>
      <c r="E225" s="2"/>
      <c r="H225" s="2"/>
      <c r="I225" s="9"/>
    </row>
    <row r="226" spans="2:9" ht="13.9" x14ac:dyDescent="0.3">
      <c r="B226" s="2"/>
      <c r="E226" s="2"/>
      <c r="H226" s="2"/>
      <c r="I226" s="9"/>
    </row>
    <row r="227" spans="2:9" ht="13.9" x14ac:dyDescent="0.3">
      <c r="B227" s="2"/>
      <c r="E227" s="2"/>
      <c r="H227" s="2"/>
      <c r="I227" s="9"/>
    </row>
    <row r="228" spans="2:9" ht="13.9" x14ac:dyDescent="0.3">
      <c r="B228" s="2"/>
      <c r="E228" s="2"/>
      <c r="H228" s="2"/>
      <c r="I228" s="9"/>
    </row>
    <row r="229" spans="2:9" ht="13.9" x14ac:dyDescent="0.3">
      <c r="B229" s="2"/>
      <c r="E229" s="2"/>
      <c r="H229" s="2"/>
      <c r="I229" s="9"/>
    </row>
    <row r="230" spans="2:9" ht="13.9" x14ac:dyDescent="0.3">
      <c r="B230" s="2"/>
      <c r="E230" s="2"/>
      <c r="H230" s="2"/>
      <c r="I230" s="9"/>
    </row>
    <row r="231" spans="2:9" ht="13.9" x14ac:dyDescent="0.3">
      <c r="B231" s="2"/>
      <c r="E231" s="2"/>
      <c r="H231" s="2"/>
      <c r="I231" s="9"/>
    </row>
    <row r="232" spans="2:9" ht="13.9" x14ac:dyDescent="0.3">
      <c r="B232" s="2"/>
      <c r="E232" s="2"/>
      <c r="H232" s="2"/>
      <c r="I232" s="9"/>
    </row>
    <row r="233" spans="2:9" ht="13.9" x14ac:dyDescent="0.3">
      <c r="B233" s="2"/>
      <c r="E233" s="2"/>
      <c r="H233" s="2"/>
      <c r="I233" s="9"/>
    </row>
    <row r="234" spans="2:9" ht="13.9" x14ac:dyDescent="0.3">
      <c r="B234" s="2"/>
      <c r="E234" s="2"/>
      <c r="H234" s="2"/>
      <c r="I234" s="9"/>
    </row>
    <row r="235" spans="2:9" ht="13.9" x14ac:dyDescent="0.3">
      <c r="B235" s="2"/>
      <c r="E235" s="2"/>
      <c r="H235" s="2"/>
      <c r="I235" s="9"/>
    </row>
    <row r="236" spans="2:9" ht="13.9" x14ac:dyDescent="0.3">
      <c r="B236" s="2"/>
      <c r="E236" s="2"/>
      <c r="H236" s="2"/>
      <c r="I236" s="9"/>
    </row>
    <row r="237" spans="2:9" ht="13.9" x14ac:dyDescent="0.3">
      <c r="B237" s="2"/>
      <c r="E237" s="2"/>
      <c r="H237" s="2"/>
      <c r="I237" s="9"/>
    </row>
    <row r="238" spans="2:9" ht="13.9" x14ac:dyDescent="0.3">
      <c r="B238" s="2"/>
      <c r="E238" s="2"/>
      <c r="H238" s="2"/>
      <c r="I238" s="9"/>
    </row>
    <row r="239" spans="2:9" ht="13.9" x14ac:dyDescent="0.3">
      <c r="B239" s="2"/>
      <c r="E239" s="2"/>
      <c r="H239" s="2"/>
      <c r="I239" s="9"/>
    </row>
    <row r="240" spans="2:9" ht="13.9" x14ac:dyDescent="0.3">
      <c r="B240" s="2"/>
      <c r="E240" s="2"/>
      <c r="H240" s="2"/>
      <c r="I240" s="9"/>
    </row>
    <row r="241" spans="2:20" ht="13.9" x14ac:dyDescent="0.3">
      <c r="B241" s="2"/>
      <c r="E241" s="2"/>
      <c r="H241" s="2"/>
      <c r="I241" s="9"/>
    </row>
    <row r="242" spans="2:20" ht="13.9" x14ac:dyDescent="0.3">
      <c r="B242" s="2"/>
      <c r="E242" s="2"/>
      <c r="H242" s="2"/>
      <c r="I242" s="9"/>
    </row>
    <row r="243" spans="2:20" ht="13.9" x14ac:dyDescent="0.3">
      <c r="B243" s="2"/>
      <c r="E243" s="2"/>
      <c r="H243" s="2"/>
      <c r="I243" s="9"/>
    </row>
    <row r="244" spans="2:20" ht="13.9" x14ac:dyDescent="0.3">
      <c r="B244" s="2"/>
      <c r="E244" s="2"/>
      <c r="H244" s="2"/>
      <c r="I244" s="9"/>
    </row>
    <row r="245" spans="2:20" ht="13.9" x14ac:dyDescent="0.3">
      <c r="B245" s="2"/>
      <c r="E245" s="2"/>
      <c r="H245" s="2"/>
      <c r="I245" s="9"/>
    </row>
    <row r="246" spans="2:20" ht="13.9" x14ac:dyDescent="0.3">
      <c r="B246" s="2"/>
      <c r="E246" s="2"/>
      <c r="H246" s="2"/>
      <c r="I246" s="9"/>
    </row>
    <row r="247" spans="2:20" ht="13.9" x14ac:dyDescent="0.3">
      <c r="B247" s="2"/>
      <c r="E247" s="2"/>
      <c r="H247" s="2"/>
      <c r="I247" s="9"/>
    </row>
    <row r="248" spans="2:20" ht="13.9" x14ac:dyDescent="0.3">
      <c r="B248" s="2"/>
      <c r="E248" s="2"/>
      <c r="H248" s="2"/>
      <c r="I248" s="9"/>
    </row>
    <row r="249" spans="2:20" ht="13.9" x14ac:dyDescent="0.3">
      <c r="B249" s="2"/>
      <c r="E249" s="2"/>
      <c r="H249" s="2"/>
      <c r="I249" s="9"/>
    </row>
    <row r="250" spans="2:20" ht="14.25" thickBot="1" x14ac:dyDescent="0.35">
      <c r="B250" s="2"/>
      <c r="E250" s="2"/>
      <c r="H250" s="2"/>
      <c r="I250" s="9"/>
    </row>
    <row r="251" spans="2:20" ht="26.65" thickBot="1" x14ac:dyDescent="0.35">
      <c r="B251" s="2"/>
      <c r="E251" s="2"/>
      <c r="H251" s="2"/>
      <c r="I251" s="9"/>
      <c r="M251" s="11" t="s">
        <v>973</v>
      </c>
      <c r="O251" t="s">
        <v>235</v>
      </c>
      <c r="R251" t="s">
        <v>235</v>
      </c>
      <c r="T251" t="s">
        <v>910</v>
      </c>
    </row>
    <row r="252" spans="2:20" ht="26.65" thickBot="1" x14ac:dyDescent="0.35">
      <c r="B252" s="2"/>
      <c r="E252" s="2"/>
      <c r="H252" s="2"/>
      <c r="I252" s="9"/>
      <c r="M252" s="11" t="s">
        <v>99</v>
      </c>
      <c r="O252" t="s">
        <v>910</v>
      </c>
      <c r="R252" t="s">
        <v>175</v>
      </c>
      <c r="T252" t="s">
        <v>378</v>
      </c>
    </row>
    <row r="253" spans="2:20" ht="26.65" thickBot="1" x14ac:dyDescent="0.35">
      <c r="B253" s="2"/>
      <c r="E253" s="2"/>
      <c r="H253" s="2"/>
      <c r="I253" s="9"/>
      <c r="M253" s="11" t="s">
        <v>644</v>
      </c>
      <c r="O253" t="s">
        <v>378</v>
      </c>
      <c r="R253" t="s">
        <v>186</v>
      </c>
      <c r="T253" t="s">
        <v>455</v>
      </c>
    </row>
    <row r="254" spans="2:20" ht="26.65" thickBot="1" x14ac:dyDescent="0.35">
      <c r="B254" s="2"/>
      <c r="E254" s="2"/>
      <c r="H254" s="2"/>
      <c r="I254" s="9"/>
      <c r="M254" s="11" t="s">
        <v>974</v>
      </c>
      <c r="O254" t="s">
        <v>455</v>
      </c>
      <c r="R254" t="s">
        <v>937</v>
      </c>
      <c r="T254" t="s">
        <v>516</v>
      </c>
    </row>
    <row r="255" spans="2:20" ht="26.65" thickBot="1" x14ac:dyDescent="0.35">
      <c r="B255" s="2"/>
      <c r="E255" s="2"/>
      <c r="H255" s="2"/>
      <c r="I255" s="9"/>
      <c r="M255" s="11" t="s">
        <v>975</v>
      </c>
      <c r="O255" t="s">
        <v>175</v>
      </c>
      <c r="R255" t="s">
        <v>516</v>
      </c>
      <c r="T255" t="s">
        <v>912</v>
      </c>
    </row>
    <row r="256" spans="2:20" ht="26.65" thickBot="1" x14ac:dyDescent="0.35">
      <c r="B256" s="2"/>
      <c r="E256" s="2"/>
      <c r="H256" s="2"/>
      <c r="I256" s="9"/>
      <c r="M256" s="11" t="s">
        <v>348</v>
      </c>
      <c r="O256" t="s">
        <v>186</v>
      </c>
      <c r="R256" t="s">
        <v>364</v>
      </c>
      <c r="T256" t="s">
        <v>883</v>
      </c>
    </row>
    <row r="257" spans="2:20" ht="26.65" thickBot="1" x14ac:dyDescent="0.35">
      <c r="B257" s="2"/>
      <c r="E257" s="2"/>
      <c r="H257" s="2"/>
      <c r="I257" s="9"/>
      <c r="M257" s="11" t="s">
        <v>976</v>
      </c>
      <c r="O257" t="s">
        <v>937</v>
      </c>
      <c r="T257" t="s">
        <v>367</v>
      </c>
    </row>
    <row r="258" spans="2:20" ht="26.65" thickBot="1" x14ac:dyDescent="0.35">
      <c r="B258" s="2"/>
      <c r="E258" s="2"/>
      <c r="H258" s="2"/>
      <c r="I258" s="9"/>
      <c r="M258" s="11" t="s">
        <v>977</v>
      </c>
      <c r="O258" t="s">
        <v>516</v>
      </c>
    </row>
    <row r="259" spans="2:20" ht="26.65" thickBot="1" x14ac:dyDescent="0.35">
      <c r="B259" s="2"/>
      <c r="E259" s="2"/>
      <c r="H259" s="2"/>
      <c r="I259" s="9"/>
      <c r="M259" s="11" t="s">
        <v>978</v>
      </c>
      <c r="O259" t="s">
        <v>912</v>
      </c>
    </row>
    <row r="260" spans="2:20" ht="26.65" thickBot="1" x14ac:dyDescent="0.35">
      <c r="B260" s="2"/>
      <c r="E260" s="2"/>
      <c r="H260" s="2"/>
      <c r="I260" s="9"/>
      <c r="M260" s="11" t="s">
        <v>979</v>
      </c>
      <c r="O260" t="s">
        <v>883</v>
      </c>
    </row>
    <row r="261" spans="2:20" ht="26.65" thickBot="1" x14ac:dyDescent="0.35">
      <c r="B261" s="2"/>
      <c r="E261" s="2"/>
      <c r="H261" s="2"/>
      <c r="I261" s="9"/>
      <c r="M261" s="11" t="s">
        <v>980</v>
      </c>
      <c r="O261" t="s">
        <v>364</v>
      </c>
    </row>
    <row r="262" spans="2:20" ht="26.65" thickBot="1" x14ac:dyDescent="0.35">
      <c r="B262" s="2"/>
      <c r="E262" s="2"/>
      <c r="H262" s="2"/>
      <c r="I262" s="9"/>
      <c r="M262" s="11" t="s">
        <v>981</v>
      </c>
      <c r="O262" t="s">
        <v>367</v>
      </c>
    </row>
    <row r="263" spans="2:20" ht="26.65" thickBot="1" x14ac:dyDescent="0.35">
      <c r="B263" s="2"/>
      <c r="E263" s="2"/>
      <c r="H263" s="2"/>
      <c r="I263" s="9"/>
      <c r="M263" s="12" t="s">
        <v>516</v>
      </c>
    </row>
    <row r="264" spans="2:20" ht="26.65" thickBot="1" x14ac:dyDescent="0.35">
      <c r="B264" s="2"/>
      <c r="E264" s="2"/>
      <c r="H264" s="2"/>
      <c r="I264" s="9"/>
      <c r="M264" s="12" t="s">
        <v>235</v>
      </c>
    </row>
    <row r="265" spans="2:20" ht="26.65" thickBot="1" x14ac:dyDescent="0.35">
      <c r="B265" s="2"/>
      <c r="E265" s="2"/>
      <c r="H265" s="2"/>
      <c r="I265" s="9"/>
      <c r="M265" s="12" t="s">
        <v>982</v>
      </c>
    </row>
    <row r="266" spans="2:20" ht="26.65" thickBot="1" x14ac:dyDescent="0.35">
      <c r="B266" s="2"/>
      <c r="E266" s="2"/>
      <c r="H266" s="2"/>
      <c r="I266" s="9"/>
      <c r="M266" s="12" t="s">
        <v>983</v>
      </c>
    </row>
    <row r="267" spans="2:20" ht="26.65" thickBot="1" x14ac:dyDescent="0.35">
      <c r="B267" s="2"/>
      <c r="E267" s="2"/>
      <c r="H267" s="2"/>
      <c r="I267" s="9"/>
      <c r="M267" s="12" t="s">
        <v>984</v>
      </c>
    </row>
    <row r="268" spans="2:20" ht="26.65" thickBot="1" x14ac:dyDescent="0.35">
      <c r="B268" s="2"/>
      <c r="E268" s="2"/>
      <c r="H268" s="2"/>
      <c r="I268" s="9"/>
      <c r="M268" s="12" t="s">
        <v>985</v>
      </c>
    </row>
    <row r="269" spans="2:20" ht="26.65" thickBot="1" x14ac:dyDescent="0.35">
      <c r="B269" s="2"/>
      <c r="E269" s="2"/>
      <c r="H269" s="2"/>
      <c r="I269" s="9"/>
      <c r="M269" s="12" t="s">
        <v>186</v>
      </c>
    </row>
    <row r="270" spans="2:20" ht="26.65" thickBot="1" x14ac:dyDescent="0.35">
      <c r="B270" s="2"/>
      <c r="E270" s="2"/>
      <c r="H270" s="2"/>
      <c r="I270" s="9"/>
      <c r="M270" s="12" t="s">
        <v>175</v>
      </c>
    </row>
    <row r="271" spans="2:20" ht="26.65" thickBot="1" x14ac:dyDescent="0.35">
      <c r="B271" s="2"/>
      <c r="E271" s="2"/>
      <c r="H271" s="2"/>
      <c r="I271" s="9"/>
      <c r="M271" s="12" t="s">
        <v>174</v>
      </c>
    </row>
    <row r="272" spans="2:20" ht="26.65" thickBot="1" x14ac:dyDescent="0.35">
      <c r="B272" s="2"/>
      <c r="E272" s="2"/>
      <c r="H272" s="2"/>
      <c r="I272" s="9"/>
      <c r="M272" s="12" t="s">
        <v>937</v>
      </c>
    </row>
    <row r="273" spans="5:13" ht="26.65" thickBot="1" x14ac:dyDescent="0.35">
      <c r="E273" s="2"/>
      <c r="H273" s="2"/>
      <c r="I273" s="9"/>
      <c r="M273" s="11" t="s">
        <v>980</v>
      </c>
    </row>
    <row r="274" spans="5:13" ht="26.65" thickBot="1" x14ac:dyDescent="0.35">
      <c r="E274" s="2"/>
      <c r="H274" s="2"/>
      <c r="I274" s="9"/>
      <c r="M274" s="11" t="s">
        <v>525</v>
      </c>
    </row>
    <row r="275" spans="5:13" ht="26.65" thickBot="1" x14ac:dyDescent="0.35">
      <c r="E275" s="2"/>
      <c r="H275" s="2"/>
      <c r="I275" s="9"/>
      <c r="M275" s="11" t="s">
        <v>345</v>
      </c>
    </row>
    <row r="276" spans="5:13" ht="26.65" thickBot="1" x14ac:dyDescent="0.35">
      <c r="E276" s="2"/>
      <c r="H276" s="2"/>
      <c r="I276" s="9"/>
      <c r="M276" s="11" t="s">
        <v>455</v>
      </c>
    </row>
    <row r="277" spans="5:13" ht="26.65" thickBot="1" x14ac:dyDescent="0.35">
      <c r="E277" s="2"/>
      <c r="H277" s="2"/>
      <c r="I277" s="9"/>
      <c r="M277" s="11" t="s">
        <v>516</v>
      </c>
    </row>
    <row r="278" spans="5:13" ht="26.65" thickBot="1" x14ac:dyDescent="0.35">
      <c r="E278" s="2"/>
      <c r="H278" s="2"/>
      <c r="I278" s="9"/>
      <c r="M278" s="11" t="s">
        <v>621</v>
      </c>
    </row>
    <row r="279" spans="5:13" ht="26.65" thickBot="1" x14ac:dyDescent="0.35">
      <c r="E279" s="2"/>
      <c r="H279" s="2"/>
      <c r="I279" s="9"/>
      <c r="M279" s="11" t="s">
        <v>65</v>
      </c>
    </row>
    <row r="280" spans="5:13" ht="26.65" thickBot="1" x14ac:dyDescent="0.35">
      <c r="E280" s="2"/>
      <c r="H280" s="2"/>
      <c r="I280" s="9"/>
      <c r="M280" s="11" t="s">
        <v>790</v>
      </c>
    </row>
    <row r="281" spans="5:13" ht="26.65" thickBot="1" x14ac:dyDescent="0.35">
      <c r="E281" s="2"/>
      <c r="H281" s="2"/>
      <c r="I281" s="9"/>
      <c r="M281" s="11" t="s">
        <v>910</v>
      </c>
    </row>
    <row r="282" spans="5:13" ht="26.65" thickBot="1" x14ac:dyDescent="0.35">
      <c r="E282" s="2"/>
      <c r="H282" s="2"/>
      <c r="I282" s="9"/>
      <c r="M282" s="11" t="s">
        <v>986</v>
      </c>
    </row>
    <row r="283" spans="5:13" ht="26.65" thickBot="1" x14ac:dyDescent="0.35">
      <c r="E283" s="2"/>
      <c r="H283" s="2"/>
      <c r="I283" s="9"/>
      <c r="M283" s="11" t="s">
        <v>987</v>
      </c>
    </row>
    <row r="284" spans="5:13" ht="26.65" thickBot="1" x14ac:dyDescent="0.35">
      <c r="E284" s="2"/>
      <c r="H284" s="2"/>
      <c r="I284" s="9"/>
      <c r="M284" s="11" t="s">
        <v>378</v>
      </c>
    </row>
    <row r="285" spans="5:13" ht="26.65" thickBot="1" x14ac:dyDescent="0.35">
      <c r="E285" s="2"/>
      <c r="H285" s="2"/>
      <c r="I285" s="9"/>
      <c r="M285" s="11" t="s">
        <v>988</v>
      </c>
    </row>
    <row r="286" spans="5:13" ht="26.65" thickBot="1" x14ac:dyDescent="0.35">
      <c r="E286" s="2"/>
      <c r="H286" s="2"/>
      <c r="I286" s="9"/>
      <c r="M286" s="11" t="s">
        <v>883</v>
      </c>
    </row>
    <row r="287" spans="5:13" ht="26.65" thickBot="1" x14ac:dyDescent="0.35">
      <c r="E287" s="2"/>
      <c r="H287" s="2"/>
      <c r="I287" s="9"/>
      <c r="M287" s="11" t="s">
        <v>989</v>
      </c>
    </row>
    <row r="288" spans="5:13" ht="26.65" thickBot="1" x14ac:dyDescent="0.35">
      <c r="E288" s="2"/>
      <c r="H288" s="2"/>
      <c r="I288" s="9"/>
      <c r="M288" s="11" t="s">
        <v>990</v>
      </c>
    </row>
    <row r="289" spans="5:13" ht="26.65" thickBot="1" x14ac:dyDescent="0.35">
      <c r="E289" s="2"/>
      <c r="H289" s="2"/>
      <c r="I289" s="9"/>
      <c r="M289" s="11" t="s">
        <v>655</v>
      </c>
    </row>
    <row r="290" spans="5:13" ht="26.65" thickBot="1" x14ac:dyDescent="0.35">
      <c r="E290" s="2"/>
      <c r="H290" s="2"/>
      <c r="I290" s="9"/>
      <c r="M290" s="11" t="s">
        <v>352</v>
      </c>
    </row>
    <row r="291" spans="5:13" ht="26.65" thickBot="1" x14ac:dyDescent="0.35">
      <c r="E291" s="2"/>
      <c r="H291" s="2"/>
      <c r="I291" s="9"/>
      <c r="M291" s="11" t="s">
        <v>367</v>
      </c>
    </row>
    <row r="292" spans="5:13" ht="26.65" thickBot="1" x14ac:dyDescent="0.35">
      <c r="E292" s="2"/>
      <c r="H292" s="2"/>
      <c r="I292" s="9"/>
      <c r="M292" s="12" t="s">
        <v>620</v>
      </c>
    </row>
    <row r="293" spans="5:13" ht="26.65" thickBot="1" x14ac:dyDescent="0.35">
      <c r="E293" s="2"/>
      <c r="H293" s="2"/>
      <c r="I293" s="9"/>
      <c r="M293" s="12" t="s">
        <v>991</v>
      </c>
    </row>
    <row r="294" spans="5:13" ht="26.65" thickBot="1" x14ac:dyDescent="0.35">
      <c r="E294" s="2"/>
      <c r="H294" s="2"/>
      <c r="I294" s="9"/>
      <c r="M294" s="12" t="s">
        <v>992</v>
      </c>
    </row>
    <row r="295" spans="5:13" ht="26.65" thickBot="1" x14ac:dyDescent="0.35">
      <c r="E295" s="2"/>
      <c r="H295" s="2"/>
      <c r="I295" s="9"/>
      <c r="M295" s="12" t="s">
        <v>912</v>
      </c>
    </row>
    <row r="296" spans="5:13" ht="26.65" thickBot="1" x14ac:dyDescent="0.35">
      <c r="E296" s="2"/>
      <c r="H296" s="2"/>
      <c r="I296" s="9"/>
      <c r="M296" s="12" t="s">
        <v>145</v>
      </c>
    </row>
    <row r="297" spans="5:13" ht="13.9" x14ac:dyDescent="0.3">
      <c r="E297" s="2"/>
      <c r="H297" s="2"/>
      <c r="I297" s="9"/>
    </row>
    <row r="298" spans="5:13" ht="13.9" x14ac:dyDescent="0.3">
      <c r="E298" s="2"/>
      <c r="H298" s="2"/>
      <c r="I298" s="9"/>
    </row>
    <row r="299" spans="5:13" ht="13.9" x14ac:dyDescent="0.3">
      <c r="E299" s="2"/>
      <c r="H299" s="2"/>
      <c r="I299" s="9"/>
    </row>
    <row r="300" spans="5:13" ht="13.9" x14ac:dyDescent="0.3">
      <c r="E300" s="2"/>
      <c r="H300" s="2"/>
      <c r="I300" s="9"/>
    </row>
    <row r="301" spans="5:13" ht="13.9" x14ac:dyDescent="0.3">
      <c r="E301" s="2"/>
      <c r="H301" s="2"/>
      <c r="I301" s="9"/>
    </row>
    <row r="302" spans="5:13" ht="13.9" x14ac:dyDescent="0.3">
      <c r="E302" s="2"/>
      <c r="H302" s="2"/>
      <c r="I302" s="9"/>
    </row>
    <row r="303" spans="5:13" ht="13.9" x14ac:dyDescent="0.3">
      <c r="E303" s="2"/>
      <c r="H303" s="2"/>
      <c r="I303" s="9"/>
    </row>
    <row r="304" spans="5:13" ht="13.9" x14ac:dyDescent="0.3">
      <c r="E304" s="2"/>
      <c r="H304" s="2"/>
      <c r="I304" s="9"/>
    </row>
    <row r="305" spans="5:9" ht="13.9" x14ac:dyDescent="0.3">
      <c r="E305" s="2"/>
      <c r="H305" s="2"/>
      <c r="I305" s="9"/>
    </row>
    <row r="306" spans="5:9" ht="13.9" x14ac:dyDescent="0.3">
      <c r="E306" s="2"/>
      <c r="H306" s="2"/>
      <c r="I306" s="9"/>
    </row>
    <row r="307" spans="5:9" ht="13.9" x14ac:dyDescent="0.3">
      <c r="E307" s="2"/>
      <c r="H307" s="2"/>
      <c r="I307" s="9"/>
    </row>
    <row r="308" spans="5:9" ht="13.9" x14ac:dyDescent="0.3">
      <c r="E308" s="2"/>
      <c r="H308" s="2"/>
      <c r="I308" s="9"/>
    </row>
    <row r="309" spans="5:9" ht="13.9" x14ac:dyDescent="0.3">
      <c r="E309" s="2"/>
      <c r="H309" s="2"/>
      <c r="I309" s="9"/>
    </row>
    <row r="310" spans="5:9" ht="13.9" x14ac:dyDescent="0.3">
      <c r="E310" s="2"/>
      <c r="H310" s="2"/>
      <c r="I310" s="9"/>
    </row>
    <row r="311" spans="5:9" ht="13.9" x14ac:dyDescent="0.3">
      <c r="E311" s="2"/>
      <c r="H311" s="2"/>
      <c r="I311" s="9"/>
    </row>
    <row r="312" spans="5:9" ht="13.9" x14ac:dyDescent="0.3">
      <c r="E312" s="2"/>
      <c r="H312" s="2"/>
      <c r="I312" s="9"/>
    </row>
    <row r="313" spans="5:9" ht="13.9" x14ac:dyDescent="0.3">
      <c r="E313" s="2"/>
      <c r="H313" s="2"/>
      <c r="I313" s="9"/>
    </row>
    <row r="314" spans="5:9" ht="13.9" x14ac:dyDescent="0.3">
      <c r="E314" s="2"/>
      <c r="H314" s="2"/>
      <c r="I314" s="9"/>
    </row>
    <row r="315" spans="5:9" ht="13.9" x14ac:dyDescent="0.3">
      <c r="E315" s="2"/>
      <c r="H315" s="2"/>
      <c r="I315" s="9"/>
    </row>
    <row r="316" spans="5:9" ht="13.9" x14ac:dyDescent="0.3">
      <c r="E316" s="2"/>
      <c r="H316" s="2"/>
      <c r="I316" s="9"/>
    </row>
    <row r="317" spans="5:9" ht="13.9" x14ac:dyDescent="0.3">
      <c r="E317" s="2"/>
      <c r="H317" s="2"/>
      <c r="I317" s="9"/>
    </row>
    <row r="318" spans="5:9" ht="13.9" x14ac:dyDescent="0.3">
      <c r="E318" s="2"/>
      <c r="H318" s="2"/>
      <c r="I318" s="9"/>
    </row>
    <row r="319" spans="5:9" ht="13.9" x14ac:dyDescent="0.3">
      <c r="E319" s="2"/>
      <c r="H319" s="2"/>
      <c r="I319" s="9"/>
    </row>
    <row r="320" spans="5:9" ht="13.9" x14ac:dyDescent="0.3">
      <c r="E320" s="2"/>
      <c r="H320" s="2"/>
      <c r="I320" s="9"/>
    </row>
    <row r="321" spans="5:9" ht="13.9" x14ac:dyDescent="0.3">
      <c r="E321" s="2"/>
      <c r="H321" s="2"/>
      <c r="I321" s="9"/>
    </row>
    <row r="322" spans="5:9" ht="13.9" x14ac:dyDescent="0.3">
      <c r="E322" s="2"/>
      <c r="H322" s="2"/>
      <c r="I322" s="9"/>
    </row>
    <row r="323" spans="5:9" ht="13.9" x14ac:dyDescent="0.3">
      <c r="E323" s="2"/>
      <c r="H323" s="2"/>
      <c r="I323" s="9"/>
    </row>
    <row r="324" spans="5:9" ht="13.9" x14ac:dyDescent="0.3">
      <c r="E324" s="2"/>
      <c r="H324" s="2"/>
      <c r="I324" s="9"/>
    </row>
    <row r="325" spans="5:9" ht="13.9" x14ac:dyDescent="0.3">
      <c r="E325" s="2"/>
      <c r="H325" s="2"/>
      <c r="I325" s="9"/>
    </row>
    <row r="326" spans="5:9" ht="13.9" x14ac:dyDescent="0.3">
      <c r="E326" s="2"/>
      <c r="H326" s="2"/>
      <c r="I326" s="9"/>
    </row>
    <row r="327" spans="5:9" ht="13.9" x14ac:dyDescent="0.3">
      <c r="E327" s="2"/>
      <c r="H327" s="2"/>
      <c r="I327" s="9"/>
    </row>
    <row r="328" spans="5:9" ht="13.9" x14ac:dyDescent="0.3">
      <c r="E328" s="2"/>
      <c r="H328" s="2"/>
      <c r="I328" s="9"/>
    </row>
    <row r="329" spans="5:9" ht="13.9" x14ac:dyDescent="0.3">
      <c r="E329" s="2"/>
      <c r="H329" s="2"/>
      <c r="I329" s="9"/>
    </row>
    <row r="330" spans="5:9" ht="13.9" x14ac:dyDescent="0.3">
      <c r="E330" s="2"/>
      <c r="H330" s="2"/>
      <c r="I330" s="9"/>
    </row>
    <row r="331" spans="5:9" ht="13.9" x14ac:dyDescent="0.3">
      <c r="E331" s="2"/>
      <c r="H331" s="2"/>
      <c r="I331" s="9"/>
    </row>
    <row r="332" spans="5:9" ht="13.9" x14ac:dyDescent="0.3">
      <c r="E332" s="2"/>
      <c r="H332" s="2"/>
      <c r="I332" s="9"/>
    </row>
    <row r="333" spans="5:9" ht="13.9" x14ac:dyDescent="0.3">
      <c r="E333" s="2"/>
      <c r="H333" s="2"/>
      <c r="I333" s="9"/>
    </row>
    <row r="334" spans="5:9" ht="13.9" x14ac:dyDescent="0.3">
      <c r="E334" s="2"/>
      <c r="H334" s="2"/>
      <c r="I334" s="9"/>
    </row>
    <row r="335" spans="5:9" ht="13.9" x14ac:dyDescent="0.3">
      <c r="E335" s="2"/>
      <c r="H335" s="2"/>
      <c r="I335" s="9"/>
    </row>
    <row r="336" spans="5:9" ht="13.9" x14ac:dyDescent="0.3">
      <c r="E336" s="2"/>
      <c r="H336" s="2"/>
      <c r="I336" s="9"/>
    </row>
    <row r="337" spans="5:9" ht="13.9" x14ac:dyDescent="0.3">
      <c r="E337" s="2"/>
      <c r="H337" s="2"/>
      <c r="I337" s="9"/>
    </row>
    <row r="338" spans="5:9" ht="13.9" x14ac:dyDescent="0.3">
      <c r="E338" s="2"/>
      <c r="H338" s="2"/>
      <c r="I338" s="9"/>
    </row>
    <row r="339" spans="5:9" ht="13.9" x14ac:dyDescent="0.3">
      <c r="E339" s="2"/>
      <c r="H339" s="2"/>
      <c r="I339" s="9"/>
    </row>
    <row r="340" spans="5:9" ht="13.9" x14ac:dyDescent="0.3">
      <c r="E340" s="2"/>
      <c r="H340" s="2"/>
      <c r="I340" s="9"/>
    </row>
    <row r="341" spans="5:9" ht="13.9" x14ac:dyDescent="0.3">
      <c r="E341" s="2"/>
      <c r="H341" s="2"/>
      <c r="I341" s="9"/>
    </row>
    <row r="342" spans="5:9" ht="13.9" x14ac:dyDescent="0.3">
      <c r="E342" s="2"/>
      <c r="H342" s="2"/>
      <c r="I342" s="9"/>
    </row>
    <row r="343" spans="5:9" ht="13.9" x14ac:dyDescent="0.3">
      <c r="E343" s="2"/>
      <c r="H343" s="2"/>
      <c r="I343" s="9"/>
    </row>
    <row r="344" spans="5:9" ht="13.9" x14ac:dyDescent="0.3">
      <c r="E344" s="2"/>
      <c r="H344" s="2"/>
      <c r="I344" s="9"/>
    </row>
    <row r="345" spans="5:9" ht="13.9" x14ac:dyDescent="0.3">
      <c r="E345" s="2"/>
      <c r="H345" s="2"/>
      <c r="I345" s="9"/>
    </row>
    <row r="346" spans="5:9" ht="13.9" x14ac:dyDescent="0.3">
      <c r="E346" s="2"/>
      <c r="H346" s="2"/>
      <c r="I346" s="9"/>
    </row>
    <row r="347" spans="5:9" ht="13.9" x14ac:dyDescent="0.3">
      <c r="E347" s="2"/>
      <c r="H347" s="2"/>
      <c r="I347" s="9"/>
    </row>
    <row r="348" spans="5:9" ht="13.9" x14ac:dyDescent="0.3">
      <c r="E348" s="2"/>
      <c r="H348" s="2"/>
      <c r="I348" s="9"/>
    </row>
    <row r="349" spans="5:9" ht="13.9" x14ac:dyDescent="0.3">
      <c r="E349" s="2"/>
      <c r="H349" s="2"/>
      <c r="I349" s="9"/>
    </row>
    <row r="350" spans="5:9" ht="13.9" x14ac:dyDescent="0.3">
      <c r="E350" s="2"/>
      <c r="H350" s="2"/>
      <c r="I350" s="9"/>
    </row>
    <row r="351" spans="5:9" ht="13.9" x14ac:dyDescent="0.3">
      <c r="E351" s="2"/>
      <c r="H351" s="2"/>
      <c r="I351" s="9"/>
    </row>
    <row r="352" spans="5:9" ht="13.9" x14ac:dyDescent="0.3">
      <c r="E352" s="2"/>
      <c r="H352" s="2"/>
      <c r="I352" s="9"/>
    </row>
    <row r="353" spans="5:9" ht="13.9" x14ac:dyDescent="0.3">
      <c r="E353" s="2"/>
      <c r="H353" s="2"/>
      <c r="I353" s="9"/>
    </row>
    <row r="354" spans="5:9" ht="13.9" x14ac:dyDescent="0.3">
      <c r="E354" s="2"/>
      <c r="H354" s="2"/>
      <c r="I354" s="9"/>
    </row>
    <row r="355" spans="5:9" ht="13.9" x14ac:dyDescent="0.3">
      <c r="E355" s="2"/>
      <c r="H355" s="2"/>
      <c r="I355" s="9"/>
    </row>
    <row r="356" spans="5:9" ht="13.9" x14ac:dyDescent="0.3">
      <c r="E356" s="2"/>
      <c r="H356" s="2"/>
      <c r="I356" s="9"/>
    </row>
    <row r="357" spans="5:9" ht="13.9" x14ac:dyDescent="0.3">
      <c r="E357" s="2"/>
      <c r="H357" s="2"/>
      <c r="I357" s="9"/>
    </row>
    <row r="358" spans="5:9" ht="13.9" x14ac:dyDescent="0.3">
      <c r="E358" s="2"/>
      <c r="H358" s="2"/>
      <c r="I358" s="9"/>
    </row>
    <row r="359" spans="5:9" ht="13.9" x14ac:dyDescent="0.3">
      <c r="E359" s="2"/>
      <c r="H359" s="2"/>
      <c r="I359" s="9"/>
    </row>
    <row r="360" spans="5:9" ht="13.9" x14ac:dyDescent="0.3">
      <c r="E360" s="2"/>
      <c r="H360" s="2"/>
      <c r="I360" s="9"/>
    </row>
    <row r="361" spans="5:9" ht="13.9" x14ac:dyDescent="0.3">
      <c r="E361" s="2"/>
      <c r="H361" s="2"/>
      <c r="I361" s="9"/>
    </row>
    <row r="362" spans="5:9" ht="13.9" x14ac:dyDescent="0.3">
      <c r="E362" s="2"/>
      <c r="H362" s="2"/>
      <c r="I362" s="9"/>
    </row>
    <row r="363" spans="5:9" ht="13.9" x14ac:dyDescent="0.3">
      <c r="E363" s="2"/>
      <c r="H363" s="2"/>
      <c r="I363" s="9"/>
    </row>
    <row r="364" spans="5:9" ht="13.9" x14ac:dyDescent="0.3">
      <c r="E364" s="2"/>
      <c r="H364" s="2"/>
      <c r="I364" s="9"/>
    </row>
    <row r="365" spans="5:9" ht="13.9" x14ac:dyDescent="0.3">
      <c r="E365" s="2"/>
      <c r="H365" s="2"/>
      <c r="I365" s="9"/>
    </row>
    <row r="366" spans="5:9" ht="13.9" x14ac:dyDescent="0.3">
      <c r="E366" s="2"/>
      <c r="H366" s="2"/>
      <c r="I366" s="9"/>
    </row>
    <row r="367" spans="5:9" ht="13.9" x14ac:dyDescent="0.3">
      <c r="E367" s="2"/>
      <c r="H367" s="2"/>
      <c r="I367" s="9"/>
    </row>
    <row r="368" spans="5:9" ht="13.9" x14ac:dyDescent="0.3">
      <c r="E368" s="2"/>
      <c r="H368" s="2"/>
      <c r="I368" s="9"/>
    </row>
    <row r="369" spans="5:9" ht="13.9" x14ac:dyDescent="0.3">
      <c r="E369" s="2"/>
      <c r="H369" s="2"/>
      <c r="I369" s="9"/>
    </row>
    <row r="370" spans="5:9" ht="13.9" x14ac:dyDescent="0.3">
      <c r="E370" s="2"/>
      <c r="H370" s="2"/>
      <c r="I370" s="9"/>
    </row>
    <row r="371" spans="5:9" ht="13.9" x14ac:dyDescent="0.3">
      <c r="E371" s="2"/>
      <c r="H371" s="2"/>
      <c r="I371" s="9"/>
    </row>
    <row r="372" spans="5:9" ht="13.9" x14ac:dyDescent="0.3">
      <c r="E372" s="2"/>
      <c r="H372" s="2"/>
      <c r="I372" s="9"/>
    </row>
    <row r="373" spans="5:9" ht="13.9" x14ac:dyDescent="0.3">
      <c r="E373" s="2"/>
      <c r="H373" s="2"/>
      <c r="I373" s="9"/>
    </row>
    <row r="374" spans="5:9" ht="13.9" x14ac:dyDescent="0.3">
      <c r="E374" s="2"/>
      <c r="H374" s="2"/>
      <c r="I374" s="9"/>
    </row>
    <row r="375" spans="5:9" ht="13.9" x14ac:dyDescent="0.3">
      <c r="E375" s="2"/>
      <c r="H375" s="2"/>
      <c r="I375" s="9"/>
    </row>
    <row r="376" spans="5:9" ht="13.9" x14ac:dyDescent="0.3">
      <c r="E376" s="2"/>
      <c r="H376" s="2"/>
      <c r="I376" s="9"/>
    </row>
    <row r="377" spans="5:9" ht="13.9" x14ac:dyDescent="0.3">
      <c r="E377" s="2"/>
      <c r="H377" s="2"/>
      <c r="I377" s="9"/>
    </row>
    <row r="378" spans="5:9" ht="13.9" x14ac:dyDescent="0.3">
      <c r="E378" s="2"/>
      <c r="H378" s="2"/>
      <c r="I378" s="9"/>
    </row>
    <row r="379" spans="5:9" ht="13.9" x14ac:dyDescent="0.3">
      <c r="E379" s="2"/>
      <c r="H379" s="2"/>
      <c r="I379" s="9"/>
    </row>
    <row r="380" spans="5:9" ht="13.9" x14ac:dyDescent="0.3">
      <c r="E380" s="2"/>
      <c r="H380" s="2"/>
      <c r="I380" s="9"/>
    </row>
    <row r="381" spans="5:9" ht="13.9" x14ac:dyDescent="0.3">
      <c r="E381" s="2"/>
      <c r="H381" s="2"/>
      <c r="I381" s="9"/>
    </row>
    <row r="382" spans="5:9" ht="13.9" x14ac:dyDescent="0.3">
      <c r="E382" s="2"/>
      <c r="H382" s="2"/>
      <c r="I382" s="9"/>
    </row>
    <row r="383" spans="5:9" ht="13.9" x14ac:dyDescent="0.3">
      <c r="E383" s="2"/>
      <c r="H383" s="2"/>
      <c r="I383" s="9"/>
    </row>
    <row r="384" spans="5:9" ht="13.9" x14ac:dyDescent="0.3">
      <c r="E384" s="2"/>
      <c r="H384" s="2"/>
      <c r="I384" s="9"/>
    </row>
    <row r="385" spans="5:9" ht="13.9" x14ac:dyDescent="0.3">
      <c r="E385" s="2"/>
      <c r="H385" s="2"/>
      <c r="I385" s="9"/>
    </row>
    <row r="386" spans="5:9" ht="13.9" x14ac:dyDescent="0.3">
      <c r="E386" s="2"/>
      <c r="H386" s="2"/>
      <c r="I386" s="9"/>
    </row>
    <row r="387" spans="5:9" ht="13.9" x14ac:dyDescent="0.3">
      <c r="E387" s="2"/>
      <c r="H387" s="2"/>
      <c r="I387" s="9"/>
    </row>
    <row r="388" spans="5:9" ht="13.9" x14ac:dyDescent="0.3">
      <c r="E388" s="2"/>
      <c r="H388" s="2"/>
      <c r="I388" s="9"/>
    </row>
    <row r="389" spans="5:9" ht="13.9" x14ac:dyDescent="0.3">
      <c r="E389" s="2"/>
      <c r="H389" s="2"/>
      <c r="I389" s="9"/>
    </row>
    <row r="390" spans="5:9" ht="13.9" x14ac:dyDescent="0.3">
      <c r="E390" s="2"/>
      <c r="H390" s="2"/>
      <c r="I390" s="9"/>
    </row>
    <row r="391" spans="5:9" ht="13.9" x14ac:dyDescent="0.3">
      <c r="E391" s="2"/>
      <c r="H391" s="2"/>
      <c r="I391" s="9"/>
    </row>
    <row r="392" spans="5:9" ht="13.9" x14ac:dyDescent="0.3">
      <c r="E392" s="2"/>
      <c r="H392" s="2"/>
      <c r="I392" s="9"/>
    </row>
    <row r="393" spans="5:9" ht="13.9" x14ac:dyDescent="0.3">
      <c r="E393" s="2"/>
      <c r="H393" s="2"/>
      <c r="I393" s="9"/>
    </row>
    <row r="394" spans="5:9" ht="13.9" x14ac:dyDescent="0.3">
      <c r="E394" s="2"/>
      <c r="H394" s="2"/>
      <c r="I394" s="9"/>
    </row>
    <row r="395" spans="5:9" ht="13.9" x14ac:dyDescent="0.3">
      <c r="E395" s="2"/>
      <c r="H395" s="2"/>
      <c r="I395" s="9"/>
    </row>
    <row r="396" spans="5:9" ht="13.9" x14ac:dyDescent="0.3">
      <c r="E396" s="2"/>
      <c r="H396" s="2"/>
      <c r="I396" s="9"/>
    </row>
    <row r="397" spans="5:9" ht="13.9" x14ac:dyDescent="0.3">
      <c r="E397" s="2"/>
      <c r="H397" s="2"/>
      <c r="I397" s="9"/>
    </row>
    <row r="398" spans="5:9" ht="13.9" x14ac:dyDescent="0.3">
      <c r="E398" s="2"/>
      <c r="H398" s="2"/>
      <c r="I398" s="9"/>
    </row>
    <row r="399" spans="5:9" ht="13.9" x14ac:dyDescent="0.3">
      <c r="E399" s="2"/>
      <c r="H399" s="2"/>
      <c r="I399" s="9"/>
    </row>
    <row r="400" spans="5:9" ht="13.9" x14ac:dyDescent="0.3">
      <c r="E400" s="2"/>
      <c r="H400" s="2"/>
      <c r="I400" s="9"/>
    </row>
    <row r="401" spans="5:9" ht="13.9" x14ac:dyDescent="0.3">
      <c r="E401" s="2"/>
      <c r="H401" s="2"/>
      <c r="I401" s="9"/>
    </row>
    <row r="402" spans="5:9" ht="13.9" x14ac:dyDescent="0.3">
      <c r="E402" s="2"/>
      <c r="H402" s="2"/>
      <c r="I402" s="9"/>
    </row>
    <row r="403" spans="5:9" ht="13.9" x14ac:dyDescent="0.3">
      <c r="E403" s="2"/>
      <c r="H403" s="2"/>
      <c r="I403" s="9"/>
    </row>
    <row r="404" spans="5:9" ht="13.9" x14ac:dyDescent="0.3">
      <c r="E404" s="2"/>
      <c r="H404" s="2"/>
      <c r="I404" s="9"/>
    </row>
    <row r="405" spans="5:9" ht="13.9" x14ac:dyDescent="0.3">
      <c r="E405" s="2"/>
      <c r="H405" s="2"/>
      <c r="I405" s="9"/>
    </row>
    <row r="406" spans="5:9" ht="13.9" x14ac:dyDescent="0.3">
      <c r="E406" s="2"/>
      <c r="H406" s="2"/>
      <c r="I406" s="9"/>
    </row>
    <row r="407" spans="5:9" ht="13.9" x14ac:dyDescent="0.3">
      <c r="E407" s="2"/>
      <c r="H407" s="2"/>
      <c r="I407" s="9"/>
    </row>
    <row r="408" spans="5:9" ht="13.9" x14ac:dyDescent="0.3">
      <c r="E408" s="2"/>
      <c r="H408" s="2"/>
      <c r="I408" s="9"/>
    </row>
    <row r="409" spans="5:9" ht="13.9" x14ac:dyDescent="0.3">
      <c r="E409" s="2"/>
      <c r="H409" s="2"/>
      <c r="I409" s="9"/>
    </row>
    <row r="410" spans="5:9" ht="13.9" x14ac:dyDescent="0.3">
      <c r="E410" s="2"/>
      <c r="H410" s="2"/>
      <c r="I410" s="9"/>
    </row>
    <row r="411" spans="5:9" ht="13.9" x14ac:dyDescent="0.3">
      <c r="E411" s="2"/>
      <c r="H411" s="2"/>
      <c r="I411" s="9"/>
    </row>
    <row r="412" spans="5:9" ht="13.9" x14ac:dyDescent="0.3">
      <c r="E412" s="2"/>
      <c r="H412" s="2"/>
      <c r="I412" s="9"/>
    </row>
    <row r="413" spans="5:9" ht="13.9" x14ac:dyDescent="0.3">
      <c r="E413" s="2"/>
      <c r="H413" s="2"/>
      <c r="I413" s="9"/>
    </row>
    <row r="414" spans="5:9" ht="13.9" x14ac:dyDescent="0.3">
      <c r="E414" s="2"/>
      <c r="H414" s="2"/>
      <c r="I414" s="9"/>
    </row>
    <row r="415" spans="5:9" ht="13.9" x14ac:dyDescent="0.3">
      <c r="E415" s="2"/>
      <c r="H415" s="2"/>
      <c r="I415" s="9"/>
    </row>
    <row r="416" spans="5:9" ht="13.9" x14ac:dyDescent="0.3">
      <c r="E416" s="2"/>
      <c r="H416" s="2"/>
      <c r="I416" s="9"/>
    </row>
    <row r="417" spans="5:9" ht="13.9" x14ac:dyDescent="0.3">
      <c r="E417" s="2"/>
      <c r="H417" s="2"/>
      <c r="I417" s="9"/>
    </row>
    <row r="418" spans="5:9" ht="13.9" x14ac:dyDescent="0.3">
      <c r="E418" s="2"/>
      <c r="H418" s="2"/>
      <c r="I418" s="9"/>
    </row>
    <row r="419" spans="5:9" ht="13.9" x14ac:dyDescent="0.3">
      <c r="E419" s="2"/>
      <c r="H419" s="2"/>
      <c r="I419" s="9"/>
    </row>
    <row r="420" spans="5:9" ht="13.9" x14ac:dyDescent="0.3">
      <c r="E420" s="2"/>
      <c r="H420" s="2"/>
      <c r="I420" s="9"/>
    </row>
    <row r="421" spans="5:9" ht="13.9" x14ac:dyDescent="0.3">
      <c r="E421" s="2"/>
      <c r="H421" s="2"/>
      <c r="I421" s="9"/>
    </row>
    <row r="422" spans="5:9" ht="13.9" x14ac:dyDescent="0.3">
      <c r="E422" s="2"/>
      <c r="H422" s="2"/>
      <c r="I422" s="9"/>
    </row>
    <row r="423" spans="5:9" ht="13.9" x14ac:dyDescent="0.3">
      <c r="E423" s="2"/>
      <c r="H423" s="2"/>
      <c r="I423" s="9"/>
    </row>
    <row r="424" spans="5:9" ht="13.9" x14ac:dyDescent="0.3">
      <c r="E424" s="2"/>
      <c r="H424" s="2"/>
      <c r="I424" s="9"/>
    </row>
    <row r="425" spans="5:9" ht="13.9" x14ac:dyDescent="0.3">
      <c r="E425" s="2"/>
      <c r="H425" s="2"/>
      <c r="I425" s="9"/>
    </row>
    <row r="426" spans="5:9" ht="13.9" x14ac:dyDescent="0.3">
      <c r="E426" s="2"/>
      <c r="H426" s="2"/>
      <c r="I426" s="9"/>
    </row>
    <row r="427" spans="5:9" ht="13.9" x14ac:dyDescent="0.3">
      <c r="E427" s="2"/>
      <c r="H427" s="2"/>
      <c r="I427" s="9"/>
    </row>
    <row r="428" spans="5:9" ht="13.9" x14ac:dyDescent="0.3">
      <c r="E428" s="2"/>
      <c r="H428" s="2"/>
      <c r="I428" s="9"/>
    </row>
    <row r="429" spans="5:9" ht="13.9" x14ac:dyDescent="0.3">
      <c r="E429" s="2"/>
      <c r="H429" s="2"/>
      <c r="I429" s="9"/>
    </row>
    <row r="430" spans="5:9" ht="13.9" x14ac:dyDescent="0.3">
      <c r="E430" s="2"/>
      <c r="H430" s="2"/>
      <c r="I430" s="9"/>
    </row>
    <row r="431" spans="5:9" ht="13.9" x14ac:dyDescent="0.3">
      <c r="E431" s="2"/>
      <c r="H431" s="2"/>
      <c r="I431" s="9"/>
    </row>
    <row r="432" spans="5:9" ht="13.9" x14ac:dyDescent="0.3">
      <c r="E432" s="2"/>
      <c r="H432" s="2"/>
      <c r="I432" s="9"/>
    </row>
    <row r="433" spans="5:9" ht="13.9" x14ac:dyDescent="0.3">
      <c r="E433" s="2"/>
      <c r="H433" s="2"/>
      <c r="I433" s="9"/>
    </row>
    <row r="434" spans="5:9" ht="13.9" x14ac:dyDescent="0.3">
      <c r="E434" s="2"/>
      <c r="H434" s="2"/>
      <c r="I434" s="9"/>
    </row>
    <row r="435" spans="5:9" ht="13.9" x14ac:dyDescent="0.3">
      <c r="E435" s="2"/>
      <c r="H435" s="2"/>
      <c r="I435" s="9"/>
    </row>
    <row r="436" spans="5:9" ht="13.9" x14ac:dyDescent="0.3">
      <c r="E436" s="2"/>
      <c r="H436" s="2"/>
      <c r="I436" s="9"/>
    </row>
    <row r="437" spans="5:9" ht="13.9" x14ac:dyDescent="0.3">
      <c r="E437" s="2"/>
      <c r="H437" s="2"/>
      <c r="I437" s="9"/>
    </row>
    <row r="438" spans="5:9" ht="13.9" x14ac:dyDescent="0.3">
      <c r="E438" s="2"/>
      <c r="H438" s="2"/>
      <c r="I438" s="9"/>
    </row>
    <row r="439" spans="5:9" ht="13.9" x14ac:dyDescent="0.3">
      <c r="E439" s="2"/>
      <c r="H439" s="2"/>
      <c r="I439" s="9"/>
    </row>
    <row r="440" spans="5:9" ht="13.9" x14ac:dyDescent="0.3">
      <c r="E440" s="2"/>
      <c r="H440" s="2"/>
      <c r="I440" s="9"/>
    </row>
    <row r="441" spans="5:9" ht="13.9" x14ac:dyDescent="0.3">
      <c r="E441" s="2"/>
      <c r="H441" s="2"/>
      <c r="I441" s="9"/>
    </row>
    <row r="442" spans="5:9" ht="13.9" x14ac:dyDescent="0.3">
      <c r="E442" s="2"/>
      <c r="H442" s="2"/>
      <c r="I442" s="9"/>
    </row>
    <row r="443" spans="5:9" ht="13.9" x14ac:dyDescent="0.3">
      <c r="E443" s="2"/>
      <c r="H443" s="2"/>
      <c r="I443" s="9"/>
    </row>
    <row r="444" spans="5:9" ht="13.9" x14ac:dyDescent="0.3">
      <c r="E444" s="2"/>
      <c r="H444" s="2"/>
      <c r="I444" s="9"/>
    </row>
    <row r="445" spans="5:9" ht="13.9" x14ac:dyDescent="0.3">
      <c r="E445" s="2"/>
      <c r="H445" s="2"/>
      <c r="I445" s="9"/>
    </row>
    <row r="446" spans="5:9" ht="13.9" x14ac:dyDescent="0.3">
      <c r="E446" s="2"/>
      <c r="H446" s="2"/>
      <c r="I446" s="9"/>
    </row>
    <row r="447" spans="5:9" ht="13.9" x14ac:dyDescent="0.3">
      <c r="E447" s="2"/>
      <c r="H447" s="2"/>
      <c r="I447" s="9"/>
    </row>
    <row r="448" spans="5:9" ht="13.9" x14ac:dyDescent="0.3">
      <c r="E448" s="2"/>
      <c r="H448" s="2"/>
      <c r="I448" s="9"/>
    </row>
    <row r="449" spans="5:9" ht="13.9" x14ac:dyDescent="0.3">
      <c r="E449" s="2"/>
      <c r="H449" s="2"/>
      <c r="I449" s="9"/>
    </row>
    <row r="450" spans="5:9" ht="13.9" x14ac:dyDescent="0.3">
      <c r="E450" s="2"/>
      <c r="H450" s="2"/>
      <c r="I450" s="9"/>
    </row>
    <row r="451" spans="5:9" ht="13.9" x14ac:dyDescent="0.3">
      <c r="E451" s="2"/>
      <c r="H451" s="2"/>
      <c r="I451" s="9"/>
    </row>
    <row r="452" spans="5:9" ht="13.9" x14ac:dyDescent="0.3">
      <c r="E452" s="2"/>
      <c r="H452" s="2"/>
      <c r="I452" s="9"/>
    </row>
    <row r="453" spans="5:9" ht="13.9" x14ac:dyDescent="0.3">
      <c r="E453" s="2"/>
      <c r="H453" s="2"/>
      <c r="I453" s="9"/>
    </row>
    <row r="454" spans="5:9" ht="13.9" x14ac:dyDescent="0.3">
      <c r="E454" s="2"/>
      <c r="H454" s="2"/>
      <c r="I454" s="9"/>
    </row>
    <row r="455" spans="5:9" ht="13.9" x14ac:dyDescent="0.3">
      <c r="E455" s="2"/>
      <c r="H455" s="2"/>
      <c r="I455" s="9"/>
    </row>
    <row r="456" spans="5:9" ht="13.9" x14ac:dyDescent="0.3">
      <c r="E456" s="2"/>
      <c r="H456" s="2"/>
      <c r="I456" s="9"/>
    </row>
    <row r="457" spans="5:9" ht="13.9" x14ac:dyDescent="0.3">
      <c r="E457" s="2"/>
      <c r="H457" s="2"/>
      <c r="I457" s="9"/>
    </row>
    <row r="458" spans="5:9" ht="13.9" x14ac:dyDescent="0.3">
      <c r="E458" s="2"/>
      <c r="H458" s="2"/>
      <c r="I458" s="9"/>
    </row>
    <row r="459" spans="5:9" ht="13.9" x14ac:dyDescent="0.3">
      <c r="E459" s="2"/>
      <c r="H459" s="2"/>
      <c r="I459" s="9"/>
    </row>
    <row r="460" spans="5:9" ht="13.9" x14ac:dyDescent="0.3">
      <c r="E460" s="2"/>
      <c r="H460" s="2"/>
      <c r="I460" s="9"/>
    </row>
    <row r="461" spans="5:9" ht="13.9" x14ac:dyDescent="0.3">
      <c r="E461" s="2"/>
      <c r="H461" s="2"/>
      <c r="I461" s="9"/>
    </row>
    <row r="462" spans="5:9" ht="13.9" x14ac:dyDescent="0.3">
      <c r="E462" s="2"/>
      <c r="H462" s="2"/>
      <c r="I462" s="9"/>
    </row>
    <row r="463" spans="5:9" ht="13.9" x14ac:dyDescent="0.3">
      <c r="E463" s="2"/>
      <c r="H463" s="2"/>
      <c r="I463" s="9"/>
    </row>
    <row r="464" spans="5:9" ht="13.9" x14ac:dyDescent="0.3">
      <c r="E464" s="2"/>
      <c r="H464" s="2"/>
      <c r="I464" s="9"/>
    </row>
    <row r="465" spans="5:9" ht="13.9" x14ac:dyDescent="0.3">
      <c r="E465" s="2"/>
      <c r="H465" s="2"/>
      <c r="I465" s="9"/>
    </row>
    <row r="466" spans="5:9" ht="13.9" x14ac:dyDescent="0.3">
      <c r="E466" s="2"/>
      <c r="H466" s="2"/>
      <c r="I466" s="9"/>
    </row>
    <row r="467" spans="5:9" ht="13.9" x14ac:dyDescent="0.3">
      <c r="E467" s="2"/>
      <c r="H467" s="2"/>
      <c r="I467" s="9"/>
    </row>
    <row r="468" spans="5:9" ht="13.9" x14ac:dyDescent="0.3">
      <c r="E468" s="2"/>
      <c r="H468" s="2"/>
      <c r="I468" s="9"/>
    </row>
    <row r="469" spans="5:9" ht="13.9" x14ac:dyDescent="0.3">
      <c r="E469" s="2"/>
      <c r="H469" s="2"/>
      <c r="I469" s="9"/>
    </row>
    <row r="470" spans="5:9" ht="13.9" x14ac:dyDescent="0.3">
      <c r="E470" s="2"/>
      <c r="H470" s="2"/>
      <c r="I470" s="9"/>
    </row>
    <row r="471" spans="5:9" ht="13.9" x14ac:dyDescent="0.3">
      <c r="E471" s="2"/>
      <c r="H471" s="2"/>
      <c r="I471" s="9"/>
    </row>
    <row r="472" spans="5:9" ht="13.9" x14ac:dyDescent="0.3">
      <c r="E472" s="2"/>
      <c r="H472" s="2"/>
      <c r="I472" s="9"/>
    </row>
    <row r="473" spans="5:9" ht="13.9" x14ac:dyDescent="0.3">
      <c r="E473" s="2"/>
      <c r="H473" s="2"/>
      <c r="I473" s="9"/>
    </row>
    <row r="474" spans="5:9" ht="13.9" x14ac:dyDescent="0.3">
      <c r="E474" s="2"/>
      <c r="H474" s="2"/>
      <c r="I474" s="9"/>
    </row>
    <row r="475" spans="5:9" ht="13.9" x14ac:dyDescent="0.3">
      <c r="E475" s="2"/>
      <c r="H475" s="2"/>
      <c r="I475" s="9"/>
    </row>
    <row r="476" spans="5:9" ht="13.9" x14ac:dyDescent="0.3">
      <c r="E476" s="2"/>
      <c r="H476" s="2"/>
      <c r="I476" s="9"/>
    </row>
    <row r="477" spans="5:9" ht="13.9" x14ac:dyDescent="0.3">
      <c r="E477" s="2"/>
      <c r="H477" s="2"/>
      <c r="I477" s="9"/>
    </row>
    <row r="478" spans="5:9" ht="13.9" x14ac:dyDescent="0.3">
      <c r="E478" s="2"/>
      <c r="H478" s="2"/>
      <c r="I478" s="9"/>
    </row>
    <row r="479" spans="5:9" ht="13.9" x14ac:dyDescent="0.3">
      <c r="E479" s="2"/>
      <c r="H479" s="2"/>
      <c r="I479" s="9"/>
    </row>
    <row r="480" spans="5:9" ht="13.9" x14ac:dyDescent="0.3">
      <c r="E480" s="2"/>
      <c r="H480" s="2"/>
      <c r="I480" s="9"/>
    </row>
    <row r="481" spans="5:9" ht="13.9" x14ac:dyDescent="0.3">
      <c r="E481" s="2"/>
      <c r="H481" s="2"/>
      <c r="I481" s="9"/>
    </row>
    <row r="482" spans="5:9" ht="13.9" x14ac:dyDescent="0.3">
      <c r="E482" s="2"/>
      <c r="H482" s="2"/>
      <c r="I482" s="9"/>
    </row>
    <row r="483" spans="5:9" ht="13.9" x14ac:dyDescent="0.3">
      <c r="E483" s="2"/>
      <c r="H483" s="2"/>
      <c r="I483" s="9"/>
    </row>
    <row r="484" spans="5:9" ht="13.9" x14ac:dyDescent="0.3">
      <c r="E484" s="2"/>
      <c r="H484" s="2"/>
      <c r="I484" s="9"/>
    </row>
    <row r="485" spans="5:9" ht="13.9" x14ac:dyDescent="0.3">
      <c r="E485" s="2"/>
      <c r="H485" s="2"/>
      <c r="I485" s="9"/>
    </row>
    <row r="486" spans="5:9" ht="13.9" x14ac:dyDescent="0.3">
      <c r="E486" s="2"/>
      <c r="H486" s="2"/>
      <c r="I486" s="9"/>
    </row>
    <row r="487" spans="5:9" ht="13.9" x14ac:dyDescent="0.3">
      <c r="E487" s="2"/>
      <c r="H487" s="2"/>
      <c r="I487" s="9"/>
    </row>
    <row r="488" spans="5:9" ht="13.9" x14ac:dyDescent="0.3">
      <c r="E488" s="2"/>
      <c r="H488" s="2"/>
      <c r="I488" s="9"/>
    </row>
    <row r="489" spans="5:9" ht="13.9" x14ac:dyDescent="0.3">
      <c r="E489" s="2"/>
      <c r="H489" s="2"/>
      <c r="I489" s="9"/>
    </row>
    <row r="490" spans="5:9" ht="13.9" x14ac:dyDescent="0.3">
      <c r="E490" s="2"/>
      <c r="H490" s="2"/>
      <c r="I490" s="9"/>
    </row>
    <row r="491" spans="5:9" ht="13.9" x14ac:dyDescent="0.3">
      <c r="E491" s="2"/>
      <c r="H491" s="2"/>
      <c r="I491" s="9"/>
    </row>
    <row r="492" spans="5:9" ht="13.9" x14ac:dyDescent="0.3">
      <c r="E492" s="2"/>
      <c r="H492" s="2"/>
      <c r="I492" s="9"/>
    </row>
    <row r="493" spans="5:9" ht="13.9" x14ac:dyDescent="0.3">
      <c r="E493" s="2"/>
      <c r="H493" s="2"/>
      <c r="I493" s="9"/>
    </row>
    <row r="494" spans="5:9" ht="13.9" x14ac:dyDescent="0.3">
      <c r="E494" s="2"/>
      <c r="H494" s="2"/>
      <c r="I494" s="9"/>
    </row>
    <row r="495" spans="5:9" ht="13.9" x14ac:dyDescent="0.3">
      <c r="E495" s="2"/>
      <c r="H495" s="2"/>
      <c r="I495" s="9"/>
    </row>
    <row r="496" spans="5:9" ht="13.9" x14ac:dyDescent="0.3">
      <c r="E496" s="2"/>
      <c r="H496" s="2"/>
      <c r="I496" s="9"/>
    </row>
    <row r="497" spans="5:9" ht="13.9" x14ac:dyDescent="0.3">
      <c r="E497" s="2"/>
      <c r="H497" s="2"/>
      <c r="I497" s="9"/>
    </row>
    <row r="498" spans="5:9" ht="13.9" x14ac:dyDescent="0.3">
      <c r="E498" s="2"/>
      <c r="H498" s="2"/>
      <c r="I498" s="9"/>
    </row>
    <row r="499" spans="5:9" ht="13.9" x14ac:dyDescent="0.3">
      <c r="E499" s="2"/>
      <c r="H499" s="2"/>
      <c r="I499" s="9"/>
    </row>
    <row r="500" spans="5:9" ht="13.9" x14ac:dyDescent="0.3">
      <c r="E500" s="2"/>
      <c r="H500" s="2"/>
      <c r="I500" s="9"/>
    </row>
    <row r="501" spans="5:9" ht="13.9" x14ac:dyDescent="0.3">
      <c r="E501" s="2"/>
      <c r="H501" s="2"/>
      <c r="I501" s="9"/>
    </row>
    <row r="502" spans="5:9" ht="13.9" x14ac:dyDescent="0.3">
      <c r="E502" s="2"/>
      <c r="H502" s="2"/>
      <c r="I502" s="9"/>
    </row>
    <row r="503" spans="5:9" ht="13.9" x14ac:dyDescent="0.3">
      <c r="E503" s="2"/>
      <c r="H503" s="2"/>
      <c r="I503" s="9"/>
    </row>
    <row r="504" spans="5:9" ht="13.9" x14ac:dyDescent="0.3">
      <c r="E504" s="2"/>
      <c r="H504" s="2"/>
      <c r="I504" s="9"/>
    </row>
    <row r="505" spans="5:9" ht="13.9" x14ac:dyDescent="0.3">
      <c r="E505" s="2"/>
      <c r="H505" s="2"/>
      <c r="I505" s="9"/>
    </row>
    <row r="506" spans="5:9" ht="13.9" x14ac:dyDescent="0.3">
      <c r="E506" s="2"/>
      <c r="H506" s="2"/>
      <c r="I506" s="9"/>
    </row>
    <row r="507" spans="5:9" ht="13.9" x14ac:dyDescent="0.3">
      <c r="E507" s="2"/>
      <c r="H507" s="2"/>
      <c r="I507" s="9"/>
    </row>
    <row r="508" spans="5:9" ht="13.9" x14ac:dyDescent="0.3">
      <c r="E508" s="2"/>
      <c r="H508" s="2"/>
      <c r="I508" s="9"/>
    </row>
    <row r="509" spans="5:9" ht="13.9" x14ac:dyDescent="0.3">
      <c r="E509" s="2"/>
      <c r="H509" s="2"/>
      <c r="I509" s="9"/>
    </row>
    <row r="510" spans="5:9" ht="13.9" x14ac:dyDescent="0.3">
      <c r="E510" s="2"/>
      <c r="H510" s="2"/>
      <c r="I510" s="9"/>
    </row>
    <row r="511" spans="5:9" ht="13.9" x14ac:dyDescent="0.3">
      <c r="E511" s="2"/>
      <c r="H511" s="2"/>
      <c r="I511" s="9"/>
    </row>
    <row r="512" spans="5:9" ht="13.9" x14ac:dyDescent="0.3">
      <c r="E512" s="2"/>
      <c r="H512" s="2"/>
      <c r="I512" s="9"/>
    </row>
    <row r="513" spans="5:9" ht="13.9" x14ac:dyDescent="0.3">
      <c r="E513" s="2"/>
      <c r="H513" s="2"/>
      <c r="I513" s="9"/>
    </row>
    <row r="514" spans="5:9" ht="13.9" x14ac:dyDescent="0.3">
      <c r="E514" s="2"/>
      <c r="H514" s="2"/>
      <c r="I514" s="9"/>
    </row>
    <row r="515" spans="5:9" ht="13.9" x14ac:dyDescent="0.3">
      <c r="E515" s="2"/>
      <c r="H515" s="2"/>
      <c r="I515" s="9"/>
    </row>
    <row r="516" spans="5:9" ht="13.9" x14ac:dyDescent="0.3">
      <c r="E516" s="2"/>
      <c r="H516" s="2"/>
      <c r="I516" s="9"/>
    </row>
    <row r="517" spans="5:9" ht="13.9" x14ac:dyDescent="0.3">
      <c r="E517" s="2"/>
      <c r="H517" s="2"/>
      <c r="I517" s="9"/>
    </row>
    <row r="518" spans="5:9" ht="13.9" x14ac:dyDescent="0.3">
      <c r="E518" s="2"/>
      <c r="H518" s="2"/>
      <c r="I518" s="9"/>
    </row>
    <row r="519" spans="5:9" ht="13.9" x14ac:dyDescent="0.3">
      <c r="E519" s="2"/>
      <c r="H519" s="2"/>
      <c r="I519" s="9"/>
    </row>
    <row r="520" spans="5:9" ht="13.9" x14ac:dyDescent="0.3">
      <c r="E520" s="2"/>
      <c r="H520" s="2"/>
      <c r="I520" s="9"/>
    </row>
    <row r="521" spans="5:9" ht="13.9" x14ac:dyDescent="0.3">
      <c r="E521" s="2"/>
      <c r="H521" s="2"/>
      <c r="I521" s="9"/>
    </row>
    <row r="522" spans="5:9" ht="13.9" x14ac:dyDescent="0.3">
      <c r="E522" s="2"/>
      <c r="H522" s="2"/>
      <c r="I522" s="9"/>
    </row>
    <row r="523" spans="5:9" ht="13.9" x14ac:dyDescent="0.3">
      <c r="E523" s="2"/>
      <c r="H523" s="2"/>
      <c r="I523" s="9"/>
    </row>
    <row r="524" spans="5:9" ht="13.9" x14ac:dyDescent="0.3">
      <c r="E524" s="2"/>
      <c r="H524" s="2"/>
      <c r="I524" s="9"/>
    </row>
    <row r="525" spans="5:9" ht="13.9" x14ac:dyDescent="0.3">
      <c r="E525" s="2"/>
      <c r="H525" s="2"/>
      <c r="I525" s="9"/>
    </row>
    <row r="526" spans="5:9" ht="13.9" x14ac:dyDescent="0.3">
      <c r="E526" s="2"/>
      <c r="H526" s="2"/>
      <c r="I526" s="9"/>
    </row>
    <row r="527" spans="5:9" ht="13.9" x14ac:dyDescent="0.3">
      <c r="E527" s="2"/>
      <c r="H527" s="2"/>
      <c r="I527" s="9"/>
    </row>
    <row r="528" spans="5:9" ht="13.9" x14ac:dyDescent="0.3">
      <c r="E528" s="2"/>
      <c r="H528" s="2"/>
      <c r="I528" s="9"/>
    </row>
    <row r="529" spans="5:9" ht="13.9" x14ac:dyDescent="0.3">
      <c r="E529" s="2"/>
      <c r="H529" s="2"/>
      <c r="I529" s="9"/>
    </row>
    <row r="530" spans="5:9" ht="13.9" x14ac:dyDescent="0.3">
      <c r="E530" s="2"/>
      <c r="H530" s="2"/>
      <c r="I530" s="9"/>
    </row>
    <row r="531" spans="5:9" ht="13.9" x14ac:dyDescent="0.3">
      <c r="E531" s="2"/>
      <c r="H531" s="2"/>
      <c r="I531" s="9"/>
    </row>
    <row r="532" spans="5:9" ht="13.9" x14ac:dyDescent="0.3">
      <c r="E532" s="2"/>
      <c r="H532" s="2"/>
      <c r="I532" s="9"/>
    </row>
    <row r="533" spans="5:9" ht="13.9" x14ac:dyDescent="0.3">
      <c r="E533" s="2"/>
      <c r="H533" s="2"/>
      <c r="I533" s="9"/>
    </row>
    <row r="534" spans="5:9" ht="13.9" x14ac:dyDescent="0.3">
      <c r="E534" s="2"/>
      <c r="H534" s="2"/>
      <c r="I534" s="9"/>
    </row>
    <row r="535" spans="5:9" ht="13.9" x14ac:dyDescent="0.3">
      <c r="E535" s="2"/>
      <c r="H535" s="2"/>
      <c r="I535" s="9"/>
    </row>
    <row r="536" spans="5:9" ht="13.9" x14ac:dyDescent="0.3">
      <c r="E536" s="2"/>
      <c r="H536" s="2"/>
      <c r="I536" s="9"/>
    </row>
    <row r="537" spans="5:9" ht="13.9" x14ac:dyDescent="0.3">
      <c r="E537" s="2"/>
      <c r="H537" s="2"/>
      <c r="I537" s="9"/>
    </row>
    <row r="538" spans="5:9" ht="13.9" x14ac:dyDescent="0.3">
      <c r="E538" s="2"/>
      <c r="H538" s="2"/>
      <c r="I538" s="9"/>
    </row>
    <row r="539" spans="5:9" ht="13.9" x14ac:dyDescent="0.3">
      <c r="E539" s="2"/>
      <c r="H539" s="2"/>
      <c r="I539" s="9"/>
    </row>
    <row r="540" spans="5:9" ht="13.9" x14ac:dyDescent="0.3">
      <c r="E540" s="2"/>
      <c r="H540" s="2"/>
      <c r="I540" s="9"/>
    </row>
    <row r="541" spans="5:9" ht="13.9" x14ac:dyDescent="0.3">
      <c r="E541" s="2"/>
      <c r="H541" s="2"/>
      <c r="I541" s="9"/>
    </row>
    <row r="542" spans="5:9" ht="13.9" x14ac:dyDescent="0.3">
      <c r="E542" s="2"/>
      <c r="H542" s="2"/>
      <c r="I542" s="9"/>
    </row>
    <row r="543" spans="5:9" ht="13.9" x14ac:dyDescent="0.3">
      <c r="E543" s="2"/>
      <c r="H543" s="2"/>
      <c r="I543" s="9"/>
    </row>
    <row r="544" spans="5:9" ht="13.9" x14ac:dyDescent="0.3">
      <c r="E544" s="2"/>
      <c r="H544" s="2"/>
      <c r="I544" s="9"/>
    </row>
    <row r="545" spans="5:9" ht="13.9" x14ac:dyDescent="0.3">
      <c r="E545" s="2"/>
      <c r="H545" s="2"/>
      <c r="I545" s="9"/>
    </row>
    <row r="546" spans="5:9" ht="13.9" x14ac:dyDescent="0.3">
      <c r="E546" s="2"/>
      <c r="H546" s="2"/>
      <c r="I546" s="9"/>
    </row>
    <row r="547" spans="5:9" ht="13.9" x14ac:dyDescent="0.3">
      <c r="E547" s="2"/>
      <c r="H547" s="2"/>
      <c r="I547" s="9"/>
    </row>
    <row r="548" spans="5:9" ht="13.9" x14ac:dyDescent="0.3">
      <c r="E548" s="2"/>
      <c r="H548" s="2"/>
      <c r="I548" s="9"/>
    </row>
    <row r="549" spans="5:9" ht="13.9" x14ac:dyDescent="0.3">
      <c r="E549" s="2"/>
      <c r="H549" s="2"/>
      <c r="I549" s="9"/>
    </row>
    <row r="550" spans="5:9" ht="13.9" x14ac:dyDescent="0.3">
      <c r="E550" s="2"/>
      <c r="H550" s="2"/>
      <c r="I550" s="9"/>
    </row>
    <row r="551" spans="5:9" ht="13.9" x14ac:dyDescent="0.3">
      <c r="E551" s="2"/>
      <c r="H551" s="2"/>
      <c r="I551" s="9"/>
    </row>
    <row r="552" spans="5:9" ht="13.9" x14ac:dyDescent="0.3">
      <c r="E552" s="2"/>
      <c r="H552" s="2"/>
      <c r="I552" s="9"/>
    </row>
    <row r="553" spans="5:9" ht="13.9" x14ac:dyDescent="0.3">
      <c r="E553" s="2"/>
      <c r="H553" s="2"/>
      <c r="I553" s="9"/>
    </row>
    <row r="554" spans="5:9" ht="13.9" x14ac:dyDescent="0.3">
      <c r="E554" s="2"/>
      <c r="H554" s="2"/>
      <c r="I554" s="9"/>
    </row>
    <row r="555" spans="5:9" ht="13.9" x14ac:dyDescent="0.3">
      <c r="E555" s="2"/>
      <c r="H555" s="2"/>
      <c r="I555" s="9"/>
    </row>
    <row r="556" spans="5:9" ht="13.9" x14ac:dyDescent="0.3">
      <c r="E556" s="2"/>
      <c r="H556" s="2"/>
      <c r="I556" s="9"/>
    </row>
    <row r="557" spans="5:9" ht="13.9" x14ac:dyDescent="0.3">
      <c r="E557" s="2"/>
      <c r="H557" s="2"/>
      <c r="I557" s="9"/>
    </row>
    <row r="558" spans="5:9" ht="13.9" x14ac:dyDescent="0.3">
      <c r="E558" s="2"/>
      <c r="H558" s="2"/>
      <c r="I558" s="9"/>
    </row>
    <row r="559" spans="5:9" ht="13.9" x14ac:dyDescent="0.3">
      <c r="E559" s="2"/>
      <c r="H559" s="2"/>
      <c r="I559" s="9"/>
    </row>
    <row r="560" spans="5:9" ht="13.9" x14ac:dyDescent="0.3">
      <c r="E560" s="2"/>
      <c r="H560" s="2"/>
      <c r="I560" s="9"/>
    </row>
    <row r="561" spans="5:9" ht="13.9" x14ac:dyDescent="0.3">
      <c r="E561" s="2"/>
      <c r="H561" s="2"/>
      <c r="I561" s="9"/>
    </row>
    <row r="562" spans="5:9" ht="13.9" x14ac:dyDescent="0.3">
      <c r="E562" s="2"/>
      <c r="H562" s="2"/>
      <c r="I562" s="9"/>
    </row>
    <row r="563" spans="5:9" ht="13.9" x14ac:dyDescent="0.3">
      <c r="E563" s="2"/>
      <c r="H563" s="2"/>
      <c r="I563" s="9"/>
    </row>
    <row r="564" spans="5:9" ht="13.9" x14ac:dyDescent="0.3">
      <c r="E564" s="2"/>
      <c r="H564" s="2"/>
      <c r="I564" s="9"/>
    </row>
    <row r="565" spans="5:9" ht="13.9" x14ac:dyDescent="0.3">
      <c r="E565" s="2"/>
      <c r="H565" s="2"/>
      <c r="I565" s="9"/>
    </row>
    <row r="566" spans="5:9" ht="13.9" x14ac:dyDescent="0.3">
      <c r="E566" s="2"/>
      <c r="H566" s="2"/>
      <c r="I566" s="9"/>
    </row>
    <row r="567" spans="5:9" ht="13.9" x14ac:dyDescent="0.3">
      <c r="E567" s="2"/>
      <c r="H567" s="2"/>
      <c r="I567" s="9"/>
    </row>
    <row r="568" spans="5:9" ht="13.9" x14ac:dyDescent="0.3">
      <c r="E568" s="2"/>
      <c r="H568" s="2"/>
      <c r="I568" s="9"/>
    </row>
    <row r="569" spans="5:9" ht="13.9" x14ac:dyDescent="0.3">
      <c r="E569" s="2"/>
      <c r="H569" s="2"/>
      <c r="I569" s="9"/>
    </row>
    <row r="570" spans="5:9" ht="13.9" x14ac:dyDescent="0.3">
      <c r="E570" s="2"/>
      <c r="H570" s="2"/>
      <c r="I570" s="9"/>
    </row>
    <row r="571" spans="5:9" ht="13.9" x14ac:dyDescent="0.3">
      <c r="E571" s="2"/>
      <c r="H571" s="2"/>
      <c r="I571" s="9"/>
    </row>
    <row r="572" spans="5:9" ht="13.9" x14ac:dyDescent="0.3">
      <c r="E572" s="2"/>
      <c r="H572" s="2"/>
      <c r="I572" s="9"/>
    </row>
    <row r="573" spans="5:9" ht="13.9" x14ac:dyDescent="0.3">
      <c r="E573" s="2"/>
      <c r="H573" s="2"/>
      <c r="I573" s="9"/>
    </row>
    <row r="574" spans="5:9" ht="13.9" x14ac:dyDescent="0.3">
      <c r="E574" s="2"/>
      <c r="H574" s="2"/>
      <c r="I574" s="9"/>
    </row>
    <row r="575" spans="5:9" ht="13.9" x14ac:dyDescent="0.3">
      <c r="E575" s="2"/>
      <c r="H575" s="2"/>
      <c r="I575" s="9"/>
    </row>
    <row r="576" spans="5:9" ht="13.9" x14ac:dyDescent="0.3">
      <c r="E576" s="2"/>
      <c r="H576" s="2"/>
      <c r="I576" s="9"/>
    </row>
    <row r="577" spans="5:9" ht="13.9" x14ac:dyDescent="0.3">
      <c r="E577" s="2"/>
      <c r="H577" s="2"/>
      <c r="I577" s="9"/>
    </row>
    <row r="578" spans="5:9" ht="13.9" x14ac:dyDescent="0.3">
      <c r="E578" s="2"/>
      <c r="H578" s="2"/>
      <c r="I578" s="9"/>
    </row>
    <row r="579" spans="5:9" ht="13.9" x14ac:dyDescent="0.3">
      <c r="E579" s="2"/>
      <c r="H579" s="2"/>
      <c r="I579" s="9"/>
    </row>
    <row r="580" spans="5:9" ht="13.9" x14ac:dyDescent="0.3">
      <c r="E580" s="2"/>
      <c r="H580" s="2"/>
      <c r="I580" s="9"/>
    </row>
    <row r="581" spans="5:9" ht="13.9" x14ac:dyDescent="0.3">
      <c r="E581" s="2"/>
      <c r="H581" s="2"/>
      <c r="I581" s="9"/>
    </row>
    <row r="582" spans="5:9" ht="13.9" x14ac:dyDescent="0.3">
      <c r="E582" s="2"/>
      <c r="H582" s="2"/>
      <c r="I582" s="9"/>
    </row>
    <row r="583" spans="5:9" ht="13.9" x14ac:dyDescent="0.3">
      <c r="E583" s="2"/>
      <c r="H583" s="2"/>
      <c r="I583" s="9"/>
    </row>
    <row r="584" spans="5:9" ht="13.9" x14ac:dyDescent="0.3">
      <c r="E584" s="2"/>
      <c r="H584" s="2"/>
      <c r="I584" s="9"/>
    </row>
    <row r="585" spans="5:9" ht="13.9" x14ac:dyDescent="0.3">
      <c r="E585" s="2"/>
      <c r="H585" s="2"/>
      <c r="I585" s="9"/>
    </row>
    <row r="586" spans="5:9" ht="13.9" x14ac:dyDescent="0.3">
      <c r="E586" s="2"/>
      <c r="H586" s="2"/>
      <c r="I586" s="9"/>
    </row>
    <row r="587" spans="5:9" ht="13.9" x14ac:dyDescent="0.3">
      <c r="E587" s="2"/>
      <c r="H587" s="2"/>
      <c r="I587" s="9"/>
    </row>
    <row r="588" spans="5:9" ht="13.9" x14ac:dyDescent="0.3">
      <c r="E588" s="2"/>
      <c r="H588" s="2"/>
      <c r="I588" s="9"/>
    </row>
    <row r="589" spans="5:9" ht="13.9" x14ac:dyDescent="0.3">
      <c r="E589" s="2"/>
      <c r="H589" s="2"/>
      <c r="I589" s="9"/>
    </row>
    <row r="590" spans="5:9" ht="13.9" x14ac:dyDescent="0.3">
      <c r="E590" s="2"/>
      <c r="H590" s="2"/>
      <c r="I590" s="9"/>
    </row>
    <row r="591" spans="5:9" ht="13.9" x14ac:dyDescent="0.3">
      <c r="E591" s="2"/>
      <c r="H591" s="2"/>
      <c r="I591" s="9"/>
    </row>
    <row r="592" spans="5:9" ht="13.9" x14ac:dyDescent="0.3">
      <c r="E592" s="2"/>
      <c r="H592" s="2"/>
      <c r="I592" s="9"/>
    </row>
    <row r="593" spans="5:9" ht="13.9" x14ac:dyDescent="0.3">
      <c r="E593" s="2"/>
      <c r="H593" s="2"/>
      <c r="I593" s="9"/>
    </row>
    <row r="594" spans="5:9" ht="13.9" x14ac:dyDescent="0.3">
      <c r="E594" s="2"/>
      <c r="H594" s="2"/>
      <c r="I594" s="9"/>
    </row>
    <row r="595" spans="5:9" ht="13.9" x14ac:dyDescent="0.3">
      <c r="E595" s="2"/>
      <c r="H595" s="2"/>
      <c r="I595" s="9"/>
    </row>
    <row r="596" spans="5:9" ht="13.9" x14ac:dyDescent="0.3">
      <c r="E596" s="2"/>
      <c r="H596" s="2"/>
      <c r="I596" s="9"/>
    </row>
    <row r="597" spans="5:9" ht="13.9" x14ac:dyDescent="0.3">
      <c r="E597" s="2"/>
      <c r="H597" s="2"/>
      <c r="I597" s="9"/>
    </row>
    <row r="598" spans="5:9" ht="13.9" x14ac:dyDescent="0.3">
      <c r="E598" s="2"/>
      <c r="H598" s="2"/>
      <c r="I598" s="9"/>
    </row>
    <row r="599" spans="5:9" ht="13.9" x14ac:dyDescent="0.3">
      <c r="E599" s="2"/>
      <c r="H599" s="2"/>
      <c r="I599" s="9"/>
    </row>
    <row r="600" spans="5:9" ht="13.9" x14ac:dyDescent="0.3">
      <c r="E600" s="2"/>
      <c r="H600" s="2"/>
      <c r="I600" s="9"/>
    </row>
    <row r="601" spans="5:9" ht="13.9" x14ac:dyDescent="0.3">
      <c r="E601" s="2"/>
      <c r="H601" s="2"/>
      <c r="I601" s="9"/>
    </row>
    <row r="602" spans="5:9" ht="13.9" x14ac:dyDescent="0.3">
      <c r="E602" s="2"/>
      <c r="H602" s="2"/>
      <c r="I602" s="9"/>
    </row>
    <row r="603" spans="5:9" ht="13.9" x14ac:dyDescent="0.3">
      <c r="E603" s="2"/>
      <c r="H603" s="2"/>
      <c r="I603" s="9"/>
    </row>
    <row r="604" spans="5:9" ht="13.9" x14ac:dyDescent="0.3">
      <c r="E604" s="2"/>
      <c r="H604" s="2"/>
      <c r="I604" s="9"/>
    </row>
    <row r="605" spans="5:9" ht="13.9" x14ac:dyDescent="0.3">
      <c r="E605" s="2"/>
      <c r="H605" s="2"/>
      <c r="I605" s="9"/>
    </row>
    <row r="606" spans="5:9" ht="13.9" x14ac:dyDescent="0.3">
      <c r="E606" s="2"/>
      <c r="H606" s="2"/>
      <c r="I606" s="9"/>
    </row>
    <row r="607" spans="5:9" ht="13.9" x14ac:dyDescent="0.3">
      <c r="E607" s="2"/>
      <c r="H607" s="2"/>
      <c r="I607" s="9"/>
    </row>
    <row r="608" spans="5:9" ht="13.9" x14ac:dyDescent="0.3">
      <c r="E608" s="2"/>
      <c r="H608" s="2"/>
      <c r="I608" s="9"/>
    </row>
    <row r="609" spans="5:9" ht="13.9" x14ac:dyDescent="0.3">
      <c r="E609" s="2"/>
      <c r="H609" s="2"/>
      <c r="I609" s="9"/>
    </row>
    <row r="610" spans="5:9" ht="13.9" x14ac:dyDescent="0.3">
      <c r="E610" s="2"/>
      <c r="H610" s="2"/>
      <c r="I610" s="9"/>
    </row>
    <row r="611" spans="5:9" ht="13.9" x14ac:dyDescent="0.3">
      <c r="E611" s="2"/>
      <c r="H611" s="2"/>
      <c r="I611" s="9"/>
    </row>
    <row r="612" spans="5:9" ht="13.9" x14ac:dyDescent="0.3">
      <c r="E612" s="2"/>
      <c r="H612" s="2"/>
      <c r="I612" s="9"/>
    </row>
    <row r="613" spans="5:9" ht="13.9" x14ac:dyDescent="0.3">
      <c r="E613" s="2"/>
      <c r="H613" s="2"/>
      <c r="I613" s="9"/>
    </row>
    <row r="614" spans="5:9" ht="13.9" x14ac:dyDescent="0.3">
      <c r="E614" s="2"/>
      <c r="H614" s="2"/>
      <c r="I614" s="9"/>
    </row>
    <row r="615" spans="5:9" ht="13.9" x14ac:dyDescent="0.3">
      <c r="E615" s="2"/>
      <c r="H615" s="2"/>
      <c r="I615" s="9"/>
    </row>
    <row r="616" spans="5:9" ht="13.9" x14ac:dyDescent="0.3">
      <c r="E616" s="2"/>
      <c r="H616" s="2"/>
      <c r="I616" s="9"/>
    </row>
    <row r="617" spans="5:9" ht="13.9" x14ac:dyDescent="0.3">
      <c r="E617" s="2"/>
      <c r="H617" s="2"/>
      <c r="I617" s="9"/>
    </row>
    <row r="618" spans="5:9" ht="13.9" x14ac:dyDescent="0.3">
      <c r="E618" s="2"/>
      <c r="H618" s="2"/>
      <c r="I618" s="9"/>
    </row>
    <row r="619" spans="5:9" ht="13.9" x14ac:dyDescent="0.3">
      <c r="E619" s="2"/>
      <c r="H619" s="2"/>
      <c r="I619" s="9"/>
    </row>
    <row r="620" spans="5:9" ht="13.9" x14ac:dyDescent="0.3">
      <c r="E620" s="2"/>
      <c r="H620" s="2"/>
      <c r="I620" s="9"/>
    </row>
    <row r="621" spans="5:9" ht="13.9" x14ac:dyDescent="0.3">
      <c r="E621" s="2"/>
      <c r="H621" s="2"/>
      <c r="I621" s="9"/>
    </row>
    <row r="622" spans="5:9" ht="13.9" x14ac:dyDescent="0.3">
      <c r="E622" s="2"/>
      <c r="H622" s="2"/>
      <c r="I622" s="9"/>
    </row>
    <row r="623" spans="5:9" ht="13.9" x14ac:dyDescent="0.3">
      <c r="E623" s="2"/>
      <c r="H623" s="2"/>
      <c r="I623" s="9"/>
    </row>
    <row r="624" spans="5:9" ht="13.9" x14ac:dyDescent="0.3">
      <c r="E624" s="2"/>
      <c r="H624" s="2"/>
      <c r="I624" s="9"/>
    </row>
    <row r="625" spans="5:9" ht="13.9" x14ac:dyDescent="0.3">
      <c r="E625" s="2"/>
      <c r="H625" s="2"/>
      <c r="I625" s="9"/>
    </row>
    <row r="626" spans="5:9" ht="13.9" x14ac:dyDescent="0.3">
      <c r="E626" s="2"/>
      <c r="H626" s="2"/>
      <c r="I626" s="9"/>
    </row>
    <row r="627" spans="5:9" ht="13.9" x14ac:dyDescent="0.3">
      <c r="E627" s="2"/>
      <c r="H627" s="2"/>
      <c r="I627" s="9"/>
    </row>
    <row r="628" spans="5:9" ht="13.9" x14ac:dyDescent="0.3">
      <c r="E628" s="2"/>
      <c r="H628" s="2"/>
      <c r="I628" s="9"/>
    </row>
    <row r="629" spans="5:9" ht="13.9" x14ac:dyDescent="0.3">
      <c r="E629" s="2"/>
      <c r="H629" s="2"/>
      <c r="I629" s="9"/>
    </row>
    <row r="630" spans="5:9" ht="13.9" x14ac:dyDescent="0.3">
      <c r="E630" s="2"/>
      <c r="H630" s="2"/>
      <c r="I630" s="9"/>
    </row>
    <row r="631" spans="5:9" ht="13.9" x14ac:dyDescent="0.3">
      <c r="E631" s="2"/>
      <c r="H631" s="2"/>
      <c r="I631" s="9"/>
    </row>
    <row r="632" spans="5:9" ht="13.9" x14ac:dyDescent="0.3">
      <c r="E632" s="2"/>
      <c r="H632" s="2"/>
      <c r="I632" s="9"/>
    </row>
    <row r="633" spans="5:9" ht="13.9" x14ac:dyDescent="0.3">
      <c r="E633" s="2"/>
      <c r="H633" s="2"/>
      <c r="I633" s="9"/>
    </row>
    <row r="634" spans="5:9" ht="13.9" x14ac:dyDescent="0.3">
      <c r="E634" s="2"/>
      <c r="H634" s="2"/>
      <c r="I634" s="9"/>
    </row>
    <row r="635" spans="5:9" ht="13.9" x14ac:dyDescent="0.3">
      <c r="E635" s="2"/>
      <c r="H635" s="2"/>
      <c r="I635" s="9"/>
    </row>
    <row r="636" spans="5:9" ht="13.9" x14ac:dyDescent="0.3">
      <c r="E636" s="2"/>
      <c r="H636" s="2"/>
      <c r="I636" s="9"/>
    </row>
    <row r="637" spans="5:9" ht="13.9" x14ac:dyDescent="0.3">
      <c r="E637" s="2"/>
      <c r="H637" s="2"/>
      <c r="I637" s="9"/>
    </row>
    <row r="638" spans="5:9" ht="13.9" x14ac:dyDescent="0.3">
      <c r="E638" s="2"/>
      <c r="H638" s="2"/>
      <c r="I638" s="9"/>
    </row>
    <row r="639" spans="5:9" ht="13.9" x14ac:dyDescent="0.3">
      <c r="E639" s="2"/>
      <c r="H639" s="2"/>
      <c r="I639" s="9"/>
    </row>
    <row r="640" spans="5:9" ht="13.9" x14ac:dyDescent="0.3">
      <c r="E640" s="2"/>
      <c r="H640" s="2"/>
      <c r="I640" s="9"/>
    </row>
    <row r="641" spans="5:9" ht="13.9" x14ac:dyDescent="0.3">
      <c r="E641" s="2"/>
      <c r="H641" s="2"/>
      <c r="I641" s="9"/>
    </row>
    <row r="642" spans="5:9" ht="13.9" x14ac:dyDescent="0.3">
      <c r="E642" s="2"/>
      <c r="H642" s="2"/>
      <c r="I642" s="9"/>
    </row>
    <row r="643" spans="5:9" ht="13.9" x14ac:dyDescent="0.3">
      <c r="E643" s="2"/>
      <c r="H643" s="2"/>
      <c r="I643" s="9"/>
    </row>
    <row r="644" spans="5:9" ht="13.9" x14ac:dyDescent="0.3">
      <c r="E644" s="2"/>
      <c r="H644" s="2"/>
      <c r="I644" s="9"/>
    </row>
    <row r="645" spans="5:9" ht="13.9" x14ac:dyDescent="0.3">
      <c r="E645" s="2"/>
      <c r="H645" s="2"/>
      <c r="I645" s="9"/>
    </row>
    <row r="646" spans="5:9" ht="13.9" x14ac:dyDescent="0.3">
      <c r="E646" s="2"/>
      <c r="H646" s="2"/>
      <c r="I646" s="9"/>
    </row>
    <row r="647" spans="5:9" ht="13.9" x14ac:dyDescent="0.3">
      <c r="E647" s="2"/>
      <c r="H647" s="2"/>
      <c r="I647" s="9"/>
    </row>
    <row r="648" spans="5:9" ht="13.9" x14ac:dyDescent="0.3">
      <c r="E648" s="2"/>
      <c r="H648" s="2"/>
      <c r="I648" s="9"/>
    </row>
    <row r="649" spans="5:9" ht="13.9" x14ac:dyDescent="0.3">
      <c r="E649" s="2"/>
      <c r="H649" s="2"/>
      <c r="I649" s="9"/>
    </row>
    <row r="650" spans="5:9" ht="13.9" x14ac:dyDescent="0.3">
      <c r="E650" s="2"/>
      <c r="H650" s="2"/>
      <c r="I650" s="9"/>
    </row>
    <row r="651" spans="5:9" ht="13.9" x14ac:dyDescent="0.3">
      <c r="E651" s="2"/>
      <c r="H651" s="2"/>
      <c r="I651" s="9"/>
    </row>
    <row r="652" spans="5:9" ht="13.9" x14ac:dyDescent="0.3">
      <c r="E652" s="2"/>
      <c r="H652" s="2"/>
      <c r="I652" s="9"/>
    </row>
    <row r="653" spans="5:9" ht="13.9" x14ac:dyDescent="0.3">
      <c r="E653" s="2"/>
      <c r="H653" s="2"/>
      <c r="I653" s="9"/>
    </row>
    <row r="654" spans="5:9" ht="13.9" x14ac:dyDescent="0.3">
      <c r="E654" s="2"/>
      <c r="H654" s="2"/>
      <c r="I654" s="9"/>
    </row>
    <row r="655" spans="5:9" ht="13.9" x14ac:dyDescent="0.3">
      <c r="E655" s="2"/>
      <c r="H655" s="2"/>
      <c r="I655" s="9"/>
    </row>
    <row r="656" spans="5:9" ht="13.9" x14ac:dyDescent="0.3">
      <c r="E656" s="2"/>
      <c r="H656" s="2"/>
      <c r="I656" s="9"/>
    </row>
    <row r="657" spans="5:9" ht="13.9" x14ac:dyDescent="0.3">
      <c r="E657" s="2"/>
      <c r="H657" s="2"/>
      <c r="I657" s="9"/>
    </row>
    <row r="658" spans="5:9" ht="13.9" x14ac:dyDescent="0.3">
      <c r="E658" s="2"/>
      <c r="H658" s="2"/>
      <c r="I658" s="9"/>
    </row>
    <row r="659" spans="5:9" ht="13.9" x14ac:dyDescent="0.3">
      <c r="E659" s="2"/>
      <c r="H659" s="2"/>
      <c r="I659" s="9"/>
    </row>
    <row r="660" spans="5:9" ht="13.9" x14ac:dyDescent="0.3">
      <c r="E660" s="2"/>
      <c r="H660" s="2"/>
      <c r="I660" s="9"/>
    </row>
    <row r="661" spans="5:9" ht="13.9" x14ac:dyDescent="0.3">
      <c r="E661" s="2"/>
      <c r="H661" s="2"/>
      <c r="I661" s="9"/>
    </row>
    <row r="662" spans="5:9" ht="13.9" x14ac:dyDescent="0.3">
      <c r="E662" s="2"/>
      <c r="H662" s="2"/>
      <c r="I662" s="9"/>
    </row>
    <row r="663" spans="5:9" ht="13.9" x14ac:dyDescent="0.3">
      <c r="E663" s="2"/>
      <c r="H663" s="2"/>
      <c r="I663" s="9"/>
    </row>
    <row r="664" spans="5:9" ht="13.9" x14ac:dyDescent="0.3">
      <c r="E664" s="2"/>
      <c r="H664" s="2"/>
      <c r="I664" s="9"/>
    </row>
    <row r="665" spans="5:9" ht="13.9" x14ac:dyDescent="0.3">
      <c r="E665" s="2"/>
      <c r="H665" s="2"/>
      <c r="I665" s="9"/>
    </row>
    <row r="666" spans="5:9" ht="13.9" x14ac:dyDescent="0.3">
      <c r="E666" s="2"/>
      <c r="H666" s="2"/>
      <c r="I666" s="9"/>
    </row>
    <row r="667" spans="5:9" ht="13.9" x14ac:dyDescent="0.3">
      <c r="E667" s="2"/>
      <c r="H667" s="2"/>
      <c r="I667" s="9"/>
    </row>
    <row r="668" spans="5:9" ht="13.9" x14ac:dyDescent="0.3">
      <c r="E668" s="2"/>
      <c r="H668" s="2"/>
      <c r="I668" s="9"/>
    </row>
    <row r="669" spans="5:9" ht="13.9" x14ac:dyDescent="0.3">
      <c r="E669" s="2"/>
      <c r="H669" s="2"/>
      <c r="I669" s="9"/>
    </row>
    <row r="670" spans="5:9" ht="13.9" x14ac:dyDescent="0.3">
      <c r="E670" s="2"/>
      <c r="H670" s="2"/>
      <c r="I670" s="9"/>
    </row>
    <row r="671" spans="5:9" ht="13.9" x14ac:dyDescent="0.3">
      <c r="E671" s="2"/>
      <c r="H671" s="2"/>
      <c r="I671" s="9"/>
    </row>
    <row r="672" spans="5:9" ht="13.9" x14ac:dyDescent="0.3">
      <c r="E672" s="2"/>
      <c r="H672" s="2"/>
      <c r="I672" s="9"/>
    </row>
    <row r="673" spans="5:9" ht="13.9" x14ac:dyDescent="0.3">
      <c r="E673" s="2"/>
      <c r="H673" s="2"/>
      <c r="I673" s="9"/>
    </row>
    <row r="674" spans="5:9" ht="13.9" x14ac:dyDescent="0.3">
      <c r="E674" s="2"/>
      <c r="H674" s="2"/>
      <c r="I674" s="9"/>
    </row>
    <row r="675" spans="5:9" ht="13.9" x14ac:dyDescent="0.3">
      <c r="E675" s="2"/>
      <c r="H675" s="2"/>
      <c r="I675" s="9"/>
    </row>
    <row r="676" spans="5:9" ht="13.9" x14ac:dyDescent="0.3">
      <c r="E676" s="2"/>
      <c r="H676" s="2"/>
      <c r="I676" s="9"/>
    </row>
    <row r="677" spans="5:9" ht="13.9" x14ac:dyDescent="0.3">
      <c r="E677" s="2"/>
      <c r="H677" s="2"/>
      <c r="I677" s="9"/>
    </row>
    <row r="678" spans="5:9" ht="13.9" x14ac:dyDescent="0.3">
      <c r="E678" s="2"/>
      <c r="H678" s="2"/>
      <c r="I678" s="9"/>
    </row>
    <row r="679" spans="5:9" ht="13.9" x14ac:dyDescent="0.3">
      <c r="E679" s="2"/>
      <c r="H679" s="2"/>
      <c r="I679" s="9"/>
    </row>
    <row r="680" spans="5:9" ht="13.9" x14ac:dyDescent="0.3">
      <c r="E680" s="2"/>
      <c r="H680" s="2"/>
      <c r="I680" s="9"/>
    </row>
    <row r="681" spans="5:9" ht="13.9" x14ac:dyDescent="0.3">
      <c r="E681" s="2"/>
      <c r="H681" s="2"/>
      <c r="I681" s="9"/>
    </row>
    <row r="682" spans="5:9" ht="13.9" x14ac:dyDescent="0.3">
      <c r="E682" s="2"/>
      <c r="H682" s="2"/>
      <c r="I682" s="9"/>
    </row>
    <row r="683" spans="5:9" ht="13.9" x14ac:dyDescent="0.3">
      <c r="E683" s="2"/>
      <c r="H683" s="2"/>
      <c r="I683" s="9"/>
    </row>
    <row r="684" spans="5:9" ht="13.9" x14ac:dyDescent="0.3">
      <c r="E684" s="2"/>
      <c r="H684" s="2"/>
      <c r="I684" s="9"/>
    </row>
    <row r="685" spans="5:9" ht="13.9" x14ac:dyDescent="0.3">
      <c r="E685" s="2"/>
      <c r="H685" s="2"/>
      <c r="I685" s="9"/>
    </row>
    <row r="686" spans="5:9" ht="13.9" x14ac:dyDescent="0.3">
      <c r="E686" s="2"/>
      <c r="H686" s="2"/>
      <c r="I686" s="9"/>
    </row>
    <row r="687" spans="5:9" ht="13.9" x14ac:dyDescent="0.3">
      <c r="E687" s="2"/>
      <c r="H687" s="2"/>
      <c r="I687" s="9"/>
    </row>
    <row r="688" spans="5:9" ht="13.9" x14ac:dyDescent="0.3">
      <c r="E688" s="2"/>
      <c r="H688" s="2"/>
      <c r="I688" s="9"/>
    </row>
    <row r="689" spans="5:9" ht="13.9" x14ac:dyDescent="0.3">
      <c r="E689" s="2"/>
      <c r="H689" s="2"/>
      <c r="I689" s="9"/>
    </row>
    <row r="690" spans="5:9" ht="13.9" x14ac:dyDescent="0.3">
      <c r="E690" s="2"/>
      <c r="H690" s="2"/>
      <c r="I690" s="9"/>
    </row>
    <row r="691" spans="5:9" ht="13.9" x14ac:dyDescent="0.3">
      <c r="E691" s="2"/>
      <c r="H691" s="2"/>
      <c r="I691" s="9"/>
    </row>
    <row r="692" spans="5:9" ht="13.9" x14ac:dyDescent="0.3">
      <c r="E692" s="2"/>
      <c r="H692" s="2"/>
      <c r="I692" s="9"/>
    </row>
    <row r="693" spans="5:9" ht="13.9" x14ac:dyDescent="0.3">
      <c r="E693" s="2"/>
      <c r="H693" s="2"/>
      <c r="I693" s="9"/>
    </row>
    <row r="694" spans="5:9" ht="13.9" x14ac:dyDescent="0.3">
      <c r="E694" s="2"/>
      <c r="H694" s="2"/>
      <c r="I694" s="9"/>
    </row>
    <row r="695" spans="5:9" ht="13.9" x14ac:dyDescent="0.3">
      <c r="E695" s="2"/>
      <c r="H695" s="2"/>
      <c r="I695" s="9"/>
    </row>
    <row r="696" spans="5:9" ht="13.9" x14ac:dyDescent="0.3">
      <c r="E696" s="2"/>
      <c r="H696" s="2"/>
      <c r="I696" s="9"/>
    </row>
    <row r="697" spans="5:9" ht="13.9" x14ac:dyDescent="0.3">
      <c r="E697" s="2"/>
      <c r="H697" s="2"/>
      <c r="I697" s="9"/>
    </row>
    <row r="698" spans="5:9" ht="13.9" x14ac:dyDescent="0.3">
      <c r="E698" s="2"/>
      <c r="H698" s="2"/>
      <c r="I698" s="9"/>
    </row>
    <row r="699" spans="5:9" ht="13.9" x14ac:dyDescent="0.3">
      <c r="E699" s="2"/>
      <c r="H699" s="2"/>
      <c r="I699" s="9"/>
    </row>
    <row r="700" spans="5:9" ht="13.9" x14ac:dyDescent="0.3">
      <c r="E700" s="2"/>
      <c r="H700" s="2"/>
      <c r="I700" s="9"/>
    </row>
    <row r="701" spans="5:9" ht="13.9" x14ac:dyDescent="0.3">
      <c r="E701" s="2"/>
      <c r="H701" s="2"/>
      <c r="I701" s="9"/>
    </row>
    <row r="702" spans="5:9" ht="13.9" x14ac:dyDescent="0.3">
      <c r="E702" s="2"/>
      <c r="H702" s="2"/>
      <c r="I702" s="9"/>
    </row>
    <row r="703" spans="5:9" ht="13.9" x14ac:dyDescent="0.3">
      <c r="E703" s="2"/>
      <c r="H703" s="2"/>
      <c r="I703" s="9"/>
    </row>
    <row r="704" spans="5:9" ht="13.9" x14ac:dyDescent="0.3">
      <c r="E704" s="2"/>
      <c r="H704" s="2"/>
      <c r="I704" s="9"/>
    </row>
    <row r="705" spans="5:9" ht="13.9" x14ac:dyDescent="0.3">
      <c r="E705" s="2"/>
      <c r="H705" s="2"/>
      <c r="I705" s="9"/>
    </row>
    <row r="706" spans="5:9" ht="13.9" x14ac:dyDescent="0.3">
      <c r="E706" s="2"/>
      <c r="H706" s="2"/>
      <c r="I706" s="9"/>
    </row>
    <row r="707" spans="5:9" ht="13.9" x14ac:dyDescent="0.3">
      <c r="E707" s="2"/>
      <c r="H707" s="2"/>
      <c r="I707" s="9"/>
    </row>
    <row r="708" spans="5:9" ht="13.9" x14ac:dyDescent="0.3">
      <c r="E708" s="2"/>
      <c r="H708" s="2"/>
      <c r="I708" s="9"/>
    </row>
    <row r="709" spans="5:9" ht="13.9" x14ac:dyDescent="0.3">
      <c r="E709" s="2"/>
      <c r="H709" s="2"/>
      <c r="I709" s="9"/>
    </row>
    <row r="710" spans="5:9" ht="13.9" x14ac:dyDescent="0.3">
      <c r="E710" s="2"/>
      <c r="H710" s="2"/>
      <c r="I710" s="9"/>
    </row>
    <row r="711" spans="5:9" ht="13.9" x14ac:dyDescent="0.3">
      <c r="E711" s="2"/>
      <c r="H711" s="2"/>
      <c r="I711" s="9"/>
    </row>
    <row r="712" spans="5:9" ht="13.9" x14ac:dyDescent="0.3">
      <c r="E712" s="2"/>
      <c r="H712" s="2"/>
      <c r="I712" s="9"/>
    </row>
    <row r="713" spans="5:9" ht="13.9" x14ac:dyDescent="0.3">
      <c r="E713" s="2"/>
      <c r="H713" s="2"/>
      <c r="I713" s="9"/>
    </row>
    <row r="714" spans="5:9" ht="13.9" x14ac:dyDescent="0.3">
      <c r="E714" s="2"/>
      <c r="H714" s="2"/>
      <c r="I714" s="9"/>
    </row>
    <row r="715" spans="5:9" ht="13.9" x14ac:dyDescent="0.3">
      <c r="E715" s="2"/>
      <c r="H715" s="2"/>
      <c r="I715" s="9"/>
    </row>
    <row r="716" spans="5:9" ht="13.9" x14ac:dyDescent="0.3">
      <c r="E716" s="2"/>
      <c r="H716" s="2"/>
      <c r="I716" s="9"/>
    </row>
    <row r="717" spans="5:9" ht="13.9" x14ac:dyDescent="0.3">
      <c r="E717" s="2"/>
      <c r="H717" s="2"/>
      <c r="I717" s="9"/>
    </row>
    <row r="718" spans="5:9" ht="13.9" x14ac:dyDescent="0.3">
      <c r="E718" s="2"/>
      <c r="H718" s="2"/>
      <c r="I718" s="9"/>
    </row>
    <row r="719" spans="5:9" ht="13.9" x14ac:dyDescent="0.3">
      <c r="E719" s="2"/>
      <c r="H719" s="2"/>
      <c r="I719" s="9"/>
    </row>
    <row r="720" spans="5:9" ht="13.9" x14ac:dyDescent="0.3">
      <c r="E720" s="2"/>
      <c r="H720" s="2"/>
      <c r="I720" s="9"/>
    </row>
    <row r="721" spans="5:9" ht="13.9" x14ac:dyDescent="0.3">
      <c r="E721" s="2"/>
      <c r="H721" s="2"/>
      <c r="I721" s="9"/>
    </row>
    <row r="722" spans="5:9" ht="13.9" x14ac:dyDescent="0.3">
      <c r="E722" s="2"/>
      <c r="H722" s="2"/>
      <c r="I722" s="9"/>
    </row>
    <row r="723" spans="5:9" ht="13.9" x14ac:dyDescent="0.3">
      <c r="E723" s="2"/>
      <c r="H723" s="2"/>
      <c r="I723" s="9"/>
    </row>
    <row r="724" spans="5:9" ht="13.9" x14ac:dyDescent="0.3">
      <c r="E724" s="2"/>
      <c r="H724" s="2"/>
      <c r="I724" s="9"/>
    </row>
    <row r="725" spans="5:9" ht="13.9" x14ac:dyDescent="0.3">
      <c r="E725" s="2"/>
      <c r="H725" s="2"/>
      <c r="I725" s="9"/>
    </row>
    <row r="726" spans="5:9" ht="13.9" x14ac:dyDescent="0.3">
      <c r="E726" s="2"/>
      <c r="H726" s="2"/>
      <c r="I726" s="9"/>
    </row>
    <row r="727" spans="5:9" ht="13.9" x14ac:dyDescent="0.3">
      <c r="E727" s="2"/>
      <c r="H727" s="2"/>
      <c r="I727" s="9"/>
    </row>
    <row r="728" spans="5:9" ht="13.9" x14ac:dyDescent="0.3">
      <c r="E728" s="2"/>
      <c r="H728" s="2"/>
      <c r="I728" s="9"/>
    </row>
    <row r="729" spans="5:9" ht="13.9" x14ac:dyDescent="0.3">
      <c r="E729" s="2"/>
      <c r="H729" s="2"/>
      <c r="I729" s="9"/>
    </row>
    <row r="730" spans="5:9" ht="13.9" x14ac:dyDescent="0.3">
      <c r="E730" s="2"/>
      <c r="H730" s="2"/>
      <c r="I730" s="9"/>
    </row>
    <row r="731" spans="5:9" ht="13.9" x14ac:dyDescent="0.3">
      <c r="E731" s="2"/>
      <c r="H731" s="2"/>
      <c r="I731" s="9"/>
    </row>
    <row r="732" spans="5:9" ht="13.9" x14ac:dyDescent="0.3">
      <c r="E732" s="2"/>
      <c r="H732" s="2"/>
      <c r="I732" s="9"/>
    </row>
    <row r="733" spans="5:9" ht="13.9" x14ac:dyDescent="0.3">
      <c r="E733" s="2"/>
      <c r="H733" s="2"/>
      <c r="I733" s="9"/>
    </row>
    <row r="734" spans="5:9" ht="13.9" x14ac:dyDescent="0.3">
      <c r="E734" s="2"/>
      <c r="H734" s="2"/>
      <c r="I734" s="9"/>
    </row>
    <row r="735" spans="5:9" ht="13.9" x14ac:dyDescent="0.3">
      <c r="E735" s="2"/>
      <c r="H735" s="2"/>
      <c r="I735" s="9"/>
    </row>
    <row r="736" spans="5:9" ht="13.9" x14ac:dyDescent="0.3">
      <c r="E736" s="2"/>
      <c r="H736" s="2"/>
      <c r="I736" s="9"/>
    </row>
    <row r="737" spans="5:9" ht="13.9" x14ac:dyDescent="0.3">
      <c r="E737" s="2"/>
      <c r="H737" s="2"/>
      <c r="I737" s="9"/>
    </row>
    <row r="738" spans="5:9" ht="13.9" x14ac:dyDescent="0.3">
      <c r="E738" s="2"/>
      <c r="H738" s="2"/>
      <c r="I738" s="9"/>
    </row>
    <row r="739" spans="5:9" ht="13.9" x14ac:dyDescent="0.3">
      <c r="E739" s="2"/>
      <c r="H739" s="2"/>
      <c r="I739" s="9"/>
    </row>
    <row r="740" spans="5:9" ht="13.9" x14ac:dyDescent="0.3">
      <c r="E740" s="2"/>
      <c r="H740" s="2"/>
      <c r="I740" s="9"/>
    </row>
    <row r="741" spans="5:9" ht="13.9" x14ac:dyDescent="0.3">
      <c r="E741" s="2"/>
      <c r="H741" s="2"/>
      <c r="I741" s="9"/>
    </row>
    <row r="742" spans="5:9" ht="13.9" x14ac:dyDescent="0.3">
      <c r="E742" s="2"/>
      <c r="H742" s="2"/>
      <c r="I742" s="9"/>
    </row>
    <row r="743" spans="5:9" ht="13.9" x14ac:dyDescent="0.3">
      <c r="E743" s="2"/>
      <c r="H743" s="2"/>
      <c r="I743" s="9"/>
    </row>
    <row r="744" spans="5:9" ht="13.9" x14ac:dyDescent="0.3">
      <c r="E744" s="2"/>
      <c r="H744" s="2"/>
      <c r="I744" s="9"/>
    </row>
    <row r="745" spans="5:9" ht="13.9" x14ac:dyDescent="0.3">
      <c r="E745" s="2"/>
      <c r="H745" s="2"/>
      <c r="I745" s="9"/>
    </row>
    <row r="746" spans="5:9" ht="13.9" x14ac:dyDescent="0.3">
      <c r="E746" s="2"/>
      <c r="H746" s="2"/>
      <c r="I746" s="9"/>
    </row>
    <row r="747" spans="5:9" ht="13.9" x14ac:dyDescent="0.3">
      <c r="E747" s="2"/>
      <c r="H747" s="2"/>
      <c r="I747" s="9"/>
    </row>
    <row r="748" spans="5:9" ht="13.9" x14ac:dyDescent="0.3">
      <c r="E748" s="2"/>
      <c r="H748" s="2"/>
      <c r="I748" s="9"/>
    </row>
    <row r="749" spans="5:9" ht="13.9" x14ac:dyDescent="0.3">
      <c r="E749" s="2"/>
      <c r="H749" s="2"/>
      <c r="I749" s="9"/>
    </row>
    <row r="750" spans="5:9" ht="13.9" x14ac:dyDescent="0.3">
      <c r="E750" s="2"/>
      <c r="H750" s="2"/>
      <c r="I750" s="9"/>
    </row>
    <row r="751" spans="5:9" ht="13.9" x14ac:dyDescent="0.3">
      <c r="E751" s="2"/>
      <c r="H751" s="2"/>
      <c r="I751" s="9"/>
    </row>
    <row r="752" spans="5:9" ht="13.9" x14ac:dyDescent="0.3">
      <c r="E752" s="2"/>
      <c r="H752" s="2"/>
      <c r="I752" s="9"/>
    </row>
    <row r="753" spans="5:9" ht="13.9" x14ac:dyDescent="0.3">
      <c r="E753" s="2"/>
      <c r="H753" s="2"/>
      <c r="I753" s="9"/>
    </row>
    <row r="754" spans="5:9" ht="13.9" x14ac:dyDescent="0.3">
      <c r="E754" s="2"/>
      <c r="H754" s="2"/>
      <c r="I754" s="9"/>
    </row>
    <row r="755" spans="5:9" ht="13.9" x14ac:dyDescent="0.3">
      <c r="E755" s="2"/>
      <c r="H755" s="2"/>
      <c r="I755" s="9"/>
    </row>
    <row r="756" spans="5:9" ht="13.9" x14ac:dyDescent="0.3">
      <c r="E756" s="2"/>
      <c r="H756" s="2"/>
      <c r="I756" s="9"/>
    </row>
    <row r="757" spans="5:9" ht="13.9" x14ac:dyDescent="0.3">
      <c r="E757" s="2"/>
      <c r="H757" s="2"/>
      <c r="I757" s="9"/>
    </row>
    <row r="758" spans="5:9" ht="13.9" x14ac:dyDescent="0.3">
      <c r="E758" s="2"/>
      <c r="H758" s="2"/>
      <c r="I758" s="9"/>
    </row>
    <row r="759" spans="5:9" ht="13.9" x14ac:dyDescent="0.3">
      <c r="E759" s="2"/>
      <c r="H759" s="2"/>
      <c r="I759" s="9"/>
    </row>
    <row r="760" spans="5:9" ht="13.9" x14ac:dyDescent="0.3">
      <c r="E760" s="2"/>
      <c r="H760" s="2"/>
      <c r="I760" s="9"/>
    </row>
    <row r="761" spans="5:9" ht="13.9" x14ac:dyDescent="0.3">
      <c r="E761" s="2"/>
      <c r="H761" s="2"/>
      <c r="I761" s="9"/>
    </row>
    <row r="762" spans="5:9" ht="13.9" x14ac:dyDescent="0.3">
      <c r="E762" s="2"/>
      <c r="H762" s="2"/>
      <c r="I762" s="9"/>
    </row>
    <row r="763" spans="5:9" ht="13.9" x14ac:dyDescent="0.3">
      <c r="E763" s="2"/>
      <c r="H763" s="2"/>
      <c r="I763" s="9"/>
    </row>
    <row r="764" spans="5:9" ht="13.9" x14ac:dyDescent="0.3">
      <c r="E764" s="2"/>
      <c r="H764" s="2"/>
      <c r="I764" s="9"/>
    </row>
    <row r="765" spans="5:9" ht="13.9" x14ac:dyDescent="0.3">
      <c r="E765" s="2"/>
      <c r="H765" s="2"/>
      <c r="I765" s="9"/>
    </row>
    <row r="766" spans="5:9" ht="13.9" x14ac:dyDescent="0.3">
      <c r="E766" s="2"/>
      <c r="H766" s="2"/>
      <c r="I766" s="9"/>
    </row>
    <row r="767" spans="5:9" ht="13.9" x14ac:dyDescent="0.3">
      <c r="E767" s="2"/>
      <c r="H767" s="2"/>
      <c r="I767" s="9"/>
    </row>
    <row r="768" spans="5:9" ht="13.9" x14ac:dyDescent="0.3">
      <c r="E768" s="2"/>
      <c r="H768" s="2"/>
      <c r="I768" s="9"/>
    </row>
    <row r="769" spans="5:9" ht="13.9" x14ac:dyDescent="0.3">
      <c r="E769" s="2"/>
      <c r="H769" s="2"/>
      <c r="I769" s="9"/>
    </row>
    <row r="770" spans="5:9" ht="13.9" x14ac:dyDescent="0.3">
      <c r="E770" s="2"/>
      <c r="H770" s="2"/>
      <c r="I770" s="9"/>
    </row>
    <row r="771" spans="5:9" ht="13.9" x14ac:dyDescent="0.3">
      <c r="E771" s="2"/>
      <c r="H771" s="2"/>
      <c r="I771" s="9"/>
    </row>
    <row r="772" spans="5:9" ht="13.9" x14ac:dyDescent="0.3">
      <c r="E772" s="2"/>
      <c r="H772" s="2"/>
      <c r="I772" s="9"/>
    </row>
    <row r="773" spans="5:9" ht="13.9" x14ac:dyDescent="0.3">
      <c r="E773" s="2"/>
      <c r="H773" s="2"/>
      <c r="I773" s="9"/>
    </row>
    <row r="774" spans="5:9" ht="13.9" x14ac:dyDescent="0.3">
      <c r="E774" s="2"/>
      <c r="H774" s="2"/>
      <c r="I774" s="9"/>
    </row>
    <row r="775" spans="5:9" ht="13.9" x14ac:dyDescent="0.3">
      <c r="E775" s="2"/>
      <c r="H775" s="2"/>
      <c r="I775" s="9"/>
    </row>
    <row r="776" spans="5:9" ht="13.9" x14ac:dyDescent="0.3">
      <c r="E776" s="2"/>
      <c r="H776" s="2"/>
      <c r="I776" s="9"/>
    </row>
    <row r="777" spans="5:9" ht="13.9" x14ac:dyDescent="0.3">
      <c r="E777" s="2"/>
      <c r="H777" s="2"/>
      <c r="I777" s="9"/>
    </row>
    <row r="778" spans="5:9" ht="13.9" x14ac:dyDescent="0.3">
      <c r="E778" s="2"/>
      <c r="H778" s="2"/>
      <c r="I778" s="9"/>
    </row>
    <row r="779" spans="5:9" ht="13.9" x14ac:dyDescent="0.3">
      <c r="E779" s="2"/>
      <c r="H779" s="2"/>
      <c r="I779" s="9"/>
    </row>
    <row r="780" spans="5:9" ht="13.9" x14ac:dyDescent="0.3">
      <c r="E780" s="2"/>
      <c r="H780" s="2"/>
      <c r="I780" s="9"/>
    </row>
    <row r="781" spans="5:9" ht="13.9" x14ac:dyDescent="0.3">
      <c r="E781" s="2"/>
      <c r="H781" s="2"/>
      <c r="I781" s="9"/>
    </row>
    <row r="782" spans="5:9" ht="13.9" x14ac:dyDescent="0.3">
      <c r="E782" s="2"/>
      <c r="H782" s="2"/>
      <c r="I782" s="9"/>
    </row>
    <row r="783" spans="5:9" ht="13.9" x14ac:dyDescent="0.3">
      <c r="E783" s="2"/>
      <c r="H783" s="2"/>
      <c r="I783" s="9"/>
    </row>
    <row r="784" spans="5:9" ht="13.9" x14ac:dyDescent="0.3">
      <c r="E784" s="2"/>
      <c r="H784" s="2"/>
      <c r="I784" s="9"/>
    </row>
    <row r="785" spans="5:9" ht="13.9" x14ac:dyDescent="0.3">
      <c r="E785" s="2"/>
      <c r="H785" s="2"/>
      <c r="I785" s="9"/>
    </row>
    <row r="786" spans="5:9" ht="13.9" x14ac:dyDescent="0.3">
      <c r="E786" s="2"/>
      <c r="H786" s="2"/>
      <c r="I786" s="9"/>
    </row>
    <row r="787" spans="5:9" ht="13.9" x14ac:dyDescent="0.3">
      <c r="E787" s="2"/>
      <c r="H787" s="2"/>
      <c r="I787" s="9"/>
    </row>
    <row r="788" spans="5:9" ht="13.9" x14ac:dyDescent="0.3">
      <c r="E788" s="2"/>
      <c r="H788" s="2"/>
      <c r="I788" s="9"/>
    </row>
    <row r="789" spans="5:9" ht="13.9" x14ac:dyDescent="0.3">
      <c r="H789" s="2"/>
      <c r="I789" s="9"/>
    </row>
    <row r="790" spans="5:9" ht="13.9" x14ac:dyDescent="0.3">
      <c r="H790" s="2"/>
      <c r="I790" s="9"/>
    </row>
    <row r="791" spans="5:9" ht="13.9" x14ac:dyDescent="0.3">
      <c r="H791" s="2"/>
      <c r="I791" s="9"/>
    </row>
    <row r="792" spans="5:9" ht="13.9" x14ac:dyDescent="0.3">
      <c r="H792" s="2"/>
      <c r="I792" s="9"/>
    </row>
    <row r="793" spans="5:9" ht="13.9" x14ac:dyDescent="0.3">
      <c r="H793" s="2"/>
      <c r="I793" s="9"/>
    </row>
    <row r="794" spans="5:9" ht="13.9" x14ac:dyDescent="0.3">
      <c r="H794" s="2"/>
      <c r="I794" s="9"/>
    </row>
    <row r="795" spans="5:9" ht="13.9" x14ac:dyDescent="0.3">
      <c r="H795" s="2"/>
      <c r="I795" s="9"/>
    </row>
    <row r="796" spans="5:9" ht="13.9" x14ac:dyDescent="0.3">
      <c r="H796" s="2"/>
      <c r="I796" s="9"/>
    </row>
    <row r="797" spans="5:9" ht="13.9" x14ac:dyDescent="0.3">
      <c r="H797" s="2"/>
      <c r="I797" s="9"/>
    </row>
    <row r="798" spans="5:9" ht="13.9" x14ac:dyDescent="0.3">
      <c r="H798" s="2"/>
      <c r="I798" s="9"/>
    </row>
    <row r="799" spans="5:9" ht="13.9" x14ac:dyDescent="0.3">
      <c r="H799" s="2"/>
      <c r="I799" s="9"/>
    </row>
    <row r="800" spans="5:9" ht="13.9" x14ac:dyDescent="0.3">
      <c r="H800" s="2"/>
      <c r="I800" s="9"/>
    </row>
    <row r="801" spans="8:9" ht="13.9" x14ac:dyDescent="0.3">
      <c r="H801" s="2"/>
      <c r="I801" s="9"/>
    </row>
    <row r="802" spans="8:9" ht="13.9" x14ac:dyDescent="0.3">
      <c r="H802" s="2"/>
      <c r="I802" s="9"/>
    </row>
    <row r="803" spans="8:9" ht="13.9" x14ac:dyDescent="0.3">
      <c r="H803" s="2"/>
      <c r="I803" s="9"/>
    </row>
    <row r="804" spans="8:9" ht="13.9" x14ac:dyDescent="0.3">
      <c r="H804" s="2"/>
      <c r="I804" s="9"/>
    </row>
    <row r="805" spans="8:9" ht="13.9" x14ac:dyDescent="0.3">
      <c r="H805" s="2"/>
      <c r="I805" s="9"/>
    </row>
    <row r="806" spans="8:9" ht="13.9" x14ac:dyDescent="0.3">
      <c r="H806" s="2"/>
      <c r="I806" s="9"/>
    </row>
    <row r="807" spans="8:9" ht="13.9" x14ac:dyDescent="0.3">
      <c r="H807" s="2"/>
      <c r="I807" s="9"/>
    </row>
    <row r="808" spans="8:9" ht="13.9" x14ac:dyDescent="0.3">
      <c r="H808" s="2"/>
      <c r="I808" s="9"/>
    </row>
    <row r="809" spans="8:9" ht="13.9" x14ac:dyDescent="0.3">
      <c r="H809" s="2"/>
      <c r="I809" s="9"/>
    </row>
    <row r="810" spans="8:9" ht="13.9" x14ac:dyDescent="0.3">
      <c r="H810" s="2"/>
      <c r="I810" s="9"/>
    </row>
    <row r="811" spans="8:9" ht="13.9" x14ac:dyDescent="0.3">
      <c r="H811" s="2"/>
      <c r="I811" s="9"/>
    </row>
    <row r="812" spans="8:9" ht="13.9" x14ac:dyDescent="0.3">
      <c r="H812" s="2"/>
      <c r="I812" s="9"/>
    </row>
    <row r="813" spans="8:9" ht="13.9" x14ac:dyDescent="0.3">
      <c r="H813" s="2"/>
      <c r="I813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allsample.tpm</vt:lpstr>
      <vt:lpstr>Sheet1</vt:lpstr>
      <vt:lpstr>young  vs middle </vt:lpstr>
      <vt:lpstr>middle vs old</vt:lpstr>
      <vt:lpstr>young  vs  old</vt:lpstr>
      <vt:lpstr>青年</vt:lpstr>
      <vt:lpstr>中年</vt:lpstr>
      <vt:lpstr>老年</vt:lpstr>
      <vt:lpstr>汇总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2024-12-14T03:23:23Z</dcterms:modified>
</cp:coreProperties>
</file>