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71B9B014-0DBC-4FB5-8C0D-165E548CD9BE}" xr6:coauthVersionLast="47" xr6:coauthVersionMax="47" xr10:uidLastSave="{00000000-0000-0000-0000-000000000000}"/>
  <bookViews>
    <workbookView xWindow="-98" yWindow="-98" windowWidth="19095" windowHeight="12075" activeTab="5" xr2:uid="{00000000-000D-0000-FFFF-FFFF00000000}"/>
  </bookViews>
  <sheets>
    <sheet name="allsample.tpm" sheetId="1" r:id="rId1"/>
    <sheet name="young  vs middle " sheetId="2" r:id="rId2"/>
    <sheet name="middle vs old" sheetId="3" r:id="rId3"/>
    <sheet name="young  vs  old" sheetId="4" r:id="rId4"/>
    <sheet name="青年" sheetId="5" r:id="rId5"/>
    <sheet name="中年" sheetId="6" r:id="rId6"/>
    <sheet name="老年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0" i="7" l="1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2" i="7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2" i="5"/>
  <c r="H649" i="7"/>
  <c r="I926" i="7"/>
  <c r="H926" i="7"/>
  <c r="I925" i="7"/>
  <c r="H925" i="7"/>
  <c r="I924" i="7"/>
  <c r="H924" i="7"/>
  <c r="I923" i="7"/>
  <c r="H923" i="7"/>
  <c r="I922" i="7"/>
  <c r="H922" i="7"/>
  <c r="I921" i="7"/>
  <c r="H921" i="7"/>
  <c r="I920" i="7"/>
  <c r="H920" i="7"/>
  <c r="I919" i="7"/>
  <c r="H919" i="7"/>
  <c r="I918" i="7"/>
  <c r="H918" i="7"/>
  <c r="I917" i="7"/>
  <c r="H917" i="7"/>
  <c r="I916" i="7"/>
  <c r="H916" i="7"/>
  <c r="I915" i="7"/>
  <c r="H915" i="7"/>
  <c r="I914" i="7"/>
  <c r="H914" i="7"/>
  <c r="I913" i="7"/>
  <c r="H913" i="7"/>
  <c r="I912" i="7"/>
  <c r="H912" i="7"/>
  <c r="I911" i="7"/>
  <c r="H911" i="7"/>
  <c r="I910" i="7"/>
  <c r="H910" i="7"/>
  <c r="I909" i="7"/>
  <c r="H909" i="7"/>
  <c r="I908" i="7"/>
  <c r="H908" i="7"/>
  <c r="I907" i="7"/>
  <c r="H907" i="7"/>
  <c r="I906" i="7"/>
  <c r="H906" i="7"/>
  <c r="I905" i="7"/>
  <c r="H905" i="7"/>
  <c r="I904" i="7"/>
  <c r="H904" i="7"/>
  <c r="I903" i="7"/>
  <c r="H903" i="7"/>
  <c r="I902" i="7"/>
  <c r="H902" i="7"/>
  <c r="I901" i="7"/>
  <c r="H901" i="7"/>
  <c r="I900" i="7"/>
  <c r="H900" i="7"/>
  <c r="I899" i="7"/>
  <c r="H899" i="7"/>
  <c r="I898" i="7"/>
  <c r="H898" i="7"/>
  <c r="I897" i="7"/>
  <c r="H897" i="7"/>
  <c r="I896" i="7"/>
  <c r="H896" i="7"/>
  <c r="I895" i="7"/>
  <c r="H895" i="7"/>
  <c r="I894" i="7"/>
  <c r="H894" i="7"/>
  <c r="I893" i="7"/>
  <c r="H893" i="7"/>
  <c r="I892" i="7"/>
  <c r="H892" i="7"/>
  <c r="I891" i="7"/>
  <c r="H891" i="7"/>
  <c r="I890" i="7"/>
  <c r="H890" i="7"/>
  <c r="I889" i="7"/>
  <c r="H889" i="7"/>
  <c r="I888" i="7"/>
  <c r="H888" i="7"/>
  <c r="I887" i="7"/>
  <c r="H887" i="7"/>
  <c r="I886" i="7"/>
  <c r="H886" i="7"/>
  <c r="I885" i="7"/>
  <c r="H885" i="7"/>
  <c r="I884" i="7"/>
  <c r="H884" i="7"/>
  <c r="I883" i="7"/>
  <c r="H883" i="7"/>
  <c r="I882" i="7"/>
  <c r="H882" i="7"/>
  <c r="I881" i="7"/>
  <c r="H881" i="7"/>
  <c r="I880" i="7"/>
  <c r="H880" i="7"/>
  <c r="I879" i="7"/>
  <c r="H879" i="7"/>
  <c r="I878" i="7"/>
  <c r="H878" i="7"/>
  <c r="I877" i="7"/>
  <c r="H877" i="7"/>
  <c r="I876" i="7"/>
  <c r="H876" i="7"/>
  <c r="I875" i="7"/>
  <c r="H875" i="7"/>
  <c r="I874" i="7"/>
  <c r="H874" i="7"/>
  <c r="I873" i="7"/>
  <c r="H873" i="7"/>
  <c r="I872" i="7"/>
  <c r="H872" i="7"/>
  <c r="I871" i="7"/>
  <c r="H871" i="7"/>
  <c r="I870" i="7"/>
  <c r="H870" i="7"/>
  <c r="I869" i="7"/>
  <c r="H869" i="7"/>
  <c r="I868" i="7"/>
  <c r="H868" i="7"/>
  <c r="I867" i="7"/>
  <c r="H867" i="7"/>
  <c r="I866" i="7"/>
  <c r="H866" i="7"/>
  <c r="I865" i="7"/>
  <c r="H865" i="7"/>
  <c r="I864" i="7"/>
  <c r="H864" i="7"/>
  <c r="I863" i="7"/>
  <c r="H863" i="7"/>
  <c r="I862" i="7"/>
  <c r="H862" i="7"/>
  <c r="I861" i="7"/>
  <c r="H861" i="7"/>
  <c r="I860" i="7"/>
  <c r="H860" i="7"/>
  <c r="I859" i="7"/>
  <c r="H859" i="7"/>
  <c r="I858" i="7"/>
  <c r="H858" i="7"/>
  <c r="I857" i="7"/>
  <c r="H857" i="7"/>
  <c r="I856" i="7"/>
  <c r="H856" i="7"/>
  <c r="I855" i="7"/>
  <c r="H855" i="7"/>
  <c r="I854" i="7"/>
  <c r="H854" i="7"/>
  <c r="I853" i="7"/>
  <c r="H853" i="7"/>
  <c r="I852" i="7"/>
  <c r="H852" i="7"/>
  <c r="I851" i="7"/>
  <c r="H851" i="7"/>
  <c r="I850" i="7"/>
  <c r="H850" i="7"/>
  <c r="I849" i="7"/>
  <c r="H849" i="7"/>
  <c r="I848" i="7"/>
  <c r="H848" i="7"/>
  <c r="I847" i="7"/>
  <c r="H847" i="7"/>
  <c r="I846" i="7"/>
  <c r="H846" i="7"/>
  <c r="I845" i="7"/>
  <c r="H845" i="7"/>
  <c r="I844" i="7"/>
  <c r="H844" i="7"/>
  <c r="I843" i="7"/>
  <c r="H843" i="7"/>
  <c r="I842" i="7"/>
  <c r="H842" i="7"/>
  <c r="I841" i="7"/>
  <c r="H841" i="7"/>
  <c r="I840" i="7"/>
  <c r="H840" i="7"/>
  <c r="I839" i="7"/>
  <c r="H839" i="7"/>
  <c r="I838" i="7"/>
  <c r="H838" i="7"/>
  <c r="I837" i="7"/>
  <c r="H837" i="7"/>
  <c r="I836" i="7"/>
  <c r="H836" i="7"/>
  <c r="I835" i="7"/>
  <c r="H835" i="7"/>
  <c r="I834" i="7"/>
  <c r="H834" i="7"/>
  <c r="I833" i="7"/>
  <c r="H833" i="7"/>
  <c r="I832" i="7"/>
  <c r="H832" i="7"/>
  <c r="I831" i="7"/>
  <c r="H831" i="7"/>
  <c r="I830" i="7"/>
  <c r="H830" i="7"/>
  <c r="I829" i="7"/>
  <c r="H829" i="7"/>
  <c r="I828" i="7"/>
  <c r="H828" i="7"/>
  <c r="I827" i="7"/>
  <c r="H827" i="7"/>
  <c r="I826" i="7"/>
  <c r="H826" i="7"/>
  <c r="I825" i="7"/>
  <c r="H825" i="7"/>
  <c r="I824" i="7"/>
  <c r="H824" i="7"/>
  <c r="I823" i="7"/>
  <c r="H823" i="7"/>
  <c r="I822" i="7"/>
  <c r="H822" i="7"/>
  <c r="I821" i="7"/>
  <c r="H821" i="7"/>
  <c r="I820" i="7"/>
  <c r="H820" i="7"/>
  <c r="I819" i="7"/>
  <c r="H819" i="7"/>
  <c r="I818" i="7"/>
  <c r="H818" i="7"/>
  <c r="I817" i="7"/>
  <c r="H817" i="7"/>
  <c r="I816" i="7"/>
  <c r="H816" i="7"/>
  <c r="I815" i="7"/>
  <c r="H815" i="7"/>
  <c r="I814" i="7"/>
  <c r="H814" i="7"/>
  <c r="I813" i="7"/>
  <c r="H813" i="7"/>
  <c r="I812" i="7"/>
  <c r="H812" i="7"/>
  <c r="I811" i="7"/>
  <c r="H811" i="7"/>
  <c r="I810" i="7"/>
  <c r="H810" i="7"/>
  <c r="I809" i="7"/>
  <c r="H809" i="7"/>
  <c r="I808" i="7"/>
  <c r="H808" i="7"/>
  <c r="I807" i="7"/>
  <c r="H807" i="7"/>
  <c r="I806" i="7"/>
  <c r="H806" i="7"/>
  <c r="I805" i="7"/>
  <c r="H805" i="7"/>
  <c r="I804" i="7"/>
  <c r="H804" i="7"/>
  <c r="I803" i="7"/>
  <c r="H803" i="7"/>
  <c r="I802" i="7"/>
  <c r="H802" i="7"/>
  <c r="I801" i="7"/>
  <c r="H801" i="7"/>
  <c r="I800" i="7"/>
  <c r="H800" i="7"/>
  <c r="I799" i="7"/>
  <c r="H799" i="7"/>
  <c r="I798" i="7"/>
  <c r="H798" i="7"/>
  <c r="I797" i="7"/>
  <c r="H797" i="7"/>
  <c r="I796" i="7"/>
  <c r="H796" i="7"/>
  <c r="I795" i="7"/>
  <c r="H795" i="7"/>
  <c r="I794" i="7"/>
  <c r="H794" i="7"/>
  <c r="I793" i="7"/>
  <c r="H793" i="7"/>
  <c r="I792" i="7"/>
  <c r="H792" i="7"/>
  <c r="I791" i="7"/>
  <c r="H791" i="7"/>
  <c r="I790" i="7"/>
  <c r="H790" i="7"/>
  <c r="I789" i="7"/>
  <c r="H789" i="7"/>
  <c r="I788" i="7"/>
  <c r="H788" i="7"/>
  <c r="I787" i="7"/>
  <c r="H787" i="7"/>
  <c r="I786" i="7"/>
  <c r="H786" i="7"/>
  <c r="I785" i="7"/>
  <c r="H785" i="7"/>
  <c r="I784" i="7"/>
  <c r="H784" i="7"/>
  <c r="I783" i="7"/>
  <c r="H783" i="7"/>
  <c r="I782" i="7"/>
  <c r="H782" i="7"/>
  <c r="I781" i="7"/>
  <c r="H781" i="7"/>
  <c r="I780" i="7"/>
  <c r="H780" i="7"/>
  <c r="I779" i="7"/>
  <c r="H779" i="7"/>
  <c r="I778" i="7"/>
  <c r="H778" i="7"/>
  <c r="I777" i="7"/>
  <c r="H777" i="7"/>
  <c r="I776" i="7"/>
  <c r="H776" i="7"/>
  <c r="I775" i="7"/>
  <c r="H775" i="7"/>
  <c r="I774" i="7"/>
  <c r="H774" i="7"/>
  <c r="I773" i="7"/>
  <c r="H773" i="7"/>
  <c r="I772" i="7"/>
  <c r="H772" i="7"/>
  <c r="I771" i="7"/>
  <c r="H771" i="7"/>
  <c r="I770" i="7"/>
  <c r="H770" i="7"/>
  <c r="I769" i="7"/>
  <c r="H769" i="7"/>
  <c r="I768" i="7"/>
  <c r="H768" i="7"/>
  <c r="I767" i="7"/>
  <c r="H767" i="7"/>
  <c r="I766" i="7"/>
  <c r="H766" i="7"/>
  <c r="I765" i="7"/>
  <c r="H765" i="7"/>
  <c r="I764" i="7"/>
  <c r="H764" i="7"/>
  <c r="I763" i="7"/>
  <c r="H763" i="7"/>
  <c r="I762" i="7"/>
  <c r="H762" i="7"/>
  <c r="I761" i="7"/>
  <c r="H761" i="7"/>
  <c r="I760" i="7"/>
  <c r="H760" i="7"/>
  <c r="I759" i="7"/>
  <c r="H759" i="7"/>
  <c r="I758" i="7"/>
  <c r="H758" i="7"/>
  <c r="I757" i="7"/>
  <c r="H757" i="7"/>
  <c r="I756" i="7"/>
  <c r="H756" i="7"/>
  <c r="I755" i="7"/>
  <c r="H755" i="7"/>
  <c r="I754" i="7"/>
  <c r="H754" i="7"/>
  <c r="I753" i="7"/>
  <c r="H753" i="7"/>
  <c r="I752" i="7"/>
  <c r="H752" i="7"/>
  <c r="I751" i="7"/>
  <c r="H751" i="7"/>
  <c r="I750" i="7"/>
  <c r="H750" i="7"/>
  <c r="I749" i="7"/>
  <c r="H749" i="7"/>
  <c r="I748" i="7"/>
  <c r="H748" i="7"/>
  <c r="I747" i="7"/>
  <c r="H747" i="7"/>
  <c r="I746" i="7"/>
  <c r="H746" i="7"/>
  <c r="I745" i="7"/>
  <c r="H745" i="7"/>
  <c r="I744" i="7"/>
  <c r="H744" i="7"/>
  <c r="I743" i="7"/>
  <c r="H743" i="7"/>
  <c r="I742" i="7"/>
  <c r="H742" i="7"/>
  <c r="I741" i="7"/>
  <c r="H741" i="7"/>
  <c r="I740" i="7"/>
  <c r="H740" i="7"/>
  <c r="I739" i="7"/>
  <c r="H739" i="7"/>
  <c r="I738" i="7"/>
  <c r="H738" i="7"/>
  <c r="I737" i="7"/>
  <c r="H737" i="7"/>
  <c r="I736" i="7"/>
  <c r="H736" i="7"/>
  <c r="I735" i="7"/>
  <c r="H735" i="7"/>
  <c r="I734" i="7"/>
  <c r="H734" i="7"/>
  <c r="I733" i="7"/>
  <c r="H733" i="7"/>
  <c r="I732" i="7"/>
  <c r="H732" i="7"/>
  <c r="I731" i="7"/>
  <c r="H731" i="7"/>
  <c r="I730" i="7"/>
  <c r="H730" i="7"/>
  <c r="I729" i="7"/>
  <c r="H729" i="7"/>
  <c r="I728" i="7"/>
  <c r="H728" i="7"/>
  <c r="I727" i="7"/>
  <c r="H727" i="7"/>
  <c r="I726" i="7"/>
  <c r="H726" i="7"/>
  <c r="I725" i="7"/>
  <c r="H725" i="7"/>
  <c r="I724" i="7"/>
  <c r="H724" i="7"/>
  <c r="I723" i="7"/>
  <c r="H723" i="7"/>
  <c r="I722" i="7"/>
  <c r="H722" i="7"/>
  <c r="I721" i="7"/>
  <c r="H721" i="7"/>
  <c r="I720" i="7"/>
  <c r="H720" i="7"/>
  <c r="I719" i="7"/>
  <c r="H719" i="7"/>
  <c r="I718" i="7"/>
  <c r="H718" i="7"/>
  <c r="I717" i="7"/>
  <c r="H717" i="7"/>
  <c r="I716" i="7"/>
  <c r="H716" i="7"/>
  <c r="I715" i="7"/>
  <c r="H715" i="7"/>
  <c r="I714" i="7"/>
  <c r="H714" i="7"/>
  <c r="I713" i="7"/>
  <c r="H713" i="7"/>
  <c r="I712" i="7"/>
  <c r="H712" i="7"/>
  <c r="I711" i="7"/>
  <c r="H711" i="7"/>
  <c r="I710" i="7"/>
  <c r="H710" i="7"/>
  <c r="I709" i="7"/>
  <c r="H709" i="7"/>
  <c r="I708" i="7"/>
  <c r="H708" i="7"/>
  <c r="I707" i="7"/>
  <c r="H707" i="7"/>
  <c r="I706" i="7"/>
  <c r="H706" i="7"/>
  <c r="I705" i="7"/>
  <c r="H705" i="7"/>
  <c r="I704" i="7"/>
  <c r="H704" i="7"/>
  <c r="I703" i="7"/>
  <c r="H703" i="7"/>
  <c r="I702" i="7"/>
  <c r="H702" i="7"/>
  <c r="I701" i="7"/>
  <c r="H701" i="7"/>
  <c r="I700" i="7"/>
  <c r="H700" i="7"/>
  <c r="I699" i="7"/>
  <c r="H699" i="7"/>
  <c r="I698" i="7"/>
  <c r="H698" i="7"/>
  <c r="I697" i="7"/>
  <c r="H697" i="7"/>
  <c r="I696" i="7"/>
  <c r="H696" i="7"/>
  <c r="I695" i="7"/>
  <c r="H695" i="7"/>
  <c r="I694" i="7"/>
  <c r="H694" i="7"/>
  <c r="I693" i="7"/>
  <c r="H693" i="7"/>
  <c r="I692" i="7"/>
  <c r="H692" i="7"/>
  <c r="I691" i="7"/>
  <c r="H691" i="7"/>
  <c r="I690" i="7"/>
  <c r="H690" i="7"/>
  <c r="I689" i="7"/>
  <c r="H689" i="7"/>
  <c r="I688" i="7"/>
  <c r="H688" i="7"/>
  <c r="I687" i="7"/>
  <c r="H687" i="7"/>
  <c r="I686" i="7"/>
  <c r="H686" i="7"/>
  <c r="I685" i="7"/>
  <c r="H685" i="7"/>
  <c r="I684" i="7"/>
  <c r="H684" i="7"/>
  <c r="I683" i="7"/>
  <c r="H683" i="7"/>
  <c r="I682" i="7"/>
  <c r="H682" i="7"/>
  <c r="I681" i="7"/>
  <c r="H681" i="7"/>
  <c r="I680" i="7"/>
  <c r="H680" i="7"/>
  <c r="I679" i="7"/>
  <c r="H679" i="7"/>
  <c r="I678" i="7"/>
  <c r="H678" i="7"/>
  <c r="I677" i="7"/>
  <c r="H677" i="7"/>
  <c r="I676" i="7"/>
  <c r="H676" i="7"/>
  <c r="I675" i="7"/>
  <c r="H675" i="7"/>
  <c r="I674" i="7"/>
  <c r="H674" i="7"/>
  <c r="I673" i="7"/>
  <c r="H673" i="7"/>
  <c r="I672" i="7"/>
  <c r="H672" i="7"/>
  <c r="I671" i="7"/>
  <c r="H671" i="7"/>
  <c r="I670" i="7"/>
  <c r="H670" i="7"/>
  <c r="I669" i="7"/>
  <c r="H669" i="7"/>
  <c r="I668" i="7"/>
  <c r="H668" i="7"/>
  <c r="I667" i="7"/>
  <c r="H667" i="7"/>
  <c r="I666" i="7"/>
  <c r="H666" i="7"/>
  <c r="I665" i="7"/>
  <c r="H665" i="7"/>
  <c r="I664" i="7"/>
  <c r="H664" i="7"/>
  <c r="I663" i="7"/>
  <c r="H663" i="7"/>
  <c r="I662" i="7"/>
  <c r="H662" i="7"/>
  <c r="I661" i="7"/>
  <c r="H661" i="7"/>
  <c r="I660" i="7"/>
  <c r="H660" i="7"/>
  <c r="I659" i="7"/>
  <c r="H659" i="7"/>
  <c r="I658" i="7"/>
  <c r="H658" i="7"/>
  <c r="I657" i="7"/>
  <c r="H657" i="7"/>
  <c r="I656" i="7"/>
  <c r="H656" i="7"/>
  <c r="I655" i="7"/>
  <c r="H655" i="7"/>
  <c r="I654" i="7"/>
  <c r="H654" i="7"/>
  <c r="I653" i="7"/>
  <c r="H653" i="7"/>
  <c r="I652" i="7"/>
  <c r="H652" i="7"/>
  <c r="I651" i="7"/>
  <c r="H651" i="7"/>
  <c r="I650" i="7"/>
  <c r="H650" i="7"/>
  <c r="I649" i="7"/>
  <c r="I648" i="7"/>
  <c r="H648" i="7"/>
  <c r="I647" i="7"/>
  <c r="H647" i="7"/>
  <c r="I646" i="7"/>
  <c r="H646" i="7"/>
  <c r="I645" i="7"/>
  <c r="H645" i="7"/>
  <c r="I644" i="7"/>
  <c r="H644" i="7"/>
  <c r="I643" i="7"/>
  <c r="H643" i="7"/>
  <c r="I642" i="7"/>
  <c r="H642" i="7"/>
  <c r="I641" i="7"/>
  <c r="H641" i="7"/>
  <c r="I640" i="7"/>
  <c r="H640" i="7"/>
  <c r="I639" i="7"/>
  <c r="H639" i="7"/>
  <c r="I638" i="7"/>
  <c r="H638" i="7"/>
  <c r="I637" i="7"/>
  <c r="H637" i="7"/>
  <c r="I636" i="7"/>
  <c r="H636" i="7"/>
  <c r="I635" i="7"/>
  <c r="H635" i="7"/>
  <c r="I634" i="7"/>
  <c r="H634" i="7"/>
  <c r="I633" i="7"/>
  <c r="H633" i="7"/>
  <c r="I632" i="7"/>
  <c r="H632" i="7"/>
  <c r="I631" i="7"/>
  <c r="H631" i="7"/>
  <c r="I630" i="7"/>
  <c r="H630" i="7"/>
  <c r="I629" i="7"/>
  <c r="H629" i="7"/>
  <c r="I628" i="7"/>
  <c r="H628" i="7"/>
  <c r="I627" i="7"/>
  <c r="H627" i="7"/>
  <c r="I626" i="7"/>
  <c r="H626" i="7"/>
  <c r="I625" i="7"/>
  <c r="H625" i="7"/>
  <c r="I624" i="7"/>
  <c r="H624" i="7"/>
  <c r="I623" i="7"/>
  <c r="H623" i="7"/>
  <c r="I622" i="7"/>
  <c r="H622" i="7"/>
  <c r="I621" i="7"/>
  <c r="H621" i="7"/>
  <c r="I620" i="7"/>
  <c r="H620" i="7"/>
  <c r="I619" i="7"/>
  <c r="H619" i="7"/>
  <c r="I618" i="7"/>
  <c r="H618" i="7"/>
  <c r="I617" i="7"/>
  <c r="H617" i="7"/>
  <c r="I616" i="7"/>
  <c r="H616" i="7"/>
  <c r="I615" i="7"/>
  <c r="H615" i="7"/>
  <c r="I614" i="7"/>
  <c r="H614" i="7"/>
  <c r="I613" i="7"/>
  <c r="H613" i="7"/>
  <c r="I612" i="7"/>
  <c r="H612" i="7"/>
  <c r="I611" i="7"/>
  <c r="H611" i="7"/>
  <c r="I610" i="7"/>
  <c r="H610" i="7"/>
  <c r="I609" i="7"/>
  <c r="H609" i="7"/>
  <c r="I608" i="7"/>
  <c r="H608" i="7"/>
  <c r="I607" i="7"/>
  <c r="H607" i="7"/>
  <c r="I606" i="7"/>
  <c r="H606" i="7"/>
  <c r="I605" i="7"/>
  <c r="H605" i="7"/>
  <c r="I604" i="7"/>
  <c r="H604" i="7"/>
  <c r="I603" i="7"/>
  <c r="H603" i="7"/>
  <c r="I602" i="7"/>
  <c r="H602" i="7"/>
  <c r="I601" i="7"/>
  <c r="H601" i="7"/>
  <c r="I600" i="7"/>
  <c r="H600" i="7"/>
  <c r="I599" i="7"/>
  <c r="H599" i="7"/>
  <c r="I598" i="7"/>
  <c r="H598" i="7"/>
  <c r="I597" i="7"/>
  <c r="H597" i="7"/>
  <c r="I596" i="7"/>
  <c r="H596" i="7"/>
  <c r="I595" i="7"/>
  <c r="H595" i="7"/>
  <c r="I594" i="7"/>
  <c r="H594" i="7"/>
  <c r="I593" i="7"/>
  <c r="H593" i="7"/>
  <c r="I592" i="7"/>
  <c r="H592" i="7"/>
  <c r="I591" i="7"/>
  <c r="H591" i="7"/>
  <c r="I590" i="7"/>
  <c r="H590" i="7"/>
  <c r="I589" i="7"/>
  <c r="H589" i="7"/>
  <c r="I588" i="7"/>
  <c r="H588" i="7"/>
  <c r="I587" i="7"/>
  <c r="H587" i="7"/>
  <c r="I586" i="7"/>
  <c r="H586" i="7"/>
  <c r="I585" i="7"/>
  <c r="H585" i="7"/>
  <c r="I584" i="7"/>
  <c r="H584" i="7"/>
  <c r="I583" i="7"/>
  <c r="H583" i="7"/>
  <c r="I582" i="7"/>
  <c r="H582" i="7"/>
  <c r="I581" i="7"/>
  <c r="H581" i="7"/>
  <c r="I580" i="7"/>
  <c r="H580" i="7"/>
  <c r="I579" i="7"/>
  <c r="H579" i="7"/>
  <c r="I578" i="7"/>
  <c r="H578" i="7"/>
  <c r="I577" i="7"/>
  <c r="H577" i="7"/>
  <c r="I576" i="7"/>
  <c r="H576" i="7"/>
  <c r="I575" i="7"/>
  <c r="H575" i="7"/>
  <c r="I574" i="7"/>
  <c r="H574" i="7"/>
  <c r="I573" i="7"/>
  <c r="H573" i="7"/>
  <c r="I572" i="7"/>
  <c r="H572" i="7"/>
  <c r="I571" i="7"/>
  <c r="H571" i="7"/>
  <c r="I570" i="7"/>
  <c r="H570" i="7"/>
  <c r="I569" i="7"/>
  <c r="H569" i="7"/>
  <c r="I568" i="7"/>
  <c r="H568" i="7"/>
  <c r="I567" i="7"/>
  <c r="H567" i="7"/>
  <c r="I566" i="7"/>
  <c r="H566" i="7"/>
  <c r="I565" i="7"/>
  <c r="H565" i="7"/>
  <c r="I564" i="7"/>
  <c r="H564" i="7"/>
  <c r="I563" i="7"/>
  <c r="H563" i="7"/>
  <c r="I562" i="7"/>
  <c r="H562" i="7"/>
  <c r="I561" i="7"/>
  <c r="H561" i="7"/>
  <c r="I560" i="7"/>
  <c r="H560" i="7"/>
  <c r="I559" i="7"/>
  <c r="H559" i="7"/>
  <c r="I558" i="7"/>
  <c r="H558" i="7"/>
  <c r="I557" i="7"/>
  <c r="H557" i="7"/>
  <c r="I556" i="7"/>
  <c r="H556" i="7"/>
  <c r="I555" i="7"/>
  <c r="H555" i="7"/>
  <c r="I554" i="7"/>
  <c r="H554" i="7"/>
  <c r="I553" i="7"/>
  <c r="H553" i="7"/>
  <c r="I552" i="7"/>
  <c r="H552" i="7"/>
  <c r="I551" i="7"/>
  <c r="H551" i="7"/>
  <c r="I550" i="7"/>
  <c r="H550" i="7"/>
  <c r="I549" i="7"/>
  <c r="H549" i="7"/>
  <c r="I548" i="7"/>
  <c r="H548" i="7"/>
  <c r="I547" i="7"/>
  <c r="H547" i="7"/>
  <c r="I546" i="7"/>
  <c r="H546" i="7"/>
  <c r="I545" i="7"/>
  <c r="H545" i="7"/>
  <c r="I544" i="7"/>
  <c r="H544" i="7"/>
  <c r="I543" i="7"/>
  <c r="H543" i="7"/>
  <c r="I542" i="7"/>
  <c r="H542" i="7"/>
  <c r="I541" i="7"/>
  <c r="H541" i="7"/>
  <c r="I540" i="7"/>
  <c r="H540" i="7"/>
  <c r="I539" i="7"/>
  <c r="H539" i="7"/>
  <c r="I538" i="7"/>
  <c r="H538" i="7"/>
  <c r="I537" i="7"/>
  <c r="H537" i="7"/>
  <c r="I536" i="7"/>
  <c r="H536" i="7"/>
  <c r="I535" i="7"/>
  <c r="H535" i="7"/>
  <c r="I534" i="7"/>
  <c r="H534" i="7"/>
  <c r="I533" i="7"/>
  <c r="H533" i="7"/>
  <c r="I532" i="7"/>
  <c r="H532" i="7"/>
  <c r="I531" i="7"/>
  <c r="H531" i="7"/>
  <c r="I530" i="7"/>
  <c r="H530" i="7"/>
  <c r="I529" i="7"/>
  <c r="H529" i="7"/>
  <c r="I528" i="7"/>
  <c r="H528" i="7"/>
  <c r="I527" i="7"/>
  <c r="H527" i="7"/>
  <c r="I526" i="7"/>
  <c r="H526" i="7"/>
  <c r="I525" i="7"/>
  <c r="H525" i="7"/>
  <c r="I524" i="7"/>
  <c r="H524" i="7"/>
  <c r="I523" i="7"/>
  <c r="H523" i="7"/>
  <c r="I522" i="7"/>
  <c r="H522" i="7"/>
  <c r="I521" i="7"/>
  <c r="H521" i="7"/>
  <c r="I520" i="7"/>
  <c r="H520" i="7"/>
  <c r="I519" i="7"/>
  <c r="H519" i="7"/>
  <c r="I518" i="7"/>
  <c r="H518" i="7"/>
  <c r="I517" i="7"/>
  <c r="H517" i="7"/>
  <c r="I516" i="7"/>
  <c r="H516" i="7"/>
  <c r="I515" i="7"/>
  <c r="H515" i="7"/>
  <c r="I514" i="7"/>
  <c r="H514" i="7"/>
  <c r="I513" i="7"/>
  <c r="H513" i="7"/>
  <c r="I512" i="7"/>
  <c r="H512" i="7"/>
  <c r="I511" i="7"/>
  <c r="H511" i="7"/>
  <c r="I510" i="7"/>
  <c r="H510" i="7"/>
  <c r="I509" i="7"/>
  <c r="H509" i="7"/>
  <c r="I508" i="7"/>
  <c r="H508" i="7"/>
  <c r="I507" i="7"/>
  <c r="H507" i="7"/>
  <c r="I506" i="7"/>
  <c r="H506" i="7"/>
  <c r="I505" i="7"/>
  <c r="H505" i="7"/>
  <c r="I504" i="7"/>
  <c r="H504" i="7"/>
  <c r="I503" i="7"/>
  <c r="H503" i="7"/>
  <c r="I502" i="7"/>
  <c r="H502" i="7"/>
  <c r="I501" i="7"/>
  <c r="H501" i="7"/>
  <c r="I500" i="7"/>
  <c r="H500" i="7"/>
  <c r="I499" i="7"/>
  <c r="H499" i="7"/>
  <c r="I498" i="7"/>
  <c r="H498" i="7"/>
  <c r="I497" i="7"/>
  <c r="H497" i="7"/>
  <c r="I496" i="7"/>
  <c r="H496" i="7"/>
  <c r="I495" i="7"/>
  <c r="H495" i="7"/>
  <c r="I494" i="7"/>
  <c r="H494" i="7"/>
  <c r="I493" i="7"/>
  <c r="H493" i="7"/>
  <c r="I492" i="7"/>
  <c r="H492" i="7"/>
  <c r="I491" i="7"/>
  <c r="H491" i="7"/>
  <c r="I490" i="7"/>
  <c r="H490" i="7"/>
  <c r="I489" i="7"/>
  <c r="H489" i="7"/>
  <c r="I488" i="7"/>
  <c r="H488" i="7"/>
  <c r="I487" i="7"/>
  <c r="H487" i="7"/>
  <c r="I486" i="7"/>
  <c r="H486" i="7"/>
  <c r="I485" i="7"/>
  <c r="H485" i="7"/>
  <c r="I484" i="7"/>
  <c r="H484" i="7"/>
  <c r="I483" i="7"/>
  <c r="H483" i="7"/>
  <c r="I482" i="7"/>
  <c r="H482" i="7"/>
  <c r="I481" i="7"/>
  <c r="H481" i="7"/>
  <c r="I480" i="7"/>
  <c r="H480" i="7"/>
  <c r="I479" i="7"/>
  <c r="H479" i="7"/>
  <c r="I478" i="7"/>
  <c r="H478" i="7"/>
  <c r="I477" i="7"/>
  <c r="H477" i="7"/>
  <c r="I476" i="7"/>
  <c r="H476" i="7"/>
  <c r="I475" i="7"/>
  <c r="H475" i="7"/>
  <c r="I474" i="7"/>
  <c r="H474" i="7"/>
  <c r="I473" i="7"/>
  <c r="H473" i="7"/>
  <c r="I472" i="7"/>
  <c r="H472" i="7"/>
  <c r="I471" i="7"/>
  <c r="H471" i="7"/>
  <c r="I470" i="7"/>
  <c r="H470" i="7"/>
  <c r="I469" i="7"/>
  <c r="H469" i="7"/>
  <c r="I468" i="7"/>
  <c r="H468" i="7"/>
  <c r="I467" i="7"/>
  <c r="H467" i="7"/>
  <c r="I466" i="7"/>
  <c r="H466" i="7"/>
  <c r="I465" i="7"/>
  <c r="H465" i="7"/>
  <c r="I464" i="7"/>
  <c r="H464" i="7"/>
  <c r="I463" i="7"/>
  <c r="H463" i="7"/>
  <c r="I462" i="7"/>
  <c r="H462" i="7"/>
  <c r="I461" i="7"/>
  <c r="H461" i="7"/>
  <c r="I460" i="7"/>
  <c r="H460" i="7"/>
  <c r="I459" i="7"/>
  <c r="H459" i="7"/>
  <c r="I458" i="7"/>
  <c r="H458" i="7"/>
  <c r="I457" i="7"/>
  <c r="H457" i="7"/>
  <c r="I456" i="7"/>
  <c r="H456" i="7"/>
  <c r="I455" i="7"/>
  <c r="H455" i="7"/>
  <c r="I454" i="7"/>
  <c r="H454" i="7"/>
  <c r="I453" i="7"/>
  <c r="H453" i="7"/>
  <c r="I452" i="7"/>
  <c r="H452" i="7"/>
  <c r="I451" i="7"/>
  <c r="H451" i="7"/>
  <c r="I450" i="7"/>
  <c r="H450" i="7"/>
  <c r="I449" i="7"/>
  <c r="H449" i="7"/>
  <c r="I448" i="7"/>
  <c r="H448" i="7"/>
  <c r="I447" i="7"/>
  <c r="H447" i="7"/>
  <c r="I446" i="7"/>
  <c r="H446" i="7"/>
  <c r="I445" i="7"/>
  <c r="H445" i="7"/>
  <c r="I444" i="7"/>
  <c r="H444" i="7"/>
  <c r="I443" i="7"/>
  <c r="H443" i="7"/>
  <c r="I442" i="7"/>
  <c r="H442" i="7"/>
  <c r="I441" i="7"/>
  <c r="H441" i="7"/>
  <c r="I440" i="7"/>
  <c r="H440" i="7"/>
  <c r="I439" i="7"/>
  <c r="H439" i="7"/>
  <c r="I438" i="7"/>
  <c r="H438" i="7"/>
  <c r="I437" i="7"/>
  <c r="H437" i="7"/>
  <c r="I436" i="7"/>
  <c r="H436" i="7"/>
  <c r="I435" i="7"/>
  <c r="H435" i="7"/>
  <c r="I434" i="7"/>
  <c r="H434" i="7"/>
  <c r="I433" i="7"/>
  <c r="H433" i="7"/>
  <c r="I432" i="7"/>
  <c r="H432" i="7"/>
  <c r="I431" i="7"/>
  <c r="H431" i="7"/>
  <c r="I430" i="7"/>
  <c r="H430" i="7"/>
  <c r="I429" i="7"/>
  <c r="H429" i="7"/>
  <c r="I428" i="7"/>
  <c r="H428" i="7"/>
  <c r="I427" i="7"/>
  <c r="H427" i="7"/>
  <c r="I426" i="7"/>
  <c r="H426" i="7"/>
  <c r="I425" i="7"/>
  <c r="H425" i="7"/>
  <c r="I424" i="7"/>
  <c r="H424" i="7"/>
  <c r="I423" i="7"/>
  <c r="H423" i="7"/>
  <c r="I422" i="7"/>
  <c r="H422" i="7"/>
  <c r="I421" i="7"/>
  <c r="H421" i="7"/>
  <c r="I420" i="7"/>
  <c r="H420" i="7"/>
  <c r="I419" i="7"/>
  <c r="H419" i="7"/>
  <c r="I418" i="7"/>
  <c r="H418" i="7"/>
  <c r="I417" i="7"/>
  <c r="H417" i="7"/>
  <c r="I416" i="7"/>
  <c r="H416" i="7"/>
  <c r="I415" i="7"/>
  <c r="H415" i="7"/>
  <c r="I414" i="7"/>
  <c r="H414" i="7"/>
  <c r="I413" i="7"/>
  <c r="H413" i="7"/>
  <c r="I412" i="7"/>
  <c r="H412" i="7"/>
  <c r="I411" i="7"/>
  <c r="H411" i="7"/>
  <c r="I410" i="7"/>
  <c r="H410" i="7"/>
  <c r="I409" i="7"/>
  <c r="H409" i="7"/>
  <c r="I408" i="7"/>
  <c r="H408" i="7"/>
  <c r="I407" i="7"/>
  <c r="H407" i="7"/>
  <c r="I406" i="7"/>
  <c r="H406" i="7"/>
  <c r="I405" i="7"/>
  <c r="H405" i="7"/>
  <c r="I404" i="7"/>
  <c r="H404" i="7"/>
  <c r="I403" i="7"/>
  <c r="H403" i="7"/>
  <c r="I402" i="7"/>
  <c r="H402" i="7"/>
  <c r="I401" i="7"/>
  <c r="H401" i="7"/>
  <c r="I400" i="7"/>
  <c r="H400" i="7"/>
  <c r="I399" i="7"/>
  <c r="H399" i="7"/>
  <c r="I398" i="7"/>
  <c r="H398" i="7"/>
  <c r="I397" i="7"/>
  <c r="H397" i="7"/>
  <c r="I396" i="7"/>
  <c r="H396" i="7"/>
  <c r="I395" i="7"/>
  <c r="H395" i="7"/>
  <c r="I394" i="7"/>
  <c r="H394" i="7"/>
  <c r="I393" i="7"/>
  <c r="H393" i="7"/>
  <c r="I392" i="7"/>
  <c r="H392" i="7"/>
  <c r="I391" i="7"/>
  <c r="H391" i="7"/>
  <c r="I390" i="7"/>
  <c r="H390" i="7"/>
  <c r="I389" i="7"/>
  <c r="H389" i="7"/>
  <c r="I388" i="7"/>
  <c r="H388" i="7"/>
  <c r="I387" i="7"/>
  <c r="H387" i="7"/>
  <c r="I386" i="7"/>
  <c r="H386" i="7"/>
  <c r="I385" i="7"/>
  <c r="H385" i="7"/>
  <c r="I384" i="7"/>
  <c r="H384" i="7"/>
  <c r="I383" i="7"/>
  <c r="H383" i="7"/>
  <c r="I382" i="7"/>
  <c r="H382" i="7"/>
  <c r="I381" i="7"/>
  <c r="H381" i="7"/>
  <c r="I380" i="7"/>
  <c r="H380" i="7"/>
  <c r="I379" i="7"/>
  <c r="H379" i="7"/>
  <c r="I378" i="7"/>
  <c r="H378" i="7"/>
  <c r="I377" i="7"/>
  <c r="H377" i="7"/>
  <c r="I376" i="7"/>
  <c r="H376" i="7"/>
  <c r="I375" i="7"/>
  <c r="H375" i="7"/>
  <c r="I374" i="7"/>
  <c r="H374" i="7"/>
  <c r="I373" i="7"/>
  <c r="H373" i="7"/>
  <c r="I372" i="7"/>
  <c r="H372" i="7"/>
  <c r="I371" i="7"/>
  <c r="H371" i="7"/>
  <c r="I370" i="7"/>
  <c r="H370" i="7"/>
  <c r="I369" i="7"/>
  <c r="H369" i="7"/>
  <c r="I368" i="7"/>
  <c r="H368" i="7"/>
  <c r="I367" i="7"/>
  <c r="H367" i="7"/>
  <c r="I366" i="7"/>
  <c r="H366" i="7"/>
  <c r="I365" i="7"/>
  <c r="H365" i="7"/>
  <c r="I364" i="7"/>
  <c r="H364" i="7"/>
  <c r="I363" i="7"/>
  <c r="H363" i="7"/>
  <c r="I362" i="7"/>
  <c r="H362" i="7"/>
  <c r="I361" i="7"/>
  <c r="H361" i="7"/>
  <c r="I360" i="7"/>
  <c r="H360" i="7"/>
  <c r="I359" i="7"/>
  <c r="H359" i="7"/>
  <c r="I358" i="7"/>
  <c r="H358" i="7"/>
  <c r="I357" i="7"/>
  <c r="H357" i="7"/>
  <c r="I356" i="7"/>
  <c r="H356" i="7"/>
  <c r="I355" i="7"/>
  <c r="H355" i="7"/>
  <c r="I354" i="7"/>
  <c r="H354" i="7"/>
  <c r="I353" i="7"/>
  <c r="H353" i="7"/>
  <c r="I352" i="7"/>
  <c r="H352" i="7"/>
  <c r="I351" i="7"/>
  <c r="H351" i="7"/>
  <c r="I350" i="7"/>
  <c r="H350" i="7"/>
  <c r="I349" i="7"/>
  <c r="H349" i="7"/>
  <c r="I348" i="7"/>
  <c r="H348" i="7"/>
  <c r="I347" i="7"/>
  <c r="H347" i="7"/>
  <c r="I346" i="7"/>
  <c r="H346" i="7"/>
  <c r="I345" i="7"/>
  <c r="H345" i="7"/>
  <c r="I344" i="7"/>
  <c r="H344" i="7"/>
  <c r="I343" i="7"/>
  <c r="H343" i="7"/>
  <c r="I342" i="7"/>
  <c r="H342" i="7"/>
  <c r="I341" i="7"/>
  <c r="H341" i="7"/>
  <c r="I340" i="7"/>
  <c r="H340" i="7"/>
  <c r="I339" i="7"/>
  <c r="H339" i="7"/>
  <c r="I338" i="7"/>
  <c r="H338" i="7"/>
  <c r="I337" i="7"/>
  <c r="H337" i="7"/>
  <c r="I336" i="7"/>
  <c r="H336" i="7"/>
  <c r="I335" i="7"/>
  <c r="H335" i="7"/>
  <c r="I334" i="7"/>
  <c r="H334" i="7"/>
  <c r="I333" i="7"/>
  <c r="H333" i="7"/>
  <c r="I332" i="7"/>
  <c r="H332" i="7"/>
  <c r="I331" i="7"/>
  <c r="H331" i="7"/>
  <c r="I330" i="7"/>
  <c r="H330" i="7"/>
  <c r="I329" i="7"/>
  <c r="H329" i="7"/>
  <c r="I328" i="7"/>
  <c r="H328" i="7"/>
  <c r="I327" i="7"/>
  <c r="H327" i="7"/>
  <c r="I326" i="7"/>
  <c r="H326" i="7"/>
  <c r="I325" i="7"/>
  <c r="H325" i="7"/>
  <c r="I324" i="7"/>
  <c r="H324" i="7"/>
  <c r="I323" i="7"/>
  <c r="H323" i="7"/>
  <c r="I322" i="7"/>
  <c r="H322" i="7"/>
  <c r="I321" i="7"/>
  <c r="H321" i="7"/>
  <c r="I320" i="7"/>
  <c r="H320" i="7"/>
  <c r="I319" i="7"/>
  <c r="H319" i="7"/>
  <c r="I318" i="7"/>
  <c r="H318" i="7"/>
  <c r="I317" i="7"/>
  <c r="H317" i="7"/>
  <c r="I316" i="7"/>
  <c r="H316" i="7"/>
  <c r="I315" i="7"/>
  <c r="H315" i="7"/>
  <c r="I314" i="7"/>
  <c r="H314" i="7"/>
  <c r="I313" i="7"/>
  <c r="H313" i="7"/>
  <c r="I312" i="7"/>
  <c r="H312" i="7"/>
  <c r="I311" i="7"/>
  <c r="H311" i="7"/>
  <c r="I310" i="7"/>
  <c r="H310" i="7"/>
  <c r="I309" i="7"/>
  <c r="H309" i="7"/>
  <c r="I308" i="7"/>
  <c r="H308" i="7"/>
  <c r="I307" i="7"/>
  <c r="H307" i="7"/>
  <c r="I306" i="7"/>
  <c r="H306" i="7"/>
  <c r="I305" i="7"/>
  <c r="H305" i="7"/>
  <c r="I304" i="7"/>
  <c r="H304" i="7"/>
  <c r="I303" i="7"/>
  <c r="H303" i="7"/>
  <c r="I302" i="7"/>
  <c r="H302" i="7"/>
  <c r="I301" i="7"/>
  <c r="H301" i="7"/>
  <c r="I300" i="7"/>
  <c r="H300" i="7"/>
  <c r="I299" i="7"/>
  <c r="H299" i="7"/>
  <c r="I298" i="7"/>
  <c r="H298" i="7"/>
  <c r="I297" i="7"/>
  <c r="H297" i="7"/>
  <c r="I296" i="7"/>
  <c r="H296" i="7"/>
  <c r="I295" i="7"/>
  <c r="H295" i="7"/>
  <c r="I294" i="7"/>
  <c r="H294" i="7"/>
  <c r="I293" i="7"/>
  <c r="H293" i="7"/>
  <c r="I292" i="7"/>
  <c r="H292" i="7"/>
  <c r="I291" i="7"/>
  <c r="H291" i="7"/>
  <c r="I290" i="7"/>
  <c r="H290" i="7"/>
  <c r="I289" i="7"/>
  <c r="H289" i="7"/>
  <c r="I288" i="7"/>
  <c r="H288" i="7"/>
  <c r="I287" i="7"/>
  <c r="H287" i="7"/>
  <c r="I286" i="7"/>
  <c r="H286" i="7"/>
  <c r="I285" i="7"/>
  <c r="H285" i="7"/>
  <c r="I284" i="7"/>
  <c r="H284" i="7"/>
  <c r="I283" i="7"/>
  <c r="H283" i="7"/>
  <c r="I282" i="7"/>
  <c r="H282" i="7"/>
  <c r="I281" i="7"/>
  <c r="H281" i="7"/>
  <c r="I280" i="7"/>
  <c r="H280" i="7"/>
  <c r="I279" i="7"/>
  <c r="H279" i="7"/>
  <c r="I278" i="7"/>
  <c r="H278" i="7"/>
  <c r="I277" i="7"/>
  <c r="H277" i="7"/>
  <c r="I276" i="7"/>
  <c r="H276" i="7"/>
  <c r="I275" i="7"/>
  <c r="H275" i="7"/>
  <c r="I274" i="7"/>
  <c r="H274" i="7"/>
  <c r="I273" i="7"/>
  <c r="H273" i="7"/>
  <c r="I272" i="7"/>
  <c r="H272" i="7"/>
  <c r="I271" i="7"/>
  <c r="H271" i="7"/>
  <c r="I270" i="7"/>
  <c r="H270" i="7"/>
  <c r="I269" i="7"/>
  <c r="H269" i="7"/>
  <c r="I268" i="7"/>
  <c r="H268" i="7"/>
  <c r="I267" i="7"/>
  <c r="H267" i="7"/>
  <c r="I266" i="7"/>
  <c r="H266" i="7"/>
  <c r="I265" i="7"/>
  <c r="H265" i="7"/>
  <c r="I264" i="7"/>
  <c r="H264" i="7"/>
  <c r="I263" i="7"/>
  <c r="H263" i="7"/>
  <c r="I262" i="7"/>
  <c r="H262" i="7"/>
  <c r="I261" i="7"/>
  <c r="H261" i="7"/>
  <c r="I260" i="7"/>
  <c r="H260" i="7"/>
  <c r="I259" i="7"/>
  <c r="H259" i="7"/>
  <c r="I258" i="7"/>
  <c r="H258" i="7"/>
  <c r="I257" i="7"/>
  <c r="H257" i="7"/>
  <c r="I256" i="7"/>
  <c r="H256" i="7"/>
  <c r="I255" i="7"/>
  <c r="H255" i="7"/>
  <c r="I254" i="7"/>
  <c r="H254" i="7"/>
  <c r="I253" i="7"/>
  <c r="H253" i="7"/>
  <c r="I252" i="7"/>
  <c r="H252" i="7"/>
  <c r="I251" i="7"/>
  <c r="H251" i="7"/>
  <c r="I250" i="7"/>
  <c r="H250" i="7"/>
  <c r="I249" i="7"/>
  <c r="H249" i="7"/>
  <c r="I248" i="7"/>
  <c r="H248" i="7"/>
  <c r="I247" i="7"/>
  <c r="H247" i="7"/>
  <c r="I246" i="7"/>
  <c r="H246" i="7"/>
  <c r="I245" i="7"/>
  <c r="H245" i="7"/>
  <c r="I244" i="7"/>
  <c r="H244" i="7"/>
  <c r="I243" i="7"/>
  <c r="H243" i="7"/>
  <c r="I242" i="7"/>
  <c r="H242" i="7"/>
  <c r="I241" i="7"/>
  <c r="H241" i="7"/>
  <c r="I240" i="7"/>
  <c r="H240" i="7"/>
  <c r="I239" i="7"/>
  <c r="H239" i="7"/>
  <c r="I238" i="7"/>
  <c r="H238" i="7"/>
  <c r="I237" i="7"/>
  <c r="H237" i="7"/>
  <c r="I236" i="7"/>
  <c r="H236" i="7"/>
  <c r="I235" i="7"/>
  <c r="H235" i="7"/>
  <c r="I234" i="7"/>
  <c r="H234" i="7"/>
  <c r="I233" i="7"/>
  <c r="H233" i="7"/>
  <c r="I232" i="7"/>
  <c r="H232" i="7"/>
  <c r="I231" i="7"/>
  <c r="H231" i="7"/>
  <c r="I230" i="7"/>
  <c r="H230" i="7"/>
  <c r="I229" i="7"/>
  <c r="H229" i="7"/>
  <c r="I228" i="7"/>
  <c r="H228" i="7"/>
  <c r="I227" i="7"/>
  <c r="H227" i="7"/>
  <c r="I226" i="7"/>
  <c r="H226" i="7"/>
  <c r="I225" i="7"/>
  <c r="H225" i="7"/>
  <c r="I224" i="7"/>
  <c r="H224" i="7"/>
  <c r="I223" i="7"/>
  <c r="H223" i="7"/>
  <c r="I222" i="7"/>
  <c r="H222" i="7"/>
  <c r="I221" i="7"/>
  <c r="H221" i="7"/>
  <c r="I220" i="7"/>
  <c r="H220" i="7"/>
  <c r="I219" i="7"/>
  <c r="H219" i="7"/>
  <c r="I218" i="7"/>
  <c r="H218" i="7"/>
  <c r="I217" i="7"/>
  <c r="H217" i="7"/>
  <c r="I216" i="7"/>
  <c r="H216" i="7"/>
  <c r="I215" i="7"/>
  <c r="H215" i="7"/>
  <c r="I214" i="7"/>
  <c r="H214" i="7"/>
  <c r="I213" i="7"/>
  <c r="H213" i="7"/>
  <c r="I212" i="7"/>
  <c r="H212" i="7"/>
  <c r="I211" i="7"/>
  <c r="H211" i="7"/>
  <c r="I210" i="7"/>
  <c r="H210" i="7"/>
  <c r="I209" i="7"/>
  <c r="H209" i="7"/>
  <c r="I208" i="7"/>
  <c r="H208" i="7"/>
  <c r="I207" i="7"/>
  <c r="H207" i="7"/>
  <c r="I206" i="7"/>
  <c r="H206" i="7"/>
  <c r="I205" i="7"/>
  <c r="H205" i="7"/>
  <c r="I204" i="7"/>
  <c r="H204" i="7"/>
  <c r="I203" i="7"/>
  <c r="H203" i="7"/>
  <c r="I202" i="7"/>
  <c r="H202" i="7"/>
  <c r="I201" i="7"/>
  <c r="H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I184" i="7"/>
  <c r="H184" i="7"/>
  <c r="I183" i="7"/>
  <c r="H183" i="7"/>
  <c r="I182" i="7"/>
  <c r="H182" i="7"/>
  <c r="I181" i="7"/>
  <c r="H181" i="7"/>
  <c r="I180" i="7"/>
  <c r="H180" i="7"/>
  <c r="I179" i="7"/>
  <c r="H179" i="7"/>
  <c r="I178" i="7"/>
  <c r="H178" i="7"/>
  <c r="I177" i="7"/>
  <c r="H177" i="7"/>
  <c r="I176" i="7"/>
  <c r="H176" i="7"/>
  <c r="I175" i="7"/>
  <c r="H175" i="7"/>
  <c r="I174" i="7"/>
  <c r="H174" i="7"/>
  <c r="I173" i="7"/>
  <c r="H173" i="7"/>
  <c r="I172" i="7"/>
  <c r="H172" i="7"/>
  <c r="I171" i="7"/>
  <c r="H171" i="7"/>
  <c r="I170" i="7"/>
  <c r="H170" i="7"/>
  <c r="I169" i="7"/>
  <c r="H169" i="7"/>
  <c r="I168" i="7"/>
  <c r="H168" i="7"/>
  <c r="I167" i="7"/>
  <c r="H167" i="7"/>
  <c r="I166" i="7"/>
  <c r="H166" i="7"/>
  <c r="I165" i="7"/>
  <c r="H165" i="7"/>
  <c r="I164" i="7"/>
  <c r="H164" i="7"/>
  <c r="I163" i="7"/>
  <c r="H163" i="7"/>
  <c r="I162" i="7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" i="7"/>
  <c r="H2" i="7"/>
  <c r="I926" i="6"/>
  <c r="H926" i="6"/>
  <c r="I925" i="6"/>
  <c r="H925" i="6"/>
  <c r="I924" i="6"/>
  <c r="H924" i="6"/>
  <c r="I923" i="6"/>
  <c r="H923" i="6"/>
  <c r="I922" i="6"/>
  <c r="H922" i="6"/>
  <c r="I921" i="6"/>
  <c r="H921" i="6"/>
  <c r="I920" i="6"/>
  <c r="H920" i="6"/>
  <c r="I919" i="6"/>
  <c r="H919" i="6"/>
  <c r="I918" i="6"/>
  <c r="H918" i="6"/>
  <c r="I917" i="6"/>
  <c r="H917" i="6"/>
  <c r="I916" i="6"/>
  <c r="H916" i="6"/>
  <c r="I915" i="6"/>
  <c r="H915" i="6"/>
  <c r="I914" i="6"/>
  <c r="H914" i="6"/>
  <c r="I913" i="6"/>
  <c r="H913" i="6"/>
  <c r="I912" i="6"/>
  <c r="H912" i="6"/>
  <c r="I911" i="6"/>
  <c r="H911" i="6"/>
  <c r="I910" i="6"/>
  <c r="H910" i="6"/>
  <c r="I909" i="6"/>
  <c r="H909" i="6"/>
  <c r="I908" i="6"/>
  <c r="H908" i="6"/>
  <c r="I907" i="6"/>
  <c r="H907" i="6"/>
  <c r="I906" i="6"/>
  <c r="H906" i="6"/>
  <c r="I905" i="6"/>
  <c r="H905" i="6"/>
  <c r="I904" i="6"/>
  <c r="H904" i="6"/>
  <c r="I903" i="6"/>
  <c r="H903" i="6"/>
  <c r="I902" i="6"/>
  <c r="H902" i="6"/>
  <c r="I901" i="6"/>
  <c r="H901" i="6"/>
  <c r="I900" i="6"/>
  <c r="H900" i="6"/>
  <c r="I899" i="6"/>
  <c r="H899" i="6"/>
  <c r="I898" i="6"/>
  <c r="H898" i="6"/>
  <c r="I897" i="6"/>
  <c r="H897" i="6"/>
  <c r="I896" i="6"/>
  <c r="H896" i="6"/>
  <c r="I895" i="6"/>
  <c r="H895" i="6"/>
  <c r="I894" i="6"/>
  <c r="H894" i="6"/>
  <c r="I893" i="6"/>
  <c r="H893" i="6"/>
  <c r="I892" i="6"/>
  <c r="H892" i="6"/>
  <c r="I891" i="6"/>
  <c r="H891" i="6"/>
  <c r="I890" i="6"/>
  <c r="H890" i="6"/>
  <c r="I889" i="6"/>
  <c r="H889" i="6"/>
  <c r="I888" i="6"/>
  <c r="H888" i="6"/>
  <c r="I887" i="6"/>
  <c r="H887" i="6"/>
  <c r="I886" i="6"/>
  <c r="H886" i="6"/>
  <c r="I885" i="6"/>
  <c r="H885" i="6"/>
  <c r="I884" i="6"/>
  <c r="H884" i="6"/>
  <c r="I883" i="6"/>
  <c r="H883" i="6"/>
  <c r="I882" i="6"/>
  <c r="H882" i="6"/>
  <c r="I881" i="6"/>
  <c r="H881" i="6"/>
  <c r="I880" i="6"/>
  <c r="H880" i="6"/>
  <c r="I879" i="6"/>
  <c r="H879" i="6"/>
  <c r="I878" i="6"/>
  <c r="H878" i="6"/>
  <c r="I877" i="6"/>
  <c r="H877" i="6"/>
  <c r="I876" i="6"/>
  <c r="H876" i="6"/>
  <c r="I875" i="6"/>
  <c r="H875" i="6"/>
  <c r="I874" i="6"/>
  <c r="H874" i="6"/>
  <c r="I873" i="6"/>
  <c r="H873" i="6"/>
  <c r="I872" i="6"/>
  <c r="H872" i="6"/>
  <c r="I871" i="6"/>
  <c r="H871" i="6"/>
  <c r="I870" i="6"/>
  <c r="H870" i="6"/>
  <c r="I869" i="6"/>
  <c r="H869" i="6"/>
  <c r="I868" i="6"/>
  <c r="H868" i="6"/>
  <c r="I867" i="6"/>
  <c r="H867" i="6"/>
  <c r="I866" i="6"/>
  <c r="H866" i="6"/>
  <c r="I865" i="6"/>
  <c r="H865" i="6"/>
  <c r="I864" i="6"/>
  <c r="H864" i="6"/>
  <c r="I863" i="6"/>
  <c r="H863" i="6"/>
  <c r="I862" i="6"/>
  <c r="H862" i="6"/>
  <c r="I861" i="6"/>
  <c r="H861" i="6"/>
  <c r="I860" i="6"/>
  <c r="H860" i="6"/>
  <c r="I859" i="6"/>
  <c r="H859" i="6"/>
  <c r="I858" i="6"/>
  <c r="H858" i="6"/>
  <c r="I857" i="6"/>
  <c r="H857" i="6"/>
  <c r="I856" i="6"/>
  <c r="H856" i="6"/>
  <c r="I855" i="6"/>
  <c r="H855" i="6"/>
  <c r="I854" i="6"/>
  <c r="H854" i="6"/>
  <c r="I853" i="6"/>
  <c r="H853" i="6"/>
  <c r="I852" i="6"/>
  <c r="H852" i="6"/>
  <c r="I851" i="6"/>
  <c r="H851" i="6"/>
  <c r="I850" i="6"/>
  <c r="H850" i="6"/>
  <c r="I849" i="6"/>
  <c r="H849" i="6"/>
  <c r="I848" i="6"/>
  <c r="H848" i="6"/>
  <c r="I847" i="6"/>
  <c r="H847" i="6"/>
  <c r="I846" i="6"/>
  <c r="H846" i="6"/>
  <c r="I845" i="6"/>
  <c r="H845" i="6"/>
  <c r="I844" i="6"/>
  <c r="H844" i="6"/>
  <c r="I843" i="6"/>
  <c r="H843" i="6"/>
  <c r="I842" i="6"/>
  <c r="H842" i="6"/>
  <c r="I841" i="6"/>
  <c r="H841" i="6"/>
  <c r="I840" i="6"/>
  <c r="H840" i="6"/>
  <c r="I839" i="6"/>
  <c r="H839" i="6"/>
  <c r="I838" i="6"/>
  <c r="H838" i="6"/>
  <c r="I837" i="6"/>
  <c r="H837" i="6"/>
  <c r="I836" i="6"/>
  <c r="H836" i="6"/>
  <c r="I835" i="6"/>
  <c r="H835" i="6"/>
  <c r="I834" i="6"/>
  <c r="H834" i="6"/>
  <c r="I833" i="6"/>
  <c r="H833" i="6"/>
  <c r="I832" i="6"/>
  <c r="H832" i="6"/>
  <c r="I831" i="6"/>
  <c r="H831" i="6"/>
  <c r="I830" i="6"/>
  <c r="H830" i="6"/>
  <c r="I829" i="6"/>
  <c r="H829" i="6"/>
  <c r="I828" i="6"/>
  <c r="H828" i="6"/>
  <c r="I827" i="6"/>
  <c r="H827" i="6"/>
  <c r="I826" i="6"/>
  <c r="H826" i="6"/>
  <c r="I825" i="6"/>
  <c r="H825" i="6"/>
  <c r="I824" i="6"/>
  <c r="H824" i="6"/>
  <c r="I823" i="6"/>
  <c r="H823" i="6"/>
  <c r="I822" i="6"/>
  <c r="H822" i="6"/>
  <c r="I821" i="6"/>
  <c r="H821" i="6"/>
  <c r="I820" i="6"/>
  <c r="H820" i="6"/>
  <c r="I819" i="6"/>
  <c r="H819" i="6"/>
  <c r="I818" i="6"/>
  <c r="H818" i="6"/>
  <c r="I817" i="6"/>
  <c r="H817" i="6"/>
  <c r="I816" i="6"/>
  <c r="H816" i="6"/>
  <c r="I815" i="6"/>
  <c r="H815" i="6"/>
  <c r="I814" i="6"/>
  <c r="H814" i="6"/>
  <c r="I813" i="6"/>
  <c r="H813" i="6"/>
  <c r="I812" i="6"/>
  <c r="H812" i="6"/>
  <c r="I811" i="6"/>
  <c r="H811" i="6"/>
  <c r="I810" i="6"/>
  <c r="H810" i="6"/>
  <c r="I809" i="6"/>
  <c r="H809" i="6"/>
  <c r="I808" i="6"/>
  <c r="H808" i="6"/>
  <c r="I807" i="6"/>
  <c r="H807" i="6"/>
  <c r="I806" i="6"/>
  <c r="H806" i="6"/>
  <c r="I805" i="6"/>
  <c r="H805" i="6"/>
  <c r="I804" i="6"/>
  <c r="H804" i="6"/>
  <c r="I803" i="6"/>
  <c r="H803" i="6"/>
  <c r="I802" i="6"/>
  <c r="H802" i="6"/>
  <c r="I801" i="6"/>
  <c r="H801" i="6"/>
  <c r="I800" i="6"/>
  <c r="H800" i="6"/>
  <c r="I799" i="6"/>
  <c r="H799" i="6"/>
  <c r="I798" i="6"/>
  <c r="H798" i="6"/>
  <c r="I797" i="6"/>
  <c r="H797" i="6"/>
  <c r="I796" i="6"/>
  <c r="H796" i="6"/>
  <c r="I795" i="6"/>
  <c r="H795" i="6"/>
  <c r="I794" i="6"/>
  <c r="H794" i="6"/>
  <c r="I793" i="6"/>
  <c r="H793" i="6"/>
  <c r="I792" i="6"/>
  <c r="H792" i="6"/>
  <c r="I791" i="6"/>
  <c r="H791" i="6"/>
  <c r="I790" i="6"/>
  <c r="H790" i="6"/>
  <c r="I789" i="6"/>
  <c r="H789" i="6"/>
  <c r="I788" i="6"/>
  <c r="H788" i="6"/>
  <c r="I787" i="6"/>
  <c r="H787" i="6"/>
  <c r="I786" i="6"/>
  <c r="H786" i="6"/>
  <c r="I785" i="6"/>
  <c r="H785" i="6"/>
  <c r="I784" i="6"/>
  <c r="H784" i="6"/>
  <c r="I783" i="6"/>
  <c r="H783" i="6"/>
  <c r="I782" i="6"/>
  <c r="H782" i="6"/>
  <c r="I781" i="6"/>
  <c r="H781" i="6"/>
  <c r="I780" i="6"/>
  <c r="H780" i="6"/>
  <c r="I779" i="6"/>
  <c r="H779" i="6"/>
  <c r="I778" i="6"/>
  <c r="H778" i="6"/>
  <c r="I777" i="6"/>
  <c r="H777" i="6"/>
  <c r="I776" i="6"/>
  <c r="H776" i="6"/>
  <c r="I775" i="6"/>
  <c r="H775" i="6"/>
  <c r="I774" i="6"/>
  <c r="H774" i="6"/>
  <c r="I773" i="6"/>
  <c r="H773" i="6"/>
  <c r="I772" i="6"/>
  <c r="H772" i="6"/>
  <c r="I771" i="6"/>
  <c r="H771" i="6"/>
  <c r="I770" i="6"/>
  <c r="H770" i="6"/>
  <c r="I769" i="6"/>
  <c r="H769" i="6"/>
  <c r="I768" i="6"/>
  <c r="H768" i="6"/>
  <c r="I767" i="6"/>
  <c r="H767" i="6"/>
  <c r="I766" i="6"/>
  <c r="H766" i="6"/>
  <c r="I765" i="6"/>
  <c r="H765" i="6"/>
  <c r="I764" i="6"/>
  <c r="H764" i="6"/>
  <c r="I763" i="6"/>
  <c r="H763" i="6"/>
  <c r="I762" i="6"/>
  <c r="H762" i="6"/>
  <c r="I761" i="6"/>
  <c r="H761" i="6"/>
  <c r="I760" i="6"/>
  <c r="H760" i="6"/>
  <c r="I759" i="6"/>
  <c r="H759" i="6"/>
  <c r="I758" i="6"/>
  <c r="H758" i="6"/>
  <c r="I757" i="6"/>
  <c r="H757" i="6"/>
  <c r="I756" i="6"/>
  <c r="H756" i="6"/>
  <c r="I755" i="6"/>
  <c r="H755" i="6"/>
  <c r="I754" i="6"/>
  <c r="H754" i="6"/>
  <c r="I753" i="6"/>
  <c r="H753" i="6"/>
  <c r="I752" i="6"/>
  <c r="H752" i="6"/>
  <c r="I751" i="6"/>
  <c r="H751" i="6"/>
  <c r="I750" i="6"/>
  <c r="H750" i="6"/>
  <c r="I749" i="6"/>
  <c r="H749" i="6"/>
  <c r="I748" i="6"/>
  <c r="H748" i="6"/>
  <c r="I747" i="6"/>
  <c r="H747" i="6"/>
  <c r="I746" i="6"/>
  <c r="H746" i="6"/>
  <c r="I745" i="6"/>
  <c r="H745" i="6"/>
  <c r="I744" i="6"/>
  <c r="H744" i="6"/>
  <c r="I743" i="6"/>
  <c r="H743" i="6"/>
  <c r="I742" i="6"/>
  <c r="H742" i="6"/>
  <c r="I741" i="6"/>
  <c r="H741" i="6"/>
  <c r="I740" i="6"/>
  <c r="H740" i="6"/>
  <c r="I739" i="6"/>
  <c r="H739" i="6"/>
  <c r="I738" i="6"/>
  <c r="H738" i="6"/>
  <c r="I737" i="6"/>
  <c r="H737" i="6"/>
  <c r="I736" i="6"/>
  <c r="H736" i="6"/>
  <c r="I735" i="6"/>
  <c r="H735" i="6"/>
  <c r="I734" i="6"/>
  <c r="H734" i="6"/>
  <c r="I733" i="6"/>
  <c r="H733" i="6"/>
  <c r="I732" i="6"/>
  <c r="H732" i="6"/>
  <c r="I731" i="6"/>
  <c r="H731" i="6"/>
  <c r="I730" i="6"/>
  <c r="H730" i="6"/>
  <c r="I729" i="6"/>
  <c r="H729" i="6"/>
  <c r="I728" i="6"/>
  <c r="H728" i="6"/>
  <c r="I727" i="6"/>
  <c r="H727" i="6"/>
  <c r="I726" i="6"/>
  <c r="H726" i="6"/>
  <c r="I725" i="6"/>
  <c r="H725" i="6"/>
  <c r="I724" i="6"/>
  <c r="H724" i="6"/>
  <c r="I723" i="6"/>
  <c r="H723" i="6"/>
  <c r="I722" i="6"/>
  <c r="H722" i="6"/>
  <c r="I721" i="6"/>
  <c r="H721" i="6"/>
  <c r="I720" i="6"/>
  <c r="H720" i="6"/>
  <c r="I719" i="6"/>
  <c r="H719" i="6"/>
  <c r="I718" i="6"/>
  <c r="H718" i="6"/>
  <c r="I717" i="6"/>
  <c r="H717" i="6"/>
  <c r="I716" i="6"/>
  <c r="H716" i="6"/>
  <c r="I715" i="6"/>
  <c r="H715" i="6"/>
  <c r="I714" i="6"/>
  <c r="H714" i="6"/>
  <c r="I713" i="6"/>
  <c r="H713" i="6"/>
  <c r="I712" i="6"/>
  <c r="H712" i="6"/>
  <c r="I711" i="6"/>
  <c r="H711" i="6"/>
  <c r="I710" i="6"/>
  <c r="H710" i="6"/>
  <c r="I709" i="6"/>
  <c r="H709" i="6"/>
  <c r="I708" i="6"/>
  <c r="H708" i="6"/>
  <c r="I707" i="6"/>
  <c r="H707" i="6"/>
  <c r="I706" i="6"/>
  <c r="H706" i="6"/>
  <c r="I705" i="6"/>
  <c r="H705" i="6"/>
  <c r="I704" i="6"/>
  <c r="H704" i="6"/>
  <c r="I703" i="6"/>
  <c r="H703" i="6"/>
  <c r="I702" i="6"/>
  <c r="H702" i="6"/>
  <c r="I701" i="6"/>
  <c r="H701" i="6"/>
  <c r="I700" i="6"/>
  <c r="H700" i="6"/>
  <c r="I699" i="6"/>
  <c r="H699" i="6"/>
  <c r="I698" i="6"/>
  <c r="H698" i="6"/>
  <c r="I697" i="6"/>
  <c r="H697" i="6"/>
  <c r="I696" i="6"/>
  <c r="H696" i="6"/>
  <c r="I695" i="6"/>
  <c r="H695" i="6"/>
  <c r="I694" i="6"/>
  <c r="H694" i="6"/>
  <c r="I693" i="6"/>
  <c r="H693" i="6"/>
  <c r="I692" i="6"/>
  <c r="H692" i="6"/>
  <c r="I691" i="6"/>
  <c r="H691" i="6"/>
  <c r="I690" i="6"/>
  <c r="H690" i="6"/>
  <c r="I689" i="6"/>
  <c r="H689" i="6"/>
  <c r="I688" i="6"/>
  <c r="H688" i="6"/>
  <c r="I687" i="6"/>
  <c r="H687" i="6"/>
  <c r="I686" i="6"/>
  <c r="H686" i="6"/>
  <c r="I685" i="6"/>
  <c r="H685" i="6"/>
  <c r="I684" i="6"/>
  <c r="H684" i="6"/>
  <c r="I683" i="6"/>
  <c r="H683" i="6"/>
  <c r="I682" i="6"/>
  <c r="H682" i="6"/>
  <c r="I681" i="6"/>
  <c r="H681" i="6"/>
  <c r="I680" i="6"/>
  <c r="H680" i="6"/>
  <c r="I679" i="6"/>
  <c r="H679" i="6"/>
  <c r="I678" i="6"/>
  <c r="H678" i="6"/>
  <c r="I677" i="6"/>
  <c r="H677" i="6"/>
  <c r="I676" i="6"/>
  <c r="H676" i="6"/>
  <c r="I675" i="6"/>
  <c r="H675" i="6"/>
  <c r="I674" i="6"/>
  <c r="H674" i="6"/>
  <c r="I673" i="6"/>
  <c r="H673" i="6"/>
  <c r="I672" i="6"/>
  <c r="H672" i="6"/>
  <c r="I671" i="6"/>
  <c r="H671" i="6"/>
  <c r="I670" i="6"/>
  <c r="H670" i="6"/>
  <c r="I669" i="6"/>
  <c r="H669" i="6"/>
  <c r="I668" i="6"/>
  <c r="H668" i="6"/>
  <c r="I667" i="6"/>
  <c r="H667" i="6"/>
  <c r="I666" i="6"/>
  <c r="H666" i="6"/>
  <c r="I665" i="6"/>
  <c r="H665" i="6"/>
  <c r="I664" i="6"/>
  <c r="H664" i="6"/>
  <c r="I663" i="6"/>
  <c r="H663" i="6"/>
  <c r="I662" i="6"/>
  <c r="H662" i="6"/>
  <c r="I661" i="6"/>
  <c r="H661" i="6"/>
  <c r="I660" i="6"/>
  <c r="H660" i="6"/>
  <c r="I659" i="6"/>
  <c r="H659" i="6"/>
  <c r="I658" i="6"/>
  <c r="H658" i="6"/>
  <c r="I657" i="6"/>
  <c r="H657" i="6"/>
  <c r="I656" i="6"/>
  <c r="H656" i="6"/>
  <c r="I655" i="6"/>
  <c r="H655" i="6"/>
  <c r="I654" i="6"/>
  <c r="H654" i="6"/>
  <c r="I653" i="6"/>
  <c r="H653" i="6"/>
  <c r="I652" i="6"/>
  <c r="H652" i="6"/>
  <c r="I651" i="6"/>
  <c r="H651" i="6"/>
  <c r="I650" i="6"/>
  <c r="H650" i="6"/>
  <c r="I649" i="6"/>
  <c r="H649" i="6"/>
  <c r="I648" i="6"/>
  <c r="H648" i="6"/>
  <c r="I647" i="6"/>
  <c r="H647" i="6"/>
  <c r="I646" i="6"/>
  <c r="H646" i="6"/>
  <c r="I645" i="6"/>
  <c r="H645" i="6"/>
  <c r="I644" i="6"/>
  <c r="H644" i="6"/>
  <c r="I643" i="6"/>
  <c r="H643" i="6"/>
  <c r="I642" i="6"/>
  <c r="H642" i="6"/>
  <c r="I641" i="6"/>
  <c r="H641" i="6"/>
  <c r="I640" i="6"/>
  <c r="H640" i="6"/>
  <c r="I639" i="6"/>
  <c r="H639" i="6"/>
  <c r="I638" i="6"/>
  <c r="H638" i="6"/>
  <c r="I637" i="6"/>
  <c r="H637" i="6"/>
  <c r="I636" i="6"/>
  <c r="H636" i="6"/>
  <c r="I635" i="6"/>
  <c r="H635" i="6"/>
  <c r="I634" i="6"/>
  <c r="H634" i="6"/>
  <c r="I633" i="6"/>
  <c r="H633" i="6"/>
  <c r="I632" i="6"/>
  <c r="H632" i="6"/>
  <c r="I631" i="6"/>
  <c r="H631" i="6"/>
  <c r="I630" i="6"/>
  <c r="H630" i="6"/>
  <c r="I629" i="6"/>
  <c r="H629" i="6"/>
  <c r="I628" i="6"/>
  <c r="H628" i="6"/>
  <c r="I627" i="6"/>
  <c r="H627" i="6"/>
  <c r="I626" i="6"/>
  <c r="H626" i="6"/>
  <c r="I625" i="6"/>
  <c r="H625" i="6"/>
  <c r="I624" i="6"/>
  <c r="H624" i="6"/>
  <c r="I623" i="6"/>
  <c r="H623" i="6"/>
  <c r="I622" i="6"/>
  <c r="H622" i="6"/>
  <c r="I621" i="6"/>
  <c r="H621" i="6"/>
  <c r="I620" i="6"/>
  <c r="H620" i="6"/>
  <c r="I619" i="6"/>
  <c r="H619" i="6"/>
  <c r="I618" i="6"/>
  <c r="H618" i="6"/>
  <c r="I617" i="6"/>
  <c r="H617" i="6"/>
  <c r="I616" i="6"/>
  <c r="H616" i="6"/>
  <c r="I615" i="6"/>
  <c r="H615" i="6"/>
  <c r="I614" i="6"/>
  <c r="H614" i="6"/>
  <c r="I613" i="6"/>
  <c r="H613" i="6"/>
  <c r="I612" i="6"/>
  <c r="H612" i="6"/>
  <c r="I611" i="6"/>
  <c r="H611" i="6"/>
  <c r="I610" i="6"/>
  <c r="H610" i="6"/>
  <c r="I609" i="6"/>
  <c r="H609" i="6"/>
  <c r="I608" i="6"/>
  <c r="H608" i="6"/>
  <c r="I607" i="6"/>
  <c r="H607" i="6"/>
  <c r="I606" i="6"/>
  <c r="H606" i="6"/>
  <c r="I605" i="6"/>
  <c r="H605" i="6"/>
  <c r="I604" i="6"/>
  <c r="H604" i="6"/>
  <c r="I603" i="6"/>
  <c r="H603" i="6"/>
  <c r="I602" i="6"/>
  <c r="H602" i="6"/>
  <c r="I601" i="6"/>
  <c r="H601" i="6"/>
  <c r="I600" i="6"/>
  <c r="H600" i="6"/>
  <c r="I599" i="6"/>
  <c r="H599" i="6"/>
  <c r="I598" i="6"/>
  <c r="H598" i="6"/>
  <c r="I597" i="6"/>
  <c r="H597" i="6"/>
  <c r="I596" i="6"/>
  <c r="H596" i="6"/>
  <c r="I595" i="6"/>
  <c r="H595" i="6"/>
  <c r="I594" i="6"/>
  <c r="H594" i="6"/>
  <c r="I593" i="6"/>
  <c r="H593" i="6"/>
  <c r="I592" i="6"/>
  <c r="H592" i="6"/>
  <c r="I591" i="6"/>
  <c r="H591" i="6"/>
  <c r="I590" i="6"/>
  <c r="H590" i="6"/>
  <c r="I589" i="6"/>
  <c r="H589" i="6"/>
  <c r="I588" i="6"/>
  <c r="H588" i="6"/>
  <c r="I587" i="6"/>
  <c r="H587" i="6"/>
  <c r="I586" i="6"/>
  <c r="H586" i="6"/>
  <c r="I585" i="6"/>
  <c r="H585" i="6"/>
  <c r="I584" i="6"/>
  <c r="H584" i="6"/>
  <c r="I583" i="6"/>
  <c r="H583" i="6"/>
  <c r="I582" i="6"/>
  <c r="H582" i="6"/>
  <c r="I581" i="6"/>
  <c r="H581" i="6"/>
  <c r="I580" i="6"/>
  <c r="H580" i="6"/>
  <c r="I579" i="6"/>
  <c r="H579" i="6"/>
  <c r="I578" i="6"/>
  <c r="H578" i="6"/>
  <c r="I577" i="6"/>
  <c r="H577" i="6"/>
  <c r="I576" i="6"/>
  <c r="H576" i="6"/>
  <c r="I575" i="6"/>
  <c r="H575" i="6"/>
  <c r="I574" i="6"/>
  <c r="H574" i="6"/>
  <c r="I573" i="6"/>
  <c r="H573" i="6"/>
  <c r="I572" i="6"/>
  <c r="H572" i="6"/>
  <c r="I571" i="6"/>
  <c r="H571" i="6"/>
  <c r="I570" i="6"/>
  <c r="H570" i="6"/>
  <c r="I569" i="6"/>
  <c r="H569" i="6"/>
  <c r="I568" i="6"/>
  <c r="H568" i="6"/>
  <c r="I567" i="6"/>
  <c r="H567" i="6"/>
  <c r="I566" i="6"/>
  <c r="H566" i="6"/>
  <c r="I565" i="6"/>
  <c r="H565" i="6"/>
  <c r="I564" i="6"/>
  <c r="H564" i="6"/>
  <c r="I563" i="6"/>
  <c r="H563" i="6"/>
  <c r="I562" i="6"/>
  <c r="H562" i="6"/>
  <c r="I561" i="6"/>
  <c r="H561" i="6"/>
  <c r="I560" i="6"/>
  <c r="H560" i="6"/>
  <c r="I559" i="6"/>
  <c r="H559" i="6"/>
  <c r="I558" i="6"/>
  <c r="H558" i="6"/>
  <c r="I557" i="6"/>
  <c r="H557" i="6"/>
  <c r="I556" i="6"/>
  <c r="H556" i="6"/>
  <c r="I555" i="6"/>
  <c r="H555" i="6"/>
  <c r="I554" i="6"/>
  <c r="H554" i="6"/>
  <c r="I553" i="6"/>
  <c r="H553" i="6"/>
  <c r="I552" i="6"/>
  <c r="H552" i="6"/>
  <c r="I551" i="6"/>
  <c r="H551" i="6"/>
  <c r="I550" i="6"/>
  <c r="H550" i="6"/>
  <c r="I549" i="6"/>
  <c r="H549" i="6"/>
  <c r="I548" i="6"/>
  <c r="H548" i="6"/>
  <c r="I547" i="6"/>
  <c r="H547" i="6"/>
  <c r="I546" i="6"/>
  <c r="H546" i="6"/>
  <c r="I545" i="6"/>
  <c r="H545" i="6"/>
  <c r="I544" i="6"/>
  <c r="H544" i="6"/>
  <c r="I543" i="6"/>
  <c r="H543" i="6"/>
  <c r="I542" i="6"/>
  <c r="H542" i="6"/>
  <c r="I541" i="6"/>
  <c r="H541" i="6"/>
  <c r="I540" i="6"/>
  <c r="H540" i="6"/>
  <c r="I539" i="6"/>
  <c r="H539" i="6"/>
  <c r="I538" i="6"/>
  <c r="H538" i="6"/>
  <c r="I537" i="6"/>
  <c r="H537" i="6"/>
  <c r="I536" i="6"/>
  <c r="H536" i="6"/>
  <c r="I535" i="6"/>
  <c r="H535" i="6"/>
  <c r="I534" i="6"/>
  <c r="H534" i="6"/>
  <c r="I533" i="6"/>
  <c r="H533" i="6"/>
  <c r="I532" i="6"/>
  <c r="H532" i="6"/>
  <c r="I531" i="6"/>
  <c r="H531" i="6"/>
  <c r="I530" i="6"/>
  <c r="H530" i="6"/>
  <c r="I529" i="6"/>
  <c r="H529" i="6"/>
  <c r="I528" i="6"/>
  <c r="H528" i="6"/>
  <c r="I527" i="6"/>
  <c r="H527" i="6"/>
  <c r="I526" i="6"/>
  <c r="H526" i="6"/>
  <c r="I525" i="6"/>
  <c r="H525" i="6"/>
  <c r="I524" i="6"/>
  <c r="H524" i="6"/>
  <c r="I523" i="6"/>
  <c r="H523" i="6"/>
  <c r="I522" i="6"/>
  <c r="H522" i="6"/>
  <c r="I521" i="6"/>
  <c r="H521" i="6"/>
  <c r="I520" i="6"/>
  <c r="H520" i="6"/>
  <c r="I519" i="6"/>
  <c r="H519" i="6"/>
  <c r="I518" i="6"/>
  <c r="H518" i="6"/>
  <c r="I517" i="6"/>
  <c r="H517" i="6"/>
  <c r="I516" i="6"/>
  <c r="H516" i="6"/>
  <c r="I515" i="6"/>
  <c r="H515" i="6"/>
  <c r="I514" i="6"/>
  <c r="H514" i="6"/>
  <c r="I513" i="6"/>
  <c r="H513" i="6"/>
  <c r="I512" i="6"/>
  <c r="H512" i="6"/>
  <c r="I511" i="6"/>
  <c r="H511" i="6"/>
  <c r="I510" i="6"/>
  <c r="H510" i="6"/>
  <c r="I509" i="6"/>
  <c r="H509" i="6"/>
  <c r="I508" i="6"/>
  <c r="H508" i="6"/>
  <c r="I507" i="6"/>
  <c r="H507" i="6"/>
  <c r="I506" i="6"/>
  <c r="H506" i="6"/>
  <c r="I505" i="6"/>
  <c r="H505" i="6"/>
  <c r="I504" i="6"/>
  <c r="H504" i="6"/>
  <c r="I503" i="6"/>
  <c r="H503" i="6"/>
  <c r="I502" i="6"/>
  <c r="H502" i="6"/>
  <c r="I501" i="6"/>
  <c r="H501" i="6"/>
  <c r="I500" i="6"/>
  <c r="H500" i="6"/>
  <c r="I499" i="6"/>
  <c r="H499" i="6"/>
  <c r="I498" i="6"/>
  <c r="H498" i="6"/>
  <c r="I497" i="6"/>
  <c r="H497" i="6"/>
  <c r="I496" i="6"/>
  <c r="H496" i="6"/>
  <c r="I495" i="6"/>
  <c r="H495" i="6"/>
  <c r="I494" i="6"/>
  <c r="H494" i="6"/>
  <c r="I493" i="6"/>
  <c r="H493" i="6"/>
  <c r="I492" i="6"/>
  <c r="H492" i="6"/>
  <c r="I491" i="6"/>
  <c r="H491" i="6"/>
  <c r="I490" i="6"/>
  <c r="H490" i="6"/>
  <c r="I489" i="6"/>
  <c r="H489" i="6"/>
  <c r="I488" i="6"/>
  <c r="H488" i="6"/>
  <c r="I487" i="6"/>
  <c r="H487" i="6"/>
  <c r="I486" i="6"/>
  <c r="H486" i="6"/>
  <c r="I485" i="6"/>
  <c r="H485" i="6"/>
  <c r="I484" i="6"/>
  <c r="H484" i="6"/>
  <c r="I483" i="6"/>
  <c r="H483" i="6"/>
  <c r="I482" i="6"/>
  <c r="H482" i="6"/>
  <c r="I481" i="6"/>
  <c r="H481" i="6"/>
  <c r="I480" i="6"/>
  <c r="H480" i="6"/>
  <c r="I479" i="6"/>
  <c r="H479" i="6"/>
  <c r="I478" i="6"/>
  <c r="H478" i="6"/>
  <c r="I477" i="6"/>
  <c r="H477" i="6"/>
  <c r="I476" i="6"/>
  <c r="H476" i="6"/>
  <c r="I475" i="6"/>
  <c r="H475" i="6"/>
  <c r="I474" i="6"/>
  <c r="H474" i="6"/>
  <c r="I473" i="6"/>
  <c r="H473" i="6"/>
  <c r="I472" i="6"/>
  <c r="H472" i="6"/>
  <c r="I471" i="6"/>
  <c r="H471" i="6"/>
  <c r="I470" i="6"/>
  <c r="H470" i="6"/>
  <c r="I469" i="6"/>
  <c r="H469" i="6"/>
  <c r="I468" i="6"/>
  <c r="H468" i="6"/>
  <c r="I467" i="6"/>
  <c r="H467" i="6"/>
  <c r="I466" i="6"/>
  <c r="H466" i="6"/>
  <c r="I465" i="6"/>
  <c r="H465" i="6"/>
  <c r="I464" i="6"/>
  <c r="H464" i="6"/>
  <c r="I463" i="6"/>
  <c r="H463" i="6"/>
  <c r="I462" i="6"/>
  <c r="H462" i="6"/>
  <c r="I461" i="6"/>
  <c r="H461" i="6"/>
  <c r="I460" i="6"/>
  <c r="H460" i="6"/>
  <c r="I459" i="6"/>
  <c r="H459" i="6"/>
  <c r="I458" i="6"/>
  <c r="H458" i="6"/>
  <c r="I457" i="6"/>
  <c r="H457" i="6"/>
  <c r="I456" i="6"/>
  <c r="H456" i="6"/>
  <c r="I455" i="6"/>
  <c r="H455" i="6"/>
  <c r="I454" i="6"/>
  <c r="H454" i="6"/>
  <c r="I453" i="6"/>
  <c r="H453" i="6"/>
  <c r="I452" i="6"/>
  <c r="H452" i="6"/>
  <c r="I451" i="6"/>
  <c r="H451" i="6"/>
  <c r="I450" i="6"/>
  <c r="H450" i="6"/>
  <c r="I449" i="6"/>
  <c r="H449" i="6"/>
  <c r="I448" i="6"/>
  <c r="H448" i="6"/>
  <c r="I447" i="6"/>
  <c r="H447" i="6"/>
  <c r="I446" i="6"/>
  <c r="H446" i="6"/>
  <c r="I445" i="6"/>
  <c r="H445" i="6"/>
  <c r="I444" i="6"/>
  <c r="H444" i="6"/>
  <c r="I443" i="6"/>
  <c r="H443" i="6"/>
  <c r="I442" i="6"/>
  <c r="H442" i="6"/>
  <c r="I441" i="6"/>
  <c r="H441" i="6"/>
  <c r="I440" i="6"/>
  <c r="H440" i="6"/>
  <c r="I439" i="6"/>
  <c r="H439" i="6"/>
  <c r="I438" i="6"/>
  <c r="H438" i="6"/>
  <c r="I437" i="6"/>
  <c r="H437" i="6"/>
  <c r="I436" i="6"/>
  <c r="H436" i="6"/>
  <c r="I435" i="6"/>
  <c r="H435" i="6"/>
  <c r="I434" i="6"/>
  <c r="H434" i="6"/>
  <c r="I433" i="6"/>
  <c r="H433" i="6"/>
  <c r="I432" i="6"/>
  <c r="H432" i="6"/>
  <c r="I431" i="6"/>
  <c r="H431" i="6"/>
  <c r="I430" i="6"/>
  <c r="H430" i="6"/>
  <c r="I429" i="6"/>
  <c r="H429" i="6"/>
  <c r="I428" i="6"/>
  <c r="H428" i="6"/>
  <c r="I427" i="6"/>
  <c r="H427" i="6"/>
  <c r="I426" i="6"/>
  <c r="H426" i="6"/>
  <c r="I425" i="6"/>
  <c r="H425" i="6"/>
  <c r="I424" i="6"/>
  <c r="H424" i="6"/>
  <c r="I423" i="6"/>
  <c r="H423" i="6"/>
  <c r="I422" i="6"/>
  <c r="H422" i="6"/>
  <c r="I421" i="6"/>
  <c r="H421" i="6"/>
  <c r="I420" i="6"/>
  <c r="H420" i="6"/>
  <c r="I419" i="6"/>
  <c r="H419" i="6"/>
  <c r="I418" i="6"/>
  <c r="H418" i="6"/>
  <c r="I417" i="6"/>
  <c r="H417" i="6"/>
  <c r="I416" i="6"/>
  <c r="H416" i="6"/>
  <c r="I415" i="6"/>
  <c r="H415" i="6"/>
  <c r="I414" i="6"/>
  <c r="H414" i="6"/>
  <c r="I413" i="6"/>
  <c r="H413" i="6"/>
  <c r="I412" i="6"/>
  <c r="H412" i="6"/>
  <c r="I411" i="6"/>
  <c r="H411" i="6"/>
  <c r="I410" i="6"/>
  <c r="H410" i="6"/>
  <c r="I409" i="6"/>
  <c r="H409" i="6"/>
  <c r="I408" i="6"/>
  <c r="H408" i="6"/>
  <c r="I407" i="6"/>
  <c r="H407" i="6"/>
  <c r="I406" i="6"/>
  <c r="H406" i="6"/>
  <c r="I405" i="6"/>
  <c r="H405" i="6"/>
  <c r="I404" i="6"/>
  <c r="H404" i="6"/>
  <c r="I403" i="6"/>
  <c r="H403" i="6"/>
  <c r="I402" i="6"/>
  <c r="H402" i="6"/>
  <c r="I401" i="6"/>
  <c r="H401" i="6"/>
  <c r="I400" i="6"/>
  <c r="H400" i="6"/>
  <c r="I399" i="6"/>
  <c r="H399" i="6"/>
  <c r="I398" i="6"/>
  <c r="H398" i="6"/>
  <c r="I397" i="6"/>
  <c r="H397" i="6"/>
  <c r="I396" i="6"/>
  <c r="H396" i="6"/>
  <c r="I395" i="6"/>
  <c r="H395" i="6"/>
  <c r="I394" i="6"/>
  <c r="H394" i="6"/>
  <c r="I393" i="6"/>
  <c r="H393" i="6"/>
  <c r="I392" i="6"/>
  <c r="H392" i="6"/>
  <c r="I391" i="6"/>
  <c r="H391" i="6"/>
  <c r="I390" i="6"/>
  <c r="H390" i="6"/>
  <c r="I389" i="6"/>
  <c r="H389" i="6"/>
  <c r="I388" i="6"/>
  <c r="H388" i="6"/>
  <c r="I387" i="6"/>
  <c r="H387" i="6"/>
  <c r="I386" i="6"/>
  <c r="H386" i="6"/>
  <c r="I385" i="6"/>
  <c r="H385" i="6"/>
  <c r="I384" i="6"/>
  <c r="H384" i="6"/>
  <c r="I383" i="6"/>
  <c r="H383" i="6"/>
  <c r="I382" i="6"/>
  <c r="H382" i="6"/>
  <c r="I381" i="6"/>
  <c r="H381" i="6"/>
  <c r="I380" i="6"/>
  <c r="H380" i="6"/>
  <c r="I379" i="6"/>
  <c r="H379" i="6"/>
  <c r="I378" i="6"/>
  <c r="H378" i="6"/>
  <c r="I377" i="6"/>
  <c r="H377" i="6"/>
  <c r="I376" i="6"/>
  <c r="H376" i="6"/>
  <c r="I375" i="6"/>
  <c r="H375" i="6"/>
  <c r="I374" i="6"/>
  <c r="H374" i="6"/>
  <c r="I373" i="6"/>
  <c r="H373" i="6"/>
  <c r="I372" i="6"/>
  <c r="H372" i="6"/>
  <c r="I371" i="6"/>
  <c r="H371" i="6"/>
  <c r="I370" i="6"/>
  <c r="H370" i="6"/>
  <c r="I369" i="6"/>
  <c r="H369" i="6"/>
  <c r="I368" i="6"/>
  <c r="H368" i="6"/>
  <c r="I367" i="6"/>
  <c r="H367" i="6"/>
  <c r="I366" i="6"/>
  <c r="H366" i="6"/>
  <c r="I365" i="6"/>
  <c r="H365" i="6"/>
  <c r="I364" i="6"/>
  <c r="H364" i="6"/>
  <c r="I363" i="6"/>
  <c r="H363" i="6"/>
  <c r="I362" i="6"/>
  <c r="H362" i="6"/>
  <c r="I361" i="6"/>
  <c r="H361" i="6"/>
  <c r="I360" i="6"/>
  <c r="H360" i="6"/>
  <c r="I359" i="6"/>
  <c r="H359" i="6"/>
  <c r="I358" i="6"/>
  <c r="H358" i="6"/>
  <c r="I357" i="6"/>
  <c r="H357" i="6"/>
  <c r="I356" i="6"/>
  <c r="H356" i="6"/>
  <c r="I355" i="6"/>
  <c r="H355" i="6"/>
  <c r="I354" i="6"/>
  <c r="H354" i="6"/>
  <c r="I353" i="6"/>
  <c r="H353" i="6"/>
  <c r="I352" i="6"/>
  <c r="H352" i="6"/>
  <c r="I351" i="6"/>
  <c r="H351" i="6"/>
  <c r="I350" i="6"/>
  <c r="H350" i="6"/>
  <c r="I349" i="6"/>
  <c r="H349" i="6"/>
  <c r="I348" i="6"/>
  <c r="H348" i="6"/>
  <c r="I347" i="6"/>
  <c r="H347" i="6"/>
  <c r="I346" i="6"/>
  <c r="H346" i="6"/>
  <c r="I345" i="6"/>
  <c r="H345" i="6"/>
  <c r="I344" i="6"/>
  <c r="H344" i="6"/>
  <c r="I343" i="6"/>
  <c r="H343" i="6"/>
  <c r="I342" i="6"/>
  <c r="H342" i="6"/>
  <c r="I341" i="6"/>
  <c r="H341" i="6"/>
  <c r="I340" i="6"/>
  <c r="H340" i="6"/>
  <c r="I339" i="6"/>
  <c r="H339" i="6"/>
  <c r="I338" i="6"/>
  <c r="H338" i="6"/>
  <c r="I337" i="6"/>
  <c r="H337" i="6"/>
  <c r="I336" i="6"/>
  <c r="H336" i="6"/>
  <c r="I335" i="6"/>
  <c r="H335" i="6"/>
  <c r="I334" i="6"/>
  <c r="H334" i="6"/>
  <c r="I333" i="6"/>
  <c r="H333" i="6"/>
  <c r="I332" i="6"/>
  <c r="H332" i="6"/>
  <c r="I331" i="6"/>
  <c r="H331" i="6"/>
  <c r="I330" i="6"/>
  <c r="H330" i="6"/>
  <c r="I329" i="6"/>
  <c r="H329" i="6"/>
  <c r="I328" i="6"/>
  <c r="H328" i="6"/>
  <c r="I327" i="6"/>
  <c r="H327" i="6"/>
  <c r="I326" i="6"/>
  <c r="H326" i="6"/>
  <c r="I325" i="6"/>
  <c r="H325" i="6"/>
  <c r="I324" i="6"/>
  <c r="H324" i="6"/>
  <c r="I323" i="6"/>
  <c r="H323" i="6"/>
  <c r="I322" i="6"/>
  <c r="H322" i="6"/>
  <c r="I321" i="6"/>
  <c r="H321" i="6"/>
  <c r="I320" i="6"/>
  <c r="H320" i="6"/>
  <c r="I319" i="6"/>
  <c r="H319" i="6"/>
  <c r="I318" i="6"/>
  <c r="H318" i="6"/>
  <c r="I317" i="6"/>
  <c r="H317" i="6"/>
  <c r="I316" i="6"/>
  <c r="H316" i="6"/>
  <c r="I315" i="6"/>
  <c r="H315" i="6"/>
  <c r="I314" i="6"/>
  <c r="H314" i="6"/>
  <c r="I313" i="6"/>
  <c r="H313" i="6"/>
  <c r="I312" i="6"/>
  <c r="H312" i="6"/>
  <c r="I311" i="6"/>
  <c r="H311" i="6"/>
  <c r="I310" i="6"/>
  <c r="H310" i="6"/>
  <c r="I309" i="6"/>
  <c r="H309" i="6"/>
  <c r="I308" i="6"/>
  <c r="H308" i="6"/>
  <c r="I307" i="6"/>
  <c r="H307" i="6"/>
  <c r="I306" i="6"/>
  <c r="H306" i="6"/>
  <c r="I305" i="6"/>
  <c r="H305" i="6"/>
  <c r="I304" i="6"/>
  <c r="H304" i="6"/>
  <c r="I303" i="6"/>
  <c r="H303" i="6"/>
  <c r="I302" i="6"/>
  <c r="H302" i="6"/>
  <c r="I301" i="6"/>
  <c r="H301" i="6"/>
  <c r="I300" i="6"/>
  <c r="H300" i="6"/>
  <c r="I299" i="6"/>
  <c r="H299" i="6"/>
  <c r="I298" i="6"/>
  <c r="H298" i="6"/>
  <c r="I297" i="6"/>
  <c r="H297" i="6"/>
  <c r="I296" i="6"/>
  <c r="H296" i="6"/>
  <c r="I295" i="6"/>
  <c r="H295" i="6"/>
  <c r="I294" i="6"/>
  <c r="H294" i="6"/>
  <c r="I293" i="6"/>
  <c r="H293" i="6"/>
  <c r="I292" i="6"/>
  <c r="H292" i="6"/>
  <c r="I291" i="6"/>
  <c r="H291" i="6"/>
  <c r="I290" i="6"/>
  <c r="H290" i="6"/>
  <c r="I289" i="6"/>
  <c r="H289" i="6"/>
  <c r="I288" i="6"/>
  <c r="H288" i="6"/>
  <c r="I287" i="6"/>
  <c r="H287" i="6"/>
  <c r="I286" i="6"/>
  <c r="H286" i="6"/>
  <c r="I285" i="6"/>
  <c r="H285" i="6"/>
  <c r="I284" i="6"/>
  <c r="H284" i="6"/>
  <c r="I283" i="6"/>
  <c r="H283" i="6"/>
  <c r="I282" i="6"/>
  <c r="H282" i="6"/>
  <c r="I281" i="6"/>
  <c r="H281" i="6"/>
  <c r="I280" i="6"/>
  <c r="H280" i="6"/>
  <c r="I279" i="6"/>
  <c r="H279" i="6"/>
  <c r="I278" i="6"/>
  <c r="H278" i="6"/>
  <c r="I277" i="6"/>
  <c r="H277" i="6"/>
  <c r="I276" i="6"/>
  <c r="H276" i="6"/>
  <c r="I275" i="6"/>
  <c r="H275" i="6"/>
  <c r="I274" i="6"/>
  <c r="H274" i="6"/>
  <c r="I273" i="6"/>
  <c r="H273" i="6"/>
  <c r="I272" i="6"/>
  <c r="H272" i="6"/>
  <c r="I271" i="6"/>
  <c r="H271" i="6"/>
  <c r="I270" i="6"/>
  <c r="H270" i="6"/>
  <c r="I269" i="6"/>
  <c r="H269" i="6"/>
  <c r="I268" i="6"/>
  <c r="H268" i="6"/>
  <c r="I267" i="6"/>
  <c r="H267" i="6"/>
  <c r="I266" i="6"/>
  <c r="H266" i="6"/>
  <c r="I265" i="6"/>
  <c r="H265" i="6"/>
  <c r="I264" i="6"/>
  <c r="H264" i="6"/>
  <c r="I263" i="6"/>
  <c r="H263" i="6"/>
  <c r="I262" i="6"/>
  <c r="H262" i="6"/>
  <c r="I261" i="6"/>
  <c r="H261" i="6"/>
  <c r="I260" i="6"/>
  <c r="H260" i="6"/>
  <c r="I259" i="6"/>
  <c r="H259" i="6"/>
  <c r="I258" i="6"/>
  <c r="H258" i="6"/>
  <c r="I257" i="6"/>
  <c r="H257" i="6"/>
  <c r="I256" i="6"/>
  <c r="H256" i="6"/>
  <c r="I255" i="6"/>
  <c r="H255" i="6"/>
  <c r="I254" i="6"/>
  <c r="H254" i="6"/>
  <c r="I253" i="6"/>
  <c r="H253" i="6"/>
  <c r="I252" i="6"/>
  <c r="H252" i="6"/>
  <c r="I251" i="6"/>
  <c r="H251" i="6"/>
  <c r="I250" i="6"/>
  <c r="H250" i="6"/>
  <c r="I249" i="6"/>
  <c r="H249" i="6"/>
  <c r="I248" i="6"/>
  <c r="H248" i="6"/>
  <c r="I247" i="6"/>
  <c r="H247" i="6"/>
  <c r="I246" i="6"/>
  <c r="H246" i="6"/>
  <c r="I245" i="6"/>
  <c r="H245" i="6"/>
  <c r="I244" i="6"/>
  <c r="H244" i="6"/>
  <c r="I243" i="6"/>
  <c r="H243" i="6"/>
  <c r="I242" i="6"/>
  <c r="H242" i="6"/>
  <c r="I241" i="6"/>
  <c r="H241" i="6"/>
  <c r="I240" i="6"/>
  <c r="H240" i="6"/>
  <c r="I239" i="6"/>
  <c r="H239" i="6"/>
  <c r="I238" i="6"/>
  <c r="H238" i="6"/>
  <c r="I237" i="6"/>
  <c r="H237" i="6"/>
  <c r="I236" i="6"/>
  <c r="H236" i="6"/>
  <c r="I235" i="6"/>
  <c r="H235" i="6"/>
  <c r="I234" i="6"/>
  <c r="H234" i="6"/>
  <c r="I233" i="6"/>
  <c r="H233" i="6"/>
  <c r="I232" i="6"/>
  <c r="H232" i="6"/>
  <c r="I231" i="6"/>
  <c r="H231" i="6"/>
  <c r="I230" i="6"/>
  <c r="H230" i="6"/>
  <c r="I229" i="6"/>
  <c r="H229" i="6"/>
  <c r="I228" i="6"/>
  <c r="H228" i="6"/>
  <c r="I227" i="6"/>
  <c r="H227" i="6"/>
  <c r="I226" i="6"/>
  <c r="H226" i="6"/>
  <c r="I225" i="6"/>
  <c r="H225" i="6"/>
  <c r="I224" i="6"/>
  <c r="H224" i="6"/>
  <c r="I223" i="6"/>
  <c r="H223" i="6"/>
  <c r="I222" i="6"/>
  <c r="H222" i="6"/>
  <c r="I221" i="6"/>
  <c r="H221" i="6"/>
  <c r="I220" i="6"/>
  <c r="H220" i="6"/>
  <c r="I219" i="6"/>
  <c r="H219" i="6"/>
  <c r="I218" i="6"/>
  <c r="H218" i="6"/>
  <c r="I217" i="6"/>
  <c r="H217" i="6"/>
  <c r="I216" i="6"/>
  <c r="H216" i="6"/>
  <c r="I215" i="6"/>
  <c r="H215" i="6"/>
  <c r="I214" i="6"/>
  <c r="H214" i="6"/>
  <c r="I213" i="6"/>
  <c r="H213" i="6"/>
  <c r="I212" i="6"/>
  <c r="H212" i="6"/>
  <c r="I211" i="6"/>
  <c r="H211" i="6"/>
  <c r="I210" i="6"/>
  <c r="H210" i="6"/>
  <c r="I209" i="6"/>
  <c r="H209" i="6"/>
  <c r="I208" i="6"/>
  <c r="H208" i="6"/>
  <c r="I207" i="6"/>
  <c r="H207" i="6"/>
  <c r="I206" i="6"/>
  <c r="H206" i="6"/>
  <c r="I205" i="6"/>
  <c r="H205" i="6"/>
  <c r="I204" i="6"/>
  <c r="H204" i="6"/>
  <c r="I203" i="6"/>
  <c r="H203" i="6"/>
  <c r="I202" i="6"/>
  <c r="H202" i="6"/>
  <c r="I201" i="6"/>
  <c r="H201" i="6"/>
  <c r="I200" i="6"/>
  <c r="H200" i="6"/>
  <c r="I199" i="6"/>
  <c r="H199" i="6"/>
  <c r="I198" i="6"/>
  <c r="H198" i="6"/>
  <c r="I197" i="6"/>
  <c r="H197" i="6"/>
  <c r="I196" i="6"/>
  <c r="H196" i="6"/>
  <c r="I195" i="6"/>
  <c r="H195" i="6"/>
  <c r="I194" i="6"/>
  <c r="H194" i="6"/>
  <c r="I193" i="6"/>
  <c r="H193" i="6"/>
  <c r="I192" i="6"/>
  <c r="H192" i="6"/>
  <c r="I191" i="6"/>
  <c r="H191" i="6"/>
  <c r="I190" i="6"/>
  <c r="H190" i="6"/>
  <c r="I189" i="6"/>
  <c r="H189" i="6"/>
  <c r="I188" i="6"/>
  <c r="H188" i="6"/>
  <c r="I187" i="6"/>
  <c r="H187" i="6"/>
  <c r="I186" i="6"/>
  <c r="H186" i="6"/>
  <c r="I185" i="6"/>
  <c r="H185" i="6"/>
  <c r="I184" i="6"/>
  <c r="H184" i="6"/>
  <c r="I183" i="6"/>
  <c r="H183" i="6"/>
  <c r="I182" i="6"/>
  <c r="H182" i="6"/>
  <c r="I181" i="6"/>
  <c r="H181" i="6"/>
  <c r="I180" i="6"/>
  <c r="H180" i="6"/>
  <c r="I179" i="6"/>
  <c r="H179" i="6"/>
  <c r="I178" i="6"/>
  <c r="H178" i="6"/>
  <c r="I177" i="6"/>
  <c r="H177" i="6"/>
  <c r="I176" i="6"/>
  <c r="H176" i="6"/>
  <c r="I175" i="6"/>
  <c r="H175" i="6"/>
  <c r="I174" i="6"/>
  <c r="H174" i="6"/>
  <c r="I173" i="6"/>
  <c r="H173" i="6"/>
  <c r="I172" i="6"/>
  <c r="H172" i="6"/>
  <c r="I171" i="6"/>
  <c r="H171" i="6"/>
  <c r="I170" i="6"/>
  <c r="H170" i="6"/>
  <c r="I169" i="6"/>
  <c r="H169" i="6"/>
  <c r="I168" i="6"/>
  <c r="H168" i="6"/>
  <c r="I167" i="6"/>
  <c r="H167" i="6"/>
  <c r="I166" i="6"/>
  <c r="H166" i="6"/>
  <c r="I165" i="6"/>
  <c r="H165" i="6"/>
  <c r="I164" i="6"/>
  <c r="H164" i="6"/>
  <c r="I163" i="6"/>
  <c r="H163" i="6"/>
  <c r="I162" i="6"/>
  <c r="H162" i="6"/>
  <c r="I161" i="6"/>
  <c r="H161" i="6"/>
  <c r="I160" i="6"/>
  <c r="H160" i="6"/>
  <c r="I159" i="6"/>
  <c r="H159" i="6"/>
  <c r="I158" i="6"/>
  <c r="H158" i="6"/>
  <c r="I157" i="6"/>
  <c r="H157" i="6"/>
  <c r="I156" i="6"/>
  <c r="H156" i="6"/>
  <c r="I155" i="6"/>
  <c r="H155" i="6"/>
  <c r="I154" i="6"/>
  <c r="H154" i="6"/>
  <c r="I153" i="6"/>
  <c r="H153" i="6"/>
  <c r="I152" i="6"/>
  <c r="H152" i="6"/>
  <c r="I151" i="6"/>
  <c r="H151" i="6"/>
  <c r="I150" i="6"/>
  <c r="H150" i="6"/>
  <c r="I149" i="6"/>
  <c r="H149" i="6"/>
  <c r="I148" i="6"/>
  <c r="H148" i="6"/>
  <c r="I147" i="6"/>
  <c r="H147" i="6"/>
  <c r="I146" i="6"/>
  <c r="H146" i="6"/>
  <c r="I145" i="6"/>
  <c r="H145" i="6"/>
  <c r="I144" i="6"/>
  <c r="H144" i="6"/>
  <c r="I143" i="6"/>
  <c r="H143" i="6"/>
  <c r="I142" i="6"/>
  <c r="H142" i="6"/>
  <c r="I141" i="6"/>
  <c r="H141" i="6"/>
  <c r="I140" i="6"/>
  <c r="H140" i="6"/>
  <c r="I139" i="6"/>
  <c r="H139" i="6"/>
  <c r="I138" i="6"/>
  <c r="H138" i="6"/>
  <c r="I137" i="6"/>
  <c r="H137" i="6"/>
  <c r="I136" i="6"/>
  <c r="H136" i="6"/>
  <c r="I135" i="6"/>
  <c r="H135" i="6"/>
  <c r="I134" i="6"/>
  <c r="H134" i="6"/>
  <c r="I133" i="6"/>
  <c r="H133" i="6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I97" i="6"/>
  <c r="H97" i="6"/>
  <c r="I96" i="6"/>
  <c r="H96" i="6"/>
  <c r="I95" i="6"/>
  <c r="H95" i="6"/>
  <c r="I94" i="6"/>
  <c r="H94" i="6"/>
  <c r="I93" i="6"/>
  <c r="H93" i="6"/>
  <c r="I92" i="6"/>
  <c r="H92" i="6"/>
  <c r="I91" i="6"/>
  <c r="H91" i="6"/>
  <c r="I90" i="6"/>
  <c r="H90" i="6"/>
  <c r="I89" i="6"/>
  <c r="H89" i="6"/>
  <c r="I88" i="6"/>
  <c r="H88" i="6"/>
  <c r="I87" i="6"/>
  <c r="H87" i="6"/>
  <c r="I86" i="6"/>
  <c r="H86" i="6"/>
  <c r="I85" i="6"/>
  <c r="H85" i="6"/>
  <c r="I84" i="6"/>
  <c r="H84" i="6"/>
  <c r="I83" i="6"/>
  <c r="H83" i="6"/>
  <c r="I82" i="6"/>
  <c r="H82" i="6"/>
  <c r="I81" i="6"/>
  <c r="H81" i="6"/>
  <c r="I80" i="6"/>
  <c r="H80" i="6"/>
  <c r="I79" i="6"/>
  <c r="H79" i="6"/>
  <c r="I78" i="6"/>
  <c r="H78" i="6"/>
  <c r="I77" i="6"/>
  <c r="H77" i="6"/>
  <c r="I76" i="6"/>
  <c r="H76" i="6"/>
  <c r="I75" i="6"/>
  <c r="H75" i="6"/>
  <c r="I74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I60" i="6"/>
  <c r="H60" i="6"/>
  <c r="I59" i="6"/>
  <c r="H59" i="6"/>
  <c r="I58" i="6"/>
  <c r="H58" i="6"/>
  <c r="I57" i="6"/>
  <c r="H57" i="6"/>
  <c r="I56" i="6"/>
  <c r="H56" i="6"/>
  <c r="I55" i="6"/>
  <c r="H55" i="6"/>
  <c r="I54" i="6"/>
  <c r="H54" i="6"/>
  <c r="I53" i="6"/>
  <c r="H53" i="6"/>
  <c r="I52" i="6"/>
  <c r="H52" i="6"/>
  <c r="I51" i="6"/>
  <c r="H51" i="6"/>
  <c r="I50" i="6"/>
  <c r="H50" i="6"/>
  <c r="I49" i="6"/>
  <c r="H49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I39" i="6"/>
  <c r="H39" i="6"/>
  <c r="I38" i="6"/>
  <c r="H38" i="6"/>
  <c r="I37" i="6"/>
  <c r="H37" i="6"/>
  <c r="I36" i="6"/>
  <c r="H36" i="6"/>
  <c r="I35" i="6"/>
  <c r="H35" i="6"/>
  <c r="I34" i="6"/>
  <c r="H34" i="6"/>
  <c r="I33" i="6"/>
  <c r="H33" i="6"/>
  <c r="I32" i="6"/>
  <c r="H32" i="6"/>
  <c r="I31" i="6"/>
  <c r="H31" i="6"/>
  <c r="I30" i="6"/>
  <c r="H30" i="6"/>
  <c r="I29" i="6"/>
  <c r="H29" i="6"/>
  <c r="I28" i="6"/>
  <c r="H28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  <c r="I926" i="5"/>
  <c r="H926" i="5"/>
  <c r="I925" i="5"/>
  <c r="H925" i="5"/>
  <c r="I924" i="5"/>
  <c r="H924" i="5"/>
  <c r="I923" i="5"/>
  <c r="H923" i="5"/>
  <c r="I922" i="5"/>
  <c r="H922" i="5"/>
  <c r="I921" i="5"/>
  <c r="H921" i="5"/>
  <c r="I920" i="5"/>
  <c r="H920" i="5"/>
  <c r="I919" i="5"/>
  <c r="H919" i="5"/>
  <c r="I918" i="5"/>
  <c r="H918" i="5"/>
  <c r="I917" i="5"/>
  <c r="H917" i="5"/>
  <c r="I916" i="5"/>
  <c r="H916" i="5"/>
  <c r="I915" i="5"/>
  <c r="H915" i="5"/>
  <c r="I914" i="5"/>
  <c r="H914" i="5"/>
  <c r="I913" i="5"/>
  <c r="H913" i="5"/>
  <c r="I912" i="5"/>
  <c r="H912" i="5"/>
  <c r="I911" i="5"/>
  <c r="H911" i="5"/>
  <c r="I910" i="5"/>
  <c r="H910" i="5"/>
  <c r="I909" i="5"/>
  <c r="H909" i="5"/>
  <c r="I908" i="5"/>
  <c r="H908" i="5"/>
  <c r="I907" i="5"/>
  <c r="H907" i="5"/>
  <c r="I906" i="5"/>
  <c r="H906" i="5"/>
  <c r="I905" i="5"/>
  <c r="H905" i="5"/>
  <c r="I904" i="5"/>
  <c r="H904" i="5"/>
  <c r="I903" i="5"/>
  <c r="H903" i="5"/>
  <c r="I902" i="5"/>
  <c r="H902" i="5"/>
  <c r="I901" i="5"/>
  <c r="H901" i="5"/>
  <c r="I900" i="5"/>
  <c r="H900" i="5"/>
  <c r="I899" i="5"/>
  <c r="H899" i="5"/>
  <c r="I898" i="5"/>
  <c r="H898" i="5"/>
  <c r="I897" i="5"/>
  <c r="H897" i="5"/>
  <c r="I896" i="5"/>
  <c r="H896" i="5"/>
  <c r="I895" i="5"/>
  <c r="H895" i="5"/>
  <c r="I894" i="5"/>
  <c r="H894" i="5"/>
  <c r="I893" i="5"/>
  <c r="H893" i="5"/>
  <c r="I892" i="5"/>
  <c r="H892" i="5"/>
  <c r="I891" i="5"/>
  <c r="H891" i="5"/>
  <c r="I890" i="5"/>
  <c r="H890" i="5"/>
  <c r="I889" i="5"/>
  <c r="H889" i="5"/>
  <c r="I888" i="5"/>
  <c r="H888" i="5"/>
  <c r="I887" i="5"/>
  <c r="H887" i="5"/>
  <c r="I886" i="5"/>
  <c r="H886" i="5"/>
  <c r="I885" i="5"/>
  <c r="H885" i="5"/>
  <c r="I884" i="5"/>
  <c r="H884" i="5"/>
  <c r="I883" i="5"/>
  <c r="H883" i="5"/>
  <c r="I882" i="5"/>
  <c r="H882" i="5"/>
  <c r="I881" i="5"/>
  <c r="H881" i="5"/>
  <c r="I880" i="5"/>
  <c r="H880" i="5"/>
  <c r="I879" i="5"/>
  <c r="H879" i="5"/>
  <c r="I878" i="5"/>
  <c r="H878" i="5"/>
  <c r="I877" i="5"/>
  <c r="H877" i="5"/>
  <c r="I876" i="5"/>
  <c r="H876" i="5"/>
  <c r="I875" i="5"/>
  <c r="H875" i="5"/>
  <c r="I874" i="5"/>
  <c r="H874" i="5"/>
  <c r="I873" i="5"/>
  <c r="H873" i="5"/>
  <c r="I872" i="5"/>
  <c r="H872" i="5"/>
  <c r="I871" i="5"/>
  <c r="H871" i="5"/>
  <c r="I870" i="5"/>
  <c r="H870" i="5"/>
  <c r="I869" i="5"/>
  <c r="H869" i="5"/>
  <c r="I868" i="5"/>
  <c r="H868" i="5"/>
  <c r="I867" i="5"/>
  <c r="H867" i="5"/>
  <c r="I866" i="5"/>
  <c r="H866" i="5"/>
  <c r="I865" i="5"/>
  <c r="H865" i="5"/>
  <c r="I864" i="5"/>
  <c r="H864" i="5"/>
  <c r="I863" i="5"/>
  <c r="H863" i="5"/>
  <c r="I862" i="5"/>
  <c r="H862" i="5"/>
  <c r="I861" i="5"/>
  <c r="H861" i="5"/>
  <c r="I860" i="5"/>
  <c r="H860" i="5"/>
  <c r="I859" i="5"/>
  <c r="H859" i="5"/>
  <c r="I858" i="5"/>
  <c r="H858" i="5"/>
  <c r="I857" i="5"/>
  <c r="H857" i="5"/>
  <c r="I856" i="5"/>
  <c r="H856" i="5"/>
  <c r="I855" i="5"/>
  <c r="H855" i="5"/>
  <c r="I854" i="5"/>
  <c r="H854" i="5"/>
  <c r="I853" i="5"/>
  <c r="H853" i="5"/>
  <c r="I852" i="5"/>
  <c r="H852" i="5"/>
  <c r="I851" i="5"/>
  <c r="H851" i="5"/>
  <c r="I850" i="5"/>
  <c r="H850" i="5"/>
  <c r="I849" i="5"/>
  <c r="H849" i="5"/>
  <c r="I848" i="5"/>
  <c r="H848" i="5"/>
  <c r="I847" i="5"/>
  <c r="H847" i="5"/>
  <c r="I846" i="5"/>
  <c r="H846" i="5"/>
  <c r="I845" i="5"/>
  <c r="H845" i="5"/>
  <c r="I844" i="5"/>
  <c r="H844" i="5"/>
  <c r="I843" i="5"/>
  <c r="H843" i="5"/>
  <c r="I842" i="5"/>
  <c r="H842" i="5"/>
  <c r="I841" i="5"/>
  <c r="H841" i="5"/>
  <c r="I840" i="5"/>
  <c r="H840" i="5"/>
  <c r="I839" i="5"/>
  <c r="H839" i="5"/>
  <c r="I838" i="5"/>
  <c r="H838" i="5"/>
  <c r="I837" i="5"/>
  <c r="H837" i="5"/>
  <c r="I836" i="5"/>
  <c r="H836" i="5"/>
  <c r="I835" i="5"/>
  <c r="H835" i="5"/>
  <c r="I834" i="5"/>
  <c r="H834" i="5"/>
  <c r="I833" i="5"/>
  <c r="H833" i="5"/>
  <c r="I832" i="5"/>
  <c r="H832" i="5"/>
  <c r="I831" i="5"/>
  <c r="H831" i="5"/>
  <c r="I830" i="5"/>
  <c r="H830" i="5"/>
  <c r="I829" i="5"/>
  <c r="H829" i="5"/>
  <c r="I828" i="5"/>
  <c r="H828" i="5"/>
  <c r="I827" i="5"/>
  <c r="H827" i="5"/>
  <c r="I826" i="5"/>
  <c r="H826" i="5"/>
  <c r="I825" i="5"/>
  <c r="H825" i="5"/>
  <c r="I824" i="5"/>
  <c r="H824" i="5"/>
  <c r="I823" i="5"/>
  <c r="H823" i="5"/>
  <c r="I822" i="5"/>
  <c r="H822" i="5"/>
  <c r="I821" i="5"/>
  <c r="H821" i="5"/>
  <c r="I820" i="5"/>
  <c r="H820" i="5"/>
  <c r="I819" i="5"/>
  <c r="H819" i="5"/>
  <c r="I818" i="5"/>
  <c r="H818" i="5"/>
  <c r="I817" i="5"/>
  <c r="H817" i="5"/>
  <c r="I816" i="5"/>
  <c r="H816" i="5"/>
  <c r="I815" i="5"/>
  <c r="H815" i="5"/>
  <c r="I814" i="5"/>
  <c r="H814" i="5"/>
  <c r="I813" i="5"/>
  <c r="H813" i="5"/>
  <c r="I812" i="5"/>
  <c r="H812" i="5"/>
  <c r="I811" i="5"/>
  <c r="H811" i="5"/>
  <c r="I810" i="5"/>
  <c r="H810" i="5"/>
  <c r="I809" i="5"/>
  <c r="H809" i="5"/>
  <c r="I808" i="5"/>
  <c r="H808" i="5"/>
  <c r="I807" i="5"/>
  <c r="H807" i="5"/>
  <c r="I806" i="5"/>
  <c r="H806" i="5"/>
  <c r="I805" i="5"/>
  <c r="H805" i="5"/>
  <c r="I804" i="5"/>
  <c r="H804" i="5"/>
  <c r="I803" i="5"/>
  <c r="H803" i="5"/>
  <c r="I802" i="5"/>
  <c r="H802" i="5"/>
  <c r="I801" i="5"/>
  <c r="H801" i="5"/>
  <c r="I800" i="5"/>
  <c r="H800" i="5"/>
  <c r="I799" i="5"/>
  <c r="H799" i="5"/>
  <c r="I798" i="5"/>
  <c r="H798" i="5"/>
  <c r="I797" i="5"/>
  <c r="H797" i="5"/>
  <c r="I796" i="5"/>
  <c r="H796" i="5"/>
  <c r="I795" i="5"/>
  <c r="H795" i="5"/>
  <c r="I794" i="5"/>
  <c r="H794" i="5"/>
  <c r="I793" i="5"/>
  <c r="H793" i="5"/>
  <c r="I792" i="5"/>
  <c r="H792" i="5"/>
  <c r="I791" i="5"/>
  <c r="H791" i="5"/>
  <c r="I790" i="5"/>
  <c r="H790" i="5"/>
  <c r="I789" i="5"/>
  <c r="H789" i="5"/>
  <c r="I788" i="5"/>
  <c r="H788" i="5"/>
  <c r="I787" i="5"/>
  <c r="H787" i="5"/>
  <c r="I786" i="5"/>
  <c r="H786" i="5"/>
  <c r="I785" i="5"/>
  <c r="H785" i="5"/>
  <c r="I784" i="5"/>
  <c r="H784" i="5"/>
  <c r="I783" i="5"/>
  <c r="H783" i="5"/>
  <c r="I782" i="5"/>
  <c r="H782" i="5"/>
  <c r="I781" i="5"/>
  <c r="H781" i="5"/>
  <c r="I780" i="5"/>
  <c r="H780" i="5"/>
  <c r="I779" i="5"/>
  <c r="H779" i="5"/>
  <c r="I778" i="5"/>
  <c r="H778" i="5"/>
  <c r="I777" i="5"/>
  <c r="H777" i="5"/>
  <c r="I776" i="5"/>
  <c r="H776" i="5"/>
  <c r="I775" i="5"/>
  <c r="H775" i="5"/>
  <c r="I774" i="5"/>
  <c r="H774" i="5"/>
  <c r="I773" i="5"/>
  <c r="H773" i="5"/>
  <c r="I772" i="5"/>
  <c r="H772" i="5"/>
  <c r="I771" i="5"/>
  <c r="H771" i="5"/>
  <c r="I770" i="5"/>
  <c r="H770" i="5"/>
  <c r="I769" i="5"/>
  <c r="H769" i="5"/>
  <c r="I768" i="5"/>
  <c r="H768" i="5"/>
  <c r="I767" i="5"/>
  <c r="H767" i="5"/>
  <c r="I766" i="5"/>
  <c r="H766" i="5"/>
  <c r="I765" i="5"/>
  <c r="H765" i="5"/>
  <c r="I764" i="5"/>
  <c r="H764" i="5"/>
  <c r="I763" i="5"/>
  <c r="H763" i="5"/>
  <c r="I762" i="5"/>
  <c r="H762" i="5"/>
  <c r="I761" i="5"/>
  <c r="H761" i="5"/>
  <c r="I760" i="5"/>
  <c r="H760" i="5"/>
  <c r="I759" i="5"/>
  <c r="H759" i="5"/>
  <c r="I758" i="5"/>
  <c r="H758" i="5"/>
  <c r="I757" i="5"/>
  <c r="H757" i="5"/>
  <c r="I756" i="5"/>
  <c r="H756" i="5"/>
  <c r="I755" i="5"/>
  <c r="H755" i="5"/>
  <c r="I754" i="5"/>
  <c r="H754" i="5"/>
  <c r="I753" i="5"/>
  <c r="H753" i="5"/>
  <c r="I752" i="5"/>
  <c r="H752" i="5"/>
  <c r="I751" i="5"/>
  <c r="H751" i="5"/>
  <c r="I750" i="5"/>
  <c r="H750" i="5"/>
  <c r="I749" i="5"/>
  <c r="H749" i="5"/>
  <c r="I748" i="5"/>
  <c r="H748" i="5"/>
  <c r="I747" i="5"/>
  <c r="H747" i="5"/>
  <c r="I746" i="5"/>
  <c r="H746" i="5"/>
  <c r="I745" i="5"/>
  <c r="H745" i="5"/>
  <c r="I744" i="5"/>
  <c r="H744" i="5"/>
  <c r="I743" i="5"/>
  <c r="H743" i="5"/>
  <c r="I742" i="5"/>
  <c r="H742" i="5"/>
  <c r="I741" i="5"/>
  <c r="H741" i="5"/>
  <c r="I740" i="5"/>
  <c r="H740" i="5"/>
  <c r="I739" i="5"/>
  <c r="H739" i="5"/>
  <c r="I738" i="5"/>
  <c r="H738" i="5"/>
  <c r="I737" i="5"/>
  <c r="H737" i="5"/>
  <c r="I736" i="5"/>
  <c r="H736" i="5"/>
  <c r="I735" i="5"/>
  <c r="H735" i="5"/>
  <c r="I734" i="5"/>
  <c r="H734" i="5"/>
  <c r="I733" i="5"/>
  <c r="H733" i="5"/>
  <c r="I732" i="5"/>
  <c r="H732" i="5"/>
  <c r="I731" i="5"/>
  <c r="H731" i="5"/>
  <c r="I730" i="5"/>
  <c r="H730" i="5"/>
  <c r="I729" i="5"/>
  <c r="H729" i="5"/>
  <c r="I728" i="5"/>
  <c r="H728" i="5"/>
  <c r="I727" i="5"/>
  <c r="H727" i="5"/>
  <c r="I726" i="5"/>
  <c r="H726" i="5"/>
  <c r="I725" i="5"/>
  <c r="H725" i="5"/>
  <c r="I724" i="5"/>
  <c r="H724" i="5"/>
  <c r="I723" i="5"/>
  <c r="H723" i="5"/>
  <c r="I722" i="5"/>
  <c r="H722" i="5"/>
  <c r="I721" i="5"/>
  <c r="H721" i="5"/>
  <c r="I720" i="5"/>
  <c r="H720" i="5"/>
  <c r="I719" i="5"/>
  <c r="H719" i="5"/>
  <c r="I718" i="5"/>
  <c r="H718" i="5"/>
  <c r="I717" i="5"/>
  <c r="H717" i="5"/>
  <c r="I716" i="5"/>
  <c r="H716" i="5"/>
  <c r="I715" i="5"/>
  <c r="H715" i="5"/>
  <c r="I714" i="5"/>
  <c r="H714" i="5"/>
  <c r="I713" i="5"/>
  <c r="H713" i="5"/>
  <c r="I712" i="5"/>
  <c r="H712" i="5"/>
  <c r="I711" i="5"/>
  <c r="H711" i="5"/>
  <c r="I710" i="5"/>
  <c r="H710" i="5"/>
  <c r="I709" i="5"/>
  <c r="H709" i="5"/>
  <c r="I708" i="5"/>
  <c r="H708" i="5"/>
  <c r="I707" i="5"/>
  <c r="H707" i="5"/>
  <c r="I706" i="5"/>
  <c r="H706" i="5"/>
  <c r="I705" i="5"/>
  <c r="H705" i="5"/>
  <c r="I704" i="5"/>
  <c r="H704" i="5"/>
  <c r="I703" i="5"/>
  <c r="H703" i="5"/>
  <c r="I702" i="5"/>
  <c r="H702" i="5"/>
  <c r="I701" i="5"/>
  <c r="H701" i="5"/>
  <c r="I700" i="5"/>
  <c r="H700" i="5"/>
  <c r="I699" i="5"/>
  <c r="H699" i="5"/>
  <c r="I698" i="5"/>
  <c r="H698" i="5"/>
  <c r="I697" i="5"/>
  <c r="H697" i="5"/>
  <c r="I696" i="5"/>
  <c r="H696" i="5"/>
  <c r="I695" i="5"/>
  <c r="H695" i="5"/>
  <c r="I694" i="5"/>
  <c r="H694" i="5"/>
  <c r="I693" i="5"/>
  <c r="H693" i="5"/>
  <c r="I692" i="5"/>
  <c r="H692" i="5"/>
  <c r="I691" i="5"/>
  <c r="H691" i="5"/>
  <c r="I690" i="5"/>
  <c r="H690" i="5"/>
  <c r="I689" i="5"/>
  <c r="H689" i="5"/>
  <c r="I688" i="5"/>
  <c r="H688" i="5"/>
  <c r="I687" i="5"/>
  <c r="H687" i="5"/>
  <c r="I686" i="5"/>
  <c r="H686" i="5"/>
  <c r="I685" i="5"/>
  <c r="H685" i="5"/>
  <c r="I684" i="5"/>
  <c r="H684" i="5"/>
  <c r="I683" i="5"/>
  <c r="H683" i="5"/>
  <c r="I682" i="5"/>
  <c r="H682" i="5"/>
  <c r="I681" i="5"/>
  <c r="H681" i="5"/>
  <c r="I680" i="5"/>
  <c r="H680" i="5"/>
  <c r="I679" i="5"/>
  <c r="H679" i="5"/>
  <c r="I678" i="5"/>
  <c r="H678" i="5"/>
  <c r="I677" i="5"/>
  <c r="H677" i="5"/>
  <c r="I676" i="5"/>
  <c r="H676" i="5"/>
  <c r="I675" i="5"/>
  <c r="H675" i="5"/>
  <c r="I674" i="5"/>
  <c r="H674" i="5"/>
  <c r="I673" i="5"/>
  <c r="H673" i="5"/>
  <c r="I672" i="5"/>
  <c r="H672" i="5"/>
  <c r="I671" i="5"/>
  <c r="H671" i="5"/>
  <c r="I670" i="5"/>
  <c r="H670" i="5"/>
  <c r="I669" i="5"/>
  <c r="H669" i="5"/>
  <c r="I668" i="5"/>
  <c r="H668" i="5"/>
  <c r="I667" i="5"/>
  <c r="H667" i="5"/>
  <c r="I666" i="5"/>
  <c r="H666" i="5"/>
  <c r="I665" i="5"/>
  <c r="H665" i="5"/>
  <c r="I664" i="5"/>
  <c r="H664" i="5"/>
  <c r="I663" i="5"/>
  <c r="H663" i="5"/>
  <c r="I662" i="5"/>
  <c r="H662" i="5"/>
  <c r="I661" i="5"/>
  <c r="H661" i="5"/>
  <c r="I660" i="5"/>
  <c r="H660" i="5"/>
  <c r="I659" i="5"/>
  <c r="H659" i="5"/>
  <c r="I658" i="5"/>
  <c r="H658" i="5"/>
  <c r="I657" i="5"/>
  <c r="H657" i="5"/>
  <c r="I656" i="5"/>
  <c r="H656" i="5"/>
  <c r="I655" i="5"/>
  <c r="H655" i="5"/>
  <c r="I654" i="5"/>
  <c r="H654" i="5"/>
  <c r="I653" i="5"/>
  <c r="H653" i="5"/>
  <c r="I652" i="5"/>
  <c r="H652" i="5"/>
  <c r="I651" i="5"/>
  <c r="H651" i="5"/>
  <c r="I650" i="5"/>
  <c r="H650" i="5"/>
  <c r="I649" i="5"/>
  <c r="H649" i="5"/>
  <c r="I648" i="5"/>
  <c r="H648" i="5"/>
  <c r="I647" i="5"/>
  <c r="H647" i="5"/>
  <c r="I646" i="5"/>
  <c r="H646" i="5"/>
  <c r="I645" i="5"/>
  <c r="H645" i="5"/>
  <c r="I644" i="5"/>
  <c r="H644" i="5"/>
  <c r="I643" i="5"/>
  <c r="H643" i="5"/>
  <c r="I642" i="5"/>
  <c r="H642" i="5"/>
  <c r="I641" i="5"/>
  <c r="H641" i="5"/>
  <c r="I640" i="5"/>
  <c r="H640" i="5"/>
  <c r="I639" i="5"/>
  <c r="H639" i="5"/>
  <c r="I638" i="5"/>
  <c r="H638" i="5"/>
  <c r="I637" i="5"/>
  <c r="H637" i="5"/>
  <c r="I636" i="5"/>
  <c r="H636" i="5"/>
  <c r="I635" i="5"/>
  <c r="H635" i="5"/>
  <c r="I634" i="5"/>
  <c r="H634" i="5"/>
  <c r="I633" i="5"/>
  <c r="H633" i="5"/>
  <c r="I632" i="5"/>
  <c r="H632" i="5"/>
  <c r="I631" i="5"/>
  <c r="H631" i="5"/>
  <c r="I630" i="5"/>
  <c r="H630" i="5"/>
  <c r="I629" i="5"/>
  <c r="H629" i="5"/>
  <c r="I628" i="5"/>
  <c r="H628" i="5"/>
  <c r="I627" i="5"/>
  <c r="H627" i="5"/>
  <c r="I626" i="5"/>
  <c r="H626" i="5"/>
  <c r="I625" i="5"/>
  <c r="H625" i="5"/>
  <c r="I624" i="5"/>
  <c r="H624" i="5"/>
  <c r="I623" i="5"/>
  <c r="H623" i="5"/>
  <c r="I622" i="5"/>
  <c r="H622" i="5"/>
  <c r="I621" i="5"/>
  <c r="H621" i="5"/>
  <c r="I620" i="5"/>
  <c r="H620" i="5"/>
  <c r="I619" i="5"/>
  <c r="H619" i="5"/>
  <c r="I618" i="5"/>
  <c r="H618" i="5"/>
  <c r="I617" i="5"/>
  <c r="H617" i="5"/>
  <c r="I616" i="5"/>
  <c r="H616" i="5"/>
  <c r="I615" i="5"/>
  <c r="H615" i="5"/>
  <c r="I614" i="5"/>
  <c r="H614" i="5"/>
  <c r="I613" i="5"/>
  <c r="H613" i="5"/>
  <c r="I612" i="5"/>
  <c r="H612" i="5"/>
  <c r="I611" i="5"/>
  <c r="H611" i="5"/>
  <c r="I610" i="5"/>
  <c r="H610" i="5"/>
  <c r="I609" i="5"/>
  <c r="H609" i="5"/>
  <c r="I608" i="5"/>
  <c r="H608" i="5"/>
  <c r="I607" i="5"/>
  <c r="H607" i="5"/>
  <c r="I606" i="5"/>
  <c r="H606" i="5"/>
  <c r="I605" i="5"/>
  <c r="H605" i="5"/>
  <c r="I604" i="5"/>
  <c r="H604" i="5"/>
  <c r="I603" i="5"/>
  <c r="H603" i="5"/>
  <c r="I602" i="5"/>
  <c r="H602" i="5"/>
  <c r="I601" i="5"/>
  <c r="H601" i="5"/>
  <c r="I600" i="5"/>
  <c r="H600" i="5"/>
  <c r="I599" i="5"/>
  <c r="H599" i="5"/>
  <c r="I598" i="5"/>
  <c r="H598" i="5"/>
  <c r="I597" i="5"/>
  <c r="H597" i="5"/>
  <c r="I596" i="5"/>
  <c r="H596" i="5"/>
  <c r="I595" i="5"/>
  <c r="H595" i="5"/>
  <c r="I594" i="5"/>
  <c r="H594" i="5"/>
  <c r="I593" i="5"/>
  <c r="H593" i="5"/>
  <c r="I592" i="5"/>
  <c r="H592" i="5"/>
  <c r="I591" i="5"/>
  <c r="H591" i="5"/>
  <c r="I590" i="5"/>
  <c r="H590" i="5"/>
  <c r="I589" i="5"/>
  <c r="H589" i="5"/>
  <c r="I588" i="5"/>
  <c r="H588" i="5"/>
  <c r="I587" i="5"/>
  <c r="H587" i="5"/>
  <c r="I586" i="5"/>
  <c r="H586" i="5"/>
  <c r="I585" i="5"/>
  <c r="H585" i="5"/>
  <c r="I584" i="5"/>
  <c r="H584" i="5"/>
  <c r="I583" i="5"/>
  <c r="H583" i="5"/>
  <c r="I582" i="5"/>
  <c r="H582" i="5"/>
  <c r="I581" i="5"/>
  <c r="H581" i="5"/>
  <c r="I580" i="5"/>
  <c r="H580" i="5"/>
  <c r="I579" i="5"/>
  <c r="H579" i="5"/>
  <c r="I578" i="5"/>
  <c r="H578" i="5"/>
  <c r="I577" i="5"/>
  <c r="H577" i="5"/>
  <c r="I576" i="5"/>
  <c r="H576" i="5"/>
  <c r="I575" i="5"/>
  <c r="H575" i="5"/>
  <c r="I574" i="5"/>
  <c r="H574" i="5"/>
  <c r="I573" i="5"/>
  <c r="H573" i="5"/>
  <c r="I572" i="5"/>
  <c r="H572" i="5"/>
  <c r="I571" i="5"/>
  <c r="H571" i="5"/>
  <c r="I570" i="5"/>
  <c r="H570" i="5"/>
  <c r="I569" i="5"/>
  <c r="H569" i="5"/>
  <c r="I568" i="5"/>
  <c r="H568" i="5"/>
  <c r="I567" i="5"/>
  <c r="H567" i="5"/>
  <c r="I566" i="5"/>
  <c r="H566" i="5"/>
  <c r="I565" i="5"/>
  <c r="H565" i="5"/>
  <c r="I564" i="5"/>
  <c r="H564" i="5"/>
  <c r="I563" i="5"/>
  <c r="H563" i="5"/>
  <c r="I562" i="5"/>
  <c r="H562" i="5"/>
  <c r="I561" i="5"/>
  <c r="H561" i="5"/>
  <c r="I560" i="5"/>
  <c r="H560" i="5"/>
  <c r="I559" i="5"/>
  <c r="H559" i="5"/>
  <c r="I558" i="5"/>
  <c r="H558" i="5"/>
  <c r="I557" i="5"/>
  <c r="H557" i="5"/>
  <c r="I556" i="5"/>
  <c r="H556" i="5"/>
  <c r="I555" i="5"/>
  <c r="H555" i="5"/>
  <c r="I554" i="5"/>
  <c r="H554" i="5"/>
  <c r="I553" i="5"/>
  <c r="H553" i="5"/>
  <c r="I552" i="5"/>
  <c r="H552" i="5"/>
  <c r="I551" i="5"/>
  <c r="H551" i="5"/>
  <c r="I550" i="5"/>
  <c r="H550" i="5"/>
  <c r="I549" i="5"/>
  <c r="H549" i="5"/>
  <c r="I548" i="5"/>
  <c r="H548" i="5"/>
  <c r="I547" i="5"/>
  <c r="H547" i="5"/>
  <c r="I546" i="5"/>
  <c r="H546" i="5"/>
  <c r="I545" i="5"/>
  <c r="H545" i="5"/>
  <c r="I544" i="5"/>
  <c r="H544" i="5"/>
  <c r="I543" i="5"/>
  <c r="H543" i="5"/>
  <c r="I542" i="5"/>
  <c r="H542" i="5"/>
  <c r="I541" i="5"/>
  <c r="H541" i="5"/>
  <c r="I540" i="5"/>
  <c r="H540" i="5"/>
  <c r="I539" i="5"/>
  <c r="H539" i="5"/>
  <c r="I538" i="5"/>
  <c r="H538" i="5"/>
  <c r="I537" i="5"/>
  <c r="H537" i="5"/>
  <c r="I536" i="5"/>
  <c r="H536" i="5"/>
  <c r="I535" i="5"/>
  <c r="H535" i="5"/>
  <c r="I534" i="5"/>
  <c r="H534" i="5"/>
  <c r="I533" i="5"/>
  <c r="H533" i="5"/>
  <c r="I532" i="5"/>
  <c r="H532" i="5"/>
  <c r="I531" i="5"/>
  <c r="H531" i="5"/>
  <c r="I530" i="5"/>
  <c r="H530" i="5"/>
  <c r="I529" i="5"/>
  <c r="H529" i="5"/>
  <c r="I528" i="5"/>
  <c r="H528" i="5"/>
  <c r="I527" i="5"/>
  <c r="H527" i="5"/>
  <c r="I526" i="5"/>
  <c r="H526" i="5"/>
  <c r="I525" i="5"/>
  <c r="H525" i="5"/>
  <c r="I524" i="5"/>
  <c r="H524" i="5"/>
  <c r="I523" i="5"/>
  <c r="H523" i="5"/>
  <c r="I522" i="5"/>
  <c r="H522" i="5"/>
  <c r="I521" i="5"/>
  <c r="H521" i="5"/>
  <c r="I520" i="5"/>
  <c r="H520" i="5"/>
  <c r="I519" i="5"/>
  <c r="H519" i="5"/>
  <c r="I518" i="5"/>
  <c r="H518" i="5"/>
  <c r="I517" i="5"/>
  <c r="H517" i="5"/>
  <c r="I516" i="5"/>
  <c r="H516" i="5"/>
  <c r="I515" i="5"/>
  <c r="H515" i="5"/>
  <c r="I514" i="5"/>
  <c r="H514" i="5"/>
  <c r="I513" i="5"/>
  <c r="H513" i="5"/>
  <c r="I512" i="5"/>
  <c r="H512" i="5"/>
  <c r="I511" i="5"/>
  <c r="H511" i="5"/>
  <c r="I510" i="5"/>
  <c r="H510" i="5"/>
  <c r="I509" i="5"/>
  <c r="H509" i="5"/>
  <c r="I508" i="5"/>
  <c r="H508" i="5"/>
  <c r="I507" i="5"/>
  <c r="H507" i="5"/>
  <c r="I506" i="5"/>
  <c r="H506" i="5"/>
  <c r="I505" i="5"/>
  <c r="H505" i="5"/>
  <c r="I504" i="5"/>
  <c r="H504" i="5"/>
  <c r="I503" i="5"/>
  <c r="H503" i="5"/>
  <c r="I502" i="5"/>
  <c r="H502" i="5"/>
  <c r="I501" i="5"/>
  <c r="H501" i="5"/>
  <c r="I500" i="5"/>
  <c r="H500" i="5"/>
  <c r="I499" i="5"/>
  <c r="H499" i="5"/>
  <c r="I498" i="5"/>
  <c r="H498" i="5"/>
  <c r="I497" i="5"/>
  <c r="H497" i="5"/>
  <c r="I496" i="5"/>
  <c r="H496" i="5"/>
  <c r="I495" i="5"/>
  <c r="H495" i="5"/>
  <c r="I494" i="5"/>
  <c r="H494" i="5"/>
  <c r="I493" i="5"/>
  <c r="H493" i="5"/>
  <c r="I492" i="5"/>
  <c r="H492" i="5"/>
  <c r="I491" i="5"/>
  <c r="H491" i="5"/>
  <c r="I490" i="5"/>
  <c r="H490" i="5"/>
  <c r="I489" i="5"/>
  <c r="H489" i="5"/>
  <c r="I488" i="5"/>
  <c r="H488" i="5"/>
  <c r="I487" i="5"/>
  <c r="H487" i="5"/>
  <c r="I486" i="5"/>
  <c r="H486" i="5"/>
  <c r="I485" i="5"/>
  <c r="H485" i="5"/>
  <c r="I484" i="5"/>
  <c r="H484" i="5"/>
  <c r="I483" i="5"/>
  <c r="H483" i="5"/>
  <c r="I482" i="5"/>
  <c r="H482" i="5"/>
  <c r="I481" i="5"/>
  <c r="H481" i="5"/>
  <c r="I480" i="5"/>
  <c r="H480" i="5"/>
  <c r="I479" i="5"/>
  <c r="H479" i="5"/>
  <c r="I478" i="5"/>
  <c r="H478" i="5"/>
  <c r="I477" i="5"/>
  <c r="H477" i="5"/>
  <c r="I476" i="5"/>
  <c r="H476" i="5"/>
  <c r="I475" i="5"/>
  <c r="H475" i="5"/>
  <c r="I474" i="5"/>
  <c r="H474" i="5"/>
  <c r="I473" i="5"/>
  <c r="H473" i="5"/>
  <c r="I472" i="5"/>
  <c r="H472" i="5"/>
  <c r="I471" i="5"/>
  <c r="H471" i="5"/>
  <c r="I470" i="5"/>
  <c r="H470" i="5"/>
  <c r="I469" i="5"/>
  <c r="H469" i="5"/>
  <c r="I468" i="5"/>
  <c r="H468" i="5"/>
  <c r="I467" i="5"/>
  <c r="H467" i="5"/>
  <c r="I466" i="5"/>
  <c r="H466" i="5"/>
  <c r="I465" i="5"/>
  <c r="H465" i="5"/>
  <c r="I464" i="5"/>
  <c r="H464" i="5"/>
  <c r="I463" i="5"/>
  <c r="H463" i="5"/>
  <c r="I462" i="5"/>
  <c r="H462" i="5"/>
  <c r="I461" i="5"/>
  <c r="H461" i="5"/>
  <c r="I460" i="5"/>
  <c r="H460" i="5"/>
  <c r="I459" i="5"/>
  <c r="H459" i="5"/>
  <c r="I458" i="5"/>
  <c r="H458" i="5"/>
  <c r="I457" i="5"/>
  <c r="H457" i="5"/>
  <c r="I456" i="5"/>
  <c r="H456" i="5"/>
  <c r="I455" i="5"/>
  <c r="H455" i="5"/>
  <c r="I454" i="5"/>
  <c r="H454" i="5"/>
  <c r="I453" i="5"/>
  <c r="H453" i="5"/>
  <c r="I452" i="5"/>
  <c r="H452" i="5"/>
  <c r="I451" i="5"/>
  <c r="H451" i="5"/>
  <c r="I450" i="5"/>
  <c r="H450" i="5"/>
  <c r="I449" i="5"/>
  <c r="H449" i="5"/>
  <c r="I448" i="5"/>
  <c r="H448" i="5"/>
  <c r="I447" i="5"/>
  <c r="H447" i="5"/>
  <c r="I446" i="5"/>
  <c r="H446" i="5"/>
  <c r="I445" i="5"/>
  <c r="H445" i="5"/>
  <c r="I444" i="5"/>
  <c r="H444" i="5"/>
  <c r="I443" i="5"/>
  <c r="H443" i="5"/>
  <c r="I442" i="5"/>
  <c r="H442" i="5"/>
  <c r="I441" i="5"/>
  <c r="H441" i="5"/>
  <c r="I440" i="5"/>
  <c r="H440" i="5"/>
  <c r="I439" i="5"/>
  <c r="H439" i="5"/>
  <c r="I438" i="5"/>
  <c r="H438" i="5"/>
  <c r="I437" i="5"/>
  <c r="H437" i="5"/>
  <c r="I436" i="5"/>
  <c r="H436" i="5"/>
  <c r="I435" i="5"/>
  <c r="H435" i="5"/>
  <c r="I434" i="5"/>
  <c r="H434" i="5"/>
  <c r="I433" i="5"/>
  <c r="H433" i="5"/>
  <c r="I432" i="5"/>
  <c r="H432" i="5"/>
  <c r="I431" i="5"/>
  <c r="H431" i="5"/>
  <c r="I430" i="5"/>
  <c r="H430" i="5"/>
  <c r="I429" i="5"/>
  <c r="H429" i="5"/>
  <c r="I428" i="5"/>
  <c r="H428" i="5"/>
  <c r="I427" i="5"/>
  <c r="H427" i="5"/>
  <c r="I426" i="5"/>
  <c r="H426" i="5"/>
  <c r="I425" i="5"/>
  <c r="H425" i="5"/>
  <c r="I424" i="5"/>
  <c r="H424" i="5"/>
  <c r="I423" i="5"/>
  <c r="H423" i="5"/>
  <c r="I422" i="5"/>
  <c r="H422" i="5"/>
  <c r="I421" i="5"/>
  <c r="H421" i="5"/>
  <c r="I420" i="5"/>
  <c r="H420" i="5"/>
  <c r="I419" i="5"/>
  <c r="H419" i="5"/>
  <c r="I418" i="5"/>
  <c r="H418" i="5"/>
  <c r="I417" i="5"/>
  <c r="H417" i="5"/>
  <c r="I416" i="5"/>
  <c r="H416" i="5"/>
  <c r="I415" i="5"/>
  <c r="H415" i="5"/>
  <c r="I414" i="5"/>
  <c r="H414" i="5"/>
  <c r="I413" i="5"/>
  <c r="H413" i="5"/>
  <c r="I412" i="5"/>
  <c r="H412" i="5"/>
  <c r="I411" i="5"/>
  <c r="H411" i="5"/>
  <c r="I410" i="5"/>
  <c r="H410" i="5"/>
  <c r="I409" i="5"/>
  <c r="H409" i="5"/>
  <c r="I408" i="5"/>
  <c r="H408" i="5"/>
  <c r="I407" i="5"/>
  <c r="H407" i="5"/>
  <c r="I406" i="5"/>
  <c r="H406" i="5"/>
  <c r="I405" i="5"/>
  <c r="H405" i="5"/>
  <c r="I404" i="5"/>
  <c r="H404" i="5"/>
  <c r="I403" i="5"/>
  <c r="H403" i="5"/>
  <c r="I402" i="5"/>
  <c r="H402" i="5"/>
  <c r="I401" i="5"/>
  <c r="H401" i="5"/>
  <c r="I400" i="5"/>
  <c r="H400" i="5"/>
  <c r="I399" i="5"/>
  <c r="H399" i="5"/>
  <c r="I398" i="5"/>
  <c r="H398" i="5"/>
  <c r="I397" i="5"/>
  <c r="H397" i="5"/>
  <c r="I396" i="5"/>
  <c r="H396" i="5"/>
  <c r="I395" i="5"/>
  <c r="H395" i="5"/>
  <c r="I394" i="5"/>
  <c r="H394" i="5"/>
  <c r="I393" i="5"/>
  <c r="H393" i="5"/>
  <c r="I392" i="5"/>
  <c r="H392" i="5"/>
  <c r="I391" i="5"/>
  <c r="H391" i="5"/>
  <c r="I390" i="5"/>
  <c r="H390" i="5"/>
  <c r="I389" i="5"/>
  <c r="H389" i="5"/>
  <c r="I388" i="5"/>
  <c r="H388" i="5"/>
  <c r="I387" i="5"/>
  <c r="H387" i="5"/>
  <c r="I386" i="5"/>
  <c r="H386" i="5"/>
  <c r="I385" i="5"/>
  <c r="H385" i="5"/>
  <c r="I384" i="5"/>
  <c r="H384" i="5"/>
  <c r="I383" i="5"/>
  <c r="H383" i="5"/>
  <c r="I382" i="5"/>
  <c r="H382" i="5"/>
  <c r="I381" i="5"/>
  <c r="H381" i="5"/>
  <c r="I380" i="5"/>
  <c r="H380" i="5"/>
  <c r="I379" i="5"/>
  <c r="H379" i="5"/>
  <c r="I378" i="5"/>
  <c r="H378" i="5"/>
  <c r="I377" i="5"/>
  <c r="H377" i="5"/>
  <c r="I376" i="5"/>
  <c r="H376" i="5"/>
  <c r="I375" i="5"/>
  <c r="H375" i="5"/>
  <c r="I374" i="5"/>
  <c r="H374" i="5"/>
  <c r="I373" i="5"/>
  <c r="H373" i="5"/>
  <c r="I372" i="5"/>
  <c r="H372" i="5"/>
  <c r="I371" i="5"/>
  <c r="H371" i="5"/>
  <c r="I370" i="5"/>
  <c r="H370" i="5"/>
  <c r="I369" i="5"/>
  <c r="H369" i="5"/>
  <c r="I368" i="5"/>
  <c r="H368" i="5"/>
  <c r="I367" i="5"/>
  <c r="H367" i="5"/>
  <c r="I366" i="5"/>
  <c r="H366" i="5"/>
  <c r="I365" i="5"/>
  <c r="H365" i="5"/>
  <c r="I364" i="5"/>
  <c r="H364" i="5"/>
  <c r="I363" i="5"/>
  <c r="H363" i="5"/>
  <c r="I362" i="5"/>
  <c r="H362" i="5"/>
  <c r="I361" i="5"/>
  <c r="H361" i="5"/>
  <c r="I360" i="5"/>
  <c r="H360" i="5"/>
  <c r="I359" i="5"/>
  <c r="H359" i="5"/>
  <c r="I358" i="5"/>
  <c r="H358" i="5"/>
  <c r="I357" i="5"/>
  <c r="H357" i="5"/>
  <c r="I356" i="5"/>
  <c r="H356" i="5"/>
  <c r="I355" i="5"/>
  <c r="H355" i="5"/>
  <c r="I354" i="5"/>
  <c r="H354" i="5"/>
  <c r="I353" i="5"/>
  <c r="H353" i="5"/>
  <c r="I352" i="5"/>
  <c r="H352" i="5"/>
  <c r="I351" i="5"/>
  <c r="H351" i="5"/>
  <c r="I350" i="5"/>
  <c r="H350" i="5"/>
  <c r="I349" i="5"/>
  <c r="H349" i="5"/>
  <c r="I348" i="5"/>
  <c r="H348" i="5"/>
  <c r="I347" i="5"/>
  <c r="H347" i="5"/>
  <c r="I346" i="5"/>
  <c r="H346" i="5"/>
  <c r="I345" i="5"/>
  <c r="H345" i="5"/>
  <c r="I344" i="5"/>
  <c r="H344" i="5"/>
  <c r="I343" i="5"/>
  <c r="H343" i="5"/>
  <c r="I342" i="5"/>
  <c r="H342" i="5"/>
  <c r="I341" i="5"/>
  <c r="H341" i="5"/>
  <c r="I340" i="5"/>
  <c r="H340" i="5"/>
  <c r="I339" i="5"/>
  <c r="H339" i="5"/>
  <c r="I338" i="5"/>
  <c r="H338" i="5"/>
  <c r="I337" i="5"/>
  <c r="H337" i="5"/>
  <c r="I336" i="5"/>
  <c r="H336" i="5"/>
  <c r="I335" i="5"/>
  <c r="H335" i="5"/>
  <c r="I334" i="5"/>
  <c r="H334" i="5"/>
  <c r="I333" i="5"/>
  <c r="H333" i="5"/>
  <c r="I332" i="5"/>
  <c r="H332" i="5"/>
  <c r="I331" i="5"/>
  <c r="H331" i="5"/>
  <c r="I330" i="5"/>
  <c r="H330" i="5"/>
  <c r="I329" i="5"/>
  <c r="H329" i="5"/>
  <c r="I328" i="5"/>
  <c r="H328" i="5"/>
  <c r="I327" i="5"/>
  <c r="H327" i="5"/>
  <c r="I326" i="5"/>
  <c r="H326" i="5"/>
  <c r="I325" i="5"/>
  <c r="H325" i="5"/>
  <c r="I324" i="5"/>
  <c r="H324" i="5"/>
  <c r="I323" i="5"/>
  <c r="H323" i="5"/>
  <c r="I322" i="5"/>
  <c r="H322" i="5"/>
  <c r="I321" i="5"/>
  <c r="H321" i="5"/>
  <c r="I320" i="5"/>
  <c r="H320" i="5"/>
  <c r="I319" i="5"/>
  <c r="H319" i="5"/>
  <c r="I318" i="5"/>
  <c r="H318" i="5"/>
  <c r="I317" i="5"/>
  <c r="H317" i="5"/>
  <c r="I316" i="5"/>
  <c r="H316" i="5"/>
  <c r="I315" i="5"/>
  <c r="H315" i="5"/>
  <c r="I314" i="5"/>
  <c r="H314" i="5"/>
  <c r="I313" i="5"/>
  <c r="H313" i="5"/>
  <c r="I312" i="5"/>
  <c r="H312" i="5"/>
  <c r="I311" i="5"/>
  <c r="H311" i="5"/>
  <c r="I310" i="5"/>
  <c r="H310" i="5"/>
  <c r="I309" i="5"/>
  <c r="H309" i="5"/>
  <c r="I308" i="5"/>
  <c r="H308" i="5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I6" i="5"/>
  <c r="H6" i="5"/>
  <c r="I5" i="5"/>
  <c r="H5" i="5"/>
  <c r="I4" i="5"/>
  <c r="H4" i="5"/>
  <c r="I3" i="5"/>
  <c r="H3" i="5"/>
  <c r="I2" i="5"/>
  <c r="H2" i="5"/>
  <c r="P765" i="4"/>
  <c r="S765" i="4" s="1"/>
  <c r="Q765" i="4"/>
  <c r="P766" i="4"/>
  <c r="S766" i="4" s="1"/>
  <c r="Q766" i="4"/>
  <c r="P767" i="4"/>
  <c r="S767" i="4" s="1"/>
  <c r="Q767" i="4"/>
  <c r="P768" i="4"/>
  <c r="S768" i="4" s="1"/>
  <c r="Q768" i="4"/>
  <c r="R768" i="4"/>
  <c r="P769" i="4"/>
  <c r="S769" i="4" s="1"/>
  <c r="Q769" i="4"/>
  <c r="P770" i="4"/>
  <c r="Q770" i="4"/>
  <c r="P771" i="4"/>
  <c r="Q771" i="4"/>
  <c r="P772" i="4"/>
  <c r="Q772" i="4"/>
  <c r="P773" i="4"/>
  <c r="S773" i="4" s="1"/>
  <c r="Q773" i="4"/>
  <c r="P774" i="4"/>
  <c r="S774" i="4" s="1"/>
  <c r="Q774" i="4"/>
  <c r="P775" i="4"/>
  <c r="Q775" i="4"/>
  <c r="P776" i="4"/>
  <c r="Q776" i="4"/>
  <c r="P777" i="4"/>
  <c r="S777" i="4" s="1"/>
  <c r="Q777" i="4"/>
  <c r="P778" i="4"/>
  <c r="Q778" i="4"/>
  <c r="P779" i="4"/>
  <c r="Q779" i="4"/>
  <c r="P780" i="4"/>
  <c r="S780" i="4" s="1"/>
  <c r="Q780" i="4"/>
  <c r="P781" i="4"/>
  <c r="Q781" i="4"/>
  <c r="P782" i="4"/>
  <c r="Q782" i="4"/>
  <c r="P783" i="4"/>
  <c r="Q783" i="4"/>
  <c r="P784" i="4"/>
  <c r="Q784" i="4"/>
  <c r="P785" i="4"/>
  <c r="Q785" i="4"/>
  <c r="P786" i="4"/>
  <c r="S786" i="4" s="1"/>
  <c r="Q786" i="4"/>
  <c r="P787" i="4"/>
  <c r="Q787" i="4"/>
  <c r="P788" i="4"/>
  <c r="Q788" i="4"/>
  <c r="P789" i="4"/>
  <c r="Q789" i="4"/>
  <c r="P790" i="4"/>
  <c r="Q790" i="4"/>
  <c r="P791" i="4"/>
  <c r="Q791" i="4"/>
  <c r="P792" i="4"/>
  <c r="Q792" i="4"/>
  <c r="P793" i="4"/>
  <c r="Q793" i="4"/>
  <c r="P794" i="4"/>
  <c r="Q794" i="4"/>
  <c r="P795" i="4"/>
  <c r="Q795" i="4"/>
  <c r="P796" i="4"/>
  <c r="Q796" i="4"/>
  <c r="P797" i="4"/>
  <c r="S797" i="4" s="1"/>
  <c r="Q797" i="4"/>
  <c r="P798" i="4"/>
  <c r="S798" i="4" s="1"/>
  <c r="Q798" i="4"/>
  <c r="P799" i="4"/>
  <c r="Q799" i="4"/>
  <c r="P800" i="4"/>
  <c r="S800" i="4" s="1"/>
  <c r="Q800" i="4"/>
  <c r="R800" i="4"/>
  <c r="P801" i="4"/>
  <c r="Q801" i="4"/>
  <c r="P802" i="4"/>
  <c r="S802" i="4" s="1"/>
  <c r="Q802" i="4"/>
  <c r="P803" i="4"/>
  <c r="Q803" i="4"/>
  <c r="P804" i="4"/>
  <c r="Q804" i="4"/>
  <c r="P805" i="4"/>
  <c r="S805" i="4" s="1"/>
  <c r="Q805" i="4"/>
  <c r="P806" i="4"/>
  <c r="S806" i="4" s="1"/>
  <c r="Q806" i="4"/>
  <c r="P807" i="4"/>
  <c r="Q807" i="4"/>
  <c r="P808" i="4"/>
  <c r="Q808" i="4"/>
  <c r="P809" i="4"/>
  <c r="S809" i="4" s="1"/>
  <c r="Q809" i="4"/>
  <c r="P810" i="4"/>
  <c r="Q810" i="4"/>
  <c r="P811" i="4"/>
  <c r="Q811" i="4"/>
  <c r="P812" i="4"/>
  <c r="S812" i="4" s="1"/>
  <c r="Q812" i="4"/>
  <c r="R812" i="4"/>
  <c r="P813" i="4"/>
  <c r="S813" i="4" s="1"/>
  <c r="Q813" i="4"/>
  <c r="P814" i="4"/>
  <c r="Q814" i="4"/>
  <c r="P815" i="4"/>
  <c r="Q815" i="4"/>
  <c r="P816" i="4"/>
  <c r="Q816" i="4"/>
  <c r="R816" i="4"/>
  <c r="P817" i="4"/>
  <c r="S817" i="4" s="1"/>
  <c r="Q817" i="4"/>
  <c r="P818" i="4"/>
  <c r="S818" i="4" s="1"/>
  <c r="Q818" i="4"/>
  <c r="P819" i="4"/>
  <c r="Q819" i="4"/>
  <c r="P820" i="4"/>
  <c r="Q820" i="4"/>
  <c r="P821" i="4"/>
  <c r="Q821" i="4"/>
  <c r="P822" i="4"/>
  <c r="Q822" i="4"/>
  <c r="P823" i="4"/>
  <c r="Q823" i="4"/>
  <c r="P824" i="4"/>
  <c r="Q824" i="4"/>
  <c r="P825" i="4"/>
  <c r="Q825" i="4"/>
  <c r="P826" i="4"/>
  <c r="Q826" i="4"/>
  <c r="P827" i="4"/>
  <c r="Q827" i="4"/>
  <c r="P828" i="4"/>
  <c r="Q828" i="4"/>
  <c r="P829" i="4"/>
  <c r="S829" i="4" s="1"/>
  <c r="Q829" i="4"/>
  <c r="P830" i="4"/>
  <c r="S830" i="4" s="1"/>
  <c r="Q830" i="4"/>
  <c r="P831" i="4"/>
  <c r="Q831" i="4"/>
  <c r="P832" i="4"/>
  <c r="S832" i="4" s="1"/>
  <c r="Q832" i="4"/>
  <c r="R832" i="4"/>
  <c r="P833" i="4"/>
  <c r="Q833" i="4"/>
  <c r="P834" i="4"/>
  <c r="Q834" i="4"/>
  <c r="P835" i="4"/>
  <c r="Q835" i="4"/>
  <c r="P836" i="4"/>
  <c r="Q836" i="4"/>
  <c r="P837" i="4"/>
  <c r="S837" i="4" s="1"/>
  <c r="Q837" i="4"/>
  <c r="P838" i="4"/>
  <c r="S838" i="4" s="1"/>
  <c r="Q838" i="4"/>
  <c r="P839" i="4"/>
  <c r="Q839" i="4"/>
  <c r="P840" i="4"/>
  <c r="Q840" i="4"/>
  <c r="P841" i="4"/>
  <c r="S841" i="4" s="1"/>
  <c r="Q841" i="4"/>
  <c r="P842" i="4"/>
  <c r="S842" i="4" s="1"/>
  <c r="Q842" i="4"/>
  <c r="P843" i="4"/>
  <c r="Q843" i="4"/>
  <c r="P844" i="4"/>
  <c r="S844" i="4" s="1"/>
  <c r="Q844" i="4"/>
  <c r="R844" i="4"/>
  <c r="P845" i="4"/>
  <c r="Q845" i="4"/>
  <c r="P846" i="4"/>
  <c r="S846" i="4" s="1"/>
  <c r="Q846" i="4"/>
  <c r="P847" i="4"/>
  <c r="Q847" i="4"/>
  <c r="P848" i="4"/>
  <c r="R848" i="4" s="1"/>
  <c r="Q848" i="4"/>
  <c r="P849" i="4"/>
  <c r="S849" i="4" s="1"/>
  <c r="Q849" i="4"/>
  <c r="P850" i="4"/>
  <c r="S850" i="4" s="1"/>
  <c r="Q850" i="4"/>
  <c r="P851" i="4"/>
  <c r="R851" i="4" s="1"/>
  <c r="Q851" i="4"/>
  <c r="P852" i="4"/>
  <c r="Q852" i="4"/>
  <c r="P853" i="4"/>
  <c r="Q853" i="4"/>
  <c r="P854" i="4"/>
  <c r="Q854" i="4"/>
  <c r="P855" i="4"/>
  <c r="Q855" i="4"/>
  <c r="P856" i="4"/>
  <c r="Q856" i="4"/>
  <c r="P857" i="4"/>
  <c r="S857" i="4" s="1"/>
  <c r="Q857" i="4"/>
  <c r="P858" i="4"/>
  <c r="Q858" i="4"/>
  <c r="P859" i="4"/>
  <c r="Q859" i="4"/>
  <c r="P860" i="4"/>
  <c r="Q860" i="4"/>
  <c r="P861" i="4"/>
  <c r="S861" i="4" s="1"/>
  <c r="Q861" i="4"/>
  <c r="P862" i="4"/>
  <c r="Q862" i="4"/>
  <c r="P863" i="4"/>
  <c r="Q863" i="4"/>
  <c r="P864" i="4"/>
  <c r="Q864" i="4"/>
  <c r="R864" i="4"/>
  <c r="P865" i="4"/>
  <c r="S865" i="4" s="1"/>
  <c r="Q865" i="4"/>
  <c r="P866" i="4"/>
  <c r="S866" i="4" s="1"/>
  <c r="Q866" i="4"/>
  <c r="P867" i="4"/>
  <c r="Q867" i="4"/>
  <c r="P868" i="4"/>
  <c r="Q868" i="4"/>
  <c r="P869" i="4"/>
  <c r="S869" i="4" s="1"/>
  <c r="Q869" i="4"/>
  <c r="P870" i="4"/>
  <c r="S870" i="4" s="1"/>
  <c r="Q870" i="4"/>
  <c r="P871" i="4"/>
  <c r="Q871" i="4"/>
  <c r="P872" i="4"/>
  <c r="Q872" i="4"/>
  <c r="P873" i="4"/>
  <c r="Q873" i="4"/>
  <c r="P874" i="4"/>
  <c r="Q874" i="4"/>
  <c r="P875" i="4"/>
  <c r="Q875" i="4"/>
  <c r="P876" i="4"/>
  <c r="Q876" i="4"/>
  <c r="P877" i="4"/>
  <c r="Q877" i="4"/>
  <c r="P878" i="4"/>
  <c r="Q878" i="4"/>
  <c r="P879" i="4"/>
  <c r="Q879" i="4"/>
  <c r="P880" i="4"/>
  <c r="Q880" i="4"/>
  <c r="P881" i="4"/>
  <c r="Q881" i="4"/>
  <c r="P882" i="4"/>
  <c r="Q882" i="4"/>
  <c r="P883" i="4"/>
  <c r="Q883" i="4"/>
  <c r="P884" i="4"/>
  <c r="S884" i="4" s="1"/>
  <c r="Q884" i="4"/>
  <c r="P885" i="4"/>
  <c r="Q885" i="4"/>
  <c r="P886" i="4"/>
  <c r="Q886" i="4"/>
  <c r="P887" i="4"/>
  <c r="Q887" i="4"/>
  <c r="P888" i="4"/>
  <c r="Q888" i="4"/>
  <c r="P889" i="4"/>
  <c r="S889" i="4" s="1"/>
  <c r="Q889" i="4"/>
  <c r="P890" i="4"/>
  <c r="S890" i="4" s="1"/>
  <c r="Q890" i="4"/>
  <c r="P891" i="4"/>
  <c r="Q891" i="4"/>
  <c r="P892" i="4"/>
  <c r="Q892" i="4"/>
  <c r="P893" i="4"/>
  <c r="Q893" i="4"/>
  <c r="P894" i="4"/>
  <c r="Q894" i="4"/>
  <c r="P895" i="4"/>
  <c r="Q895" i="4"/>
  <c r="P896" i="4"/>
  <c r="Q896" i="4"/>
  <c r="P897" i="4"/>
  <c r="Q897" i="4"/>
  <c r="P898" i="4"/>
  <c r="Q898" i="4"/>
  <c r="P899" i="4"/>
  <c r="Q899" i="4"/>
  <c r="P900" i="4"/>
  <c r="Q900" i="4"/>
  <c r="P901" i="4"/>
  <c r="Q901" i="4"/>
  <c r="P902" i="4"/>
  <c r="Q902" i="4"/>
  <c r="P903" i="4"/>
  <c r="Q903" i="4"/>
  <c r="P904" i="4"/>
  <c r="Q904" i="4"/>
  <c r="P905" i="4"/>
  <c r="S905" i="4" s="1"/>
  <c r="Q905" i="4"/>
  <c r="P906" i="4"/>
  <c r="S906" i="4" s="1"/>
  <c r="Q906" i="4"/>
  <c r="P907" i="4"/>
  <c r="Q907" i="4"/>
  <c r="P908" i="4"/>
  <c r="Q908" i="4"/>
  <c r="P909" i="4"/>
  <c r="Q909" i="4"/>
  <c r="P910" i="4"/>
  <c r="S910" i="4" s="1"/>
  <c r="Q910" i="4"/>
  <c r="P911" i="4"/>
  <c r="Q911" i="4"/>
  <c r="P912" i="4"/>
  <c r="Q912" i="4"/>
  <c r="P913" i="4"/>
  <c r="Q913" i="4"/>
  <c r="P914" i="4"/>
  <c r="S914" i="4" s="1"/>
  <c r="Q914" i="4"/>
  <c r="P915" i="4"/>
  <c r="Q915" i="4"/>
  <c r="P916" i="4"/>
  <c r="Q916" i="4"/>
  <c r="P917" i="4"/>
  <c r="Q917" i="4"/>
  <c r="P918" i="4"/>
  <c r="S918" i="4" s="1"/>
  <c r="Q918" i="4"/>
  <c r="P919" i="4"/>
  <c r="Q919" i="4"/>
  <c r="P920" i="4"/>
  <c r="R920" i="4" s="1"/>
  <c r="Q920" i="4"/>
  <c r="P921" i="4"/>
  <c r="S921" i="4" s="1"/>
  <c r="Q921" i="4"/>
  <c r="P922" i="4"/>
  <c r="S922" i="4" s="1"/>
  <c r="Q922" i="4"/>
  <c r="P923" i="4"/>
  <c r="Q923" i="4"/>
  <c r="P924" i="4"/>
  <c r="Q924" i="4"/>
  <c r="P925" i="4"/>
  <c r="S925" i="4" s="1"/>
  <c r="Q925" i="4"/>
  <c r="P926" i="4"/>
  <c r="Q926" i="4"/>
  <c r="H765" i="4"/>
  <c r="I765" i="4"/>
  <c r="H766" i="4"/>
  <c r="I766" i="4"/>
  <c r="H767" i="4"/>
  <c r="I767" i="4"/>
  <c r="H768" i="4"/>
  <c r="I768" i="4"/>
  <c r="H769" i="4"/>
  <c r="I769" i="4"/>
  <c r="H770" i="4"/>
  <c r="I770" i="4"/>
  <c r="H771" i="4"/>
  <c r="R771" i="4" s="1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R787" i="4" s="1"/>
  <c r="I787" i="4"/>
  <c r="H788" i="4"/>
  <c r="I788" i="4"/>
  <c r="H789" i="4"/>
  <c r="I789" i="4"/>
  <c r="H790" i="4"/>
  <c r="R790" i="4" s="1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I812" i="4"/>
  <c r="H813" i="4"/>
  <c r="I813" i="4"/>
  <c r="H814" i="4"/>
  <c r="I814" i="4"/>
  <c r="H815" i="4"/>
  <c r="I815" i="4"/>
  <c r="H816" i="4"/>
  <c r="I816" i="4"/>
  <c r="H817" i="4"/>
  <c r="I817" i="4"/>
  <c r="H818" i="4"/>
  <c r="I818" i="4"/>
  <c r="H819" i="4"/>
  <c r="R819" i="4" s="1"/>
  <c r="I819" i="4"/>
  <c r="H820" i="4"/>
  <c r="I820" i="4"/>
  <c r="H821" i="4"/>
  <c r="I821" i="4"/>
  <c r="H822" i="4"/>
  <c r="R822" i="4" s="1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R871" i="4" s="1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R887" i="4" s="1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R907" i="4" s="1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R917" i="4" s="1"/>
  <c r="I917" i="4"/>
  <c r="H918" i="4"/>
  <c r="I918" i="4"/>
  <c r="H919" i="4"/>
  <c r="I919" i="4"/>
  <c r="H920" i="4"/>
  <c r="I920" i="4"/>
  <c r="H921" i="4"/>
  <c r="I921" i="4"/>
  <c r="H922" i="4"/>
  <c r="I922" i="4"/>
  <c r="H923" i="4"/>
  <c r="R923" i="4" s="1"/>
  <c r="I923" i="4"/>
  <c r="H924" i="4"/>
  <c r="I924" i="4"/>
  <c r="H925" i="4"/>
  <c r="I925" i="4"/>
  <c r="H926" i="4"/>
  <c r="I926" i="4"/>
  <c r="Q764" i="4"/>
  <c r="P764" i="4"/>
  <c r="Q763" i="4"/>
  <c r="P763" i="4"/>
  <c r="Q762" i="4"/>
  <c r="P762" i="4"/>
  <c r="Q761" i="4"/>
  <c r="P761" i="4"/>
  <c r="Q760" i="4"/>
  <c r="P760" i="4"/>
  <c r="Q759" i="4"/>
  <c r="P759" i="4"/>
  <c r="Q758" i="4"/>
  <c r="P758" i="4"/>
  <c r="Q757" i="4"/>
  <c r="P757" i="4"/>
  <c r="Q756" i="4"/>
  <c r="P756" i="4"/>
  <c r="Q755" i="4"/>
  <c r="P755" i="4"/>
  <c r="Q754" i="4"/>
  <c r="P754" i="4"/>
  <c r="Q753" i="4"/>
  <c r="P753" i="4"/>
  <c r="Q752" i="4"/>
  <c r="P752" i="4"/>
  <c r="Q751" i="4"/>
  <c r="P751" i="4"/>
  <c r="Q750" i="4"/>
  <c r="P750" i="4"/>
  <c r="Q749" i="4"/>
  <c r="P749" i="4"/>
  <c r="Q748" i="4"/>
  <c r="P748" i="4"/>
  <c r="Q747" i="4"/>
  <c r="P747" i="4"/>
  <c r="Q746" i="4"/>
  <c r="P746" i="4"/>
  <c r="Q745" i="4"/>
  <c r="P745" i="4"/>
  <c r="Q744" i="4"/>
  <c r="P744" i="4"/>
  <c r="Q743" i="4"/>
  <c r="P743" i="4"/>
  <c r="Q742" i="4"/>
  <c r="P742" i="4"/>
  <c r="Q741" i="4"/>
  <c r="P741" i="4"/>
  <c r="Q740" i="4"/>
  <c r="P740" i="4"/>
  <c r="Q739" i="4"/>
  <c r="P739" i="4"/>
  <c r="Q738" i="4"/>
  <c r="P738" i="4"/>
  <c r="Q737" i="4"/>
  <c r="P737" i="4"/>
  <c r="Q736" i="4"/>
  <c r="P736" i="4"/>
  <c r="Q735" i="4"/>
  <c r="P735" i="4"/>
  <c r="Q734" i="4"/>
  <c r="P734" i="4"/>
  <c r="Q733" i="4"/>
  <c r="P733" i="4"/>
  <c r="Q732" i="4"/>
  <c r="P732" i="4"/>
  <c r="Q731" i="4"/>
  <c r="P731" i="4"/>
  <c r="Q730" i="4"/>
  <c r="P730" i="4"/>
  <c r="Q729" i="4"/>
  <c r="P729" i="4"/>
  <c r="Q728" i="4"/>
  <c r="P728" i="4"/>
  <c r="Q727" i="4"/>
  <c r="P727" i="4"/>
  <c r="Q726" i="4"/>
  <c r="P726" i="4"/>
  <c r="Q725" i="4"/>
  <c r="P725" i="4"/>
  <c r="Q724" i="4"/>
  <c r="P724" i="4"/>
  <c r="Q723" i="4"/>
  <c r="P723" i="4"/>
  <c r="Q722" i="4"/>
  <c r="P722" i="4"/>
  <c r="Q721" i="4"/>
  <c r="P721" i="4"/>
  <c r="Q720" i="4"/>
  <c r="P720" i="4"/>
  <c r="Q719" i="4"/>
  <c r="P719" i="4"/>
  <c r="Q718" i="4"/>
  <c r="P718" i="4"/>
  <c r="Q717" i="4"/>
  <c r="P717" i="4"/>
  <c r="Q716" i="4"/>
  <c r="P716" i="4"/>
  <c r="Q715" i="4"/>
  <c r="P715" i="4"/>
  <c r="Q714" i="4"/>
  <c r="P714" i="4"/>
  <c r="Q713" i="4"/>
  <c r="P713" i="4"/>
  <c r="Q712" i="4"/>
  <c r="P712" i="4"/>
  <c r="Q711" i="4"/>
  <c r="P711" i="4"/>
  <c r="Q710" i="4"/>
  <c r="P710" i="4"/>
  <c r="Q709" i="4"/>
  <c r="P709" i="4"/>
  <c r="Q708" i="4"/>
  <c r="P708" i="4"/>
  <c r="Q707" i="4"/>
  <c r="P707" i="4"/>
  <c r="Q706" i="4"/>
  <c r="P706" i="4"/>
  <c r="Q705" i="4"/>
  <c r="P705" i="4"/>
  <c r="Q704" i="4"/>
  <c r="P704" i="4"/>
  <c r="Q703" i="4"/>
  <c r="P703" i="4"/>
  <c r="Q702" i="4"/>
  <c r="P702" i="4"/>
  <c r="Q701" i="4"/>
  <c r="P701" i="4"/>
  <c r="Q700" i="4"/>
  <c r="P700" i="4"/>
  <c r="Q699" i="4"/>
  <c r="P699" i="4"/>
  <c r="Q698" i="4"/>
  <c r="P698" i="4"/>
  <c r="Q697" i="4"/>
  <c r="P697" i="4"/>
  <c r="Q696" i="4"/>
  <c r="P696" i="4"/>
  <c r="Q695" i="4"/>
  <c r="P695" i="4"/>
  <c r="Q694" i="4"/>
  <c r="P694" i="4"/>
  <c r="Q693" i="4"/>
  <c r="P693" i="4"/>
  <c r="Q692" i="4"/>
  <c r="P692" i="4"/>
  <c r="Q691" i="4"/>
  <c r="P691" i="4"/>
  <c r="Q690" i="4"/>
  <c r="P690" i="4"/>
  <c r="Q689" i="4"/>
  <c r="P689" i="4"/>
  <c r="Q688" i="4"/>
  <c r="P688" i="4"/>
  <c r="Q687" i="4"/>
  <c r="P687" i="4"/>
  <c r="Q686" i="4"/>
  <c r="P686" i="4"/>
  <c r="Q685" i="4"/>
  <c r="P685" i="4"/>
  <c r="Q684" i="4"/>
  <c r="P684" i="4"/>
  <c r="Q683" i="4"/>
  <c r="P683" i="4"/>
  <c r="Q682" i="4"/>
  <c r="P682" i="4"/>
  <c r="Q681" i="4"/>
  <c r="P681" i="4"/>
  <c r="Q680" i="4"/>
  <c r="P680" i="4"/>
  <c r="Q679" i="4"/>
  <c r="P679" i="4"/>
  <c r="Q678" i="4"/>
  <c r="P678" i="4"/>
  <c r="Q677" i="4"/>
  <c r="P677" i="4"/>
  <c r="Q676" i="4"/>
  <c r="P676" i="4"/>
  <c r="Q675" i="4"/>
  <c r="P675" i="4"/>
  <c r="Q674" i="4"/>
  <c r="P674" i="4"/>
  <c r="Q673" i="4"/>
  <c r="P673" i="4"/>
  <c r="Q672" i="4"/>
  <c r="P672" i="4"/>
  <c r="Q671" i="4"/>
  <c r="P671" i="4"/>
  <c r="Q670" i="4"/>
  <c r="P670" i="4"/>
  <c r="Q669" i="4"/>
  <c r="P669" i="4"/>
  <c r="Q668" i="4"/>
  <c r="P668" i="4"/>
  <c r="Q667" i="4"/>
  <c r="P667" i="4"/>
  <c r="Q666" i="4"/>
  <c r="P666" i="4"/>
  <c r="Q665" i="4"/>
  <c r="P665" i="4"/>
  <c r="Q664" i="4"/>
  <c r="P664" i="4"/>
  <c r="Q663" i="4"/>
  <c r="P663" i="4"/>
  <c r="Q662" i="4"/>
  <c r="P662" i="4"/>
  <c r="Q661" i="4"/>
  <c r="P661" i="4"/>
  <c r="Q660" i="4"/>
  <c r="P660" i="4"/>
  <c r="Q659" i="4"/>
  <c r="P659" i="4"/>
  <c r="Q658" i="4"/>
  <c r="P658" i="4"/>
  <c r="Q657" i="4"/>
  <c r="P657" i="4"/>
  <c r="Q656" i="4"/>
  <c r="P656" i="4"/>
  <c r="Q655" i="4"/>
  <c r="P655" i="4"/>
  <c r="Q654" i="4"/>
  <c r="P654" i="4"/>
  <c r="Q653" i="4"/>
  <c r="P653" i="4"/>
  <c r="Q652" i="4"/>
  <c r="P652" i="4"/>
  <c r="Q651" i="4"/>
  <c r="P651" i="4"/>
  <c r="Q650" i="4"/>
  <c r="P650" i="4"/>
  <c r="Q649" i="4"/>
  <c r="P649" i="4"/>
  <c r="Q648" i="4"/>
  <c r="P648" i="4"/>
  <c r="Q647" i="4"/>
  <c r="P647" i="4"/>
  <c r="Q646" i="4"/>
  <c r="P646" i="4"/>
  <c r="Q645" i="4"/>
  <c r="P645" i="4"/>
  <c r="Q644" i="4"/>
  <c r="P644" i="4"/>
  <c r="Q643" i="4"/>
  <c r="P643" i="4"/>
  <c r="Q642" i="4"/>
  <c r="P642" i="4"/>
  <c r="Q641" i="4"/>
  <c r="P641" i="4"/>
  <c r="Q640" i="4"/>
  <c r="P640" i="4"/>
  <c r="Q639" i="4"/>
  <c r="P639" i="4"/>
  <c r="Q638" i="4"/>
  <c r="P638" i="4"/>
  <c r="Q637" i="4"/>
  <c r="P637" i="4"/>
  <c r="Q636" i="4"/>
  <c r="P636" i="4"/>
  <c r="Q635" i="4"/>
  <c r="P635" i="4"/>
  <c r="Q634" i="4"/>
  <c r="P634" i="4"/>
  <c r="Q633" i="4"/>
  <c r="P633" i="4"/>
  <c r="Q632" i="4"/>
  <c r="P632" i="4"/>
  <c r="Q631" i="4"/>
  <c r="P631" i="4"/>
  <c r="Q630" i="4"/>
  <c r="P630" i="4"/>
  <c r="Q629" i="4"/>
  <c r="P629" i="4"/>
  <c r="Q628" i="4"/>
  <c r="P628" i="4"/>
  <c r="Q627" i="4"/>
  <c r="P627" i="4"/>
  <c r="Q626" i="4"/>
  <c r="P626" i="4"/>
  <c r="Q625" i="4"/>
  <c r="P625" i="4"/>
  <c r="Q624" i="4"/>
  <c r="P624" i="4"/>
  <c r="Q623" i="4"/>
  <c r="P623" i="4"/>
  <c r="Q622" i="4"/>
  <c r="P622" i="4"/>
  <c r="Q621" i="4"/>
  <c r="P621" i="4"/>
  <c r="Q620" i="4"/>
  <c r="P620" i="4"/>
  <c r="Q619" i="4"/>
  <c r="P619" i="4"/>
  <c r="Q618" i="4"/>
  <c r="P618" i="4"/>
  <c r="Q617" i="4"/>
  <c r="P617" i="4"/>
  <c r="Q616" i="4"/>
  <c r="P616" i="4"/>
  <c r="Q615" i="4"/>
  <c r="P615" i="4"/>
  <c r="Q614" i="4"/>
  <c r="P614" i="4"/>
  <c r="Q613" i="4"/>
  <c r="P613" i="4"/>
  <c r="Q612" i="4"/>
  <c r="P612" i="4"/>
  <c r="Q611" i="4"/>
  <c r="P611" i="4"/>
  <c r="Q610" i="4"/>
  <c r="P610" i="4"/>
  <c r="Q609" i="4"/>
  <c r="P609" i="4"/>
  <c r="Q608" i="4"/>
  <c r="P608" i="4"/>
  <c r="Q607" i="4"/>
  <c r="P607" i="4"/>
  <c r="Q606" i="4"/>
  <c r="P606" i="4"/>
  <c r="Q605" i="4"/>
  <c r="P605" i="4"/>
  <c r="Q604" i="4"/>
  <c r="P604" i="4"/>
  <c r="Q603" i="4"/>
  <c r="P603" i="4"/>
  <c r="Q602" i="4"/>
  <c r="P602" i="4"/>
  <c r="Q601" i="4"/>
  <c r="P601" i="4"/>
  <c r="Q600" i="4"/>
  <c r="P600" i="4"/>
  <c r="Q599" i="4"/>
  <c r="P599" i="4"/>
  <c r="Q598" i="4"/>
  <c r="P598" i="4"/>
  <c r="Q597" i="4"/>
  <c r="P597" i="4"/>
  <c r="R596" i="4"/>
  <c r="Q596" i="4"/>
  <c r="P596" i="4"/>
  <c r="Q595" i="4"/>
  <c r="P595" i="4"/>
  <c r="Q594" i="4"/>
  <c r="P594" i="4"/>
  <c r="Q593" i="4"/>
  <c r="P593" i="4"/>
  <c r="S593" i="4" s="1"/>
  <c r="Q592" i="4"/>
  <c r="P592" i="4"/>
  <c r="Q591" i="4"/>
  <c r="P591" i="4"/>
  <c r="Q590" i="4"/>
  <c r="P590" i="4"/>
  <c r="Q589" i="4"/>
  <c r="P589" i="4"/>
  <c r="S589" i="4" s="1"/>
  <c r="Q588" i="4"/>
  <c r="P588" i="4"/>
  <c r="Q587" i="4"/>
  <c r="P587" i="4"/>
  <c r="Q586" i="4"/>
  <c r="P586" i="4"/>
  <c r="Q585" i="4"/>
  <c r="P585" i="4"/>
  <c r="S585" i="4" s="1"/>
  <c r="Q584" i="4"/>
  <c r="P584" i="4"/>
  <c r="Q583" i="4"/>
  <c r="P583" i="4"/>
  <c r="Q582" i="4"/>
  <c r="P582" i="4"/>
  <c r="Q581" i="4"/>
  <c r="P581" i="4"/>
  <c r="S581" i="4" s="1"/>
  <c r="Q580" i="4"/>
  <c r="P580" i="4"/>
  <c r="Q579" i="4"/>
  <c r="P579" i="4"/>
  <c r="Q578" i="4"/>
  <c r="P578" i="4"/>
  <c r="Q577" i="4"/>
  <c r="P577" i="4"/>
  <c r="S577" i="4" s="1"/>
  <c r="Q576" i="4"/>
  <c r="P576" i="4"/>
  <c r="Q575" i="4"/>
  <c r="P575" i="4"/>
  <c r="Q574" i="4"/>
  <c r="P574" i="4"/>
  <c r="Q573" i="4"/>
  <c r="P573" i="4"/>
  <c r="S573" i="4" s="1"/>
  <c r="Q572" i="4"/>
  <c r="P572" i="4"/>
  <c r="Q571" i="4"/>
  <c r="P571" i="4"/>
  <c r="S571" i="4" s="1"/>
  <c r="Q570" i="4"/>
  <c r="P570" i="4"/>
  <c r="Q569" i="4"/>
  <c r="P569" i="4"/>
  <c r="S569" i="4" s="1"/>
  <c r="Q568" i="4"/>
  <c r="P568" i="4"/>
  <c r="Q567" i="4"/>
  <c r="P567" i="4"/>
  <c r="Q566" i="4"/>
  <c r="P566" i="4"/>
  <c r="Q565" i="4"/>
  <c r="P565" i="4"/>
  <c r="S565" i="4" s="1"/>
  <c r="Q564" i="4"/>
  <c r="P564" i="4"/>
  <c r="Q563" i="4"/>
  <c r="P563" i="4"/>
  <c r="Q562" i="4"/>
  <c r="P562" i="4"/>
  <c r="Q561" i="4"/>
  <c r="P561" i="4"/>
  <c r="S561" i="4" s="1"/>
  <c r="Q560" i="4"/>
  <c r="P560" i="4"/>
  <c r="Q559" i="4"/>
  <c r="P559" i="4"/>
  <c r="Q558" i="4"/>
  <c r="P558" i="4"/>
  <c r="Q557" i="4"/>
  <c r="P557" i="4"/>
  <c r="S557" i="4" s="1"/>
  <c r="Q556" i="4"/>
  <c r="P556" i="4"/>
  <c r="Q555" i="4"/>
  <c r="P555" i="4"/>
  <c r="Q554" i="4"/>
  <c r="P554" i="4"/>
  <c r="Q553" i="4"/>
  <c r="P553" i="4"/>
  <c r="S553" i="4" s="1"/>
  <c r="Q552" i="4"/>
  <c r="P552" i="4"/>
  <c r="Q551" i="4"/>
  <c r="P551" i="4"/>
  <c r="Q550" i="4"/>
  <c r="P550" i="4"/>
  <c r="Q549" i="4"/>
  <c r="P549" i="4"/>
  <c r="S549" i="4" s="1"/>
  <c r="Q548" i="4"/>
  <c r="P548" i="4"/>
  <c r="Q547" i="4"/>
  <c r="P547" i="4"/>
  <c r="Q546" i="4"/>
  <c r="P546" i="4"/>
  <c r="Q545" i="4"/>
  <c r="P545" i="4"/>
  <c r="S545" i="4" s="1"/>
  <c r="Q544" i="4"/>
  <c r="P544" i="4"/>
  <c r="Q543" i="4"/>
  <c r="P543" i="4"/>
  <c r="Q542" i="4"/>
  <c r="P542" i="4"/>
  <c r="Q541" i="4"/>
  <c r="P541" i="4"/>
  <c r="S541" i="4" s="1"/>
  <c r="Q540" i="4"/>
  <c r="P540" i="4"/>
  <c r="Q539" i="4"/>
  <c r="P539" i="4"/>
  <c r="Q538" i="4"/>
  <c r="P538" i="4"/>
  <c r="Q537" i="4"/>
  <c r="P537" i="4"/>
  <c r="S537" i="4" s="1"/>
  <c r="Q536" i="4"/>
  <c r="P536" i="4"/>
  <c r="Q535" i="4"/>
  <c r="P535" i="4"/>
  <c r="Q534" i="4"/>
  <c r="P534" i="4"/>
  <c r="Q533" i="4"/>
  <c r="P533" i="4"/>
  <c r="S533" i="4" s="1"/>
  <c r="Q532" i="4"/>
  <c r="P532" i="4"/>
  <c r="Q531" i="4"/>
  <c r="P531" i="4"/>
  <c r="Q530" i="4"/>
  <c r="P530" i="4"/>
  <c r="Q529" i="4"/>
  <c r="P529" i="4"/>
  <c r="S529" i="4" s="1"/>
  <c r="Q528" i="4"/>
  <c r="P528" i="4"/>
  <c r="Q527" i="4"/>
  <c r="P527" i="4"/>
  <c r="Q526" i="4"/>
  <c r="P526" i="4"/>
  <c r="Q525" i="4"/>
  <c r="P525" i="4"/>
  <c r="S525" i="4" s="1"/>
  <c r="Q524" i="4"/>
  <c r="P524" i="4"/>
  <c r="Q523" i="4"/>
  <c r="P523" i="4"/>
  <c r="Q522" i="4"/>
  <c r="P522" i="4"/>
  <c r="Q521" i="4"/>
  <c r="P521" i="4"/>
  <c r="S521" i="4" s="1"/>
  <c r="Q520" i="4"/>
  <c r="P520" i="4"/>
  <c r="Q519" i="4"/>
  <c r="P519" i="4"/>
  <c r="Q518" i="4"/>
  <c r="P518" i="4"/>
  <c r="Q517" i="4"/>
  <c r="P517" i="4"/>
  <c r="S517" i="4" s="1"/>
  <c r="Q516" i="4"/>
  <c r="P516" i="4"/>
  <c r="Q515" i="4"/>
  <c r="P515" i="4"/>
  <c r="Q514" i="4"/>
  <c r="P514" i="4"/>
  <c r="Q513" i="4"/>
  <c r="P513" i="4"/>
  <c r="S513" i="4" s="1"/>
  <c r="Q512" i="4"/>
  <c r="P512" i="4"/>
  <c r="Q511" i="4"/>
  <c r="P511" i="4"/>
  <c r="Q510" i="4"/>
  <c r="P510" i="4"/>
  <c r="Q509" i="4"/>
  <c r="P509" i="4"/>
  <c r="S509" i="4" s="1"/>
  <c r="Q508" i="4"/>
  <c r="P508" i="4"/>
  <c r="Q507" i="4"/>
  <c r="P507" i="4"/>
  <c r="Q506" i="4"/>
  <c r="P506" i="4"/>
  <c r="Q505" i="4"/>
  <c r="P505" i="4"/>
  <c r="S505" i="4" s="1"/>
  <c r="Q504" i="4"/>
  <c r="P504" i="4"/>
  <c r="Q503" i="4"/>
  <c r="P503" i="4"/>
  <c r="Q502" i="4"/>
  <c r="P502" i="4"/>
  <c r="Q501" i="4"/>
  <c r="P501" i="4"/>
  <c r="S501" i="4" s="1"/>
  <c r="Q500" i="4"/>
  <c r="P500" i="4"/>
  <c r="Q499" i="4"/>
  <c r="P499" i="4"/>
  <c r="Q498" i="4"/>
  <c r="P498" i="4"/>
  <c r="Q497" i="4"/>
  <c r="P497" i="4"/>
  <c r="S497" i="4" s="1"/>
  <c r="Q496" i="4"/>
  <c r="P496" i="4"/>
  <c r="S496" i="4" s="1"/>
  <c r="Q495" i="4"/>
  <c r="P495" i="4"/>
  <c r="Q494" i="4"/>
  <c r="P494" i="4"/>
  <c r="Q493" i="4"/>
  <c r="P493" i="4"/>
  <c r="S493" i="4" s="1"/>
  <c r="Q492" i="4"/>
  <c r="P492" i="4"/>
  <c r="S492" i="4" s="1"/>
  <c r="Q491" i="4"/>
  <c r="P491" i="4"/>
  <c r="Q490" i="4"/>
  <c r="P490" i="4"/>
  <c r="Q489" i="4"/>
  <c r="P489" i="4"/>
  <c r="S489" i="4" s="1"/>
  <c r="Q488" i="4"/>
  <c r="P488" i="4"/>
  <c r="S488" i="4" s="1"/>
  <c r="Q487" i="4"/>
  <c r="P487" i="4"/>
  <c r="Q486" i="4"/>
  <c r="P486" i="4"/>
  <c r="Q485" i="4"/>
  <c r="P485" i="4"/>
  <c r="S485" i="4" s="1"/>
  <c r="Q484" i="4"/>
  <c r="P484" i="4"/>
  <c r="S484" i="4" s="1"/>
  <c r="Q483" i="4"/>
  <c r="P483" i="4"/>
  <c r="Q482" i="4"/>
  <c r="P482" i="4"/>
  <c r="Q481" i="4"/>
  <c r="P481" i="4"/>
  <c r="S481" i="4" s="1"/>
  <c r="Q480" i="4"/>
  <c r="P480" i="4"/>
  <c r="S480" i="4" s="1"/>
  <c r="Q479" i="4"/>
  <c r="P479" i="4"/>
  <c r="Q478" i="4"/>
  <c r="P478" i="4"/>
  <c r="Q477" i="4"/>
  <c r="P477" i="4"/>
  <c r="S477" i="4" s="1"/>
  <c r="Q476" i="4"/>
  <c r="P476" i="4"/>
  <c r="S476" i="4" s="1"/>
  <c r="Q475" i="4"/>
  <c r="P475" i="4"/>
  <c r="Q474" i="4"/>
  <c r="P474" i="4"/>
  <c r="Q473" i="4"/>
  <c r="P473" i="4"/>
  <c r="S473" i="4" s="1"/>
  <c r="Q472" i="4"/>
  <c r="P472" i="4"/>
  <c r="S472" i="4" s="1"/>
  <c r="Q471" i="4"/>
  <c r="P471" i="4"/>
  <c r="Q470" i="4"/>
  <c r="P470" i="4"/>
  <c r="Q469" i="4"/>
  <c r="P469" i="4"/>
  <c r="S469" i="4" s="1"/>
  <c r="Q468" i="4"/>
  <c r="P468" i="4"/>
  <c r="S468" i="4" s="1"/>
  <c r="Q467" i="4"/>
  <c r="P467" i="4"/>
  <c r="Q466" i="4"/>
  <c r="P466" i="4"/>
  <c r="Q465" i="4"/>
  <c r="P465" i="4"/>
  <c r="S465" i="4" s="1"/>
  <c r="Q464" i="4"/>
  <c r="P464" i="4"/>
  <c r="S464" i="4" s="1"/>
  <c r="Q463" i="4"/>
  <c r="P463" i="4"/>
  <c r="Q462" i="4"/>
  <c r="P462" i="4"/>
  <c r="Q461" i="4"/>
  <c r="P461" i="4"/>
  <c r="S461" i="4" s="1"/>
  <c r="Q460" i="4"/>
  <c r="P460" i="4"/>
  <c r="S460" i="4" s="1"/>
  <c r="Q459" i="4"/>
  <c r="P459" i="4"/>
  <c r="Q458" i="4"/>
  <c r="P458" i="4"/>
  <c r="Q457" i="4"/>
  <c r="P457" i="4"/>
  <c r="S457" i="4" s="1"/>
  <c r="Q456" i="4"/>
  <c r="P456" i="4"/>
  <c r="S456" i="4" s="1"/>
  <c r="Q455" i="4"/>
  <c r="P455" i="4"/>
  <c r="Q454" i="4"/>
  <c r="P454" i="4"/>
  <c r="Q453" i="4"/>
  <c r="P453" i="4"/>
  <c r="S453" i="4" s="1"/>
  <c r="Q452" i="4"/>
  <c r="P452" i="4"/>
  <c r="S452" i="4" s="1"/>
  <c r="Q451" i="4"/>
  <c r="P451" i="4"/>
  <c r="Q450" i="4"/>
  <c r="P450" i="4"/>
  <c r="Q449" i="4"/>
  <c r="P449" i="4"/>
  <c r="S449" i="4" s="1"/>
  <c r="Q448" i="4"/>
  <c r="P448" i="4"/>
  <c r="S448" i="4" s="1"/>
  <c r="Q447" i="4"/>
  <c r="P447" i="4"/>
  <c r="Q446" i="4"/>
  <c r="P446" i="4"/>
  <c r="Q445" i="4"/>
  <c r="P445" i="4"/>
  <c r="S445" i="4" s="1"/>
  <c r="Q444" i="4"/>
  <c r="P444" i="4"/>
  <c r="S444" i="4" s="1"/>
  <c r="Q443" i="4"/>
  <c r="P443" i="4"/>
  <c r="Q442" i="4"/>
  <c r="P442" i="4"/>
  <c r="Q441" i="4"/>
  <c r="P441" i="4"/>
  <c r="S441" i="4" s="1"/>
  <c r="Q440" i="4"/>
  <c r="P440" i="4"/>
  <c r="S440" i="4" s="1"/>
  <c r="Q439" i="4"/>
  <c r="P439" i="4"/>
  <c r="Q438" i="4"/>
  <c r="P438" i="4"/>
  <c r="Q437" i="4"/>
  <c r="P437" i="4"/>
  <c r="S437" i="4" s="1"/>
  <c r="Q436" i="4"/>
  <c r="P436" i="4"/>
  <c r="S436" i="4" s="1"/>
  <c r="Q435" i="4"/>
  <c r="P435" i="4"/>
  <c r="Q434" i="4"/>
  <c r="P434" i="4"/>
  <c r="Q433" i="4"/>
  <c r="P433" i="4"/>
  <c r="S433" i="4" s="1"/>
  <c r="Q432" i="4"/>
  <c r="P432" i="4"/>
  <c r="S432" i="4" s="1"/>
  <c r="Q431" i="4"/>
  <c r="P431" i="4"/>
  <c r="Q430" i="4"/>
  <c r="P430" i="4"/>
  <c r="Q429" i="4"/>
  <c r="P429" i="4"/>
  <c r="S429" i="4" s="1"/>
  <c r="Q428" i="4"/>
  <c r="P428" i="4"/>
  <c r="S428" i="4" s="1"/>
  <c r="Q427" i="4"/>
  <c r="P427" i="4"/>
  <c r="Q426" i="4"/>
  <c r="P426" i="4"/>
  <c r="Q425" i="4"/>
  <c r="P425" i="4"/>
  <c r="S425" i="4" s="1"/>
  <c r="Q424" i="4"/>
  <c r="P424" i="4"/>
  <c r="S424" i="4" s="1"/>
  <c r="Q423" i="4"/>
  <c r="P423" i="4"/>
  <c r="Q422" i="4"/>
  <c r="P422" i="4"/>
  <c r="Q421" i="4"/>
  <c r="P421" i="4"/>
  <c r="S421" i="4" s="1"/>
  <c r="Q420" i="4"/>
  <c r="P420" i="4"/>
  <c r="S420" i="4" s="1"/>
  <c r="Q419" i="4"/>
  <c r="P419" i="4"/>
  <c r="Q418" i="4"/>
  <c r="P418" i="4"/>
  <c r="Q417" i="4"/>
  <c r="P417" i="4"/>
  <c r="S417" i="4" s="1"/>
  <c r="Q416" i="4"/>
  <c r="P416" i="4"/>
  <c r="S416" i="4" s="1"/>
  <c r="Q415" i="4"/>
  <c r="P415" i="4"/>
  <c r="Q414" i="4"/>
  <c r="P414" i="4"/>
  <c r="Q413" i="4"/>
  <c r="P413" i="4"/>
  <c r="S413" i="4" s="1"/>
  <c r="Q412" i="4"/>
  <c r="P412" i="4"/>
  <c r="S412" i="4" s="1"/>
  <c r="Q411" i="4"/>
  <c r="P411" i="4"/>
  <c r="Q410" i="4"/>
  <c r="P410" i="4"/>
  <c r="Q409" i="4"/>
  <c r="P409" i="4"/>
  <c r="S409" i="4" s="1"/>
  <c r="Q408" i="4"/>
  <c r="P408" i="4"/>
  <c r="S408" i="4" s="1"/>
  <c r="Q407" i="4"/>
  <c r="P407" i="4"/>
  <c r="Q406" i="4"/>
  <c r="P406" i="4"/>
  <c r="Q405" i="4"/>
  <c r="P405" i="4"/>
  <c r="S405" i="4" s="1"/>
  <c r="Q404" i="4"/>
  <c r="P404" i="4"/>
  <c r="S404" i="4" s="1"/>
  <c r="Q403" i="4"/>
  <c r="P403" i="4"/>
  <c r="Q402" i="4"/>
  <c r="P402" i="4"/>
  <c r="Q401" i="4"/>
  <c r="P401" i="4"/>
  <c r="S401" i="4" s="1"/>
  <c r="Q400" i="4"/>
  <c r="P400" i="4"/>
  <c r="S400" i="4" s="1"/>
  <c r="Q399" i="4"/>
  <c r="P399" i="4"/>
  <c r="Q398" i="4"/>
  <c r="P398" i="4"/>
  <c r="Q397" i="4"/>
  <c r="P397" i="4"/>
  <c r="S397" i="4" s="1"/>
  <c r="Q396" i="4"/>
  <c r="P396" i="4"/>
  <c r="S396" i="4" s="1"/>
  <c r="Q395" i="4"/>
  <c r="P395" i="4"/>
  <c r="Q394" i="4"/>
  <c r="P394" i="4"/>
  <c r="Q393" i="4"/>
  <c r="P393" i="4"/>
  <c r="S393" i="4" s="1"/>
  <c r="Q392" i="4"/>
  <c r="P392" i="4"/>
  <c r="S392" i="4" s="1"/>
  <c r="Q391" i="4"/>
  <c r="P391" i="4"/>
  <c r="Q390" i="4"/>
  <c r="P390" i="4"/>
  <c r="Q389" i="4"/>
  <c r="P389" i="4"/>
  <c r="S389" i="4" s="1"/>
  <c r="Q388" i="4"/>
  <c r="P388" i="4"/>
  <c r="S388" i="4" s="1"/>
  <c r="Q387" i="4"/>
  <c r="P387" i="4"/>
  <c r="Q386" i="4"/>
  <c r="P386" i="4"/>
  <c r="S386" i="4" s="1"/>
  <c r="Q385" i="4"/>
  <c r="P385" i="4"/>
  <c r="S385" i="4" s="1"/>
  <c r="Q384" i="4"/>
  <c r="P384" i="4"/>
  <c r="S384" i="4" s="1"/>
  <c r="Q383" i="4"/>
  <c r="P383" i="4"/>
  <c r="Q382" i="4"/>
  <c r="P382" i="4"/>
  <c r="S382" i="4" s="1"/>
  <c r="Q381" i="4"/>
  <c r="P381" i="4"/>
  <c r="S381" i="4" s="1"/>
  <c r="Q380" i="4"/>
  <c r="P380" i="4"/>
  <c r="S380" i="4" s="1"/>
  <c r="Q379" i="4"/>
  <c r="P379" i="4"/>
  <c r="Q378" i="4"/>
  <c r="P378" i="4"/>
  <c r="S378" i="4" s="1"/>
  <c r="Q377" i="4"/>
  <c r="P377" i="4"/>
  <c r="S377" i="4" s="1"/>
  <c r="Q376" i="4"/>
  <c r="P376" i="4"/>
  <c r="S376" i="4" s="1"/>
  <c r="Q375" i="4"/>
  <c r="P375" i="4"/>
  <c r="Q374" i="4"/>
  <c r="P374" i="4"/>
  <c r="S374" i="4" s="1"/>
  <c r="Q373" i="4"/>
  <c r="P373" i="4"/>
  <c r="S373" i="4" s="1"/>
  <c r="Q372" i="4"/>
  <c r="P372" i="4"/>
  <c r="S372" i="4" s="1"/>
  <c r="Q371" i="4"/>
  <c r="P371" i="4"/>
  <c r="Q370" i="4"/>
  <c r="P370" i="4"/>
  <c r="S370" i="4" s="1"/>
  <c r="Q369" i="4"/>
  <c r="P369" i="4"/>
  <c r="S369" i="4" s="1"/>
  <c r="Q368" i="4"/>
  <c r="P368" i="4"/>
  <c r="S368" i="4" s="1"/>
  <c r="Q367" i="4"/>
  <c r="P367" i="4"/>
  <c r="Q366" i="4"/>
  <c r="P366" i="4"/>
  <c r="S366" i="4" s="1"/>
  <c r="Q365" i="4"/>
  <c r="P365" i="4"/>
  <c r="S365" i="4" s="1"/>
  <c r="Q364" i="4"/>
  <c r="P364" i="4"/>
  <c r="S364" i="4" s="1"/>
  <c r="Q363" i="4"/>
  <c r="P363" i="4"/>
  <c r="S363" i="4" s="1"/>
  <c r="Q362" i="4"/>
  <c r="P362" i="4"/>
  <c r="S362" i="4" s="1"/>
  <c r="Q361" i="4"/>
  <c r="P361" i="4"/>
  <c r="S361" i="4" s="1"/>
  <c r="Q360" i="4"/>
  <c r="P360" i="4"/>
  <c r="S360" i="4" s="1"/>
  <c r="Q359" i="4"/>
  <c r="P359" i="4"/>
  <c r="S359" i="4" s="1"/>
  <c r="Q358" i="4"/>
  <c r="P358" i="4"/>
  <c r="S358" i="4" s="1"/>
  <c r="Q357" i="4"/>
  <c r="P357" i="4"/>
  <c r="S357" i="4" s="1"/>
  <c r="Q356" i="4"/>
  <c r="P356" i="4"/>
  <c r="S356" i="4" s="1"/>
  <c r="Q355" i="4"/>
  <c r="P355" i="4"/>
  <c r="S355" i="4" s="1"/>
  <c r="Q354" i="4"/>
  <c r="P354" i="4"/>
  <c r="S354" i="4" s="1"/>
  <c r="Q353" i="4"/>
  <c r="P353" i="4"/>
  <c r="S353" i="4" s="1"/>
  <c r="Q352" i="4"/>
  <c r="P352" i="4"/>
  <c r="Q351" i="4"/>
  <c r="P351" i="4"/>
  <c r="S351" i="4" s="1"/>
  <c r="Q350" i="4"/>
  <c r="P350" i="4"/>
  <c r="S350" i="4" s="1"/>
  <c r="Q349" i="4"/>
  <c r="P349" i="4"/>
  <c r="S349" i="4" s="1"/>
  <c r="Q348" i="4"/>
  <c r="P348" i="4"/>
  <c r="S348" i="4" s="1"/>
  <c r="Q347" i="4"/>
  <c r="P347" i="4"/>
  <c r="S347" i="4" s="1"/>
  <c r="Q346" i="4"/>
  <c r="P346" i="4"/>
  <c r="S346" i="4" s="1"/>
  <c r="Q345" i="4"/>
  <c r="P345" i="4"/>
  <c r="S345" i="4" s="1"/>
  <c r="Q344" i="4"/>
  <c r="P344" i="4"/>
  <c r="S344" i="4" s="1"/>
  <c r="Q343" i="4"/>
  <c r="P343" i="4"/>
  <c r="S343" i="4" s="1"/>
  <c r="Q342" i="4"/>
  <c r="P342" i="4"/>
  <c r="S342" i="4" s="1"/>
  <c r="Q341" i="4"/>
  <c r="P341" i="4"/>
  <c r="S341" i="4" s="1"/>
  <c r="Q340" i="4"/>
  <c r="P340" i="4"/>
  <c r="Q339" i="4"/>
  <c r="P339" i="4"/>
  <c r="S339" i="4" s="1"/>
  <c r="Q338" i="4"/>
  <c r="P338" i="4"/>
  <c r="S338" i="4" s="1"/>
  <c r="Q337" i="4"/>
  <c r="P337" i="4"/>
  <c r="S337" i="4" s="1"/>
  <c r="Q336" i="4"/>
  <c r="P336" i="4"/>
  <c r="S336" i="4" s="1"/>
  <c r="Q335" i="4"/>
  <c r="P335" i="4"/>
  <c r="S335" i="4" s="1"/>
  <c r="Q334" i="4"/>
  <c r="P334" i="4"/>
  <c r="S334" i="4" s="1"/>
  <c r="Q333" i="4"/>
  <c r="P333" i="4"/>
  <c r="S333" i="4" s="1"/>
  <c r="Q332" i="4"/>
  <c r="P332" i="4"/>
  <c r="S332" i="4" s="1"/>
  <c r="Q331" i="4"/>
  <c r="P331" i="4"/>
  <c r="S331" i="4" s="1"/>
  <c r="Q330" i="4"/>
  <c r="P330" i="4"/>
  <c r="S330" i="4" s="1"/>
  <c r="Q329" i="4"/>
  <c r="P329" i="4"/>
  <c r="S329" i="4" s="1"/>
  <c r="Q328" i="4"/>
  <c r="P328" i="4"/>
  <c r="S328" i="4" s="1"/>
  <c r="Q327" i="4"/>
  <c r="P327" i="4"/>
  <c r="S327" i="4" s="1"/>
  <c r="Q326" i="4"/>
  <c r="P326" i="4"/>
  <c r="S326" i="4" s="1"/>
  <c r="Q325" i="4"/>
  <c r="P325" i="4"/>
  <c r="Q324" i="4"/>
  <c r="P324" i="4"/>
  <c r="S324" i="4" s="1"/>
  <c r="Q323" i="4"/>
  <c r="P323" i="4"/>
  <c r="S323" i="4" s="1"/>
  <c r="Q322" i="4"/>
  <c r="P322" i="4"/>
  <c r="S322" i="4" s="1"/>
  <c r="Q321" i="4"/>
  <c r="P321" i="4"/>
  <c r="Q320" i="4"/>
  <c r="P320" i="4"/>
  <c r="Q319" i="4"/>
  <c r="P319" i="4"/>
  <c r="Q318" i="4"/>
  <c r="P318" i="4"/>
  <c r="Q317" i="4"/>
  <c r="P317" i="4"/>
  <c r="Q316" i="4"/>
  <c r="P316" i="4"/>
  <c r="Q315" i="4"/>
  <c r="P315" i="4"/>
  <c r="Q314" i="4"/>
  <c r="P314" i="4"/>
  <c r="Q313" i="4"/>
  <c r="P313" i="4"/>
  <c r="Q312" i="4"/>
  <c r="P312" i="4"/>
  <c r="Q311" i="4"/>
  <c r="P311" i="4"/>
  <c r="Q310" i="4"/>
  <c r="P310" i="4"/>
  <c r="Q309" i="4"/>
  <c r="P309" i="4"/>
  <c r="Q308" i="4"/>
  <c r="P308" i="4"/>
  <c r="Q307" i="4"/>
  <c r="P307" i="4"/>
  <c r="Q306" i="4"/>
  <c r="P306" i="4"/>
  <c r="Q305" i="4"/>
  <c r="P305" i="4"/>
  <c r="Q304" i="4"/>
  <c r="P304" i="4"/>
  <c r="Q303" i="4"/>
  <c r="P303" i="4"/>
  <c r="Q302" i="4"/>
  <c r="P302" i="4"/>
  <c r="Q301" i="4"/>
  <c r="P301" i="4"/>
  <c r="Q300" i="4"/>
  <c r="P300" i="4"/>
  <c r="Q299" i="4"/>
  <c r="P299" i="4"/>
  <c r="Q298" i="4"/>
  <c r="P298" i="4"/>
  <c r="Q297" i="4"/>
  <c r="P297" i="4"/>
  <c r="Q296" i="4"/>
  <c r="P296" i="4"/>
  <c r="Q295" i="4"/>
  <c r="P295" i="4"/>
  <c r="Q294" i="4"/>
  <c r="P294" i="4"/>
  <c r="Q293" i="4"/>
  <c r="P293" i="4"/>
  <c r="Q292" i="4"/>
  <c r="P292" i="4"/>
  <c r="Q291" i="4"/>
  <c r="P291" i="4"/>
  <c r="Q290" i="4"/>
  <c r="P290" i="4"/>
  <c r="Q289" i="4"/>
  <c r="P289" i="4"/>
  <c r="Q288" i="4"/>
  <c r="P288" i="4"/>
  <c r="Q287" i="4"/>
  <c r="P287" i="4"/>
  <c r="Q286" i="4"/>
  <c r="P286" i="4"/>
  <c r="Q285" i="4"/>
  <c r="P285" i="4"/>
  <c r="Q284" i="4"/>
  <c r="P284" i="4"/>
  <c r="Q283" i="4"/>
  <c r="P283" i="4"/>
  <c r="Q282" i="4"/>
  <c r="P282" i="4"/>
  <c r="Q281" i="4"/>
  <c r="P281" i="4"/>
  <c r="Q280" i="4"/>
  <c r="P280" i="4"/>
  <c r="Q279" i="4"/>
  <c r="P279" i="4"/>
  <c r="Q278" i="4"/>
  <c r="P278" i="4"/>
  <c r="Q277" i="4"/>
  <c r="P277" i="4"/>
  <c r="Q276" i="4"/>
  <c r="P276" i="4"/>
  <c r="Q275" i="4"/>
  <c r="P275" i="4"/>
  <c r="Q274" i="4"/>
  <c r="P274" i="4"/>
  <c r="Q273" i="4"/>
  <c r="P273" i="4"/>
  <c r="Q272" i="4"/>
  <c r="P272" i="4"/>
  <c r="Q271" i="4"/>
  <c r="P271" i="4"/>
  <c r="Q270" i="4"/>
  <c r="P270" i="4"/>
  <c r="Q269" i="4"/>
  <c r="P269" i="4"/>
  <c r="Q268" i="4"/>
  <c r="P268" i="4"/>
  <c r="Q267" i="4"/>
  <c r="P267" i="4"/>
  <c r="Q266" i="4"/>
  <c r="P266" i="4"/>
  <c r="Q265" i="4"/>
  <c r="P265" i="4"/>
  <c r="Q264" i="4"/>
  <c r="P264" i="4"/>
  <c r="Q263" i="4"/>
  <c r="P263" i="4"/>
  <c r="Q262" i="4"/>
  <c r="P262" i="4"/>
  <c r="Q261" i="4"/>
  <c r="P261" i="4"/>
  <c r="Q260" i="4"/>
  <c r="P260" i="4"/>
  <c r="Q259" i="4"/>
  <c r="P259" i="4"/>
  <c r="Q258" i="4"/>
  <c r="P258" i="4"/>
  <c r="Q257" i="4"/>
  <c r="P257" i="4"/>
  <c r="Q256" i="4"/>
  <c r="P256" i="4"/>
  <c r="Q255" i="4"/>
  <c r="P255" i="4"/>
  <c r="Q254" i="4"/>
  <c r="P254" i="4"/>
  <c r="Q253" i="4"/>
  <c r="P253" i="4"/>
  <c r="Q252" i="4"/>
  <c r="P252" i="4"/>
  <c r="Q251" i="4"/>
  <c r="P251" i="4"/>
  <c r="Q250" i="4"/>
  <c r="P250" i="4"/>
  <c r="Q249" i="4"/>
  <c r="P249" i="4"/>
  <c r="Q248" i="4"/>
  <c r="P248" i="4"/>
  <c r="Q247" i="4"/>
  <c r="P247" i="4"/>
  <c r="S247" i="4" s="1"/>
  <c r="Q246" i="4"/>
  <c r="P246" i="4"/>
  <c r="S246" i="4" s="1"/>
  <c r="Q245" i="4"/>
  <c r="P245" i="4"/>
  <c r="S245" i="4" s="1"/>
  <c r="Q244" i="4"/>
  <c r="P244" i="4"/>
  <c r="S244" i="4" s="1"/>
  <c r="Q243" i="4"/>
  <c r="P243" i="4"/>
  <c r="S243" i="4" s="1"/>
  <c r="Q242" i="4"/>
  <c r="P242" i="4"/>
  <c r="S242" i="4" s="1"/>
  <c r="Q241" i="4"/>
  <c r="P241" i="4"/>
  <c r="S241" i="4" s="1"/>
  <c r="Q240" i="4"/>
  <c r="P240" i="4"/>
  <c r="S240" i="4" s="1"/>
  <c r="Q239" i="4"/>
  <c r="P239" i="4"/>
  <c r="S239" i="4" s="1"/>
  <c r="Q238" i="4"/>
  <c r="P238" i="4"/>
  <c r="S238" i="4" s="1"/>
  <c r="Q237" i="4"/>
  <c r="P237" i="4"/>
  <c r="S237" i="4" s="1"/>
  <c r="Q236" i="4"/>
  <c r="P236" i="4"/>
  <c r="S236" i="4" s="1"/>
  <c r="Q235" i="4"/>
  <c r="P235" i="4"/>
  <c r="S235" i="4" s="1"/>
  <c r="Q234" i="4"/>
  <c r="P234" i="4"/>
  <c r="S234" i="4" s="1"/>
  <c r="Q233" i="4"/>
  <c r="P233" i="4"/>
  <c r="S233" i="4" s="1"/>
  <c r="Q232" i="4"/>
  <c r="P232" i="4"/>
  <c r="S232" i="4" s="1"/>
  <c r="Q231" i="4"/>
  <c r="P231" i="4"/>
  <c r="S231" i="4" s="1"/>
  <c r="Q230" i="4"/>
  <c r="P230" i="4"/>
  <c r="S230" i="4" s="1"/>
  <c r="Q229" i="4"/>
  <c r="P229" i="4"/>
  <c r="S229" i="4" s="1"/>
  <c r="Q228" i="4"/>
  <c r="P228" i="4"/>
  <c r="S228" i="4" s="1"/>
  <c r="Q227" i="4"/>
  <c r="P227" i="4"/>
  <c r="S227" i="4" s="1"/>
  <c r="Q226" i="4"/>
  <c r="P226" i="4"/>
  <c r="S226" i="4" s="1"/>
  <c r="Q225" i="4"/>
  <c r="P225" i="4"/>
  <c r="S225" i="4" s="1"/>
  <c r="Q224" i="4"/>
  <c r="P224" i="4"/>
  <c r="S224" i="4" s="1"/>
  <c r="Q223" i="4"/>
  <c r="P223" i="4"/>
  <c r="S223" i="4" s="1"/>
  <c r="Q222" i="4"/>
  <c r="P222" i="4"/>
  <c r="S222" i="4" s="1"/>
  <c r="Q221" i="4"/>
  <c r="P221" i="4"/>
  <c r="S221" i="4" s="1"/>
  <c r="Q220" i="4"/>
  <c r="P220" i="4"/>
  <c r="S220" i="4" s="1"/>
  <c r="Q219" i="4"/>
  <c r="P219" i="4"/>
  <c r="S219" i="4" s="1"/>
  <c r="Q218" i="4"/>
  <c r="P218" i="4"/>
  <c r="S218" i="4" s="1"/>
  <c r="Q217" i="4"/>
  <c r="P217" i="4"/>
  <c r="S217" i="4" s="1"/>
  <c r="Q216" i="4"/>
  <c r="P216" i="4"/>
  <c r="S216" i="4" s="1"/>
  <c r="Q215" i="4"/>
  <c r="P215" i="4"/>
  <c r="S215" i="4" s="1"/>
  <c r="Q214" i="4"/>
  <c r="P214" i="4"/>
  <c r="S214" i="4" s="1"/>
  <c r="Q213" i="4"/>
  <c r="P213" i="4"/>
  <c r="S213" i="4" s="1"/>
  <c r="Q212" i="4"/>
  <c r="P212" i="4"/>
  <c r="S212" i="4" s="1"/>
  <c r="Q211" i="4"/>
  <c r="P211" i="4"/>
  <c r="S211" i="4" s="1"/>
  <c r="Q210" i="4"/>
  <c r="P210" i="4"/>
  <c r="S210" i="4" s="1"/>
  <c r="Q209" i="4"/>
  <c r="P209" i="4"/>
  <c r="S209" i="4" s="1"/>
  <c r="Q208" i="4"/>
  <c r="P208" i="4"/>
  <c r="Q207" i="4"/>
  <c r="P207" i="4"/>
  <c r="Q206" i="4"/>
  <c r="P206" i="4"/>
  <c r="Q205" i="4"/>
  <c r="P205" i="4"/>
  <c r="Q204" i="4"/>
  <c r="P204" i="4"/>
  <c r="Q203" i="4"/>
  <c r="P203" i="4"/>
  <c r="Q202" i="4"/>
  <c r="P202" i="4"/>
  <c r="Q201" i="4"/>
  <c r="P201" i="4"/>
  <c r="Q200" i="4"/>
  <c r="P200" i="4"/>
  <c r="Q199" i="4"/>
  <c r="P199" i="4"/>
  <c r="Q198" i="4"/>
  <c r="P198" i="4"/>
  <c r="Q197" i="4"/>
  <c r="P197" i="4"/>
  <c r="Q196" i="4"/>
  <c r="P196" i="4"/>
  <c r="Q195" i="4"/>
  <c r="P195" i="4"/>
  <c r="Q194" i="4"/>
  <c r="P194" i="4"/>
  <c r="Q193" i="4"/>
  <c r="P193" i="4"/>
  <c r="Q192" i="4"/>
  <c r="P192" i="4"/>
  <c r="Q191" i="4"/>
  <c r="P191" i="4"/>
  <c r="Q190" i="4"/>
  <c r="P190" i="4"/>
  <c r="Q189" i="4"/>
  <c r="P189" i="4"/>
  <c r="Q188" i="4"/>
  <c r="P188" i="4"/>
  <c r="Q187" i="4"/>
  <c r="P187" i="4"/>
  <c r="Q186" i="4"/>
  <c r="P186" i="4"/>
  <c r="Q185" i="4"/>
  <c r="P185" i="4"/>
  <c r="Q184" i="4"/>
  <c r="P184" i="4"/>
  <c r="Q183" i="4"/>
  <c r="P183" i="4"/>
  <c r="Q182" i="4"/>
  <c r="P182" i="4"/>
  <c r="Q181" i="4"/>
  <c r="P181" i="4"/>
  <c r="Q180" i="4"/>
  <c r="P180" i="4"/>
  <c r="Q179" i="4"/>
  <c r="P179" i="4"/>
  <c r="Q178" i="4"/>
  <c r="P178" i="4"/>
  <c r="Q177" i="4"/>
  <c r="P177" i="4"/>
  <c r="R176" i="4"/>
  <c r="Q176" i="4"/>
  <c r="P176" i="4"/>
  <c r="S176" i="4" s="1"/>
  <c r="Q175" i="4"/>
  <c r="P175" i="4"/>
  <c r="S175" i="4" s="1"/>
  <c r="Q174" i="4"/>
  <c r="P174" i="4"/>
  <c r="S174" i="4" s="1"/>
  <c r="Q173" i="4"/>
  <c r="P173" i="4"/>
  <c r="Q172" i="4"/>
  <c r="P172" i="4"/>
  <c r="S172" i="4" s="1"/>
  <c r="Q171" i="4"/>
  <c r="P171" i="4"/>
  <c r="S171" i="4" s="1"/>
  <c r="Q170" i="4"/>
  <c r="P170" i="4"/>
  <c r="S170" i="4" s="1"/>
  <c r="Q169" i="4"/>
  <c r="P169" i="4"/>
  <c r="Q168" i="4"/>
  <c r="P168" i="4"/>
  <c r="S168" i="4" s="1"/>
  <c r="Q167" i="4"/>
  <c r="P167" i="4"/>
  <c r="S167" i="4" s="1"/>
  <c r="Q166" i="4"/>
  <c r="P166" i="4"/>
  <c r="Q165" i="4"/>
  <c r="P165" i="4"/>
  <c r="S165" i="4" s="1"/>
  <c r="Q164" i="4"/>
  <c r="P164" i="4"/>
  <c r="S164" i="4" s="1"/>
  <c r="Q163" i="4"/>
  <c r="P163" i="4"/>
  <c r="Q162" i="4"/>
  <c r="P162" i="4"/>
  <c r="S162" i="4" s="1"/>
  <c r="Q161" i="4"/>
  <c r="P161" i="4"/>
  <c r="S161" i="4" s="1"/>
  <c r="Q160" i="4"/>
  <c r="P160" i="4"/>
  <c r="S160" i="4" s="1"/>
  <c r="Q159" i="4"/>
  <c r="P159" i="4"/>
  <c r="S159" i="4" s="1"/>
  <c r="Q158" i="4"/>
  <c r="P158" i="4"/>
  <c r="S158" i="4" s="1"/>
  <c r="Q157" i="4"/>
  <c r="P157" i="4"/>
  <c r="S157" i="4" s="1"/>
  <c r="Q156" i="4"/>
  <c r="P156" i="4"/>
  <c r="S156" i="4" s="1"/>
  <c r="Q155" i="4"/>
  <c r="P155" i="4"/>
  <c r="S155" i="4" s="1"/>
  <c r="Q154" i="4"/>
  <c r="P154" i="4"/>
  <c r="S154" i="4" s="1"/>
  <c r="Q153" i="4"/>
  <c r="P153" i="4"/>
  <c r="S153" i="4" s="1"/>
  <c r="Q152" i="4"/>
  <c r="P152" i="4"/>
  <c r="Q151" i="4"/>
  <c r="P151" i="4"/>
  <c r="S151" i="4" s="1"/>
  <c r="Q150" i="4"/>
  <c r="P150" i="4"/>
  <c r="S150" i="4" s="1"/>
  <c r="Q149" i="4"/>
  <c r="P149" i="4"/>
  <c r="Q148" i="4"/>
  <c r="P148" i="4"/>
  <c r="S148" i="4" s="1"/>
  <c r="Q147" i="4"/>
  <c r="P147" i="4"/>
  <c r="S147" i="4" s="1"/>
  <c r="Q146" i="4"/>
  <c r="P146" i="4"/>
  <c r="Q145" i="4"/>
  <c r="P145" i="4"/>
  <c r="S145" i="4" s="1"/>
  <c r="Q144" i="4"/>
  <c r="P144" i="4"/>
  <c r="Q143" i="4"/>
  <c r="P143" i="4"/>
  <c r="S143" i="4" s="1"/>
  <c r="Q142" i="4"/>
  <c r="P142" i="4"/>
  <c r="S142" i="4" s="1"/>
  <c r="Q141" i="4"/>
  <c r="P141" i="4"/>
  <c r="S141" i="4" s="1"/>
  <c r="Q140" i="4"/>
  <c r="P140" i="4"/>
  <c r="S140" i="4" s="1"/>
  <c r="Q139" i="4"/>
  <c r="P139" i="4"/>
  <c r="S139" i="4" s="1"/>
  <c r="Q138" i="4"/>
  <c r="P138" i="4"/>
  <c r="S138" i="4" s="1"/>
  <c r="Q137" i="4"/>
  <c r="P137" i="4"/>
  <c r="S137" i="4" s="1"/>
  <c r="Q136" i="4"/>
  <c r="P136" i="4"/>
  <c r="S136" i="4" s="1"/>
  <c r="Q135" i="4"/>
  <c r="P135" i="4"/>
  <c r="Q134" i="4"/>
  <c r="P134" i="4"/>
  <c r="S134" i="4" s="1"/>
  <c r="Q133" i="4"/>
  <c r="P133" i="4"/>
  <c r="S133" i="4" s="1"/>
  <c r="Q132" i="4"/>
  <c r="P132" i="4"/>
  <c r="Q131" i="4"/>
  <c r="P131" i="4"/>
  <c r="S131" i="4" s="1"/>
  <c r="Q130" i="4"/>
  <c r="P130" i="4"/>
  <c r="S130" i="4" s="1"/>
  <c r="Q129" i="4"/>
  <c r="P129" i="4"/>
  <c r="S129" i="4" s="1"/>
  <c r="Q128" i="4"/>
  <c r="P128" i="4"/>
  <c r="S128" i="4" s="1"/>
  <c r="Q127" i="4"/>
  <c r="P127" i="4"/>
  <c r="S127" i="4" s="1"/>
  <c r="Q126" i="4"/>
  <c r="P126" i="4"/>
  <c r="S126" i="4" s="1"/>
  <c r="Q125" i="4"/>
  <c r="P125" i="4"/>
  <c r="S125" i="4" s="1"/>
  <c r="Q124" i="4"/>
  <c r="P124" i="4"/>
  <c r="S124" i="4" s="1"/>
  <c r="Q123" i="4"/>
  <c r="P123" i="4"/>
  <c r="S123" i="4" s="1"/>
  <c r="Q122" i="4"/>
  <c r="P122" i="4"/>
  <c r="S122" i="4" s="1"/>
  <c r="Q121" i="4"/>
  <c r="P121" i="4"/>
  <c r="S121" i="4" s="1"/>
  <c r="Q120" i="4"/>
  <c r="P120" i="4"/>
  <c r="S120" i="4" s="1"/>
  <c r="Q119" i="4"/>
  <c r="P119" i="4"/>
  <c r="S119" i="4" s="1"/>
  <c r="Q118" i="4"/>
  <c r="P118" i="4"/>
  <c r="Q117" i="4"/>
  <c r="P117" i="4"/>
  <c r="S117" i="4" s="1"/>
  <c r="Q116" i="4"/>
  <c r="P116" i="4"/>
  <c r="S116" i="4" s="1"/>
  <c r="Q115" i="4"/>
  <c r="P115" i="4"/>
  <c r="S115" i="4" s="1"/>
  <c r="Q114" i="4"/>
  <c r="P114" i="4"/>
  <c r="S114" i="4" s="1"/>
  <c r="Q113" i="4"/>
  <c r="P113" i="4"/>
  <c r="S113" i="4" s="1"/>
  <c r="Q112" i="4"/>
  <c r="P112" i="4"/>
  <c r="S112" i="4" s="1"/>
  <c r="Q111" i="4"/>
  <c r="P111" i="4"/>
  <c r="Q110" i="4"/>
  <c r="P110" i="4"/>
  <c r="S110" i="4" s="1"/>
  <c r="Q109" i="4"/>
  <c r="P109" i="4"/>
  <c r="S109" i="4" s="1"/>
  <c r="Q108" i="4"/>
  <c r="P108" i="4"/>
  <c r="S108" i="4" s="1"/>
  <c r="Q107" i="4"/>
  <c r="P107" i="4"/>
  <c r="S107" i="4" s="1"/>
  <c r="Q106" i="4"/>
  <c r="P106" i="4"/>
  <c r="S106" i="4" s="1"/>
  <c r="Q105" i="4"/>
  <c r="P105" i="4"/>
  <c r="S105" i="4" s="1"/>
  <c r="Q104" i="4"/>
  <c r="P104" i="4"/>
  <c r="Q103" i="4"/>
  <c r="P103" i="4"/>
  <c r="S103" i="4" s="1"/>
  <c r="Q102" i="4"/>
  <c r="P102" i="4"/>
  <c r="S102" i="4" s="1"/>
  <c r="Q101" i="4"/>
  <c r="P101" i="4"/>
  <c r="S101" i="4" s="1"/>
  <c r="Q100" i="4"/>
  <c r="P100" i="4"/>
  <c r="Q99" i="4"/>
  <c r="P99" i="4"/>
  <c r="Q98" i="4"/>
  <c r="P98" i="4"/>
  <c r="Q97" i="4"/>
  <c r="P97" i="4"/>
  <c r="Q96" i="4"/>
  <c r="P96" i="4"/>
  <c r="Q95" i="4"/>
  <c r="P95" i="4"/>
  <c r="Q94" i="4"/>
  <c r="P94" i="4"/>
  <c r="Q93" i="4"/>
  <c r="P93" i="4"/>
  <c r="Q92" i="4"/>
  <c r="P92" i="4"/>
  <c r="Q91" i="4"/>
  <c r="P91" i="4"/>
  <c r="Q90" i="4"/>
  <c r="P90" i="4"/>
  <c r="Q89" i="4"/>
  <c r="P89" i="4"/>
  <c r="Q88" i="4"/>
  <c r="P88" i="4"/>
  <c r="Q87" i="4"/>
  <c r="P87" i="4"/>
  <c r="Q86" i="4"/>
  <c r="P86" i="4"/>
  <c r="Q85" i="4"/>
  <c r="P85" i="4"/>
  <c r="Q84" i="4"/>
  <c r="P84" i="4"/>
  <c r="Q83" i="4"/>
  <c r="P83" i="4"/>
  <c r="Q82" i="4"/>
  <c r="P82" i="4"/>
  <c r="Q81" i="4"/>
  <c r="P81" i="4"/>
  <c r="Q80" i="4"/>
  <c r="P80" i="4"/>
  <c r="S80" i="4" s="1"/>
  <c r="Q79" i="4"/>
  <c r="P79" i="4"/>
  <c r="S79" i="4" s="1"/>
  <c r="Q78" i="4"/>
  <c r="P78" i="4"/>
  <c r="S78" i="4" s="1"/>
  <c r="Q77" i="4"/>
  <c r="P77" i="4"/>
  <c r="Q76" i="4"/>
  <c r="P76" i="4"/>
  <c r="S76" i="4" s="1"/>
  <c r="Q75" i="4"/>
  <c r="P75" i="4"/>
  <c r="S75" i="4" s="1"/>
  <c r="Q74" i="4"/>
  <c r="P74" i="4"/>
  <c r="S74" i="4" s="1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Q66" i="4"/>
  <c r="P66" i="4"/>
  <c r="Q65" i="4"/>
  <c r="P65" i="4"/>
  <c r="Q64" i="4"/>
  <c r="P64" i="4"/>
  <c r="Q63" i="4"/>
  <c r="P63" i="4"/>
  <c r="Q62" i="4"/>
  <c r="P62" i="4"/>
  <c r="Q61" i="4"/>
  <c r="P61" i="4"/>
  <c r="Q60" i="4"/>
  <c r="P60" i="4"/>
  <c r="Q59" i="4"/>
  <c r="P59" i="4"/>
  <c r="Q58" i="4"/>
  <c r="P58" i="4"/>
  <c r="Q57" i="4"/>
  <c r="P57" i="4"/>
  <c r="Q56" i="4"/>
  <c r="P56" i="4"/>
  <c r="Q55" i="4"/>
  <c r="P55" i="4"/>
  <c r="Q54" i="4"/>
  <c r="P54" i="4"/>
  <c r="Q53" i="4"/>
  <c r="P53" i="4"/>
  <c r="Q52" i="4"/>
  <c r="P52" i="4"/>
  <c r="Q51" i="4"/>
  <c r="P51" i="4"/>
  <c r="Q50" i="4"/>
  <c r="P50" i="4"/>
  <c r="Q49" i="4"/>
  <c r="P49" i="4"/>
  <c r="Q48" i="4"/>
  <c r="P48" i="4"/>
  <c r="Q47" i="4"/>
  <c r="P47" i="4"/>
  <c r="Q46" i="4"/>
  <c r="P46" i="4"/>
  <c r="Q45" i="4"/>
  <c r="P45" i="4"/>
  <c r="Q44" i="4"/>
  <c r="P44" i="4"/>
  <c r="Q43" i="4"/>
  <c r="P43" i="4"/>
  <c r="Q42" i="4"/>
  <c r="P42" i="4"/>
  <c r="Q41" i="4"/>
  <c r="P41" i="4"/>
  <c r="Q40" i="4"/>
  <c r="P40" i="4"/>
  <c r="Q39" i="4"/>
  <c r="P39" i="4"/>
  <c r="Q38" i="4"/>
  <c r="P38" i="4"/>
  <c r="S38" i="4" s="1"/>
  <c r="Q37" i="4"/>
  <c r="P37" i="4"/>
  <c r="S37" i="4" s="1"/>
  <c r="Q36" i="4"/>
  <c r="P36" i="4"/>
  <c r="Q35" i="4"/>
  <c r="P35" i="4"/>
  <c r="Q34" i="4"/>
  <c r="P34" i="4"/>
  <c r="R33" i="4"/>
  <c r="Q33" i="4"/>
  <c r="P33" i="4"/>
  <c r="S33" i="4" s="1"/>
  <c r="Q32" i="4"/>
  <c r="P32" i="4"/>
  <c r="Q31" i="4"/>
  <c r="P31" i="4"/>
  <c r="S31" i="4" s="1"/>
  <c r="Q30" i="4"/>
  <c r="P30" i="4"/>
  <c r="S30" i="4" s="1"/>
  <c r="Q29" i="4"/>
  <c r="P29" i="4"/>
  <c r="S29" i="4" s="1"/>
  <c r="Q28" i="4"/>
  <c r="P28" i="4"/>
  <c r="S28" i="4" s="1"/>
  <c r="Q27" i="4"/>
  <c r="P27" i="4"/>
  <c r="Q26" i="4"/>
  <c r="P26" i="4"/>
  <c r="S26" i="4" s="1"/>
  <c r="Q25" i="4"/>
  <c r="P25" i="4"/>
  <c r="Q24" i="4"/>
  <c r="P24" i="4"/>
  <c r="Q23" i="4"/>
  <c r="P23" i="4"/>
  <c r="S23" i="4" s="1"/>
  <c r="Q22" i="4"/>
  <c r="P22" i="4"/>
  <c r="S22" i="4" s="1"/>
  <c r="Q21" i="4"/>
  <c r="P21" i="4"/>
  <c r="Q20" i="4"/>
  <c r="P20" i="4"/>
  <c r="S20" i="4" s="1"/>
  <c r="Q19" i="4"/>
  <c r="P19" i="4"/>
  <c r="S19" i="4" s="1"/>
  <c r="Q18" i="4"/>
  <c r="P18" i="4"/>
  <c r="S18" i="4" s="1"/>
  <c r="Q17" i="4"/>
  <c r="P17" i="4"/>
  <c r="Q16" i="4"/>
  <c r="P16" i="4"/>
  <c r="Q15" i="4"/>
  <c r="P15" i="4"/>
  <c r="Q14" i="4"/>
  <c r="P14" i="4"/>
  <c r="Q13" i="4"/>
  <c r="P13" i="4"/>
  <c r="Q12" i="4"/>
  <c r="P12" i="4"/>
  <c r="Q11" i="4"/>
  <c r="P11" i="4"/>
  <c r="Q10" i="4"/>
  <c r="P10" i="4"/>
  <c r="Q9" i="4"/>
  <c r="P9" i="4"/>
  <c r="Q8" i="4"/>
  <c r="P8" i="4"/>
  <c r="Q7" i="4"/>
  <c r="P7" i="4"/>
  <c r="Q6" i="4"/>
  <c r="P6" i="4"/>
  <c r="Q5" i="4"/>
  <c r="P5" i="4"/>
  <c r="Q4" i="4"/>
  <c r="P4" i="4"/>
  <c r="Q3" i="4"/>
  <c r="P3" i="4"/>
  <c r="Q2" i="4"/>
  <c r="P2" i="4"/>
  <c r="I764" i="4"/>
  <c r="H764" i="4"/>
  <c r="I763" i="4"/>
  <c r="H763" i="4"/>
  <c r="I762" i="4"/>
  <c r="H762" i="4"/>
  <c r="I761" i="4"/>
  <c r="H761" i="4"/>
  <c r="I760" i="4"/>
  <c r="H760" i="4"/>
  <c r="I759" i="4"/>
  <c r="H759" i="4"/>
  <c r="I758" i="4"/>
  <c r="H758" i="4"/>
  <c r="I757" i="4"/>
  <c r="H757" i="4"/>
  <c r="R757" i="4" s="1"/>
  <c r="I756" i="4"/>
  <c r="H756" i="4"/>
  <c r="I755" i="4"/>
  <c r="H755" i="4"/>
  <c r="I754" i="4"/>
  <c r="H754" i="4"/>
  <c r="R754" i="4" s="1"/>
  <c r="I753" i="4"/>
  <c r="H753" i="4"/>
  <c r="I752" i="4"/>
  <c r="H752" i="4"/>
  <c r="I751" i="4"/>
  <c r="H751" i="4"/>
  <c r="I750" i="4"/>
  <c r="H750" i="4"/>
  <c r="I749" i="4"/>
  <c r="H749" i="4"/>
  <c r="I748" i="4"/>
  <c r="H748" i="4"/>
  <c r="R748" i="4" s="1"/>
  <c r="I747" i="4"/>
  <c r="H747" i="4"/>
  <c r="I746" i="4"/>
  <c r="H746" i="4"/>
  <c r="I745" i="4"/>
  <c r="H745" i="4"/>
  <c r="I744" i="4"/>
  <c r="H744" i="4"/>
  <c r="I743" i="4"/>
  <c r="H743" i="4"/>
  <c r="R743" i="4" s="1"/>
  <c r="I742" i="4"/>
  <c r="H742" i="4"/>
  <c r="I741" i="4"/>
  <c r="H741" i="4"/>
  <c r="R741" i="4" s="1"/>
  <c r="I740" i="4"/>
  <c r="H740" i="4"/>
  <c r="I739" i="4"/>
  <c r="H739" i="4"/>
  <c r="I738" i="4"/>
  <c r="H738" i="4"/>
  <c r="I737" i="4"/>
  <c r="H737" i="4"/>
  <c r="R737" i="4" s="1"/>
  <c r="I736" i="4"/>
  <c r="H736" i="4"/>
  <c r="I735" i="4"/>
  <c r="H735" i="4"/>
  <c r="I734" i="4"/>
  <c r="H734" i="4"/>
  <c r="I733" i="4"/>
  <c r="H733" i="4"/>
  <c r="I732" i="4"/>
  <c r="H732" i="4"/>
  <c r="I731" i="4"/>
  <c r="H731" i="4"/>
  <c r="I730" i="4"/>
  <c r="H730" i="4"/>
  <c r="I729" i="4"/>
  <c r="H729" i="4"/>
  <c r="I728" i="4"/>
  <c r="H728" i="4"/>
  <c r="I727" i="4"/>
  <c r="H727" i="4"/>
  <c r="R727" i="4" s="1"/>
  <c r="I726" i="4"/>
  <c r="H726" i="4"/>
  <c r="I725" i="4"/>
  <c r="H725" i="4"/>
  <c r="I724" i="4"/>
  <c r="H724" i="4"/>
  <c r="I723" i="4"/>
  <c r="H723" i="4"/>
  <c r="I722" i="4"/>
  <c r="H722" i="4"/>
  <c r="I721" i="4"/>
  <c r="H721" i="4"/>
  <c r="R721" i="4" s="1"/>
  <c r="I720" i="4"/>
  <c r="H720" i="4"/>
  <c r="R720" i="4" s="1"/>
  <c r="I719" i="4"/>
  <c r="H719" i="4"/>
  <c r="I718" i="4"/>
  <c r="H718" i="4"/>
  <c r="I717" i="4"/>
  <c r="H717" i="4"/>
  <c r="I716" i="4"/>
  <c r="H716" i="4"/>
  <c r="I715" i="4"/>
  <c r="H715" i="4"/>
  <c r="I714" i="4"/>
  <c r="H714" i="4"/>
  <c r="I713" i="4"/>
  <c r="H713" i="4"/>
  <c r="R713" i="4" s="1"/>
  <c r="I712" i="4"/>
  <c r="H712" i="4"/>
  <c r="I711" i="4"/>
  <c r="H711" i="4"/>
  <c r="I710" i="4"/>
  <c r="H710" i="4"/>
  <c r="I709" i="4"/>
  <c r="H709" i="4"/>
  <c r="I708" i="4"/>
  <c r="H708" i="4"/>
  <c r="I707" i="4"/>
  <c r="H707" i="4"/>
  <c r="I706" i="4"/>
  <c r="H706" i="4"/>
  <c r="R706" i="4" s="1"/>
  <c r="I705" i="4"/>
  <c r="H705" i="4"/>
  <c r="I704" i="4"/>
  <c r="H704" i="4"/>
  <c r="R704" i="4" s="1"/>
  <c r="I703" i="4"/>
  <c r="H703" i="4"/>
  <c r="I702" i="4"/>
  <c r="H702" i="4"/>
  <c r="I701" i="4"/>
  <c r="H701" i="4"/>
  <c r="I700" i="4"/>
  <c r="H700" i="4"/>
  <c r="I699" i="4"/>
  <c r="H699" i="4"/>
  <c r="I698" i="4"/>
  <c r="H698" i="4"/>
  <c r="I697" i="4"/>
  <c r="H697" i="4"/>
  <c r="R697" i="4" s="1"/>
  <c r="I696" i="4"/>
  <c r="H696" i="4"/>
  <c r="I695" i="4"/>
  <c r="H695" i="4"/>
  <c r="I694" i="4"/>
  <c r="H694" i="4"/>
  <c r="I693" i="4"/>
  <c r="H693" i="4"/>
  <c r="R693" i="4" s="1"/>
  <c r="I692" i="4"/>
  <c r="H692" i="4"/>
  <c r="I691" i="4"/>
  <c r="H691" i="4"/>
  <c r="I690" i="4"/>
  <c r="H690" i="4"/>
  <c r="R690" i="4" s="1"/>
  <c r="I689" i="4"/>
  <c r="H689" i="4"/>
  <c r="I688" i="4"/>
  <c r="H688" i="4"/>
  <c r="R688" i="4" s="1"/>
  <c r="I687" i="4"/>
  <c r="H687" i="4"/>
  <c r="I686" i="4"/>
  <c r="H686" i="4"/>
  <c r="I685" i="4"/>
  <c r="H685" i="4"/>
  <c r="I684" i="4"/>
  <c r="H684" i="4"/>
  <c r="R684" i="4" s="1"/>
  <c r="I683" i="4"/>
  <c r="H683" i="4"/>
  <c r="I682" i="4"/>
  <c r="H682" i="4"/>
  <c r="I681" i="4"/>
  <c r="H681" i="4"/>
  <c r="R681" i="4" s="1"/>
  <c r="I680" i="4"/>
  <c r="H680" i="4"/>
  <c r="I679" i="4"/>
  <c r="H679" i="4"/>
  <c r="I678" i="4"/>
  <c r="H678" i="4"/>
  <c r="I677" i="4"/>
  <c r="H677" i="4"/>
  <c r="R677" i="4" s="1"/>
  <c r="I676" i="4"/>
  <c r="H676" i="4"/>
  <c r="I675" i="4"/>
  <c r="H675" i="4"/>
  <c r="I674" i="4"/>
  <c r="H674" i="4"/>
  <c r="R674" i="4" s="1"/>
  <c r="I673" i="4"/>
  <c r="H673" i="4"/>
  <c r="I672" i="4"/>
  <c r="H672" i="4"/>
  <c r="I671" i="4"/>
  <c r="H671" i="4"/>
  <c r="I670" i="4"/>
  <c r="H670" i="4"/>
  <c r="I669" i="4"/>
  <c r="H669" i="4"/>
  <c r="I668" i="4"/>
  <c r="H668" i="4"/>
  <c r="I667" i="4"/>
  <c r="H667" i="4"/>
  <c r="I666" i="4"/>
  <c r="H666" i="4"/>
  <c r="I665" i="4"/>
  <c r="H665" i="4"/>
  <c r="I664" i="4"/>
  <c r="H664" i="4"/>
  <c r="I663" i="4"/>
  <c r="H663" i="4"/>
  <c r="I662" i="4"/>
  <c r="H662" i="4"/>
  <c r="I661" i="4"/>
  <c r="H661" i="4"/>
  <c r="R661" i="4" s="1"/>
  <c r="I660" i="4"/>
  <c r="H660" i="4"/>
  <c r="I659" i="4"/>
  <c r="H659" i="4"/>
  <c r="I658" i="4"/>
  <c r="H658" i="4"/>
  <c r="R658" i="4" s="1"/>
  <c r="I657" i="4"/>
  <c r="H657" i="4"/>
  <c r="I656" i="4"/>
  <c r="H656" i="4"/>
  <c r="I655" i="4"/>
  <c r="H655" i="4"/>
  <c r="I654" i="4"/>
  <c r="H654" i="4"/>
  <c r="I653" i="4"/>
  <c r="H653" i="4"/>
  <c r="I652" i="4"/>
  <c r="H652" i="4"/>
  <c r="I651" i="4"/>
  <c r="H651" i="4"/>
  <c r="I650" i="4"/>
  <c r="H650" i="4"/>
  <c r="I649" i="4"/>
  <c r="H649" i="4"/>
  <c r="R649" i="4" s="1"/>
  <c r="I648" i="4"/>
  <c r="H648" i="4"/>
  <c r="I647" i="4"/>
  <c r="H647" i="4"/>
  <c r="I646" i="4"/>
  <c r="H646" i="4"/>
  <c r="I645" i="4"/>
  <c r="H645" i="4"/>
  <c r="I644" i="4"/>
  <c r="H644" i="4"/>
  <c r="I643" i="4"/>
  <c r="H643" i="4"/>
  <c r="I642" i="4"/>
  <c r="H642" i="4"/>
  <c r="R642" i="4" s="1"/>
  <c r="I641" i="4"/>
  <c r="H641" i="4"/>
  <c r="I640" i="4"/>
  <c r="H640" i="4"/>
  <c r="I639" i="4"/>
  <c r="H639" i="4"/>
  <c r="I638" i="4"/>
  <c r="H638" i="4"/>
  <c r="I637" i="4"/>
  <c r="H637" i="4"/>
  <c r="I636" i="4"/>
  <c r="H636" i="4"/>
  <c r="R636" i="4" s="1"/>
  <c r="I635" i="4"/>
  <c r="H635" i="4"/>
  <c r="I634" i="4"/>
  <c r="H634" i="4"/>
  <c r="I633" i="4"/>
  <c r="H633" i="4"/>
  <c r="I632" i="4"/>
  <c r="H632" i="4"/>
  <c r="I631" i="4"/>
  <c r="H631" i="4"/>
  <c r="I630" i="4"/>
  <c r="H630" i="4"/>
  <c r="I629" i="4"/>
  <c r="H629" i="4"/>
  <c r="R629" i="4" s="1"/>
  <c r="I628" i="4"/>
  <c r="H628" i="4"/>
  <c r="I627" i="4"/>
  <c r="H627" i="4"/>
  <c r="I626" i="4"/>
  <c r="H626" i="4"/>
  <c r="I625" i="4"/>
  <c r="H625" i="4"/>
  <c r="I624" i="4"/>
  <c r="H624" i="4"/>
  <c r="I623" i="4"/>
  <c r="H623" i="4"/>
  <c r="I622" i="4"/>
  <c r="H622" i="4"/>
  <c r="I621" i="4"/>
  <c r="H621" i="4"/>
  <c r="I620" i="4"/>
  <c r="H620" i="4"/>
  <c r="R620" i="4" s="1"/>
  <c r="I619" i="4"/>
  <c r="H619" i="4"/>
  <c r="I618" i="4"/>
  <c r="H618" i="4"/>
  <c r="I617" i="4"/>
  <c r="H617" i="4"/>
  <c r="I616" i="4"/>
  <c r="H616" i="4"/>
  <c r="I615" i="4"/>
  <c r="H615" i="4"/>
  <c r="R615" i="4" s="1"/>
  <c r="I614" i="4"/>
  <c r="H614" i="4"/>
  <c r="I613" i="4"/>
  <c r="H613" i="4"/>
  <c r="R613" i="4" s="1"/>
  <c r="I612" i="4"/>
  <c r="H612" i="4"/>
  <c r="R612" i="4" s="1"/>
  <c r="I611" i="4"/>
  <c r="H611" i="4"/>
  <c r="I610" i="4"/>
  <c r="H610" i="4"/>
  <c r="R610" i="4" s="1"/>
  <c r="I609" i="4"/>
  <c r="H609" i="4"/>
  <c r="R609" i="4" s="1"/>
  <c r="I608" i="4"/>
  <c r="H608" i="4"/>
  <c r="I607" i="4"/>
  <c r="H607" i="4"/>
  <c r="I606" i="4"/>
  <c r="H606" i="4"/>
  <c r="I605" i="4"/>
  <c r="H605" i="4"/>
  <c r="I604" i="4"/>
  <c r="H604" i="4"/>
  <c r="R604" i="4" s="1"/>
  <c r="I603" i="4"/>
  <c r="H603" i="4"/>
  <c r="I602" i="4"/>
  <c r="H602" i="4"/>
  <c r="I601" i="4"/>
  <c r="H601" i="4"/>
  <c r="I600" i="4"/>
  <c r="H600" i="4"/>
  <c r="I599" i="4"/>
  <c r="H599" i="4"/>
  <c r="R599" i="4" s="1"/>
  <c r="I598" i="4"/>
  <c r="H598" i="4"/>
  <c r="I597" i="4"/>
  <c r="H597" i="4"/>
  <c r="R597" i="4" s="1"/>
  <c r="I596" i="4"/>
  <c r="H596" i="4"/>
  <c r="I595" i="4"/>
  <c r="H595" i="4"/>
  <c r="I594" i="4"/>
  <c r="H594" i="4"/>
  <c r="R594" i="4" s="1"/>
  <c r="I593" i="4"/>
  <c r="H593" i="4"/>
  <c r="I592" i="4"/>
  <c r="H592" i="4"/>
  <c r="I591" i="4"/>
  <c r="H591" i="4"/>
  <c r="I590" i="4"/>
  <c r="H590" i="4"/>
  <c r="I589" i="4"/>
  <c r="H589" i="4"/>
  <c r="I588" i="4"/>
  <c r="H588" i="4"/>
  <c r="R588" i="4" s="1"/>
  <c r="I587" i="4"/>
  <c r="H587" i="4"/>
  <c r="I586" i="4"/>
  <c r="H586" i="4"/>
  <c r="I585" i="4"/>
  <c r="H585" i="4"/>
  <c r="I584" i="4"/>
  <c r="H584" i="4"/>
  <c r="I583" i="4"/>
  <c r="H583" i="4"/>
  <c r="R583" i="4" s="1"/>
  <c r="I582" i="4"/>
  <c r="H582" i="4"/>
  <c r="I581" i="4"/>
  <c r="H581" i="4"/>
  <c r="I580" i="4"/>
  <c r="H580" i="4"/>
  <c r="R580" i="4" s="1"/>
  <c r="I579" i="4"/>
  <c r="H579" i="4"/>
  <c r="I578" i="4"/>
  <c r="H578" i="4"/>
  <c r="R578" i="4" s="1"/>
  <c r="I577" i="4"/>
  <c r="H577" i="4"/>
  <c r="I576" i="4"/>
  <c r="H576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R567" i="4" s="1"/>
  <c r="I566" i="4"/>
  <c r="H566" i="4"/>
  <c r="I565" i="4"/>
  <c r="H565" i="4"/>
  <c r="I564" i="4"/>
  <c r="H564" i="4"/>
  <c r="R564" i="4" s="1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R556" i="4" s="1"/>
  <c r="I555" i="4"/>
  <c r="H555" i="4"/>
  <c r="I554" i="4"/>
  <c r="H554" i="4"/>
  <c r="I553" i="4"/>
  <c r="H553" i="4"/>
  <c r="I552" i="4"/>
  <c r="H552" i="4"/>
  <c r="I551" i="4"/>
  <c r="H551" i="4"/>
  <c r="R551" i="4" s="1"/>
  <c r="I550" i="4"/>
  <c r="H550" i="4"/>
  <c r="I549" i="4"/>
  <c r="H549" i="4"/>
  <c r="I548" i="4"/>
  <c r="H548" i="4"/>
  <c r="R548" i="4" s="1"/>
  <c r="I547" i="4"/>
  <c r="H547" i="4"/>
  <c r="I546" i="4"/>
  <c r="H546" i="4"/>
  <c r="R546" i="4" s="1"/>
  <c r="I545" i="4"/>
  <c r="H545" i="4"/>
  <c r="I544" i="4"/>
  <c r="H544" i="4"/>
  <c r="I543" i="4"/>
  <c r="H543" i="4"/>
  <c r="I542" i="4"/>
  <c r="H542" i="4"/>
  <c r="I541" i="4"/>
  <c r="H541" i="4"/>
  <c r="I540" i="4"/>
  <c r="H540" i="4"/>
  <c r="R540" i="4" s="1"/>
  <c r="I539" i="4"/>
  <c r="H539" i="4"/>
  <c r="I538" i="4"/>
  <c r="H538" i="4"/>
  <c r="I537" i="4"/>
  <c r="H537" i="4"/>
  <c r="I536" i="4"/>
  <c r="H536" i="4"/>
  <c r="I535" i="4"/>
  <c r="H535" i="4"/>
  <c r="R535" i="4" s="1"/>
  <c r="I534" i="4"/>
  <c r="H534" i="4"/>
  <c r="I533" i="4"/>
  <c r="H533" i="4"/>
  <c r="I532" i="4"/>
  <c r="H532" i="4"/>
  <c r="I531" i="4"/>
  <c r="H531" i="4"/>
  <c r="I530" i="4"/>
  <c r="H530" i="4"/>
  <c r="R530" i="4" s="1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R519" i="4" s="1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R512" i="4" s="1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R503" i="4" s="1"/>
  <c r="I502" i="4"/>
  <c r="H502" i="4"/>
  <c r="I501" i="4"/>
  <c r="H501" i="4"/>
  <c r="I500" i="4"/>
  <c r="H500" i="4"/>
  <c r="I499" i="4"/>
  <c r="H499" i="4"/>
  <c r="I498" i="4"/>
  <c r="H498" i="4"/>
  <c r="R498" i="4" s="1"/>
  <c r="I497" i="4"/>
  <c r="H497" i="4"/>
  <c r="I496" i="4"/>
  <c r="H496" i="4"/>
  <c r="I495" i="4"/>
  <c r="H495" i="4"/>
  <c r="I494" i="4"/>
  <c r="H494" i="4"/>
  <c r="I493" i="4"/>
  <c r="H493" i="4"/>
  <c r="I492" i="4"/>
  <c r="H49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R482" i="4" s="1"/>
  <c r="I481" i="4"/>
  <c r="H481" i="4"/>
  <c r="I480" i="4"/>
  <c r="H480" i="4"/>
  <c r="I479" i="4"/>
  <c r="H479" i="4"/>
  <c r="R479" i="4" s="1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R466" i="4" s="1"/>
  <c r="I465" i="4"/>
  <c r="H465" i="4"/>
  <c r="I464" i="4"/>
  <c r="H464" i="4"/>
  <c r="I463" i="4"/>
  <c r="H463" i="4"/>
  <c r="R463" i="4" s="1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R447" i="4" s="1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R423" i="4" s="1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R407" i="4" s="1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R391" i="4" s="1"/>
  <c r="I390" i="4"/>
  <c r="H390" i="4"/>
  <c r="I389" i="4"/>
  <c r="H389" i="4"/>
  <c r="I388" i="4"/>
  <c r="H388" i="4"/>
  <c r="I387" i="4"/>
  <c r="H387" i="4"/>
  <c r="I386" i="4"/>
  <c r="H386" i="4"/>
  <c r="R386" i="4" s="1"/>
  <c r="I385" i="4"/>
  <c r="H385" i="4"/>
  <c r="I384" i="4"/>
  <c r="H384" i="4"/>
  <c r="I383" i="4"/>
  <c r="H383" i="4"/>
  <c r="I382" i="4"/>
  <c r="H382" i="4"/>
  <c r="I381" i="4"/>
  <c r="H381" i="4"/>
  <c r="I380" i="4"/>
  <c r="H380" i="4"/>
  <c r="I379" i="4"/>
  <c r="H379" i="4"/>
  <c r="I378" i="4"/>
  <c r="H378" i="4"/>
  <c r="I377" i="4"/>
  <c r="H377" i="4"/>
  <c r="I376" i="4"/>
  <c r="H376" i="4"/>
  <c r="I375" i="4"/>
  <c r="H375" i="4"/>
  <c r="R375" i="4" s="1"/>
  <c r="I374" i="4"/>
  <c r="H374" i="4"/>
  <c r="I373" i="4"/>
  <c r="H373" i="4"/>
  <c r="I372" i="4"/>
  <c r="H372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I365" i="4"/>
  <c r="H365" i="4"/>
  <c r="I364" i="4"/>
  <c r="H364" i="4"/>
  <c r="I363" i="4"/>
  <c r="H363" i="4"/>
  <c r="I362" i="4"/>
  <c r="H362" i="4"/>
  <c r="I361" i="4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I336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R320" i="4" s="1"/>
  <c r="I319" i="4"/>
  <c r="H319" i="4"/>
  <c r="I318" i="4"/>
  <c r="H318" i="4"/>
  <c r="I317" i="4"/>
  <c r="H317" i="4"/>
  <c r="I316" i="4"/>
  <c r="H316" i="4"/>
  <c r="I315" i="4"/>
  <c r="H315" i="4"/>
  <c r="I314" i="4"/>
  <c r="H314" i="4"/>
  <c r="I313" i="4"/>
  <c r="H313" i="4"/>
  <c r="I312" i="4"/>
  <c r="H312" i="4"/>
  <c r="I311" i="4"/>
  <c r="H311" i="4"/>
  <c r="R311" i="4" s="1"/>
  <c r="I310" i="4"/>
  <c r="H310" i="4"/>
  <c r="I309" i="4"/>
  <c r="H309" i="4"/>
  <c r="R309" i="4" s="1"/>
  <c r="I308" i="4"/>
  <c r="H308" i="4"/>
  <c r="R308" i="4" s="1"/>
  <c r="I307" i="4"/>
  <c r="H307" i="4"/>
  <c r="I306" i="4"/>
  <c r="H306" i="4"/>
  <c r="R306" i="4" s="1"/>
  <c r="I305" i="4"/>
  <c r="H305" i="4"/>
  <c r="I304" i="4"/>
  <c r="H304" i="4"/>
  <c r="I303" i="4"/>
  <c r="H303" i="4"/>
  <c r="I302" i="4"/>
  <c r="H302" i="4"/>
  <c r="I301" i="4"/>
  <c r="H301" i="4"/>
  <c r="I300" i="4"/>
  <c r="H300" i="4"/>
  <c r="I299" i="4"/>
  <c r="H299" i="4"/>
  <c r="I298" i="4"/>
  <c r="H298" i="4"/>
  <c r="I297" i="4"/>
  <c r="H297" i="4"/>
  <c r="R297" i="4" s="1"/>
  <c r="I296" i="4"/>
  <c r="H296" i="4"/>
  <c r="R296" i="4" s="1"/>
  <c r="I295" i="4"/>
  <c r="H295" i="4"/>
  <c r="I294" i="4"/>
  <c r="H294" i="4"/>
  <c r="I293" i="4"/>
  <c r="H293" i="4"/>
  <c r="R293" i="4" s="1"/>
  <c r="I292" i="4"/>
  <c r="H292" i="4"/>
  <c r="I291" i="4"/>
  <c r="H291" i="4"/>
  <c r="I290" i="4"/>
  <c r="H290" i="4"/>
  <c r="I289" i="4"/>
  <c r="H289" i="4"/>
  <c r="I288" i="4"/>
  <c r="H288" i="4"/>
  <c r="I287" i="4"/>
  <c r="H287" i="4"/>
  <c r="I286" i="4"/>
  <c r="H286" i="4"/>
  <c r="I285" i="4"/>
  <c r="H285" i="4"/>
  <c r="I284" i="4"/>
  <c r="H284" i="4"/>
  <c r="I283" i="4"/>
  <c r="H283" i="4"/>
  <c r="I282" i="4"/>
  <c r="H282" i="4"/>
  <c r="I281" i="4"/>
  <c r="H281" i="4"/>
  <c r="I280" i="4"/>
  <c r="H280" i="4"/>
  <c r="R280" i="4" s="1"/>
  <c r="I279" i="4"/>
  <c r="H279" i="4"/>
  <c r="R279" i="4" s="1"/>
  <c r="I278" i="4"/>
  <c r="H278" i="4"/>
  <c r="I277" i="4"/>
  <c r="H277" i="4"/>
  <c r="R277" i="4" s="1"/>
  <c r="I276" i="4"/>
  <c r="H276" i="4"/>
  <c r="R276" i="4" s="1"/>
  <c r="I275" i="4"/>
  <c r="H275" i="4"/>
  <c r="I274" i="4"/>
  <c r="H274" i="4"/>
  <c r="R274" i="4" s="1"/>
  <c r="I273" i="4"/>
  <c r="H273" i="4"/>
  <c r="I272" i="4"/>
  <c r="H272" i="4"/>
  <c r="I271" i="4"/>
  <c r="H271" i="4"/>
  <c r="I270" i="4"/>
  <c r="H270" i="4"/>
  <c r="I269" i="4"/>
  <c r="H269" i="4"/>
  <c r="I268" i="4"/>
  <c r="H268" i="4"/>
  <c r="I267" i="4"/>
  <c r="H267" i="4"/>
  <c r="I266" i="4"/>
  <c r="H266" i="4"/>
  <c r="I265" i="4"/>
  <c r="H265" i="4"/>
  <c r="I264" i="4"/>
  <c r="H264" i="4"/>
  <c r="I263" i="4"/>
  <c r="H263" i="4"/>
  <c r="R263" i="4" s="1"/>
  <c r="I262" i="4"/>
  <c r="H262" i="4"/>
  <c r="I261" i="4"/>
  <c r="H261" i="4"/>
  <c r="I260" i="4"/>
  <c r="H260" i="4"/>
  <c r="R260" i="4" s="1"/>
  <c r="I259" i="4"/>
  <c r="H259" i="4"/>
  <c r="I258" i="4"/>
  <c r="H258" i="4"/>
  <c r="R258" i="4" s="1"/>
  <c r="I257" i="4"/>
  <c r="H257" i="4"/>
  <c r="I256" i="4"/>
  <c r="H256" i="4"/>
  <c r="I255" i="4"/>
  <c r="H255" i="4"/>
  <c r="I254" i="4"/>
  <c r="H254" i="4"/>
  <c r="I253" i="4"/>
  <c r="H253" i="4"/>
  <c r="I252" i="4"/>
  <c r="H252" i="4"/>
  <c r="I251" i="4"/>
  <c r="H251" i="4"/>
  <c r="I250" i="4"/>
  <c r="H250" i="4"/>
  <c r="I249" i="4"/>
  <c r="H249" i="4"/>
  <c r="I248" i="4"/>
  <c r="H248" i="4"/>
  <c r="I247" i="4"/>
  <c r="H247" i="4"/>
  <c r="I246" i="4"/>
  <c r="H246" i="4"/>
  <c r="I245" i="4"/>
  <c r="H245" i="4"/>
  <c r="I244" i="4"/>
  <c r="H244" i="4"/>
  <c r="I243" i="4"/>
  <c r="H243" i="4"/>
  <c r="I242" i="4"/>
  <c r="H242" i="4"/>
  <c r="I241" i="4"/>
  <c r="H241" i="4"/>
  <c r="I240" i="4"/>
  <c r="H240" i="4"/>
  <c r="I239" i="4"/>
  <c r="H239" i="4"/>
  <c r="I238" i="4"/>
  <c r="H238" i="4"/>
  <c r="I237" i="4"/>
  <c r="H237" i="4"/>
  <c r="I236" i="4"/>
  <c r="H236" i="4"/>
  <c r="I235" i="4"/>
  <c r="H235" i="4"/>
  <c r="I234" i="4"/>
  <c r="H234" i="4"/>
  <c r="I233" i="4"/>
  <c r="H233" i="4"/>
  <c r="I232" i="4"/>
  <c r="H232" i="4"/>
  <c r="I231" i="4"/>
  <c r="H231" i="4"/>
  <c r="I230" i="4"/>
  <c r="H230" i="4"/>
  <c r="I229" i="4"/>
  <c r="H229" i="4"/>
  <c r="I228" i="4"/>
  <c r="H228" i="4"/>
  <c r="I227" i="4"/>
  <c r="H227" i="4"/>
  <c r="I226" i="4"/>
  <c r="H226" i="4"/>
  <c r="I225" i="4"/>
  <c r="H225" i="4"/>
  <c r="I224" i="4"/>
  <c r="H224" i="4"/>
  <c r="I223" i="4"/>
  <c r="H223" i="4"/>
  <c r="I222" i="4"/>
  <c r="H222" i="4"/>
  <c r="I221" i="4"/>
  <c r="H221" i="4"/>
  <c r="I220" i="4"/>
  <c r="H220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R184" i="4" s="1"/>
  <c r="I183" i="4"/>
  <c r="H183" i="4"/>
  <c r="R183" i="4" s="1"/>
  <c r="I182" i="4"/>
  <c r="H182" i="4"/>
  <c r="I181" i="4"/>
  <c r="H181" i="4"/>
  <c r="R181" i="4" s="1"/>
  <c r="I180" i="4"/>
  <c r="H180" i="4"/>
  <c r="I179" i="4"/>
  <c r="H179" i="4"/>
  <c r="I178" i="4"/>
  <c r="H178" i="4"/>
  <c r="R178" i="4" s="1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R100" i="4" s="1"/>
  <c r="I99" i="4"/>
  <c r="H99" i="4"/>
  <c r="I98" i="4"/>
  <c r="H98" i="4"/>
  <c r="I97" i="4"/>
  <c r="H97" i="4"/>
  <c r="I96" i="4"/>
  <c r="H96" i="4"/>
  <c r="R96" i="4" s="1"/>
  <c r="I95" i="4"/>
  <c r="H95" i="4"/>
  <c r="I94" i="4"/>
  <c r="H94" i="4"/>
  <c r="I93" i="4"/>
  <c r="H93" i="4"/>
  <c r="I92" i="4"/>
  <c r="H92" i="4"/>
  <c r="R92" i="4" s="1"/>
  <c r="I91" i="4"/>
  <c r="H91" i="4"/>
  <c r="I90" i="4"/>
  <c r="H90" i="4"/>
  <c r="I89" i="4"/>
  <c r="H89" i="4"/>
  <c r="R89" i="4" s="1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R73" i="4" s="1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R64" i="4" s="1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R57" i="4" s="1"/>
  <c r="I56" i="4"/>
  <c r="H56" i="4"/>
  <c r="R56" i="4" s="1"/>
  <c r="I55" i="4"/>
  <c r="H55" i="4"/>
  <c r="I54" i="4"/>
  <c r="H54" i="4"/>
  <c r="I53" i="4"/>
  <c r="H53" i="4"/>
  <c r="R53" i="4" s="1"/>
  <c r="I52" i="4"/>
  <c r="H52" i="4"/>
  <c r="I51" i="4"/>
  <c r="H51" i="4"/>
  <c r="I50" i="4"/>
  <c r="H50" i="4"/>
  <c r="R50" i="4" s="1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R40" i="4" s="1"/>
  <c r="I39" i="4"/>
  <c r="H39" i="4"/>
  <c r="I38" i="4"/>
  <c r="H38" i="4"/>
  <c r="I37" i="4"/>
  <c r="H37" i="4"/>
  <c r="I36" i="4"/>
  <c r="H36" i="4"/>
  <c r="R36" i="4" s="1"/>
  <c r="I35" i="4"/>
  <c r="H35" i="4"/>
  <c r="I34" i="4"/>
  <c r="H34" i="4"/>
  <c r="R34" i="4" s="1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R17" i="4" s="1"/>
  <c r="I16" i="4"/>
  <c r="H16" i="4"/>
  <c r="I15" i="4"/>
  <c r="H15" i="4"/>
  <c r="I14" i="4"/>
  <c r="H14" i="4"/>
  <c r="I13" i="4"/>
  <c r="H13" i="4"/>
  <c r="I12" i="4"/>
  <c r="H12" i="4"/>
  <c r="R12" i="4" s="1"/>
  <c r="I11" i="4"/>
  <c r="H11" i="4"/>
  <c r="I10" i="4"/>
  <c r="H10" i="4"/>
  <c r="I9" i="4"/>
  <c r="H9" i="4"/>
  <c r="I8" i="4"/>
  <c r="H8" i="4"/>
  <c r="I7" i="4"/>
  <c r="H7" i="4"/>
  <c r="R7" i="4" s="1"/>
  <c r="I6" i="4"/>
  <c r="H6" i="4"/>
  <c r="I5" i="4"/>
  <c r="H5" i="4"/>
  <c r="I4" i="4"/>
  <c r="H4" i="4"/>
  <c r="I3" i="4"/>
  <c r="H3" i="4"/>
  <c r="I2" i="4"/>
  <c r="H2" i="4"/>
  <c r="R2" i="4" s="1"/>
  <c r="P765" i="3"/>
  <c r="Q765" i="3"/>
  <c r="P766" i="3"/>
  <c r="S766" i="3" s="1"/>
  <c r="Q766" i="3"/>
  <c r="R766" i="3"/>
  <c r="P767" i="3"/>
  <c r="Q767" i="3"/>
  <c r="P768" i="3"/>
  <c r="Q768" i="3"/>
  <c r="P769" i="3"/>
  <c r="Q769" i="3"/>
  <c r="P770" i="3"/>
  <c r="Q770" i="3"/>
  <c r="P771" i="3"/>
  <c r="Q771" i="3"/>
  <c r="P772" i="3"/>
  <c r="Q772" i="3"/>
  <c r="P773" i="3"/>
  <c r="Q773" i="3"/>
  <c r="P774" i="3"/>
  <c r="Q774" i="3"/>
  <c r="P775" i="3"/>
  <c r="Q775" i="3"/>
  <c r="P776" i="3"/>
  <c r="S776" i="3" s="1"/>
  <c r="Q776" i="3"/>
  <c r="P777" i="3"/>
  <c r="Q777" i="3"/>
  <c r="P778" i="3"/>
  <c r="Q778" i="3"/>
  <c r="P779" i="3"/>
  <c r="Q779" i="3"/>
  <c r="P780" i="3"/>
  <c r="S780" i="3" s="1"/>
  <c r="Q780" i="3"/>
  <c r="R780" i="3"/>
  <c r="P781" i="3"/>
  <c r="Q781" i="3"/>
  <c r="P782" i="3"/>
  <c r="Q782" i="3"/>
  <c r="P783" i="3"/>
  <c r="Q783" i="3"/>
  <c r="P784" i="3"/>
  <c r="Q784" i="3"/>
  <c r="P785" i="3"/>
  <c r="Q785" i="3"/>
  <c r="P786" i="3"/>
  <c r="Q786" i="3"/>
  <c r="P787" i="3"/>
  <c r="Q787" i="3"/>
  <c r="P788" i="3"/>
  <c r="Q788" i="3"/>
  <c r="P789" i="3"/>
  <c r="Q789" i="3"/>
  <c r="P790" i="3"/>
  <c r="Q790" i="3"/>
  <c r="P791" i="3"/>
  <c r="Q791" i="3"/>
  <c r="P792" i="3"/>
  <c r="Q792" i="3"/>
  <c r="P793" i="3"/>
  <c r="Q793" i="3"/>
  <c r="P794" i="3"/>
  <c r="Q794" i="3"/>
  <c r="P795" i="3"/>
  <c r="Q795" i="3"/>
  <c r="P796" i="3"/>
  <c r="Q796" i="3"/>
  <c r="P797" i="3"/>
  <c r="Q797" i="3"/>
  <c r="P798" i="3"/>
  <c r="Q798" i="3"/>
  <c r="P799" i="3"/>
  <c r="Q799" i="3"/>
  <c r="P800" i="3"/>
  <c r="Q800" i="3"/>
  <c r="P801" i="3"/>
  <c r="Q801" i="3"/>
  <c r="P802" i="3"/>
  <c r="Q802" i="3"/>
  <c r="P803" i="3"/>
  <c r="Q803" i="3"/>
  <c r="P804" i="3"/>
  <c r="Q804" i="3"/>
  <c r="P805" i="3"/>
  <c r="Q805" i="3"/>
  <c r="P806" i="3"/>
  <c r="Q806" i="3"/>
  <c r="P807" i="3"/>
  <c r="Q807" i="3"/>
  <c r="P808" i="3"/>
  <c r="Q808" i="3"/>
  <c r="P809" i="3"/>
  <c r="Q809" i="3"/>
  <c r="P810" i="3"/>
  <c r="Q810" i="3"/>
  <c r="P811" i="3"/>
  <c r="R811" i="3" s="1"/>
  <c r="Q811" i="3"/>
  <c r="P812" i="3"/>
  <c r="S812" i="3" s="1"/>
  <c r="Q812" i="3"/>
  <c r="P813" i="3"/>
  <c r="Q813" i="3"/>
  <c r="P814" i="3"/>
  <c r="Q814" i="3"/>
  <c r="P815" i="3"/>
  <c r="Q815" i="3"/>
  <c r="P816" i="3"/>
  <c r="S816" i="3" s="1"/>
  <c r="Q816" i="3"/>
  <c r="R816" i="3"/>
  <c r="P817" i="3"/>
  <c r="Q817" i="3"/>
  <c r="P818" i="3"/>
  <c r="Q818" i="3"/>
  <c r="P819" i="3"/>
  <c r="Q819" i="3"/>
  <c r="P820" i="3"/>
  <c r="Q820" i="3"/>
  <c r="P821" i="3"/>
  <c r="Q821" i="3"/>
  <c r="P822" i="3"/>
  <c r="Q822" i="3"/>
  <c r="P823" i="3"/>
  <c r="Q823" i="3"/>
  <c r="P824" i="3"/>
  <c r="S824" i="3" s="1"/>
  <c r="Q824" i="3"/>
  <c r="P825" i="3"/>
  <c r="Q825" i="3"/>
  <c r="P826" i="3"/>
  <c r="S826" i="3" s="1"/>
  <c r="Q826" i="3"/>
  <c r="P827" i="3"/>
  <c r="Q827" i="3"/>
  <c r="P828" i="3"/>
  <c r="Q828" i="3"/>
  <c r="P829" i="3"/>
  <c r="Q829" i="3"/>
  <c r="P830" i="3"/>
  <c r="S830" i="3" s="1"/>
  <c r="Q830" i="3"/>
  <c r="P831" i="3"/>
  <c r="Q831" i="3"/>
  <c r="P832" i="3"/>
  <c r="S832" i="3" s="1"/>
  <c r="Q832" i="3"/>
  <c r="P833" i="3"/>
  <c r="Q833" i="3"/>
  <c r="P834" i="3"/>
  <c r="S834" i="3" s="1"/>
  <c r="Q834" i="3"/>
  <c r="P835" i="3"/>
  <c r="Q835" i="3"/>
  <c r="P836" i="3"/>
  <c r="S836" i="3" s="1"/>
  <c r="Q836" i="3"/>
  <c r="P837" i="3"/>
  <c r="Q837" i="3"/>
  <c r="P838" i="3"/>
  <c r="Q838" i="3"/>
  <c r="P839" i="3"/>
  <c r="Q839" i="3"/>
  <c r="P840" i="3"/>
  <c r="Q840" i="3"/>
  <c r="P841" i="3"/>
  <c r="Q841" i="3"/>
  <c r="P842" i="3"/>
  <c r="S842" i="3" s="1"/>
  <c r="Q842" i="3"/>
  <c r="P843" i="3"/>
  <c r="Q843" i="3"/>
  <c r="P844" i="3"/>
  <c r="Q844" i="3"/>
  <c r="P845" i="3"/>
  <c r="Q845" i="3"/>
  <c r="P846" i="3"/>
  <c r="Q846" i="3"/>
  <c r="P847" i="3"/>
  <c r="S847" i="3" s="1"/>
  <c r="Q847" i="3"/>
  <c r="P848" i="3"/>
  <c r="S848" i="3" s="1"/>
  <c r="Q848" i="3"/>
  <c r="P849" i="3"/>
  <c r="Q849" i="3"/>
  <c r="P850" i="3"/>
  <c r="S850" i="3" s="1"/>
  <c r="Q850" i="3"/>
  <c r="P851" i="3"/>
  <c r="Q851" i="3"/>
  <c r="P852" i="3"/>
  <c r="Q852" i="3"/>
  <c r="P853" i="3"/>
  <c r="R853" i="3" s="1"/>
  <c r="Q853" i="3"/>
  <c r="P854" i="3"/>
  <c r="Q854" i="3"/>
  <c r="P855" i="3"/>
  <c r="Q855" i="3"/>
  <c r="P856" i="3"/>
  <c r="Q856" i="3"/>
  <c r="P857" i="3"/>
  <c r="Q857" i="3"/>
  <c r="P858" i="3"/>
  <c r="Q858" i="3"/>
  <c r="P859" i="3"/>
  <c r="Q859" i="3"/>
  <c r="P860" i="3"/>
  <c r="Q860" i="3"/>
  <c r="P861" i="3"/>
  <c r="Q861" i="3"/>
  <c r="P862" i="3"/>
  <c r="Q862" i="3"/>
  <c r="P863" i="3"/>
  <c r="Q863" i="3"/>
  <c r="P864" i="3"/>
  <c r="Q864" i="3"/>
  <c r="P865" i="3"/>
  <c r="Q865" i="3"/>
  <c r="P866" i="3"/>
  <c r="Q866" i="3"/>
  <c r="P867" i="3"/>
  <c r="R867" i="3" s="1"/>
  <c r="Q867" i="3"/>
  <c r="P868" i="3"/>
  <c r="Q868" i="3"/>
  <c r="P869" i="3"/>
  <c r="Q869" i="3"/>
  <c r="P870" i="3"/>
  <c r="Q870" i="3"/>
  <c r="P871" i="3"/>
  <c r="Q871" i="3"/>
  <c r="P872" i="3"/>
  <c r="Q872" i="3"/>
  <c r="P873" i="3"/>
  <c r="Q873" i="3"/>
  <c r="P874" i="3"/>
  <c r="Q874" i="3"/>
  <c r="P875" i="3"/>
  <c r="Q875" i="3"/>
  <c r="P876" i="3"/>
  <c r="Q876" i="3"/>
  <c r="P877" i="3"/>
  <c r="Q877" i="3"/>
  <c r="P878" i="3"/>
  <c r="Q878" i="3"/>
  <c r="P879" i="3"/>
  <c r="Q879" i="3"/>
  <c r="P880" i="3"/>
  <c r="Q880" i="3"/>
  <c r="P881" i="3"/>
  <c r="Q881" i="3"/>
  <c r="P882" i="3"/>
  <c r="Q882" i="3"/>
  <c r="P883" i="3"/>
  <c r="Q883" i="3"/>
  <c r="P884" i="3"/>
  <c r="Q884" i="3"/>
  <c r="P885" i="3"/>
  <c r="Q885" i="3"/>
  <c r="P886" i="3"/>
  <c r="S886" i="3" s="1"/>
  <c r="Q886" i="3"/>
  <c r="P887" i="3"/>
  <c r="Q887" i="3"/>
  <c r="P888" i="3"/>
  <c r="S888" i="3" s="1"/>
  <c r="Q888" i="3"/>
  <c r="P889" i="3"/>
  <c r="Q889" i="3"/>
  <c r="P890" i="3"/>
  <c r="S890" i="3" s="1"/>
  <c r="Q890" i="3"/>
  <c r="P891" i="3"/>
  <c r="S891" i="3" s="1"/>
  <c r="Q891" i="3"/>
  <c r="P892" i="3"/>
  <c r="S892" i="3" s="1"/>
  <c r="Q892" i="3"/>
  <c r="P893" i="3"/>
  <c r="Q893" i="3"/>
  <c r="P894" i="3"/>
  <c r="Q894" i="3"/>
  <c r="P895" i="3"/>
  <c r="Q895" i="3"/>
  <c r="P896" i="3"/>
  <c r="Q896" i="3"/>
  <c r="P897" i="3"/>
  <c r="Q897" i="3"/>
  <c r="P898" i="3"/>
  <c r="S898" i="3" s="1"/>
  <c r="Q898" i="3"/>
  <c r="P899" i="3"/>
  <c r="Q899" i="3"/>
  <c r="R899" i="3"/>
  <c r="P900" i="3"/>
  <c r="Q900" i="3"/>
  <c r="P901" i="3"/>
  <c r="Q901" i="3"/>
  <c r="P902" i="3"/>
  <c r="Q902" i="3"/>
  <c r="P903" i="3"/>
  <c r="S903" i="3" s="1"/>
  <c r="Q903" i="3"/>
  <c r="P904" i="3"/>
  <c r="S904" i="3" s="1"/>
  <c r="Q904" i="3"/>
  <c r="P905" i="3"/>
  <c r="Q905" i="3"/>
  <c r="P906" i="3"/>
  <c r="S906" i="3" s="1"/>
  <c r="Q906" i="3"/>
  <c r="P907" i="3"/>
  <c r="Q907" i="3"/>
  <c r="P908" i="3"/>
  <c r="S908" i="3" s="1"/>
  <c r="Q908" i="3"/>
  <c r="P909" i="3"/>
  <c r="Q909" i="3"/>
  <c r="P910" i="3"/>
  <c r="Q910" i="3"/>
  <c r="P911" i="3"/>
  <c r="S911" i="3" s="1"/>
  <c r="Q911" i="3"/>
  <c r="P912" i="3"/>
  <c r="Q912" i="3"/>
  <c r="P913" i="3"/>
  <c r="Q913" i="3"/>
  <c r="P914" i="3"/>
  <c r="S914" i="3" s="1"/>
  <c r="Q914" i="3"/>
  <c r="P915" i="3"/>
  <c r="Q915" i="3"/>
  <c r="P916" i="3"/>
  <c r="Q916" i="3"/>
  <c r="P917" i="3"/>
  <c r="Q917" i="3"/>
  <c r="P918" i="3"/>
  <c r="Q918" i="3"/>
  <c r="P919" i="3"/>
  <c r="Q919" i="3"/>
  <c r="P920" i="3"/>
  <c r="Q920" i="3"/>
  <c r="P921" i="3"/>
  <c r="Q921" i="3"/>
  <c r="P922" i="3"/>
  <c r="Q922" i="3"/>
  <c r="P923" i="3"/>
  <c r="Q923" i="3"/>
  <c r="P924" i="3"/>
  <c r="R924" i="3" s="1"/>
  <c r="Q924" i="3"/>
  <c r="P925" i="3"/>
  <c r="Q925" i="3"/>
  <c r="P926" i="3"/>
  <c r="Q926" i="3"/>
  <c r="H765" i="3"/>
  <c r="I765" i="3"/>
  <c r="H766" i="3"/>
  <c r="I766" i="3"/>
  <c r="H767" i="3"/>
  <c r="R767" i="3" s="1"/>
  <c r="I767" i="3"/>
  <c r="H768" i="3"/>
  <c r="I768" i="3"/>
  <c r="H769" i="3"/>
  <c r="I769" i="3"/>
  <c r="H770" i="3"/>
  <c r="I770" i="3"/>
  <c r="H771" i="3"/>
  <c r="I771" i="3"/>
  <c r="H772" i="3"/>
  <c r="I772" i="3"/>
  <c r="H773" i="3"/>
  <c r="I773" i="3"/>
  <c r="H774" i="3"/>
  <c r="I774" i="3"/>
  <c r="H775" i="3"/>
  <c r="I775" i="3"/>
  <c r="H776" i="3"/>
  <c r="I776" i="3"/>
  <c r="H777" i="3"/>
  <c r="I777" i="3"/>
  <c r="H778" i="3"/>
  <c r="I778" i="3"/>
  <c r="H779" i="3"/>
  <c r="I779" i="3"/>
  <c r="H780" i="3"/>
  <c r="I780" i="3"/>
  <c r="H781" i="3"/>
  <c r="I781" i="3"/>
  <c r="H782" i="3"/>
  <c r="I782" i="3"/>
  <c r="H783" i="3"/>
  <c r="R783" i="3" s="1"/>
  <c r="I783" i="3"/>
  <c r="H784" i="3"/>
  <c r="I784" i="3"/>
  <c r="H785" i="3"/>
  <c r="I785" i="3"/>
  <c r="H786" i="3"/>
  <c r="I786" i="3"/>
  <c r="H787" i="3"/>
  <c r="I787" i="3"/>
  <c r="H788" i="3"/>
  <c r="I788" i="3"/>
  <c r="H789" i="3"/>
  <c r="I789" i="3"/>
  <c r="H790" i="3"/>
  <c r="I790" i="3"/>
  <c r="H791" i="3"/>
  <c r="I791" i="3"/>
  <c r="H792" i="3"/>
  <c r="I792" i="3"/>
  <c r="H793" i="3"/>
  <c r="I793" i="3"/>
  <c r="H794" i="3"/>
  <c r="I794" i="3"/>
  <c r="H795" i="3"/>
  <c r="I795" i="3"/>
  <c r="H796" i="3"/>
  <c r="I796" i="3"/>
  <c r="H797" i="3"/>
  <c r="I797" i="3"/>
  <c r="H798" i="3"/>
  <c r="I798" i="3"/>
  <c r="H799" i="3"/>
  <c r="R799" i="3" s="1"/>
  <c r="I799" i="3"/>
  <c r="H800" i="3"/>
  <c r="R800" i="3" s="1"/>
  <c r="I800" i="3"/>
  <c r="H801" i="3"/>
  <c r="I801" i="3"/>
  <c r="H802" i="3"/>
  <c r="I802" i="3"/>
  <c r="H803" i="3"/>
  <c r="I803" i="3"/>
  <c r="H804" i="3"/>
  <c r="I804" i="3"/>
  <c r="H805" i="3"/>
  <c r="R805" i="3" s="1"/>
  <c r="I805" i="3"/>
  <c r="H806" i="3"/>
  <c r="R806" i="3" s="1"/>
  <c r="I806" i="3"/>
  <c r="H807" i="3"/>
  <c r="I807" i="3"/>
  <c r="H808" i="3"/>
  <c r="I808" i="3"/>
  <c r="H809" i="3"/>
  <c r="I809" i="3"/>
  <c r="H810" i="3"/>
  <c r="I810" i="3"/>
  <c r="H811" i="3"/>
  <c r="I811" i="3"/>
  <c r="H812" i="3"/>
  <c r="I812" i="3"/>
  <c r="H813" i="3"/>
  <c r="I813" i="3"/>
  <c r="H814" i="3"/>
  <c r="I814" i="3"/>
  <c r="H815" i="3"/>
  <c r="I815" i="3"/>
  <c r="H816" i="3"/>
  <c r="I816" i="3"/>
  <c r="H817" i="3"/>
  <c r="I817" i="3"/>
  <c r="H818" i="3"/>
  <c r="I818" i="3"/>
  <c r="H819" i="3"/>
  <c r="R819" i="3" s="1"/>
  <c r="I819" i="3"/>
  <c r="H820" i="3"/>
  <c r="I820" i="3"/>
  <c r="H821" i="3"/>
  <c r="I821" i="3"/>
  <c r="H822" i="3"/>
  <c r="R822" i="3" s="1"/>
  <c r="I822" i="3"/>
  <c r="H823" i="3"/>
  <c r="I823" i="3"/>
  <c r="H824" i="3"/>
  <c r="I824" i="3"/>
  <c r="H825" i="3"/>
  <c r="I825" i="3"/>
  <c r="H826" i="3"/>
  <c r="I826" i="3"/>
  <c r="H827" i="3"/>
  <c r="R827" i="3" s="1"/>
  <c r="I827" i="3"/>
  <c r="H828" i="3"/>
  <c r="I828" i="3"/>
  <c r="H829" i="3"/>
  <c r="I829" i="3"/>
  <c r="H830" i="3"/>
  <c r="I830" i="3"/>
  <c r="H831" i="3"/>
  <c r="I831" i="3"/>
  <c r="H832" i="3"/>
  <c r="I832" i="3"/>
  <c r="H833" i="3"/>
  <c r="I833" i="3"/>
  <c r="H834" i="3"/>
  <c r="I834" i="3"/>
  <c r="H835" i="3"/>
  <c r="I835" i="3"/>
  <c r="H836" i="3"/>
  <c r="I836" i="3"/>
  <c r="H837" i="3"/>
  <c r="I837" i="3"/>
  <c r="H838" i="3"/>
  <c r="I838" i="3"/>
  <c r="H839" i="3"/>
  <c r="R839" i="3" s="1"/>
  <c r="I839" i="3"/>
  <c r="H840" i="3"/>
  <c r="I840" i="3"/>
  <c r="H841" i="3"/>
  <c r="I841" i="3"/>
  <c r="H842" i="3"/>
  <c r="I842" i="3"/>
  <c r="H843" i="3"/>
  <c r="R843" i="3" s="1"/>
  <c r="I843" i="3"/>
  <c r="H844" i="3"/>
  <c r="R844" i="3" s="1"/>
  <c r="I844" i="3"/>
  <c r="H845" i="3"/>
  <c r="I845" i="3"/>
  <c r="H846" i="3"/>
  <c r="I846" i="3"/>
  <c r="H847" i="3"/>
  <c r="I847" i="3"/>
  <c r="H848" i="3"/>
  <c r="I848" i="3"/>
  <c r="H849" i="3"/>
  <c r="I849" i="3"/>
  <c r="H850" i="3"/>
  <c r="I850" i="3"/>
  <c r="H851" i="3"/>
  <c r="I851" i="3"/>
  <c r="H852" i="3"/>
  <c r="I852" i="3"/>
  <c r="H853" i="3"/>
  <c r="I853" i="3"/>
  <c r="H854" i="3"/>
  <c r="I854" i="3"/>
  <c r="H855" i="3"/>
  <c r="R855" i="3" s="1"/>
  <c r="I855" i="3"/>
  <c r="H856" i="3"/>
  <c r="I856" i="3"/>
  <c r="H857" i="3"/>
  <c r="I857" i="3"/>
  <c r="H858" i="3"/>
  <c r="I858" i="3"/>
  <c r="H859" i="3"/>
  <c r="I859" i="3"/>
  <c r="H860" i="3"/>
  <c r="I860" i="3"/>
  <c r="H861" i="3"/>
  <c r="I861" i="3"/>
  <c r="H862" i="3"/>
  <c r="I862" i="3"/>
  <c r="H863" i="3"/>
  <c r="I863" i="3"/>
  <c r="H864" i="3"/>
  <c r="R864" i="3" s="1"/>
  <c r="I864" i="3"/>
  <c r="H865" i="3"/>
  <c r="I865" i="3"/>
  <c r="H866" i="3"/>
  <c r="I866" i="3"/>
  <c r="H867" i="3"/>
  <c r="I867" i="3"/>
  <c r="H868" i="3"/>
  <c r="I868" i="3"/>
  <c r="H869" i="3"/>
  <c r="R869" i="3" s="1"/>
  <c r="I869" i="3"/>
  <c r="H870" i="3"/>
  <c r="I870" i="3"/>
  <c r="H871" i="3"/>
  <c r="I871" i="3"/>
  <c r="H872" i="3"/>
  <c r="I872" i="3"/>
  <c r="H873" i="3"/>
  <c r="I873" i="3"/>
  <c r="H874" i="3"/>
  <c r="I874" i="3"/>
  <c r="H875" i="3"/>
  <c r="I875" i="3"/>
  <c r="H876" i="3"/>
  <c r="I876" i="3"/>
  <c r="H877" i="3"/>
  <c r="I877" i="3"/>
  <c r="H878" i="3"/>
  <c r="R878" i="3" s="1"/>
  <c r="I878" i="3"/>
  <c r="H879" i="3"/>
  <c r="I879" i="3"/>
  <c r="H880" i="3"/>
  <c r="I880" i="3"/>
  <c r="H881" i="3"/>
  <c r="I881" i="3"/>
  <c r="H882" i="3"/>
  <c r="I882" i="3"/>
  <c r="H883" i="3"/>
  <c r="R883" i="3" s="1"/>
  <c r="I883" i="3"/>
  <c r="H884" i="3"/>
  <c r="I884" i="3"/>
  <c r="H885" i="3"/>
  <c r="R885" i="3" s="1"/>
  <c r="I885" i="3"/>
  <c r="H886" i="3"/>
  <c r="I886" i="3"/>
  <c r="H887" i="3"/>
  <c r="I887" i="3"/>
  <c r="H888" i="3"/>
  <c r="I888" i="3"/>
  <c r="H889" i="3"/>
  <c r="I889" i="3"/>
  <c r="H890" i="3"/>
  <c r="I890" i="3"/>
  <c r="H891" i="3"/>
  <c r="I891" i="3"/>
  <c r="H892" i="3"/>
  <c r="I892" i="3"/>
  <c r="H893" i="3"/>
  <c r="I893" i="3"/>
  <c r="H894" i="3"/>
  <c r="R894" i="3" s="1"/>
  <c r="I894" i="3"/>
  <c r="H895" i="3"/>
  <c r="I895" i="3"/>
  <c r="H896" i="3"/>
  <c r="I896" i="3"/>
  <c r="H897" i="3"/>
  <c r="I897" i="3"/>
  <c r="H898" i="3"/>
  <c r="I898" i="3"/>
  <c r="H899" i="3"/>
  <c r="I899" i="3"/>
  <c r="H900" i="3"/>
  <c r="I900" i="3"/>
  <c r="H901" i="3"/>
  <c r="I901" i="3"/>
  <c r="H902" i="3"/>
  <c r="I902" i="3"/>
  <c r="H903" i="3"/>
  <c r="I903" i="3"/>
  <c r="H904" i="3"/>
  <c r="I904" i="3"/>
  <c r="H905" i="3"/>
  <c r="I905" i="3"/>
  <c r="H906" i="3"/>
  <c r="I906" i="3"/>
  <c r="H907" i="3"/>
  <c r="I907" i="3"/>
  <c r="H908" i="3"/>
  <c r="I908" i="3"/>
  <c r="H909" i="3"/>
  <c r="I909" i="3"/>
  <c r="H910" i="3"/>
  <c r="I910" i="3"/>
  <c r="H911" i="3"/>
  <c r="I911" i="3"/>
  <c r="H912" i="3"/>
  <c r="I912" i="3"/>
  <c r="H913" i="3"/>
  <c r="I913" i="3"/>
  <c r="H914" i="3"/>
  <c r="I914" i="3"/>
  <c r="H915" i="3"/>
  <c r="I915" i="3"/>
  <c r="H916" i="3"/>
  <c r="I916" i="3"/>
  <c r="H917" i="3"/>
  <c r="R917" i="3" s="1"/>
  <c r="I917" i="3"/>
  <c r="H918" i="3"/>
  <c r="I918" i="3"/>
  <c r="H919" i="3"/>
  <c r="I919" i="3"/>
  <c r="H920" i="3"/>
  <c r="I920" i="3"/>
  <c r="H921" i="3"/>
  <c r="I921" i="3"/>
  <c r="H922" i="3"/>
  <c r="I922" i="3"/>
  <c r="H923" i="3"/>
  <c r="I923" i="3"/>
  <c r="H924" i="3"/>
  <c r="I924" i="3"/>
  <c r="H925" i="3"/>
  <c r="I925" i="3"/>
  <c r="H926" i="3"/>
  <c r="I926" i="3"/>
  <c r="Q764" i="3"/>
  <c r="P764" i="3"/>
  <c r="Q763" i="3"/>
  <c r="P763" i="3"/>
  <c r="Q762" i="3"/>
  <c r="P762" i="3"/>
  <c r="Q761" i="3"/>
  <c r="P761" i="3"/>
  <c r="Q760" i="3"/>
  <c r="P760" i="3"/>
  <c r="Q759" i="3"/>
  <c r="P759" i="3"/>
  <c r="Q758" i="3"/>
  <c r="P758" i="3"/>
  <c r="Q757" i="3"/>
  <c r="P757" i="3"/>
  <c r="Q756" i="3"/>
  <c r="P756" i="3"/>
  <c r="Q755" i="3"/>
  <c r="P755" i="3"/>
  <c r="Q754" i="3"/>
  <c r="P754" i="3"/>
  <c r="Q753" i="3"/>
  <c r="P753" i="3"/>
  <c r="Q752" i="3"/>
  <c r="P752" i="3"/>
  <c r="Q751" i="3"/>
  <c r="P751" i="3"/>
  <c r="Q750" i="3"/>
  <c r="P750" i="3"/>
  <c r="Q749" i="3"/>
  <c r="P749" i="3"/>
  <c r="Q748" i="3"/>
  <c r="P748" i="3"/>
  <c r="Q747" i="3"/>
  <c r="P747" i="3"/>
  <c r="Q746" i="3"/>
  <c r="P746" i="3"/>
  <c r="Q745" i="3"/>
  <c r="P745" i="3"/>
  <c r="Q744" i="3"/>
  <c r="P744" i="3"/>
  <c r="Q743" i="3"/>
  <c r="P743" i="3"/>
  <c r="Q742" i="3"/>
  <c r="P742" i="3"/>
  <c r="Q741" i="3"/>
  <c r="P741" i="3"/>
  <c r="Q740" i="3"/>
  <c r="P740" i="3"/>
  <c r="Q739" i="3"/>
  <c r="P739" i="3"/>
  <c r="Q738" i="3"/>
  <c r="P738" i="3"/>
  <c r="Q737" i="3"/>
  <c r="P737" i="3"/>
  <c r="Q736" i="3"/>
  <c r="P736" i="3"/>
  <c r="Q735" i="3"/>
  <c r="P735" i="3"/>
  <c r="Q734" i="3"/>
  <c r="P734" i="3"/>
  <c r="Q733" i="3"/>
  <c r="P733" i="3"/>
  <c r="Q732" i="3"/>
  <c r="P732" i="3"/>
  <c r="Q731" i="3"/>
  <c r="P731" i="3"/>
  <c r="Q730" i="3"/>
  <c r="P730" i="3"/>
  <c r="Q729" i="3"/>
  <c r="P729" i="3"/>
  <c r="Q728" i="3"/>
  <c r="P728" i="3"/>
  <c r="Q727" i="3"/>
  <c r="P727" i="3"/>
  <c r="Q726" i="3"/>
  <c r="P726" i="3"/>
  <c r="Q725" i="3"/>
  <c r="P725" i="3"/>
  <c r="Q724" i="3"/>
  <c r="P724" i="3"/>
  <c r="Q723" i="3"/>
  <c r="P723" i="3"/>
  <c r="Q722" i="3"/>
  <c r="P722" i="3"/>
  <c r="Q721" i="3"/>
  <c r="P721" i="3"/>
  <c r="Q720" i="3"/>
  <c r="P720" i="3"/>
  <c r="Q719" i="3"/>
  <c r="P719" i="3"/>
  <c r="Q718" i="3"/>
  <c r="P718" i="3"/>
  <c r="Q717" i="3"/>
  <c r="P717" i="3"/>
  <c r="Q716" i="3"/>
  <c r="P716" i="3"/>
  <c r="Q715" i="3"/>
  <c r="P715" i="3"/>
  <c r="Q714" i="3"/>
  <c r="P714" i="3"/>
  <c r="Q713" i="3"/>
  <c r="P713" i="3"/>
  <c r="Q712" i="3"/>
  <c r="P712" i="3"/>
  <c r="Q711" i="3"/>
  <c r="P711" i="3"/>
  <c r="Q710" i="3"/>
  <c r="P710" i="3"/>
  <c r="Q709" i="3"/>
  <c r="P709" i="3"/>
  <c r="Q708" i="3"/>
  <c r="P708" i="3"/>
  <c r="Q707" i="3"/>
  <c r="P707" i="3"/>
  <c r="Q706" i="3"/>
  <c r="P706" i="3"/>
  <c r="Q705" i="3"/>
  <c r="P705" i="3"/>
  <c r="Q704" i="3"/>
  <c r="P704" i="3"/>
  <c r="Q703" i="3"/>
  <c r="P703" i="3"/>
  <c r="Q702" i="3"/>
  <c r="P702" i="3"/>
  <c r="Q701" i="3"/>
  <c r="P701" i="3"/>
  <c r="Q700" i="3"/>
  <c r="P700" i="3"/>
  <c r="Q699" i="3"/>
  <c r="P699" i="3"/>
  <c r="Q698" i="3"/>
  <c r="P698" i="3"/>
  <c r="Q697" i="3"/>
  <c r="P697" i="3"/>
  <c r="Q696" i="3"/>
  <c r="P696" i="3"/>
  <c r="Q695" i="3"/>
  <c r="P695" i="3"/>
  <c r="Q694" i="3"/>
  <c r="P694" i="3"/>
  <c r="Q693" i="3"/>
  <c r="P693" i="3"/>
  <c r="Q692" i="3"/>
  <c r="P692" i="3"/>
  <c r="Q691" i="3"/>
  <c r="P691" i="3"/>
  <c r="Q690" i="3"/>
  <c r="P690" i="3"/>
  <c r="Q689" i="3"/>
  <c r="P689" i="3"/>
  <c r="Q688" i="3"/>
  <c r="P688" i="3"/>
  <c r="Q687" i="3"/>
  <c r="P687" i="3"/>
  <c r="Q686" i="3"/>
  <c r="P686" i="3"/>
  <c r="Q685" i="3"/>
  <c r="P685" i="3"/>
  <c r="Q684" i="3"/>
  <c r="P684" i="3"/>
  <c r="Q683" i="3"/>
  <c r="P683" i="3"/>
  <c r="Q682" i="3"/>
  <c r="P682" i="3"/>
  <c r="Q681" i="3"/>
  <c r="P681" i="3"/>
  <c r="Q680" i="3"/>
  <c r="P680" i="3"/>
  <c r="Q679" i="3"/>
  <c r="P679" i="3"/>
  <c r="Q678" i="3"/>
  <c r="P678" i="3"/>
  <c r="Q677" i="3"/>
  <c r="P677" i="3"/>
  <c r="Q676" i="3"/>
  <c r="P676" i="3"/>
  <c r="Q675" i="3"/>
  <c r="P675" i="3"/>
  <c r="R674" i="3"/>
  <c r="Q674" i="3"/>
  <c r="P674" i="3"/>
  <c r="Q673" i="3"/>
  <c r="P673" i="3"/>
  <c r="Q672" i="3"/>
  <c r="P672" i="3"/>
  <c r="Q671" i="3"/>
  <c r="P671" i="3"/>
  <c r="Q670" i="3"/>
  <c r="P670" i="3"/>
  <c r="Q669" i="3"/>
  <c r="P669" i="3"/>
  <c r="Q668" i="3"/>
  <c r="P668" i="3"/>
  <c r="Q667" i="3"/>
  <c r="P667" i="3"/>
  <c r="S667" i="3" s="1"/>
  <c r="Q666" i="3"/>
  <c r="P666" i="3"/>
  <c r="Q665" i="3"/>
  <c r="P665" i="3"/>
  <c r="Q664" i="3"/>
  <c r="P664" i="3"/>
  <c r="Q663" i="3"/>
  <c r="P663" i="3"/>
  <c r="S663" i="3" s="1"/>
  <c r="Q662" i="3"/>
  <c r="P662" i="3"/>
  <c r="Q661" i="3"/>
  <c r="P661" i="3"/>
  <c r="Q660" i="3"/>
  <c r="P660" i="3"/>
  <c r="Q659" i="3"/>
  <c r="P659" i="3"/>
  <c r="S659" i="3" s="1"/>
  <c r="Q658" i="3"/>
  <c r="P658" i="3"/>
  <c r="Q657" i="3"/>
  <c r="P657" i="3"/>
  <c r="Q656" i="3"/>
  <c r="P656" i="3"/>
  <c r="Q655" i="3"/>
  <c r="P655" i="3"/>
  <c r="S655" i="3" s="1"/>
  <c r="Q654" i="3"/>
  <c r="P654" i="3"/>
  <c r="Q653" i="3"/>
  <c r="P653" i="3"/>
  <c r="Q652" i="3"/>
  <c r="P652" i="3"/>
  <c r="Q651" i="3"/>
  <c r="P651" i="3"/>
  <c r="S651" i="3" s="1"/>
  <c r="Q650" i="3"/>
  <c r="P650" i="3"/>
  <c r="Q649" i="3"/>
  <c r="P649" i="3"/>
  <c r="Q648" i="3"/>
  <c r="P648" i="3"/>
  <c r="Q647" i="3"/>
  <c r="P647" i="3"/>
  <c r="S647" i="3" s="1"/>
  <c r="Q646" i="3"/>
  <c r="P646" i="3"/>
  <c r="Q645" i="3"/>
  <c r="P645" i="3"/>
  <c r="Q644" i="3"/>
  <c r="P644" i="3"/>
  <c r="Q643" i="3"/>
  <c r="P643" i="3"/>
  <c r="S643" i="3" s="1"/>
  <c r="Q642" i="3"/>
  <c r="P642" i="3"/>
  <c r="Q641" i="3"/>
  <c r="P641" i="3"/>
  <c r="Q640" i="3"/>
  <c r="P640" i="3"/>
  <c r="Q639" i="3"/>
  <c r="P639" i="3"/>
  <c r="S639" i="3" s="1"/>
  <c r="Q638" i="3"/>
  <c r="P638" i="3"/>
  <c r="Q637" i="3"/>
  <c r="P637" i="3"/>
  <c r="Q636" i="3"/>
  <c r="P636" i="3"/>
  <c r="Q635" i="3"/>
  <c r="P635" i="3"/>
  <c r="S635" i="3" s="1"/>
  <c r="Q634" i="3"/>
  <c r="P634" i="3"/>
  <c r="Q633" i="3"/>
  <c r="P633" i="3"/>
  <c r="Q632" i="3"/>
  <c r="P632" i="3"/>
  <c r="Q631" i="3"/>
  <c r="P631" i="3"/>
  <c r="Q630" i="3"/>
  <c r="P630" i="3"/>
  <c r="Q629" i="3"/>
  <c r="P629" i="3"/>
  <c r="Q628" i="3"/>
  <c r="P628" i="3"/>
  <c r="Q627" i="3"/>
  <c r="P627" i="3"/>
  <c r="Q626" i="3"/>
  <c r="P626" i="3"/>
  <c r="Q625" i="3"/>
  <c r="P625" i="3"/>
  <c r="Q624" i="3"/>
  <c r="P624" i="3"/>
  <c r="Q623" i="3"/>
  <c r="P623" i="3"/>
  <c r="S623" i="3" s="1"/>
  <c r="Q622" i="3"/>
  <c r="P622" i="3"/>
  <c r="Q621" i="3"/>
  <c r="P621" i="3"/>
  <c r="Q620" i="3"/>
  <c r="P620" i="3"/>
  <c r="Q619" i="3"/>
  <c r="P619" i="3"/>
  <c r="S619" i="3" s="1"/>
  <c r="Q618" i="3"/>
  <c r="P618" i="3"/>
  <c r="Q617" i="3"/>
  <c r="P617" i="3"/>
  <c r="Q616" i="3"/>
  <c r="P616" i="3"/>
  <c r="Q615" i="3"/>
  <c r="P615" i="3"/>
  <c r="S615" i="3" s="1"/>
  <c r="Q614" i="3"/>
  <c r="P614" i="3"/>
  <c r="Q613" i="3"/>
  <c r="P613" i="3"/>
  <c r="Q612" i="3"/>
  <c r="P612" i="3"/>
  <c r="Q611" i="3"/>
  <c r="P611" i="3"/>
  <c r="S611" i="3" s="1"/>
  <c r="Q610" i="3"/>
  <c r="P610" i="3"/>
  <c r="Q609" i="3"/>
  <c r="P609" i="3"/>
  <c r="Q608" i="3"/>
  <c r="P608" i="3"/>
  <c r="Q607" i="3"/>
  <c r="P607" i="3"/>
  <c r="S607" i="3" s="1"/>
  <c r="Q606" i="3"/>
  <c r="P606" i="3"/>
  <c r="Q605" i="3"/>
  <c r="P605" i="3"/>
  <c r="Q604" i="3"/>
  <c r="P604" i="3"/>
  <c r="Q603" i="3"/>
  <c r="P603" i="3"/>
  <c r="S603" i="3" s="1"/>
  <c r="Q602" i="3"/>
  <c r="P602" i="3"/>
  <c r="Q601" i="3"/>
  <c r="P601" i="3"/>
  <c r="Q600" i="3"/>
  <c r="P600" i="3"/>
  <c r="Q599" i="3"/>
  <c r="P599" i="3"/>
  <c r="Q598" i="3"/>
  <c r="P598" i="3"/>
  <c r="Q597" i="3"/>
  <c r="P597" i="3"/>
  <c r="Q596" i="3"/>
  <c r="P596" i="3"/>
  <c r="Q595" i="3"/>
  <c r="P595" i="3"/>
  <c r="Q594" i="3"/>
  <c r="P594" i="3"/>
  <c r="Q593" i="3"/>
  <c r="P593" i="3"/>
  <c r="Q592" i="3"/>
  <c r="P592" i="3"/>
  <c r="Q591" i="3"/>
  <c r="P591" i="3"/>
  <c r="Q590" i="3"/>
  <c r="P590" i="3"/>
  <c r="Q589" i="3"/>
  <c r="P589" i="3"/>
  <c r="Q588" i="3"/>
  <c r="P588" i="3"/>
  <c r="Q587" i="3"/>
  <c r="P587" i="3"/>
  <c r="Q586" i="3"/>
  <c r="P586" i="3"/>
  <c r="Q585" i="3"/>
  <c r="P585" i="3"/>
  <c r="Q584" i="3"/>
  <c r="P584" i="3"/>
  <c r="Q583" i="3"/>
  <c r="P583" i="3"/>
  <c r="Q582" i="3"/>
  <c r="P582" i="3"/>
  <c r="Q581" i="3"/>
  <c r="P581" i="3"/>
  <c r="Q580" i="3"/>
  <c r="P580" i="3"/>
  <c r="Q579" i="3"/>
  <c r="P579" i="3"/>
  <c r="Q578" i="3"/>
  <c r="P578" i="3"/>
  <c r="Q577" i="3"/>
  <c r="P577" i="3"/>
  <c r="Q576" i="3"/>
  <c r="P576" i="3"/>
  <c r="Q575" i="3"/>
  <c r="P575" i="3"/>
  <c r="Q574" i="3"/>
  <c r="P574" i="3"/>
  <c r="Q573" i="3"/>
  <c r="P573" i="3"/>
  <c r="Q572" i="3"/>
  <c r="P572" i="3"/>
  <c r="Q571" i="3"/>
  <c r="P571" i="3"/>
  <c r="Q570" i="3"/>
  <c r="P570" i="3"/>
  <c r="Q569" i="3"/>
  <c r="P569" i="3"/>
  <c r="Q568" i="3"/>
  <c r="P568" i="3"/>
  <c r="Q567" i="3"/>
  <c r="P567" i="3"/>
  <c r="Q566" i="3"/>
  <c r="P566" i="3"/>
  <c r="Q565" i="3"/>
  <c r="P565" i="3"/>
  <c r="Q564" i="3"/>
  <c r="P564" i="3"/>
  <c r="Q563" i="3"/>
  <c r="P563" i="3"/>
  <c r="Q562" i="3"/>
  <c r="P562" i="3"/>
  <c r="R562" i="3" s="1"/>
  <c r="Q561" i="3"/>
  <c r="P561" i="3"/>
  <c r="Q560" i="3"/>
  <c r="P560" i="3"/>
  <c r="Q559" i="3"/>
  <c r="P559" i="3"/>
  <c r="Q558" i="3"/>
  <c r="P558" i="3"/>
  <c r="Q557" i="3"/>
  <c r="P557" i="3"/>
  <c r="Q556" i="3"/>
  <c r="P556" i="3"/>
  <c r="Q555" i="3"/>
  <c r="P555" i="3"/>
  <c r="Q554" i="3"/>
  <c r="P554" i="3"/>
  <c r="Q553" i="3"/>
  <c r="P553" i="3"/>
  <c r="Q552" i="3"/>
  <c r="P552" i="3"/>
  <c r="Q551" i="3"/>
  <c r="P551" i="3"/>
  <c r="Q550" i="3"/>
  <c r="P550" i="3"/>
  <c r="Q549" i="3"/>
  <c r="P549" i="3"/>
  <c r="Q548" i="3"/>
  <c r="P548" i="3"/>
  <c r="S548" i="3" s="1"/>
  <c r="Q547" i="3"/>
  <c r="P547" i="3"/>
  <c r="Q546" i="3"/>
  <c r="P546" i="3"/>
  <c r="Q545" i="3"/>
  <c r="P545" i="3"/>
  <c r="Q544" i="3"/>
  <c r="P544" i="3"/>
  <c r="S544" i="3" s="1"/>
  <c r="Q543" i="3"/>
  <c r="P543" i="3"/>
  <c r="Q542" i="3"/>
  <c r="P542" i="3"/>
  <c r="Q541" i="3"/>
  <c r="P541" i="3"/>
  <c r="Q540" i="3"/>
  <c r="P540" i="3"/>
  <c r="Q539" i="3"/>
  <c r="P539" i="3"/>
  <c r="Q538" i="3"/>
  <c r="P538" i="3"/>
  <c r="Q537" i="3"/>
  <c r="P537" i="3"/>
  <c r="Q536" i="3"/>
  <c r="P536" i="3"/>
  <c r="S536" i="3" s="1"/>
  <c r="Q535" i="3"/>
  <c r="P535" i="3"/>
  <c r="Q534" i="3"/>
  <c r="P534" i="3"/>
  <c r="Q533" i="3"/>
  <c r="P533" i="3"/>
  <c r="Q532" i="3"/>
  <c r="P532" i="3"/>
  <c r="S532" i="3" s="1"/>
  <c r="Q531" i="3"/>
  <c r="P531" i="3"/>
  <c r="Q530" i="3"/>
  <c r="P530" i="3"/>
  <c r="Q529" i="3"/>
  <c r="P529" i="3"/>
  <c r="Q528" i="3"/>
  <c r="P528" i="3"/>
  <c r="Q527" i="3"/>
  <c r="P527" i="3"/>
  <c r="Q526" i="3"/>
  <c r="P526" i="3"/>
  <c r="Q525" i="3"/>
  <c r="P525" i="3"/>
  <c r="Q524" i="3"/>
  <c r="P524" i="3"/>
  <c r="Q523" i="3"/>
  <c r="P523" i="3"/>
  <c r="Q522" i="3"/>
  <c r="P522" i="3"/>
  <c r="Q521" i="3"/>
  <c r="P521" i="3"/>
  <c r="Q520" i="3"/>
  <c r="P520" i="3"/>
  <c r="Q519" i="3"/>
  <c r="P519" i="3"/>
  <c r="Q518" i="3"/>
  <c r="P518" i="3"/>
  <c r="Q517" i="3"/>
  <c r="P517" i="3"/>
  <c r="Q516" i="3"/>
  <c r="P516" i="3"/>
  <c r="Q515" i="3"/>
  <c r="P515" i="3"/>
  <c r="Q514" i="3"/>
  <c r="P514" i="3"/>
  <c r="Q513" i="3"/>
  <c r="P513" i="3"/>
  <c r="Q512" i="3"/>
  <c r="P512" i="3"/>
  <c r="Q511" i="3"/>
  <c r="P511" i="3"/>
  <c r="Q510" i="3"/>
  <c r="P510" i="3"/>
  <c r="Q509" i="3"/>
  <c r="P509" i="3"/>
  <c r="Q508" i="3"/>
  <c r="P508" i="3"/>
  <c r="Q507" i="3"/>
  <c r="P507" i="3"/>
  <c r="Q506" i="3"/>
  <c r="P506" i="3"/>
  <c r="Q505" i="3"/>
  <c r="P505" i="3"/>
  <c r="Q504" i="3"/>
  <c r="P504" i="3"/>
  <c r="Q503" i="3"/>
  <c r="P503" i="3"/>
  <c r="Q502" i="3"/>
  <c r="P502" i="3"/>
  <c r="Q501" i="3"/>
  <c r="P501" i="3"/>
  <c r="Q500" i="3"/>
  <c r="P500" i="3"/>
  <c r="Q499" i="3"/>
  <c r="P499" i="3"/>
  <c r="Q498" i="3"/>
  <c r="P498" i="3"/>
  <c r="Q497" i="3"/>
  <c r="P497" i="3"/>
  <c r="Q496" i="3"/>
  <c r="P496" i="3"/>
  <c r="Q495" i="3"/>
  <c r="P495" i="3"/>
  <c r="Q494" i="3"/>
  <c r="P494" i="3"/>
  <c r="Q493" i="3"/>
  <c r="P493" i="3"/>
  <c r="Q492" i="3"/>
  <c r="P492" i="3"/>
  <c r="Q491" i="3"/>
  <c r="P491" i="3"/>
  <c r="Q490" i="3"/>
  <c r="P490" i="3"/>
  <c r="Q489" i="3"/>
  <c r="P489" i="3"/>
  <c r="Q488" i="3"/>
  <c r="P488" i="3"/>
  <c r="Q487" i="3"/>
  <c r="P487" i="3"/>
  <c r="Q486" i="3"/>
  <c r="P486" i="3"/>
  <c r="Q485" i="3"/>
  <c r="P485" i="3"/>
  <c r="Q484" i="3"/>
  <c r="P484" i="3"/>
  <c r="Q483" i="3"/>
  <c r="P483" i="3"/>
  <c r="Q482" i="3"/>
  <c r="P482" i="3"/>
  <c r="Q481" i="3"/>
  <c r="P481" i="3"/>
  <c r="Q480" i="3"/>
  <c r="P480" i="3"/>
  <c r="Q479" i="3"/>
  <c r="P479" i="3"/>
  <c r="Q478" i="3"/>
  <c r="P478" i="3"/>
  <c r="Q477" i="3"/>
  <c r="P477" i="3"/>
  <c r="Q476" i="3"/>
  <c r="P476" i="3"/>
  <c r="Q475" i="3"/>
  <c r="P475" i="3"/>
  <c r="Q474" i="3"/>
  <c r="P474" i="3"/>
  <c r="Q473" i="3"/>
  <c r="P473" i="3"/>
  <c r="Q472" i="3"/>
  <c r="P472" i="3"/>
  <c r="Q471" i="3"/>
  <c r="P471" i="3"/>
  <c r="Q470" i="3"/>
  <c r="P470" i="3"/>
  <c r="Q469" i="3"/>
  <c r="P469" i="3"/>
  <c r="Q468" i="3"/>
  <c r="P468" i="3"/>
  <c r="Q467" i="3"/>
  <c r="P467" i="3"/>
  <c r="Q466" i="3"/>
  <c r="P466" i="3"/>
  <c r="Q465" i="3"/>
  <c r="P465" i="3"/>
  <c r="Q464" i="3"/>
  <c r="P464" i="3"/>
  <c r="Q463" i="3"/>
  <c r="P463" i="3"/>
  <c r="Q462" i="3"/>
  <c r="P462" i="3"/>
  <c r="Q461" i="3"/>
  <c r="P461" i="3"/>
  <c r="Q460" i="3"/>
  <c r="P460" i="3"/>
  <c r="Q459" i="3"/>
  <c r="P459" i="3"/>
  <c r="Q458" i="3"/>
  <c r="P458" i="3"/>
  <c r="Q457" i="3"/>
  <c r="P457" i="3"/>
  <c r="Q456" i="3"/>
  <c r="P456" i="3"/>
  <c r="Q455" i="3"/>
  <c r="P455" i="3"/>
  <c r="Q454" i="3"/>
  <c r="P454" i="3"/>
  <c r="Q453" i="3"/>
  <c r="P453" i="3"/>
  <c r="Q452" i="3"/>
  <c r="P452" i="3"/>
  <c r="Q451" i="3"/>
  <c r="P451" i="3"/>
  <c r="Q450" i="3"/>
  <c r="P450" i="3"/>
  <c r="Q449" i="3"/>
  <c r="P449" i="3"/>
  <c r="Q448" i="3"/>
  <c r="P448" i="3"/>
  <c r="Q447" i="3"/>
  <c r="P447" i="3"/>
  <c r="Q446" i="3"/>
  <c r="P446" i="3"/>
  <c r="Q445" i="3"/>
  <c r="P445" i="3"/>
  <c r="Q444" i="3"/>
  <c r="P444" i="3"/>
  <c r="Q443" i="3"/>
  <c r="P443" i="3"/>
  <c r="Q442" i="3"/>
  <c r="P442" i="3"/>
  <c r="Q441" i="3"/>
  <c r="P441" i="3"/>
  <c r="Q440" i="3"/>
  <c r="P440" i="3"/>
  <c r="Q439" i="3"/>
  <c r="P439" i="3"/>
  <c r="Q438" i="3"/>
  <c r="P438" i="3"/>
  <c r="Q437" i="3"/>
  <c r="P437" i="3"/>
  <c r="Q436" i="3"/>
  <c r="P436" i="3"/>
  <c r="Q435" i="3"/>
  <c r="P435" i="3"/>
  <c r="Q434" i="3"/>
  <c r="P434" i="3"/>
  <c r="Q433" i="3"/>
  <c r="P433" i="3"/>
  <c r="Q432" i="3"/>
  <c r="P432" i="3"/>
  <c r="Q431" i="3"/>
  <c r="P431" i="3"/>
  <c r="Q430" i="3"/>
  <c r="P430" i="3"/>
  <c r="Q429" i="3"/>
  <c r="P429" i="3"/>
  <c r="Q428" i="3"/>
  <c r="P428" i="3"/>
  <c r="Q427" i="3"/>
  <c r="P427" i="3"/>
  <c r="Q426" i="3"/>
  <c r="P426" i="3"/>
  <c r="Q425" i="3"/>
  <c r="P425" i="3"/>
  <c r="Q424" i="3"/>
  <c r="P424" i="3"/>
  <c r="Q423" i="3"/>
  <c r="P423" i="3"/>
  <c r="Q422" i="3"/>
  <c r="P422" i="3"/>
  <c r="Q421" i="3"/>
  <c r="P421" i="3"/>
  <c r="Q420" i="3"/>
  <c r="P420" i="3"/>
  <c r="Q419" i="3"/>
  <c r="P419" i="3"/>
  <c r="Q418" i="3"/>
  <c r="P418" i="3"/>
  <c r="Q417" i="3"/>
  <c r="P417" i="3"/>
  <c r="Q416" i="3"/>
  <c r="P416" i="3"/>
  <c r="Q415" i="3"/>
  <c r="P415" i="3"/>
  <c r="Q414" i="3"/>
  <c r="P414" i="3"/>
  <c r="Q413" i="3"/>
  <c r="P413" i="3"/>
  <c r="Q412" i="3"/>
  <c r="P412" i="3"/>
  <c r="Q411" i="3"/>
  <c r="P411" i="3"/>
  <c r="Q410" i="3"/>
  <c r="P410" i="3"/>
  <c r="Q409" i="3"/>
  <c r="P409" i="3"/>
  <c r="Q408" i="3"/>
  <c r="P408" i="3"/>
  <c r="Q407" i="3"/>
  <c r="P407" i="3"/>
  <c r="Q406" i="3"/>
  <c r="P406" i="3"/>
  <c r="Q405" i="3"/>
  <c r="P405" i="3"/>
  <c r="Q404" i="3"/>
  <c r="P404" i="3"/>
  <c r="Q403" i="3"/>
  <c r="P403" i="3"/>
  <c r="Q402" i="3"/>
  <c r="P402" i="3"/>
  <c r="Q401" i="3"/>
  <c r="P401" i="3"/>
  <c r="Q400" i="3"/>
  <c r="P400" i="3"/>
  <c r="Q399" i="3"/>
  <c r="P399" i="3"/>
  <c r="Q398" i="3"/>
  <c r="P398" i="3"/>
  <c r="Q397" i="3"/>
  <c r="P397" i="3"/>
  <c r="Q396" i="3"/>
  <c r="P396" i="3"/>
  <c r="Q395" i="3"/>
  <c r="P395" i="3"/>
  <c r="Q394" i="3"/>
  <c r="P394" i="3"/>
  <c r="Q393" i="3"/>
  <c r="P393" i="3"/>
  <c r="Q392" i="3"/>
  <c r="P392" i="3"/>
  <c r="Q391" i="3"/>
  <c r="P391" i="3"/>
  <c r="Q390" i="3"/>
  <c r="P390" i="3"/>
  <c r="Q389" i="3"/>
  <c r="P389" i="3"/>
  <c r="S389" i="3" s="1"/>
  <c r="Q388" i="3"/>
  <c r="P388" i="3"/>
  <c r="Q387" i="3"/>
  <c r="P387" i="3"/>
  <c r="Q386" i="3"/>
  <c r="P386" i="3"/>
  <c r="Q385" i="3"/>
  <c r="P385" i="3"/>
  <c r="Q384" i="3"/>
  <c r="P384" i="3"/>
  <c r="Q383" i="3"/>
  <c r="P383" i="3"/>
  <c r="Q382" i="3"/>
  <c r="P382" i="3"/>
  <c r="Q381" i="3"/>
  <c r="P381" i="3"/>
  <c r="Q380" i="3"/>
  <c r="P380" i="3"/>
  <c r="Q379" i="3"/>
  <c r="P379" i="3"/>
  <c r="Q378" i="3"/>
  <c r="P378" i="3"/>
  <c r="Q377" i="3"/>
  <c r="P377" i="3"/>
  <c r="Q376" i="3"/>
  <c r="P376" i="3"/>
  <c r="Q375" i="3"/>
  <c r="P375" i="3"/>
  <c r="Q374" i="3"/>
  <c r="P374" i="3"/>
  <c r="Q373" i="3"/>
  <c r="P373" i="3"/>
  <c r="Q372" i="3"/>
  <c r="P372" i="3"/>
  <c r="Q371" i="3"/>
  <c r="P371" i="3"/>
  <c r="Q370" i="3"/>
  <c r="P370" i="3"/>
  <c r="Q369" i="3"/>
  <c r="P369" i="3"/>
  <c r="Q368" i="3"/>
  <c r="P368" i="3"/>
  <c r="Q367" i="3"/>
  <c r="P367" i="3"/>
  <c r="Q366" i="3"/>
  <c r="P366" i="3"/>
  <c r="Q365" i="3"/>
  <c r="P365" i="3"/>
  <c r="Q364" i="3"/>
  <c r="P364" i="3"/>
  <c r="Q363" i="3"/>
  <c r="P363" i="3"/>
  <c r="Q362" i="3"/>
  <c r="P362" i="3"/>
  <c r="Q361" i="3"/>
  <c r="P361" i="3"/>
  <c r="Q360" i="3"/>
  <c r="P360" i="3"/>
  <c r="Q359" i="3"/>
  <c r="P359" i="3"/>
  <c r="Q358" i="3"/>
  <c r="P358" i="3"/>
  <c r="Q357" i="3"/>
  <c r="P357" i="3"/>
  <c r="Q356" i="3"/>
  <c r="P356" i="3"/>
  <c r="Q355" i="3"/>
  <c r="P355" i="3"/>
  <c r="Q354" i="3"/>
  <c r="P354" i="3"/>
  <c r="Q353" i="3"/>
  <c r="P353" i="3"/>
  <c r="Q352" i="3"/>
  <c r="P352" i="3"/>
  <c r="Q351" i="3"/>
  <c r="P351" i="3"/>
  <c r="Q350" i="3"/>
  <c r="P350" i="3"/>
  <c r="Q349" i="3"/>
  <c r="P349" i="3"/>
  <c r="Q348" i="3"/>
  <c r="P348" i="3"/>
  <c r="Q347" i="3"/>
  <c r="P347" i="3"/>
  <c r="Q346" i="3"/>
  <c r="P346" i="3"/>
  <c r="Q345" i="3"/>
  <c r="P345" i="3"/>
  <c r="Q344" i="3"/>
  <c r="P344" i="3"/>
  <c r="Q343" i="3"/>
  <c r="P343" i="3"/>
  <c r="Q342" i="3"/>
  <c r="P342" i="3"/>
  <c r="Q341" i="3"/>
  <c r="P341" i="3"/>
  <c r="Q340" i="3"/>
  <c r="P340" i="3"/>
  <c r="Q339" i="3"/>
  <c r="P339" i="3"/>
  <c r="Q338" i="3"/>
  <c r="P338" i="3"/>
  <c r="Q337" i="3"/>
  <c r="P337" i="3"/>
  <c r="Q336" i="3"/>
  <c r="P336" i="3"/>
  <c r="Q335" i="3"/>
  <c r="P335" i="3"/>
  <c r="Q334" i="3"/>
  <c r="P334" i="3"/>
  <c r="Q333" i="3"/>
  <c r="P333" i="3"/>
  <c r="Q332" i="3"/>
  <c r="P332" i="3"/>
  <c r="Q331" i="3"/>
  <c r="P331" i="3"/>
  <c r="Q330" i="3"/>
  <c r="P330" i="3"/>
  <c r="Q329" i="3"/>
  <c r="P329" i="3"/>
  <c r="Q328" i="3"/>
  <c r="P328" i="3"/>
  <c r="Q327" i="3"/>
  <c r="P327" i="3"/>
  <c r="Q326" i="3"/>
  <c r="P326" i="3"/>
  <c r="Q325" i="3"/>
  <c r="P325" i="3"/>
  <c r="Q324" i="3"/>
  <c r="P324" i="3"/>
  <c r="Q323" i="3"/>
  <c r="P323" i="3"/>
  <c r="Q322" i="3"/>
  <c r="P322" i="3"/>
  <c r="Q321" i="3"/>
  <c r="P321" i="3"/>
  <c r="Q320" i="3"/>
  <c r="P320" i="3"/>
  <c r="Q319" i="3"/>
  <c r="P319" i="3"/>
  <c r="Q318" i="3"/>
  <c r="P318" i="3"/>
  <c r="Q317" i="3"/>
  <c r="P317" i="3"/>
  <c r="Q316" i="3"/>
  <c r="P316" i="3"/>
  <c r="Q315" i="3"/>
  <c r="P315" i="3"/>
  <c r="Q314" i="3"/>
  <c r="P314" i="3"/>
  <c r="Q313" i="3"/>
  <c r="P313" i="3"/>
  <c r="Q312" i="3"/>
  <c r="P312" i="3"/>
  <c r="Q311" i="3"/>
  <c r="P311" i="3"/>
  <c r="Q310" i="3"/>
  <c r="P310" i="3"/>
  <c r="Q309" i="3"/>
  <c r="P309" i="3"/>
  <c r="Q308" i="3"/>
  <c r="P308" i="3"/>
  <c r="Q307" i="3"/>
  <c r="P307" i="3"/>
  <c r="Q306" i="3"/>
  <c r="P306" i="3"/>
  <c r="Q305" i="3"/>
  <c r="P305" i="3"/>
  <c r="Q304" i="3"/>
  <c r="P304" i="3"/>
  <c r="Q303" i="3"/>
  <c r="P303" i="3"/>
  <c r="Q302" i="3"/>
  <c r="P302" i="3"/>
  <c r="Q301" i="3"/>
  <c r="P301" i="3"/>
  <c r="Q300" i="3"/>
  <c r="P300" i="3"/>
  <c r="Q299" i="3"/>
  <c r="P299" i="3"/>
  <c r="Q298" i="3"/>
  <c r="P298" i="3"/>
  <c r="Q297" i="3"/>
  <c r="P297" i="3"/>
  <c r="Q296" i="3"/>
  <c r="P296" i="3"/>
  <c r="Q295" i="3"/>
  <c r="P295" i="3"/>
  <c r="Q294" i="3"/>
  <c r="P294" i="3"/>
  <c r="Q293" i="3"/>
  <c r="P293" i="3"/>
  <c r="Q292" i="3"/>
  <c r="P292" i="3"/>
  <c r="Q291" i="3"/>
  <c r="P291" i="3"/>
  <c r="Q290" i="3"/>
  <c r="P290" i="3"/>
  <c r="Q289" i="3"/>
  <c r="P289" i="3"/>
  <c r="Q288" i="3"/>
  <c r="P288" i="3"/>
  <c r="Q287" i="3"/>
  <c r="P287" i="3"/>
  <c r="Q286" i="3"/>
  <c r="P286" i="3"/>
  <c r="Q285" i="3"/>
  <c r="P285" i="3"/>
  <c r="Q284" i="3"/>
  <c r="P284" i="3"/>
  <c r="Q283" i="3"/>
  <c r="P283" i="3"/>
  <c r="Q282" i="3"/>
  <c r="P282" i="3"/>
  <c r="Q281" i="3"/>
  <c r="P281" i="3"/>
  <c r="Q280" i="3"/>
  <c r="P280" i="3"/>
  <c r="R280" i="3" s="1"/>
  <c r="Q279" i="3"/>
  <c r="P279" i="3"/>
  <c r="Q278" i="3"/>
  <c r="P278" i="3"/>
  <c r="S278" i="3" s="1"/>
  <c r="Q277" i="3"/>
  <c r="P277" i="3"/>
  <c r="Q276" i="3"/>
  <c r="P276" i="3"/>
  <c r="Q275" i="3"/>
  <c r="P275" i="3"/>
  <c r="Q274" i="3"/>
  <c r="P274" i="3"/>
  <c r="Q273" i="3"/>
  <c r="P273" i="3"/>
  <c r="Q272" i="3"/>
  <c r="P272" i="3"/>
  <c r="Q271" i="3"/>
  <c r="P271" i="3"/>
  <c r="Q270" i="3"/>
  <c r="P270" i="3"/>
  <c r="Q269" i="3"/>
  <c r="P269" i="3"/>
  <c r="Q268" i="3"/>
  <c r="P268" i="3"/>
  <c r="Q267" i="3"/>
  <c r="P267" i="3"/>
  <c r="Q266" i="3"/>
  <c r="P266" i="3"/>
  <c r="Q265" i="3"/>
  <c r="P265" i="3"/>
  <c r="Q264" i="3"/>
  <c r="P264" i="3"/>
  <c r="Q263" i="3"/>
  <c r="P263" i="3"/>
  <c r="Q262" i="3"/>
  <c r="P262" i="3"/>
  <c r="Q261" i="3"/>
  <c r="P261" i="3"/>
  <c r="Q260" i="3"/>
  <c r="P260" i="3"/>
  <c r="Q259" i="3"/>
  <c r="P259" i="3"/>
  <c r="Q258" i="3"/>
  <c r="P258" i="3"/>
  <c r="Q257" i="3"/>
  <c r="P257" i="3"/>
  <c r="Q256" i="3"/>
  <c r="P256" i="3"/>
  <c r="Q255" i="3"/>
  <c r="P255" i="3"/>
  <c r="Q254" i="3"/>
  <c r="P254" i="3"/>
  <c r="Q253" i="3"/>
  <c r="P253" i="3"/>
  <c r="Q252" i="3"/>
  <c r="P252" i="3"/>
  <c r="Q251" i="3"/>
  <c r="P251" i="3"/>
  <c r="Q250" i="3"/>
  <c r="P250" i="3"/>
  <c r="S250" i="3" s="1"/>
  <c r="Q249" i="3"/>
  <c r="P249" i="3"/>
  <c r="Q248" i="3"/>
  <c r="P248" i="3"/>
  <c r="Q247" i="3"/>
  <c r="P247" i="3"/>
  <c r="Q246" i="3"/>
  <c r="P246" i="3"/>
  <c r="Q245" i="3"/>
  <c r="P245" i="3"/>
  <c r="Q244" i="3"/>
  <c r="P244" i="3"/>
  <c r="Q243" i="3"/>
  <c r="P243" i="3"/>
  <c r="Q242" i="3"/>
  <c r="P242" i="3"/>
  <c r="Q241" i="3"/>
  <c r="P241" i="3"/>
  <c r="Q240" i="3"/>
  <c r="P240" i="3"/>
  <c r="Q239" i="3"/>
  <c r="P239" i="3"/>
  <c r="Q238" i="3"/>
  <c r="P238" i="3"/>
  <c r="Q237" i="3"/>
  <c r="P237" i="3"/>
  <c r="Q236" i="3"/>
  <c r="P236" i="3"/>
  <c r="Q235" i="3"/>
  <c r="P235" i="3"/>
  <c r="Q234" i="3"/>
  <c r="P234" i="3"/>
  <c r="Q233" i="3"/>
  <c r="P233" i="3"/>
  <c r="Q232" i="3"/>
  <c r="P232" i="3"/>
  <c r="Q231" i="3"/>
  <c r="P231" i="3"/>
  <c r="Q230" i="3"/>
  <c r="P230" i="3"/>
  <c r="Q229" i="3"/>
  <c r="P229" i="3"/>
  <c r="Q228" i="3"/>
  <c r="P228" i="3"/>
  <c r="Q227" i="3"/>
  <c r="P227" i="3"/>
  <c r="Q226" i="3"/>
  <c r="P226" i="3"/>
  <c r="Q225" i="3"/>
  <c r="P225" i="3"/>
  <c r="Q224" i="3"/>
  <c r="P224" i="3"/>
  <c r="Q223" i="3"/>
  <c r="P223" i="3"/>
  <c r="Q222" i="3"/>
  <c r="P222" i="3"/>
  <c r="Q221" i="3"/>
  <c r="P221" i="3"/>
  <c r="Q220" i="3"/>
  <c r="P220" i="3"/>
  <c r="Q219" i="3"/>
  <c r="P219" i="3"/>
  <c r="Q218" i="3"/>
  <c r="P218" i="3"/>
  <c r="Q217" i="3"/>
  <c r="P217" i="3"/>
  <c r="Q216" i="3"/>
  <c r="P216" i="3"/>
  <c r="Q215" i="3"/>
  <c r="P215" i="3"/>
  <c r="S215" i="3" s="1"/>
  <c r="Q214" i="3"/>
  <c r="P214" i="3"/>
  <c r="Q213" i="3"/>
  <c r="P213" i="3"/>
  <c r="Q212" i="3"/>
  <c r="P212" i="3"/>
  <c r="Q211" i="3"/>
  <c r="P211" i="3"/>
  <c r="Q210" i="3"/>
  <c r="P210" i="3"/>
  <c r="Q209" i="3"/>
  <c r="P209" i="3"/>
  <c r="Q208" i="3"/>
  <c r="P208" i="3"/>
  <c r="Q207" i="3"/>
  <c r="P207" i="3"/>
  <c r="Q206" i="3"/>
  <c r="P206" i="3"/>
  <c r="Q205" i="3"/>
  <c r="P205" i="3"/>
  <c r="Q204" i="3"/>
  <c r="P204" i="3"/>
  <c r="Q203" i="3"/>
  <c r="P203" i="3"/>
  <c r="Q202" i="3"/>
  <c r="P202" i="3"/>
  <c r="Q201" i="3"/>
  <c r="P201" i="3"/>
  <c r="Q200" i="3"/>
  <c r="P200" i="3"/>
  <c r="S200" i="3" s="1"/>
  <c r="Q199" i="3"/>
  <c r="P199" i="3"/>
  <c r="Q198" i="3"/>
  <c r="P198" i="3"/>
  <c r="Q197" i="3"/>
  <c r="P197" i="3"/>
  <c r="Q196" i="3"/>
  <c r="P196" i="3"/>
  <c r="S196" i="3" s="1"/>
  <c r="Q195" i="3"/>
  <c r="P195" i="3"/>
  <c r="Q194" i="3"/>
  <c r="P194" i="3"/>
  <c r="Q193" i="3"/>
  <c r="P193" i="3"/>
  <c r="Q192" i="3"/>
  <c r="P192" i="3"/>
  <c r="Q191" i="3"/>
  <c r="P191" i="3"/>
  <c r="Q190" i="3"/>
  <c r="P190" i="3"/>
  <c r="Q189" i="3"/>
  <c r="P189" i="3"/>
  <c r="Q188" i="3"/>
  <c r="P188" i="3"/>
  <c r="S188" i="3" s="1"/>
  <c r="Q187" i="3"/>
  <c r="P187" i="3"/>
  <c r="Q186" i="3"/>
  <c r="P186" i="3"/>
  <c r="Q185" i="3"/>
  <c r="P185" i="3"/>
  <c r="Q184" i="3"/>
  <c r="P184" i="3"/>
  <c r="Q183" i="3"/>
  <c r="P183" i="3"/>
  <c r="Q182" i="3"/>
  <c r="P182" i="3"/>
  <c r="Q181" i="3"/>
  <c r="P181" i="3"/>
  <c r="R180" i="3"/>
  <c r="Q180" i="3"/>
  <c r="P180" i="3"/>
  <c r="Q179" i="3"/>
  <c r="P179" i="3"/>
  <c r="Q178" i="3"/>
  <c r="P178" i="3"/>
  <c r="Q177" i="3"/>
  <c r="P177" i="3"/>
  <c r="S177" i="3" s="1"/>
  <c r="Q176" i="3"/>
  <c r="P176" i="3"/>
  <c r="Q175" i="3"/>
  <c r="P175" i="3"/>
  <c r="Q174" i="3"/>
  <c r="P174" i="3"/>
  <c r="Q173" i="3"/>
  <c r="P173" i="3"/>
  <c r="S173" i="3" s="1"/>
  <c r="Q172" i="3"/>
  <c r="P172" i="3"/>
  <c r="Q171" i="3"/>
  <c r="P171" i="3"/>
  <c r="Q170" i="3"/>
  <c r="P170" i="3"/>
  <c r="Q169" i="3"/>
  <c r="P169" i="3"/>
  <c r="Q168" i="3"/>
  <c r="P168" i="3"/>
  <c r="Q167" i="3"/>
  <c r="P167" i="3"/>
  <c r="Q166" i="3"/>
  <c r="P166" i="3"/>
  <c r="Q165" i="3"/>
  <c r="P165" i="3"/>
  <c r="Q164" i="3"/>
  <c r="P164" i="3"/>
  <c r="Q163" i="3"/>
  <c r="P163" i="3"/>
  <c r="Q162" i="3"/>
  <c r="P162" i="3"/>
  <c r="Q161" i="3"/>
  <c r="P161" i="3"/>
  <c r="Q160" i="3"/>
  <c r="P160" i="3"/>
  <c r="R160" i="3" s="1"/>
  <c r="Q159" i="3"/>
  <c r="P159" i="3"/>
  <c r="Q158" i="3"/>
  <c r="P158" i="3"/>
  <c r="S158" i="3" s="1"/>
  <c r="Q157" i="3"/>
  <c r="P157" i="3"/>
  <c r="Q156" i="3"/>
  <c r="P156" i="3"/>
  <c r="Q155" i="3"/>
  <c r="P155" i="3"/>
  <c r="Q154" i="3"/>
  <c r="P154" i="3"/>
  <c r="S154" i="3" s="1"/>
  <c r="Q153" i="3"/>
  <c r="P153" i="3"/>
  <c r="Q152" i="3"/>
  <c r="P152" i="3"/>
  <c r="Q151" i="3"/>
  <c r="P151" i="3"/>
  <c r="Q150" i="3"/>
  <c r="P150" i="3"/>
  <c r="Q149" i="3"/>
  <c r="P149" i="3"/>
  <c r="Q148" i="3"/>
  <c r="P148" i="3"/>
  <c r="Q147" i="3"/>
  <c r="P147" i="3"/>
  <c r="Q146" i="3"/>
  <c r="P146" i="3"/>
  <c r="Q145" i="3"/>
  <c r="P145" i="3"/>
  <c r="Q144" i="3"/>
  <c r="P144" i="3"/>
  <c r="Q143" i="3"/>
  <c r="P143" i="3"/>
  <c r="S143" i="3" s="1"/>
  <c r="Q142" i="3"/>
  <c r="P142" i="3"/>
  <c r="Q141" i="3"/>
  <c r="P141" i="3"/>
  <c r="Q140" i="3"/>
  <c r="P140" i="3"/>
  <c r="Q139" i="3"/>
  <c r="P139" i="3"/>
  <c r="S139" i="3" s="1"/>
  <c r="Q138" i="3"/>
  <c r="P138" i="3"/>
  <c r="Q137" i="3"/>
  <c r="P137" i="3"/>
  <c r="Q136" i="3"/>
  <c r="P136" i="3"/>
  <c r="Q135" i="3"/>
  <c r="P135" i="3"/>
  <c r="Q134" i="3"/>
  <c r="P134" i="3"/>
  <c r="Q133" i="3"/>
  <c r="P133" i="3"/>
  <c r="Q132" i="3"/>
  <c r="P132" i="3"/>
  <c r="Q131" i="3"/>
  <c r="P131" i="3"/>
  <c r="Q130" i="3"/>
  <c r="P130" i="3"/>
  <c r="Q129" i="3"/>
  <c r="P129" i="3"/>
  <c r="Q128" i="3"/>
  <c r="P128" i="3"/>
  <c r="Q127" i="3"/>
  <c r="P127" i="3"/>
  <c r="Q126" i="3"/>
  <c r="P126" i="3"/>
  <c r="Q125" i="3"/>
  <c r="P125" i="3"/>
  <c r="Q124" i="3"/>
  <c r="P124" i="3"/>
  <c r="S124" i="3" s="1"/>
  <c r="Q123" i="3"/>
  <c r="P123" i="3"/>
  <c r="Q122" i="3"/>
  <c r="P122" i="3"/>
  <c r="Q121" i="3"/>
  <c r="P121" i="3"/>
  <c r="Q120" i="3"/>
  <c r="P120" i="3"/>
  <c r="Q119" i="3"/>
  <c r="P119" i="3"/>
  <c r="Q118" i="3"/>
  <c r="P118" i="3"/>
  <c r="Q117" i="3"/>
  <c r="P117" i="3"/>
  <c r="Q116" i="3"/>
  <c r="P116" i="3"/>
  <c r="Q115" i="3"/>
  <c r="P115" i="3"/>
  <c r="Q114" i="3"/>
  <c r="P114" i="3"/>
  <c r="Q113" i="3"/>
  <c r="P113" i="3"/>
  <c r="Q112" i="3"/>
  <c r="P112" i="3"/>
  <c r="Q111" i="3"/>
  <c r="P111" i="3"/>
  <c r="Q110" i="3"/>
  <c r="P110" i="3"/>
  <c r="Q109" i="3"/>
  <c r="P109" i="3"/>
  <c r="Q108" i="3"/>
  <c r="P108" i="3"/>
  <c r="Q107" i="3"/>
  <c r="P107" i="3"/>
  <c r="Q106" i="3"/>
  <c r="P106" i="3"/>
  <c r="Q105" i="3"/>
  <c r="P105" i="3"/>
  <c r="S105" i="3" s="1"/>
  <c r="Q104" i="3"/>
  <c r="P104" i="3"/>
  <c r="Q103" i="3"/>
  <c r="P103" i="3"/>
  <c r="Q102" i="3"/>
  <c r="P102" i="3"/>
  <c r="Q101" i="3"/>
  <c r="P101" i="3"/>
  <c r="S101" i="3" s="1"/>
  <c r="Q100" i="3"/>
  <c r="P100" i="3"/>
  <c r="Q99" i="3"/>
  <c r="P99" i="3"/>
  <c r="Q98" i="3"/>
  <c r="P98" i="3"/>
  <c r="Q97" i="3"/>
  <c r="P97" i="3"/>
  <c r="Q96" i="3"/>
  <c r="P96" i="3"/>
  <c r="Q95" i="3"/>
  <c r="P95" i="3"/>
  <c r="Q94" i="3"/>
  <c r="P94" i="3"/>
  <c r="Q93" i="3"/>
  <c r="P93" i="3"/>
  <c r="Q92" i="3"/>
  <c r="P92" i="3"/>
  <c r="Q91" i="3"/>
  <c r="P91" i="3"/>
  <c r="Q90" i="3"/>
  <c r="P90" i="3"/>
  <c r="R89" i="3"/>
  <c r="Q89" i="3"/>
  <c r="P89" i="3"/>
  <c r="Q88" i="3"/>
  <c r="P88" i="3"/>
  <c r="Q87" i="3"/>
  <c r="P87" i="3"/>
  <c r="Q86" i="3"/>
  <c r="P86" i="3"/>
  <c r="S86" i="3" s="1"/>
  <c r="Q85" i="3"/>
  <c r="P85" i="3"/>
  <c r="Q84" i="3"/>
  <c r="P84" i="3"/>
  <c r="Q83" i="3"/>
  <c r="P83" i="3"/>
  <c r="Q82" i="3"/>
  <c r="P82" i="3"/>
  <c r="S82" i="3" s="1"/>
  <c r="Q81" i="3"/>
  <c r="P81" i="3"/>
  <c r="Q80" i="3"/>
  <c r="P80" i="3"/>
  <c r="Q79" i="3"/>
  <c r="P79" i="3"/>
  <c r="Q78" i="3"/>
  <c r="P78" i="3"/>
  <c r="S78" i="3" s="1"/>
  <c r="Q77" i="3"/>
  <c r="P77" i="3"/>
  <c r="Q76" i="3"/>
  <c r="P76" i="3"/>
  <c r="Q75" i="3"/>
  <c r="P75" i="3"/>
  <c r="Q74" i="3"/>
  <c r="P74" i="3"/>
  <c r="S74" i="3" s="1"/>
  <c r="Q73" i="3"/>
  <c r="P73" i="3"/>
  <c r="Q72" i="3"/>
  <c r="P72" i="3"/>
  <c r="Q71" i="3"/>
  <c r="P71" i="3"/>
  <c r="Q70" i="3"/>
  <c r="P70" i="3"/>
  <c r="Q69" i="3"/>
  <c r="P69" i="3"/>
  <c r="Q68" i="3"/>
  <c r="P68" i="3"/>
  <c r="Q67" i="3"/>
  <c r="P67" i="3"/>
  <c r="S67" i="3" s="1"/>
  <c r="Q66" i="3"/>
  <c r="P66" i="3"/>
  <c r="Q65" i="3"/>
  <c r="P65" i="3"/>
  <c r="Q64" i="3"/>
  <c r="P64" i="3"/>
  <c r="Q63" i="3"/>
  <c r="P63" i="3"/>
  <c r="S63" i="3" s="1"/>
  <c r="Q62" i="3"/>
  <c r="P62" i="3"/>
  <c r="Q61" i="3"/>
  <c r="P61" i="3"/>
  <c r="Q60" i="3"/>
  <c r="P60" i="3"/>
  <c r="Q59" i="3"/>
  <c r="P59" i="3"/>
  <c r="Q58" i="3"/>
  <c r="P58" i="3"/>
  <c r="Q57" i="3"/>
  <c r="P57" i="3"/>
  <c r="Q56" i="3"/>
  <c r="P56" i="3"/>
  <c r="Q55" i="3"/>
  <c r="P55" i="3"/>
  <c r="Q54" i="3"/>
  <c r="P54" i="3"/>
  <c r="Q53" i="3"/>
  <c r="P53" i="3"/>
  <c r="Q52" i="3"/>
  <c r="P52" i="3"/>
  <c r="S52" i="3" s="1"/>
  <c r="Q51" i="3"/>
  <c r="P51" i="3"/>
  <c r="Q50" i="3"/>
  <c r="P50" i="3"/>
  <c r="Q49" i="3"/>
  <c r="P49" i="3"/>
  <c r="Q48" i="3"/>
  <c r="P48" i="3"/>
  <c r="Q47" i="3"/>
  <c r="P47" i="3"/>
  <c r="Q46" i="3"/>
  <c r="P46" i="3"/>
  <c r="Q45" i="3"/>
  <c r="P45" i="3"/>
  <c r="Q44" i="3"/>
  <c r="P44" i="3"/>
  <c r="Q43" i="3"/>
  <c r="P43" i="3"/>
  <c r="Q42" i="3"/>
  <c r="P42" i="3"/>
  <c r="Q41" i="3"/>
  <c r="P41" i="3"/>
  <c r="Q40" i="3"/>
  <c r="P40" i="3"/>
  <c r="Q39" i="3"/>
  <c r="P39" i="3"/>
  <c r="Q38" i="3"/>
  <c r="P38" i="3"/>
  <c r="Q37" i="3"/>
  <c r="P37" i="3"/>
  <c r="Q36" i="3"/>
  <c r="P36" i="3"/>
  <c r="Q35" i="3"/>
  <c r="P35" i="3"/>
  <c r="Q34" i="3"/>
  <c r="P34" i="3"/>
  <c r="Q33" i="3"/>
  <c r="P33" i="3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R24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Q6" i="3"/>
  <c r="P6" i="3"/>
  <c r="Q5" i="3"/>
  <c r="P5" i="3"/>
  <c r="Q4" i="3"/>
  <c r="P4" i="3"/>
  <c r="Q3" i="3"/>
  <c r="P3" i="3"/>
  <c r="Q2" i="3"/>
  <c r="P2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R759" i="3" s="1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R748" i="3" s="1"/>
  <c r="I747" i="3"/>
  <c r="H747" i="3"/>
  <c r="I746" i="3"/>
  <c r="H746" i="3"/>
  <c r="I745" i="3"/>
  <c r="H745" i="3"/>
  <c r="R745" i="3" s="1"/>
  <c r="I744" i="3"/>
  <c r="H744" i="3"/>
  <c r="I743" i="3"/>
  <c r="H743" i="3"/>
  <c r="R743" i="3" s="1"/>
  <c r="I742" i="3"/>
  <c r="H742" i="3"/>
  <c r="I741" i="3"/>
  <c r="H741" i="3"/>
  <c r="R741" i="3" s="1"/>
  <c r="I740" i="3"/>
  <c r="H740" i="3"/>
  <c r="I739" i="3"/>
  <c r="H739" i="3"/>
  <c r="I738" i="3"/>
  <c r="H738" i="3"/>
  <c r="R738" i="3" s="1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R727" i="3" s="1"/>
  <c r="I726" i="3"/>
  <c r="H726" i="3"/>
  <c r="I725" i="3"/>
  <c r="H725" i="3"/>
  <c r="R725" i="3" s="1"/>
  <c r="I724" i="3"/>
  <c r="H724" i="3"/>
  <c r="I723" i="3"/>
  <c r="H723" i="3"/>
  <c r="I722" i="3"/>
  <c r="H722" i="3"/>
  <c r="I721" i="3"/>
  <c r="H721" i="3"/>
  <c r="R721" i="3" s="1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R713" i="3" s="1"/>
  <c r="I712" i="3"/>
  <c r="H712" i="3"/>
  <c r="I711" i="3"/>
  <c r="H711" i="3"/>
  <c r="R711" i="3" s="1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R704" i="3" s="1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R695" i="3" s="1"/>
  <c r="I694" i="3"/>
  <c r="H694" i="3"/>
  <c r="I693" i="3"/>
  <c r="H693" i="3"/>
  <c r="R693" i="3" s="1"/>
  <c r="I692" i="3"/>
  <c r="H692" i="3"/>
  <c r="I691" i="3"/>
  <c r="H691" i="3"/>
  <c r="I690" i="3"/>
  <c r="H690" i="3"/>
  <c r="R690" i="3" s="1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R681" i="3" s="1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R673" i="3" s="1"/>
  <c r="I672" i="3"/>
  <c r="H672" i="3"/>
  <c r="I671" i="3"/>
  <c r="H671" i="3"/>
  <c r="I670" i="3"/>
  <c r="H670" i="3"/>
  <c r="I669" i="3"/>
  <c r="H669" i="3"/>
  <c r="I668" i="3"/>
  <c r="H668" i="3"/>
  <c r="R668" i="3" s="1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R658" i="3" s="1"/>
  <c r="I657" i="3"/>
  <c r="H657" i="3"/>
  <c r="R657" i="3" s="1"/>
  <c r="I656" i="3"/>
  <c r="H656" i="3"/>
  <c r="I655" i="3"/>
  <c r="H655" i="3"/>
  <c r="I654" i="3"/>
  <c r="H654" i="3"/>
  <c r="I653" i="3"/>
  <c r="H653" i="3"/>
  <c r="I652" i="3"/>
  <c r="H652" i="3"/>
  <c r="R652" i="3" s="1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R645" i="3" s="1"/>
  <c r="I644" i="3"/>
  <c r="H644" i="3"/>
  <c r="I643" i="3"/>
  <c r="H643" i="3"/>
  <c r="I642" i="3"/>
  <c r="H642" i="3"/>
  <c r="I641" i="3"/>
  <c r="H641" i="3"/>
  <c r="R641" i="3" s="1"/>
  <c r="I640" i="3"/>
  <c r="H640" i="3"/>
  <c r="R640" i="3" s="1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R629" i="3" s="1"/>
  <c r="I628" i="3"/>
  <c r="H628" i="3"/>
  <c r="I627" i="3"/>
  <c r="H627" i="3"/>
  <c r="I626" i="3"/>
  <c r="H626" i="3"/>
  <c r="R626" i="3" s="1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R612" i="3" s="1"/>
  <c r="I611" i="3"/>
  <c r="H611" i="3"/>
  <c r="I610" i="3"/>
  <c r="H610" i="3"/>
  <c r="I609" i="3"/>
  <c r="H609" i="3"/>
  <c r="R609" i="3" s="1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R599" i="3" s="1"/>
  <c r="I598" i="3"/>
  <c r="H598" i="3"/>
  <c r="I597" i="3"/>
  <c r="H597" i="3"/>
  <c r="I596" i="3"/>
  <c r="H596" i="3"/>
  <c r="R596" i="3" s="1"/>
  <c r="I595" i="3"/>
  <c r="H595" i="3"/>
  <c r="I594" i="3"/>
  <c r="H594" i="3"/>
  <c r="R594" i="3" s="1"/>
  <c r="I593" i="3"/>
  <c r="H593" i="3"/>
  <c r="R593" i="3" s="1"/>
  <c r="I592" i="3"/>
  <c r="H592" i="3"/>
  <c r="I591" i="3"/>
  <c r="H591" i="3"/>
  <c r="R591" i="3" s="1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R581" i="3" s="1"/>
  <c r="I580" i="3"/>
  <c r="H580" i="3"/>
  <c r="R580" i="3" s="1"/>
  <c r="I579" i="3"/>
  <c r="H579" i="3"/>
  <c r="I578" i="3"/>
  <c r="H578" i="3"/>
  <c r="R578" i="3" s="1"/>
  <c r="I577" i="3"/>
  <c r="H577" i="3"/>
  <c r="R577" i="3" s="1"/>
  <c r="I576" i="3"/>
  <c r="H576" i="3"/>
  <c r="I575" i="3"/>
  <c r="H575" i="3"/>
  <c r="I574" i="3"/>
  <c r="H574" i="3"/>
  <c r="I573" i="3"/>
  <c r="H573" i="3"/>
  <c r="I572" i="3"/>
  <c r="H572" i="3"/>
  <c r="R572" i="3" s="1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R565" i="3" s="1"/>
  <c r="I564" i="3"/>
  <c r="H564" i="3"/>
  <c r="I563" i="3"/>
  <c r="H563" i="3"/>
  <c r="I562" i="3"/>
  <c r="H562" i="3"/>
  <c r="I561" i="3"/>
  <c r="H561" i="3"/>
  <c r="R561" i="3" s="1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R551" i="3" s="1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R537" i="3" s="1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R529" i="3" s="1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R521" i="3" s="1"/>
  <c r="I520" i="3"/>
  <c r="H520" i="3"/>
  <c r="I519" i="3"/>
  <c r="H519" i="3"/>
  <c r="R519" i="3" s="1"/>
  <c r="I518" i="3"/>
  <c r="H518" i="3"/>
  <c r="I517" i="3"/>
  <c r="H517" i="3"/>
  <c r="I516" i="3"/>
  <c r="H516" i="3"/>
  <c r="I515" i="3"/>
  <c r="H515" i="3"/>
  <c r="I514" i="3"/>
  <c r="H514" i="3"/>
  <c r="R514" i="3" s="1"/>
  <c r="I513" i="3"/>
  <c r="H513" i="3"/>
  <c r="I512" i="3"/>
  <c r="H512" i="3"/>
  <c r="R512" i="3" s="1"/>
  <c r="I511" i="3"/>
  <c r="H511" i="3"/>
  <c r="R511" i="3" s="1"/>
  <c r="I510" i="3"/>
  <c r="H510" i="3"/>
  <c r="I509" i="3"/>
  <c r="H509" i="3"/>
  <c r="I508" i="3"/>
  <c r="H508" i="3"/>
  <c r="I507" i="3"/>
  <c r="H507" i="3"/>
  <c r="I506" i="3"/>
  <c r="H506" i="3"/>
  <c r="I505" i="3"/>
  <c r="H505" i="3"/>
  <c r="R505" i="3" s="1"/>
  <c r="I504" i="3"/>
  <c r="H504" i="3"/>
  <c r="I503" i="3"/>
  <c r="H503" i="3"/>
  <c r="R503" i="3" s="1"/>
  <c r="I502" i="3"/>
  <c r="H502" i="3"/>
  <c r="I501" i="3"/>
  <c r="H501" i="3"/>
  <c r="R501" i="3" s="1"/>
  <c r="I500" i="3"/>
  <c r="H500" i="3"/>
  <c r="I499" i="3"/>
  <c r="H499" i="3"/>
  <c r="I498" i="3"/>
  <c r="H498" i="3"/>
  <c r="I497" i="3"/>
  <c r="H497" i="3"/>
  <c r="I496" i="3"/>
  <c r="H496" i="3"/>
  <c r="R496" i="3" s="1"/>
  <c r="I495" i="3"/>
  <c r="H495" i="3"/>
  <c r="R495" i="3" s="1"/>
  <c r="I494" i="3"/>
  <c r="H494" i="3"/>
  <c r="I493" i="3"/>
  <c r="H493" i="3"/>
  <c r="I492" i="3"/>
  <c r="H492" i="3"/>
  <c r="I491" i="3"/>
  <c r="H491" i="3"/>
  <c r="I490" i="3"/>
  <c r="H490" i="3"/>
  <c r="I489" i="3"/>
  <c r="H489" i="3"/>
  <c r="R489" i="3" s="1"/>
  <c r="I488" i="3"/>
  <c r="H488" i="3"/>
  <c r="I487" i="3"/>
  <c r="H487" i="3"/>
  <c r="I486" i="3"/>
  <c r="H486" i="3"/>
  <c r="I485" i="3"/>
  <c r="H485" i="3"/>
  <c r="R485" i="3" s="1"/>
  <c r="I484" i="3"/>
  <c r="H484" i="3"/>
  <c r="I483" i="3"/>
  <c r="H483" i="3"/>
  <c r="I482" i="3"/>
  <c r="H482" i="3"/>
  <c r="R482" i="3" s="1"/>
  <c r="I481" i="3"/>
  <c r="H481" i="3"/>
  <c r="I480" i="3"/>
  <c r="H480" i="3"/>
  <c r="R480" i="3" s="1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R473" i="3" s="1"/>
  <c r="I472" i="3"/>
  <c r="H472" i="3"/>
  <c r="I471" i="3"/>
  <c r="H471" i="3"/>
  <c r="R471" i="3" s="1"/>
  <c r="I470" i="3"/>
  <c r="H470" i="3"/>
  <c r="I469" i="3"/>
  <c r="H469" i="3"/>
  <c r="R469" i="3" s="1"/>
  <c r="I468" i="3"/>
  <c r="H468" i="3"/>
  <c r="I467" i="3"/>
  <c r="H467" i="3"/>
  <c r="I466" i="3"/>
  <c r="H466" i="3"/>
  <c r="I465" i="3"/>
  <c r="H465" i="3"/>
  <c r="R465" i="3" s="1"/>
  <c r="I464" i="3"/>
  <c r="H464" i="3"/>
  <c r="R464" i="3" s="1"/>
  <c r="I463" i="3"/>
  <c r="H463" i="3"/>
  <c r="R463" i="3" s="1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R456" i="3" s="1"/>
  <c r="I455" i="3"/>
  <c r="H455" i="3"/>
  <c r="I454" i="3"/>
  <c r="H454" i="3"/>
  <c r="I453" i="3"/>
  <c r="H453" i="3"/>
  <c r="R453" i="3" s="1"/>
  <c r="I452" i="3"/>
  <c r="H452" i="3"/>
  <c r="I451" i="3"/>
  <c r="H451" i="3"/>
  <c r="I450" i="3"/>
  <c r="H450" i="3"/>
  <c r="I449" i="3"/>
  <c r="H449" i="3"/>
  <c r="R449" i="3" s="1"/>
  <c r="I448" i="3"/>
  <c r="H448" i="3"/>
  <c r="I447" i="3"/>
  <c r="H447" i="3"/>
  <c r="R447" i="3" s="1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R440" i="3" s="1"/>
  <c r="I439" i="3"/>
  <c r="H439" i="3"/>
  <c r="R439" i="3" s="1"/>
  <c r="I438" i="3"/>
  <c r="H438" i="3"/>
  <c r="I437" i="3"/>
  <c r="H437" i="3"/>
  <c r="R437" i="3" s="1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R424" i="3" s="1"/>
  <c r="I423" i="3"/>
  <c r="H423" i="3"/>
  <c r="R423" i="3" s="1"/>
  <c r="I422" i="3"/>
  <c r="H422" i="3"/>
  <c r="I421" i="3"/>
  <c r="H421" i="3"/>
  <c r="R421" i="3" s="1"/>
  <c r="I420" i="3"/>
  <c r="H420" i="3"/>
  <c r="I419" i="3"/>
  <c r="H419" i="3"/>
  <c r="I418" i="3"/>
  <c r="H418" i="3"/>
  <c r="R418" i="3" s="1"/>
  <c r="I417" i="3"/>
  <c r="H417" i="3"/>
  <c r="I416" i="3"/>
  <c r="H416" i="3"/>
  <c r="I415" i="3"/>
  <c r="H415" i="3"/>
  <c r="R415" i="3" s="1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R408" i="3" s="1"/>
  <c r="I407" i="3"/>
  <c r="H407" i="3"/>
  <c r="I406" i="3"/>
  <c r="H406" i="3"/>
  <c r="I405" i="3"/>
  <c r="H405" i="3"/>
  <c r="R405" i="3" s="1"/>
  <c r="I404" i="3"/>
  <c r="H404" i="3"/>
  <c r="I403" i="3"/>
  <c r="H403" i="3"/>
  <c r="I402" i="3"/>
  <c r="H402" i="3"/>
  <c r="R402" i="3" s="1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R391" i="3" s="1"/>
  <c r="I390" i="3"/>
  <c r="H390" i="3"/>
  <c r="I389" i="3"/>
  <c r="H389" i="3"/>
  <c r="I388" i="3"/>
  <c r="H388" i="3"/>
  <c r="R388" i="3" s="1"/>
  <c r="I387" i="3"/>
  <c r="H387" i="3"/>
  <c r="I386" i="3"/>
  <c r="H386" i="3"/>
  <c r="R386" i="3" s="1"/>
  <c r="I385" i="3"/>
  <c r="H385" i="3"/>
  <c r="R385" i="3" s="1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R376" i="3" s="1"/>
  <c r="I375" i="3"/>
  <c r="H375" i="3"/>
  <c r="R375" i="3" s="1"/>
  <c r="I374" i="3"/>
  <c r="H374" i="3"/>
  <c r="I373" i="3"/>
  <c r="H373" i="3"/>
  <c r="R373" i="3" s="1"/>
  <c r="I372" i="3"/>
  <c r="H372" i="3"/>
  <c r="R372" i="3" s="1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R361" i="3" s="1"/>
  <c r="I360" i="3"/>
  <c r="H360" i="3"/>
  <c r="I359" i="3"/>
  <c r="H359" i="3"/>
  <c r="R359" i="3" s="1"/>
  <c r="I358" i="3"/>
  <c r="H358" i="3"/>
  <c r="I357" i="3"/>
  <c r="H357" i="3"/>
  <c r="I356" i="3"/>
  <c r="H356" i="3"/>
  <c r="R356" i="3" s="1"/>
  <c r="I355" i="3"/>
  <c r="H355" i="3"/>
  <c r="I354" i="3"/>
  <c r="H354" i="3"/>
  <c r="R354" i="3" s="1"/>
  <c r="I353" i="3"/>
  <c r="H353" i="3"/>
  <c r="I352" i="3"/>
  <c r="H352" i="3"/>
  <c r="R352" i="3" s="1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R343" i="3" s="1"/>
  <c r="I342" i="3"/>
  <c r="H342" i="3"/>
  <c r="I341" i="3"/>
  <c r="H341" i="3"/>
  <c r="I340" i="3"/>
  <c r="H340" i="3"/>
  <c r="R340" i="3" s="1"/>
  <c r="I339" i="3"/>
  <c r="H339" i="3"/>
  <c r="I338" i="3"/>
  <c r="H338" i="3"/>
  <c r="I337" i="3"/>
  <c r="H337" i="3"/>
  <c r="I336" i="3"/>
  <c r="H336" i="3"/>
  <c r="R336" i="3" s="1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R325" i="3" s="1"/>
  <c r="I324" i="3"/>
  <c r="H324" i="3"/>
  <c r="I323" i="3"/>
  <c r="H323" i="3"/>
  <c r="I322" i="3"/>
  <c r="H322" i="3"/>
  <c r="R322" i="3" s="1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R304" i="3" s="1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R295" i="3" s="1"/>
  <c r="I294" i="3"/>
  <c r="H294" i="3"/>
  <c r="I293" i="3"/>
  <c r="H293" i="3"/>
  <c r="R293" i="3" s="1"/>
  <c r="I292" i="3"/>
  <c r="H292" i="3"/>
  <c r="R292" i="3" s="1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R279" i="3" s="1"/>
  <c r="I278" i="3"/>
  <c r="H278" i="3"/>
  <c r="I277" i="3"/>
  <c r="H277" i="3"/>
  <c r="R277" i="3" s="1"/>
  <c r="I276" i="3"/>
  <c r="H276" i="3"/>
  <c r="R276" i="3" s="1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R265" i="3" s="1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R256" i="3" s="1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R249" i="3" s="1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R216" i="3" s="1"/>
  <c r="I215" i="3"/>
  <c r="H215" i="3"/>
  <c r="I214" i="3"/>
  <c r="H214" i="3"/>
  <c r="I213" i="3"/>
  <c r="H213" i="3"/>
  <c r="R213" i="3" s="1"/>
  <c r="I212" i="3"/>
  <c r="H212" i="3"/>
  <c r="R212" i="3" s="1"/>
  <c r="I211" i="3"/>
  <c r="H211" i="3"/>
  <c r="I210" i="3"/>
  <c r="H210" i="3"/>
  <c r="R210" i="3" s="1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R183" i="3" s="1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R169" i="3" s="1"/>
  <c r="I168" i="3"/>
  <c r="H168" i="3"/>
  <c r="R168" i="3" s="1"/>
  <c r="I167" i="3"/>
  <c r="H167" i="3"/>
  <c r="I166" i="3"/>
  <c r="H166" i="3"/>
  <c r="I165" i="3"/>
  <c r="H165" i="3"/>
  <c r="R165" i="3" s="1"/>
  <c r="I164" i="3"/>
  <c r="H164" i="3"/>
  <c r="I163" i="3"/>
  <c r="H163" i="3"/>
  <c r="I162" i="3"/>
  <c r="H162" i="3"/>
  <c r="R162" i="3" s="1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R153" i="3" s="1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R144" i="3" s="1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R121" i="3" s="1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R112" i="3" s="1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R104" i="3" s="1"/>
  <c r="I103" i="3"/>
  <c r="H103" i="3"/>
  <c r="I102" i="3"/>
  <c r="H102" i="3"/>
  <c r="I101" i="3"/>
  <c r="H101" i="3"/>
  <c r="I100" i="3"/>
  <c r="H100" i="3"/>
  <c r="I99" i="3"/>
  <c r="H99" i="3"/>
  <c r="I98" i="3"/>
  <c r="H98" i="3"/>
  <c r="R98" i="3" s="1"/>
  <c r="I97" i="3"/>
  <c r="H97" i="3"/>
  <c r="I96" i="3"/>
  <c r="H96" i="3"/>
  <c r="R96" i="3" s="1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R88" i="3" s="1"/>
  <c r="I87" i="3"/>
  <c r="H87" i="3"/>
  <c r="I86" i="3"/>
  <c r="H86" i="3"/>
  <c r="I85" i="3"/>
  <c r="H85" i="3"/>
  <c r="R85" i="3" s="1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R68" i="3" s="1"/>
  <c r="I67" i="3"/>
  <c r="H67" i="3"/>
  <c r="I66" i="3"/>
  <c r="H66" i="3"/>
  <c r="I65" i="3"/>
  <c r="H65" i="3"/>
  <c r="R65" i="3" s="1"/>
  <c r="I64" i="3"/>
  <c r="H64" i="3"/>
  <c r="I63" i="3"/>
  <c r="H63" i="3"/>
  <c r="I62" i="3"/>
  <c r="H62" i="3"/>
  <c r="I61" i="3"/>
  <c r="H61" i="3"/>
  <c r="I60" i="3"/>
  <c r="H60" i="3"/>
  <c r="R60" i="3" s="1"/>
  <c r="I59" i="3"/>
  <c r="H59" i="3"/>
  <c r="I58" i="3"/>
  <c r="H58" i="3"/>
  <c r="I57" i="3"/>
  <c r="H57" i="3"/>
  <c r="I56" i="3"/>
  <c r="H56" i="3"/>
  <c r="I55" i="3"/>
  <c r="H55" i="3"/>
  <c r="R55" i="3" s="1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R48" i="3" s="1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R41" i="3" s="1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R21" i="3" s="1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R8" i="3" s="1"/>
  <c r="I7" i="3"/>
  <c r="H7" i="3"/>
  <c r="I6" i="3"/>
  <c r="H6" i="3"/>
  <c r="I5" i="3"/>
  <c r="H5" i="3"/>
  <c r="R5" i="3" s="1"/>
  <c r="I4" i="3"/>
  <c r="H4" i="3"/>
  <c r="I3" i="3"/>
  <c r="H3" i="3"/>
  <c r="I2" i="3"/>
  <c r="H2" i="3"/>
  <c r="P765" i="2"/>
  <c r="Q765" i="2"/>
  <c r="P766" i="2"/>
  <c r="S766" i="2" s="1"/>
  <c r="Q766" i="2"/>
  <c r="P767" i="2"/>
  <c r="Q767" i="2"/>
  <c r="P768" i="2"/>
  <c r="S768" i="2" s="1"/>
  <c r="Q768" i="2"/>
  <c r="P769" i="2"/>
  <c r="Q769" i="2"/>
  <c r="P770" i="2"/>
  <c r="Q770" i="2"/>
  <c r="P771" i="2"/>
  <c r="Q771" i="2"/>
  <c r="P772" i="2"/>
  <c r="Q772" i="2"/>
  <c r="P773" i="2"/>
  <c r="Q773" i="2"/>
  <c r="P774" i="2"/>
  <c r="Q774" i="2"/>
  <c r="P775" i="2"/>
  <c r="Q775" i="2"/>
  <c r="P776" i="2"/>
  <c r="Q776" i="2"/>
  <c r="P777" i="2"/>
  <c r="Q777" i="2"/>
  <c r="P778" i="2"/>
  <c r="Q778" i="2"/>
  <c r="P779" i="2"/>
  <c r="Q779" i="2"/>
  <c r="P780" i="2"/>
  <c r="Q780" i="2"/>
  <c r="P781" i="2"/>
  <c r="Q781" i="2"/>
  <c r="P782" i="2"/>
  <c r="Q782" i="2"/>
  <c r="P783" i="2"/>
  <c r="Q783" i="2"/>
  <c r="P784" i="2"/>
  <c r="Q784" i="2"/>
  <c r="P785" i="2"/>
  <c r="Q785" i="2"/>
  <c r="P786" i="2"/>
  <c r="Q786" i="2"/>
  <c r="P787" i="2"/>
  <c r="Q787" i="2"/>
  <c r="P788" i="2"/>
  <c r="Q788" i="2"/>
  <c r="P789" i="2"/>
  <c r="Q789" i="2"/>
  <c r="P790" i="2"/>
  <c r="Q790" i="2"/>
  <c r="P791" i="2"/>
  <c r="Q791" i="2"/>
  <c r="P792" i="2"/>
  <c r="Q792" i="2"/>
  <c r="P793" i="2"/>
  <c r="Q793" i="2"/>
  <c r="P794" i="2"/>
  <c r="Q794" i="2"/>
  <c r="P795" i="2"/>
  <c r="Q795" i="2"/>
  <c r="P796" i="2"/>
  <c r="Q796" i="2"/>
  <c r="P797" i="2"/>
  <c r="Q797" i="2"/>
  <c r="P798" i="2"/>
  <c r="Q798" i="2"/>
  <c r="P799" i="2"/>
  <c r="Q799" i="2"/>
  <c r="P800" i="2"/>
  <c r="Q800" i="2"/>
  <c r="P801" i="2"/>
  <c r="Q801" i="2"/>
  <c r="P802" i="2"/>
  <c r="Q802" i="2"/>
  <c r="P803" i="2"/>
  <c r="Q803" i="2"/>
  <c r="P804" i="2"/>
  <c r="Q804" i="2"/>
  <c r="P805" i="2"/>
  <c r="Q805" i="2"/>
  <c r="P806" i="2"/>
  <c r="Q806" i="2"/>
  <c r="P807" i="2"/>
  <c r="R807" i="2" s="1"/>
  <c r="Q807" i="2"/>
  <c r="P808" i="2"/>
  <c r="Q808" i="2"/>
  <c r="P809" i="2"/>
  <c r="Q809" i="2"/>
  <c r="P810" i="2"/>
  <c r="Q810" i="2"/>
  <c r="P811" i="2"/>
  <c r="Q811" i="2"/>
  <c r="P812" i="2"/>
  <c r="Q812" i="2"/>
  <c r="P813" i="2"/>
  <c r="Q813" i="2"/>
  <c r="P814" i="2"/>
  <c r="Q814" i="2"/>
  <c r="P815" i="2"/>
  <c r="Q815" i="2"/>
  <c r="P816" i="2"/>
  <c r="Q816" i="2"/>
  <c r="R816" i="2"/>
  <c r="P817" i="2"/>
  <c r="Q817" i="2"/>
  <c r="P818" i="2"/>
  <c r="Q818" i="2"/>
  <c r="P819" i="2"/>
  <c r="Q819" i="2"/>
  <c r="P820" i="2"/>
  <c r="Q820" i="2"/>
  <c r="P821" i="2"/>
  <c r="Q821" i="2"/>
  <c r="P822" i="2"/>
  <c r="S822" i="2" s="1"/>
  <c r="Q822" i="2"/>
  <c r="P823" i="2"/>
  <c r="Q823" i="2"/>
  <c r="P824" i="2"/>
  <c r="S824" i="2" s="1"/>
  <c r="Q824" i="2"/>
  <c r="P825" i="2"/>
  <c r="Q825" i="2"/>
  <c r="P826" i="2"/>
  <c r="S826" i="2" s="1"/>
  <c r="Q826" i="2"/>
  <c r="P827" i="2"/>
  <c r="Q827" i="2"/>
  <c r="P828" i="2"/>
  <c r="S828" i="2" s="1"/>
  <c r="Q828" i="2"/>
  <c r="P829" i="2"/>
  <c r="Q829" i="2"/>
  <c r="P830" i="2"/>
  <c r="Q830" i="2"/>
  <c r="P831" i="2"/>
  <c r="Q831" i="2"/>
  <c r="P832" i="2"/>
  <c r="Q832" i="2"/>
  <c r="P833" i="2"/>
  <c r="Q833" i="2"/>
  <c r="P834" i="2"/>
  <c r="Q834" i="2"/>
  <c r="P835" i="2"/>
  <c r="S835" i="2" s="1"/>
  <c r="Q835" i="2"/>
  <c r="P836" i="2"/>
  <c r="S836" i="2" s="1"/>
  <c r="Q836" i="2"/>
  <c r="P837" i="2"/>
  <c r="Q837" i="2"/>
  <c r="P838" i="2"/>
  <c r="Q838" i="2"/>
  <c r="P839" i="2"/>
  <c r="S839" i="2" s="1"/>
  <c r="Q839" i="2"/>
  <c r="P840" i="2"/>
  <c r="Q840" i="2"/>
  <c r="P841" i="2"/>
  <c r="Q841" i="2"/>
  <c r="P842" i="2"/>
  <c r="Q842" i="2"/>
  <c r="P843" i="2"/>
  <c r="S843" i="2" s="1"/>
  <c r="Q843" i="2"/>
  <c r="P844" i="2"/>
  <c r="Q844" i="2"/>
  <c r="P845" i="2"/>
  <c r="Q845" i="2"/>
  <c r="P846" i="2"/>
  <c r="Q846" i="2"/>
  <c r="P847" i="2"/>
  <c r="Q847" i="2"/>
  <c r="P848" i="2"/>
  <c r="Q848" i="2"/>
  <c r="P849" i="2"/>
  <c r="Q849" i="2"/>
  <c r="P850" i="2"/>
  <c r="Q850" i="2"/>
  <c r="P851" i="2"/>
  <c r="Q851" i="2"/>
  <c r="P852" i="2"/>
  <c r="Q852" i="2"/>
  <c r="P853" i="2"/>
  <c r="Q853" i="2"/>
  <c r="P854" i="2"/>
  <c r="Q854" i="2"/>
  <c r="P855" i="2"/>
  <c r="Q855" i="2"/>
  <c r="P856" i="2"/>
  <c r="Q856" i="2"/>
  <c r="P857" i="2"/>
  <c r="Q857" i="2"/>
  <c r="P858" i="2"/>
  <c r="R858" i="2" s="1"/>
  <c r="Q858" i="2"/>
  <c r="P859" i="2"/>
  <c r="Q859" i="2"/>
  <c r="P860" i="2"/>
  <c r="S860" i="2" s="1"/>
  <c r="Q860" i="2"/>
  <c r="P861" i="2"/>
  <c r="Q861" i="2"/>
  <c r="P862" i="2"/>
  <c r="S862" i="2" s="1"/>
  <c r="Q862" i="2"/>
  <c r="P863" i="2"/>
  <c r="Q863" i="2"/>
  <c r="P864" i="2"/>
  <c r="Q864" i="2"/>
  <c r="P865" i="2"/>
  <c r="Q865" i="2"/>
  <c r="P866" i="2"/>
  <c r="Q866" i="2"/>
  <c r="P867" i="2"/>
  <c r="Q867" i="2"/>
  <c r="P868" i="2"/>
  <c r="Q868" i="2"/>
  <c r="P869" i="2"/>
  <c r="Q869" i="2"/>
  <c r="P870" i="2"/>
  <c r="Q870" i="2"/>
  <c r="P871" i="2"/>
  <c r="Q871" i="2"/>
  <c r="P872" i="2"/>
  <c r="Q872" i="2"/>
  <c r="P873" i="2"/>
  <c r="Q873" i="2"/>
  <c r="P874" i="2"/>
  <c r="Q874" i="2"/>
  <c r="P875" i="2"/>
  <c r="Q875" i="2"/>
  <c r="P876" i="2"/>
  <c r="Q876" i="2"/>
  <c r="P877" i="2"/>
  <c r="R877" i="2" s="1"/>
  <c r="Q877" i="2"/>
  <c r="P878" i="2"/>
  <c r="Q878" i="2"/>
  <c r="P879" i="2"/>
  <c r="Q879" i="2"/>
  <c r="P880" i="2"/>
  <c r="Q880" i="2"/>
  <c r="R880" i="2"/>
  <c r="P881" i="2"/>
  <c r="Q881" i="2"/>
  <c r="P882" i="2"/>
  <c r="Q882" i="2"/>
  <c r="P883" i="2"/>
  <c r="Q883" i="2"/>
  <c r="P884" i="2"/>
  <c r="Q884" i="2"/>
  <c r="P885" i="2"/>
  <c r="Q885" i="2"/>
  <c r="P886" i="2"/>
  <c r="Q886" i="2"/>
  <c r="P887" i="2"/>
  <c r="Q887" i="2"/>
  <c r="P888" i="2"/>
  <c r="Q888" i="2"/>
  <c r="P889" i="2"/>
  <c r="Q889" i="2"/>
  <c r="P890" i="2"/>
  <c r="Q890" i="2"/>
  <c r="P891" i="2"/>
  <c r="Q891" i="2"/>
  <c r="P892" i="2"/>
  <c r="Q892" i="2"/>
  <c r="P893" i="2"/>
  <c r="Q893" i="2"/>
  <c r="P894" i="2"/>
  <c r="Q894" i="2"/>
  <c r="P895" i="2"/>
  <c r="Q895" i="2"/>
  <c r="P896" i="2"/>
  <c r="Q896" i="2"/>
  <c r="P897" i="2"/>
  <c r="Q897" i="2"/>
  <c r="P898" i="2"/>
  <c r="Q898" i="2"/>
  <c r="P899" i="2"/>
  <c r="Q899" i="2"/>
  <c r="P900" i="2"/>
  <c r="Q900" i="2"/>
  <c r="P901" i="2"/>
  <c r="Q901" i="2"/>
  <c r="P902" i="2"/>
  <c r="S902" i="2" s="1"/>
  <c r="Q902" i="2"/>
  <c r="P903" i="2"/>
  <c r="Q903" i="2"/>
  <c r="P904" i="2"/>
  <c r="S904" i="2" s="1"/>
  <c r="Q904" i="2"/>
  <c r="P905" i="2"/>
  <c r="Q905" i="2"/>
  <c r="P906" i="2"/>
  <c r="Q906" i="2"/>
  <c r="P907" i="2"/>
  <c r="Q907" i="2"/>
  <c r="P908" i="2"/>
  <c r="Q908" i="2"/>
  <c r="P909" i="2"/>
  <c r="R909" i="2" s="1"/>
  <c r="Q909" i="2"/>
  <c r="P910" i="2"/>
  <c r="Q910" i="2"/>
  <c r="P911" i="2"/>
  <c r="S911" i="2" s="1"/>
  <c r="Q911" i="2"/>
  <c r="P912" i="2"/>
  <c r="Q912" i="2"/>
  <c r="P913" i="2"/>
  <c r="Q913" i="2"/>
  <c r="P914" i="2"/>
  <c r="Q914" i="2"/>
  <c r="P915" i="2"/>
  <c r="Q915" i="2"/>
  <c r="P916" i="2"/>
  <c r="Q916" i="2"/>
  <c r="P917" i="2"/>
  <c r="Q917" i="2"/>
  <c r="P918" i="2"/>
  <c r="Q918" i="2"/>
  <c r="P919" i="2"/>
  <c r="S919" i="2" s="1"/>
  <c r="Q919" i="2"/>
  <c r="P920" i="2"/>
  <c r="S920" i="2" s="1"/>
  <c r="Q920" i="2"/>
  <c r="P921" i="2"/>
  <c r="Q921" i="2"/>
  <c r="P922" i="2"/>
  <c r="Q922" i="2"/>
  <c r="P923" i="2"/>
  <c r="S923" i="2" s="1"/>
  <c r="Q923" i="2"/>
  <c r="P924" i="2"/>
  <c r="Q924" i="2"/>
  <c r="P925" i="2"/>
  <c r="Q925" i="2"/>
  <c r="P926" i="2"/>
  <c r="Q926" i="2"/>
  <c r="H765" i="2"/>
  <c r="I765" i="2"/>
  <c r="H766" i="2"/>
  <c r="I766" i="2"/>
  <c r="H767" i="2"/>
  <c r="I767" i="2"/>
  <c r="H768" i="2"/>
  <c r="I768" i="2"/>
  <c r="H769" i="2"/>
  <c r="I769" i="2"/>
  <c r="H770" i="2"/>
  <c r="I770" i="2"/>
  <c r="H771" i="2"/>
  <c r="R771" i="2" s="1"/>
  <c r="I771" i="2"/>
  <c r="H772" i="2"/>
  <c r="I772" i="2"/>
  <c r="H773" i="2"/>
  <c r="R773" i="2" s="1"/>
  <c r="I773" i="2"/>
  <c r="H774" i="2"/>
  <c r="I774" i="2"/>
  <c r="H775" i="2"/>
  <c r="I775" i="2"/>
  <c r="H776" i="2"/>
  <c r="R776" i="2" s="1"/>
  <c r="I776" i="2"/>
  <c r="H777" i="2"/>
  <c r="I777" i="2"/>
  <c r="H778" i="2"/>
  <c r="I778" i="2"/>
  <c r="H779" i="2"/>
  <c r="I779" i="2"/>
  <c r="H780" i="2"/>
  <c r="I780" i="2"/>
  <c r="H781" i="2"/>
  <c r="I781" i="2"/>
  <c r="H782" i="2"/>
  <c r="I782" i="2"/>
  <c r="H783" i="2"/>
  <c r="I783" i="2"/>
  <c r="H784" i="2"/>
  <c r="I784" i="2"/>
  <c r="H785" i="2"/>
  <c r="I785" i="2"/>
  <c r="H786" i="2"/>
  <c r="I786" i="2"/>
  <c r="H787" i="2"/>
  <c r="R787" i="2" s="1"/>
  <c r="I787" i="2"/>
  <c r="H788" i="2"/>
  <c r="I788" i="2"/>
  <c r="H789" i="2"/>
  <c r="I789" i="2"/>
  <c r="H790" i="2"/>
  <c r="I790" i="2"/>
  <c r="H791" i="2"/>
  <c r="I791" i="2"/>
  <c r="H792" i="2"/>
  <c r="I792" i="2"/>
  <c r="H793" i="2"/>
  <c r="I793" i="2"/>
  <c r="H794" i="2"/>
  <c r="I794" i="2"/>
  <c r="H795" i="2"/>
  <c r="I795" i="2"/>
  <c r="H796" i="2"/>
  <c r="R796" i="2" s="1"/>
  <c r="I796" i="2"/>
  <c r="H797" i="2"/>
  <c r="I797" i="2"/>
  <c r="H798" i="2"/>
  <c r="I798" i="2"/>
  <c r="H799" i="2"/>
  <c r="R799" i="2" s="1"/>
  <c r="I799" i="2"/>
  <c r="H800" i="2"/>
  <c r="R800" i="2" s="1"/>
  <c r="I800" i="2"/>
  <c r="H801" i="2"/>
  <c r="I801" i="2"/>
  <c r="H802" i="2"/>
  <c r="I802" i="2"/>
  <c r="H803" i="2"/>
  <c r="I803" i="2"/>
  <c r="H804" i="2"/>
  <c r="I804" i="2"/>
  <c r="H805" i="2"/>
  <c r="I805" i="2"/>
  <c r="H806" i="2"/>
  <c r="I806" i="2"/>
  <c r="H807" i="2"/>
  <c r="I807" i="2"/>
  <c r="H808" i="2"/>
  <c r="I808" i="2"/>
  <c r="H809" i="2"/>
  <c r="I809" i="2"/>
  <c r="H810" i="2"/>
  <c r="I810" i="2"/>
  <c r="H811" i="2"/>
  <c r="I811" i="2"/>
  <c r="H812" i="2"/>
  <c r="I812" i="2"/>
  <c r="H813" i="2"/>
  <c r="I813" i="2"/>
  <c r="H814" i="2"/>
  <c r="I814" i="2"/>
  <c r="H815" i="2"/>
  <c r="R815" i="2" s="1"/>
  <c r="I815" i="2"/>
  <c r="H816" i="2"/>
  <c r="I816" i="2"/>
  <c r="H817" i="2"/>
  <c r="I817" i="2"/>
  <c r="H818" i="2"/>
  <c r="I818" i="2"/>
  <c r="H819" i="2"/>
  <c r="R819" i="2" s="1"/>
  <c r="I819" i="2"/>
  <c r="H820" i="2"/>
  <c r="I820" i="2"/>
  <c r="H821" i="2"/>
  <c r="R821" i="2" s="1"/>
  <c r="I821" i="2"/>
  <c r="H822" i="2"/>
  <c r="I822" i="2"/>
  <c r="H823" i="2"/>
  <c r="I823" i="2"/>
  <c r="H824" i="2"/>
  <c r="I824" i="2"/>
  <c r="H825" i="2"/>
  <c r="I825" i="2"/>
  <c r="H826" i="2"/>
  <c r="I826" i="2"/>
  <c r="H827" i="2"/>
  <c r="I827" i="2"/>
  <c r="H828" i="2"/>
  <c r="I828" i="2"/>
  <c r="H829" i="2"/>
  <c r="R829" i="2" s="1"/>
  <c r="I829" i="2"/>
  <c r="H830" i="2"/>
  <c r="I830" i="2"/>
  <c r="H831" i="2"/>
  <c r="R831" i="2" s="1"/>
  <c r="I831" i="2"/>
  <c r="H832" i="2"/>
  <c r="R832" i="2" s="1"/>
  <c r="I832" i="2"/>
  <c r="H833" i="2"/>
  <c r="I833" i="2"/>
  <c r="H834" i="2"/>
  <c r="I834" i="2"/>
  <c r="H835" i="2"/>
  <c r="I835" i="2"/>
  <c r="H836" i="2"/>
  <c r="I836" i="2"/>
  <c r="H837" i="2"/>
  <c r="R837" i="2" s="1"/>
  <c r="I837" i="2"/>
  <c r="H838" i="2"/>
  <c r="I838" i="2"/>
  <c r="H839" i="2"/>
  <c r="I839" i="2"/>
  <c r="H840" i="2"/>
  <c r="I840" i="2"/>
  <c r="H841" i="2"/>
  <c r="I841" i="2"/>
  <c r="H842" i="2"/>
  <c r="I842" i="2"/>
  <c r="H843" i="2"/>
  <c r="I843" i="2"/>
  <c r="H844" i="2"/>
  <c r="R844" i="2" s="1"/>
  <c r="I844" i="2"/>
  <c r="H845" i="2"/>
  <c r="I845" i="2"/>
  <c r="H846" i="2"/>
  <c r="I846" i="2"/>
  <c r="H847" i="2"/>
  <c r="R847" i="2" s="1"/>
  <c r="I847" i="2"/>
  <c r="H848" i="2"/>
  <c r="I848" i="2"/>
  <c r="H849" i="2"/>
  <c r="I849" i="2"/>
  <c r="H850" i="2"/>
  <c r="I850" i="2"/>
  <c r="H851" i="2"/>
  <c r="I851" i="2"/>
  <c r="H852" i="2"/>
  <c r="I852" i="2"/>
  <c r="H853" i="2"/>
  <c r="I853" i="2"/>
  <c r="H854" i="2"/>
  <c r="I854" i="2"/>
  <c r="H855" i="2"/>
  <c r="R855" i="2" s="1"/>
  <c r="I855" i="2"/>
  <c r="H856" i="2"/>
  <c r="I856" i="2"/>
  <c r="H857" i="2"/>
  <c r="I857" i="2"/>
  <c r="H858" i="2"/>
  <c r="I858" i="2"/>
  <c r="H859" i="2"/>
  <c r="I859" i="2"/>
  <c r="H860" i="2"/>
  <c r="I860" i="2"/>
  <c r="H861" i="2"/>
  <c r="R861" i="2" s="1"/>
  <c r="I861" i="2"/>
  <c r="H862" i="2"/>
  <c r="I862" i="2"/>
  <c r="H863" i="2"/>
  <c r="I863" i="2"/>
  <c r="H864" i="2"/>
  <c r="I864" i="2"/>
  <c r="H865" i="2"/>
  <c r="I865" i="2"/>
  <c r="H866" i="2"/>
  <c r="I866" i="2"/>
  <c r="H867" i="2"/>
  <c r="I867" i="2"/>
  <c r="H868" i="2"/>
  <c r="I868" i="2"/>
  <c r="H869" i="2"/>
  <c r="R869" i="2" s="1"/>
  <c r="I869" i="2"/>
  <c r="H870" i="2"/>
  <c r="I870" i="2"/>
  <c r="H871" i="2"/>
  <c r="I871" i="2"/>
  <c r="H872" i="2"/>
  <c r="R872" i="2" s="1"/>
  <c r="I872" i="2"/>
  <c r="H873" i="2"/>
  <c r="I873" i="2"/>
  <c r="H874" i="2"/>
  <c r="I874" i="2"/>
  <c r="H875" i="2"/>
  <c r="I875" i="2"/>
  <c r="H876" i="2"/>
  <c r="R876" i="2" s="1"/>
  <c r="I876" i="2"/>
  <c r="H877" i="2"/>
  <c r="I877" i="2"/>
  <c r="H878" i="2"/>
  <c r="I878" i="2"/>
  <c r="H879" i="2"/>
  <c r="R879" i="2" s="1"/>
  <c r="I879" i="2"/>
  <c r="H880" i="2"/>
  <c r="I880" i="2"/>
  <c r="H881" i="2"/>
  <c r="I881" i="2"/>
  <c r="H882" i="2"/>
  <c r="I882" i="2"/>
  <c r="H883" i="2"/>
  <c r="I883" i="2"/>
  <c r="H884" i="2"/>
  <c r="I884" i="2"/>
  <c r="H885" i="2"/>
  <c r="R885" i="2" s="1"/>
  <c r="I885" i="2"/>
  <c r="H886" i="2"/>
  <c r="I886" i="2"/>
  <c r="H887" i="2"/>
  <c r="I887" i="2"/>
  <c r="H888" i="2"/>
  <c r="I888" i="2"/>
  <c r="H889" i="2"/>
  <c r="I889" i="2"/>
  <c r="H890" i="2"/>
  <c r="I890" i="2"/>
  <c r="H891" i="2"/>
  <c r="I891" i="2"/>
  <c r="H892" i="2"/>
  <c r="R892" i="2" s="1"/>
  <c r="I892" i="2"/>
  <c r="H893" i="2"/>
  <c r="I893" i="2"/>
  <c r="H894" i="2"/>
  <c r="I894" i="2"/>
  <c r="H895" i="2"/>
  <c r="I895" i="2"/>
  <c r="H896" i="2"/>
  <c r="I896" i="2"/>
  <c r="H897" i="2"/>
  <c r="I897" i="2"/>
  <c r="H898" i="2"/>
  <c r="I898" i="2"/>
  <c r="H899" i="2"/>
  <c r="I899" i="2"/>
  <c r="H900" i="2"/>
  <c r="I900" i="2"/>
  <c r="H901" i="2"/>
  <c r="R901" i="2" s="1"/>
  <c r="I901" i="2"/>
  <c r="H902" i="2"/>
  <c r="I902" i="2"/>
  <c r="H903" i="2"/>
  <c r="R903" i="2" s="1"/>
  <c r="I903" i="2"/>
  <c r="H904" i="2"/>
  <c r="I904" i="2"/>
  <c r="H905" i="2"/>
  <c r="I905" i="2"/>
  <c r="H906" i="2"/>
  <c r="R906" i="2" s="1"/>
  <c r="I906" i="2"/>
  <c r="H907" i="2"/>
  <c r="I907" i="2"/>
  <c r="H908" i="2"/>
  <c r="I908" i="2"/>
  <c r="H909" i="2"/>
  <c r="I909" i="2"/>
  <c r="H910" i="2"/>
  <c r="I910" i="2"/>
  <c r="H911" i="2"/>
  <c r="I911" i="2"/>
  <c r="H912" i="2"/>
  <c r="I912" i="2"/>
  <c r="H913" i="2"/>
  <c r="I913" i="2"/>
  <c r="H914" i="2"/>
  <c r="I914" i="2"/>
  <c r="H915" i="2"/>
  <c r="I915" i="2"/>
  <c r="H916" i="2"/>
  <c r="I916" i="2"/>
  <c r="H917" i="2"/>
  <c r="I917" i="2"/>
  <c r="H918" i="2"/>
  <c r="I918" i="2"/>
  <c r="H919" i="2"/>
  <c r="I919" i="2"/>
  <c r="H920" i="2"/>
  <c r="I920" i="2"/>
  <c r="H921" i="2"/>
  <c r="I921" i="2"/>
  <c r="H922" i="2"/>
  <c r="I922" i="2"/>
  <c r="H923" i="2"/>
  <c r="I923" i="2"/>
  <c r="H924" i="2"/>
  <c r="I924" i="2"/>
  <c r="H925" i="2"/>
  <c r="I925" i="2"/>
  <c r="H926" i="2"/>
  <c r="I926" i="2"/>
  <c r="P2" i="2"/>
  <c r="S2" i="2" s="1"/>
  <c r="Q2" i="2"/>
  <c r="Q764" i="2"/>
  <c r="P764" i="2"/>
  <c r="Q763" i="2"/>
  <c r="P763" i="2"/>
  <c r="Q762" i="2"/>
  <c r="P762" i="2"/>
  <c r="Q761" i="2"/>
  <c r="P761" i="2"/>
  <c r="Q760" i="2"/>
  <c r="P760" i="2"/>
  <c r="Q759" i="2"/>
  <c r="P759" i="2"/>
  <c r="Q758" i="2"/>
  <c r="P758" i="2"/>
  <c r="Q757" i="2"/>
  <c r="P757" i="2"/>
  <c r="Q756" i="2"/>
  <c r="P756" i="2"/>
  <c r="Q755" i="2"/>
  <c r="P755" i="2"/>
  <c r="Q754" i="2"/>
  <c r="P754" i="2"/>
  <c r="Q753" i="2"/>
  <c r="P753" i="2"/>
  <c r="Q752" i="2"/>
  <c r="P752" i="2"/>
  <c r="Q751" i="2"/>
  <c r="P751" i="2"/>
  <c r="Q750" i="2"/>
  <c r="P750" i="2"/>
  <c r="Q749" i="2"/>
  <c r="P749" i="2"/>
  <c r="Q748" i="2"/>
  <c r="P748" i="2"/>
  <c r="Q747" i="2"/>
  <c r="P747" i="2"/>
  <c r="Q746" i="2"/>
  <c r="P746" i="2"/>
  <c r="Q745" i="2"/>
  <c r="P745" i="2"/>
  <c r="Q744" i="2"/>
  <c r="P744" i="2"/>
  <c r="Q743" i="2"/>
  <c r="P743" i="2"/>
  <c r="Q742" i="2"/>
  <c r="P742" i="2"/>
  <c r="Q741" i="2"/>
  <c r="P741" i="2"/>
  <c r="Q740" i="2"/>
  <c r="P740" i="2"/>
  <c r="Q739" i="2"/>
  <c r="P739" i="2"/>
  <c r="Q738" i="2"/>
  <c r="P738" i="2"/>
  <c r="Q737" i="2"/>
  <c r="P737" i="2"/>
  <c r="Q736" i="2"/>
  <c r="P736" i="2"/>
  <c r="Q735" i="2"/>
  <c r="P735" i="2"/>
  <c r="Q734" i="2"/>
  <c r="P734" i="2"/>
  <c r="Q733" i="2"/>
  <c r="P733" i="2"/>
  <c r="Q732" i="2"/>
  <c r="P732" i="2"/>
  <c r="Q731" i="2"/>
  <c r="P731" i="2"/>
  <c r="Q730" i="2"/>
  <c r="P730" i="2"/>
  <c r="Q729" i="2"/>
  <c r="P729" i="2"/>
  <c r="Q728" i="2"/>
  <c r="P728" i="2"/>
  <c r="Q727" i="2"/>
  <c r="P727" i="2"/>
  <c r="Q726" i="2"/>
  <c r="P726" i="2"/>
  <c r="Q725" i="2"/>
  <c r="P725" i="2"/>
  <c r="Q724" i="2"/>
  <c r="P724" i="2"/>
  <c r="Q723" i="2"/>
  <c r="P723" i="2"/>
  <c r="Q722" i="2"/>
  <c r="P722" i="2"/>
  <c r="Q721" i="2"/>
  <c r="P721" i="2"/>
  <c r="Q720" i="2"/>
  <c r="P720" i="2"/>
  <c r="Q719" i="2"/>
  <c r="P719" i="2"/>
  <c r="Q718" i="2"/>
  <c r="P718" i="2"/>
  <c r="Q717" i="2"/>
  <c r="P717" i="2"/>
  <c r="Q716" i="2"/>
  <c r="P716" i="2"/>
  <c r="Q715" i="2"/>
  <c r="P715" i="2"/>
  <c r="Q714" i="2"/>
  <c r="P714" i="2"/>
  <c r="Q713" i="2"/>
  <c r="P713" i="2"/>
  <c r="Q712" i="2"/>
  <c r="P712" i="2"/>
  <c r="Q711" i="2"/>
  <c r="P711" i="2"/>
  <c r="Q710" i="2"/>
  <c r="P710" i="2"/>
  <c r="Q709" i="2"/>
  <c r="P709" i="2"/>
  <c r="Q708" i="2"/>
  <c r="P708" i="2"/>
  <c r="Q707" i="2"/>
  <c r="P707" i="2"/>
  <c r="Q706" i="2"/>
  <c r="P706" i="2"/>
  <c r="Q705" i="2"/>
  <c r="P705" i="2"/>
  <c r="Q704" i="2"/>
  <c r="P704" i="2"/>
  <c r="Q703" i="2"/>
  <c r="P703" i="2"/>
  <c r="Q702" i="2"/>
  <c r="P702" i="2"/>
  <c r="Q701" i="2"/>
  <c r="P701" i="2"/>
  <c r="Q700" i="2"/>
  <c r="P700" i="2"/>
  <c r="Q699" i="2"/>
  <c r="P699" i="2"/>
  <c r="Q698" i="2"/>
  <c r="P698" i="2"/>
  <c r="Q697" i="2"/>
  <c r="P697" i="2"/>
  <c r="Q696" i="2"/>
  <c r="P696" i="2"/>
  <c r="Q695" i="2"/>
  <c r="P695" i="2"/>
  <c r="Q694" i="2"/>
  <c r="P694" i="2"/>
  <c r="Q693" i="2"/>
  <c r="P693" i="2"/>
  <c r="Q692" i="2"/>
  <c r="P692" i="2"/>
  <c r="Q691" i="2"/>
  <c r="P691" i="2"/>
  <c r="Q690" i="2"/>
  <c r="P690" i="2"/>
  <c r="Q689" i="2"/>
  <c r="P689" i="2"/>
  <c r="Q688" i="2"/>
  <c r="P688" i="2"/>
  <c r="Q687" i="2"/>
  <c r="P687" i="2"/>
  <c r="Q686" i="2"/>
  <c r="P686" i="2"/>
  <c r="Q685" i="2"/>
  <c r="P685" i="2"/>
  <c r="Q684" i="2"/>
  <c r="P684" i="2"/>
  <c r="Q683" i="2"/>
  <c r="P683" i="2"/>
  <c r="Q682" i="2"/>
  <c r="P682" i="2"/>
  <c r="Q681" i="2"/>
  <c r="P681" i="2"/>
  <c r="Q680" i="2"/>
  <c r="P680" i="2"/>
  <c r="Q679" i="2"/>
  <c r="P679" i="2"/>
  <c r="Q678" i="2"/>
  <c r="P678" i="2"/>
  <c r="Q677" i="2"/>
  <c r="P677" i="2"/>
  <c r="Q676" i="2"/>
  <c r="P676" i="2"/>
  <c r="Q675" i="2"/>
  <c r="P675" i="2"/>
  <c r="Q674" i="2"/>
  <c r="P674" i="2"/>
  <c r="Q673" i="2"/>
  <c r="P673" i="2"/>
  <c r="Q672" i="2"/>
  <c r="P672" i="2"/>
  <c r="Q671" i="2"/>
  <c r="P671" i="2"/>
  <c r="Q670" i="2"/>
  <c r="P670" i="2"/>
  <c r="Q669" i="2"/>
  <c r="P669" i="2"/>
  <c r="Q668" i="2"/>
  <c r="P668" i="2"/>
  <c r="Q667" i="2"/>
  <c r="P667" i="2"/>
  <c r="Q666" i="2"/>
  <c r="P666" i="2"/>
  <c r="Q665" i="2"/>
  <c r="P665" i="2"/>
  <c r="Q664" i="2"/>
  <c r="P664" i="2"/>
  <c r="Q663" i="2"/>
  <c r="P663" i="2"/>
  <c r="Q662" i="2"/>
  <c r="P662" i="2"/>
  <c r="Q661" i="2"/>
  <c r="P661" i="2"/>
  <c r="Q660" i="2"/>
  <c r="P660" i="2"/>
  <c r="Q659" i="2"/>
  <c r="P659" i="2"/>
  <c r="Q658" i="2"/>
  <c r="P658" i="2"/>
  <c r="Q657" i="2"/>
  <c r="P657" i="2"/>
  <c r="Q656" i="2"/>
  <c r="P656" i="2"/>
  <c r="Q655" i="2"/>
  <c r="P655" i="2"/>
  <c r="Q654" i="2"/>
  <c r="P654" i="2"/>
  <c r="Q653" i="2"/>
  <c r="P653" i="2"/>
  <c r="Q652" i="2"/>
  <c r="P652" i="2"/>
  <c r="Q651" i="2"/>
  <c r="P651" i="2"/>
  <c r="Q650" i="2"/>
  <c r="P650" i="2"/>
  <c r="Q649" i="2"/>
  <c r="P649" i="2"/>
  <c r="Q648" i="2"/>
  <c r="P648" i="2"/>
  <c r="Q647" i="2"/>
  <c r="P647" i="2"/>
  <c r="Q646" i="2"/>
  <c r="P646" i="2"/>
  <c r="Q645" i="2"/>
  <c r="P645" i="2"/>
  <c r="Q644" i="2"/>
  <c r="P644" i="2"/>
  <c r="Q643" i="2"/>
  <c r="P643" i="2"/>
  <c r="Q642" i="2"/>
  <c r="P642" i="2"/>
  <c r="Q641" i="2"/>
  <c r="P641" i="2"/>
  <c r="Q640" i="2"/>
  <c r="P640" i="2"/>
  <c r="Q639" i="2"/>
  <c r="P639" i="2"/>
  <c r="Q638" i="2"/>
  <c r="P638" i="2"/>
  <c r="Q637" i="2"/>
  <c r="P637" i="2"/>
  <c r="Q636" i="2"/>
  <c r="P636" i="2"/>
  <c r="Q635" i="2"/>
  <c r="P635" i="2"/>
  <c r="Q634" i="2"/>
  <c r="P634" i="2"/>
  <c r="Q633" i="2"/>
  <c r="P633" i="2"/>
  <c r="Q632" i="2"/>
  <c r="P632" i="2"/>
  <c r="Q631" i="2"/>
  <c r="P631" i="2"/>
  <c r="Q630" i="2"/>
  <c r="P630" i="2"/>
  <c r="Q629" i="2"/>
  <c r="P629" i="2"/>
  <c r="Q628" i="2"/>
  <c r="P628" i="2"/>
  <c r="Q627" i="2"/>
  <c r="P627" i="2"/>
  <c r="Q626" i="2"/>
  <c r="P626" i="2"/>
  <c r="Q625" i="2"/>
  <c r="P625" i="2"/>
  <c r="Q624" i="2"/>
  <c r="P624" i="2"/>
  <c r="Q623" i="2"/>
  <c r="P623" i="2"/>
  <c r="Q622" i="2"/>
  <c r="P622" i="2"/>
  <c r="Q621" i="2"/>
  <c r="P621" i="2"/>
  <c r="Q620" i="2"/>
  <c r="P620" i="2"/>
  <c r="Q619" i="2"/>
  <c r="P619" i="2"/>
  <c r="Q618" i="2"/>
  <c r="P618" i="2"/>
  <c r="Q617" i="2"/>
  <c r="P617" i="2"/>
  <c r="Q616" i="2"/>
  <c r="P616" i="2"/>
  <c r="Q615" i="2"/>
  <c r="P615" i="2"/>
  <c r="Q614" i="2"/>
  <c r="P614" i="2"/>
  <c r="Q613" i="2"/>
  <c r="P613" i="2"/>
  <c r="Q612" i="2"/>
  <c r="P612" i="2"/>
  <c r="Q611" i="2"/>
  <c r="P611" i="2"/>
  <c r="Q610" i="2"/>
  <c r="P610" i="2"/>
  <c r="Q609" i="2"/>
  <c r="P609" i="2"/>
  <c r="Q608" i="2"/>
  <c r="P608" i="2"/>
  <c r="Q607" i="2"/>
  <c r="P607" i="2"/>
  <c r="Q606" i="2"/>
  <c r="P606" i="2"/>
  <c r="Q605" i="2"/>
  <c r="P605" i="2"/>
  <c r="Q604" i="2"/>
  <c r="P604" i="2"/>
  <c r="Q603" i="2"/>
  <c r="P603" i="2"/>
  <c r="Q602" i="2"/>
  <c r="P602" i="2"/>
  <c r="Q601" i="2"/>
  <c r="P601" i="2"/>
  <c r="Q600" i="2"/>
  <c r="P600" i="2"/>
  <c r="Q599" i="2"/>
  <c r="P599" i="2"/>
  <c r="Q598" i="2"/>
  <c r="P598" i="2"/>
  <c r="Q597" i="2"/>
  <c r="P597" i="2"/>
  <c r="Q596" i="2"/>
  <c r="P596" i="2"/>
  <c r="Q595" i="2"/>
  <c r="P595" i="2"/>
  <c r="Q594" i="2"/>
  <c r="P594" i="2"/>
  <c r="Q593" i="2"/>
  <c r="P593" i="2"/>
  <c r="Q592" i="2"/>
  <c r="P592" i="2"/>
  <c r="Q591" i="2"/>
  <c r="P591" i="2"/>
  <c r="Q590" i="2"/>
  <c r="P590" i="2"/>
  <c r="Q589" i="2"/>
  <c r="P589" i="2"/>
  <c r="Q588" i="2"/>
  <c r="P588" i="2"/>
  <c r="Q587" i="2"/>
  <c r="P587" i="2"/>
  <c r="Q586" i="2"/>
  <c r="P586" i="2"/>
  <c r="Q585" i="2"/>
  <c r="P585" i="2"/>
  <c r="Q584" i="2"/>
  <c r="P584" i="2"/>
  <c r="Q583" i="2"/>
  <c r="P583" i="2"/>
  <c r="Q582" i="2"/>
  <c r="P582" i="2"/>
  <c r="R581" i="2"/>
  <c r="Q581" i="2"/>
  <c r="P581" i="2"/>
  <c r="Q580" i="2"/>
  <c r="P580" i="2"/>
  <c r="S580" i="2" s="1"/>
  <c r="Q579" i="2"/>
  <c r="P579" i="2"/>
  <c r="S579" i="2" s="1"/>
  <c r="Q578" i="2"/>
  <c r="P578" i="2"/>
  <c r="Q577" i="2"/>
  <c r="P577" i="2"/>
  <c r="Q576" i="2"/>
  <c r="P576" i="2"/>
  <c r="S576" i="2" s="1"/>
  <c r="Q575" i="2"/>
  <c r="P575" i="2"/>
  <c r="S575" i="2" s="1"/>
  <c r="Q574" i="2"/>
  <c r="P574" i="2"/>
  <c r="S574" i="2" s="1"/>
  <c r="Q573" i="2"/>
  <c r="P573" i="2"/>
  <c r="Q572" i="2"/>
  <c r="P572" i="2"/>
  <c r="S572" i="2" s="1"/>
  <c r="Q571" i="2"/>
  <c r="P571" i="2"/>
  <c r="S571" i="2" s="1"/>
  <c r="Q570" i="2"/>
  <c r="P570" i="2"/>
  <c r="Q569" i="2"/>
  <c r="P569" i="2"/>
  <c r="Q568" i="2"/>
  <c r="P568" i="2"/>
  <c r="Q567" i="2"/>
  <c r="P567" i="2"/>
  <c r="Q566" i="2"/>
  <c r="P566" i="2"/>
  <c r="Q565" i="2"/>
  <c r="P565" i="2"/>
  <c r="Q564" i="2"/>
  <c r="P564" i="2"/>
  <c r="Q563" i="2"/>
  <c r="P563" i="2"/>
  <c r="Q562" i="2"/>
  <c r="P562" i="2"/>
  <c r="Q561" i="2"/>
  <c r="P561" i="2"/>
  <c r="Q560" i="2"/>
  <c r="P560" i="2"/>
  <c r="Q559" i="2"/>
  <c r="P559" i="2"/>
  <c r="Q558" i="2"/>
  <c r="P558" i="2"/>
  <c r="Q557" i="2"/>
  <c r="P557" i="2"/>
  <c r="Q556" i="2"/>
  <c r="P556" i="2"/>
  <c r="Q555" i="2"/>
  <c r="P555" i="2"/>
  <c r="Q554" i="2"/>
  <c r="P554" i="2"/>
  <c r="Q553" i="2"/>
  <c r="P553" i="2"/>
  <c r="Q552" i="2"/>
  <c r="P552" i="2"/>
  <c r="Q551" i="2"/>
  <c r="P551" i="2"/>
  <c r="Q550" i="2"/>
  <c r="P550" i="2"/>
  <c r="Q549" i="2"/>
  <c r="P549" i="2"/>
  <c r="Q548" i="2"/>
  <c r="P548" i="2"/>
  <c r="Q547" i="2"/>
  <c r="P547" i="2"/>
  <c r="Q546" i="2"/>
  <c r="P546" i="2"/>
  <c r="Q545" i="2"/>
  <c r="P545" i="2"/>
  <c r="Q544" i="2"/>
  <c r="P544" i="2"/>
  <c r="Q543" i="2"/>
  <c r="P543" i="2"/>
  <c r="Q542" i="2"/>
  <c r="P542" i="2"/>
  <c r="Q541" i="2"/>
  <c r="P541" i="2"/>
  <c r="Q540" i="2"/>
  <c r="P540" i="2"/>
  <c r="Q539" i="2"/>
  <c r="P539" i="2"/>
  <c r="Q538" i="2"/>
  <c r="P538" i="2"/>
  <c r="Q537" i="2"/>
  <c r="P537" i="2"/>
  <c r="Q536" i="2"/>
  <c r="P536" i="2"/>
  <c r="Q535" i="2"/>
  <c r="P535" i="2"/>
  <c r="Q534" i="2"/>
  <c r="P534" i="2"/>
  <c r="Q533" i="2"/>
  <c r="P533" i="2"/>
  <c r="Q532" i="2"/>
  <c r="P532" i="2"/>
  <c r="Q531" i="2"/>
  <c r="P531" i="2"/>
  <c r="Q530" i="2"/>
  <c r="P530" i="2"/>
  <c r="Q529" i="2"/>
  <c r="P529" i="2"/>
  <c r="Q528" i="2"/>
  <c r="P528" i="2"/>
  <c r="Q527" i="2"/>
  <c r="P527" i="2"/>
  <c r="Q526" i="2"/>
  <c r="P526" i="2"/>
  <c r="Q525" i="2"/>
  <c r="P525" i="2"/>
  <c r="Q524" i="2"/>
  <c r="P524" i="2"/>
  <c r="Q523" i="2"/>
  <c r="P523" i="2"/>
  <c r="Q522" i="2"/>
  <c r="P522" i="2"/>
  <c r="Q521" i="2"/>
  <c r="P521" i="2"/>
  <c r="Q520" i="2"/>
  <c r="P520" i="2"/>
  <c r="Q519" i="2"/>
  <c r="P519" i="2"/>
  <c r="Q518" i="2"/>
  <c r="P518" i="2"/>
  <c r="Q517" i="2"/>
  <c r="P517" i="2"/>
  <c r="Q516" i="2"/>
  <c r="P516" i="2"/>
  <c r="Q515" i="2"/>
  <c r="P515" i="2"/>
  <c r="Q514" i="2"/>
  <c r="P514" i="2"/>
  <c r="Q513" i="2"/>
  <c r="P513" i="2"/>
  <c r="Q512" i="2"/>
  <c r="P512" i="2"/>
  <c r="Q511" i="2"/>
  <c r="P511" i="2"/>
  <c r="Q510" i="2"/>
  <c r="P510" i="2"/>
  <c r="Q509" i="2"/>
  <c r="P509" i="2"/>
  <c r="Q508" i="2"/>
  <c r="P508" i="2"/>
  <c r="Q507" i="2"/>
  <c r="P507" i="2"/>
  <c r="Q506" i="2"/>
  <c r="P506" i="2"/>
  <c r="Q505" i="2"/>
  <c r="P505" i="2"/>
  <c r="Q504" i="2"/>
  <c r="P504" i="2"/>
  <c r="Q503" i="2"/>
  <c r="P503" i="2"/>
  <c r="Q502" i="2"/>
  <c r="P502" i="2"/>
  <c r="Q501" i="2"/>
  <c r="P501" i="2"/>
  <c r="Q500" i="2"/>
  <c r="P500" i="2"/>
  <c r="Q499" i="2"/>
  <c r="P499" i="2"/>
  <c r="Q498" i="2"/>
  <c r="P498" i="2"/>
  <c r="Q497" i="2"/>
  <c r="P497" i="2"/>
  <c r="Q496" i="2"/>
  <c r="P496" i="2"/>
  <c r="Q495" i="2"/>
  <c r="P495" i="2"/>
  <c r="Q494" i="2"/>
  <c r="P494" i="2"/>
  <c r="Q493" i="2"/>
  <c r="P493" i="2"/>
  <c r="Q492" i="2"/>
  <c r="P492" i="2"/>
  <c r="Q491" i="2"/>
  <c r="P491" i="2"/>
  <c r="Q490" i="2"/>
  <c r="P490" i="2"/>
  <c r="Q489" i="2"/>
  <c r="P489" i="2"/>
  <c r="Q488" i="2"/>
  <c r="P488" i="2"/>
  <c r="Q487" i="2"/>
  <c r="P487" i="2"/>
  <c r="Q486" i="2"/>
  <c r="P486" i="2"/>
  <c r="Q485" i="2"/>
  <c r="P485" i="2"/>
  <c r="Q484" i="2"/>
  <c r="P484" i="2"/>
  <c r="Q483" i="2"/>
  <c r="P483" i="2"/>
  <c r="Q482" i="2"/>
  <c r="P482" i="2"/>
  <c r="Q481" i="2"/>
  <c r="P481" i="2"/>
  <c r="Q480" i="2"/>
  <c r="P480" i="2"/>
  <c r="Q479" i="2"/>
  <c r="P479" i="2"/>
  <c r="Q478" i="2"/>
  <c r="P478" i="2"/>
  <c r="Q477" i="2"/>
  <c r="P477" i="2"/>
  <c r="Q476" i="2"/>
  <c r="P476" i="2"/>
  <c r="Q475" i="2"/>
  <c r="P475" i="2"/>
  <c r="R474" i="2"/>
  <c r="Q474" i="2"/>
  <c r="P474" i="2"/>
  <c r="Q473" i="2"/>
  <c r="P473" i="2"/>
  <c r="S473" i="2" s="1"/>
  <c r="Q472" i="2"/>
  <c r="P472" i="2"/>
  <c r="S472" i="2" s="1"/>
  <c r="Q471" i="2"/>
  <c r="P471" i="2"/>
  <c r="Q470" i="2"/>
  <c r="P470" i="2"/>
  <c r="Q469" i="2"/>
  <c r="P469" i="2"/>
  <c r="S469" i="2" s="1"/>
  <c r="Q468" i="2"/>
  <c r="P468" i="2"/>
  <c r="S468" i="2" s="1"/>
  <c r="Q467" i="2"/>
  <c r="P467" i="2"/>
  <c r="S467" i="2" s="1"/>
  <c r="Q466" i="2"/>
  <c r="P466" i="2"/>
  <c r="Q465" i="2"/>
  <c r="P465" i="2"/>
  <c r="S465" i="2" s="1"/>
  <c r="Q464" i="2"/>
  <c r="P464" i="2"/>
  <c r="S464" i="2" s="1"/>
  <c r="Q463" i="2"/>
  <c r="P463" i="2"/>
  <c r="S463" i="2" s="1"/>
  <c r="Q462" i="2"/>
  <c r="P462" i="2"/>
  <c r="Q461" i="2"/>
  <c r="P461" i="2"/>
  <c r="S461" i="2" s="1"/>
  <c r="Q460" i="2"/>
  <c r="P460" i="2"/>
  <c r="S460" i="2" s="1"/>
  <c r="Q459" i="2"/>
  <c r="P459" i="2"/>
  <c r="S459" i="2" s="1"/>
  <c r="Q458" i="2"/>
  <c r="P458" i="2"/>
  <c r="Q457" i="2"/>
  <c r="P457" i="2"/>
  <c r="S457" i="2" s="1"/>
  <c r="Q456" i="2"/>
  <c r="P456" i="2"/>
  <c r="S456" i="2" s="1"/>
  <c r="Q455" i="2"/>
  <c r="P455" i="2"/>
  <c r="S455" i="2" s="1"/>
  <c r="Q454" i="2"/>
  <c r="P454" i="2"/>
  <c r="Q453" i="2"/>
  <c r="P453" i="2"/>
  <c r="S453" i="2" s="1"/>
  <c r="Q452" i="2"/>
  <c r="P452" i="2"/>
  <c r="S452" i="2" s="1"/>
  <c r="Q451" i="2"/>
  <c r="P451" i="2"/>
  <c r="S451" i="2" s="1"/>
  <c r="Q450" i="2"/>
  <c r="P450" i="2"/>
  <c r="Q449" i="2"/>
  <c r="P449" i="2"/>
  <c r="S449" i="2" s="1"/>
  <c r="Q448" i="2"/>
  <c r="P448" i="2"/>
  <c r="S448" i="2" s="1"/>
  <c r="Q447" i="2"/>
  <c r="P447" i="2"/>
  <c r="S447" i="2" s="1"/>
  <c r="Q446" i="2"/>
  <c r="P446" i="2"/>
  <c r="Q445" i="2"/>
  <c r="P445" i="2"/>
  <c r="S445" i="2" s="1"/>
  <c r="Q444" i="2"/>
  <c r="P444" i="2"/>
  <c r="S444" i="2" s="1"/>
  <c r="Q443" i="2"/>
  <c r="P443" i="2"/>
  <c r="S443" i="2" s="1"/>
  <c r="Q442" i="2"/>
  <c r="P442" i="2"/>
  <c r="Q441" i="2"/>
  <c r="P441" i="2"/>
  <c r="S441" i="2" s="1"/>
  <c r="Q440" i="2"/>
  <c r="P440" i="2"/>
  <c r="S440" i="2" s="1"/>
  <c r="Q439" i="2"/>
  <c r="P439" i="2"/>
  <c r="S439" i="2" s="1"/>
  <c r="Q438" i="2"/>
  <c r="P438" i="2"/>
  <c r="Q437" i="2"/>
  <c r="P437" i="2"/>
  <c r="S437" i="2" s="1"/>
  <c r="Q436" i="2"/>
  <c r="P436" i="2"/>
  <c r="S436" i="2" s="1"/>
  <c r="Q435" i="2"/>
  <c r="P435" i="2"/>
  <c r="S435" i="2" s="1"/>
  <c r="Q434" i="2"/>
  <c r="P434" i="2"/>
  <c r="Q433" i="2"/>
  <c r="P433" i="2"/>
  <c r="S433" i="2" s="1"/>
  <c r="Q432" i="2"/>
  <c r="P432" i="2"/>
  <c r="S432" i="2" s="1"/>
  <c r="Q431" i="2"/>
  <c r="P431" i="2"/>
  <c r="S431" i="2" s="1"/>
  <c r="Q430" i="2"/>
  <c r="P430" i="2"/>
  <c r="Q429" i="2"/>
  <c r="P429" i="2"/>
  <c r="S429" i="2" s="1"/>
  <c r="Q428" i="2"/>
  <c r="P428" i="2"/>
  <c r="S428" i="2" s="1"/>
  <c r="Q427" i="2"/>
  <c r="P427" i="2"/>
  <c r="S427" i="2" s="1"/>
  <c r="Q426" i="2"/>
  <c r="P426" i="2"/>
  <c r="Q425" i="2"/>
  <c r="P425" i="2"/>
  <c r="S425" i="2" s="1"/>
  <c r="Q424" i="2"/>
  <c r="P424" i="2"/>
  <c r="S424" i="2" s="1"/>
  <c r="Q423" i="2"/>
  <c r="P423" i="2"/>
  <c r="S423" i="2" s="1"/>
  <c r="Q422" i="2"/>
  <c r="P422" i="2"/>
  <c r="Q421" i="2"/>
  <c r="P421" i="2"/>
  <c r="S421" i="2" s="1"/>
  <c r="Q420" i="2"/>
  <c r="P420" i="2"/>
  <c r="S420" i="2" s="1"/>
  <c r="Q419" i="2"/>
  <c r="P419" i="2"/>
  <c r="S419" i="2" s="1"/>
  <c r="Q418" i="2"/>
  <c r="P418" i="2"/>
  <c r="Q417" i="2"/>
  <c r="P417" i="2"/>
  <c r="S417" i="2" s="1"/>
  <c r="Q416" i="2"/>
  <c r="P416" i="2"/>
  <c r="S416" i="2" s="1"/>
  <c r="Q415" i="2"/>
  <c r="P415" i="2"/>
  <c r="S415" i="2" s="1"/>
  <c r="Q414" i="2"/>
  <c r="P414" i="2"/>
  <c r="Q413" i="2"/>
  <c r="P413" i="2"/>
  <c r="S413" i="2" s="1"/>
  <c r="Q412" i="2"/>
  <c r="P412" i="2"/>
  <c r="S412" i="2" s="1"/>
  <c r="Q411" i="2"/>
  <c r="P411" i="2"/>
  <c r="S411" i="2" s="1"/>
  <c r="Q410" i="2"/>
  <c r="P410" i="2"/>
  <c r="Q409" i="2"/>
  <c r="P409" i="2"/>
  <c r="S409" i="2" s="1"/>
  <c r="Q408" i="2"/>
  <c r="P408" i="2"/>
  <c r="S408" i="2" s="1"/>
  <c r="Q407" i="2"/>
  <c r="P407" i="2"/>
  <c r="S407" i="2" s="1"/>
  <c r="Q406" i="2"/>
  <c r="P406" i="2"/>
  <c r="Q405" i="2"/>
  <c r="P405" i="2"/>
  <c r="S405" i="2" s="1"/>
  <c r="Q404" i="2"/>
  <c r="P404" i="2"/>
  <c r="S404" i="2" s="1"/>
  <c r="Q403" i="2"/>
  <c r="P403" i="2"/>
  <c r="S403" i="2" s="1"/>
  <c r="Q402" i="2"/>
  <c r="P402" i="2"/>
  <c r="Q401" i="2"/>
  <c r="P401" i="2"/>
  <c r="S401" i="2" s="1"/>
  <c r="Q400" i="2"/>
  <c r="P400" i="2"/>
  <c r="S400" i="2" s="1"/>
  <c r="Q399" i="2"/>
  <c r="P399" i="2"/>
  <c r="S399" i="2" s="1"/>
  <c r="Q398" i="2"/>
  <c r="P398" i="2"/>
  <c r="Q397" i="2"/>
  <c r="P397" i="2"/>
  <c r="S397" i="2" s="1"/>
  <c r="Q396" i="2"/>
  <c r="P396" i="2"/>
  <c r="S396" i="2" s="1"/>
  <c r="Q395" i="2"/>
  <c r="P395" i="2"/>
  <c r="S395" i="2" s="1"/>
  <c r="Q394" i="2"/>
  <c r="P394" i="2"/>
  <c r="Q393" i="2"/>
  <c r="P393" i="2"/>
  <c r="Q392" i="2"/>
  <c r="P392" i="2"/>
  <c r="Q391" i="2"/>
  <c r="P391" i="2"/>
  <c r="Q390" i="2"/>
  <c r="P390" i="2"/>
  <c r="Q389" i="2"/>
  <c r="P389" i="2"/>
  <c r="Q388" i="2"/>
  <c r="P388" i="2"/>
  <c r="Q387" i="2"/>
  <c r="P387" i="2"/>
  <c r="Q386" i="2"/>
  <c r="P386" i="2"/>
  <c r="Q385" i="2"/>
  <c r="P385" i="2"/>
  <c r="Q384" i="2"/>
  <c r="P384" i="2"/>
  <c r="Q383" i="2"/>
  <c r="P383" i="2"/>
  <c r="Q382" i="2"/>
  <c r="P382" i="2"/>
  <c r="Q381" i="2"/>
  <c r="P381" i="2"/>
  <c r="Q380" i="2"/>
  <c r="P380" i="2"/>
  <c r="Q379" i="2"/>
  <c r="P379" i="2"/>
  <c r="Q378" i="2"/>
  <c r="P378" i="2"/>
  <c r="Q377" i="2"/>
  <c r="P377" i="2"/>
  <c r="Q376" i="2"/>
  <c r="P376" i="2"/>
  <c r="Q375" i="2"/>
  <c r="P375" i="2"/>
  <c r="Q374" i="2"/>
  <c r="P374" i="2"/>
  <c r="Q373" i="2"/>
  <c r="P373" i="2"/>
  <c r="Q372" i="2"/>
  <c r="P372" i="2"/>
  <c r="Q371" i="2"/>
  <c r="P371" i="2"/>
  <c r="Q370" i="2"/>
  <c r="P370" i="2"/>
  <c r="Q369" i="2"/>
  <c r="P369" i="2"/>
  <c r="Q368" i="2"/>
  <c r="P368" i="2"/>
  <c r="Q367" i="2"/>
  <c r="P367" i="2"/>
  <c r="Q366" i="2"/>
  <c r="P366" i="2"/>
  <c r="Q365" i="2"/>
  <c r="P365" i="2"/>
  <c r="Q364" i="2"/>
  <c r="P364" i="2"/>
  <c r="Q363" i="2"/>
  <c r="P363" i="2"/>
  <c r="Q362" i="2"/>
  <c r="P362" i="2"/>
  <c r="Q361" i="2"/>
  <c r="P361" i="2"/>
  <c r="Q360" i="2"/>
  <c r="P360" i="2"/>
  <c r="Q359" i="2"/>
  <c r="P359" i="2"/>
  <c r="Q358" i="2"/>
  <c r="P358" i="2"/>
  <c r="Q357" i="2"/>
  <c r="P357" i="2"/>
  <c r="Q356" i="2"/>
  <c r="P356" i="2"/>
  <c r="Q355" i="2"/>
  <c r="P355" i="2"/>
  <c r="Q354" i="2"/>
  <c r="P354" i="2"/>
  <c r="Q353" i="2"/>
  <c r="P353" i="2"/>
  <c r="Q352" i="2"/>
  <c r="P352" i="2"/>
  <c r="Q351" i="2"/>
  <c r="P351" i="2"/>
  <c r="Q350" i="2"/>
  <c r="P350" i="2"/>
  <c r="Q349" i="2"/>
  <c r="P349" i="2"/>
  <c r="Q348" i="2"/>
  <c r="P348" i="2"/>
  <c r="Q347" i="2"/>
  <c r="P347" i="2"/>
  <c r="Q346" i="2"/>
  <c r="P346" i="2"/>
  <c r="Q345" i="2"/>
  <c r="P345" i="2"/>
  <c r="Q344" i="2"/>
  <c r="P344" i="2"/>
  <c r="Q343" i="2"/>
  <c r="P343" i="2"/>
  <c r="Q342" i="2"/>
  <c r="P342" i="2"/>
  <c r="Q341" i="2"/>
  <c r="P341" i="2"/>
  <c r="Q340" i="2"/>
  <c r="P340" i="2"/>
  <c r="Q339" i="2"/>
  <c r="P339" i="2"/>
  <c r="Q338" i="2"/>
  <c r="P338" i="2"/>
  <c r="Q337" i="2"/>
  <c r="P337" i="2"/>
  <c r="Q336" i="2"/>
  <c r="P336" i="2"/>
  <c r="Q335" i="2"/>
  <c r="P335" i="2"/>
  <c r="Q334" i="2"/>
  <c r="P334" i="2"/>
  <c r="Q333" i="2"/>
  <c r="P333" i="2"/>
  <c r="Q332" i="2"/>
  <c r="P332" i="2"/>
  <c r="Q331" i="2"/>
  <c r="P331" i="2"/>
  <c r="Q330" i="2"/>
  <c r="P330" i="2"/>
  <c r="Q329" i="2"/>
  <c r="P329" i="2"/>
  <c r="Q328" i="2"/>
  <c r="P328" i="2"/>
  <c r="Q327" i="2"/>
  <c r="P327" i="2"/>
  <c r="Q326" i="2"/>
  <c r="P326" i="2"/>
  <c r="Q325" i="2"/>
  <c r="P325" i="2"/>
  <c r="Q324" i="2"/>
  <c r="P324" i="2"/>
  <c r="Q323" i="2"/>
  <c r="P323" i="2"/>
  <c r="Q322" i="2"/>
  <c r="P322" i="2"/>
  <c r="Q321" i="2"/>
  <c r="P321" i="2"/>
  <c r="Q320" i="2"/>
  <c r="P320" i="2"/>
  <c r="Q319" i="2"/>
  <c r="P319" i="2"/>
  <c r="Q318" i="2"/>
  <c r="P318" i="2"/>
  <c r="Q317" i="2"/>
  <c r="P317" i="2"/>
  <c r="Q316" i="2"/>
  <c r="P316" i="2"/>
  <c r="Q315" i="2"/>
  <c r="P315" i="2"/>
  <c r="Q314" i="2"/>
  <c r="P314" i="2"/>
  <c r="Q313" i="2"/>
  <c r="P313" i="2"/>
  <c r="Q312" i="2"/>
  <c r="P312" i="2"/>
  <c r="Q311" i="2"/>
  <c r="P311" i="2"/>
  <c r="Q310" i="2"/>
  <c r="P310" i="2"/>
  <c r="Q309" i="2"/>
  <c r="P309" i="2"/>
  <c r="Q308" i="2"/>
  <c r="P308" i="2"/>
  <c r="Q307" i="2"/>
  <c r="P307" i="2"/>
  <c r="Q306" i="2"/>
  <c r="P306" i="2"/>
  <c r="Q305" i="2"/>
  <c r="P305" i="2"/>
  <c r="Q304" i="2"/>
  <c r="P304" i="2"/>
  <c r="Q303" i="2"/>
  <c r="P303" i="2"/>
  <c r="Q302" i="2"/>
  <c r="P302" i="2"/>
  <c r="Q301" i="2"/>
  <c r="P301" i="2"/>
  <c r="Q300" i="2"/>
  <c r="P300" i="2"/>
  <c r="Q299" i="2"/>
  <c r="P299" i="2"/>
  <c r="Q298" i="2"/>
  <c r="P298" i="2"/>
  <c r="Q297" i="2"/>
  <c r="P297" i="2"/>
  <c r="Q296" i="2"/>
  <c r="P296" i="2"/>
  <c r="Q295" i="2"/>
  <c r="P295" i="2"/>
  <c r="Q294" i="2"/>
  <c r="P294" i="2"/>
  <c r="R293" i="2"/>
  <c r="Q293" i="2"/>
  <c r="P293" i="2"/>
  <c r="S293" i="2" s="1"/>
  <c r="Q292" i="2"/>
  <c r="P292" i="2"/>
  <c r="S292" i="2" s="1"/>
  <c r="Q291" i="2"/>
  <c r="P291" i="2"/>
  <c r="S291" i="2" s="1"/>
  <c r="Q290" i="2"/>
  <c r="P290" i="2"/>
  <c r="Q289" i="2"/>
  <c r="P289" i="2"/>
  <c r="S289" i="2" s="1"/>
  <c r="Q288" i="2"/>
  <c r="P288" i="2"/>
  <c r="S288" i="2" s="1"/>
  <c r="Q287" i="2"/>
  <c r="P287" i="2"/>
  <c r="S287" i="2" s="1"/>
  <c r="Q286" i="2"/>
  <c r="P286" i="2"/>
  <c r="S286" i="2" s="1"/>
  <c r="Q285" i="2"/>
  <c r="P285" i="2"/>
  <c r="S285" i="2" s="1"/>
  <c r="Q284" i="2"/>
  <c r="P284" i="2"/>
  <c r="S284" i="2" s="1"/>
  <c r="Q283" i="2"/>
  <c r="P283" i="2"/>
  <c r="S283" i="2" s="1"/>
  <c r="Q282" i="2"/>
  <c r="P282" i="2"/>
  <c r="S282" i="2" s="1"/>
  <c r="Q281" i="2"/>
  <c r="P281" i="2"/>
  <c r="S281" i="2" s="1"/>
  <c r="Q280" i="2"/>
  <c r="P280" i="2"/>
  <c r="S280" i="2" s="1"/>
  <c r="Q279" i="2"/>
  <c r="P279" i="2"/>
  <c r="S279" i="2" s="1"/>
  <c r="Q278" i="2"/>
  <c r="P278" i="2"/>
  <c r="S278" i="2" s="1"/>
  <c r="Q277" i="2"/>
  <c r="P277" i="2"/>
  <c r="S277" i="2" s="1"/>
  <c r="Q276" i="2"/>
  <c r="P276" i="2"/>
  <c r="S276" i="2" s="1"/>
  <c r="Q275" i="2"/>
  <c r="P275" i="2"/>
  <c r="S275" i="2" s="1"/>
  <c r="Q274" i="2"/>
  <c r="P274" i="2"/>
  <c r="S274" i="2" s="1"/>
  <c r="Q273" i="2"/>
  <c r="P273" i="2"/>
  <c r="S273" i="2" s="1"/>
  <c r="Q272" i="2"/>
  <c r="P272" i="2"/>
  <c r="S272" i="2" s="1"/>
  <c r="Q271" i="2"/>
  <c r="P271" i="2"/>
  <c r="S271" i="2" s="1"/>
  <c r="Q270" i="2"/>
  <c r="P270" i="2"/>
  <c r="Q269" i="2"/>
  <c r="P269" i="2"/>
  <c r="S269" i="2" s="1"/>
  <c r="Q268" i="2"/>
  <c r="P268" i="2"/>
  <c r="S268" i="2" s="1"/>
  <c r="Q267" i="2"/>
  <c r="P267" i="2"/>
  <c r="S267" i="2" s="1"/>
  <c r="Q266" i="2"/>
  <c r="P266" i="2"/>
  <c r="S266" i="2" s="1"/>
  <c r="Q265" i="2"/>
  <c r="P265" i="2"/>
  <c r="S265" i="2" s="1"/>
  <c r="Q264" i="2"/>
  <c r="P264" i="2"/>
  <c r="S264" i="2" s="1"/>
  <c r="Q263" i="2"/>
  <c r="P263" i="2"/>
  <c r="S263" i="2" s="1"/>
  <c r="Q262" i="2"/>
  <c r="P262" i="2"/>
  <c r="S262" i="2" s="1"/>
  <c r="Q261" i="2"/>
  <c r="P261" i="2"/>
  <c r="Q260" i="2"/>
  <c r="P260" i="2"/>
  <c r="S260" i="2" s="1"/>
  <c r="Q259" i="2"/>
  <c r="P259" i="2"/>
  <c r="S259" i="2" s="1"/>
  <c r="Q258" i="2"/>
  <c r="P258" i="2"/>
  <c r="S258" i="2" s="1"/>
  <c r="Q257" i="2"/>
  <c r="P257" i="2"/>
  <c r="Q256" i="2"/>
  <c r="P256" i="2"/>
  <c r="S256" i="2" s="1"/>
  <c r="Q255" i="2"/>
  <c r="P255" i="2"/>
  <c r="S255" i="2" s="1"/>
  <c r="Q254" i="2"/>
  <c r="P254" i="2"/>
  <c r="Q253" i="2"/>
  <c r="P253" i="2"/>
  <c r="S253" i="2" s="1"/>
  <c r="Q252" i="2"/>
  <c r="P252" i="2"/>
  <c r="S252" i="2" s="1"/>
  <c r="Q251" i="2"/>
  <c r="P251" i="2"/>
  <c r="S251" i="2" s="1"/>
  <c r="Q250" i="2"/>
  <c r="P250" i="2"/>
  <c r="S250" i="2" s="1"/>
  <c r="Q249" i="2"/>
  <c r="P249" i="2"/>
  <c r="S249" i="2" s="1"/>
  <c r="Q248" i="2"/>
  <c r="P248" i="2"/>
  <c r="S248" i="2" s="1"/>
  <c r="Q247" i="2"/>
  <c r="P247" i="2"/>
  <c r="S247" i="2" s="1"/>
  <c r="Q246" i="2"/>
  <c r="P246" i="2"/>
  <c r="S246" i="2" s="1"/>
  <c r="Q245" i="2"/>
  <c r="P245" i="2"/>
  <c r="S245" i="2" s="1"/>
  <c r="Q244" i="2"/>
  <c r="P244" i="2"/>
  <c r="S244" i="2" s="1"/>
  <c r="Q243" i="2"/>
  <c r="P243" i="2"/>
  <c r="S243" i="2" s="1"/>
  <c r="Q242" i="2"/>
  <c r="P242" i="2"/>
  <c r="S242" i="2" s="1"/>
  <c r="Q241" i="2"/>
  <c r="P241" i="2"/>
  <c r="S241" i="2" s="1"/>
  <c r="Q240" i="2"/>
  <c r="P240" i="2"/>
  <c r="S240" i="2" s="1"/>
  <c r="Q239" i="2"/>
  <c r="P239" i="2"/>
  <c r="S239" i="2" s="1"/>
  <c r="Q238" i="2"/>
  <c r="P238" i="2"/>
  <c r="S238" i="2" s="1"/>
  <c r="Q237" i="2"/>
  <c r="P237" i="2"/>
  <c r="S237" i="2" s="1"/>
  <c r="Q236" i="2"/>
  <c r="P236" i="2"/>
  <c r="S236" i="2" s="1"/>
  <c r="Q235" i="2"/>
  <c r="P235" i="2"/>
  <c r="S235" i="2" s="1"/>
  <c r="Q234" i="2"/>
  <c r="P234" i="2"/>
  <c r="Q233" i="2"/>
  <c r="P233" i="2"/>
  <c r="S233" i="2" s="1"/>
  <c r="Q232" i="2"/>
  <c r="P232" i="2"/>
  <c r="S232" i="2" s="1"/>
  <c r="Q231" i="2"/>
  <c r="P231" i="2"/>
  <c r="S231" i="2" s="1"/>
  <c r="Q230" i="2"/>
  <c r="P230" i="2"/>
  <c r="S230" i="2" s="1"/>
  <c r="Q229" i="2"/>
  <c r="P229" i="2"/>
  <c r="S229" i="2" s="1"/>
  <c r="Q228" i="2"/>
  <c r="P228" i="2"/>
  <c r="S228" i="2" s="1"/>
  <c r="Q227" i="2"/>
  <c r="P227" i="2"/>
  <c r="S227" i="2" s="1"/>
  <c r="Q226" i="2"/>
  <c r="P226" i="2"/>
  <c r="S226" i="2" s="1"/>
  <c r="Q225" i="2"/>
  <c r="P225" i="2"/>
  <c r="S225" i="2" s="1"/>
  <c r="Q224" i="2"/>
  <c r="P224" i="2"/>
  <c r="S224" i="2" s="1"/>
  <c r="Q223" i="2"/>
  <c r="P223" i="2"/>
  <c r="S223" i="2" s="1"/>
  <c r="Q222" i="2"/>
  <c r="P222" i="2"/>
  <c r="Q221" i="2"/>
  <c r="P221" i="2"/>
  <c r="Q220" i="2"/>
  <c r="P220" i="2"/>
  <c r="Q219" i="2"/>
  <c r="P219" i="2"/>
  <c r="Q218" i="2"/>
  <c r="P218" i="2"/>
  <c r="Q217" i="2"/>
  <c r="P217" i="2"/>
  <c r="Q216" i="2"/>
  <c r="P216" i="2"/>
  <c r="Q215" i="2"/>
  <c r="P215" i="2"/>
  <c r="Q214" i="2"/>
  <c r="P214" i="2"/>
  <c r="Q213" i="2"/>
  <c r="P213" i="2"/>
  <c r="Q212" i="2"/>
  <c r="P212" i="2"/>
  <c r="Q211" i="2"/>
  <c r="P211" i="2"/>
  <c r="Q210" i="2"/>
  <c r="P210" i="2"/>
  <c r="Q209" i="2"/>
  <c r="P209" i="2"/>
  <c r="Q208" i="2"/>
  <c r="P208" i="2"/>
  <c r="Q207" i="2"/>
  <c r="P207" i="2"/>
  <c r="Q206" i="2"/>
  <c r="P206" i="2"/>
  <c r="Q205" i="2"/>
  <c r="P205" i="2"/>
  <c r="Q204" i="2"/>
  <c r="P204" i="2"/>
  <c r="Q203" i="2"/>
  <c r="P203" i="2"/>
  <c r="Q202" i="2"/>
  <c r="P202" i="2"/>
  <c r="Q201" i="2"/>
  <c r="P201" i="2"/>
  <c r="Q200" i="2"/>
  <c r="P200" i="2"/>
  <c r="Q199" i="2"/>
  <c r="P199" i="2"/>
  <c r="Q198" i="2"/>
  <c r="P198" i="2"/>
  <c r="Q197" i="2"/>
  <c r="P197" i="2"/>
  <c r="Q196" i="2"/>
  <c r="P196" i="2"/>
  <c r="Q195" i="2"/>
  <c r="P195" i="2"/>
  <c r="Q194" i="2"/>
  <c r="P194" i="2"/>
  <c r="Q193" i="2"/>
  <c r="P193" i="2"/>
  <c r="Q192" i="2"/>
  <c r="P192" i="2"/>
  <c r="Q191" i="2"/>
  <c r="P191" i="2"/>
  <c r="Q190" i="2"/>
  <c r="P190" i="2"/>
  <c r="Q189" i="2"/>
  <c r="P189" i="2"/>
  <c r="Q188" i="2"/>
  <c r="P188" i="2"/>
  <c r="Q187" i="2"/>
  <c r="P187" i="2"/>
  <c r="Q186" i="2"/>
  <c r="P186" i="2"/>
  <c r="Q185" i="2"/>
  <c r="P185" i="2"/>
  <c r="Q184" i="2"/>
  <c r="P184" i="2"/>
  <c r="Q183" i="2"/>
  <c r="P183" i="2"/>
  <c r="Q182" i="2"/>
  <c r="P182" i="2"/>
  <c r="Q181" i="2"/>
  <c r="P181" i="2"/>
  <c r="Q180" i="2"/>
  <c r="P180" i="2"/>
  <c r="Q179" i="2"/>
  <c r="P179" i="2"/>
  <c r="Q178" i="2"/>
  <c r="P178" i="2"/>
  <c r="Q177" i="2"/>
  <c r="P177" i="2"/>
  <c r="Q176" i="2"/>
  <c r="P176" i="2"/>
  <c r="Q175" i="2"/>
  <c r="P175" i="2"/>
  <c r="Q174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5" i="2"/>
  <c r="P165" i="2"/>
  <c r="Q164" i="2"/>
  <c r="P164" i="2"/>
  <c r="Q163" i="2"/>
  <c r="P163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R156" i="2"/>
  <c r="Q156" i="2"/>
  <c r="P156" i="2"/>
  <c r="S156" i="2" s="1"/>
  <c r="Q155" i="2"/>
  <c r="P155" i="2"/>
  <c r="S155" i="2" s="1"/>
  <c r="Q154" i="2"/>
  <c r="P154" i="2"/>
  <c r="S154" i="2" s="1"/>
  <c r="Q153" i="2"/>
  <c r="P153" i="2"/>
  <c r="S153" i="2" s="1"/>
  <c r="Q152" i="2"/>
  <c r="P152" i="2"/>
  <c r="S152" i="2" s="1"/>
  <c r="Q151" i="2"/>
  <c r="P151" i="2"/>
  <c r="S151" i="2" s="1"/>
  <c r="Q150" i="2"/>
  <c r="P150" i="2"/>
  <c r="S150" i="2" s="1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S142" i="2" s="1"/>
  <c r="Q141" i="2"/>
  <c r="P141" i="2"/>
  <c r="S141" i="2" s="1"/>
  <c r="Q140" i="2"/>
  <c r="P140" i="2"/>
  <c r="Q139" i="2"/>
  <c r="P139" i="2"/>
  <c r="S139" i="2" s="1"/>
  <c r="Q138" i="2"/>
  <c r="P138" i="2"/>
  <c r="S138" i="2" s="1"/>
  <c r="Q137" i="2"/>
  <c r="P137" i="2"/>
  <c r="S137" i="2" s="1"/>
  <c r="Q136" i="2"/>
  <c r="P136" i="2"/>
  <c r="S136" i="2" s="1"/>
  <c r="Q135" i="2"/>
  <c r="P135" i="2"/>
  <c r="S135" i="2" s="1"/>
  <c r="Q134" i="2"/>
  <c r="P134" i="2"/>
  <c r="S134" i="2" s="1"/>
  <c r="Q133" i="2"/>
  <c r="P133" i="2"/>
  <c r="Q132" i="2"/>
  <c r="P132" i="2"/>
  <c r="S132" i="2" s="1"/>
  <c r="Q131" i="2"/>
  <c r="P131" i="2"/>
  <c r="S131" i="2" s="1"/>
  <c r="Q130" i="2"/>
  <c r="P130" i="2"/>
  <c r="S130" i="2" s="1"/>
  <c r="Q129" i="2"/>
  <c r="P129" i="2"/>
  <c r="Q128" i="2"/>
  <c r="P128" i="2"/>
  <c r="S128" i="2" s="1"/>
  <c r="Q127" i="2"/>
  <c r="P127" i="2"/>
  <c r="S127" i="2" s="1"/>
  <c r="Q126" i="2"/>
  <c r="P126" i="2"/>
  <c r="Q125" i="2"/>
  <c r="P125" i="2"/>
  <c r="Q124" i="2"/>
  <c r="P124" i="2"/>
  <c r="S124" i="2" s="1"/>
  <c r="Q123" i="2"/>
  <c r="P123" i="2"/>
  <c r="Q122" i="2"/>
  <c r="P122" i="2"/>
  <c r="Q121" i="2"/>
  <c r="P121" i="2"/>
  <c r="S121" i="2" s="1"/>
  <c r="Q120" i="2"/>
  <c r="P120" i="2"/>
  <c r="S120" i="2" s="1"/>
  <c r="Q119" i="2"/>
  <c r="P119" i="2"/>
  <c r="S119" i="2" s="1"/>
  <c r="Q118" i="2"/>
  <c r="P118" i="2"/>
  <c r="S118" i="2" s="1"/>
  <c r="Q117" i="2"/>
  <c r="P117" i="2"/>
  <c r="S117" i="2" s="1"/>
  <c r="Q116" i="2"/>
  <c r="P116" i="2"/>
  <c r="Q115" i="2"/>
  <c r="P115" i="2"/>
  <c r="S115" i="2" s="1"/>
  <c r="Q114" i="2"/>
  <c r="P114" i="2"/>
  <c r="S114" i="2" s="1"/>
  <c r="Q113" i="2"/>
  <c r="P113" i="2"/>
  <c r="S113" i="2" s="1"/>
  <c r="Q112" i="2"/>
  <c r="P112" i="2"/>
  <c r="Q111" i="2"/>
  <c r="P111" i="2"/>
  <c r="Q110" i="2"/>
  <c r="P110" i="2"/>
  <c r="S110" i="2" s="1"/>
  <c r="Q109" i="2"/>
  <c r="P109" i="2"/>
  <c r="S109" i="2" s="1"/>
  <c r="Q108" i="2"/>
  <c r="P108" i="2"/>
  <c r="Q107" i="2"/>
  <c r="P107" i="2"/>
  <c r="S107" i="2" s="1"/>
  <c r="Q106" i="2"/>
  <c r="P106" i="2"/>
  <c r="S106" i="2" s="1"/>
  <c r="Q105" i="2"/>
  <c r="P105" i="2"/>
  <c r="S105" i="2" s="1"/>
  <c r="Q104" i="2"/>
  <c r="P104" i="2"/>
  <c r="S104" i="2" s="1"/>
  <c r="Q103" i="2"/>
  <c r="P103" i="2"/>
  <c r="S103" i="2" s="1"/>
  <c r="Q102" i="2"/>
  <c r="P102" i="2"/>
  <c r="S102" i="2" s="1"/>
  <c r="Q101" i="2"/>
  <c r="P101" i="2"/>
  <c r="Q100" i="2"/>
  <c r="P100" i="2"/>
  <c r="S100" i="2" s="1"/>
  <c r="Q99" i="2"/>
  <c r="P99" i="2"/>
  <c r="Q98" i="2"/>
  <c r="P98" i="2"/>
  <c r="S98" i="2" s="1"/>
  <c r="Q97" i="2"/>
  <c r="P97" i="2"/>
  <c r="S97" i="2" s="1"/>
  <c r="Q96" i="2"/>
  <c r="P96" i="2"/>
  <c r="S96" i="2" s="1"/>
  <c r="Q95" i="2"/>
  <c r="P95" i="2"/>
  <c r="S95" i="2" s="1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S45" i="2" s="1"/>
  <c r="Q44" i="2"/>
  <c r="P44" i="2"/>
  <c r="S44" i="2" s="1"/>
  <c r="Q43" i="2"/>
  <c r="P43" i="2"/>
  <c r="S43" i="2" s="1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R31" i="2"/>
  <c r="Q31" i="2"/>
  <c r="P31" i="2"/>
  <c r="S31" i="2" s="1"/>
  <c r="Q30" i="2"/>
  <c r="P30" i="2"/>
  <c r="S30" i="2" s="1"/>
  <c r="Q29" i="2"/>
  <c r="P29" i="2"/>
  <c r="Q28" i="2"/>
  <c r="P28" i="2"/>
  <c r="Q27" i="2"/>
  <c r="P27" i="2"/>
  <c r="S27" i="2" s="1"/>
  <c r="Q26" i="2"/>
  <c r="P26" i="2"/>
  <c r="Q25" i="2"/>
  <c r="P25" i="2"/>
  <c r="S25" i="2" s="1"/>
  <c r="Q24" i="2"/>
  <c r="P24" i="2"/>
  <c r="S24" i="2" s="1"/>
  <c r="Q23" i="2"/>
  <c r="P23" i="2"/>
  <c r="Q22" i="2"/>
  <c r="P22" i="2"/>
  <c r="S22" i="2" s="1"/>
  <c r="Q21" i="2"/>
  <c r="P21" i="2"/>
  <c r="Q20" i="2"/>
  <c r="P20" i="2"/>
  <c r="S20" i="2" s="1"/>
  <c r="Q19" i="2"/>
  <c r="P19" i="2"/>
  <c r="Q18" i="2"/>
  <c r="P18" i="2"/>
  <c r="S18" i="2" s="1"/>
  <c r="Q17" i="2"/>
  <c r="P17" i="2"/>
  <c r="S17" i="2" s="1"/>
  <c r="Q16" i="2"/>
  <c r="P16" i="2"/>
  <c r="S16" i="2" s="1"/>
  <c r="Q15" i="2"/>
  <c r="P15" i="2"/>
  <c r="S15" i="2" s="1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I764" i="2"/>
  <c r="H764" i="2"/>
  <c r="I763" i="2"/>
  <c r="H763" i="2"/>
  <c r="I762" i="2"/>
  <c r="H762" i="2"/>
  <c r="I761" i="2"/>
  <c r="H761" i="2"/>
  <c r="I760" i="2"/>
  <c r="H760" i="2"/>
  <c r="I759" i="2"/>
  <c r="H759" i="2"/>
  <c r="I758" i="2"/>
  <c r="H758" i="2"/>
  <c r="I757" i="2"/>
  <c r="H757" i="2"/>
  <c r="I756" i="2"/>
  <c r="H756" i="2"/>
  <c r="I755" i="2"/>
  <c r="H755" i="2"/>
  <c r="I754" i="2"/>
  <c r="H754" i="2"/>
  <c r="I753" i="2"/>
  <c r="H753" i="2"/>
  <c r="I752" i="2"/>
  <c r="H752" i="2"/>
  <c r="I751" i="2"/>
  <c r="H751" i="2"/>
  <c r="I750" i="2"/>
  <c r="H750" i="2"/>
  <c r="R750" i="2" s="1"/>
  <c r="I749" i="2"/>
  <c r="H749" i="2"/>
  <c r="R749" i="2" s="1"/>
  <c r="I748" i="2"/>
  <c r="H748" i="2"/>
  <c r="I747" i="2"/>
  <c r="H747" i="2"/>
  <c r="I746" i="2"/>
  <c r="H746" i="2"/>
  <c r="I745" i="2"/>
  <c r="H745" i="2"/>
  <c r="I744" i="2"/>
  <c r="H744" i="2"/>
  <c r="I743" i="2"/>
  <c r="H743" i="2"/>
  <c r="R743" i="2" s="1"/>
  <c r="I742" i="2"/>
  <c r="H742" i="2"/>
  <c r="I741" i="2"/>
  <c r="H741" i="2"/>
  <c r="I740" i="2"/>
  <c r="H740" i="2"/>
  <c r="I739" i="2"/>
  <c r="H739" i="2"/>
  <c r="I738" i="2"/>
  <c r="H738" i="2"/>
  <c r="R738" i="2" s="1"/>
  <c r="I737" i="2"/>
  <c r="H737" i="2"/>
  <c r="R737" i="2" s="1"/>
  <c r="I736" i="2"/>
  <c r="H736" i="2"/>
  <c r="I735" i="2"/>
  <c r="H735" i="2"/>
  <c r="I734" i="2"/>
  <c r="H734" i="2"/>
  <c r="R734" i="2" s="1"/>
  <c r="I733" i="2"/>
  <c r="H733" i="2"/>
  <c r="R733" i="2" s="1"/>
  <c r="I732" i="2"/>
  <c r="H732" i="2"/>
  <c r="I731" i="2"/>
  <c r="H731" i="2"/>
  <c r="I730" i="2"/>
  <c r="H730" i="2"/>
  <c r="I729" i="2"/>
  <c r="H729" i="2"/>
  <c r="I728" i="2"/>
  <c r="H728" i="2"/>
  <c r="I727" i="2"/>
  <c r="H727" i="2"/>
  <c r="R727" i="2" s="1"/>
  <c r="I726" i="2"/>
  <c r="H726" i="2"/>
  <c r="I725" i="2"/>
  <c r="H725" i="2"/>
  <c r="I724" i="2"/>
  <c r="H724" i="2"/>
  <c r="I723" i="2"/>
  <c r="H723" i="2"/>
  <c r="I722" i="2"/>
  <c r="H722" i="2"/>
  <c r="I721" i="2"/>
  <c r="H721" i="2"/>
  <c r="I720" i="2"/>
  <c r="H720" i="2"/>
  <c r="R720" i="2" s="1"/>
  <c r="I719" i="2"/>
  <c r="H719" i="2"/>
  <c r="I718" i="2"/>
  <c r="H718" i="2"/>
  <c r="I717" i="2"/>
  <c r="H717" i="2"/>
  <c r="R717" i="2" s="1"/>
  <c r="I716" i="2"/>
  <c r="H716" i="2"/>
  <c r="I715" i="2"/>
  <c r="H715" i="2"/>
  <c r="I714" i="2"/>
  <c r="H714" i="2"/>
  <c r="I713" i="2"/>
  <c r="H713" i="2"/>
  <c r="I712" i="2"/>
  <c r="H712" i="2"/>
  <c r="I711" i="2"/>
  <c r="H711" i="2"/>
  <c r="I710" i="2"/>
  <c r="H710" i="2"/>
  <c r="I709" i="2"/>
  <c r="H709" i="2"/>
  <c r="I708" i="2"/>
  <c r="H708" i="2"/>
  <c r="I707" i="2"/>
  <c r="H707" i="2"/>
  <c r="I706" i="2"/>
  <c r="H706" i="2"/>
  <c r="I705" i="2"/>
  <c r="H705" i="2"/>
  <c r="I704" i="2"/>
  <c r="H704" i="2"/>
  <c r="I703" i="2"/>
  <c r="H703" i="2"/>
  <c r="I702" i="2"/>
  <c r="H702" i="2"/>
  <c r="I701" i="2"/>
  <c r="H701" i="2"/>
  <c r="R701" i="2" s="1"/>
  <c r="I700" i="2"/>
  <c r="H700" i="2"/>
  <c r="R700" i="2" s="1"/>
  <c r="I699" i="2"/>
  <c r="H699" i="2"/>
  <c r="I698" i="2"/>
  <c r="H698" i="2"/>
  <c r="R698" i="2" s="1"/>
  <c r="I697" i="2"/>
  <c r="H697" i="2"/>
  <c r="I696" i="2"/>
  <c r="H696" i="2"/>
  <c r="I695" i="2"/>
  <c r="H695" i="2"/>
  <c r="I694" i="2"/>
  <c r="H694" i="2"/>
  <c r="I693" i="2"/>
  <c r="H693" i="2"/>
  <c r="I692" i="2"/>
  <c r="H692" i="2"/>
  <c r="I691" i="2"/>
  <c r="H691" i="2"/>
  <c r="I690" i="2"/>
  <c r="H690" i="2"/>
  <c r="I689" i="2"/>
  <c r="H689" i="2"/>
  <c r="I688" i="2"/>
  <c r="H688" i="2"/>
  <c r="R688" i="2" s="1"/>
  <c r="I687" i="2"/>
  <c r="H687" i="2"/>
  <c r="I686" i="2"/>
  <c r="H686" i="2"/>
  <c r="R686" i="2" s="1"/>
  <c r="I685" i="2"/>
  <c r="H685" i="2"/>
  <c r="R685" i="2" s="1"/>
  <c r="I684" i="2"/>
  <c r="H684" i="2"/>
  <c r="I683" i="2"/>
  <c r="H683" i="2"/>
  <c r="I682" i="2"/>
  <c r="H682" i="2"/>
  <c r="R682" i="2" s="1"/>
  <c r="I681" i="2"/>
  <c r="H681" i="2"/>
  <c r="I680" i="2"/>
  <c r="H680" i="2"/>
  <c r="I679" i="2"/>
  <c r="H679" i="2"/>
  <c r="R679" i="2" s="1"/>
  <c r="I678" i="2"/>
  <c r="H678" i="2"/>
  <c r="I677" i="2"/>
  <c r="H677" i="2"/>
  <c r="I676" i="2"/>
  <c r="H676" i="2"/>
  <c r="I675" i="2"/>
  <c r="H675" i="2"/>
  <c r="I674" i="2"/>
  <c r="H674" i="2"/>
  <c r="I673" i="2"/>
  <c r="H673" i="2"/>
  <c r="I672" i="2"/>
  <c r="H672" i="2"/>
  <c r="R672" i="2" s="1"/>
  <c r="I671" i="2"/>
  <c r="H671" i="2"/>
  <c r="I670" i="2"/>
  <c r="H670" i="2"/>
  <c r="I669" i="2"/>
  <c r="H669" i="2"/>
  <c r="I668" i="2"/>
  <c r="H668" i="2"/>
  <c r="I667" i="2"/>
  <c r="H667" i="2"/>
  <c r="I666" i="2"/>
  <c r="H666" i="2"/>
  <c r="I665" i="2"/>
  <c r="H665" i="2"/>
  <c r="I664" i="2"/>
  <c r="H664" i="2"/>
  <c r="I663" i="2"/>
  <c r="H663" i="2"/>
  <c r="R663" i="2" s="1"/>
  <c r="I662" i="2"/>
  <c r="H662" i="2"/>
  <c r="I661" i="2"/>
  <c r="H661" i="2"/>
  <c r="I660" i="2"/>
  <c r="H660" i="2"/>
  <c r="I659" i="2"/>
  <c r="H659" i="2"/>
  <c r="I658" i="2"/>
  <c r="H658" i="2"/>
  <c r="I657" i="2"/>
  <c r="H657" i="2"/>
  <c r="I656" i="2"/>
  <c r="H656" i="2"/>
  <c r="I655" i="2"/>
  <c r="H655" i="2"/>
  <c r="I654" i="2"/>
  <c r="H654" i="2"/>
  <c r="R654" i="2" s="1"/>
  <c r="I653" i="2"/>
  <c r="H653" i="2"/>
  <c r="I652" i="2"/>
  <c r="H652" i="2"/>
  <c r="I651" i="2"/>
  <c r="H651" i="2"/>
  <c r="I650" i="2"/>
  <c r="H650" i="2"/>
  <c r="I649" i="2"/>
  <c r="H649" i="2"/>
  <c r="I648" i="2"/>
  <c r="H648" i="2"/>
  <c r="I647" i="2"/>
  <c r="H647" i="2"/>
  <c r="R647" i="2" s="1"/>
  <c r="I646" i="2"/>
  <c r="H646" i="2"/>
  <c r="I645" i="2"/>
  <c r="H645" i="2"/>
  <c r="I644" i="2"/>
  <c r="H644" i="2"/>
  <c r="I643" i="2"/>
  <c r="H643" i="2"/>
  <c r="I642" i="2"/>
  <c r="H642" i="2"/>
  <c r="R642" i="2" s="1"/>
  <c r="I641" i="2"/>
  <c r="H641" i="2"/>
  <c r="I640" i="2"/>
  <c r="H640" i="2"/>
  <c r="I639" i="2"/>
  <c r="H639" i="2"/>
  <c r="R639" i="2" s="1"/>
  <c r="I638" i="2"/>
  <c r="H638" i="2"/>
  <c r="I637" i="2"/>
  <c r="H637" i="2"/>
  <c r="I636" i="2"/>
  <c r="H636" i="2"/>
  <c r="R636" i="2" s="1"/>
  <c r="I635" i="2"/>
  <c r="H635" i="2"/>
  <c r="I634" i="2"/>
  <c r="H634" i="2"/>
  <c r="I633" i="2"/>
  <c r="H633" i="2"/>
  <c r="I632" i="2"/>
  <c r="H632" i="2"/>
  <c r="I631" i="2"/>
  <c r="H631" i="2"/>
  <c r="I630" i="2"/>
  <c r="H630" i="2"/>
  <c r="I629" i="2"/>
  <c r="H629" i="2"/>
  <c r="R629" i="2" s="1"/>
  <c r="I628" i="2"/>
  <c r="H628" i="2"/>
  <c r="I627" i="2"/>
  <c r="H627" i="2"/>
  <c r="I626" i="2"/>
  <c r="H626" i="2"/>
  <c r="R626" i="2" s="1"/>
  <c r="I625" i="2"/>
  <c r="H625" i="2"/>
  <c r="I624" i="2"/>
  <c r="H624" i="2"/>
  <c r="I623" i="2"/>
  <c r="H623" i="2"/>
  <c r="I622" i="2"/>
  <c r="H622" i="2"/>
  <c r="R622" i="2" s="1"/>
  <c r="I621" i="2"/>
  <c r="H621" i="2"/>
  <c r="R621" i="2" s="1"/>
  <c r="I620" i="2"/>
  <c r="H620" i="2"/>
  <c r="R620" i="2" s="1"/>
  <c r="I619" i="2"/>
  <c r="H619" i="2"/>
  <c r="I618" i="2"/>
  <c r="H618" i="2"/>
  <c r="R618" i="2" s="1"/>
  <c r="I617" i="2"/>
  <c r="H617" i="2"/>
  <c r="I616" i="2"/>
  <c r="H616" i="2"/>
  <c r="I615" i="2"/>
  <c r="H615" i="2"/>
  <c r="I614" i="2"/>
  <c r="H614" i="2"/>
  <c r="I613" i="2"/>
  <c r="H613" i="2"/>
  <c r="R613" i="2" s="1"/>
  <c r="I612" i="2"/>
  <c r="H612" i="2"/>
  <c r="I611" i="2"/>
  <c r="H611" i="2"/>
  <c r="I610" i="2"/>
  <c r="H610" i="2"/>
  <c r="I609" i="2"/>
  <c r="H609" i="2"/>
  <c r="I608" i="2"/>
  <c r="H608" i="2"/>
  <c r="I607" i="2"/>
  <c r="H607" i="2"/>
  <c r="I606" i="2"/>
  <c r="H606" i="2"/>
  <c r="R606" i="2" s="1"/>
  <c r="I605" i="2"/>
  <c r="H605" i="2"/>
  <c r="I604" i="2"/>
  <c r="H604" i="2"/>
  <c r="I603" i="2"/>
  <c r="H603" i="2"/>
  <c r="I602" i="2"/>
  <c r="H602" i="2"/>
  <c r="I601" i="2"/>
  <c r="H601" i="2"/>
  <c r="I600" i="2"/>
  <c r="H600" i="2"/>
  <c r="I599" i="2"/>
  <c r="H599" i="2"/>
  <c r="R599" i="2" s="1"/>
  <c r="I598" i="2"/>
  <c r="H598" i="2"/>
  <c r="I597" i="2"/>
  <c r="H597" i="2"/>
  <c r="I596" i="2"/>
  <c r="H596" i="2"/>
  <c r="I595" i="2"/>
  <c r="H595" i="2"/>
  <c r="I594" i="2"/>
  <c r="H594" i="2"/>
  <c r="R594" i="2" s="1"/>
  <c r="I593" i="2"/>
  <c r="H593" i="2"/>
  <c r="I592" i="2"/>
  <c r="H592" i="2"/>
  <c r="I591" i="2"/>
  <c r="H591" i="2"/>
  <c r="I590" i="2"/>
  <c r="H590" i="2"/>
  <c r="R590" i="2" s="1"/>
  <c r="I589" i="2"/>
  <c r="H589" i="2"/>
  <c r="I588" i="2"/>
  <c r="H588" i="2"/>
  <c r="R588" i="2" s="1"/>
  <c r="I587" i="2"/>
  <c r="H587" i="2"/>
  <c r="I586" i="2"/>
  <c r="H586" i="2"/>
  <c r="I585" i="2"/>
  <c r="H585" i="2"/>
  <c r="I584" i="2"/>
  <c r="H584" i="2"/>
  <c r="I583" i="2"/>
  <c r="H583" i="2"/>
  <c r="I582" i="2"/>
  <c r="H582" i="2"/>
  <c r="I581" i="2"/>
  <c r="H581" i="2"/>
  <c r="I580" i="2"/>
  <c r="H580" i="2"/>
  <c r="I579" i="2"/>
  <c r="H579" i="2"/>
  <c r="I578" i="2"/>
  <c r="H578" i="2"/>
  <c r="I577" i="2"/>
  <c r="H577" i="2"/>
  <c r="I576" i="2"/>
  <c r="H576" i="2"/>
  <c r="I575" i="2"/>
  <c r="H575" i="2"/>
  <c r="I574" i="2"/>
  <c r="H574" i="2"/>
  <c r="I573" i="2"/>
  <c r="H573" i="2"/>
  <c r="R573" i="2" s="1"/>
  <c r="I572" i="2"/>
  <c r="H572" i="2"/>
  <c r="I571" i="2"/>
  <c r="H571" i="2"/>
  <c r="I570" i="2"/>
  <c r="H570" i="2"/>
  <c r="R570" i="2" s="1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H562" i="2"/>
  <c r="I561" i="2"/>
  <c r="H561" i="2"/>
  <c r="I560" i="2"/>
  <c r="H560" i="2"/>
  <c r="I559" i="2"/>
  <c r="H559" i="2"/>
  <c r="I558" i="2"/>
  <c r="H558" i="2"/>
  <c r="R558" i="2" s="1"/>
  <c r="I557" i="2"/>
  <c r="H557" i="2"/>
  <c r="R557" i="2" s="1"/>
  <c r="I556" i="2"/>
  <c r="H556" i="2"/>
  <c r="I555" i="2"/>
  <c r="H555" i="2"/>
  <c r="I554" i="2"/>
  <c r="H554" i="2"/>
  <c r="R554" i="2" s="1"/>
  <c r="I553" i="2"/>
  <c r="H553" i="2"/>
  <c r="I552" i="2"/>
  <c r="H552" i="2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R545" i="2" s="1"/>
  <c r="I544" i="2"/>
  <c r="H544" i="2"/>
  <c r="I543" i="2"/>
  <c r="H543" i="2"/>
  <c r="I542" i="2"/>
  <c r="H542" i="2"/>
  <c r="R542" i="2" s="1"/>
  <c r="I541" i="2"/>
  <c r="H541" i="2"/>
  <c r="R541" i="2" s="1"/>
  <c r="I540" i="2"/>
  <c r="H540" i="2"/>
  <c r="I539" i="2"/>
  <c r="H539" i="2"/>
  <c r="I538" i="2"/>
  <c r="H538" i="2"/>
  <c r="R538" i="2" s="1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R529" i="2" s="1"/>
  <c r="I528" i="2"/>
  <c r="H528" i="2"/>
  <c r="I527" i="2"/>
  <c r="H527" i="2"/>
  <c r="R527" i="2" s="1"/>
  <c r="I526" i="2"/>
  <c r="H526" i="2"/>
  <c r="R526" i="2" s="1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R492" i="2" s="1"/>
  <c r="I491" i="2"/>
  <c r="H491" i="2"/>
  <c r="I490" i="2"/>
  <c r="H490" i="2"/>
  <c r="I489" i="2"/>
  <c r="H489" i="2"/>
  <c r="I488" i="2"/>
  <c r="H488" i="2"/>
  <c r="I487" i="2"/>
  <c r="H487" i="2"/>
  <c r="R487" i="2" s="1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R477" i="2" s="1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R442" i="2" s="1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R430" i="2" s="1"/>
  <c r="I429" i="2"/>
  <c r="H429" i="2"/>
  <c r="I428" i="2"/>
  <c r="H428" i="2"/>
  <c r="I427" i="2"/>
  <c r="H427" i="2"/>
  <c r="I426" i="2"/>
  <c r="H426" i="2"/>
  <c r="R426" i="2" s="1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R414" i="2" s="1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R389" i="2" s="1"/>
  <c r="I388" i="2"/>
  <c r="H388" i="2"/>
  <c r="I387" i="2"/>
  <c r="H387" i="2"/>
  <c r="I386" i="2"/>
  <c r="H386" i="2"/>
  <c r="I385" i="2"/>
  <c r="H385" i="2"/>
  <c r="R385" i="2" s="1"/>
  <c r="I384" i="2"/>
  <c r="H384" i="2"/>
  <c r="I383" i="2"/>
  <c r="H383" i="2"/>
  <c r="I382" i="2"/>
  <c r="H382" i="2"/>
  <c r="R382" i="2" s="1"/>
  <c r="I381" i="2"/>
  <c r="H381" i="2"/>
  <c r="R381" i="2" s="1"/>
  <c r="I380" i="2"/>
  <c r="H380" i="2"/>
  <c r="R380" i="2" s="1"/>
  <c r="I379" i="2"/>
  <c r="H379" i="2"/>
  <c r="I378" i="2"/>
  <c r="H378" i="2"/>
  <c r="R378" i="2" s="1"/>
  <c r="I377" i="2"/>
  <c r="H377" i="2"/>
  <c r="I376" i="2"/>
  <c r="H376" i="2"/>
  <c r="I375" i="2"/>
  <c r="H375" i="2"/>
  <c r="I374" i="2"/>
  <c r="H374" i="2"/>
  <c r="I373" i="2"/>
  <c r="H373" i="2"/>
  <c r="R373" i="2" s="1"/>
  <c r="I372" i="2"/>
  <c r="H372" i="2"/>
  <c r="I371" i="2"/>
  <c r="H371" i="2"/>
  <c r="I370" i="2"/>
  <c r="H370" i="2"/>
  <c r="I369" i="2"/>
  <c r="H369" i="2"/>
  <c r="R369" i="2" s="1"/>
  <c r="I368" i="2"/>
  <c r="H368" i="2"/>
  <c r="I367" i="2"/>
  <c r="H367" i="2"/>
  <c r="I366" i="2"/>
  <c r="H366" i="2"/>
  <c r="R366" i="2" s="1"/>
  <c r="I365" i="2"/>
  <c r="H365" i="2"/>
  <c r="R365" i="2" s="1"/>
  <c r="I364" i="2"/>
  <c r="H364" i="2"/>
  <c r="I363" i="2"/>
  <c r="H363" i="2"/>
  <c r="I362" i="2"/>
  <c r="H362" i="2"/>
  <c r="R362" i="2" s="1"/>
  <c r="I361" i="2"/>
  <c r="H361" i="2"/>
  <c r="I360" i="2"/>
  <c r="H360" i="2"/>
  <c r="I359" i="2"/>
  <c r="H359" i="2"/>
  <c r="I358" i="2"/>
  <c r="H358" i="2"/>
  <c r="I357" i="2"/>
  <c r="H357" i="2"/>
  <c r="R357" i="2" s="1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R350" i="2" s="1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R335" i="2" s="1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R318" i="2" s="1"/>
  <c r="I317" i="2"/>
  <c r="H317" i="2"/>
  <c r="R317" i="2" s="1"/>
  <c r="I316" i="2"/>
  <c r="H316" i="2"/>
  <c r="I315" i="2"/>
  <c r="H315" i="2"/>
  <c r="I314" i="2"/>
  <c r="H314" i="2"/>
  <c r="R314" i="2" s="1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R303" i="2" s="1"/>
  <c r="I302" i="2"/>
  <c r="H302" i="2"/>
  <c r="I301" i="2"/>
  <c r="H301" i="2"/>
  <c r="I300" i="2"/>
  <c r="H300" i="2"/>
  <c r="R300" i="2" s="1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R222" i="2" s="1"/>
  <c r="I221" i="2"/>
  <c r="H221" i="2"/>
  <c r="R221" i="2" s="1"/>
  <c r="I220" i="2"/>
  <c r="H220" i="2"/>
  <c r="I219" i="2"/>
  <c r="H219" i="2"/>
  <c r="I218" i="2"/>
  <c r="H218" i="2"/>
  <c r="R218" i="2" s="1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R207" i="2" s="1"/>
  <c r="I206" i="2"/>
  <c r="H206" i="2"/>
  <c r="I205" i="2"/>
  <c r="H205" i="2"/>
  <c r="I204" i="2"/>
  <c r="H204" i="2"/>
  <c r="R204" i="2" s="1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R189" i="2" s="1"/>
  <c r="I188" i="2"/>
  <c r="H188" i="2"/>
  <c r="R188" i="2" s="1"/>
  <c r="I187" i="2"/>
  <c r="H187" i="2"/>
  <c r="I186" i="2"/>
  <c r="H186" i="2"/>
  <c r="R186" i="2" s="1"/>
  <c r="I185" i="2"/>
  <c r="H185" i="2"/>
  <c r="I184" i="2"/>
  <c r="H184" i="2"/>
  <c r="I183" i="2"/>
  <c r="H183" i="2"/>
  <c r="I182" i="2"/>
  <c r="H182" i="2"/>
  <c r="I181" i="2"/>
  <c r="H181" i="2"/>
  <c r="R181" i="2" s="1"/>
  <c r="I180" i="2"/>
  <c r="H180" i="2"/>
  <c r="I179" i="2"/>
  <c r="H179" i="2"/>
  <c r="I178" i="2"/>
  <c r="H178" i="2"/>
  <c r="I177" i="2"/>
  <c r="H177" i="2"/>
  <c r="I176" i="2"/>
  <c r="H176" i="2"/>
  <c r="I175" i="2"/>
  <c r="H175" i="2"/>
  <c r="R175" i="2" s="1"/>
  <c r="I174" i="2"/>
  <c r="H174" i="2"/>
  <c r="R174" i="2" s="1"/>
  <c r="I173" i="2"/>
  <c r="H173" i="2"/>
  <c r="I172" i="2"/>
  <c r="H172" i="2"/>
  <c r="R172" i="2" s="1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R165" i="2" s="1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R157" i="2" s="1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R143" i="2" s="1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R92" i="2" s="1"/>
  <c r="I91" i="2"/>
  <c r="H91" i="2"/>
  <c r="I90" i="2"/>
  <c r="H90" i="2"/>
  <c r="I89" i="2"/>
  <c r="H89" i="2"/>
  <c r="I88" i="2"/>
  <c r="H88" i="2"/>
  <c r="I87" i="2"/>
  <c r="H87" i="2"/>
  <c r="R87" i="2" s="1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R77" i="2" s="1"/>
  <c r="I76" i="2"/>
  <c r="H76" i="2"/>
  <c r="R76" i="2" s="1"/>
  <c r="I75" i="2"/>
  <c r="H75" i="2"/>
  <c r="I74" i="2"/>
  <c r="H74" i="2"/>
  <c r="R74" i="2" s="1"/>
  <c r="I73" i="2"/>
  <c r="H73" i="2"/>
  <c r="I72" i="2"/>
  <c r="H72" i="2"/>
  <c r="I71" i="2"/>
  <c r="H71" i="2"/>
  <c r="I70" i="2"/>
  <c r="H70" i="2"/>
  <c r="I69" i="2"/>
  <c r="H69" i="2"/>
  <c r="R69" i="2" s="1"/>
  <c r="I68" i="2"/>
  <c r="H68" i="2"/>
  <c r="I67" i="2"/>
  <c r="H67" i="2"/>
  <c r="I66" i="2"/>
  <c r="H66" i="2"/>
  <c r="I65" i="2"/>
  <c r="H65" i="2"/>
  <c r="I64" i="2"/>
  <c r="H64" i="2"/>
  <c r="I63" i="2"/>
  <c r="H63" i="2"/>
  <c r="R63" i="2" s="1"/>
  <c r="I62" i="2"/>
  <c r="H62" i="2"/>
  <c r="R62" i="2" s="1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R37" i="2" s="1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R7" i="2" s="1"/>
  <c r="I6" i="2"/>
  <c r="H6" i="2"/>
  <c r="I5" i="2"/>
  <c r="H5" i="2"/>
  <c r="I4" i="2"/>
  <c r="H4" i="2"/>
  <c r="I3" i="2"/>
  <c r="H3" i="2"/>
  <c r="I2" i="2"/>
  <c r="H2" i="2"/>
  <c r="R123" i="2" l="1"/>
  <c r="S123" i="2"/>
  <c r="R257" i="2"/>
  <c r="S257" i="2"/>
  <c r="R924" i="2"/>
  <c r="S924" i="2"/>
  <c r="R916" i="2"/>
  <c r="S916" i="2"/>
  <c r="R912" i="2"/>
  <c r="S912" i="2"/>
  <c r="R904" i="2"/>
  <c r="S878" i="2"/>
  <c r="S867" i="2"/>
  <c r="S863" i="2"/>
  <c r="S859" i="2"/>
  <c r="R843" i="2"/>
  <c r="R840" i="2"/>
  <c r="S840" i="2"/>
  <c r="S829" i="2"/>
  <c r="S825" i="2"/>
  <c r="S814" i="2"/>
  <c r="S810" i="2"/>
  <c r="R767" i="2"/>
  <c r="S767" i="2"/>
  <c r="S24" i="3"/>
  <c r="S51" i="3"/>
  <c r="S58" i="3"/>
  <c r="S62" i="3"/>
  <c r="S66" i="3"/>
  <c r="S73" i="3"/>
  <c r="S77" i="3"/>
  <c r="S81" i="3"/>
  <c r="S85" i="3"/>
  <c r="S89" i="3"/>
  <c r="R100" i="3"/>
  <c r="S100" i="3"/>
  <c r="S104" i="3"/>
  <c r="S115" i="3"/>
  <c r="R119" i="3"/>
  <c r="S119" i="3"/>
  <c r="S123" i="3"/>
  <c r="R130" i="3"/>
  <c r="S130" i="3"/>
  <c r="R134" i="3"/>
  <c r="S134" i="3"/>
  <c r="S138" i="3"/>
  <c r="S142" i="3"/>
  <c r="S157" i="3"/>
  <c r="S172" i="3"/>
  <c r="R176" i="3"/>
  <c r="S176" i="3"/>
  <c r="S180" i="3"/>
  <c r="S187" i="3"/>
  <c r="S191" i="3"/>
  <c r="S195" i="3"/>
  <c r="S199" i="3"/>
  <c r="R214" i="3"/>
  <c r="S214" i="3"/>
  <c r="S277" i="3"/>
  <c r="S388" i="3"/>
  <c r="S531" i="3"/>
  <c r="R535" i="3"/>
  <c r="S535" i="3"/>
  <c r="S539" i="3"/>
  <c r="S543" i="3"/>
  <c r="S547" i="3"/>
  <c r="S551" i="3"/>
  <c r="S555" i="3"/>
  <c r="S559" i="3"/>
  <c r="S602" i="3"/>
  <c r="R606" i="3"/>
  <c r="S606" i="3"/>
  <c r="R610" i="3"/>
  <c r="S610" i="3"/>
  <c r="S614" i="3"/>
  <c r="S618" i="3"/>
  <c r="S622" i="3"/>
  <c r="S626" i="3"/>
  <c r="S630" i="3"/>
  <c r="R634" i="3"/>
  <c r="S634" i="3"/>
  <c r="R638" i="3"/>
  <c r="S638" i="3"/>
  <c r="R642" i="3"/>
  <c r="S642" i="3"/>
  <c r="S646" i="3"/>
  <c r="S650" i="3"/>
  <c r="S654" i="3"/>
  <c r="S658" i="3"/>
  <c r="S662" i="3"/>
  <c r="S666" i="3"/>
  <c r="S670" i="3"/>
  <c r="S674" i="3"/>
  <c r="R886" i="3"/>
  <c r="R830" i="3"/>
  <c r="S897" i="3"/>
  <c r="R866" i="3"/>
  <c r="S866" i="3"/>
  <c r="S862" i="3"/>
  <c r="S843" i="3"/>
  <c r="S839" i="3"/>
  <c r="R835" i="3"/>
  <c r="S835" i="3"/>
  <c r="R831" i="3"/>
  <c r="S831" i="3"/>
  <c r="S827" i="3"/>
  <c r="R27" i="4"/>
  <c r="S27" i="4"/>
  <c r="R325" i="4"/>
  <c r="S325" i="4"/>
  <c r="R13" i="2"/>
  <c r="S13" i="2"/>
  <c r="R21" i="2"/>
  <c r="S21" i="2"/>
  <c r="R29" i="2"/>
  <c r="S29" i="2"/>
  <c r="R99" i="2"/>
  <c r="S99" i="2"/>
  <c r="R111" i="2"/>
  <c r="S111" i="2"/>
  <c r="R142" i="2"/>
  <c r="R261" i="2"/>
  <c r="S261" i="2"/>
  <c r="R44" i="2"/>
  <c r="R124" i="2"/>
  <c r="R236" i="2"/>
  <c r="R268" i="2"/>
  <c r="R284" i="2"/>
  <c r="R396" i="2"/>
  <c r="R444" i="2"/>
  <c r="R6" i="2"/>
  <c r="S6" i="2"/>
  <c r="R10" i="2"/>
  <c r="S10" i="2"/>
  <c r="S33" i="2"/>
  <c r="S37" i="2"/>
  <c r="S41" i="2"/>
  <c r="S48" i="2"/>
  <c r="S52" i="2"/>
  <c r="R56" i="2"/>
  <c r="S56" i="2"/>
  <c r="R60" i="2"/>
  <c r="S60" i="2"/>
  <c r="S64" i="2"/>
  <c r="S68" i="2"/>
  <c r="S72" i="2"/>
  <c r="S76" i="2"/>
  <c r="S80" i="2"/>
  <c r="S84" i="2"/>
  <c r="S88" i="2"/>
  <c r="S92" i="2"/>
  <c r="S143" i="2"/>
  <c r="S147" i="2"/>
  <c r="R158" i="2"/>
  <c r="S158" i="2"/>
  <c r="S162" i="2"/>
  <c r="S166" i="2"/>
  <c r="S170" i="2"/>
  <c r="S174" i="2"/>
  <c r="S178" i="2"/>
  <c r="S182" i="2"/>
  <c r="S186" i="2"/>
  <c r="R190" i="2"/>
  <c r="S190" i="2"/>
  <c r="S194" i="2"/>
  <c r="S198" i="2"/>
  <c r="S202" i="2"/>
  <c r="R206" i="2"/>
  <c r="S206" i="2"/>
  <c r="S210" i="2"/>
  <c r="S214" i="2"/>
  <c r="S218" i="2"/>
  <c r="S222" i="2"/>
  <c r="S297" i="2"/>
  <c r="R301" i="2"/>
  <c r="S301" i="2"/>
  <c r="R305" i="2"/>
  <c r="S305" i="2"/>
  <c r="R309" i="2"/>
  <c r="S309" i="2"/>
  <c r="S313" i="2"/>
  <c r="S317" i="2"/>
  <c r="S321" i="2"/>
  <c r="R325" i="2"/>
  <c r="S325" i="2"/>
  <c r="S329" i="2"/>
  <c r="S333" i="2"/>
  <c r="S337" i="2"/>
  <c r="R341" i="2"/>
  <c r="S341" i="2"/>
  <c r="S345" i="2"/>
  <c r="S349" i="2"/>
  <c r="S353" i="2"/>
  <c r="S357" i="2"/>
  <c r="S361" i="2"/>
  <c r="S365" i="2"/>
  <c r="S369" i="2"/>
  <c r="S373" i="2"/>
  <c r="S377" i="2"/>
  <c r="S381" i="2"/>
  <c r="S385" i="2"/>
  <c r="S389" i="2"/>
  <c r="S393" i="2"/>
  <c r="S476" i="2"/>
  <c r="S480" i="2"/>
  <c r="S484" i="2"/>
  <c r="S488" i="2"/>
  <c r="S492" i="2"/>
  <c r="S496" i="2"/>
  <c r="S500" i="2"/>
  <c r="S504" i="2"/>
  <c r="S508" i="2"/>
  <c r="S512" i="2"/>
  <c r="S516" i="2"/>
  <c r="S520" i="2"/>
  <c r="S524" i="2"/>
  <c r="S528" i="2"/>
  <c r="S532" i="2"/>
  <c r="S536" i="2"/>
  <c r="S540" i="2"/>
  <c r="R544" i="2"/>
  <c r="S544" i="2"/>
  <c r="S548" i="2"/>
  <c r="S552" i="2"/>
  <c r="S556" i="2"/>
  <c r="S560" i="2"/>
  <c r="S564" i="2"/>
  <c r="S568" i="2"/>
  <c r="S583" i="2"/>
  <c r="S587" i="2"/>
  <c r="S591" i="2"/>
  <c r="S595" i="2"/>
  <c r="S599" i="2"/>
  <c r="S603" i="2"/>
  <c r="S607" i="2"/>
  <c r="S611" i="2"/>
  <c r="S615" i="2"/>
  <c r="S619" i="2"/>
  <c r="S623" i="2"/>
  <c r="S627" i="2"/>
  <c r="S631" i="2"/>
  <c r="S635" i="2"/>
  <c r="S639" i="2"/>
  <c r="S643" i="2"/>
  <c r="S647" i="2"/>
  <c r="S651" i="2"/>
  <c r="S655" i="2"/>
  <c r="S659" i="2"/>
  <c r="S663" i="2"/>
  <c r="S667" i="2"/>
  <c r="S671" i="2"/>
  <c r="S675" i="2"/>
  <c r="S679" i="2"/>
  <c r="S683" i="2"/>
  <c r="R687" i="2"/>
  <c r="S687" i="2"/>
  <c r="S691" i="2"/>
  <c r="R695" i="2"/>
  <c r="S695" i="2"/>
  <c r="S699" i="2"/>
  <c r="S703" i="2"/>
  <c r="S707" i="2"/>
  <c r="R711" i="2"/>
  <c r="S711" i="2"/>
  <c r="S715" i="2"/>
  <c r="S719" i="2"/>
  <c r="S723" i="2"/>
  <c r="S727" i="2"/>
  <c r="S731" i="2"/>
  <c r="S735" i="2"/>
  <c r="S739" i="2"/>
  <c r="S743" i="2"/>
  <c r="S747" i="2"/>
  <c r="S751" i="2"/>
  <c r="S755" i="2"/>
  <c r="S759" i="2"/>
  <c r="S763" i="2"/>
  <c r="R908" i="2"/>
  <c r="S908" i="2"/>
  <c r="S901" i="2"/>
  <c r="S897" i="2"/>
  <c r="R893" i="2"/>
  <c r="S893" i="2"/>
  <c r="S889" i="2"/>
  <c r="S885" i="2"/>
  <c r="S881" i="2"/>
  <c r="S874" i="2"/>
  <c r="S870" i="2"/>
  <c r="S855" i="2"/>
  <c r="S851" i="2"/>
  <c r="S847" i="2"/>
  <c r="S832" i="2"/>
  <c r="S821" i="2"/>
  <c r="S817" i="2"/>
  <c r="R806" i="2"/>
  <c r="S806" i="2"/>
  <c r="S802" i="2"/>
  <c r="S798" i="2"/>
  <c r="R794" i="2"/>
  <c r="S794" i="2"/>
  <c r="S790" i="2"/>
  <c r="S786" i="2"/>
  <c r="S782" i="2"/>
  <c r="S778" i="2"/>
  <c r="S774" i="2"/>
  <c r="S770" i="2"/>
  <c r="R544" i="3"/>
  <c r="S5" i="3"/>
  <c r="S9" i="3"/>
  <c r="S13" i="3"/>
  <c r="S17" i="3"/>
  <c r="S21" i="3"/>
  <c r="R28" i="3"/>
  <c r="S28" i="3"/>
  <c r="R32" i="3"/>
  <c r="S32" i="3"/>
  <c r="R36" i="3"/>
  <c r="S36" i="3"/>
  <c r="R40" i="3"/>
  <c r="S40" i="3"/>
  <c r="R44" i="3"/>
  <c r="S44" i="3"/>
  <c r="S48" i="3"/>
  <c r="S55" i="3"/>
  <c r="S70" i="3"/>
  <c r="S93" i="3"/>
  <c r="R108" i="3"/>
  <c r="S108" i="3"/>
  <c r="S112" i="3"/>
  <c r="S127" i="3"/>
  <c r="R146" i="3"/>
  <c r="S146" i="3"/>
  <c r="S150" i="3"/>
  <c r="R161" i="3"/>
  <c r="S161" i="3"/>
  <c r="S165" i="3"/>
  <c r="S169" i="3"/>
  <c r="S203" i="3"/>
  <c r="S207" i="3"/>
  <c r="S218" i="3"/>
  <c r="S222" i="3"/>
  <c r="R226" i="3"/>
  <c r="S226" i="3"/>
  <c r="R230" i="3"/>
  <c r="S230" i="3"/>
  <c r="S242" i="3"/>
  <c r="S246" i="3"/>
  <c r="S373" i="3"/>
  <c r="R392" i="3"/>
  <c r="R396" i="3"/>
  <c r="S396" i="3"/>
  <c r="R400" i="3"/>
  <c r="S400" i="3"/>
  <c r="R404" i="3"/>
  <c r="S404" i="3"/>
  <c r="S408" i="3"/>
  <c r="S412" i="3"/>
  <c r="R416" i="3"/>
  <c r="S416" i="3"/>
  <c r="S420" i="3"/>
  <c r="S424" i="3"/>
  <c r="S428" i="3"/>
  <c r="S432" i="3"/>
  <c r="S436" i="3"/>
  <c r="S440" i="3"/>
  <c r="S444" i="3"/>
  <c r="R448" i="3"/>
  <c r="S448" i="3"/>
  <c r="S452" i="3"/>
  <c r="S456" i="3"/>
  <c r="S460" i="3"/>
  <c r="S464" i="3"/>
  <c r="S468" i="3"/>
  <c r="S472" i="3"/>
  <c r="S476" i="3"/>
  <c r="S480" i="3"/>
  <c r="R484" i="3"/>
  <c r="S484" i="3"/>
  <c r="S488" i="3"/>
  <c r="S492" i="3"/>
  <c r="S496" i="3"/>
  <c r="S500" i="3"/>
  <c r="S504" i="3"/>
  <c r="S508" i="3"/>
  <c r="S512" i="3"/>
  <c r="S516" i="3"/>
  <c r="R583" i="3"/>
  <c r="S583" i="3"/>
  <c r="S587" i="3"/>
  <c r="S591" i="3"/>
  <c r="R916" i="3"/>
  <c r="S916" i="3"/>
  <c r="R912" i="3"/>
  <c r="S912" i="3"/>
  <c r="R892" i="3"/>
  <c r="S889" i="3"/>
  <c r="R815" i="3"/>
  <c r="S815" i="3"/>
  <c r="S39" i="4"/>
  <c r="R39" i="4"/>
  <c r="R14" i="2"/>
  <c r="S14" i="2"/>
  <c r="R26" i="2"/>
  <c r="S26" i="2"/>
  <c r="R116" i="2"/>
  <c r="S116" i="2"/>
  <c r="R140" i="2"/>
  <c r="S140" i="2"/>
  <c r="R290" i="2"/>
  <c r="S290" i="2"/>
  <c r="R59" i="3"/>
  <c r="S59" i="3"/>
  <c r="R97" i="3"/>
  <c r="S97" i="3"/>
  <c r="R116" i="3"/>
  <c r="S116" i="3"/>
  <c r="R120" i="3"/>
  <c r="S120" i="3"/>
  <c r="R131" i="3"/>
  <c r="S131" i="3"/>
  <c r="R135" i="3"/>
  <c r="S135" i="3"/>
  <c r="R184" i="3"/>
  <c r="S184" i="3"/>
  <c r="R192" i="3"/>
  <c r="S192" i="3"/>
  <c r="R211" i="3"/>
  <c r="S211" i="3"/>
  <c r="R540" i="3"/>
  <c r="S540" i="3"/>
  <c r="R552" i="3"/>
  <c r="S552" i="3"/>
  <c r="R556" i="3"/>
  <c r="S556" i="3"/>
  <c r="R560" i="3"/>
  <c r="S560" i="3"/>
  <c r="R627" i="3"/>
  <c r="S627" i="3"/>
  <c r="R631" i="3"/>
  <c r="S631" i="3"/>
  <c r="R671" i="3"/>
  <c r="S671" i="3"/>
  <c r="R896" i="3"/>
  <c r="S896" i="3"/>
  <c r="R865" i="3"/>
  <c r="S865" i="3"/>
  <c r="S861" i="3"/>
  <c r="R838" i="3"/>
  <c r="S838" i="3"/>
  <c r="R779" i="3"/>
  <c r="S779" i="3"/>
  <c r="R775" i="3"/>
  <c r="S775" i="3"/>
  <c r="R24" i="4"/>
  <c r="S24" i="4"/>
  <c r="R32" i="4"/>
  <c r="S32" i="4"/>
  <c r="R111" i="4"/>
  <c r="S111" i="4"/>
  <c r="R135" i="4"/>
  <c r="S135" i="4"/>
  <c r="R163" i="4"/>
  <c r="S163" i="4"/>
  <c r="R866" i="2"/>
  <c r="S866" i="2"/>
  <c r="R813" i="2"/>
  <c r="S813" i="2"/>
  <c r="S809" i="2"/>
  <c r="R109" i="2"/>
  <c r="R117" i="2"/>
  <c r="R141" i="2"/>
  <c r="R229" i="2"/>
  <c r="R253" i="2"/>
  <c r="R277" i="2"/>
  <c r="R285" i="2"/>
  <c r="R397" i="2"/>
  <c r="R417" i="2"/>
  <c r="R429" i="2"/>
  <c r="R433" i="2"/>
  <c r="R437" i="2"/>
  <c r="R445" i="2"/>
  <c r="R3" i="2"/>
  <c r="S3" i="2"/>
  <c r="S7" i="2"/>
  <c r="S11" i="2"/>
  <c r="S34" i="2"/>
  <c r="S38" i="2"/>
  <c r="S42" i="2"/>
  <c r="S49" i="2"/>
  <c r="R53" i="2"/>
  <c r="S53" i="2"/>
  <c r="S57" i="2"/>
  <c r="R61" i="2"/>
  <c r="S61" i="2"/>
  <c r="S65" i="2"/>
  <c r="S69" i="2"/>
  <c r="R73" i="2"/>
  <c r="S73" i="2"/>
  <c r="S77" i="2"/>
  <c r="S81" i="2"/>
  <c r="R85" i="2"/>
  <c r="S85" i="2"/>
  <c r="S89" i="2"/>
  <c r="S144" i="2"/>
  <c r="S148" i="2"/>
  <c r="S159" i="2"/>
  <c r="S163" i="2"/>
  <c r="S167" i="2"/>
  <c r="R171" i="2"/>
  <c r="S171" i="2"/>
  <c r="S175" i="2"/>
  <c r="S179" i="2"/>
  <c r="S183" i="2"/>
  <c r="S187" i="2"/>
  <c r="R191" i="2"/>
  <c r="S191" i="2"/>
  <c r="S195" i="2"/>
  <c r="S199" i="2"/>
  <c r="S203" i="2"/>
  <c r="S207" i="2"/>
  <c r="S211" i="2"/>
  <c r="S215" i="2"/>
  <c r="S219" i="2"/>
  <c r="S294" i="2"/>
  <c r="S298" i="2"/>
  <c r="S302" i="2"/>
  <c r="S306" i="2"/>
  <c r="S310" i="2"/>
  <c r="S314" i="2"/>
  <c r="S318" i="2"/>
  <c r="S322" i="2"/>
  <c r="S326" i="2"/>
  <c r="S330" i="2"/>
  <c r="R334" i="2"/>
  <c r="S334" i="2"/>
  <c r="S338" i="2"/>
  <c r="S342" i="2"/>
  <c r="S346" i="2"/>
  <c r="S350" i="2"/>
  <c r="S354" i="2"/>
  <c r="R358" i="2"/>
  <c r="S358" i="2"/>
  <c r="S362" i="2"/>
  <c r="S366" i="2"/>
  <c r="S370" i="2"/>
  <c r="S374" i="2"/>
  <c r="S378" i="2"/>
  <c r="S382" i="2"/>
  <c r="S386" i="2"/>
  <c r="S390" i="2"/>
  <c r="S394" i="2"/>
  <c r="S477" i="2"/>
  <c r="S481" i="2"/>
  <c r="S485" i="2"/>
  <c r="S489" i="2"/>
  <c r="R493" i="2"/>
  <c r="S493" i="2"/>
  <c r="R497" i="2"/>
  <c r="S497" i="2"/>
  <c r="R501" i="2"/>
  <c r="S501" i="2"/>
  <c r="S505" i="2"/>
  <c r="S509" i="2"/>
  <c r="S513" i="2"/>
  <c r="R517" i="2"/>
  <c r="S517" i="2"/>
  <c r="S521" i="2"/>
  <c r="R525" i="2"/>
  <c r="S525" i="2"/>
  <c r="S529" i="2"/>
  <c r="S533" i="2"/>
  <c r="S537" i="2"/>
  <c r="S541" i="2"/>
  <c r="S545" i="2"/>
  <c r="S549" i="2"/>
  <c r="S553" i="2"/>
  <c r="S557" i="2"/>
  <c r="S561" i="2"/>
  <c r="S565" i="2"/>
  <c r="S569" i="2"/>
  <c r="S584" i="2"/>
  <c r="S588" i="2"/>
  <c r="S592" i="2"/>
  <c r="S596" i="2"/>
  <c r="S600" i="2"/>
  <c r="R604" i="2"/>
  <c r="S604" i="2"/>
  <c r="S608" i="2"/>
  <c r="S612" i="2"/>
  <c r="S616" i="2"/>
  <c r="S620" i="2"/>
  <c r="S624" i="2"/>
  <c r="S628" i="2"/>
  <c r="S632" i="2"/>
  <c r="S636" i="2"/>
  <c r="S640" i="2"/>
  <c r="S644" i="2"/>
  <c r="S648" i="2"/>
  <c r="S652" i="2"/>
  <c r="S656" i="2"/>
  <c r="S660" i="2"/>
  <c r="S664" i="2"/>
  <c r="S668" i="2"/>
  <c r="S672" i="2"/>
  <c r="S676" i="2"/>
  <c r="S680" i="2"/>
  <c r="S684" i="2"/>
  <c r="S688" i="2"/>
  <c r="S692" i="2"/>
  <c r="S696" i="2"/>
  <c r="S700" i="2"/>
  <c r="S704" i="2"/>
  <c r="S708" i="2"/>
  <c r="S712" i="2"/>
  <c r="S716" i="2"/>
  <c r="S720" i="2"/>
  <c r="S724" i="2"/>
  <c r="S728" i="2"/>
  <c r="S732" i="2"/>
  <c r="S736" i="2"/>
  <c r="S740" i="2"/>
  <c r="S744" i="2"/>
  <c r="S748" i="2"/>
  <c r="S752" i="2"/>
  <c r="S756" i="2"/>
  <c r="S760" i="2"/>
  <c r="S764" i="2"/>
  <c r="S907" i="2"/>
  <c r="S900" i="2"/>
  <c r="S896" i="2"/>
  <c r="S892" i="2"/>
  <c r="R888" i="2"/>
  <c r="S888" i="2"/>
  <c r="S884" i="2"/>
  <c r="S877" i="2"/>
  <c r="S873" i="2"/>
  <c r="S858" i="2"/>
  <c r="S854" i="2"/>
  <c r="S850" i="2"/>
  <c r="S846" i="2"/>
  <c r="S831" i="2"/>
  <c r="R820" i="2"/>
  <c r="S820" i="2"/>
  <c r="S805" i="2"/>
  <c r="S801" i="2"/>
  <c r="S797" i="2"/>
  <c r="S793" i="2"/>
  <c r="S789" i="2"/>
  <c r="R785" i="2"/>
  <c r="S785" i="2"/>
  <c r="S781" i="2"/>
  <c r="S777" i="2"/>
  <c r="S773" i="2"/>
  <c r="S769" i="2"/>
  <c r="R101" i="3"/>
  <c r="S2" i="3"/>
  <c r="S6" i="3"/>
  <c r="S10" i="3"/>
  <c r="S14" i="3"/>
  <c r="S18" i="3"/>
  <c r="R25" i="3"/>
  <c r="S25" i="3"/>
  <c r="S29" i="3"/>
  <c r="R33" i="3"/>
  <c r="S33" i="3"/>
  <c r="R37" i="3"/>
  <c r="S37" i="3"/>
  <c r="S41" i="3"/>
  <c r="S45" i="3"/>
  <c r="S49" i="3"/>
  <c r="S71" i="3"/>
  <c r="S90" i="3"/>
  <c r="S94" i="3"/>
  <c r="S109" i="3"/>
  <c r="S128" i="3"/>
  <c r="S147" i="3"/>
  <c r="R151" i="3"/>
  <c r="S151" i="3"/>
  <c r="S162" i="3"/>
  <c r="S166" i="3"/>
  <c r="R181" i="3"/>
  <c r="S181" i="3"/>
  <c r="R204" i="3"/>
  <c r="S204" i="3"/>
  <c r="R208" i="3"/>
  <c r="S208" i="3"/>
  <c r="S219" i="3"/>
  <c r="S223" i="3"/>
  <c r="R227" i="3"/>
  <c r="S227" i="3"/>
  <c r="R231" i="3"/>
  <c r="S231" i="3"/>
  <c r="S235" i="3"/>
  <c r="S239" i="3"/>
  <c r="S243" i="3"/>
  <c r="S247" i="3"/>
  <c r="R370" i="3"/>
  <c r="S374" i="3"/>
  <c r="R393" i="3"/>
  <c r="S393" i="3"/>
  <c r="S397" i="3"/>
  <c r="R401" i="3"/>
  <c r="S401" i="3"/>
  <c r="S405" i="3"/>
  <c r="R409" i="3"/>
  <c r="S409" i="3"/>
  <c r="S413" i="3"/>
  <c r="S417" i="3"/>
  <c r="S421" i="3"/>
  <c r="S425" i="3"/>
  <c r="S429" i="3"/>
  <c r="S433" i="3"/>
  <c r="S437" i="3"/>
  <c r="R441" i="3"/>
  <c r="S441" i="3"/>
  <c r="S445" i="3"/>
  <c r="S449" i="3"/>
  <c r="S453" i="3"/>
  <c r="R457" i="3"/>
  <c r="S457" i="3"/>
  <c r="S461" i="3"/>
  <c r="S465" i="3"/>
  <c r="S469" i="3"/>
  <c r="S473" i="3"/>
  <c r="R477" i="3"/>
  <c r="S477" i="3"/>
  <c r="R481" i="3"/>
  <c r="S481" i="3"/>
  <c r="S485" i="3"/>
  <c r="S489" i="3"/>
  <c r="S493" i="3"/>
  <c r="S497" i="3"/>
  <c r="S501" i="3"/>
  <c r="S505" i="3"/>
  <c r="R509" i="3"/>
  <c r="S509" i="3"/>
  <c r="R513" i="3"/>
  <c r="S513" i="3"/>
  <c r="S517" i="3"/>
  <c r="S584" i="3"/>
  <c r="R588" i="3"/>
  <c r="S588" i="3"/>
  <c r="R592" i="3"/>
  <c r="S592" i="3"/>
  <c r="R915" i="3"/>
  <c r="S915" i="3"/>
  <c r="R907" i="3"/>
  <c r="S907" i="3"/>
  <c r="S853" i="3"/>
  <c r="S849" i="3"/>
  <c r="R814" i="3"/>
  <c r="S814" i="3"/>
  <c r="R811" i="4"/>
  <c r="S811" i="4"/>
  <c r="R807" i="4"/>
  <c r="S807" i="4"/>
  <c r="S784" i="4"/>
  <c r="R784" i="4"/>
  <c r="R112" i="2"/>
  <c r="S112" i="2"/>
  <c r="R19" i="2"/>
  <c r="S19" i="2"/>
  <c r="R23" i="2"/>
  <c r="S23" i="2"/>
  <c r="R45" i="2"/>
  <c r="R93" i="2"/>
  <c r="S93" i="2"/>
  <c r="R101" i="2"/>
  <c r="S101" i="2"/>
  <c r="R129" i="2"/>
  <c r="S129" i="2"/>
  <c r="R133" i="2"/>
  <c r="S133" i="2"/>
  <c r="R398" i="2"/>
  <c r="S398" i="2"/>
  <c r="S402" i="2"/>
  <c r="R406" i="2"/>
  <c r="S406" i="2"/>
  <c r="R410" i="2"/>
  <c r="S410" i="2"/>
  <c r="S414" i="2"/>
  <c r="S418" i="2"/>
  <c r="S422" i="2"/>
  <c r="S426" i="2"/>
  <c r="S430" i="2"/>
  <c r="S434" i="2"/>
  <c r="S438" i="2"/>
  <c r="S442" i="2"/>
  <c r="S446" i="2"/>
  <c r="S450" i="2"/>
  <c r="S454" i="2"/>
  <c r="S458" i="2"/>
  <c r="S462" i="2"/>
  <c r="S466" i="2"/>
  <c r="S470" i="2"/>
  <c r="S474" i="2"/>
  <c r="S573" i="2"/>
  <c r="S577" i="2"/>
  <c r="S581" i="2"/>
  <c r="R920" i="2"/>
  <c r="R828" i="2"/>
  <c r="R824" i="2"/>
  <c r="S926" i="2"/>
  <c r="R922" i="2"/>
  <c r="S922" i="2"/>
  <c r="S918" i="2"/>
  <c r="S914" i="2"/>
  <c r="S910" i="2"/>
  <c r="S903" i="2"/>
  <c r="S880" i="2"/>
  <c r="S869" i="2"/>
  <c r="R865" i="2"/>
  <c r="S865" i="2"/>
  <c r="S861" i="2"/>
  <c r="R842" i="2"/>
  <c r="S842" i="2"/>
  <c r="R838" i="2"/>
  <c r="S838" i="2"/>
  <c r="S834" i="2"/>
  <c r="R827" i="2"/>
  <c r="S827" i="2"/>
  <c r="S823" i="2"/>
  <c r="S816" i="2"/>
  <c r="R812" i="2"/>
  <c r="S812" i="2"/>
  <c r="S808" i="2"/>
  <c r="R768" i="2"/>
  <c r="R765" i="2"/>
  <c r="S765" i="2"/>
  <c r="S22" i="3"/>
  <c r="R52" i="3"/>
  <c r="R56" i="3"/>
  <c r="S56" i="3"/>
  <c r="S60" i="3"/>
  <c r="R64" i="3"/>
  <c r="S64" i="3"/>
  <c r="S68" i="3"/>
  <c r="S75" i="3"/>
  <c r="S79" i="3"/>
  <c r="S83" i="3"/>
  <c r="R87" i="3"/>
  <c r="S87" i="3"/>
  <c r="S98" i="3"/>
  <c r="S102" i="3"/>
  <c r="R105" i="3"/>
  <c r="R113" i="3"/>
  <c r="S113" i="3"/>
  <c r="R117" i="3"/>
  <c r="S117" i="3"/>
  <c r="S121" i="3"/>
  <c r="R124" i="3"/>
  <c r="R132" i="3"/>
  <c r="S132" i="3"/>
  <c r="R136" i="3"/>
  <c r="S136" i="3"/>
  <c r="S140" i="3"/>
  <c r="S144" i="3"/>
  <c r="S155" i="3"/>
  <c r="S159" i="3"/>
  <c r="R170" i="3"/>
  <c r="S170" i="3"/>
  <c r="R174" i="3"/>
  <c r="S174" i="3"/>
  <c r="R178" i="3"/>
  <c r="S178" i="3"/>
  <c r="R185" i="3"/>
  <c r="S185" i="3"/>
  <c r="S189" i="3"/>
  <c r="S193" i="3"/>
  <c r="R197" i="3"/>
  <c r="S197" i="3"/>
  <c r="R200" i="3"/>
  <c r="S212" i="3"/>
  <c r="S216" i="3"/>
  <c r="S275" i="3"/>
  <c r="S279" i="3"/>
  <c r="R389" i="3"/>
  <c r="S533" i="3"/>
  <c r="S537" i="3"/>
  <c r="S541" i="3"/>
  <c r="S545" i="3"/>
  <c r="S549" i="3"/>
  <c r="S553" i="3"/>
  <c r="S557" i="3"/>
  <c r="S561" i="3"/>
  <c r="S604" i="3"/>
  <c r="R608" i="3"/>
  <c r="S608" i="3"/>
  <c r="S612" i="3"/>
  <c r="R616" i="3"/>
  <c r="S616" i="3"/>
  <c r="R620" i="3"/>
  <c r="S620" i="3"/>
  <c r="R624" i="3"/>
  <c r="S624" i="3"/>
  <c r="R628" i="3"/>
  <c r="S628" i="3"/>
  <c r="S632" i="3"/>
  <c r="S636" i="3"/>
  <c r="S640" i="3"/>
  <c r="S644" i="3"/>
  <c r="S648" i="3"/>
  <c r="S652" i="3"/>
  <c r="S656" i="3"/>
  <c r="S660" i="3"/>
  <c r="R664" i="3"/>
  <c r="S664" i="3"/>
  <c r="S668" i="3"/>
  <c r="R672" i="3"/>
  <c r="S672" i="3"/>
  <c r="R908" i="3"/>
  <c r="R848" i="3"/>
  <c r="S926" i="3"/>
  <c r="S899" i="3"/>
  <c r="S864" i="3"/>
  <c r="R860" i="3"/>
  <c r="S841" i="3"/>
  <c r="R837" i="3"/>
  <c r="S837" i="3"/>
  <c r="R833" i="3"/>
  <c r="S833" i="3"/>
  <c r="S829" i="3"/>
  <c r="S825" i="3"/>
  <c r="S778" i="3"/>
  <c r="S774" i="3"/>
  <c r="R104" i="4"/>
  <c r="S104" i="4"/>
  <c r="R132" i="4"/>
  <c r="S132" i="4"/>
  <c r="R144" i="4"/>
  <c r="S144" i="4"/>
  <c r="R152" i="4"/>
  <c r="S152" i="4"/>
  <c r="R108" i="2"/>
  <c r="S108" i="2"/>
  <c r="R234" i="2"/>
  <c r="S234" i="2"/>
  <c r="R254" i="2"/>
  <c r="S254" i="2"/>
  <c r="R270" i="2"/>
  <c r="S270" i="2"/>
  <c r="R915" i="2"/>
  <c r="S915" i="2"/>
  <c r="R125" i="2"/>
  <c r="S125" i="2"/>
  <c r="R2" i="2"/>
  <c r="R30" i="2"/>
  <c r="R106" i="2"/>
  <c r="R110" i="2"/>
  <c r="R138" i="2"/>
  <c r="R154" i="2"/>
  <c r="R250" i="2"/>
  <c r="R282" i="2"/>
  <c r="R286" i="2"/>
  <c r="R574" i="2"/>
  <c r="S4" i="2"/>
  <c r="S8" i="2"/>
  <c r="S12" i="2"/>
  <c r="S35" i="2"/>
  <c r="R39" i="2"/>
  <c r="S39" i="2"/>
  <c r="R42" i="2"/>
  <c r="R46" i="2"/>
  <c r="S46" i="2"/>
  <c r="S50" i="2"/>
  <c r="S54" i="2"/>
  <c r="R58" i="2"/>
  <c r="S58" i="2"/>
  <c r="S62" i="2"/>
  <c r="S66" i="2"/>
  <c r="S70" i="2"/>
  <c r="S74" i="2"/>
  <c r="R78" i="2"/>
  <c r="S78" i="2"/>
  <c r="S82" i="2"/>
  <c r="R86" i="2"/>
  <c r="S86" i="2"/>
  <c r="R90" i="2"/>
  <c r="S90" i="2"/>
  <c r="S145" i="2"/>
  <c r="S149" i="2"/>
  <c r="S160" i="2"/>
  <c r="S164" i="2"/>
  <c r="S168" i="2"/>
  <c r="S172" i="2"/>
  <c r="S176" i="2"/>
  <c r="S180" i="2"/>
  <c r="S184" i="2"/>
  <c r="S188" i="2"/>
  <c r="S192" i="2"/>
  <c r="S196" i="2"/>
  <c r="S200" i="2"/>
  <c r="S204" i="2"/>
  <c r="S208" i="2"/>
  <c r="S212" i="2"/>
  <c r="S216" i="2"/>
  <c r="R220" i="2"/>
  <c r="S220" i="2"/>
  <c r="S295" i="2"/>
  <c r="S299" i="2"/>
  <c r="S303" i="2"/>
  <c r="S307" i="2"/>
  <c r="S311" i="2"/>
  <c r="S315" i="2"/>
  <c r="S319" i="2"/>
  <c r="S323" i="2"/>
  <c r="S327" i="2"/>
  <c r="S331" i="2"/>
  <c r="S335" i="2"/>
  <c r="R339" i="2"/>
  <c r="S339" i="2"/>
  <c r="S343" i="2"/>
  <c r="S347" i="2"/>
  <c r="R351" i="2"/>
  <c r="S351" i="2"/>
  <c r="S355" i="2"/>
  <c r="S359" i="2"/>
  <c r="S363" i="2"/>
  <c r="S367" i="2"/>
  <c r="S371" i="2"/>
  <c r="S375" i="2"/>
  <c r="S379" i="2"/>
  <c r="S383" i="2"/>
  <c r="S387" i="2"/>
  <c r="R391" i="2"/>
  <c r="S391" i="2"/>
  <c r="R394" i="2"/>
  <c r="R478" i="2"/>
  <c r="S478" i="2"/>
  <c r="S482" i="2"/>
  <c r="R486" i="2"/>
  <c r="S486" i="2"/>
  <c r="S490" i="2"/>
  <c r="S494" i="2"/>
  <c r="S498" i="2"/>
  <c r="S502" i="2"/>
  <c r="S506" i="2"/>
  <c r="S510" i="2"/>
  <c r="S514" i="2"/>
  <c r="S518" i="2"/>
  <c r="S522" i="2"/>
  <c r="S526" i="2"/>
  <c r="S530" i="2"/>
  <c r="S534" i="2"/>
  <c r="S538" i="2"/>
  <c r="S542" i="2"/>
  <c r="S546" i="2"/>
  <c r="S550" i="2"/>
  <c r="S554" i="2"/>
  <c r="S558" i="2"/>
  <c r="S562" i="2"/>
  <c r="S566" i="2"/>
  <c r="S570" i="2"/>
  <c r="S585" i="2"/>
  <c r="R589" i="2"/>
  <c r="S589" i="2"/>
  <c r="R593" i="2"/>
  <c r="S593" i="2"/>
  <c r="S597" i="2"/>
  <c r="S601" i="2"/>
  <c r="S605" i="2"/>
  <c r="S609" i="2"/>
  <c r="S613" i="2"/>
  <c r="S617" i="2"/>
  <c r="S621" i="2"/>
  <c r="S625" i="2"/>
  <c r="S629" i="2"/>
  <c r="S633" i="2"/>
  <c r="S637" i="2"/>
  <c r="R641" i="2"/>
  <c r="S641" i="2"/>
  <c r="S645" i="2"/>
  <c r="S649" i="2"/>
  <c r="S653" i="2"/>
  <c r="S657" i="2"/>
  <c r="S661" i="2"/>
  <c r="S665" i="2"/>
  <c r="S669" i="2"/>
  <c r="S673" i="2"/>
  <c r="S677" i="2"/>
  <c r="S681" i="2"/>
  <c r="S685" i="2"/>
  <c r="S689" i="2"/>
  <c r="S693" i="2"/>
  <c r="S697" i="2"/>
  <c r="S701" i="2"/>
  <c r="S705" i="2"/>
  <c r="S709" i="2"/>
  <c r="S713" i="2"/>
  <c r="S717" i="2"/>
  <c r="S721" i="2"/>
  <c r="S725" i="2"/>
  <c r="S729" i="2"/>
  <c r="S733" i="2"/>
  <c r="S737" i="2"/>
  <c r="S741" i="2"/>
  <c r="S745" i="2"/>
  <c r="S749" i="2"/>
  <c r="S753" i="2"/>
  <c r="S757" i="2"/>
  <c r="S761" i="2"/>
  <c r="S906" i="2"/>
  <c r="R899" i="2"/>
  <c r="S899" i="2"/>
  <c r="R895" i="2"/>
  <c r="S895" i="2"/>
  <c r="S891" i="2"/>
  <c r="S887" i="2"/>
  <c r="S883" i="2"/>
  <c r="S876" i="2"/>
  <c r="S872" i="2"/>
  <c r="R857" i="2"/>
  <c r="S857" i="2"/>
  <c r="S853" i="2"/>
  <c r="S849" i="2"/>
  <c r="R845" i="2"/>
  <c r="S845" i="2"/>
  <c r="S830" i="2"/>
  <c r="S819" i="2"/>
  <c r="R804" i="2"/>
  <c r="S804" i="2"/>
  <c r="S800" i="2"/>
  <c r="S796" i="2"/>
  <c r="R792" i="2"/>
  <c r="S792" i="2"/>
  <c r="S788" i="2"/>
  <c r="S784" i="2"/>
  <c r="R780" i="2"/>
  <c r="S780" i="2"/>
  <c r="S776" i="2"/>
  <c r="S772" i="2"/>
  <c r="R82" i="3"/>
  <c r="S3" i="3"/>
  <c r="R7" i="3"/>
  <c r="S7" i="3"/>
  <c r="S11" i="3"/>
  <c r="R15" i="3"/>
  <c r="S15" i="3"/>
  <c r="S19" i="3"/>
  <c r="S26" i="3"/>
  <c r="S30" i="3"/>
  <c r="R34" i="3"/>
  <c r="S34" i="3"/>
  <c r="S38" i="3"/>
  <c r="S42" i="3"/>
  <c r="S46" i="3"/>
  <c r="R49" i="3"/>
  <c r="R53" i="3"/>
  <c r="S53" i="3"/>
  <c r="R71" i="3"/>
  <c r="S91" i="3"/>
  <c r="S95" i="3"/>
  <c r="R106" i="3"/>
  <c r="S106" i="3"/>
  <c r="S110" i="3"/>
  <c r="S125" i="3"/>
  <c r="R128" i="3"/>
  <c r="R148" i="3"/>
  <c r="S148" i="3"/>
  <c r="R152" i="3"/>
  <c r="S152" i="3"/>
  <c r="S163" i="3"/>
  <c r="R167" i="3"/>
  <c r="S167" i="3"/>
  <c r="S182" i="3"/>
  <c r="S201" i="3"/>
  <c r="S205" i="3"/>
  <c r="S209" i="3"/>
  <c r="R220" i="3"/>
  <c r="S220" i="3"/>
  <c r="R240" i="3"/>
  <c r="R244" i="3"/>
  <c r="S244" i="3"/>
  <c r="R247" i="3"/>
  <c r="S371" i="3"/>
  <c r="S375" i="3"/>
  <c r="S394" i="3"/>
  <c r="S398" i="3"/>
  <c r="S402" i="3"/>
  <c r="R406" i="3"/>
  <c r="S406" i="3"/>
  <c r="S410" i="3"/>
  <c r="S414" i="3"/>
  <c r="S418" i="3"/>
  <c r="S422" i="3"/>
  <c r="R426" i="3"/>
  <c r="S426" i="3"/>
  <c r="R430" i="3"/>
  <c r="S430" i="3"/>
  <c r="R434" i="3"/>
  <c r="S434" i="3"/>
  <c r="S438" i="3"/>
  <c r="S442" i="3"/>
  <c r="S446" i="3"/>
  <c r="R450" i="3"/>
  <c r="S450" i="3"/>
  <c r="S454" i="3"/>
  <c r="S458" i="3"/>
  <c r="S462" i="3"/>
  <c r="R466" i="3"/>
  <c r="S466" i="3"/>
  <c r="S470" i="3"/>
  <c r="S474" i="3"/>
  <c r="S478" i="3"/>
  <c r="S482" i="3"/>
  <c r="S486" i="3"/>
  <c r="S490" i="3"/>
  <c r="S494" i="3"/>
  <c r="R498" i="3"/>
  <c r="S498" i="3"/>
  <c r="R502" i="3"/>
  <c r="S502" i="3"/>
  <c r="S506" i="3"/>
  <c r="S510" i="3"/>
  <c r="S514" i="3"/>
  <c r="S518" i="3"/>
  <c r="S581" i="3"/>
  <c r="S585" i="3"/>
  <c r="S589" i="3"/>
  <c r="S593" i="3"/>
  <c r="R910" i="3"/>
  <c r="S910" i="3"/>
  <c r="R887" i="3"/>
  <c r="S887" i="3"/>
  <c r="R852" i="3"/>
  <c r="S852" i="3"/>
  <c r="S813" i="3"/>
  <c r="R77" i="4"/>
  <c r="S77" i="4"/>
  <c r="R80" i="4"/>
  <c r="R247" i="4"/>
  <c r="R94" i="2"/>
  <c r="S94" i="2"/>
  <c r="R578" i="2"/>
  <c r="S578" i="2"/>
  <c r="R925" i="2"/>
  <c r="S925" i="2"/>
  <c r="R868" i="2"/>
  <c r="S868" i="2"/>
  <c r="R864" i="2"/>
  <c r="S864" i="2"/>
  <c r="R841" i="2"/>
  <c r="S841" i="2"/>
  <c r="S837" i="2"/>
  <c r="S833" i="2"/>
  <c r="S815" i="2"/>
  <c r="S811" i="2"/>
  <c r="R23" i="3"/>
  <c r="S23" i="3"/>
  <c r="R50" i="3"/>
  <c r="S50" i="3"/>
  <c r="R57" i="3"/>
  <c r="S57" i="3"/>
  <c r="S61" i="3"/>
  <c r="S65" i="3"/>
  <c r="R72" i="3"/>
  <c r="S72" i="3"/>
  <c r="R76" i="3"/>
  <c r="S76" i="3"/>
  <c r="R80" i="3"/>
  <c r="S80" i="3"/>
  <c r="R84" i="3"/>
  <c r="S84" i="3"/>
  <c r="S88" i="3"/>
  <c r="S99" i="3"/>
  <c r="R103" i="3"/>
  <c r="S103" i="3"/>
  <c r="R114" i="3"/>
  <c r="S114" i="3"/>
  <c r="S118" i="3"/>
  <c r="S122" i="3"/>
  <c r="S129" i="3"/>
  <c r="S133" i="3"/>
  <c r="S137" i="3"/>
  <c r="S141" i="3"/>
  <c r="S156" i="3"/>
  <c r="S160" i="3"/>
  <c r="S171" i="3"/>
  <c r="S175" i="3"/>
  <c r="S179" i="3"/>
  <c r="S186" i="3"/>
  <c r="S190" i="3"/>
  <c r="R194" i="3"/>
  <c r="S194" i="3"/>
  <c r="S198" i="3"/>
  <c r="S213" i="3"/>
  <c r="S276" i="3"/>
  <c r="S280" i="3"/>
  <c r="R387" i="3"/>
  <c r="S387" i="3"/>
  <c r="R534" i="3"/>
  <c r="S534" i="3"/>
  <c r="R538" i="3"/>
  <c r="S538" i="3"/>
  <c r="S542" i="3"/>
  <c r="S546" i="3"/>
  <c r="S550" i="3"/>
  <c r="S554" i="3"/>
  <c r="S558" i="3"/>
  <c r="S562" i="3"/>
  <c r="R601" i="3"/>
  <c r="S605" i="3"/>
  <c r="S609" i="3"/>
  <c r="S613" i="3"/>
  <c r="S617" i="3"/>
  <c r="S621" i="3"/>
  <c r="S625" i="3"/>
  <c r="S629" i="3"/>
  <c r="S633" i="3"/>
  <c r="S637" i="3"/>
  <c r="S641" i="3"/>
  <c r="S645" i="3"/>
  <c r="S649" i="3"/>
  <c r="S653" i="3"/>
  <c r="S657" i="3"/>
  <c r="S661" i="3"/>
  <c r="S665" i="3"/>
  <c r="S669" i="3"/>
  <c r="S673" i="3"/>
  <c r="R911" i="3"/>
  <c r="R903" i="3"/>
  <c r="R891" i="3"/>
  <c r="R847" i="3"/>
  <c r="S925" i="3"/>
  <c r="S867" i="3"/>
  <c r="R863" i="3"/>
  <c r="S863" i="3"/>
  <c r="R840" i="3"/>
  <c r="S840" i="3"/>
  <c r="R828" i="3"/>
  <c r="S828" i="3"/>
  <c r="S777" i="3"/>
  <c r="R149" i="4"/>
  <c r="S149" i="4"/>
  <c r="R169" i="4"/>
  <c r="S169" i="4"/>
  <c r="R173" i="4"/>
  <c r="S173" i="4"/>
  <c r="R28" i="2"/>
  <c r="S28" i="2"/>
  <c r="R122" i="2"/>
  <c r="S122" i="2"/>
  <c r="R126" i="2"/>
  <c r="S126" i="2"/>
  <c r="R471" i="2"/>
  <c r="S471" i="2"/>
  <c r="S921" i="2"/>
  <c r="R917" i="2"/>
  <c r="S917" i="2"/>
  <c r="S913" i="2"/>
  <c r="S879" i="2"/>
  <c r="R15" i="2"/>
  <c r="R95" i="2"/>
  <c r="R127" i="2"/>
  <c r="R239" i="2"/>
  <c r="R271" i="2"/>
  <c r="R415" i="2"/>
  <c r="R463" i="2"/>
  <c r="R5" i="2"/>
  <c r="S5" i="2"/>
  <c r="S9" i="2"/>
  <c r="R12" i="2"/>
  <c r="S32" i="2"/>
  <c r="S36" i="2"/>
  <c r="S40" i="2"/>
  <c r="R47" i="2"/>
  <c r="S47" i="2"/>
  <c r="S51" i="2"/>
  <c r="S55" i="2"/>
  <c r="S59" i="2"/>
  <c r="S63" i="2"/>
  <c r="S67" i="2"/>
  <c r="S71" i="2"/>
  <c r="S75" i="2"/>
  <c r="R79" i="2"/>
  <c r="S79" i="2"/>
  <c r="S83" i="2"/>
  <c r="S87" i="2"/>
  <c r="S91" i="2"/>
  <c r="R146" i="2"/>
  <c r="S146" i="2"/>
  <c r="R149" i="2"/>
  <c r="S157" i="2"/>
  <c r="S161" i="2"/>
  <c r="S165" i="2"/>
  <c r="S169" i="2"/>
  <c r="S173" i="2"/>
  <c r="S177" i="2"/>
  <c r="S181" i="2"/>
  <c r="R185" i="2"/>
  <c r="S185" i="2"/>
  <c r="S189" i="2"/>
  <c r="S193" i="2"/>
  <c r="R197" i="2"/>
  <c r="S197" i="2"/>
  <c r="S201" i="2"/>
  <c r="S205" i="2"/>
  <c r="R209" i="2"/>
  <c r="S209" i="2"/>
  <c r="R213" i="2"/>
  <c r="S213" i="2"/>
  <c r="S217" i="2"/>
  <c r="S221" i="2"/>
  <c r="S296" i="2"/>
  <c r="S300" i="2"/>
  <c r="S304" i="2"/>
  <c r="S308" i="2"/>
  <c r="S312" i="2"/>
  <c r="S316" i="2"/>
  <c r="S320" i="2"/>
  <c r="S324" i="2"/>
  <c r="S328" i="2"/>
  <c r="R332" i="2"/>
  <c r="S332" i="2"/>
  <c r="S336" i="2"/>
  <c r="S340" i="2"/>
  <c r="S344" i="2"/>
  <c r="S348" i="2"/>
  <c r="S352" i="2"/>
  <c r="S356" i="2"/>
  <c r="S360" i="2"/>
  <c r="R364" i="2"/>
  <c r="S364" i="2"/>
  <c r="S368" i="2"/>
  <c r="S372" i="2"/>
  <c r="S376" i="2"/>
  <c r="S380" i="2"/>
  <c r="S384" i="2"/>
  <c r="S388" i="2"/>
  <c r="S392" i="2"/>
  <c r="S475" i="2"/>
  <c r="S479" i="2"/>
  <c r="S483" i="2"/>
  <c r="S487" i="2"/>
  <c r="S491" i="2"/>
  <c r="S495" i="2"/>
  <c r="S499" i="2"/>
  <c r="S503" i="2"/>
  <c r="S507" i="2"/>
  <c r="S511" i="2"/>
  <c r="S515" i="2"/>
  <c r="S519" i="2"/>
  <c r="S523" i="2"/>
  <c r="S527" i="2"/>
  <c r="S531" i="2"/>
  <c r="S535" i="2"/>
  <c r="S539" i="2"/>
  <c r="S543" i="2"/>
  <c r="S547" i="2"/>
  <c r="S551" i="2"/>
  <c r="S555" i="2"/>
  <c r="R559" i="2"/>
  <c r="S559" i="2"/>
  <c r="S563" i="2"/>
  <c r="R567" i="2"/>
  <c r="S567" i="2"/>
  <c r="S582" i="2"/>
  <c r="S586" i="2"/>
  <c r="S590" i="2"/>
  <c r="S594" i="2"/>
  <c r="S598" i="2"/>
  <c r="S602" i="2"/>
  <c r="S606" i="2"/>
  <c r="S610" i="2"/>
  <c r="S614" i="2"/>
  <c r="S618" i="2"/>
  <c r="S622" i="2"/>
  <c r="S626" i="2"/>
  <c r="S630" i="2"/>
  <c r="S634" i="2"/>
  <c r="S638" i="2"/>
  <c r="S642" i="2"/>
  <c r="S646" i="2"/>
  <c r="S650" i="2"/>
  <c r="S654" i="2"/>
  <c r="S658" i="2"/>
  <c r="S662" i="2"/>
  <c r="S666" i="2"/>
  <c r="S670" i="2"/>
  <c r="S674" i="2"/>
  <c r="S678" i="2"/>
  <c r="S682" i="2"/>
  <c r="S686" i="2"/>
  <c r="S690" i="2"/>
  <c r="S694" i="2"/>
  <c r="S698" i="2"/>
  <c r="S702" i="2"/>
  <c r="S706" i="2"/>
  <c r="S710" i="2"/>
  <c r="S714" i="2"/>
  <c r="S718" i="2"/>
  <c r="S722" i="2"/>
  <c r="S726" i="2"/>
  <c r="S730" i="2"/>
  <c r="S734" i="2"/>
  <c r="S738" i="2"/>
  <c r="S742" i="2"/>
  <c r="S746" i="2"/>
  <c r="S750" i="2"/>
  <c r="S754" i="2"/>
  <c r="S758" i="2"/>
  <c r="S762" i="2"/>
  <c r="S909" i="2"/>
  <c r="S905" i="2"/>
  <c r="S898" i="2"/>
  <c r="S894" i="2"/>
  <c r="S890" i="2"/>
  <c r="R886" i="2"/>
  <c r="S886" i="2"/>
  <c r="S882" i="2"/>
  <c r="R875" i="2"/>
  <c r="S875" i="2"/>
  <c r="S871" i="2"/>
  <c r="S856" i="2"/>
  <c r="S852" i="2"/>
  <c r="R848" i="2"/>
  <c r="S848" i="2"/>
  <c r="S844" i="2"/>
  <c r="S818" i="2"/>
  <c r="S807" i="2"/>
  <c r="S803" i="2"/>
  <c r="S799" i="2"/>
  <c r="S795" i="2"/>
  <c r="R791" i="2"/>
  <c r="S791" i="2"/>
  <c r="S787" i="2"/>
  <c r="S783" i="2"/>
  <c r="S779" i="2"/>
  <c r="S775" i="2"/>
  <c r="S771" i="2"/>
  <c r="R215" i="3"/>
  <c r="R615" i="3"/>
  <c r="R647" i="3"/>
  <c r="R663" i="3"/>
  <c r="S4" i="3"/>
  <c r="S8" i="3"/>
  <c r="S12" i="3"/>
  <c r="S16" i="3"/>
  <c r="S20" i="3"/>
  <c r="S27" i="3"/>
  <c r="R31" i="3"/>
  <c r="S31" i="3"/>
  <c r="S35" i="3"/>
  <c r="R39" i="3"/>
  <c r="S39" i="3"/>
  <c r="R43" i="3"/>
  <c r="S43" i="3"/>
  <c r="R47" i="3"/>
  <c r="S47" i="3"/>
  <c r="S54" i="3"/>
  <c r="S69" i="3"/>
  <c r="R92" i="3"/>
  <c r="S92" i="3"/>
  <c r="S96" i="3"/>
  <c r="S107" i="3"/>
  <c r="S111" i="3"/>
  <c r="S126" i="3"/>
  <c r="S145" i="3"/>
  <c r="S149" i="3"/>
  <c r="S153" i="3"/>
  <c r="R164" i="3"/>
  <c r="S164" i="3"/>
  <c r="S168" i="3"/>
  <c r="S183" i="3"/>
  <c r="S202" i="3"/>
  <c r="S206" i="3"/>
  <c r="S210" i="3"/>
  <c r="S241" i="3"/>
  <c r="S245" i="3"/>
  <c r="S372" i="3"/>
  <c r="S376" i="3"/>
  <c r="S395" i="3"/>
  <c r="S399" i="3"/>
  <c r="R403" i="3"/>
  <c r="S403" i="3"/>
  <c r="R407" i="3"/>
  <c r="S407" i="3"/>
  <c r="S411" i="3"/>
  <c r="S415" i="3"/>
  <c r="R419" i="3"/>
  <c r="S419" i="3"/>
  <c r="S423" i="3"/>
  <c r="S427" i="3"/>
  <c r="R431" i="3"/>
  <c r="S431" i="3"/>
  <c r="S435" i="3"/>
  <c r="S439" i="3"/>
  <c r="S443" i="3"/>
  <c r="S447" i="3"/>
  <c r="R451" i="3"/>
  <c r="S451" i="3"/>
  <c r="R455" i="3"/>
  <c r="S455" i="3"/>
  <c r="S459" i="3"/>
  <c r="S463" i="3"/>
  <c r="S467" i="3"/>
  <c r="S471" i="3"/>
  <c r="S475" i="3"/>
  <c r="R479" i="3"/>
  <c r="S479" i="3"/>
  <c r="S483" i="3"/>
  <c r="R487" i="3"/>
  <c r="S487" i="3"/>
  <c r="S491" i="3"/>
  <c r="S495" i="3"/>
  <c r="S499" i="3"/>
  <c r="S503" i="3"/>
  <c r="S507" i="3"/>
  <c r="S511" i="3"/>
  <c r="S515" i="3"/>
  <c r="S519" i="3"/>
  <c r="S582" i="3"/>
  <c r="S586" i="3"/>
  <c r="S590" i="3"/>
  <c r="S594" i="3"/>
  <c r="S917" i="3"/>
  <c r="S913" i="3"/>
  <c r="R909" i="3"/>
  <c r="S909" i="3"/>
  <c r="S905" i="3"/>
  <c r="R851" i="3"/>
  <c r="S851" i="3"/>
  <c r="R765" i="3"/>
  <c r="S765" i="3"/>
  <c r="R843" i="4"/>
  <c r="S843" i="4"/>
  <c r="R839" i="4"/>
  <c r="S839" i="4"/>
  <c r="S835" i="4"/>
  <c r="R835" i="4"/>
  <c r="R21" i="4"/>
  <c r="S21" i="4"/>
  <c r="R25" i="4"/>
  <c r="S25" i="4"/>
  <c r="R118" i="4"/>
  <c r="S118" i="4"/>
  <c r="R146" i="4"/>
  <c r="S146" i="4"/>
  <c r="R166" i="4"/>
  <c r="S166" i="4"/>
  <c r="R340" i="4"/>
  <c r="S340" i="4"/>
  <c r="R352" i="4"/>
  <c r="S352" i="4"/>
  <c r="S907" i="4"/>
  <c r="R903" i="4"/>
  <c r="S903" i="4"/>
  <c r="R899" i="4"/>
  <c r="S899" i="4"/>
  <c r="R895" i="4"/>
  <c r="S895" i="4"/>
  <c r="R880" i="4"/>
  <c r="S880" i="4"/>
  <c r="R876" i="4"/>
  <c r="S876" i="4"/>
  <c r="R872" i="4"/>
  <c r="S872" i="4"/>
  <c r="R853" i="4"/>
  <c r="S853" i="4"/>
  <c r="S819" i="4"/>
  <c r="R808" i="4"/>
  <c r="S808" i="4"/>
  <c r="R804" i="4"/>
  <c r="S804" i="4"/>
  <c r="R785" i="4"/>
  <c r="S785" i="4"/>
  <c r="S217" i="3"/>
  <c r="S221" i="3"/>
  <c r="S225" i="3"/>
  <c r="S229" i="3"/>
  <c r="S233" i="3"/>
  <c r="S237" i="3"/>
  <c r="S248" i="3"/>
  <c r="S252" i="3"/>
  <c r="S256" i="3"/>
  <c r="R260" i="3"/>
  <c r="S260" i="3"/>
  <c r="R264" i="3"/>
  <c r="S264" i="3"/>
  <c r="S268" i="3"/>
  <c r="R272" i="3"/>
  <c r="S272" i="3"/>
  <c r="S283" i="3"/>
  <c r="S287" i="3"/>
  <c r="R291" i="3"/>
  <c r="S291" i="3"/>
  <c r="S295" i="3"/>
  <c r="S299" i="3"/>
  <c r="S303" i="3"/>
  <c r="S307" i="3"/>
  <c r="S311" i="3"/>
  <c r="S315" i="3"/>
  <c r="S319" i="3"/>
  <c r="S323" i="3"/>
  <c r="R327" i="3"/>
  <c r="S327" i="3"/>
  <c r="R331" i="3"/>
  <c r="S331" i="3"/>
  <c r="R335" i="3"/>
  <c r="S335" i="3"/>
  <c r="S339" i="3"/>
  <c r="S343" i="3"/>
  <c r="S347" i="3"/>
  <c r="S351" i="3"/>
  <c r="S355" i="3"/>
  <c r="S359" i="3"/>
  <c r="R363" i="3"/>
  <c r="S363" i="3"/>
  <c r="R367" i="3"/>
  <c r="S367" i="3"/>
  <c r="S378" i="3"/>
  <c r="S382" i="3"/>
  <c r="S386" i="3"/>
  <c r="S520" i="3"/>
  <c r="R524" i="3"/>
  <c r="S524" i="3"/>
  <c r="R528" i="3"/>
  <c r="S528" i="3"/>
  <c r="S563" i="3"/>
  <c r="R567" i="3"/>
  <c r="S567" i="3"/>
  <c r="S571" i="3"/>
  <c r="S575" i="3"/>
  <c r="S579" i="3"/>
  <c r="S598" i="3"/>
  <c r="S677" i="3"/>
  <c r="S681" i="3"/>
  <c r="S685" i="3"/>
  <c r="S689" i="3"/>
  <c r="S693" i="3"/>
  <c r="R697" i="3"/>
  <c r="S697" i="3"/>
  <c r="S701" i="3"/>
  <c r="S705" i="3"/>
  <c r="R709" i="3"/>
  <c r="S709" i="3"/>
  <c r="S713" i="3"/>
  <c r="S717" i="3"/>
  <c r="S721" i="3"/>
  <c r="S725" i="3"/>
  <c r="R729" i="3"/>
  <c r="S729" i="3"/>
  <c r="S733" i="3"/>
  <c r="S737" i="3"/>
  <c r="S741" i="3"/>
  <c r="S745" i="3"/>
  <c r="S749" i="3"/>
  <c r="S753" i="3"/>
  <c r="S757" i="3"/>
  <c r="S761" i="3"/>
  <c r="S921" i="3"/>
  <c r="S902" i="3"/>
  <c r="S895" i="3"/>
  <c r="S884" i="3"/>
  <c r="R880" i="3"/>
  <c r="S880" i="3"/>
  <c r="S876" i="3"/>
  <c r="R872" i="3"/>
  <c r="S872" i="3"/>
  <c r="S868" i="3"/>
  <c r="S857" i="3"/>
  <c r="S846" i="3"/>
  <c r="S823" i="3"/>
  <c r="S819" i="3"/>
  <c r="R808" i="3"/>
  <c r="S808" i="3"/>
  <c r="S804" i="3"/>
  <c r="S800" i="3"/>
  <c r="R796" i="3"/>
  <c r="S796" i="3"/>
  <c r="S792" i="3"/>
  <c r="R788" i="3"/>
  <c r="S788" i="3"/>
  <c r="S784" i="3"/>
  <c r="S773" i="3"/>
  <c r="S769" i="3"/>
  <c r="R37" i="4"/>
  <c r="R105" i="4"/>
  <c r="R133" i="4"/>
  <c r="R137" i="4"/>
  <c r="R153" i="4"/>
  <c r="R165" i="4"/>
  <c r="R213" i="4"/>
  <c r="R217" i="4"/>
  <c r="R229" i="4"/>
  <c r="R233" i="4"/>
  <c r="R329" i="4"/>
  <c r="R341" i="4"/>
  <c r="R345" i="4"/>
  <c r="R357" i="4"/>
  <c r="R373" i="4"/>
  <c r="R385" i="4"/>
  <c r="R389" i="4"/>
  <c r="R409" i="4"/>
  <c r="R425" i="4"/>
  <c r="R453" i="4"/>
  <c r="R465" i="4"/>
  <c r="R469" i="4"/>
  <c r="R473" i="4"/>
  <c r="R485" i="4"/>
  <c r="R489" i="4"/>
  <c r="R505" i="4"/>
  <c r="R529" i="4"/>
  <c r="R533" i="4"/>
  <c r="R545" i="4"/>
  <c r="R549" i="4"/>
  <c r="R561" i="4"/>
  <c r="R577" i="4"/>
  <c r="R581" i="4"/>
  <c r="R593" i="4"/>
  <c r="S2" i="4"/>
  <c r="S6" i="4"/>
  <c r="S10" i="4"/>
  <c r="S14" i="4"/>
  <c r="S40" i="4"/>
  <c r="R44" i="4"/>
  <c r="S44" i="4"/>
  <c r="R48" i="4"/>
  <c r="S48" i="4"/>
  <c r="R52" i="4"/>
  <c r="S52" i="4"/>
  <c r="S56" i="4"/>
  <c r="R60" i="4"/>
  <c r="S60" i="4"/>
  <c r="S64" i="4"/>
  <c r="R68" i="4"/>
  <c r="S68" i="4"/>
  <c r="R72" i="4"/>
  <c r="S72" i="4"/>
  <c r="S83" i="4"/>
  <c r="R87" i="4"/>
  <c r="S87" i="4"/>
  <c r="S91" i="4"/>
  <c r="S95" i="4"/>
  <c r="S99" i="4"/>
  <c r="S178" i="4"/>
  <c r="S182" i="4"/>
  <c r="S186" i="4"/>
  <c r="S190" i="4"/>
  <c r="S194" i="4"/>
  <c r="S198" i="4"/>
  <c r="S202" i="4"/>
  <c r="S206" i="4"/>
  <c r="S249" i="4"/>
  <c r="S253" i="4"/>
  <c r="S257" i="4"/>
  <c r="R261" i="4"/>
  <c r="S261" i="4"/>
  <c r="S265" i="4"/>
  <c r="S269" i="4"/>
  <c r="S273" i="4"/>
  <c r="S277" i="4"/>
  <c r="S281" i="4"/>
  <c r="S285" i="4"/>
  <c r="S289" i="4"/>
  <c r="S293" i="4"/>
  <c r="S297" i="4"/>
  <c r="S301" i="4"/>
  <c r="S305" i="4"/>
  <c r="S309" i="4"/>
  <c r="S313" i="4"/>
  <c r="S317" i="4"/>
  <c r="S321" i="4"/>
  <c r="S600" i="4"/>
  <c r="S604" i="4"/>
  <c r="S608" i="4"/>
  <c r="S612" i="4"/>
  <c r="S616" i="4"/>
  <c r="S620" i="4"/>
  <c r="R624" i="4"/>
  <c r="S624" i="4"/>
  <c r="S628" i="4"/>
  <c r="S632" i="4"/>
  <c r="S636" i="4"/>
  <c r="R640" i="4"/>
  <c r="S640" i="4"/>
  <c r="S644" i="4"/>
  <c r="S648" i="4"/>
  <c r="R652" i="4"/>
  <c r="S652" i="4"/>
  <c r="S656" i="4"/>
  <c r="S660" i="4"/>
  <c r="S664" i="4"/>
  <c r="R668" i="4"/>
  <c r="S668" i="4"/>
  <c r="R672" i="4"/>
  <c r="S672" i="4"/>
  <c r="S676" i="4"/>
  <c r="S680" i="4"/>
  <c r="S684" i="4"/>
  <c r="S688" i="4"/>
  <c r="S692" i="4"/>
  <c r="S696" i="4"/>
  <c r="S700" i="4"/>
  <c r="S704" i="4"/>
  <c r="S708" i="4"/>
  <c r="S712" i="4"/>
  <c r="S716" i="4"/>
  <c r="S720" i="4"/>
  <c r="S724" i="4"/>
  <c r="S728" i="4"/>
  <c r="S732" i="4"/>
  <c r="S736" i="4"/>
  <c r="S740" i="4"/>
  <c r="S744" i="4"/>
  <c r="S748" i="4"/>
  <c r="S752" i="4"/>
  <c r="S756" i="4"/>
  <c r="S760" i="4"/>
  <c r="S764" i="4"/>
  <c r="S891" i="4"/>
  <c r="R868" i="4"/>
  <c r="S868" i="4"/>
  <c r="R780" i="4"/>
  <c r="S234" i="3"/>
  <c r="S238" i="3"/>
  <c r="S249" i="3"/>
  <c r="S253" i="3"/>
  <c r="S257" i="3"/>
  <c r="S261" i="3"/>
  <c r="S265" i="3"/>
  <c r="S269" i="3"/>
  <c r="S273" i="3"/>
  <c r="R284" i="3"/>
  <c r="S284" i="3"/>
  <c r="R288" i="3"/>
  <c r="S288" i="3"/>
  <c r="S292" i="3"/>
  <c r="S296" i="3"/>
  <c r="S300" i="3"/>
  <c r="S304" i="3"/>
  <c r="S308" i="3"/>
  <c r="S312" i="3"/>
  <c r="S316" i="3"/>
  <c r="R320" i="3"/>
  <c r="S320" i="3"/>
  <c r="R324" i="3"/>
  <c r="S324" i="3"/>
  <c r="S328" i="3"/>
  <c r="S332" i="3"/>
  <c r="S336" i="3"/>
  <c r="S340" i="3"/>
  <c r="S344" i="3"/>
  <c r="S348" i="3"/>
  <c r="S352" i="3"/>
  <c r="S356" i="3"/>
  <c r="R360" i="3"/>
  <c r="S360" i="3"/>
  <c r="S364" i="3"/>
  <c r="R368" i="3"/>
  <c r="S368" i="3"/>
  <c r="S379" i="3"/>
  <c r="S383" i="3"/>
  <c r="R390" i="3"/>
  <c r="S390" i="3"/>
  <c r="S521" i="3"/>
  <c r="S525" i="3"/>
  <c r="S529" i="3"/>
  <c r="S564" i="3"/>
  <c r="S568" i="3"/>
  <c r="S572" i="3"/>
  <c r="S576" i="3"/>
  <c r="S580" i="3"/>
  <c r="S595" i="3"/>
  <c r="S599" i="3"/>
  <c r="R678" i="3"/>
  <c r="S678" i="3"/>
  <c r="S682" i="3"/>
  <c r="R686" i="3"/>
  <c r="S686" i="3"/>
  <c r="S690" i="3"/>
  <c r="S694" i="3"/>
  <c r="S698" i="3"/>
  <c r="S702" i="3"/>
  <c r="S706" i="3"/>
  <c r="S710" i="3"/>
  <c r="S714" i="3"/>
  <c r="S718" i="3"/>
  <c r="S722" i="3"/>
  <c r="S726" i="3"/>
  <c r="S730" i="3"/>
  <c r="S734" i="3"/>
  <c r="S738" i="3"/>
  <c r="S742" i="3"/>
  <c r="S746" i="3"/>
  <c r="S750" i="3"/>
  <c r="R754" i="3"/>
  <c r="S754" i="3"/>
  <c r="S758" i="3"/>
  <c r="S762" i="3"/>
  <c r="S924" i="3"/>
  <c r="S920" i="3"/>
  <c r="R901" i="3"/>
  <c r="S901" i="3"/>
  <c r="S894" i="3"/>
  <c r="S883" i="3"/>
  <c r="R879" i="3"/>
  <c r="S879" i="3"/>
  <c r="R875" i="3"/>
  <c r="S875" i="3"/>
  <c r="R871" i="3"/>
  <c r="S871" i="3"/>
  <c r="S860" i="3"/>
  <c r="S856" i="3"/>
  <c r="R845" i="3"/>
  <c r="S845" i="3"/>
  <c r="S822" i="3"/>
  <c r="S818" i="3"/>
  <c r="S811" i="3"/>
  <c r="R807" i="3"/>
  <c r="S807" i="3"/>
  <c r="R803" i="3"/>
  <c r="S803" i="3"/>
  <c r="S799" i="3"/>
  <c r="R795" i="3"/>
  <c r="S795" i="3"/>
  <c r="R791" i="3"/>
  <c r="S791" i="3"/>
  <c r="R787" i="3"/>
  <c r="S787" i="3"/>
  <c r="S783" i="3"/>
  <c r="R772" i="3"/>
  <c r="S772" i="3"/>
  <c r="R768" i="3"/>
  <c r="S768" i="3"/>
  <c r="R18" i="4"/>
  <c r="R130" i="4"/>
  <c r="R162" i="4"/>
  <c r="R210" i="4"/>
  <c r="R226" i="4"/>
  <c r="R338" i="4"/>
  <c r="R354" i="4"/>
  <c r="R370" i="4"/>
  <c r="S3" i="4"/>
  <c r="S7" i="4"/>
  <c r="R11" i="4"/>
  <c r="S11" i="4"/>
  <c r="S15" i="4"/>
  <c r="S34" i="4"/>
  <c r="R41" i="4"/>
  <c r="S41" i="4"/>
  <c r="S45" i="4"/>
  <c r="R49" i="4"/>
  <c r="S49" i="4"/>
  <c r="S53" i="4"/>
  <c r="S57" i="4"/>
  <c r="S61" i="4"/>
  <c r="R65" i="4"/>
  <c r="S65" i="4"/>
  <c r="R69" i="4"/>
  <c r="S69" i="4"/>
  <c r="S73" i="4"/>
  <c r="R84" i="4"/>
  <c r="S84" i="4"/>
  <c r="S88" i="4"/>
  <c r="S92" i="4"/>
  <c r="S96" i="4"/>
  <c r="S100" i="4"/>
  <c r="S179" i="4"/>
  <c r="S183" i="4"/>
  <c r="S187" i="4"/>
  <c r="S191" i="4"/>
  <c r="S195" i="4"/>
  <c r="S199" i="4"/>
  <c r="S203" i="4"/>
  <c r="S207" i="4"/>
  <c r="S250" i="4"/>
  <c r="S254" i="4"/>
  <c r="S258" i="4"/>
  <c r="S262" i="4"/>
  <c r="R266" i="4"/>
  <c r="S266" i="4"/>
  <c r="R270" i="4"/>
  <c r="S270" i="4"/>
  <c r="S274" i="4"/>
  <c r="S278" i="4"/>
  <c r="S282" i="4"/>
  <c r="S286" i="4"/>
  <c r="S290" i="4"/>
  <c r="S294" i="4"/>
  <c r="S298" i="4"/>
  <c r="S302" i="4"/>
  <c r="S306" i="4"/>
  <c r="S310" i="4"/>
  <c r="S314" i="4"/>
  <c r="S318" i="4"/>
  <c r="R321" i="4"/>
  <c r="S597" i="4"/>
  <c r="S601" i="4"/>
  <c r="S605" i="4"/>
  <c r="S609" i="4"/>
  <c r="S613" i="4"/>
  <c r="S617" i="4"/>
  <c r="S621" i="4"/>
  <c r="S625" i="4"/>
  <c r="S629" i="4"/>
  <c r="S633" i="4"/>
  <c r="S637" i="4"/>
  <c r="S641" i="4"/>
  <c r="S645" i="4"/>
  <c r="S649" i="4"/>
  <c r="S653" i="4"/>
  <c r="S657" i="4"/>
  <c r="S661" i="4"/>
  <c r="S665" i="4"/>
  <c r="S669" i="4"/>
  <c r="S673" i="4"/>
  <c r="S677" i="4"/>
  <c r="S681" i="4"/>
  <c r="S685" i="4"/>
  <c r="S689" i="4"/>
  <c r="S693" i="4"/>
  <c r="S697" i="4"/>
  <c r="S701" i="4"/>
  <c r="S705" i="4"/>
  <c r="S709" i="4"/>
  <c r="S713" i="4"/>
  <c r="S717" i="4"/>
  <c r="S721" i="4"/>
  <c r="S725" i="4"/>
  <c r="S729" i="4"/>
  <c r="S733" i="4"/>
  <c r="S737" i="4"/>
  <c r="S741" i="4"/>
  <c r="S745" i="4"/>
  <c r="S749" i="4"/>
  <c r="S753" i="4"/>
  <c r="S757" i="4"/>
  <c r="S761" i="4"/>
  <c r="S871" i="4"/>
  <c r="R867" i="4"/>
  <c r="S867" i="4"/>
  <c r="S799" i="4"/>
  <c r="R795" i="4"/>
  <c r="S795" i="4"/>
  <c r="R791" i="4"/>
  <c r="S791" i="4"/>
  <c r="R776" i="4"/>
  <c r="S776" i="4"/>
  <c r="R772" i="4"/>
  <c r="S772" i="4"/>
  <c r="R840" i="4"/>
  <c r="S840" i="4"/>
  <c r="R836" i="4"/>
  <c r="S836" i="4"/>
  <c r="R810" i="4"/>
  <c r="S810" i="4"/>
  <c r="S787" i="4"/>
  <c r="S254" i="3"/>
  <c r="R258" i="3"/>
  <c r="S258" i="3"/>
  <c r="S262" i="3"/>
  <c r="S266" i="3"/>
  <c r="S270" i="3"/>
  <c r="S274" i="3"/>
  <c r="S281" i="3"/>
  <c r="S285" i="3"/>
  <c r="S289" i="3"/>
  <c r="S293" i="3"/>
  <c r="S297" i="3"/>
  <c r="S301" i="3"/>
  <c r="S305" i="3"/>
  <c r="S309" i="3"/>
  <c r="S313" i="3"/>
  <c r="S317" i="3"/>
  <c r="S321" i="3"/>
  <c r="S325" i="3"/>
  <c r="S329" i="3"/>
  <c r="S333" i="3"/>
  <c r="S337" i="3"/>
  <c r="S341" i="3"/>
  <c r="S345" i="3"/>
  <c r="S349" i="3"/>
  <c r="S353" i="3"/>
  <c r="S357" i="3"/>
  <c r="S361" i="3"/>
  <c r="S365" i="3"/>
  <c r="S369" i="3"/>
  <c r="R380" i="3"/>
  <c r="S380" i="3"/>
  <c r="R384" i="3"/>
  <c r="S384" i="3"/>
  <c r="S391" i="3"/>
  <c r="S522" i="3"/>
  <c r="S526" i="3"/>
  <c r="S530" i="3"/>
  <c r="S565" i="3"/>
  <c r="S569" i="3"/>
  <c r="S573" i="3"/>
  <c r="S577" i="3"/>
  <c r="S596" i="3"/>
  <c r="S600" i="3"/>
  <c r="S675" i="3"/>
  <c r="S679" i="3"/>
  <c r="S683" i="3"/>
  <c r="S687" i="3"/>
  <c r="S691" i="3"/>
  <c r="S695" i="3"/>
  <c r="S699" i="3"/>
  <c r="S703" i="3"/>
  <c r="S707" i="3"/>
  <c r="S711" i="3"/>
  <c r="S715" i="3"/>
  <c r="S719" i="3"/>
  <c r="R723" i="3"/>
  <c r="S723" i="3"/>
  <c r="S727" i="3"/>
  <c r="S731" i="3"/>
  <c r="S735" i="3"/>
  <c r="S739" i="3"/>
  <c r="S743" i="3"/>
  <c r="S747" i="3"/>
  <c r="S751" i="3"/>
  <c r="S755" i="3"/>
  <c r="S759" i="3"/>
  <c r="S763" i="3"/>
  <c r="R923" i="3"/>
  <c r="S923" i="3"/>
  <c r="R919" i="3"/>
  <c r="S919" i="3"/>
  <c r="S900" i="3"/>
  <c r="S893" i="3"/>
  <c r="S882" i="3"/>
  <c r="S878" i="3"/>
  <c r="R874" i="3"/>
  <c r="S874" i="3"/>
  <c r="R870" i="3"/>
  <c r="S870" i="3"/>
  <c r="R859" i="3"/>
  <c r="S859" i="3"/>
  <c r="S855" i="3"/>
  <c r="S844" i="3"/>
  <c r="R821" i="3"/>
  <c r="S821" i="3"/>
  <c r="S817" i="3"/>
  <c r="R810" i="3"/>
  <c r="S810" i="3"/>
  <c r="S806" i="3"/>
  <c r="R802" i="3"/>
  <c r="S802" i="3"/>
  <c r="S798" i="3"/>
  <c r="S794" i="3"/>
  <c r="S790" i="3"/>
  <c r="S786" i="3"/>
  <c r="S782" i="3"/>
  <c r="R771" i="3"/>
  <c r="S771" i="3"/>
  <c r="S767" i="3"/>
  <c r="R23" i="4"/>
  <c r="R103" i="4"/>
  <c r="R119" i="4"/>
  <c r="R167" i="4"/>
  <c r="R231" i="4"/>
  <c r="R327" i="4"/>
  <c r="R359" i="4"/>
  <c r="S4" i="4"/>
  <c r="R8" i="4"/>
  <c r="S8" i="4"/>
  <c r="S12" i="4"/>
  <c r="R16" i="4"/>
  <c r="S16" i="4"/>
  <c r="S35" i="4"/>
  <c r="S42" i="4"/>
  <c r="R46" i="4"/>
  <c r="S46" i="4"/>
  <c r="S50" i="4"/>
  <c r="S54" i="4"/>
  <c r="R58" i="4"/>
  <c r="S58" i="4"/>
  <c r="S62" i="4"/>
  <c r="R66" i="4"/>
  <c r="S66" i="4"/>
  <c r="S70" i="4"/>
  <c r="R81" i="4"/>
  <c r="S81" i="4"/>
  <c r="S85" i="4"/>
  <c r="S89" i="4"/>
  <c r="S93" i="4"/>
  <c r="R97" i="4"/>
  <c r="S97" i="4"/>
  <c r="R180" i="4"/>
  <c r="S180" i="4"/>
  <c r="S184" i="4"/>
  <c r="S188" i="4"/>
  <c r="R192" i="4"/>
  <c r="S192" i="4"/>
  <c r="S196" i="4"/>
  <c r="S200" i="4"/>
  <c r="S204" i="4"/>
  <c r="S208" i="4"/>
  <c r="S251" i="4"/>
  <c r="S255" i="4"/>
  <c r="S259" i="4"/>
  <c r="S263" i="4"/>
  <c r="S267" i="4"/>
  <c r="S271" i="4"/>
  <c r="S275" i="4"/>
  <c r="S279" i="4"/>
  <c r="S283" i="4"/>
  <c r="S287" i="4"/>
  <c r="S291" i="4"/>
  <c r="S295" i="4"/>
  <c r="S299" i="4"/>
  <c r="S303" i="4"/>
  <c r="S307" i="4"/>
  <c r="S311" i="4"/>
  <c r="S315" i="4"/>
  <c r="S319" i="4"/>
  <c r="S598" i="4"/>
  <c r="S602" i="4"/>
  <c r="S606" i="4"/>
  <c r="S610" i="4"/>
  <c r="S614" i="4"/>
  <c r="S618" i="4"/>
  <c r="S622" i="4"/>
  <c r="S626" i="4"/>
  <c r="S630" i="4"/>
  <c r="S634" i="4"/>
  <c r="S638" i="4"/>
  <c r="S642" i="4"/>
  <c r="S646" i="4"/>
  <c r="S650" i="4"/>
  <c r="S654" i="4"/>
  <c r="S658" i="4"/>
  <c r="S662" i="4"/>
  <c r="S666" i="4"/>
  <c r="S670" i="4"/>
  <c r="S674" i="4"/>
  <c r="S678" i="4"/>
  <c r="S682" i="4"/>
  <c r="S686" i="4"/>
  <c r="S690" i="4"/>
  <c r="S694" i="4"/>
  <c r="S698" i="4"/>
  <c r="S702" i="4"/>
  <c r="S706" i="4"/>
  <c r="S710" i="4"/>
  <c r="S714" i="4"/>
  <c r="S718" i="4"/>
  <c r="S722" i="4"/>
  <c r="S726" i="4"/>
  <c r="S730" i="4"/>
  <c r="S734" i="4"/>
  <c r="S738" i="4"/>
  <c r="S742" i="4"/>
  <c r="S746" i="4"/>
  <c r="S750" i="4"/>
  <c r="S754" i="4"/>
  <c r="S758" i="4"/>
  <c r="S762" i="4"/>
  <c r="S851" i="4"/>
  <c r="S828" i="4"/>
  <c r="R828" i="4"/>
  <c r="R824" i="4"/>
  <c r="S824" i="4"/>
  <c r="R820" i="4"/>
  <c r="S820" i="4"/>
  <c r="R779" i="4"/>
  <c r="S779" i="4"/>
  <c r="R775" i="4"/>
  <c r="S775" i="4"/>
  <c r="R224" i="3"/>
  <c r="S224" i="3"/>
  <c r="R228" i="3"/>
  <c r="S228" i="3"/>
  <c r="R232" i="3"/>
  <c r="S232" i="3"/>
  <c r="S236" i="3"/>
  <c r="S240" i="3"/>
  <c r="R251" i="3"/>
  <c r="S251" i="3"/>
  <c r="R255" i="3"/>
  <c r="S255" i="3"/>
  <c r="S259" i="3"/>
  <c r="R263" i="3"/>
  <c r="S263" i="3"/>
  <c r="R267" i="3"/>
  <c r="S267" i="3"/>
  <c r="R271" i="3"/>
  <c r="S271" i="3"/>
  <c r="R274" i="3"/>
  <c r="S282" i="3"/>
  <c r="S286" i="3"/>
  <c r="R290" i="3"/>
  <c r="S290" i="3"/>
  <c r="S294" i="3"/>
  <c r="S298" i="3"/>
  <c r="S302" i="3"/>
  <c r="R306" i="3"/>
  <c r="S306" i="3"/>
  <c r="S310" i="3"/>
  <c r="S314" i="3"/>
  <c r="S318" i="3"/>
  <c r="S322" i="3"/>
  <c r="S326" i="3"/>
  <c r="S330" i="3"/>
  <c r="S334" i="3"/>
  <c r="R338" i="3"/>
  <c r="S338" i="3"/>
  <c r="R342" i="3"/>
  <c r="S342" i="3"/>
  <c r="S346" i="3"/>
  <c r="S350" i="3"/>
  <c r="S354" i="3"/>
  <c r="S358" i="3"/>
  <c r="S362" i="3"/>
  <c r="S366" i="3"/>
  <c r="S370" i="3"/>
  <c r="S377" i="3"/>
  <c r="S381" i="3"/>
  <c r="S385" i="3"/>
  <c r="S392" i="3"/>
  <c r="S523" i="3"/>
  <c r="R527" i="3"/>
  <c r="S527" i="3"/>
  <c r="R530" i="3"/>
  <c r="S566" i="3"/>
  <c r="R570" i="3"/>
  <c r="S570" i="3"/>
  <c r="S574" i="3"/>
  <c r="S578" i="3"/>
  <c r="R597" i="3"/>
  <c r="S597" i="3"/>
  <c r="S601" i="3"/>
  <c r="S676" i="3"/>
  <c r="S680" i="3"/>
  <c r="S684" i="3"/>
  <c r="R688" i="3"/>
  <c r="S688" i="3"/>
  <c r="S692" i="3"/>
  <c r="S696" i="3"/>
  <c r="S700" i="3"/>
  <c r="S704" i="3"/>
  <c r="R708" i="3"/>
  <c r="S708" i="3"/>
  <c r="R712" i="3"/>
  <c r="S712" i="3"/>
  <c r="S716" i="3"/>
  <c r="S720" i="3"/>
  <c r="S724" i="3"/>
  <c r="S728" i="3"/>
  <c r="S732" i="3"/>
  <c r="S736" i="3"/>
  <c r="S740" i="3"/>
  <c r="S744" i="3"/>
  <c r="S748" i="3"/>
  <c r="S752" i="3"/>
  <c r="S756" i="3"/>
  <c r="S760" i="3"/>
  <c r="S764" i="3"/>
  <c r="S922" i="3"/>
  <c r="S918" i="3"/>
  <c r="R902" i="3"/>
  <c r="R895" i="3"/>
  <c r="S885" i="3"/>
  <c r="S881" i="3"/>
  <c r="S877" i="3"/>
  <c r="R873" i="3"/>
  <c r="S873" i="3"/>
  <c r="S869" i="3"/>
  <c r="S858" i="3"/>
  <c r="S854" i="3"/>
  <c r="R846" i="3"/>
  <c r="R823" i="3"/>
  <c r="S820" i="3"/>
  <c r="R809" i="3"/>
  <c r="S809" i="3"/>
  <c r="S805" i="3"/>
  <c r="R801" i="3"/>
  <c r="S801" i="3"/>
  <c r="S797" i="3"/>
  <c r="S793" i="3"/>
  <c r="R789" i="3"/>
  <c r="S789" i="3"/>
  <c r="S785" i="3"/>
  <c r="S781" i="3"/>
  <c r="R773" i="3"/>
  <c r="S770" i="3"/>
  <c r="R28" i="4"/>
  <c r="R76" i="4"/>
  <c r="R108" i="4"/>
  <c r="R112" i="4"/>
  <c r="R116" i="4"/>
  <c r="R128" i="4"/>
  <c r="R136" i="4"/>
  <c r="R164" i="4"/>
  <c r="R168" i="4"/>
  <c r="R216" i="4"/>
  <c r="R224" i="4"/>
  <c r="R228" i="4"/>
  <c r="R232" i="4"/>
  <c r="R244" i="4"/>
  <c r="R324" i="4"/>
  <c r="R336" i="4"/>
  <c r="R344" i="4"/>
  <c r="R356" i="4"/>
  <c r="R360" i="4"/>
  <c r="R372" i="4"/>
  <c r="R376" i="4"/>
  <c r="R388" i="4"/>
  <c r="R392" i="4"/>
  <c r="R400" i="4"/>
  <c r="R404" i="4"/>
  <c r="R416" i="4"/>
  <c r="R420" i="4"/>
  <c r="R432" i="4"/>
  <c r="R440" i="4"/>
  <c r="R456" i="4"/>
  <c r="R480" i="4"/>
  <c r="R496" i="4"/>
  <c r="R5" i="4"/>
  <c r="S5" i="4"/>
  <c r="R9" i="4"/>
  <c r="S9" i="4"/>
  <c r="S13" i="4"/>
  <c r="S17" i="4"/>
  <c r="S36" i="4"/>
  <c r="S43" i="4"/>
  <c r="S47" i="4"/>
  <c r="S51" i="4"/>
  <c r="R55" i="4"/>
  <c r="S55" i="4"/>
  <c r="S59" i="4"/>
  <c r="S63" i="4"/>
  <c r="S67" i="4"/>
  <c r="R71" i="4"/>
  <c r="S71" i="4"/>
  <c r="R82" i="4"/>
  <c r="S82" i="4"/>
  <c r="S86" i="4"/>
  <c r="R90" i="4"/>
  <c r="S90" i="4"/>
  <c r="S94" i="4"/>
  <c r="S98" i="4"/>
  <c r="S177" i="4"/>
  <c r="S181" i="4"/>
  <c r="S185" i="4"/>
  <c r="S189" i="4"/>
  <c r="S193" i="4"/>
  <c r="S197" i="4"/>
  <c r="R201" i="4"/>
  <c r="S201" i="4"/>
  <c r="R205" i="4"/>
  <c r="S205" i="4"/>
  <c r="R208" i="4"/>
  <c r="S248" i="4"/>
  <c r="S252" i="4"/>
  <c r="S256" i="4"/>
  <c r="S260" i="4"/>
  <c r="R264" i="4"/>
  <c r="S264" i="4"/>
  <c r="S268" i="4"/>
  <c r="S272" i="4"/>
  <c r="S276" i="4"/>
  <c r="S280" i="4"/>
  <c r="S284" i="4"/>
  <c r="S288" i="4"/>
  <c r="S292" i="4"/>
  <c r="S296" i="4"/>
  <c r="S300" i="4"/>
  <c r="S304" i="4"/>
  <c r="S308" i="4"/>
  <c r="S312" i="4"/>
  <c r="S316" i="4"/>
  <c r="S320" i="4"/>
  <c r="S599" i="4"/>
  <c r="S603" i="4"/>
  <c r="S607" i="4"/>
  <c r="S611" i="4"/>
  <c r="S615" i="4"/>
  <c r="S619" i="4"/>
  <c r="S623" i="4"/>
  <c r="S627" i="4"/>
  <c r="S631" i="4"/>
  <c r="S635" i="4"/>
  <c r="S639" i="4"/>
  <c r="S643" i="4"/>
  <c r="S647" i="4"/>
  <c r="S651" i="4"/>
  <c r="S655" i="4"/>
  <c r="S659" i="4"/>
  <c r="S663" i="4"/>
  <c r="S667" i="4"/>
  <c r="S671" i="4"/>
  <c r="S675" i="4"/>
  <c r="S679" i="4"/>
  <c r="S683" i="4"/>
  <c r="S687" i="4"/>
  <c r="S691" i="4"/>
  <c r="S695" i="4"/>
  <c r="S699" i="4"/>
  <c r="S703" i="4"/>
  <c r="S707" i="4"/>
  <c r="R711" i="4"/>
  <c r="S711" i="4"/>
  <c r="S715" i="4"/>
  <c r="S719" i="4"/>
  <c r="S723" i="4"/>
  <c r="S727" i="4"/>
  <c r="S731" i="4"/>
  <c r="S735" i="4"/>
  <c r="S739" i="4"/>
  <c r="S743" i="4"/>
  <c r="S747" i="4"/>
  <c r="S751" i="4"/>
  <c r="S755" i="4"/>
  <c r="S759" i="4"/>
  <c r="S763" i="4"/>
  <c r="S923" i="4"/>
  <c r="R891" i="4"/>
  <c r="R888" i="4"/>
  <c r="S888" i="4"/>
  <c r="S831" i="4"/>
  <c r="R778" i="4"/>
  <c r="S778" i="4"/>
  <c r="S500" i="4"/>
  <c r="S504" i="4"/>
  <c r="S508" i="4"/>
  <c r="S512" i="4"/>
  <c r="S516" i="4"/>
  <c r="S520" i="4"/>
  <c r="S524" i="4"/>
  <c r="S528" i="4"/>
  <c r="S532" i="4"/>
  <c r="S536" i="4"/>
  <c r="S540" i="4"/>
  <c r="S544" i="4"/>
  <c r="S548" i="4"/>
  <c r="S552" i="4"/>
  <c r="S556" i="4"/>
  <c r="S560" i="4"/>
  <c r="S564" i="4"/>
  <c r="S568" i="4"/>
  <c r="S572" i="4"/>
  <c r="S576" i="4"/>
  <c r="S580" i="4"/>
  <c r="S584" i="4"/>
  <c r="S588" i="4"/>
  <c r="S592" i="4"/>
  <c r="S596" i="4"/>
  <c r="S926" i="4"/>
  <c r="R919" i="4"/>
  <c r="S919" i="4"/>
  <c r="R915" i="4"/>
  <c r="S915" i="4"/>
  <c r="R911" i="4"/>
  <c r="S911" i="4"/>
  <c r="S904" i="4"/>
  <c r="S900" i="4"/>
  <c r="R896" i="4"/>
  <c r="S896" i="4"/>
  <c r="R892" i="4"/>
  <c r="S892" i="4"/>
  <c r="R885" i="4"/>
  <c r="S885" i="4"/>
  <c r="S881" i="4"/>
  <c r="S877" i="4"/>
  <c r="S873" i="4"/>
  <c r="S862" i="4"/>
  <c r="S858" i="4"/>
  <c r="S854" i="4"/>
  <c r="S847" i="4"/>
  <c r="S825" i="4"/>
  <c r="S821" i="4"/>
  <c r="S814" i="4"/>
  <c r="S803" i="4"/>
  <c r="S796" i="4"/>
  <c r="R792" i="4"/>
  <c r="S792" i="4"/>
  <c r="R788" i="4"/>
  <c r="S788" i="4"/>
  <c r="S781" i="4"/>
  <c r="S770" i="4"/>
  <c r="S390" i="4"/>
  <c r="S394" i="4"/>
  <c r="S398" i="4"/>
  <c r="S402" i="4"/>
  <c r="S406" i="4"/>
  <c r="S410" i="4"/>
  <c r="S414" i="4"/>
  <c r="S418" i="4"/>
  <c r="S422" i="4"/>
  <c r="S426" i="4"/>
  <c r="S430" i="4"/>
  <c r="S434" i="4"/>
  <c r="S438" i="4"/>
  <c r="S442" i="4"/>
  <c r="S446" i="4"/>
  <c r="S450" i="4"/>
  <c r="S454" i="4"/>
  <c r="S458" i="4"/>
  <c r="S462" i="4"/>
  <c r="S466" i="4"/>
  <c r="S470" i="4"/>
  <c r="S474" i="4"/>
  <c r="S478" i="4"/>
  <c r="S482" i="4"/>
  <c r="S486" i="4"/>
  <c r="S490" i="4"/>
  <c r="S494" i="4"/>
  <c r="S498" i="4"/>
  <c r="S502" i="4"/>
  <c r="S506" i="4"/>
  <c r="S510" i="4"/>
  <c r="S514" i="4"/>
  <c r="S518" i="4"/>
  <c r="S522" i="4"/>
  <c r="S526" i="4"/>
  <c r="S530" i="4"/>
  <c r="S534" i="4"/>
  <c r="S538" i="4"/>
  <c r="S542" i="4"/>
  <c r="S546" i="4"/>
  <c r="S550" i="4"/>
  <c r="S554" i="4"/>
  <c r="S558" i="4"/>
  <c r="S562" i="4"/>
  <c r="S566" i="4"/>
  <c r="S570" i="4"/>
  <c r="S574" i="4"/>
  <c r="S578" i="4"/>
  <c r="S582" i="4"/>
  <c r="S586" i="4"/>
  <c r="S590" i="4"/>
  <c r="S594" i="4"/>
  <c r="R806" i="4"/>
  <c r="R774" i="4"/>
  <c r="R924" i="4"/>
  <c r="S924" i="4"/>
  <c r="S917" i="4"/>
  <c r="S913" i="4"/>
  <c r="S909" i="4"/>
  <c r="S902" i="4"/>
  <c r="S898" i="4"/>
  <c r="S894" i="4"/>
  <c r="S887" i="4"/>
  <c r="R883" i="4"/>
  <c r="S883" i="4"/>
  <c r="R879" i="4"/>
  <c r="S879" i="4"/>
  <c r="R875" i="4"/>
  <c r="S875" i="4"/>
  <c r="S864" i="4"/>
  <c r="R860" i="4"/>
  <c r="S860" i="4"/>
  <c r="R856" i="4"/>
  <c r="S856" i="4"/>
  <c r="R852" i="4"/>
  <c r="S852" i="4"/>
  <c r="S845" i="4"/>
  <c r="S834" i="4"/>
  <c r="R827" i="4"/>
  <c r="S827" i="4"/>
  <c r="R823" i="4"/>
  <c r="S823" i="4"/>
  <c r="S816" i="4"/>
  <c r="S801" i="4"/>
  <c r="S794" i="4"/>
  <c r="S790" i="4"/>
  <c r="S783" i="4"/>
  <c r="S367" i="4"/>
  <c r="S371" i="4"/>
  <c r="S375" i="4"/>
  <c r="S379" i="4"/>
  <c r="S383" i="4"/>
  <c r="S387" i="4"/>
  <c r="S391" i="4"/>
  <c r="S395" i="4"/>
  <c r="S399" i="4"/>
  <c r="S403" i="4"/>
  <c r="S407" i="4"/>
  <c r="S411" i="4"/>
  <c r="S415" i="4"/>
  <c r="S419" i="4"/>
  <c r="S423" i="4"/>
  <c r="S427" i="4"/>
  <c r="S431" i="4"/>
  <c r="S435" i="4"/>
  <c r="S439" i="4"/>
  <c r="S443" i="4"/>
  <c r="S447" i="4"/>
  <c r="S451" i="4"/>
  <c r="S455" i="4"/>
  <c r="S459" i="4"/>
  <c r="S463" i="4"/>
  <c r="S467" i="4"/>
  <c r="S471" i="4"/>
  <c r="S475" i="4"/>
  <c r="S479" i="4"/>
  <c r="S483" i="4"/>
  <c r="S487" i="4"/>
  <c r="S491" i="4"/>
  <c r="S495" i="4"/>
  <c r="S499" i="4"/>
  <c r="S503" i="4"/>
  <c r="S507" i="4"/>
  <c r="S511" i="4"/>
  <c r="S515" i="4"/>
  <c r="S519" i="4"/>
  <c r="S523" i="4"/>
  <c r="S527" i="4"/>
  <c r="S531" i="4"/>
  <c r="S535" i="4"/>
  <c r="S539" i="4"/>
  <c r="S543" i="4"/>
  <c r="S547" i="4"/>
  <c r="S551" i="4"/>
  <c r="S555" i="4"/>
  <c r="S559" i="4"/>
  <c r="S563" i="4"/>
  <c r="S567" i="4"/>
  <c r="S575" i="4"/>
  <c r="S579" i="4"/>
  <c r="S583" i="4"/>
  <c r="S587" i="4"/>
  <c r="S591" i="4"/>
  <c r="S595" i="4"/>
  <c r="S920" i="4"/>
  <c r="R916" i="4"/>
  <c r="S916" i="4"/>
  <c r="R912" i="4"/>
  <c r="S912" i="4"/>
  <c r="R908" i="4"/>
  <c r="S908" i="4"/>
  <c r="R904" i="4"/>
  <c r="R901" i="4"/>
  <c r="S901" i="4"/>
  <c r="S897" i="4"/>
  <c r="S893" i="4"/>
  <c r="S886" i="4"/>
  <c r="S882" i="4"/>
  <c r="S878" i="4"/>
  <c r="S874" i="4"/>
  <c r="S863" i="4"/>
  <c r="R859" i="4"/>
  <c r="S859" i="4"/>
  <c r="R855" i="4"/>
  <c r="S855" i="4"/>
  <c r="S848" i="4"/>
  <c r="S833" i="4"/>
  <c r="S826" i="4"/>
  <c r="S822" i="4"/>
  <c r="S815" i="4"/>
  <c r="R803" i="4"/>
  <c r="R796" i="4"/>
  <c r="S793" i="4"/>
  <c r="S789" i="4"/>
  <c r="S782" i="4"/>
  <c r="S771" i="4"/>
  <c r="R18" i="2"/>
  <c r="R25" i="2"/>
  <c r="R38" i="2"/>
  <c r="R55" i="2"/>
  <c r="R72" i="2"/>
  <c r="R98" i="2"/>
  <c r="R115" i="2"/>
  <c r="R128" i="2"/>
  <c r="R132" i="2"/>
  <c r="R139" i="2"/>
  <c r="R145" i="2"/>
  <c r="R166" i="2"/>
  <c r="R170" i="2"/>
  <c r="R194" i="2"/>
  <c r="R205" i="2"/>
  <c r="R256" i="2"/>
  <c r="R260" i="2"/>
  <c r="R304" i="2"/>
  <c r="R308" i="2"/>
  <c r="R316" i="2"/>
  <c r="R331" i="2"/>
  <c r="R338" i="2"/>
  <c r="R368" i="2"/>
  <c r="R405" i="2"/>
  <c r="R413" i="2"/>
  <c r="R432" i="2"/>
  <c r="R485" i="2"/>
  <c r="R504" i="2"/>
  <c r="R508" i="2"/>
  <c r="R520" i="2"/>
  <c r="R524" i="2"/>
  <c r="R543" i="2"/>
  <c r="R562" i="2"/>
  <c r="R633" i="2"/>
  <c r="R640" i="2"/>
  <c r="R651" i="2"/>
  <c r="R690" i="2"/>
  <c r="R702" i="2"/>
  <c r="R725" i="2"/>
  <c r="R744" i="2"/>
  <c r="R748" i="2"/>
  <c r="R9" i="2"/>
  <c r="R22" i="2"/>
  <c r="R35" i="2"/>
  <c r="R48" i="2"/>
  <c r="R52" i="2"/>
  <c r="R59" i="2"/>
  <c r="R65" i="2"/>
  <c r="R82" i="2"/>
  <c r="R89" i="2"/>
  <c r="R102" i="2"/>
  <c r="R119" i="2"/>
  <c r="R136" i="2"/>
  <c r="R153" i="2"/>
  <c r="R159" i="2"/>
  <c r="R163" i="2"/>
  <c r="R177" i="2"/>
  <c r="R198" i="2"/>
  <c r="R202" i="2"/>
  <c r="R226" i="2"/>
  <c r="R237" i="2"/>
  <c r="R241" i="2"/>
  <c r="R245" i="2"/>
  <c r="R275" i="2"/>
  <c r="R320" i="2"/>
  <c r="R324" i="2"/>
  <c r="R346" i="2"/>
  <c r="R383" i="2"/>
  <c r="R421" i="2"/>
  <c r="R447" i="2"/>
  <c r="R540" i="2"/>
  <c r="R547" i="2"/>
  <c r="R607" i="2"/>
  <c r="R615" i="2"/>
  <c r="R655" i="2"/>
  <c r="R659" i="2"/>
  <c r="R671" i="2"/>
  <c r="R718" i="2"/>
  <c r="R752" i="2"/>
  <c r="R32" i="2"/>
  <c r="R36" i="2"/>
  <c r="R43" i="2"/>
  <c r="R49" i="2"/>
  <c r="R66" i="2"/>
  <c r="R83" i="2"/>
  <c r="R103" i="2"/>
  <c r="R120" i="2"/>
  <c r="R160" i="2"/>
  <c r="R164" i="2"/>
  <c r="R178" i="2"/>
  <c r="R203" i="2"/>
  <c r="R223" i="2"/>
  <c r="R227" i="2"/>
  <c r="R238" i="2"/>
  <c r="R298" i="2"/>
  <c r="R321" i="2"/>
  <c r="R343" i="2"/>
  <c r="R384" i="2"/>
  <c r="R441" i="2"/>
  <c r="R456" i="2"/>
  <c r="R460" i="2"/>
  <c r="R490" i="2"/>
  <c r="R533" i="2"/>
  <c r="R556" i="2"/>
  <c r="R586" i="2"/>
  <c r="R597" i="2"/>
  <c r="R608" i="2"/>
  <c r="R623" i="2"/>
  <c r="R638" i="2"/>
  <c r="R645" i="2"/>
  <c r="R656" i="2"/>
  <c r="R664" i="2"/>
  <c r="R684" i="2"/>
  <c r="R719" i="2"/>
  <c r="R16" i="2"/>
  <c r="R20" i="2"/>
  <c r="R40" i="2"/>
  <c r="R57" i="2"/>
  <c r="R70" i="2"/>
  <c r="R96" i="2"/>
  <c r="R100" i="2"/>
  <c r="R107" i="2"/>
  <c r="R113" i="2"/>
  <c r="R130" i="2"/>
  <c r="R147" i="2"/>
  <c r="R168" i="2"/>
  <c r="R192" i="2"/>
  <c r="R196" i="2"/>
  <c r="R210" i="2"/>
  <c r="R235" i="2"/>
  <c r="R258" i="2"/>
  <c r="R269" i="2"/>
  <c r="R287" i="2"/>
  <c r="R291" i="2"/>
  <c r="R302" i="2"/>
  <c r="R359" i="2"/>
  <c r="R399" i="2"/>
  <c r="R479" i="2"/>
  <c r="R494" i="2"/>
  <c r="R506" i="2"/>
  <c r="R510" i="2"/>
  <c r="R518" i="2"/>
  <c r="R522" i="2"/>
  <c r="R560" i="2"/>
  <c r="R575" i="2"/>
  <c r="R605" i="2"/>
  <c r="R631" i="2"/>
  <c r="R635" i="2"/>
  <c r="R653" i="2"/>
  <c r="R696" i="2"/>
  <c r="R704" i="2"/>
  <c r="R716" i="2"/>
  <c r="R746" i="2"/>
  <c r="R4" i="2"/>
  <c r="R27" i="2"/>
  <c r="R33" i="2"/>
  <c r="R50" i="2"/>
  <c r="R67" i="2"/>
  <c r="R80" i="2"/>
  <c r="R84" i="2"/>
  <c r="R104" i="2"/>
  <c r="R121" i="2"/>
  <c r="R134" i="2"/>
  <c r="R151" i="2"/>
  <c r="R161" i="2"/>
  <c r="R179" i="2"/>
  <c r="R200" i="2"/>
  <c r="R224" i="2"/>
  <c r="R228" i="2"/>
  <c r="R243" i="2"/>
  <c r="R251" i="2"/>
  <c r="R266" i="2"/>
  <c r="R273" i="2"/>
  <c r="R299" i="2"/>
  <c r="R322" i="2"/>
  <c r="R333" i="2"/>
  <c r="R344" i="2"/>
  <c r="R348" i="2"/>
  <c r="R374" i="2"/>
  <c r="R419" i="2"/>
  <c r="R453" i="2"/>
  <c r="R461" i="2"/>
  <c r="R476" i="2"/>
  <c r="R491" i="2"/>
  <c r="R549" i="2"/>
  <c r="R572" i="2"/>
  <c r="R598" i="2"/>
  <c r="R617" i="2"/>
  <c r="R646" i="2"/>
  <c r="R661" i="2"/>
  <c r="R677" i="2"/>
  <c r="R754" i="2"/>
  <c r="R11" i="2"/>
  <c r="R17" i="2"/>
  <c r="R24" i="2"/>
  <c r="R41" i="2"/>
  <c r="R54" i="2"/>
  <c r="R71" i="2"/>
  <c r="R91" i="2"/>
  <c r="R97" i="2"/>
  <c r="R114" i="2"/>
  <c r="R131" i="2"/>
  <c r="R144" i="2"/>
  <c r="R148" i="2"/>
  <c r="R155" i="2"/>
  <c r="R183" i="2"/>
  <c r="R193" i="2"/>
  <c r="R211" i="2"/>
  <c r="R232" i="2"/>
  <c r="R255" i="2"/>
  <c r="R288" i="2"/>
  <c r="R292" i="2"/>
  <c r="R307" i="2"/>
  <c r="R315" i="2"/>
  <c r="R330" i="2"/>
  <c r="R337" i="2"/>
  <c r="R367" i="2"/>
  <c r="R393" i="2"/>
  <c r="R408" i="2"/>
  <c r="R412" i="2"/>
  <c r="R431" i="2"/>
  <c r="R469" i="2"/>
  <c r="R473" i="2"/>
  <c r="R495" i="2"/>
  <c r="R499" i="2"/>
  <c r="R503" i="2"/>
  <c r="R511" i="2"/>
  <c r="R565" i="2"/>
  <c r="R569" i="2"/>
  <c r="R580" i="2"/>
  <c r="R591" i="2"/>
  <c r="R650" i="2"/>
  <c r="R693" i="2"/>
  <c r="R709" i="2"/>
  <c r="R8" i="2"/>
  <c r="R34" i="2"/>
  <c r="R51" i="2"/>
  <c r="R64" i="2"/>
  <c r="R68" i="2"/>
  <c r="R75" i="2"/>
  <c r="R81" i="2"/>
  <c r="R88" i="2"/>
  <c r="R105" i="2"/>
  <c r="R118" i="2"/>
  <c r="R135" i="2"/>
  <c r="R152" i="2"/>
  <c r="R162" i="2"/>
  <c r="R173" i="2"/>
  <c r="R176" i="2"/>
  <c r="R180" i="2"/>
  <c r="R187" i="2"/>
  <c r="R215" i="2"/>
  <c r="R240" i="2"/>
  <c r="R244" i="2"/>
  <c r="R252" i="2"/>
  <c r="R267" i="2"/>
  <c r="R274" i="2"/>
  <c r="R319" i="2"/>
  <c r="R345" i="2"/>
  <c r="R349" i="2"/>
  <c r="R375" i="2"/>
  <c r="R428" i="2"/>
  <c r="R439" i="2"/>
  <c r="R446" i="2"/>
  <c r="R454" i="2"/>
  <c r="R458" i="2"/>
  <c r="R462" i="2"/>
  <c r="R531" i="2"/>
  <c r="R546" i="2"/>
  <c r="R658" i="2"/>
  <c r="R666" i="2"/>
  <c r="R670" i="2"/>
  <c r="R674" i="2"/>
  <c r="R732" i="2"/>
  <c r="R736" i="2"/>
  <c r="R751" i="2"/>
  <c r="R759" i="2"/>
  <c r="R763" i="2"/>
  <c r="R195" i="2"/>
  <c r="R208" i="2"/>
  <c r="R212" i="2"/>
  <c r="R219" i="2"/>
  <c r="R225" i="2"/>
  <c r="R242" i="2"/>
  <c r="R259" i="2"/>
  <c r="R272" i="2"/>
  <c r="R276" i="2"/>
  <c r="R283" i="2"/>
  <c r="R289" i="2"/>
  <c r="R306" i="2"/>
  <c r="R323" i="2"/>
  <c r="R336" i="2"/>
  <c r="R340" i="2"/>
  <c r="R363" i="2"/>
  <c r="R379" i="2"/>
  <c r="R392" i="2"/>
  <c r="R409" i="2"/>
  <c r="R418" i="2"/>
  <c r="R438" i="2"/>
  <c r="R455" i="2"/>
  <c r="R472" i="2"/>
  <c r="R498" i="2"/>
  <c r="R505" i="2"/>
  <c r="R519" i="2"/>
  <c r="R532" i="2"/>
  <c r="R568" i="2"/>
  <c r="R614" i="2"/>
  <c r="R627" i="2"/>
  <c r="R634" i="2"/>
  <c r="R660" i="2"/>
  <c r="R673" i="2"/>
  <c r="R683" i="2"/>
  <c r="R692" i="2"/>
  <c r="R735" i="2"/>
  <c r="R762" i="2"/>
  <c r="R914" i="2"/>
  <c r="R894" i="2"/>
  <c r="R887" i="2"/>
  <c r="R874" i="2"/>
  <c r="R867" i="2"/>
  <c r="R856" i="2"/>
  <c r="R826" i="2"/>
  <c r="R784" i="2"/>
  <c r="R169" i="2"/>
  <c r="R182" i="2"/>
  <c r="R199" i="2"/>
  <c r="R216" i="2"/>
  <c r="R233" i="2"/>
  <c r="R246" i="2"/>
  <c r="R263" i="2"/>
  <c r="R280" i="2"/>
  <c r="R297" i="2"/>
  <c r="R310" i="2"/>
  <c r="R327" i="2"/>
  <c r="R347" i="2"/>
  <c r="R353" i="2"/>
  <c r="R360" i="2"/>
  <c r="R376" i="2"/>
  <c r="R402" i="2"/>
  <c r="R422" i="2"/>
  <c r="R435" i="2"/>
  <c r="R448" i="2"/>
  <c r="R452" i="2"/>
  <c r="R459" i="2"/>
  <c r="R465" i="2"/>
  <c r="R482" i="2"/>
  <c r="R489" i="2"/>
  <c r="R502" i="2"/>
  <c r="R509" i="2"/>
  <c r="R512" i="2"/>
  <c r="R516" i="2"/>
  <c r="R536" i="2"/>
  <c r="R552" i="2"/>
  <c r="R585" i="2"/>
  <c r="R601" i="2"/>
  <c r="R611" i="2"/>
  <c r="R624" i="2"/>
  <c r="R644" i="2"/>
  <c r="R657" i="2"/>
  <c r="R667" i="2"/>
  <c r="R680" i="2"/>
  <c r="R689" i="2"/>
  <c r="R699" i="2"/>
  <c r="R705" i="2"/>
  <c r="R712" i="2"/>
  <c r="R722" i="2"/>
  <c r="R729" i="2"/>
  <c r="R742" i="2"/>
  <c r="R755" i="2"/>
  <c r="R897" i="2"/>
  <c r="R890" i="2"/>
  <c r="R883" i="2"/>
  <c r="R859" i="2"/>
  <c r="R835" i="2"/>
  <c r="R217" i="2"/>
  <c r="R230" i="2"/>
  <c r="R247" i="2"/>
  <c r="R264" i="2"/>
  <c r="R281" i="2"/>
  <c r="R294" i="2"/>
  <c r="R311" i="2"/>
  <c r="R328" i="2"/>
  <c r="R354" i="2"/>
  <c r="R361" i="2"/>
  <c r="R370" i="2"/>
  <c r="R377" i="2"/>
  <c r="R386" i="2"/>
  <c r="R403" i="2"/>
  <c r="R416" i="2"/>
  <c r="R423" i="2"/>
  <c r="R436" i="2"/>
  <c r="R443" i="2"/>
  <c r="R449" i="2"/>
  <c r="R466" i="2"/>
  <c r="R483" i="2"/>
  <c r="R513" i="2"/>
  <c r="R537" i="2"/>
  <c r="R553" i="2"/>
  <c r="R582" i="2"/>
  <c r="R595" i="2"/>
  <c r="R602" i="2"/>
  <c r="R625" i="2"/>
  <c r="R648" i="2"/>
  <c r="R668" i="2"/>
  <c r="R681" i="2"/>
  <c r="R706" i="2"/>
  <c r="R713" i="2"/>
  <c r="R723" i="2"/>
  <c r="R730" i="2"/>
  <c r="R739" i="2"/>
  <c r="R756" i="2"/>
  <c r="R896" i="2"/>
  <c r="R889" i="2"/>
  <c r="R851" i="2"/>
  <c r="R811" i="2"/>
  <c r="R772" i="2"/>
  <c r="R390" i="2"/>
  <c r="R407" i="2"/>
  <c r="R420" i="2"/>
  <c r="R427" i="2"/>
  <c r="R440" i="2"/>
  <c r="R457" i="2"/>
  <c r="R470" i="2"/>
  <c r="R507" i="2"/>
  <c r="R521" i="2"/>
  <c r="R530" i="2"/>
  <c r="R566" i="2"/>
  <c r="R579" i="2"/>
  <c r="R592" i="2"/>
  <c r="R616" i="2"/>
  <c r="R632" i="2"/>
  <c r="R652" i="2"/>
  <c r="R665" i="2"/>
  <c r="R678" i="2"/>
  <c r="R697" i="2"/>
  <c r="R703" i="2"/>
  <c r="R747" i="2"/>
  <c r="R753" i="2"/>
  <c r="R760" i="2"/>
  <c r="R764" i="2"/>
  <c r="R923" i="2"/>
  <c r="R803" i="2"/>
  <c r="R775" i="2"/>
  <c r="R137" i="2"/>
  <c r="R150" i="2"/>
  <c r="R167" i="2"/>
  <c r="R184" i="2"/>
  <c r="R201" i="2"/>
  <c r="R214" i="2"/>
  <c r="R231" i="2"/>
  <c r="R248" i="2"/>
  <c r="R265" i="2"/>
  <c r="R278" i="2"/>
  <c r="R295" i="2"/>
  <c r="R312" i="2"/>
  <c r="R329" i="2"/>
  <c r="R342" i="2"/>
  <c r="R355" i="2"/>
  <c r="R371" i="2"/>
  <c r="R387" i="2"/>
  <c r="R400" i="2"/>
  <c r="R404" i="2"/>
  <c r="R411" i="2"/>
  <c r="R424" i="2"/>
  <c r="R450" i="2"/>
  <c r="R467" i="2"/>
  <c r="R480" i="2"/>
  <c r="R484" i="2"/>
  <c r="R514" i="2"/>
  <c r="R534" i="2"/>
  <c r="R550" i="2"/>
  <c r="R563" i="2"/>
  <c r="R576" i="2"/>
  <c r="R583" i="2"/>
  <c r="R603" i="2"/>
  <c r="R609" i="2"/>
  <c r="R649" i="2"/>
  <c r="R662" i="2"/>
  <c r="R669" i="2"/>
  <c r="R675" i="2"/>
  <c r="R694" i="2"/>
  <c r="R707" i="2"/>
  <c r="R714" i="2"/>
  <c r="R724" i="2"/>
  <c r="R731" i="2"/>
  <c r="R740" i="2"/>
  <c r="R757" i="2"/>
  <c r="R926" i="2"/>
  <c r="R919" i="2"/>
  <c r="R905" i="2"/>
  <c r="R902" i="2"/>
  <c r="R854" i="2"/>
  <c r="R810" i="2"/>
  <c r="R789" i="2"/>
  <c r="R778" i="2"/>
  <c r="R249" i="2"/>
  <c r="R262" i="2"/>
  <c r="R279" i="2"/>
  <c r="R296" i="2"/>
  <c r="R313" i="2"/>
  <c r="R326" i="2"/>
  <c r="R352" i="2"/>
  <c r="R356" i="2"/>
  <c r="R372" i="2"/>
  <c r="R388" i="2"/>
  <c r="R395" i="2"/>
  <c r="R401" i="2"/>
  <c r="R425" i="2"/>
  <c r="R434" i="2"/>
  <c r="R451" i="2"/>
  <c r="R464" i="2"/>
  <c r="R468" i="2"/>
  <c r="R475" i="2"/>
  <c r="R481" i="2"/>
  <c r="R488" i="2"/>
  <c r="R515" i="2"/>
  <c r="R528" i="2"/>
  <c r="R535" i="2"/>
  <c r="R551" i="2"/>
  <c r="R564" i="2"/>
  <c r="R584" i="2"/>
  <c r="R600" i="2"/>
  <c r="R610" i="2"/>
  <c r="R630" i="2"/>
  <c r="R637" i="2"/>
  <c r="R643" i="2"/>
  <c r="R676" i="2"/>
  <c r="R708" i="2"/>
  <c r="R715" i="2"/>
  <c r="R721" i="2"/>
  <c r="R728" i="2"/>
  <c r="R741" i="2"/>
  <c r="R758" i="2"/>
  <c r="R911" i="2"/>
  <c r="R898" i="2"/>
  <c r="R891" i="2"/>
  <c r="R884" i="2"/>
  <c r="R871" i="2"/>
  <c r="R860" i="2"/>
  <c r="R853" i="2"/>
  <c r="R836" i="2"/>
  <c r="R823" i="2"/>
  <c r="R795" i="2"/>
  <c r="R921" i="2"/>
  <c r="R918" i="2"/>
  <c r="R852" i="2"/>
  <c r="R839" i="2"/>
  <c r="R817" i="2"/>
  <c r="R814" i="2"/>
  <c r="R797" i="2"/>
  <c r="R788" i="2"/>
  <c r="R781" i="2"/>
  <c r="R18" i="3"/>
  <c r="R74" i="3"/>
  <c r="R78" i="3"/>
  <c r="R90" i="3"/>
  <c r="R109" i="3"/>
  <c r="R177" i="3"/>
  <c r="R261" i="3"/>
  <c r="R613" i="3"/>
  <c r="R617" i="3"/>
  <c r="R661" i="3"/>
  <c r="R665" i="3"/>
  <c r="R496" i="2"/>
  <c r="R500" i="2"/>
  <c r="R523" i="2"/>
  <c r="R539" i="2"/>
  <c r="R548" i="2"/>
  <c r="R555" i="2"/>
  <c r="R561" i="2"/>
  <c r="R571" i="2"/>
  <c r="R577" i="2"/>
  <c r="R587" i="2"/>
  <c r="R596" i="2"/>
  <c r="R612" i="2"/>
  <c r="R619" i="2"/>
  <c r="R628" i="2"/>
  <c r="R691" i="2"/>
  <c r="R710" i="2"/>
  <c r="R726" i="2"/>
  <c r="R745" i="2"/>
  <c r="R761" i="2"/>
  <c r="R913" i="2"/>
  <c r="R910" i="2"/>
  <c r="R907" i="2"/>
  <c r="R882" i="2"/>
  <c r="R873" i="2"/>
  <c r="R870" i="2"/>
  <c r="R863" i="2"/>
  <c r="R850" i="2"/>
  <c r="R834" i="2"/>
  <c r="R825" i="2"/>
  <c r="R822" i="2"/>
  <c r="R809" i="2"/>
  <c r="R802" i="2"/>
  <c r="R783" i="2"/>
  <c r="R770" i="2"/>
  <c r="R12" i="3"/>
  <c r="R16" i="3"/>
  <c r="R125" i="3"/>
  <c r="R201" i="3"/>
  <c r="R281" i="3"/>
  <c r="R297" i="3"/>
  <c r="R309" i="3"/>
  <c r="R313" i="3"/>
  <c r="R321" i="3"/>
  <c r="R345" i="3"/>
  <c r="R353" i="3"/>
  <c r="R357" i="3"/>
  <c r="R545" i="3"/>
  <c r="R549" i="3"/>
  <c r="R553" i="3"/>
  <c r="R805" i="2"/>
  <c r="R786" i="2"/>
  <c r="R779" i="2"/>
  <c r="R766" i="2"/>
  <c r="R62" i="3"/>
  <c r="R69" i="3"/>
  <c r="R129" i="3"/>
  <c r="R133" i="3"/>
  <c r="R137" i="3"/>
  <c r="R141" i="3"/>
  <c r="R749" i="3"/>
  <c r="R753" i="3"/>
  <c r="R900" i="2"/>
  <c r="R881" i="2"/>
  <c r="R878" i="2"/>
  <c r="R862" i="2"/>
  <c r="R849" i="2"/>
  <c r="R846" i="2"/>
  <c r="R808" i="2"/>
  <c r="R801" i="2"/>
  <c r="R798" i="2"/>
  <c r="R782" i="2"/>
  <c r="R769" i="2"/>
  <c r="R2" i="3"/>
  <c r="R9" i="3"/>
  <c r="R17" i="3"/>
  <c r="R66" i="3"/>
  <c r="R73" i="3"/>
  <c r="R81" i="3"/>
  <c r="R149" i="3"/>
  <c r="R93" i="3"/>
  <c r="R157" i="3"/>
  <c r="R217" i="3"/>
  <c r="R229" i="3"/>
  <c r="R233" i="3"/>
  <c r="R237" i="3"/>
  <c r="R377" i="3"/>
  <c r="R14" i="3"/>
  <c r="R30" i="3"/>
  <c r="R42" i="3"/>
  <c r="R61" i="3"/>
  <c r="R83" i="3"/>
  <c r="R86" i="3"/>
  <c r="R99" i="3"/>
  <c r="R102" i="3"/>
  <c r="R156" i="3"/>
  <c r="R163" i="3"/>
  <c r="R166" i="3"/>
  <c r="R189" i="3"/>
  <c r="R196" i="3"/>
  <c r="R243" i="3"/>
  <c r="R257" i="3"/>
  <c r="R266" i="3"/>
  <c r="R270" i="3"/>
  <c r="R301" i="3"/>
  <c r="R308" i="3"/>
  <c r="R326" i="3"/>
  <c r="R344" i="3"/>
  <c r="R362" i="3"/>
  <c r="R366" i="3"/>
  <c r="R425" i="3"/>
  <c r="R429" i="3"/>
  <c r="R454" i="3"/>
  <c r="R497" i="3"/>
  <c r="R508" i="3"/>
  <c r="R533" i="3"/>
  <c r="R569" i="3"/>
  <c r="R587" i="3"/>
  <c r="R633" i="3"/>
  <c r="R637" i="3"/>
  <c r="R659" i="3"/>
  <c r="R677" i="3"/>
  <c r="R692" i="3"/>
  <c r="R707" i="3"/>
  <c r="R722" i="3"/>
  <c r="R752" i="3"/>
  <c r="R11" i="3"/>
  <c r="R27" i="3"/>
  <c r="R46" i="3"/>
  <c r="R58" i="3"/>
  <c r="R77" i="3"/>
  <c r="R115" i="3"/>
  <c r="R118" i="3"/>
  <c r="R140" i="3"/>
  <c r="R147" i="3"/>
  <c r="R150" i="3"/>
  <c r="R173" i="3"/>
  <c r="R193" i="3"/>
  <c r="R203" i="3"/>
  <c r="R207" i="3"/>
  <c r="R236" i="3"/>
  <c r="R250" i="3"/>
  <c r="R254" i="3"/>
  <c r="R294" i="3"/>
  <c r="R305" i="3"/>
  <c r="R312" i="3"/>
  <c r="R323" i="3"/>
  <c r="R330" i="3"/>
  <c r="R334" i="3"/>
  <c r="R341" i="3"/>
  <c r="R412" i="3"/>
  <c r="R422" i="3"/>
  <c r="R433" i="3"/>
  <c r="R476" i="3"/>
  <c r="R483" i="3"/>
  <c r="R523" i="3"/>
  <c r="R548" i="3"/>
  <c r="R559" i="3"/>
  <c r="R566" i="3"/>
  <c r="R605" i="3"/>
  <c r="R623" i="3"/>
  <c r="R630" i="3"/>
  <c r="R656" i="3"/>
  <c r="R685" i="3"/>
  <c r="R6" i="3"/>
  <c r="R22" i="3"/>
  <c r="R63" i="3"/>
  <c r="R75" i="3"/>
  <c r="R94" i="3"/>
  <c r="R110" i="3"/>
  <c r="R122" i="3"/>
  <c r="R145" i="3"/>
  <c r="R154" i="3"/>
  <c r="R158" i="3"/>
  <c r="R187" i="3"/>
  <c r="R191" i="3"/>
  <c r="R221" i="3"/>
  <c r="R241" i="3"/>
  <c r="R248" i="3"/>
  <c r="R268" i="3"/>
  <c r="R275" i="3"/>
  <c r="R278" i="3"/>
  <c r="R339" i="3"/>
  <c r="R364" i="3"/>
  <c r="R371" i="3"/>
  <c r="R374" i="3"/>
  <c r="R420" i="3"/>
  <c r="R427" i="3"/>
  <c r="R438" i="3"/>
  <c r="R445" i="3"/>
  <c r="R470" i="3"/>
  <c r="R488" i="3"/>
  <c r="R506" i="3"/>
  <c r="R510" i="3"/>
  <c r="R517" i="3"/>
  <c r="R571" i="3"/>
  <c r="R585" i="3"/>
  <c r="R635" i="3"/>
  <c r="R639" i="3"/>
  <c r="R646" i="3"/>
  <c r="R679" i="3"/>
  <c r="R705" i="3"/>
  <c r="R724" i="3"/>
  <c r="R739" i="3"/>
  <c r="R3" i="3"/>
  <c r="R19" i="3"/>
  <c r="R35" i="3"/>
  <c r="R38" i="3"/>
  <c r="R79" i="3"/>
  <c r="R91" i="3"/>
  <c r="R107" i="3"/>
  <c r="R126" i="3"/>
  <c r="R138" i="3"/>
  <c r="R142" i="3"/>
  <c r="R171" i="3"/>
  <c r="R175" i="3"/>
  <c r="R198" i="3"/>
  <c r="R205" i="3"/>
  <c r="R225" i="3"/>
  <c r="R234" i="3"/>
  <c r="R238" i="3"/>
  <c r="R245" i="3"/>
  <c r="R289" i="3"/>
  <c r="R296" i="3"/>
  <c r="R332" i="3"/>
  <c r="R474" i="3"/>
  <c r="R478" i="3"/>
  <c r="R539" i="3"/>
  <c r="R546" i="3"/>
  <c r="R557" i="3"/>
  <c r="R582" i="3"/>
  <c r="R607" i="3"/>
  <c r="R621" i="3"/>
  <c r="R654" i="3"/>
  <c r="R687" i="3"/>
  <c r="R728" i="3"/>
  <c r="R762" i="3"/>
  <c r="R833" i="2"/>
  <c r="R830" i="2"/>
  <c r="R818" i="2"/>
  <c r="R793" i="2"/>
  <c r="R790" i="2"/>
  <c r="R777" i="2"/>
  <c r="R774" i="2"/>
  <c r="R13" i="3"/>
  <c r="R29" i="3"/>
  <c r="R51" i="3"/>
  <c r="R54" i="3"/>
  <c r="R95" i="3"/>
  <c r="R111" i="3"/>
  <c r="R123" i="3"/>
  <c r="R155" i="3"/>
  <c r="R159" i="3"/>
  <c r="R188" i="3"/>
  <c r="R195" i="3"/>
  <c r="R209" i="3"/>
  <c r="R218" i="3"/>
  <c r="R222" i="3"/>
  <c r="R242" i="3"/>
  <c r="R269" i="3"/>
  <c r="R314" i="3"/>
  <c r="R318" i="3"/>
  <c r="R365" i="3"/>
  <c r="R428" i="3"/>
  <c r="R435" i="3"/>
  <c r="R507" i="3"/>
  <c r="R518" i="3"/>
  <c r="R579" i="3"/>
  <c r="R586" i="3"/>
  <c r="R600" i="3"/>
  <c r="R636" i="3"/>
  <c r="R669" i="3"/>
  <c r="R680" i="3"/>
  <c r="R691" i="3"/>
  <c r="R706" i="3"/>
  <c r="R4" i="3"/>
  <c r="R10" i="3"/>
  <c r="R20" i="3"/>
  <c r="R26" i="3"/>
  <c r="R45" i="3"/>
  <c r="R67" i="3"/>
  <c r="R70" i="3"/>
  <c r="R127" i="3"/>
  <c r="R139" i="3"/>
  <c r="R143" i="3"/>
  <c r="R172" i="3"/>
  <c r="R179" i="3"/>
  <c r="R182" i="3"/>
  <c r="R199" i="3"/>
  <c r="R202" i="3"/>
  <c r="R206" i="3"/>
  <c r="R235" i="3"/>
  <c r="R239" i="3"/>
  <c r="R246" i="3"/>
  <c r="R253" i="3"/>
  <c r="R273" i="3"/>
  <c r="R311" i="3"/>
  <c r="R329" i="3"/>
  <c r="R333" i="3"/>
  <c r="R347" i="3"/>
  <c r="R351" i="3"/>
  <c r="R432" i="3"/>
  <c r="R475" i="3"/>
  <c r="R522" i="3"/>
  <c r="R547" i="3"/>
  <c r="R558" i="3"/>
  <c r="R576" i="3"/>
  <c r="R604" i="3"/>
  <c r="R622" i="3"/>
  <c r="R655" i="3"/>
  <c r="R684" i="3"/>
  <c r="R763" i="3"/>
  <c r="R283" i="3"/>
  <c r="R287" i="3"/>
  <c r="R300" i="3"/>
  <c r="R307" i="3"/>
  <c r="R310" i="3"/>
  <c r="R317" i="3"/>
  <c r="R337" i="3"/>
  <c r="R346" i="3"/>
  <c r="R350" i="3"/>
  <c r="R379" i="3"/>
  <c r="R383" i="3"/>
  <c r="R395" i="3"/>
  <c r="R399" i="3"/>
  <c r="R411" i="3"/>
  <c r="R444" i="3"/>
  <c r="R460" i="3"/>
  <c r="R486" i="3"/>
  <c r="R493" i="3"/>
  <c r="R499" i="3"/>
  <c r="R516" i="3"/>
  <c r="R526" i="3"/>
  <c r="R532" i="3"/>
  <c r="R542" i="3"/>
  <c r="R555" i="3"/>
  <c r="R568" i="3"/>
  <c r="R575" i="3"/>
  <c r="R584" i="3"/>
  <c r="R603" i="3"/>
  <c r="R619" i="3"/>
  <c r="R632" i="3"/>
  <c r="R649" i="3"/>
  <c r="R666" i="3"/>
  <c r="R676" i="3"/>
  <c r="R700" i="3"/>
  <c r="R714" i="3"/>
  <c r="R718" i="3"/>
  <c r="R732" i="3"/>
  <c r="R736" i="3"/>
  <c r="R746" i="3"/>
  <c r="R757" i="3"/>
  <c r="R918" i="3"/>
  <c r="R904" i="3"/>
  <c r="R897" i="3"/>
  <c r="R876" i="3"/>
  <c r="R862" i="3"/>
  <c r="R841" i="3"/>
  <c r="R834" i="3"/>
  <c r="R820" i="3"/>
  <c r="R813" i="3"/>
  <c r="R774" i="3"/>
  <c r="R461" i="3"/>
  <c r="R467" i="3"/>
  <c r="R490" i="3"/>
  <c r="R494" i="3"/>
  <c r="R500" i="3"/>
  <c r="R520" i="3"/>
  <c r="R536" i="3"/>
  <c r="R543" i="3"/>
  <c r="R650" i="3"/>
  <c r="R667" i="3"/>
  <c r="R694" i="3"/>
  <c r="R701" i="3"/>
  <c r="R715" i="3"/>
  <c r="R719" i="3"/>
  <c r="R737" i="3"/>
  <c r="R747" i="3"/>
  <c r="R758" i="3"/>
  <c r="R854" i="3"/>
  <c r="R812" i="3"/>
  <c r="R798" i="3"/>
  <c r="R186" i="3"/>
  <c r="R190" i="3"/>
  <c r="R219" i="3"/>
  <c r="R223" i="3"/>
  <c r="R252" i="3"/>
  <c r="R259" i="3"/>
  <c r="R262" i="3"/>
  <c r="R285" i="3"/>
  <c r="R298" i="3"/>
  <c r="R302" i="3"/>
  <c r="R315" i="3"/>
  <c r="R319" i="3"/>
  <c r="R328" i="3"/>
  <c r="R348" i="3"/>
  <c r="R355" i="3"/>
  <c r="R358" i="3"/>
  <c r="R381" i="3"/>
  <c r="R397" i="3"/>
  <c r="R413" i="3"/>
  <c r="R436" i="3"/>
  <c r="R442" i="3"/>
  <c r="R446" i="3"/>
  <c r="R452" i="3"/>
  <c r="R458" i="3"/>
  <c r="R462" i="3"/>
  <c r="R468" i="3"/>
  <c r="R491" i="3"/>
  <c r="R504" i="3"/>
  <c r="R550" i="3"/>
  <c r="R563" i="3"/>
  <c r="R573" i="3"/>
  <c r="R589" i="3"/>
  <c r="R595" i="3"/>
  <c r="R598" i="3"/>
  <c r="R611" i="3"/>
  <c r="R614" i="3"/>
  <c r="R644" i="3"/>
  <c r="R651" i="3"/>
  <c r="R698" i="3"/>
  <c r="R702" i="3"/>
  <c r="R720" i="3"/>
  <c r="R755" i="3"/>
  <c r="R906" i="3"/>
  <c r="R832" i="3"/>
  <c r="R790" i="3"/>
  <c r="R282" i="3"/>
  <c r="R286" i="3"/>
  <c r="R299" i="3"/>
  <c r="R303" i="3"/>
  <c r="R316" i="3"/>
  <c r="R349" i="3"/>
  <c r="R369" i="3"/>
  <c r="R378" i="3"/>
  <c r="R382" i="3"/>
  <c r="R394" i="3"/>
  <c r="R398" i="3"/>
  <c r="R410" i="3"/>
  <c r="R414" i="3"/>
  <c r="R417" i="3"/>
  <c r="R443" i="3"/>
  <c r="R459" i="3"/>
  <c r="R472" i="3"/>
  <c r="R492" i="3"/>
  <c r="R515" i="3"/>
  <c r="R525" i="3"/>
  <c r="R531" i="3"/>
  <c r="R541" i="3"/>
  <c r="R554" i="3"/>
  <c r="R564" i="3"/>
  <c r="R574" i="3"/>
  <c r="R590" i="3"/>
  <c r="R602" i="3"/>
  <c r="R618" i="3"/>
  <c r="R625" i="3"/>
  <c r="R648" i="3"/>
  <c r="R662" i="3"/>
  <c r="R675" i="3"/>
  <c r="R682" i="3"/>
  <c r="R689" i="3"/>
  <c r="R699" i="3"/>
  <c r="R703" i="3"/>
  <c r="R731" i="3"/>
  <c r="R735" i="3"/>
  <c r="R742" i="3"/>
  <c r="R756" i="3"/>
  <c r="R926" i="3"/>
  <c r="R905" i="3"/>
  <c r="R898" i="3"/>
  <c r="R884" i="3"/>
  <c r="R877" i="3"/>
  <c r="R842" i="3"/>
  <c r="R782" i="3"/>
  <c r="R4" i="4"/>
  <c r="R10" i="4"/>
  <c r="R20" i="4"/>
  <c r="R26" i="4"/>
  <c r="R45" i="4"/>
  <c r="R67" i="4"/>
  <c r="R70" i="4"/>
  <c r="R86" i="4"/>
  <c r="R110" i="4"/>
  <c r="R117" i="4"/>
  <c r="R141" i="4"/>
  <c r="R148" i="4"/>
  <c r="R172" i="4"/>
  <c r="R179" i="4"/>
  <c r="R182" i="4"/>
  <c r="R185" i="4"/>
  <c r="R189" i="4"/>
  <c r="R331" i="4"/>
  <c r="R335" i="4"/>
  <c r="R343" i="4"/>
  <c r="R517" i="4"/>
  <c r="R607" i="4"/>
  <c r="R631" i="4"/>
  <c r="R659" i="4"/>
  <c r="R738" i="4"/>
  <c r="R716" i="3"/>
  <c r="R726" i="3"/>
  <c r="R733" i="3"/>
  <c r="R740" i="3"/>
  <c r="R750" i="3"/>
  <c r="R760" i="3"/>
  <c r="R764" i="3"/>
  <c r="R913" i="3"/>
  <c r="R888" i="3"/>
  <c r="R882" i="3"/>
  <c r="R857" i="3"/>
  <c r="R829" i="3"/>
  <c r="R826" i="3"/>
  <c r="R804" i="3"/>
  <c r="R785" i="3"/>
  <c r="R769" i="3"/>
  <c r="R14" i="4"/>
  <c r="R30" i="4"/>
  <c r="R42" i="4"/>
  <c r="R61" i="4"/>
  <c r="R83" i="4"/>
  <c r="R93" i="4"/>
  <c r="R107" i="4"/>
  <c r="R114" i="4"/>
  <c r="R121" i="4"/>
  <c r="R125" i="4"/>
  <c r="R145" i="4"/>
  <c r="R155" i="4"/>
  <c r="R159" i="4"/>
  <c r="R197" i="4"/>
  <c r="R212" i="4"/>
  <c r="R236" i="4"/>
  <c r="R240" i="4"/>
  <c r="R251" i="4"/>
  <c r="R255" i="4"/>
  <c r="R291" i="4"/>
  <c r="R310" i="4"/>
  <c r="R361" i="4"/>
  <c r="R415" i="4"/>
  <c r="R431" i="4"/>
  <c r="R439" i="4"/>
  <c r="R565" i="4"/>
  <c r="R643" i="3"/>
  <c r="R653" i="3"/>
  <c r="R660" i="3"/>
  <c r="R670" i="3"/>
  <c r="R683" i="3"/>
  <c r="R696" i="3"/>
  <c r="R710" i="3"/>
  <c r="R717" i="3"/>
  <c r="R730" i="3"/>
  <c r="R734" i="3"/>
  <c r="R744" i="3"/>
  <c r="R751" i="3"/>
  <c r="R761" i="3"/>
  <c r="R925" i="3"/>
  <c r="R922" i="3"/>
  <c r="R900" i="3"/>
  <c r="R881" i="3"/>
  <c r="R856" i="3"/>
  <c r="R850" i="3"/>
  <c r="R825" i="3"/>
  <c r="R797" i="3"/>
  <c r="R794" i="3"/>
  <c r="R784" i="3"/>
  <c r="R781" i="3"/>
  <c r="R778" i="3"/>
  <c r="R15" i="4"/>
  <c r="R31" i="4"/>
  <c r="R43" i="4"/>
  <c r="R62" i="4"/>
  <c r="R74" i="4"/>
  <c r="R94" i="4"/>
  <c r="R101" i="4"/>
  <c r="R115" i="4"/>
  <c r="R122" i="4"/>
  <c r="R126" i="4"/>
  <c r="R156" i="4"/>
  <c r="R160" i="4"/>
  <c r="R194" i="4"/>
  <c r="R198" i="4"/>
  <c r="R209" i="4"/>
  <c r="R241" i="4"/>
  <c r="R248" i="4"/>
  <c r="R284" i="4"/>
  <c r="R288" i="4"/>
  <c r="R307" i="4"/>
  <c r="R322" i="4"/>
  <c r="R408" i="4"/>
  <c r="R424" i="4"/>
  <c r="R448" i="4"/>
  <c r="R452" i="4"/>
  <c r="R464" i="4"/>
  <c r="R472" i="4"/>
  <c r="R562" i="4"/>
  <c r="R566" i="4"/>
  <c r="R47" i="4"/>
  <c r="R59" i="4"/>
  <c r="R78" i="4"/>
  <c r="R91" i="4"/>
  <c r="R98" i="4"/>
  <c r="R139" i="4"/>
  <c r="R143" i="4"/>
  <c r="R170" i="4"/>
  <c r="R174" i="4"/>
  <c r="R221" i="4"/>
  <c r="R245" i="4"/>
  <c r="R337" i="4"/>
  <c r="R507" i="4"/>
  <c r="R511" i="4"/>
  <c r="R633" i="4"/>
  <c r="R645" i="4"/>
  <c r="R665" i="4"/>
  <c r="R673" i="4"/>
  <c r="R921" i="3"/>
  <c r="R893" i="3"/>
  <c r="R890" i="3"/>
  <c r="R868" i="3"/>
  <c r="R849" i="3"/>
  <c r="R824" i="3"/>
  <c r="R818" i="3"/>
  <c r="R793" i="3"/>
  <c r="R777" i="3"/>
  <c r="R6" i="4"/>
  <c r="R22" i="4"/>
  <c r="R63" i="4"/>
  <c r="R75" i="4"/>
  <c r="R88" i="4"/>
  <c r="R95" i="4"/>
  <c r="R102" i="4"/>
  <c r="R123" i="4"/>
  <c r="R127" i="4"/>
  <c r="R150" i="4"/>
  <c r="R161" i="4"/>
  <c r="R195" i="4"/>
  <c r="R199" i="4"/>
  <c r="R225" i="4"/>
  <c r="R234" i="4"/>
  <c r="R238" i="4"/>
  <c r="R242" i="4"/>
  <c r="R249" i="4"/>
  <c r="R275" i="4"/>
  <c r="R278" i="4"/>
  <c r="R281" i="4"/>
  <c r="R300" i="4"/>
  <c r="R304" i="4"/>
  <c r="R405" i="4"/>
  <c r="R413" i="4"/>
  <c r="R421" i="4"/>
  <c r="R429" i="4"/>
  <c r="R437" i="4"/>
  <c r="R441" i="4"/>
  <c r="R449" i="4"/>
  <c r="R457" i="4"/>
  <c r="R500" i="4"/>
  <c r="R543" i="4"/>
  <c r="R563" i="4"/>
  <c r="R701" i="4"/>
  <c r="R3" i="4"/>
  <c r="R19" i="4"/>
  <c r="R35" i="4"/>
  <c r="R38" i="4"/>
  <c r="R79" i="4"/>
  <c r="R85" i="4"/>
  <c r="R99" i="4"/>
  <c r="R109" i="4"/>
  <c r="R140" i="4"/>
  <c r="R147" i="4"/>
  <c r="R188" i="4"/>
  <c r="R203" i="4"/>
  <c r="R207" i="4"/>
  <c r="R218" i="4"/>
  <c r="R222" i="4"/>
  <c r="R246" i="4"/>
  <c r="R268" i="4"/>
  <c r="R272" i="4"/>
  <c r="R346" i="4"/>
  <c r="R350" i="4"/>
  <c r="R394" i="4"/>
  <c r="R398" i="4"/>
  <c r="R402" i="4"/>
  <c r="R493" i="4"/>
  <c r="R626" i="4"/>
  <c r="R666" i="4"/>
  <c r="R745" i="4"/>
  <c r="R920" i="3"/>
  <c r="R914" i="3"/>
  <c r="R889" i="3"/>
  <c r="R861" i="3"/>
  <c r="R858" i="3"/>
  <c r="R836" i="3"/>
  <c r="R817" i="3"/>
  <c r="R792" i="3"/>
  <c r="R786" i="3"/>
  <c r="R776" i="3"/>
  <c r="R770" i="3"/>
  <c r="R13" i="4"/>
  <c r="R29" i="4"/>
  <c r="R51" i="4"/>
  <c r="R54" i="4"/>
  <c r="R106" i="4"/>
  <c r="R113" i="4"/>
  <c r="R120" i="4"/>
  <c r="R151" i="4"/>
  <c r="R154" i="4"/>
  <c r="R158" i="4"/>
  <c r="R196" i="4"/>
  <c r="R200" i="4"/>
  <c r="R215" i="4"/>
  <c r="R243" i="4"/>
  <c r="R250" i="4"/>
  <c r="R254" i="4"/>
  <c r="R290" i="4"/>
  <c r="R305" i="4"/>
  <c r="R313" i="4"/>
  <c r="R317" i="4"/>
  <c r="R364" i="4"/>
  <c r="R368" i="4"/>
  <c r="R380" i="4"/>
  <c r="R384" i="4"/>
  <c r="R418" i="4"/>
  <c r="R434" i="4"/>
  <c r="R442" i="4"/>
  <c r="R446" i="4"/>
  <c r="R450" i="4"/>
  <c r="R560" i="4"/>
  <c r="R572" i="4"/>
  <c r="R193" i="4"/>
  <c r="R202" i="4"/>
  <c r="R206" i="4"/>
  <c r="R235" i="4"/>
  <c r="R239" i="4"/>
  <c r="R259" i="4"/>
  <c r="R262" i="4"/>
  <c r="R265" i="4"/>
  <c r="R269" i="4"/>
  <c r="R289" i="4"/>
  <c r="R299" i="4"/>
  <c r="R303" i="4"/>
  <c r="R316" i="4"/>
  <c r="R349" i="4"/>
  <c r="R379" i="4"/>
  <c r="R383" i="4"/>
  <c r="R412" i="4"/>
  <c r="R428" i="4"/>
  <c r="R438" i="4"/>
  <c r="R445" i="4"/>
  <c r="R451" i="4"/>
  <c r="R471" i="4"/>
  <c r="R499" i="4"/>
  <c r="R506" i="4"/>
  <c r="R510" i="4"/>
  <c r="R559" i="4"/>
  <c r="R576" i="4"/>
  <c r="R579" i="4"/>
  <c r="R582" i="4"/>
  <c r="R623" i="4"/>
  <c r="R630" i="4"/>
  <c r="R637" i="4"/>
  <c r="R644" i="4"/>
  <c r="R679" i="4"/>
  <c r="R722" i="4"/>
  <c r="R744" i="4"/>
  <c r="R755" i="4"/>
  <c r="R902" i="4"/>
  <c r="R869" i="4"/>
  <c r="R865" i="4"/>
  <c r="R825" i="4"/>
  <c r="R124" i="4"/>
  <c r="R131" i="4"/>
  <c r="R134" i="4"/>
  <c r="R157" i="4"/>
  <c r="R177" i="4"/>
  <c r="R186" i="4"/>
  <c r="R190" i="4"/>
  <c r="R219" i="4"/>
  <c r="R223" i="4"/>
  <c r="R252" i="4"/>
  <c r="R256" i="4"/>
  <c r="R323" i="4"/>
  <c r="R326" i="4"/>
  <c r="R333" i="4"/>
  <c r="R353" i="4"/>
  <c r="R362" i="4"/>
  <c r="R366" i="4"/>
  <c r="R396" i="4"/>
  <c r="R403" i="4"/>
  <c r="R406" i="4"/>
  <c r="R419" i="4"/>
  <c r="R422" i="4"/>
  <c r="R435" i="4"/>
  <c r="R455" i="4"/>
  <c r="R458" i="4"/>
  <c r="R462" i="4"/>
  <c r="R468" i="4"/>
  <c r="R514" i="4"/>
  <c r="R521" i="4"/>
  <c r="R539" i="4"/>
  <c r="R552" i="4"/>
  <c r="R569" i="4"/>
  <c r="R603" i="4"/>
  <c r="R616" i="4"/>
  <c r="R627" i="4"/>
  <c r="R641" i="4"/>
  <c r="R648" i="4"/>
  <c r="R655" i="4"/>
  <c r="R662" i="4"/>
  <c r="R669" i="4"/>
  <c r="R676" i="4"/>
  <c r="R708" i="4"/>
  <c r="R715" i="4"/>
  <c r="R719" i="4"/>
  <c r="R752" i="4"/>
  <c r="R759" i="4"/>
  <c r="R905" i="4"/>
  <c r="R898" i="4"/>
  <c r="R894" i="4"/>
  <c r="R861" i="4"/>
  <c r="R821" i="4"/>
  <c r="R789" i="4"/>
  <c r="R187" i="4"/>
  <c r="R191" i="4"/>
  <c r="R220" i="4"/>
  <c r="R227" i="4"/>
  <c r="R230" i="4"/>
  <c r="R257" i="4"/>
  <c r="R283" i="4"/>
  <c r="R287" i="4"/>
  <c r="R330" i="4"/>
  <c r="R334" i="4"/>
  <c r="R363" i="4"/>
  <c r="R367" i="4"/>
  <c r="R387" i="4"/>
  <c r="R390" i="4"/>
  <c r="R393" i="4"/>
  <c r="R397" i="4"/>
  <c r="R436" i="4"/>
  <c r="R459" i="4"/>
  <c r="R476" i="4"/>
  <c r="R486" i="4"/>
  <c r="R497" i="4"/>
  <c r="R526" i="4"/>
  <c r="R536" i="4"/>
  <c r="R553" i="4"/>
  <c r="R587" i="4"/>
  <c r="R600" i="4"/>
  <c r="R617" i="4"/>
  <c r="R628" i="4"/>
  <c r="R656" i="4"/>
  <c r="R663" i="4"/>
  <c r="R694" i="4"/>
  <c r="R705" i="4"/>
  <c r="R709" i="4"/>
  <c r="R731" i="4"/>
  <c r="R735" i="4"/>
  <c r="R753" i="4"/>
  <c r="R849" i="4"/>
  <c r="R842" i="4"/>
  <c r="R813" i="4"/>
  <c r="R781" i="4"/>
  <c r="R129" i="4"/>
  <c r="R138" i="4"/>
  <c r="R142" i="4"/>
  <c r="R171" i="4"/>
  <c r="R175" i="4"/>
  <c r="R204" i="4"/>
  <c r="R211" i="4"/>
  <c r="R214" i="4"/>
  <c r="R237" i="4"/>
  <c r="R267" i="4"/>
  <c r="R271" i="4"/>
  <c r="R294" i="4"/>
  <c r="R301" i="4"/>
  <c r="R314" i="4"/>
  <c r="R318" i="4"/>
  <c r="R347" i="4"/>
  <c r="R351" i="4"/>
  <c r="R371" i="4"/>
  <c r="R374" i="4"/>
  <c r="R377" i="4"/>
  <c r="R381" i="4"/>
  <c r="R443" i="4"/>
  <c r="R483" i="4"/>
  <c r="R490" i="4"/>
  <c r="R494" i="4"/>
  <c r="R501" i="4"/>
  <c r="R544" i="4"/>
  <c r="R547" i="4"/>
  <c r="R550" i="4"/>
  <c r="R591" i="4"/>
  <c r="R608" i="4"/>
  <c r="R611" i="4"/>
  <c r="R614" i="4"/>
  <c r="R632" i="4"/>
  <c r="R639" i="4"/>
  <c r="R660" i="4"/>
  <c r="R691" i="4"/>
  <c r="R698" i="4"/>
  <c r="R702" i="4"/>
  <c r="R724" i="4"/>
  <c r="R742" i="4"/>
  <c r="R845" i="4"/>
  <c r="R809" i="4"/>
  <c r="R460" i="4"/>
  <c r="R477" i="4"/>
  <c r="R487" i="4"/>
  <c r="R516" i="4"/>
  <c r="R523" i="4"/>
  <c r="R527" i="4"/>
  <c r="R537" i="4"/>
  <c r="R571" i="4"/>
  <c r="R584" i="4"/>
  <c r="R601" i="4"/>
  <c r="R646" i="4"/>
  <c r="R653" i="4"/>
  <c r="R657" i="4"/>
  <c r="R695" i="4"/>
  <c r="R728" i="4"/>
  <c r="R732" i="4"/>
  <c r="R736" i="4"/>
  <c r="R761" i="4"/>
  <c r="R918" i="4"/>
  <c r="R882" i="4"/>
  <c r="R878" i="4"/>
  <c r="R837" i="4"/>
  <c r="R805" i="4"/>
  <c r="R798" i="4"/>
  <c r="R773" i="4"/>
  <c r="R295" i="4"/>
  <c r="R298" i="4"/>
  <c r="R302" i="4"/>
  <c r="R315" i="4"/>
  <c r="R319" i="4"/>
  <c r="R328" i="4"/>
  <c r="R348" i="4"/>
  <c r="R355" i="4"/>
  <c r="R358" i="4"/>
  <c r="R378" i="4"/>
  <c r="R382" i="4"/>
  <c r="R411" i="4"/>
  <c r="R427" i="4"/>
  <c r="R444" i="4"/>
  <c r="R470" i="4"/>
  <c r="R484" i="4"/>
  <c r="R495" i="4"/>
  <c r="R502" i="4"/>
  <c r="R509" i="4"/>
  <c r="R534" i="4"/>
  <c r="R575" i="4"/>
  <c r="R592" i="4"/>
  <c r="R595" i="4"/>
  <c r="R598" i="4"/>
  <c r="R643" i="4"/>
  <c r="R678" i="4"/>
  <c r="R685" i="4"/>
  <c r="R692" i="4"/>
  <c r="R725" i="4"/>
  <c r="R921" i="4"/>
  <c r="R914" i="4"/>
  <c r="R826" i="4"/>
  <c r="R794" i="4"/>
  <c r="R769" i="4"/>
  <c r="R285" i="4"/>
  <c r="R292" i="4"/>
  <c r="R369" i="4"/>
  <c r="R395" i="4"/>
  <c r="R399" i="4"/>
  <c r="R454" i="4"/>
  <c r="R461" i="4"/>
  <c r="R467" i="4"/>
  <c r="R474" i="4"/>
  <c r="R478" i="4"/>
  <c r="R481" i="4"/>
  <c r="R513" i="4"/>
  <c r="R520" i="4"/>
  <c r="R524" i="4"/>
  <c r="R528" i="4"/>
  <c r="R555" i="4"/>
  <c r="R568" i="4"/>
  <c r="R585" i="4"/>
  <c r="R619" i="4"/>
  <c r="R647" i="4"/>
  <c r="R675" i="4"/>
  <c r="R682" i="4"/>
  <c r="R689" i="4"/>
  <c r="R707" i="4"/>
  <c r="R714" i="4"/>
  <c r="R718" i="4"/>
  <c r="R729" i="4"/>
  <c r="R751" i="4"/>
  <c r="R758" i="4"/>
  <c r="R762" i="4"/>
  <c r="R881" i="4"/>
  <c r="R862" i="4"/>
  <c r="R858" i="4"/>
  <c r="R829" i="4"/>
  <c r="R797" i="4"/>
  <c r="R765" i="4"/>
  <c r="R491" i="4"/>
  <c r="R504" i="4"/>
  <c r="R518" i="4"/>
  <c r="R531" i="4"/>
  <c r="R541" i="4"/>
  <c r="R557" i="4"/>
  <c r="R573" i="4"/>
  <c r="R589" i="4"/>
  <c r="R605" i="4"/>
  <c r="R621" i="4"/>
  <c r="R634" i="4"/>
  <c r="R650" i="4"/>
  <c r="R670" i="4"/>
  <c r="R686" i="4"/>
  <c r="R712" i="4"/>
  <c r="R739" i="4"/>
  <c r="R749" i="4"/>
  <c r="R756" i="4"/>
  <c r="R763" i="4"/>
  <c r="R910" i="4"/>
  <c r="R897" i="4"/>
  <c r="R884" i="4"/>
  <c r="R877" i="4"/>
  <c r="R874" i="4"/>
  <c r="R841" i="4"/>
  <c r="R838" i="4"/>
  <c r="R793" i="4"/>
  <c r="R777" i="4"/>
  <c r="R253" i="4"/>
  <c r="R273" i="4"/>
  <c r="R282" i="4"/>
  <c r="R286" i="4"/>
  <c r="R312" i="4"/>
  <c r="R332" i="4"/>
  <c r="R339" i="4"/>
  <c r="R342" i="4"/>
  <c r="R365" i="4"/>
  <c r="R401" i="4"/>
  <c r="R410" i="4"/>
  <c r="R414" i="4"/>
  <c r="R417" i="4"/>
  <c r="R426" i="4"/>
  <c r="R430" i="4"/>
  <c r="R433" i="4"/>
  <c r="R475" i="4"/>
  <c r="R488" i="4"/>
  <c r="R508" i="4"/>
  <c r="R515" i="4"/>
  <c r="R525" i="4"/>
  <c r="R538" i="4"/>
  <c r="R554" i="4"/>
  <c r="R570" i="4"/>
  <c r="R586" i="4"/>
  <c r="R602" i="4"/>
  <c r="R618" i="4"/>
  <c r="R625" i="4"/>
  <c r="R638" i="4"/>
  <c r="R654" i="4"/>
  <c r="R667" i="4"/>
  <c r="R683" i="4"/>
  <c r="R699" i="4"/>
  <c r="R703" i="4"/>
  <c r="R716" i="4"/>
  <c r="R726" i="4"/>
  <c r="R733" i="4"/>
  <c r="R746" i="4"/>
  <c r="R926" i="4"/>
  <c r="R913" i="4"/>
  <c r="R900" i="4"/>
  <c r="R893" i="4"/>
  <c r="R890" i="4"/>
  <c r="R857" i="4"/>
  <c r="R854" i="4"/>
  <c r="R831" i="4"/>
  <c r="R815" i="4"/>
  <c r="R799" i="4"/>
  <c r="R492" i="4"/>
  <c r="R522" i="4"/>
  <c r="R532" i="4"/>
  <c r="R542" i="4"/>
  <c r="R558" i="4"/>
  <c r="R574" i="4"/>
  <c r="R590" i="4"/>
  <c r="R606" i="4"/>
  <c r="R622" i="4"/>
  <c r="R635" i="4"/>
  <c r="R651" i="4"/>
  <c r="R664" i="4"/>
  <c r="R671" i="4"/>
  <c r="R680" i="4"/>
  <c r="R687" i="4"/>
  <c r="R696" i="4"/>
  <c r="R723" i="4"/>
  <c r="R740" i="4"/>
  <c r="R750" i="4"/>
  <c r="R760" i="4"/>
  <c r="R764" i="4"/>
  <c r="R909" i="4"/>
  <c r="R906" i="4"/>
  <c r="R873" i="4"/>
  <c r="R870" i="4"/>
  <c r="R847" i="4"/>
  <c r="R834" i="4"/>
  <c r="R818" i="4"/>
  <c r="R802" i="4"/>
  <c r="R783" i="4"/>
  <c r="R767" i="4"/>
  <c r="R700" i="4"/>
  <c r="R710" i="4"/>
  <c r="R717" i="4"/>
  <c r="R730" i="4"/>
  <c r="R734" i="4"/>
  <c r="R747" i="4"/>
  <c r="R925" i="4"/>
  <c r="R922" i="4"/>
  <c r="R889" i="4"/>
  <c r="R886" i="4"/>
  <c r="R863" i="4"/>
  <c r="R850" i="4"/>
  <c r="R830" i="4"/>
  <c r="R814" i="4"/>
  <c r="R786" i="4"/>
  <c r="R770" i="4"/>
  <c r="R866" i="4"/>
  <c r="R846" i="4"/>
  <c r="R833" i="4"/>
  <c r="R817" i="4"/>
  <c r="R801" i="4"/>
  <c r="R782" i="4"/>
  <c r="R766" i="4"/>
</calcChain>
</file>

<file path=xl/sharedStrings.xml><?xml version="1.0" encoding="utf-8"?>
<sst xmlns="http://schemas.openxmlformats.org/spreadsheetml/2006/main" count="6584" uniqueCount="959">
  <si>
    <t>miRNAID</t>
  </si>
  <si>
    <t>input1</t>
  </si>
  <si>
    <t>input2</t>
  </si>
  <si>
    <t>input3</t>
  </si>
  <si>
    <t>input4</t>
  </si>
  <si>
    <t>input5</t>
  </si>
  <si>
    <t>input6</t>
  </si>
  <si>
    <t>input7</t>
  </si>
  <si>
    <t>input8</t>
  </si>
  <si>
    <t>input9</t>
  </si>
  <si>
    <t>IP1</t>
  </si>
  <si>
    <t>IP2</t>
  </si>
  <si>
    <t>IP3</t>
  </si>
  <si>
    <t>IP4</t>
  </si>
  <si>
    <t>IP5</t>
  </si>
  <si>
    <t>IP6</t>
  </si>
  <si>
    <t>IP7</t>
  </si>
  <si>
    <t>IP8</t>
  </si>
  <si>
    <t>IP9</t>
  </si>
  <si>
    <t>hsa-let-7a-3p</t>
  </si>
  <si>
    <t>hsa-let-7a-5p</t>
  </si>
  <si>
    <t>hsa-let-7b-5p</t>
  </si>
  <si>
    <t>hsa-let-7c-5p</t>
  </si>
  <si>
    <t>hsa-let-7d-3p</t>
  </si>
  <si>
    <t>hsa-let-7d-5p</t>
  </si>
  <si>
    <t>hsa-let-7e-5p</t>
  </si>
  <si>
    <t>hsa-let-7f-1-3p</t>
  </si>
  <si>
    <t>hsa-let-7f-2-3p</t>
  </si>
  <si>
    <t>hsa-let-7f-5p</t>
  </si>
  <si>
    <t>hsa-let-7g-3p</t>
  </si>
  <si>
    <t>hsa-let-7g-5p</t>
  </si>
  <si>
    <t>hsa-let-7i-3p</t>
  </si>
  <si>
    <t>hsa-let-7i-5p</t>
  </si>
  <si>
    <t>hsa-miR-100-5p</t>
  </si>
  <si>
    <t>hsa-miR-101-3p</t>
  </si>
  <si>
    <t>hsa-miR-101-5p</t>
  </si>
  <si>
    <t>hsa-miR-10392-5p</t>
  </si>
  <si>
    <t>hsa-miR-10393-3p</t>
  </si>
  <si>
    <t>hsa-miR-10394-3p</t>
  </si>
  <si>
    <t>hsa-miR-10395-3p</t>
  </si>
  <si>
    <t>hsa-miR-10397-5p</t>
  </si>
  <si>
    <t>hsa-miR-10398-5p</t>
  </si>
  <si>
    <t>hsa-miR-10399-3p</t>
  </si>
  <si>
    <t>hsa-miR-10399-5p</t>
  </si>
  <si>
    <t>hsa-miR-103a-3p</t>
  </si>
  <si>
    <t>hsa-miR-10400-5p</t>
  </si>
  <si>
    <t>hsa-miR-10401-3p</t>
  </si>
  <si>
    <t>hsa-miR-10527-5p</t>
  </si>
  <si>
    <t>hsa-miR-106a-5p</t>
  </si>
  <si>
    <t>hsa-miR-106b-3p</t>
  </si>
  <si>
    <t>hsa-miR-106b-5p</t>
  </si>
  <si>
    <t>hsa-miR-107</t>
  </si>
  <si>
    <t>hsa-miR-10a-3p</t>
  </si>
  <si>
    <t>hsa-miR-10a-5p</t>
  </si>
  <si>
    <t>hsa-miR-10b-5p</t>
  </si>
  <si>
    <t>hsa-miR-11400</t>
  </si>
  <si>
    <t>hsa-miR-11401</t>
  </si>
  <si>
    <t>hsa-miR-1178-3p</t>
  </si>
  <si>
    <t>hsa-miR-1180-3p</t>
  </si>
  <si>
    <t>hsa-miR-1197</t>
  </si>
  <si>
    <t>hsa-miR-12135</t>
  </si>
  <si>
    <t>hsa-miR-12136</t>
  </si>
  <si>
    <t>hsa-miR-122-5p</t>
  </si>
  <si>
    <t>hsa-miR-1228-3p</t>
  </si>
  <si>
    <t>hsa-miR-124-3p</t>
  </si>
  <si>
    <t>hsa-miR-1244</t>
  </si>
  <si>
    <t>hsa-miR-1246</t>
  </si>
  <si>
    <t>hsa-miR-1248</t>
  </si>
  <si>
    <t>hsa-miR-1250-5p</t>
  </si>
  <si>
    <t>hsa-miR-1255a</t>
  </si>
  <si>
    <t>hsa-miR-1255b-5p</t>
  </si>
  <si>
    <t>hsa-miR-1256</t>
  </si>
  <si>
    <t>hsa-miR-125a-3p</t>
  </si>
  <si>
    <t>hsa-miR-125a-5p</t>
  </si>
  <si>
    <t>hsa-miR-125b-1-3p</t>
  </si>
  <si>
    <t>hsa-miR-125b-2-3p</t>
  </si>
  <si>
    <t>hsa-miR-125b-5p</t>
  </si>
  <si>
    <t>hsa-miR-1260a</t>
  </si>
  <si>
    <t>hsa-miR-1260b</t>
  </si>
  <si>
    <t>hsa-miR-1261</t>
  </si>
  <si>
    <t>hsa-miR-1262</t>
  </si>
  <si>
    <t>hsa-miR-126-3p</t>
  </si>
  <si>
    <t>hsa-miR-126-5p</t>
  </si>
  <si>
    <t>hsa-miR-1268a</t>
  </si>
  <si>
    <t>hsa-miR-1268b</t>
  </si>
  <si>
    <t>hsa-miR-1270</t>
  </si>
  <si>
    <t>hsa-miR-1273c</t>
  </si>
  <si>
    <t>hsa-miR-1273h-3p</t>
  </si>
  <si>
    <t>hsa-miR-1273h-5p</t>
  </si>
  <si>
    <t>hsa-miR-127-3p</t>
  </si>
  <si>
    <t>hsa-miR-1275</t>
  </si>
  <si>
    <t>hsa-miR-127-5p</t>
  </si>
  <si>
    <t>hsa-miR-1277-3p</t>
  </si>
  <si>
    <t>hsa-miR-1277-5p</t>
  </si>
  <si>
    <t>hsa-miR-1278</t>
  </si>
  <si>
    <t>hsa-miR-128-1-5p</t>
  </si>
  <si>
    <t>hsa-miR-128-2-5p</t>
  </si>
  <si>
    <t>hsa-miR-128-3p</t>
  </si>
  <si>
    <t>hsa-miR-1284</t>
  </si>
  <si>
    <t>hsa-miR-1285-3p</t>
  </si>
  <si>
    <t>hsa-miR-1286</t>
  </si>
  <si>
    <t>hsa-miR-1287-5p</t>
  </si>
  <si>
    <t>hsa-miR-1288-3p</t>
  </si>
  <si>
    <t>hsa-miR-1289</t>
  </si>
  <si>
    <t>hsa-miR-1290</t>
  </si>
  <si>
    <t>hsa-miR-1291</t>
  </si>
  <si>
    <t>hsa-miR-1292-5p</t>
  </si>
  <si>
    <t>hsa-miR-1293</t>
  </si>
  <si>
    <t>hsa-miR-1294</t>
  </si>
  <si>
    <t>hsa-miR-1295a</t>
  </si>
  <si>
    <t>hsa-miR-1296-3p</t>
  </si>
  <si>
    <t>hsa-miR-1296-5p</t>
  </si>
  <si>
    <t>hsa-miR-1298-3p</t>
  </si>
  <si>
    <t>hsa-miR-1298-5p</t>
  </si>
  <si>
    <t>hsa-miR-1299</t>
  </si>
  <si>
    <t>hsa-miR-1301-3p</t>
  </si>
  <si>
    <t>hsa-miR-1303</t>
  </si>
  <si>
    <t>hsa-miR-1304-3p</t>
  </si>
  <si>
    <t>hsa-miR-1304-5p</t>
  </si>
  <si>
    <t>hsa-miR-1306-3p</t>
  </si>
  <si>
    <t>hsa-miR-1306-5p</t>
  </si>
  <si>
    <t>hsa-miR-1307-3p</t>
  </si>
  <si>
    <t>hsa-miR-1307-5p</t>
  </si>
  <si>
    <t>hsa-miR-130a-3p</t>
  </si>
  <si>
    <t>hsa-miR-130b-3p</t>
  </si>
  <si>
    <t>hsa-miR-130b-5p</t>
  </si>
  <si>
    <t>hsa-miR-132-3p</t>
  </si>
  <si>
    <t>hsa-miR-133a-3p</t>
  </si>
  <si>
    <t>hsa-miR-134-5p</t>
  </si>
  <si>
    <t>hsa-miR-135a-3p</t>
  </si>
  <si>
    <t>hsa-miR-135a-5p</t>
  </si>
  <si>
    <t>hsa-miR-136-3p</t>
  </si>
  <si>
    <t>hsa-miR-136-5p</t>
  </si>
  <si>
    <t>hsa-miR-139-3p</t>
  </si>
  <si>
    <t>hsa-miR-139-5p</t>
  </si>
  <si>
    <t>hsa-miR-1-3p</t>
  </si>
  <si>
    <t>hsa-miR-140-3p</t>
  </si>
  <si>
    <t>hsa-miR-140-5p</t>
  </si>
  <si>
    <t>hsa-miR-141-3p</t>
  </si>
  <si>
    <t>hsa-miR-142-3p</t>
  </si>
  <si>
    <t>hsa-miR-142-5p</t>
  </si>
  <si>
    <t>hsa-miR-143-3p</t>
  </si>
  <si>
    <t>hsa-miR-144-3p</t>
  </si>
  <si>
    <t>hsa-miR-144-5p</t>
  </si>
  <si>
    <t>hsa-miR-145-3p</t>
  </si>
  <si>
    <t>hsa-miR-145-5p</t>
  </si>
  <si>
    <t>hsa-miR-1468-5p</t>
  </si>
  <si>
    <t>hsa-miR-146a-5p</t>
  </si>
  <si>
    <t>hsa-miR-146b-3p</t>
  </si>
  <si>
    <t>hsa-miR-146b-5p</t>
  </si>
  <si>
    <t>hsa-miR-147b-3p</t>
  </si>
  <si>
    <t>hsa-miR-148a-3p</t>
  </si>
  <si>
    <t>hsa-miR-148a-5p</t>
  </si>
  <si>
    <t>hsa-miR-148b-3p</t>
  </si>
  <si>
    <t>hsa-miR-148b-5p</t>
  </si>
  <si>
    <t>hsa-miR-150-3p</t>
  </si>
  <si>
    <t>hsa-miR-150-5p</t>
  </si>
  <si>
    <t>hsa-miR-151a-3p</t>
  </si>
  <si>
    <t>hsa-miR-151a-5p</t>
  </si>
  <si>
    <t>hsa-miR-151b</t>
  </si>
  <si>
    <t>hsa-miR-152-3p</t>
  </si>
  <si>
    <t>hsa-miR-152-5p</t>
  </si>
  <si>
    <t>hsa-miR-153-3p</t>
  </si>
  <si>
    <t>hsa-miR-1537-3p</t>
  </si>
  <si>
    <t>hsa-miR-1538</t>
  </si>
  <si>
    <t>hsa-miR-155-5p</t>
  </si>
  <si>
    <t>hsa-miR-1587</t>
  </si>
  <si>
    <t>hsa-miR-15a-3p</t>
  </si>
  <si>
    <t>hsa-miR-15a-5p</t>
  </si>
  <si>
    <t>hsa-miR-15b-3p</t>
  </si>
  <si>
    <t>hsa-miR-15b-5p</t>
  </si>
  <si>
    <t>hsa-miR-16-1-3p</t>
  </si>
  <si>
    <t>hsa-miR-16-2-3p</t>
  </si>
  <si>
    <t>hsa-miR-16-5p</t>
  </si>
  <si>
    <t>hsa-miR-17-3p</t>
  </si>
  <si>
    <t>hsa-miR-17-5p</t>
  </si>
  <si>
    <t>hsa-miR-181a-2-3p</t>
  </si>
  <si>
    <t>hsa-miR-181a-3p</t>
  </si>
  <si>
    <t>hsa-miR-181a-5p</t>
  </si>
  <si>
    <t>hsa-miR-181b-2-3p</t>
  </si>
  <si>
    <t>hsa-miR-181b-3p</t>
  </si>
  <si>
    <t>hsa-miR-181b-5p</t>
  </si>
  <si>
    <t>hsa-miR-181d-5p</t>
  </si>
  <si>
    <t>hsa-miR-182-5p</t>
  </si>
  <si>
    <t>hsa-miR-1827</t>
  </si>
  <si>
    <t>hsa-miR-183-5p</t>
  </si>
  <si>
    <t>hsa-miR-184</t>
  </si>
  <si>
    <t>hsa-miR-1843</t>
  </si>
  <si>
    <t>hsa-miR-185-3p</t>
  </si>
  <si>
    <t>hsa-miR-185-5p</t>
  </si>
  <si>
    <t>hsa-miR-186-5p</t>
  </si>
  <si>
    <t>hsa-miR-187-3p</t>
  </si>
  <si>
    <t>hsa-miR-188-5p</t>
  </si>
  <si>
    <t>hsa-miR-18a-5p</t>
  </si>
  <si>
    <t>hsa-miR-18b-5p</t>
  </si>
  <si>
    <t>hsa-miR-1908-5p</t>
  </si>
  <si>
    <t>hsa-miR-190a-5p</t>
  </si>
  <si>
    <t>hsa-miR-190b-5p</t>
  </si>
  <si>
    <t>hsa-miR-191-3p</t>
  </si>
  <si>
    <t>hsa-miR-191-5p</t>
  </si>
  <si>
    <t>hsa-miR-192-5p</t>
  </si>
  <si>
    <t>hsa-miR-193a-5p</t>
  </si>
  <si>
    <t>hsa-miR-193b-5p</t>
  </si>
  <si>
    <t>hsa-miR-194-3p</t>
  </si>
  <si>
    <t>hsa-miR-194-5p</t>
  </si>
  <si>
    <t>hsa-miR-195-3p</t>
  </si>
  <si>
    <t>hsa-miR-195-5p</t>
  </si>
  <si>
    <t>hsa-miR-196a-5p</t>
  </si>
  <si>
    <t>hsa-miR-196b-5p</t>
  </si>
  <si>
    <t>hsa-miR-1972</t>
  </si>
  <si>
    <t>hsa-miR-197-3p</t>
  </si>
  <si>
    <t>hsa-miR-197-5p</t>
  </si>
  <si>
    <t>hsa-miR-199a-3p</t>
  </si>
  <si>
    <t>hsa-miR-199a-5p</t>
  </si>
  <si>
    <t>hsa-miR-199b-3p</t>
  </si>
  <si>
    <t>hsa-miR-199b-5p</t>
  </si>
  <si>
    <t>hsa-miR-19a-3p</t>
  </si>
  <si>
    <t>hsa-miR-19b-3p</t>
  </si>
  <si>
    <t>hsa-miR-200a-3p</t>
  </si>
  <si>
    <t>hsa-miR-200a-5p</t>
  </si>
  <si>
    <t>hsa-miR-200b-3p</t>
  </si>
  <si>
    <t>hsa-miR-200c-3p</t>
  </si>
  <si>
    <t>hsa-miR-202-5p</t>
  </si>
  <si>
    <t>hsa-miR-203a-3p</t>
  </si>
  <si>
    <t>hsa-miR-204-5p</t>
  </si>
  <si>
    <t>hsa-miR-206</t>
  </si>
  <si>
    <t>hsa-miR-20a-5p</t>
  </si>
  <si>
    <t>hsa-miR-20b-3p</t>
  </si>
  <si>
    <t>hsa-miR-20b-5p</t>
  </si>
  <si>
    <t>hsa-miR-210-3p</t>
  </si>
  <si>
    <t>hsa-miR-2110</t>
  </si>
  <si>
    <t>hsa-miR-2115-3p</t>
  </si>
  <si>
    <t>hsa-miR-2115-5p</t>
  </si>
  <si>
    <t>hsa-miR-212-3p</t>
  </si>
  <si>
    <t>hsa-miR-21-3p</t>
  </si>
  <si>
    <t>hsa-miR-215-5p</t>
  </si>
  <si>
    <t>hsa-miR-21-5p</t>
  </si>
  <si>
    <t>hsa-miR-216a-3p</t>
  </si>
  <si>
    <t>hsa-miR-216a-5p</t>
  </si>
  <si>
    <t>hsa-miR-217-5p</t>
  </si>
  <si>
    <t>hsa-miR-218-5p</t>
  </si>
  <si>
    <t>hsa-miR-219b-3p</t>
  </si>
  <si>
    <t>hsa-miR-221-3p</t>
  </si>
  <si>
    <t>hsa-miR-221-5p</t>
  </si>
  <si>
    <t>hsa-miR-222-3p</t>
  </si>
  <si>
    <t>hsa-miR-222-5p</t>
  </si>
  <si>
    <t>hsa-miR-223-3p</t>
  </si>
  <si>
    <t>hsa-miR-223-5p</t>
  </si>
  <si>
    <t>hsa-miR-22-3p</t>
  </si>
  <si>
    <t>hsa-miR-224-5p</t>
  </si>
  <si>
    <t>hsa-miR-22-5p</t>
  </si>
  <si>
    <t>hsa-miR-2277-5p</t>
  </si>
  <si>
    <t>hsa-miR-2278</t>
  </si>
  <si>
    <t>hsa-miR-2355-3p</t>
  </si>
  <si>
    <t>hsa-miR-2392</t>
  </si>
  <si>
    <t>hsa-miR-23a-3p</t>
  </si>
  <si>
    <t>hsa-miR-23a-5p</t>
  </si>
  <si>
    <t>hsa-miR-23b-3p</t>
  </si>
  <si>
    <t>hsa-miR-23b-5p</t>
  </si>
  <si>
    <t>hsa-miR-23c</t>
  </si>
  <si>
    <t>hsa-miR-24-1-5p</t>
  </si>
  <si>
    <t>hsa-miR-24-2-5p</t>
  </si>
  <si>
    <t>hsa-miR-24-3p</t>
  </si>
  <si>
    <t>hsa-miR-25-3p</t>
  </si>
  <si>
    <t>hsa-miR-25-5p</t>
  </si>
  <si>
    <t>hsa-miR-2682-5p</t>
  </si>
  <si>
    <t>hsa-miR-26a-2-3p</t>
  </si>
  <si>
    <t>hsa-miR-26a-5p</t>
  </si>
  <si>
    <t>hsa-miR-26b-3p</t>
  </si>
  <si>
    <t>hsa-miR-26b-5p</t>
  </si>
  <si>
    <t>hsa-miR-27a-3p</t>
  </si>
  <si>
    <t>hsa-miR-27a-5p</t>
  </si>
  <si>
    <t>hsa-miR-27b-3p</t>
  </si>
  <si>
    <t>hsa-miR-27b-5p</t>
  </si>
  <si>
    <t>hsa-miR-28-3p</t>
  </si>
  <si>
    <t>hsa-miR-28-5p</t>
  </si>
  <si>
    <t>hsa-miR-296-3p</t>
  </si>
  <si>
    <t>hsa-miR-296-5p</t>
  </si>
  <si>
    <t>hsa-miR-299-3p</t>
  </si>
  <si>
    <t>hsa-miR-29a-3p</t>
  </si>
  <si>
    <t>hsa-miR-29b-1-5p</t>
  </si>
  <si>
    <t>hsa-miR-29b-2-5p</t>
  </si>
  <si>
    <t>hsa-miR-29b-3p</t>
  </si>
  <si>
    <t>hsa-miR-29c-3p</t>
  </si>
  <si>
    <t>hsa-miR-29c-5p</t>
  </si>
  <si>
    <t>hsa-miR-301a-3p</t>
  </si>
  <si>
    <t>hsa-miR-301b-3p</t>
  </si>
  <si>
    <t>hsa-miR-3064-5p</t>
  </si>
  <si>
    <t>hsa-miR-3065-5p</t>
  </si>
  <si>
    <t>hsa-miR-3074-5p</t>
  </si>
  <si>
    <t>hsa-miR-30a-3p</t>
  </si>
  <si>
    <t>hsa-miR-30a-5p</t>
  </si>
  <si>
    <t>hsa-miR-30b-3p</t>
  </si>
  <si>
    <t>hsa-miR-30b-5p</t>
  </si>
  <si>
    <t>hsa-miR-30c-1-3p</t>
  </si>
  <si>
    <t>hsa-miR-30c-2-3p</t>
  </si>
  <si>
    <t>hsa-miR-30c-5p</t>
  </si>
  <si>
    <t>hsa-miR-30d-3p</t>
  </si>
  <si>
    <t>hsa-miR-30d-5p</t>
  </si>
  <si>
    <t>hsa-miR-30e-3p</t>
  </si>
  <si>
    <t>hsa-miR-30e-5p</t>
  </si>
  <si>
    <t>hsa-miR-3120-3p</t>
  </si>
  <si>
    <t>hsa-miR-3121-3p</t>
  </si>
  <si>
    <t>hsa-miR-3122</t>
  </si>
  <si>
    <t>hsa-miR-3124-5p</t>
  </si>
  <si>
    <t>hsa-miR-3125</t>
  </si>
  <si>
    <t>hsa-miR-3127-5p</t>
  </si>
  <si>
    <t>hsa-miR-3128</t>
  </si>
  <si>
    <t>hsa-miR-3130-3p</t>
  </si>
  <si>
    <t>hsa-miR-3131</t>
  </si>
  <si>
    <t>hsa-miR-3133</t>
  </si>
  <si>
    <t>hsa-miR-3134</t>
  </si>
  <si>
    <t>hsa-miR-3135a</t>
  </si>
  <si>
    <t>hsa-miR-3136-5p</t>
  </si>
  <si>
    <t>hsa-miR-3138</t>
  </si>
  <si>
    <t>hsa-miR-3140-3p</t>
  </si>
  <si>
    <t>hsa-miR-3141</t>
  </si>
  <si>
    <t>hsa-miR-3142</t>
  </si>
  <si>
    <t>hsa-miR-3144-5p</t>
  </si>
  <si>
    <t>hsa-miR-3146</t>
  </si>
  <si>
    <t>hsa-miR-3148</t>
  </si>
  <si>
    <t>hsa-miR-3149</t>
  </si>
  <si>
    <t>hsa-miR-3150a-3p</t>
  </si>
  <si>
    <t>hsa-miR-3150a-5p</t>
  </si>
  <si>
    <t>hsa-miR-3150b-3p</t>
  </si>
  <si>
    <t>hsa-miR-3154</t>
  </si>
  <si>
    <t>hsa-miR-3155a</t>
  </si>
  <si>
    <t>hsa-miR-3155b</t>
  </si>
  <si>
    <t>hsa-miR-3157-3p</t>
  </si>
  <si>
    <t>hsa-miR-3157-5p</t>
  </si>
  <si>
    <t>hsa-miR-3158-3p</t>
  </si>
  <si>
    <t>hsa-miR-31-5p</t>
  </si>
  <si>
    <t>hsa-miR-3161</t>
  </si>
  <si>
    <t>hsa-miR-3163</t>
  </si>
  <si>
    <t>hsa-miR-3164</t>
  </si>
  <si>
    <t>hsa-miR-3165</t>
  </si>
  <si>
    <t>hsa-miR-3166</t>
  </si>
  <si>
    <t>hsa-miR-3168</t>
  </si>
  <si>
    <t>hsa-miR-3173-5p</t>
  </si>
  <si>
    <t>hsa-miR-3174</t>
  </si>
  <si>
    <t>hsa-miR-3175</t>
  </si>
  <si>
    <t>hsa-miR-3177-3p</t>
  </si>
  <si>
    <t>hsa-miR-3179</t>
  </si>
  <si>
    <t>hsa-miR-3180</t>
  </si>
  <si>
    <t>hsa-miR-3180-3p</t>
  </si>
  <si>
    <t>hsa-miR-3184-5p</t>
  </si>
  <si>
    <t>hsa-miR-3186-3p</t>
  </si>
  <si>
    <t>hsa-miR-3186-5p</t>
  </si>
  <si>
    <t>hsa-miR-3187-5p</t>
  </si>
  <si>
    <t>hsa-miR-3190-3p</t>
  </si>
  <si>
    <t>hsa-miR-3191-3p</t>
  </si>
  <si>
    <t>hsa-miR-3191-5p</t>
  </si>
  <si>
    <t>hsa-miR-3192-5p</t>
  </si>
  <si>
    <t>hsa-miR-3198</t>
  </si>
  <si>
    <t>hsa-miR-3199</t>
  </si>
  <si>
    <t>hsa-miR-3202</t>
  </si>
  <si>
    <t>hsa-miR-320a-3p</t>
  </si>
  <si>
    <t>hsa-miR-320b</t>
  </si>
  <si>
    <t>hsa-miR-320c</t>
  </si>
  <si>
    <t>hsa-miR-320d</t>
  </si>
  <si>
    <t>hsa-miR-323a-3p</t>
  </si>
  <si>
    <t>hsa-miR-323b-3p</t>
  </si>
  <si>
    <t>hsa-miR-32-3p</t>
  </si>
  <si>
    <t>hsa-miR-324-5p</t>
  </si>
  <si>
    <t>hsa-miR-32-5p</t>
  </si>
  <si>
    <t>hsa-miR-326</t>
  </si>
  <si>
    <t>hsa-miR-328-3p</t>
  </si>
  <si>
    <t>hsa-miR-330-3p</t>
  </si>
  <si>
    <t>hsa-miR-330-5p</t>
  </si>
  <si>
    <t>hsa-miR-331-3p</t>
  </si>
  <si>
    <t>hsa-miR-331-5p</t>
  </si>
  <si>
    <t>hsa-miR-335-3p</t>
  </si>
  <si>
    <t>hsa-miR-335-5p</t>
  </si>
  <si>
    <t>hsa-miR-337-3p</t>
  </si>
  <si>
    <t>hsa-miR-338-3p</t>
  </si>
  <si>
    <t>hsa-miR-338-5p</t>
  </si>
  <si>
    <t>hsa-miR-339-3p</t>
  </si>
  <si>
    <t>hsa-miR-339-5p</t>
  </si>
  <si>
    <t>hsa-miR-340-3p</t>
  </si>
  <si>
    <t>hsa-miR-340-5p</t>
  </si>
  <si>
    <t>hsa-miR-342-3p</t>
  </si>
  <si>
    <t>hsa-miR-342-5p</t>
  </si>
  <si>
    <t>hsa-miR-345-5p</t>
  </si>
  <si>
    <t>hsa-miR-34a-5p</t>
  </si>
  <si>
    <t>hsa-miR-34c-5p</t>
  </si>
  <si>
    <t>hsa-miR-3605-3p</t>
  </si>
  <si>
    <t>hsa-miR-3605-5p</t>
  </si>
  <si>
    <t>hsa-miR-3609</t>
  </si>
  <si>
    <t>hsa-miR-3613-5p</t>
  </si>
  <si>
    <t>hsa-miR-361-3p</t>
  </si>
  <si>
    <t>hsa-miR-3614-3p</t>
  </si>
  <si>
    <t>hsa-miR-3614-5p</t>
  </si>
  <si>
    <t>hsa-miR-3615</t>
  </si>
  <si>
    <t>hsa-miR-361-5p</t>
  </si>
  <si>
    <t>hsa-miR-3620-5p</t>
  </si>
  <si>
    <t>hsa-miR-363-3p</t>
  </si>
  <si>
    <t>hsa-miR-363-5p</t>
  </si>
  <si>
    <t>hsa-miR-3652</t>
  </si>
  <si>
    <t>hsa-miR-365a-3p</t>
  </si>
  <si>
    <t>hsa-miR-365a-5p</t>
  </si>
  <si>
    <t>hsa-miR-365b-3p</t>
  </si>
  <si>
    <t>hsa-miR-365b-5p</t>
  </si>
  <si>
    <t>hsa-miR-3661</t>
  </si>
  <si>
    <t>hsa-miR-3675-5p</t>
  </si>
  <si>
    <t>hsa-miR-3678-5p</t>
  </si>
  <si>
    <t>hsa-miR-3679-5p</t>
  </si>
  <si>
    <t>hsa-miR-3680-3p</t>
  </si>
  <si>
    <t>hsa-miR-3681-5p</t>
  </si>
  <si>
    <t>hsa-miR-3682-3p</t>
  </si>
  <si>
    <t>hsa-miR-3688-3p</t>
  </si>
  <si>
    <t>hsa-miR-3690</t>
  </si>
  <si>
    <t>hsa-miR-3691-5p</t>
  </si>
  <si>
    <t>hsa-miR-3692-5p</t>
  </si>
  <si>
    <t>hsa-miR-370-3p</t>
  </si>
  <si>
    <t>hsa-miR-371b-3p</t>
  </si>
  <si>
    <t>hsa-miR-371b-5p</t>
  </si>
  <si>
    <t>hsa-miR-374a-3p</t>
  </si>
  <si>
    <t>hsa-miR-374a-5p</t>
  </si>
  <si>
    <t>hsa-miR-374b-3p</t>
  </si>
  <si>
    <t>hsa-miR-374b-5p</t>
  </si>
  <si>
    <t>hsa-miR-374c-5p</t>
  </si>
  <si>
    <t>hsa-miR-375-3p</t>
  </si>
  <si>
    <t>hsa-miR-378a-3p</t>
  </si>
  <si>
    <t>hsa-miR-378a-5p</t>
  </si>
  <si>
    <t>hsa-miR-378b</t>
  </si>
  <si>
    <t>hsa-miR-378c</t>
  </si>
  <si>
    <t>hsa-miR-378d</t>
  </si>
  <si>
    <t>hsa-miR-378e</t>
  </si>
  <si>
    <t>hsa-miR-378f</t>
  </si>
  <si>
    <t>hsa-miR-378g</t>
  </si>
  <si>
    <t>hsa-miR-378i</t>
  </si>
  <si>
    <t>hsa-miR-379-3p</t>
  </si>
  <si>
    <t>hsa-miR-379-5p</t>
  </si>
  <si>
    <t>hsa-miR-381-3p</t>
  </si>
  <si>
    <t>hsa-miR-382-5p</t>
  </si>
  <si>
    <t>hsa-miR-3909</t>
  </si>
  <si>
    <t>hsa-miR-3911</t>
  </si>
  <si>
    <t>hsa-miR-3912-3p</t>
  </si>
  <si>
    <t>hsa-miR-3913-5p</t>
  </si>
  <si>
    <t>hsa-miR-3916</t>
  </si>
  <si>
    <t>hsa-miR-3928-3p</t>
  </si>
  <si>
    <t>hsa-miR-3934-5p</t>
  </si>
  <si>
    <t>hsa-miR-3936</t>
  </si>
  <si>
    <t>hsa-miR-3939</t>
  </si>
  <si>
    <t>hsa-miR-3940-3p</t>
  </si>
  <si>
    <t>hsa-miR-3940-5p</t>
  </si>
  <si>
    <t>hsa-miR-3944-5p</t>
  </si>
  <si>
    <t>hsa-miR-3960</t>
  </si>
  <si>
    <t>hsa-miR-409-3p</t>
  </si>
  <si>
    <t>hsa-miR-409-5p</t>
  </si>
  <si>
    <t>hsa-miR-411-3p</t>
  </si>
  <si>
    <t>hsa-miR-411-5p</t>
  </si>
  <si>
    <t>hsa-miR-412-5p</t>
  </si>
  <si>
    <t>hsa-miR-421</t>
  </si>
  <si>
    <t>hsa-miR-423-3p</t>
  </si>
  <si>
    <t>hsa-miR-423-5p</t>
  </si>
  <si>
    <t>hsa-miR-424-3p</t>
  </si>
  <si>
    <t>hsa-miR-424-5p</t>
  </si>
  <si>
    <t>hsa-miR-425-3p</t>
  </si>
  <si>
    <t>hsa-miR-425-5p</t>
  </si>
  <si>
    <t>hsa-miR-429</t>
  </si>
  <si>
    <t>hsa-miR-4311</t>
  </si>
  <si>
    <t>hsa-miR-431-3p</t>
  </si>
  <si>
    <t>hsa-miR-431-5p</t>
  </si>
  <si>
    <t>hsa-miR-4318</t>
  </si>
  <si>
    <t>hsa-miR-432-5p</t>
  </si>
  <si>
    <t>hsa-miR-4326</t>
  </si>
  <si>
    <t>hsa-miR-4425</t>
  </si>
  <si>
    <t>hsa-miR-4429</t>
  </si>
  <si>
    <t>hsa-miR-4430</t>
  </si>
  <si>
    <t>hsa-miR-4433a-3p</t>
  </si>
  <si>
    <t>hsa-miR-4433b-3p</t>
  </si>
  <si>
    <t>hsa-miR-4433b-5p</t>
  </si>
  <si>
    <t>hsa-miR-4434</t>
  </si>
  <si>
    <t>hsa-miR-4437</t>
  </si>
  <si>
    <t>hsa-miR-4440</t>
  </si>
  <si>
    <t>hsa-miR-4443</t>
  </si>
  <si>
    <t>hsa-miR-4446-3p</t>
  </si>
  <si>
    <t>hsa-miR-4448</t>
  </si>
  <si>
    <t>hsa-miR-4449</t>
  </si>
  <si>
    <t>hsa-miR-4453</t>
  </si>
  <si>
    <t>hsa-miR-4454</t>
  </si>
  <si>
    <t>hsa-miR-4457</t>
  </si>
  <si>
    <t>hsa-miR-4463</t>
  </si>
  <si>
    <t>hsa-miR-4466</t>
  </si>
  <si>
    <t>hsa-miR-4467</t>
  </si>
  <si>
    <t>hsa-miR-4473</t>
  </si>
  <si>
    <t>hsa-miR-4474-3p</t>
  </si>
  <si>
    <t>hsa-miR-4477a</t>
  </si>
  <si>
    <t>hsa-miR-4477b</t>
  </si>
  <si>
    <t>hsa-miR-4478</t>
  </si>
  <si>
    <t>hsa-miR-4479</t>
  </si>
  <si>
    <t>hsa-miR-448</t>
  </si>
  <si>
    <t>hsa-miR-4482-3p</t>
  </si>
  <si>
    <t>hsa-miR-4485-3p</t>
  </si>
  <si>
    <t>hsa-miR-4488</t>
  </si>
  <si>
    <t>hsa-miR-4489</t>
  </si>
  <si>
    <t>hsa-miR-4491</t>
  </si>
  <si>
    <t>hsa-miR-4494</t>
  </si>
  <si>
    <t>hsa-miR-4497</t>
  </si>
  <si>
    <t>hsa-miR-4498</t>
  </si>
  <si>
    <t>hsa-miR-449c-5p</t>
  </si>
  <si>
    <t>hsa-miR-4501</t>
  </si>
  <si>
    <t>hsa-miR-4502</t>
  </si>
  <si>
    <t>hsa-miR-4504</t>
  </si>
  <si>
    <t>hsa-miR-4505</t>
  </si>
  <si>
    <t>hsa-miR-4507</t>
  </si>
  <si>
    <t>hsa-miR-4508</t>
  </si>
  <si>
    <t>hsa-miR-450a-1-3p</t>
  </si>
  <si>
    <t>hsa-miR-450a-2-3p</t>
  </si>
  <si>
    <t>hsa-miR-450a-5p</t>
  </si>
  <si>
    <t>hsa-miR-450b-5p</t>
  </si>
  <si>
    <t>hsa-miR-4510</t>
  </si>
  <si>
    <t>hsa-miR-4511</t>
  </si>
  <si>
    <t>hsa-miR-4516</t>
  </si>
  <si>
    <t>hsa-miR-4518</t>
  </si>
  <si>
    <t>hsa-miR-451a</t>
  </si>
  <si>
    <t>hsa-miR-4520-2-3p</t>
  </si>
  <si>
    <t>hsa-miR-4520-3p</t>
  </si>
  <si>
    <t>hsa-miR-4521</t>
  </si>
  <si>
    <t>hsa-miR-4522</t>
  </si>
  <si>
    <t>hsa-miR-452-5p</t>
  </si>
  <si>
    <t>hsa-miR-4533</t>
  </si>
  <si>
    <t>hsa-miR-4536-5p</t>
  </si>
  <si>
    <t>hsa-miR-4538</t>
  </si>
  <si>
    <t>hsa-miR-4540</t>
  </si>
  <si>
    <t>hsa-miR-454-3p</t>
  </si>
  <si>
    <t>hsa-miR-455-5p</t>
  </si>
  <si>
    <t>hsa-miR-4632-5p</t>
  </si>
  <si>
    <t>hsa-miR-4637</t>
  </si>
  <si>
    <t>hsa-miR-4638-3p</t>
  </si>
  <si>
    <t>hsa-miR-4639-5p</t>
  </si>
  <si>
    <t>hsa-miR-4640-5p</t>
  </si>
  <si>
    <t>hsa-miR-4644</t>
  </si>
  <si>
    <t>hsa-miR-4645-3p</t>
  </si>
  <si>
    <t>hsa-miR-4647</t>
  </si>
  <si>
    <t>hsa-miR-4648</t>
  </si>
  <si>
    <t>hsa-miR-4654</t>
  </si>
  <si>
    <t>hsa-miR-4658</t>
  </si>
  <si>
    <t>hsa-miR-4659a-3p</t>
  </si>
  <si>
    <t>hsa-miR-4659b-3p</t>
  </si>
  <si>
    <t>hsa-miR-4659b-5p</t>
  </si>
  <si>
    <t>hsa-miR-4660</t>
  </si>
  <si>
    <t>hsa-miR-4662a-5p</t>
  </si>
  <si>
    <t>hsa-miR-4664-3p</t>
  </si>
  <si>
    <t>hsa-miR-4665-5p</t>
  </si>
  <si>
    <t>hsa-miR-4668-5p</t>
  </si>
  <si>
    <t>hsa-miR-4669</t>
  </si>
  <si>
    <t>hsa-miR-4671-3p</t>
  </si>
  <si>
    <t>hsa-miR-4673</t>
  </si>
  <si>
    <t>hsa-miR-4676-5p</t>
  </si>
  <si>
    <t>hsa-miR-4677-3p</t>
  </si>
  <si>
    <t>hsa-miR-4677-5p</t>
  </si>
  <si>
    <t>hsa-miR-4678</t>
  </si>
  <si>
    <t>hsa-miR-4680-3p</t>
  </si>
  <si>
    <t>hsa-miR-4680-5p</t>
  </si>
  <si>
    <t>hsa-miR-4687-3p</t>
  </si>
  <si>
    <t>hsa-miR-4688</t>
  </si>
  <si>
    <t>hsa-miR-4690-5p</t>
  </si>
  <si>
    <t>hsa-miR-4691-3p</t>
  </si>
  <si>
    <t>hsa-miR-4700-5p</t>
  </si>
  <si>
    <t>hsa-miR-4709-3p</t>
  </si>
  <si>
    <t>hsa-miR-4717-3p</t>
  </si>
  <si>
    <t>hsa-miR-4723-5p</t>
  </si>
  <si>
    <t>hsa-miR-4724-5p</t>
  </si>
  <si>
    <t>hsa-miR-4726-5p</t>
  </si>
  <si>
    <t>hsa-miR-4727-3p</t>
  </si>
  <si>
    <t>hsa-miR-4729</t>
  </si>
  <si>
    <t>hsa-miR-4732-5p</t>
  </si>
  <si>
    <t>hsa-miR-4734</t>
  </si>
  <si>
    <t>hsa-miR-4738-3p</t>
  </si>
  <si>
    <t>hsa-miR-4741</t>
  </si>
  <si>
    <t>hsa-miR-4742-3p</t>
  </si>
  <si>
    <t>hsa-miR-4742-5p</t>
  </si>
  <si>
    <t>hsa-miR-4744</t>
  </si>
  <si>
    <t>hsa-miR-4745-5p</t>
  </si>
  <si>
    <t>hsa-miR-4746-5p</t>
  </si>
  <si>
    <t>hsa-miR-4749-3p</t>
  </si>
  <si>
    <t>hsa-miR-4749-5p</t>
  </si>
  <si>
    <t>hsa-miR-4750-5p</t>
  </si>
  <si>
    <t>hsa-miR-4752</t>
  </si>
  <si>
    <t>hsa-miR-4753-3p</t>
  </si>
  <si>
    <t>hsa-miR-4755-5p</t>
  </si>
  <si>
    <t>hsa-miR-4763-3p</t>
  </si>
  <si>
    <t>hsa-miR-4765</t>
  </si>
  <si>
    <t>hsa-miR-4769-5p</t>
  </si>
  <si>
    <t>hsa-miR-4772-5p</t>
  </si>
  <si>
    <t>hsa-miR-4773</t>
  </si>
  <si>
    <t>hsa-miR-4774-5p</t>
  </si>
  <si>
    <t>hsa-miR-4775</t>
  </si>
  <si>
    <t>hsa-miR-4781-3p</t>
  </si>
  <si>
    <t>hsa-miR-4786-5p</t>
  </si>
  <si>
    <t>hsa-miR-4787-3p</t>
  </si>
  <si>
    <t>hsa-miR-4787-5p</t>
  </si>
  <si>
    <t>hsa-miR-4791</t>
  </si>
  <si>
    <t>hsa-miR-4796-3p</t>
  </si>
  <si>
    <t>hsa-miR-4796-5p</t>
  </si>
  <si>
    <t>hsa-miR-4797-3p</t>
  </si>
  <si>
    <t>hsa-miR-4797-5p</t>
  </si>
  <si>
    <t>hsa-miR-4800-3p</t>
  </si>
  <si>
    <t>hsa-miR-4802-3p</t>
  </si>
  <si>
    <t>hsa-miR-4802-5p</t>
  </si>
  <si>
    <t>hsa-miR-4804-5p</t>
  </si>
  <si>
    <t>hsa-miR-484</t>
  </si>
  <si>
    <t>hsa-miR-486-3p</t>
  </si>
  <si>
    <t>hsa-miR-486-5p</t>
  </si>
  <si>
    <t>hsa-miR-493-3p</t>
  </si>
  <si>
    <t>hsa-miR-493-5p</t>
  </si>
  <si>
    <t>hsa-miR-494-3p</t>
  </si>
  <si>
    <t>hsa-miR-497-5p</t>
  </si>
  <si>
    <t>hsa-miR-4999-5p</t>
  </si>
  <si>
    <t>hsa-miR-499a-5p</t>
  </si>
  <si>
    <t>hsa-miR-5000-3p</t>
  </si>
  <si>
    <t>hsa-miR-5001-3p</t>
  </si>
  <si>
    <t>hsa-miR-5001-5p</t>
  </si>
  <si>
    <t>hsa-miR-5004-3p</t>
  </si>
  <si>
    <t>hsa-miR-5004-5p</t>
  </si>
  <si>
    <t>hsa-miR-5006-3p</t>
  </si>
  <si>
    <t>hsa-miR-5009-5p</t>
  </si>
  <si>
    <t>hsa-miR-500a-3p</t>
  </si>
  <si>
    <t>hsa-miR-500a-5p</t>
  </si>
  <si>
    <t>hsa-miR-500b-3p</t>
  </si>
  <si>
    <t>hsa-miR-5010-3p</t>
  </si>
  <si>
    <t>hsa-miR-5010-5p</t>
  </si>
  <si>
    <t>hsa-miR-501-3p</t>
  </si>
  <si>
    <t>hsa-miR-503-5p</t>
  </si>
  <si>
    <t>hsa-miR-504-5p</t>
  </si>
  <si>
    <t>hsa-miR-505-3p</t>
  </si>
  <si>
    <t>hsa-miR-505-5p</t>
  </si>
  <si>
    <t>hsa-miR-508-3p</t>
  </si>
  <si>
    <t>hsa-miR-5088-5p</t>
  </si>
  <si>
    <t>hsa-miR-5089-5p</t>
  </si>
  <si>
    <t>hsa-miR-5090</t>
  </si>
  <si>
    <t>hsa-miR-5091</t>
  </si>
  <si>
    <t>hsa-miR-5093</t>
  </si>
  <si>
    <t>hsa-miR-509-3-5p</t>
  </si>
  <si>
    <t>hsa-miR-509-3p</t>
  </si>
  <si>
    <t>hsa-miR-509-5p</t>
  </si>
  <si>
    <t>hsa-miR-5100</t>
  </si>
  <si>
    <t>hsa-miR-511-5p</t>
  </si>
  <si>
    <t>hsa-miR-514a-3p</t>
  </si>
  <si>
    <t>hsa-miR-5187-5p</t>
  </si>
  <si>
    <t>hsa-miR-5188</t>
  </si>
  <si>
    <t>hsa-miR-5189-3p</t>
  </si>
  <si>
    <t>hsa-miR-5189-5p</t>
  </si>
  <si>
    <t>hsa-miR-5191</t>
  </si>
  <si>
    <t>hsa-miR-5193</t>
  </si>
  <si>
    <t>hsa-miR-5194</t>
  </si>
  <si>
    <t>hsa-miR-519e-3p</t>
  </si>
  <si>
    <t>hsa-miR-532-3p</t>
  </si>
  <si>
    <t>hsa-miR-532-5p</t>
  </si>
  <si>
    <t>hsa-miR-541-3p</t>
  </si>
  <si>
    <t>hsa-miR-542-3p</t>
  </si>
  <si>
    <t>hsa-miR-542-5p</t>
  </si>
  <si>
    <t>hsa-miR-543</t>
  </si>
  <si>
    <t>hsa-miR-545-3p</t>
  </si>
  <si>
    <t>hsa-miR-548a-3p</t>
  </si>
  <si>
    <t>hsa-miR-548ab</t>
  </si>
  <si>
    <t>hsa-miR-548ac</t>
  </si>
  <si>
    <t>hsa-miR-548ad-5p</t>
  </si>
  <si>
    <t>hsa-miR-548ae-5p</t>
  </si>
  <si>
    <t>hsa-miR-548ah-3p</t>
  </si>
  <si>
    <t>hsa-miR-548ak</t>
  </si>
  <si>
    <t>hsa-miR-548am-3p</t>
  </si>
  <si>
    <t>hsa-miR-548am-5p</t>
  </si>
  <si>
    <t>hsa-miR-548ao-3p</t>
  </si>
  <si>
    <t>hsa-miR-548ap-5p</t>
  </si>
  <si>
    <t>hsa-miR-548aq-3p</t>
  </si>
  <si>
    <t>hsa-miR-548ar-3p</t>
  </si>
  <si>
    <t>hsa-miR-548as-5p</t>
  </si>
  <si>
    <t>hsa-miR-548at-3p</t>
  </si>
  <si>
    <t>hsa-miR-548au-5p</t>
  </si>
  <si>
    <t>hsa-miR-548av-3p</t>
  </si>
  <si>
    <t>hsa-miR-548ay-3p</t>
  </si>
  <si>
    <t>hsa-miR-548ay-5p</t>
  </si>
  <si>
    <t>hsa-miR-548az-5p</t>
  </si>
  <si>
    <t>hsa-miR-548b-5p</t>
  </si>
  <si>
    <t>hsa-miR-548bb-5p</t>
  </si>
  <si>
    <t>hsa-miR-548bc</t>
  </si>
  <si>
    <t>hsa-miR-548c-5p</t>
  </si>
  <si>
    <t>hsa-miR-548d-5p</t>
  </si>
  <si>
    <t>hsa-miR-548e-3p</t>
  </si>
  <si>
    <t>hsa-miR-548f-3p</t>
  </si>
  <si>
    <t>hsa-miR-548g-3p</t>
  </si>
  <si>
    <t>hsa-miR-548h-3p</t>
  </si>
  <si>
    <t>hsa-miR-548j-3p</t>
  </si>
  <si>
    <t>hsa-miR-548j-5p</t>
  </si>
  <si>
    <t>hsa-miR-548l</t>
  </si>
  <si>
    <t>hsa-miR-548n</t>
  </si>
  <si>
    <t>hsa-miR-548o-3p</t>
  </si>
  <si>
    <t>hsa-miR-548o-5p</t>
  </si>
  <si>
    <t>hsa-miR-548p</t>
  </si>
  <si>
    <t>hsa-miR-548q</t>
  </si>
  <si>
    <t>hsa-miR-548s</t>
  </si>
  <si>
    <t>hsa-miR-548t-5p</t>
  </si>
  <si>
    <t>hsa-miR-548u</t>
  </si>
  <si>
    <t>hsa-miR-548w</t>
  </si>
  <si>
    <t>hsa-miR-548x-3p</t>
  </si>
  <si>
    <t>hsa-miR-548z</t>
  </si>
  <si>
    <t>hsa-miR-550a-3-5p</t>
  </si>
  <si>
    <t>hsa-miR-550a-3p</t>
  </si>
  <si>
    <t>hsa-miR-550a-5p</t>
  </si>
  <si>
    <t>hsa-miR-550b-2-5p</t>
  </si>
  <si>
    <t>hsa-miR-551a</t>
  </si>
  <si>
    <t>hsa-miR-551b-3p</t>
  </si>
  <si>
    <t>hsa-miR-5571-3p</t>
  </si>
  <si>
    <t>hsa-miR-5582-3p</t>
  </si>
  <si>
    <t>hsa-miR-5584-5p</t>
  </si>
  <si>
    <t>hsa-miR-5585-3p</t>
  </si>
  <si>
    <t>hsa-miR-5680</t>
  </si>
  <si>
    <t>hsa-miR-5683</t>
  </si>
  <si>
    <t>hsa-miR-5684</t>
  </si>
  <si>
    <t>hsa-miR-5694</t>
  </si>
  <si>
    <t>hsa-miR-5696</t>
  </si>
  <si>
    <t>hsa-miR-5698</t>
  </si>
  <si>
    <t>hsa-miR-5701</t>
  </si>
  <si>
    <t>hsa-miR-574-3p</t>
  </si>
  <si>
    <t>hsa-miR-574-5p</t>
  </si>
  <si>
    <t>hsa-miR-576-3p</t>
  </si>
  <si>
    <t>hsa-miR-579-5p</t>
  </si>
  <si>
    <t>hsa-miR-580-3p</t>
  </si>
  <si>
    <t>hsa-miR-581</t>
  </si>
  <si>
    <t>hsa-miR-582-3p</t>
  </si>
  <si>
    <t>hsa-miR-582-5p</t>
  </si>
  <si>
    <t>hsa-miR-584-5p</t>
  </si>
  <si>
    <t>hsa-miR-585-3p</t>
  </si>
  <si>
    <t>hsa-miR-589-3p</t>
  </si>
  <si>
    <t>hsa-miR-589-5p</t>
  </si>
  <si>
    <t>hsa-miR-590-3p</t>
  </si>
  <si>
    <t>hsa-miR-590-5p</t>
  </si>
  <si>
    <t>hsa-miR-598-3p</t>
  </si>
  <si>
    <t>hsa-miR-603</t>
  </si>
  <si>
    <t>hsa-miR-605-3p</t>
  </si>
  <si>
    <t>hsa-miR-6089</t>
  </si>
  <si>
    <t>hsa-miR-610</t>
  </si>
  <si>
    <t>hsa-miR-6125</t>
  </si>
  <si>
    <t>hsa-miR-6129</t>
  </si>
  <si>
    <t>hsa-miR-6130</t>
  </si>
  <si>
    <t>hsa-miR-6133</t>
  </si>
  <si>
    <t>hsa-miR-615-3p</t>
  </si>
  <si>
    <t>hsa-miR-616-3p</t>
  </si>
  <si>
    <t>hsa-miR-616-5p</t>
  </si>
  <si>
    <t>hsa-miR-618</t>
  </si>
  <si>
    <t>hsa-miR-619-5p</t>
  </si>
  <si>
    <t>hsa-miR-624-5p</t>
  </si>
  <si>
    <t>hsa-miR-625-3p</t>
  </si>
  <si>
    <t>hsa-miR-625-5p</t>
  </si>
  <si>
    <t>hsa-miR-627-3p</t>
  </si>
  <si>
    <t>hsa-miR-628-3p</t>
  </si>
  <si>
    <t>hsa-miR-628-5p</t>
  </si>
  <si>
    <t>hsa-miR-629-3p</t>
  </si>
  <si>
    <t>hsa-miR-629-5p</t>
  </si>
  <si>
    <t>hsa-miR-641</t>
  </si>
  <si>
    <t>hsa-miR-642a-3p</t>
  </si>
  <si>
    <t>hsa-miR-6503-3p</t>
  </si>
  <si>
    <t>hsa-miR-6503-5p</t>
  </si>
  <si>
    <t>hsa-miR-6505-3p</t>
  </si>
  <si>
    <t>hsa-miR-6505-5p</t>
  </si>
  <si>
    <t>hsa-miR-6508-3p</t>
  </si>
  <si>
    <t>hsa-miR-6509-3p</t>
  </si>
  <si>
    <t>hsa-miR-6511a-5p</t>
  </si>
  <si>
    <t>hsa-miR-6511b-3p</t>
  </si>
  <si>
    <t>hsa-miR-6511b-5p</t>
  </si>
  <si>
    <t>hsa-miR-6513-3p</t>
  </si>
  <si>
    <t>hsa-miR-6514-5p</t>
  </si>
  <si>
    <t>hsa-miR-6515-5p</t>
  </si>
  <si>
    <t>hsa-miR-651-5p</t>
  </si>
  <si>
    <t>hsa-miR-6516-3p</t>
  </si>
  <si>
    <t>hsa-miR-652-3p</t>
  </si>
  <si>
    <t>hsa-miR-6529-5p</t>
  </si>
  <si>
    <t>hsa-miR-653-5p</t>
  </si>
  <si>
    <t>hsa-miR-654-3p</t>
  </si>
  <si>
    <t>hsa-miR-654-5p</t>
  </si>
  <si>
    <t>hsa-miR-658</t>
  </si>
  <si>
    <t>hsa-miR-659-5p</t>
  </si>
  <si>
    <t>hsa-miR-660-5p</t>
  </si>
  <si>
    <t>hsa-miR-664a-3p</t>
  </si>
  <si>
    <t>hsa-miR-664a-5p</t>
  </si>
  <si>
    <t>hsa-miR-664b-3p</t>
  </si>
  <si>
    <t>hsa-miR-664b-5p</t>
  </si>
  <si>
    <t>hsa-miR-670-5p</t>
  </si>
  <si>
    <t>hsa-miR-671-3p</t>
  </si>
  <si>
    <t>hsa-miR-671-5p</t>
  </si>
  <si>
    <t>hsa-miR-6716-3p</t>
  </si>
  <si>
    <t>hsa-miR-6718-5p</t>
  </si>
  <si>
    <t>hsa-miR-6721-5p</t>
  </si>
  <si>
    <t>hsa-miR-6724-5p</t>
  </si>
  <si>
    <t>hsa-miR-6727-5p</t>
  </si>
  <si>
    <t>hsa-miR-6729-5p</t>
  </si>
  <si>
    <t>hsa-miR-6731-3p</t>
  </si>
  <si>
    <t>hsa-miR-6731-5p</t>
  </si>
  <si>
    <t>hsa-miR-6732-3p</t>
  </si>
  <si>
    <t>hsa-miR-6733-5p</t>
  </si>
  <si>
    <t>hsa-miR-6735-5p</t>
  </si>
  <si>
    <t>hsa-miR-6738-5p</t>
  </si>
  <si>
    <t>hsa-miR-6739-5p</t>
  </si>
  <si>
    <t>hsa-miR-6741-3p</t>
  </si>
  <si>
    <t>hsa-miR-6741-5p</t>
  </si>
  <si>
    <t>hsa-miR-6747-3p</t>
  </si>
  <si>
    <t>hsa-miR-6748-3p</t>
  </si>
  <si>
    <t>hsa-miR-6748-5p</t>
  </si>
  <si>
    <t>hsa-miR-6749-3p</t>
  </si>
  <si>
    <t>hsa-miR-6749-5p</t>
  </si>
  <si>
    <t>hsa-miR-6753-3p</t>
  </si>
  <si>
    <t>hsa-miR-6753-5p</t>
  </si>
  <si>
    <t>hsa-miR-6755-5p</t>
  </si>
  <si>
    <t>hsa-miR-6761-5p</t>
  </si>
  <si>
    <t>hsa-miR-6763-5p</t>
  </si>
  <si>
    <t>hsa-miR-676-3p</t>
  </si>
  <si>
    <t>hsa-miR-6767-5p</t>
  </si>
  <si>
    <t>hsa-miR-6770-3p</t>
  </si>
  <si>
    <t>hsa-miR-6772-3p</t>
  </si>
  <si>
    <t>hsa-miR-6772-5p</t>
  </si>
  <si>
    <t>hsa-miR-6774-3p</t>
  </si>
  <si>
    <t>hsa-miR-6779-5p</t>
  </si>
  <si>
    <t>hsa-miR-6780a-5p</t>
  </si>
  <si>
    <t>hsa-miR-6782-5p</t>
  </si>
  <si>
    <t>hsa-miR-6783-3p</t>
  </si>
  <si>
    <t>hsa-miR-6785-5p</t>
  </si>
  <si>
    <t>hsa-miR-6786-3p</t>
  </si>
  <si>
    <t>hsa-miR-6787-5p</t>
  </si>
  <si>
    <t>hsa-miR-6793-5p</t>
  </si>
  <si>
    <t>hsa-miR-6796-5p</t>
  </si>
  <si>
    <t>hsa-miR-6800-3p</t>
  </si>
  <si>
    <t>hsa-miR-6802-3p</t>
  </si>
  <si>
    <t>hsa-miR-6803-3p</t>
  </si>
  <si>
    <t>hsa-miR-6803-5p</t>
  </si>
  <si>
    <t>hsa-miR-6804-5p</t>
  </si>
  <si>
    <t>hsa-miR-6805-5p</t>
  </si>
  <si>
    <t>hsa-miR-6806-3p</t>
  </si>
  <si>
    <t>hsa-miR-6809-5p</t>
  </si>
  <si>
    <t>hsa-miR-6810-5p</t>
  </si>
  <si>
    <t>hsa-miR-6813-5p</t>
  </si>
  <si>
    <t>hsa-miR-6815-5p</t>
  </si>
  <si>
    <t>hsa-miR-6818-3p</t>
  </si>
  <si>
    <t>hsa-miR-6818-5p</t>
  </si>
  <si>
    <t>hsa-miR-6819-3p</t>
  </si>
  <si>
    <t>hsa-miR-6819-5p</t>
  </si>
  <si>
    <t>hsa-miR-6824-5p</t>
  </si>
  <si>
    <t>hsa-miR-6825-5p</t>
  </si>
  <si>
    <t>hsa-miR-6826-5p</t>
  </si>
  <si>
    <t>hsa-miR-6828-3p</t>
  </si>
  <si>
    <t>hsa-miR-6831-5p</t>
  </si>
  <si>
    <t>hsa-miR-6832-5p</t>
  </si>
  <si>
    <t>hsa-miR-6837-3p</t>
  </si>
  <si>
    <t>hsa-miR-6838-5p</t>
  </si>
  <si>
    <t>hsa-miR-6839-5p</t>
  </si>
  <si>
    <t>hsa-miR-6840-5p</t>
  </si>
  <si>
    <t>hsa-miR-6842-3p</t>
  </si>
  <si>
    <t>hsa-miR-6842-5p</t>
  </si>
  <si>
    <t>hsa-miR-6843-3p</t>
  </si>
  <si>
    <t>hsa-miR-6847-3p</t>
  </si>
  <si>
    <t>hsa-miR-6847-5p</t>
  </si>
  <si>
    <t>hsa-miR-6848-5p</t>
  </si>
  <si>
    <t>hsa-miR-6852-3p</t>
  </si>
  <si>
    <t>hsa-miR-6852-5p</t>
  </si>
  <si>
    <t>hsa-miR-6854-3p</t>
  </si>
  <si>
    <t>hsa-miR-6854-5p</t>
  </si>
  <si>
    <t>hsa-miR-6855-5p</t>
  </si>
  <si>
    <t>hsa-miR-6856-3p</t>
  </si>
  <si>
    <t>hsa-miR-6857-3p</t>
  </si>
  <si>
    <t>hsa-miR-6858-5p</t>
  </si>
  <si>
    <t>hsa-miR-6859-5p</t>
  </si>
  <si>
    <t>hsa-miR-6861-5p</t>
  </si>
  <si>
    <t>hsa-miR-6862-5p</t>
  </si>
  <si>
    <t>hsa-miR-6863</t>
  </si>
  <si>
    <t>hsa-miR-6864-5p</t>
  </si>
  <si>
    <t>hsa-miR-6865-5p</t>
  </si>
  <si>
    <t>hsa-miR-6866-5p</t>
  </si>
  <si>
    <t>hsa-miR-6868-3p</t>
  </si>
  <si>
    <t>hsa-miR-6873-3p</t>
  </si>
  <si>
    <t>hsa-miR-6874-3p</t>
  </si>
  <si>
    <t>hsa-miR-6877-5p</t>
  </si>
  <si>
    <t>hsa-miR-6882-5p</t>
  </si>
  <si>
    <t>hsa-miR-6885-5p</t>
  </si>
  <si>
    <t>hsa-miR-6889-5p</t>
  </si>
  <si>
    <t>hsa-miR-6895-3p</t>
  </si>
  <si>
    <t>hsa-miR-708-3p</t>
  </si>
  <si>
    <t>hsa-miR-708-5p</t>
  </si>
  <si>
    <t>hsa-miR-7108-5p</t>
  </si>
  <si>
    <t>hsa-miR-7109-3p</t>
  </si>
  <si>
    <t>hsa-miR-7113-5p</t>
  </si>
  <si>
    <t>hsa-miR-7114-5p</t>
  </si>
  <si>
    <t>hsa-miR-7-1-3p</t>
  </si>
  <si>
    <t>hsa-miR-7155-3p</t>
  </si>
  <si>
    <t>hsa-miR-744-3p</t>
  </si>
  <si>
    <t>hsa-miR-744-5p</t>
  </si>
  <si>
    <t>hsa-miR-758-3p</t>
  </si>
  <si>
    <t>hsa-miR-7-5p</t>
  </si>
  <si>
    <t>hsa-miR-760</t>
  </si>
  <si>
    <t>hsa-miR-765</t>
  </si>
  <si>
    <t>hsa-miR-766-5p</t>
  </si>
  <si>
    <t>hsa-miR-769-5p</t>
  </si>
  <si>
    <t>hsa-miR-7703</t>
  </si>
  <si>
    <t>hsa-miR-7704</t>
  </si>
  <si>
    <t>hsa-miR-7706</t>
  </si>
  <si>
    <t>hsa-miR-7845-5p</t>
  </si>
  <si>
    <t>hsa-miR-7846-3p</t>
  </si>
  <si>
    <t>hsa-miR-7847-3p</t>
  </si>
  <si>
    <t>hsa-miR-7848-3p</t>
  </si>
  <si>
    <t>hsa-miR-7849-3p</t>
  </si>
  <si>
    <t>hsa-miR-7850-5p</t>
  </si>
  <si>
    <t>hsa-miR-7851-3p</t>
  </si>
  <si>
    <t>hsa-miR-7853-5p</t>
  </si>
  <si>
    <t>hsa-miR-7856-5p</t>
  </si>
  <si>
    <t>hsa-miR-7973</t>
  </si>
  <si>
    <t>hsa-miR-7974</t>
  </si>
  <si>
    <t>hsa-miR-7976</t>
  </si>
  <si>
    <t>hsa-miR-7977</t>
  </si>
  <si>
    <t>hsa-miR-8072</t>
  </si>
  <si>
    <t>hsa-miR-8085</t>
  </si>
  <si>
    <t>hsa-miR-873-3p</t>
  </si>
  <si>
    <t>hsa-miR-873-5p</t>
  </si>
  <si>
    <t>hsa-miR-874-3p</t>
  </si>
  <si>
    <t>hsa-miR-877-5p</t>
  </si>
  <si>
    <t>hsa-miR-885-3p</t>
  </si>
  <si>
    <t>hsa-miR-889-3p</t>
  </si>
  <si>
    <t>hsa-miR-92a-1-5p</t>
  </si>
  <si>
    <t>hsa-miR-92a-2-5p</t>
  </si>
  <si>
    <t>hsa-miR-92a-3p</t>
  </si>
  <si>
    <t>hsa-miR-92b-3p</t>
  </si>
  <si>
    <t>hsa-miR-92b-5p</t>
  </si>
  <si>
    <t>hsa-miR-933</t>
  </si>
  <si>
    <t>hsa-miR-93-3p</t>
  </si>
  <si>
    <t>hsa-miR-935</t>
  </si>
  <si>
    <t>hsa-miR-93-5p</t>
  </si>
  <si>
    <t>hsa-miR-937-3p</t>
  </si>
  <si>
    <t>hsa-miR-939-5p</t>
  </si>
  <si>
    <t>hsa-miR-940</t>
  </si>
  <si>
    <t>hsa-miR-941</t>
  </si>
  <si>
    <t>hsa-miR-942-3p</t>
  </si>
  <si>
    <t>hsa-miR-942-5p</t>
  </si>
  <si>
    <t>hsa-miR-943</t>
  </si>
  <si>
    <t>hsa-miR-95-3p</t>
  </si>
  <si>
    <t>hsa-miR-9-5p</t>
  </si>
  <si>
    <t>hsa-miR-96-5p</t>
  </si>
  <si>
    <t>hsa-miR-98-3p</t>
  </si>
  <si>
    <t>hsa-miR-98-5p</t>
  </si>
  <si>
    <t>hsa-miR-9903</t>
  </si>
  <si>
    <t>hsa-miR-9983-3p</t>
  </si>
  <si>
    <t>hsa-miR-9985</t>
  </si>
  <si>
    <t>hsa-miR-99a-5p</t>
  </si>
  <si>
    <t>hsa-miR-99b-3p</t>
  </si>
  <si>
    <t>hsa-miR-99b-5p</t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</si>
  <si>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</si>
  <si>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</si>
  <si>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</si>
  <si>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</si>
  <si>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</si>
  <si>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Pvalue</t>
    <phoneticPr fontId="3" type="noConversion"/>
  </si>
  <si>
    <t>Relative Enrichment</t>
    <phoneticPr fontId="3" type="noConversion"/>
  </si>
  <si>
    <t>log2(IP/Input)</t>
    <phoneticPr fontId="3" type="noConversion"/>
  </si>
  <si>
    <t>Pvalue</t>
    <phoneticPr fontId="3" type="noConversion"/>
  </si>
  <si>
    <t>log2(IP/Input)</t>
    <phoneticPr fontId="3" type="noConversion"/>
  </si>
  <si>
    <t>Relative Enrichment 1</t>
    <phoneticPr fontId="3" type="noConversion"/>
  </si>
  <si>
    <t>Relative Enrichment 2</t>
    <phoneticPr fontId="3" type="noConversion"/>
  </si>
  <si>
    <t>hsa-miR-8085</t>
    <phoneticPr fontId="1" type="noConversion"/>
  </si>
  <si>
    <t>log2(IP)</t>
    <phoneticPr fontId="3" type="noConversion"/>
  </si>
  <si>
    <t>log2(IP)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</si>
</sst>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6"/>
  <sheetViews>
    <sheetView workbookViewId="0">
      <selection sqref="A1:XFD1048576"/>
    </sheetView>
  </sheetViews>
  <sheetFormatPr defaultRowHeight="13.5" x14ac:dyDescent="0.3"/>
  <cols>
    <col min="1" max="1" width="18.3984375" bestFit="1" customWidth="1"/>
  </cols>
  <sheetData>
    <row r="1" spans="1:19" ht="13.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3.9" x14ac:dyDescent="0.3">
      <c r="A2" s="2" t="s">
        <v>19</v>
      </c>
      <c r="B2" s="2">
        <v>0</v>
      </c>
      <c r="C2" s="2">
        <v>0.55000000000000004</v>
      </c>
      <c r="D2" s="2">
        <v>0</v>
      </c>
      <c r="E2" s="2">
        <v>0.89</v>
      </c>
      <c r="F2" s="2">
        <v>1.6</v>
      </c>
      <c r="G2" s="2">
        <v>0</v>
      </c>
      <c r="H2" s="2">
        <v>1.65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ht="13.9" x14ac:dyDescent="0.3">
      <c r="A3" s="2" t="s">
        <v>20</v>
      </c>
      <c r="B3" s="2">
        <v>24363.23</v>
      </c>
      <c r="C3" s="2">
        <v>31575.95</v>
      </c>
      <c r="D3" s="2">
        <v>20276.96</v>
      </c>
      <c r="E3" s="2">
        <v>20010.759999999998</v>
      </c>
      <c r="F3" s="2">
        <v>27443.15</v>
      </c>
      <c r="G3" s="2">
        <v>23913.77</v>
      </c>
      <c r="H3" s="2">
        <v>19342.72</v>
      </c>
      <c r="I3" s="2">
        <v>48193.26</v>
      </c>
      <c r="J3" s="2">
        <v>30781.48</v>
      </c>
      <c r="K3" s="2">
        <v>75351.350000000006</v>
      </c>
      <c r="L3" s="2">
        <v>74818.929999999993</v>
      </c>
      <c r="M3" s="2">
        <v>80016.44</v>
      </c>
      <c r="N3" s="2">
        <v>56296.75</v>
      </c>
      <c r="O3" s="2">
        <v>61967.95</v>
      </c>
      <c r="P3" s="2">
        <v>62627.25</v>
      </c>
      <c r="Q3" s="2">
        <v>70416.53</v>
      </c>
      <c r="R3" s="2">
        <v>64101.94</v>
      </c>
      <c r="S3" s="2">
        <v>66334.789999999994</v>
      </c>
    </row>
    <row r="4" spans="1:19" ht="13.9" x14ac:dyDescent="0.3">
      <c r="A4" s="2" t="s">
        <v>21</v>
      </c>
      <c r="B4" s="2">
        <v>8085.41</v>
      </c>
      <c r="C4" s="2">
        <v>7679.96</v>
      </c>
      <c r="D4" s="2">
        <v>5728.57</v>
      </c>
      <c r="E4" s="2">
        <v>5348.49</v>
      </c>
      <c r="F4" s="2">
        <v>5956.63</v>
      </c>
      <c r="G4" s="2">
        <v>5843.23</v>
      </c>
      <c r="H4" s="2">
        <v>6445.41</v>
      </c>
      <c r="I4" s="2">
        <v>28245.59</v>
      </c>
      <c r="J4" s="2">
        <v>6436.74</v>
      </c>
      <c r="K4" s="2">
        <v>70626.649999999994</v>
      </c>
      <c r="L4" s="2">
        <v>47335.75</v>
      </c>
      <c r="M4" s="2">
        <v>37702.160000000003</v>
      </c>
      <c r="N4" s="2">
        <v>39643</v>
      </c>
      <c r="O4" s="2">
        <v>31772.09</v>
      </c>
      <c r="P4" s="2">
        <v>47304.85</v>
      </c>
      <c r="Q4" s="2">
        <v>51597.440000000002</v>
      </c>
      <c r="R4" s="2">
        <v>26402.89</v>
      </c>
      <c r="S4" s="2">
        <v>40348.06</v>
      </c>
    </row>
    <row r="5" spans="1:19" ht="13.9" x14ac:dyDescent="0.3">
      <c r="A5" s="2" t="s">
        <v>22</v>
      </c>
      <c r="B5" s="2">
        <v>301.23</v>
      </c>
      <c r="C5" s="2">
        <v>383.88</v>
      </c>
      <c r="D5" s="2">
        <v>243.12</v>
      </c>
      <c r="E5" s="2">
        <v>245.21</v>
      </c>
      <c r="F5" s="2">
        <v>288.81</v>
      </c>
      <c r="G5" s="2">
        <v>278.54000000000002</v>
      </c>
      <c r="H5" s="2">
        <v>197.24</v>
      </c>
      <c r="I5" s="2">
        <v>1267.17</v>
      </c>
      <c r="J5" s="2">
        <v>294.52</v>
      </c>
      <c r="K5" s="2">
        <v>1758.66</v>
      </c>
      <c r="L5" s="2">
        <v>1466.44</v>
      </c>
      <c r="M5" s="2">
        <v>1752.27</v>
      </c>
      <c r="N5" s="2">
        <v>1153.6500000000001</v>
      </c>
      <c r="O5" s="2">
        <v>1333.49</v>
      </c>
      <c r="P5" s="2">
        <v>1762.94</v>
      </c>
      <c r="Q5" s="2">
        <v>1672.76</v>
      </c>
      <c r="R5" s="2">
        <v>1245.8499999999999</v>
      </c>
      <c r="S5" s="2">
        <v>1140.72</v>
      </c>
    </row>
    <row r="6" spans="1:19" ht="13.9" x14ac:dyDescent="0.3">
      <c r="A6" s="2" t="s">
        <v>23</v>
      </c>
      <c r="B6" s="2">
        <v>4.28</v>
      </c>
      <c r="C6" s="2">
        <v>4.32</v>
      </c>
      <c r="D6" s="2">
        <v>2.95</v>
      </c>
      <c r="E6" s="2">
        <v>2.0699999999999998</v>
      </c>
      <c r="F6" s="2">
        <v>3.61</v>
      </c>
      <c r="G6" s="2">
        <v>6.22</v>
      </c>
      <c r="H6" s="2">
        <v>6.79</v>
      </c>
      <c r="I6" s="2">
        <v>0</v>
      </c>
      <c r="J6" s="2">
        <v>11.1</v>
      </c>
      <c r="K6" s="2">
        <v>6.55</v>
      </c>
      <c r="L6" s="2">
        <v>0.87</v>
      </c>
      <c r="M6" s="2">
        <v>0</v>
      </c>
      <c r="N6" s="2">
        <v>7.25</v>
      </c>
      <c r="O6" s="2">
        <v>0</v>
      </c>
      <c r="P6" s="2">
        <v>1.64</v>
      </c>
      <c r="Q6" s="2">
        <v>0</v>
      </c>
      <c r="R6" s="2">
        <v>0</v>
      </c>
      <c r="S6" s="2">
        <v>35.69</v>
      </c>
    </row>
    <row r="7" spans="1:19" ht="13.9" x14ac:dyDescent="0.3">
      <c r="A7" s="2" t="s">
        <v>24</v>
      </c>
      <c r="B7" s="2">
        <v>57.78</v>
      </c>
      <c r="C7" s="2">
        <v>63.09</v>
      </c>
      <c r="D7" s="2">
        <v>56.5</v>
      </c>
      <c r="E7" s="2">
        <v>48.57</v>
      </c>
      <c r="F7" s="2">
        <v>60.7</v>
      </c>
      <c r="G7" s="2">
        <v>56.59</v>
      </c>
      <c r="H7" s="2">
        <v>46.51</v>
      </c>
      <c r="I7" s="2">
        <v>40.880000000000003</v>
      </c>
      <c r="J7" s="2">
        <v>57.79</v>
      </c>
      <c r="K7" s="2">
        <v>147.61000000000001</v>
      </c>
      <c r="L7" s="2">
        <v>150.37</v>
      </c>
      <c r="M7" s="2">
        <v>170.12</v>
      </c>
      <c r="N7" s="2">
        <v>107.45</v>
      </c>
      <c r="O7" s="2">
        <v>106.86</v>
      </c>
      <c r="P7" s="2">
        <v>129.44999999999999</v>
      </c>
      <c r="Q7" s="2">
        <v>153.6</v>
      </c>
      <c r="R7" s="2">
        <v>136.03</v>
      </c>
      <c r="S7" s="2">
        <v>126.19</v>
      </c>
    </row>
    <row r="8" spans="1:19" ht="13.9" x14ac:dyDescent="0.3">
      <c r="A8" s="2" t="s">
        <v>25</v>
      </c>
      <c r="B8" s="2">
        <v>241.69</v>
      </c>
      <c r="C8" s="2">
        <v>278.76</v>
      </c>
      <c r="D8" s="2">
        <v>181.97</v>
      </c>
      <c r="E8" s="2">
        <v>168.11</v>
      </c>
      <c r="F8" s="2">
        <v>229.57</v>
      </c>
      <c r="G8" s="2">
        <v>238.91</v>
      </c>
      <c r="H8" s="2">
        <v>153.19999999999999</v>
      </c>
      <c r="I8" s="2">
        <v>1308.04</v>
      </c>
      <c r="J8" s="2">
        <v>260.14</v>
      </c>
      <c r="K8" s="2">
        <v>1466.84</v>
      </c>
      <c r="L8" s="2">
        <v>1228.1500000000001</v>
      </c>
      <c r="M8" s="2">
        <v>1173.71</v>
      </c>
      <c r="N8" s="2">
        <v>1063.6600000000001</v>
      </c>
      <c r="O8" s="2">
        <v>1122.47</v>
      </c>
      <c r="P8" s="2">
        <v>1140.0899999999999</v>
      </c>
      <c r="Q8" s="2">
        <v>1070.74</v>
      </c>
      <c r="R8" s="2">
        <v>1099.77</v>
      </c>
      <c r="S8" s="2">
        <v>1258.3599999999999</v>
      </c>
    </row>
    <row r="9" spans="1:19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0.72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ht="13.9" x14ac:dyDescent="0.3">
      <c r="A11" s="2" t="s">
        <v>28</v>
      </c>
      <c r="B11" s="2">
        <v>81530.460000000006</v>
      </c>
      <c r="C11" s="2">
        <v>70948.06</v>
      </c>
      <c r="D11" s="2">
        <v>71650.12</v>
      </c>
      <c r="E11" s="2">
        <v>80265.16</v>
      </c>
      <c r="F11" s="2">
        <v>64118.62</v>
      </c>
      <c r="G11" s="2">
        <v>78049.820000000007</v>
      </c>
      <c r="H11" s="2">
        <v>64760.74</v>
      </c>
      <c r="I11" s="2">
        <v>92748.53</v>
      </c>
      <c r="J11" s="2">
        <v>71931.679999999993</v>
      </c>
      <c r="K11" s="2">
        <v>214660.62</v>
      </c>
      <c r="L11" s="2">
        <v>151975.01999999999</v>
      </c>
      <c r="M11" s="2">
        <v>234067.7</v>
      </c>
      <c r="N11" s="2">
        <v>184371.55</v>
      </c>
      <c r="O11" s="2">
        <v>123991.77</v>
      </c>
      <c r="P11" s="2">
        <v>184487.15</v>
      </c>
      <c r="Q11" s="2">
        <v>204730.86</v>
      </c>
      <c r="R11" s="2">
        <v>158538.32999999999</v>
      </c>
      <c r="S11" s="2">
        <v>144428.71</v>
      </c>
    </row>
    <row r="12" spans="1:19" ht="13.9" x14ac:dyDescent="0.3">
      <c r="A12" s="2" t="s">
        <v>29</v>
      </c>
      <c r="B12" s="2">
        <v>0</v>
      </c>
      <c r="C12" s="2">
        <v>0.11</v>
      </c>
      <c r="D12" s="2">
        <v>0</v>
      </c>
      <c r="E12" s="2">
        <v>0</v>
      </c>
      <c r="F12" s="2">
        <v>0.53</v>
      </c>
      <c r="G12" s="2">
        <v>0</v>
      </c>
      <c r="H12" s="2">
        <v>0.41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ht="13.9" x14ac:dyDescent="0.3">
      <c r="A13" s="2" t="s">
        <v>30</v>
      </c>
      <c r="B13" s="2">
        <v>7263.55</v>
      </c>
      <c r="C13" s="2">
        <v>7652.79</v>
      </c>
      <c r="D13" s="2">
        <v>5470.93</v>
      </c>
      <c r="E13" s="2">
        <v>7224.08</v>
      </c>
      <c r="F13" s="2">
        <v>6741.09</v>
      </c>
      <c r="G13" s="2">
        <v>6376.17</v>
      </c>
      <c r="H13" s="2">
        <v>4367.97</v>
      </c>
      <c r="I13" s="2">
        <v>15778.29</v>
      </c>
      <c r="J13" s="2">
        <v>6822.07</v>
      </c>
      <c r="K13" s="2">
        <v>11170.84</v>
      </c>
      <c r="L13" s="2">
        <v>8576.82</v>
      </c>
      <c r="M13" s="2">
        <v>11900.75</v>
      </c>
      <c r="N13" s="2">
        <v>10411.52</v>
      </c>
      <c r="O13" s="2">
        <v>7376.18</v>
      </c>
      <c r="P13" s="2">
        <v>8214.2199999999993</v>
      </c>
      <c r="Q13" s="2">
        <v>7655.4</v>
      </c>
      <c r="R13" s="2">
        <v>9935.2000000000007</v>
      </c>
      <c r="S13" s="2">
        <v>9073.99</v>
      </c>
    </row>
    <row r="14" spans="1:19" ht="13.9" x14ac:dyDescent="0.3">
      <c r="A14" s="2" t="s">
        <v>31</v>
      </c>
      <c r="B14" s="2">
        <v>1.1299999999999999</v>
      </c>
      <c r="C14" s="2">
        <v>0.22</v>
      </c>
      <c r="D14" s="2">
        <v>0.23</v>
      </c>
      <c r="E14" s="2">
        <v>0</v>
      </c>
      <c r="F14" s="2">
        <v>0</v>
      </c>
      <c r="G14" s="2">
        <v>0.53</v>
      </c>
      <c r="H14" s="2">
        <v>0.21</v>
      </c>
      <c r="I14" s="2">
        <v>0</v>
      </c>
      <c r="J14" s="2">
        <v>0</v>
      </c>
      <c r="K14" s="2">
        <v>3.02</v>
      </c>
      <c r="L14" s="2">
        <v>4.34</v>
      </c>
      <c r="M14" s="2">
        <v>0</v>
      </c>
      <c r="N14" s="2">
        <v>0</v>
      </c>
      <c r="O14" s="2">
        <v>0</v>
      </c>
      <c r="P14" s="2">
        <v>0.18</v>
      </c>
      <c r="Q14" s="2">
        <v>0</v>
      </c>
      <c r="R14" s="2">
        <v>0</v>
      </c>
      <c r="S14" s="2">
        <v>0</v>
      </c>
    </row>
    <row r="15" spans="1:19" ht="13.9" x14ac:dyDescent="0.3">
      <c r="A15" s="2" t="s">
        <v>32</v>
      </c>
      <c r="B15" s="2">
        <v>27582.44</v>
      </c>
      <c r="C15" s="2">
        <v>27355.98</v>
      </c>
      <c r="D15" s="2">
        <v>23936.58</v>
      </c>
      <c r="E15" s="2">
        <v>28081.72</v>
      </c>
      <c r="F15" s="2">
        <v>27840.53</v>
      </c>
      <c r="G15" s="2">
        <v>26302.34</v>
      </c>
      <c r="H15" s="2">
        <v>24727.34</v>
      </c>
      <c r="I15" s="2">
        <v>28000.33</v>
      </c>
      <c r="J15" s="2">
        <v>23100.35</v>
      </c>
      <c r="K15" s="2">
        <v>17527.04</v>
      </c>
      <c r="L15" s="2">
        <v>14995.48</v>
      </c>
      <c r="M15" s="2">
        <v>9801.76</v>
      </c>
      <c r="N15" s="2">
        <v>16024.18</v>
      </c>
      <c r="O15" s="2">
        <v>14230.77</v>
      </c>
      <c r="P15" s="2">
        <v>14543.17</v>
      </c>
      <c r="Q15" s="2">
        <v>16269.8</v>
      </c>
      <c r="R15" s="2">
        <v>15437.2</v>
      </c>
      <c r="S15" s="2">
        <v>13431.25</v>
      </c>
    </row>
    <row r="16" spans="1:19" ht="13.9" x14ac:dyDescent="0.3">
      <c r="A16" s="2" t="s">
        <v>33</v>
      </c>
      <c r="B16" s="2">
        <v>14.98</v>
      </c>
      <c r="C16" s="2">
        <v>15.75</v>
      </c>
      <c r="D16" s="2">
        <v>8.17</v>
      </c>
      <c r="E16" s="2">
        <v>13.33</v>
      </c>
      <c r="F16" s="2">
        <v>12.84</v>
      </c>
      <c r="G16" s="2">
        <v>14.65</v>
      </c>
      <c r="H16" s="2">
        <v>13.68</v>
      </c>
      <c r="I16" s="2">
        <v>0</v>
      </c>
      <c r="J16" s="2">
        <v>22.87</v>
      </c>
      <c r="K16" s="2">
        <v>5.1100000000000003</v>
      </c>
      <c r="L16" s="2">
        <v>10.119999999999999</v>
      </c>
      <c r="M16" s="2">
        <v>3.11</v>
      </c>
      <c r="N16" s="2">
        <v>10.88</v>
      </c>
      <c r="O16" s="2">
        <v>16.100000000000001</v>
      </c>
      <c r="P16" s="2">
        <v>12.93</v>
      </c>
      <c r="Q16" s="2">
        <v>3.59</v>
      </c>
      <c r="R16" s="2">
        <v>13.39</v>
      </c>
      <c r="S16" s="2">
        <v>3.02</v>
      </c>
    </row>
    <row r="17" spans="1:19" ht="13.9" x14ac:dyDescent="0.3">
      <c r="A17" s="2" t="s">
        <v>34</v>
      </c>
      <c r="B17" s="2">
        <v>23919.759999999998</v>
      </c>
      <c r="C17" s="2">
        <v>19157.759999999998</v>
      </c>
      <c r="D17" s="2">
        <v>24993.58</v>
      </c>
      <c r="E17" s="2">
        <v>24656.6</v>
      </c>
      <c r="F17" s="2">
        <v>17876.98</v>
      </c>
      <c r="G17" s="2">
        <v>25804.61</v>
      </c>
      <c r="H17" s="2">
        <v>19933.310000000001</v>
      </c>
      <c r="I17" s="2">
        <v>11363.64</v>
      </c>
      <c r="J17" s="2">
        <v>14278.52</v>
      </c>
      <c r="K17" s="2">
        <v>15793.03</v>
      </c>
      <c r="L17" s="2">
        <v>31048.5</v>
      </c>
      <c r="M17" s="2">
        <v>33802.67</v>
      </c>
      <c r="N17" s="2">
        <v>42567.01</v>
      </c>
      <c r="O17" s="2">
        <v>35176.58</v>
      </c>
      <c r="P17" s="2">
        <v>32349.85</v>
      </c>
      <c r="Q17" s="2">
        <v>20037.14</v>
      </c>
      <c r="R17" s="2">
        <v>29137.57</v>
      </c>
      <c r="S17" s="2">
        <v>30471.19</v>
      </c>
    </row>
    <row r="18" spans="1:19" ht="13.9" x14ac:dyDescent="0.3">
      <c r="A18" s="2" t="s">
        <v>35</v>
      </c>
      <c r="B18" s="2">
        <v>0</v>
      </c>
      <c r="C18" s="2">
        <v>0.78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ht="13.9" x14ac:dyDescent="0.3">
      <c r="A19" s="2" t="s">
        <v>36</v>
      </c>
      <c r="B19" s="2">
        <v>0.63</v>
      </c>
      <c r="C19" s="2">
        <v>0.67</v>
      </c>
      <c r="D19" s="2">
        <v>1.1299999999999999</v>
      </c>
      <c r="E19" s="2">
        <v>0.39</v>
      </c>
      <c r="F19" s="2">
        <v>1.74</v>
      </c>
      <c r="G19" s="2">
        <v>0</v>
      </c>
      <c r="H19" s="2">
        <v>0.41</v>
      </c>
      <c r="I19" s="2">
        <v>0</v>
      </c>
      <c r="J19" s="2">
        <v>0.27</v>
      </c>
      <c r="K19" s="2">
        <v>3.67</v>
      </c>
      <c r="L19" s="2">
        <v>0</v>
      </c>
      <c r="M19" s="2">
        <v>0</v>
      </c>
      <c r="N19" s="2">
        <v>0</v>
      </c>
      <c r="O19" s="2">
        <v>0.73</v>
      </c>
      <c r="P19" s="2">
        <v>0</v>
      </c>
      <c r="Q19" s="2">
        <v>0</v>
      </c>
      <c r="R19" s="2">
        <v>2.2999999999999998</v>
      </c>
      <c r="S19" s="2">
        <v>0</v>
      </c>
    </row>
    <row r="20" spans="1:19" ht="13.9" x14ac:dyDescent="0.3">
      <c r="A20" s="2" t="s">
        <v>37</v>
      </c>
      <c r="B20" s="2">
        <v>0</v>
      </c>
      <c r="C20" s="2">
        <v>0.67</v>
      </c>
      <c r="D20" s="2">
        <v>0</v>
      </c>
      <c r="E20" s="2">
        <v>2.67</v>
      </c>
      <c r="F20" s="2">
        <v>0</v>
      </c>
      <c r="G20" s="2">
        <v>0.32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ht="13.9" x14ac:dyDescent="0.3">
      <c r="A21" s="2" t="s">
        <v>38</v>
      </c>
      <c r="B21" s="2">
        <v>0</v>
      </c>
      <c r="C21" s="2">
        <v>0.22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ht="13.9" x14ac:dyDescent="0.3">
      <c r="A22" s="2" t="s">
        <v>39</v>
      </c>
      <c r="B22" s="2">
        <v>0.63</v>
      </c>
      <c r="C22" s="2">
        <v>1.55</v>
      </c>
      <c r="D22" s="2">
        <v>0</v>
      </c>
      <c r="E22" s="2">
        <v>1.38</v>
      </c>
      <c r="F22" s="2">
        <v>1.07</v>
      </c>
      <c r="G22" s="2">
        <v>0.74</v>
      </c>
      <c r="H22" s="2">
        <v>1.03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ht="13.9" x14ac:dyDescent="0.3">
      <c r="A23" s="2" t="s">
        <v>40</v>
      </c>
      <c r="B23" s="2">
        <v>4.91</v>
      </c>
      <c r="C23" s="2">
        <v>5.43</v>
      </c>
      <c r="D23" s="2">
        <v>4.54</v>
      </c>
      <c r="E23" s="2">
        <v>3.06</v>
      </c>
      <c r="F23" s="2">
        <v>6.15</v>
      </c>
      <c r="G23" s="2">
        <v>10.85</v>
      </c>
      <c r="H23" s="2">
        <v>4.63</v>
      </c>
      <c r="I23" s="2">
        <v>0</v>
      </c>
      <c r="J23" s="2">
        <v>2.0299999999999998</v>
      </c>
      <c r="K23" s="2">
        <v>0</v>
      </c>
      <c r="L23" s="2">
        <v>0</v>
      </c>
      <c r="M23" s="2">
        <v>0</v>
      </c>
      <c r="N23" s="2">
        <v>12.53</v>
      </c>
      <c r="O23" s="2">
        <v>0</v>
      </c>
      <c r="P23" s="2">
        <v>0</v>
      </c>
      <c r="Q23" s="2">
        <v>0</v>
      </c>
      <c r="R23" s="2">
        <v>10.050000000000001</v>
      </c>
      <c r="S23" s="2">
        <v>14.08</v>
      </c>
    </row>
    <row r="24" spans="1:19" ht="13.9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4.0599999999999996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ht="13.9" x14ac:dyDescent="0.3">
      <c r="A25" s="2" t="s">
        <v>42</v>
      </c>
      <c r="B25" s="2">
        <v>83.21</v>
      </c>
      <c r="C25" s="2">
        <v>91.26</v>
      </c>
      <c r="D25" s="2">
        <v>67.73</v>
      </c>
      <c r="E25" s="2">
        <v>65.94</v>
      </c>
      <c r="F25" s="2">
        <v>80.09</v>
      </c>
      <c r="G25" s="2">
        <v>62.39</v>
      </c>
      <c r="H25" s="2">
        <v>52.06</v>
      </c>
      <c r="I25" s="2">
        <v>40.880000000000003</v>
      </c>
      <c r="J25" s="2">
        <v>103.41</v>
      </c>
      <c r="K25" s="2">
        <v>56.24</v>
      </c>
      <c r="L25" s="2">
        <v>51.76</v>
      </c>
      <c r="M25" s="2">
        <v>9.34</v>
      </c>
      <c r="N25" s="2">
        <v>29.01</v>
      </c>
      <c r="O25" s="2">
        <v>63.67</v>
      </c>
      <c r="P25" s="2">
        <v>57.35</v>
      </c>
      <c r="Q25" s="2">
        <v>9.34</v>
      </c>
      <c r="R25" s="2">
        <v>83.5</v>
      </c>
      <c r="S25" s="2">
        <v>41.22</v>
      </c>
    </row>
    <row r="26" spans="1:19" ht="13.9" x14ac:dyDescent="0.3">
      <c r="A26" s="2" t="s">
        <v>43</v>
      </c>
      <c r="B26" s="2">
        <v>2.0099999999999998</v>
      </c>
      <c r="C26" s="2">
        <v>2.88</v>
      </c>
      <c r="D26" s="2">
        <v>3.86</v>
      </c>
      <c r="E26" s="2">
        <v>3.75</v>
      </c>
      <c r="F26" s="2">
        <v>4.28</v>
      </c>
      <c r="G26" s="2">
        <v>3.69</v>
      </c>
      <c r="H26" s="2">
        <v>1.44</v>
      </c>
      <c r="I26" s="2">
        <v>0</v>
      </c>
      <c r="J26" s="2">
        <v>3.11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ht="13.9" x14ac:dyDescent="0.3">
      <c r="A27" s="2" t="s">
        <v>44</v>
      </c>
      <c r="B27" s="2">
        <v>10.45</v>
      </c>
      <c r="C27" s="2">
        <v>6.87</v>
      </c>
      <c r="D27" s="2">
        <v>9.3000000000000007</v>
      </c>
      <c r="E27" s="2">
        <v>6.42</v>
      </c>
      <c r="F27" s="2">
        <v>9.6300000000000008</v>
      </c>
      <c r="G27" s="2">
        <v>6.22</v>
      </c>
      <c r="H27" s="2">
        <v>8.0299999999999994</v>
      </c>
      <c r="I27" s="2">
        <v>0</v>
      </c>
      <c r="J27" s="2">
        <v>15.56</v>
      </c>
      <c r="K27" s="2">
        <v>7.08</v>
      </c>
      <c r="L27" s="2">
        <v>0.28999999999999998</v>
      </c>
      <c r="M27" s="2">
        <v>4.93</v>
      </c>
      <c r="N27" s="2">
        <v>16.149999999999999</v>
      </c>
      <c r="O27" s="2">
        <v>24.15</v>
      </c>
      <c r="P27" s="2">
        <v>1.82</v>
      </c>
      <c r="Q27" s="2">
        <v>0.18</v>
      </c>
      <c r="R27" s="2">
        <v>10.050000000000001</v>
      </c>
      <c r="S27" s="2">
        <v>21.62</v>
      </c>
    </row>
    <row r="28" spans="1:19" ht="13.9" x14ac:dyDescent="0.3">
      <c r="A28" s="2" t="s">
        <v>45</v>
      </c>
      <c r="B28" s="2">
        <v>0</v>
      </c>
      <c r="C28" s="2">
        <v>0.11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2.23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ht="13.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0.42</v>
      </c>
      <c r="S29" s="2">
        <v>0</v>
      </c>
    </row>
    <row r="30" spans="1:19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>
        <v>0</v>
      </c>
      <c r="I30" s="2">
        <v>0</v>
      </c>
      <c r="J30" s="2">
        <v>0.14000000000000001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ht="13.9" x14ac:dyDescent="0.3">
      <c r="A31" s="2" t="s">
        <v>48</v>
      </c>
      <c r="B31" s="2">
        <v>9.94</v>
      </c>
      <c r="C31" s="2">
        <v>11.98</v>
      </c>
      <c r="D31" s="2">
        <v>7.26</v>
      </c>
      <c r="E31" s="2">
        <v>14.51</v>
      </c>
      <c r="F31" s="2">
        <v>9.23</v>
      </c>
      <c r="G31" s="2">
        <v>7.59</v>
      </c>
      <c r="H31" s="2">
        <v>8.23</v>
      </c>
      <c r="I31" s="2">
        <v>0</v>
      </c>
      <c r="J31" s="2">
        <v>9.8800000000000008</v>
      </c>
      <c r="K31" s="2">
        <v>12.06</v>
      </c>
      <c r="L31" s="2">
        <v>17.059999999999999</v>
      </c>
      <c r="M31" s="2">
        <v>18.149999999999999</v>
      </c>
      <c r="N31" s="2">
        <v>4.6100000000000003</v>
      </c>
      <c r="O31" s="2">
        <v>18.3</v>
      </c>
      <c r="P31" s="2">
        <v>12.02</v>
      </c>
      <c r="Q31" s="2">
        <v>17.25</v>
      </c>
      <c r="R31" s="2">
        <v>30.56</v>
      </c>
      <c r="S31" s="2">
        <v>56.81</v>
      </c>
    </row>
    <row r="32" spans="1:19" ht="13.9" x14ac:dyDescent="0.3">
      <c r="A32" s="2" t="s">
        <v>49</v>
      </c>
      <c r="B32" s="2">
        <v>312.81</v>
      </c>
      <c r="C32" s="2">
        <v>326.66000000000003</v>
      </c>
      <c r="D32" s="2">
        <v>253.67</v>
      </c>
      <c r="E32" s="2">
        <v>311.14999999999998</v>
      </c>
      <c r="F32" s="2">
        <v>371.44</v>
      </c>
      <c r="G32" s="2">
        <v>331.33</v>
      </c>
      <c r="H32" s="2">
        <v>277.29000000000002</v>
      </c>
      <c r="I32" s="2">
        <v>1471.55</v>
      </c>
      <c r="J32" s="2">
        <v>599.73</v>
      </c>
      <c r="K32" s="2">
        <v>136.21</v>
      </c>
      <c r="L32" s="2">
        <v>243.2</v>
      </c>
      <c r="M32" s="2">
        <v>114.36</v>
      </c>
      <c r="N32" s="2">
        <v>136.13</v>
      </c>
      <c r="O32" s="2">
        <v>222.01</v>
      </c>
      <c r="P32" s="2">
        <v>221.76</v>
      </c>
      <c r="Q32" s="2">
        <v>162.41</v>
      </c>
      <c r="R32" s="2">
        <v>242.14</v>
      </c>
      <c r="S32" s="2">
        <v>400.69</v>
      </c>
    </row>
    <row r="33" spans="1:19" ht="13.9" x14ac:dyDescent="0.3">
      <c r="A33" s="2" t="s">
        <v>50</v>
      </c>
      <c r="B33" s="2">
        <v>61.81</v>
      </c>
      <c r="C33" s="2">
        <v>43.58</v>
      </c>
      <c r="D33" s="2">
        <v>45.72</v>
      </c>
      <c r="E33" s="2">
        <v>50.05</v>
      </c>
      <c r="F33" s="2">
        <v>34.76</v>
      </c>
      <c r="G33" s="2">
        <v>52.9</v>
      </c>
      <c r="H33" s="2">
        <v>51.34</v>
      </c>
      <c r="I33" s="2">
        <v>40.880000000000003</v>
      </c>
      <c r="J33" s="2">
        <v>40.880000000000003</v>
      </c>
      <c r="K33" s="2">
        <v>57.68</v>
      </c>
      <c r="L33" s="2">
        <v>58.99</v>
      </c>
      <c r="M33" s="2">
        <v>66.91</v>
      </c>
      <c r="N33" s="2">
        <v>124.26</v>
      </c>
      <c r="O33" s="2">
        <v>74.900000000000006</v>
      </c>
      <c r="P33" s="2">
        <v>84.66</v>
      </c>
      <c r="Q33" s="2">
        <v>18.5</v>
      </c>
      <c r="R33" s="2">
        <v>50.23</v>
      </c>
      <c r="S33" s="2">
        <v>94.01</v>
      </c>
    </row>
    <row r="34" spans="1:19" ht="13.9" x14ac:dyDescent="0.3">
      <c r="A34" s="2" t="s">
        <v>51</v>
      </c>
      <c r="B34" s="2">
        <v>0</v>
      </c>
      <c r="C34" s="2">
        <v>0</v>
      </c>
      <c r="D34" s="2">
        <v>0</v>
      </c>
      <c r="E34" s="2">
        <v>0.3</v>
      </c>
      <c r="F34" s="2">
        <v>0</v>
      </c>
      <c r="G34" s="2">
        <v>0.21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0.24</v>
      </c>
      <c r="P34" s="2">
        <v>0</v>
      </c>
      <c r="Q34" s="2">
        <v>0</v>
      </c>
      <c r="R34" s="2">
        <v>0</v>
      </c>
      <c r="S34" s="2">
        <v>0</v>
      </c>
    </row>
    <row r="35" spans="1:19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ht="13.9" x14ac:dyDescent="0.3">
      <c r="A36" s="2" t="s">
        <v>53</v>
      </c>
      <c r="B36" s="2">
        <v>2440.65</v>
      </c>
      <c r="C36" s="2">
        <v>2314.23</v>
      </c>
      <c r="D36" s="2">
        <v>2153.48</v>
      </c>
      <c r="E36" s="2">
        <v>1741.24</v>
      </c>
      <c r="F36" s="2">
        <v>2357.65</v>
      </c>
      <c r="G36" s="2">
        <v>2223.12</v>
      </c>
      <c r="H36" s="2">
        <v>1919.2</v>
      </c>
      <c r="I36" s="2">
        <v>940.16</v>
      </c>
      <c r="J36" s="2">
        <v>1941.56</v>
      </c>
      <c r="K36" s="2">
        <v>544.97</v>
      </c>
      <c r="L36" s="2">
        <v>620.58000000000004</v>
      </c>
      <c r="M36" s="2">
        <v>449.15</v>
      </c>
      <c r="N36" s="2">
        <v>605.16999999999996</v>
      </c>
      <c r="O36" s="2">
        <v>1179.8</v>
      </c>
      <c r="P36" s="2">
        <v>767.95</v>
      </c>
      <c r="Q36" s="2">
        <v>862.16</v>
      </c>
      <c r="R36" s="2">
        <v>867.68</v>
      </c>
      <c r="S36" s="2">
        <v>733</v>
      </c>
    </row>
    <row r="37" spans="1:19" ht="13.9" x14ac:dyDescent="0.3">
      <c r="A37" s="2" t="s">
        <v>54</v>
      </c>
      <c r="B37" s="2">
        <v>19.89</v>
      </c>
      <c r="C37" s="2">
        <v>24.39</v>
      </c>
      <c r="D37" s="2">
        <v>20.309999999999999</v>
      </c>
      <c r="E37" s="2">
        <v>21.91</v>
      </c>
      <c r="F37" s="2">
        <v>26.74</v>
      </c>
      <c r="G37" s="2">
        <v>20.87</v>
      </c>
      <c r="H37" s="2">
        <v>18.52</v>
      </c>
      <c r="I37" s="2">
        <v>0</v>
      </c>
      <c r="J37" s="2">
        <v>22.2</v>
      </c>
      <c r="K37" s="2">
        <v>0</v>
      </c>
      <c r="L37" s="2">
        <v>0.28999999999999998</v>
      </c>
      <c r="M37" s="2">
        <v>0</v>
      </c>
      <c r="N37" s="2">
        <v>19.78</v>
      </c>
      <c r="O37" s="2">
        <v>0</v>
      </c>
      <c r="P37" s="2">
        <v>25.85</v>
      </c>
      <c r="Q37" s="2">
        <v>0</v>
      </c>
      <c r="R37" s="2">
        <v>9</v>
      </c>
      <c r="S37" s="2">
        <v>0.5</v>
      </c>
    </row>
    <row r="38" spans="1:19" ht="13.9" x14ac:dyDescent="0.3">
      <c r="A38" s="2" t="s">
        <v>55</v>
      </c>
      <c r="B38" s="2">
        <v>45.95</v>
      </c>
      <c r="C38" s="2">
        <v>32.049999999999997</v>
      </c>
      <c r="D38" s="2">
        <v>27.57</v>
      </c>
      <c r="E38" s="2">
        <v>37.61</v>
      </c>
      <c r="F38" s="2">
        <v>34.630000000000003</v>
      </c>
      <c r="G38" s="2">
        <v>26.14</v>
      </c>
      <c r="H38" s="2">
        <v>27.88</v>
      </c>
      <c r="I38" s="2">
        <v>40.880000000000003</v>
      </c>
      <c r="J38" s="2">
        <v>27.2</v>
      </c>
      <c r="K38" s="2">
        <v>45.23</v>
      </c>
      <c r="L38" s="2">
        <v>0</v>
      </c>
      <c r="M38" s="2">
        <v>0</v>
      </c>
      <c r="N38" s="2">
        <v>13.18</v>
      </c>
      <c r="O38" s="2">
        <v>21.96</v>
      </c>
      <c r="P38" s="2">
        <v>9.4700000000000006</v>
      </c>
      <c r="Q38" s="2">
        <v>0</v>
      </c>
      <c r="R38" s="2">
        <v>11.09</v>
      </c>
      <c r="S38" s="2">
        <v>0.5</v>
      </c>
    </row>
    <row r="39" spans="1:19" ht="13.9" x14ac:dyDescent="0.3">
      <c r="A39" s="2" t="s">
        <v>56</v>
      </c>
      <c r="B39" s="2">
        <v>5.92</v>
      </c>
      <c r="C39" s="2">
        <v>2</v>
      </c>
      <c r="D39" s="2">
        <v>2.72</v>
      </c>
      <c r="E39" s="2">
        <v>1.58</v>
      </c>
      <c r="F39" s="2">
        <v>1.74</v>
      </c>
      <c r="G39" s="2">
        <v>1.58</v>
      </c>
      <c r="H39" s="2">
        <v>1.23</v>
      </c>
      <c r="I39" s="2">
        <v>0</v>
      </c>
      <c r="J39" s="2">
        <v>3.38</v>
      </c>
      <c r="K39" s="2">
        <v>8.26</v>
      </c>
      <c r="L39" s="2">
        <v>0</v>
      </c>
      <c r="M39" s="2">
        <v>0.26</v>
      </c>
      <c r="N39" s="2">
        <v>0</v>
      </c>
      <c r="O39" s="2">
        <v>12.2</v>
      </c>
      <c r="P39" s="2">
        <v>0.18</v>
      </c>
      <c r="Q39" s="2">
        <v>0</v>
      </c>
      <c r="R39" s="2">
        <v>0</v>
      </c>
      <c r="S39" s="2">
        <v>25.14</v>
      </c>
    </row>
    <row r="40" spans="1:19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0.62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ht="13.9" x14ac:dyDescent="0.3">
      <c r="A41" s="2" t="s">
        <v>58</v>
      </c>
      <c r="B41" s="2">
        <v>0.63</v>
      </c>
      <c r="C41" s="2">
        <v>0.33</v>
      </c>
      <c r="D41" s="2">
        <v>0.68</v>
      </c>
      <c r="E41" s="2">
        <v>1.28</v>
      </c>
      <c r="F41" s="2">
        <v>1.34</v>
      </c>
      <c r="G41" s="2">
        <v>1.37</v>
      </c>
      <c r="H41" s="2">
        <v>0.51</v>
      </c>
      <c r="I41" s="2">
        <v>0</v>
      </c>
      <c r="J41" s="2">
        <v>1.62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8.19</v>
      </c>
      <c r="Q41" s="2">
        <v>3.59</v>
      </c>
      <c r="R41" s="2">
        <v>0</v>
      </c>
      <c r="S41" s="2">
        <v>0</v>
      </c>
    </row>
    <row r="42" spans="1:19" ht="13.9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0.33</v>
      </c>
      <c r="O42" s="2">
        <v>0</v>
      </c>
      <c r="P42" s="2">
        <v>0</v>
      </c>
      <c r="Q42" s="2">
        <v>11.14</v>
      </c>
      <c r="R42" s="2">
        <v>0</v>
      </c>
      <c r="S42" s="2">
        <v>0</v>
      </c>
    </row>
    <row r="43" spans="1:19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ht="13.9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122.63</v>
      </c>
      <c r="J44" s="2">
        <v>0</v>
      </c>
      <c r="K44" s="2">
        <v>0.13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ht="13.9" x14ac:dyDescent="0.3">
      <c r="A45" s="2" t="s">
        <v>62</v>
      </c>
      <c r="B45" s="2">
        <v>8.56</v>
      </c>
      <c r="C45" s="2">
        <v>8.65</v>
      </c>
      <c r="D45" s="2">
        <v>8.51</v>
      </c>
      <c r="E45" s="2">
        <v>11.45</v>
      </c>
      <c r="F45" s="2">
        <v>3.21</v>
      </c>
      <c r="G45" s="2">
        <v>4.1100000000000003</v>
      </c>
      <c r="H45" s="2">
        <v>6.38</v>
      </c>
      <c r="I45" s="2">
        <v>1675.93</v>
      </c>
      <c r="J45" s="2">
        <v>6.5</v>
      </c>
      <c r="K45" s="2">
        <v>467.1</v>
      </c>
      <c r="L45" s="2">
        <v>1141.1099999999999</v>
      </c>
      <c r="M45" s="2">
        <v>968.58</v>
      </c>
      <c r="N45" s="2">
        <v>52.41</v>
      </c>
      <c r="O45" s="2">
        <v>15.13</v>
      </c>
      <c r="P45" s="2">
        <v>46.24</v>
      </c>
      <c r="Q45" s="2">
        <v>33.6</v>
      </c>
      <c r="R45" s="2">
        <v>63.2</v>
      </c>
      <c r="S45" s="2">
        <v>276.01</v>
      </c>
    </row>
    <row r="46" spans="1:19" ht="13.9" x14ac:dyDescent="0.3">
      <c r="A46" s="2" t="s">
        <v>63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4.59</v>
      </c>
      <c r="L46" s="2">
        <v>0</v>
      </c>
      <c r="M46" s="2">
        <v>0</v>
      </c>
      <c r="N46" s="2">
        <v>0</v>
      </c>
      <c r="O46" s="2">
        <v>5.37</v>
      </c>
      <c r="P46" s="2">
        <v>0</v>
      </c>
      <c r="Q46" s="2">
        <v>0</v>
      </c>
      <c r="R46" s="2">
        <v>0</v>
      </c>
      <c r="S46" s="2">
        <v>12.57</v>
      </c>
    </row>
    <row r="47" spans="1:19" ht="13.9" x14ac:dyDescent="0.3">
      <c r="A47" s="2" t="s">
        <v>64</v>
      </c>
      <c r="B47" s="2">
        <v>0</v>
      </c>
      <c r="C47" s="2">
        <v>0.11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ht="13.9" x14ac:dyDescent="0.3">
      <c r="A48" s="2" t="s">
        <v>65</v>
      </c>
      <c r="B48" s="2">
        <v>0</v>
      </c>
      <c r="C48" s="2">
        <v>0</v>
      </c>
      <c r="D48" s="2">
        <v>0.56999999999999995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16.079999999999998</v>
      </c>
      <c r="N48" s="2">
        <v>0</v>
      </c>
      <c r="O48" s="2">
        <v>0</v>
      </c>
      <c r="P48" s="2">
        <v>0.18</v>
      </c>
      <c r="Q48" s="2">
        <v>0</v>
      </c>
      <c r="R48" s="2">
        <v>0</v>
      </c>
      <c r="S48" s="2">
        <v>0</v>
      </c>
    </row>
    <row r="49" spans="1:19" ht="13.9" x14ac:dyDescent="0.3">
      <c r="A49" s="2" t="s">
        <v>66</v>
      </c>
      <c r="B49" s="2">
        <v>23.41</v>
      </c>
      <c r="C49" s="2">
        <v>38.369999999999997</v>
      </c>
      <c r="D49" s="2">
        <v>22.46</v>
      </c>
      <c r="E49" s="2">
        <v>15.5</v>
      </c>
      <c r="F49" s="2">
        <v>131.83000000000001</v>
      </c>
      <c r="G49" s="2">
        <v>28.77</v>
      </c>
      <c r="H49" s="2">
        <v>26.44</v>
      </c>
      <c r="I49" s="2">
        <v>0</v>
      </c>
      <c r="J49" s="2">
        <v>182.31</v>
      </c>
      <c r="K49" s="2">
        <v>20.32</v>
      </c>
      <c r="L49" s="2">
        <v>0.57999999999999996</v>
      </c>
      <c r="M49" s="2">
        <v>4.41</v>
      </c>
      <c r="N49" s="2">
        <v>0</v>
      </c>
      <c r="O49" s="2">
        <v>19.760000000000002</v>
      </c>
      <c r="P49" s="2">
        <v>0</v>
      </c>
      <c r="Q49" s="2">
        <v>14.37</v>
      </c>
      <c r="R49" s="2">
        <v>20.93</v>
      </c>
      <c r="S49" s="2">
        <v>1.01</v>
      </c>
    </row>
    <row r="50" spans="1:19" ht="13.9" x14ac:dyDescent="0.3">
      <c r="A50" s="2" t="s">
        <v>67</v>
      </c>
      <c r="B50" s="2">
        <v>1.76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>
        <v>0.41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>
        <v>0</v>
      </c>
      <c r="I51" s="2">
        <v>0</v>
      </c>
      <c r="J51" s="2">
        <v>0.14000000000000001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ht="13.9" x14ac:dyDescent="0.3">
      <c r="A52" s="2" t="s">
        <v>69</v>
      </c>
      <c r="B52" s="2">
        <v>28.7</v>
      </c>
      <c r="C52" s="2">
        <v>51.34</v>
      </c>
      <c r="D52" s="2">
        <v>40.5</v>
      </c>
      <c r="E52" s="2">
        <v>34.450000000000003</v>
      </c>
      <c r="F52" s="2">
        <v>48.4</v>
      </c>
      <c r="G52" s="2">
        <v>50.16</v>
      </c>
      <c r="H52" s="2">
        <v>52.78</v>
      </c>
      <c r="I52" s="2">
        <v>40.880000000000003</v>
      </c>
      <c r="J52" s="2">
        <v>41.15</v>
      </c>
      <c r="K52" s="2">
        <v>24.38</v>
      </c>
      <c r="L52" s="2">
        <v>0</v>
      </c>
      <c r="M52" s="2">
        <v>61.72</v>
      </c>
      <c r="N52" s="2">
        <v>22.41</v>
      </c>
      <c r="O52" s="2">
        <v>12.69</v>
      </c>
      <c r="P52" s="2">
        <v>25.85</v>
      </c>
      <c r="Q52" s="2">
        <v>60.36</v>
      </c>
      <c r="R52" s="2">
        <v>58.81</v>
      </c>
      <c r="S52" s="2">
        <v>44.74</v>
      </c>
    </row>
    <row r="53" spans="1:19" ht="13.9" x14ac:dyDescent="0.3">
      <c r="A53" s="2" t="s">
        <v>70</v>
      </c>
      <c r="B53" s="2">
        <v>1.38</v>
      </c>
      <c r="C53" s="2">
        <v>2</v>
      </c>
      <c r="D53" s="2">
        <v>0</v>
      </c>
      <c r="E53" s="2">
        <v>0</v>
      </c>
      <c r="F53" s="2">
        <v>2.81</v>
      </c>
      <c r="G53" s="2">
        <v>2</v>
      </c>
      <c r="H53" s="2">
        <v>3.81</v>
      </c>
      <c r="I53" s="2">
        <v>0</v>
      </c>
      <c r="J53" s="2">
        <v>1.76</v>
      </c>
      <c r="K53" s="2">
        <v>9.57</v>
      </c>
      <c r="L53" s="2">
        <v>0</v>
      </c>
      <c r="M53" s="2">
        <v>0</v>
      </c>
      <c r="N53" s="2">
        <v>0.33</v>
      </c>
      <c r="O53" s="2">
        <v>11.22</v>
      </c>
      <c r="P53" s="2">
        <v>8.56</v>
      </c>
      <c r="Q53" s="2">
        <v>0</v>
      </c>
      <c r="R53" s="2">
        <v>0</v>
      </c>
      <c r="S53" s="2">
        <v>0</v>
      </c>
    </row>
    <row r="54" spans="1:19" ht="13.9" x14ac:dyDescent="0.3">
      <c r="A54" s="2" t="s">
        <v>71</v>
      </c>
      <c r="B54" s="2">
        <v>0.5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ht="13.9" x14ac:dyDescent="0.3">
      <c r="A55" s="2" t="s">
        <v>72</v>
      </c>
      <c r="B55" s="2">
        <v>0</v>
      </c>
      <c r="C55" s="2">
        <v>1.1100000000000001</v>
      </c>
      <c r="D55" s="2">
        <v>0</v>
      </c>
      <c r="E55" s="2">
        <v>0</v>
      </c>
      <c r="F55" s="2">
        <v>0.27</v>
      </c>
      <c r="G55" s="2">
        <v>0.11</v>
      </c>
      <c r="H55" s="2">
        <v>0.31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ht="13.9" x14ac:dyDescent="0.3">
      <c r="A56" s="2" t="s">
        <v>73</v>
      </c>
      <c r="B56" s="2">
        <v>68.599999999999994</v>
      </c>
      <c r="C56" s="2">
        <v>66.2</v>
      </c>
      <c r="D56" s="2">
        <v>43.45</v>
      </c>
      <c r="E56" s="2">
        <v>63.28</v>
      </c>
      <c r="F56" s="2">
        <v>76.08</v>
      </c>
      <c r="G56" s="2">
        <v>67.97</v>
      </c>
      <c r="H56" s="2">
        <v>45.68</v>
      </c>
      <c r="I56" s="2">
        <v>40.880000000000003</v>
      </c>
      <c r="J56" s="2">
        <v>49.4</v>
      </c>
      <c r="K56" s="2">
        <v>27.01</v>
      </c>
      <c r="L56" s="2">
        <v>32.1</v>
      </c>
      <c r="M56" s="2">
        <v>0.52</v>
      </c>
      <c r="N56" s="2">
        <v>77.13</v>
      </c>
      <c r="O56" s="2">
        <v>92.46</v>
      </c>
      <c r="P56" s="2">
        <v>38.78</v>
      </c>
      <c r="Q56" s="2">
        <v>31.26</v>
      </c>
      <c r="R56" s="2">
        <v>54.62</v>
      </c>
      <c r="S56" s="2">
        <v>129.71</v>
      </c>
    </row>
    <row r="57" spans="1:19" ht="13.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0.14000000000000001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0.18</v>
      </c>
      <c r="R57" s="2">
        <v>0</v>
      </c>
      <c r="S57" s="2">
        <v>0</v>
      </c>
    </row>
    <row r="58" spans="1:19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ht="13.9" x14ac:dyDescent="0.3">
      <c r="A59" s="2" t="s">
        <v>76</v>
      </c>
      <c r="B59" s="2">
        <v>3.78</v>
      </c>
      <c r="C59" s="2">
        <v>2</v>
      </c>
      <c r="D59" s="2">
        <v>0.79</v>
      </c>
      <c r="E59" s="2">
        <v>6.22</v>
      </c>
      <c r="F59" s="2">
        <v>3.21</v>
      </c>
      <c r="G59" s="2">
        <v>4.95</v>
      </c>
      <c r="H59" s="2">
        <v>5.14</v>
      </c>
      <c r="I59" s="2">
        <v>0</v>
      </c>
      <c r="J59" s="2">
        <v>3.11</v>
      </c>
      <c r="K59" s="2">
        <v>0</v>
      </c>
      <c r="L59" s="2">
        <v>0.57999999999999996</v>
      </c>
      <c r="M59" s="2">
        <v>0</v>
      </c>
      <c r="N59" s="2">
        <v>0</v>
      </c>
      <c r="O59" s="2">
        <v>14.64</v>
      </c>
      <c r="P59" s="2">
        <v>0</v>
      </c>
      <c r="Q59" s="2">
        <v>6.11</v>
      </c>
      <c r="R59" s="2">
        <v>0</v>
      </c>
      <c r="S59" s="2">
        <v>27.65</v>
      </c>
    </row>
    <row r="60" spans="1:19" ht="13.9" x14ac:dyDescent="0.3">
      <c r="A60" s="2" t="s">
        <v>77</v>
      </c>
      <c r="B60" s="2">
        <v>0.5</v>
      </c>
      <c r="C60" s="2">
        <v>0</v>
      </c>
      <c r="D60" s="2">
        <v>0.68</v>
      </c>
      <c r="E60" s="2">
        <v>0.79</v>
      </c>
      <c r="F60" s="2">
        <v>0.4</v>
      </c>
      <c r="G60" s="2">
        <v>2.5299999999999998</v>
      </c>
      <c r="H60" s="2">
        <v>1.03</v>
      </c>
      <c r="I60" s="2">
        <v>531.39</v>
      </c>
      <c r="J60" s="2">
        <v>0</v>
      </c>
      <c r="K60" s="2">
        <v>13.24</v>
      </c>
      <c r="L60" s="2">
        <v>0.28999999999999998</v>
      </c>
      <c r="M60" s="2">
        <v>1.82</v>
      </c>
      <c r="N60" s="2">
        <v>0.66</v>
      </c>
      <c r="O60" s="2">
        <v>17.57</v>
      </c>
      <c r="P60" s="2">
        <v>0.91</v>
      </c>
      <c r="Q60" s="2">
        <v>2.52</v>
      </c>
      <c r="R60" s="2">
        <v>1.05</v>
      </c>
      <c r="S60" s="2">
        <v>1.51</v>
      </c>
    </row>
    <row r="61" spans="1:19" ht="13.9" x14ac:dyDescent="0.3">
      <c r="A61" s="2" t="s">
        <v>78</v>
      </c>
      <c r="B61" s="2">
        <v>1.01</v>
      </c>
      <c r="C61" s="2">
        <v>0</v>
      </c>
      <c r="D61" s="2">
        <v>0.68</v>
      </c>
      <c r="E61" s="2">
        <v>1.48</v>
      </c>
      <c r="F61" s="2">
        <v>0.4</v>
      </c>
      <c r="G61" s="2">
        <v>2.5299999999999998</v>
      </c>
      <c r="H61" s="2">
        <v>1.03</v>
      </c>
      <c r="I61" s="2">
        <v>531.39</v>
      </c>
      <c r="J61" s="2">
        <v>0.95</v>
      </c>
      <c r="K61" s="2">
        <v>13.24</v>
      </c>
      <c r="L61" s="2">
        <v>0.28999999999999998</v>
      </c>
      <c r="M61" s="2">
        <v>1.82</v>
      </c>
      <c r="N61" s="2">
        <v>0.66</v>
      </c>
      <c r="O61" s="2">
        <v>17.57</v>
      </c>
      <c r="P61" s="2">
        <v>1.64</v>
      </c>
      <c r="Q61" s="2">
        <v>2.52</v>
      </c>
      <c r="R61" s="2">
        <v>1.05</v>
      </c>
      <c r="S61" s="2">
        <v>1.51</v>
      </c>
    </row>
    <row r="62" spans="1:19" ht="13.9" x14ac:dyDescent="0.3">
      <c r="A62" s="2" t="s">
        <v>79</v>
      </c>
      <c r="B62" s="2">
        <v>0.13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0.14000000000000001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0.18</v>
      </c>
      <c r="R62" s="2">
        <v>0</v>
      </c>
      <c r="S62" s="2">
        <v>0</v>
      </c>
    </row>
    <row r="63" spans="1:19" ht="13.9" x14ac:dyDescent="0.3">
      <c r="A63" s="2" t="s">
        <v>80</v>
      </c>
      <c r="B63" s="2">
        <v>4.1500000000000004</v>
      </c>
      <c r="C63" s="2">
        <v>11.09</v>
      </c>
      <c r="D63" s="2">
        <v>2.61</v>
      </c>
      <c r="E63" s="2">
        <v>7.7</v>
      </c>
      <c r="F63" s="2">
        <v>5.48</v>
      </c>
      <c r="G63" s="2">
        <v>3.79</v>
      </c>
      <c r="H63" s="2">
        <v>7.61</v>
      </c>
      <c r="I63" s="2">
        <v>0</v>
      </c>
      <c r="J63" s="2">
        <v>12.86</v>
      </c>
      <c r="K63" s="2">
        <v>50.08</v>
      </c>
      <c r="L63" s="2">
        <v>46.85</v>
      </c>
      <c r="M63" s="2">
        <v>29.3</v>
      </c>
      <c r="N63" s="2">
        <v>24.06</v>
      </c>
      <c r="O63" s="2">
        <v>30.25</v>
      </c>
      <c r="P63" s="2">
        <v>71.92</v>
      </c>
      <c r="Q63" s="2">
        <v>48.87</v>
      </c>
      <c r="R63" s="2">
        <v>52.53</v>
      </c>
      <c r="S63" s="2">
        <v>88.99</v>
      </c>
    </row>
    <row r="64" spans="1:19" ht="13.9" x14ac:dyDescent="0.3">
      <c r="A64" s="2" t="s">
        <v>81</v>
      </c>
      <c r="B64" s="2">
        <v>923.44</v>
      </c>
      <c r="C64" s="2">
        <v>700.45</v>
      </c>
      <c r="D64" s="2">
        <v>699.64</v>
      </c>
      <c r="E64" s="2">
        <v>843.42</v>
      </c>
      <c r="F64" s="2">
        <v>678.83</v>
      </c>
      <c r="G64" s="2">
        <v>638.42999999999995</v>
      </c>
      <c r="H64" s="2">
        <v>648.72</v>
      </c>
      <c r="I64" s="2">
        <v>1348.92</v>
      </c>
      <c r="J64" s="2">
        <v>509.99</v>
      </c>
      <c r="K64" s="2">
        <v>287.89</v>
      </c>
      <c r="L64" s="2">
        <v>350.2</v>
      </c>
      <c r="M64" s="2">
        <v>197.35</v>
      </c>
      <c r="N64" s="2">
        <v>435.75</v>
      </c>
      <c r="O64" s="2">
        <v>336.42</v>
      </c>
      <c r="P64" s="2">
        <v>250.34</v>
      </c>
      <c r="Q64" s="2">
        <v>417.34</v>
      </c>
      <c r="R64" s="2">
        <v>331.71</v>
      </c>
      <c r="S64" s="2">
        <v>276.01</v>
      </c>
    </row>
    <row r="65" spans="1:19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ht="13.9" x14ac:dyDescent="0.3">
      <c r="A66" s="2" t="s">
        <v>83</v>
      </c>
      <c r="B66" s="2">
        <v>0.63</v>
      </c>
      <c r="C66" s="2">
        <v>5.77</v>
      </c>
      <c r="D66" s="2">
        <v>2.16</v>
      </c>
      <c r="E66" s="2">
        <v>3.65</v>
      </c>
      <c r="F66" s="2">
        <v>5.62</v>
      </c>
      <c r="G66" s="2">
        <v>2.3199999999999998</v>
      </c>
      <c r="H66" s="2">
        <v>4.63</v>
      </c>
      <c r="I66" s="2">
        <v>204.38</v>
      </c>
      <c r="J66" s="2">
        <v>1.76</v>
      </c>
      <c r="K66" s="2">
        <v>0</v>
      </c>
      <c r="L66" s="2">
        <v>0</v>
      </c>
      <c r="M66" s="2">
        <v>0.26</v>
      </c>
      <c r="N66" s="2">
        <v>0</v>
      </c>
      <c r="O66" s="2">
        <v>0</v>
      </c>
      <c r="P66" s="2">
        <v>0</v>
      </c>
      <c r="Q66" s="2">
        <v>0</v>
      </c>
      <c r="R66" s="2">
        <v>2.5099999999999998</v>
      </c>
      <c r="S66" s="2">
        <v>0</v>
      </c>
    </row>
    <row r="67" spans="1:19" ht="13.9" x14ac:dyDescent="0.3">
      <c r="A67" s="2" t="s">
        <v>84</v>
      </c>
      <c r="B67" s="2">
        <v>0.63</v>
      </c>
      <c r="C67" s="2">
        <v>5.77</v>
      </c>
      <c r="D67" s="2">
        <v>2.16</v>
      </c>
      <c r="E67" s="2">
        <v>3.65</v>
      </c>
      <c r="F67" s="2">
        <v>5.62</v>
      </c>
      <c r="G67" s="2">
        <v>2.3199999999999998</v>
      </c>
      <c r="H67" s="2">
        <v>4.63</v>
      </c>
      <c r="I67" s="2">
        <v>204.38</v>
      </c>
      <c r="J67" s="2">
        <v>1.76</v>
      </c>
      <c r="K67" s="2">
        <v>0</v>
      </c>
      <c r="L67" s="2">
        <v>0</v>
      </c>
      <c r="M67" s="2">
        <v>0.26</v>
      </c>
      <c r="N67" s="2">
        <v>0</v>
      </c>
      <c r="O67" s="2">
        <v>0</v>
      </c>
      <c r="P67" s="2">
        <v>0</v>
      </c>
      <c r="Q67" s="2">
        <v>0</v>
      </c>
      <c r="R67" s="2">
        <v>2.5099999999999998</v>
      </c>
      <c r="S67" s="2">
        <v>0</v>
      </c>
    </row>
    <row r="68" spans="1:19" ht="13.9" x14ac:dyDescent="0.3">
      <c r="A68" s="2" t="s">
        <v>85</v>
      </c>
      <c r="B68" s="2">
        <v>0.5</v>
      </c>
      <c r="C68" s="2">
        <v>0</v>
      </c>
      <c r="D68" s="2">
        <v>0.23</v>
      </c>
      <c r="E68" s="2">
        <v>0</v>
      </c>
      <c r="F68" s="2">
        <v>0</v>
      </c>
      <c r="G68" s="2">
        <v>1.37</v>
      </c>
      <c r="H68" s="2">
        <v>0.21</v>
      </c>
      <c r="I68" s="2">
        <v>0</v>
      </c>
      <c r="J68" s="2">
        <v>0.41</v>
      </c>
      <c r="K68" s="2">
        <v>0.39</v>
      </c>
      <c r="L68" s="2">
        <v>0</v>
      </c>
      <c r="M68" s="2">
        <v>0</v>
      </c>
      <c r="N68" s="2">
        <v>0</v>
      </c>
      <c r="O68" s="2">
        <v>0</v>
      </c>
      <c r="P68" s="2">
        <v>1.46</v>
      </c>
      <c r="Q68" s="2">
        <v>1.08</v>
      </c>
      <c r="R68" s="2">
        <v>0</v>
      </c>
      <c r="S68" s="2">
        <v>0</v>
      </c>
    </row>
    <row r="69" spans="1:19" ht="13.9" x14ac:dyDescent="0.3">
      <c r="A69" s="2" t="s">
        <v>86</v>
      </c>
      <c r="B69" s="2">
        <v>0</v>
      </c>
      <c r="C69" s="2">
        <v>0.44</v>
      </c>
      <c r="D69" s="2">
        <v>0</v>
      </c>
      <c r="E69" s="2">
        <v>0</v>
      </c>
      <c r="F69" s="2">
        <v>0.13</v>
      </c>
      <c r="G69" s="2">
        <v>0</v>
      </c>
      <c r="H69" s="2">
        <v>0.1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ht="13.9" x14ac:dyDescent="0.3">
      <c r="A70" s="2" t="s">
        <v>87</v>
      </c>
      <c r="B70" s="2">
        <v>11.33</v>
      </c>
      <c r="C70" s="2">
        <v>11.42</v>
      </c>
      <c r="D70" s="2">
        <v>9.3000000000000007</v>
      </c>
      <c r="E70" s="2">
        <v>7.7</v>
      </c>
      <c r="F70" s="2">
        <v>14.31</v>
      </c>
      <c r="G70" s="2">
        <v>10.33</v>
      </c>
      <c r="H70" s="2">
        <v>12.66</v>
      </c>
      <c r="I70" s="2">
        <v>163.51</v>
      </c>
      <c r="J70" s="2">
        <v>13.67</v>
      </c>
      <c r="K70" s="2">
        <v>0</v>
      </c>
      <c r="L70" s="2">
        <v>11.57</v>
      </c>
      <c r="M70" s="2">
        <v>0</v>
      </c>
      <c r="N70" s="2">
        <v>9.56</v>
      </c>
      <c r="O70" s="2">
        <v>20.98</v>
      </c>
      <c r="P70" s="2">
        <v>0</v>
      </c>
      <c r="Q70" s="2">
        <v>0.18</v>
      </c>
      <c r="R70" s="2">
        <v>5.23</v>
      </c>
      <c r="S70" s="2">
        <v>24.13</v>
      </c>
    </row>
    <row r="71" spans="1:19" ht="13.9" x14ac:dyDescent="0.3">
      <c r="A71" s="2" t="s">
        <v>88</v>
      </c>
      <c r="B71" s="2">
        <v>2.77</v>
      </c>
      <c r="C71" s="2">
        <v>2.5499999999999998</v>
      </c>
      <c r="D71" s="2">
        <v>1.02</v>
      </c>
      <c r="E71" s="2">
        <v>3.55</v>
      </c>
      <c r="F71" s="2">
        <v>2.81</v>
      </c>
      <c r="G71" s="2">
        <v>1.05</v>
      </c>
      <c r="H71" s="2">
        <v>1.23</v>
      </c>
      <c r="I71" s="2">
        <v>0</v>
      </c>
      <c r="J71" s="2">
        <v>3.65</v>
      </c>
      <c r="K71" s="2">
        <v>4.8499999999999996</v>
      </c>
      <c r="L71" s="2">
        <v>0</v>
      </c>
      <c r="M71" s="2">
        <v>8.82</v>
      </c>
      <c r="N71" s="2">
        <v>3.63</v>
      </c>
      <c r="O71" s="2">
        <v>0</v>
      </c>
      <c r="P71" s="2">
        <v>12.02</v>
      </c>
      <c r="Q71" s="2">
        <v>3.77</v>
      </c>
      <c r="R71" s="2">
        <v>7.95</v>
      </c>
      <c r="S71" s="2">
        <v>4.0199999999999996</v>
      </c>
    </row>
    <row r="72" spans="1:19" ht="13.9" x14ac:dyDescent="0.3">
      <c r="A72" s="2" t="s">
        <v>89</v>
      </c>
      <c r="B72" s="2">
        <v>50.6</v>
      </c>
      <c r="C72" s="2">
        <v>47.24</v>
      </c>
      <c r="D72" s="2">
        <v>27.79</v>
      </c>
      <c r="E72" s="2">
        <v>34.65</v>
      </c>
      <c r="F72" s="2">
        <v>54.95</v>
      </c>
      <c r="G72" s="2">
        <v>22.55</v>
      </c>
      <c r="H72" s="2">
        <v>25.72</v>
      </c>
      <c r="I72" s="2">
        <v>367.89</v>
      </c>
      <c r="J72" s="2">
        <v>42.5</v>
      </c>
      <c r="K72" s="2">
        <v>23.47</v>
      </c>
      <c r="L72" s="2">
        <v>67.67</v>
      </c>
      <c r="M72" s="2">
        <v>1.56</v>
      </c>
      <c r="N72" s="2">
        <v>19.12</v>
      </c>
      <c r="O72" s="2">
        <v>46.6</v>
      </c>
      <c r="P72" s="2">
        <v>30.4</v>
      </c>
      <c r="Q72" s="2">
        <v>21.92</v>
      </c>
      <c r="R72" s="2">
        <v>17.79</v>
      </c>
      <c r="S72" s="2">
        <v>34.19</v>
      </c>
    </row>
    <row r="73" spans="1:19" ht="13.9" x14ac:dyDescent="0.3">
      <c r="A73" s="2" t="s">
        <v>90</v>
      </c>
      <c r="B73" s="2">
        <v>0</v>
      </c>
      <c r="C73" s="2">
        <v>0.22</v>
      </c>
      <c r="D73" s="2">
        <v>0.11</v>
      </c>
      <c r="E73" s="2">
        <v>0.1</v>
      </c>
      <c r="F73" s="2">
        <v>0.13</v>
      </c>
      <c r="G73" s="2">
        <v>0.11</v>
      </c>
      <c r="H73" s="2">
        <v>0.1</v>
      </c>
      <c r="I73" s="2">
        <v>0</v>
      </c>
      <c r="J73" s="2">
        <v>0.14000000000000001</v>
      </c>
      <c r="K73" s="2">
        <v>0.26</v>
      </c>
      <c r="L73" s="2">
        <v>0.28999999999999998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17.09</v>
      </c>
    </row>
    <row r="74" spans="1:19" ht="13.9" x14ac:dyDescent="0.3">
      <c r="A74" s="2" t="s">
        <v>91</v>
      </c>
      <c r="B74" s="2">
        <v>2.39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ht="13.9" x14ac:dyDescent="0.3">
      <c r="A75" s="2" t="s">
        <v>92</v>
      </c>
      <c r="B75" s="2">
        <v>1.26</v>
      </c>
      <c r="C75" s="2">
        <v>0</v>
      </c>
      <c r="D75" s="2">
        <v>0.91</v>
      </c>
      <c r="E75" s="2">
        <v>0</v>
      </c>
      <c r="F75" s="2">
        <v>0</v>
      </c>
      <c r="G75" s="2">
        <v>0.11</v>
      </c>
      <c r="H75" s="2">
        <v>0.51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ht="13.9" x14ac:dyDescent="0.3">
      <c r="A76" s="2" t="s">
        <v>93</v>
      </c>
      <c r="B76" s="2">
        <v>1.51</v>
      </c>
      <c r="C76" s="2">
        <v>0.44</v>
      </c>
      <c r="D76" s="2">
        <v>0</v>
      </c>
      <c r="E76" s="2">
        <v>1.58</v>
      </c>
      <c r="F76" s="2">
        <v>1.07</v>
      </c>
      <c r="G76" s="2">
        <v>1.05</v>
      </c>
      <c r="H76" s="2">
        <v>1.34</v>
      </c>
      <c r="I76" s="2">
        <v>0</v>
      </c>
      <c r="J76" s="2">
        <v>0.27</v>
      </c>
      <c r="K76" s="2">
        <v>8.52</v>
      </c>
      <c r="L76" s="2">
        <v>0</v>
      </c>
      <c r="M76" s="2">
        <v>4.67</v>
      </c>
      <c r="N76" s="2">
        <v>0.33</v>
      </c>
      <c r="O76" s="2">
        <v>0</v>
      </c>
      <c r="P76" s="2">
        <v>12.02</v>
      </c>
      <c r="Q76" s="2">
        <v>0</v>
      </c>
      <c r="R76" s="2">
        <v>7.74</v>
      </c>
      <c r="S76" s="2">
        <v>0</v>
      </c>
    </row>
    <row r="77" spans="1:19" ht="13.9" x14ac:dyDescent="0.3">
      <c r="A77" s="2" t="s">
        <v>94</v>
      </c>
      <c r="B77" s="2">
        <v>4.41</v>
      </c>
      <c r="C77" s="2">
        <v>3.77</v>
      </c>
      <c r="D77" s="2">
        <v>9.08</v>
      </c>
      <c r="E77" s="2">
        <v>5.63</v>
      </c>
      <c r="F77" s="2">
        <v>6.69</v>
      </c>
      <c r="G77" s="2">
        <v>7.48</v>
      </c>
      <c r="H77" s="2">
        <v>8.1300000000000008</v>
      </c>
      <c r="I77" s="2">
        <v>0</v>
      </c>
      <c r="J77" s="2">
        <v>5.28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ht="13.9" x14ac:dyDescent="0.3">
      <c r="A78" s="2" t="s">
        <v>95</v>
      </c>
      <c r="B78" s="2">
        <v>1.51</v>
      </c>
      <c r="C78" s="2">
        <v>0.55000000000000004</v>
      </c>
      <c r="D78" s="2">
        <v>0.11</v>
      </c>
      <c r="E78" s="2">
        <v>0.89</v>
      </c>
      <c r="F78" s="2">
        <v>1.34</v>
      </c>
      <c r="G78" s="2">
        <v>2.5299999999999998</v>
      </c>
      <c r="H78" s="2">
        <v>0</v>
      </c>
      <c r="I78" s="2">
        <v>0</v>
      </c>
      <c r="J78" s="2">
        <v>0.81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3.82</v>
      </c>
      <c r="Q78" s="2">
        <v>0</v>
      </c>
      <c r="R78" s="2">
        <v>0</v>
      </c>
      <c r="S78" s="2">
        <v>0</v>
      </c>
    </row>
    <row r="79" spans="1:19" ht="13.9" x14ac:dyDescent="0.3">
      <c r="A79" s="2" t="s">
        <v>96</v>
      </c>
      <c r="B79" s="2">
        <v>0</v>
      </c>
      <c r="C79" s="2">
        <v>0.33</v>
      </c>
      <c r="D79" s="2">
        <v>0</v>
      </c>
      <c r="E79" s="2">
        <v>0</v>
      </c>
      <c r="F79" s="2">
        <v>0.27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ht="13.9" x14ac:dyDescent="0.3">
      <c r="A80" s="2" t="s">
        <v>97</v>
      </c>
      <c r="B80" s="2">
        <v>1246.57</v>
      </c>
      <c r="C80" s="2">
        <v>1122.1300000000001</v>
      </c>
      <c r="D80" s="2">
        <v>1494.68</v>
      </c>
      <c r="E80" s="2">
        <v>954.97</v>
      </c>
      <c r="F80" s="2">
        <v>1206.7</v>
      </c>
      <c r="G80" s="2">
        <v>1192.6500000000001</v>
      </c>
      <c r="H80" s="2">
        <v>1245.68</v>
      </c>
      <c r="I80" s="2">
        <v>981.03</v>
      </c>
      <c r="J80" s="2">
        <v>1262.52</v>
      </c>
      <c r="K80" s="2">
        <v>543.39</v>
      </c>
      <c r="L80" s="2">
        <v>603.52</v>
      </c>
      <c r="M80" s="2">
        <v>459.01</v>
      </c>
      <c r="N80" s="2">
        <v>668.13</v>
      </c>
      <c r="O80" s="2">
        <v>1068.31</v>
      </c>
      <c r="P80" s="2">
        <v>745.56</v>
      </c>
      <c r="Q80" s="2">
        <v>519.91999999999996</v>
      </c>
      <c r="R80" s="2">
        <v>859.31</v>
      </c>
      <c r="S80" s="2">
        <v>1173.4000000000001</v>
      </c>
    </row>
    <row r="81" spans="1:19" ht="13.9" x14ac:dyDescent="0.3">
      <c r="A81" s="2" t="s">
        <v>98</v>
      </c>
      <c r="B81" s="2">
        <v>0</v>
      </c>
      <c r="C81" s="2">
        <v>1.77</v>
      </c>
      <c r="D81" s="2">
        <v>2.38</v>
      </c>
      <c r="E81" s="2">
        <v>1.28</v>
      </c>
      <c r="F81" s="2">
        <v>1.87</v>
      </c>
      <c r="G81" s="2">
        <v>0</v>
      </c>
      <c r="H81" s="2">
        <v>2.2599999999999998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15.59</v>
      </c>
    </row>
    <row r="82" spans="1:19" ht="13.9" x14ac:dyDescent="0.3">
      <c r="A82" s="2" t="s">
        <v>99</v>
      </c>
      <c r="B82" s="2">
        <v>4.03</v>
      </c>
      <c r="C82" s="2">
        <v>3.1</v>
      </c>
      <c r="D82" s="2">
        <v>9.64</v>
      </c>
      <c r="E82" s="2">
        <v>3.16</v>
      </c>
      <c r="F82" s="2">
        <v>3.08</v>
      </c>
      <c r="G82" s="2">
        <v>7.06</v>
      </c>
      <c r="H82" s="2">
        <v>5.56</v>
      </c>
      <c r="I82" s="2">
        <v>0</v>
      </c>
      <c r="J82" s="2">
        <v>5.82</v>
      </c>
      <c r="K82" s="2">
        <v>0</v>
      </c>
      <c r="L82" s="2">
        <v>0</v>
      </c>
      <c r="M82" s="2">
        <v>0</v>
      </c>
      <c r="N82" s="2">
        <v>5.93</v>
      </c>
      <c r="O82" s="2">
        <v>0</v>
      </c>
      <c r="P82" s="2">
        <v>10.01</v>
      </c>
      <c r="Q82" s="2">
        <v>0</v>
      </c>
      <c r="R82" s="2">
        <v>6.7</v>
      </c>
      <c r="S82" s="2">
        <v>0</v>
      </c>
    </row>
    <row r="83" spans="1:19" ht="13.9" x14ac:dyDescent="0.3">
      <c r="A83" s="2" t="s">
        <v>100</v>
      </c>
      <c r="B83" s="2">
        <v>0</v>
      </c>
      <c r="C83" s="2">
        <v>0.33</v>
      </c>
      <c r="D83" s="2">
        <v>0</v>
      </c>
      <c r="E83" s="2">
        <v>0</v>
      </c>
      <c r="F83" s="2">
        <v>0.13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ht="13.9" x14ac:dyDescent="0.3">
      <c r="A84" s="2" t="s">
        <v>101</v>
      </c>
      <c r="B84" s="2">
        <v>1.01</v>
      </c>
      <c r="C84" s="2">
        <v>2.66</v>
      </c>
      <c r="D84" s="2">
        <v>0</v>
      </c>
      <c r="E84" s="2">
        <v>0.39</v>
      </c>
      <c r="F84" s="2">
        <v>2.67</v>
      </c>
      <c r="G84" s="2">
        <v>0.53</v>
      </c>
      <c r="H84" s="2">
        <v>0</v>
      </c>
      <c r="I84" s="2">
        <v>0</v>
      </c>
      <c r="J84" s="2">
        <v>0.41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</row>
    <row r="85" spans="1:19" ht="13.9" x14ac:dyDescent="0.3">
      <c r="A85" s="2" t="s">
        <v>102</v>
      </c>
      <c r="B85" s="2">
        <v>2.0099999999999998</v>
      </c>
      <c r="C85" s="2">
        <v>2.44</v>
      </c>
      <c r="D85" s="2">
        <v>1.25</v>
      </c>
      <c r="E85" s="2">
        <v>3.46</v>
      </c>
      <c r="F85" s="2">
        <v>4.95</v>
      </c>
      <c r="G85" s="2">
        <v>1.69</v>
      </c>
      <c r="H85" s="2">
        <v>2.06</v>
      </c>
      <c r="I85" s="2">
        <v>0</v>
      </c>
      <c r="J85" s="2">
        <v>3.79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15.81</v>
      </c>
      <c r="R85" s="2">
        <v>0</v>
      </c>
      <c r="S85" s="2">
        <v>0</v>
      </c>
    </row>
    <row r="86" spans="1:19" ht="13.9" x14ac:dyDescent="0.3">
      <c r="A86" s="2" t="s">
        <v>103</v>
      </c>
      <c r="B86" s="2">
        <v>0.25</v>
      </c>
      <c r="C86" s="2">
        <v>0</v>
      </c>
      <c r="D86" s="2">
        <v>0.68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ht="13.9" x14ac:dyDescent="0.3">
      <c r="A87" s="2" t="s">
        <v>104</v>
      </c>
      <c r="B87" s="2">
        <v>8.69</v>
      </c>
      <c r="C87" s="2">
        <v>8.5399999999999991</v>
      </c>
      <c r="D87" s="2">
        <v>6.92</v>
      </c>
      <c r="E87" s="2">
        <v>2.27</v>
      </c>
      <c r="F87" s="2">
        <v>38.51</v>
      </c>
      <c r="G87" s="2">
        <v>7.38</v>
      </c>
      <c r="H87" s="2">
        <v>4.42</v>
      </c>
      <c r="I87" s="2">
        <v>0</v>
      </c>
      <c r="J87" s="2">
        <v>44.8</v>
      </c>
      <c r="K87" s="2">
        <v>30.68</v>
      </c>
      <c r="L87" s="2">
        <v>0</v>
      </c>
      <c r="M87" s="2">
        <v>4.1500000000000004</v>
      </c>
      <c r="N87" s="2">
        <v>0</v>
      </c>
      <c r="O87" s="2">
        <v>14.15</v>
      </c>
      <c r="P87" s="2">
        <v>0</v>
      </c>
      <c r="Q87" s="2">
        <v>9.52</v>
      </c>
      <c r="R87" s="2">
        <v>11.72</v>
      </c>
      <c r="S87" s="2">
        <v>24.13</v>
      </c>
    </row>
    <row r="88" spans="1:19" ht="13.9" x14ac:dyDescent="0.3">
      <c r="A88" s="2" t="s">
        <v>105</v>
      </c>
      <c r="B88" s="2">
        <v>2.9</v>
      </c>
      <c r="C88" s="2">
        <v>1.89</v>
      </c>
      <c r="D88" s="2">
        <v>1.02</v>
      </c>
      <c r="E88" s="2">
        <v>1.0900000000000001</v>
      </c>
      <c r="F88" s="2">
        <v>0.4</v>
      </c>
      <c r="G88" s="2">
        <v>2.21</v>
      </c>
      <c r="H88" s="2">
        <v>2.06</v>
      </c>
      <c r="I88" s="2">
        <v>327.01</v>
      </c>
      <c r="J88" s="2">
        <v>3.79</v>
      </c>
      <c r="K88" s="2">
        <v>6.16</v>
      </c>
      <c r="L88" s="2">
        <v>0</v>
      </c>
      <c r="M88" s="2">
        <v>0</v>
      </c>
      <c r="N88" s="2">
        <v>5.93</v>
      </c>
      <c r="O88" s="2">
        <v>0</v>
      </c>
      <c r="P88" s="2">
        <v>5.28</v>
      </c>
      <c r="Q88" s="2">
        <v>0</v>
      </c>
      <c r="R88" s="2">
        <v>2.5099999999999998</v>
      </c>
      <c r="S88" s="2">
        <v>11.06</v>
      </c>
    </row>
    <row r="89" spans="1:19" ht="13.9" x14ac:dyDescent="0.3">
      <c r="A89" s="2" t="s">
        <v>106</v>
      </c>
      <c r="B89" s="2">
        <v>0.5</v>
      </c>
      <c r="C89" s="2">
        <v>0.67</v>
      </c>
      <c r="D89" s="2">
        <v>0</v>
      </c>
      <c r="E89" s="2">
        <v>0.3</v>
      </c>
      <c r="F89" s="2">
        <v>0.27</v>
      </c>
      <c r="G89" s="2">
        <v>0.21</v>
      </c>
      <c r="H89" s="2">
        <v>0</v>
      </c>
      <c r="I89" s="2">
        <v>0</v>
      </c>
      <c r="J89" s="2">
        <v>0</v>
      </c>
      <c r="K89" s="2">
        <v>0</v>
      </c>
      <c r="L89" s="2">
        <v>13.59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ht="13.9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3.02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 ht="13.9" x14ac:dyDescent="0.3">
      <c r="A91" s="2" t="s">
        <v>108</v>
      </c>
      <c r="B91" s="2">
        <v>10.7</v>
      </c>
      <c r="C91" s="2">
        <v>8.76</v>
      </c>
      <c r="D91" s="2">
        <v>11.69</v>
      </c>
      <c r="E91" s="2">
        <v>8.2899999999999991</v>
      </c>
      <c r="F91" s="2">
        <v>7.35</v>
      </c>
      <c r="G91" s="2">
        <v>4.95</v>
      </c>
      <c r="H91" s="2">
        <v>7.31</v>
      </c>
      <c r="I91" s="2">
        <v>0</v>
      </c>
      <c r="J91" s="2">
        <v>10.69</v>
      </c>
      <c r="K91" s="2">
        <v>12.19</v>
      </c>
      <c r="L91" s="2">
        <v>6.94</v>
      </c>
      <c r="M91" s="2">
        <v>0</v>
      </c>
      <c r="N91" s="2">
        <v>20.11</v>
      </c>
      <c r="O91" s="2">
        <v>0</v>
      </c>
      <c r="P91" s="2">
        <v>5.64</v>
      </c>
      <c r="Q91" s="2">
        <v>0</v>
      </c>
      <c r="R91" s="2">
        <v>4.3899999999999997</v>
      </c>
      <c r="S91" s="2">
        <v>28.15</v>
      </c>
    </row>
    <row r="92" spans="1:19" ht="13.9" x14ac:dyDescent="0.3">
      <c r="A92" s="2" t="s">
        <v>109</v>
      </c>
      <c r="B92" s="2">
        <v>1.64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0.27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ht="13.9" x14ac:dyDescent="0.3">
      <c r="A94" s="2" t="s">
        <v>111</v>
      </c>
      <c r="B94" s="2">
        <v>0.5</v>
      </c>
      <c r="C94" s="2">
        <v>0.78</v>
      </c>
      <c r="D94" s="2">
        <v>0</v>
      </c>
      <c r="E94" s="2">
        <v>0</v>
      </c>
      <c r="F94" s="2">
        <v>0.67</v>
      </c>
      <c r="G94" s="2">
        <v>0</v>
      </c>
      <c r="H94" s="2">
        <v>0.41</v>
      </c>
      <c r="I94" s="2">
        <v>0</v>
      </c>
      <c r="J94" s="2">
        <v>0</v>
      </c>
      <c r="K94" s="2">
        <v>0</v>
      </c>
      <c r="L94" s="2">
        <v>0</v>
      </c>
      <c r="M94" s="2">
        <v>9.85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</row>
    <row r="95" spans="1:19" ht="13.9" x14ac:dyDescent="0.3">
      <c r="A95" s="2" t="s">
        <v>112</v>
      </c>
      <c r="B95" s="2">
        <v>0</v>
      </c>
      <c r="C95" s="2">
        <v>0.11</v>
      </c>
      <c r="D95" s="2">
        <v>0</v>
      </c>
      <c r="E95" s="2">
        <v>0</v>
      </c>
      <c r="F95" s="2">
        <v>0</v>
      </c>
      <c r="G95" s="2">
        <v>0.32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ht="13.9" x14ac:dyDescent="0.3">
      <c r="A96" s="2" t="s">
        <v>113</v>
      </c>
      <c r="B96" s="2">
        <v>2.77</v>
      </c>
      <c r="C96" s="2">
        <v>0</v>
      </c>
      <c r="D96" s="2">
        <v>0</v>
      </c>
      <c r="E96" s="2">
        <v>1.68</v>
      </c>
      <c r="F96" s="2">
        <v>1.2</v>
      </c>
      <c r="G96" s="2">
        <v>1.26</v>
      </c>
      <c r="H96" s="2">
        <v>0.51</v>
      </c>
      <c r="I96" s="2">
        <v>0</v>
      </c>
      <c r="J96" s="2">
        <v>0.68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9.65</v>
      </c>
      <c r="Q96" s="2">
        <v>0</v>
      </c>
      <c r="R96" s="2">
        <v>9.2100000000000009</v>
      </c>
      <c r="S96" s="2">
        <v>0</v>
      </c>
    </row>
    <row r="97" spans="1:19" ht="13.9" x14ac:dyDescent="0.3">
      <c r="A97" s="2" t="s">
        <v>114</v>
      </c>
      <c r="B97" s="2">
        <v>46.07</v>
      </c>
      <c r="C97" s="2">
        <v>26.5</v>
      </c>
      <c r="D97" s="2">
        <v>25.75</v>
      </c>
      <c r="E97" s="2">
        <v>22.7</v>
      </c>
      <c r="F97" s="2">
        <v>43.19</v>
      </c>
      <c r="G97" s="2">
        <v>52.9</v>
      </c>
      <c r="H97" s="2">
        <v>23.46</v>
      </c>
      <c r="I97" s="2">
        <v>0</v>
      </c>
      <c r="J97" s="2">
        <v>20.71</v>
      </c>
      <c r="K97" s="2">
        <v>9.44</v>
      </c>
      <c r="L97" s="2">
        <v>7.81</v>
      </c>
      <c r="M97" s="2">
        <v>0</v>
      </c>
      <c r="N97" s="2">
        <v>17.8</v>
      </c>
      <c r="O97" s="2">
        <v>5.37</v>
      </c>
      <c r="P97" s="2">
        <v>0.18</v>
      </c>
      <c r="Q97" s="2">
        <v>0.18</v>
      </c>
      <c r="R97" s="2">
        <v>0</v>
      </c>
      <c r="S97" s="2">
        <v>0</v>
      </c>
    </row>
    <row r="98" spans="1:19" ht="13.9" x14ac:dyDescent="0.3">
      <c r="A98" s="2" t="s">
        <v>115</v>
      </c>
      <c r="B98" s="2">
        <v>22.41</v>
      </c>
      <c r="C98" s="2">
        <v>23.29</v>
      </c>
      <c r="D98" s="2">
        <v>13.05</v>
      </c>
      <c r="E98" s="2">
        <v>17.87</v>
      </c>
      <c r="F98" s="2">
        <v>19.52</v>
      </c>
      <c r="G98" s="2">
        <v>16.329999999999998</v>
      </c>
      <c r="H98" s="2">
        <v>26.24</v>
      </c>
      <c r="I98" s="2">
        <v>0</v>
      </c>
      <c r="J98" s="2">
        <v>32.89</v>
      </c>
      <c r="K98" s="2">
        <v>16.91</v>
      </c>
      <c r="L98" s="2">
        <v>25.74</v>
      </c>
      <c r="M98" s="2">
        <v>14</v>
      </c>
      <c r="N98" s="2">
        <v>4.28</v>
      </c>
      <c r="O98" s="2">
        <v>23.91</v>
      </c>
      <c r="P98" s="2">
        <v>10.01</v>
      </c>
      <c r="Q98" s="2">
        <v>4.13</v>
      </c>
      <c r="R98" s="2">
        <v>7.95</v>
      </c>
      <c r="S98" s="2">
        <v>0</v>
      </c>
    </row>
    <row r="99" spans="1:19" ht="13.9" x14ac:dyDescent="0.3">
      <c r="A99" s="2" t="s">
        <v>116</v>
      </c>
      <c r="B99" s="2">
        <v>3.02</v>
      </c>
      <c r="C99" s="2">
        <v>0.55000000000000004</v>
      </c>
      <c r="D99" s="2">
        <v>1.1299999999999999</v>
      </c>
      <c r="E99" s="2">
        <v>0.49</v>
      </c>
      <c r="F99" s="2">
        <v>0.27</v>
      </c>
      <c r="G99" s="2">
        <v>0.11</v>
      </c>
      <c r="H99" s="2">
        <v>0.41</v>
      </c>
      <c r="I99" s="2">
        <v>0</v>
      </c>
      <c r="J99" s="2">
        <v>1.62</v>
      </c>
      <c r="K99" s="2">
        <v>8.65</v>
      </c>
      <c r="L99" s="2">
        <v>0</v>
      </c>
      <c r="M99" s="2">
        <v>0</v>
      </c>
      <c r="N99" s="2">
        <v>2.97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ht="13.9" x14ac:dyDescent="0.3">
      <c r="A100" s="2" t="s">
        <v>117</v>
      </c>
      <c r="B100" s="2">
        <v>48.34</v>
      </c>
      <c r="C100" s="2">
        <v>49.45</v>
      </c>
      <c r="D100" s="2">
        <v>55.25</v>
      </c>
      <c r="E100" s="2">
        <v>63.38</v>
      </c>
      <c r="F100" s="2">
        <v>77.95</v>
      </c>
      <c r="G100" s="2">
        <v>60.49</v>
      </c>
      <c r="H100" s="2">
        <v>53.81</v>
      </c>
      <c r="I100" s="2">
        <v>0</v>
      </c>
      <c r="J100" s="2">
        <v>99.07</v>
      </c>
      <c r="K100" s="2">
        <v>26.61</v>
      </c>
      <c r="L100" s="2">
        <v>26.6</v>
      </c>
      <c r="M100" s="2">
        <v>12.19</v>
      </c>
      <c r="N100" s="2">
        <v>22.41</v>
      </c>
      <c r="O100" s="2">
        <v>60.5</v>
      </c>
      <c r="P100" s="2">
        <v>18.39</v>
      </c>
      <c r="Q100" s="2">
        <v>53.9</v>
      </c>
      <c r="R100" s="2">
        <v>22.39</v>
      </c>
      <c r="S100" s="2">
        <v>47.26</v>
      </c>
    </row>
    <row r="101" spans="1:19" ht="13.9" x14ac:dyDescent="0.3">
      <c r="A101" s="2" t="s">
        <v>118</v>
      </c>
      <c r="B101" s="2">
        <v>2.64</v>
      </c>
      <c r="C101" s="2">
        <v>9.65</v>
      </c>
      <c r="D101" s="2">
        <v>8.85</v>
      </c>
      <c r="E101" s="2">
        <v>5.82</v>
      </c>
      <c r="F101" s="2">
        <v>8.56</v>
      </c>
      <c r="G101" s="2">
        <v>10.96</v>
      </c>
      <c r="H101" s="2">
        <v>4.32</v>
      </c>
      <c r="I101" s="2">
        <v>0</v>
      </c>
      <c r="J101" s="2">
        <v>14.62</v>
      </c>
      <c r="K101" s="2">
        <v>0</v>
      </c>
      <c r="L101" s="2">
        <v>0</v>
      </c>
      <c r="M101" s="2">
        <v>0</v>
      </c>
      <c r="N101" s="2">
        <v>4.9400000000000004</v>
      </c>
      <c r="O101" s="2">
        <v>0</v>
      </c>
      <c r="P101" s="2">
        <v>0</v>
      </c>
      <c r="Q101" s="2">
        <v>10.06</v>
      </c>
      <c r="R101" s="2">
        <v>0</v>
      </c>
      <c r="S101" s="2">
        <v>24.13</v>
      </c>
    </row>
    <row r="102" spans="1:19" ht="13.9" x14ac:dyDescent="0.3">
      <c r="A102" s="2" t="s">
        <v>119</v>
      </c>
      <c r="B102" s="2">
        <v>0.25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>
        <v>0.62</v>
      </c>
      <c r="I102" s="2">
        <v>0</v>
      </c>
      <c r="J102" s="2">
        <v>0.41</v>
      </c>
      <c r="K102" s="2">
        <v>0.13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0.21</v>
      </c>
      <c r="S102" s="2">
        <v>0</v>
      </c>
    </row>
    <row r="103" spans="1:19" ht="13.9" x14ac:dyDescent="0.3">
      <c r="A103" s="2" t="s">
        <v>120</v>
      </c>
      <c r="B103" s="2">
        <v>0.25</v>
      </c>
      <c r="C103" s="2">
        <v>0</v>
      </c>
      <c r="D103" s="2">
        <v>0</v>
      </c>
      <c r="E103" s="2">
        <v>0</v>
      </c>
      <c r="F103" s="2">
        <v>0.13</v>
      </c>
      <c r="G103" s="2">
        <v>0.32</v>
      </c>
      <c r="H103" s="2">
        <v>0</v>
      </c>
      <c r="I103" s="2">
        <v>0</v>
      </c>
      <c r="J103" s="2">
        <v>0.27</v>
      </c>
      <c r="K103" s="2">
        <v>0</v>
      </c>
      <c r="L103" s="2">
        <v>2.89</v>
      </c>
      <c r="M103" s="2">
        <v>2.0699999999999998</v>
      </c>
      <c r="N103" s="2">
        <v>0</v>
      </c>
      <c r="O103" s="2">
        <v>0.73</v>
      </c>
      <c r="P103" s="2">
        <v>0</v>
      </c>
      <c r="Q103" s="2">
        <v>0</v>
      </c>
      <c r="R103" s="2">
        <v>0</v>
      </c>
      <c r="S103" s="2">
        <v>0</v>
      </c>
    </row>
    <row r="104" spans="1:19" ht="13.9" x14ac:dyDescent="0.3">
      <c r="A104" s="2" t="s">
        <v>121</v>
      </c>
      <c r="B104" s="2">
        <v>0.13</v>
      </c>
      <c r="C104" s="2">
        <v>0.11</v>
      </c>
      <c r="D104" s="2">
        <v>0</v>
      </c>
      <c r="E104" s="2">
        <v>0</v>
      </c>
      <c r="F104" s="2">
        <v>0.4</v>
      </c>
      <c r="G104" s="2">
        <v>0.53</v>
      </c>
      <c r="H104" s="2">
        <v>0.31</v>
      </c>
      <c r="I104" s="2">
        <v>0</v>
      </c>
      <c r="J104" s="2">
        <v>0.27</v>
      </c>
      <c r="K104" s="2">
        <v>0</v>
      </c>
      <c r="L104" s="2">
        <v>0</v>
      </c>
      <c r="M104" s="2">
        <v>0</v>
      </c>
      <c r="N104" s="2">
        <v>4.28</v>
      </c>
      <c r="O104" s="2">
        <v>0</v>
      </c>
      <c r="P104" s="2">
        <v>0</v>
      </c>
      <c r="Q104" s="2">
        <v>0</v>
      </c>
      <c r="R104" s="2">
        <v>0.21</v>
      </c>
      <c r="S104" s="2">
        <v>0</v>
      </c>
    </row>
    <row r="105" spans="1:19" ht="13.9" x14ac:dyDescent="0.3">
      <c r="A105" s="2" t="s">
        <v>122</v>
      </c>
      <c r="B105" s="2">
        <v>3.15</v>
      </c>
      <c r="C105" s="2">
        <v>2.77</v>
      </c>
      <c r="D105" s="2">
        <v>3.74</v>
      </c>
      <c r="E105" s="2">
        <v>1.78</v>
      </c>
      <c r="F105" s="2">
        <v>2.54</v>
      </c>
      <c r="G105" s="2">
        <v>1.58</v>
      </c>
      <c r="H105" s="2">
        <v>2.88</v>
      </c>
      <c r="I105" s="2">
        <v>0</v>
      </c>
      <c r="J105" s="2">
        <v>0.68</v>
      </c>
      <c r="K105" s="2">
        <v>0</v>
      </c>
      <c r="L105" s="2">
        <v>9.83</v>
      </c>
      <c r="M105" s="2">
        <v>0</v>
      </c>
      <c r="N105" s="2">
        <v>5.93</v>
      </c>
      <c r="O105" s="2">
        <v>9.27</v>
      </c>
      <c r="P105" s="2">
        <v>1.46</v>
      </c>
      <c r="Q105" s="2">
        <v>0.36</v>
      </c>
      <c r="R105" s="2">
        <v>0</v>
      </c>
      <c r="S105" s="2">
        <v>0</v>
      </c>
    </row>
    <row r="106" spans="1:19" ht="13.9" x14ac:dyDescent="0.3">
      <c r="A106" s="2" t="s">
        <v>123</v>
      </c>
      <c r="B106" s="2">
        <v>0.76</v>
      </c>
      <c r="C106" s="2">
        <v>0.89</v>
      </c>
      <c r="D106" s="2">
        <v>0</v>
      </c>
      <c r="E106" s="2">
        <v>0.39</v>
      </c>
      <c r="F106" s="2">
        <v>1.07</v>
      </c>
      <c r="G106" s="2">
        <v>0.63</v>
      </c>
      <c r="H106" s="2">
        <v>0.51</v>
      </c>
      <c r="I106" s="2">
        <v>0</v>
      </c>
      <c r="J106" s="2">
        <v>1.08</v>
      </c>
      <c r="K106" s="2">
        <v>0</v>
      </c>
      <c r="L106" s="2">
        <v>0</v>
      </c>
      <c r="M106" s="2">
        <v>14</v>
      </c>
      <c r="N106" s="2">
        <v>0</v>
      </c>
      <c r="O106" s="2">
        <v>5.61</v>
      </c>
      <c r="P106" s="2">
        <v>3.64</v>
      </c>
      <c r="Q106" s="2">
        <v>0</v>
      </c>
      <c r="R106" s="2">
        <v>0</v>
      </c>
      <c r="S106" s="2">
        <v>0</v>
      </c>
    </row>
    <row r="107" spans="1:19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ht="13.9" x14ac:dyDescent="0.3">
      <c r="A108" s="2" t="s">
        <v>125</v>
      </c>
      <c r="B108" s="2">
        <v>0</v>
      </c>
      <c r="C108" s="2">
        <v>0.78</v>
      </c>
      <c r="D108" s="2">
        <v>0</v>
      </c>
      <c r="E108" s="2">
        <v>1.18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ht="13.9" x14ac:dyDescent="0.3">
      <c r="A109" s="2" t="s">
        <v>126</v>
      </c>
      <c r="B109" s="2">
        <v>4.1500000000000004</v>
      </c>
      <c r="C109" s="2">
        <v>5.54</v>
      </c>
      <c r="D109" s="2">
        <v>3.29</v>
      </c>
      <c r="E109" s="2">
        <v>4.54</v>
      </c>
      <c r="F109" s="2">
        <v>5.21</v>
      </c>
      <c r="G109" s="2">
        <v>4.22</v>
      </c>
      <c r="H109" s="2">
        <v>4.12</v>
      </c>
      <c r="I109" s="2">
        <v>0</v>
      </c>
      <c r="J109" s="2">
        <v>6.5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4.01</v>
      </c>
      <c r="Q109" s="2">
        <v>0</v>
      </c>
      <c r="R109" s="2">
        <v>1.88</v>
      </c>
      <c r="S109" s="2">
        <v>0</v>
      </c>
    </row>
    <row r="110" spans="1:19" ht="13.9" x14ac:dyDescent="0.3">
      <c r="A110" s="2" t="s">
        <v>127</v>
      </c>
      <c r="B110" s="2">
        <v>0</v>
      </c>
      <c r="C110" s="2">
        <v>0</v>
      </c>
      <c r="D110" s="2">
        <v>0.23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0.54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ht="13.9" x14ac:dyDescent="0.3">
      <c r="A111" s="2" t="s">
        <v>128</v>
      </c>
      <c r="B111" s="2">
        <v>9.94</v>
      </c>
      <c r="C111" s="2">
        <v>9.98</v>
      </c>
      <c r="D111" s="2">
        <v>6.81</v>
      </c>
      <c r="E111" s="2">
        <v>8.8800000000000008</v>
      </c>
      <c r="F111" s="2">
        <v>7.35</v>
      </c>
      <c r="G111" s="2">
        <v>4</v>
      </c>
      <c r="H111" s="2">
        <v>6.89</v>
      </c>
      <c r="I111" s="2">
        <v>0</v>
      </c>
      <c r="J111" s="2">
        <v>8.39</v>
      </c>
      <c r="K111" s="2">
        <v>20.84</v>
      </c>
      <c r="L111" s="2">
        <v>0</v>
      </c>
      <c r="M111" s="2">
        <v>0</v>
      </c>
      <c r="N111" s="2">
        <v>0</v>
      </c>
      <c r="O111" s="2">
        <v>14.39</v>
      </c>
      <c r="P111" s="2">
        <v>0</v>
      </c>
      <c r="Q111" s="2">
        <v>3.95</v>
      </c>
      <c r="R111" s="2">
        <v>9.42</v>
      </c>
      <c r="S111" s="2">
        <v>20.61</v>
      </c>
    </row>
    <row r="112" spans="1:19" ht="13.9" x14ac:dyDescent="0.3">
      <c r="A112" s="2" t="s">
        <v>129</v>
      </c>
      <c r="B112" s="2">
        <v>0.63</v>
      </c>
      <c r="C112" s="2">
        <v>0.78</v>
      </c>
      <c r="D112" s="2">
        <v>1.25</v>
      </c>
      <c r="E112" s="2">
        <v>0.39</v>
      </c>
      <c r="F112" s="2">
        <v>0</v>
      </c>
      <c r="G112" s="2">
        <v>0</v>
      </c>
      <c r="H112" s="2">
        <v>0.31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ht="13.9" x14ac:dyDescent="0.3">
      <c r="A113" s="2" t="s">
        <v>130</v>
      </c>
      <c r="B113" s="2">
        <v>0</v>
      </c>
      <c r="C113" s="2">
        <v>0.89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ht="13.9" x14ac:dyDescent="0.3">
      <c r="A114" s="2" t="s">
        <v>131</v>
      </c>
      <c r="B114" s="2">
        <v>0.13</v>
      </c>
      <c r="C114" s="2">
        <v>0.55000000000000004</v>
      </c>
      <c r="D114" s="2">
        <v>0</v>
      </c>
      <c r="E114" s="2">
        <v>0.1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0.66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 ht="13.9" x14ac:dyDescent="0.3">
      <c r="A115" s="2" t="s">
        <v>132</v>
      </c>
      <c r="B115" s="2">
        <v>0.63</v>
      </c>
      <c r="C115" s="2">
        <v>0.44</v>
      </c>
      <c r="D115" s="2">
        <v>0</v>
      </c>
      <c r="E115" s="2">
        <v>0.3</v>
      </c>
      <c r="F115" s="2">
        <v>0.13</v>
      </c>
      <c r="G115" s="2">
        <v>0</v>
      </c>
      <c r="H115" s="2">
        <v>0.72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ht="13.9" x14ac:dyDescent="0.3">
      <c r="A116" s="2" t="s">
        <v>133</v>
      </c>
      <c r="B116" s="2">
        <v>7.93</v>
      </c>
      <c r="C116" s="2">
        <v>6.65</v>
      </c>
      <c r="D116" s="2">
        <v>2.61</v>
      </c>
      <c r="E116" s="2">
        <v>4.9400000000000004</v>
      </c>
      <c r="F116" s="2">
        <v>7.22</v>
      </c>
      <c r="G116" s="2">
        <v>4</v>
      </c>
      <c r="H116" s="2">
        <v>7.2</v>
      </c>
      <c r="I116" s="2">
        <v>0</v>
      </c>
      <c r="J116" s="2">
        <v>3.38</v>
      </c>
      <c r="K116" s="2">
        <v>12.06</v>
      </c>
      <c r="L116" s="2">
        <v>22.27</v>
      </c>
      <c r="M116" s="2">
        <v>4.67</v>
      </c>
      <c r="N116" s="2">
        <v>9.56</v>
      </c>
      <c r="O116" s="2">
        <v>18.54</v>
      </c>
      <c r="P116" s="2">
        <v>32.770000000000003</v>
      </c>
      <c r="Q116" s="2">
        <v>15.27</v>
      </c>
      <c r="R116" s="2">
        <v>12.14</v>
      </c>
      <c r="S116" s="2">
        <v>0</v>
      </c>
    </row>
    <row r="117" spans="1:19" ht="13.9" x14ac:dyDescent="0.3">
      <c r="A117" s="2" t="s">
        <v>134</v>
      </c>
      <c r="B117" s="2">
        <v>12.59</v>
      </c>
      <c r="C117" s="2">
        <v>5.88</v>
      </c>
      <c r="D117" s="2">
        <v>5.79</v>
      </c>
      <c r="E117" s="2">
        <v>4.84</v>
      </c>
      <c r="F117" s="2">
        <v>7.22</v>
      </c>
      <c r="G117" s="2">
        <v>6.11</v>
      </c>
      <c r="H117" s="2">
        <v>3.91</v>
      </c>
      <c r="I117" s="2">
        <v>40.880000000000003</v>
      </c>
      <c r="J117" s="2">
        <v>8.8000000000000007</v>
      </c>
      <c r="K117" s="2">
        <v>4.33</v>
      </c>
      <c r="L117" s="2">
        <v>0.87</v>
      </c>
      <c r="M117" s="2">
        <v>0</v>
      </c>
      <c r="N117" s="2">
        <v>0.33</v>
      </c>
      <c r="O117" s="2">
        <v>25.37</v>
      </c>
      <c r="P117" s="2">
        <v>0.18</v>
      </c>
      <c r="Q117" s="2">
        <v>41.14</v>
      </c>
      <c r="R117" s="2">
        <v>26.79</v>
      </c>
      <c r="S117" s="2">
        <v>50.27</v>
      </c>
    </row>
    <row r="118" spans="1:19" ht="13.9" x14ac:dyDescent="0.3">
      <c r="A118" s="2" t="s">
        <v>135</v>
      </c>
      <c r="B118" s="2">
        <v>122.23</v>
      </c>
      <c r="C118" s="2">
        <v>63.42</v>
      </c>
      <c r="D118" s="2">
        <v>65.69</v>
      </c>
      <c r="E118" s="2">
        <v>119.45</v>
      </c>
      <c r="F118" s="2">
        <v>71.930000000000007</v>
      </c>
      <c r="G118" s="2">
        <v>72.510000000000005</v>
      </c>
      <c r="H118" s="2">
        <v>39.92</v>
      </c>
      <c r="I118" s="2">
        <v>81.75</v>
      </c>
      <c r="J118" s="2">
        <v>79.72</v>
      </c>
      <c r="K118" s="2">
        <v>39.07</v>
      </c>
      <c r="L118" s="2">
        <v>63.62</v>
      </c>
      <c r="M118" s="2">
        <v>28.27</v>
      </c>
      <c r="N118" s="2">
        <v>115.36</v>
      </c>
      <c r="O118" s="2">
        <v>23.66</v>
      </c>
      <c r="P118" s="2">
        <v>60.26</v>
      </c>
      <c r="Q118" s="2">
        <v>43.84</v>
      </c>
      <c r="R118" s="2">
        <v>54.62</v>
      </c>
      <c r="S118" s="2">
        <v>58.32</v>
      </c>
    </row>
    <row r="119" spans="1:19" ht="13.9" x14ac:dyDescent="0.3">
      <c r="A119" s="2" t="s">
        <v>136</v>
      </c>
      <c r="B119" s="2">
        <v>1551.2</v>
      </c>
      <c r="C119" s="2">
        <v>1842.54</v>
      </c>
      <c r="D119" s="2">
        <v>1395.19</v>
      </c>
      <c r="E119" s="2">
        <v>1555.36</v>
      </c>
      <c r="F119" s="2">
        <v>2087.56</v>
      </c>
      <c r="G119" s="2">
        <v>1738.97</v>
      </c>
      <c r="H119" s="2">
        <v>1360.71</v>
      </c>
      <c r="I119" s="2">
        <v>35889.47</v>
      </c>
      <c r="J119" s="2">
        <v>3015.14</v>
      </c>
      <c r="K119" s="2">
        <v>906.79</v>
      </c>
      <c r="L119" s="2">
        <v>2020.22</v>
      </c>
      <c r="M119" s="2">
        <v>1235.95</v>
      </c>
      <c r="N119" s="2">
        <v>1715.97</v>
      </c>
      <c r="O119" s="2">
        <v>2416.6799999999998</v>
      </c>
      <c r="P119" s="2">
        <v>1338.72</v>
      </c>
      <c r="Q119" s="2">
        <v>1053.1300000000001</v>
      </c>
      <c r="R119" s="2">
        <v>1918.69</v>
      </c>
      <c r="S119" s="2">
        <v>2716.82</v>
      </c>
    </row>
    <row r="120" spans="1:19" ht="13.9" x14ac:dyDescent="0.3">
      <c r="A120" s="2" t="s">
        <v>137</v>
      </c>
      <c r="B120" s="2">
        <v>52.37</v>
      </c>
      <c r="C120" s="2">
        <v>44.8</v>
      </c>
      <c r="D120" s="2">
        <v>40.270000000000003</v>
      </c>
      <c r="E120" s="2">
        <v>44.62</v>
      </c>
      <c r="F120" s="2">
        <v>42.65</v>
      </c>
      <c r="G120" s="2">
        <v>47</v>
      </c>
      <c r="H120" s="2">
        <v>42.39</v>
      </c>
      <c r="I120" s="2">
        <v>40.880000000000003</v>
      </c>
      <c r="J120" s="2">
        <v>45.75</v>
      </c>
      <c r="K120" s="2">
        <v>9.44</v>
      </c>
      <c r="L120" s="2">
        <v>11.57</v>
      </c>
      <c r="M120" s="2">
        <v>26.71</v>
      </c>
      <c r="N120" s="2">
        <v>48.45</v>
      </c>
      <c r="O120" s="2">
        <v>35.619999999999997</v>
      </c>
      <c r="P120" s="2">
        <v>41.33</v>
      </c>
      <c r="Q120" s="2">
        <v>41.86</v>
      </c>
      <c r="R120" s="2">
        <v>52.53</v>
      </c>
      <c r="S120" s="2">
        <v>36.200000000000003</v>
      </c>
    </row>
    <row r="121" spans="1:19" ht="13.9" x14ac:dyDescent="0.3">
      <c r="A121" s="2" t="s">
        <v>138</v>
      </c>
      <c r="B121" s="2">
        <v>2.0099999999999998</v>
      </c>
      <c r="C121" s="2">
        <v>2.2200000000000002</v>
      </c>
      <c r="D121" s="2">
        <v>2.16</v>
      </c>
      <c r="E121" s="2">
        <v>1.97</v>
      </c>
      <c r="F121" s="2">
        <v>0.4</v>
      </c>
      <c r="G121" s="2">
        <v>1.1599999999999999</v>
      </c>
      <c r="H121" s="2">
        <v>0.41</v>
      </c>
      <c r="I121" s="2">
        <v>0</v>
      </c>
      <c r="J121" s="2">
        <v>2.2999999999999998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0.21</v>
      </c>
      <c r="S121" s="2">
        <v>0</v>
      </c>
    </row>
    <row r="122" spans="1:19" ht="13.9" x14ac:dyDescent="0.3">
      <c r="A122" s="2" t="s">
        <v>139</v>
      </c>
      <c r="B122" s="2">
        <v>481.36</v>
      </c>
      <c r="C122" s="2">
        <v>331.1</v>
      </c>
      <c r="D122" s="2">
        <v>545.79999999999995</v>
      </c>
      <c r="E122" s="2">
        <v>496.64</v>
      </c>
      <c r="F122" s="2">
        <v>315.27999999999997</v>
      </c>
      <c r="G122" s="2">
        <v>448.52</v>
      </c>
      <c r="H122" s="2">
        <v>468.35</v>
      </c>
      <c r="I122" s="2">
        <v>10832.24</v>
      </c>
      <c r="J122" s="2">
        <v>359.62</v>
      </c>
      <c r="K122" s="2">
        <v>488.2</v>
      </c>
      <c r="L122" s="2">
        <v>586.16999999999996</v>
      </c>
      <c r="M122" s="2">
        <v>548.22</v>
      </c>
      <c r="N122" s="2">
        <v>1013.56</v>
      </c>
      <c r="O122" s="2">
        <v>413.51</v>
      </c>
      <c r="P122" s="2">
        <v>908.5</v>
      </c>
      <c r="Q122" s="2">
        <v>525.66999999999996</v>
      </c>
      <c r="R122" s="2">
        <v>616.33000000000004</v>
      </c>
      <c r="S122" s="2">
        <v>843.1</v>
      </c>
    </row>
    <row r="123" spans="1:19" ht="13.9" x14ac:dyDescent="0.3">
      <c r="A123" s="2" t="s">
        <v>140</v>
      </c>
      <c r="B123" s="2">
        <v>449.39</v>
      </c>
      <c r="C123" s="2">
        <v>244.39</v>
      </c>
      <c r="D123" s="2">
        <v>405.8</v>
      </c>
      <c r="E123" s="2">
        <v>394.86</v>
      </c>
      <c r="F123" s="2">
        <v>228.1</v>
      </c>
      <c r="G123" s="2">
        <v>332.81</v>
      </c>
      <c r="H123" s="2">
        <v>297.56</v>
      </c>
      <c r="I123" s="2">
        <v>42511.45</v>
      </c>
      <c r="J123" s="2">
        <v>255</v>
      </c>
      <c r="K123" s="2">
        <v>180.52</v>
      </c>
      <c r="L123" s="2">
        <v>252.74</v>
      </c>
      <c r="M123" s="2">
        <v>337.64</v>
      </c>
      <c r="N123" s="2">
        <v>453.55</v>
      </c>
      <c r="O123" s="2">
        <v>400.58</v>
      </c>
      <c r="P123" s="2">
        <v>260.17</v>
      </c>
      <c r="Q123" s="2">
        <v>229.78</v>
      </c>
      <c r="R123" s="2">
        <v>348.45</v>
      </c>
      <c r="S123" s="2">
        <v>358.46</v>
      </c>
    </row>
    <row r="124" spans="1:19" ht="13.9" x14ac:dyDescent="0.3">
      <c r="A124" s="2" t="s">
        <v>141</v>
      </c>
      <c r="B124" s="2">
        <v>37289.800000000003</v>
      </c>
      <c r="C124" s="2">
        <v>31030.3</v>
      </c>
      <c r="D124" s="2">
        <v>38207.480000000003</v>
      </c>
      <c r="E124" s="2">
        <v>34934.629999999997</v>
      </c>
      <c r="F124" s="2">
        <v>36247.47</v>
      </c>
      <c r="G124" s="2">
        <v>34512.76</v>
      </c>
      <c r="H124" s="2">
        <v>36692.68</v>
      </c>
      <c r="I124" s="2">
        <v>26201.77</v>
      </c>
      <c r="J124" s="2">
        <v>38539.879999999997</v>
      </c>
      <c r="K124" s="2">
        <v>17685.14</v>
      </c>
      <c r="L124" s="2">
        <v>21037.05</v>
      </c>
      <c r="M124" s="2">
        <v>19080.2</v>
      </c>
      <c r="N124" s="2">
        <v>27666.15</v>
      </c>
      <c r="O124" s="2">
        <v>31697.439999999999</v>
      </c>
      <c r="P124" s="2">
        <v>27150.62</v>
      </c>
      <c r="Q124" s="2">
        <v>22950.22</v>
      </c>
      <c r="R124" s="2">
        <v>34979.019999999997</v>
      </c>
      <c r="S124" s="2">
        <v>31510.86</v>
      </c>
    </row>
    <row r="125" spans="1:19" ht="13.9" x14ac:dyDescent="0.3">
      <c r="A125" s="2" t="s">
        <v>142</v>
      </c>
      <c r="B125" s="2">
        <v>7.43</v>
      </c>
      <c r="C125" s="2">
        <v>2.33</v>
      </c>
      <c r="D125" s="2">
        <v>6.47</v>
      </c>
      <c r="E125" s="2">
        <v>10.96</v>
      </c>
      <c r="F125" s="2">
        <v>0.53</v>
      </c>
      <c r="G125" s="2">
        <v>5.69</v>
      </c>
      <c r="H125" s="2">
        <v>3.4</v>
      </c>
      <c r="I125" s="2">
        <v>0</v>
      </c>
      <c r="J125" s="2">
        <v>0.68</v>
      </c>
      <c r="K125" s="2">
        <v>31.07</v>
      </c>
      <c r="L125" s="2">
        <v>32.68</v>
      </c>
      <c r="M125" s="2">
        <v>19.190000000000001</v>
      </c>
      <c r="N125" s="2">
        <v>32.299999999999997</v>
      </c>
      <c r="O125" s="2">
        <v>0.24</v>
      </c>
      <c r="P125" s="2">
        <v>15.66</v>
      </c>
      <c r="Q125" s="2">
        <v>20.3</v>
      </c>
      <c r="R125" s="2">
        <v>31.39</v>
      </c>
      <c r="S125" s="2">
        <v>10.56</v>
      </c>
    </row>
    <row r="126" spans="1:19" ht="13.9" x14ac:dyDescent="0.3">
      <c r="A126" s="2" t="s">
        <v>143</v>
      </c>
      <c r="B126" s="2">
        <v>0.13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0.1</v>
      </c>
      <c r="I126" s="2">
        <v>0</v>
      </c>
      <c r="J126" s="2">
        <v>0.27</v>
      </c>
      <c r="K126" s="2">
        <v>0</v>
      </c>
      <c r="L126" s="2">
        <v>0</v>
      </c>
      <c r="M126" s="2">
        <v>0.26</v>
      </c>
      <c r="N126" s="2">
        <v>0.33</v>
      </c>
      <c r="O126" s="2">
        <v>0</v>
      </c>
      <c r="P126" s="2">
        <v>0</v>
      </c>
      <c r="Q126" s="2">
        <v>0.18</v>
      </c>
      <c r="R126" s="2">
        <v>0.21</v>
      </c>
      <c r="S126" s="2">
        <v>0</v>
      </c>
    </row>
    <row r="127" spans="1:19" ht="13.9" x14ac:dyDescent="0.3">
      <c r="A127" s="2" t="s">
        <v>144</v>
      </c>
      <c r="B127" s="2">
        <v>0.38</v>
      </c>
      <c r="C127" s="2">
        <v>1.55</v>
      </c>
      <c r="D127" s="2">
        <v>0.56999999999999995</v>
      </c>
      <c r="E127" s="2">
        <v>0.89</v>
      </c>
      <c r="F127" s="2">
        <v>0.4</v>
      </c>
      <c r="G127" s="2">
        <v>0.84</v>
      </c>
      <c r="H127" s="2">
        <v>0.62</v>
      </c>
      <c r="I127" s="2">
        <v>0</v>
      </c>
      <c r="J127" s="2">
        <v>1.22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1.05</v>
      </c>
      <c r="S127" s="2">
        <v>1.51</v>
      </c>
    </row>
    <row r="128" spans="1:19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0.81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ht="13.9" x14ac:dyDescent="0.3">
      <c r="A129" s="2" t="s">
        <v>146</v>
      </c>
      <c r="B129" s="2">
        <v>0.88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</row>
    <row r="130" spans="1:19" ht="13.9" x14ac:dyDescent="0.3">
      <c r="A130" s="2" t="s">
        <v>147</v>
      </c>
      <c r="B130" s="2">
        <v>817.83</v>
      </c>
      <c r="C130" s="2">
        <v>876.31</v>
      </c>
      <c r="D130" s="2">
        <v>687.84</v>
      </c>
      <c r="E130" s="2">
        <v>802.65</v>
      </c>
      <c r="F130" s="2">
        <v>854.92</v>
      </c>
      <c r="G130" s="2">
        <v>953.95</v>
      </c>
      <c r="H130" s="2">
        <v>488.11</v>
      </c>
      <c r="I130" s="2">
        <v>408.76</v>
      </c>
      <c r="J130" s="2">
        <v>856.62</v>
      </c>
      <c r="K130" s="2">
        <v>302.95999999999998</v>
      </c>
      <c r="L130" s="2">
        <v>240.02</v>
      </c>
      <c r="M130" s="2">
        <v>149.63</v>
      </c>
      <c r="N130" s="2">
        <v>441.35</v>
      </c>
      <c r="O130" s="2">
        <v>338.37</v>
      </c>
      <c r="P130" s="2">
        <v>330.63</v>
      </c>
      <c r="Q130" s="2">
        <v>201.03</v>
      </c>
      <c r="R130" s="2">
        <v>279.18</v>
      </c>
      <c r="S130" s="2">
        <v>463.03</v>
      </c>
    </row>
    <row r="131" spans="1:19" ht="13.9" x14ac:dyDescent="0.3">
      <c r="A131" s="2" t="s">
        <v>148</v>
      </c>
      <c r="B131" s="2">
        <v>7.05</v>
      </c>
      <c r="C131" s="2">
        <v>2.88</v>
      </c>
      <c r="D131" s="2">
        <v>2.95</v>
      </c>
      <c r="E131" s="2">
        <v>2.4700000000000002</v>
      </c>
      <c r="F131" s="2">
        <v>3.08</v>
      </c>
      <c r="G131" s="2">
        <v>2.74</v>
      </c>
      <c r="H131" s="2">
        <v>1.75</v>
      </c>
      <c r="I131" s="2">
        <v>0</v>
      </c>
      <c r="J131" s="2">
        <v>2.84</v>
      </c>
      <c r="K131" s="2">
        <v>0.13</v>
      </c>
      <c r="L131" s="2">
        <v>8.68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30.16</v>
      </c>
    </row>
    <row r="132" spans="1:19" ht="13.9" x14ac:dyDescent="0.3">
      <c r="A132" s="2" t="s">
        <v>149</v>
      </c>
      <c r="B132" s="2">
        <v>15658.25</v>
      </c>
      <c r="C132" s="2">
        <v>15752.1</v>
      </c>
      <c r="D132" s="2">
        <v>14630.53</v>
      </c>
      <c r="E132" s="2">
        <v>12831.5</v>
      </c>
      <c r="F132" s="2">
        <v>13324.27</v>
      </c>
      <c r="G132" s="2">
        <v>14612.51</v>
      </c>
      <c r="H132" s="2">
        <v>10571.28</v>
      </c>
      <c r="I132" s="2">
        <v>7439.5</v>
      </c>
      <c r="J132" s="2">
        <v>12405.17</v>
      </c>
      <c r="K132" s="2">
        <v>4968.68</v>
      </c>
      <c r="L132" s="2">
        <v>5582.06</v>
      </c>
      <c r="M132" s="2">
        <v>3309.26</v>
      </c>
      <c r="N132" s="2">
        <v>4844.34</v>
      </c>
      <c r="O132" s="2">
        <v>7090.74</v>
      </c>
      <c r="P132" s="2">
        <v>5312.47</v>
      </c>
      <c r="Q132" s="2">
        <v>4694.3500000000004</v>
      </c>
      <c r="R132" s="2">
        <v>7137.32</v>
      </c>
      <c r="S132" s="2">
        <v>6295.84</v>
      </c>
    </row>
    <row r="133" spans="1:19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ht="13.9" x14ac:dyDescent="0.3">
      <c r="A134" s="2" t="s">
        <v>151</v>
      </c>
      <c r="B134" s="2">
        <v>460161.67</v>
      </c>
      <c r="C134" s="2">
        <v>475799.58</v>
      </c>
      <c r="D134" s="2">
        <v>509770.63</v>
      </c>
      <c r="E134" s="2">
        <v>485250.17</v>
      </c>
      <c r="F134" s="2">
        <v>498712.81</v>
      </c>
      <c r="G134" s="2">
        <v>474124.89</v>
      </c>
      <c r="H134" s="2">
        <v>546281.47</v>
      </c>
      <c r="I134" s="2">
        <v>186478.09</v>
      </c>
      <c r="J134" s="2">
        <v>475505.43</v>
      </c>
      <c r="K134" s="2">
        <v>111493.66</v>
      </c>
      <c r="L134" s="2">
        <v>203233.22</v>
      </c>
      <c r="M134" s="2">
        <v>71595.86</v>
      </c>
      <c r="N134" s="2">
        <v>164978.38</v>
      </c>
      <c r="O134" s="2">
        <v>283447.26</v>
      </c>
      <c r="P134" s="2">
        <v>190839.22</v>
      </c>
      <c r="Q134" s="2">
        <v>167017.59</v>
      </c>
      <c r="R134" s="2">
        <v>219498.55</v>
      </c>
      <c r="S134" s="2">
        <v>196217.17</v>
      </c>
    </row>
    <row r="135" spans="1:19" ht="13.9" x14ac:dyDescent="0.3">
      <c r="A135" s="2" t="s">
        <v>152</v>
      </c>
      <c r="B135" s="2">
        <v>0</v>
      </c>
      <c r="C135" s="2">
        <v>1</v>
      </c>
      <c r="D135" s="2">
        <v>0.34</v>
      </c>
      <c r="E135" s="2">
        <v>1.28</v>
      </c>
      <c r="F135" s="2">
        <v>1.87</v>
      </c>
      <c r="G135" s="2">
        <v>1.48</v>
      </c>
      <c r="H135" s="2">
        <v>0.72</v>
      </c>
      <c r="I135" s="2">
        <v>0</v>
      </c>
      <c r="J135" s="2">
        <v>0</v>
      </c>
      <c r="K135" s="2">
        <v>0</v>
      </c>
      <c r="L135" s="2">
        <v>3.76</v>
      </c>
      <c r="M135" s="2">
        <v>0</v>
      </c>
      <c r="N135" s="2">
        <v>0</v>
      </c>
      <c r="O135" s="2">
        <v>0</v>
      </c>
      <c r="P135" s="2">
        <v>4.92</v>
      </c>
      <c r="Q135" s="2">
        <v>0</v>
      </c>
      <c r="R135" s="2">
        <v>0</v>
      </c>
      <c r="S135" s="2">
        <v>12.57</v>
      </c>
    </row>
    <row r="136" spans="1:19" ht="13.9" x14ac:dyDescent="0.3">
      <c r="A136" s="2" t="s">
        <v>153</v>
      </c>
      <c r="B136" s="2">
        <v>1582.04</v>
      </c>
      <c r="C136" s="2">
        <v>1624.87</v>
      </c>
      <c r="D136" s="2">
        <v>1328.03</v>
      </c>
      <c r="E136" s="2">
        <v>1494.45</v>
      </c>
      <c r="F136" s="2">
        <v>1615.98</v>
      </c>
      <c r="G136" s="2">
        <v>1507.23</v>
      </c>
      <c r="H136" s="2">
        <v>1373.47</v>
      </c>
      <c r="I136" s="2">
        <v>490.52</v>
      </c>
      <c r="J136" s="2">
        <v>1842.49</v>
      </c>
      <c r="K136" s="2">
        <v>850.29</v>
      </c>
      <c r="L136" s="2">
        <v>2011.25</v>
      </c>
      <c r="M136" s="2">
        <v>842.55</v>
      </c>
      <c r="N136" s="2">
        <v>1507.98</v>
      </c>
      <c r="O136" s="2">
        <v>1860.21</v>
      </c>
      <c r="P136" s="2">
        <v>1320.34</v>
      </c>
      <c r="Q136" s="2">
        <v>894.32</v>
      </c>
      <c r="R136" s="2">
        <v>1642.86</v>
      </c>
      <c r="S136" s="2">
        <v>2201.5100000000002</v>
      </c>
    </row>
    <row r="137" spans="1:19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>
        <v>0.1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ht="13.9" x14ac:dyDescent="0.3">
      <c r="A138" s="2" t="s">
        <v>155</v>
      </c>
      <c r="B138" s="2">
        <v>91.26</v>
      </c>
      <c r="C138" s="2">
        <v>86.71</v>
      </c>
      <c r="D138" s="2">
        <v>68.75</v>
      </c>
      <c r="E138" s="2">
        <v>70.09</v>
      </c>
      <c r="F138" s="2">
        <v>87.85</v>
      </c>
      <c r="G138" s="2">
        <v>76.09</v>
      </c>
      <c r="H138" s="2">
        <v>49.9</v>
      </c>
      <c r="I138" s="2">
        <v>40.880000000000003</v>
      </c>
      <c r="J138" s="2">
        <v>88.52</v>
      </c>
      <c r="K138" s="2">
        <v>49.16</v>
      </c>
      <c r="L138" s="2">
        <v>57.26</v>
      </c>
      <c r="M138" s="2">
        <v>48.49</v>
      </c>
      <c r="N138" s="2">
        <v>35.93</v>
      </c>
      <c r="O138" s="2">
        <v>53.92</v>
      </c>
      <c r="P138" s="2">
        <v>35.5</v>
      </c>
      <c r="Q138" s="2">
        <v>16.89</v>
      </c>
      <c r="R138" s="2">
        <v>51.27</v>
      </c>
      <c r="S138" s="2">
        <v>80.44</v>
      </c>
    </row>
    <row r="139" spans="1:19" ht="13.9" x14ac:dyDescent="0.3">
      <c r="A139" s="2" t="s">
        <v>156</v>
      </c>
      <c r="B139" s="2">
        <v>1159.3399999999999</v>
      </c>
      <c r="C139" s="2">
        <v>1439.81</v>
      </c>
      <c r="D139" s="2">
        <v>788.58</v>
      </c>
      <c r="E139" s="2">
        <v>935.62</v>
      </c>
      <c r="F139" s="2">
        <v>1416.22</v>
      </c>
      <c r="G139" s="2">
        <v>993.79</v>
      </c>
      <c r="H139" s="2">
        <v>596.86</v>
      </c>
      <c r="I139" s="2">
        <v>981.03</v>
      </c>
      <c r="J139" s="2">
        <v>1669.65</v>
      </c>
      <c r="K139" s="2">
        <v>3179.48</v>
      </c>
      <c r="L139" s="2">
        <v>8459.41</v>
      </c>
      <c r="M139" s="2">
        <v>2419.5100000000002</v>
      </c>
      <c r="N139" s="2">
        <v>3702.55</v>
      </c>
      <c r="O139" s="2">
        <v>4780.18</v>
      </c>
      <c r="P139" s="2">
        <v>2205.9</v>
      </c>
      <c r="Q139" s="2">
        <v>3477.38</v>
      </c>
      <c r="R139" s="2">
        <v>4315.37</v>
      </c>
      <c r="S139" s="2">
        <v>12846.57</v>
      </c>
    </row>
    <row r="140" spans="1:19" ht="13.9" x14ac:dyDescent="0.3">
      <c r="A140" s="2" t="s">
        <v>157</v>
      </c>
      <c r="B140" s="2">
        <v>5972.17</v>
      </c>
      <c r="C140" s="2">
        <v>5366.06</v>
      </c>
      <c r="D140" s="2">
        <v>3976.48</v>
      </c>
      <c r="E140" s="2">
        <v>5098.05</v>
      </c>
      <c r="F140" s="2">
        <v>5500.82</v>
      </c>
      <c r="G140" s="2">
        <v>4256.54</v>
      </c>
      <c r="H140" s="2">
        <v>4177.32</v>
      </c>
      <c r="I140" s="2">
        <v>16841.07</v>
      </c>
      <c r="J140" s="2">
        <v>4539.97</v>
      </c>
      <c r="K140" s="2">
        <v>1186.95</v>
      </c>
      <c r="L140" s="2">
        <v>1923.34</v>
      </c>
      <c r="M140" s="2">
        <v>641.57000000000005</v>
      </c>
      <c r="N140" s="2">
        <v>1606.87</v>
      </c>
      <c r="O140" s="2">
        <v>2641.86</v>
      </c>
      <c r="P140" s="2">
        <v>1471.45</v>
      </c>
      <c r="Q140" s="2">
        <v>1604.13</v>
      </c>
      <c r="R140" s="2">
        <v>2463.2399999999998</v>
      </c>
      <c r="S140" s="2">
        <v>1629.89</v>
      </c>
    </row>
    <row r="141" spans="1:19" ht="13.9" x14ac:dyDescent="0.3">
      <c r="A141" s="2" t="s">
        <v>158</v>
      </c>
      <c r="B141" s="2">
        <v>21.53</v>
      </c>
      <c r="C141" s="2">
        <v>10.76</v>
      </c>
      <c r="D141" s="2">
        <v>8.4</v>
      </c>
      <c r="E141" s="2">
        <v>9.67</v>
      </c>
      <c r="F141" s="2">
        <v>16.579999999999998</v>
      </c>
      <c r="G141" s="2">
        <v>10.43</v>
      </c>
      <c r="H141" s="2">
        <v>10.08</v>
      </c>
      <c r="I141" s="2">
        <v>40.880000000000003</v>
      </c>
      <c r="J141" s="2">
        <v>13.4</v>
      </c>
      <c r="K141" s="2">
        <v>11.54</v>
      </c>
      <c r="L141" s="2">
        <v>9.25</v>
      </c>
      <c r="M141" s="2">
        <v>19.71</v>
      </c>
      <c r="N141" s="2">
        <v>22.08</v>
      </c>
      <c r="O141" s="2">
        <v>17.079999999999998</v>
      </c>
      <c r="P141" s="2">
        <v>24.03</v>
      </c>
      <c r="Q141" s="2">
        <v>9.34</v>
      </c>
      <c r="R141" s="2">
        <v>9.84</v>
      </c>
      <c r="S141" s="2">
        <v>38.21</v>
      </c>
    </row>
    <row r="142" spans="1:19" ht="13.9" x14ac:dyDescent="0.3">
      <c r="A142" s="2" t="s">
        <v>159</v>
      </c>
      <c r="B142" s="2">
        <v>21.53</v>
      </c>
      <c r="C142" s="2">
        <v>10.76</v>
      </c>
      <c r="D142" s="2">
        <v>8.4</v>
      </c>
      <c r="E142" s="2">
        <v>9.67</v>
      </c>
      <c r="F142" s="2">
        <v>16.45</v>
      </c>
      <c r="G142" s="2">
        <v>10.43</v>
      </c>
      <c r="H142" s="2">
        <v>9.67</v>
      </c>
      <c r="I142" s="2">
        <v>40.880000000000003</v>
      </c>
      <c r="J142" s="2">
        <v>13.4</v>
      </c>
      <c r="K142" s="2">
        <v>11.54</v>
      </c>
      <c r="L142" s="2">
        <v>9.25</v>
      </c>
      <c r="M142" s="2">
        <v>19.71</v>
      </c>
      <c r="N142" s="2">
        <v>22.08</v>
      </c>
      <c r="O142" s="2">
        <v>17.079999999999998</v>
      </c>
      <c r="P142" s="2">
        <v>24.03</v>
      </c>
      <c r="Q142" s="2">
        <v>9.34</v>
      </c>
      <c r="R142" s="2">
        <v>9.84</v>
      </c>
      <c r="S142" s="2">
        <v>38.21</v>
      </c>
    </row>
    <row r="143" spans="1:19" ht="13.9" x14ac:dyDescent="0.3">
      <c r="A143" s="2" t="s">
        <v>160</v>
      </c>
      <c r="B143" s="2">
        <v>211.1</v>
      </c>
      <c r="C143" s="2">
        <v>216.44</v>
      </c>
      <c r="D143" s="2">
        <v>162.68</v>
      </c>
      <c r="E143" s="2">
        <v>218.06</v>
      </c>
      <c r="F143" s="2">
        <v>204.04</v>
      </c>
      <c r="G143" s="2">
        <v>216.15</v>
      </c>
      <c r="H143" s="2">
        <v>180.98</v>
      </c>
      <c r="I143" s="2">
        <v>122.63</v>
      </c>
      <c r="J143" s="2">
        <v>225.35</v>
      </c>
      <c r="K143" s="2">
        <v>62.53</v>
      </c>
      <c r="L143" s="2">
        <v>65.930000000000007</v>
      </c>
      <c r="M143" s="2">
        <v>34.75</v>
      </c>
      <c r="N143" s="2">
        <v>135.13999999999999</v>
      </c>
      <c r="O143" s="2">
        <v>141.25</v>
      </c>
      <c r="P143" s="2">
        <v>102.68</v>
      </c>
      <c r="Q143" s="2">
        <v>104.2</v>
      </c>
      <c r="R143" s="2">
        <v>169.52</v>
      </c>
      <c r="S143" s="2">
        <v>126.19</v>
      </c>
    </row>
    <row r="144" spans="1:19" ht="13.9" x14ac:dyDescent="0.3">
      <c r="A144" s="2" t="s">
        <v>161</v>
      </c>
      <c r="B144" s="2">
        <v>0.13</v>
      </c>
      <c r="C144" s="2">
        <v>0</v>
      </c>
      <c r="D144" s="2">
        <v>0.91</v>
      </c>
      <c r="E144" s="2">
        <v>0.49</v>
      </c>
      <c r="F144" s="2">
        <v>0.67</v>
      </c>
      <c r="G144" s="2">
        <v>0.32</v>
      </c>
      <c r="H144" s="2">
        <v>0</v>
      </c>
      <c r="I144" s="2">
        <v>0</v>
      </c>
      <c r="J144" s="2">
        <v>0</v>
      </c>
      <c r="K144" s="2">
        <v>0</v>
      </c>
      <c r="L144" s="2">
        <v>11.57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ht="13.9" x14ac:dyDescent="0.3">
      <c r="A145" s="2" t="s">
        <v>162</v>
      </c>
      <c r="B145" s="2">
        <v>0</v>
      </c>
      <c r="C145" s="2">
        <v>0.89</v>
      </c>
      <c r="D145" s="2">
        <v>0</v>
      </c>
      <c r="E145" s="2">
        <v>0.99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ht="13.9" x14ac:dyDescent="0.3">
      <c r="A147" s="2" t="s">
        <v>164</v>
      </c>
      <c r="B147" s="2">
        <v>0</v>
      </c>
      <c r="C147" s="2">
        <v>0.11</v>
      </c>
      <c r="D147" s="2">
        <v>0.45</v>
      </c>
      <c r="E147" s="2">
        <v>0</v>
      </c>
      <c r="F147" s="2">
        <v>0.27</v>
      </c>
      <c r="G147" s="2">
        <v>0</v>
      </c>
      <c r="H147" s="2">
        <v>0.51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ht="13.9" x14ac:dyDescent="0.3">
      <c r="A148" s="2" t="s">
        <v>165</v>
      </c>
      <c r="B148" s="2">
        <v>775.91</v>
      </c>
      <c r="C148" s="2">
        <v>999.05</v>
      </c>
      <c r="D148" s="2">
        <v>604.34</v>
      </c>
      <c r="E148" s="2">
        <v>628.22</v>
      </c>
      <c r="F148" s="2">
        <v>980.2</v>
      </c>
      <c r="G148" s="2">
        <v>788.39</v>
      </c>
      <c r="H148" s="2">
        <v>584.72</v>
      </c>
      <c r="I148" s="2">
        <v>245.26</v>
      </c>
      <c r="J148" s="2">
        <v>1025.8</v>
      </c>
      <c r="K148" s="2">
        <v>233.88</v>
      </c>
      <c r="L148" s="2">
        <v>296.12</v>
      </c>
      <c r="M148" s="2">
        <v>180.23</v>
      </c>
      <c r="N148" s="2">
        <v>233.37</v>
      </c>
      <c r="O148" s="2">
        <v>414.25</v>
      </c>
      <c r="P148" s="2">
        <v>228.31</v>
      </c>
      <c r="Q148" s="2">
        <v>199.06</v>
      </c>
      <c r="R148" s="2">
        <v>230</v>
      </c>
      <c r="S148" s="2">
        <v>257.91000000000003</v>
      </c>
    </row>
    <row r="149" spans="1:19" ht="13.9" x14ac:dyDescent="0.3">
      <c r="A149" s="2" t="s">
        <v>166</v>
      </c>
      <c r="B149" s="2">
        <v>0.13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>
        <v>0.1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ht="13.9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3.3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</row>
    <row r="151" spans="1:19" ht="13.9" x14ac:dyDescent="0.3">
      <c r="A151" s="2" t="s">
        <v>168</v>
      </c>
      <c r="B151" s="2">
        <v>7.43</v>
      </c>
      <c r="C151" s="2">
        <v>10.31</v>
      </c>
      <c r="D151" s="2">
        <v>7.83</v>
      </c>
      <c r="E151" s="2">
        <v>6.81</v>
      </c>
      <c r="F151" s="2">
        <v>7.62</v>
      </c>
      <c r="G151" s="2">
        <v>6.32</v>
      </c>
      <c r="H151" s="2">
        <v>5.25</v>
      </c>
      <c r="I151" s="2">
        <v>0</v>
      </c>
      <c r="J151" s="2">
        <v>8.8000000000000007</v>
      </c>
      <c r="K151" s="2">
        <v>7.34</v>
      </c>
      <c r="L151" s="2">
        <v>23.13</v>
      </c>
      <c r="M151" s="2">
        <v>35.53</v>
      </c>
      <c r="N151" s="2">
        <v>68.56</v>
      </c>
      <c r="O151" s="2">
        <v>8.7799999999999994</v>
      </c>
      <c r="P151" s="2">
        <v>48.43</v>
      </c>
      <c r="Q151" s="2">
        <v>9.16</v>
      </c>
      <c r="R151" s="2">
        <v>34.53</v>
      </c>
      <c r="S151" s="2">
        <v>105.07</v>
      </c>
    </row>
    <row r="152" spans="1:19" ht="13.9" x14ac:dyDescent="0.3">
      <c r="A152" s="2" t="s">
        <v>169</v>
      </c>
      <c r="B152" s="2">
        <v>1.89</v>
      </c>
      <c r="C152" s="2">
        <v>2.77</v>
      </c>
      <c r="D152" s="2">
        <v>4.42</v>
      </c>
      <c r="E152" s="2">
        <v>2.96</v>
      </c>
      <c r="F152" s="2">
        <v>2.14</v>
      </c>
      <c r="G152" s="2">
        <v>4.1100000000000003</v>
      </c>
      <c r="H152" s="2">
        <v>2.57</v>
      </c>
      <c r="I152" s="2">
        <v>0</v>
      </c>
      <c r="J152" s="2">
        <v>2.71</v>
      </c>
      <c r="K152" s="2">
        <v>7.34</v>
      </c>
      <c r="L152" s="2">
        <v>0</v>
      </c>
      <c r="M152" s="2">
        <v>0</v>
      </c>
      <c r="N152" s="2">
        <v>1.98</v>
      </c>
      <c r="O152" s="2">
        <v>2.93</v>
      </c>
      <c r="P152" s="2">
        <v>3.82</v>
      </c>
      <c r="Q152" s="2">
        <v>1.44</v>
      </c>
      <c r="R152" s="2">
        <v>8.7899999999999991</v>
      </c>
      <c r="S152" s="2">
        <v>0</v>
      </c>
    </row>
    <row r="153" spans="1:19" ht="13.9" x14ac:dyDescent="0.3">
      <c r="A153" s="2" t="s">
        <v>170</v>
      </c>
      <c r="B153" s="2">
        <v>6.29</v>
      </c>
      <c r="C153" s="2">
        <v>6.1</v>
      </c>
      <c r="D153" s="2">
        <v>4.3099999999999996</v>
      </c>
      <c r="E153" s="2">
        <v>9.67</v>
      </c>
      <c r="F153" s="2">
        <v>11.1</v>
      </c>
      <c r="G153" s="2">
        <v>10.33</v>
      </c>
      <c r="H153" s="2">
        <v>7.31</v>
      </c>
      <c r="I153" s="2">
        <v>0</v>
      </c>
      <c r="J153" s="2">
        <v>21.66</v>
      </c>
      <c r="K153" s="2">
        <v>25.17</v>
      </c>
      <c r="L153" s="2">
        <v>28.63</v>
      </c>
      <c r="M153" s="2">
        <v>49.79</v>
      </c>
      <c r="N153" s="2">
        <v>30.65</v>
      </c>
      <c r="O153" s="2">
        <v>36.11</v>
      </c>
      <c r="P153" s="2">
        <v>37.869999999999997</v>
      </c>
      <c r="Q153" s="2">
        <v>21.38</v>
      </c>
      <c r="R153" s="2">
        <v>36.21</v>
      </c>
      <c r="S153" s="2">
        <v>0</v>
      </c>
    </row>
    <row r="154" spans="1:19" ht="13.9" x14ac:dyDescent="0.3">
      <c r="A154" s="2" t="s">
        <v>171</v>
      </c>
      <c r="B154" s="2">
        <v>0.13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>
        <v>0.21</v>
      </c>
      <c r="I154" s="2">
        <v>0</v>
      </c>
      <c r="J154" s="2">
        <v>1.62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</row>
    <row r="155" spans="1:19" ht="13.9" x14ac:dyDescent="0.3">
      <c r="A155" s="2" t="s">
        <v>172</v>
      </c>
      <c r="B155" s="2">
        <v>1.76</v>
      </c>
      <c r="C155" s="2">
        <v>1.66</v>
      </c>
      <c r="D155" s="2">
        <v>2.95</v>
      </c>
      <c r="E155" s="2">
        <v>2.17</v>
      </c>
      <c r="F155" s="2">
        <v>0.27</v>
      </c>
      <c r="G155" s="2">
        <v>1.48</v>
      </c>
      <c r="H155" s="2">
        <v>2.68</v>
      </c>
      <c r="I155" s="2">
        <v>0</v>
      </c>
      <c r="J155" s="2">
        <v>2.44</v>
      </c>
      <c r="K155" s="2">
        <v>0.13</v>
      </c>
      <c r="L155" s="2">
        <v>0</v>
      </c>
      <c r="M155" s="2">
        <v>0</v>
      </c>
      <c r="N155" s="2">
        <v>2.31</v>
      </c>
      <c r="O155" s="2">
        <v>0.24</v>
      </c>
      <c r="P155" s="2">
        <v>0</v>
      </c>
      <c r="Q155" s="2">
        <v>0.18</v>
      </c>
      <c r="R155" s="2">
        <v>1.05</v>
      </c>
      <c r="S155" s="2">
        <v>0</v>
      </c>
    </row>
    <row r="156" spans="1:19" ht="13.9" x14ac:dyDescent="0.3">
      <c r="A156" s="2" t="s">
        <v>173</v>
      </c>
      <c r="B156" s="2">
        <v>145.52000000000001</v>
      </c>
      <c r="C156" s="2">
        <v>141.82</v>
      </c>
      <c r="D156" s="2">
        <v>122.86</v>
      </c>
      <c r="E156" s="2">
        <v>135.63</v>
      </c>
      <c r="F156" s="2">
        <v>145.61000000000001</v>
      </c>
      <c r="G156" s="2">
        <v>135.41999999999999</v>
      </c>
      <c r="H156" s="2">
        <v>104.02</v>
      </c>
      <c r="I156" s="2">
        <v>40.880000000000003</v>
      </c>
      <c r="J156" s="2">
        <v>187.73</v>
      </c>
      <c r="K156" s="2">
        <v>195.6</v>
      </c>
      <c r="L156" s="2">
        <v>383.16</v>
      </c>
      <c r="M156" s="2">
        <v>278.77999999999997</v>
      </c>
      <c r="N156" s="2">
        <v>338.84</v>
      </c>
      <c r="O156" s="2">
        <v>329.59</v>
      </c>
      <c r="P156" s="2">
        <v>346.47</v>
      </c>
      <c r="Q156" s="2">
        <v>194.21</v>
      </c>
      <c r="R156" s="2">
        <v>306.18</v>
      </c>
      <c r="S156" s="2">
        <v>540.45000000000005</v>
      </c>
    </row>
    <row r="157" spans="1:19" ht="13.9" x14ac:dyDescent="0.3">
      <c r="A157" s="2" t="s">
        <v>174</v>
      </c>
      <c r="B157" s="2">
        <v>0</v>
      </c>
      <c r="C157" s="2">
        <v>0.55000000000000004</v>
      </c>
      <c r="D157" s="2">
        <v>0</v>
      </c>
      <c r="E157" s="2">
        <v>0.99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30.67</v>
      </c>
    </row>
    <row r="158" spans="1:19" ht="13.9" x14ac:dyDescent="0.3">
      <c r="A158" s="2" t="s">
        <v>175</v>
      </c>
      <c r="B158" s="2">
        <v>10.32</v>
      </c>
      <c r="C158" s="2">
        <v>15.52</v>
      </c>
      <c r="D158" s="2">
        <v>8.0500000000000007</v>
      </c>
      <c r="E158" s="2">
        <v>16.09</v>
      </c>
      <c r="F158" s="2">
        <v>9.89</v>
      </c>
      <c r="G158" s="2">
        <v>8.5399999999999991</v>
      </c>
      <c r="H158" s="2">
        <v>9.16</v>
      </c>
      <c r="I158" s="2">
        <v>0</v>
      </c>
      <c r="J158" s="2">
        <v>10.69</v>
      </c>
      <c r="K158" s="2">
        <v>14.03</v>
      </c>
      <c r="L158" s="2">
        <v>17.059999999999999</v>
      </c>
      <c r="M158" s="2">
        <v>17.89</v>
      </c>
      <c r="N158" s="2">
        <v>4.9400000000000004</v>
      </c>
      <c r="O158" s="2">
        <v>36.11</v>
      </c>
      <c r="P158" s="2">
        <v>12.02</v>
      </c>
      <c r="Q158" s="2">
        <v>17.25</v>
      </c>
      <c r="R158" s="2">
        <v>47.09</v>
      </c>
      <c r="S158" s="2">
        <v>56.31</v>
      </c>
    </row>
    <row r="159" spans="1:19" ht="13.9" x14ac:dyDescent="0.3">
      <c r="A159" s="2" t="s">
        <v>176</v>
      </c>
      <c r="B159" s="2">
        <v>0.63</v>
      </c>
      <c r="C159" s="2">
        <v>1.33</v>
      </c>
      <c r="D159" s="2">
        <v>1.47</v>
      </c>
      <c r="E159" s="2">
        <v>0.39</v>
      </c>
      <c r="F159" s="2">
        <v>0</v>
      </c>
      <c r="G159" s="2">
        <v>0.11</v>
      </c>
      <c r="H159" s="2">
        <v>0</v>
      </c>
      <c r="I159" s="2">
        <v>0</v>
      </c>
      <c r="J159" s="2">
        <v>1.22</v>
      </c>
      <c r="K159" s="2">
        <v>0</v>
      </c>
      <c r="L159" s="2">
        <v>1.1599999999999999</v>
      </c>
      <c r="M159" s="2">
        <v>0</v>
      </c>
      <c r="N159" s="2">
        <v>0</v>
      </c>
      <c r="O159" s="2">
        <v>0</v>
      </c>
      <c r="P159" s="2">
        <v>0.18</v>
      </c>
      <c r="Q159" s="2">
        <v>0</v>
      </c>
      <c r="R159" s="2">
        <v>0</v>
      </c>
      <c r="S159" s="2">
        <v>0</v>
      </c>
    </row>
    <row r="160" spans="1:19" ht="13.9" x14ac:dyDescent="0.3">
      <c r="A160" s="2" t="s">
        <v>177</v>
      </c>
      <c r="B160" s="2">
        <v>0.38</v>
      </c>
      <c r="C160" s="2">
        <v>0.55000000000000004</v>
      </c>
      <c r="D160" s="2">
        <v>0</v>
      </c>
      <c r="E160" s="2">
        <v>0</v>
      </c>
      <c r="F160" s="2">
        <v>0.8</v>
      </c>
      <c r="G160" s="2">
        <v>0</v>
      </c>
      <c r="H160" s="2">
        <v>0</v>
      </c>
      <c r="I160" s="2">
        <v>0</v>
      </c>
      <c r="J160" s="2">
        <v>0.68</v>
      </c>
      <c r="K160" s="2">
        <v>0</v>
      </c>
      <c r="L160" s="2">
        <v>4.63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1.67</v>
      </c>
      <c r="S160" s="2">
        <v>0</v>
      </c>
    </row>
    <row r="161" spans="1:19" ht="13.9" x14ac:dyDescent="0.3">
      <c r="A161" s="2" t="s">
        <v>178</v>
      </c>
      <c r="B161" s="2">
        <v>0.63</v>
      </c>
      <c r="C161" s="2">
        <v>1.33</v>
      </c>
      <c r="D161" s="2">
        <v>0.11</v>
      </c>
      <c r="E161" s="2">
        <v>0</v>
      </c>
      <c r="F161" s="2">
        <v>0</v>
      </c>
      <c r="G161" s="2">
        <v>0</v>
      </c>
      <c r="H161" s="2">
        <v>0.62</v>
      </c>
      <c r="I161" s="2">
        <v>0</v>
      </c>
      <c r="J161" s="2">
        <v>0.54</v>
      </c>
      <c r="K161" s="2">
        <v>0.26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1.01</v>
      </c>
    </row>
    <row r="162" spans="1:19" ht="13.9" x14ac:dyDescent="0.3">
      <c r="A162" s="2" t="s">
        <v>179</v>
      </c>
      <c r="B162" s="2">
        <v>0.63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</row>
    <row r="163" spans="1:19" ht="13.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5.44</v>
      </c>
      <c r="S163" s="2">
        <v>0</v>
      </c>
    </row>
    <row r="164" spans="1:19" ht="13.9" x14ac:dyDescent="0.3">
      <c r="A164" s="2" t="s">
        <v>181</v>
      </c>
      <c r="B164" s="2">
        <v>3.65</v>
      </c>
      <c r="C164" s="2">
        <v>5.21</v>
      </c>
      <c r="D164" s="2">
        <v>0.56999999999999995</v>
      </c>
      <c r="E164" s="2">
        <v>0.49</v>
      </c>
      <c r="F164" s="2">
        <v>3.88</v>
      </c>
      <c r="G164" s="2">
        <v>1.9</v>
      </c>
      <c r="H164" s="2">
        <v>0.41</v>
      </c>
      <c r="I164" s="2">
        <v>0</v>
      </c>
      <c r="J164" s="2">
        <v>1.49</v>
      </c>
      <c r="K164" s="2">
        <v>2.1</v>
      </c>
      <c r="L164" s="2">
        <v>0</v>
      </c>
      <c r="M164" s="2">
        <v>0.26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5.03</v>
      </c>
    </row>
    <row r="165" spans="1:19" ht="13.9" x14ac:dyDescent="0.3">
      <c r="A165" s="2" t="s">
        <v>182</v>
      </c>
      <c r="B165" s="2">
        <v>0</v>
      </c>
      <c r="C165" s="2">
        <v>0</v>
      </c>
      <c r="D165" s="2">
        <v>0.11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ht="13.9" x14ac:dyDescent="0.3">
      <c r="A166" s="2" t="s">
        <v>183</v>
      </c>
      <c r="B166" s="2">
        <v>1791.75</v>
      </c>
      <c r="C166" s="2">
        <v>1305.75</v>
      </c>
      <c r="D166" s="2">
        <v>1471.08</v>
      </c>
      <c r="E166" s="2">
        <v>1766.71</v>
      </c>
      <c r="F166" s="2">
        <v>1010.69</v>
      </c>
      <c r="G166" s="2">
        <v>2049.23</v>
      </c>
      <c r="H166" s="2">
        <v>1544.78</v>
      </c>
      <c r="I166" s="2">
        <v>817.53</v>
      </c>
      <c r="J166" s="2">
        <v>1731.5</v>
      </c>
      <c r="K166" s="2">
        <v>453.72</v>
      </c>
      <c r="L166" s="2">
        <v>447.94</v>
      </c>
      <c r="M166" s="2">
        <v>307.56</v>
      </c>
      <c r="N166" s="2">
        <v>614.4</v>
      </c>
      <c r="O166" s="2">
        <v>259.82</v>
      </c>
      <c r="P166" s="2">
        <v>531.80999999999995</v>
      </c>
      <c r="Q166" s="2">
        <v>416.26</v>
      </c>
      <c r="R166" s="2">
        <v>407.47</v>
      </c>
      <c r="S166" s="2">
        <v>387.61</v>
      </c>
    </row>
    <row r="167" spans="1:19" ht="13.9" x14ac:dyDescent="0.3">
      <c r="A167" s="2" t="s">
        <v>184</v>
      </c>
      <c r="B167" s="2">
        <v>1.64</v>
      </c>
      <c r="C167" s="2">
        <v>0.78</v>
      </c>
      <c r="D167" s="2">
        <v>0.68</v>
      </c>
      <c r="E167" s="2">
        <v>0.99</v>
      </c>
      <c r="F167" s="2">
        <v>0.53</v>
      </c>
      <c r="G167" s="2">
        <v>1.26</v>
      </c>
      <c r="H167" s="2">
        <v>0.62</v>
      </c>
      <c r="I167" s="2">
        <v>0</v>
      </c>
      <c r="J167" s="2">
        <v>1.62</v>
      </c>
      <c r="K167" s="2">
        <v>5.77</v>
      </c>
      <c r="L167" s="2">
        <v>5.78</v>
      </c>
      <c r="M167" s="2">
        <v>5.45</v>
      </c>
      <c r="N167" s="2">
        <v>1.98</v>
      </c>
      <c r="O167" s="2">
        <v>2.68</v>
      </c>
      <c r="P167" s="2">
        <v>3.28</v>
      </c>
      <c r="Q167" s="2">
        <v>4.13</v>
      </c>
      <c r="R167" s="2">
        <v>3.77</v>
      </c>
      <c r="S167" s="2">
        <v>1.51</v>
      </c>
    </row>
    <row r="168" spans="1:19" ht="13.9" x14ac:dyDescent="0.3">
      <c r="A168" s="2" t="s">
        <v>185</v>
      </c>
      <c r="B168" s="2">
        <v>556</v>
      </c>
      <c r="C168" s="2">
        <v>483.89</v>
      </c>
      <c r="D168" s="2">
        <v>529.12</v>
      </c>
      <c r="E168" s="2">
        <v>436.22</v>
      </c>
      <c r="F168" s="2">
        <v>324.24</v>
      </c>
      <c r="G168" s="2">
        <v>540.63</v>
      </c>
      <c r="H168" s="2">
        <v>552.62</v>
      </c>
      <c r="I168" s="2">
        <v>204.38</v>
      </c>
      <c r="J168" s="2">
        <v>384.79</v>
      </c>
      <c r="K168" s="2">
        <v>194.55</v>
      </c>
      <c r="L168" s="2">
        <v>103.53</v>
      </c>
      <c r="M168" s="2">
        <v>139.26</v>
      </c>
      <c r="N168" s="2">
        <v>172.06</v>
      </c>
      <c r="O168" s="2">
        <v>132.22999999999999</v>
      </c>
      <c r="P168" s="2">
        <v>244.33</v>
      </c>
      <c r="Q168" s="2">
        <v>149.11000000000001</v>
      </c>
      <c r="R168" s="2">
        <v>164.29</v>
      </c>
      <c r="S168" s="2">
        <v>348.9</v>
      </c>
    </row>
    <row r="169" spans="1:19" ht="13.9" x14ac:dyDescent="0.3">
      <c r="A169" s="2" t="s">
        <v>186</v>
      </c>
      <c r="B169" s="2">
        <v>0.88</v>
      </c>
      <c r="C169" s="2">
        <v>0.44</v>
      </c>
      <c r="D169" s="2">
        <v>1.02</v>
      </c>
      <c r="E169" s="2">
        <v>0</v>
      </c>
      <c r="F169" s="2">
        <v>2.0099999999999998</v>
      </c>
      <c r="G169" s="2">
        <v>1.05</v>
      </c>
      <c r="H169" s="2">
        <v>0.62</v>
      </c>
      <c r="I169" s="2">
        <v>0</v>
      </c>
      <c r="J169" s="2">
        <v>0</v>
      </c>
      <c r="K169" s="2">
        <v>0.13</v>
      </c>
      <c r="L169" s="2">
        <v>50.03</v>
      </c>
      <c r="M169" s="2">
        <v>9.08</v>
      </c>
      <c r="N169" s="2">
        <v>0</v>
      </c>
      <c r="O169" s="2">
        <v>80.510000000000005</v>
      </c>
      <c r="P169" s="2">
        <v>0.18</v>
      </c>
      <c r="Q169" s="2">
        <v>301.45999999999998</v>
      </c>
      <c r="R169" s="2">
        <v>28.67</v>
      </c>
      <c r="S169" s="2">
        <v>29.66</v>
      </c>
    </row>
    <row r="170" spans="1:19" ht="13.9" x14ac:dyDescent="0.3">
      <c r="A170" s="2" t="s">
        <v>187</v>
      </c>
      <c r="B170" s="2">
        <v>47.96</v>
      </c>
      <c r="C170" s="2">
        <v>57.55</v>
      </c>
      <c r="D170" s="2">
        <v>43.22</v>
      </c>
      <c r="E170" s="2">
        <v>47.28</v>
      </c>
      <c r="F170" s="2">
        <v>58.83</v>
      </c>
      <c r="G170" s="2">
        <v>59.54</v>
      </c>
      <c r="H170" s="2">
        <v>44.14</v>
      </c>
      <c r="I170" s="2">
        <v>40.880000000000003</v>
      </c>
      <c r="J170" s="2">
        <v>57.39</v>
      </c>
      <c r="K170" s="2">
        <v>0.26</v>
      </c>
      <c r="L170" s="2">
        <v>68.540000000000006</v>
      </c>
      <c r="M170" s="2">
        <v>14.26</v>
      </c>
      <c r="N170" s="2">
        <v>25.38</v>
      </c>
      <c r="O170" s="2">
        <v>59.53</v>
      </c>
      <c r="P170" s="2">
        <v>9.4700000000000006</v>
      </c>
      <c r="Q170" s="2">
        <v>15.09</v>
      </c>
      <c r="R170" s="2">
        <v>4.8099999999999996</v>
      </c>
      <c r="S170" s="2">
        <v>15.08</v>
      </c>
    </row>
    <row r="171" spans="1:19" ht="13.9" x14ac:dyDescent="0.3">
      <c r="A171" s="2" t="s">
        <v>188</v>
      </c>
      <c r="B171" s="2">
        <v>3.78</v>
      </c>
      <c r="C171" s="2">
        <v>7.21</v>
      </c>
      <c r="D171" s="2">
        <v>2.04</v>
      </c>
      <c r="E171" s="2">
        <v>7.01</v>
      </c>
      <c r="F171" s="2">
        <v>4.41</v>
      </c>
      <c r="G171" s="2">
        <v>3.06</v>
      </c>
      <c r="H171" s="2">
        <v>2.88</v>
      </c>
      <c r="I171" s="2">
        <v>286.13</v>
      </c>
      <c r="J171" s="2">
        <v>12.18</v>
      </c>
      <c r="K171" s="2">
        <v>2.88</v>
      </c>
      <c r="L171" s="2">
        <v>0</v>
      </c>
      <c r="M171" s="2">
        <v>0</v>
      </c>
      <c r="N171" s="2">
        <v>0</v>
      </c>
      <c r="O171" s="2">
        <v>0</v>
      </c>
      <c r="P171" s="2">
        <v>2.5499999999999998</v>
      </c>
      <c r="Q171" s="2">
        <v>0</v>
      </c>
      <c r="R171" s="2">
        <v>4.5999999999999996</v>
      </c>
      <c r="S171" s="2">
        <v>0</v>
      </c>
    </row>
    <row r="172" spans="1:19" ht="13.9" x14ac:dyDescent="0.3">
      <c r="A172" s="2" t="s">
        <v>189</v>
      </c>
      <c r="B172" s="2">
        <v>251.5</v>
      </c>
      <c r="C172" s="2">
        <v>264.23</v>
      </c>
      <c r="D172" s="2">
        <v>189.69</v>
      </c>
      <c r="E172" s="2">
        <v>281.83</v>
      </c>
      <c r="F172" s="2">
        <v>284.26</v>
      </c>
      <c r="G172" s="2">
        <v>247.13</v>
      </c>
      <c r="H172" s="2">
        <v>175.94</v>
      </c>
      <c r="I172" s="2">
        <v>163.51</v>
      </c>
      <c r="J172" s="2">
        <v>295.87</v>
      </c>
      <c r="K172" s="2">
        <v>85.34</v>
      </c>
      <c r="L172" s="2">
        <v>141.99</v>
      </c>
      <c r="M172" s="2">
        <v>141.59</v>
      </c>
      <c r="N172" s="2">
        <v>333.24</v>
      </c>
      <c r="O172" s="2">
        <v>230.79</v>
      </c>
      <c r="P172" s="2">
        <v>177.51</v>
      </c>
      <c r="Q172" s="2">
        <v>113.9</v>
      </c>
      <c r="R172" s="2">
        <v>162.61000000000001</v>
      </c>
      <c r="S172" s="2">
        <v>261.93</v>
      </c>
    </row>
    <row r="173" spans="1:19" ht="13.9" x14ac:dyDescent="0.3">
      <c r="A173" s="2" t="s">
        <v>190</v>
      </c>
      <c r="B173" s="2">
        <v>67.47</v>
      </c>
      <c r="C173" s="2">
        <v>76.62</v>
      </c>
      <c r="D173" s="2">
        <v>62.28</v>
      </c>
      <c r="E173" s="2">
        <v>60.02</v>
      </c>
      <c r="F173" s="2">
        <v>64.180000000000007</v>
      </c>
      <c r="G173" s="2">
        <v>65.23</v>
      </c>
      <c r="H173" s="2">
        <v>61.84</v>
      </c>
      <c r="I173" s="2">
        <v>40.880000000000003</v>
      </c>
      <c r="J173" s="2">
        <v>59.15</v>
      </c>
      <c r="K173" s="2">
        <v>32.119999999999997</v>
      </c>
      <c r="L173" s="2">
        <v>50.61</v>
      </c>
      <c r="M173" s="2">
        <v>24.12</v>
      </c>
      <c r="N173" s="2">
        <v>48.12</v>
      </c>
      <c r="O173" s="2">
        <v>49.28</v>
      </c>
      <c r="P173" s="2">
        <v>63.9</v>
      </c>
      <c r="Q173" s="2">
        <v>17.61</v>
      </c>
      <c r="R173" s="2">
        <v>36.619999999999997</v>
      </c>
      <c r="S173" s="2">
        <v>63.35</v>
      </c>
    </row>
    <row r="174" spans="1:19" ht="13.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2.09</v>
      </c>
      <c r="S174" s="2">
        <v>0</v>
      </c>
    </row>
    <row r="175" spans="1:19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>
        <v>0</v>
      </c>
      <c r="I175" s="2">
        <v>0</v>
      </c>
      <c r="J175" s="2">
        <v>0.14000000000000001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ht="13.9" x14ac:dyDescent="0.3">
      <c r="A176" s="2" t="s">
        <v>193</v>
      </c>
      <c r="B176" s="2">
        <v>0</v>
      </c>
      <c r="C176" s="2">
        <v>0.55000000000000004</v>
      </c>
      <c r="D176" s="2">
        <v>1.7</v>
      </c>
      <c r="E176" s="2">
        <v>0.49</v>
      </c>
      <c r="F176" s="2">
        <v>0.4</v>
      </c>
      <c r="G176" s="2">
        <v>0.53</v>
      </c>
      <c r="H176" s="2">
        <v>1.44</v>
      </c>
      <c r="I176" s="2">
        <v>0</v>
      </c>
      <c r="J176" s="2">
        <v>0.41</v>
      </c>
      <c r="K176" s="2">
        <v>0</v>
      </c>
      <c r="L176" s="2">
        <v>0</v>
      </c>
      <c r="M176" s="2">
        <v>0.52</v>
      </c>
      <c r="N176" s="2">
        <v>13.84</v>
      </c>
      <c r="O176" s="2">
        <v>14.64</v>
      </c>
      <c r="P176" s="2">
        <v>8.3699999999999992</v>
      </c>
      <c r="Q176" s="2">
        <v>0</v>
      </c>
      <c r="R176" s="2">
        <v>13.39</v>
      </c>
      <c r="S176" s="2">
        <v>15.59</v>
      </c>
    </row>
    <row r="177" spans="1:19" ht="13.9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0.8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0.18</v>
      </c>
      <c r="Q177" s="2">
        <v>0</v>
      </c>
      <c r="R177" s="2">
        <v>0</v>
      </c>
      <c r="S177" s="2">
        <v>0.5</v>
      </c>
    </row>
    <row r="178" spans="1:19" ht="13.9" x14ac:dyDescent="0.3">
      <c r="A178" s="2" t="s">
        <v>195</v>
      </c>
      <c r="B178" s="2">
        <v>1.64</v>
      </c>
      <c r="C178" s="2">
        <v>0.44</v>
      </c>
      <c r="D178" s="2">
        <v>1.59</v>
      </c>
      <c r="E178" s="2">
        <v>0.1</v>
      </c>
      <c r="F178" s="2">
        <v>0.53</v>
      </c>
      <c r="G178" s="2">
        <v>0.42</v>
      </c>
      <c r="H178" s="2">
        <v>0.41</v>
      </c>
      <c r="I178" s="2">
        <v>0</v>
      </c>
      <c r="J178" s="2">
        <v>0.68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9.0500000000000007</v>
      </c>
    </row>
    <row r="179" spans="1:19" ht="13.9" x14ac:dyDescent="0.3">
      <c r="A179" s="2" t="s">
        <v>196</v>
      </c>
      <c r="B179" s="2">
        <v>0</v>
      </c>
      <c r="C179" s="2">
        <v>1.1100000000000001</v>
      </c>
      <c r="D179" s="2">
        <v>0</v>
      </c>
      <c r="E179" s="2">
        <v>0.89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ht="13.9" x14ac:dyDescent="0.3">
      <c r="A180" s="2" t="s">
        <v>197</v>
      </c>
      <c r="B180" s="2">
        <v>29.83</v>
      </c>
      <c r="C180" s="2">
        <v>34.82</v>
      </c>
      <c r="D180" s="2">
        <v>38.909999999999997</v>
      </c>
      <c r="E180" s="2">
        <v>26.75</v>
      </c>
      <c r="F180" s="2">
        <v>33.96</v>
      </c>
      <c r="G180" s="2">
        <v>43.63</v>
      </c>
      <c r="H180" s="2">
        <v>40.85</v>
      </c>
      <c r="I180" s="2">
        <v>40.880000000000003</v>
      </c>
      <c r="J180" s="2">
        <v>31.67</v>
      </c>
      <c r="K180" s="2">
        <v>0</v>
      </c>
      <c r="L180" s="2">
        <v>15.9</v>
      </c>
      <c r="M180" s="2">
        <v>8.0399999999999991</v>
      </c>
      <c r="N180" s="2">
        <v>0.66</v>
      </c>
      <c r="O180" s="2">
        <v>7.56</v>
      </c>
      <c r="P180" s="2">
        <v>0</v>
      </c>
      <c r="Q180" s="2">
        <v>0</v>
      </c>
      <c r="R180" s="2">
        <v>5.65</v>
      </c>
      <c r="S180" s="2">
        <v>1.01</v>
      </c>
    </row>
    <row r="181" spans="1:19" ht="13.9" x14ac:dyDescent="0.3">
      <c r="A181" s="2" t="s">
        <v>198</v>
      </c>
      <c r="B181" s="2">
        <v>0.38</v>
      </c>
      <c r="C181" s="2">
        <v>1.1100000000000001</v>
      </c>
      <c r="D181" s="2">
        <v>0</v>
      </c>
      <c r="E181" s="2">
        <v>1.0900000000000001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2.2999999999999998</v>
      </c>
      <c r="S181" s="2">
        <v>0</v>
      </c>
    </row>
    <row r="182" spans="1:19" ht="13.9" x14ac:dyDescent="0.3">
      <c r="A182" s="2" t="s">
        <v>199</v>
      </c>
      <c r="B182" s="2">
        <v>560.66</v>
      </c>
      <c r="C182" s="2">
        <v>645</v>
      </c>
      <c r="D182" s="2">
        <v>403.08</v>
      </c>
      <c r="E182" s="2">
        <v>463.67</v>
      </c>
      <c r="F182" s="2">
        <v>765.34</v>
      </c>
      <c r="G182" s="2">
        <v>563.5</v>
      </c>
      <c r="H182" s="2">
        <v>453.74</v>
      </c>
      <c r="I182" s="2">
        <v>817.53</v>
      </c>
      <c r="J182" s="2">
        <v>1048.95</v>
      </c>
      <c r="K182" s="2">
        <v>255.24</v>
      </c>
      <c r="L182" s="2">
        <v>353.96</v>
      </c>
      <c r="M182" s="2">
        <v>183.6</v>
      </c>
      <c r="N182" s="2">
        <v>300.94</v>
      </c>
      <c r="O182" s="2">
        <v>443.77</v>
      </c>
      <c r="P182" s="2">
        <v>220.66</v>
      </c>
      <c r="Q182" s="2">
        <v>167.44</v>
      </c>
      <c r="R182" s="2">
        <v>434.26</v>
      </c>
      <c r="S182" s="2">
        <v>582.17999999999995</v>
      </c>
    </row>
    <row r="183" spans="1:19" ht="13.9" x14ac:dyDescent="0.3">
      <c r="A183" s="2" t="s">
        <v>200</v>
      </c>
      <c r="B183" s="2">
        <v>799.7</v>
      </c>
      <c r="C183" s="2">
        <v>700.11</v>
      </c>
      <c r="D183" s="2">
        <v>825</v>
      </c>
      <c r="E183" s="2">
        <v>796.43</v>
      </c>
      <c r="F183" s="2">
        <v>692.87</v>
      </c>
      <c r="G183" s="2">
        <v>824.01</v>
      </c>
      <c r="H183" s="2">
        <v>703.56</v>
      </c>
      <c r="I183" s="2">
        <v>531.39</v>
      </c>
      <c r="J183" s="2">
        <v>632.89</v>
      </c>
      <c r="K183" s="2">
        <v>286.18</v>
      </c>
      <c r="L183" s="2">
        <v>497.1</v>
      </c>
      <c r="M183" s="2">
        <v>372.39</v>
      </c>
      <c r="N183" s="2">
        <v>415.64</v>
      </c>
      <c r="O183" s="2">
        <v>500.37</v>
      </c>
      <c r="P183" s="2">
        <v>281.11</v>
      </c>
      <c r="Q183" s="2">
        <v>314.02999999999997</v>
      </c>
      <c r="R183" s="2">
        <v>483.86</v>
      </c>
      <c r="S183" s="2">
        <v>292.08999999999997</v>
      </c>
    </row>
    <row r="184" spans="1:19" ht="13.9" x14ac:dyDescent="0.3">
      <c r="A184" s="2" t="s">
        <v>201</v>
      </c>
      <c r="B184" s="2">
        <v>23.79</v>
      </c>
      <c r="C184" s="2">
        <v>37.92</v>
      </c>
      <c r="D184" s="2">
        <v>23.14</v>
      </c>
      <c r="E184" s="2">
        <v>23.49</v>
      </c>
      <c r="F184" s="2">
        <v>32.89</v>
      </c>
      <c r="G184" s="2">
        <v>22.76</v>
      </c>
      <c r="H184" s="2">
        <v>16.05</v>
      </c>
      <c r="I184" s="2">
        <v>613.15</v>
      </c>
      <c r="J184" s="2">
        <v>29.24</v>
      </c>
      <c r="K184" s="2">
        <v>6.69</v>
      </c>
      <c r="L184" s="2">
        <v>44.82</v>
      </c>
      <c r="M184" s="2">
        <v>7.26</v>
      </c>
      <c r="N184" s="2">
        <v>29.99</v>
      </c>
      <c r="O184" s="2">
        <v>43.91</v>
      </c>
      <c r="P184" s="2">
        <v>20.57</v>
      </c>
      <c r="Q184" s="2">
        <v>1.26</v>
      </c>
      <c r="R184" s="2">
        <v>11.93</v>
      </c>
      <c r="S184" s="2">
        <v>65.36</v>
      </c>
    </row>
    <row r="185" spans="1:19" ht="13.9" x14ac:dyDescent="0.3">
      <c r="A185" s="2" t="s">
        <v>202</v>
      </c>
      <c r="B185" s="2">
        <v>0.38</v>
      </c>
      <c r="C185" s="2">
        <v>0</v>
      </c>
      <c r="D185" s="2">
        <v>0</v>
      </c>
      <c r="E185" s="2">
        <v>0</v>
      </c>
      <c r="F185" s="2">
        <v>1.07</v>
      </c>
      <c r="G185" s="2">
        <v>0.42</v>
      </c>
      <c r="H185" s="2">
        <v>0.21</v>
      </c>
      <c r="I185" s="2">
        <v>0</v>
      </c>
      <c r="J185" s="2">
        <v>0.14000000000000001</v>
      </c>
      <c r="K185" s="2">
        <v>9.57</v>
      </c>
      <c r="L185" s="2">
        <v>2.31</v>
      </c>
      <c r="M185" s="2">
        <v>0</v>
      </c>
      <c r="N185" s="2">
        <v>0</v>
      </c>
      <c r="O185" s="2">
        <v>0</v>
      </c>
      <c r="P185" s="2">
        <v>3.1</v>
      </c>
      <c r="Q185" s="2">
        <v>0</v>
      </c>
      <c r="R185" s="2">
        <v>6.28</v>
      </c>
      <c r="S185" s="2">
        <v>0</v>
      </c>
    </row>
    <row r="186" spans="1:19" ht="13.9" x14ac:dyDescent="0.3">
      <c r="A186" s="2" t="s">
        <v>203</v>
      </c>
      <c r="B186" s="2">
        <v>5.54</v>
      </c>
      <c r="C186" s="2">
        <v>5.32</v>
      </c>
      <c r="D186" s="2">
        <v>2.38</v>
      </c>
      <c r="E186" s="2">
        <v>1.18</v>
      </c>
      <c r="F186" s="2">
        <v>6.02</v>
      </c>
      <c r="G186" s="2">
        <v>4.32</v>
      </c>
      <c r="H186" s="2">
        <v>3.5</v>
      </c>
      <c r="I186" s="2">
        <v>163.51</v>
      </c>
      <c r="J186" s="2">
        <v>9.07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5.83</v>
      </c>
      <c r="Q186" s="2">
        <v>0</v>
      </c>
      <c r="R186" s="2">
        <v>1.67</v>
      </c>
      <c r="S186" s="2">
        <v>0.5</v>
      </c>
    </row>
    <row r="187" spans="1:19" ht="13.9" x14ac:dyDescent="0.3">
      <c r="A187" s="2" t="s">
        <v>204</v>
      </c>
      <c r="B187" s="2">
        <v>21.15</v>
      </c>
      <c r="C187" s="2">
        <v>9.1999999999999993</v>
      </c>
      <c r="D187" s="2">
        <v>20.420000000000002</v>
      </c>
      <c r="E187" s="2">
        <v>15.5</v>
      </c>
      <c r="F187" s="2">
        <v>10.56</v>
      </c>
      <c r="G187" s="2">
        <v>15.39</v>
      </c>
      <c r="H187" s="2">
        <v>10.49</v>
      </c>
      <c r="I187" s="2">
        <v>0</v>
      </c>
      <c r="J187" s="2">
        <v>17.600000000000001</v>
      </c>
      <c r="K187" s="2">
        <v>16.260000000000002</v>
      </c>
      <c r="L187" s="2">
        <v>29.5</v>
      </c>
      <c r="M187" s="2">
        <v>61.2</v>
      </c>
      <c r="N187" s="2">
        <v>31.64</v>
      </c>
      <c r="O187" s="2">
        <v>18.3</v>
      </c>
      <c r="P187" s="2">
        <v>5.64</v>
      </c>
      <c r="Q187" s="2">
        <v>0</v>
      </c>
      <c r="R187" s="2">
        <v>19.46</v>
      </c>
      <c r="S187" s="2">
        <v>28.15</v>
      </c>
    </row>
    <row r="188" spans="1:19" ht="13.9" x14ac:dyDescent="0.3">
      <c r="A188" s="2" t="s">
        <v>205</v>
      </c>
      <c r="B188" s="2">
        <v>0.13</v>
      </c>
      <c r="C188" s="2">
        <v>0.11</v>
      </c>
      <c r="D188" s="2">
        <v>0.68</v>
      </c>
      <c r="E188" s="2">
        <v>0.39</v>
      </c>
      <c r="F188" s="2">
        <v>0.13</v>
      </c>
      <c r="G188" s="2">
        <v>0</v>
      </c>
      <c r="H188" s="2">
        <v>0.62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</row>
    <row r="189" spans="1:19" ht="13.9" x14ac:dyDescent="0.3">
      <c r="A189" s="2" t="s">
        <v>206</v>
      </c>
      <c r="B189" s="2">
        <v>0.5</v>
      </c>
      <c r="C189" s="2">
        <v>0</v>
      </c>
      <c r="D189" s="2">
        <v>0.79</v>
      </c>
      <c r="E189" s="2">
        <v>0</v>
      </c>
      <c r="F189" s="2">
        <v>0</v>
      </c>
      <c r="G189" s="2">
        <v>0.53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0.21</v>
      </c>
      <c r="S189" s="2">
        <v>0</v>
      </c>
    </row>
    <row r="190" spans="1:19" ht="13.9" x14ac:dyDescent="0.3">
      <c r="A190" s="2" t="s">
        <v>207</v>
      </c>
      <c r="B190" s="2">
        <v>9.94</v>
      </c>
      <c r="C190" s="2">
        <v>9.65</v>
      </c>
      <c r="D190" s="2">
        <v>9.98</v>
      </c>
      <c r="E190" s="2">
        <v>10.27</v>
      </c>
      <c r="F190" s="2">
        <v>11.5</v>
      </c>
      <c r="G190" s="2">
        <v>13.17</v>
      </c>
      <c r="H190" s="2">
        <v>9.67</v>
      </c>
      <c r="I190" s="2">
        <v>0</v>
      </c>
      <c r="J190" s="2">
        <v>20.170000000000002</v>
      </c>
      <c r="K190" s="2">
        <v>24.51</v>
      </c>
      <c r="L190" s="2">
        <v>0.28999999999999998</v>
      </c>
      <c r="M190" s="2">
        <v>52.12</v>
      </c>
      <c r="N190" s="2">
        <v>16.809999999999999</v>
      </c>
      <c r="O190" s="2">
        <v>43.91</v>
      </c>
      <c r="P190" s="2">
        <v>44.06</v>
      </c>
      <c r="Q190" s="2">
        <v>46.89</v>
      </c>
      <c r="R190" s="2">
        <v>9.42</v>
      </c>
      <c r="S190" s="2">
        <v>20.11</v>
      </c>
    </row>
    <row r="191" spans="1:19" ht="13.9" x14ac:dyDescent="0.3">
      <c r="A191" s="2" t="s">
        <v>208</v>
      </c>
      <c r="B191" s="2">
        <v>25.68</v>
      </c>
      <c r="C191" s="2">
        <v>24.06</v>
      </c>
      <c r="D191" s="2">
        <v>22.12</v>
      </c>
      <c r="E191" s="2">
        <v>21.42</v>
      </c>
      <c r="F191" s="2">
        <v>16.71</v>
      </c>
      <c r="G191" s="2">
        <v>18.13</v>
      </c>
      <c r="H191" s="2">
        <v>18.62</v>
      </c>
      <c r="I191" s="2">
        <v>40.880000000000003</v>
      </c>
      <c r="J191" s="2">
        <v>23.01</v>
      </c>
      <c r="K191" s="2">
        <v>3.15</v>
      </c>
      <c r="L191" s="2">
        <v>13.3</v>
      </c>
      <c r="M191" s="2">
        <v>11.93</v>
      </c>
      <c r="N191" s="2">
        <v>0.33</v>
      </c>
      <c r="O191" s="2">
        <v>0</v>
      </c>
      <c r="P191" s="2">
        <v>2.37</v>
      </c>
      <c r="Q191" s="2">
        <v>0.36</v>
      </c>
      <c r="R191" s="2">
        <v>24.07</v>
      </c>
      <c r="S191" s="2">
        <v>32.18</v>
      </c>
    </row>
    <row r="192" spans="1:19" ht="13.9" x14ac:dyDescent="0.3">
      <c r="A192" s="2" t="s">
        <v>209</v>
      </c>
      <c r="B192" s="2">
        <v>0</v>
      </c>
      <c r="C192" s="2">
        <v>0</v>
      </c>
      <c r="D192" s="2">
        <v>0.68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ht="13.9" x14ac:dyDescent="0.3">
      <c r="A193" s="2" t="s">
        <v>210</v>
      </c>
      <c r="B193" s="2">
        <v>50.6</v>
      </c>
      <c r="C193" s="2">
        <v>39.36</v>
      </c>
      <c r="D193" s="2">
        <v>33.47</v>
      </c>
      <c r="E193" s="2">
        <v>29.42</v>
      </c>
      <c r="F193" s="2">
        <v>49.34</v>
      </c>
      <c r="G193" s="2">
        <v>32.880000000000003</v>
      </c>
      <c r="H193" s="2">
        <v>35.39</v>
      </c>
      <c r="I193" s="2">
        <v>81.75</v>
      </c>
      <c r="J193" s="2">
        <v>74.58</v>
      </c>
      <c r="K193" s="2">
        <v>90.85</v>
      </c>
      <c r="L193" s="2">
        <v>360.32</v>
      </c>
      <c r="M193" s="2">
        <v>139.26</v>
      </c>
      <c r="N193" s="2">
        <v>125.58</v>
      </c>
      <c r="O193" s="2">
        <v>257.62</v>
      </c>
      <c r="P193" s="2">
        <v>109.42</v>
      </c>
      <c r="Q193" s="2">
        <v>91.62</v>
      </c>
      <c r="R193" s="2">
        <v>141.26</v>
      </c>
      <c r="S193" s="2">
        <v>432.36</v>
      </c>
    </row>
    <row r="194" spans="1:19" ht="13.9" x14ac:dyDescent="0.3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>
        <v>0</v>
      </c>
      <c r="I194" s="2">
        <v>204.38</v>
      </c>
      <c r="J194" s="2">
        <v>0</v>
      </c>
      <c r="K194" s="2">
        <v>2.4900000000000002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6.65</v>
      </c>
      <c r="R194" s="2">
        <v>6.28</v>
      </c>
      <c r="S194" s="2">
        <v>0</v>
      </c>
    </row>
    <row r="195" spans="1:19" ht="13.9" x14ac:dyDescent="0.3">
      <c r="A195" s="2" t="s">
        <v>212</v>
      </c>
      <c r="B195" s="2">
        <v>18.5</v>
      </c>
      <c r="C195" s="2">
        <v>32.049999999999997</v>
      </c>
      <c r="D195" s="2">
        <v>31.43</v>
      </c>
      <c r="E195" s="2">
        <v>27.64</v>
      </c>
      <c r="F195" s="2">
        <v>27.41</v>
      </c>
      <c r="G195" s="2">
        <v>18.02</v>
      </c>
      <c r="H195" s="2">
        <v>20.48</v>
      </c>
      <c r="I195" s="2">
        <v>40.880000000000003</v>
      </c>
      <c r="J195" s="2">
        <v>33.299999999999997</v>
      </c>
      <c r="K195" s="2">
        <v>22.42</v>
      </c>
      <c r="L195" s="2">
        <v>0</v>
      </c>
      <c r="M195" s="2">
        <v>15.04</v>
      </c>
      <c r="N195" s="2">
        <v>14.17</v>
      </c>
      <c r="O195" s="2">
        <v>0</v>
      </c>
      <c r="P195" s="2">
        <v>15.29</v>
      </c>
      <c r="Q195" s="2">
        <v>0</v>
      </c>
      <c r="R195" s="2">
        <v>8.58</v>
      </c>
      <c r="S195" s="2">
        <v>0</v>
      </c>
    </row>
    <row r="196" spans="1:19" ht="13.9" x14ac:dyDescent="0.3">
      <c r="A196" s="2" t="s">
        <v>213</v>
      </c>
      <c r="B196" s="2">
        <v>0.13</v>
      </c>
      <c r="C196" s="2">
        <v>0.33</v>
      </c>
      <c r="D196" s="2">
        <v>0</v>
      </c>
      <c r="E196" s="2">
        <v>0</v>
      </c>
      <c r="F196" s="2">
        <v>0</v>
      </c>
      <c r="G196" s="2">
        <v>0.11</v>
      </c>
      <c r="H196" s="2">
        <v>0.1</v>
      </c>
      <c r="I196" s="2">
        <v>0</v>
      </c>
      <c r="J196" s="2">
        <v>0.27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ht="13.9" x14ac:dyDescent="0.3">
      <c r="A197" s="2" t="s">
        <v>214</v>
      </c>
      <c r="B197" s="2">
        <v>18.5</v>
      </c>
      <c r="C197" s="2">
        <v>32.049999999999997</v>
      </c>
      <c r="D197" s="2">
        <v>31.43</v>
      </c>
      <c r="E197" s="2">
        <v>27.64</v>
      </c>
      <c r="F197" s="2">
        <v>27.41</v>
      </c>
      <c r="G197" s="2">
        <v>18.02</v>
      </c>
      <c r="H197" s="2">
        <v>20.48</v>
      </c>
      <c r="I197" s="2">
        <v>40.880000000000003</v>
      </c>
      <c r="J197" s="2">
        <v>33.299999999999997</v>
      </c>
      <c r="K197" s="2">
        <v>22.42</v>
      </c>
      <c r="L197" s="2">
        <v>0</v>
      </c>
      <c r="M197" s="2">
        <v>15.04</v>
      </c>
      <c r="N197" s="2">
        <v>14.17</v>
      </c>
      <c r="O197" s="2">
        <v>0</v>
      </c>
      <c r="P197" s="2">
        <v>15.29</v>
      </c>
      <c r="Q197" s="2">
        <v>0</v>
      </c>
      <c r="R197" s="2">
        <v>8.58</v>
      </c>
      <c r="S197" s="2">
        <v>0</v>
      </c>
    </row>
    <row r="198" spans="1:19" ht="13.9" x14ac:dyDescent="0.3">
      <c r="A198" s="2" t="s">
        <v>215</v>
      </c>
      <c r="B198" s="2">
        <v>1.64</v>
      </c>
      <c r="C198" s="2">
        <v>0.44</v>
      </c>
      <c r="D198" s="2">
        <v>0.45</v>
      </c>
      <c r="E198" s="2">
        <v>1.68</v>
      </c>
      <c r="F198" s="2">
        <v>0</v>
      </c>
      <c r="G198" s="2">
        <v>1.58</v>
      </c>
      <c r="H198" s="2">
        <v>1.44</v>
      </c>
      <c r="I198" s="2">
        <v>0</v>
      </c>
      <c r="J198" s="2">
        <v>0.27</v>
      </c>
      <c r="K198" s="2">
        <v>0.13</v>
      </c>
      <c r="L198" s="2">
        <v>0.28999999999999998</v>
      </c>
      <c r="M198" s="2">
        <v>1.04</v>
      </c>
      <c r="N198" s="2">
        <v>0.33</v>
      </c>
      <c r="O198" s="2">
        <v>0</v>
      </c>
      <c r="P198" s="2">
        <v>0.73</v>
      </c>
      <c r="Q198" s="2">
        <v>0.18</v>
      </c>
      <c r="R198" s="2">
        <v>0.63</v>
      </c>
      <c r="S198" s="2">
        <v>0</v>
      </c>
    </row>
    <row r="199" spans="1:19" ht="13.9" x14ac:dyDescent="0.3">
      <c r="A199" s="2" t="s">
        <v>216</v>
      </c>
      <c r="B199" s="2">
        <v>20.64</v>
      </c>
      <c r="C199" s="2">
        <v>18.07</v>
      </c>
      <c r="D199" s="2">
        <v>25.98</v>
      </c>
      <c r="E199" s="2">
        <v>23.59</v>
      </c>
      <c r="F199" s="2">
        <v>16.850000000000001</v>
      </c>
      <c r="G199" s="2">
        <v>22.87</v>
      </c>
      <c r="H199" s="2">
        <v>23.66</v>
      </c>
      <c r="I199" s="2">
        <v>0</v>
      </c>
      <c r="J199" s="2">
        <v>14.62</v>
      </c>
      <c r="K199" s="2">
        <v>12.85</v>
      </c>
      <c r="L199" s="2">
        <v>4.63</v>
      </c>
      <c r="M199" s="2">
        <v>29.82</v>
      </c>
      <c r="N199" s="2">
        <v>59.33</v>
      </c>
      <c r="O199" s="2">
        <v>40.25</v>
      </c>
      <c r="P199" s="2">
        <v>42.42</v>
      </c>
      <c r="Q199" s="2">
        <v>30.54</v>
      </c>
      <c r="R199" s="2">
        <v>27.42</v>
      </c>
      <c r="S199" s="2">
        <v>124.68</v>
      </c>
    </row>
    <row r="200" spans="1:19" ht="13.9" x14ac:dyDescent="0.3">
      <c r="A200" s="2" t="s">
        <v>217</v>
      </c>
      <c r="B200" s="2">
        <v>23.67</v>
      </c>
      <c r="C200" s="2">
        <v>26.06</v>
      </c>
      <c r="D200" s="2">
        <v>32.450000000000003</v>
      </c>
      <c r="E200" s="2">
        <v>19.64</v>
      </c>
      <c r="F200" s="2">
        <v>22.86</v>
      </c>
      <c r="G200" s="2">
        <v>28.14</v>
      </c>
      <c r="H200" s="2">
        <v>20.059999999999999</v>
      </c>
      <c r="I200" s="2">
        <v>40.880000000000003</v>
      </c>
      <c r="J200" s="2">
        <v>17.46</v>
      </c>
      <c r="K200" s="2">
        <v>57.03</v>
      </c>
      <c r="L200" s="2">
        <v>118.28</v>
      </c>
      <c r="M200" s="2">
        <v>94.65</v>
      </c>
      <c r="N200" s="2">
        <v>109.1</v>
      </c>
      <c r="O200" s="2">
        <v>96.61</v>
      </c>
      <c r="P200" s="2">
        <v>89.21</v>
      </c>
      <c r="Q200" s="2">
        <v>68.989999999999995</v>
      </c>
      <c r="R200" s="2">
        <v>62.78</v>
      </c>
      <c r="S200" s="2">
        <v>130.21</v>
      </c>
    </row>
    <row r="201" spans="1:19" ht="13.9" x14ac:dyDescent="0.3">
      <c r="A201" s="2" t="s">
        <v>218</v>
      </c>
      <c r="B201" s="2">
        <v>22.03</v>
      </c>
      <c r="C201" s="2">
        <v>8.65</v>
      </c>
      <c r="D201" s="2">
        <v>18.72</v>
      </c>
      <c r="E201" s="2">
        <v>9.77</v>
      </c>
      <c r="F201" s="2">
        <v>9.76</v>
      </c>
      <c r="G201" s="2">
        <v>11.8</v>
      </c>
      <c r="H201" s="2">
        <v>9.67</v>
      </c>
      <c r="I201" s="2">
        <v>0</v>
      </c>
      <c r="J201" s="2">
        <v>16.239999999999998</v>
      </c>
      <c r="K201" s="2">
        <v>12.06</v>
      </c>
      <c r="L201" s="2">
        <v>25.16</v>
      </c>
      <c r="M201" s="2">
        <v>0</v>
      </c>
      <c r="N201" s="2">
        <v>28.68</v>
      </c>
      <c r="O201" s="2">
        <v>0</v>
      </c>
      <c r="P201" s="2">
        <v>1.82</v>
      </c>
      <c r="Q201" s="2">
        <v>9.52</v>
      </c>
      <c r="R201" s="2">
        <v>4.1900000000000004</v>
      </c>
      <c r="S201" s="2">
        <v>0</v>
      </c>
    </row>
    <row r="202" spans="1:19" ht="13.9" x14ac:dyDescent="0.3">
      <c r="A202" s="2" t="s">
        <v>219</v>
      </c>
      <c r="B202" s="2">
        <v>0.63</v>
      </c>
      <c r="C202" s="2">
        <v>1.89</v>
      </c>
      <c r="D202" s="2">
        <v>1.1299999999999999</v>
      </c>
      <c r="E202" s="2">
        <v>1.88</v>
      </c>
      <c r="F202" s="2">
        <v>1.6</v>
      </c>
      <c r="G202" s="2">
        <v>0.53</v>
      </c>
      <c r="H202" s="2">
        <v>2.06</v>
      </c>
      <c r="I202" s="2">
        <v>0</v>
      </c>
      <c r="J202" s="2">
        <v>1.76</v>
      </c>
      <c r="K202" s="2">
        <v>0</v>
      </c>
      <c r="L202" s="2">
        <v>0</v>
      </c>
      <c r="M202" s="2">
        <v>0</v>
      </c>
      <c r="N202" s="2">
        <v>0</v>
      </c>
      <c r="O202" s="2">
        <v>3.17</v>
      </c>
      <c r="P202" s="2">
        <v>1.64</v>
      </c>
      <c r="Q202" s="2">
        <v>0</v>
      </c>
      <c r="R202" s="2">
        <v>0.63</v>
      </c>
      <c r="S202" s="2">
        <v>0</v>
      </c>
    </row>
    <row r="203" spans="1:19" ht="13.9" x14ac:dyDescent="0.3">
      <c r="A203" s="2" t="s">
        <v>220</v>
      </c>
      <c r="B203" s="2">
        <v>27.32</v>
      </c>
      <c r="C203" s="2">
        <v>28.28</v>
      </c>
      <c r="D203" s="2">
        <v>22.01</v>
      </c>
      <c r="E203" s="2">
        <v>16.98</v>
      </c>
      <c r="F203" s="2">
        <v>22.86</v>
      </c>
      <c r="G203" s="2">
        <v>24.55</v>
      </c>
      <c r="H203" s="2">
        <v>23.36</v>
      </c>
      <c r="I203" s="2">
        <v>0</v>
      </c>
      <c r="J203" s="2">
        <v>21.52</v>
      </c>
      <c r="K203" s="2">
        <v>19.8</v>
      </c>
      <c r="L203" s="2">
        <v>12.15</v>
      </c>
      <c r="M203" s="2">
        <v>2.0699999999999998</v>
      </c>
      <c r="N203" s="2">
        <v>7.91</v>
      </c>
      <c r="O203" s="2">
        <v>20.25</v>
      </c>
      <c r="P203" s="2">
        <v>18.75</v>
      </c>
      <c r="Q203" s="2">
        <v>37.909999999999997</v>
      </c>
      <c r="R203" s="2">
        <v>10.050000000000001</v>
      </c>
      <c r="S203" s="2">
        <v>50.78</v>
      </c>
    </row>
    <row r="204" spans="1:19" ht="13.9" x14ac:dyDescent="0.3">
      <c r="A204" s="2" t="s">
        <v>221</v>
      </c>
      <c r="B204" s="2">
        <v>8.06</v>
      </c>
      <c r="C204" s="2">
        <v>9.1999999999999993</v>
      </c>
      <c r="D204" s="2">
        <v>9.08</v>
      </c>
      <c r="E204" s="2">
        <v>9.3800000000000008</v>
      </c>
      <c r="F204" s="2">
        <v>10.7</v>
      </c>
      <c r="G204" s="2">
        <v>11.49</v>
      </c>
      <c r="H204" s="2">
        <v>8.44</v>
      </c>
      <c r="I204" s="2">
        <v>0</v>
      </c>
      <c r="J204" s="2">
        <v>14.21</v>
      </c>
      <c r="K204" s="2">
        <v>0</v>
      </c>
      <c r="L204" s="2">
        <v>16.190000000000001</v>
      </c>
      <c r="M204" s="2">
        <v>0.26</v>
      </c>
      <c r="N204" s="2">
        <v>26.7</v>
      </c>
      <c r="O204" s="2">
        <v>64.650000000000006</v>
      </c>
      <c r="P204" s="2">
        <v>23.67</v>
      </c>
      <c r="Q204" s="2">
        <v>0.18</v>
      </c>
      <c r="R204" s="2">
        <v>15.7</v>
      </c>
      <c r="S204" s="2">
        <v>0</v>
      </c>
    </row>
    <row r="205" spans="1:19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ht="13.9" x14ac:dyDescent="0.3">
      <c r="A206" s="2" t="s">
        <v>223</v>
      </c>
      <c r="B206" s="2">
        <v>0</v>
      </c>
      <c r="C206" s="2">
        <v>0</v>
      </c>
      <c r="D206" s="2">
        <v>1.25</v>
      </c>
      <c r="E206" s="2">
        <v>0.3</v>
      </c>
      <c r="F206" s="2">
        <v>2.94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11.41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ht="13.9" x14ac:dyDescent="0.3">
      <c r="A207" s="2" t="s">
        <v>224</v>
      </c>
      <c r="B207" s="2">
        <v>0.38</v>
      </c>
      <c r="C207" s="2">
        <v>0</v>
      </c>
      <c r="D207" s="2">
        <v>0.34</v>
      </c>
      <c r="E207" s="2">
        <v>0</v>
      </c>
      <c r="F207" s="2">
        <v>0.13</v>
      </c>
      <c r="G207" s="2">
        <v>0</v>
      </c>
      <c r="H207" s="2">
        <v>0.82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5.86</v>
      </c>
      <c r="S207" s="2">
        <v>0</v>
      </c>
    </row>
    <row r="208" spans="1:19" ht="13.9" x14ac:dyDescent="0.3">
      <c r="A208" s="2" t="s">
        <v>225</v>
      </c>
      <c r="B208" s="2">
        <v>0.25</v>
      </c>
      <c r="C208" s="2">
        <v>3.66</v>
      </c>
      <c r="D208" s="2">
        <v>1.02</v>
      </c>
      <c r="E208" s="2">
        <v>1.38</v>
      </c>
      <c r="F208" s="2">
        <v>1.87</v>
      </c>
      <c r="G208" s="2">
        <v>1.05</v>
      </c>
      <c r="H208" s="2">
        <v>2.37</v>
      </c>
      <c r="I208" s="2">
        <v>0</v>
      </c>
      <c r="J208" s="2">
        <v>1.35</v>
      </c>
      <c r="K208" s="2">
        <v>38.94</v>
      </c>
      <c r="L208" s="2">
        <v>52.34</v>
      </c>
      <c r="M208" s="2">
        <v>21.52</v>
      </c>
      <c r="N208" s="2">
        <v>21.42</v>
      </c>
      <c r="O208" s="2">
        <v>20.49</v>
      </c>
      <c r="P208" s="2">
        <v>20.57</v>
      </c>
      <c r="Q208" s="2">
        <v>8.08</v>
      </c>
      <c r="R208" s="2">
        <v>0</v>
      </c>
      <c r="S208" s="2">
        <v>0</v>
      </c>
    </row>
    <row r="209" spans="1:19" ht="13.9" x14ac:dyDescent="0.3">
      <c r="A209" s="2" t="s">
        <v>226</v>
      </c>
      <c r="B209" s="2">
        <v>50.23</v>
      </c>
      <c r="C209" s="2">
        <v>46.35</v>
      </c>
      <c r="D209" s="2">
        <v>64.67</v>
      </c>
      <c r="E209" s="2">
        <v>53.01</v>
      </c>
      <c r="F209" s="2">
        <v>41.98</v>
      </c>
      <c r="G209" s="2">
        <v>66.08</v>
      </c>
      <c r="H209" s="2">
        <v>47.53</v>
      </c>
      <c r="I209" s="2">
        <v>0</v>
      </c>
      <c r="J209" s="2">
        <v>49.67</v>
      </c>
      <c r="K209" s="2">
        <v>74.2</v>
      </c>
      <c r="L209" s="2">
        <v>154.71</v>
      </c>
      <c r="M209" s="2">
        <v>136.41</v>
      </c>
      <c r="N209" s="2">
        <v>147.01</v>
      </c>
      <c r="O209" s="2">
        <v>96.36</v>
      </c>
      <c r="P209" s="2">
        <v>88.12</v>
      </c>
      <c r="Q209" s="2">
        <v>82.64</v>
      </c>
      <c r="R209" s="2">
        <v>139.80000000000001</v>
      </c>
      <c r="S209" s="2">
        <v>158.36000000000001</v>
      </c>
    </row>
    <row r="210" spans="1:19" ht="13.9" x14ac:dyDescent="0.3">
      <c r="A210" s="2" t="s">
        <v>227</v>
      </c>
      <c r="B210" s="2">
        <v>0</v>
      </c>
      <c r="C210" s="2">
        <v>1.33</v>
      </c>
      <c r="D210" s="2">
        <v>0.79</v>
      </c>
      <c r="E210" s="2">
        <v>0.79</v>
      </c>
      <c r="F210" s="2">
        <v>0</v>
      </c>
      <c r="G210" s="2">
        <v>1.1599999999999999</v>
      </c>
      <c r="H210" s="2">
        <v>0.41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</row>
    <row r="211" spans="1:19" ht="13.9" x14ac:dyDescent="0.3">
      <c r="A211" s="2" t="s">
        <v>228</v>
      </c>
      <c r="B211" s="2">
        <v>0</v>
      </c>
      <c r="C211" s="2">
        <v>0</v>
      </c>
      <c r="D211" s="2">
        <v>0.91</v>
      </c>
      <c r="E211" s="2">
        <v>0.69</v>
      </c>
      <c r="F211" s="2">
        <v>2.41</v>
      </c>
      <c r="G211" s="2">
        <v>1.05</v>
      </c>
      <c r="H211" s="2">
        <v>1.75</v>
      </c>
      <c r="I211" s="2">
        <v>0</v>
      </c>
      <c r="J211" s="2">
        <v>2.44</v>
      </c>
      <c r="K211" s="2">
        <v>4.9800000000000004</v>
      </c>
      <c r="L211" s="2">
        <v>0</v>
      </c>
      <c r="M211" s="2">
        <v>0</v>
      </c>
      <c r="N211" s="2">
        <v>0</v>
      </c>
      <c r="O211" s="2">
        <v>0.24</v>
      </c>
      <c r="P211" s="2">
        <v>3.46</v>
      </c>
      <c r="Q211" s="2">
        <v>6.29</v>
      </c>
      <c r="R211" s="2">
        <v>0</v>
      </c>
      <c r="S211" s="2">
        <v>0</v>
      </c>
    </row>
    <row r="212" spans="1:19" ht="13.9" x14ac:dyDescent="0.3">
      <c r="A212" s="2" t="s">
        <v>229</v>
      </c>
      <c r="B212" s="2">
        <v>0.13</v>
      </c>
      <c r="C212" s="2">
        <v>0.44</v>
      </c>
      <c r="D212" s="2">
        <v>0.11</v>
      </c>
      <c r="E212" s="2">
        <v>0.1</v>
      </c>
      <c r="F212" s="2">
        <v>0.27</v>
      </c>
      <c r="G212" s="2">
        <v>1.05</v>
      </c>
      <c r="H212" s="2">
        <v>0</v>
      </c>
      <c r="I212" s="2">
        <v>0</v>
      </c>
      <c r="J212" s="2">
        <v>1.22</v>
      </c>
      <c r="K212" s="2">
        <v>3.54</v>
      </c>
      <c r="L212" s="2">
        <v>0</v>
      </c>
      <c r="M212" s="2">
        <v>0</v>
      </c>
      <c r="N212" s="2">
        <v>1.32</v>
      </c>
      <c r="O212" s="2">
        <v>0</v>
      </c>
      <c r="P212" s="2">
        <v>2.73</v>
      </c>
      <c r="Q212" s="2">
        <v>0</v>
      </c>
      <c r="R212" s="2">
        <v>1.05</v>
      </c>
      <c r="S212" s="2">
        <v>5.03</v>
      </c>
    </row>
    <row r="213" spans="1:19" ht="13.9" x14ac:dyDescent="0.3">
      <c r="A213" s="2" t="s">
        <v>230</v>
      </c>
      <c r="B213" s="2">
        <v>12.08</v>
      </c>
      <c r="C213" s="2">
        <v>13.53</v>
      </c>
      <c r="D213" s="2">
        <v>9.19</v>
      </c>
      <c r="E213" s="2">
        <v>9.08</v>
      </c>
      <c r="F213" s="2">
        <v>11.63</v>
      </c>
      <c r="G213" s="2">
        <v>10.119999999999999</v>
      </c>
      <c r="H213" s="2">
        <v>4.32</v>
      </c>
      <c r="I213" s="2">
        <v>204.38</v>
      </c>
      <c r="J213" s="2">
        <v>15.56</v>
      </c>
      <c r="K213" s="2">
        <v>18.22</v>
      </c>
      <c r="L213" s="2">
        <v>0</v>
      </c>
      <c r="M213" s="2">
        <v>12.45</v>
      </c>
      <c r="N213" s="2">
        <v>22.74</v>
      </c>
      <c r="O213" s="2">
        <v>0.24</v>
      </c>
      <c r="P213" s="2">
        <v>0</v>
      </c>
      <c r="Q213" s="2">
        <v>12.58</v>
      </c>
      <c r="R213" s="2">
        <v>15.49</v>
      </c>
      <c r="S213" s="2">
        <v>11.56</v>
      </c>
    </row>
    <row r="214" spans="1:19" ht="13.9" x14ac:dyDescent="0.3">
      <c r="A214" s="2" t="s">
        <v>231</v>
      </c>
      <c r="B214" s="2">
        <v>2.14</v>
      </c>
      <c r="C214" s="2">
        <v>3.88</v>
      </c>
      <c r="D214" s="2">
        <v>1.36</v>
      </c>
      <c r="E214" s="2">
        <v>2.0699999999999998</v>
      </c>
      <c r="F214" s="2">
        <v>1.74</v>
      </c>
      <c r="G214" s="2">
        <v>2</v>
      </c>
      <c r="H214" s="2">
        <v>1.44</v>
      </c>
      <c r="I214" s="2">
        <v>0</v>
      </c>
      <c r="J214" s="2">
        <v>1.22</v>
      </c>
      <c r="K214" s="2">
        <v>0</v>
      </c>
      <c r="L214" s="2">
        <v>0</v>
      </c>
      <c r="M214" s="2">
        <v>2.0699999999999998</v>
      </c>
      <c r="N214" s="2">
        <v>0</v>
      </c>
      <c r="O214" s="2">
        <v>2.44</v>
      </c>
      <c r="P214" s="2">
        <v>0</v>
      </c>
      <c r="Q214" s="2">
        <v>0</v>
      </c>
      <c r="R214" s="2">
        <v>0</v>
      </c>
      <c r="S214" s="2">
        <v>2.5099999999999998</v>
      </c>
    </row>
    <row r="215" spans="1:19" ht="13.9" x14ac:dyDescent="0.3">
      <c r="A215" s="2" t="s">
        <v>232</v>
      </c>
      <c r="B215" s="2">
        <v>0.5</v>
      </c>
      <c r="C215" s="2">
        <v>0</v>
      </c>
      <c r="D215" s="2">
        <v>0.45</v>
      </c>
      <c r="E215" s="2">
        <v>0.49</v>
      </c>
      <c r="F215" s="2">
        <v>0</v>
      </c>
      <c r="G215" s="2">
        <v>0.32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ht="13.9" x14ac:dyDescent="0.3">
      <c r="A216" s="2" t="s">
        <v>233</v>
      </c>
      <c r="B216" s="2">
        <v>0.88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11.15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</row>
    <row r="217" spans="1:19" ht="13.9" x14ac:dyDescent="0.3">
      <c r="A217" s="2" t="s">
        <v>234</v>
      </c>
      <c r="B217" s="2">
        <v>12.71</v>
      </c>
      <c r="C217" s="2">
        <v>6.32</v>
      </c>
      <c r="D217" s="2">
        <v>4.88</v>
      </c>
      <c r="E217" s="2">
        <v>15.2</v>
      </c>
      <c r="F217" s="2">
        <v>6.42</v>
      </c>
      <c r="G217" s="2">
        <v>11.91</v>
      </c>
      <c r="H217" s="2">
        <v>11.83</v>
      </c>
      <c r="I217" s="2">
        <v>0</v>
      </c>
      <c r="J217" s="2">
        <v>9.4700000000000006</v>
      </c>
      <c r="K217" s="2">
        <v>4.9800000000000004</v>
      </c>
      <c r="L217" s="2">
        <v>16.48</v>
      </c>
      <c r="M217" s="2">
        <v>9.85</v>
      </c>
      <c r="N217" s="2">
        <v>19.45</v>
      </c>
      <c r="O217" s="2">
        <v>76.36</v>
      </c>
      <c r="P217" s="2">
        <v>34.770000000000003</v>
      </c>
      <c r="Q217" s="2">
        <v>0</v>
      </c>
      <c r="R217" s="2">
        <v>35.159999999999997</v>
      </c>
      <c r="S217" s="2">
        <v>20.11</v>
      </c>
    </row>
    <row r="218" spans="1:19" ht="13.9" x14ac:dyDescent="0.3">
      <c r="A218" s="2" t="s">
        <v>235</v>
      </c>
      <c r="B218" s="2">
        <v>25.18</v>
      </c>
      <c r="C218" s="2">
        <v>10.42</v>
      </c>
      <c r="D218" s="2">
        <v>21.33</v>
      </c>
      <c r="E218" s="2">
        <v>19.739999999999998</v>
      </c>
      <c r="F218" s="2">
        <v>15.78</v>
      </c>
      <c r="G218" s="2">
        <v>23.92</v>
      </c>
      <c r="H218" s="2">
        <v>13.58</v>
      </c>
      <c r="I218" s="2">
        <v>40.880000000000003</v>
      </c>
      <c r="J218" s="2">
        <v>16.38</v>
      </c>
      <c r="K218" s="2">
        <v>2.4900000000000002</v>
      </c>
      <c r="L218" s="2">
        <v>0</v>
      </c>
      <c r="M218" s="2">
        <v>0</v>
      </c>
      <c r="N218" s="2">
        <v>1.32</v>
      </c>
      <c r="O218" s="2">
        <v>16.100000000000001</v>
      </c>
      <c r="P218" s="2">
        <v>2.37</v>
      </c>
      <c r="Q218" s="2">
        <v>0</v>
      </c>
      <c r="R218" s="2">
        <v>9.6300000000000008</v>
      </c>
      <c r="S218" s="2">
        <v>32.68</v>
      </c>
    </row>
    <row r="219" spans="1:19" ht="13.9" x14ac:dyDescent="0.3">
      <c r="A219" s="2" t="s">
        <v>236</v>
      </c>
      <c r="B219" s="2">
        <v>41586.269999999997</v>
      </c>
      <c r="C219" s="2">
        <v>36559.57</v>
      </c>
      <c r="D219" s="2">
        <v>44375.44</v>
      </c>
      <c r="E219" s="2">
        <v>48004.23</v>
      </c>
      <c r="F219" s="2">
        <v>39007.58</v>
      </c>
      <c r="G219" s="2">
        <v>45590.93</v>
      </c>
      <c r="H219" s="2">
        <v>45426.25</v>
      </c>
      <c r="I219" s="2">
        <v>26406.15</v>
      </c>
      <c r="J219" s="2">
        <v>36749.1</v>
      </c>
      <c r="K219" s="2">
        <v>28541.61</v>
      </c>
      <c r="L219" s="2">
        <v>32223.73</v>
      </c>
      <c r="M219" s="2">
        <v>29320.21</v>
      </c>
      <c r="N219" s="2">
        <v>46428.76</v>
      </c>
      <c r="O219" s="2">
        <v>37218.54</v>
      </c>
      <c r="P219" s="2">
        <v>34930.44</v>
      </c>
      <c r="Q219" s="2">
        <v>33394.21</v>
      </c>
      <c r="R219" s="2">
        <v>43786.82</v>
      </c>
      <c r="S219" s="2">
        <v>41758.75</v>
      </c>
    </row>
    <row r="220" spans="1:19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</row>
    <row r="222" spans="1:19" ht="13.9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10.220000000000001</v>
      </c>
      <c r="O222" s="2">
        <v>0</v>
      </c>
      <c r="P222" s="2">
        <v>0</v>
      </c>
      <c r="Q222" s="2">
        <v>0</v>
      </c>
      <c r="R222" s="2">
        <v>0.21</v>
      </c>
      <c r="S222" s="2">
        <v>0</v>
      </c>
    </row>
    <row r="223" spans="1:19" ht="13.9" x14ac:dyDescent="0.3">
      <c r="A223" s="2" t="s">
        <v>240</v>
      </c>
      <c r="B223" s="2">
        <v>12.84</v>
      </c>
      <c r="C223" s="2">
        <v>7.43</v>
      </c>
      <c r="D223" s="2">
        <v>6.92</v>
      </c>
      <c r="E223" s="2">
        <v>10.46</v>
      </c>
      <c r="F223" s="2">
        <v>8.56</v>
      </c>
      <c r="G223" s="2">
        <v>12.86</v>
      </c>
      <c r="H223" s="2">
        <v>12.14</v>
      </c>
      <c r="I223" s="2">
        <v>0</v>
      </c>
      <c r="J223" s="2">
        <v>9.1999999999999993</v>
      </c>
      <c r="K223" s="2">
        <v>0</v>
      </c>
      <c r="L223" s="2">
        <v>0</v>
      </c>
      <c r="M223" s="2">
        <v>0</v>
      </c>
      <c r="N223" s="2">
        <v>0</v>
      </c>
      <c r="O223" s="2">
        <v>0.24</v>
      </c>
      <c r="P223" s="2">
        <v>0</v>
      </c>
      <c r="Q223" s="2">
        <v>9.34</v>
      </c>
      <c r="R223" s="2">
        <v>0</v>
      </c>
      <c r="S223" s="2">
        <v>0</v>
      </c>
    </row>
    <row r="224" spans="1:19" ht="13.9" x14ac:dyDescent="0.3">
      <c r="A224" s="2" t="s">
        <v>241</v>
      </c>
      <c r="B224" s="2">
        <v>1.1299999999999999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</row>
    <row r="225" spans="1:19" ht="13.9" x14ac:dyDescent="0.3">
      <c r="A225" s="2" t="s">
        <v>242</v>
      </c>
      <c r="B225" s="2">
        <v>0</v>
      </c>
      <c r="C225" s="2">
        <v>1.22</v>
      </c>
      <c r="D225" s="2">
        <v>1.25</v>
      </c>
      <c r="E225" s="2">
        <v>0</v>
      </c>
      <c r="F225" s="2">
        <v>0.27</v>
      </c>
      <c r="G225" s="2">
        <v>0</v>
      </c>
      <c r="H225" s="2">
        <v>0.93</v>
      </c>
      <c r="I225" s="2">
        <v>0</v>
      </c>
      <c r="J225" s="2">
        <v>1.49</v>
      </c>
      <c r="K225" s="2">
        <v>0</v>
      </c>
      <c r="L225" s="2">
        <v>0</v>
      </c>
      <c r="M225" s="2">
        <v>0</v>
      </c>
      <c r="N225" s="2">
        <v>7.91</v>
      </c>
      <c r="O225" s="2">
        <v>0</v>
      </c>
      <c r="P225" s="2">
        <v>0.91</v>
      </c>
      <c r="Q225" s="2">
        <v>0</v>
      </c>
      <c r="R225" s="2">
        <v>0</v>
      </c>
      <c r="S225" s="2">
        <v>0</v>
      </c>
    </row>
    <row r="226" spans="1:19" ht="13.9" x14ac:dyDescent="0.3">
      <c r="A226" s="2" t="s">
        <v>243</v>
      </c>
      <c r="B226" s="2">
        <v>0</v>
      </c>
      <c r="C226" s="2">
        <v>0</v>
      </c>
      <c r="D226" s="2">
        <v>0.56999999999999995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0.14000000000000001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ht="13.9" x14ac:dyDescent="0.3">
      <c r="A227" s="2" t="s">
        <v>244</v>
      </c>
      <c r="B227" s="2">
        <v>0.13</v>
      </c>
      <c r="C227" s="2">
        <v>0</v>
      </c>
      <c r="D227" s="2">
        <v>0</v>
      </c>
      <c r="E227" s="2">
        <v>0.2</v>
      </c>
      <c r="F227" s="2">
        <v>0.8</v>
      </c>
      <c r="G227" s="2">
        <v>0.63</v>
      </c>
      <c r="H227" s="2">
        <v>1.75</v>
      </c>
      <c r="I227" s="2">
        <v>0</v>
      </c>
      <c r="J227" s="2">
        <v>0.54</v>
      </c>
      <c r="K227" s="2">
        <v>0</v>
      </c>
      <c r="L227" s="2">
        <v>0</v>
      </c>
      <c r="M227" s="2">
        <v>0</v>
      </c>
      <c r="N227" s="2">
        <v>0</v>
      </c>
      <c r="O227" s="2">
        <v>0.24</v>
      </c>
      <c r="P227" s="2">
        <v>0</v>
      </c>
      <c r="Q227" s="2">
        <v>0</v>
      </c>
      <c r="R227" s="2">
        <v>0</v>
      </c>
      <c r="S227" s="2">
        <v>0</v>
      </c>
    </row>
    <row r="228" spans="1:19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ht="13.9" x14ac:dyDescent="0.3">
      <c r="A229" s="2" t="s">
        <v>246</v>
      </c>
      <c r="B229" s="2">
        <v>786.49</v>
      </c>
      <c r="C229" s="2">
        <v>915.45</v>
      </c>
      <c r="D229" s="2">
        <v>608.65</v>
      </c>
      <c r="E229" s="2">
        <v>827.83</v>
      </c>
      <c r="F229" s="2">
        <v>1026.2</v>
      </c>
      <c r="G229" s="2">
        <v>723.16</v>
      </c>
      <c r="H229" s="2">
        <v>655.1</v>
      </c>
      <c r="I229" s="2">
        <v>2329.9499999999998</v>
      </c>
      <c r="J229" s="2">
        <v>1980.82</v>
      </c>
      <c r="K229" s="2">
        <v>1963.43</v>
      </c>
      <c r="L229" s="2">
        <v>3034.09</v>
      </c>
      <c r="M229" s="2">
        <v>3363.98</v>
      </c>
      <c r="N229" s="2">
        <v>3602.68</v>
      </c>
      <c r="O229" s="2">
        <v>2365.94</v>
      </c>
      <c r="P229" s="2">
        <v>1623.29</v>
      </c>
      <c r="Q229" s="2">
        <v>1913.49</v>
      </c>
      <c r="R229" s="2">
        <v>3335.52</v>
      </c>
      <c r="S229" s="2">
        <v>7819.15</v>
      </c>
    </row>
    <row r="230" spans="1:19" ht="13.9" x14ac:dyDescent="0.3">
      <c r="A230" s="2" t="s">
        <v>247</v>
      </c>
      <c r="B230" s="2">
        <v>409.61</v>
      </c>
      <c r="C230" s="2">
        <v>239.51</v>
      </c>
      <c r="D230" s="2">
        <v>286.68</v>
      </c>
      <c r="E230" s="2">
        <v>280.06</v>
      </c>
      <c r="F230" s="2">
        <v>243.75</v>
      </c>
      <c r="G230" s="2">
        <v>269.47000000000003</v>
      </c>
      <c r="H230" s="2">
        <v>309.49</v>
      </c>
      <c r="I230" s="2">
        <v>3147.48</v>
      </c>
      <c r="J230" s="2">
        <v>283.82</v>
      </c>
      <c r="K230" s="2">
        <v>210.41</v>
      </c>
      <c r="L230" s="2">
        <v>126.66</v>
      </c>
      <c r="M230" s="2">
        <v>212.39</v>
      </c>
      <c r="N230" s="2">
        <v>188.87</v>
      </c>
      <c r="O230" s="2">
        <v>121.74</v>
      </c>
      <c r="P230" s="2">
        <v>252.16</v>
      </c>
      <c r="Q230" s="2">
        <v>207.86</v>
      </c>
      <c r="R230" s="2">
        <v>277.72000000000003</v>
      </c>
      <c r="S230" s="2">
        <v>179.48</v>
      </c>
    </row>
    <row r="231" spans="1:19" ht="13.9" x14ac:dyDescent="0.3">
      <c r="A231" s="2" t="s">
        <v>248</v>
      </c>
      <c r="B231" s="2">
        <v>77.92</v>
      </c>
      <c r="C231" s="2">
        <v>63.87</v>
      </c>
      <c r="D231" s="2">
        <v>71.25</v>
      </c>
      <c r="E231" s="2">
        <v>72.36</v>
      </c>
      <c r="F231" s="2">
        <v>66.72</v>
      </c>
      <c r="G231" s="2">
        <v>65.23</v>
      </c>
      <c r="H231" s="2">
        <v>61.22</v>
      </c>
      <c r="I231" s="2">
        <v>613.15</v>
      </c>
      <c r="J231" s="2">
        <v>70.92</v>
      </c>
      <c r="K231" s="2">
        <v>80.23</v>
      </c>
      <c r="L231" s="2">
        <v>78.08</v>
      </c>
      <c r="M231" s="2">
        <v>60.42</v>
      </c>
      <c r="N231" s="2">
        <v>137.12</v>
      </c>
      <c r="O231" s="2">
        <v>104.42</v>
      </c>
      <c r="P231" s="2">
        <v>78.290000000000006</v>
      </c>
      <c r="Q231" s="2">
        <v>123.06</v>
      </c>
      <c r="R231" s="2">
        <v>153.82</v>
      </c>
      <c r="S231" s="2">
        <v>137.25</v>
      </c>
    </row>
    <row r="232" spans="1:19" ht="13.9" x14ac:dyDescent="0.3">
      <c r="A232" s="2" t="s">
        <v>249</v>
      </c>
      <c r="B232" s="2">
        <v>14.73</v>
      </c>
      <c r="C232" s="2">
        <v>12.09</v>
      </c>
      <c r="D232" s="2">
        <v>10.44</v>
      </c>
      <c r="E232" s="2">
        <v>14.02</v>
      </c>
      <c r="F232" s="2">
        <v>9.6300000000000008</v>
      </c>
      <c r="G232" s="2">
        <v>16.86</v>
      </c>
      <c r="H232" s="2">
        <v>12.04</v>
      </c>
      <c r="I232" s="2">
        <v>0</v>
      </c>
      <c r="J232" s="2">
        <v>8.39</v>
      </c>
      <c r="K232" s="2">
        <v>10.62</v>
      </c>
      <c r="L232" s="2">
        <v>4.05</v>
      </c>
      <c r="M232" s="2">
        <v>0</v>
      </c>
      <c r="N232" s="2">
        <v>12.85</v>
      </c>
      <c r="O232" s="2">
        <v>5.12</v>
      </c>
      <c r="P232" s="2">
        <v>3.1</v>
      </c>
      <c r="Q232" s="2">
        <v>2.87</v>
      </c>
      <c r="R232" s="2">
        <v>2.09</v>
      </c>
      <c r="S232" s="2">
        <v>10.56</v>
      </c>
    </row>
    <row r="233" spans="1:19" ht="13.9" x14ac:dyDescent="0.3">
      <c r="A233" s="2" t="s">
        <v>250</v>
      </c>
      <c r="B233" s="2">
        <v>0</v>
      </c>
      <c r="C233" s="2">
        <v>0</v>
      </c>
      <c r="D233" s="2">
        <v>0.11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ht="13.9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2.6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ht="13.9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0.24</v>
      </c>
      <c r="P235" s="2">
        <v>0</v>
      </c>
      <c r="Q235" s="2">
        <v>0</v>
      </c>
      <c r="R235" s="2">
        <v>0</v>
      </c>
      <c r="S235" s="2">
        <v>0</v>
      </c>
    </row>
    <row r="236" spans="1:19" ht="13.9" x14ac:dyDescent="0.3">
      <c r="A236" s="2" t="s">
        <v>253</v>
      </c>
      <c r="B236" s="2">
        <v>1.26</v>
      </c>
      <c r="C236" s="2">
        <v>0.55000000000000004</v>
      </c>
      <c r="D236" s="2">
        <v>0</v>
      </c>
      <c r="E236" s="2">
        <v>2.37</v>
      </c>
      <c r="F236" s="2">
        <v>5.62</v>
      </c>
      <c r="G236" s="2">
        <v>3.37</v>
      </c>
      <c r="H236" s="2">
        <v>1.44</v>
      </c>
      <c r="I236" s="2">
        <v>0</v>
      </c>
      <c r="J236" s="2">
        <v>0.95</v>
      </c>
      <c r="K236" s="2">
        <v>0</v>
      </c>
      <c r="L236" s="2">
        <v>0</v>
      </c>
      <c r="M236" s="2">
        <v>17.63</v>
      </c>
      <c r="N236" s="2">
        <v>0.33</v>
      </c>
      <c r="O236" s="2">
        <v>0</v>
      </c>
      <c r="P236" s="2">
        <v>11.11</v>
      </c>
      <c r="Q236" s="2">
        <v>10.42</v>
      </c>
      <c r="R236" s="2">
        <v>0</v>
      </c>
      <c r="S236" s="2">
        <v>0</v>
      </c>
    </row>
    <row r="237" spans="1:19" ht="13.9" x14ac:dyDescent="0.3">
      <c r="A237" s="2" t="s">
        <v>254</v>
      </c>
      <c r="B237" s="2">
        <v>0</v>
      </c>
      <c r="C237" s="2">
        <v>0</v>
      </c>
      <c r="D237" s="2">
        <v>0.34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ht="13.9" x14ac:dyDescent="0.3">
      <c r="A238" s="2" t="s">
        <v>255</v>
      </c>
      <c r="B238" s="2">
        <v>11.83</v>
      </c>
      <c r="C238" s="2">
        <v>17.52</v>
      </c>
      <c r="D238" s="2">
        <v>7.15</v>
      </c>
      <c r="E238" s="2">
        <v>16.29</v>
      </c>
      <c r="F238" s="2">
        <v>17.25</v>
      </c>
      <c r="G238" s="2">
        <v>18.34</v>
      </c>
      <c r="H238" s="2">
        <v>9.0500000000000007</v>
      </c>
      <c r="I238" s="2">
        <v>408.76</v>
      </c>
      <c r="J238" s="2">
        <v>46.69</v>
      </c>
      <c r="K238" s="2">
        <v>13.5</v>
      </c>
      <c r="L238" s="2">
        <v>27.18</v>
      </c>
      <c r="M238" s="2">
        <v>8.3000000000000007</v>
      </c>
      <c r="N238" s="2">
        <v>5.27</v>
      </c>
      <c r="O238" s="2">
        <v>31.47</v>
      </c>
      <c r="P238" s="2">
        <v>7.46</v>
      </c>
      <c r="Q238" s="2">
        <v>0.36</v>
      </c>
      <c r="R238" s="2">
        <v>18</v>
      </c>
      <c r="S238" s="2">
        <v>17.09</v>
      </c>
    </row>
    <row r="239" spans="1:19" ht="13.9" x14ac:dyDescent="0.3">
      <c r="A239" s="2" t="s">
        <v>256</v>
      </c>
      <c r="B239" s="2">
        <v>0</v>
      </c>
      <c r="C239" s="2">
        <v>0.67</v>
      </c>
      <c r="D239" s="2">
        <v>0</v>
      </c>
      <c r="E239" s="2">
        <v>0.2</v>
      </c>
      <c r="F239" s="2">
        <v>0.27</v>
      </c>
      <c r="G239" s="2">
        <v>0.42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ht="13.9" x14ac:dyDescent="0.3">
      <c r="A240" s="2" t="s">
        <v>257</v>
      </c>
      <c r="B240" s="2">
        <v>0.5</v>
      </c>
      <c r="C240" s="2">
        <v>2.2200000000000002</v>
      </c>
      <c r="D240" s="2">
        <v>3.97</v>
      </c>
      <c r="E240" s="2">
        <v>2.57</v>
      </c>
      <c r="F240" s="2">
        <v>3.48</v>
      </c>
      <c r="G240" s="2">
        <v>3.9</v>
      </c>
      <c r="H240" s="2">
        <v>0.93</v>
      </c>
      <c r="I240" s="2">
        <v>0</v>
      </c>
      <c r="J240" s="2">
        <v>6.9</v>
      </c>
      <c r="K240" s="2">
        <v>4.33</v>
      </c>
      <c r="L240" s="2">
        <v>18.22</v>
      </c>
      <c r="M240" s="2">
        <v>0</v>
      </c>
      <c r="N240" s="2">
        <v>0.33</v>
      </c>
      <c r="O240" s="2">
        <v>0.24</v>
      </c>
      <c r="P240" s="2">
        <v>0</v>
      </c>
      <c r="Q240" s="2">
        <v>0</v>
      </c>
      <c r="R240" s="2">
        <v>0</v>
      </c>
      <c r="S240" s="2">
        <v>0</v>
      </c>
    </row>
    <row r="241" spans="1:19" ht="13.9" x14ac:dyDescent="0.3">
      <c r="A241" s="2" t="s">
        <v>258</v>
      </c>
      <c r="B241" s="2">
        <v>7.93</v>
      </c>
      <c r="C241" s="2">
        <v>7.21</v>
      </c>
      <c r="D241" s="2">
        <v>5.22</v>
      </c>
      <c r="E241" s="2">
        <v>8.7899999999999991</v>
      </c>
      <c r="F241" s="2">
        <v>8.16</v>
      </c>
      <c r="G241" s="2">
        <v>1.9</v>
      </c>
      <c r="H241" s="2">
        <v>4.84</v>
      </c>
      <c r="I241" s="2">
        <v>0</v>
      </c>
      <c r="J241" s="2">
        <v>6.63</v>
      </c>
      <c r="K241" s="2">
        <v>0</v>
      </c>
      <c r="L241" s="2">
        <v>0</v>
      </c>
      <c r="M241" s="2">
        <v>0</v>
      </c>
      <c r="N241" s="2">
        <v>0</v>
      </c>
      <c r="O241" s="2">
        <v>0.24</v>
      </c>
      <c r="P241" s="2">
        <v>0</v>
      </c>
      <c r="Q241" s="2">
        <v>4.3099999999999996</v>
      </c>
      <c r="R241" s="2">
        <v>5.65</v>
      </c>
      <c r="S241" s="2">
        <v>0</v>
      </c>
    </row>
    <row r="242" spans="1:19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ht="13.9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0.1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5.6</v>
      </c>
      <c r="O243" s="2">
        <v>0.24</v>
      </c>
      <c r="P243" s="2">
        <v>0</v>
      </c>
      <c r="Q243" s="2">
        <v>0</v>
      </c>
      <c r="R243" s="2">
        <v>0</v>
      </c>
      <c r="S243" s="2">
        <v>0</v>
      </c>
    </row>
    <row r="244" spans="1:19" ht="13.9" x14ac:dyDescent="0.3">
      <c r="A244" s="2" t="s">
        <v>261</v>
      </c>
      <c r="B244" s="2">
        <v>1.01</v>
      </c>
      <c r="C244" s="2">
        <v>4.7699999999999996</v>
      </c>
      <c r="D244" s="2">
        <v>5.67</v>
      </c>
      <c r="E244" s="2">
        <v>0.99</v>
      </c>
      <c r="F244" s="2">
        <v>2.81</v>
      </c>
      <c r="G244" s="2">
        <v>0.32</v>
      </c>
      <c r="H244" s="2">
        <v>0.72</v>
      </c>
      <c r="I244" s="2">
        <v>40.880000000000003</v>
      </c>
      <c r="J244" s="2">
        <v>4.47</v>
      </c>
      <c r="K244" s="2">
        <v>0</v>
      </c>
      <c r="L244" s="2">
        <v>0</v>
      </c>
      <c r="M244" s="2">
        <v>0</v>
      </c>
      <c r="N244" s="2">
        <v>3.96</v>
      </c>
      <c r="O244" s="2">
        <v>0</v>
      </c>
      <c r="P244" s="2">
        <v>10.56</v>
      </c>
      <c r="Q244" s="2">
        <v>0</v>
      </c>
      <c r="R244" s="2">
        <v>2.72</v>
      </c>
      <c r="S244" s="2">
        <v>0</v>
      </c>
    </row>
    <row r="245" spans="1:19" ht="13.9" x14ac:dyDescent="0.3">
      <c r="A245" s="2" t="s">
        <v>262</v>
      </c>
      <c r="B245" s="2">
        <v>540.77</v>
      </c>
      <c r="C245" s="2">
        <v>488.55</v>
      </c>
      <c r="D245" s="2">
        <v>553.05999999999995</v>
      </c>
      <c r="E245" s="2">
        <v>506.01</v>
      </c>
      <c r="F245" s="2">
        <v>594.46</v>
      </c>
      <c r="G245" s="2">
        <v>517.66</v>
      </c>
      <c r="H245" s="2">
        <v>496.34</v>
      </c>
      <c r="I245" s="2">
        <v>1471.55</v>
      </c>
      <c r="J245" s="2">
        <v>568.33000000000004</v>
      </c>
      <c r="K245" s="2">
        <v>548.24</v>
      </c>
      <c r="L245" s="2">
        <v>896.75</v>
      </c>
      <c r="M245" s="2">
        <v>893.9</v>
      </c>
      <c r="N245" s="2">
        <v>1060.7</v>
      </c>
      <c r="O245" s="2">
        <v>845.81</v>
      </c>
      <c r="P245" s="2">
        <v>940.91</v>
      </c>
      <c r="Q245" s="2">
        <v>872.4</v>
      </c>
      <c r="R245" s="2">
        <v>1009.36</v>
      </c>
      <c r="S245" s="2">
        <v>1280.48</v>
      </c>
    </row>
    <row r="246" spans="1:19" ht="13.9" x14ac:dyDescent="0.3">
      <c r="A246" s="2" t="s">
        <v>263</v>
      </c>
      <c r="B246" s="2">
        <v>41.79</v>
      </c>
      <c r="C246" s="2">
        <v>71.41</v>
      </c>
      <c r="D246" s="2">
        <v>32.33</v>
      </c>
      <c r="E246" s="2">
        <v>26.36</v>
      </c>
      <c r="F246" s="2">
        <v>32.76</v>
      </c>
      <c r="G246" s="2">
        <v>49.43</v>
      </c>
      <c r="H246" s="2">
        <v>36.11</v>
      </c>
      <c r="I246" s="2">
        <v>0</v>
      </c>
      <c r="J246" s="2">
        <v>33.700000000000003</v>
      </c>
      <c r="K246" s="2">
        <v>2.1</v>
      </c>
      <c r="L246" s="2">
        <v>20.53</v>
      </c>
      <c r="M246" s="2">
        <v>0.78</v>
      </c>
      <c r="N246" s="2">
        <v>3.63</v>
      </c>
      <c r="O246" s="2">
        <v>18.79</v>
      </c>
      <c r="P246" s="2">
        <v>1.46</v>
      </c>
      <c r="Q246" s="2">
        <v>1.08</v>
      </c>
      <c r="R246" s="2">
        <v>19.670000000000002</v>
      </c>
      <c r="S246" s="2">
        <v>2.5099999999999998</v>
      </c>
    </row>
    <row r="247" spans="1:19" ht="13.9" x14ac:dyDescent="0.3">
      <c r="A247" s="2" t="s">
        <v>264</v>
      </c>
      <c r="B247" s="2">
        <v>1.89</v>
      </c>
      <c r="C247" s="2">
        <v>6.43</v>
      </c>
      <c r="D247" s="2">
        <v>1.02</v>
      </c>
      <c r="E247" s="2">
        <v>3.06</v>
      </c>
      <c r="F247" s="2">
        <v>2.67</v>
      </c>
      <c r="G247" s="2">
        <v>6.43</v>
      </c>
      <c r="H247" s="2">
        <v>1.23</v>
      </c>
      <c r="I247" s="2">
        <v>0</v>
      </c>
      <c r="J247" s="2">
        <v>6.09</v>
      </c>
      <c r="K247" s="2">
        <v>4.72</v>
      </c>
      <c r="L247" s="2">
        <v>21.98</v>
      </c>
      <c r="M247" s="2">
        <v>0</v>
      </c>
      <c r="N247" s="2">
        <v>4.6100000000000003</v>
      </c>
      <c r="O247" s="2">
        <v>7.07</v>
      </c>
      <c r="P247" s="2">
        <v>3.1</v>
      </c>
      <c r="Q247" s="2">
        <v>3.95</v>
      </c>
      <c r="R247" s="2">
        <v>3.14</v>
      </c>
      <c r="S247" s="2">
        <v>6.03</v>
      </c>
    </row>
    <row r="248" spans="1:19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0.27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ht="13.9" x14ac:dyDescent="0.3">
      <c r="A249" s="2" t="s">
        <v>266</v>
      </c>
      <c r="B249" s="2">
        <v>0</v>
      </c>
      <c r="C249" s="2">
        <v>0.78</v>
      </c>
      <c r="D249" s="2">
        <v>0</v>
      </c>
      <c r="E249" s="2">
        <v>1.38</v>
      </c>
      <c r="F249" s="2">
        <v>0</v>
      </c>
      <c r="G249" s="2">
        <v>0</v>
      </c>
      <c r="H249" s="2">
        <v>0.72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ht="13.9" x14ac:dyDescent="0.3">
      <c r="A250" s="2" t="s">
        <v>267</v>
      </c>
      <c r="B250" s="2">
        <v>20250.41</v>
      </c>
      <c r="C250" s="2">
        <v>22697.8</v>
      </c>
      <c r="D250" s="2">
        <v>19031.53</v>
      </c>
      <c r="E250" s="2">
        <v>18963.990000000002</v>
      </c>
      <c r="F250" s="2">
        <v>22341.98</v>
      </c>
      <c r="G250" s="2">
        <v>19378.27</v>
      </c>
      <c r="H250" s="2">
        <v>16512.330000000002</v>
      </c>
      <c r="I250" s="2">
        <v>10750.49</v>
      </c>
      <c r="J250" s="2">
        <v>22292.87</v>
      </c>
      <c r="K250" s="2">
        <v>7852.53</v>
      </c>
      <c r="L250" s="2">
        <v>10454.469999999999</v>
      </c>
      <c r="M250" s="2">
        <v>5392.69</v>
      </c>
      <c r="N250" s="2">
        <v>8310.23</v>
      </c>
      <c r="O250" s="2">
        <v>12398.86</v>
      </c>
      <c r="P250" s="2">
        <v>8290.51</v>
      </c>
      <c r="Q250" s="2">
        <v>5927.14</v>
      </c>
      <c r="R250" s="2">
        <v>11937.81</v>
      </c>
      <c r="S250" s="2">
        <v>13177.37</v>
      </c>
    </row>
    <row r="251" spans="1:19" ht="13.9" x14ac:dyDescent="0.3">
      <c r="A251" s="2" t="s">
        <v>268</v>
      </c>
      <c r="B251" s="2">
        <v>0</v>
      </c>
      <c r="C251" s="2">
        <v>0</v>
      </c>
      <c r="D251" s="2">
        <v>1.36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ht="13.9" x14ac:dyDescent="0.3">
      <c r="A252" s="2" t="s">
        <v>269</v>
      </c>
      <c r="B252" s="2">
        <v>1908.19</v>
      </c>
      <c r="C252" s="2">
        <v>1897.31</v>
      </c>
      <c r="D252" s="2">
        <v>1836.05</v>
      </c>
      <c r="E252" s="2">
        <v>2237.08</v>
      </c>
      <c r="F252" s="2">
        <v>2033.95</v>
      </c>
      <c r="G252" s="2">
        <v>2168.9499999999998</v>
      </c>
      <c r="H252" s="2">
        <v>1672.37</v>
      </c>
      <c r="I252" s="2">
        <v>1185.42</v>
      </c>
      <c r="J252" s="2">
        <v>2193.1799999999998</v>
      </c>
      <c r="K252" s="2">
        <v>632.15</v>
      </c>
      <c r="L252" s="2">
        <v>645.74</v>
      </c>
      <c r="M252" s="2">
        <v>815.58</v>
      </c>
      <c r="N252" s="2">
        <v>952.25</v>
      </c>
      <c r="O252" s="2">
        <v>847.28</v>
      </c>
      <c r="P252" s="2">
        <v>604.09</v>
      </c>
      <c r="Q252" s="2">
        <v>598.79</v>
      </c>
      <c r="R252" s="2">
        <v>878.98</v>
      </c>
      <c r="S252" s="2">
        <v>1117.5999999999999</v>
      </c>
    </row>
    <row r="253" spans="1:19" ht="13.9" x14ac:dyDescent="0.3">
      <c r="A253" s="2" t="s">
        <v>270</v>
      </c>
      <c r="B253" s="2">
        <v>1209.82</v>
      </c>
      <c r="C253" s="2">
        <v>1180.24</v>
      </c>
      <c r="D253" s="2">
        <v>1361.95</v>
      </c>
      <c r="E253" s="2">
        <v>1088.93</v>
      </c>
      <c r="F253" s="2">
        <v>1264.8599999999999</v>
      </c>
      <c r="G253" s="2">
        <v>1279.3900000000001</v>
      </c>
      <c r="H253" s="2">
        <v>1124.99</v>
      </c>
      <c r="I253" s="2">
        <v>1553.3</v>
      </c>
      <c r="J253" s="2">
        <v>1068.3</v>
      </c>
      <c r="K253" s="2">
        <v>468.67</v>
      </c>
      <c r="L253" s="2">
        <v>844.7</v>
      </c>
      <c r="M253" s="2">
        <v>603.19000000000005</v>
      </c>
      <c r="N253" s="2">
        <v>878.75</v>
      </c>
      <c r="O253" s="2">
        <v>1121.49</v>
      </c>
      <c r="P253" s="2">
        <v>659.8</v>
      </c>
      <c r="Q253" s="2">
        <v>723.82</v>
      </c>
      <c r="R253" s="2">
        <v>842.15</v>
      </c>
      <c r="S253" s="2">
        <v>1039.67</v>
      </c>
    </row>
    <row r="254" spans="1:19" ht="13.9" x14ac:dyDescent="0.3">
      <c r="A254" s="2" t="s">
        <v>271</v>
      </c>
      <c r="B254" s="2">
        <v>642.99</v>
      </c>
      <c r="C254" s="2">
        <v>544.77</v>
      </c>
      <c r="D254" s="2">
        <v>532.53</v>
      </c>
      <c r="E254" s="2">
        <v>585.48</v>
      </c>
      <c r="F254" s="2">
        <v>684.44</v>
      </c>
      <c r="G254" s="2">
        <v>684.9</v>
      </c>
      <c r="H254" s="2">
        <v>646.25</v>
      </c>
      <c r="I254" s="2">
        <v>60864.94</v>
      </c>
      <c r="J254" s="2">
        <v>712.34</v>
      </c>
      <c r="K254" s="2">
        <v>267.7</v>
      </c>
      <c r="L254" s="2">
        <v>288.31</v>
      </c>
      <c r="M254" s="2">
        <v>178.42</v>
      </c>
      <c r="N254" s="2">
        <v>366.53</v>
      </c>
      <c r="O254" s="2">
        <v>419.86</v>
      </c>
      <c r="P254" s="2">
        <v>345.56</v>
      </c>
      <c r="Q254" s="2">
        <v>350.5</v>
      </c>
      <c r="R254" s="2">
        <v>533.46</v>
      </c>
      <c r="S254" s="2">
        <v>381.08</v>
      </c>
    </row>
    <row r="255" spans="1:19" ht="13.9" x14ac:dyDescent="0.3">
      <c r="A255" s="2" t="s">
        <v>272</v>
      </c>
      <c r="B255" s="2">
        <v>1132.02</v>
      </c>
      <c r="C255" s="2">
        <v>1309.52</v>
      </c>
      <c r="D255" s="2">
        <v>1252.24</v>
      </c>
      <c r="E255" s="2">
        <v>1203.1400000000001</v>
      </c>
      <c r="F255" s="2">
        <v>1484.01</v>
      </c>
      <c r="G255" s="2">
        <v>1413.65</v>
      </c>
      <c r="H255" s="2">
        <v>1187.1400000000001</v>
      </c>
      <c r="I255" s="2">
        <v>3433.62</v>
      </c>
      <c r="J255" s="2">
        <v>1111.3399999999999</v>
      </c>
      <c r="K255" s="2">
        <v>428.03</v>
      </c>
      <c r="L255" s="2">
        <v>493.34</v>
      </c>
      <c r="M255" s="2">
        <v>442.41</v>
      </c>
      <c r="N255" s="2">
        <v>776.9</v>
      </c>
      <c r="O255" s="2">
        <v>542.80999999999995</v>
      </c>
      <c r="P255" s="2">
        <v>425.49</v>
      </c>
      <c r="Q255" s="2">
        <v>254.93</v>
      </c>
      <c r="R255" s="2">
        <v>634.54</v>
      </c>
      <c r="S255" s="2">
        <v>459</v>
      </c>
    </row>
    <row r="256" spans="1:19" ht="13.9" x14ac:dyDescent="0.3">
      <c r="A256" s="2" t="s">
        <v>273</v>
      </c>
      <c r="B256" s="2">
        <v>0</v>
      </c>
      <c r="C256" s="2">
        <v>0.11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ht="13.9" x14ac:dyDescent="0.3">
      <c r="A257" s="2" t="s">
        <v>274</v>
      </c>
      <c r="B257" s="2">
        <v>3.02</v>
      </c>
      <c r="C257" s="2">
        <v>19.850000000000001</v>
      </c>
      <c r="D257" s="2">
        <v>20.53</v>
      </c>
      <c r="E257" s="2">
        <v>3.55</v>
      </c>
      <c r="F257" s="2">
        <v>33.29</v>
      </c>
      <c r="G257" s="2">
        <v>13.81</v>
      </c>
      <c r="H257" s="2">
        <v>15.43</v>
      </c>
      <c r="I257" s="2">
        <v>163.51</v>
      </c>
      <c r="J257" s="2">
        <v>34.380000000000003</v>
      </c>
      <c r="K257" s="2">
        <v>4.2</v>
      </c>
      <c r="L257" s="2">
        <v>8.39</v>
      </c>
      <c r="M257" s="2">
        <v>1.82</v>
      </c>
      <c r="N257" s="2">
        <v>0</v>
      </c>
      <c r="O257" s="2">
        <v>1.46</v>
      </c>
      <c r="P257" s="2">
        <v>0.18</v>
      </c>
      <c r="Q257" s="2">
        <v>0.36</v>
      </c>
      <c r="R257" s="2">
        <v>6.7</v>
      </c>
      <c r="S257" s="2">
        <v>2.5099999999999998</v>
      </c>
    </row>
    <row r="258" spans="1:19" ht="13.9" x14ac:dyDescent="0.3">
      <c r="A258" s="2" t="s">
        <v>275</v>
      </c>
      <c r="B258" s="2">
        <v>23.67</v>
      </c>
      <c r="C258" s="2">
        <v>25.28</v>
      </c>
      <c r="D258" s="2">
        <v>29.16</v>
      </c>
      <c r="E258" s="2">
        <v>21.91</v>
      </c>
      <c r="F258" s="2">
        <v>24.07</v>
      </c>
      <c r="G258" s="2">
        <v>23.29</v>
      </c>
      <c r="H258" s="2">
        <v>15.12</v>
      </c>
      <c r="I258" s="2">
        <v>0</v>
      </c>
      <c r="J258" s="2">
        <v>29.51</v>
      </c>
      <c r="K258" s="2">
        <v>26.87</v>
      </c>
      <c r="L258" s="2">
        <v>16.190000000000001</v>
      </c>
      <c r="M258" s="2">
        <v>6.74</v>
      </c>
      <c r="N258" s="2">
        <v>12.85</v>
      </c>
      <c r="O258" s="2">
        <v>24.88</v>
      </c>
      <c r="P258" s="2">
        <v>28.95</v>
      </c>
      <c r="Q258" s="2">
        <v>15.63</v>
      </c>
      <c r="R258" s="2">
        <v>22.6</v>
      </c>
      <c r="S258" s="2">
        <v>28.66</v>
      </c>
    </row>
    <row r="259" spans="1:19" ht="13.9" x14ac:dyDescent="0.3">
      <c r="A259" s="2" t="s">
        <v>276</v>
      </c>
      <c r="B259" s="2">
        <v>0.76</v>
      </c>
      <c r="C259" s="2">
        <v>1.55</v>
      </c>
      <c r="D259" s="2">
        <v>0.56999999999999995</v>
      </c>
      <c r="E259" s="2">
        <v>0.39</v>
      </c>
      <c r="F259" s="2">
        <v>0.27</v>
      </c>
      <c r="G259" s="2">
        <v>1.58</v>
      </c>
      <c r="H259" s="2">
        <v>0.41</v>
      </c>
      <c r="I259" s="2">
        <v>0</v>
      </c>
      <c r="J259" s="2">
        <v>0.81</v>
      </c>
      <c r="K259" s="2">
        <v>0</v>
      </c>
      <c r="L259" s="2">
        <v>0</v>
      </c>
      <c r="M259" s="2">
        <v>0</v>
      </c>
      <c r="N259" s="2">
        <v>1.65</v>
      </c>
      <c r="O259" s="2">
        <v>0</v>
      </c>
      <c r="P259" s="2">
        <v>0</v>
      </c>
      <c r="Q259" s="2">
        <v>0</v>
      </c>
      <c r="R259" s="2">
        <v>3.98</v>
      </c>
      <c r="S259" s="2">
        <v>0</v>
      </c>
    </row>
    <row r="260" spans="1:19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0.27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ht="13.9" x14ac:dyDescent="0.3">
      <c r="A261" s="2" t="s">
        <v>278</v>
      </c>
      <c r="B261" s="2">
        <v>0</v>
      </c>
      <c r="C261" s="2">
        <v>0</v>
      </c>
      <c r="D261" s="2">
        <v>0.91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ht="13.9" x14ac:dyDescent="0.3">
      <c r="A262" s="2" t="s">
        <v>279</v>
      </c>
      <c r="B262" s="2">
        <v>136.33000000000001</v>
      </c>
      <c r="C262" s="2">
        <v>133.84</v>
      </c>
      <c r="D262" s="2">
        <v>110.84</v>
      </c>
      <c r="E262" s="2">
        <v>131.88</v>
      </c>
      <c r="F262" s="2">
        <v>131.30000000000001</v>
      </c>
      <c r="G262" s="2">
        <v>151.44</v>
      </c>
      <c r="H262" s="2">
        <v>92.81</v>
      </c>
      <c r="I262" s="2">
        <v>122.63</v>
      </c>
      <c r="J262" s="2">
        <v>126.69</v>
      </c>
      <c r="K262" s="2">
        <v>133.72</v>
      </c>
      <c r="L262" s="2">
        <v>229.32</v>
      </c>
      <c r="M262" s="2">
        <v>261.92</v>
      </c>
      <c r="N262" s="2">
        <v>187.55</v>
      </c>
      <c r="O262" s="2">
        <v>379.85</v>
      </c>
      <c r="P262" s="2">
        <v>177.7</v>
      </c>
      <c r="Q262" s="2">
        <v>125.4</v>
      </c>
      <c r="R262" s="2">
        <v>228.53</v>
      </c>
      <c r="S262" s="2">
        <v>382.08</v>
      </c>
    </row>
    <row r="263" spans="1:19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ht="13.9" x14ac:dyDescent="0.3">
      <c r="A264" s="2" t="s">
        <v>281</v>
      </c>
      <c r="B264" s="2">
        <v>0.38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v>0</v>
      </c>
      <c r="I264" s="2">
        <v>0</v>
      </c>
      <c r="J264" s="2">
        <v>1.08</v>
      </c>
      <c r="K264" s="2">
        <v>0</v>
      </c>
      <c r="L264" s="2">
        <v>0</v>
      </c>
      <c r="M264" s="2">
        <v>0</v>
      </c>
      <c r="N264" s="2">
        <v>0.66</v>
      </c>
      <c r="O264" s="2">
        <v>0</v>
      </c>
      <c r="P264" s="2">
        <v>0</v>
      </c>
      <c r="Q264" s="2">
        <v>0</v>
      </c>
      <c r="R264" s="2">
        <v>1.05</v>
      </c>
      <c r="S264" s="2">
        <v>0</v>
      </c>
    </row>
    <row r="265" spans="1:19" ht="13.9" x14ac:dyDescent="0.3">
      <c r="A265" s="2" t="s">
        <v>282</v>
      </c>
      <c r="B265" s="2">
        <v>24.8</v>
      </c>
      <c r="C265" s="2">
        <v>21.95</v>
      </c>
      <c r="D265" s="2">
        <v>14.07</v>
      </c>
      <c r="E265" s="2">
        <v>24.97</v>
      </c>
      <c r="F265" s="2">
        <v>17.52</v>
      </c>
      <c r="G265" s="2">
        <v>29.93</v>
      </c>
      <c r="H265" s="2">
        <v>20.48</v>
      </c>
      <c r="I265" s="2">
        <v>0</v>
      </c>
      <c r="J265" s="2">
        <v>31.27</v>
      </c>
      <c r="K265" s="2">
        <v>23.6</v>
      </c>
      <c r="L265" s="2">
        <v>45.4</v>
      </c>
      <c r="M265" s="2">
        <v>32.159999999999997</v>
      </c>
      <c r="N265" s="2">
        <v>57.35</v>
      </c>
      <c r="O265" s="2">
        <v>37.57</v>
      </c>
      <c r="P265" s="2">
        <v>57.9</v>
      </c>
      <c r="Q265" s="2">
        <v>24.79</v>
      </c>
      <c r="R265" s="2">
        <v>39.340000000000003</v>
      </c>
      <c r="S265" s="2">
        <v>156.86000000000001</v>
      </c>
    </row>
    <row r="266" spans="1:19" ht="13.9" x14ac:dyDescent="0.3">
      <c r="A266" s="2" t="s">
        <v>283</v>
      </c>
      <c r="B266" s="2">
        <v>6.92</v>
      </c>
      <c r="C266" s="2">
        <v>6.76</v>
      </c>
      <c r="D266" s="2">
        <v>8.51</v>
      </c>
      <c r="E266" s="2">
        <v>5.53</v>
      </c>
      <c r="F266" s="2">
        <v>3.88</v>
      </c>
      <c r="G266" s="2">
        <v>6.85</v>
      </c>
      <c r="H266" s="2">
        <v>1.65</v>
      </c>
      <c r="I266" s="2">
        <v>0</v>
      </c>
      <c r="J266" s="2">
        <v>2.84</v>
      </c>
      <c r="K266" s="2">
        <v>8.52</v>
      </c>
      <c r="L266" s="2">
        <v>19.09</v>
      </c>
      <c r="M266" s="2">
        <v>5.45</v>
      </c>
      <c r="N266" s="2">
        <v>31.97</v>
      </c>
      <c r="O266" s="2">
        <v>38.549999999999997</v>
      </c>
      <c r="P266" s="2">
        <v>34.049999999999997</v>
      </c>
      <c r="Q266" s="2">
        <v>57.67</v>
      </c>
      <c r="R266" s="2">
        <v>38.93</v>
      </c>
      <c r="S266" s="2">
        <v>137.75</v>
      </c>
    </row>
    <row r="267" spans="1:19" ht="13.9" x14ac:dyDescent="0.3">
      <c r="A267" s="2" t="s">
        <v>284</v>
      </c>
      <c r="B267" s="2">
        <v>8.06</v>
      </c>
      <c r="C267" s="2">
        <v>2.77</v>
      </c>
      <c r="D267" s="2">
        <v>0.11</v>
      </c>
      <c r="E267" s="2">
        <v>2.17</v>
      </c>
      <c r="F267" s="2">
        <v>0.94</v>
      </c>
      <c r="G267" s="2">
        <v>1.26</v>
      </c>
      <c r="H267" s="2">
        <v>4.63</v>
      </c>
      <c r="I267" s="2">
        <v>0</v>
      </c>
      <c r="J267" s="2">
        <v>3.38</v>
      </c>
      <c r="K267" s="2">
        <v>0.13</v>
      </c>
      <c r="L267" s="2">
        <v>0</v>
      </c>
      <c r="M267" s="2">
        <v>0</v>
      </c>
      <c r="N267" s="2">
        <v>8.9</v>
      </c>
      <c r="O267" s="2">
        <v>0</v>
      </c>
      <c r="P267" s="2">
        <v>0</v>
      </c>
      <c r="Q267" s="2">
        <v>0</v>
      </c>
      <c r="R267" s="2">
        <v>23.86</v>
      </c>
      <c r="S267" s="2">
        <v>0</v>
      </c>
    </row>
    <row r="268" spans="1:19" ht="13.9" x14ac:dyDescent="0.3">
      <c r="A268" s="2" t="s">
        <v>285</v>
      </c>
      <c r="B268" s="2">
        <v>0</v>
      </c>
      <c r="C268" s="2">
        <v>0.78</v>
      </c>
      <c r="D268" s="2">
        <v>0</v>
      </c>
      <c r="E268" s="2">
        <v>0</v>
      </c>
      <c r="F268" s="2">
        <v>0</v>
      </c>
      <c r="G268" s="2">
        <v>0.53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9.6999999999999993</v>
      </c>
      <c r="R268" s="2">
        <v>6.49</v>
      </c>
      <c r="S268" s="2">
        <v>0</v>
      </c>
    </row>
    <row r="269" spans="1:19" ht="13.9" x14ac:dyDescent="0.3">
      <c r="A269" s="2" t="s">
        <v>286</v>
      </c>
      <c r="B269" s="2">
        <v>0</v>
      </c>
      <c r="C269" s="2">
        <v>0.44</v>
      </c>
      <c r="D269" s="2">
        <v>0</v>
      </c>
      <c r="E269" s="2">
        <v>0</v>
      </c>
      <c r="F269" s="2">
        <v>0.27</v>
      </c>
      <c r="G269" s="2">
        <v>0</v>
      </c>
      <c r="H269" s="2">
        <v>0</v>
      </c>
      <c r="I269" s="2">
        <v>0</v>
      </c>
      <c r="J269" s="2">
        <v>0</v>
      </c>
      <c r="K269" s="2">
        <v>7.73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ht="13.9" x14ac:dyDescent="0.3">
      <c r="A270" s="2" t="s">
        <v>287</v>
      </c>
      <c r="B270" s="2">
        <v>4.28</v>
      </c>
      <c r="C270" s="2">
        <v>6.54</v>
      </c>
      <c r="D270" s="2">
        <v>4.08</v>
      </c>
      <c r="E270" s="2">
        <v>1.58</v>
      </c>
      <c r="F270" s="2">
        <v>3.61</v>
      </c>
      <c r="G270" s="2">
        <v>5.9</v>
      </c>
      <c r="H270" s="2">
        <v>2.06</v>
      </c>
      <c r="I270" s="2">
        <v>0</v>
      </c>
      <c r="J270" s="2">
        <v>5.01</v>
      </c>
      <c r="K270" s="2">
        <v>4.72</v>
      </c>
      <c r="L270" s="2">
        <v>0</v>
      </c>
      <c r="M270" s="2">
        <v>0.26</v>
      </c>
      <c r="N270" s="2">
        <v>0</v>
      </c>
      <c r="O270" s="2">
        <v>0</v>
      </c>
      <c r="P270" s="2">
        <v>0</v>
      </c>
      <c r="Q270" s="2">
        <v>0.18</v>
      </c>
      <c r="R270" s="2">
        <v>4.3899999999999997</v>
      </c>
      <c r="S270" s="2">
        <v>0</v>
      </c>
    </row>
    <row r="271" spans="1:19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>
        <v>0</v>
      </c>
      <c r="I271" s="2">
        <v>163.51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ht="13.9" x14ac:dyDescent="0.3">
      <c r="A273" s="2" t="s">
        <v>290</v>
      </c>
      <c r="B273" s="2">
        <v>41.29</v>
      </c>
      <c r="C273" s="2">
        <v>50.45</v>
      </c>
      <c r="D273" s="2">
        <v>49.01</v>
      </c>
      <c r="E273" s="2">
        <v>51.73</v>
      </c>
      <c r="F273" s="2">
        <v>54.02</v>
      </c>
      <c r="G273" s="2">
        <v>43.42</v>
      </c>
      <c r="H273" s="2">
        <v>47.53</v>
      </c>
      <c r="I273" s="2">
        <v>40.880000000000003</v>
      </c>
      <c r="J273" s="2">
        <v>56.44</v>
      </c>
      <c r="K273" s="2">
        <v>13.63</v>
      </c>
      <c r="L273" s="2">
        <v>0.28999999999999998</v>
      </c>
      <c r="M273" s="2">
        <v>1.3</v>
      </c>
      <c r="N273" s="2">
        <v>23.73</v>
      </c>
      <c r="O273" s="2">
        <v>4.3899999999999997</v>
      </c>
      <c r="P273" s="2">
        <v>25.31</v>
      </c>
      <c r="Q273" s="2">
        <v>10.42</v>
      </c>
      <c r="R273" s="2">
        <v>57.76</v>
      </c>
      <c r="S273" s="2">
        <v>13.07</v>
      </c>
    </row>
    <row r="274" spans="1:19" ht="13.9" x14ac:dyDescent="0.3">
      <c r="A274" s="2" t="s">
        <v>291</v>
      </c>
      <c r="B274" s="2">
        <v>86.6</v>
      </c>
      <c r="C274" s="2">
        <v>77.62</v>
      </c>
      <c r="D274" s="2">
        <v>53.77</v>
      </c>
      <c r="E274" s="2">
        <v>83.91</v>
      </c>
      <c r="F274" s="2">
        <v>76.88</v>
      </c>
      <c r="G274" s="2">
        <v>52.48</v>
      </c>
      <c r="H274" s="2">
        <v>62.25</v>
      </c>
      <c r="I274" s="2">
        <v>163.51</v>
      </c>
      <c r="J274" s="2">
        <v>61.18</v>
      </c>
      <c r="K274" s="2">
        <v>65.55</v>
      </c>
      <c r="L274" s="2">
        <v>128.69</v>
      </c>
      <c r="M274" s="2">
        <v>98.28</v>
      </c>
      <c r="N274" s="2">
        <v>95.26</v>
      </c>
      <c r="O274" s="2">
        <v>120.27</v>
      </c>
      <c r="P274" s="2">
        <v>32.229999999999997</v>
      </c>
      <c r="Q274" s="2">
        <v>41.14</v>
      </c>
      <c r="R274" s="2">
        <v>26.58</v>
      </c>
      <c r="S274" s="2">
        <v>76.92</v>
      </c>
    </row>
    <row r="275" spans="1:19" ht="13.9" x14ac:dyDescent="0.3">
      <c r="A275" s="2" t="s">
        <v>292</v>
      </c>
      <c r="B275" s="2">
        <v>2.9</v>
      </c>
      <c r="C275" s="2">
        <v>5.77</v>
      </c>
      <c r="D275" s="2">
        <v>2.16</v>
      </c>
      <c r="E275" s="2">
        <v>2.76</v>
      </c>
      <c r="F275" s="2">
        <v>2.14</v>
      </c>
      <c r="G275" s="2">
        <v>2.5299999999999998</v>
      </c>
      <c r="H275" s="2">
        <v>2.98</v>
      </c>
      <c r="I275" s="2">
        <v>0</v>
      </c>
      <c r="J275" s="2">
        <v>4.0599999999999996</v>
      </c>
      <c r="K275" s="2">
        <v>0</v>
      </c>
      <c r="L275" s="2">
        <v>10.119999999999999</v>
      </c>
      <c r="M275" s="2">
        <v>11.67</v>
      </c>
      <c r="N275" s="2">
        <v>5.93</v>
      </c>
      <c r="O275" s="2">
        <v>0</v>
      </c>
      <c r="P275" s="2">
        <v>0</v>
      </c>
      <c r="Q275" s="2">
        <v>3.05</v>
      </c>
      <c r="R275" s="2">
        <v>0</v>
      </c>
      <c r="S275" s="2">
        <v>0</v>
      </c>
    </row>
    <row r="276" spans="1:19" ht="13.9" x14ac:dyDescent="0.3">
      <c r="A276" s="2" t="s">
        <v>293</v>
      </c>
      <c r="B276" s="2">
        <v>30.97</v>
      </c>
      <c r="C276" s="2">
        <v>35.369999999999997</v>
      </c>
      <c r="D276" s="2">
        <v>23.14</v>
      </c>
      <c r="E276" s="2">
        <v>45.61</v>
      </c>
      <c r="F276" s="2">
        <v>40.78</v>
      </c>
      <c r="G276" s="2">
        <v>24.77</v>
      </c>
      <c r="H276" s="2">
        <v>36.729999999999997</v>
      </c>
      <c r="I276" s="2">
        <v>613.15</v>
      </c>
      <c r="J276" s="2">
        <v>68.489999999999995</v>
      </c>
      <c r="K276" s="2">
        <v>163.47999999999999</v>
      </c>
      <c r="L276" s="2">
        <v>141.99</v>
      </c>
      <c r="M276" s="2">
        <v>109.7</v>
      </c>
      <c r="N276" s="2">
        <v>130.86000000000001</v>
      </c>
      <c r="O276" s="2">
        <v>81.239999999999995</v>
      </c>
      <c r="P276" s="2">
        <v>128.16999999999999</v>
      </c>
      <c r="Q276" s="2">
        <v>22.1</v>
      </c>
      <c r="R276" s="2">
        <v>176.21</v>
      </c>
      <c r="S276" s="2">
        <v>173.95</v>
      </c>
    </row>
    <row r="277" spans="1:19" ht="13.9" x14ac:dyDescent="0.3">
      <c r="A277" s="2" t="s">
        <v>294</v>
      </c>
      <c r="B277" s="2">
        <v>7.68</v>
      </c>
      <c r="C277" s="2">
        <v>8.8699999999999992</v>
      </c>
      <c r="D277" s="2">
        <v>6.24</v>
      </c>
      <c r="E277" s="2">
        <v>4.74</v>
      </c>
      <c r="F277" s="2">
        <v>5.88</v>
      </c>
      <c r="G277" s="2">
        <v>5.27</v>
      </c>
      <c r="H277" s="2">
        <v>9.0500000000000007</v>
      </c>
      <c r="I277" s="2">
        <v>0</v>
      </c>
      <c r="J277" s="2">
        <v>7.31</v>
      </c>
      <c r="K277" s="2">
        <v>8.39</v>
      </c>
      <c r="L277" s="2">
        <v>13.88</v>
      </c>
      <c r="M277" s="2">
        <v>0</v>
      </c>
      <c r="N277" s="2">
        <v>3.96</v>
      </c>
      <c r="O277" s="2">
        <v>24.88</v>
      </c>
      <c r="P277" s="2">
        <v>7.46</v>
      </c>
      <c r="Q277" s="2">
        <v>3.23</v>
      </c>
      <c r="R277" s="2">
        <v>6.49</v>
      </c>
      <c r="S277" s="2">
        <v>0</v>
      </c>
    </row>
    <row r="278" spans="1:19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>
        <v>0</v>
      </c>
      <c r="I278" s="2">
        <v>0</v>
      </c>
      <c r="J278" s="2">
        <v>0.27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ht="13.9" x14ac:dyDescent="0.3">
      <c r="A279" s="2" t="s">
        <v>296</v>
      </c>
      <c r="B279" s="2">
        <v>459.46</v>
      </c>
      <c r="C279" s="2">
        <v>560.62</v>
      </c>
      <c r="D279" s="2">
        <v>377.1</v>
      </c>
      <c r="E279" s="2">
        <v>395.06</v>
      </c>
      <c r="F279" s="2">
        <v>541.65</v>
      </c>
      <c r="G279" s="2">
        <v>394.88</v>
      </c>
      <c r="H279" s="2">
        <v>346.53</v>
      </c>
      <c r="I279" s="2">
        <v>490.52</v>
      </c>
      <c r="J279" s="2">
        <v>698.8</v>
      </c>
      <c r="K279" s="2">
        <v>731.25</v>
      </c>
      <c r="L279" s="2">
        <v>1529.48</v>
      </c>
      <c r="M279" s="2">
        <v>675.55</v>
      </c>
      <c r="N279" s="2">
        <v>786.46</v>
      </c>
      <c r="O279" s="2">
        <v>1060.5</v>
      </c>
      <c r="P279" s="2">
        <v>457.53</v>
      </c>
      <c r="Q279" s="2">
        <v>567.71</v>
      </c>
      <c r="R279" s="2">
        <v>931.93</v>
      </c>
      <c r="S279" s="2">
        <v>2455.89</v>
      </c>
    </row>
    <row r="280" spans="1:19" ht="13.9" x14ac:dyDescent="0.3">
      <c r="A280" s="2" t="s">
        <v>297</v>
      </c>
      <c r="B280" s="2">
        <v>1.01</v>
      </c>
      <c r="C280" s="2">
        <v>0</v>
      </c>
      <c r="D280" s="2">
        <v>0</v>
      </c>
      <c r="E280" s="2">
        <v>0.39</v>
      </c>
      <c r="F280" s="2">
        <v>0</v>
      </c>
      <c r="G280" s="2">
        <v>0</v>
      </c>
      <c r="H280" s="2">
        <v>0.93</v>
      </c>
      <c r="I280" s="2">
        <v>0</v>
      </c>
      <c r="J280" s="2">
        <v>0.14000000000000001</v>
      </c>
      <c r="K280" s="2">
        <v>0</v>
      </c>
      <c r="L280" s="2">
        <v>0</v>
      </c>
      <c r="M280" s="2">
        <v>0</v>
      </c>
      <c r="N280" s="2">
        <v>0</v>
      </c>
      <c r="O280" s="2">
        <v>0.24</v>
      </c>
      <c r="P280" s="2">
        <v>0</v>
      </c>
      <c r="Q280" s="2">
        <v>0</v>
      </c>
      <c r="R280" s="2">
        <v>0</v>
      </c>
      <c r="S280" s="2">
        <v>0</v>
      </c>
    </row>
    <row r="281" spans="1:19" ht="13.9" x14ac:dyDescent="0.3">
      <c r="A281" s="2" t="s">
        <v>298</v>
      </c>
      <c r="B281" s="2">
        <v>5653.44</v>
      </c>
      <c r="C281" s="2">
        <v>5625.85</v>
      </c>
      <c r="D281" s="2">
        <v>4182.7299999999996</v>
      </c>
      <c r="E281" s="2">
        <v>5088.08</v>
      </c>
      <c r="F281" s="2">
        <v>5757.94</v>
      </c>
      <c r="G281" s="2">
        <v>4512.1000000000004</v>
      </c>
      <c r="H281" s="2">
        <v>3987.28</v>
      </c>
      <c r="I281" s="2">
        <v>9360.69</v>
      </c>
      <c r="J281" s="2">
        <v>6306.53</v>
      </c>
      <c r="K281" s="2">
        <v>2152.08</v>
      </c>
      <c r="L281" s="2">
        <v>3143.69</v>
      </c>
      <c r="M281" s="2">
        <v>2112.21</v>
      </c>
      <c r="N281" s="2">
        <v>2822.81</v>
      </c>
      <c r="O281" s="2">
        <v>3849.23</v>
      </c>
      <c r="P281" s="2">
        <v>2181.87</v>
      </c>
      <c r="Q281" s="2">
        <v>1842.53</v>
      </c>
      <c r="R281" s="2">
        <v>3174.17</v>
      </c>
      <c r="S281" s="2">
        <v>4432.17</v>
      </c>
    </row>
    <row r="282" spans="1:19" ht="13.9" x14ac:dyDescent="0.3">
      <c r="A282" s="2" t="s">
        <v>299</v>
      </c>
      <c r="B282" s="2">
        <v>286.62</v>
      </c>
      <c r="C282" s="2">
        <v>320.67</v>
      </c>
      <c r="D282" s="2">
        <v>331.84</v>
      </c>
      <c r="E282" s="2">
        <v>298.02</v>
      </c>
      <c r="F282" s="2">
        <v>334.53</v>
      </c>
      <c r="G282" s="2">
        <v>319.52999999999997</v>
      </c>
      <c r="H282" s="2">
        <v>310.11</v>
      </c>
      <c r="I282" s="2">
        <v>8052.65</v>
      </c>
      <c r="J282" s="2">
        <v>348.11</v>
      </c>
      <c r="K282" s="2">
        <v>67.78</v>
      </c>
      <c r="L282" s="2">
        <v>117.12</v>
      </c>
      <c r="M282" s="2">
        <v>97.51</v>
      </c>
      <c r="N282" s="2">
        <v>128.55000000000001</v>
      </c>
      <c r="O282" s="2">
        <v>186.87</v>
      </c>
      <c r="P282" s="2">
        <v>77.010000000000005</v>
      </c>
      <c r="Q282" s="2">
        <v>134.02000000000001</v>
      </c>
      <c r="R282" s="2">
        <v>231.46</v>
      </c>
      <c r="S282" s="2">
        <v>117.64</v>
      </c>
    </row>
    <row r="283" spans="1:19" ht="13.9" x14ac:dyDescent="0.3">
      <c r="A283" s="2" t="s">
        <v>300</v>
      </c>
      <c r="B283" s="2">
        <v>1149.9000000000001</v>
      </c>
      <c r="C283" s="2">
        <v>945.27</v>
      </c>
      <c r="D283" s="2">
        <v>1144.81</v>
      </c>
      <c r="E283" s="2">
        <v>1092.78</v>
      </c>
      <c r="F283" s="2">
        <v>847.3</v>
      </c>
      <c r="G283" s="2">
        <v>1071.67</v>
      </c>
      <c r="H283" s="2">
        <v>952.55</v>
      </c>
      <c r="I283" s="2">
        <v>2697.84</v>
      </c>
      <c r="J283" s="2">
        <v>729.52</v>
      </c>
      <c r="K283" s="2">
        <v>1234.8</v>
      </c>
      <c r="L283" s="2">
        <v>1659.9</v>
      </c>
      <c r="M283" s="2">
        <v>1787.02</v>
      </c>
      <c r="N283" s="2">
        <v>2638.23</v>
      </c>
      <c r="O283" s="2">
        <v>1727</v>
      </c>
      <c r="P283" s="2">
        <v>1790.24</v>
      </c>
      <c r="Q283" s="2">
        <v>1446.57</v>
      </c>
      <c r="R283" s="2">
        <v>1822.63</v>
      </c>
      <c r="S283" s="2">
        <v>2028.06</v>
      </c>
    </row>
    <row r="284" spans="1:19" ht="13.9" x14ac:dyDescent="0.3">
      <c r="A284" s="2" t="s">
        <v>301</v>
      </c>
      <c r="B284" s="2">
        <v>0.25</v>
      </c>
      <c r="C284" s="2">
        <v>0.67</v>
      </c>
      <c r="D284" s="2">
        <v>0.91</v>
      </c>
      <c r="E284" s="2">
        <v>0</v>
      </c>
      <c r="F284" s="2">
        <v>0.27</v>
      </c>
      <c r="G284" s="2">
        <v>0</v>
      </c>
      <c r="H284" s="2">
        <v>0</v>
      </c>
      <c r="I284" s="2">
        <v>0</v>
      </c>
      <c r="J284" s="2">
        <v>0.41</v>
      </c>
      <c r="K284" s="2">
        <v>0</v>
      </c>
      <c r="L284" s="2">
        <v>0</v>
      </c>
      <c r="M284" s="2">
        <v>0</v>
      </c>
      <c r="N284" s="2">
        <v>0</v>
      </c>
      <c r="O284" s="2">
        <v>4.3899999999999997</v>
      </c>
      <c r="P284" s="2">
        <v>0</v>
      </c>
      <c r="Q284" s="2">
        <v>0</v>
      </c>
      <c r="R284" s="2">
        <v>0</v>
      </c>
      <c r="S284" s="2">
        <v>0</v>
      </c>
    </row>
    <row r="285" spans="1:19" ht="13.9" x14ac:dyDescent="0.3">
      <c r="A285" s="2" t="s">
        <v>302</v>
      </c>
      <c r="B285" s="2">
        <v>0</v>
      </c>
      <c r="C285" s="2">
        <v>0.33</v>
      </c>
      <c r="D285" s="2">
        <v>0.34</v>
      </c>
      <c r="E285" s="2">
        <v>1.58</v>
      </c>
      <c r="F285" s="2">
        <v>2.54</v>
      </c>
      <c r="G285" s="2">
        <v>0.95</v>
      </c>
      <c r="H285" s="2">
        <v>2.2599999999999998</v>
      </c>
      <c r="I285" s="2">
        <v>0</v>
      </c>
      <c r="J285" s="2">
        <v>0.68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</row>
    <row r="286" spans="1:19" ht="13.9" x14ac:dyDescent="0.3">
      <c r="A286" s="2" t="s">
        <v>303</v>
      </c>
      <c r="B286" s="2">
        <v>0</v>
      </c>
      <c r="C286" s="2">
        <v>0.22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</row>
    <row r="287" spans="1:19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>
        <v>0</v>
      </c>
      <c r="I287" s="2">
        <v>0</v>
      </c>
      <c r="J287" s="2">
        <v>0.54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</row>
    <row r="288" spans="1:19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ht="13.9" x14ac:dyDescent="0.3">
      <c r="A289" s="2" t="s">
        <v>306</v>
      </c>
      <c r="B289" s="2">
        <v>0</v>
      </c>
      <c r="C289" s="2">
        <v>0.22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ht="13.9" x14ac:dyDescent="0.3">
      <c r="A290" s="2" t="s">
        <v>307</v>
      </c>
      <c r="B290" s="2">
        <v>1.51</v>
      </c>
      <c r="C290" s="2">
        <v>0.67</v>
      </c>
      <c r="D290" s="2">
        <v>0.56999999999999995</v>
      </c>
      <c r="E290" s="2">
        <v>0.89</v>
      </c>
      <c r="F290" s="2">
        <v>0.27</v>
      </c>
      <c r="G290" s="2">
        <v>1.37</v>
      </c>
      <c r="H290" s="2">
        <v>0</v>
      </c>
      <c r="I290" s="2">
        <v>0</v>
      </c>
      <c r="J290" s="2">
        <v>2.17</v>
      </c>
      <c r="K290" s="2">
        <v>0</v>
      </c>
      <c r="L290" s="2">
        <v>0</v>
      </c>
      <c r="M290" s="2">
        <v>0</v>
      </c>
      <c r="N290" s="2">
        <v>4.6100000000000003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0.41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ht="13.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0.5</v>
      </c>
    </row>
    <row r="293" spans="1:19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ht="13.9" x14ac:dyDescent="0.3">
      <c r="A294" s="2" t="s">
        <v>311</v>
      </c>
      <c r="B294" s="2">
        <v>0</v>
      </c>
      <c r="C294" s="2">
        <v>0</v>
      </c>
      <c r="D294" s="2">
        <v>2.04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ht="13.9" x14ac:dyDescent="0.3">
      <c r="A295" s="2" t="s">
        <v>312</v>
      </c>
      <c r="B295" s="2">
        <v>1.38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>
        <v>0.51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12.07</v>
      </c>
    </row>
    <row r="296" spans="1:19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</row>
    <row r="297" spans="1:19" ht="13.9" x14ac:dyDescent="0.3">
      <c r="A297" s="2" t="s">
        <v>314</v>
      </c>
      <c r="B297" s="2">
        <v>0</v>
      </c>
      <c r="C297" s="2">
        <v>0.11</v>
      </c>
      <c r="D297" s="2">
        <v>0.34</v>
      </c>
      <c r="E297" s="2">
        <v>0</v>
      </c>
      <c r="F297" s="2">
        <v>0</v>
      </c>
      <c r="G297" s="2">
        <v>0.42</v>
      </c>
      <c r="H297" s="2">
        <v>0.31</v>
      </c>
      <c r="I297" s="2">
        <v>0</v>
      </c>
      <c r="J297" s="2">
        <v>1.22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0.18</v>
      </c>
      <c r="Q297" s="2">
        <v>0</v>
      </c>
      <c r="R297" s="2">
        <v>0</v>
      </c>
      <c r="S297" s="2">
        <v>0</v>
      </c>
    </row>
    <row r="298" spans="1:19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163.51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ht="13.9" x14ac:dyDescent="0.3">
      <c r="A300" s="2" t="s">
        <v>317</v>
      </c>
      <c r="B300" s="2">
        <v>0</v>
      </c>
      <c r="C300" s="2">
        <v>0.11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ht="13.9" x14ac:dyDescent="0.3">
      <c r="A301" s="2" t="s">
        <v>318</v>
      </c>
      <c r="B301" s="2">
        <v>0</v>
      </c>
      <c r="C301" s="2">
        <v>0.22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</row>
    <row r="302" spans="1:19" ht="13.9" x14ac:dyDescent="0.3">
      <c r="A302" s="2" t="s">
        <v>319</v>
      </c>
      <c r="B302" s="2">
        <v>0</v>
      </c>
      <c r="C302" s="2">
        <v>0.11</v>
      </c>
      <c r="D302" s="2">
        <v>0</v>
      </c>
      <c r="E302" s="2">
        <v>0</v>
      </c>
      <c r="F302" s="2">
        <v>0.53</v>
      </c>
      <c r="G302" s="2">
        <v>2.21</v>
      </c>
      <c r="H302" s="2">
        <v>0</v>
      </c>
      <c r="I302" s="2">
        <v>0</v>
      </c>
      <c r="J302" s="2">
        <v>0.14000000000000001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>
        <v>0.72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</row>
    <row r="304" spans="1:19" ht="13.9" x14ac:dyDescent="0.3">
      <c r="A304" s="2" t="s">
        <v>321</v>
      </c>
      <c r="B304" s="2">
        <v>1.76</v>
      </c>
      <c r="C304" s="2">
        <v>6.21</v>
      </c>
      <c r="D304" s="2">
        <v>7.6</v>
      </c>
      <c r="E304" s="2">
        <v>7.7</v>
      </c>
      <c r="F304" s="2">
        <v>7.49</v>
      </c>
      <c r="G304" s="2">
        <v>5.69</v>
      </c>
      <c r="H304" s="2">
        <v>6.48</v>
      </c>
      <c r="I304" s="2">
        <v>0</v>
      </c>
      <c r="J304" s="2">
        <v>7.71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19.100000000000001</v>
      </c>
    </row>
    <row r="305" spans="1:19" ht="13.9" x14ac:dyDescent="0.3">
      <c r="A305" s="2" t="s">
        <v>322</v>
      </c>
      <c r="B305" s="2">
        <v>1.51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ht="13.9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>
        <v>0</v>
      </c>
      <c r="I306" s="2">
        <v>0</v>
      </c>
      <c r="J306" s="2">
        <v>0.14000000000000001</v>
      </c>
      <c r="K306" s="2">
        <v>0</v>
      </c>
      <c r="L306" s="2">
        <v>0.57999999999999996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ht="13.9" x14ac:dyDescent="0.3">
      <c r="A307" s="2" t="s">
        <v>324</v>
      </c>
      <c r="B307" s="2">
        <v>11.45</v>
      </c>
      <c r="C307" s="2">
        <v>7.21</v>
      </c>
      <c r="D307" s="2">
        <v>5.22</v>
      </c>
      <c r="E307" s="2">
        <v>6.91</v>
      </c>
      <c r="F307" s="2">
        <v>5.35</v>
      </c>
      <c r="G307" s="2">
        <v>5.8</v>
      </c>
      <c r="H307" s="2">
        <v>6.89</v>
      </c>
      <c r="I307" s="2">
        <v>81.75</v>
      </c>
      <c r="J307" s="2">
        <v>8.5299999999999994</v>
      </c>
      <c r="K307" s="2">
        <v>11.27</v>
      </c>
      <c r="L307" s="2">
        <v>0</v>
      </c>
      <c r="M307" s="2">
        <v>0</v>
      </c>
      <c r="N307" s="2">
        <v>0</v>
      </c>
      <c r="O307" s="2">
        <v>14.15</v>
      </c>
      <c r="P307" s="2">
        <v>0</v>
      </c>
      <c r="Q307" s="2">
        <v>0</v>
      </c>
      <c r="R307" s="2">
        <v>0</v>
      </c>
      <c r="S307" s="2">
        <v>0</v>
      </c>
    </row>
    <row r="308" spans="1:19" ht="13.9" x14ac:dyDescent="0.3">
      <c r="A308" s="2" t="s">
        <v>325</v>
      </c>
      <c r="B308" s="2">
        <v>0</v>
      </c>
      <c r="C308" s="2">
        <v>0</v>
      </c>
      <c r="D308" s="2">
        <v>0</v>
      </c>
      <c r="E308" s="2">
        <v>0.2</v>
      </c>
      <c r="F308" s="2">
        <v>0</v>
      </c>
      <c r="G308" s="2">
        <v>0.42</v>
      </c>
      <c r="H308" s="2">
        <v>0.21</v>
      </c>
      <c r="I308" s="2">
        <v>0</v>
      </c>
      <c r="J308" s="2">
        <v>0</v>
      </c>
      <c r="K308" s="2">
        <v>0</v>
      </c>
      <c r="L308" s="2">
        <v>0</v>
      </c>
      <c r="M308" s="2">
        <v>7.52</v>
      </c>
      <c r="N308" s="2">
        <v>0</v>
      </c>
      <c r="O308" s="2">
        <v>0</v>
      </c>
      <c r="P308" s="2">
        <v>5.28</v>
      </c>
      <c r="Q308" s="2">
        <v>0</v>
      </c>
      <c r="R308" s="2">
        <v>0</v>
      </c>
      <c r="S308" s="2">
        <v>0</v>
      </c>
    </row>
    <row r="309" spans="1:19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>
        <v>0.1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>
        <v>0.1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</row>
    <row r="311" spans="1:19" ht="13.9" x14ac:dyDescent="0.3">
      <c r="A311" s="2" t="s">
        <v>328</v>
      </c>
      <c r="B311" s="2">
        <v>0</v>
      </c>
      <c r="C311" s="2">
        <v>0.11</v>
      </c>
      <c r="D311" s="2">
        <v>0</v>
      </c>
      <c r="E311" s="2">
        <v>0</v>
      </c>
      <c r="F311" s="2">
        <v>1.07</v>
      </c>
      <c r="G311" s="2">
        <v>0</v>
      </c>
      <c r="H311" s="2">
        <v>0.62</v>
      </c>
      <c r="I311" s="2">
        <v>0</v>
      </c>
      <c r="J311" s="2">
        <v>0.41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2.93</v>
      </c>
      <c r="S311" s="2">
        <v>0</v>
      </c>
    </row>
    <row r="312" spans="1:19" ht="13.9" x14ac:dyDescent="0.3">
      <c r="A312" s="2" t="s">
        <v>329</v>
      </c>
      <c r="B312" s="2">
        <v>0</v>
      </c>
      <c r="C312" s="2">
        <v>0.33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ht="13.9" x14ac:dyDescent="0.3">
      <c r="A313" s="2" t="s">
        <v>330</v>
      </c>
      <c r="B313" s="2">
        <v>10.83</v>
      </c>
      <c r="C313" s="2">
        <v>6.1</v>
      </c>
      <c r="D313" s="2">
        <v>6.92</v>
      </c>
      <c r="E313" s="2">
        <v>7.8</v>
      </c>
      <c r="F313" s="2">
        <v>7.49</v>
      </c>
      <c r="G313" s="2">
        <v>8.33</v>
      </c>
      <c r="H313" s="2">
        <v>9.0500000000000007</v>
      </c>
      <c r="I313" s="2">
        <v>0</v>
      </c>
      <c r="J313" s="2">
        <v>6.63</v>
      </c>
      <c r="K313" s="2">
        <v>0</v>
      </c>
      <c r="L313" s="2">
        <v>0.28999999999999998</v>
      </c>
      <c r="M313" s="2">
        <v>0.26</v>
      </c>
      <c r="N313" s="2">
        <v>6.92</v>
      </c>
      <c r="O313" s="2">
        <v>8.2899999999999991</v>
      </c>
      <c r="P313" s="2">
        <v>2.1800000000000002</v>
      </c>
      <c r="Q313" s="2">
        <v>0</v>
      </c>
      <c r="R313" s="2">
        <v>2.09</v>
      </c>
      <c r="S313" s="2">
        <v>5.03</v>
      </c>
    </row>
    <row r="314" spans="1:19" ht="13.9" x14ac:dyDescent="0.3">
      <c r="A314" s="2" t="s">
        <v>331</v>
      </c>
      <c r="B314" s="2">
        <v>1.76</v>
      </c>
      <c r="C314" s="2">
        <v>0.78</v>
      </c>
      <c r="D314" s="2">
        <v>1.25</v>
      </c>
      <c r="E314" s="2">
        <v>0.2</v>
      </c>
      <c r="F314" s="2">
        <v>0.53</v>
      </c>
      <c r="G314" s="2">
        <v>0</v>
      </c>
      <c r="H314" s="2">
        <v>0.41</v>
      </c>
      <c r="I314" s="2">
        <v>0</v>
      </c>
      <c r="J314" s="2">
        <v>0</v>
      </c>
      <c r="K314" s="2">
        <v>6.82</v>
      </c>
      <c r="L314" s="2">
        <v>10.41</v>
      </c>
      <c r="M314" s="2">
        <v>7.52</v>
      </c>
      <c r="N314" s="2">
        <v>4.28</v>
      </c>
      <c r="O314" s="2">
        <v>0</v>
      </c>
      <c r="P314" s="2">
        <v>0</v>
      </c>
      <c r="Q314" s="2">
        <v>0</v>
      </c>
      <c r="R314" s="2">
        <v>0.21</v>
      </c>
      <c r="S314" s="2">
        <v>0.5</v>
      </c>
    </row>
    <row r="315" spans="1:19" ht="13.9" x14ac:dyDescent="0.3">
      <c r="A315" s="2" t="s">
        <v>332</v>
      </c>
      <c r="B315" s="2">
        <v>0</v>
      </c>
      <c r="C315" s="2">
        <v>0</v>
      </c>
      <c r="D315" s="2">
        <v>0.68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</row>
    <row r="316" spans="1:19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ht="13.9" x14ac:dyDescent="0.3">
      <c r="A317" s="2" t="s">
        <v>334</v>
      </c>
      <c r="B317" s="2">
        <v>2.27</v>
      </c>
      <c r="C317" s="2">
        <v>2.99</v>
      </c>
      <c r="D317" s="2">
        <v>0.34</v>
      </c>
      <c r="E317" s="2">
        <v>1.0900000000000001</v>
      </c>
      <c r="F317" s="2">
        <v>1.07</v>
      </c>
      <c r="G317" s="2">
        <v>0.53</v>
      </c>
      <c r="H317" s="2">
        <v>3.29</v>
      </c>
      <c r="I317" s="2">
        <v>0</v>
      </c>
      <c r="J317" s="2">
        <v>2.57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</row>
    <row r="319" spans="1:19" ht="13.9" x14ac:dyDescent="0.3">
      <c r="A319" s="2" t="s">
        <v>336</v>
      </c>
      <c r="B319" s="2">
        <v>0</v>
      </c>
      <c r="C319" s="2">
        <v>0.67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ht="13.9" x14ac:dyDescent="0.3">
      <c r="A320" s="2" t="s">
        <v>337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0.57999999999999996</v>
      </c>
      <c r="M320" s="2">
        <v>1.3</v>
      </c>
      <c r="N320" s="2">
        <v>2.31</v>
      </c>
      <c r="O320" s="2">
        <v>0.24</v>
      </c>
      <c r="P320" s="2">
        <v>0</v>
      </c>
      <c r="Q320" s="2">
        <v>0</v>
      </c>
      <c r="R320" s="2">
        <v>0.21</v>
      </c>
      <c r="S320" s="2">
        <v>0</v>
      </c>
    </row>
    <row r="321" spans="1:19" ht="13.9" x14ac:dyDescent="0.3">
      <c r="A321" s="2" t="s">
        <v>338</v>
      </c>
      <c r="B321" s="2">
        <v>0.63</v>
      </c>
      <c r="C321" s="2">
        <v>0.11</v>
      </c>
      <c r="D321" s="2">
        <v>2.61</v>
      </c>
      <c r="E321" s="2">
        <v>0</v>
      </c>
      <c r="F321" s="2">
        <v>0.67</v>
      </c>
      <c r="G321" s="2">
        <v>0.53</v>
      </c>
      <c r="H321" s="2">
        <v>1.54</v>
      </c>
      <c r="I321" s="2">
        <v>0</v>
      </c>
      <c r="J321" s="2">
        <v>1.08</v>
      </c>
      <c r="K321" s="2">
        <v>0</v>
      </c>
      <c r="L321" s="2">
        <v>0</v>
      </c>
      <c r="M321" s="2">
        <v>0</v>
      </c>
      <c r="N321" s="2">
        <v>0.99</v>
      </c>
      <c r="O321" s="2">
        <v>0</v>
      </c>
      <c r="P321" s="2">
        <v>7.1</v>
      </c>
      <c r="Q321" s="2">
        <v>0</v>
      </c>
      <c r="R321" s="2">
        <v>0</v>
      </c>
      <c r="S321" s="2">
        <v>16.09</v>
      </c>
    </row>
    <row r="322" spans="1:19" ht="13.9" x14ac:dyDescent="0.3">
      <c r="A322" s="2" t="s">
        <v>339</v>
      </c>
      <c r="B322" s="2">
        <v>3.02</v>
      </c>
      <c r="C322" s="2">
        <v>1.89</v>
      </c>
      <c r="D322" s="2">
        <v>1.82</v>
      </c>
      <c r="E322" s="2">
        <v>2.86</v>
      </c>
      <c r="F322" s="2">
        <v>6.55</v>
      </c>
      <c r="G322" s="2">
        <v>6.01</v>
      </c>
      <c r="H322" s="2">
        <v>5.86</v>
      </c>
      <c r="I322" s="2">
        <v>0</v>
      </c>
      <c r="J322" s="2">
        <v>5.96</v>
      </c>
      <c r="K322" s="2">
        <v>10.09</v>
      </c>
      <c r="L322" s="2">
        <v>0</v>
      </c>
      <c r="M322" s="2">
        <v>0</v>
      </c>
      <c r="N322" s="2">
        <v>17.14</v>
      </c>
      <c r="O322" s="2">
        <v>6.59</v>
      </c>
      <c r="P322" s="2">
        <v>12.02</v>
      </c>
      <c r="Q322" s="2">
        <v>23.18</v>
      </c>
      <c r="R322" s="2">
        <v>0</v>
      </c>
      <c r="S322" s="2">
        <v>15.08</v>
      </c>
    </row>
    <row r="323" spans="1:19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ht="13.9" x14ac:dyDescent="0.3">
      <c r="A324" s="2" t="s">
        <v>341</v>
      </c>
      <c r="B324" s="2">
        <v>4.66</v>
      </c>
      <c r="C324" s="2">
        <v>3.55</v>
      </c>
      <c r="D324" s="2">
        <v>1.02</v>
      </c>
      <c r="E324" s="2">
        <v>4.24</v>
      </c>
      <c r="F324" s="2">
        <v>5.75</v>
      </c>
      <c r="G324" s="2">
        <v>3.58</v>
      </c>
      <c r="H324" s="2">
        <v>3.29</v>
      </c>
      <c r="I324" s="2">
        <v>0</v>
      </c>
      <c r="J324" s="2">
        <v>4.33</v>
      </c>
      <c r="K324" s="2">
        <v>0</v>
      </c>
      <c r="L324" s="2">
        <v>0</v>
      </c>
      <c r="M324" s="2">
        <v>0</v>
      </c>
      <c r="N324" s="2">
        <v>0.33</v>
      </c>
      <c r="O324" s="2">
        <v>0</v>
      </c>
      <c r="P324" s="2">
        <v>0</v>
      </c>
      <c r="Q324" s="2">
        <v>0.18</v>
      </c>
      <c r="R324" s="2">
        <v>6.91</v>
      </c>
      <c r="S324" s="2">
        <v>0</v>
      </c>
    </row>
    <row r="325" spans="1:19" ht="13.9" x14ac:dyDescent="0.3">
      <c r="A325" s="2" t="s">
        <v>342</v>
      </c>
      <c r="B325" s="2">
        <v>0</v>
      </c>
      <c r="C325" s="2">
        <v>0.67</v>
      </c>
      <c r="D325" s="2">
        <v>0</v>
      </c>
      <c r="E325" s="2">
        <v>0</v>
      </c>
      <c r="F325" s="2">
        <v>0.8</v>
      </c>
      <c r="G325" s="2">
        <v>0.42</v>
      </c>
      <c r="H325" s="2">
        <v>0.1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ht="13.9" x14ac:dyDescent="0.3">
      <c r="A326" s="2" t="s">
        <v>343</v>
      </c>
      <c r="B326" s="2">
        <v>0.63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</row>
    <row r="327" spans="1:19" ht="13.9" x14ac:dyDescent="0.3">
      <c r="A327" s="2" t="s">
        <v>344</v>
      </c>
      <c r="B327" s="2">
        <v>0.63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ht="13.9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0.21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4.9400000000000004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ht="13.9" x14ac:dyDescent="0.3">
      <c r="A329" s="2" t="s">
        <v>346</v>
      </c>
      <c r="B329" s="2">
        <v>0</v>
      </c>
      <c r="C329" s="2">
        <v>1.1100000000000001</v>
      </c>
      <c r="D329" s="2">
        <v>0</v>
      </c>
      <c r="E329" s="2">
        <v>1.48</v>
      </c>
      <c r="F329" s="2">
        <v>0.4</v>
      </c>
      <c r="G329" s="2">
        <v>0</v>
      </c>
      <c r="H329" s="2">
        <v>0.72</v>
      </c>
      <c r="I329" s="2">
        <v>0</v>
      </c>
      <c r="J329" s="2">
        <v>0.81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ht="13.9" x14ac:dyDescent="0.3">
      <c r="A330" s="2" t="s">
        <v>347</v>
      </c>
      <c r="B330" s="2">
        <v>0</v>
      </c>
      <c r="C330" s="2">
        <v>0</v>
      </c>
      <c r="D330" s="2">
        <v>0.45</v>
      </c>
      <c r="E330" s="2">
        <v>0</v>
      </c>
      <c r="F330" s="2">
        <v>0</v>
      </c>
      <c r="G330" s="2">
        <v>0.42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ht="13.9" x14ac:dyDescent="0.3">
      <c r="A331" s="2" t="s">
        <v>348</v>
      </c>
      <c r="B331" s="2">
        <v>0.25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</row>
    <row r="332" spans="1:19" ht="13.9" x14ac:dyDescent="0.3">
      <c r="A332" s="2" t="s">
        <v>349</v>
      </c>
      <c r="B332" s="2">
        <v>0</v>
      </c>
      <c r="C332" s="2">
        <v>0</v>
      </c>
      <c r="D332" s="2">
        <v>0.11</v>
      </c>
      <c r="E332" s="2">
        <v>0.99</v>
      </c>
      <c r="F332" s="2">
        <v>0</v>
      </c>
      <c r="G332" s="2">
        <v>2</v>
      </c>
      <c r="H332" s="2">
        <v>0.21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ht="13.9" x14ac:dyDescent="0.3">
      <c r="A333" s="2" t="s">
        <v>350</v>
      </c>
      <c r="B333" s="2">
        <v>1.1299999999999999</v>
      </c>
      <c r="C333" s="2">
        <v>0.89</v>
      </c>
      <c r="D333" s="2">
        <v>0.56999999999999995</v>
      </c>
      <c r="E333" s="2">
        <v>1.28</v>
      </c>
      <c r="F333" s="2">
        <v>2.0099999999999998</v>
      </c>
      <c r="G333" s="2">
        <v>0.32</v>
      </c>
      <c r="H333" s="2">
        <v>0.82</v>
      </c>
      <c r="I333" s="2">
        <v>0</v>
      </c>
      <c r="J333" s="2">
        <v>0.54</v>
      </c>
      <c r="K333" s="2">
        <v>4.8499999999999996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</row>
    <row r="334" spans="1:19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0.14000000000000001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ht="13.9" x14ac:dyDescent="0.3">
      <c r="A335" s="2" t="s">
        <v>352</v>
      </c>
      <c r="B335" s="2">
        <v>0.76</v>
      </c>
      <c r="C335" s="2">
        <v>0.67</v>
      </c>
      <c r="D335" s="2">
        <v>1.02</v>
      </c>
      <c r="E335" s="2">
        <v>1.48</v>
      </c>
      <c r="F335" s="2">
        <v>1.34</v>
      </c>
      <c r="G335" s="2">
        <v>0.63</v>
      </c>
      <c r="H335" s="2">
        <v>0</v>
      </c>
      <c r="I335" s="2">
        <v>0</v>
      </c>
      <c r="J335" s="2">
        <v>2.17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</row>
    <row r="336" spans="1:19" ht="13.9" x14ac:dyDescent="0.3">
      <c r="A336" s="2" t="s">
        <v>353</v>
      </c>
      <c r="B336" s="2">
        <v>0</v>
      </c>
      <c r="C336" s="2">
        <v>0.33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7.01</v>
      </c>
      <c r="R336" s="2">
        <v>0</v>
      </c>
      <c r="S336" s="2">
        <v>0</v>
      </c>
    </row>
    <row r="337" spans="1:19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ht="13.9" x14ac:dyDescent="0.3">
      <c r="A338" s="2" t="s">
        <v>355</v>
      </c>
      <c r="B338" s="2">
        <v>1.64</v>
      </c>
      <c r="C338" s="2">
        <v>0.11</v>
      </c>
      <c r="D338" s="2">
        <v>1.36</v>
      </c>
      <c r="E338" s="2">
        <v>0.99</v>
      </c>
      <c r="F338" s="2">
        <v>0.4</v>
      </c>
      <c r="G338" s="2">
        <v>0.74</v>
      </c>
      <c r="H338" s="2">
        <v>1.54</v>
      </c>
      <c r="I338" s="2">
        <v>0</v>
      </c>
      <c r="J338" s="2">
        <v>2.44</v>
      </c>
      <c r="K338" s="2">
        <v>6.03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10.24</v>
      </c>
      <c r="R338" s="2">
        <v>0</v>
      </c>
      <c r="S338" s="2">
        <v>0</v>
      </c>
    </row>
    <row r="339" spans="1:19" ht="13.9" x14ac:dyDescent="0.3">
      <c r="A339" s="2" t="s">
        <v>356</v>
      </c>
      <c r="B339" s="2">
        <v>1.1299999999999999</v>
      </c>
      <c r="C339" s="2">
        <v>0.44</v>
      </c>
      <c r="D339" s="2">
        <v>0.45</v>
      </c>
      <c r="E339" s="2">
        <v>0.99</v>
      </c>
      <c r="F339" s="2">
        <v>0.8</v>
      </c>
      <c r="G339" s="2">
        <v>0.21</v>
      </c>
      <c r="H339" s="2">
        <v>0.51</v>
      </c>
      <c r="I339" s="2">
        <v>0</v>
      </c>
      <c r="J339" s="2">
        <v>0.54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5.28</v>
      </c>
      <c r="Q339" s="2">
        <v>1.08</v>
      </c>
      <c r="R339" s="2">
        <v>0</v>
      </c>
      <c r="S339" s="2">
        <v>0</v>
      </c>
    </row>
    <row r="340" spans="1:19" ht="13.9" x14ac:dyDescent="0.3">
      <c r="A340" s="2" t="s">
        <v>357</v>
      </c>
      <c r="B340" s="2">
        <v>0.5</v>
      </c>
      <c r="C340" s="2">
        <v>0</v>
      </c>
      <c r="D340" s="2">
        <v>0.11</v>
      </c>
      <c r="E340" s="2">
        <v>0.49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ht="13.9" x14ac:dyDescent="0.3">
      <c r="A341" s="2" t="s">
        <v>358</v>
      </c>
      <c r="B341" s="2">
        <v>0.38</v>
      </c>
      <c r="C341" s="2">
        <v>0</v>
      </c>
      <c r="D341" s="2">
        <v>0.11</v>
      </c>
      <c r="E341" s="2">
        <v>0.1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ht="13.9" x14ac:dyDescent="0.3">
      <c r="A342" s="2" t="s">
        <v>359</v>
      </c>
      <c r="B342" s="2">
        <v>0.13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</row>
    <row r="343" spans="1:19" ht="13.9" x14ac:dyDescent="0.3">
      <c r="A343" s="2" t="s">
        <v>360</v>
      </c>
      <c r="B343" s="2">
        <v>3.65</v>
      </c>
      <c r="C343" s="2">
        <v>1.1100000000000001</v>
      </c>
      <c r="D343" s="2">
        <v>1.36</v>
      </c>
      <c r="E343" s="2">
        <v>1.18</v>
      </c>
      <c r="F343" s="2">
        <v>1.2</v>
      </c>
      <c r="G343" s="2">
        <v>0.53</v>
      </c>
      <c r="H343" s="2">
        <v>0.72</v>
      </c>
      <c r="I343" s="2">
        <v>0</v>
      </c>
      <c r="J343" s="2">
        <v>1.89</v>
      </c>
      <c r="K343" s="2">
        <v>0</v>
      </c>
      <c r="L343" s="2">
        <v>0</v>
      </c>
      <c r="M343" s="2">
        <v>0</v>
      </c>
      <c r="N343" s="2">
        <v>0.99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ht="13.9" x14ac:dyDescent="0.3">
      <c r="A344" s="2" t="s">
        <v>361</v>
      </c>
      <c r="B344" s="2">
        <v>0.63</v>
      </c>
      <c r="C344" s="2">
        <v>1.22</v>
      </c>
      <c r="D344" s="2">
        <v>0.34</v>
      </c>
      <c r="E344" s="2">
        <v>0.69</v>
      </c>
      <c r="F344" s="2">
        <v>0.67</v>
      </c>
      <c r="G344" s="2">
        <v>0.53</v>
      </c>
      <c r="H344" s="2">
        <v>0.31</v>
      </c>
      <c r="I344" s="2">
        <v>0</v>
      </c>
      <c r="J344" s="2">
        <v>0.68</v>
      </c>
      <c r="K344" s="2">
        <v>0</v>
      </c>
      <c r="L344" s="2">
        <v>0</v>
      </c>
      <c r="M344" s="2">
        <v>0</v>
      </c>
      <c r="N344" s="2">
        <v>0</v>
      </c>
      <c r="O344" s="2">
        <v>0.98</v>
      </c>
      <c r="P344" s="2">
        <v>0</v>
      </c>
      <c r="Q344" s="2">
        <v>0</v>
      </c>
      <c r="R344" s="2">
        <v>0</v>
      </c>
      <c r="S344" s="2">
        <v>0</v>
      </c>
    </row>
    <row r="345" spans="1:19" ht="13.9" x14ac:dyDescent="0.3">
      <c r="A345" s="2" t="s">
        <v>362</v>
      </c>
      <c r="B345" s="2">
        <v>0.38</v>
      </c>
      <c r="C345" s="2">
        <v>0.22</v>
      </c>
      <c r="D345" s="2">
        <v>0.11</v>
      </c>
      <c r="E345" s="2">
        <v>0.1</v>
      </c>
      <c r="F345" s="2">
        <v>0.27</v>
      </c>
      <c r="G345" s="2">
        <v>0.11</v>
      </c>
      <c r="H345" s="2">
        <v>0</v>
      </c>
      <c r="I345" s="2">
        <v>0</v>
      </c>
      <c r="J345" s="2">
        <v>0.27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ht="13.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0.51</v>
      </c>
      <c r="I346" s="2">
        <v>0</v>
      </c>
      <c r="J346" s="2">
        <v>0.81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5.21</v>
      </c>
      <c r="R346" s="2">
        <v>0</v>
      </c>
      <c r="S346" s="2">
        <v>0</v>
      </c>
    </row>
    <row r="347" spans="1:19" ht="13.9" x14ac:dyDescent="0.3">
      <c r="A347" s="2" t="s">
        <v>364</v>
      </c>
      <c r="B347" s="2">
        <v>16.11</v>
      </c>
      <c r="C347" s="2">
        <v>12.64</v>
      </c>
      <c r="D347" s="2">
        <v>23.48</v>
      </c>
      <c r="E347" s="2">
        <v>34.06</v>
      </c>
      <c r="F347" s="2">
        <v>20.32</v>
      </c>
      <c r="G347" s="2">
        <v>26.24</v>
      </c>
      <c r="H347" s="2">
        <v>21.61</v>
      </c>
      <c r="I347" s="2">
        <v>0</v>
      </c>
      <c r="J347" s="2">
        <v>11.5</v>
      </c>
      <c r="K347" s="2">
        <v>19.14</v>
      </c>
      <c r="L347" s="2">
        <v>19.09</v>
      </c>
      <c r="M347" s="2">
        <v>40.450000000000003</v>
      </c>
      <c r="N347" s="2">
        <v>37.25</v>
      </c>
      <c r="O347" s="2">
        <v>0</v>
      </c>
      <c r="P347" s="2">
        <v>18.02</v>
      </c>
      <c r="Q347" s="2">
        <v>11.14</v>
      </c>
      <c r="R347" s="2">
        <v>3.35</v>
      </c>
      <c r="S347" s="2">
        <v>25.64</v>
      </c>
    </row>
    <row r="348" spans="1:19" ht="13.9" x14ac:dyDescent="0.3">
      <c r="A348" s="2" t="s">
        <v>365</v>
      </c>
      <c r="B348" s="2">
        <v>0.13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0.9</v>
      </c>
      <c r="R348" s="2">
        <v>0</v>
      </c>
      <c r="S348" s="2">
        <v>0</v>
      </c>
    </row>
    <row r="349" spans="1:19" ht="13.9" x14ac:dyDescent="0.3">
      <c r="A349" s="2" t="s">
        <v>366</v>
      </c>
      <c r="B349" s="2">
        <v>9.69</v>
      </c>
      <c r="C349" s="2">
        <v>12.97</v>
      </c>
      <c r="D349" s="2">
        <v>11.69</v>
      </c>
      <c r="E349" s="2">
        <v>9.2799999999999994</v>
      </c>
      <c r="F349" s="2">
        <v>10.83</v>
      </c>
      <c r="G349" s="2">
        <v>7.69</v>
      </c>
      <c r="H349" s="2">
        <v>6.28</v>
      </c>
      <c r="I349" s="2">
        <v>0</v>
      </c>
      <c r="J349" s="2">
        <v>16.239999999999998</v>
      </c>
      <c r="K349" s="2">
        <v>3.41</v>
      </c>
      <c r="L349" s="2">
        <v>18.510000000000002</v>
      </c>
      <c r="M349" s="2">
        <v>0</v>
      </c>
      <c r="N349" s="2">
        <v>41.2</v>
      </c>
      <c r="O349" s="2">
        <v>14.39</v>
      </c>
      <c r="P349" s="2">
        <v>7.65</v>
      </c>
      <c r="Q349" s="2">
        <v>7.19</v>
      </c>
      <c r="R349" s="2">
        <v>12.77</v>
      </c>
      <c r="S349" s="2">
        <v>24.63</v>
      </c>
    </row>
    <row r="350" spans="1:19" ht="13.9" x14ac:dyDescent="0.3">
      <c r="A350" s="2" t="s">
        <v>367</v>
      </c>
      <c r="B350" s="2">
        <v>3.27</v>
      </c>
      <c r="C350" s="2">
        <v>4.32</v>
      </c>
      <c r="D350" s="2">
        <v>4.2</v>
      </c>
      <c r="E350" s="2">
        <v>3.65</v>
      </c>
      <c r="F350" s="2">
        <v>5.21</v>
      </c>
      <c r="G350" s="2">
        <v>2.5299999999999998</v>
      </c>
      <c r="H350" s="2">
        <v>2.57</v>
      </c>
      <c r="I350" s="2">
        <v>0</v>
      </c>
      <c r="J350" s="2">
        <v>6.36</v>
      </c>
      <c r="K350" s="2">
        <v>2.88</v>
      </c>
      <c r="L350" s="2">
        <v>12.15</v>
      </c>
      <c r="M350" s="2">
        <v>1.82</v>
      </c>
      <c r="N350" s="2">
        <v>2.97</v>
      </c>
      <c r="O350" s="2">
        <v>0</v>
      </c>
      <c r="P350" s="2">
        <v>0</v>
      </c>
      <c r="Q350" s="2">
        <v>0</v>
      </c>
      <c r="R350" s="2">
        <v>7.74</v>
      </c>
      <c r="S350" s="2">
        <v>13.07</v>
      </c>
    </row>
    <row r="351" spans="1:19" ht="13.9" x14ac:dyDescent="0.3">
      <c r="A351" s="2" t="s">
        <v>368</v>
      </c>
      <c r="B351" s="2">
        <v>9.82</v>
      </c>
      <c r="C351" s="2">
        <v>13.97</v>
      </c>
      <c r="D351" s="2">
        <v>12.14</v>
      </c>
      <c r="E351" s="2">
        <v>12.54</v>
      </c>
      <c r="F351" s="2">
        <v>11.5</v>
      </c>
      <c r="G351" s="2">
        <v>6.22</v>
      </c>
      <c r="H351" s="2">
        <v>9.8800000000000008</v>
      </c>
      <c r="I351" s="2">
        <v>0</v>
      </c>
      <c r="J351" s="2">
        <v>9.61</v>
      </c>
      <c r="K351" s="2">
        <v>0</v>
      </c>
      <c r="L351" s="2">
        <v>0</v>
      </c>
      <c r="M351" s="2">
        <v>0.26</v>
      </c>
      <c r="N351" s="2">
        <v>0</v>
      </c>
      <c r="O351" s="2">
        <v>0</v>
      </c>
      <c r="P351" s="2">
        <v>26.76</v>
      </c>
      <c r="Q351" s="2">
        <v>8.8000000000000007</v>
      </c>
      <c r="R351" s="2">
        <v>9.42</v>
      </c>
      <c r="S351" s="2">
        <v>25.64</v>
      </c>
    </row>
    <row r="352" spans="1:19" ht="13.9" x14ac:dyDescent="0.3">
      <c r="A352" s="2" t="s">
        <v>369</v>
      </c>
      <c r="B352" s="2">
        <v>0.13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2">
        <v>0.1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4.8099999999999996</v>
      </c>
      <c r="S352" s="2">
        <v>0</v>
      </c>
    </row>
    <row r="353" spans="1:19" ht="13.9" x14ac:dyDescent="0.3">
      <c r="A353" s="2" t="s">
        <v>370</v>
      </c>
      <c r="B353" s="2">
        <v>1.01</v>
      </c>
      <c r="C353" s="2">
        <v>1.44</v>
      </c>
      <c r="D353" s="2">
        <v>0</v>
      </c>
      <c r="E353" s="2">
        <v>0</v>
      </c>
      <c r="F353" s="2">
        <v>0.13</v>
      </c>
      <c r="G353" s="2">
        <v>0</v>
      </c>
      <c r="H353" s="2">
        <v>0</v>
      </c>
      <c r="I353" s="2">
        <v>0</v>
      </c>
      <c r="J353" s="2">
        <v>0.41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ht="13.9" x14ac:dyDescent="0.3">
      <c r="A354" s="2" t="s">
        <v>371</v>
      </c>
      <c r="B354" s="2">
        <v>80.31</v>
      </c>
      <c r="C354" s="2">
        <v>46.13</v>
      </c>
      <c r="D354" s="2">
        <v>56.84</v>
      </c>
      <c r="E354" s="2">
        <v>49.16</v>
      </c>
      <c r="F354" s="2">
        <v>46.53</v>
      </c>
      <c r="G354" s="2">
        <v>49.22</v>
      </c>
      <c r="H354" s="2">
        <v>55.35</v>
      </c>
      <c r="I354" s="2">
        <v>40.880000000000003</v>
      </c>
      <c r="J354" s="2">
        <v>46.97</v>
      </c>
      <c r="K354" s="2">
        <v>19.010000000000002</v>
      </c>
      <c r="L354" s="2">
        <v>14.75</v>
      </c>
      <c r="M354" s="2">
        <v>0</v>
      </c>
      <c r="N354" s="2">
        <v>39.22</v>
      </c>
      <c r="O354" s="2">
        <v>24.88</v>
      </c>
      <c r="P354" s="2">
        <v>22.58</v>
      </c>
      <c r="Q354" s="2">
        <v>13.11</v>
      </c>
      <c r="R354" s="2">
        <v>28.25</v>
      </c>
      <c r="S354" s="2">
        <v>13.07</v>
      </c>
    </row>
    <row r="355" spans="1:19" ht="13.9" x14ac:dyDescent="0.3">
      <c r="A355" s="2" t="s">
        <v>372</v>
      </c>
      <c r="B355" s="2">
        <v>0.38</v>
      </c>
      <c r="C355" s="2">
        <v>2</v>
      </c>
      <c r="D355" s="2">
        <v>4.08</v>
      </c>
      <c r="E355" s="2">
        <v>2.57</v>
      </c>
      <c r="F355" s="2">
        <v>1.87</v>
      </c>
      <c r="G355" s="2">
        <v>1.48</v>
      </c>
      <c r="H355" s="2">
        <v>0.72</v>
      </c>
      <c r="I355" s="2">
        <v>0</v>
      </c>
      <c r="J355" s="2">
        <v>0</v>
      </c>
      <c r="K355" s="2">
        <v>0</v>
      </c>
      <c r="L355" s="2">
        <v>0</v>
      </c>
      <c r="M355" s="2">
        <v>24.12</v>
      </c>
      <c r="N355" s="2">
        <v>0</v>
      </c>
      <c r="O355" s="2">
        <v>15.13</v>
      </c>
      <c r="P355" s="2">
        <v>0</v>
      </c>
      <c r="Q355" s="2">
        <v>10.24</v>
      </c>
      <c r="R355" s="2">
        <v>4.8099999999999996</v>
      </c>
      <c r="S355" s="2">
        <v>0</v>
      </c>
    </row>
    <row r="356" spans="1:19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0.62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ht="13.9" x14ac:dyDescent="0.3">
      <c r="A357" s="2" t="s">
        <v>374</v>
      </c>
      <c r="B357" s="2">
        <v>4.03</v>
      </c>
      <c r="C357" s="2">
        <v>1.66</v>
      </c>
      <c r="D357" s="2">
        <v>4.42</v>
      </c>
      <c r="E357" s="2">
        <v>1.88</v>
      </c>
      <c r="F357" s="2">
        <v>5.75</v>
      </c>
      <c r="G357" s="2">
        <v>1.69</v>
      </c>
      <c r="H357" s="2">
        <v>2.16</v>
      </c>
      <c r="I357" s="2">
        <v>0</v>
      </c>
      <c r="J357" s="2">
        <v>2.2999999999999998</v>
      </c>
      <c r="K357" s="2">
        <v>0</v>
      </c>
      <c r="L357" s="2">
        <v>0</v>
      </c>
      <c r="M357" s="2">
        <v>23.6</v>
      </c>
      <c r="N357" s="2">
        <v>35.93</v>
      </c>
      <c r="O357" s="2">
        <v>15.13</v>
      </c>
      <c r="P357" s="2">
        <v>11.65</v>
      </c>
      <c r="Q357" s="2">
        <v>11.14</v>
      </c>
      <c r="R357" s="2">
        <v>23.23</v>
      </c>
      <c r="S357" s="2">
        <v>5.03</v>
      </c>
    </row>
    <row r="358" spans="1:19" ht="13.9" x14ac:dyDescent="0.3">
      <c r="A358" s="2" t="s">
        <v>375</v>
      </c>
      <c r="B358" s="2">
        <v>0</v>
      </c>
      <c r="C358" s="2">
        <v>0</v>
      </c>
      <c r="D358" s="2">
        <v>0.11</v>
      </c>
      <c r="E358" s="2">
        <v>0.79</v>
      </c>
      <c r="F358" s="2">
        <v>0</v>
      </c>
      <c r="G358" s="2">
        <v>0</v>
      </c>
      <c r="H358" s="2">
        <v>0</v>
      </c>
      <c r="I358" s="2">
        <v>0</v>
      </c>
      <c r="J358" s="2">
        <v>0.14000000000000001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</row>
    <row r="359" spans="1:19" ht="13.9" x14ac:dyDescent="0.3">
      <c r="A359" s="2" t="s">
        <v>376</v>
      </c>
      <c r="B359" s="2">
        <v>4.91</v>
      </c>
      <c r="C359" s="2">
        <v>7.87</v>
      </c>
      <c r="D359" s="2">
        <v>4.3099999999999996</v>
      </c>
      <c r="E359" s="2">
        <v>2.4700000000000002</v>
      </c>
      <c r="F359" s="2">
        <v>5.88</v>
      </c>
      <c r="G359" s="2">
        <v>2.42</v>
      </c>
      <c r="H359" s="2">
        <v>3.19</v>
      </c>
      <c r="I359" s="2">
        <v>40.880000000000003</v>
      </c>
      <c r="J359" s="2">
        <v>8.93</v>
      </c>
      <c r="K359" s="2">
        <v>9.18</v>
      </c>
      <c r="L359" s="2">
        <v>18.22</v>
      </c>
      <c r="M359" s="2">
        <v>0.26</v>
      </c>
      <c r="N359" s="2">
        <v>5.93</v>
      </c>
      <c r="O359" s="2">
        <v>4.6399999999999997</v>
      </c>
      <c r="P359" s="2">
        <v>2.73</v>
      </c>
      <c r="Q359" s="2">
        <v>11.32</v>
      </c>
      <c r="R359" s="2">
        <v>5.65</v>
      </c>
      <c r="S359" s="2">
        <v>0</v>
      </c>
    </row>
    <row r="360" spans="1:19" ht="13.9" x14ac:dyDescent="0.3">
      <c r="A360" s="2" t="s">
        <v>377</v>
      </c>
      <c r="B360" s="2">
        <v>2.9</v>
      </c>
      <c r="C360" s="2">
        <v>6.1</v>
      </c>
      <c r="D360" s="2">
        <v>1.1299999999999999</v>
      </c>
      <c r="E360" s="2">
        <v>2.86</v>
      </c>
      <c r="F360" s="2">
        <v>4.41</v>
      </c>
      <c r="G360" s="2">
        <v>4.43</v>
      </c>
      <c r="H360" s="2">
        <v>4.12</v>
      </c>
      <c r="I360" s="2">
        <v>286.13</v>
      </c>
      <c r="J360" s="2">
        <v>2.17</v>
      </c>
      <c r="K360" s="2">
        <v>21.37</v>
      </c>
      <c r="L360" s="2">
        <v>19.09</v>
      </c>
      <c r="M360" s="2">
        <v>12.45</v>
      </c>
      <c r="N360" s="2">
        <v>3.63</v>
      </c>
      <c r="O360" s="2">
        <v>6.59</v>
      </c>
      <c r="P360" s="2">
        <v>4.37</v>
      </c>
      <c r="Q360" s="2">
        <v>0.18</v>
      </c>
      <c r="R360" s="2">
        <v>4.8099999999999996</v>
      </c>
      <c r="S360" s="2">
        <v>27.65</v>
      </c>
    </row>
    <row r="361" spans="1:19" ht="13.9" x14ac:dyDescent="0.3">
      <c r="A361" s="2" t="s">
        <v>378</v>
      </c>
      <c r="B361" s="2">
        <v>213.99</v>
      </c>
      <c r="C361" s="2">
        <v>179.08</v>
      </c>
      <c r="D361" s="2">
        <v>210.11</v>
      </c>
      <c r="E361" s="2">
        <v>169.2</v>
      </c>
      <c r="F361" s="2">
        <v>196.15</v>
      </c>
      <c r="G361" s="2">
        <v>213.93</v>
      </c>
      <c r="H361" s="2">
        <v>177.69</v>
      </c>
      <c r="I361" s="2">
        <v>245.26</v>
      </c>
      <c r="J361" s="2">
        <v>178.93</v>
      </c>
      <c r="K361" s="2">
        <v>105.79</v>
      </c>
      <c r="L361" s="2">
        <v>24</v>
      </c>
      <c r="M361" s="2">
        <v>68.98</v>
      </c>
      <c r="N361" s="2">
        <v>127.56</v>
      </c>
      <c r="O361" s="2">
        <v>216.39</v>
      </c>
      <c r="P361" s="2">
        <v>144.74</v>
      </c>
      <c r="Q361" s="2">
        <v>90.73</v>
      </c>
      <c r="R361" s="2">
        <v>105.48</v>
      </c>
      <c r="S361" s="2">
        <v>198.58</v>
      </c>
    </row>
    <row r="362" spans="1:19" ht="13.9" x14ac:dyDescent="0.3">
      <c r="A362" s="2" t="s">
        <v>379</v>
      </c>
      <c r="B362" s="2">
        <v>621.84</v>
      </c>
      <c r="C362" s="2">
        <v>705.66</v>
      </c>
      <c r="D362" s="2">
        <v>735.49</v>
      </c>
      <c r="E362" s="2">
        <v>634.74</v>
      </c>
      <c r="F362" s="2">
        <v>687.92</v>
      </c>
      <c r="G362" s="2">
        <v>719.89</v>
      </c>
      <c r="H362" s="2">
        <v>592.03</v>
      </c>
      <c r="I362" s="2">
        <v>81.75</v>
      </c>
      <c r="J362" s="2">
        <v>592.96</v>
      </c>
      <c r="K362" s="2">
        <v>370.61</v>
      </c>
      <c r="L362" s="2">
        <v>550.6</v>
      </c>
      <c r="M362" s="2">
        <v>530.58000000000004</v>
      </c>
      <c r="N362" s="2">
        <v>563.97</v>
      </c>
      <c r="O362" s="2">
        <v>528.66</v>
      </c>
      <c r="P362" s="2">
        <v>417.29</v>
      </c>
      <c r="Q362" s="2">
        <v>407.63</v>
      </c>
      <c r="R362" s="2">
        <v>679.74</v>
      </c>
      <c r="S362" s="2">
        <v>454.98</v>
      </c>
    </row>
    <row r="363" spans="1:19" ht="13.9" x14ac:dyDescent="0.3">
      <c r="A363" s="2" t="s">
        <v>380</v>
      </c>
      <c r="B363" s="2">
        <v>81.95</v>
      </c>
      <c r="C363" s="2">
        <v>133.61000000000001</v>
      </c>
      <c r="D363" s="2">
        <v>77.37</v>
      </c>
      <c r="E363" s="2">
        <v>62.68</v>
      </c>
      <c r="F363" s="2">
        <v>139.59</v>
      </c>
      <c r="G363" s="2">
        <v>73.14</v>
      </c>
      <c r="H363" s="2">
        <v>56.38</v>
      </c>
      <c r="I363" s="2">
        <v>40.880000000000003</v>
      </c>
      <c r="J363" s="2">
        <v>193.95</v>
      </c>
      <c r="K363" s="2">
        <v>241.74</v>
      </c>
      <c r="L363" s="2">
        <v>978.3</v>
      </c>
      <c r="M363" s="2">
        <v>71.83</v>
      </c>
      <c r="N363" s="2">
        <v>336.87</v>
      </c>
      <c r="O363" s="2">
        <v>789.95</v>
      </c>
      <c r="P363" s="2">
        <v>227.95</v>
      </c>
      <c r="Q363" s="2">
        <v>227.62</v>
      </c>
      <c r="R363" s="2">
        <v>391.36</v>
      </c>
      <c r="S363" s="2">
        <v>1056.76</v>
      </c>
    </row>
    <row r="364" spans="1:19" ht="13.9" x14ac:dyDescent="0.3">
      <c r="A364" s="2" t="s">
        <v>381</v>
      </c>
      <c r="B364" s="2">
        <v>186.93</v>
      </c>
      <c r="C364" s="2">
        <v>156.46</v>
      </c>
      <c r="D364" s="2">
        <v>141.13</v>
      </c>
      <c r="E364" s="2">
        <v>97.93</v>
      </c>
      <c r="F364" s="2">
        <v>111.65</v>
      </c>
      <c r="G364" s="2">
        <v>114.24</v>
      </c>
      <c r="H364" s="2">
        <v>91.88</v>
      </c>
      <c r="I364" s="2">
        <v>449.64</v>
      </c>
      <c r="J364" s="2">
        <v>108.68</v>
      </c>
      <c r="K364" s="2">
        <v>290.12</v>
      </c>
      <c r="L364" s="2">
        <v>330.24</v>
      </c>
      <c r="M364" s="2">
        <v>239.88</v>
      </c>
      <c r="N364" s="2">
        <v>177.33</v>
      </c>
      <c r="O364" s="2">
        <v>193.22</v>
      </c>
      <c r="P364" s="2">
        <v>216.48</v>
      </c>
      <c r="Q364" s="2">
        <v>155.58000000000001</v>
      </c>
      <c r="R364" s="2">
        <v>106.52</v>
      </c>
      <c r="S364" s="2">
        <v>171.44</v>
      </c>
    </row>
    <row r="365" spans="1:19" ht="13.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0.5</v>
      </c>
    </row>
    <row r="366" spans="1:19" ht="13.9" x14ac:dyDescent="0.3">
      <c r="A366" s="2" t="s">
        <v>383</v>
      </c>
      <c r="B366" s="2">
        <v>0.63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>
        <v>0</v>
      </c>
      <c r="I366" s="2">
        <v>0</v>
      </c>
      <c r="J366" s="2">
        <v>2.17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ht="13.9" x14ac:dyDescent="0.3">
      <c r="A367" s="2" t="s">
        <v>384</v>
      </c>
      <c r="B367" s="2">
        <v>3.52</v>
      </c>
      <c r="C367" s="2">
        <v>4.88</v>
      </c>
      <c r="D367" s="2">
        <v>5.22</v>
      </c>
      <c r="E367" s="2">
        <v>3.36</v>
      </c>
      <c r="F367" s="2">
        <v>3.88</v>
      </c>
      <c r="G367" s="2">
        <v>5.16</v>
      </c>
      <c r="H367" s="2">
        <v>4.32</v>
      </c>
      <c r="I367" s="2">
        <v>40.880000000000003</v>
      </c>
      <c r="J367" s="2">
        <v>3.38</v>
      </c>
      <c r="K367" s="2">
        <v>0</v>
      </c>
      <c r="L367" s="2">
        <v>0</v>
      </c>
      <c r="M367" s="2">
        <v>0</v>
      </c>
      <c r="N367" s="2">
        <v>0</v>
      </c>
      <c r="O367" s="2">
        <v>6.34</v>
      </c>
      <c r="P367" s="2">
        <v>0</v>
      </c>
      <c r="Q367" s="2">
        <v>0</v>
      </c>
      <c r="R367" s="2">
        <v>0</v>
      </c>
      <c r="S367" s="2">
        <v>17.600000000000001</v>
      </c>
    </row>
    <row r="368" spans="1:19" ht="13.9" x14ac:dyDescent="0.3">
      <c r="A368" s="2" t="s">
        <v>385</v>
      </c>
      <c r="B368" s="2">
        <v>35.369999999999997</v>
      </c>
      <c r="C368" s="2">
        <v>33.380000000000003</v>
      </c>
      <c r="D368" s="2">
        <v>36.19</v>
      </c>
      <c r="E368" s="2">
        <v>26.55</v>
      </c>
      <c r="F368" s="2">
        <v>29.55</v>
      </c>
      <c r="G368" s="2">
        <v>38.89</v>
      </c>
      <c r="H368" s="2">
        <v>42.6</v>
      </c>
      <c r="I368" s="2">
        <v>0</v>
      </c>
      <c r="J368" s="2">
        <v>31.54</v>
      </c>
      <c r="K368" s="2">
        <v>1.57</v>
      </c>
      <c r="L368" s="2">
        <v>0.28999999999999998</v>
      </c>
      <c r="M368" s="2">
        <v>15.56</v>
      </c>
      <c r="N368" s="2">
        <v>6.59</v>
      </c>
      <c r="O368" s="2">
        <v>0.24</v>
      </c>
      <c r="P368" s="2">
        <v>13.65</v>
      </c>
      <c r="Q368" s="2">
        <v>11.5</v>
      </c>
      <c r="R368" s="2">
        <v>15.49</v>
      </c>
      <c r="S368" s="2">
        <v>0</v>
      </c>
    </row>
    <row r="369" spans="1:19" ht="13.9" x14ac:dyDescent="0.3">
      <c r="A369" s="2" t="s">
        <v>386</v>
      </c>
      <c r="B369" s="2">
        <v>1.76</v>
      </c>
      <c r="C369" s="2">
        <v>4.66</v>
      </c>
      <c r="D369" s="2">
        <v>2.61</v>
      </c>
      <c r="E369" s="2">
        <v>3.95</v>
      </c>
      <c r="F369" s="2">
        <v>3.74</v>
      </c>
      <c r="G369" s="2">
        <v>1.79</v>
      </c>
      <c r="H369" s="2">
        <v>2.06</v>
      </c>
      <c r="I369" s="2">
        <v>0</v>
      </c>
      <c r="J369" s="2">
        <v>6.09</v>
      </c>
      <c r="K369" s="2">
        <v>1.57</v>
      </c>
      <c r="L369" s="2">
        <v>21.11</v>
      </c>
      <c r="M369" s="2">
        <v>13.74</v>
      </c>
      <c r="N369" s="2">
        <v>2.31</v>
      </c>
      <c r="O369" s="2">
        <v>0.73</v>
      </c>
      <c r="P369" s="2">
        <v>10.74</v>
      </c>
      <c r="Q369" s="2">
        <v>7.37</v>
      </c>
      <c r="R369" s="2">
        <v>14.23</v>
      </c>
      <c r="S369" s="2">
        <v>1.01</v>
      </c>
    </row>
    <row r="370" spans="1:19" ht="13.9" x14ac:dyDescent="0.3">
      <c r="A370" s="2" t="s">
        <v>387</v>
      </c>
      <c r="B370" s="2">
        <v>2.39</v>
      </c>
      <c r="C370" s="2">
        <v>0.67</v>
      </c>
      <c r="D370" s="2">
        <v>0</v>
      </c>
      <c r="E370" s="2">
        <v>1.48</v>
      </c>
      <c r="F370" s="2">
        <v>0.13</v>
      </c>
      <c r="G370" s="2">
        <v>1.58</v>
      </c>
      <c r="H370" s="2">
        <v>0</v>
      </c>
      <c r="I370" s="2">
        <v>0</v>
      </c>
      <c r="J370" s="2">
        <v>0.68</v>
      </c>
      <c r="K370" s="2">
        <v>2.75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ht="13.9" x14ac:dyDescent="0.3">
      <c r="A371" s="2" t="s">
        <v>388</v>
      </c>
      <c r="B371" s="2">
        <v>23.79</v>
      </c>
      <c r="C371" s="2">
        <v>21.84</v>
      </c>
      <c r="D371" s="2">
        <v>20.309999999999999</v>
      </c>
      <c r="E371" s="2">
        <v>20.73</v>
      </c>
      <c r="F371" s="2">
        <v>12.57</v>
      </c>
      <c r="G371" s="2">
        <v>12.22</v>
      </c>
      <c r="H371" s="2">
        <v>15.33</v>
      </c>
      <c r="I371" s="2">
        <v>0</v>
      </c>
      <c r="J371" s="2">
        <v>8.26</v>
      </c>
      <c r="K371" s="2">
        <v>16.78</v>
      </c>
      <c r="L371" s="2">
        <v>0</v>
      </c>
      <c r="M371" s="2">
        <v>0</v>
      </c>
      <c r="N371" s="2">
        <v>0.33</v>
      </c>
      <c r="O371" s="2">
        <v>12.44</v>
      </c>
      <c r="P371" s="2">
        <v>3.1</v>
      </c>
      <c r="Q371" s="2">
        <v>4.8499999999999996</v>
      </c>
      <c r="R371" s="2">
        <v>3.98</v>
      </c>
      <c r="S371" s="2">
        <v>25.14</v>
      </c>
    </row>
    <row r="372" spans="1:19" ht="13.9" x14ac:dyDescent="0.3">
      <c r="A372" s="2" t="s">
        <v>389</v>
      </c>
      <c r="B372" s="2">
        <v>235.39</v>
      </c>
      <c r="C372" s="2">
        <v>317.68</v>
      </c>
      <c r="D372" s="2">
        <v>146.80000000000001</v>
      </c>
      <c r="E372" s="2">
        <v>223.39</v>
      </c>
      <c r="F372" s="2">
        <v>384.41</v>
      </c>
      <c r="G372" s="2">
        <v>170.83</v>
      </c>
      <c r="H372" s="2">
        <v>178.41</v>
      </c>
      <c r="I372" s="2">
        <v>2043.82</v>
      </c>
      <c r="J372" s="2">
        <v>397.25</v>
      </c>
      <c r="K372" s="2">
        <v>36.840000000000003</v>
      </c>
      <c r="L372" s="2">
        <v>189.41</v>
      </c>
      <c r="M372" s="2">
        <v>57.83</v>
      </c>
      <c r="N372" s="2">
        <v>57.35</v>
      </c>
      <c r="O372" s="2">
        <v>157.11000000000001</v>
      </c>
      <c r="P372" s="2">
        <v>147.29</v>
      </c>
      <c r="Q372" s="2">
        <v>72.22</v>
      </c>
      <c r="R372" s="2">
        <v>137.71</v>
      </c>
      <c r="S372" s="2">
        <v>235.28</v>
      </c>
    </row>
    <row r="373" spans="1:19" ht="13.9" x14ac:dyDescent="0.3">
      <c r="A373" s="2" t="s">
        <v>390</v>
      </c>
      <c r="B373" s="2">
        <v>1.38</v>
      </c>
      <c r="C373" s="2">
        <v>0.55000000000000004</v>
      </c>
      <c r="D373" s="2">
        <v>0</v>
      </c>
      <c r="E373" s="2">
        <v>0</v>
      </c>
      <c r="F373" s="2">
        <v>0</v>
      </c>
      <c r="G373" s="2">
        <v>0.21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ht="13.9" x14ac:dyDescent="0.3">
      <c r="A374" s="2" t="s">
        <v>391</v>
      </c>
      <c r="B374" s="2">
        <v>16.11</v>
      </c>
      <c r="C374" s="2">
        <v>13.42</v>
      </c>
      <c r="D374" s="2">
        <v>9.8699999999999992</v>
      </c>
      <c r="E374" s="2">
        <v>10.46</v>
      </c>
      <c r="F374" s="2">
        <v>14.84</v>
      </c>
      <c r="G374" s="2">
        <v>10.43</v>
      </c>
      <c r="H374" s="2">
        <v>10.49</v>
      </c>
      <c r="I374" s="2">
        <v>490.52</v>
      </c>
      <c r="J374" s="2">
        <v>24.23</v>
      </c>
      <c r="K374" s="2">
        <v>6.55</v>
      </c>
      <c r="L374" s="2">
        <v>0.57999999999999996</v>
      </c>
      <c r="M374" s="2">
        <v>2.0699999999999998</v>
      </c>
      <c r="N374" s="2">
        <v>2.31</v>
      </c>
      <c r="O374" s="2">
        <v>7.56</v>
      </c>
      <c r="P374" s="2">
        <v>1.46</v>
      </c>
      <c r="Q374" s="2">
        <v>1.62</v>
      </c>
      <c r="R374" s="2">
        <v>9</v>
      </c>
      <c r="S374" s="2">
        <v>4.0199999999999996</v>
      </c>
    </row>
    <row r="375" spans="1:19" ht="13.9" x14ac:dyDescent="0.3">
      <c r="A375" s="2" t="s">
        <v>392</v>
      </c>
      <c r="B375" s="2">
        <v>73.260000000000005</v>
      </c>
      <c r="C375" s="2">
        <v>94.92</v>
      </c>
      <c r="D375" s="2">
        <v>70.11</v>
      </c>
      <c r="E375" s="2">
        <v>81.34</v>
      </c>
      <c r="F375" s="2">
        <v>118.06</v>
      </c>
      <c r="G375" s="2">
        <v>73.56</v>
      </c>
      <c r="H375" s="2">
        <v>88.79</v>
      </c>
      <c r="I375" s="2">
        <v>40.880000000000003</v>
      </c>
      <c r="J375" s="2">
        <v>145.63</v>
      </c>
      <c r="K375" s="2">
        <v>36.049999999999997</v>
      </c>
      <c r="L375" s="2">
        <v>46.56</v>
      </c>
      <c r="M375" s="2">
        <v>24.38</v>
      </c>
      <c r="N375" s="2">
        <v>63.62</v>
      </c>
      <c r="O375" s="2">
        <v>83.43</v>
      </c>
      <c r="P375" s="2">
        <v>45.7</v>
      </c>
      <c r="Q375" s="2">
        <v>48.87</v>
      </c>
      <c r="R375" s="2">
        <v>130.59</v>
      </c>
      <c r="S375" s="2">
        <v>164.9</v>
      </c>
    </row>
    <row r="376" spans="1:19" ht="13.9" x14ac:dyDescent="0.3">
      <c r="A376" s="2" t="s">
        <v>393</v>
      </c>
      <c r="B376" s="2">
        <v>13.97</v>
      </c>
      <c r="C376" s="2">
        <v>26.94</v>
      </c>
      <c r="D376" s="2">
        <v>9.42</v>
      </c>
      <c r="E376" s="2">
        <v>22.01</v>
      </c>
      <c r="F376" s="2">
        <v>25.54</v>
      </c>
      <c r="G376" s="2">
        <v>26.98</v>
      </c>
      <c r="H376" s="2">
        <v>11.73</v>
      </c>
      <c r="I376" s="2">
        <v>0</v>
      </c>
      <c r="J376" s="2">
        <v>54.41</v>
      </c>
      <c r="K376" s="2">
        <v>18.48</v>
      </c>
      <c r="L376" s="2">
        <v>0</v>
      </c>
      <c r="M376" s="2">
        <v>42.53</v>
      </c>
      <c r="N376" s="2">
        <v>9.89</v>
      </c>
      <c r="O376" s="2">
        <v>46.84</v>
      </c>
      <c r="P376" s="2">
        <v>0</v>
      </c>
      <c r="Q376" s="2">
        <v>6.29</v>
      </c>
      <c r="R376" s="2">
        <v>12.98</v>
      </c>
      <c r="S376" s="2">
        <v>31.17</v>
      </c>
    </row>
    <row r="377" spans="1:19" ht="13.9" x14ac:dyDescent="0.3">
      <c r="A377" s="2" t="s">
        <v>394</v>
      </c>
      <c r="B377" s="2">
        <v>3.27</v>
      </c>
      <c r="C377" s="2">
        <v>1.33</v>
      </c>
      <c r="D377" s="2">
        <v>3.52</v>
      </c>
      <c r="E377" s="2">
        <v>2.67</v>
      </c>
      <c r="F377" s="2">
        <v>2.54</v>
      </c>
      <c r="G377" s="2">
        <v>1.69</v>
      </c>
      <c r="H377" s="2">
        <v>1.44</v>
      </c>
      <c r="I377" s="2">
        <v>0</v>
      </c>
      <c r="J377" s="2">
        <v>0.95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2.72</v>
      </c>
      <c r="S377" s="2">
        <v>0</v>
      </c>
    </row>
    <row r="378" spans="1:19" ht="13.9" x14ac:dyDescent="0.3">
      <c r="A378" s="2" t="s">
        <v>395</v>
      </c>
      <c r="B378" s="2">
        <v>0</v>
      </c>
      <c r="C378" s="2">
        <v>0.11</v>
      </c>
      <c r="D378" s="2">
        <v>0.56999999999999995</v>
      </c>
      <c r="E378" s="2">
        <v>0.1</v>
      </c>
      <c r="F378" s="2">
        <v>0.13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0.26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ht="13.9" x14ac:dyDescent="0.3">
      <c r="A379" s="2" t="s">
        <v>396</v>
      </c>
      <c r="B379" s="2">
        <v>0.38</v>
      </c>
      <c r="C379" s="2">
        <v>1.33</v>
      </c>
      <c r="D379" s="2">
        <v>2.5</v>
      </c>
      <c r="E379" s="2">
        <v>0.89</v>
      </c>
      <c r="F379" s="2">
        <v>1.34</v>
      </c>
      <c r="G379" s="2">
        <v>1.05</v>
      </c>
      <c r="H379" s="2">
        <v>0</v>
      </c>
      <c r="I379" s="2">
        <v>408.76</v>
      </c>
      <c r="J379" s="2">
        <v>0.41</v>
      </c>
      <c r="K379" s="2">
        <v>0</v>
      </c>
      <c r="L379" s="2">
        <v>6.94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ht="13.9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0.66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ht="13.9" x14ac:dyDescent="0.3">
      <c r="A381" s="2" t="s">
        <v>398</v>
      </c>
      <c r="B381" s="2">
        <v>1.01</v>
      </c>
      <c r="C381" s="2">
        <v>1.66</v>
      </c>
      <c r="D381" s="2">
        <v>0</v>
      </c>
      <c r="E381" s="2">
        <v>0</v>
      </c>
      <c r="F381" s="2">
        <v>0.53</v>
      </c>
      <c r="G381" s="2">
        <v>2</v>
      </c>
      <c r="H381" s="2">
        <v>0</v>
      </c>
      <c r="I381" s="2">
        <v>0</v>
      </c>
      <c r="J381" s="2">
        <v>2.84</v>
      </c>
      <c r="K381" s="2">
        <v>0</v>
      </c>
      <c r="L381" s="2">
        <v>0</v>
      </c>
      <c r="M381" s="2">
        <v>7.26</v>
      </c>
      <c r="N381" s="2">
        <v>0.33</v>
      </c>
      <c r="O381" s="2">
        <v>0</v>
      </c>
      <c r="P381" s="2">
        <v>8.19</v>
      </c>
      <c r="Q381" s="2">
        <v>0</v>
      </c>
      <c r="R381" s="2">
        <v>6.49</v>
      </c>
      <c r="S381" s="2">
        <v>0</v>
      </c>
    </row>
    <row r="382" spans="1:19" ht="13.9" x14ac:dyDescent="0.3">
      <c r="A382" s="2" t="s">
        <v>399</v>
      </c>
      <c r="B382" s="2">
        <v>0.63</v>
      </c>
      <c r="C382" s="2">
        <v>0.11</v>
      </c>
      <c r="D382" s="2">
        <v>0</v>
      </c>
      <c r="E382" s="2">
        <v>0.3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4.55</v>
      </c>
      <c r="Q382" s="2">
        <v>0</v>
      </c>
      <c r="R382" s="2">
        <v>0</v>
      </c>
      <c r="S382" s="2">
        <v>0</v>
      </c>
    </row>
    <row r="383" spans="1:19" ht="13.9" x14ac:dyDescent="0.3">
      <c r="A383" s="2" t="s">
        <v>400</v>
      </c>
      <c r="B383" s="2">
        <v>1.01</v>
      </c>
      <c r="C383" s="2">
        <v>1.66</v>
      </c>
      <c r="D383" s="2">
        <v>0</v>
      </c>
      <c r="E383" s="2">
        <v>0</v>
      </c>
      <c r="F383" s="2">
        <v>0.53</v>
      </c>
      <c r="G383" s="2">
        <v>2</v>
      </c>
      <c r="H383" s="2">
        <v>0</v>
      </c>
      <c r="I383" s="2">
        <v>0</v>
      </c>
      <c r="J383" s="2">
        <v>2.84</v>
      </c>
      <c r="K383" s="2">
        <v>0</v>
      </c>
      <c r="L383" s="2">
        <v>0</v>
      </c>
      <c r="M383" s="2">
        <v>7.26</v>
      </c>
      <c r="N383" s="2">
        <v>0.33</v>
      </c>
      <c r="O383" s="2">
        <v>0</v>
      </c>
      <c r="P383" s="2">
        <v>8.19</v>
      </c>
      <c r="Q383" s="2">
        <v>0</v>
      </c>
      <c r="R383" s="2">
        <v>6.49</v>
      </c>
      <c r="S383" s="2">
        <v>0</v>
      </c>
    </row>
    <row r="384" spans="1:19" ht="13.9" x14ac:dyDescent="0.3">
      <c r="A384" s="2" t="s">
        <v>401</v>
      </c>
      <c r="B384" s="2">
        <v>0.13</v>
      </c>
      <c r="C384" s="2">
        <v>0</v>
      </c>
      <c r="D384" s="2">
        <v>0.23</v>
      </c>
      <c r="E384" s="2">
        <v>0.59</v>
      </c>
      <c r="F384" s="2">
        <v>1.47</v>
      </c>
      <c r="G384" s="2">
        <v>0.42</v>
      </c>
      <c r="H384" s="2">
        <v>0.82</v>
      </c>
      <c r="I384" s="2">
        <v>0</v>
      </c>
      <c r="J384" s="2">
        <v>1.89</v>
      </c>
      <c r="K384" s="2">
        <v>0</v>
      </c>
      <c r="L384" s="2">
        <v>0</v>
      </c>
      <c r="M384" s="2">
        <v>0</v>
      </c>
      <c r="N384" s="2">
        <v>2.64</v>
      </c>
      <c r="O384" s="2">
        <v>0</v>
      </c>
      <c r="P384" s="2">
        <v>0</v>
      </c>
      <c r="Q384" s="2">
        <v>2.16</v>
      </c>
      <c r="R384" s="2">
        <v>0.84</v>
      </c>
      <c r="S384" s="2">
        <v>0</v>
      </c>
    </row>
    <row r="385" spans="1:19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>
        <v>0.31</v>
      </c>
      <c r="I385" s="2">
        <v>0</v>
      </c>
      <c r="J385" s="2">
        <v>0.54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ht="13.9" x14ac:dyDescent="0.3">
      <c r="A386" s="2" t="s">
        <v>403</v>
      </c>
      <c r="B386" s="2">
        <v>0.5</v>
      </c>
      <c r="C386" s="2">
        <v>0</v>
      </c>
      <c r="D386" s="2">
        <v>0.34</v>
      </c>
      <c r="E386" s="2">
        <v>0</v>
      </c>
      <c r="F386" s="2">
        <v>0</v>
      </c>
      <c r="G386" s="2">
        <v>1.79</v>
      </c>
      <c r="H386" s="2">
        <v>1.1299999999999999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ht="13.9" x14ac:dyDescent="0.3">
      <c r="A387" s="2" t="s">
        <v>404</v>
      </c>
      <c r="B387" s="2">
        <v>0</v>
      </c>
      <c r="C387" s="2">
        <v>0.67</v>
      </c>
      <c r="D387" s="2">
        <v>0</v>
      </c>
      <c r="E387" s="2">
        <v>0.2</v>
      </c>
      <c r="F387" s="2">
        <v>0</v>
      </c>
      <c r="G387" s="2">
        <v>0.53</v>
      </c>
      <c r="H387" s="2">
        <v>1.75</v>
      </c>
      <c r="I387" s="2">
        <v>0</v>
      </c>
      <c r="J387" s="2">
        <v>2.84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</row>
    <row r="388" spans="1:19" ht="13.9" x14ac:dyDescent="0.3">
      <c r="A388" s="2" t="s">
        <v>405</v>
      </c>
      <c r="B388" s="2">
        <v>0.76</v>
      </c>
      <c r="C388" s="2">
        <v>0</v>
      </c>
      <c r="D388" s="2">
        <v>0.68</v>
      </c>
      <c r="E388" s="2">
        <v>0.3</v>
      </c>
      <c r="F388" s="2">
        <v>1.07</v>
      </c>
      <c r="G388" s="2">
        <v>0.32</v>
      </c>
      <c r="H388" s="2">
        <v>1.95</v>
      </c>
      <c r="I388" s="2">
        <v>0</v>
      </c>
      <c r="J388" s="2">
        <v>0.54</v>
      </c>
      <c r="K388" s="2">
        <v>0</v>
      </c>
      <c r="L388" s="2">
        <v>0</v>
      </c>
      <c r="M388" s="2">
        <v>0</v>
      </c>
      <c r="N388" s="2">
        <v>4.6100000000000003</v>
      </c>
      <c r="O388" s="2">
        <v>0</v>
      </c>
      <c r="P388" s="2">
        <v>3.28</v>
      </c>
      <c r="Q388" s="2">
        <v>4.13</v>
      </c>
      <c r="R388" s="2">
        <v>0.21</v>
      </c>
      <c r="S388" s="2">
        <v>2.0099999999999998</v>
      </c>
    </row>
    <row r="389" spans="1:19" ht="13.9" x14ac:dyDescent="0.3">
      <c r="A389" s="2" t="s">
        <v>406</v>
      </c>
      <c r="B389" s="2">
        <v>0</v>
      </c>
      <c r="C389" s="2">
        <v>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ht="13.9" x14ac:dyDescent="0.3">
      <c r="A390" s="2" t="s">
        <v>407</v>
      </c>
      <c r="B390" s="2">
        <v>0</v>
      </c>
      <c r="C390" s="2">
        <v>0.78</v>
      </c>
      <c r="D390" s="2">
        <v>1.02</v>
      </c>
      <c r="E390" s="2">
        <v>2.17</v>
      </c>
      <c r="F390" s="2">
        <v>1.74</v>
      </c>
      <c r="G390" s="2">
        <v>2</v>
      </c>
      <c r="H390" s="2">
        <v>0.72</v>
      </c>
      <c r="I390" s="2">
        <v>0</v>
      </c>
      <c r="J390" s="2">
        <v>2.71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ht="13.9" x14ac:dyDescent="0.3">
      <c r="A391" s="2" t="s">
        <v>408</v>
      </c>
      <c r="B391" s="2">
        <v>0</v>
      </c>
      <c r="C391" s="2">
        <v>0.11</v>
      </c>
      <c r="D391" s="2">
        <v>0</v>
      </c>
      <c r="E391" s="2">
        <v>0</v>
      </c>
      <c r="F391" s="2">
        <v>0.53</v>
      </c>
      <c r="G391" s="2">
        <v>0.74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4.01</v>
      </c>
      <c r="Q391" s="2">
        <v>0</v>
      </c>
      <c r="R391" s="2">
        <v>0</v>
      </c>
      <c r="S391" s="2">
        <v>0</v>
      </c>
    </row>
    <row r="392" spans="1:19" ht="13.9" x14ac:dyDescent="0.3">
      <c r="A392" s="2" t="s">
        <v>409</v>
      </c>
      <c r="B392" s="2">
        <v>1.76</v>
      </c>
      <c r="C392" s="2">
        <v>1.89</v>
      </c>
      <c r="D392" s="2">
        <v>1.82</v>
      </c>
      <c r="E392" s="2">
        <v>3.16</v>
      </c>
      <c r="F392" s="2">
        <v>1.34</v>
      </c>
      <c r="G392" s="2">
        <v>1.05</v>
      </c>
      <c r="H392" s="2">
        <v>1.23</v>
      </c>
      <c r="I392" s="2">
        <v>0</v>
      </c>
      <c r="J392" s="2">
        <v>0.54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ht="13.9" x14ac:dyDescent="0.3">
      <c r="A393" s="2" t="s">
        <v>410</v>
      </c>
      <c r="B393" s="2">
        <v>0</v>
      </c>
      <c r="C393" s="2">
        <v>0.22</v>
      </c>
      <c r="D393" s="2">
        <v>0</v>
      </c>
      <c r="E393" s="2">
        <v>0</v>
      </c>
      <c r="F393" s="2">
        <v>0.27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</row>
    <row r="394" spans="1:19" ht="13.9" x14ac:dyDescent="0.3">
      <c r="A394" s="2" t="s">
        <v>411</v>
      </c>
      <c r="B394" s="2">
        <v>0.63</v>
      </c>
      <c r="C394" s="2">
        <v>0.22</v>
      </c>
      <c r="D394" s="2">
        <v>0.11</v>
      </c>
      <c r="E394" s="2">
        <v>1.38</v>
      </c>
      <c r="F394" s="2">
        <v>0.8</v>
      </c>
      <c r="G394" s="2">
        <v>1.1599999999999999</v>
      </c>
      <c r="H394" s="2">
        <v>1.23</v>
      </c>
      <c r="I394" s="2">
        <v>0</v>
      </c>
      <c r="J394" s="2">
        <v>1.89</v>
      </c>
      <c r="K394" s="2">
        <v>5.37</v>
      </c>
      <c r="L394" s="2">
        <v>0</v>
      </c>
      <c r="M394" s="2">
        <v>0</v>
      </c>
      <c r="N394" s="2">
        <v>0.33</v>
      </c>
      <c r="O394" s="2">
        <v>5.61</v>
      </c>
      <c r="P394" s="2">
        <v>0</v>
      </c>
      <c r="Q394" s="2">
        <v>0</v>
      </c>
      <c r="R394" s="2">
        <v>0</v>
      </c>
      <c r="S394" s="2">
        <v>0</v>
      </c>
    </row>
    <row r="395" spans="1:19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0.41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>
        <v>0</v>
      </c>
      <c r="I396" s="2">
        <v>0</v>
      </c>
      <c r="J396" s="2">
        <v>0.27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ht="13.9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2.88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ht="13.9" x14ac:dyDescent="0.3">
      <c r="A399" s="2" t="s">
        <v>416</v>
      </c>
      <c r="B399" s="2">
        <v>1.89</v>
      </c>
      <c r="C399" s="2">
        <v>2.2200000000000002</v>
      </c>
      <c r="D399" s="2">
        <v>4.88</v>
      </c>
      <c r="E399" s="2">
        <v>6.52</v>
      </c>
      <c r="F399" s="2">
        <v>1.74</v>
      </c>
      <c r="G399" s="2">
        <v>6.32</v>
      </c>
      <c r="H399" s="2">
        <v>2.88</v>
      </c>
      <c r="I399" s="2">
        <v>0</v>
      </c>
      <c r="J399" s="2">
        <v>2.17</v>
      </c>
      <c r="K399" s="2">
        <v>0</v>
      </c>
      <c r="L399" s="2">
        <v>0</v>
      </c>
      <c r="M399" s="2">
        <v>0</v>
      </c>
      <c r="N399" s="2">
        <v>22.74</v>
      </c>
      <c r="O399" s="2">
        <v>0</v>
      </c>
      <c r="P399" s="2">
        <v>8.92</v>
      </c>
      <c r="Q399" s="2">
        <v>3.41</v>
      </c>
      <c r="R399" s="2">
        <v>0</v>
      </c>
      <c r="S399" s="2">
        <v>0</v>
      </c>
    </row>
    <row r="400" spans="1:19" ht="13.9" x14ac:dyDescent="0.3">
      <c r="A400" s="2" t="s">
        <v>417</v>
      </c>
      <c r="B400" s="2">
        <v>46.32</v>
      </c>
      <c r="C400" s="2">
        <v>14.41</v>
      </c>
      <c r="D400" s="2">
        <v>26.09</v>
      </c>
      <c r="E400" s="2">
        <v>24.78</v>
      </c>
      <c r="F400" s="2">
        <v>14.84</v>
      </c>
      <c r="G400" s="2">
        <v>25.4</v>
      </c>
      <c r="H400" s="2">
        <v>24.9</v>
      </c>
      <c r="I400" s="2">
        <v>0</v>
      </c>
      <c r="J400" s="2">
        <v>20.440000000000001</v>
      </c>
      <c r="K400" s="2">
        <v>52.7</v>
      </c>
      <c r="L400" s="2">
        <v>34.99</v>
      </c>
      <c r="M400" s="2">
        <v>82.73</v>
      </c>
      <c r="N400" s="2">
        <v>68.89</v>
      </c>
      <c r="O400" s="2">
        <v>57.09</v>
      </c>
      <c r="P400" s="2">
        <v>59.35</v>
      </c>
      <c r="Q400" s="2">
        <v>35.93</v>
      </c>
      <c r="R400" s="2">
        <v>36.409999999999997</v>
      </c>
      <c r="S400" s="2">
        <v>69.88</v>
      </c>
    </row>
    <row r="401" spans="1:19" ht="13.9" x14ac:dyDescent="0.3">
      <c r="A401" s="2" t="s">
        <v>418</v>
      </c>
      <c r="B401" s="2">
        <v>0.63</v>
      </c>
      <c r="C401" s="2">
        <v>1.89</v>
      </c>
      <c r="D401" s="2">
        <v>0</v>
      </c>
      <c r="E401" s="2">
        <v>1.38</v>
      </c>
      <c r="F401" s="2">
        <v>0.53</v>
      </c>
      <c r="G401" s="2">
        <v>0.53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ht="13.9" x14ac:dyDescent="0.3">
      <c r="A402" s="2" t="s">
        <v>419</v>
      </c>
      <c r="B402" s="2">
        <v>0</v>
      </c>
      <c r="C402" s="2">
        <v>0</v>
      </c>
      <c r="D402" s="2">
        <v>1.25</v>
      </c>
      <c r="E402" s="2">
        <v>0.1</v>
      </c>
      <c r="F402" s="2">
        <v>0.67</v>
      </c>
      <c r="G402" s="2">
        <v>0.53</v>
      </c>
      <c r="H402" s="2">
        <v>0</v>
      </c>
      <c r="I402" s="2">
        <v>0</v>
      </c>
      <c r="J402" s="2">
        <v>0.14000000000000001</v>
      </c>
      <c r="K402" s="2">
        <v>0.13</v>
      </c>
      <c r="L402" s="2">
        <v>9.5399999999999991</v>
      </c>
      <c r="M402" s="2">
        <v>0.78</v>
      </c>
      <c r="N402" s="2">
        <v>0.33</v>
      </c>
      <c r="O402" s="2">
        <v>0</v>
      </c>
      <c r="P402" s="2">
        <v>0</v>
      </c>
      <c r="Q402" s="2">
        <v>0.18</v>
      </c>
      <c r="R402" s="2">
        <v>0</v>
      </c>
      <c r="S402" s="2">
        <v>0</v>
      </c>
    </row>
    <row r="403" spans="1:19" ht="13.9" x14ac:dyDescent="0.3">
      <c r="A403" s="2" t="s">
        <v>420</v>
      </c>
      <c r="B403" s="2">
        <v>0</v>
      </c>
      <c r="C403" s="2">
        <v>0</v>
      </c>
      <c r="D403" s="2">
        <v>0.56999999999999995</v>
      </c>
      <c r="E403" s="2">
        <v>0</v>
      </c>
      <c r="F403" s="2">
        <v>0.67</v>
      </c>
      <c r="G403" s="2">
        <v>0.53</v>
      </c>
      <c r="H403" s="2">
        <v>0</v>
      </c>
      <c r="I403" s="2">
        <v>0</v>
      </c>
      <c r="J403" s="2">
        <v>0</v>
      </c>
      <c r="K403" s="2">
        <v>0</v>
      </c>
      <c r="L403" s="2">
        <v>9.5399999999999991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ht="13.9" x14ac:dyDescent="0.3">
      <c r="A404" s="2" t="s">
        <v>421</v>
      </c>
      <c r="B404" s="2">
        <v>0.38</v>
      </c>
      <c r="C404" s="2">
        <v>0.44</v>
      </c>
      <c r="D404" s="2">
        <v>0.56999999999999995</v>
      </c>
      <c r="E404" s="2">
        <v>0.3</v>
      </c>
      <c r="F404" s="2">
        <v>0.27</v>
      </c>
      <c r="G404" s="2">
        <v>0.42</v>
      </c>
      <c r="H404" s="2">
        <v>2.88</v>
      </c>
      <c r="I404" s="2">
        <v>0</v>
      </c>
      <c r="J404" s="2">
        <v>1.89</v>
      </c>
      <c r="K404" s="2">
        <v>3.8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5.93</v>
      </c>
      <c r="R404" s="2">
        <v>4.3899999999999997</v>
      </c>
      <c r="S404" s="2">
        <v>0</v>
      </c>
    </row>
    <row r="405" spans="1:19" ht="13.9" x14ac:dyDescent="0.3">
      <c r="A405" s="2" t="s">
        <v>422</v>
      </c>
      <c r="B405" s="2">
        <v>6.17</v>
      </c>
      <c r="C405" s="2">
        <v>11.42</v>
      </c>
      <c r="D405" s="2">
        <v>5.1100000000000003</v>
      </c>
      <c r="E405" s="2">
        <v>8.2899999999999991</v>
      </c>
      <c r="F405" s="2">
        <v>21.66</v>
      </c>
      <c r="G405" s="2">
        <v>10.96</v>
      </c>
      <c r="H405" s="2">
        <v>5.66</v>
      </c>
      <c r="I405" s="2">
        <v>204.38</v>
      </c>
      <c r="J405" s="2">
        <v>16.510000000000002</v>
      </c>
      <c r="K405" s="2">
        <v>10.09</v>
      </c>
      <c r="L405" s="2">
        <v>31.81</v>
      </c>
      <c r="M405" s="2">
        <v>14.78</v>
      </c>
      <c r="N405" s="2">
        <v>15.16</v>
      </c>
      <c r="O405" s="2">
        <v>15.61</v>
      </c>
      <c r="P405" s="2">
        <v>14.38</v>
      </c>
      <c r="Q405" s="2">
        <v>25.51</v>
      </c>
      <c r="R405" s="2">
        <v>21.35</v>
      </c>
      <c r="S405" s="2">
        <v>22.62</v>
      </c>
    </row>
    <row r="406" spans="1:19" ht="13.9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8.1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ht="13.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0.21</v>
      </c>
      <c r="S407" s="2">
        <v>0</v>
      </c>
    </row>
    <row r="408" spans="1:19" ht="13.9" x14ac:dyDescent="0.3">
      <c r="A408" s="2" t="s">
        <v>425</v>
      </c>
      <c r="B408" s="2">
        <v>0</v>
      </c>
      <c r="C408" s="2">
        <v>0.22</v>
      </c>
      <c r="D408" s="2">
        <v>0</v>
      </c>
      <c r="E408" s="2">
        <v>0.69</v>
      </c>
      <c r="F408" s="2">
        <v>0</v>
      </c>
      <c r="G408" s="2">
        <v>0.11</v>
      </c>
      <c r="H408" s="2">
        <v>0</v>
      </c>
      <c r="I408" s="2">
        <v>0</v>
      </c>
      <c r="J408" s="2">
        <v>0</v>
      </c>
      <c r="K408" s="2">
        <v>0</v>
      </c>
      <c r="L408" s="2">
        <v>2.89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0.21</v>
      </c>
      <c r="S408" s="2">
        <v>0</v>
      </c>
    </row>
    <row r="409" spans="1:19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</row>
    <row r="412" spans="1:19" ht="13.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0.18</v>
      </c>
      <c r="R412" s="2">
        <v>0.21</v>
      </c>
      <c r="S412" s="2">
        <v>0</v>
      </c>
    </row>
    <row r="413" spans="1:19" ht="13.9" x14ac:dyDescent="0.3">
      <c r="A413" s="2" t="s">
        <v>430</v>
      </c>
      <c r="B413" s="2">
        <v>0.13</v>
      </c>
      <c r="C413" s="2">
        <v>0</v>
      </c>
      <c r="D413" s="2">
        <v>0.11</v>
      </c>
      <c r="E413" s="2">
        <v>0</v>
      </c>
      <c r="F413" s="2">
        <v>0</v>
      </c>
      <c r="G413" s="2">
        <v>0</v>
      </c>
      <c r="H413" s="2">
        <v>0.1</v>
      </c>
      <c r="I413" s="2">
        <v>0</v>
      </c>
      <c r="J413" s="2">
        <v>0.14000000000000001</v>
      </c>
      <c r="K413" s="2">
        <v>0</v>
      </c>
      <c r="L413" s="2">
        <v>0.28999999999999998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>
        <v>0</v>
      </c>
      <c r="I414" s="2">
        <v>0</v>
      </c>
      <c r="J414" s="2">
        <v>1.62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</row>
    <row r="415" spans="1:19" ht="13.9" x14ac:dyDescent="0.3">
      <c r="A415" s="2" t="s">
        <v>432</v>
      </c>
      <c r="B415" s="2">
        <v>229.1</v>
      </c>
      <c r="C415" s="2">
        <v>220.1</v>
      </c>
      <c r="D415" s="2">
        <v>219.86</v>
      </c>
      <c r="E415" s="2">
        <v>205.33</v>
      </c>
      <c r="F415" s="2">
        <v>231.58</v>
      </c>
      <c r="G415" s="2">
        <v>164.82</v>
      </c>
      <c r="H415" s="2">
        <v>162.57</v>
      </c>
      <c r="I415" s="2">
        <v>245.26</v>
      </c>
      <c r="J415" s="2">
        <v>137.51</v>
      </c>
      <c r="K415" s="2">
        <v>182.62</v>
      </c>
      <c r="L415" s="2">
        <v>183.63</v>
      </c>
      <c r="M415" s="2">
        <v>133.03</v>
      </c>
      <c r="N415" s="2">
        <v>150.63</v>
      </c>
      <c r="O415" s="2">
        <v>149.06</v>
      </c>
      <c r="P415" s="2">
        <v>79.02</v>
      </c>
      <c r="Q415" s="2">
        <v>151.44999999999999</v>
      </c>
      <c r="R415" s="2">
        <v>109.87</v>
      </c>
      <c r="S415" s="2">
        <v>112.61</v>
      </c>
    </row>
    <row r="416" spans="1:19" ht="13.9" x14ac:dyDescent="0.3">
      <c r="A416" s="2" t="s">
        <v>433</v>
      </c>
      <c r="B416" s="2">
        <v>41.16</v>
      </c>
      <c r="C416" s="2">
        <v>43.69</v>
      </c>
      <c r="D416" s="2">
        <v>50.82</v>
      </c>
      <c r="E416" s="2">
        <v>45.01</v>
      </c>
      <c r="F416" s="2">
        <v>49.07</v>
      </c>
      <c r="G416" s="2">
        <v>29.19</v>
      </c>
      <c r="H416" s="2">
        <v>39.200000000000003</v>
      </c>
      <c r="I416" s="2">
        <v>40.880000000000003</v>
      </c>
      <c r="J416" s="2">
        <v>27.07</v>
      </c>
      <c r="K416" s="2">
        <v>13.24</v>
      </c>
      <c r="L416" s="2">
        <v>30.94</v>
      </c>
      <c r="M416" s="2">
        <v>0</v>
      </c>
      <c r="N416" s="2">
        <v>25.05</v>
      </c>
      <c r="O416" s="2">
        <v>61.97</v>
      </c>
      <c r="P416" s="2">
        <v>35.14</v>
      </c>
      <c r="Q416" s="2">
        <v>37.729999999999997</v>
      </c>
      <c r="R416" s="2">
        <v>10.46</v>
      </c>
      <c r="S416" s="2">
        <v>50.78</v>
      </c>
    </row>
    <row r="417" spans="1:19" ht="13.9" x14ac:dyDescent="0.3">
      <c r="A417" s="2" t="s">
        <v>434</v>
      </c>
      <c r="B417" s="2">
        <v>0.25</v>
      </c>
      <c r="C417" s="2">
        <v>0.11</v>
      </c>
      <c r="D417" s="2">
        <v>0</v>
      </c>
      <c r="E417" s="2">
        <v>0</v>
      </c>
      <c r="F417" s="2">
        <v>0.53</v>
      </c>
      <c r="G417" s="2">
        <v>0</v>
      </c>
      <c r="H417" s="2">
        <v>0.1</v>
      </c>
      <c r="I417" s="2">
        <v>0</v>
      </c>
      <c r="J417" s="2">
        <v>1.35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0.73</v>
      </c>
      <c r="Q417" s="2">
        <v>0</v>
      </c>
      <c r="R417" s="2">
        <v>0</v>
      </c>
      <c r="S417" s="2">
        <v>0</v>
      </c>
    </row>
    <row r="418" spans="1:19" ht="13.9" x14ac:dyDescent="0.3">
      <c r="A418" s="2" t="s">
        <v>435</v>
      </c>
      <c r="B418" s="2">
        <v>3.65</v>
      </c>
      <c r="C418" s="2">
        <v>4.32</v>
      </c>
      <c r="D418" s="2">
        <v>3.4</v>
      </c>
      <c r="E418" s="2">
        <v>4.4400000000000004</v>
      </c>
      <c r="F418" s="2">
        <v>6.42</v>
      </c>
      <c r="G418" s="2">
        <v>5.8</v>
      </c>
      <c r="H418" s="2">
        <v>4.22</v>
      </c>
      <c r="I418" s="2">
        <v>0</v>
      </c>
      <c r="J418" s="2">
        <v>7.85</v>
      </c>
      <c r="K418" s="2">
        <v>0</v>
      </c>
      <c r="L418" s="2">
        <v>6.94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6.49</v>
      </c>
      <c r="S418" s="2">
        <v>0</v>
      </c>
    </row>
    <row r="419" spans="1:19" ht="13.9" x14ac:dyDescent="0.3">
      <c r="A419" s="2" t="s">
        <v>436</v>
      </c>
      <c r="B419" s="2">
        <v>0</v>
      </c>
      <c r="C419" s="2">
        <v>0</v>
      </c>
      <c r="D419" s="2">
        <v>0.68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ht="13.9" x14ac:dyDescent="0.3">
      <c r="A420" s="2" t="s">
        <v>437</v>
      </c>
      <c r="B420" s="2">
        <v>0.63</v>
      </c>
      <c r="C420" s="2">
        <v>0</v>
      </c>
      <c r="D420" s="2">
        <v>2.72</v>
      </c>
      <c r="E420" s="2">
        <v>0</v>
      </c>
      <c r="F420" s="2">
        <v>2.14</v>
      </c>
      <c r="G420" s="2">
        <v>0</v>
      </c>
      <c r="H420" s="2">
        <v>0.51</v>
      </c>
      <c r="I420" s="2">
        <v>0</v>
      </c>
      <c r="J420" s="2">
        <v>1.22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</row>
    <row r="421" spans="1:19" ht="13.9" x14ac:dyDescent="0.3">
      <c r="A421" s="2" t="s">
        <v>438</v>
      </c>
      <c r="B421" s="2">
        <v>23.04</v>
      </c>
      <c r="C421" s="2">
        <v>32.380000000000003</v>
      </c>
      <c r="D421" s="2">
        <v>24.62</v>
      </c>
      <c r="E421" s="2">
        <v>20.73</v>
      </c>
      <c r="F421" s="2">
        <v>16.71</v>
      </c>
      <c r="G421" s="2">
        <v>24.98</v>
      </c>
      <c r="H421" s="2">
        <v>17.7</v>
      </c>
      <c r="I421" s="2">
        <v>40.880000000000003</v>
      </c>
      <c r="J421" s="2">
        <v>12.18</v>
      </c>
      <c r="K421" s="2">
        <v>0</v>
      </c>
      <c r="L421" s="2">
        <v>27.76</v>
      </c>
      <c r="M421" s="2">
        <v>12.97</v>
      </c>
      <c r="N421" s="2">
        <v>12.2</v>
      </c>
      <c r="O421" s="2">
        <v>7.07</v>
      </c>
      <c r="P421" s="2">
        <v>0</v>
      </c>
      <c r="Q421" s="2">
        <v>11.32</v>
      </c>
      <c r="R421" s="2">
        <v>5.44</v>
      </c>
      <c r="S421" s="2">
        <v>0</v>
      </c>
    </row>
    <row r="422" spans="1:19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ht="13.9" x14ac:dyDescent="0.3">
      <c r="A423" s="2" t="s">
        <v>440</v>
      </c>
      <c r="B423" s="2">
        <v>0.76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v>0</v>
      </c>
      <c r="I423" s="2">
        <v>0</v>
      </c>
      <c r="J423" s="2">
        <v>2.0299999999999998</v>
      </c>
      <c r="K423" s="2">
        <v>0</v>
      </c>
      <c r="L423" s="2">
        <v>0</v>
      </c>
      <c r="M423" s="2">
        <v>0</v>
      </c>
      <c r="N423" s="2">
        <v>4.9400000000000004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ht="13.9" x14ac:dyDescent="0.3">
      <c r="A424" s="2" t="s">
        <v>441</v>
      </c>
      <c r="B424" s="2">
        <v>0</v>
      </c>
      <c r="C424" s="2">
        <v>3.1</v>
      </c>
      <c r="D424" s="2">
        <v>0.91</v>
      </c>
      <c r="E424" s="2">
        <v>1.97</v>
      </c>
      <c r="F424" s="2">
        <v>0.67</v>
      </c>
      <c r="G424" s="2">
        <v>0</v>
      </c>
      <c r="H424" s="2">
        <v>1.95</v>
      </c>
      <c r="I424" s="2">
        <v>0</v>
      </c>
      <c r="J424" s="2">
        <v>1.22</v>
      </c>
      <c r="K424" s="2">
        <v>0</v>
      </c>
      <c r="L424" s="2">
        <v>0</v>
      </c>
      <c r="M424" s="2">
        <v>6.48</v>
      </c>
      <c r="N424" s="2">
        <v>0</v>
      </c>
      <c r="O424" s="2">
        <v>0</v>
      </c>
      <c r="P424" s="2">
        <v>0</v>
      </c>
      <c r="Q424" s="2">
        <v>0</v>
      </c>
      <c r="R424" s="2">
        <v>10.46</v>
      </c>
      <c r="S424" s="2">
        <v>1.01</v>
      </c>
    </row>
    <row r="425" spans="1:19" ht="13.9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0.11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6.37</v>
      </c>
      <c r="Q425" s="2">
        <v>0</v>
      </c>
      <c r="R425" s="2">
        <v>0</v>
      </c>
      <c r="S425" s="2">
        <v>0</v>
      </c>
    </row>
    <row r="426" spans="1:19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>
        <v>0</v>
      </c>
      <c r="I426" s="2">
        <v>0</v>
      </c>
      <c r="J426" s="2">
        <v>0.41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ht="13.9" x14ac:dyDescent="0.3">
      <c r="A427" s="2" t="s">
        <v>444</v>
      </c>
      <c r="B427" s="2">
        <v>0.38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0.51</v>
      </c>
      <c r="I427" s="2">
        <v>0</v>
      </c>
      <c r="J427" s="2">
        <v>0.27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ht="13.9" x14ac:dyDescent="0.3">
      <c r="A430" s="2" t="s">
        <v>447</v>
      </c>
      <c r="B430" s="2">
        <v>0</v>
      </c>
      <c r="C430" s="2">
        <v>0</v>
      </c>
      <c r="D430" s="2">
        <v>0.11</v>
      </c>
      <c r="E430" s="2">
        <v>0.49</v>
      </c>
      <c r="F430" s="2">
        <v>0.13</v>
      </c>
      <c r="G430" s="2">
        <v>0.32</v>
      </c>
      <c r="H430" s="2">
        <v>0.1</v>
      </c>
      <c r="I430" s="2">
        <v>204.38</v>
      </c>
      <c r="J430" s="2">
        <v>0</v>
      </c>
      <c r="K430" s="2">
        <v>1.31</v>
      </c>
      <c r="L430" s="2">
        <v>0.28999999999999998</v>
      </c>
      <c r="M430" s="2">
        <v>0.52</v>
      </c>
      <c r="N430" s="2">
        <v>0</v>
      </c>
      <c r="O430" s="2">
        <v>0.49</v>
      </c>
      <c r="P430" s="2">
        <v>4.01</v>
      </c>
      <c r="Q430" s="2">
        <v>0</v>
      </c>
      <c r="R430" s="2">
        <v>0</v>
      </c>
      <c r="S430" s="2">
        <v>6.03</v>
      </c>
    </row>
    <row r="431" spans="1:19" ht="13.9" x14ac:dyDescent="0.3">
      <c r="A431" s="2" t="s">
        <v>448</v>
      </c>
      <c r="B431" s="2">
        <v>29.2</v>
      </c>
      <c r="C431" s="2">
        <v>26.28</v>
      </c>
      <c r="D431" s="2">
        <v>14.41</v>
      </c>
      <c r="E431" s="2">
        <v>12.04</v>
      </c>
      <c r="F431" s="2">
        <v>21.79</v>
      </c>
      <c r="G431" s="2">
        <v>12.44</v>
      </c>
      <c r="H431" s="2">
        <v>12.66</v>
      </c>
      <c r="I431" s="2">
        <v>0</v>
      </c>
      <c r="J431" s="2">
        <v>17.05</v>
      </c>
      <c r="K431" s="2">
        <v>2.4900000000000002</v>
      </c>
      <c r="L431" s="2">
        <v>13.01</v>
      </c>
      <c r="M431" s="2">
        <v>0</v>
      </c>
      <c r="N431" s="2">
        <v>9.56</v>
      </c>
      <c r="O431" s="2">
        <v>7.07</v>
      </c>
      <c r="P431" s="2">
        <v>2.37</v>
      </c>
      <c r="Q431" s="2">
        <v>0</v>
      </c>
      <c r="R431" s="2">
        <v>3.77</v>
      </c>
      <c r="S431" s="2">
        <v>0.5</v>
      </c>
    </row>
    <row r="432" spans="1:19" ht="13.9" x14ac:dyDescent="0.3">
      <c r="A432" s="2" t="s">
        <v>449</v>
      </c>
      <c r="B432" s="2">
        <v>1.01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>
        <v>0</v>
      </c>
      <c r="I432" s="2">
        <v>0</v>
      </c>
      <c r="J432" s="2">
        <v>1.49</v>
      </c>
      <c r="K432" s="2">
        <v>0</v>
      </c>
      <c r="L432" s="2">
        <v>0.28999999999999998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6.49</v>
      </c>
      <c r="S432" s="2">
        <v>0</v>
      </c>
    </row>
    <row r="433" spans="1:19" ht="13.9" x14ac:dyDescent="0.3">
      <c r="A433" s="2" t="s">
        <v>450</v>
      </c>
      <c r="B433" s="2">
        <v>0</v>
      </c>
      <c r="C433" s="2">
        <v>3.1</v>
      </c>
      <c r="D433" s="2">
        <v>0.23</v>
      </c>
      <c r="E433" s="2">
        <v>0.49</v>
      </c>
      <c r="F433" s="2">
        <v>0</v>
      </c>
      <c r="G433" s="2">
        <v>1.48</v>
      </c>
      <c r="H433" s="2">
        <v>0.82</v>
      </c>
      <c r="I433" s="2">
        <v>0</v>
      </c>
      <c r="J433" s="2">
        <v>0</v>
      </c>
      <c r="K433" s="2">
        <v>0.13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10.56</v>
      </c>
    </row>
    <row r="434" spans="1:19" ht="13.9" x14ac:dyDescent="0.3">
      <c r="A434" s="2" t="s">
        <v>451</v>
      </c>
      <c r="B434" s="2">
        <v>1.01</v>
      </c>
      <c r="C434" s="2">
        <v>6.87</v>
      </c>
      <c r="D434" s="2">
        <v>0.68</v>
      </c>
      <c r="E434" s="2">
        <v>2.96</v>
      </c>
      <c r="F434" s="2">
        <v>0.8</v>
      </c>
      <c r="G434" s="2">
        <v>0</v>
      </c>
      <c r="H434" s="2">
        <v>1.44</v>
      </c>
      <c r="I434" s="2">
        <v>0</v>
      </c>
      <c r="J434" s="2">
        <v>1.22</v>
      </c>
      <c r="K434" s="2">
        <v>3.54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ht="13.9" x14ac:dyDescent="0.3">
      <c r="A435" s="2" t="s">
        <v>452</v>
      </c>
      <c r="B435" s="2">
        <v>0</v>
      </c>
      <c r="C435" s="2">
        <v>0.55000000000000004</v>
      </c>
      <c r="D435" s="2">
        <v>0</v>
      </c>
      <c r="E435" s="2">
        <v>1.88</v>
      </c>
      <c r="F435" s="2">
        <v>0</v>
      </c>
      <c r="G435" s="2">
        <v>1.9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7.53</v>
      </c>
      <c r="S435" s="2">
        <v>0</v>
      </c>
    </row>
    <row r="436" spans="1:19" ht="13.9" x14ac:dyDescent="0.3">
      <c r="A436" s="2" t="s">
        <v>453</v>
      </c>
      <c r="B436" s="2">
        <v>1.51</v>
      </c>
      <c r="C436" s="2">
        <v>2.33</v>
      </c>
      <c r="D436" s="2">
        <v>0.91</v>
      </c>
      <c r="E436" s="2">
        <v>0</v>
      </c>
      <c r="F436" s="2">
        <v>2.41</v>
      </c>
      <c r="G436" s="2">
        <v>0</v>
      </c>
      <c r="H436" s="2">
        <v>0.41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ht="13.9" x14ac:dyDescent="0.3">
      <c r="A437" s="2" t="s">
        <v>454</v>
      </c>
      <c r="B437" s="2">
        <v>21.4</v>
      </c>
      <c r="C437" s="2">
        <v>21.62</v>
      </c>
      <c r="D437" s="2">
        <v>19.850000000000001</v>
      </c>
      <c r="E437" s="2">
        <v>17.97</v>
      </c>
      <c r="F437" s="2">
        <v>20.99</v>
      </c>
      <c r="G437" s="2">
        <v>13.17</v>
      </c>
      <c r="H437" s="2">
        <v>15.54</v>
      </c>
      <c r="I437" s="2">
        <v>163.51</v>
      </c>
      <c r="J437" s="2">
        <v>33.43</v>
      </c>
      <c r="K437" s="2">
        <v>6.29</v>
      </c>
      <c r="L437" s="2">
        <v>9.5399999999999991</v>
      </c>
      <c r="M437" s="2">
        <v>12.97</v>
      </c>
      <c r="N437" s="2">
        <v>15.49</v>
      </c>
      <c r="O437" s="2">
        <v>20</v>
      </c>
      <c r="P437" s="2">
        <v>12.02</v>
      </c>
      <c r="Q437" s="2">
        <v>7.9</v>
      </c>
      <c r="R437" s="2">
        <v>44.37</v>
      </c>
      <c r="S437" s="2">
        <v>39.72</v>
      </c>
    </row>
    <row r="438" spans="1:19" ht="13.9" x14ac:dyDescent="0.3">
      <c r="A438" s="2" t="s">
        <v>455</v>
      </c>
      <c r="B438" s="2">
        <v>2929.69</v>
      </c>
      <c r="C438" s="2">
        <v>2766.3</v>
      </c>
      <c r="D438" s="2">
        <v>2177.64</v>
      </c>
      <c r="E438" s="2">
        <v>2126.7199999999998</v>
      </c>
      <c r="F438" s="2">
        <v>2502.9899999999998</v>
      </c>
      <c r="G438" s="2">
        <v>2059.98</v>
      </c>
      <c r="H438" s="2">
        <v>2060.5700000000002</v>
      </c>
      <c r="I438" s="2">
        <v>39568.35</v>
      </c>
      <c r="J438" s="2">
        <v>3370.84</v>
      </c>
      <c r="K438" s="2">
        <v>4133.7299999999996</v>
      </c>
      <c r="L438" s="2">
        <v>4278.72</v>
      </c>
      <c r="M438" s="2">
        <v>2628.01</v>
      </c>
      <c r="N438" s="2">
        <v>4066.78</v>
      </c>
      <c r="O438" s="2">
        <v>4570.38</v>
      </c>
      <c r="P438" s="2">
        <v>4024.91</v>
      </c>
      <c r="Q438" s="2">
        <v>3613.73</v>
      </c>
      <c r="R438" s="2">
        <v>4070.1</v>
      </c>
      <c r="S438" s="2">
        <v>6064.58</v>
      </c>
    </row>
    <row r="439" spans="1:19" ht="13.9" x14ac:dyDescent="0.3">
      <c r="A439" s="2" t="s">
        <v>456</v>
      </c>
      <c r="B439" s="2">
        <v>16.489999999999998</v>
      </c>
      <c r="C439" s="2">
        <v>14.08</v>
      </c>
      <c r="D439" s="2">
        <v>20.079999999999998</v>
      </c>
      <c r="E439" s="2">
        <v>10.66</v>
      </c>
      <c r="F439" s="2">
        <v>20.72</v>
      </c>
      <c r="G439" s="2">
        <v>10.01</v>
      </c>
      <c r="H439" s="2">
        <v>13.58</v>
      </c>
      <c r="I439" s="2">
        <v>0</v>
      </c>
      <c r="J439" s="2">
        <v>27.88</v>
      </c>
      <c r="K439" s="2">
        <v>2.75</v>
      </c>
      <c r="L439" s="2">
        <v>9.25</v>
      </c>
      <c r="M439" s="2">
        <v>5.96</v>
      </c>
      <c r="N439" s="2">
        <v>9.56</v>
      </c>
      <c r="O439" s="2">
        <v>14.88</v>
      </c>
      <c r="P439" s="2">
        <v>6.37</v>
      </c>
      <c r="Q439" s="2">
        <v>14.37</v>
      </c>
      <c r="R439" s="2">
        <v>5.65</v>
      </c>
      <c r="S439" s="2">
        <v>11.56</v>
      </c>
    </row>
    <row r="440" spans="1:19" ht="13.9" x14ac:dyDescent="0.3">
      <c r="A440" s="2" t="s">
        <v>457</v>
      </c>
      <c r="B440" s="2">
        <v>3.4</v>
      </c>
      <c r="C440" s="2">
        <v>6.99</v>
      </c>
      <c r="D440" s="2">
        <v>3.06</v>
      </c>
      <c r="E440" s="2">
        <v>6.32</v>
      </c>
      <c r="F440" s="2">
        <v>1.74</v>
      </c>
      <c r="G440" s="2">
        <v>2.95</v>
      </c>
      <c r="H440" s="2">
        <v>2.57</v>
      </c>
      <c r="I440" s="2">
        <v>0</v>
      </c>
      <c r="J440" s="2">
        <v>2.57</v>
      </c>
      <c r="K440" s="2">
        <v>0</v>
      </c>
      <c r="L440" s="2">
        <v>34.119999999999997</v>
      </c>
      <c r="M440" s="2">
        <v>40.200000000000003</v>
      </c>
      <c r="N440" s="2">
        <v>24.06</v>
      </c>
      <c r="O440" s="2">
        <v>18.79</v>
      </c>
      <c r="P440" s="2">
        <v>14.75</v>
      </c>
      <c r="Q440" s="2">
        <v>1.98</v>
      </c>
      <c r="R440" s="2">
        <v>4.3899999999999997</v>
      </c>
      <c r="S440" s="2">
        <v>56.81</v>
      </c>
    </row>
    <row r="441" spans="1:19" ht="13.9" x14ac:dyDescent="0.3">
      <c r="A441" s="2" t="s">
        <v>458</v>
      </c>
      <c r="B441" s="2">
        <v>5.29</v>
      </c>
      <c r="C441" s="2">
        <v>3.77</v>
      </c>
      <c r="D441" s="2">
        <v>1.7</v>
      </c>
      <c r="E441" s="2">
        <v>3.46</v>
      </c>
      <c r="F441" s="2">
        <v>4.41</v>
      </c>
      <c r="G441" s="2">
        <v>4.32</v>
      </c>
      <c r="H441" s="2">
        <v>2.37</v>
      </c>
      <c r="I441" s="2">
        <v>0</v>
      </c>
      <c r="J441" s="2">
        <v>6.9</v>
      </c>
      <c r="K441" s="2">
        <v>0</v>
      </c>
      <c r="L441" s="2">
        <v>0</v>
      </c>
      <c r="M441" s="2">
        <v>8.56</v>
      </c>
      <c r="N441" s="2">
        <v>19.45</v>
      </c>
      <c r="O441" s="2">
        <v>5.12</v>
      </c>
      <c r="P441" s="2">
        <v>0</v>
      </c>
      <c r="Q441" s="2">
        <v>0</v>
      </c>
      <c r="R441" s="2">
        <v>2.2999999999999998</v>
      </c>
      <c r="S441" s="2">
        <v>13.57</v>
      </c>
    </row>
    <row r="442" spans="1:19" ht="13.9" x14ac:dyDescent="0.3">
      <c r="A442" s="2" t="s">
        <v>459</v>
      </c>
      <c r="B442" s="2">
        <v>3.9</v>
      </c>
      <c r="C442" s="2">
        <v>1.33</v>
      </c>
      <c r="D442" s="2">
        <v>0.68</v>
      </c>
      <c r="E442" s="2">
        <v>1.58</v>
      </c>
      <c r="F442" s="2">
        <v>1.87</v>
      </c>
      <c r="G442" s="2">
        <v>3.69</v>
      </c>
      <c r="H442" s="2">
        <v>1.54</v>
      </c>
      <c r="I442" s="2">
        <v>0</v>
      </c>
      <c r="J442" s="2">
        <v>5.01</v>
      </c>
      <c r="K442" s="2">
        <v>1.57</v>
      </c>
      <c r="L442" s="2">
        <v>28.34</v>
      </c>
      <c r="M442" s="2">
        <v>2.33</v>
      </c>
      <c r="N442" s="2">
        <v>1.32</v>
      </c>
      <c r="O442" s="2">
        <v>2.93</v>
      </c>
      <c r="P442" s="2">
        <v>1.64</v>
      </c>
      <c r="Q442" s="2">
        <v>2.16</v>
      </c>
      <c r="R442" s="2">
        <v>7.53</v>
      </c>
      <c r="S442" s="2">
        <v>33.68</v>
      </c>
    </row>
    <row r="443" spans="1:19" ht="13.9" x14ac:dyDescent="0.3">
      <c r="A443" s="2" t="s">
        <v>460</v>
      </c>
      <c r="B443" s="2">
        <v>2.9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10.06</v>
      </c>
      <c r="R443" s="2">
        <v>0</v>
      </c>
      <c r="S443" s="2">
        <v>0</v>
      </c>
    </row>
    <row r="444" spans="1:19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</row>
    <row r="445" spans="1:19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1.08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>
        <v>0.21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ht="13.9" x14ac:dyDescent="0.3">
      <c r="A447" s="2" t="s">
        <v>464</v>
      </c>
      <c r="B447" s="2">
        <v>0.13</v>
      </c>
      <c r="C447" s="2">
        <v>0</v>
      </c>
      <c r="D447" s="2">
        <v>0</v>
      </c>
      <c r="E447" s="2">
        <v>0.1</v>
      </c>
      <c r="F447" s="2">
        <v>0.13</v>
      </c>
      <c r="G447" s="2">
        <v>0</v>
      </c>
      <c r="H447" s="2">
        <v>0</v>
      </c>
      <c r="I447" s="2">
        <v>0</v>
      </c>
      <c r="J447" s="2">
        <v>0.14000000000000001</v>
      </c>
      <c r="K447" s="2">
        <v>0</v>
      </c>
      <c r="L447" s="2">
        <v>0.28999999999999998</v>
      </c>
      <c r="M447" s="2">
        <v>0</v>
      </c>
      <c r="N447" s="2">
        <v>0.33</v>
      </c>
      <c r="O447" s="2">
        <v>0</v>
      </c>
      <c r="P447" s="2">
        <v>0.18</v>
      </c>
      <c r="Q447" s="2">
        <v>0.18</v>
      </c>
      <c r="R447" s="2">
        <v>0</v>
      </c>
      <c r="S447" s="2">
        <v>0.5</v>
      </c>
    </row>
    <row r="448" spans="1:19" ht="13.9" x14ac:dyDescent="0.3">
      <c r="A448" s="2" t="s">
        <v>465</v>
      </c>
      <c r="B448" s="2">
        <v>20.39</v>
      </c>
      <c r="C448" s="2">
        <v>17.739999999999998</v>
      </c>
      <c r="D448" s="2">
        <v>15.43</v>
      </c>
      <c r="E448" s="2">
        <v>12.64</v>
      </c>
      <c r="F448" s="2">
        <v>15.91</v>
      </c>
      <c r="G448" s="2">
        <v>6.85</v>
      </c>
      <c r="H448" s="2">
        <v>14.4</v>
      </c>
      <c r="I448" s="2">
        <v>40.880000000000003</v>
      </c>
      <c r="J448" s="2">
        <v>21.52</v>
      </c>
      <c r="K448" s="2">
        <v>69.349999999999994</v>
      </c>
      <c r="L448" s="2">
        <v>0.28999999999999998</v>
      </c>
      <c r="M448" s="2">
        <v>51.09</v>
      </c>
      <c r="N448" s="2">
        <v>10.55</v>
      </c>
      <c r="O448" s="2">
        <v>29.28</v>
      </c>
      <c r="P448" s="2">
        <v>27.67</v>
      </c>
      <c r="Q448" s="2">
        <v>19.22</v>
      </c>
      <c r="R448" s="2">
        <v>24.49</v>
      </c>
      <c r="S448" s="2">
        <v>65.86</v>
      </c>
    </row>
    <row r="449" spans="1:19" ht="13.9" x14ac:dyDescent="0.3">
      <c r="A449" s="2" t="s">
        <v>466</v>
      </c>
      <c r="B449" s="2">
        <v>8.94</v>
      </c>
      <c r="C449" s="2">
        <v>14.08</v>
      </c>
      <c r="D449" s="2">
        <v>3.74</v>
      </c>
      <c r="E449" s="2">
        <v>5.13</v>
      </c>
      <c r="F449" s="2">
        <v>9.36</v>
      </c>
      <c r="G449" s="2">
        <v>5.27</v>
      </c>
      <c r="H449" s="2">
        <v>9.4700000000000006</v>
      </c>
      <c r="I449" s="2">
        <v>0</v>
      </c>
      <c r="J449" s="2">
        <v>16.239999999999998</v>
      </c>
      <c r="K449" s="2">
        <v>0</v>
      </c>
      <c r="L449" s="2">
        <v>0</v>
      </c>
      <c r="M449" s="2">
        <v>0</v>
      </c>
      <c r="N449" s="2">
        <v>0.33</v>
      </c>
      <c r="O449" s="2">
        <v>13.91</v>
      </c>
      <c r="P449" s="2">
        <v>0</v>
      </c>
      <c r="Q449" s="2">
        <v>7.01</v>
      </c>
      <c r="R449" s="2">
        <v>11.09</v>
      </c>
      <c r="S449" s="2">
        <v>0</v>
      </c>
    </row>
    <row r="450" spans="1:19" ht="13.9" x14ac:dyDescent="0.3">
      <c r="A450" s="2" t="s">
        <v>467</v>
      </c>
      <c r="B450" s="2">
        <v>1.38</v>
      </c>
      <c r="C450" s="2">
        <v>0</v>
      </c>
      <c r="D450" s="2">
        <v>0.68</v>
      </c>
      <c r="E450" s="2">
        <v>0</v>
      </c>
      <c r="F450" s="2">
        <v>0.4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ht="13.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0.72</v>
      </c>
      <c r="R451" s="2">
        <v>0</v>
      </c>
      <c r="S451" s="2">
        <v>0</v>
      </c>
    </row>
    <row r="452" spans="1:19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0.82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</row>
    <row r="453" spans="1:19" ht="13.9" x14ac:dyDescent="0.3">
      <c r="A453" s="2" t="s">
        <v>470</v>
      </c>
      <c r="B453" s="2">
        <v>0</v>
      </c>
      <c r="C453" s="2">
        <v>0.11</v>
      </c>
      <c r="D453" s="2">
        <v>0</v>
      </c>
      <c r="E453" s="2">
        <v>0</v>
      </c>
      <c r="F453" s="2">
        <v>0</v>
      </c>
      <c r="G453" s="2">
        <v>0.42</v>
      </c>
      <c r="H453" s="2">
        <v>0</v>
      </c>
      <c r="I453" s="2">
        <v>0</v>
      </c>
      <c r="J453" s="2">
        <v>0.54</v>
      </c>
      <c r="K453" s="2">
        <v>0.13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ht="13.9" x14ac:dyDescent="0.3">
      <c r="A454" s="2" t="s">
        <v>471</v>
      </c>
      <c r="B454" s="2">
        <v>34.74</v>
      </c>
      <c r="C454" s="2">
        <v>12.75</v>
      </c>
      <c r="D454" s="2">
        <v>13.05</v>
      </c>
      <c r="E454" s="2">
        <v>10.07</v>
      </c>
      <c r="F454" s="2">
        <v>16.18</v>
      </c>
      <c r="G454" s="2">
        <v>11.17</v>
      </c>
      <c r="H454" s="2">
        <v>13.17</v>
      </c>
      <c r="I454" s="2">
        <v>204.38</v>
      </c>
      <c r="J454" s="2">
        <v>8.8000000000000007</v>
      </c>
      <c r="K454" s="2">
        <v>34.090000000000003</v>
      </c>
      <c r="L454" s="2">
        <v>24.58</v>
      </c>
      <c r="M454" s="2">
        <v>21.52</v>
      </c>
      <c r="N454" s="2">
        <v>55.05</v>
      </c>
      <c r="O454" s="2">
        <v>32.200000000000003</v>
      </c>
      <c r="P454" s="2">
        <v>14.75</v>
      </c>
      <c r="Q454" s="2">
        <v>11.68</v>
      </c>
      <c r="R454" s="2">
        <v>27.42</v>
      </c>
      <c r="S454" s="2">
        <v>31.67</v>
      </c>
    </row>
    <row r="455" spans="1:19" ht="13.9" x14ac:dyDescent="0.3">
      <c r="A455" s="2" t="s">
        <v>472</v>
      </c>
      <c r="B455" s="2">
        <v>1.01</v>
      </c>
      <c r="C455" s="2">
        <v>0.55000000000000004</v>
      </c>
      <c r="D455" s="2">
        <v>3.52</v>
      </c>
      <c r="E455" s="2">
        <v>0.69</v>
      </c>
      <c r="F455" s="2">
        <v>2.67</v>
      </c>
      <c r="G455" s="2">
        <v>3.16</v>
      </c>
      <c r="H455" s="2">
        <v>1.95</v>
      </c>
      <c r="I455" s="2">
        <v>0</v>
      </c>
      <c r="J455" s="2">
        <v>0.27</v>
      </c>
      <c r="K455" s="2">
        <v>11.14</v>
      </c>
      <c r="L455" s="2">
        <v>36.15</v>
      </c>
      <c r="M455" s="2">
        <v>4.93</v>
      </c>
      <c r="N455" s="2">
        <v>4.6100000000000003</v>
      </c>
      <c r="O455" s="2">
        <v>22.44</v>
      </c>
      <c r="P455" s="2">
        <v>3.82</v>
      </c>
      <c r="Q455" s="2">
        <v>8.44</v>
      </c>
      <c r="R455" s="2">
        <v>20.09</v>
      </c>
      <c r="S455" s="2">
        <v>14.58</v>
      </c>
    </row>
    <row r="456" spans="1:19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0.27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</row>
    <row r="457" spans="1:19" ht="13.9" x14ac:dyDescent="0.3">
      <c r="A457" s="2" t="s">
        <v>474</v>
      </c>
      <c r="B457" s="2">
        <v>0</v>
      </c>
      <c r="C457" s="2">
        <v>0</v>
      </c>
      <c r="D457" s="2">
        <v>0.23</v>
      </c>
      <c r="E457" s="2">
        <v>0</v>
      </c>
      <c r="F457" s="2">
        <v>0.13</v>
      </c>
      <c r="G457" s="2">
        <v>0</v>
      </c>
      <c r="H457" s="2">
        <v>0.82</v>
      </c>
      <c r="I457" s="2">
        <v>0</v>
      </c>
      <c r="J457" s="2">
        <v>0.68</v>
      </c>
      <c r="K457" s="2">
        <v>0</v>
      </c>
      <c r="L457" s="2">
        <v>0</v>
      </c>
      <c r="M457" s="2">
        <v>0</v>
      </c>
      <c r="N457" s="2">
        <v>5.6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</row>
    <row r="458" spans="1:19" ht="13.9" x14ac:dyDescent="0.3">
      <c r="A458" s="2" t="s">
        <v>475</v>
      </c>
      <c r="B458" s="2">
        <v>0.88</v>
      </c>
      <c r="C458" s="2">
        <v>0</v>
      </c>
      <c r="D458" s="2">
        <v>0</v>
      </c>
      <c r="E458" s="2">
        <v>0</v>
      </c>
      <c r="F458" s="2">
        <v>0</v>
      </c>
      <c r="G458" s="2">
        <v>0.32</v>
      </c>
      <c r="H458" s="2">
        <v>0</v>
      </c>
      <c r="I458" s="2">
        <v>0</v>
      </c>
      <c r="J458" s="2">
        <v>0.95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0.18</v>
      </c>
      <c r="Q458" s="2">
        <v>0</v>
      </c>
      <c r="R458" s="2">
        <v>0</v>
      </c>
      <c r="S458" s="2">
        <v>0</v>
      </c>
    </row>
    <row r="459" spans="1:19" ht="13.9" x14ac:dyDescent="0.3">
      <c r="A459" s="2" t="s">
        <v>476</v>
      </c>
      <c r="B459" s="2">
        <v>0.38</v>
      </c>
      <c r="C459" s="2">
        <v>5.0999999999999996</v>
      </c>
      <c r="D459" s="2">
        <v>3.4</v>
      </c>
      <c r="E459" s="2">
        <v>2.27</v>
      </c>
      <c r="F459" s="2">
        <v>4.28</v>
      </c>
      <c r="G459" s="2">
        <v>2.63</v>
      </c>
      <c r="H459" s="2">
        <v>1.75</v>
      </c>
      <c r="I459" s="2">
        <v>327.01</v>
      </c>
      <c r="J459" s="2">
        <v>1.35</v>
      </c>
      <c r="K459" s="2">
        <v>4.72</v>
      </c>
      <c r="L459" s="2">
        <v>16.48</v>
      </c>
      <c r="M459" s="2">
        <v>0</v>
      </c>
      <c r="N459" s="2">
        <v>20.77</v>
      </c>
      <c r="O459" s="2">
        <v>34.15</v>
      </c>
      <c r="P459" s="2">
        <v>0.18</v>
      </c>
      <c r="Q459" s="2">
        <v>7.01</v>
      </c>
      <c r="R459" s="2">
        <v>20.93</v>
      </c>
      <c r="S459" s="2">
        <v>1.01</v>
      </c>
    </row>
    <row r="460" spans="1:19" ht="13.9" x14ac:dyDescent="0.3">
      <c r="A460" s="2" t="s">
        <v>477</v>
      </c>
      <c r="B460" s="2">
        <v>6.29</v>
      </c>
      <c r="C460" s="2">
        <v>6.65</v>
      </c>
      <c r="D460" s="2">
        <v>3.97</v>
      </c>
      <c r="E460" s="2">
        <v>7.21</v>
      </c>
      <c r="F460" s="2">
        <v>7.62</v>
      </c>
      <c r="G460" s="2">
        <v>3.37</v>
      </c>
      <c r="H460" s="2">
        <v>2.98</v>
      </c>
      <c r="I460" s="2">
        <v>0</v>
      </c>
      <c r="J460" s="2">
        <v>5.55</v>
      </c>
      <c r="K460" s="2">
        <v>8.91</v>
      </c>
      <c r="L460" s="2">
        <v>5.21</v>
      </c>
      <c r="M460" s="2">
        <v>0</v>
      </c>
      <c r="N460" s="2">
        <v>3.96</v>
      </c>
      <c r="O460" s="2">
        <v>10.49</v>
      </c>
      <c r="P460" s="2">
        <v>7.65</v>
      </c>
      <c r="Q460" s="2">
        <v>0</v>
      </c>
      <c r="R460" s="2">
        <v>2.2999999999999998</v>
      </c>
      <c r="S460" s="2">
        <v>8.5500000000000007</v>
      </c>
    </row>
    <row r="461" spans="1:19" ht="13.9" x14ac:dyDescent="0.3">
      <c r="A461" s="2" t="s">
        <v>478</v>
      </c>
      <c r="B461" s="2">
        <v>0</v>
      </c>
      <c r="C461" s="2">
        <v>0.11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</row>
    <row r="462" spans="1:19" ht="13.9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3.3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</row>
    <row r="463" spans="1:19" ht="13.9" x14ac:dyDescent="0.3">
      <c r="A463" s="2" t="s">
        <v>480</v>
      </c>
      <c r="B463" s="2">
        <v>0</v>
      </c>
      <c r="C463" s="2">
        <v>0.78</v>
      </c>
      <c r="D463" s="2">
        <v>0</v>
      </c>
      <c r="E463" s="2">
        <v>0</v>
      </c>
      <c r="F463" s="2">
        <v>0.53</v>
      </c>
      <c r="G463" s="2">
        <v>0</v>
      </c>
      <c r="H463" s="2">
        <v>0</v>
      </c>
      <c r="I463" s="2">
        <v>0</v>
      </c>
      <c r="J463" s="2">
        <v>1.76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</row>
    <row r="464" spans="1:19" ht="13.9" x14ac:dyDescent="0.3">
      <c r="A464" s="2" t="s">
        <v>481</v>
      </c>
      <c r="B464" s="2">
        <v>0</v>
      </c>
      <c r="C464" s="2">
        <v>1.55</v>
      </c>
      <c r="D464" s="2">
        <v>0</v>
      </c>
      <c r="E464" s="2">
        <v>1.58</v>
      </c>
      <c r="F464" s="2">
        <v>0</v>
      </c>
      <c r="G464" s="2">
        <v>0.42</v>
      </c>
      <c r="H464" s="2">
        <v>0.62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</row>
    <row r="465" spans="1:19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</row>
    <row r="466" spans="1:19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0.41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</row>
    <row r="467" spans="1:19" ht="13.9" x14ac:dyDescent="0.3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4.34</v>
      </c>
      <c r="M467" s="2">
        <v>0</v>
      </c>
      <c r="N467" s="2">
        <v>0</v>
      </c>
      <c r="O467" s="2">
        <v>0</v>
      </c>
      <c r="P467" s="2">
        <v>0</v>
      </c>
      <c r="Q467" s="2">
        <v>0.36</v>
      </c>
      <c r="R467" s="2">
        <v>0</v>
      </c>
      <c r="S467" s="2">
        <v>0</v>
      </c>
    </row>
    <row r="468" spans="1:19" ht="13.9" x14ac:dyDescent="0.3">
      <c r="A468" s="2" t="s">
        <v>485</v>
      </c>
      <c r="B468" s="2">
        <v>0.5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>
        <v>0.51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</row>
    <row r="469" spans="1:19" ht="13.9" x14ac:dyDescent="0.3">
      <c r="A469" s="2" t="s">
        <v>486</v>
      </c>
      <c r="B469" s="2">
        <v>0.5</v>
      </c>
      <c r="C469" s="2">
        <v>1.89</v>
      </c>
      <c r="D469" s="2">
        <v>0</v>
      </c>
      <c r="E469" s="2">
        <v>1.0900000000000001</v>
      </c>
      <c r="F469" s="2">
        <v>0.67</v>
      </c>
      <c r="G469" s="2">
        <v>0.95</v>
      </c>
      <c r="H469" s="2">
        <v>0.82</v>
      </c>
      <c r="I469" s="2">
        <v>0</v>
      </c>
      <c r="J469" s="2">
        <v>0.27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</row>
    <row r="470" spans="1:19" ht="13.9" x14ac:dyDescent="0.3">
      <c r="A470" s="2" t="s">
        <v>487</v>
      </c>
      <c r="B470" s="2">
        <v>0.63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</row>
    <row r="471" spans="1:19" ht="13.9" x14ac:dyDescent="0.3">
      <c r="A471" s="2" t="s">
        <v>488</v>
      </c>
      <c r="B471" s="2">
        <v>0</v>
      </c>
      <c r="C471" s="2">
        <v>1.1100000000000001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0.26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</row>
    <row r="472" spans="1:19" ht="13.9" x14ac:dyDescent="0.3">
      <c r="A472" s="2" t="s">
        <v>489</v>
      </c>
      <c r="B472" s="2">
        <v>0</v>
      </c>
      <c r="C472" s="2">
        <v>0</v>
      </c>
      <c r="D472" s="2">
        <v>0.91</v>
      </c>
      <c r="E472" s="2">
        <v>3.06</v>
      </c>
      <c r="F472" s="2">
        <v>1.2</v>
      </c>
      <c r="G472" s="2">
        <v>0.74</v>
      </c>
      <c r="H472" s="2">
        <v>2.88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</row>
    <row r="473" spans="1:19" ht="13.9" x14ac:dyDescent="0.3">
      <c r="A473" s="2" t="s">
        <v>490</v>
      </c>
      <c r="B473" s="2">
        <v>0</v>
      </c>
      <c r="C473" s="2">
        <v>0</v>
      </c>
      <c r="D473" s="2">
        <v>0.11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3.52</v>
      </c>
    </row>
    <row r="474" spans="1:19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</row>
    <row r="475" spans="1:19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>
        <v>0</v>
      </c>
      <c r="I475" s="2">
        <v>0</v>
      </c>
      <c r="J475" s="2">
        <v>0.68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</row>
    <row r="476" spans="1:19" ht="13.9" x14ac:dyDescent="0.3">
      <c r="A476" s="2" t="s">
        <v>493</v>
      </c>
      <c r="B476" s="2">
        <v>0</v>
      </c>
      <c r="C476" s="2">
        <v>1.55</v>
      </c>
      <c r="D476" s="2">
        <v>1.59</v>
      </c>
      <c r="E476" s="2">
        <v>0.59</v>
      </c>
      <c r="F476" s="2">
        <v>1.34</v>
      </c>
      <c r="G476" s="2">
        <v>0</v>
      </c>
      <c r="H476" s="2">
        <v>0.21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10.55</v>
      </c>
      <c r="O476" s="2">
        <v>0</v>
      </c>
      <c r="P476" s="2">
        <v>0</v>
      </c>
      <c r="Q476" s="2">
        <v>0.18</v>
      </c>
      <c r="R476" s="2">
        <v>0</v>
      </c>
      <c r="S476" s="2">
        <v>0</v>
      </c>
    </row>
    <row r="477" spans="1:19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>
        <v>0.1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</row>
    <row r="478" spans="1:19" ht="13.9" x14ac:dyDescent="0.3">
      <c r="A478" s="2" t="s">
        <v>495</v>
      </c>
      <c r="B478" s="2">
        <v>0.25</v>
      </c>
      <c r="C478" s="2">
        <v>0.33</v>
      </c>
      <c r="D478" s="2">
        <v>0</v>
      </c>
      <c r="E478" s="2">
        <v>0</v>
      </c>
      <c r="F478" s="2">
        <v>0</v>
      </c>
      <c r="G478" s="2">
        <v>0.95</v>
      </c>
      <c r="H478" s="2">
        <v>1.1299999999999999</v>
      </c>
      <c r="I478" s="2">
        <v>899.28</v>
      </c>
      <c r="J478" s="2">
        <v>0.68</v>
      </c>
      <c r="K478" s="2">
        <v>2.75</v>
      </c>
      <c r="L478" s="2">
        <v>0.57999999999999996</v>
      </c>
      <c r="M478" s="2">
        <v>4.41</v>
      </c>
      <c r="N478" s="2">
        <v>0</v>
      </c>
      <c r="O478" s="2">
        <v>4.88</v>
      </c>
      <c r="P478" s="2">
        <v>3.64</v>
      </c>
      <c r="Q478" s="2">
        <v>3.23</v>
      </c>
      <c r="R478" s="2">
        <v>1.26</v>
      </c>
      <c r="S478" s="2">
        <v>3.52</v>
      </c>
    </row>
    <row r="479" spans="1:19" ht="13.9" x14ac:dyDescent="0.3">
      <c r="A479" s="2" t="s">
        <v>496</v>
      </c>
      <c r="B479" s="2">
        <v>0</v>
      </c>
      <c r="C479" s="2">
        <v>0.67</v>
      </c>
      <c r="D479" s="2">
        <v>0</v>
      </c>
      <c r="E479" s="2">
        <v>0</v>
      </c>
      <c r="F479" s="2">
        <v>0.13</v>
      </c>
      <c r="G479" s="2">
        <v>0</v>
      </c>
      <c r="H479" s="2">
        <v>0.31</v>
      </c>
      <c r="I479" s="2">
        <v>204.38</v>
      </c>
      <c r="J479" s="2">
        <v>0.41</v>
      </c>
      <c r="K479" s="2">
        <v>0</v>
      </c>
      <c r="L479" s="2">
        <v>0</v>
      </c>
      <c r="M479" s="2">
        <v>0.26</v>
      </c>
      <c r="N479" s="2">
        <v>0</v>
      </c>
      <c r="O479" s="2">
        <v>0</v>
      </c>
      <c r="P479" s="2">
        <v>4.55</v>
      </c>
      <c r="Q479" s="2">
        <v>0</v>
      </c>
      <c r="R479" s="2">
        <v>0</v>
      </c>
      <c r="S479" s="2">
        <v>0</v>
      </c>
    </row>
    <row r="480" spans="1:19" ht="13.9" x14ac:dyDescent="0.3">
      <c r="A480" s="2" t="s">
        <v>497</v>
      </c>
      <c r="B480" s="2">
        <v>1.64</v>
      </c>
      <c r="C480" s="2">
        <v>1.66</v>
      </c>
      <c r="D480" s="2">
        <v>1.25</v>
      </c>
      <c r="E480" s="2">
        <v>1.18</v>
      </c>
      <c r="F480" s="2">
        <v>1.6</v>
      </c>
      <c r="G480" s="2">
        <v>0.42</v>
      </c>
      <c r="H480" s="2">
        <v>0</v>
      </c>
      <c r="I480" s="2">
        <v>0</v>
      </c>
      <c r="J480" s="2">
        <v>0.14000000000000001</v>
      </c>
      <c r="K480" s="2">
        <v>0</v>
      </c>
      <c r="L480" s="2">
        <v>0</v>
      </c>
      <c r="M480" s="2">
        <v>0</v>
      </c>
      <c r="N480" s="2">
        <v>0</v>
      </c>
      <c r="O480" s="2">
        <v>0.98</v>
      </c>
      <c r="P480" s="2">
        <v>3.82</v>
      </c>
      <c r="Q480" s="2">
        <v>0</v>
      </c>
      <c r="R480" s="2">
        <v>0</v>
      </c>
      <c r="S480" s="2">
        <v>0.5</v>
      </c>
    </row>
    <row r="481" spans="1:19" ht="13.9" x14ac:dyDescent="0.3">
      <c r="A481" s="2" t="s">
        <v>498</v>
      </c>
      <c r="B481" s="2">
        <v>0.63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</row>
    <row r="482" spans="1:19" ht="13.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0.21</v>
      </c>
      <c r="S482" s="2">
        <v>0</v>
      </c>
    </row>
    <row r="483" spans="1:19" ht="13.9" x14ac:dyDescent="0.3">
      <c r="A483" s="2" t="s">
        <v>500</v>
      </c>
      <c r="B483" s="2">
        <v>0</v>
      </c>
      <c r="C483" s="2">
        <v>0.33</v>
      </c>
      <c r="D483" s="2">
        <v>0</v>
      </c>
      <c r="E483" s="2">
        <v>0</v>
      </c>
      <c r="F483" s="2">
        <v>0</v>
      </c>
      <c r="G483" s="2">
        <v>0</v>
      </c>
      <c r="H483" s="2">
        <v>0.62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</row>
    <row r="484" spans="1:19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</row>
    <row r="485" spans="1:19" ht="13.9" x14ac:dyDescent="0.3">
      <c r="A485" s="2" t="s">
        <v>502</v>
      </c>
      <c r="B485" s="2">
        <v>0.88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10.24</v>
      </c>
      <c r="R485" s="2">
        <v>0</v>
      </c>
      <c r="S485" s="2">
        <v>0</v>
      </c>
    </row>
    <row r="486" spans="1:19" ht="13.9" x14ac:dyDescent="0.3">
      <c r="A486" s="2" t="s">
        <v>503</v>
      </c>
      <c r="B486" s="2">
        <v>0.76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</row>
    <row r="487" spans="1:19" ht="13.9" x14ac:dyDescent="0.3">
      <c r="A487" s="2" t="s">
        <v>504</v>
      </c>
      <c r="B487" s="2">
        <v>4.41</v>
      </c>
      <c r="C487" s="2">
        <v>5.0999999999999996</v>
      </c>
      <c r="D487" s="2">
        <v>2.27</v>
      </c>
      <c r="E487" s="2">
        <v>4.24</v>
      </c>
      <c r="F487" s="2">
        <v>3.88</v>
      </c>
      <c r="G487" s="2">
        <v>6.96</v>
      </c>
      <c r="H487" s="2">
        <v>2.88</v>
      </c>
      <c r="I487" s="2">
        <v>0</v>
      </c>
      <c r="J487" s="2">
        <v>5.82</v>
      </c>
      <c r="K487" s="2">
        <v>10.23</v>
      </c>
      <c r="L487" s="2">
        <v>0</v>
      </c>
      <c r="M487" s="2">
        <v>0</v>
      </c>
      <c r="N487" s="2">
        <v>0</v>
      </c>
      <c r="O487" s="2">
        <v>3.66</v>
      </c>
      <c r="P487" s="2">
        <v>0</v>
      </c>
      <c r="Q487" s="2">
        <v>3.41</v>
      </c>
      <c r="R487" s="2">
        <v>0</v>
      </c>
      <c r="S487" s="2">
        <v>0</v>
      </c>
    </row>
    <row r="488" spans="1:19" ht="13.9" x14ac:dyDescent="0.3">
      <c r="A488" s="2" t="s">
        <v>505</v>
      </c>
      <c r="B488" s="2">
        <v>0.63</v>
      </c>
      <c r="C488" s="2">
        <v>0.11</v>
      </c>
      <c r="D488" s="2">
        <v>0.34</v>
      </c>
      <c r="E488" s="2">
        <v>0.99</v>
      </c>
      <c r="F488" s="2">
        <v>0.8</v>
      </c>
      <c r="G488" s="2">
        <v>1.1599999999999999</v>
      </c>
      <c r="H488" s="2">
        <v>0.51</v>
      </c>
      <c r="I488" s="2">
        <v>0</v>
      </c>
      <c r="J488" s="2">
        <v>0.54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</row>
    <row r="489" spans="1:19" ht="13.9" x14ac:dyDescent="0.3">
      <c r="A489" s="2" t="s">
        <v>506</v>
      </c>
      <c r="B489" s="2">
        <v>0</v>
      </c>
      <c r="C489" s="2">
        <v>0</v>
      </c>
      <c r="D489" s="2">
        <v>0.56999999999999995</v>
      </c>
      <c r="E489" s="2">
        <v>0.1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</row>
    <row r="490" spans="1:19" ht="13.9" x14ac:dyDescent="0.3">
      <c r="A490" s="2" t="s">
        <v>507</v>
      </c>
      <c r="B490" s="2">
        <v>0.25</v>
      </c>
      <c r="C490" s="2">
        <v>0.44</v>
      </c>
      <c r="D490" s="2">
        <v>0.45</v>
      </c>
      <c r="E490" s="2">
        <v>0.59</v>
      </c>
      <c r="F490" s="2">
        <v>0.53</v>
      </c>
      <c r="G490" s="2">
        <v>1.37</v>
      </c>
      <c r="H490" s="2">
        <v>0.31</v>
      </c>
      <c r="I490" s="2">
        <v>0</v>
      </c>
      <c r="J490" s="2">
        <v>0.41</v>
      </c>
      <c r="K490" s="2">
        <v>0.66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</row>
    <row r="491" spans="1:19" ht="13.9" x14ac:dyDescent="0.3">
      <c r="A491" s="2" t="s">
        <v>508</v>
      </c>
      <c r="B491" s="2">
        <v>0.25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</row>
    <row r="492" spans="1:19" ht="13.9" x14ac:dyDescent="0.3">
      <c r="A492" s="2" t="s">
        <v>509</v>
      </c>
      <c r="B492" s="2">
        <v>1.38</v>
      </c>
      <c r="C492" s="2">
        <v>1.77</v>
      </c>
      <c r="D492" s="2">
        <v>0</v>
      </c>
      <c r="E492" s="2">
        <v>0.3</v>
      </c>
      <c r="F492" s="2">
        <v>0</v>
      </c>
      <c r="G492" s="2">
        <v>2.21</v>
      </c>
      <c r="H492" s="2">
        <v>0</v>
      </c>
      <c r="I492" s="2">
        <v>0</v>
      </c>
      <c r="J492" s="2">
        <v>0</v>
      </c>
      <c r="K492" s="2">
        <v>0</v>
      </c>
      <c r="L492" s="2">
        <v>15.9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</row>
    <row r="493" spans="1:19" ht="13.9" x14ac:dyDescent="0.3">
      <c r="A493" s="2" t="s">
        <v>510</v>
      </c>
      <c r="B493" s="2">
        <v>68.23</v>
      </c>
      <c r="C493" s="2">
        <v>53.33</v>
      </c>
      <c r="D493" s="2">
        <v>68.52</v>
      </c>
      <c r="E493" s="2">
        <v>65.05</v>
      </c>
      <c r="F493" s="2">
        <v>49.07</v>
      </c>
      <c r="G493" s="2">
        <v>53.11</v>
      </c>
      <c r="H493" s="2">
        <v>50.52</v>
      </c>
      <c r="I493" s="2">
        <v>0</v>
      </c>
      <c r="J493" s="2">
        <v>64.56</v>
      </c>
      <c r="K493" s="2">
        <v>39.07</v>
      </c>
      <c r="L493" s="2">
        <v>52.34</v>
      </c>
      <c r="M493" s="2">
        <v>46.94</v>
      </c>
      <c r="N493" s="2">
        <v>11.87</v>
      </c>
      <c r="O493" s="2">
        <v>15.61</v>
      </c>
      <c r="P493" s="2">
        <v>49.34</v>
      </c>
      <c r="Q493" s="2">
        <v>11.5</v>
      </c>
      <c r="R493" s="2">
        <v>43.32</v>
      </c>
      <c r="S493" s="2">
        <v>41.73</v>
      </c>
    </row>
    <row r="494" spans="1:19" ht="13.9" x14ac:dyDescent="0.3">
      <c r="A494" s="2" t="s">
        <v>511</v>
      </c>
      <c r="B494" s="2">
        <v>303.74</v>
      </c>
      <c r="C494" s="2">
        <v>230.19</v>
      </c>
      <c r="D494" s="2">
        <v>327.64</v>
      </c>
      <c r="E494" s="2">
        <v>369.39</v>
      </c>
      <c r="F494" s="2">
        <v>238.53</v>
      </c>
      <c r="G494" s="2">
        <v>318.05</v>
      </c>
      <c r="H494" s="2">
        <v>266.38</v>
      </c>
      <c r="I494" s="2">
        <v>163.51</v>
      </c>
      <c r="J494" s="2">
        <v>304.13</v>
      </c>
      <c r="K494" s="2">
        <v>113.79</v>
      </c>
      <c r="L494" s="2">
        <v>246.67</v>
      </c>
      <c r="M494" s="2">
        <v>332.72</v>
      </c>
      <c r="N494" s="2">
        <v>339.83</v>
      </c>
      <c r="O494" s="2">
        <v>161.99</v>
      </c>
      <c r="P494" s="2">
        <v>352.84</v>
      </c>
      <c r="Q494" s="2">
        <v>129.71</v>
      </c>
      <c r="R494" s="2">
        <v>328.57</v>
      </c>
      <c r="S494" s="2">
        <v>268.45999999999998</v>
      </c>
    </row>
    <row r="495" spans="1:19" ht="13.9" x14ac:dyDescent="0.3">
      <c r="A495" s="2" t="s">
        <v>512</v>
      </c>
      <c r="B495" s="2">
        <v>0</v>
      </c>
      <c r="C495" s="2">
        <v>0</v>
      </c>
      <c r="D495" s="2">
        <v>0.23</v>
      </c>
      <c r="E495" s="2">
        <v>0</v>
      </c>
      <c r="F495" s="2">
        <v>0</v>
      </c>
      <c r="G495" s="2">
        <v>0.11</v>
      </c>
      <c r="H495" s="2">
        <v>0</v>
      </c>
      <c r="I495" s="2">
        <v>0</v>
      </c>
      <c r="J495" s="2">
        <v>0</v>
      </c>
      <c r="K495" s="2">
        <v>0.13</v>
      </c>
      <c r="L495" s="2">
        <v>0</v>
      </c>
      <c r="M495" s="2">
        <v>0.26</v>
      </c>
      <c r="N495" s="2">
        <v>0.33</v>
      </c>
      <c r="O495" s="2">
        <v>0.24</v>
      </c>
      <c r="P495" s="2">
        <v>0</v>
      </c>
      <c r="Q495" s="2">
        <v>0</v>
      </c>
      <c r="R495" s="2">
        <v>0</v>
      </c>
      <c r="S495" s="2">
        <v>0</v>
      </c>
    </row>
    <row r="496" spans="1:19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</row>
    <row r="497" spans="1:19" ht="13.9" x14ac:dyDescent="0.3">
      <c r="A497" s="2" t="s">
        <v>514</v>
      </c>
      <c r="B497" s="2">
        <v>0</v>
      </c>
      <c r="C497" s="2">
        <v>0.22</v>
      </c>
      <c r="D497" s="2">
        <v>0.34</v>
      </c>
      <c r="E497" s="2">
        <v>0</v>
      </c>
      <c r="F497" s="2">
        <v>0</v>
      </c>
      <c r="G497" s="2">
        <v>0</v>
      </c>
      <c r="H497" s="2">
        <v>0</v>
      </c>
      <c r="I497" s="2">
        <v>204.38</v>
      </c>
      <c r="J497" s="2">
        <v>0</v>
      </c>
      <c r="K497" s="2">
        <v>0</v>
      </c>
      <c r="L497" s="2">
        <v>0</v>
      </c>
      <c r="M497" s="2">
        <v>1.04</v>
      </c>
      <c r="N497" s="2">
        <v>0</v>
      </c>
      <c r="O497" s="2">
        <v>1.95</v>
      </c>
      <c r="P497" s="2">
        <v>0.18</v>
      </c>
      <c r="Q497" s="2">
        <v>0</v>
      </c>
      <c r="R497" s="2">
        <v>0</v>
      </c>
      <c r="S497" s="2">
        <v>0</v>
      </c>
    </row>
    <row r="498" spans="1:19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</row>
    <row r="499" spans="1:19" ht="13.9" x14ac:dyDescent="0.3">
      <c r="A499" s="2" t="s">
        <v>516</v>
      </c>
      <c r="B499" s="2">
        <v>0.76</v>
      </c>
      <c r="C499" s="2">
        <v>0.33</v>
      </c>
      <c r="D499" s="2">
        <v>1.93</v>
      </c>
      <c r="E499" s="2">
        <v>1.78</v>
      </c>
      <c r="F499" s="2">
        <v>0.53</v>
      </c>
      <c r="G499" s="2">
        <v>1.48</v>
      </c>
      <c r="H499" s="2">
        <v>1.65</v>
      </c>
      <c r="I499" s="2">
        <v>0</v>
      </c>
      <c r="J499" s="2">
        <v>0.27</v>
      </c>
      <c r="K499" s="2">
        <v>7.6</v>
      </c>
      <c r="L499" s="2">
        <v>3.47</v>
      </c>
      <c r="M499" s="2">
        <v>0.52</v>
      </c>
      <c r="N499" s="2">
        <v>0.33</v>
      </c>
      <c r="O499" s="2">
        <v>4.1500000000000004</v>
      </c>
      <c r="P499" s="2">
        <v>8.01</v>
      </c>
      <c r="Q499" s="2">
        <v>0.18</v>
      </c>
      <c r="R499" s="2">
        <v>7.53</v>
      </c>
      <c r="S499" s="2">
        <v>1.01</v>
      </c>
    </row>
    <row r="500" spans="1:19" ht="13.9" x14ac:dyDescent="0.3">
      <c r="A500" s="2" t="s">
        <v>517</v>
      </c>
      <c r="B500" s="2">
        <v>0</v>
      </c>
      <c r="C500" s="2">
        <v>0.33</v>
      </c>
      <c r="D500" s="2">
        <v>0</v>
      </c>
      <c r="E500" s="2">
        <v>0</v>
      </c>
      <c r="F500" s="2">
        <v>1.74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</row>
    <row r="501" spans="1:19" ht="13.9" x14ac:dyDescent="0.3">
      <c r="A501" s="2" t="s">
        <v>518</v>
      </c>
      <c r="B501" s="2">
        <v>0</v>
      </c>
      <c r="C501" s="2">
        <v>0.33</v>
      </c>
      <c r="D501" s="2">
        <v>0</v>
      </c>
      <c r="E501" s="2">
        <v>0</v>
      </c>
      <c r="F501" s="2">
        <v>2.0099999999999998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</row>
    <row r="502" spans="1:19" ht="13.9" x14ac:dyDescent="0.3">
      <c r="A502" s="2" t="s">
        <v>519</v>
      </c>
      <c r="B502" s="2">
        <v>0</v>
      </c>
      <c r="C502" s="2">
        <v>0</v>
      </c>
      <c r="D502" s="2">
        <v>0.45</v>
      </c>
      <c r="E502" s="2">
        <v>0</v>
      </c>
      <c r="F502" s="2">
        <v>1.74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</row>
    <row r="503" spans="1:19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</row>
    <row r="504" spans="1:19" ht="13.9" x14ac:dyDescent="0.3">
      <c r="A504" s="2" t="s">
        <v>521</v>
      </c>
      <c r="B504" s="2">
        <v>0</v>
      </c>
      <c r="C504" s="2">
        <v>1.66</v>
      </c>
      <c r="D504" s="2">
        <v>0</v>
      </c>
      <c r="E504" s="2">
        <v>0</v>
      </c>
      <c r="F504" s="2">
        <v>0</v>
      </c>
      <c r="G504" s="2">
        <v>0.53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13.84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</row>
    <row r="505" spans="1:19" ht="13.9" x14ac:dyDescent="0.3">
      <c r="A505" s="2" t="s">
        <v>522</v>
      </c>
      <c r="B505" s="2">
        <v>0</v>
      </c>
      <c r="C505" s="2">
        <v>0.11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0.81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</row>
    <row r="506" spans="1:19" ht="13.9" x14ac:dyDescent="0.3">
      <c r="A506" s="2" t="s">
        <v>523</v>
      </c>
      <c r="B506" s="2">
        <v>0</v>
      </c>
      <c r="C506" s="2">
        <v>1.22</v>
      </c>
      <c r="D506" s="2">
        <v>0</v>
      </c>
      <c r="E506" s="2">
        <v>1.0900000000000001</v>
      </c>
      <c r="F506" s="2">
        <v>0.53</v>
      </c>
      <c r="G506" s="2">
        <v>0</v>
      </c>
      <c r="H506" s="2">
        <v>0</v>
      </c>
      <c r="I506" s="2">
        <v>0</v>
      </c>
      <c r="J506" s="2">
        <v>1.08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</row>
    <row r="507" spans="1:19" ht="13.9" x14ac:dyDescent="0.3">
      <c r="A507" s="2" t="s">
        <v>524</v>
      </c>
      <c r="B507" s="2">
        <v>0</v>
      </c>
      <c r="C507" s="2">
        <v>0</v>
      </c>
      <c r="D507" s="2">
        <v>0.56999999999999995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</row>
    <row r="508" spans="1:19" ht="13.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24.13</v>
      </c>
    </row>
    <row r="509" spans="1:19" ht="13.9" x14ac:dyDescent="0.3">
      <c r="A509" s="2" t="s">
        <v>526</v>
      </c>
      <c r="B509" s="2">
        <v>4.66</v>
      </c>
      <c r="C509" s="2">
        <v>10.53</v>
      </c>
      <c r="D509" s="2">
        <v>8.85</v>
      </c>
      <c r="E509" s="2">
        <v>7.4</v>
      </c>
      <c r="F509" s="2">
        <v>6.28</v>
      </c>
      <c r="G509" s="2">
        <v>5.27</v>
      </c>
      <c r="H509" s="2">
        <v>6.07</v>
      </c>
      <c r="I509" s="2">
        <v>0</v>
      </c>
      <c r="J509" s="2">
        <v>6.5</v>
      </c>
      <c r="K509" s="2">
        <v>9.83</v>
      </c>
      <c r="L509" s="2">
        <v>0</v>
      </c>
      <c r="M509" s="2">
        <v>0</v>
      </c>
      <c r="N509" s="2">
        <v>26.04</v>
      </c>
      <c r="O509" s="2">
        <v>16.350000000000001</v>
      </c>
      <c r="P509" s="2">
        <v>0.18</v>
      </c>
      <c r="Q509" s="2">
        <v>0.18</v>
      </c>
      <c r="R509" s="2">
        <v>3.77</v>
      </c>
      <c r="S509" s="2">
        <v>0</v>
      </c>
    </row>
    <row r="510" spans="1:19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</row>
    <row r="511" spans="1:19" ht="13.9" x14ac:dyDescent="0.3">
      <c r="A511" s="2" t="s">
        <v>528</v>
      </c>
      <c r="B511" s="2">
        <v>0</v>
      </c>
      <c r="C511" s="2">
        <v>0.11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</row>
    <row r="512" spans="1:19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</row>
    <row r="513" spans="1:19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0.14000000000000001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</row>
    <row r="514" spans="1:19" ht="13.9" x14ac:dyDescent="0.3">
      <c r="A514" s="2" t="s">
        <v>531</v>
      </c>
      <c r="B514" s="2">
        <v>1.01</v>
      </c>
      <c r="C514" s="2">
        <v>1.33</v>
      </c>
      <c r="D514" s="2">
        <v>0</v>
      </c>
      <c r="E514" s="2">
        <v>0.59</v>
      </c>
      <c r="F514" s="2">
        <v>0</v>
      </c>
      <c r="G514" s="2">
        <v>0.74</v>
      </c>
      <c r="H514" s="2">
        <v>0</v>
      </c>
      <c r="I514" s="2">
        <v>0</v>
      </c>
      <c r="J514" s="2">
        <v>0.95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</row>
    <row r="515" spans="1:19" ht="13.9" x14ac:dyDescent="0.3">
      <c r="A515" s="2" t="s">
        <v>532</v>
      </c>
      <c r="B515" s="2">
        <v>0</v>
      </c>
      <c r="C515" s="2">
        <v>0.11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</row>
    <row r="516" spans="1:19" ht="13.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4.49</v>
      </c>
      <c r="R516" s="2">
        <v>0</v>
      </c>
      <c r="S516" s="2">
        <v>0</v>
      </c>
    </row>
    <row r="517" spans="1:19" ht="13.9" x14ac:dyDescent="0.3">
      <c r="A517" s="2" t="s">
        <v>534</v>
      </c>
      <c r="B517" s="2">
        <v>0.38</v>
      </c>
      <c r="C517" s="2">
        <v>2.2200000000000002</v>
      </c>
      <c r="D517" s="2">
        <v>0.56999999999999995</v>
      </c>
      <c r="E517" s="2">
        <v>0.69</v>
      </c>
      <c r="F517" s="2">
        <v>1.74</v>
      </c>
      <c r="G517" s="2">
        <v>0.53</v>
      </c>
      <c r="H517" s="2">
        <v>0.41</v>
      </c>
      <c r="I517" s="2">
        <v>0</v>
      </c>
      <c r="J517" s="2">
        <v>0.81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</row>
    <row r="518" spans="1:19" ht="13.9" x14ac:dyDescent="0.3">
      <c r="A518" s="2" t="s">
        <v>535</v>
      </c>
      <c r="B518" s="2">
        <v>0.38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v>0.93</v>
      </c>
      <c r="I518" s="2">
        <v>0</v>
      </c>
      <c r="J518" s="2">
        <v>0</v>
      </c>
      <c r="K518" s="2">
        <v>0.39</v>
      </c>
      <c r="L518" s="2">
        <v>0</v>
      </c>
      <c r="M518" s="2">
        <v>0</v>
      </c>
      <c r="N518" s="2">
        <v>0.33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</row>
    <row r="519" spans="1:19" ht="13.9" x14ac:dyDescent="0.3">
      <c r="A519" s="2" t="s">
        <v>536</v>
      </c>
      <c r="B519" s="2">
        <v>0</v>
      </c>
      <c r="C519" s="2">
        <v>1.22</v>
      </c>
      <c r="D519" s="2">
        <v>0</v>
      </c>
      <c r="E519" s="2">
        <v>0</v>
      </c>
      <c r="F519" s="2">
        <v>0.53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</row>
    <row r="520" spans="1:19" ht="13.9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2.86</v>
      </c>
      <c r="F520" s="2">
        <v>0.8</v>
      </c>
      <c r="G520" s="2">
        <v>0.21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9.2899999999999991</v>
      </c>
      <c r="Q520" s="2">
        <v>0</v>
      </c>
      <c r="R520" s="2">
        <v>0</v>
      </c>
      <c r="S520" s="2">
        <v>0</v>
      </c>
    </row>
    <row r="521" spans="1:19" ht="13.9" x14ac:dyDescent="0.3">
      <c r="A521" s="2" t="s">
        <v>538</v>
      </c>
      <c r="B521" s="2">
        <v>0</v>
      </c>
      <c r="C521" s="2">
        <v>0</v>
      </c>
      <c r="D521" s="2">
        <v>0.68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0.14000000000000001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</row>
    <row r="522" spans="1:19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>
        <v>0</v>
      </c>
      <c r="I522" s="2">
        <v>0</v>
      </c>
      <c r="J522" s="2">
        <v>1.89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</row>
    <row r="523" spans="1:19" ht="13.9" x14ac:dyDescent="0.3">
      <c r="A523" s="2" t="s">
        <v>540</v>
      </c>
      <c r="B523" s="2">
        <v>0</v>
      </c>
      <c r="C523" s="2">
        <v>1.22</v>
      </c>
      <c r="D523" s="2">
        <v>0</v>
      </c>
      <c r="E523" s="2">
        <v>0</v>
      </c>
      <c r="F523" s="2">
        <v>0</v>
      </c>
      <c r="G523" s="2">
        <v>0.21</v>
      </c>
      <c r="H523" s="2">
        <v>0.41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</row>
    <row r="524" spans="1:19" ht="13.9" x14ac:dyDescent="0.3">
      <c r="A524" s="2" t="s">
        <v>541</v>
      </c>
      <c r="B524" s="2">
        <v>1.1299999999999999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</row>
    <row r="525" spans="1:19" ht="13.9" x14ac:dyDescent="0.3">
      <c r="A525" s="2" t="s">
        <v>542</v>
      </c>
      <c r="B525" s="2">
        <v>0</v>
      </c>
      <c r="C525" s="2">
        <v>0.55000000000000004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</row>
    <row r="526" spans="1:19" ht="13.9" x14ac:dyDescent="0.3">
      <c r="A526" s="2" t="s">
        <v>543</v>
      </c>
      <c r="B526" s="2">
        <v>3.02</v>
      </c>
      <c r="C526" s="2">
        <v>1.66</v>
      </c>
      <c r="D526" s="2">
        <v>0.91</v>
      </c>
      <c r="E526" s="2">
        <v>1.48</v>
      </c>
      <c r="F526" s="2">
        <v>2.14</v>
      </c>
      <c r="G526" s="2">
        <v>1.48</v>
      </c>
      <c r="H526" s="2">
        <v>1.34</v>
      </c>
      <c r="I526" s="2">
        <v>0</v>
      </c>
      <c r="J526" s="2">
        <v>4.47</v>
      </c>
      <c r="K526" s="2">
        <v>0</v>
      </c>
      <c r="L526" s="2">
        <v>0</v>
      </c>
      <c r="M526" s="2">
        <v>0</v>
      </c>
      <c r="N526" s="2">
        <v>5.6</v>
      </c>
      <c r="O526" s="2">
        <v>0</v>
      </c>
      <c r="P526" s="2">
        <v>0</v>
      </c>
      <c r="Q526" s="2">
        <v>10.24</v>
      </c>
      <c r="R526" s="2">
        <v>0</v>
      </c>
      <c r="S526" s="2">
        <v>0</v>
      </c>
    </row>
    <row r="527" spans="1:19" ht="13.9" x14ac:dyDescent="0.3">
      <c r="A527" s="2" t="s">
        <v>544</v>
      </c>
      <c r="B527" s="2">
        <v>1.26</v>
      </c>
      <c r="C527" s="2">
        <v>0</v>
      </c>
      <c r="D527" s="2">
        <v>0.11</v>
      </c>
      <c r="E527" s="2">
        <v>0.39</v>
      </c>
      <c r="F527" s="2">
        <v>0</v>
      </c>
      <c r="G527" s="2">
        <v>0</v>
      </c>
      <c r="H527" s="2">
        <v>0</v>
      </c>
      <c r="I527" s="2">
        <v>0</v>
      </c>
      <c r="J527" s="2">
        <v>1.76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</row>
    <row r="528" spans="1:19" ht="13.9" x14ac:dyDescent="0.3">
      <c r="A528" s="2" t="s">
        <v>545</v>
      </c>
      <c r="B528" s="2">
        <v>0</v>
      </c>
      <c r="C528" s="2">
        <v>1.1100000000000001</v>
      </c>
      <c r="D528" s="2">
        <v>0.23</v>
      </c>
      <c r="E528" s="2">
        <v>1.58</v>
      </c>
      <c r="F528" s="2">
        <v>0.13</v>
      </c>
      <c r="G528" s="2">
        <v>0.53</v>
      </c>
      <c r="H528" s="2">
        <v>0.72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</row>
    <row r="529" spans="1:19" ht="13.9" x14ac:dyDescent="0.3">
      <c r="A529" s="2" t="s">
        <v>546</v>
      </c>
      <c r="B529" s="2">
        <v>0.25</v>
      </c>
      <c r="C529" s="2">
        <v>0.44</v>
      </c>
      <c r="D529" s="2">
        <v>0</v>
      </c>
      <c r="E529" s="2">
        <v>0</v>
      </c>
      <c r="F529" s="2">
        <v>1.2</v>
      </c>
      <c r="G529" s="2">
        <v>0</v>
      </c>
      <c r="H529" s="2">
        <v>0</v>
      </c>
      <c r="I529" s="2">
        <v>0</v>
      </c>
      <c r="J529" s="2">
        <v>1.35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</row>
    <row r="530" spans="1:19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0.27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</row>
    <row r="531" spans="1:19" ht="13.9" x14ac:dyDescent="0.3">
      <c r="A531" s="2" t="s">
        <v>548</v>
      </c>
      <c r="B531" s="2">
        <v>0</v>
      </c>
      <c r="C531" s="2">
        <v>0</v>
      </c>
      <c r="D531" s="2">
        <v>0.56999999999999995</v>
      </c>
      <c r="E531" s="2">
        <v>0</v>
      </c>
      <c r="F531" s="2">
        <v>0</v>
      </c>
      <c r="G531" s="2">
        <v>0</v>
      </c>
      <c r="H531" s="2">
        <v>0.72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</row>
    <row r="532" spans="1:19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</row>
    <row r="533" spans="1:19" ht="13.9" x14ac:dyDescent="0.3">
      <c r="A533" s="2" t="s">
        <v>550</v>
      </c>
      <c r="B533" s="2">
        <v>0</v>
      </c>
      <c r="C533" s="2">
        <v>0.55000000000000004</v>
      </c>
      <c r="D533" s="2">
        <v>0.23</v>
      </c>
      <c r="E533" s="2">
        <v>0</v>
      </c>
      <c r="F533" s="2">
        <v>0</v>
      </c>
      <c r="G533" s="2">
        <v>0.11</v>
      </c>
      <c r="H533" s="2">
        <v>0</v>
      </c>
      <c r="I533" s="2">
        <v>0</v>
      </c>
      <c r="J533" s="2">
        <v>1.22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</row>
    <row r="534" spans="1:19" ht="13.9" x14ac:dyDescent="0.3">
      <c r="A534" s="2" t="s">
        <v>551</v>
      </c>
      <c r="B534" s="2">
        <v>26.94</v>
      </c>
      <c r="C534" s="2">
        <v>26.06</v>
      </c>
      <c r="D534" s="2">
        <v>34.72</v>
      </c>
      <c r="E534" s="2">
        <v>34.65</v>
      </c>
      <c r="F534" s="2">
        <v>26.47</v>
      </c>
      <c r="G534" s="2">
        <v>35.200000000000003</v>
      </c>
      <c r="H534" s="2">
        <v>27.78</v>
      </c>
      <c r="I534" s="2">
        <v>0</v>
      </c>
      <c r="J534" s="2">
        <v>46.97</v>
      </c>
      <c r="K534" s="2">
        <v>0</v>
      </c>
      <c r="L534" s="2">
        <v>32.39</v>
      </c>
      <c r="M534" s="2">
        <v>30.6</v>
      </c>
      <c r="N534" s="2">
        <v>30.98</v>
      </c>
      <c r="O534" s="2">
        <v>30.25</v>
      </c>
      <c r="P534" s="2">
        <v>14.57</v>
      </c>
      <c r="Q534" s="2">
        <v>10.24</v>
      </c>
      <c r="R534" s="2">
        <v>12.56</v>
      </c>
      <c r="S534" s="2">
        <v>9.0500000000000007</v>
      </c>
    </row>
    <row r="535" spans="1:19" ht="13.9" x14ac:dyDescent="0.3">
      <c r="A535" s="2" t="s">
        <v>552</v>
      </c>
      <c r="B535" s="2">
        <v>0</v>
      </c>
      <c r="C535" s="2">
        <v>1.44</v>
      </c>
      <c r="D535" s="2">
        <v>0.91</v>
      </c>
      <c r="E535" s="2">
        <v>1.78</v>
      </c>
      <c r="F535" s="2">
        <v>1.2</v>
      </c>
      <c r="G535" s="2">
        <v>0</v>
      </c>
      <c r="H535" s="2">
        <v>0.72</v>
      </c>
      <c r="I535" s="2">
        <v>0</v>
      </c>
      <c r="J535" s="2">
        <v>0.27</v>
      </c>
      <c r="K535" s="2">
        <v>0</v>
      </c>
      <c r="L535" s="2">
        <v>0</v>
      </c>
      <c r="M535" s="2">
        <v>0</v>
      </c>
      <c r="N535" s="2">
        <v>0</v>
      </c>
      <c r="O535" s="2">
        <v>0.24</v>
      </c>
      <c r="P535" s="2">
        <v>0</v>
      </c>
      <c r="Q535" s="2">
        <v>0</v>
      </c>
      <c r="R535" s="2">
        <v>0</v>
      </c>
      <c r="S535" s="2">
        <v>0</v>
      </c>
    </row>
    <row r="536" spans="1:19" ht="13.9" x14ac:dyDescent="0.3">
      <c r="A536" s="2" t="s">
        <v>553</v>
      </c>
      <c r="B536" s="2">
        <v>0.63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</row>
    <row r="537" spans="1:19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>
        <v>0</v>
      </c>
      <c r="I537" s="2">
        <v>0</v>
      </c>
      <c r="J537" s="2">
        <v>1.08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</row>
    <row r="538" spans="1:19" ht="13.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6.03</v>
      </c>
    </row>
    <row r="539" spans="1:19" ht="13.9" x14ac:dyDescent="0.3">
      <c r="A539" s="2" t="s">
        <v>556</v>
      </c>
      <c r="B539" s="2">
        <v>0.13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</row>
    <row r="540" spans="1:19" ht="13.9" x14ac:dyDescent="0.3">
      <c r="A540" s="2" t="s">
        <v>557</v>
      </c>
      <c r="B540" s="2">
        <v>0</v>
      </c>
      <c r="C540" s="2">
        <v>0.55000000000000004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1.08</v>
      </c>
      <c r="K540" s="2">
        <v>3.8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</row>
    <row r="541" spans="1:19" ht="13.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1.62</v>
      </c>
      <c r="R541" s="2">
        <v>0</v>
      </c>
      <c r="S541" s="2">
        <v>0</v>
      </c>
    </row>
    <row r="542" spans="1:19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</row>
    <row r="543" spans="1:19" ht="13.9" x14ac:dyDescent="0.3">
      <c r="A543" s="2" t="s">
        <v>560</v>
      </c>
      <c r="B543" s="2">
        <v>0.38</v>
      </c>
      <c r="C543" s="2">
        <v>1.1100000000000001</v>
      </c>
      <c r="D543" s="2">
        <v>0.45</v>
      </c>
      <c r="E543" s="2">
        <v>0.69</v>
      </c>
      <c r="F543" s="2">
        <v>0.27</v>
      </c>
      <c r="G543" s="2">
        <v>0</v>
      </c>
      <c r="H543" s="2">
        <v>0</v>
      </c>
      <c r="I543" s="2">
        <v>0</v>
      </c>
      <c r="J543" s="2">
        <v>0</v>
      </c>
      <c r="K543" s="2">
        <v>4.0599999999999996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</row>
    <row r="544" spans="1:19" ht="13.9" x14ac:dyDescent="0.3">
      <c r="A544" s="2" t="s">
        <v>561</v>
      </c>
      <c r="B544" s="2">
        <v>0</v>
      </c>
      <c r="C544" s="2">
        <v>0.67</v>
      </c>
      <c r="D544" s="2">
        <v>0</v>
      </c>
      <c r="E544" s="2">
        <v>0.39</v>
      </c>
      <c r="F544" s="2">
        <v>1.2</v>
      </c>
      <c r="G544" s="2">
        <v>0.32</v>
      </c>
      <c r="H544" s="2">
        <v>0.21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</row>
    <row r="545" spans="1:19" ht="13.9" x14ac:dyDescent="0.3">
      <c r="A545" s="2" t="s">
        <v>562</v>
      </c>
      <c r="B545" s="2">
        <v>0</v>
      </c>
      <c r="C545" s="2">
        <v>0.22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0.95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</row>
    <row r="546" spans="1:19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>
        <v>0.1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</row>
    <row r="547" spans="1:19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0.1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</row>
    <row r="548" spans="1:19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0.31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</row>
    <row r="549" spans="1:19" ht="13.9" x14ac:dyDescent="0.3">
      <c r="A549" s="2" t="s">
        <v>566</v>
      </c>
      <c r="B549" s="2">
        <v>0</v>
      </c>
      <c r="C549" s="2">
        <v>1.77</v>
      </c>
      <c r="D549" s="2">
        <v>0</v>
      </c>
      <c r="E549" s="2">
        <v>0.79</v>
      </c>
      <c r="F549" s="2">
        <v>0.27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</row>
    <row r="550" spans="1:19" ht="13.9" x14ac:dyDescent="0.3">
      <c r="A550" s="2" t="s">
        <v>567</v>
      </c>
      <c r="B550" s="2">
        <v>0</v>
      </c>
      <c r="C550" s="2">
        <v>0</v>
      </c>
      <c r="D550" s="2">
        <v>1.1299999999999999</v>
      </c>
      <c r="E550" s="2">
        <v>0</v>
      </c>
      <c r="F550" s="2">
        <v>0</v>
      </c>
      <c r="G550" s="2">
        <v>0</v>
      </c>
      <c r="H550" s="2">
        <v>1.23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</row>
    <row r="551" spans="1:19" ht="13.9" x14ac:dyDescent="0.3">
      <c r="A551" s="2" t="s">
        <v>568</v>
      </c>
      <c r="B551" s="2">
        <v>0</v>
      </c>
      <c r="C551" s="2">
        <v>0</v>
      </c>
      <c r="D551" s="2">
        <v>0.56999999999999995</v>
      </c>
      <c r="E551" s="2">
        <v>0.3</v>
      </c>
      <c r="F551" s="2">
        <v>0.4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8.1</v>
      </c>
      <c r="M551" s="2">
        <v>7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</row>
    <row r="552" spans="1:19" ht="13.9" x14ac:dyDescent="0.3">
      <c r="A552" s="2" t="s">
        <v>569</v>
      </c>
      <c r="B552" s="2">
        <v>0</v>
      </c>
      <c r="C552" s="2">
        <v>0.44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</row>
    <row r="553" spans="1:19" ht="13.9" x14ac:dyDescent="0.3">
      <c r="A553" s="2" t="s">
        <v>570</v>
      </c>
      <c r="B553" s="2">
        <v>0.63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</row>
    <row r="554" spans="1:19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>
        <v>0.31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</row>
    <row r="555" spans="1:19" ht="13.9" x14ac:dyDescent="0.3">
      <c r="A555" s="2" t="s">
        <v>572</v>
      </c>
      <c r="B555" s="2">
        <v>1.26</v>
      </c>
      <c r="C555" s="2">
        <v>0.11</v>
      </c>
      <c r="D555" s="2">
        <v>1.25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0.81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</row>
    <row r="556" spans="1:19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>
        <v>0</v>
      </c>
      <c r="I556" s="2">
        <v>0</v>
      </c>
      <c r="J556" s="2">
        <v>0.27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</row>
    <row r="557" spans="1:19" ht="13.9" x14ac:dyDescent="0.3">
      <c r="A557" s="2" t="s">
        <v>574</v>
      </c>
      <c r="B557" s="2">
        <v>0</v>
      </c>
      <c r="C557" s="2">
        <v>0.67</v>
      </c>
      <c r="D557" s="2">
        <v>1.02</v>
      </c>
      <c r="E557" s="2">
        <v>0</v>
      </c>
      <c r="F557" s="2">
        <v>0.94</v>
      </c>
      <c r="G557" s="2">
        <v>0.11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</row>
    <row r="558" spans="1:19" ht="13.9" x14ac:dyDescent="0.3">
      <c r="A558" s="2" t="s">
        <v>575</v>
      </c>
      <c r="B558" s="2">
        <v>0</v>
      </c>
      <c r="C558" s="2">
        <v>0</v>
      </c>
      <c r="D558" s="2">
        <v>0.11</v>
      </c>
      <c r="E558" s="2">
        <v>0.39</v>
      </c>
      <c r="F558" s="2">
        <v>0.13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</row>
    <row r="559" spans="1:19" ht="13.9" x14ac:dyDescent="0.3">
      <c r="A559" s="2" t="s">
        <v>576</v>
      </c>
      <c r="B559" s="2">
        <v>2.14</v>
      </c>
      <c r="C559" s="2">
        <v>3.1</v>
      </c>
      <c r="D559" s="2">
        <v>2.61</v>
      </c>
      <c r="E559" s="2">
        <v>3.65</v>
      </c>
      <c r="F559" s="2">
        <v>3.61</v>
      </c>
      <c r="G559" s="2">
        <v>2.63</v>
      </c>
      <c r="H559" s="2">
        <v>5.25</v>
      </c>
      <c r="I559" s="2">
        <v>0</v>
      </c>
      <c r="J559" s="2">
        <v>5.14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3.56</v>
      </c>
      <c r="S559" s="2">
        <v>12.07</v>
      </c>
    </row>
    <row r="560" spans="1:19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</row>
    <row r="561" spans="1:19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</row>
    <row r="562" spans="1:19" ht="13.9" x14ac:dyDescent="0.3">
      <c r="A562" s="2" t="s">
        <v>579</v>
      </c>
      <c r="B562" s="2">
        <v>0</v>
      </c>
      <c r="C562" s="2">
        <v>0</v>
      </c>
      <c r="D562" s="2">
        <v>0.56999999999999995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3.23</v>
      </c>
      <c r="R562" s="2">
        <v>0</v>
      </c>
      <c r="S562" s="2">
        <v>0</v>
      </c>
    </row>
    <row r="563" spans="1:19" ht="13.9" x14ac:dyDescent="0.3">
      <c r="A563" s="2" t="s">
        <v>580</v>
      </c>
      <c r="B563" s="2">
        <v>0</v>
      </c>
      <c r="C563" s="2">
        <v>0.22</v>
      </c>
      <c r="D563" s="2">
        <v>0</v>
      </c>
      <c r="E563" s="2">
        <v>0</v>
      </c>
      <c r="F563" s="2">
        <v>0.53</v>
      </c>
      <c r="G563" s="2">
        <v>0</v>
      </c>
      <c r="H563" s="2">
        <v>1.1299999999999999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</row>
    <row r="564" spans="1:19" ht="13.9" x14ac:dyDescent="0.3">
      <c r="A564" s="2" t="s">
        <v>581</v>
      </c>
      <c r="B564" s="2">
        <v>0.76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>
        <v>0.31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</row>
    <row r="565" spans="1:19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</row>
    <row r="566" spans="1:19" ht="13.9" x14ac:dyDescent="0.3">
      <c r="A566" s="2" t="s">
        <v>583</v>
      </c>
      <c r="B566" s="2">
        <v>0</v>
      </c>
      <c r="C566" s="2">
        <v>0</v>
      </c>
      <c r="D566" s="2">
        <v>0.11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3.05</v>
      </c>
      <c r="R566" s="2">
        <v>0</v>
      </c>
      <c r="S566" s="2">
        <v>0</v>
      </c>
    </row>
    <row r="567" spans="1:19" ht="13.9" x14ac:dyDescent="0.3">
      <c r="A567" s="2" t="s">
        <v>584</v>
      </c>
      <c r="B567" s="2">
        <v>1.89</v>
      </c>
      <c r="C567" s="2">
        <v>0.89</v>
      </c>
      <c r="D567" s="2">
        <v>0.68</v>
      </c>
      <c r="E567" s="2">
        <v>0.1</v>
      </c>
      <c r="F567" s="2">
        <v>0.53</v>
      </c>
      <c r="G567" s="2">
        <v>0.95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</row>
    <row r="568" spans="1:19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</row>
    <row r="569" spans="1:19" ht="13.9" x14ac:dyDescent="0.3">
      <c r="A569" s="2" t="s">
        <v>586</v>
      </c>
      <c r="B569" s="2">
        <v>3.52</v>
      </c>
      <c r="C569" s="2">
        <v>1.66</v>
      </c>
      <c r="D569" s="2">
        <v>3.74</v>
      </c>
      <c r="E569" s="2">
        <v>4.24</v>
      </c>
      <c r="F569" s="2">
        <v>6.95</v>
      </c>
      <c r="G569" s="2">
        <v>4.32</v>
      </c>
      <c r="H569" s="2">
        <v>1.34</v>
      </c>
      <c r="I569" s="2">
        <v>0</v>
      </c>
      <c r="J569" s="2">
        <v>4.47</v>
      </c>
      <c r="K569" s="2">
        <v>0</v>
      </c>
      <c r="L569" s="2">
        <v>0</v>
      </c>
      <c r="M569" s="2">
        <v>7.52</v>
      </c>
      <c r="N569" s="2">
        <v>0.33</v>
      </c>
      <c r="O569" s="2">
        <v>0</v>
      </c>
      <c r="P569" s="2">
        <v>9.2899999999999991</v>
      </c>
      <c r="Q569" s="2">
        <v>0</v>
      </c>
      <c r="R569" s="2">
        <v>0</v>
      </c>
      <c r="S569" s="2">
        <v>0</v>
      </c>
    </row>
    <row r="570" spans="1:19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0.21</v>
      </c>
      <c r="I570" s="2">
        <v>0</v>
      </c>
      <c r="J570" s="2">
        <v>1.89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</row>
    <row r="571" spans="1:19" ht="13.9" x14ac:dyDescent="0.3">
      <c r="A571" s="2" t="s">
        <v>588</v>
      </c>
      <c r="B571" s="2">
        <v>0</v>
      </c>
      <c r="C571" s="2">
        <v>1</v>
      </c>
      <c r="D571" s="2">
        <v>3.18</v>
      </c>
      <c r="E571" s="2">
        <v>0</v>
      </c>
      <c r="F571" s="2">
        <v>0.53</v>
      </c>
      <c r="G571" s="2">
        <v>0</v>
      </c>
      <c r="H571" s="2">
        <v>1.1299999999999999</v>
      </c>
      <c r="I571" s="2">
        <v>0</v>
      </c>
      <c r="J571" s="2">
        <v>0</v>
      </c>
      <c r="K571" s="2">
        <v>5.77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6.28</v>
      </c>
      <c r="S571" s="2">
        <v>0</v>
      </c>
    </row>
    <row r="572" spans="1:19" ht="13.9" x14ac:dyDescent="0.3">
      <c r="A572" s="2" t="s">
        <v>589</v>
      </c>
      <c r="B572" s="2">
        <v>0</v>
      </c>
      <c r="C572" s="2">
        <v>0.78</v>
      </c>
      <c r="D572" s="2">
        <v>1.1299999999999999</v>
      </c>
      <c r="E572" s="2">
        <v>1.88</v>
      </c>
      <c r="F572" s="2">
        <v>0.13</v>
      </c>
      <c r="G572" s="2">
        <v>1.58</v>
      </c>
      <c r="H572" s="2">
        <v>2.4700000000000002</v>
      </c>
      <c r="I572" s="2">
        <v>0</v>
      </c>
      <c r="J572" s="2">
        <v>0.68</v>
      </c>
      <c r="K572" s="2">
        <v>0</v>
      </c>
      <c r="L572" s="2">
        <v>0</v>
      </c>
      <c r="M572" s="2">
        <v>0</v>
      </c>
      <c r="N572" s="2">
        <v>0.99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</row>
    <row r="573" spans="1:19" ht="13.9" x14ac:dyDescent="0.3">
      <c r="A573" s="2" t="s">
        <v>590</v>
      </c>
      <c r="B573" s="2">
        <v>0</v>
      </c>
      <c r="C573" s="2">
        <v>3.33</v>
      </c>
      <c r="D573" s="2">
        <v>2.5</v>
      </c>
      <c r="E573" s="2">
        <v>1.58</v>
      </c>
      <c r="F573" s="2">
        <v>0</v>
      </c>
      <c r="G573" s="2">
        <v>1.48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4.7300000000000004</v>
      </c>
      <c r="Q573" s="2">
        <v>1.26</v>
      </c>
      <c r="R573" s="2">
        <v>4.8099999999999996</v>
      </c>
      <c r="S573" s="2">
        <v>0</v>
      </c>
    </row>
    <row r="574" spans="1:19" ht="13.9" x14ac:dyDescent="0.3">
      <c r="A574" s="2" t="s">
        <v>591</v>
      </c>
      <c r="B574" s="2">
        <v>0.25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>
        <v>0.51</v>
      </c>
      <c r="I574" s="2">
        <v>0</v>
      </c>
      <c r="J574" s="2">
        <v>0.54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</row>
    <row r="575" spans="1:19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</row>
    <row r="576" spans="1:19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122.63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</row>
    <row r="577" spans="1:19" ht="13.9" x14ac:dyDescent="0.3">
      <c r="A577" s="2" t="s">
        <v>594</v>
      </c>
      <c r="B577" s="2">
        <v>76.41</v>
      </c>
      <c r="C577" s="2">
        <v>66.75</v>
      </c>
      <c r="D577" s="2">
        <v>73.849999999999994</v>
      </c>
      <c r="E577" s="2">
        <v>105.13</v>
      </c>
      <c r="F577" s="2">
        <v>73.94</v>
      </c>
      <c r="G577" s="2">
        <v>100.12</v>
      </c>
      <c r="H577" s="2">
        <v>95.17</v>
      </c>
      <c r="I577" s="2">
        <v>0</v>
      </c>
      <c r="J577" s="2">
        <v>64.56</v>
      </c>
      <c r="K577" s="2">
        <v>5.9</v>
      </c>
      <c r="L577" s="2">
        <v>0.28999999999999998</v>
      </c>
      <c r="M577" s="2">
        <v>1.04</v>
      </c>
      <c r="N577" s="2">
        <v>17.47</v>
      </c>
      <c r="O577" s="2">
        <v>16.350000000000001</v>
      </c>
      <c r="P577" s="2">
        <v>4.7300000000000004</v>
      </c>
      <c r="Q577" s="2">
        <v>0.18</v>
      </c>
      <c r="R577" s="2">
        <v>9.84</v>
      </c>
      <c r="S577" s="2">
        <v>1.01</v>
      </c>
    </row>
    <row r="578" spans="1:19" ht="13.9" x14ac:dyDescent="0.3">
      <c r="A578" s="2" t="s">
        <v>595</v>
      </c>
      <c r="B578" s="2">
        <v>0</v>
      </c>
      <c r="C578" s="2">
        <v>0</v>
      </c>
      <c r="D578" s="2">
        <v>0.91</v>
      </c>
      <c r="E578" s="2">
        <v>1.38</v>
      </c>
      <c r="F578" s="2">
        <v>0</v>
      </c>
      <c r="G578" s="2">
        <v>0.53</v>
      </c>
      <c r="H578" s="2">
        <v>1.03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</row>
    <row r="579" spans="1:19" ht="13.9" x14ac:dyDescent="0.3">
      <c r="A579" s="2" t="s">
        <v>596</v>
      </c>
      <c r="B579" s="2">
        <v>2.0099999999999998</v>
      </c>
      <c r="C579" s="2">
        <v>2.88</v>
      </c>
      <c r="D579" s="2">
        <v>3.97</v>
      </c>
      <c r="E579" s="2">
        <v>1.97</v>
      </c>
      <c r="F579" s="2">
        <v>4.01</v>
      </c>
      <c r="G579" s="2">
        <v>2.95</v>
      </c>
      <c r="H579" s="2">
        <v>0.82</v>
      </c>
      <c r="I579" s="2">
        <v>0</v>
      </c>
      <c r="J579" s="2">
        <v>5.01</v>
      </c>
      <c r="K579" s="2">
        <v>3.67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0.21</v>
      </c>
      <c r="S579" s="2">
        <v>25.64</v>
      </c>
    </row>
    <row r="580" spans="1:19" ht="13.9" x14ac:dyDescent="0.3">
      <c r="A580" s="2" t="s">
        <v>597</v>
      </c>
      <c r="B580" s="2">
        <v>0.76</v>
      </c>
      <c r="C580" s="2">
        <v>0.89</v>
      </c>
      <c r="D580" s="2">
        <v>0</v>
      </c>
      <c r="E580" s="2">
        <v>1.0900000000000001</v>
      </c>
      <c r="F580" s="2">
        <v>0.94</v>
      </c>
      <c r="G580" s="2">
        <v>0.21</v>
      </c>
      <c r="H580" s="2">
        <v>0.93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</row>
    <row r="581" spans="1:19" ht="13.9" x14ac:dyDescent="0.3">
      <c r="A581" s="2" t="s">
        <v>598</v>
      </c>
      <c r="B581" s="2">
        <v>0</v>
      </c>
      <c r="C581" s="2">
        <v>0.22</v>
      </c>
      <c r="D581" s="2">
        <v>0</v>
      </c>
      <c r="E581" s="2">
        <v>0</v>
      </c>
      <c r="F581" s="2">
        <v>0.13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</row>
    <row r="582" spans="1:19" ht="13.9" x14ac:dyDescent="0.3">
      <c r="A582" s="2" t="s">
        <v>599</v>
      </c>
      <c r="B582" s="2">
        <v>0.76</v>
      </c>
      <c r="C582" s="2">
        <v>0.33</v>
      </c>
      <c r="D582" s="2">
        <v>0</v>
      </c>
      <c r="E582" s="2">
        <v>0</v>
      </c>
      <c r="F582" s="2">
        <v>0</v>
      </c>
      <c r="G582" s="2">
        <v>0</v>
      </c>
      <c r="H582" s="2">
        <v>0.1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</row>
    <row r="583" spans="1:19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0.41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</row>
    <row r="584" spans="1:19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</row>
    <row r="585" spans="1:19" ht="13.9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1.18</v>
      </c>
      <c r="F585" s="2">
        <v>0.67</v>
      </c>
      <c r="G585" s="2">
        <v>0</v>
      </c>
      <c r="H585" s="2">
        <v>0</v>
      </c>
      <c r="I585" s="2">
        <v>0</v>
      </c>
      <c r="J585" s="2">
        <v>0.14000000000000001</v>
      </c>
      <c r="K585" s="2">
        <v>0</v>
      </c>
      <c r="L585" s="2">
        <v>0</v>
      </c>
      <c r="M585" s="2">
        <v>0</v>
      </c>
      <c r="N585" s="2">
        <v>0</v>
      </c>
      <c r="O585" s="2">
        <v>15.13</v>
      </c>
      <c r="P585" s="2">
        <v>0</v>
      </c>
      <c r="Q585" s="2">
        <v>0</v>
      </c>
      <c r="R585" s="2">
        <v>11.51</v>
      </c>
      <c r="S585" s="2">
        <v>0</v>
      </c>
    </row>
    <row r="586" spans="1:19" ht="13.9" x14ac:dyDescent="0.3">
      <c r="A586" s="2" t="s">
        <v>603</v>
      </c>
      <c r="B586" s="2">
        <v>34.99</v>
      </c>
      <c r="C586" s="2">
        <v>25.95</v>
      </c>
      <c r="D586" s="2">
        <v>20.87</v>
      </c>
      <c r="E586" s="2">
        <v>15.79</v>
      </c>
      <c r="F586" s="2">
        <v>36.64</v>
      </c>
      <c r="G586" s="2">
        <v>24.24</v>
      </c>
      <c r="H586" s="2">
        <v>28.19</v>
      </c>
      <c r="I586" s="2">
        <v>81.75</v>
      </c>
      <c r="J586" s="2">
        <v>28.42</v>
      </c>
      <c r="K586" s="2">
        <v>101.34</v>
      </c>
      <c r="L586" s="2">
        <v>106.71</v>
      </c>
      <c r="M586" s="2">
        <v>93.62</v>
      </c>
      <c r="N586" s="2">
        <v>94.6</v>
      </c>
      <c r="O586" s="2">
        <v>174.68</v>
      </c>
      <c r="P586" s="2">
        <v>54.26</v>
      </c>
      <c r="Q586" s="2">
        <v>64.14</v>
      </c>
      <c r="R586" s="2">
        <v>130.16999999999999</v>
      </c>
      <c r="S586" s="2">
        <v>289.08</v>
      </c>
    </row>
    <row r="587" spans="1:19" ht="13.9" x14ac:dyDescent="0.3">
      <c r="A587" s="2" t="s">
        <v>604</v>
      </c>
      <c r="B587" s="2">
        <v>21.4</v>
      </c>
      <c r="C587" s="2">
        <v>12.97</v>
      </c>
      <c r="D587" s="2">
        <v>12.14</v>
      </c>
      <c r="E587" s="2">
        <v>11.75</v>
      </c>
      <c r="F587" s="2">
        <v>19.920000000000002</v>
      </c>
      <c r="G587" s="2">
        <v>15.28</v>
      </c>
      <c r="H587" s="2">
        <v>17.59</v>
      </c>
      <c r="I587" s="2">
        <v>0</v>
      </c>
      <c r="J587" s="2">
        <v>9.75</v>
      </c>
      <c r="K587" s="2">
        <v>22.94</v>
      </c>
      <c r="L587" s="2">
        <v>12.15</v>
      </c>
      <c r="M587" s="2">
        <v>0.26</v>
      </c>
      <c r="N587" s="2">
        <v>10.55</v>
      </c>
      <c r="O587" s="2">
        <v>31.72</v>
      </c>
      <c r="P587" s="2">
        <v>0</v>
      </c>
      <c r="Q587" s="2">
        <v>0.18</v>
      </c>
      <c r="R587" s="2">
        <v>16.95</v>
      </c>
      <c r="S587" s="2">
        <v>11.06</v>
      </c>
    </row>
    <row r="588" spans="1:19" ht="13.9" x14ac:dyDescent="0.3">
      <c r="A588" s="2" t="s">
        <v>605</v>
      </c>
      <c r="B588" s="2">
        <v>1762.55</v>
      </c>
      <c r="C588" s="2">
        <v>1690.3</v>
      </c>
      <c r="D588" s="2">
        <v>1089.0999999999999</v>
      </c>
      <c r="E588" s="2">
        <v>1257.53</v>
      </c>
      <c r="F588" s="2">
        <v>1082.76</v>
      </c>
      <c r="G588" s="2">
        <v>1312.58</v>
      </c>
      <c r="H588" s="2">
        <v>1316.68</v>
      </c>
      <c r="I588" s="2">
        <v>2616.09</v>
      </c>
      <c r="J588" s="2">
        <v>1300.1500000000001</v>
      </c>
      <c r="K588" s="2">
        <v>1025.3</v>
      </c>
      <c r="L588" s="2">
        <v>1275.8699999999999</v>
      </c>
      <c r="M588" s="2">
        <v>578.04</v>
      </c>
      <c r="N588" s="2">
        <v>1203.42</v>
      </c>
      <c r="O588" s="2">
        <v>1086.1199999999999</v>
      </c>
      <c r="P588" s="2">
        <v>896.85</v>
      </c>
      <c r="Q588" s="2">
        <v>851.74</v>
      </c>
      <c r="R588" s="2">
        <v>801.34</v>
      </c>
      <c r="S588" s="2">
        <v>1492.64</v>
      </c>
    </row>
    <row r="589" spans="1:19" ht="13.9" x14ac:dyDescent="0.3">
      <c r="A589" s="2" t="s">
        <v>606</v>
      </c>
      <c r="B589" s="2">
        <v>9.94</v>
      </c>
      <c r="C589" s="2">
        <v>5.77</v>
      </c>
      <c r="D589" s="2">
        <v>11.57</v>
      </c>
      <c r="E589" s="2">
        <v>4.74</v>
      </c>
      <c r="F589" s="2">
        <v>6.02</v>
      </c>
      <c r="G589" s="2">
        <v>7.8</v>
      </c>
      <c r="H589" s="2">
        <v>6.79</v>
      </c>
      <c r="I589" s="2">
        <v>408.76</v>
      </c>
      <c r="J589" s="2">
        <v>7.44</v>
      </c>
      <c r="K589" s="2">
        <v>0</v>
      </c>
      <c r="L589" s="2">
        <v>2.31</v>
      </c>
      <c r="M589" s="2">
        <v>0</v>
      </c>
      <c r="N589" s="2">
        <v>0</v>
      </c>
      <c r="O589" s="2">
        <v>15.61</v>
      </c>
      <c r="P589" s="2">
        <v>0</v>
      </c>
      <c r="Q589" s="2">
        <v>0</v>
      </c>
      <c r="R589" s="2">
        <v>3.56</v>
      </c>
      <c r="S589" s="2">
        <v>0</v>
      </c>
    </row>
    <row r="590" spans="1:19" ht="13.9" x14ac:dyDescent="0.3">
      <c r="A590" s="2" t="s">
        <v>607</v>
      </c>
      <c r="B590" s="2">
        <v>75.400000000000006</v>
      </c>
      <c r="C590" s="2">
        <v>86.49</v>
      </c>
      <c r="D590" s="2">
        <v>68.069999999999993</v>
      </c>
      <c r="E590" s="2">
        <v>64.56</v>
      </c>
      <c r="F590" s="2">
        <v>80.489999999999995</v>
      </c>
      <c r="G590" s="2">
        <v>67.87</v>
      </c>
      <c r="H590" s="2">
        <v>51.24</v>
      </c>
      <c r="I590" s="2">
        <v>0</v>
      </c>
      <c r="J590" s="2">
        <v>70.25</v>
      </c>
      <c r="K590" s="2">
        <v>24.78</v>
      </c>
      <c r="L590" s="2">
        <v>0</v>
      </c>
      <c r="M590" s="2">
        <v>7.26</v>
      </c>
      <c r="N590" s="2">
        <v>6.59</v>
      </c>
      <c r="O590" s="2">
        <v>5.86</v>
      </c>
      <c r="P590" s="2">
        <v>15.11</v>
      </c>
      <c r="Q590" s="2">
        <v>9.16</v>
      </c>
      <c r="R590" s="2">
        <v>11.93</v>
      </c>
      <c r="S590" s="2">
        <v>39.72</v>
      </c>
    </row>
    <row r="591" spans="1:19" ht="13.9" x14ac:dyDescent="0.3">
      <c r="A591" s="2" t="s">
        <v>608</v>
      </c>
      <c r="B591" s="2">
        <v>1.26</v>
      </c>
      <c r="C591" s="2">
        <v>0.78</v>
      </c>
      <c r="D591" s="2">
        <v>0</v>
      </c>
      <c r="E591" s="2">
        <v>0</v>
      </c>
      <c r="F591" s="2">
        <v>0</v>
      </c>
      <c r="G591" s="2">
        <v>0.32</v>
      </c>
      <c r="H591" s="2">
        <v>2.2599999999999998</v>
      </c>
      <c r="I591" s="2">
        <v>0</v>
      </c>
      <c r="J591" s="2">
        <v>0.41</v>
      </c>
      <c r="K591" s="2">
        <v>4.9800000000000004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</row>
    <row r="592" spans="1:19" ht="13.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7.53</v>
      </c>
      <c r="S592" s="2">
        <v>0</v>
      </c>
    </row>
    <row r="593" spans="1:19" ht="13.9" x14ac:dyDescent="0.3">
      <c r="A593" s="2" t="s">
        <v>610</v>
      </c>
      <c r="B593" s="2">
        <v>3.27</v>
      </c>
      <c r="C593" s="2">
        <v>3.55</v>
      </c>
      <c r="D593" s="2">
        <v>0</v>
      </c>
      <c r="E593" s="2">
        <v>3.06</v>
      </c>
      <c r="F593" s="2">
        <v>4.28</v>
      </c>
      <c r="G593" s="2">
        <v>1.26</v>
      </c>
      <c r="H593" s="2">
        <v>1.85</v>
      </c>
      <c r="I593" s="2">
        <v>0</v>
      </c>
      <c r="J593" s="2">
        <v>1.22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10.56</v>
      </c>
    </row>
    <row r="594" spans="1:19" ht="13.9" x14ac:dyDescent="0.3">
      <c r="A594" s="2" t="s">
        <v>611</v>
      </c>
      <c r="B594" s="2">
        <v>7.68</v>
      </c>
      <c r="C594" s="2">
        <v>3.33</v>
      </c>
      <c r="D594" s="2">
        <v>6.13</v>
      </c>
      <c r="E594" s="2">
        <v>5.82</v>
      </c>
      <c r="F594" s="2">
        <v>4.8099999999999996</v>
      </c>
      <c r="G594" s="2">
        <v>3.9</v>
      </c>
      <c r="H594" s="2">
        <v>2.2599999999999998</v>
      </c>
      <c r="I594" s="2">
        <v>0</v>
      </c>
      <c r="J594" s="2">
        <v>3.25</v>
      </c>
      <c r="K594" s="2">
        <v>0</v>
      </c>
      <c r="L594" s="2">
        <v>0</v>
      </c>
      <c r="M594" s="2">
        <v>0</v>
      </c>
      <c r="N594" s="2">
        <v>7.58</v>
      </c>
      <c r="O594" s="2">
        <v>19.52</v>
      </c>
      <c r="P594" s="2">
        <v>6.55</v>
      </c>
      <c r="Q594" s="2">
        <v>0</v>
      </c>
      <c r="R594" s="2">
        <v>0</v>
      </c>
      <c r="S594" s="2">
        <v>0</v>
      </c>
    </row>
    <row r="595" spans="1:19" ht="13.9" x14ac:dyDescent="0.3">
      <c r="A595" s="2" t="s">
        <v>612</v>
      </c>
      <c r="B595" s="2">
        <v>1.38</v>
      </c>
      <c r="C595" s="2">
        <v>1.1100000000000001</v>
      </c>
      <c r="D595" s="2">
        <v>1.36</v>
      </c>
      <c r="E595" s="2">
        <v>1.48</v>
      </c>
      <c r="F595" s="2">
        <v>1.34</v>
      </c>
      <c r="G595" s="2">
        <v>2.95</v>
      </c>
      <c r="H595" s="2">
        <v>0.93</v>
      </c>
      <c r="I595" s="2">
        <v>0</v>
      </c>
      <c r="J595" s="2">
        <v>2.17</v>
      </c>
      <c r="K595" s="2">
        <v>0</v>
      </c>
      <c r="L595" s="2">
        <v>0</v>
      </c>
      <c r="M595" s="2">
        <v>0</v>
      </c>
      <c r="N595" s="2">
        <v>0.33</v>
      </c>
      <c r="O595" s="2">
        <v>0</v>
      </c>
      <c r="P595" s="2">
        <v>0</v>
      </c>
      <c r="Q595" s="2">
        <v>0</v>
      </c>
      <c r="R595" s="2">
        <v>8.7899999999999991</v>
      </c>
      <c r="S595" s="2">
        <v>0</v>
      </c>
    </row>
    <row r="596" spans="1:19" ht="13.9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9.18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</row>
    <row r="597" spans="1:19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>
        <v>0</v>
      </c>
      <c r="I597" s="2">
        <v>0</v>
      </c>
      <c r="J597" s="2">
        <v>0.27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</row>
    <row r="598" spans="1:19" ht="13.9" x14ac:dyDescent="0.3">
      <c r="A598" s="2" t="s">
        <v>615</v>
      </c>
      <c r="B598" s="2">
        <v>0</v>
      </c>
      <c r="C598" s="2">
        <v>0.55000000000000004</v>
      </c>
      <c r="D598" s="2">
        <v>0</v>
      </c>
      <c r="E598" s="2">
        <v>0</v>
      </c>
      <c r="F598" s="2">
        <v>0.27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</row>
    <row r="599" spans="1:19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0.41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</row>
    <row r="600" spans="1:19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</row>
    <row r="601" spans="1:19" ht="13.9" x14ac:dyDescent="0.3">
      <c r="A601" s="2" t="s">
        <v>618</v>
      </c>
      <c r="B601" s="2">
        <v>11.33</v>
      </c>
      <c r="C601" s="2">
        <v>7.1</v>
      </c>
      <c r="D601" s="2">
        <v>19.059999999999999</v>
      </c>
      <c r="E601" s="2">
        <v>15.5</v>
      </c>
      <c r="F601" s="2">
        <v>20.190000000000001</v>
      </c>
      <c r="G601" s="2">
        <v>15.7</v>
      </c>
      <c r="H601" s="2">
        <v>19.45</v>
      </c>
      <c r="I601" s="2">
        <v>0</v>
      </c>
      <c r="J601" s="2">
        <v>27.75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12.2</v>
      </c>
      <c r="Q601" s="2">
        <v>5.21</v>
      </c>
      <c r="R601" s="2">
        <v>9.6300000000000008</v>
      </c>
      <c r="S601" s="2">
        <v>5.53</v>
      </c>
    </row>
    <row r="602" spans="1:19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</row>
    <row r="603" spans="1:19" ht="13.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4.1900000000000004</v>
      </c>
      <c r="S603" s="2">
        <v>0</v>
      </c>
    </row>
    <row r="604" spans="1:19" ht="13.9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0.33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</row>
    <row r="605" spans="1:19" ht="13.9" x14ac:dyDescent="0.3">
      <c r="A605" s="2" t="s">
        <v>622</v>
      </c>
      <c r="B605" s="2">
        <v>2.39</v>
      </c>
      <c r="C605" s="2">
        <v>7.43</v>
      </c>
      <c r="D605" s="2">
        <v>0</v>
      </c>
      <c r="E605" s="2">
        <v>0</v>
      </c>
      <c r="F605" s="2">
        <v>1.47</v>
      </c>
      <c r="G605" s="2">
        <v>2.11</v>
      </c>
      <c r="H605" s="2">
        <v>2.2599999999999998</v>
      </c>
      <c r="I605" s="2">
        <v>0</v>
      </c>
      <c r="J605" s="2">
        <v>4.74</v>
      </c>
      <c r="K605" s="2">
        <v>0</v>
      </c>
      <c r="L605" s="2">
        <v>0</v>
      </c>
      <c r="M605" s="2">
        <v>0</v>
      </c>
      <c r="N605" s="2">
        <v>0</v>
      </c>
      <c r="O605" s="2">
        <v>22.2</v>
      </c>
      <c r="P605" s="2">
        <v>0</v>
      </c>
      <c r="Q605" s="2">
        <v>0</v>
      </c>
      <c r="R605" s="2">
        <v>0</v>
      </c>
      <c r="S605" s="2">
        <v>0</v>
      </c>
    </row>
    <row r="606" spans="1:19" ht="13.9" x14ac:dyDescent="0.3">
      <c r="A606" s="2" t="s">
        <v>623</v>
      </c>
      <c r="B606" s="2">
        <v>0</v>
      </c>
      <c r="C606" s="2">
        <v>0</v>
      </c>
      <c r="D606" s="2">
        <v>0.68</v>
      </c>
      <c r="E606" s="2">
        <v>0.49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8.0399999999999991</v>
      </c>
      <c r="N606" s="2">
        <v>0</v>
      </c>
      <c r="O606" s="2">
        <v>5.61</v>
      </c>
      <c r="P606" s="2">
        <v>0</v>
      </c>
      <c r="Q606" s="2">
        <v>0</v>
      </c>
      <c r="R606" s="2">
        <v>0</v>
      </c>
      <c r="S606" s="2">
        <v>0</v>
      </c>
    </row>
    <row r="607" spans="1:19" ht="13.9" x14ac:dyDescent="0.3">
      <c r="A607" s="2" t="s">
        <v>624</v>
      </c>
      <c r="B607" s="2">
        <v>0.13</v>
      </c>
      <c r="C607" s="2">
        <v>0.22</v>
      </c>
      <c r="D607" s="2">
        <v>0</v>
      </c>
      <c r="E607" s="2">
        <v>0.1</v>
      </c>
      <c r="F607" s="2">
        <v>0</v>
      </c>
      <c r="G607" s="2">
        <v>0.11</v>
      </c>
      <c r="H607" s="2">
        <v>0.1</v>
      </c>
      <c r="I607" s="2">
        <v>0</v>
      </c>
      <c r="J607" s="2">
        <v>1.49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</row>
    <row r="608" spans="1:19" ht="13.9" x14ac:dyDescent="0.3">
      <c r="A608" s="2" t="s">
        <v>625</v>
      </c>
      <c r="B608" s="2">
        <v>21.78</v>
      </c>
      <c r="C608" s="2">
        <v>20.18</v>
      </c>
      <c r="D608" s="2">
        <v>10.66</v>
      </c>
      <c r="E608" s="2">
        <v>14.12</v>
      </c>
      <c r="F608" s="2">
        <v>16.04</v>
      </c>
      <c r="G608" s="2">
        <v>17.28</v>
      </c>
      <c r="H608" s="2">
        <v>14.92</v>
      </c>
      <c r="I608" s="2">
        <v>0</v>
      </c>
      <c r="J608" s="2">
        <v>25.99</v>
      </c>
      <c r="K608" s="2">
        <v>0.13</v>
      </c>
      <c r="L608" s="2">
        <v>10.119999999999999</v>
      </c>
      <c r="M608" s="2">
        <v>0.26</v>
      </c>
      <c r="N608" s="2">
        <v>10.220000000000001</v>
      </c>
      <c r="O608" s="2">
        <v>0.24</v>
      </c>
      <c r="P608" s="2">
        <v>4.01</v>
      </c>
      <c r="Q608" s="2">
        <v>3.95</v>
      </c>
      <c r="R608" s="2">
        <v>8.16</v>
      </c>
      <c r="S608" s="2">
        <v>0</v>
      </c>
    </row>
    <row r="609" spans="1:19" ht="13.9" x14ac:dyDescent="0.3">
      <c r="A609" s="2" t="s">
        <v>626</v>
      </c>
      <c r="B609" s="2">
        <v>0.25</v>
      </c>
      <c r="C609" s="2">
        <v>0.22</v>
      </c>
      <c r="D609" s="2">
        <v>0.11</v>
      </c>
      <c r="E609" s="2">
        <v>0.2</v>
      </c>
      <c r="F609" s="2">
        <v>0.27</v>
      </c>
      <c r="G609" s="2">
        <v>0.32</v>
      </c>
      <c r="H609" s="2">
        <v>0.1</v>
      </c>
      <c r="I609" s="2">
        <v>0</v>
      </c>
      <c r="J609" s="2">
        <v>0.41</v>
      </c>
      <c r="K609" s="2">
        <v>0</v>
      </c>
      <c r="L609" s="2">
        <v>0</v>
      </c>
      <c r="M609" s="2">
        <v>0</v>
      </c>
      <c r="N609" s="2">
        <v>0</v>
      </c>
      <c r="O609" s="2">
        <v>0.73</v>
      </c>
      <c r="P609" s="2">
        <v>1.0900000000000001</v>
      </c>
      <c r="Q609" s="2">
        <v>0</v>
      </c>
      <c r="R609" s="2">
        <v>0</v>
      </c>
      <c r="S609" s="2">
        <v>2.5099999999999998</v>
      </c>
    </row>
    <row r="610" spans="1:19" ht="13.9" x14ac:dyDescent="0.3">
      <c r="A610" s="2" t="s">
        <v>627</v>
      </c>
      <c r="B610" s="2">
        <v>1.76</v>
      </c>
      <c r="C610" s="2">
        <v>1.22</v>
      </c>
      <c r="D610" s="2">
        <v>3.06</v>
      </c>
      <c r="E610" s="2">
        <v>2.4700000000000002</v>
      </c>
      <c r="F610" s="2">
        <v>3.21</v>
      </c>
      <c r="G610" s="2">
        <v>1.9</v>
      </c>
      <c r="H610" s="2">
        <v>1.23</v>
      </c>
      <c r="I610" s="2">
        <v>0</v>
      </c>
      <c r="J610" s="2">
        <v>5.01</v>
      </c>
      <c r="K610" s="2">
        <v>0</v>
      </c>
      <c r="L610" s="2">
        <v>2.6</v>
      </c>
      <c r="M610" s="2">
        <v>8.82</v>
      </c>
      <c r="N610" s="2">
        <v>0</v>
      </c>
      <c r="O610" s="2">
        <v>1.22</v>
      </c>
      <c r="P610" s="2">
        <v>0.18</v>
      </c>
      <c r="Q610" s="2">
        <v>0</v>
      </c>
      <c r="R610" s="2">
        <v>10.88</v>
      </c>
      <c r="S610" s="2">
        <v>2.5099999999999998</v>
      </c>
    </row>
    <row r="611" spans="1:19" ht="13.9" x14ac:dyDescent="0.3">
      <c r="A611" s="2" t="s">
        <v>628</v>
      </c>
      <c r="B611" s="2">
        <v>0.5</v>
      </c>
      <c r="C611" s="2">
        <v>0.78</v>
      </c>
      <c r="D611" s="2">
        <v>1.02</v>
      </c>
      <c r="E611" s="2">
        <v>1.28</v>
      </c>
      <c r="F611" s="2">
        <v>2.81</v>
      </c>
      <c r="G611" s="2">
        <v>2.11</v>
      </c>
      <c r="H611" s="2">
        <v>1.75</v>
      </c>
      <c r="I611" s="2">
        <v>0</v>
      </c>
      <c r="J611" s="2">
        <v>1.76</v>
      </c>
      <c r="K611" s="2">
        <v>5.64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20.61</v>
      </c>
    </row>
    <row r="612" spans="1:19" ht="13.9" x14ac:dyDescent="0.3">
      <c r="A612" s="2" t="s">
        <v>629</v>
      </c>
      <c r="B612" s="2">
        <v>0.76</v>
      </c>
      <c r="C612" s="2">
        <v>2.44</v>
      </c>
      <c r="D612" s="2">
        <v>1.93</v>
      </c>
      <c r="E612" s="2">
        <v>1.68</v>
      </c>
      <c r="F612" s="2">
        <v>4.68</v>
      </c>
      <c r="G612" s="2">
        <v>6.74</v>
      </c>
      <c r="H612" s="2">
        <v>1.85</v>
      </c>
      <c r="I612" s="2">
        <v>0</v>
      </c>
      <c r="J612" s="2">
        <v>1.35</v>
      </c>
      <c r="K612" s="2">
        <v>0</v>
      </c>
      <c r="L612" s="2">
        <v>0.28999999999999998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4.8099999999999996</v>
      </c>
      <c r="S612" s="2">
        <v>0</v>
      </c>
    </row>
    <row r="613" spans="1:19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</row>
    <row r="614" spans="1:19" ht="13.9" x14ac:dyDescent="0.3">
      <c r="A614" s="2" t="s">
        <v>631</v>
      </c>
      <c r="B614" s="2">
        <v>0</v>
      </c>
      <c r="C614" s="2">
        <v>0.55000000000000004</v>
      </c>
      <c r="D614" s="2">
        <v>0</v>
      </c>
      <c r="E614" s="2">
        <v>0.69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</row>
    <row r="615" spans="1:19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</row>
    <row r="616" spans="1:19" ht="13.9" x14ac:dyDescent="0.3">
      <c r="A616" s="2" t="s">
        <v>633</v>
      </c>
      <c r="B616" s="2">
        <v>0.88</v>
      </c>
      <c r="C616" s="2">
        <v>0.22</v>
      </c>
      <c r="D616" s="2">
        <v>0.56999999999999995</v>
      </c>
      <c r="E616" s="2">
        <v>0</v>
      </c>
      <c r="F616" s="2">
        <v>0.67</v>
      </c>
      <c r="G616" s="2">
        <v>1.79</v>
      </c>
      <c r="H616" s="2">
        <v>0.62</v>
      </c>
      <c r="I616" s="2">
        <v>0</v>
      </c>
      <c r="J616" s="2">
        <v>0.41</v>
      </c>
      <c r="K616" s="2">
        <v>0</v>
      </c>
      <c r="L616" s="2">
        <v>3.47</v>
      </c>
      <c r="M616" s="2">
        <v>0</v>
      </c>
      <c r="N616" s="2">
        <v>0</v>
      </c>
      <c r="O616" s="2">
        <v>0</v>
      </c>
      <c r="P616" s="2">
        <v>0</v>
      </c>
      <c r="Q616" s="2">
        <v>3.05</v>
      </c>
      <c r="R616" s="2">
        <v>9</v>
      </c>
      <c r="S616" s="2">
        <v>0</v>
      </c>
    </row>
    <row r="617" spans="1:19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</row>
    <row r="618" spans="1:19" ht="13.9" x14ac:dyDescent="0.3">
      <c r="A618" s="2" t="s">
        <v>635</v>
      </c>
      <c r="B618" s="2">
        <v>0</v>
      </c>
      <c r="C618" s="2">
        <v>0.67</v>
      </c>
      <c r="D618" s="2">
        <v>0.23</v>
      </c>
      <c r="E618" s="2">
        <v>4.34</v>
      </c>
      <c r="F618" s="2">
        <v>0.67</v>
      </c>
      <c r="G618" s="2">
        <v>0</v>
      </c>
      <c r="H618" s="2">
        <v>1.23</v>
      </c>
      <c r="I618" s="2">
        <v>0</v>
      </c>
      <c r="J618" s="2">
        <v>1.62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9.0500000000000007</v>
      </c>
    </row>
    <row r="619" spans="1:19" ht="13.9" x14ac:dyDescent="0.3">
      <c r="A619" s="2" t="s">
        <v>636</v>
      </c>
      <c r="B619" s="2">
        <v>1.64</v>
      </c>
      <c r="C619" s="2">
        <v>0.89</v>
      </c>
      <c r="D619" s="2">
        <v>1.7</v>
      </c>
      <c r="E619" s="2">
        <v>2.57</v>
      </c>
      <c r="F619" s="2">
        <v>3.21</v>
      </c>
      <c r="G619" s="2">
        <v>2.11</v>
      </c>
      <c r="H619" s="2">
        <v>0.72</v>
      </c>
      <c r="I619" s="2">
        <v>0</v>
      </c>
      <c r="J619" s="2">
        <v>3.93</v>
      </c>
      <c r="K619" s="2">
        <v>7.34</v>
      </c>
      <c r="L619" s="2">
        <v>0</v>
      </c>
      <c r="M619" s="2">
        <v>0</v>
      </c>
      <c r="N619" s="2">
        <v>13.18</v>
      </c>
      <c r="O619" s="2">
        <v>7.07</v>
      </c>
      <c r="P619" s="2">
        <v>0</v>
      </c>
      <c r="Q619" s="2">
        <v>0</v>
      </c>
      <c r="R619" s="2">
        <v>1.88</v>
      </c>
      <c r="S619" s="2">
        <v>0</v>
      </c>
    </row>
    <row r="620" spans="1:19" ht="13.9" x14ac:dyDescent="0.3">
      <c r="A620" s="2" t="s">
        <v>637</v>
      </c>
      <c r="B620" s="2">
        <v>0.88</v>
      </c>
      <c r="C620" s="2">
        <v>0.89</v>
      </c>
      <c r="D620" s="2">
        <v>0</v>
      </c>
      <c r="E620" s="2">
        <v>0.49</v>
      </c>
      <c r="F620" s="2">
        <v>0</v>
      </c>
      <c r="G620" s="2">
        <v>0</v>
      </c>
      <c r="H620" s="2">
        <v>0</v>
      </c>
      <c r="I620" s="2">
        <v>0</v>
      </c>
      <c r="J620" s="2">
        <v>0.68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</row>
    <row r="621" spans="1:19" ht="13.9" x14ac:dyDescent="0.3">
      <c r="A621" s="2" t="s">
        <v>638</v>
      </c>
      <c r="B621" s="2">
        <v>3.4</v>
      </c>
      <c r="C621" s="2">
        <v>1</v>
      </c>
      <c r="D621" s="2">
        <v>0.68</v>
      </c>
      <c r="E621" s="2">
        <v>0.49</v>
      </c>
      <c r="F621" s="2">
        <v>2.67</v>
      </c>
      <c r="G621" s="2">
        <v>1.9</v>
      </c>
      <c r="H621" s="2">
        <v>2.06</v>
      </c>
      <c r="I621" s="2">
        <v>286.13</v>
      </c>
      <c r="J621" s="2">
        <v>0.27</v>
      </c>
      <c r="K621" s="2">
        <v>11.93</v>
      </c>
      <c r="L621" s="2">
        <v>2.6</v>
      </c>
      <c r="M621" s="2">
        <v>1.3</v>
      </c>
      <c r="N621" s="2">
        <v>0</v>
      </c>
      <c r="O621" s="2">
        <v>10</v>
      </c>
      <c r="P621" s="2">
        <v>1.27</v>
      </c>
      <c r="Q621" s="2">
        <v>11.32</v>
      </c>
      <c r="R621" s="2">
        <v>2.72</v>
      </c>
      <c r="S621" s="2">
        <v>0</v>
      </c>
    </row>
    <row r="622" spans="1:19" ht="13.9" x14ac:dyDescent="0.3">
      <c r="A622" s="2" t="s">
        <v>639</v>
      </c>
      <c r="B622" s="2">
        <v>0</v>
      </c>
      <c r="C622" s="2">
        <v>0.11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</row>
    <row r="623" spans="1:19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</row>
    <row r="624" spans="1:19" ht="13.9" x14ac:dyDescent="0.3">
      <c r="A624" s="2" t="s">
        <v>641</v>
      </c>
      <c r="B624" s="2">
        <v>0.38</v>
      </c>
      <c r="C624" s="2">
        <v>1.66</v>
      </c>
      <c r="D624" s="2">
        <v>0.79</v>
      </c>
      <c r="E624" s="2">
        <v>2.76</v>
      </c>
      <c r="F624" s="2">
        <v>1.07</v>
      </c>
      <c r="G624" s="2">
        <v>0</v>
      </c>
      <c r="H624" s="2">
        <v>0.41</v>
      </c>
      <c r="I624" s="2">
        <v>163.51</v>
      </c>
      <c r="J624" s="2">
        <v>0.68</v>
      </c>
      <c r="K624" s="2">
        <v>0</v>
      </c>
      <c r="L624" s="2">
        <v>0</v>
      </c>
      <c r="M624" s="2">
        <v>0</v>
      </c>
      <c r="N624" s="2">
        <v>0</v>
      </c>
      <c r="O624" s="2">
        <v>7.07</v>
      </c>
      <c r="P624" s="2">
        <v>18.39</v>
      </c>
      <c r="Q624" s="2">
        <v>0</v>
      </c>
      <c r="R624" s="2">
        <v>0</v>
      </c>
      <c r="S624" s="2">
        <v>0</v>
      </c>
    </row>
    <row r="625" spans="1:19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</row>
    <row r="626" spans="1:19" ht="13.9" x14ac:dyDescent="0.3">
      <c r="A626" s="2" t="s">
        <v>643</v>
      </c>
      <c r="B626" s="2">
        <v>0</v>
      </c>
      <c r="C626" s="2">
        <v>0.22</v>
      </c>
      <c r="D626" s="2">
        <v>0.45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</row>
    <row r="627" spans="1:19" ht="13.9" x14ac:dyDescent="0.3">
      <c r="A627" s="2" t="s">
        <v>644</v>
      </c>
      <c r="B627" s="2">
        <v>0.25</v>
      </c>
      <c r="C627" s="2">
        <v>0</v>
      </c>
      <c r="D627" s="2">
        <v>0.91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</row>
    <row r="628" spans="1:19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</row>
    <row r="629" spans="1:19" ht="13.9" x14ac:dyDescent="0.3">
      <c r="A629" s="2" t="s">
        <v>646</v>
      </c>
      <c r="B629" s="2">
        <v>0.88</v>
      </c>
      <c r="C629" s="2">
        <v>0.67</v>
      </c>
      <c r="D629" s="2">
        <v>0</v>
      </c>
      <c r="E629" s="2">
        <v>0.49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0.33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</row>
    <row r="630" spans="1:19" ht="13.9" x14ac:dyDescent="0.3">
      <c r="A630" s="2" t="s">
        <v>647</v>
      </c>
      <c r="B630" s="2">
        <v>0</v>
      </c>
      <c r="C630" s="2">
        <v>1.1100000000000001</v>
      </c>
      <c r="D630" s="2">
        <v>0</v>
      </c>
      <c r="E630" s="2">
        <v>0</v>
      </c>
      <c r="F630" s="2">
        <v>0</v>
      </c>
      <c r="G630" s="2">
        <v>0</v>
      </c>
      <c r="H630" s="2">
        <v>0.93</v>
      </c>
      <c r="I630" s="2">
        <v>0</v>
      </c>
      <c r="J630" s="2">
        <v>0</v>
      </c>
      <c r="K630" s="2">
        <v>11.01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</row>
    <row r="631" spans="1:19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</row>
    <row r="632" spans="1:19" ht="13.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0.72</v>
      </c>
      <c r="R632" s="2">
        <v>0</v>
      </c>
      <c r="S632" s="2">
        <v>0</v>
      </c>
    </row>
    <row r="633" spans="1:19" ht="13.9" x14ac:dyDescent="0.3">
      <c r="A633" s="2" t="s">
        <v>650</v>
      </c>
      <c r="B633" s="2">
        <v>622.72</v>
      </c>
      <c r="C633" s="2">
        <v>665.74</v>
      </c>
      <c r="D633" s="2">
        <v>474.21</v>
      </c>
      <c r="E633" s="2">
        <v>563.07000000000005</v>
      </c>
      <c r="F633" s="2">
        <v>700.22</v>
      </c>
      <c r="G633" s="2">
        <v>557.49</v>
      </c>
      <c r="H633" s="2">
        <v>534.51</v>
      </c>
      <c r="I633" s="2">
        <v>327.01</v>
      </c>
      <c r="J633" s="2">
        <v>764.17</v>
      </c>
      <c r="K633" s="2">
        <v>234.01</v>
      </c>
      <c r="L633" s="2">
        <v>286</v>
      </c>
      <c r="M633" s="2">
        <v>109.95</v>
      </c>
      <c r="N633" s="2">
        <v>278.85000000000002</v>
      </c>
      <c r="O633" s="2">
        <v>442.55</v>
      </c>
      <c r="P633" s="2">
        <v>256.52999999999997</v>
      </c>
      <c r="Q633" s="2">
        <v>283.49</v>
      </c>
      <c r="R633" s="2">
        <v>579.91999999999996</v>
      </c>
      <c r="S633" s="2">
        <v>525.37</v>
      </c>
    </row>
    <row r="634" spans="1:19" ht="13.9" x14ac:dyDescent="0.3">
      <c r="A634" s="2" t="s">
        <v>651</v>
      </c>
      <c r="B634" s="2">
        <v>0</v>
      </c>
      <c r="C634" s="2">
        <v>0.33</v>
      </c>
      <c r="D634" s="2">
        <v>0.79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</row>
    <row r="635" spans="1:19" ht="13.9" x14ac:dyDescent="0.3">
      <c r="A635" s="2" t="s">
        <v>652</v>
      </c>
      <c r="B635" s="2">
        <v>135.32</v>
      </c>
      <c r="C635" s="2">
        <v>85.27</v>
      </c>
      <c r="D635" s="2">
        <v>157.81</v>
      </c>
      <c r="E635" s="2">
        <v>143.33000000000001</v>
      </c>
      <c r="F635" s="2">
        <v>102.55</v>
      </c>
      <c r="G635" s="2">
        <v>155.13</v>
      </c>
      <c r="H635" s="2">
        <v>123.78</v>
      </c>
      <c r="I635" s="2">
        <v>81.75</v>
      </c>
      <c r="J635" s="2">
        <v>117.75</v>
      </c>
      <c r="K635" s="2">
        <v>71.97</v>
      </c>
      <c r="L635" s="2">
        <v>130.13</v>
      </c>
      <c r="M635" s="2">
        <v>136.66</v>
      </c>
      <c r="N635" s="2">
        <v>155.58000000000001</v>
      </c>
      <c r="O635" s="2">
        <v>146.13</v>
      </c>
      <c r="P635" s="2">
        <v>140.01</v>
      </c>
      <c r="Q635" s="2">
        <v>107.43</v>
      </c>
      <c r="R635" s="2">
        <v>159.68</v>
      </c>
      <c r="S635" s="2">
        <v>130.21</v>
      </c>
    </row>
    <row r="636" spans="1:19" ht="13.9" x14ac:dyDescent="0.3">
      <c r="A636" s="2" t="s">
        <v>653</v>
      </c>
      <c r="B636" s="2">
        <v>0</v>
      </c>
      <c r="C636" s="2">
        <v>1.55</v>
      </c>
      <c r="D636" s="2">
        <v>0</v>
      </c>
      <c r="E636" s="2">
        <v>0</v>
      </c>
      <c r="F636" s="2">
        <v>0</v>
      </c>
      <c r="G636" s="2">
        <v>0.84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</row>
    <row r="637" spans="1:19" ht="13.9" x14ac:dyDescent="0.3">
      <c r="A637" s="2" t="s">
        <v>654</v>
      </c>
      <c r="B637" s="2">
        <v>0.13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</row>
    <row r="638" spans="1:19" ht="13.9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4.01</v>
      </c>
      <c r="Q638" s="2">
        <v>0</v>
      </c>
      <c r="R638" s="2">
        <v>0</v>
      </c>
      <c r="S638" s="2">
        <v>0</v>
      </c>
    </row>
    <row r="639" spans="1:19" ht="13.9" x14ac:dyDescent="0.3">
      <c r="A639" s="2" t="s">
        <v>656</v>
      </c>
      <c r="B639" s="2">
        <v>0</v>
      </c>
      <c r="C639" s="2">
        <v>0.33</v>
      </c>
      <c r="D639" s="2">
        <v>0</v>
      </c>
      <c r="E639" s="2">
        <v>0.3</v>
      </c>
      <c r="F639" s="2">
        <v>0</v>
      </c>
      <c r="G639" s="2">
        <v>0</v>
      </c>
      <c r="H639" s="2">
        <v>0.1</v>
      </c>
      <c r="I639" s="2">
        <v>0</v>
      </c>
      <c r="J639" s="2">
        <v>0.95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</row>
    <row r="640" spans="1:19" ht="13.9" x14ac:dyDescent="0.3">
      <c r="A640" s="2" t="s">
        <v>657</v>
      </c>
      <c r="B640" s="2">
        <v>0</v>
      </c>
      <c r="C640" s="2">
        <v>0.11</v>
      </c>
      <c r="D640" s="2">
        <v>0.11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</row>
    <row r="641" spans="1:19" ht="13.9" x14ac:dyDescent="0.3">
      <c r="A641" s="2" t="s">
        <v>658</v>
      </c>
      <c r="B641" s="2">
        <v>0</v>
      </c>
      <c r="C641" s="2">
        <v>0</v>
      </c>
      <c r="D641" s="2">
        <v>0.45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</row>
    <row r="642" spans="1:19" ht="13.9" x14ac:dyDescent="0.3">
      <c r="A642" s="2" t="s">
        <v>659</v>
      </c>
      <c r="B642" s="2">
        <v>1.01</v>
      </c>
      <c r="C642" s="2">
        <v>0.22</v>
      </c>
      <c r="D642" s="2">
        <v>0.56999999999999995</v>
      </c>
      <c r="E642" s="2">
        <v>0.1</v>
      </c>
      <c r="F642" s="2">
        <v>0.67</v>
      </c>
      <c r="G642" s="2">
        <v>0</v>
      </c>
      <c r="H642" s="2">
        <v>0.72</v>
      </c>
      <c r="I642" s="2">
        <v>0</v>
      </c>
      <c r="J642" s="2">
        <v>0.68</v>
      </c>
      <c r="K642" s="2">
        <v>0</v>
      </c>
      <c r="L642" s="2">
        <v>0</v>
      </c>
      <c r="M642" s="2">
        <v>0</v>
      </c>
      <c r="N642" s="2">
        <v>0</v>
      </c>
      <c r="O642" s="2">
        <v>1.22</v>
      </c>
      <c r="P642" s="2">
        <v>0</v>
      </c>
      <c r="Q642" s="2">
        <v>0</v>
      </c>
      <c r="R642" s="2">
        <v>0</v>
      </c>
      <c r="S642" s="2">
        <v>0</v>
      </c>
    </row>
    <row r="643" spans="1:19" ht="13.9" x14ac:dyDescent="0.3">
      <c r="A643" s="2" t="s">
        <v>660</v>
      </c>
      <c r="B643" s="2">
        <v>1.01</v>
      </c>
      <c r="C643" s="2">
        <v>0.22</v>
      </c>
      <c r="D643" s="2">
        <v>0.56999999999999995</v>
      </c>
      <c r="E643" s="2">
        <v>0.1</v>
      </c>
      <c r="F643" s="2">
        <v>0.67</v>
      </c>
      <c r="G643" s="2">
        <v>0</v>
      </c>
      <c r="H643" s="2">
        <v>0.72</v>
      </c>
      <c r="I643" s="2">
        <v>0</v>
      </c>
      <c r="J643" s="2">
        <v>0.68</v>
      </c>
      <c r="K643" s="2">
        <v>0</v>
      </c>
      <c r="L643" s="2">
        <v>0</v>
      </c>
      <c r="M643" s="2">
        <v>0</v>
      </c>
      <c r="N643" s="2">
        <v>0</v>
      </c>
      <c r="O643" s="2">
        <v>1.22</v>
      </c>
      <c r="P643" s="2">
        <v>0</v>
      </c>
      <c r="Q643" s="2">
        <v>0</v>
      </c>
      <c r="R643" s="2">
        <v>0</v>
      </c>
      <c r="S643" s="2">
        <v>0</v>
      </c>
    </row>
    <row r="644" spans="1:19" ht="13.9" x14ac:dyDescent="0.3">
      <c r="A644" s="2" t="s">
        <v>661</v>
      </c>
      <c r="B644" s="2">
        <v>3.9</v>
      </c>
      <c r="C644" s="2">
        <v>3.22</v>
      </c>
      <c r="D644" s="2">
        <v>4.08</v>
      </c>
      <c r="E644" s="2">
        <v>1.48</v>
      </c>
      <c r="F644" s="2">
        <v>1.2</v>
      </c>
      <c r="G644" s="2">
        <v>2.11</v>
      </c>
      <c r="H644" s="2">
        <v>2.57</v>
      </c>
      <c r="I644" s="2">
        <v>0</v>
      </c>
      <c r="J644" s="2">
        <v>2.44</v>
      </c>
      <c r="K644" s="2">
        <v>5.1100000000000003</v>
      </c>
      <c r="L644" s="2">
        <v>10.41</v>
      </c>
      <c r="M644" s="2">
        <v>0</v>
      </c>
      <c r="N644" s="2">
        <v>0</v>
      </c>
      <c r="O644" s="2">
        <v>0.24</v>
      </c>
      <c r="P644" s="2">
        <v>0</v>
      </c>
      <c r="Q644" s="2">
        <v>0.18</v>
      </c>
      <c r="R644" s="2">
        <v>0</v>
      </c>
      <c r="S644" s="2">
        <v>7.04</v>
      </c>
    </row>
    <row r="645" spans="1:19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</row>
    <row r="646" spans="1:19" ht="13.9" x14ac:dyDescent="0.3">
      <c r="A646" s="2" t="s">
        <v>663</v>
      </c>
      <c r="B646" s="2">
        <v>0.63</v>
      </c>
      <c r="C646" s="2">
        <v>2.2200000000000002</v>
      </c>
      <c r="D646" s="2">
        <v>0.79</v>
      </c>
      <c r="E646" s="2">
        <v>0.69</v>
      </c>
      <c r="F646" s="2">
        <v>0.4</v>
      </c>
      <c r="G646" s="2">
        <v>0</v>
      </c>
      <c r="H646" s="2">
        <v>0.21</v>
      </c>
      <c r="I646" s="2">
        <v>0</v>
      </c>
      <c r="J646" s="2">
        <v>2.0299999999999998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</row>
    <row r="647" spans="1:19" ht="13.9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1.95</v>
      </c>
      <c r="P647" s="2">
        <v>0</v>
      </c>
      <c r="Q647" s="2">
        <v>0</v>
      </c>
      <c r="R647" s="2">
        <v>0</v>
      </c>
      <c r="S647" s="2">
        <v>0</v>
      </c>
    </row>
    <row r="648" spans="1:19" ht="13.9" x14ac:dyDescent="0.3">
      <c r="A648" s="2" t="s">
        <v>665</v>
      </c>
      <c r="B648" s="2">
        <v>1.26</v>
      </c>
      <c r="C648" s="2">
        <v>3.44</v>
      </c>
      <c r="D648" s="2">
        <v>1.82</v>
      </c>
      <c r="E648" s="2">
        <v>0</v>
      </c>
      <c r="F648" s="2">
        <v>2.27</v>
      </c>
      <c r="G648" s="2">
        <v>1.58</v>
      </c>
      <c r="H648" s="2">
        <v>0.62</v>
      </c>
      <c r="I648" s="2">
        <v>0</v>
      </c>
      <c r="J648" s="2">
        <v>0.14000000000000001</v>
      </c>
      <c r="K648" s="2">
        <v>0</v>
      </c>
      <c r="L648" s="2">
        <v>0.28999999999999998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</row>
    <row r="649" spans="1:19" ht="13.9" x14ac:dyDescent="0.3">
      <c r="A649" s="2" t="s">
        <v>666</v>
      </c>
      <c r="B649" s="2">
        <v>1.89</v>
      </c>
      <c r="C649" s="2">
        <v>0</v>
      </c>
      <c r="D649" s="2">
        <v>1.02</v>
      </c>
      <c r="E649" s="2">
        <v>0.3</v>
      </c>
      <c r="F649" s="2">
        <v>0.27</v>
      </c>
      <c r="G649" s="2">
        <v>0</v>
      </c>
      <c r="H649" s="2">
        <v>0.72</v>
      </c>
      <c r="I649" s="2">
        <v>0</v>
      </c>
      <c r="J649" s="2">
        <v>1.89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7.95</v>
      </c>
      <c r="S649" s="2">
        <v>0</v>
      </c>
    </row>
    <row r="650" spans="1:19" ht="13.9" x14ac:dyDescent="0.3">
      <c r="A650" s="2" t="s">
        <v>667</v>
      </c>
      <c r="B650" s="2">
        <v>1.1299999999999999</v>
      </c>
      <c r="C650" s="2">
        <v>0.33</v>
      </c>
      <c r="D650" s="2">
        <v>0.91</v>
      </c>
      <c r="E650" s="2">
        <v>0.89</v>
      </c>
      <c r="F650" s="2">
        <v>0.67</v>
      </c>
      <c r="G650" s="2">
        <v>0.63</v>
      </c>
      <c r="H650" s="2">
        <v>0.31</v>
      </c>
      <c r="I650" s="2">
        <v>0</v>
      </c>
      <c r="J650" s="2">
        <v>0.81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0.36</v>
      </c>
      <c r="R650" s="2">
        <v>0</v>
      </c>
      <c r="S650" s="2">
        <v>0</v>
      </c>
    </row>
    <row r="651" spans="1:19" ht="13.9" x14ac:dyDescent="0.3">
      <c r="A651" s="2" t="s">
        <v>668</v>
      </c>
      <c r="B651" s="2">
        <v>2.77</v>
      </c>
      <c r="C651" s="2">
        <v>1.33</v>
      </c>
      <c r="D651" s="2">
        <v>0.79</v>
      </c>
      <c r="E651" s="2">
        <v>0.3</v>
      </c>
      <c r="F651" s="2">
        <v>0</v>
      </c>
      <c r="G651" s="2">
        <v>1.9</v>
      </c>
      <c r="H651" s="2">
        <v>0.51</v>
      </c>
      <c r="I651" s="2">
        <v>40.880000000000003</v>
      </c>
      <c r="J651" s="2">
        <v>1.49</v>
      </c>
      <c r="K651" s="2">
        <v>0.79</v>
      </c>
      <c r="L651" s="2">
        <v>0</v>
      </c>
      <c r="M651" s="2">
        <v>0</v>
      </c>
      <c r="N651" s="2">
        <v>0</v>
      </c>
      <c r="O651" s="2">
        <v>0</v>
      </c>
      <c r="P651" s="2">
        <v>10.92</v>
      </c>
      <c r="Q651" s="2">
        <v>0</v>
      </c>
      <c r="R651" s="2">
        <v>0</v>
      </c>
      <c r="S651" s="2">
        <v>0.5</v>
      </c>
    </row>
    <row r="652" spans="1:19" ht="13.9" x14ac:dyDescent="0.3">
      <c r="A652" s="2" t="s">
        <v>669</v>
      </c>
      <c r="B652" s="2">
        <v>0</v>
      </c>
      <c r="C652" s="2">
        <v>0</v>
      </c>
      <c r="D652" s="2">
        <v>0.68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</row>
    <row r="653" spans="1:19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0.1</v>
      </c>
      <c r="I653" s="2">
        <v>0</v>
      </c>
      <c r="J653" s="2">
        <v>0.14000000000000001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</row>
    <row r="654" spans="1:19" ht="13.9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1.95</v>
      </c>
      <c r="P654" s="2">
        <v>0</v>
      </c>
      <c r="Q654" s="2">
        <v>0</v>
      </c>
      <c r="R654" s="2">
        <v>0</v>
      </c>
      <c r="S654" s="2">
        <v>0</v>
      </c>
    </row>
    <row r="655" spans="1:19" ht="13.9" x14ac:dyDescent="0.3">
      <c r="A655" s="2" t="s">
        <v>672</v>
      </c>
      <c r="B655" s="2">
        <v>6.29</v>
      </c>
      <c r="C655" s="2">
        <v>5.32</v>
      </c>
      <c r="D655" s="2">
        <v>4.99</v>
      </c>
      <c r="E655" s="2">
        <v>4.4400000000000004</v>
      </c>
      <c r="F655" s="2">
        <v>3.48</v>
      </c>
      <c r="G655" s="2">
        <v>4.53</v>
      </c>
      <c r="H655" s="2">
        <v>4.84</v>
      </c>
      <c r="I655" s="2">
        <v>0</v>
      </c>
      <c r="J655" s="2">
        <v>4.74</v>
      </c>
      <c r="K655" s="2">
        <v>5.1100000000000003</v>
      </c>
      <c r="L655" s="2">
        <v>10.41</v>
      </c>
      <c r="M655" s="2">
        <v>1.04</v>
      </c>
      <c r="N655" s="2">
        <v>8.57</v>
      </c>
      <c r="O655" s="2">
        <v>0.98</v>
      </c>
      <c r="P655" s="2">
        <v>0.18</v>
      </c>
      <c r="Q655" s="2">
        <v>0.18</v>
      </c>
      <c r="R655" s="2">
        <v>4.1900000000000004</v>
      </c>
      <c r="S655" s="2">
        <v>7.04</v>
      </c>
    </row>
    <row r="656" spans="1:19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>
        <v>0.62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</row>
    <row r="657" spans="1:19" ht="13.9" x14ac:dyDescent="0.3">
      <c r="A657" s="2" t="s">
        <v>674</v>
      </c>
      <c r="B657" s="2">
        <v>1.01</v>
      </c>
      <c r="C657" s="2">
        <v>0.22</v>
      </c>
      <c r="D657" s="2">
        <v>0.56999999999999995</v>
      </c>
      <c r="E657" s="2">
        <v>0.1</v>
      </c>
      <c r="F657" s="2">
        <v>0.67</v>
      </c>
      <c r="G657" s="2">
        <v>0</v>
      </c>
      <c r="H657" s="2">
        <v>0.72</v>
      </c>
      <c r="I657" s="2">
        <v>0</v>
      </c>
      <c r="J657" s="2">
        <v>0.68</v>
      </c>
      <c r="K657" s="2">
        <v>0</v>
      </c>
      <c r="L657" s="2">
        <v>0</v>
      </c>
      <c r="M657" s="2">
        <v>0</v>
      </c>
      <c r="N657" s="2">
        <v>0</v>
      </c>
      <c r="O657" s="2">
        <v>1.22</v>
      </c>
      <c r="P657" s="2">
        <v>0</v>
      </c>
      <c r="Q657" s="2">
        <v>0</v>
      </c>
      <c r="R657" s="2">
        <v>0</v>
      </c>
      <c r="S657" s="2">
        <v>0</v>
      </c>
    </row>
    <row r="658" spans="1:19" ht="13.9" x14ac:dyDescent="0.3">
      <c r="A658" s="2" t="s">
        <v>675</v>
      </c>
      <c r="B658" s="2">
        <v>0.76</v>
      </c>
      <c r="C658" s="2">
        <v>0.11</v>
      </c>
      <c r="D658" s="2">
        <v>0.23</v>
      </c>
      <c r="E658" s="2">
        <v>0.1</v>
      </c>
      <c r="F658" s="2">
        <v>0.53</v>
      </c>
      <c r="G658" s="2">
        <v>0</v>
      </c>
      <c r="H658" s="2">
        <v>0.72</v>
      </c>
      <c r="I658" s="2">
        <v>0</v>
      </c>
      <c r="J658" s="2">
        <v>0.41</v>
      </c>
      <c r="K658" s="2">
        <v>0</v>
      </c>
      <c r="L658" s="2">
        <v>0</v>
      </c>
      <c r="M658" s="2">
        <v>0</v>
      </c>
      <c r="N658" s="2">
        <v>0</v>
      </c>
      <c r="O658" s="2">
        <v>1.22</v>
      </c>
      <c r="P658" s="2">
        <v>0</v>
      </c>
      <c r="Q658" s="2">
        <v>0</v>
      </c>
      <c r="R658" s="2">
        <v>0</v>
      </c>
      <c r="S658" s="2">
        <v>0</v>
      </c>
    </row>
    <row r="659" spans="1:19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0.27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</row>
    <row r="660" spans="1:19" ht="13.9" x14ac:dyDescent="0.3">
      <c r="A660" s="2" t="s">
        <v>677</v>
      </c>
      <c r="B660" s="2">
        <v>0</v>
      </c>
      <c r="C660" s="2">
        <v>0</v>
      </c>
      <c r="D660" s="2">
        <v>0.34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</row>
    <row r="661" spans="1:19" ht="13.9" x14ac:dyDescent="0.3">
      <c r="A661" s="2" t="s">
        <v>678</v>
      </c>
      <c r="B661" s="2">
        <v>1.38</v>
      </c>
      <c r="C661" s="2">
        <v>0.78</v>
      </c>
      <c r="D661" s="2">
        <v>1.36</v>
      </c>
      <c r="E661" s="2">
        <v>3.26</v>
      </c>
      <c r="F661" s="2">
        <v>0.8</v>
      </c>
      <c r="G661" s="2">
        <v>3.06</v>
      </c>
      <c r="H661" s="2">
        <v>1.44</v>
      </c>
      <c r="I661" s="2">
        <v>0</v>
      </c>
      <c r="J661" s="2">
        <v>0.54</v>
      </c>
      <c r="K661" s="2">
        <v>0</v>
      </c>
      <c r="L661" s="2">
        <v>0</v>
      </c>
      <c r="M661" s="2">
        <v>0</v>
      </c>
      <c r="N661" s="2">
        <v>5.6</v>
      </c>
      <c r="O661" s="2">
        <v>0</v>
      </c>
      <c r="P661" s="2">
        <v>4.92</v>
      </c>
      <c r="Q661" s="2">
        <v>0</v>
      </c>
      <c r="R661" s="2">
        <v>0</v>
      </c>
      <c r="S661" s="2">
        <v>9.0500000000000007</v>
      </c>
    </row>
    <row r="662" spans="1:19" ht="13.9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1.95</v>
      </c>
      <c r="P662" s="2">
        <v>0</v>
      </c>
      <c r="Q662" s="2">
        <v>0</v>
      </c>
      <c r="R662" s="2">
        <v>0</v>
      </c>
      <c r="S662" s="2">
        <v>0</v>
      </c>
    </row>
    <row r="663" spans="1:19" ht="13.9" x14ac:dyDescent="0.3">
      <c r="A663" s="2" t="s">
        <v>680</v>
      </c>
      <c r="B663" s="2">
        <v>1.01</v>
      </c>
      <c r="C663" s="2">
        <v>0.22</v>
      </c>
      <c r="D663" s="2">
        <v>0.56999999999999995</v>
      </c>
      <c r="E663" s="2">
        <v>0.1</v>
      </c>
      <c r="F663" s="2">
        <v>0.67</v>
      </c>
      <c r="G663" s="2">
        <v>0</v>
      </c>
      <c r="H663" s="2">
        <v>0.72</v>
      </c>
      <c r="I663" s="2">
        <v>0</v>
      </c>
      <c r="J663" s="2">
        <v>0.68</v>
      </c>
      <c r="K663" s="2">
        <v>0</v>
      </c>
      <c r="L663" s="2">
        <v>0</v>
      </c>
      <c r="M663" s="2">
        <v>0</v>
      </c>
      <c r="N663" s="2">
        <v>0</v>
      </c>
      <c r="O663" s="2">
        <v>1.22</v>
      </c>
      <c r="P663" s="2">
        <v>0</v>
      </c>
      <c r="Q663" s="2">
        <v>0</v>
      </c>
      <c r="R663" s="2">
        <v>0</v>
      </c>
      <c r="S663" s="2">
        <v>0</v>
      </c>
    </row>
    <row r="664" spans="1:19" ht="13.9" x14ac:dyDescent="0.3">
      <c r="A664" s="2" t="s">
        <v>681</v>
      </c>
      <c r="B664" s="2">
        <v>0.25</v>
      </c>
      <c r="C664" s="2">
        <v>0.67</v>
      </c>
      <c r="D664" s="2">
        <v>1.59</v>
      </c>
      <c r="E664" s="2">
        <v>3.36</v>
      </c>
      <c r="F664" s="2">
        <v>0</v>
      </c>
      <c r="G664" s="2">
        <v>2.74</v>
      </c>
      <c r="H664" s="2">
        <v>1.75</v>
      </c>
      <c r="I664" s="2">
        <v>0</v>
      </c>
      <c r="J664" s="2">
        <v>0.27</v>
      </c>
      <c r="K664" s="2">
        <v>0</v>
      </c>
      <c r="L664" s="2">
        <v>0</v>
      </c>
      <c r="M664" s="2">
        <v>0</v>
      </c>
      <c r="N664" s="2">
        <v>3.63</v>
      </c>
      <c r="O664" s="2">
        <v>0</v>
      </c>
      <c r="P664" s="2">
        <v>0</v>
      </c>
      <c r="Q664" s="2">
        <v>0.54</v>
      </c>
      <c r="R664" s="2">
        <v>0</v>
      </c>
      <c r="S664" s="2">
        <v>7.04</v>
      </c>
    </row>
    <row r="665" spans="1:19" ht="13.9" x14ac:dyDescent="0.3">
      <c r="A665" s="2" t="s">
        <v>682</v>
      </c>
      <c r="B665" s="2">
        <v>31.72</v>
      </c>
      <c r="C665" s="2">
        <v>18.63</v>
      </c>
      <c r="D665" s="2">
        <v>26.21</v>
      </c>
      <c r="E665" s="2">
        <v>30.9</v>
      </c>
      <c r="F665" s="2">
        <v>16.04</v>
      </c>
      <c r="G665" s="2">
        <v>22.97</v>
      </c>
      <c r="H665" s="2">
        <v>27.16</v>
      </c>
      <c r="I665" s="2">
        <v>0</v>
      </c>
      <c r="J665" s="2">
        <v>14.89</v>
      </c>
      <c r="K665" s="2">
        <v>4.46</v>
      </c>
      <c r="L665" s="2">
        <v>8.1</v>
      </c>
      <c r="M665" s="2">
        <v>4.41</v>
      </c>
      <c r="N665" s="2">
        <v>10.55</v>
      </c>
      <c r="O665" s="2">
        <v>10.49</v>
      </c>
      <c r="P665" s="2">
        <v>7.83</v>
      </c>
      <c r="Q665" s="2">
        <v>10.6</v>
      </c>
      <c r="R665" s="2">
        <v>18.21</v>
      </c>
      <c r="S665" s="2">
        <v>12.07</v>
      </c>
    </row>
    <row r="666" spans="1:19" ht="13.9" x14ac:dyDescent="0.3">
      <c r="A666" s="2" t="s">
        <v>683</v>
      </c>
      <c r="B666" s="2">
        <v>1.01</v>
      </c>
      <c r="C666" s="2">
        <v>0.22</v>
      </c>
      <c r="D666" s="2">
        <v>0.11</v>
      </c>
      <c r="E666" s="2">
        <v>1.18</v>
      </c>
      <c r="F666" s="2">
        <v>0</v>
      </c>
      <c r="G666" s="2">
        <v>0.11</v>
      </c>
      <c r="H666" s="2">
        <v>0.82</v>
      </c>
      <c r="I666" s="2">
        <v>0</v>
      </c>
      <c r="J666" s="2">
        <v>1.22</v>
      </c>
      <c r="K666" s="2">
        <v>0</v>
      </c>
      <c r="L666" s="2">
        <v>0</v>
      </c>
      <c r="M666" s="2">
        <v>0</v>
      </c>
      <c r="N666" s="2">
        <v>0</v>
      </c>
      <c r="O666" s="2">
        <v>2.68</v>
      </c>
      <c r="P666" s="2">
        <v>0</v>
      </c>
      <c r="Q666" s="2">
        <v>0</v>
      </c>
      <c r="R666" s="2">
        <v>0</v>
      </c>
      <c r="S666" s="2">
        <v>0</v>
      </c>
    </row>
    <row r="667" spans="1:19" ht="13.9" x14ac:dyDescent="0.3">
      <c r="A667" s="2" t="s">
        <v>684</v>
      </c>
      <c r="B667" s="2">
        <v>0</v>
      </c>
      <c r="C667" s="2">
        <v>0.22</v>
      </c>
      <c r="D667" s="2">
        <v>0</v>
      </c>
      <c r="E667" s="2">
        <v>0.1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</row>
    <row r="668" spans="1:19" ht="13.9" x14ac:dyDescent="0.3">
      <c r="A668" s="2" t="s">
        <v>685</v>
      </c>
      <c r="B668" s="2">
        <v>0.88</v>
      </c>
      <c r="C668" s="2">
        <v>1.77</v>
      </c>
      <c r="D668" s="2">
        <v>0</v>
      </c>
      <c r="E668" s="2">
        <v>0.39</v>
      </c>
      <c r="F668" s="2">
        <v>0.13</v>
      </c>
      <c r="G668" s="2">
        <v>1.37</v>
      </c>
      <c r="H668" s="2">
        <v>1.54</v>
      </c>
      <c r="I668" s="2">
        <v>0</v>
      </c>
      <c r="J668" s="2">
        <v>0.81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</row>
    <row r="669" spans="1:19" ht="13.9" x14ac:dyDescent="0.3">
      <c r="A669" s="2" t="s">
        <v>686</v>
      </c>
      <c r="B669" s="2">
        <v>1.89</v>
      </c>
      <c r="C669" s="2">
        <v>0</v>
      </c>
      <c r="D669" s="2">
        <v>1.02</v>
      </c>
      <c r="E669" s="2">
        <v>0.3</v>
      </c>
      <c r="F669" s="2">
        <v>0.27</v>
      </c>
      <c r="G669" s="2">
        <v>0</v>
      </c>
      <c r="H669" s="2">
        <v>0.72</v>
      </c>
      <c r="I669" s="2">
        <v>0</v>
      </c>
      <c r="J669" s="2">
        <v>1.89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7.95</v>
      </c>
      <c r="S669" s="2">
        <v>0</v>
      </c>
    </row>
    <row r="670" spans="1:19" ht="13.9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0.13</v>
      </c>
      <c r="G670" s="2">
        <v>0</v>
      </c>
      <c r="H670" s="2">
        <v>0</v>
      </c>
      <c r="I670" s="2">
        <v>0</v>
      </c>
      <c r="J670" s="2">
        <v>0.54</v>
      </c>
      <c r="K670" s="2">
        <v>0</v>
      </c>
      <c r="L670" s="2">
        <v>0</v>
      </c>
      <c r="M670" s="2">
        <v>0</v>
      </c>
      <c r="N670" s="2">
        <v>0</v>
      </c>
      <c r="O670" s="2">
        <v>2.2000000000000002</v>
      </c>
      <c r="P670" s="2">
        <v>0</v>
      </c>
      <c r="Q670" s="2">
        <v>0</v>
      </c>
      <c r="R670" s="2">
        <v>0</v>
      </c>
      <c r="S670" s="2">
        <v>0</v>
      </c>
    </row>
    <row r="671" spans="1:19" ht="13.9" x14ac:dyDescent="0.3">
      <c r="A671" s="2" t="s">
        <v>688</v>
      </c>
      <c r="B671" s="2">
        <v>0</v>
      </c>
      <c r="C671" s="2">
        <v>0.11</v>
      </c>
      <c r="D671" s="2">
        <v>0.11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</row>
    <row r="672" spans="1:19" ht="13.9" x14ac:dyDescent="0.3">
      <c r="A672" s="2" t="s">
        <v>689</v>
      </c>
      <c r="B672" s="2">
        <v>6.29</v>
      </c>
      <c r="C672" s="2">
        <v>5.32</v>
      </c>
      <c r="D672" s="2">
        <v>4.99</v>
      </c>
      <c r="E672" s="2">
        <v>4.4400000000000004</v>
      </c>
      <c r="F672" s="2">
        <v>3.48</v>
      </c>
      <c r="G672" s="2">
        <v>4.53</v>
      </c>
      <c r="H672" s="2">
        <v>4.84</v>
      </c>
      <c r="I672" s="2">
        <v>0</v>
      </c>
      <c r="J672" s="2">
        <v>4.74</v>
      </c>
      <c r="K672" s="2">
        <v>4.46</v>
      </c>
      <c r="L672" s="2">
        <v>10.41</v>
      </c>
      <c r="M672" s="2">
        <v>1.04</v>
      </c>
      <c r="N672" s="2">
        <v>8.57</v>
      </c>
      <c r="O672" s="2">
        <v>0.98</v>
      </c>
      <c r="P672" s="2">
        <v>0.18</v>
      </c>
      <c r="Q672" s="2">
        <v>0.18</v>
      </c>
      <c r="R672" s="2">
        <v>4.1900000000000004</v>
      </c>
      <c r="S672" s="2">
        <v>1.51</v>
      </c>
    </row>
    <row r="673" spans="1:19" ht="13.9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1.95</v>
      </c>
      <c r="P673" s="2">
        <v>0</v>
      </c>
      <c r="Q673" s="2">
        <v>0</v>
      </c>
      <c r="R673" s="2">
        <v>0</v>
      </c>
      <c r="S673" s="2">
        <v>0</v>
      </c>
    </row>
    <row r="674" spans="1:19" ht="13.9" x14ac:dyDescent="0.3">
      <c r="A674" s="2" t="s">
        <v>691</v>
      </c>
      <c r="B674" s="2">
        <v>3.9</v>
      </c>
      <c r="C674" s="2">
        <v>3.22</v>
      </c>
      <c r="D674" s="2">
        <v>4.08</v>
      </c>
      <c r="E674" s="2">
        <v>1.48</v>
      </c>
      <c r="F674" s="2">
        <v>1.2</v>
      </c>
      <c r="G674" s="2">
        <v>2.11</v>
      </c>
      <c r="H674" s="2">
        <v>2.57</v>
      </c>
      <c r="I674" s="2">
        <v>0</v>
      </c>
      <c r="J674" s="2">
        <v>2.44</v>
      </c>
      <c r="K674" s="2">
        <v>5.1100000000000003</v>
      </c>
      <c r="L674" s="2">
        <v>10.41</v>
      </c>
      <c r="M674" s="2">
        <v>0</v>
      </c>
      <c r="N674" s="2">
        <v>0</v>
      </c>
      <c r="O674" s="2">
        <v>0.24</v>
      </c>
      <c r="P674" s="2">
        <v>0</v>
      </c>
      <c r="Q674" s="2">
        <v>0.18</v>
      </c>
      <c r="R674" s="2">
        <v>0</v>
      </c>
      <c r="S674" s="2">
        <v>7.04</v>
      </c>
    </row>
    <row r="675" spans="1:19" ht="13.9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v>0.41</v>
      </c>
      <c r="I675" s="2">
        <v>0</v>
      </c>
      <c r="J675" s="2">
        <v>0.68</v>
      </c>
      <c r="K675" s="2">
        <v>0</v>
      </c>
      <c r="L675" s="2">
        <v>0</v>
      </c>
      <c r="M675" s="2">
        <v>0</v>
      </c>
      <c r="N675" s="2">
        <v>6.26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</row>
    <row r="676" spans="1:19" ht="13.9" x14ac:dyDescent="0.3">
      <c r="A676" s="2" t="s">
        <v>693</v>
      </c>
      <c r="B676" s="2">
        <v>2.77</v>
      </c>
      <c r="C676" s="2">
        <v>1.22</v>
      </c>
      <c r="D676" s="2">
        <v>0.79</v>
      </c>
      <c r="E676" s="2">
        <v>0.2</v>
      </c>
      <c r="F676" s="2">
        <v>0</v>
      </c>
      <c r="G676" s="2">
        <v>1.9</v>
      </c>
      <c r="H676" s="2">
        <v>0.31</v>
      </c>
      <c r="I676" s="2">
        <v>40.880000000000003</v>
      </c>
      <c r="J676" s="2">
        <v>2.2999999999999998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10.92</v>
      </c>
      <c r="Q676" s="2">
        <v>0</v>
      </c>
      <c r="R676" s="2">
        <v>0</v>
      </c>
      <c r="S676" s="2">
        <v>0</v>
      </c>
    </row>
    <row r="677" spans="1:19" ht="13.9" x14ac:dyDescent="0.3">
      <c r="A677" s="2" t="s">
        <v>694</v>
      </c>
      <c r="B677" s="2">
        <v>1.76</v>
      </c>
      <c r="C677" s="2">
        <v>0.44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0.81</v>
      </c>
      <c r="K677" s="2">
        <v>0</v>
      </c>
      <c r="L677" s="2">
        <v>0</v>
      </c>
      <c r="M677" s="2">
        <v>0</v>
      </c>
      <c r="N677" s="2">
        <v>5.6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</row>
    <row r="678" spans="1:19" ht="13.9" x14ac:dyDescent="0.3">
      <c r="A678" s="2" t="s">
        <v>695</v>
      </c>
      <c r="B678" s="2">
        <v>2.0099999999999998</v>
      </c>
      <c r="C678" s="2">
        <v>0.89</v>
      </c>
      <c r="D678" s="2">
        <v>2.61</v>
      </c>
      <c r="E678" s="2">
        <v>0.59</v>
      </c>
      <c r="F678" s="2">
        <v>0.27</v>
      </c>
      <c r="G678" s="2">
        <v>2</v>
      </c>
      <c r="H678" s="2">
        <v>1.65</v>
      </c>
      <c r="I678" s="2">
        <v>0</v>
      </c>
      <c r="J678" s="2">
        <v>2.2999999999999998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4.92</v>
      </c>
      <c r="Q678" s="2">
        <v>0</v>
      </c>
      <c r="R678" s="2">
        <v>0</v>
      </c>
      <c r="S678" s="2">
        <v>0</v>
      </c>
    </row>
    <row r="679" spans="1:19" ht="13.9" x14ac:dyDescent="0.3">
      <c r="A679" s="2" t="s">
        <v>696</v>
      </c>
      <c r="B679" s="2">
        <v>0</v>
      </c>
      <c r="C679" s="2">
        <v>0</v>
      </c>
      <c r="D679" s="2">
        <v>0.34</v>
      </c>
      <c r="E679" s="2">
        <v>0</v>
      </c>
      <c r="F679" s="2">
        <v>0</v>
      </c>
      <c r="G679" s="2">
        <v>0</v>
      </c>
      <c r="H679" s="2">
        <v>0.21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</row>
    <row r="680" spans="1:19" ht="13.9" x14ac:dyDescent="0.3">
      <c r="A680" s="2" t="s">
        <v>697</v>
      </c>
      <c r="B680" s="2">
        <v>0.63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0.27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</row>
    <row r="681" spans="1:19" ht="13.9" x14ac:dyDescent="0.3">
      <c r="A681" s="2" t="s">
        <v>698</v>
      </c>
      <c r="B681" s="2">
        <v>0</v>
      </c>
      <c r="C681" s="2">
        <v>0.22</v>
      </c>
      <c r="D681" s="2">
        <v>0</v>
      </c>
      <c r="E681" s="2">
        <v>0.1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</row>
    <row r="682" spans="1:19" ht="13.9" x14ac:dyDescent="0.3">
      <c r="A682" s="2" t="s">
        <v>699</v>
      </c>
      <c r="B682" s="2">
        <v>1.1299999999999999</v>
      </c>
      <c r="C682" s="2">
        <v>0</v>
      </c>
      <c r="D682" s="2">
        <v>1.25</v>
      </c>
      <c r="E682" s="2">
        <v>0</v>
      </c>
      <c r="F682" s="2">
        <v>0</v>
      </c>
      <c r="G682" s="2">
        <v>0</v>
      </c>
      <c r="H682" s="2">
        <v>0.1</v>
      </c>
      <c r="I682" s="2">
        <v>0</v>
      </c>
      <c r="J682" s="2">
        <v>0.27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0.18</v>
      </c>
      <c r="Q682" s="2">
        <v>0</v>
      </c>
      <c r="R682" s="2">
        <v>0.21</v>
      </c>
      <c r="S682" s="2">
        <v>0</v>
      </c>
    </row>
    <row r="683" spans="1:19" ht="13.9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0.63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12.69</v>
      </c>
      <c r="P683" s="2">
        <v>0</v>
      </c>
      <c r="Q683" s="2">
        <v>0</v>
      </c>
      <c r="R683" s="2">
        <v>0</v>
      </c>
      <c r="S683" s="2">
        <v>0</v>
      </c>
    </row>
    <row r="684" spans="1:19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0.1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</row>
    <row r="685" spans="1:19" ht="13.9" x14ac:dyDescent="0.3">
      <c r="A685" s="2" t="s">
        <v>702</v>
      </c>
      <c r="B685" s="2">
        <v>1.1299999999999999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0.21</v>
      </c>
      <c r="S685" s="2">
        <v>0</v>
      </c>
    </row>
    <row r="686" spans="1:19" ht="13.9" x14ac:dyDescent="0.3">
      <c r="A686" s="2" t="s">
        <v>703</v>
      </c>
      <c r="B686" s="2">
        <v>0</v>
      </c>
      <c r="C686" s="2">
        <v>0.44</v>
      </c>
      <c r="D686" s="2">
        <v>0.23</v>
      </c>
      <c r="E686" s="2">
        <v>0</v>
      </c>
      <c r="F686" s="2">
        <v>0</v>
      </c>
      <c r="G686" s="2">
        <v>0.21</v>
      </c>
      <c r="H686" s="2">
        <v>0</v>
      </c>
      <c r="I686" s="2">
        <v>0</v>
      </c>
      <c r="J686" s="2">
        <v>0.27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</row>
    <row r="687" spans="1:19" ht="13.9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2.02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</row>
    <row r="688" spans="1:19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</row>
    <row r="689" spans="1:19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</row>
    <row r="690" spans="1:19" ht="13.9" x14ac:dyDescent="0.3">
      <c r="A690" s="2" t="s">
        <v>707</v>
      </c>
      <c r="B690" s="2">
        <v>0.88</v>
      </c>
      <c r="C690" s="2">
        <v>0</v>
      </c>
      <c r="D690" s="2">
        <v>0.23</v>
      </c>
      <c r="E690" s="2">
        <v>0</v>
      </c>
      <c r="F690" s="2">
        <v>0.27</v>
      </c>
      <c r="G690" s="2">
        <v>0.84</v>
      </c>
      <c r="H690" s="2">
        <v>0.31</v>
      </c>
      <c r="I690" s="2">
        <v>0</v>
      </c>
      <c r="J690" s="2">
        <v>2.71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</row>
    <row r="691" spans="1:19" ht="13.9" x14ac:dyDescent="0.3">
      <c r="A691" s="2" t="s">
        <v>708</v>
      </c>
      <c r="B691" s="2">
        <v>0.13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0.14000000000000001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</row>
    <row r="692" spans="1:19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0.51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</row>
    <row r="693" spans="1:19" ht="13.9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13.47</v>
      </c>
      <c r="Q693" s="2">
        <v>0</v>
      </c>
      <c r="R693" s="2">
        <v>0</v>
      </c>
      <c r="S693" s="2">
        <v>0</v>
      </c>
    </row>
    <row r="694" spans="1:19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</row>
    <row r="695" spans="1:19" ht="13.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9.52</v>
      </c>
      <c r="R695" s="2">
        <v>0</v>
      </c>
      <c r="S695" s="2">
        <v>0</v>
      </c>
    </row>
    <row r="696" spans="1:19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</row>
    <row r="697" spans="1:19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</row>
    <row r="698" spans="1:19" ht="13.9" x14ac:dyDescent="0.3">
      <c r="A698" s="2" t="s">
        <v>715</v>
      </c>
      <c r="B698" s="2">
        <v>10.7</v>
      </c>
      <c r="C698" s="2">
        <v>13.31</v>
      </c>
      <c r="D698" s="2">
        <v>10.32</v>
      </c>
      <c r="E698" s="2">
        <v>4.1500000000000004</v>
      </c>
      <c r="F698" s="2">
        <v>17.649999999999999</v>
      </c>
      <c r="G698" s="2">
        <v>10.33</v>
      </c>
      <c r="H698" s="2">
        <v>6.69</v>
      </c>
      <c r="I698" s="2">
        <v>81.75</v>
      </c>
      <c r="J698" s="2">
        <v>18.14</v>
      </c>
      <c r="K698" s="2">
        <v>0.13</v>
      </c>
      <c r="L698" s="2">
        <v>4.34</v>
      </c>
      <c r="M698" s="2">
        <v>16.86</v>
      </c>
      <c r="N698" s="2">
        <v>5.6</v>
      </c>
      <c r="O698" s="2">
        <v>12.69</v>
      </c>
      <c r="P698" s="2">
        <v>5.46</v>
      </c>
      <c r="Q698" s="2">
        <v>6.47</v>
      </c>
      <c r="R698" s="2">
        <v>20.3</v>
      </c>
      <c r="S698" s="2">
        <v>34.19</v>
      </c>
    </row>
    <row r="699" spans="1:19" ht="13.9" x14ac:dyDescent="0.3">
      <c r="A699" s="2" t="s">
        <v>716</v>
      </c>
      <c r="B699" s="2">
        <v>0</v>
      </c>
      <c r="C699" s="2">
        <v>0</v>
      </c>
      <c r="D699" s="2">
        <v>0.23</v>
      </c>
      <c r="E699" s="2">
        <v>0.69</v>
      </c>
      <c r="F699" s="2">
        <v>0.27</v>
      </c>
      <c r="G699" s="2">
        <v>0.21</v>
      </c>
      <c r="H699" s="2">
        <v>1.34</v>
      </c>
      <c r="I699" s="2">
        <v>0</v>
      </c>
      <c r="J699" s="2">
        <v>1.08</v>
      </c>
      <c r="K699" s="2">
        <v>3.02</v>
      </c>
      <c r="L699" s="2">
        <v>0</v>
      </c>
      <c r="M699" s="2">
        <v>0</v>
      </c>
      <c r="N699" s="2">
        <v>1.32</v>
      </c>
      <c r="O699" s="2">
        <v>0</v>
      </c>
      <c r="P699" s="2">
        <v>0</v>
      </c>
      <c r="Q699" s="2">
        <v>1.62</v>
      </c>
      <c r="R699" s="2">
        <v>0</v>
      </c>
      <c r="S699" s="2">
        <v>7.04</v>
      </c>
    </row>
    <row r="700" spans="1:19" ht="13.9" x14ac:dyDescent="0.3">
      <c r="A700" s="2" t="s">
        <v>717</v>
      </c>
      <c r="B700" s="2">
        <v>51.11</v>
      </c>
      <c r="C700" s="2">
        <v>23.06</v>
      </c>
      <c r="D700" s="2">
        <v>55.7</v>
      </c>
      <c r="E700" s="2">
        <v>46.69</v>
      </c>
      <c r="F700" s="2">
        <v>27.68</v>
      </c>
      <c r="G700" s="2">
        <v>48.58</v>
      </c>
      <c r="H700" s="2">
        <v>31.38</v>
      </c>
      <c r="I700" s="2">
        <v>1185.42</v>
      </c>
      <c r="J700" s="2">
        <v>55.9</v>
      </c>
      <c r="K700" s="2">
        <v>405.61</v>
      </c>
      <c r="L700" s="2">
        <v>192.02</v>
      </c>
      <c r="M700" s="2">
        <v>351.39</v>
      </c>
      <c r="N700" s="2">
        <v>317.08999999999997</v>
      </c>
      <c r="O700" s="2">
        <v>119.05</v>
      </c>
      <c r="P700" s="2">
        <v>336.64</v>
      </c>
      <c r="Q700" s="2">
        <v>204.45</v>
      </c>
      <c r="R700" s="2">
        <v>114.06</v>
      </c>
      <c r="S700" s="2">
        <v>280.52999999999997</v>
      </c>
    </row>
    <row r="701" spans="1:19" ht="13.9" x14ac:dyDescent="0.3">
      <c r="A701" s="2" t="s">
        <v>718</v>
      </c>
      <c r="B701" s="2">
        <v>8.94</v>
      </c>
      <c r="C701" s="2">
        <v>15.75</v>
      </c>
      <c r="D701" s="2">
        <v>18.38</v>
      </c>
      <c r="E701" s="2">
        <v>16.68</v>
      </c>
      <c r="F701" s="2">
        <v>14.44</v>
      </c>
      <c r="G701" s="2">
        <v>11.7</v>
      </c>
      <c r="H701" s="2">
        <v>12.14</v>
      </c>
      <c r="I701" s="2">
        <v>0</v>
      </c>
      <c r="J701" s="2">
        <v>19.350000000000001</v>
      </c>
      <c r="K701" s="2">
        <v>4.46</v>
      </c>
      <c r="L701" s="2">
        <v>6.94</v>
      </c>
      <c r="M701" s="2">
        <v>10.63</v>
      </c>
      <c r="N701" s="2">
        <v>9.23</v>
      </c>
      <c r="O701" s="2">
        <v>0</v>
      </c>
      <c r="P701" s="2">
        <v>11.11</v>
      </c>
      <c r="Q701" s="2">
        <v>4.8499999999999996</v>
      </c>
      <c r="R701" s="2">
        <v>14.23</v>
      </c>
      <c r="S701" s="2">
        <v>8.5500000000000007</v>
      </c>
    </row>
    <row r="702" spans="1:19" ht="13.9" x14ac:dyDescent="0.3">
      <c r="A702" s="2" t="s">
        <v>719</v>
      </c>
      <c r="B702" s="2">
        <v>0.5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>
        <v>0</v>
      </c>
      <c r="I702" s="2">
        <v>0</v>
      </c>
      <c r="J702" s="2">
        <v>1.62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</row>
    <row r="703" spans="1:19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>
        <v>0.51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</row>
    <row r="704" spans="1:19" ht="13.9" x14ac:dyDescent="0.3">
      <c r="A704" s="2" t="s">
        <v>721</v>
      </c>
      <c r="B704" s="2">
        <v>2.39</v>
      </c>
      <c r="C704" s="2">
        <v>2.77</v>
      </c>
      <c r="D704" s="2">
        <v>2.95</v>
      </c>
      <c r="E704" s="2">
        <v>6.52</v>
      </c>
      <c r="F704" s="2">
        <v>3.48</v>
      </c>
      <c r="G704" s="2">
        <v>7.48</v>
      </c>
      <c r="H704" s="2">
        <v>4.22</v>
      </c>
      <c r="I704" s="2">
        <v>0</v>
      </c>
      <c r="J704" s="2">
        <v>1.62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</row>
    <row r="705" spans="1:19" ht="13.9" x14ac:dyDescent="0.3">
      <c r="A705" s="2" t="s">
        <v>722</v>
      </c>
      <c r="B705" s="2">
        <v>916.39</v>
      </c>
      <c r="C705" s="2">
        <v>932.41</v>
      </c>
      <c r="D705" s="2">
        <v>1088.76</v>
      </c>
      <c r="E705" s="2">
        <v>1105.51</v>
      </c>
      <c r="F705" s="2">
        <v>1006.41</v>
      </c>
      <c r="G705" s="2">
        <v>1138.27</v>
      </c>
      <c r="H705" s="2">
        <v>1306.5899999999999</v>
      </c>
      <c r="I705" s="2">
        <v>1062.79</v>
      </c>
      <c r="J705" s="2">
        <v>959.21</v>
      </c>
      <c r="K705" s="2">
        <v>304.54000000000002</v>
      </c>
      <c r="L705" s="2">
        <v>721.8</v>
      </c>
      <c r="M705" s="2">
        <v>391.06</v>
      </c>
      <c r="N705" s="2">
        <v>592.32000000000005</v>
      </c>
      <c r="O705" s="2">
        <v>865.58</v>
      </c>
      <c r="P705" s="2">
        <v>589.53</v>
      </c>
      <c r="Q705" s="2">
        <v>473.39</v>
      </c>
      <c r="R705" s="2">
        <v>674.51</v>
      </c>
      <c r="S705" s="2">
        <v>627.91999999999996</v>
      </c>
    </row>
    <row r="706" spans="1:19" ht="13.9" x14ac:dyDescent="0.3">
      <c r="A706" s="2" t="s">
        <v>723</v>
      </c>
      <c r="B706" s="2">
        <v>1.26</v>
      </c>
      <c r="C706" s="2">
        <v>1.22</v>
      </c>
      <c r="D706" s="2">
        <v>0.56999999999999995</v>
      </c>
      <c r="E706" s="2">
        <v>1.48</v>
      </c>
      <c r="F706" s="2">
        <v>1.47</v>
      </c>
      <c r="G706" s="2">
        <v>0.42</v>
      </c>
      <c r="H706" s="2">
        <v>2.2599999999999998</v>
      </c>
      <c r="I706" s="2">
        <v>0</v>
      </c>
      <c r="J706" s="2">
        <v>1.22</v>
      </c>
      <c r="K706" s="2">
        <v>0</v>
      </c>
      <c r="L706" s="2">
        <v>0</v>
      </c>
      <c r="M706" s="2">
        <v>14.78</v>
      </c>
      <c r="N706" s="2">
        <v>18.79</v>
      </c>
      <c r="O706" s="2">
        <v>0</v>
      </c>
      <c r="P706" s="2">
        <v>9.2899999999999991</v>
      </c>
      <c r="Q706" s="2">
        <v>9.8800000000000008</v>
      </c>
      <c r="R706" s="2">
        <v>0</v>
      </c>
      <c r="S706" s="2">
        <v>58.32</v>
      </c>
    </row>
    <row r="707" spans="1:19" ht="13.9" x14ac:dyDescent="0.3">
      <c r="A707" s="2" t="s">
        <v>724</v>
      </c>
      <c r="B707" s="2">
        <v>407.59</v>
      </c>
      <c r="C707" s="2">
        <v>314.13</v>
      </c>
      <c r="D707" s="2">
        <v>251.4</v>
      </c>
      <c r="E707" s="2">
        <v>352.61</v>
      </c>
      <c r="F707" s="2">
        <v>350.85</v>
      </c>
      <c r="G707" s="2">
        <v>304.77999999999997</v>
      </c>
      <c r="H707" s="2">
        <v>231.91</v>
      </c>
      <c r="I707" s="2">
        <v>286.13</v>
      </c>
      <c r="J707" s="2">
        <v>293.43</v>
      </c>
      <c r="K707" s="2">
        <v>187.73</v>
      </c>
      <c r="L707" s="2">
        <v>314.33999999999997</v>
      </c>
      <c r="M707" s="2">
        <v>88.17</v>
      </c>
      <c r="N707" s="2">
        <v>197.11</v>
      </c>
      <c r="O707" s="2">
        <v>134.91</v>
      </c>
      <c r="P707" s="2">
        <v>168.96</v>
      </c>
      <c r="Q707" s="2">
        <v>88.21</v>
      </c>
      <c r="R707" s="2">
        <v>157.59</v>
      </c>
      <c r="S707" s="2">
        <v>240.31</v>
      </c>
    </row>
    <row r="708" spans="1:19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0.72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</row>
    <row r="709" spans="1:19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</row>
    <row r="710" spans="1:19" ht="13.9" x14ac:dyDescent="0.3">
      <c r="A710" s="2" t="s">
        <v>727</v>
      </c>
      <c r="B710" s="2">
        <v>64.83</v>
      </c>
      <c r="C710" s="2">
        <v>36.04</v>
      </c>
      <c r="D710" s="2">
        <v>37.1</v>
      </c>
      <c r="E710" s="2">
        <v>46.69</v>
      </c>
      <c r="F710" s="2">
        <v>38.909999999999997</v>
      </c>
      <c r="G710" s="2">
        <v>45.95</v>
      </c>
      <c r="H710" s="2">
        <v>37.549999999999997</v>
      </c>
      <c r="I710" s="2">
        <v>327.01</v>
      </c>
      <c r="J710" s="2">
        <v>87.71</v>
      </c>
      <c r="K710" s="2">
        <v>16.649999999999999</v>
      </c>
      <c r="L710" s="2">
        <v>0.28999999999999998</v>
      </c>
      <c r="M710" s="2">
        <v>0.26</v>
      </c>
      <c r="N710" s="2">
        <v>1.32</v>
      </c>
      <c r="O710" s="2">
        <v>34.64</v>
      </c>
      <c r="P710" s="2">
        <v>11.29</v>
      </c>
      <c r="Q710" s="2">
        <v>20.66</v>
      </c>
      <c r="R710" s="2">
        <v>32.44</v>
      </c>
      <c r="S710" s="2">
        <v>81.44</v>
      </c>
    </row>
    <row r="711" spans="1:19" ht="13.9" x14ac:dyDescent="0.3">
      <c r="A711" s="2" t="s">
        <v>728</v>
      </c>
      <c r="B711" s="2">
        <v>1.26</v>
      </c>
      <c r="C711" s="2">
        <v>1</v>
      </c>
      <c r="D711" s="2">
        <v>2.84</v>
      </c>
      <c r="E711" s="2">
        <v>3.16</v>
      </c>
      <c r="F711" s="2">
        <v>2.54</v>
      </c>
      <c r="G711" s="2">
        <v>1.79</v>
      </c>
      <c r="H711" s="2">
        <v>2.98</v>
      </c>
      <c r="I711" s="2">
        <v>0</v>
      </c>
      <c r="J711" s="2">
        <v>2.2999999999999998</v>
      </c>
      <c r="K711" s="2">
        <v>9.31</v>
      </c>
      <c r="L711" s="2">
        <v>0</v>
      </c>
      <c r="M711" s="2">
        <v>0</v>
      </c>
      <c r="N711" s="2">
        <v>5.93</v>
      </c>
      <c r="O711" s="2">
        <v>0</v>
      </c>
      <c r="P711" s="2">
        <v>6.01</v>
      </c>
      <c r="Q711" s="2">
        <v>0</v>
      </c>
      <c r="R711" s="2">
        <v>0</v>
      </c>
      <c r="S711" s="2">
        <v>0</v>
      </c>
    </row>
    <row r="712" spans="1:19" ht="13.9" x14ac:dyDescent="0.3">
      <c r="A712" s="2" t="s">
        <v>729</v>
      </c>
      <c r="B712" s="2">
        <v>0.13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</row>
    <row r="713" spans="1:19" ht="13.9" x14ac:dyDescent="0.3">
      <c r="A713" s="2" t="s">
        <v>730</v>
      </c>
      <c r="B713" s="2">
        <v>1.89</v>
      </c>
      <c r="C713" s="2">
        <v>4.7699999999999996</v>
      </c>
      <c r="D713" s="2">
        <v>1.47</v>
      </c>
      <c r="E713" s="2">
        <v>4.34</v>
      </c>
      <c r="F713" s="2">
        <v>4.68</v>
      </c>
      <c r="G713" s="2">
        <v>3.37</v>
      </c>
      <c r="H713" s="2">
        <v>4.22</v>
      </c>
      <c r="I713" s="2">
        <v>0</v>
      </c>
      <c r="J713" s="2">
        <v>0.68</v>
      </c>
      <c r="K713" s="2">
        <v>0</v>
      </c>
      <c r="L713" s="2">
        <v>0</v>
      </c>
      <c r="M713" s="2">
        <v>0</v>
      </c>
      <c r="N713" s="2">
        <v>13.18</v>
      </c>
      <c r="O713" s="2">
        <v>0</v>
      </c>
      <c r="P713" s="2">
        <v>0</v>
      </c>
      <c r="Q713" s="2">
        <v>11.32</v>
      </c>
      <c r="R713" s="2">
        <v>0</v>
      </c>
      <c r="S713" s="2">
        <v>0</v>
      </c>
    </row>
    <row r="714" spans="1:19" ht="13.9" x14ac:dyDescent="0.3">
      <c r="A714" s="2" t="s">
        <v>731</v>
      </c>
      <c r="B714" s="2">
        <v>0.13</v>
      </c>
      <c r="C714" s="2">
        <v>0</v>
      </c>
      <c r="D714" s="2">
        <v>0.11</v>
      </c>
      <c r="E714" s="2">
        <v>0</v>
      </c>
      <c r="F714" s="2">
        <v>0</v>
      </c>
      <c r="G714" s="2">
        <v>0</v>
      </c>
      <c r="H714" s="2">
        <v>0.1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0.36</v>
      </c>
      <c r="Q714" s="2">
        <v>0</v>
      </c>
      <c r="R714" s="2">
        <v>0</v>
      </c>
      <c r="S714" s="2">
        <v>0</v>
      </c>
    </row>
    <row r="715" spans="1:19" ht="13.9" x14ac:dyDescent="0.3">
      <c r="A715" s="2" t="s">
        <v>732</v>
      </c>
      <c r="B715" s="2">
        <v>0</v>
      </c>
      <c r="C715" s="2">
        <v>0</v>
      </c>
      <c r="D715" s="2">
        <v>0.56999999999999995</v>
      </c>
      <c r="E715" s="2">
        <v>0</v>
      </c>
      <c r="F715" s="2">
        <v>0</v>
      </c>
      <c r="G715" s="2">
        <v>1.1599999999999999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</row>
    <row r="716" spans="1:19" ht="13.9" x14ac:dyDescent="0.3">
      <c r="A716" s="2" t="s">
        <v>733</v>
      </c>
      <c r="B716" s="2">
        <v>0</v>
      </c>
      <c r="C716" s="2">
        <v>0</v>
      </c>
      <c r="D716" s="2">
        <v>0.11</v>
      </c>
      <c r="E716" s="2">
        <v>0</v>
      </c>
      <c r="F716" s="2">
        <v>0.4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</row>
    <row r="717" spans="1:19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>
        <v>0</v>
      </c>
      <c r="I717" s="2">
        <v>0</v>
      </c>
      <c r="J717" s="2">
        <v>0.68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</row>
    <row r="718" spans="1:19" ht="13.9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0.53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1.98</v>
      </c>
      <c r="O718" s="2">
        <v>0</v>
      </c>
      <c r="P718" s="2">
        <v>4.7300000000000004</v>
      </c>
      <c r="Q718" s="2">
        <v>0</v>
      </c>
      <c r="R718" s="2">
        <v>1.88</v>
      </c>
      <c r="S718" s="2">
        <v>0</v>
      </c>
    </row>
    <row r="719" spans="1:19" ht="13.9" x14ac:dyDescent="0.3">
      <c r="A719" s="2" t="s">
        <v>736</v>
      </c>
      <c r="B719" s="2">
        <v>0.13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</row>
    <row r="720" spans="1:19" ht="13.9" x14ac:dyDescent="0.3">
      <c r="A720" s="2" t="s">
        <v>737</v>
      </c>
      <c r="B720" s="2">
        <v>0.25</v>
      </c>
      <c r="C720" s="2">
        <v>0.33</v>
      </c>
      <c r="D720" s="2">
        <v>0.11</v>
      </c>
      <c r="E720" s="2">
        <v>0.1</v>
      </c>
      <c r="F720" s="2">
        <v>0</v>
      </c>
      <c r="G720" s="2">
        <v>0.11</v>
      </c>
      <c r="H720" s="2">
        <v>0.1</v>
      </c>
      <c r="I720" s="2">
        <v>0</v>
      </c>
      <c r="J720" s="2">
        <v>0</v>
      </c>
      <c r="K720" s="2">
        <v>0.39</v>
      </c>
      <c r="L720" s="2">
        <v>0</v>
      </c>
      <c r="M720" s="2">
        <v>0.26</v>
      </c>
      <c r="N720" s="2">
        <v>4.28</v>
      </c>
      <c r="O720" s="2">
        <v>0.24</v>
      </c>
      <c r="P720" s="2">
        <v>9.4700000000000006</v>
      </c>
      <c r="Q720" s="2">
        <v>0.18</v>
      </c>
      <c r="R720" s="2">
        <v>1.05</v>
      </c>
      <c r="S720" s="2">
        <v>0</v>
      </c>
    </row>
    <row r="721" spans="1:19" ht="13.9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0.13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</row>
    <row r="722" spans="1:19" ht="13.9" x14ac:dyDescent="0.3">
      <c r="A722" s="2" t="s">
        <v>739</v>
      </c>
      <c r="B722" s="2">
        <v>0.13</v>
      </c>
      <c r="C722" s="2">
        <v>0</v>
      </c>
      <c r="D722" s="2">
        <v>0.68</v>
      </c>
      <c r="E722" s="2">
        <v>0.89</v>
      </c>
      <c r="F722" s="2">
        <v>0.53</v>
      </c>
      <c r="G722" s="2">
        <v>1.26</v>
      </c>
      <c r="H722" s="2">
        <v>0.31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5.86</v>
      </c>
      <c r="S722" s="2">
        <v>0</v>
      </c>
    </row>
    <row r="723" spans="1:19" ht="13.9" x14ac:dyDescent="0.3">
      <c r="A723" s="2" t="s">
        <v>740</v>
      </c>
      <c r="B723" s="2">
        <v>0.5</v>
      </c>
      <c r="C723" s="2">
        <v>0.67</v>
      </c>
      <c r="D723" s="2">
        <v>0</v>
      </c>
      <c r="E723" s="2">
        <v>0.69</v>
      </c>
      <c r="F723" s="2">
        <v>1.34</v>
      </c>
      <c r="G723" s="2">
        <v>0.74</v>
      </c>
      <c r="H723" s="2">
        <v>1.03</v>
      </c>
      <c r="I723" s="2">
        <v>0</v>
      </c>
      <c r="J723" s="2">
        <v>0.27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</row>
    <row r="724" spans="1:19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0.82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</row>
    <row r="725" spans="1:19" ht="13.9" x14ac:dyDescent="0.3">
      <c r="A725" s="2" t="s">
        <v>742</v>
      </c>
      <c r="B725" s="2">
        <v>0</v>
      </c>
      <c r="C725" s="2">
        <v>0</v>
      </c>
      <c r="D725" s="2">
        <v>0.23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</row>
    <row r="726" spans="1:19" ht="13.9" x14ac:dyDescent="0.3">
      <c r="A726" s="2" t="s">
        <v>743</v>
      </c>
      <c r="B726" s="2">
        <v>4.78</v>
      </c>
      <c r="C726" s="2">
        <v>7.98</v>
      </c>
      <c r="D726" s="2">
        <v>7.37</v>
      </c>
      <c r="E726" s="2">
        <v>6.81</v>
      </c>
      <c r="F726" s="2">
        <v>8.82</v>
      </c>
      <c r="G726" s="2">
        <v>6.43</v>
      </c>
      <c r="H726" s="2">
        <v>6.07</v>
      </c>
      <c r="I726" s="2">
        <v>2534.34</v>
      </c>
      <c r="J726" s="2">
        <v>9.75</v>
      </c>
      <c r="K726" s="2">
        <v>0</v>
      </c>
      <c r="L726" s="2">
        <v>11.86</v>
      </c>
      <c r="M726" s="2">
        <v>0</v>
      </c>
      <c r="N726" s="2">
        <v>0</v>
      </c>
      <c r="O726" s="2">
        <v>9.27</v>
      </c>
      <c r="P726" s="2">
        <v>5.83</v>
      </c>
      <c r="Q726" s="2">
        <v>3.23</v>
      </c>
      <c r="R726" s="2">
        <v>5.23</v>
      </c>
      <c r="S726" s="2">
        <v>0</v>
      </c>
    </row>
    <row r="727" spans="1:19" ht="13.9" x14ac:dyDescent="0.3">
      <c r="A727" s="2" t="s">
        <v>744</v>
      </c>
      <c r="B727" s="2">
        <v>1.51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</row>
    <row r="728" spans="1:19" ht="13.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0.31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0.18</v>
      </c>
      <c r="R728" s="2">
        <v>0</v>
      </c>
      <c r="S728" s="2">
        <v>0</v>
      </c>
    </row>
    <row r="729" spans="1:19" ht="13.9" x14ac:dyDescent="0.3">
      <c r="A729" s="2" t="s">
        <v>746</v>
      </c>
      <c r="B729" s="2">
        <v>1.51</v>
      </c>
      <c r="C729" s="2">
        <v>0</v>
      </c>
      <c r="D729" s="2">
        <v>0.34</v>
      </c>
      <c r="E729" s="2">
        <v>0</v>
      </c>
      <c r="F729" s="2">
        <v>0.67</v>
      </c>
      <c r="G729" s="2">
        <v>0.53</v>
      </c>
      <c r="H729" s="2">
        <v>1.23</v>
      </c>
      <c r="I729" s="2">
        <v>0</v>
      </c>
      <c r="J729" s="2">
        <v>0.27</v>
      </c>
      <c r="K729" s="2">
        <v>0</v>
      </c>
      <c r="L729" s="2">
        <v>0</v>
      </c>
      <c r="M729" s="2">
        <v>0</v>
      </c>
      <c r="N729" s="2">
        <v>0</v>
      </c>
      <c r="O729" s="2">
        <v>7.07</v>
      </c>
      <c r="P729" s="2">
        <v>0</v>
      </c>
      <c r="Q729" s="2">
        <v>0</v>
      </c>
      <c r="R729" s="2">
        <v>5.86</v>
      </c>
      <c r="S729" s="2">
        <v>0</v>
      </c>
    </row>
    <row r="730" spans="1:19" ht="13.9" x14ac:dyDescent="0.3">
      <c r="A730" s="2" t="s">
        <v>747</v>
      </c>
      <c r="B730" s="2">
        <v>0.25</v>
      </c>
      <c r="C730" s="2">
        <v>1</v>
      </c>
      <c r="D730" s="2">
        <v>0.23</v>
      </c>
      <c r="E730" s="2">
        <v>4.24</v>
      </c>
      <c r="F730" s="2">
        <v>2.0099999999999998</v>
      </c>
      <c r="G730" s="2">
        <v>0.63</v>
      </c>
      <c r="H730" s="2">
        <v>0.72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</row>
    <row r="731" spans="1:19" ht="13.9" x14ac:dyDescent="0.3">
      <c r="A731" s="2" t="s">
        <v>748</v>
      </c>
      <c r="B731" s="2">
        <v>14.1</v>
      </c>
      <c r="C731" s="2">
        <v>22.51</v>
      </c>
      <c r="D731" s="2">
        <v>25.75</v>
      </c>
      <c r="E731" s="2">
        <v>15.4</v>
      </c>
      <c r="F731" s="2">
        <v>20.59</v>
      </c>
      <c r="G731" s="2">
        <v>23.71</v>
      </c>
      <c r="H731" s="2">
        <v>16.670000000000002</v>
      </c>
      <c r="I731" s="2">
        <v>0</v>
      </c>
      <c r="J731" s="2">
        <v>28.42</v>
      </c>
      <c r="K731" s="2">
        <v>30.28</v>
      </c>
      <c r="L731" s="2">
        <v>0</v>
      </c>
      <c r="M731" s="2">
        <v>0</v>
      </c>
      <c r="N731" s="2">
        <v>5.6</v>
      </c>
      <c r="O731" s="2">
        <v>5.86</v>
      </c>
      <c r="P731" s="2">
        <v>0</v>
      </c>
      <c r="Q731" s="2">
        <v>31.26</v>
      </c>
      <c r="R731" s="2">
        <v>19.88</v>
      </c>
      <c r="S731" s="2">
        <v>31.17</v>
      </c>
    </row>
    <row r="732" spans="1:19" ht="13.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9.6999999999999993</v>
      </c>
      <c r="R732" s="2">
        <v>0</v>
      </c>
      <c r="S732" s="2">
        <v>0</v>
      </c>
    </row>
    <row r="733" spans="1:19" ht="13.9" x14ac:dyDescent="0.3">
      <c r="A733" s="2" t="s">
        <v>750</v>
      </c>
      <c r="B733" s="2">
        <v>1.1299999999999999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4.9800000000000004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</row>
    <row r="734" spans="1:19" ht="13.9" x14ac:dyDescent="0.3">
      <c r="A734" s="2" t="s">
        <v>751</v>
      </c>
      <c r="B734" s="2">
        <v>386.19</v>
      </c>
      <c r="C734" s="2">
        <v>386.76</v>
      </c>
      <c r="D734" s="2">
        <v>344.88</v>
      </c>
      <c r="E734" s="2">
        <v>350.83</v>
      </c>
      <c r="F734" s="2">
        <v>382.67</v>
      </c>
      <c r="G734" s="2">
        <v>369.69</v>
      </c>
      <c r="H734" s="2">
        <v>353.53</v>
      </c>
      <c r="I734" s="2">
        <v>613.15</v>
      </c>
      <c r="J734" s="2">
        <v>435.28</v>
      </c>
      <c r="K734" s="2">
        <v>188.12</v>
      </c>
      <c r="L734" s="2">
        <v>199.53</v>
      </c>
      <c r="M734" s="2">
        <v>155.86000000000001</v>
      </c>
      <c r="N734" s="2">
        <v>257.10000000000002</v>
      </c>
      <c r="O734" s="2">
        <v>272.26</v>
      </c>
      <c r="P734" s="2">
        <v>153.47999999999999</v>
      </c>
      <c r="Q734" s="2">
        <v>238.94</v>
      </c>
      <c r="R734" s="2">
        <v>229.58</v>
      </c>
      <c r="S734" s="2">
        <v>282.04000000000002</v>
      </c>
    </row>
    <row r="735" spans="1:19" ht="13.9" x14ac:dyDescent="0.3">
      <c r="A735" s="2" t="s">
        <v>752</v>
      </c>
      <c r="B735" s="2">
        <v>1.38</v>
      </c>
      <c r="C735" s="2">
        <v>0.89</v>
      </c>
      <c r="D735" s="2">
        <v>0.34</v>
      </c>
      <c r="E735" s="2">
        <v>0.69</v>
      </c>
      <c r="F735" s="2">
        <v>0.8</v>
      </c>
      <c r="G735" s="2">
        <v>0.32</v>
      </c>
      <c r="H735" s="2">
        <v>0.51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5.0199999999999996</v>
      </c>
      <c r="S735" s="2">
        <v>0</v>
      </c>
    </row>
    <row r="736" spans="1:19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</row>
    <row r="737" spans="1:19" ht="13.9" x14ac:dyDescent="0.3">
      <c r="A737" s="2" t="s">
        <v>754</v>
      </c>
      <c r="B737" s="2">
        <v>1.89</v>
      </c>
      <c r="C737" s="2">
        <v>1.66</v>
      </c>
      <c r="D737" s="2">
        <v>2.16</v>
      </c>
      <c r="E737" s="2">
        <v>1.68</v>
      </c>
      <c r="F737" s="2">
        <v>2.27</v>
      </c>
      <c r="G737" s="2">
        <v>1.9</v>
      </c>
      <c r="H737" s="2">
        <v>1.23</v>
      </c>
      <c r="I737" s="2">
        <v>0</v>
      </c>
      <c r="J737" s="2">
        <v>2.98</v>
      </c>
      <c r="K737" s="2">
        <v>0</v>
      </c>
      <c r="L737" s="2">
        <v>5.78</v>
      </c>
      <c r="M737" s="2">
        <v>0</v>
      </c>
      <c r="N737" s="2">
        <v>0</v>
      </c>
      <c r="O737" s="2">
        <v>0.24</v>
      </c>
      <c r="P737" s="2">
        <v>0</v>
      </c>
      <c r="Q737" s="2">
        <v>0</v>
      </c>
      <c r="R737" s="2">
        <v>0</v>
      </c>
      <c r="S737" s="2">
        <v>0</v>
      </c>
    </row>
    <row r="738" spans="1:19" ht="13.9" x14ac:dyDescent="0.3">
      <c r="A738" s="2" t="s">
        <v>755</v>
      </c>
      <c r="B738" s="2">
        <v>0.76</v>
      </c>
      <c r="C738" s="2">
        <v>1.22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</row>
    <row r="739" spans="1:19" ht="13.9" x14ac:dyDescent="0.3">
      <c r="A739" s="2" t="s">
        <v>756</v>
      </c>
      <c r="B739" s="2">
        <v>0</v>
      </c>
      <c r="C739" s="2">
        <v>0</v>
      </c>
      <c r="D739" s="2">
        <v>0.91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</row>
    <row r="740" spans="1:19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>
        <v>0</v>
      </c>
      <c r="I740" s="2">
        <v>0</v>
      </c>
      <c r="J740" s="2">
        <v>0.68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</row>
    <row r="741" spans="1:19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</row>
    <row r="742" spans="1:19" ht="13.9" x14ac:dyDescent="0.3">
      <c r="A742" s="2" t="s">
        <v>759</v>
      </c>
      <c r="B742" s="2">
        <v>0</v>
      </c>
      <c r="C742" s="2">
        <v>0</v>
      </c>
      <c r="D742" s="2">
        <v>0.34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</row>
    <row r="743" spans="1:19" ht="13.9" x14ac:dyDescent="0.3">
      <c r="A743" s="2" t="s">
        <v>760</v>
      </c>
      <c r="B743" s="2">
        <v>0</v>
      </c>
      <c r="C743" s="2">
        <v>0</v>
      </c>
      <c r="D743" s="2">
        <v>0.45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5.93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</row>
    <row r="744" spans="1:19" ht="13.9" x14ac:dyDescent="0.3">
      <c r="A744" s="2" t="s">
        <v>761</v>
      </c>
      <c r="B744" s="2">
        <v>0.25</v>
      </c>
      <c r="C744" s="2">
        <v>0.33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</row>
    <row r="745" spans="1:19" ht="13.9" x14ac:dyDescent="0.3">
      <c r="A745" s="2" t="s">
        <v>762</v>
      </c>
      <c r="B745" s="2">
        <v>0</v>
      </c>
      <c r="C745" s="2">
        <v>0</v>
      </c>
      <c r="D745" s="2">
        <v>0.45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5.93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</row>
    <row r="746" spans="1:19" ht="13.9" x14ac:dyDescent="0.3">
      <c r="A746" s="2" t="s">
        <v>763</v>
      </c>
      <c r="B746" s="2">
        <v>0.13</v>
      </c>
      <c r="C746" s="2">
        <v>0.44</v>
      </c>
      <c r="D746" s="2">
        <v>0.11</v>
      </c>
      <c r="E746" s="2">
        <v>0.59</v>
      </c>
      <c r="F746" s="2">
        <v>0.27</v>
      </c>
      <c r="G746" s="2">
        <v>0</v>
      </c>
      <c r="H746" s="2">
        <v>0.31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</row>
    <row r="747" spans="1:19" ht="13.9" x14ac:dyDescent="0.3">
      <c r="A747" s="2" t="s">
        <v>764</v>
      </c>
      <c r="B747" s="2">
        <v>6.42</v>
      </c>
      <c r="C747" s="2">
        <v>2.66</v>
      </c>
      <c r="D747" s="2">
        <v>3.18</v>
      </c>
      <c r="E747" s="2">
        <v>3.36</v>
      </c>
      <c r="F747" s="2">
        <v>7.09</v>
      </c>
      <c r="G747" s="2">
        <v>3.9</v>
      </c>
      <c r="H747" s="2">
        <v>2.68</v>
      </c>
      <c r="I747" s="2">
        <v>0</v>
      </c>
      <c r="J747" s="2">
        <v>2.98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</row>
    <row r="748" spans="1:19" ht="13.9" x14ac:dyDescent="0.3">
      <c r="A748" s="2" t="s">
        <v>765</v>
      </c>
      <c r="B748" s="2">
        <v>2.14</v>
      </c>
      <c r="C748" s="2">
        <v>1.1100000000000001</v>
      </c>
      <c r="D748" s="2">
        <v>1.93</v>
      </c>
      <c r="E748" s="2">
        <v>2.0699999999999998</v>
      </c>
      <c r="F748" s="2">
        <v>2.0099999999999998</v>
      </c>
      <c r="G748" s="2">
        <v>3.16</v>
      </c>
      <c r="H748" s="2">
        <v>1.03</v>
      </c>
      <c r="I748" s="2">
        <v>0</v>
      </c>
      <c r="J748" s="2">
        <v>2.0299999999999998</v>
      </c>
      <c r="K748" s="2">
        <v>29.37</v>
      </c>
      <c r="L748" s="2">
        <v>13.01</v>
      </c>
      <c r="M748" s="2">
        <v>18.93</v>
      </c>
      <c r="N748" s="2">
        <v>7.91</v>
      </c>
      <c r="O748" s="2">
        <v>10.73</v>
      </c>
      <c r="P748" s="2">
        <v>29.13</v>
      </c>
      <c r="Q748" s="2">
        <v>8.98</v>
      </c>
      <c r="R748" s="2">
        <v>28.25</v>
      </c>
      <c r="S748" s="2">
        <v>11.56</v>
      </c>
    </row>
    <row r="749" spans="1:19" ht="13.9" x14ac:dyDescent="0.3">
      <c r="A749" s="2" t="s">
        <v>766</v>
      </c>
      <c r="B749" s="2">
        <v>23.16</v>
      </c>
      <c r="C749" s="2">
        <v>24.51</v>
      </c>
      <c r="D749" s="2">
        <v>29.84</v>
      </c>
      <c r="E749" s="2">
        <v>28.43</v>
      </c>
      <c r="F749" s="2">
        <v>21.53</v>
      </c>
      <c r="G749" s="2">
        <v>21.5</v>
      </c>
      <c r="H749" s="2">
        <v>20.48</v>
      </c>
      <c r="I749" s="2">
        <v>0</v>
      </c>
      <c r="J749" s="2">
        <v>31.13</v>
      </c>
      <c r="K749" s="2">
        <v>10.09</v>
      </c>
      <c r="L749" s="2">
        <v>6.36</v>
      </c>
      <c r="M749" s="2">
        <v>24.38</v>
      </c>
      <c r="N749" s="2">
        <v>18.79</v>
      </c>
      <c r="O749" s="2">
        <v>55.87</v>
      </c>
      <c r="P749" s="2">
        <v>28.77</v>
      </c>
      <c r="Q749" s="2">
        <v>0.54</v>
      </c>
      <c r="R749" s="2">
        <v>8.58</v>
      </c>
      <c r="S749" s="2">
        <v>17.600000000000001</v>
      </c>
    </row>
    <row r="750" spans="1:19" ht="13.9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5.0999999999999996</v>
      </c>
      <c r="Q750" s="2">
        <v>0</v>
      </c>
      <c r="R750" s="2">
        <v>0</v>
      </c>
      <c r="S750" s="2">
        <v>0</v>
      </c>
    </row>
    <row r="751" spans="1:19" ht="13.9" x14ac:dyDescent="0.3">
      <c r="A751" s="2" t="s">
        <v>768</v>
      </c>
      <c r="B751" s="2">
        <v>0.38</v>
      </c>
      <c r="C751" s="2">
        <v>0.22</v>
      </c>
      <c r="D751" s="2">
        <v>0.11</v>
      </c>
      <c r="E751" s="2">
        <v>0</v>
      </c>
      <c r="F751" s="2">
        <v>0.13</v>
      </c>
      <c r="G751" s="2">
        <v>0.84</v>
      </c>
      <c r="H751" s="2">
        <v>0</v>
      </c>
      <c r="I751" s="2">
        <v>0</v>
      </c>
      <c r="J751" s="2">
        <v>0.41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0.36</v>
      </c>
      <c r="R751" s="2">
        <v>0.21</v>
      </c>
      <c r="S751" s="2">
        <v>1.01</v>
      </c>
    </row>
    <row r="752" spans="1:19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0.1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</row>
    <row r="753" spans="1:19" ht="13.9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10.36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</row>
    <row r="754" spans="1:19" ht="13.9" x14ac:dyDescent="0.3">
      <c r="A754" s="2" t="s">
        <v>771</v>
      </c>
      <c r="B754" s="2">
        <v>6.8</v>
      </c>
      <c r="C754" s="2">
        <v>4.7699999999999996</v>
      </c>
      <c r="D754" s="2">
        <v>4.08</v>
      </c>
      <c r="E754" s="2">
        <v>4.24</v>
      </c>
      <c r="F754" s="2">
        <v>6.15</v>
      </c>
      <c r="G754" s="2">
        <v>7.27</v>
      </c>
      <c r="H754" s="2">
        <v>4.9400000000000004</v>
      </c>
      <c r="I754" s="2">
        <v>0</v>
      </c>
      <c r="J754" s="2">
        <v>2.98</v>
      </c>
      <c r="K754" s="2">
        <v>3.93</v>
      </c>
      <c r="L754" s="2">
        <v>6.94</v>
      </c>
      <c r="M754" s="2">
        <v>0</v>
      </c>
      <c r="N754" s="2">
        <v>0</v>
      </c>
      <c r="O754" s="2">
        <v>14.39</v>
      </c>
      <c r="P754" s="2">
        <v>0</v>
      </c>
      <c r="Q754" s="2">
        <v>0</v>
      </c>
      <c r="R754" s="2">
        <v>0</v>
      </c>
      <c r="S754" s="2">
        <v>0</v>
      </c>
    </row>
    <row r="755" spans="1:19" ht="13.9" x14ac:dyDescent="0.3">
      <c r="A755" s="2" t="s">
        <v>772</v>
      </c>
      <c r="B755" s="2">
        <v>5.79</v>
      </c>
      <c r="C755" s="2">
        <v>11.09</v>
      </c>
      <c r="D755" s="2">
        <v>3.63</v>
      </c>
      <c r="E755" s="2">
        <v>6.12</v>
      </c>
      <c r="F755" s="2">
        <v>6.28</v>
      </c>
      <c r="G755" s="2">
        <v>5.69</v>
      </c>
      <c r="H755" s="2">
        <v>7</v>
      </c>
      <c r="I755" s="2">
        <v>40.880000000000003</v>
      </c>
      <c r="J755" s="2">
        <v>4.47</v>
      </c>
      <c r="K755" s="2">
        <v>1.18</v>
      </c>
      <c r="L755" s="2">
        <v>0</v>
      </c>
      <c r="M755" s="2">
        <v>0.26</v>
      </c>
      <c r="N755" s="2">
        <v>0</v>
      </c>
      <c r="O755" s="2">
        <v>0.24</v>
      </c>
      <c r="P755" s="2">
        <v>0</v>
      </c>
      <c r="Q755" s="2">
        <v>8.98</v>
      </c>
      <c r="R755" s="2">
        <v>8.58</v>
      </c>
      <c r="S755" s="2">
        <v>0</v>
      </c>
    </row>
    <row r="756" spans="1:19" ht="13.9" x14ac:dyDescent="0.3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0.28999999999999998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3.98</v>
      </c>
      <c r="S756" s="2">
        <v>0</v>
      </c>
    </row>
    <row r="757" spans="1:19" ht="13.9" x14ac:dyDescent="0.3">
      <c r="A757" s="2" t="s">
        <v>774</v>
      </c>
      <c r="B757" s="2">
        <v>14.48</v>
      </c>
      <c r="C757" s="2">
        <v>12.64</v>
      </c>
      <c r="D757" s="2">
        <v>7.26</v>
      </c>
      <c r="E757" s="2">
        <v>5.53</v>
      </c>
      <c r="F757" s="2">
        <v>12.17</v>
      </c>
      <c r="G757" s="2">
        <v>11.91</v>
      </c>
      <c r="H757" s="2">
        <v>11.11</v>
      </c>
      <c r="I757" s="2">
        <v>0</v>
      </c>
      <c r="J757" s="2">
        <v>15.56</v>
      </c>
      <c r="K757" s="2">
        <v>0</v>
      </c>
      <c r="L757" s="2">
        <v>0</v>
      </c>
      <c r="M757" s="2">
        <v>0</v>
      </c>
      <c r="N757" s="2">
        <v>0</v>
      </c>
      <c r="O757" s="2">
        <v>3.9</v>
      </c>
      <c r="P757" s="2">
        <v>0</v>
      </c>
      <c r="Q757" s="2">
        <v>0</v>
      </c>
      <c r="R757" s="2">
        <v>0</v>
      </c>
      <c r="S757" s="2">
        <v>0</v>
      </c>
    </row>
    <row r="758" spans="1:19" ht="13.9" x14ac:dyDescent="0.3">
      <c r="A758" s="2" t="s">
        <v>775</v>
      </c>
      <c r="B758" s="2">
        <v>22.78</v>
      </c>
      <c r="C758" s="2">
        <v>22.4</v>
      </c>
      <c r="D758" s="2">
        <v>24.05</v>
      </c>
      <c r="E758" s="2">
        <v>23.3</v>
      </c>
      <c r="F758" s="2">
        <v>18.850000000000001</v>
      </c>
      <c r="G758" s="2">
        <v>27.08</v>
      </c>
      <c r="H758" s="2">
        <v>20.48</v>
      </c>
      <c r="I758" s="2">
        <v>0</v>
      </c>
      <c r="J758" s="2">
        <v>15.84</v>
      </c>
      <c r="K758" s="2">
        <v>20.98</v>
      </c>
      <c r="L758" s="2">
        <v>22.27</v>
      </c>
      <c r="M758" s="2">
        <v>11.41</v>
      </c>
      <c r="N758" s="2">
        <v>9.89</v>
      </c>
      <c r="O758" s="2">
        <v>51.23</v>
      </c>
      <c r="P758" s="2">
        <v>19.48</v>
      </c>
      <c r="Q758" s="2">
        <v>31.08</v>
      </c>
      <c r="R758" s="2">
        <v>47.72</v>
      </c>
      <c r="S758" s="2">
        <v>0.5</v>
      </c>
    </row>
    <row r="759" spans="1:19" ht="13.9" x14ac:dyDescent="0.3">
      <c r="A759" s="2" t="s">
        <v>776</v>
      </c>
      <c r="B759" s="2">
        <v>2.27</v>
      </c>
      <c r="C759" s="2">
        <v>12.64</v>
      </c>
      <c r="D759" s="2">
        <v>3.52</v>
      </c>
      <c r="E759" s="2">
        <v>4.84</v>
      </c>
      <c r="F759" s="2">
        <v>8.69</v>
      </c>
      <c r="G759" s="2">
        <v>5.16</v>
      </c>
      <c r="H759" s="2">
        <v>4.42</v>
      </c>
      <c r="I759" s="2">
        <v>0</v>
      </c>
      <c r="J759" s="2">
        <v>14.62</v>
      </c>
      <c r="K759" s="2">
        <v>26.74</v>
      </c>
      <c r="L759" s="2">
        <v>14.75</v>
      </c>
      <c r="M759" s="2">
        <v>0</v>
      </c>
      <c r="N759" s="2">
        <v>28.68</v>
      </c>
      <c r="O759" s="2">
        <v>29.03</v>
      </c>
      <c r="P759" s="2">
        <v>0</v>
      </c>
      <c r="Q759" s="2">
        <v>8.98</v>
      </c>
      <c r="R759" s="2">
        <v>27.42</v>
      </c>
      <c r="S759" s="2">
        <v>53.29</v>
      </c>
    </row>
    <row r="760" spans="1:19" ht="13.9" x14ac:dyDescent="0.3">
      <c r="A760" s="2" t="s">
        <v>777</v>
      </c>
      <c r="B760" s="2">
        <v>21.65</v>
      </c>
      <c r="C760" s="2">
        <v>13.97</v>
      </c>
      <c r="D760" s="2">
        <v>15.66</v>
      </c>
      <c r="E760" s="2">
        <v>15.3</v>
      </c>
      <c r="F760" s="2">
        <v>15.78</v>
      </c>
      <c r="G760" s="2">
        <v>24.24</v>
      </c>
      <c r="H760" s="2">
        <v>15.84</v>
      </c>
      <c r="I760" s="2">
        <v>0</v>
      </c>
      <c r="J760" s="2">
        <v>23.01</v>
      </c>
      <c r="K760" s="2">
        <v>0</v>
      </c>
      <c r="L760" s="2">
        <v>0</v>
      </c>
      <c r="M760" s="2">
        <v>6.48</v>
      </c>
      <c r="N760" s="2">
        <v>1.65</v>
      </c>
      <c r="O760" s="2">
        <v>5.12</v>
      </c>
      <c r="P760" s="2">
        <v>0</v>
      </c>
      <c r="Q760" s="2">
        <v>10.6</v>
      </c>
      <c r="R760" s="2">
        <v>7.53</v>
      </c>
      <c r="S760" s="2">
        <v>0</v>
      </c>
    </row>
    <row r="761" spans="1:19" ht="13.9" x14ac:dyDescent="0.3">
      <c r="A761" s="2" t="s">
        <v>778</v>
      </c>
      <c r="B761" s="2">
        <v>0</v>
      </c>
      <c r="C761" s="2">
        <v>0.11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8.57</v>
      </c>
      <c r="O761" s="2">
        <v>0</v>
      </c>
      <c r="P761" s="2">
        <v>0</v>
      </c>
      <c r="Q761" s="2">
        <v>0</v>
      </c>
      <c r="R761" s="2">
        <v>8.3699999999999992</v>
      </c>
      <c r="S761" s="2">
        <v>28.66</v>
      </c>
    </row>
    <row r="762" spans="1:19" ht="13.9" x14ac:dyDescent="0.3">
      <c r="A762" s="2" t="s">
        <v>779</v>
      </c>
      <c r="B762" s="2">
        <v>1.64</v>
      </c>
      <c r="C762" s="2">
        <v>3.44</v>
      </c>
      <c r="D762" s="2">
        <v>7.37</v>
      </c>
      <c r="E762" s="2">
        <v>2.57</v>
      </c>
      <c r="F762" s="2">
        <v>1.07</v>
      </c>
      <c r="G762" s="2">
        <v>3.06</v>
      </c>
      <c r="H762" s="2">
        <v>0.21</v>
      </c>
      <c r="I762" s="2">
        <v>0</v>
      </c>
      <c r="J762" s="2">
        <v>1.22</v>
      </c>
      <c r="K762" s="2">
        <v>31.07</v>
      </c>
      <c r="L762" s="2">
        <v>0</v>
      </c>
      <c r="M762" s="2">
        <v>5.71</v>
      </c>
      <c r="N762" s="2">
        <v>3.3</v>
      </c>
      <c r="O762" s="2">
        <v>5.37</v>
      </c>
      <c r="P762" s="2">
        <v>20.21</v>
      </c>
      <c r="Q762" s="2">
        <v>6.47</v>
      </c>
      <c r="R762" s="2">
        <v>2.5099999999999998</v>
      </c>
      <c r="S762" s="2">
        <v>8.5500000000000007</v>
      </c>
    </row>
    <row r="763" spans="1:19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</row>
    <row r="764" spans="1:19" ht="13.9" x14ac:dyDescent="0.3">
      <c r="A764" s="2" t="s">
        <v>781</v>
      </c>
      <c r="B764" s="2">
        <v>73.010000000000005</v>
      </c>
      <c r="C764" s="2">
        <v>56.11</v>
      </c>
      <c r="D764" s="2">
        <v>44.59</v>
      </c>
      <c r="E764" s="2">
        <v>39.49</v>
      </c>
      <c r="F764" s="2">
        <v>69.53</v>
      </c>
      <c r="G764" s="2">
        <v>49.64</v>
      </c>
      <c r="H764" s="2">
        <v>52.06</v>
      </c>
      <c r="I764" s="2">
        <v>1185.42</v>
      </c>
      <c r="J764" s="2">
        <v>88.65</v>
      </c>
      <c r="K764" s="2">
        <v>8.65</v>
      </c>
      <c r="L764" s="2">
        <v>84.73</v>
      </c>
      <c r="M764" s="2">
        <v>5.96</v>
      </c>
      <c r="N764" s="2">
        <v>75.48</v>
      </c>
      <c r="O764" s="2">
        <v>57.82</v>
      </c>
      <c r="P764" s="2">
        <v>19.48</v>
      </c>
      <c r="Q764" s="2">
        <v>11.68</v>
      </c>
      <c r="R764" s="2">
        <v>31.18</v>
      </c>
      <c r="S764" s="2">
        <v>45.25</v>
      </c>
    </row>
    <row r="765" spans="1:19" ht="13.9" x14ac:dyDescent="0.3">
      <c r="A765" s="2" t="s">
        <v>782</v>
      </c>
      <c r="B765" s="2">
        <v>1.26</v>
      </c>
      <c r="C765" s="2">
        <v>1.1100000000000001</v>
      </c>
      <c r="D765" s="2">
        <v>0</v>
      </c>
      <c r="E765" s="2">
        <v>0.2</v>
      </c>
      <c r="F765" s="2">
        <v>0.13</v>
      </c>
      <c r="G765" s="2">
        <v>0.42</v>
      </c>
      <c r="H765" s="2">
        <v>0.41</v>
      </c>
      <c r="I765" s="2">
        <v>0</v>
      </c>
      <c r="J765" s="2">
        <v>0.54</v>
      </c>
      <c r="K765" s="2">
        <v>7.47</v>
      </c>
      <c r="L765" s="2">
        <v>0</v>
      </c>
      <c r="M765" s="2">
        <v>11.67</v>
      </c>
      <c r="N765" s="2">
        <v>14.83</v>
      </c>
      <c r="O765" s="2">
        <v>2.44</v>
      </c>
      <c r="P765" s="2">
        <v>3.28</v>
      </c>
      <c r="Q765" s="2">
        <v>2.87</v>
      </c>
      <c r="R765" s="2">
        <v>13.81</v>
      </c>
      <c r="S765" s="2">
        <v>6.03</v>
      </c>
    </row>
    <row r="766" spans="1:19" ht="13.9" x14ac:dyDescent="0.3">
      <c r="A766" s="2" t="s">
        <v>783</v>
      </c>
      <c r="B766" s="2">
        <v>1.51</v>
      </c>
      <c r="C766" s="2">
        <v>0.33</v>
      </c>
      <c r="D766" s="2">
        <v>0</v>
      </c>
      <c r="E766" s="2">
        <v>0</v>
      </c>
      <c r="F766" s="2">
        <v>0</v>
      </c>
      <c r="G766" s="2">
        <v>0.63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</row>
    <row r="767" spans="1:19" ht="13.9" x14ac:dyDescent="0.3">
      <c r="A767" s="2" t="s">
        <v>784</v>
      </c>
      <c r="B767" s="2">
        <v>3.65</v>
      </c>
      <c r="C767" s="2">
        <v>1.44</v>
      </c>
      <c r="D767" s="2">
        <v>1.82</v>
      </c>
      <c r="E767" s="2">
        <v>3.55</v>
      </c>
      <c r="F767" s="2">
        <v>5.21</v>
      </c>
      <c r="G767" s="2">
        <v>5.37</v>
      </c>
      <c r="H767" s="2">
        <v>3.4</v>
      </c>
      <c r="I767" s="2">
        <v>0</v>
      </c>
      <c r="J767" s="2">
        <v>1.22</v>
      </c>
      <c r="K767" s="2">
        <v>0</v>
      </c>
      <c r="L767" s="2">
        <v>22.85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</row>
    <row r="768" spans="1:19" ht="13.9" x14ac:dyDescent="0.3">
      <c r="A768" s="2" t="s">
        <v>785</v>
      </c>
      <c r="B768" s="2">
        <v>0.38</v>
      </c>
      <c r="C768" s="2">
        <v>1.44</v>
      </c>
      <c r="D768" s="2">
        <v>0.45</v>
      </c>
      <c r="E768" s="2">
        <v>0.59</v>
      </c>
      <c r="F768" s="2">
        <v>2.0099999999999998</v>
      </c>
      <c r="G768" s="2">
        <v>0.84</v>
      </c>
      <c r="H768" s="2">
        <v>0.41</v>
      </c>
      <c r="I768" s="2">
        <v>0</v>
      </c>
      <c r="J768" s="2">
        <v>0</v>
      </c>
      <c r="K768" s="2">
        <v>4.2</v>
      </c>
      <c r="L768" s="2">
        <v>0</v>
      </c>
      <c r="M768" s="2">
        <v>0</v>
      </c>
      <c r="N768" s="2">
        <v>0</v>
      </c>
      <c r="O768" s="2">
        <v>3.9</v>
      </c>
      <c r="P768" s="2">
        <v>0</v>
      </c>
      <c r="Q768" s="2">
        <v>0</v>
      </c>
      <c r="R768" s="2">
        <v>0</v>
      </c>
      <c r="S768" s="2">
        <v>0</v>
      </c>
    </row>
    <row r="769" spans="1:19" ht="13.9" x14ac:dyDescent="0.3">
      <c r="A769" s="2" t="s">
        <v>786</v>
      </c>
      <c r="B769" s="2">
        <v>0.38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0.1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</row>
    <row r="770" spans="1:19" ht="13.9" x14ac:dyDescent="0.3">
      <c r="A770" s="2" t="s">
        <v>787</v>
      </c>
      <c r="B770" s="2">
        <v>0</v>
      </c>
      <c r="C770" s="2">
        <v>0</v>
      </c>
      <c r="D770" s="2">
        <v>0.11</v>
      </c>
      <c r="E770" s="2">
        <v>0.2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</row>
    <row r="771" spans="1:19" ht="13.9" x14ac:dyDescent="0.3">
      <c r="A771" s="2" t="s">
        <v>788</v>
      </c>
      <c r="B771" s="2">
        <v>0</v>
      </c>
      <c r="C771" s="2">
        <v>0.22</v>
      </c>
      <c r="D771" s="2">
        <v>0</v>
      </c>
      <c r="E771" s="2">
        <v>0.3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1.67</v>
      </c>
      <c r="S771" s="2">
        <v>0</v>
      </c>
    </row>
    <row r="772" spans="1:19" ht="13.9" x14ac:dyDescent="0.3">
      <c r="A772" s="2" t="s">
        <v>789</v>
      </c>
      <c r="B772" s="2">
        <v>0.5</v>
      </c>
      <c r="C772" s="2">
        <v>0</v>
      </c>
      <c r="D772" s="2">
        <v>0.56999999999999995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</row>
    <row r="773" spans="1:19" ht="13.9" x14ac:dyDescent="0.3">
      <c r="A773" s="2" t="s">
        <v>790</v>
      </c>
      <c r="B773" s="2">
        <v>0.5</v>
      </c>
      <c r="C773" s="2">
        <v>0.11</v>
      </c>
      <c r="D773" s="2">
        <v>0</v>
      </c>
      <c r="E773" s="2">
        <v>0.39</v>
      </c>
      <c r="F773" s="2">
        <v>0.13</v>
      </c>
      <c r="G773" s="2">
        <v>0.53</v>
      </c>
      <c r="H773" s="2">
        <v>0.51</v>
      </c>
      <c r="I773" s="2">
        <v>0</v>
      </c>
      <c r="J773" s="2">
        <v>1.49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</row>
    <row r="774" spans="1:19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0.31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</row>
    <row r="775" spans="1:19" ht="13.9" x14ac:dyDescent="0.3">
      <c r="A775" s="2" t="s">
        <v>792</v>
      </c>
      <c r="B775" s="2">
        <v>0</v>
      </c>
      <c r="C775" s="2">
        <v>1.66</v>
      </c>
      <c r="D775" s="2">
        <v>0</v>
      </c>
      <c r="E775" s="2">
        <v>0.3</v>
      </c>
      <c r="F775" s="2">
        <v>0.8</v>
      </c>
      <c r="G775" s="2">
        <v>1.48</v>
      </c>
      <c r="H775" s="2">
        <v>0</v>
      </c>
      <c r="I775" s="2">
        <v>0</v>
      </c>
      <c r="J775" s="2">
        <v>0.95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</row>
    <row r="776" spans="1:19" ht="13.9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>
        <v>0</v>
      </c>
      <c r="I776" s="2">
        <v>0</v>
      </c>
      <c r="J776" s="2">
        <v>0</v>
      </c>
      <c r="K776" s="2">
        <v>2.88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</row>
    <row r="777" spans="1:19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0.27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</row>
    <row r="778" spans="1:19" ht="13.9" x14ac:dyDescent="0.3">
      <c r="A778" s="2" t="s">
        <v>795</v>
      </c>
      <c r="B778" s="2">
        <v>0</v>
      </c>
      <c r="C778" s="2">
        <v>0</v>
      </c>
      <c r="D778" s="2">
        <v>0.34</v>
      </c>
      <c r="E778" s="2">
        <v>0</v>
      </c>
      <c r="F778" s="2">
        <v>0</v>
      </c>
      <c r="G778" s="2">
        <v>0.74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</row>
    <row r="779" spans="1:19" ht="13.9" x14ac:dyDescent="0.3">
      <c r="A779" s="2" t="s">
        <v>796</v>
      </c>
      <c r="B779" s="2">
        <v>0.25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</row>
    <row r="780" spans="1:19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</row>
    <row r="781" spans="1:19" ht="13.9" x14ac:dyDescent="0.3">
      <c r="A781" s="2" t="s">
        <v>798</v>
      </c>
      <c r="B781" s="2">
        <v>0</v>
      </c>
      <c r="C781" s="2">
        <v>0.22</v>
      </c>
      <c r="D781" s="2">
        <v>0</v>
      </c>
      <c r="E781" s="2">
        <v>0.49</v>
      </c>
      <c r="F781" s="2">
        <v>0</v>
      </c>
      <c r="G781" s="2">
        <v>0</v>
      </c>
      <c r="H781" s="2">
        <v>0</v>
      </c>
      <c r="I781" s="2">
        <v>0</v>
      </c>
      <c r="J781" s="2">
        <v>0.81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</row>
    <row r="782" spans="1:19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0.62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</row>
    <row r="783" spans="1:19" ht="13.9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7.58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</row>
    <row r="784" spans="1:19" ht="13.9" x14ac:dyDescent="0.3">
      <c r="A784" s="2" t="s">
        <v>801</v>
      </c>
      <c r="B784" s="2">
        <v>0</v>
      </c>
      <c r="C784" s="2">
        <v>0</v>
      </c>
      <c r="D784" s="2">
        <v>0.23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</row>
    <row r="785" spans="1:19" ht="13.9" x14ac:dyDescent="0.3">
      <c r="A785" s="2" t="s">
        <v>802</v>
      </c>
      <c r="B785" s="2">
        <v>0.38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</row>
    <row r="786" spans="1:19" ht="13.9" x14ac:dyDescent="0.3">
      <c r="A786" s="2" t="s">
        <v>803</v>
      </c>
      <c r="B786" s="2">
        <v>1.38</v>
      </c>
      <c r="C786" s="2">
        <v>0.67</v>
      </c>
      <c r="D786" s="2">
        <v>0</v>
      </c>
      <c r="E786" s="2">
        <v>0</v>
      </c>
      <c r="F786" s="2">
        <v>0.4</v>
      </c>
      <c r="G786" s="2">
        <v>0</v>
      </c>
      <c r="H786" s="2">
        <v>0</v>
      </c>
      <c r="I786" s="2">
        <v>0</v>
      </c>
      <c r="J786" s="2">
        <v>0.95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</row>
    <row r="787" spans="1:19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</row>
    <row r="788" spans="1:19" ht="13.9" x14ac:dyDescent="0.3">
      <c r="A788" s="2" t="s">
        <v>805</v>
      </c>
      <c r="B788" s="2">
        <v>3.27</v>
      </c>
      <c r="C788" s="2">
        <v>1.44</v>
      </c>
      <c r="D788" s="2">
        <v>3.06</v>
      </c>
      <c r="E788" s="2">
        <v>4.34</v>
      </c>
      <c r="F788" s="2">
        <v>0.94</v>
      </c>
      <c r="G788" s="2">
        <v>1.48</v>
      </c>
      <c r="H788" s="2">
        <v>1.1299999999999999</v>
      </c>
      <c r="I788" s="2">
        <v>0</v>
      </c>
      <c r="J788" s="2">
        <v>2.71</v>
      </c>
      <c r="K788" s="2">
        <v>0</v>
      </c>
      <c r="L788" s="2">
        <v>0</v>
      </c>
      <c r="M788" s="2">
        <v>6.74</v>
      </c>
      <c r="N788" s="2">
        <v>0</v>
      </c>
      <c r="O788" s="2">
        <v>0</v>
      </c>
      <c r="P788" s="2">
        <v>0</v>
      </c>
      <c r="Q788" s="2">
        <v>0</v>
      </c>
      <c r="R788" s="2">
        <v>7.53</v>
      </c>
      <c r="S788" s="2">
        <v>0.5</v>
      </c>
    </row>
    <row r="789" spans="1:19" ht="13.9" x14ac:dyDescent="0.3">
      <c r="A789" s="2" t="s">
        <v>806</v>
      </c>
      <c r="B789" s="2">
        <v>0</v>
      </c>
      <c r="C789" s="2">
        <v>0.44</v>
      </c>
      <c r="D789" s="2">
        <v>0.11</v>
      </c>
      <c r="E789" s="2">
        <v>0.69</v>
      </c>
      <c r="F789" s="2">
        <v>0.94</v>
      </c>
      <c r="G789" s="2">
        <v>0.32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</row>
    <row r="790" spans="1:19" ht="13.9" x14ac:dyDescent="0.3">
      <c r="A790" s="2" t="s">
        <v>807</v>
      </c>
      <c r="B790" s="2">
        <v>0</v>
      </c>
      <c r="C790" s="2">
        <v>0.11</v>
      </c>
      <c r="D790" s="2">
        <v>0</v>
      </c>
      <c r="E790" s="2">
        <v>0</v>
      </c>
      <c r="F790" s="2">
        <v>0.13</v>
      </c>
      <c r="G790" s="2">
        <v>0</v>
      </c>
      <c r="H790" s="2">
        <v>0.1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2.68</v>
      </c>
      <c r="P790" s="2">
        <v>0</v>
      </c>
      <c r="Q790" s="2">
        <v>0</v>
      </c>
      <c r="R790" s="2">
        <v>0</v>
      </c>
      <c r="S790" s="2">
        <v>0</v>
      </c>
    </row>
    <row r="791" spans="1:19" ht="13.9" x14ac:dyDescent="0.3">
      <c r="A791" s="2" t="s">
        <v>808</v>
      </c>
      <c r="B791" s="2">
        <v>0.25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>
        <v>0</v>
      </c>
      <c r="I791" s="2">
        <v>0</v>
      </c>
      <c r="J791" s="2">
        <v>0.14000000000000001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</row>
    <row r="792" spans="1:19" ht="13.9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0.11</v>
      </c>
      <c r="H792" s="2">
        <v>0.62</v>
      </c>
      <c r="I792" s="2">
        <v>0</v>
      </c>
      <c r="J792" s="2">
        <v>0.54</v>
      </c>
      <c r="K792" s="2">
        <v>0</v>
      </c>
      <c r="L792" s="2">
        <v>0</v>
      </c>
      <c r="M792" s="2">
        <v>0</v>
      </c>
      <c r="N792" s="2">
        <v>0</v>
      </c>
      <c r="O792" s="2">
        <v>6.1</v>
      </c>
      <c r="P792" s="2">
        <v>0</v>
      </c>
      <c r="Q792" s="2">
        <v>0</v>
      </c>
      <c r="R792" s="2">
        <v>0</v>
      </c>
      <c r="S792" s="2">
        <v>0</v>
      </c>
    </row>
    <row r="793" spans="1:19" ht="13.9" x14ac:dyDescent="0.3">
      <c r="A793" s="2" t="s">
        <v>810</v>
      </c>
      <c r="B793" s="2">
        <v>0.63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>
        <v>0.31</v>
      </c>
      <c r="I793" s="2">
        <v>0</v>
      </c>
      <c r="J793" s="2">
        <v>1.89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</row>
    <row r="794" spans="1:19" ht="13.9" x14ac:dyDescent="0.3">
      <c r="A794" s="2" t="s">
        <v>811</v>
      </c>
      <c r="B794" s="2">
        <v>2.64</v>
      </c>
      <c r="C794" s="2">
        <v>2.44</v>
      </c>
      <c r="D794" s="2">
        <v>0.56999999999999995</v>
      </c>
      <c r="E794" s="2">
        <v>0.69</v>
      </c>
      <c r="F794" s="2">
        <v>1.07</v>
      </c>
      <c r="G794" s="2">
        <v>0</v>
      </c>
      <c r="H794" s="2">
        <v>1.44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</row>
    <row r="795" spans="1:19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0.14000000000000001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</row>
    <row r="796" spans="1:19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</row>
    <row r="797" spans="1:19" ht="13.9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>
        <v>0.72</v>
      </c>
      <c r="I797" s="2">
        <v>0</v>
      </c>
      <c r="J797" s="2">
        <v>0.81</v>
      </c>
      <c r="K797" s="2">
        <v>3.15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</row>
    <row r="798" spans="1:19" ht="13.9" x14ac:dyDescent="0.3">
      <c r="A798" s="2" t="s">
        <v>815</v>
      </c>
      <c r="B798" s="2">
        <v>1.01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>
        <v>0</v>
      </c>
      <c r="I798" s="2">
        <v>0</v>
      </c>
      <c r="J798" s="2">
        <v>0.41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</row>
    <row r="799" spans="1:19" ht="13.9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2.75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</row>
    <row r="800" spans="1:19" ht="13.9" x14ac:dyDescent="0.3">
      <c r="A800" s="2" t="s">
        <v>817</v>
      </c>
      <c r="B800" s="2">
        <v>0</v>
      </c>
      <c r="C800" s="2">
        <v>0</v>
      </c>
      <c r="D800" s="2">
        <v>0.23</v>
      </c>
      <c r="E800" s="2">
        <v>1.48</v>
      </c>
      <c r="F800" s="2">
        <v>0.13</v>
      </c>
      <c r="G800" s="2">
        <v>1.58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</row>
    <row r="801" spans="1:19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</row>
    <row r="802" spans="1:19" ht="13.9" x14ac:dyDescent="0.3">
      <c r="A802" s="2" t="s">
        <v>819</v>
      </c>
      <c r="B802" s="2">
        <v>2.14</v>
      </c>
      <c r="C802" s="2">
        <v>0</v>
      </c>
      <c r="D802" s="2">
        <v>0.11</v>
      </c>
      <c r="E802" s="2">
        <v>0</v>
      </c>
      <c r="F802" s="2">
        <v>0</v>
      </c>
      <c r="G802" s="2">
        <v>1.37</v>
      </c>
      <c r="H802" s="2">
        <v>0.51</v>
      </c>
      <c r="I802" s="2">
        <v>0</v>
      </c>
      <c r="J802" s="2">
        <v>1.35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0.18</v>
      </c>
      <c r="R802" s="2">
        <v>0</v>
      </c>
      <c r="S802" s="2">
        <v>0</v>
      </c>
    </row>
    <row r="803" spans="1:19" ht="13.9" x14ac:dyDescent="0.3">
      <c r="A803" s="2" t="s">
        <v>820</v>
      </c>
      <c r="B803" s="2">
        <v>0</v>
      </c>
      <c r="C803" s="2">
        <v>0.55000000000000004</v>
      </c>
      <c r="D803" s="2">
        <v>0</v>
      </c>
      <c r="E803" s="2">
        <v>0</v>
      </c>
      <c r="F803" s="2">
        <v>0.13</v>
      </c>
      <c r="G803" s="2">
        <v>0</v>
      </c>
      <c r="H803" s="2">
        <v>0.31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</row>
    <row r="804" spans="1:19" ht="13.9" x14ac:dyDescent="0.3">
      <c r="A804" s="2" t="s">
        <v>821</v>
      </c>
      <c r="B804" s="2">
        <v>0.13</v>
      </c>
      <c r="C804" s="2">
        <v>0</v>
      </c>
      <c r="D804" s="2">
        <v>0.11</v>
      </c>
      <c r="E804" s="2">
        <v>0</v>
      </c>
      <c r="F804" s="2">
        <v>0.27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4.92</v>
      </c>
      <c r="Q804" s="2">
        <v>0</v>
      </c>
      <c r="R804" s="2">
        <v>0</v>
      </c>
      <c r="S804" s="2">
        <v>0</v>
      </c>
    </row>
    <row r="805" spans="1:19" ht="13.9" x14ac:dyDescent="0.3">
      <c r="A805" s="2" t="s">
        <v>822</v>
      </c>
      <c r="B805" s="2">
        <v>0.5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</row>
    <row r="806" spans="1:19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</row>
    <row r="807" spans="1:19" ht="13.9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14.75</v>
      </c>
      <c r="M807" s="2">
        <v>0.26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</row>
    <row r="808" spans="1:19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</row>
    <row r="809" spans="1:19" ht="13.9" x14ac:dyDescent="0.3">
      <c r="A809" s="2" t="s">
        <v>826</v>
      </c>
      <c r="B809" s="2">
        <v>0</v>
      </c>
      <c r="C809" s="2">
        <v>0.11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</row>
    <row r="810" spans="1:19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</row>
    <row r="811" spans="1:19" ht="13.9" x14ac:dyDescent="0.3">
      <c r="A811" s="2" t="s">
        <v>828</v>
      </c>
      <c r="B811" s="2">
        <v>0.63</v>
      </c>
      <c r="C811" s="2">
        <v>0.22</v>
      </c>
      <c r="D811" s="2">
        <v>1.1299999999999999</v>
      </c>
      <c r="E811" s="2">
        <v>1.18</v>
      </c>
      <c r="F811" s="2">
        <v>0.67</v>
      </c>
      <c r="G811" s="2">
        <v>0.11</v>
      </c>
      <c r="H811" s="2">
        <v>0.51</v>
      </c>
      <c r="I811" s="2">
        <v>0</v>
      </c>
      <c r="J811" s="2">
        <v>0</v>
      </c>
      <c r="K811" s="2">
        <v>3.67</v>
      </c>
      <c r="L811" s="2">
        <v>0</v>
      </c>
      <c r="M811" s="2">
        <v>0</v>
      </c>
      <c r="N811" s="2">
        <v>0</v>
      </c>
      <c r="O811" s="2">
        <v>0</v>
      </c>
      <c r="P811" s="2">
        <v>2.73</v>
      </c>
      <c r="Q811" s="2">
        <v>12.04</v>
      </c>
      <c r="R811" s="2">
        <v>3.98</v>
      </c>
      <c r="S811" s="2">
        <v>0</v>
      </c>
    </row>
    <row r="812" spans="1:19" ht="13.9" x14ac:dyDescent="0.3">
      <c r="A812" s="2" t="s">
        <v>829</v>
      </c>
      <c r="B812" s="2">
        <v>1.01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>
        <v>1.85</v>
      </c>
      <c r="I812" s="2">
        <v>0</v>
      </c>
      <c r="J812" s="2">
        <v>0.54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</row>
    <row r="813" spans="1:19" ht="13.9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5.93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</row>
    <row r="814" spans="1:19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</row>
    <row r="815" spans="1:19" ht="13.9" x14ac:dyDescent="0.3">
      <c r="A815" s="2" t="s">
        <v>832</v>
      </c>
      <c r="B815" s="2">
        <v>1.1299999999999999</v>
      </c>
      <c r="C815" s="2">
        <v>2</v>
      </c>
      <c r="D815" s="2">
        <v>0.11</v>
      </c>
      <c r="E815" s="2">
        <v>0.49</v>
      </c>
      <c r="F815" s="2">
        <v>1.47</v>
      </c>
      <c r="G815" s="2">
        <v>0.21</v>
      </c>
      <c r="H815" s="2">
        <v>0.1</v>
      </c>
      <c r="I815" s="2">
        <v>0</v>
      </c>
      <c r="J815" s="2">
        <v>1.22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0.55000000000000004</v>
      </c>
      <c r="Q815" s="2">
        <v>0</v>
      </c>
      <c r="R815" s="2">
        <v>0</v>
      </c>
      <c r="S815" s="2">
        <v>0</v>
      </c>
    </row>
    <row r="816" spans="1:19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</row>
    <row r="817" spans="1:19" ht="13.9" x14ac:dyDescent="0.3">
      <c r="A817" s="2" t="s">
        <v>834</v>
      </c>
      <c r="B817" s="2">
        <v>0.88</v>
      </c>
      <c r="C817" s="2">
        <v>3.22</v>
      </c>
      <c r="D817" s="2">
        <v>1.02</v>
      </c>
      <c r="E817" s="2">
        <v>2.4700000000000002</v>
      </c>
      <c r="F817" s="2">
        <v>1.34</v>
      </c>
      <c r="G817" s="2">
        <v>1.37</v>
      </c>
      <c r="H817" s="2">
        <v>4.63</v>
      </c>
      <c r="I817" s="2">
        <v>0</v>
      </c>
      <c r="J817" s="2">
        <v>2.84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4.3899999999999997</v>
      </c>
      <c r="S817" s="2">
        <v>19.61</v>
      </c>
    </row>
    <row r="818" spans="1:19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0.1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</row>
    <row r="819" spans="1:19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</row>
    <row r="820" spans="1:19" ht="13.9" x14ac:dyDescent="0.3">
      <c r="A820" s="2" t="s">
        <v>837</v>
      </c>
      <c r="B820" s="2">
        <v>0.5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</row>
    <row r="821" spans="1:19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</row>
    <row r="822" spans="1:19" ht="13.9" x14ac:dyDescent="0.3">
      <c r="A822" s="2" t="s">
        <v>839</v>
      </c>
      <c r="B822" s="2">
        <v>0</v>
      </c>
      <c r="C822" s="2">
        <v>0.33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5.24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</row>
    <row r="823" spans="1:19" ht="13.9" x14ac:dyDescent="0.3">
      <c r="A823" s="2" t="s">
        <v>840</v>
      </c>
      <c r="B823" s="2">
        <v>0.63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</row>
    <row r="824" spans="1:19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</row>
    <row r="825" spans="1:19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</row>
    <row r="826" spans="1:19" ht="13.9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6.26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</row>
    <row r="827" spans="1:19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>
        <v>0</v>
      </c>
      <c r="I827" s="2">
        <v>0</v>
      </c>
      <c r="J827" s="2">
        <v>0.68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</row>
    <row r="828" spans="1:19" ht="13.9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1.98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</row>
    <row r="829" spans="1:19" ht="13.9" x14ac:dyDescent="0.3">
      <c r="A829" s="2" t="s">
        <v>846</v>
      </c>
      <c r="B829" s="2">
        <v>0.76</v>
      </c>
      <c r="C829" s="2">
        <v>0.33</v>
      </c>
      <c r="D829" s="2">
        <v>3.06</v>
      </c>
      <c r="E829" s="2">
        <v>2.27</v>
      </c>
      <c r="F829" s="2">
        <v>1.6</v>
      </c>
      <c r="G829" s="2">
        <v>1.05</v>
      </c>
      <c r="H829" s="2">
        <v>1.1299999999999999</v>
      </c>
      <c r="I829" s="2">
        <v>0</v>
      </c>
      <c r="J829" s="2">
        <v>1.22</v>
      </c>
      <c r="K829" s="2">
        <v>0.13</v>
      </c>
      <c r="L829" s="2">
        <v>0.28999999999999998</v>
      </c>
      <c r="M829" s="2">
        <v>0</v>
      </c>
      <c r="N829" s="2">
        <v>25.05</v>
      </c>
      <c r="O829" s="2">
        <v>15.86</v>
      </c>
      <c r="P829" s="2">
        <v>0</v>
      </c>
      <c r="Q829" s="2">
        <v>0</v>
      </c>
      <c r="R829" s="2">
        <v>0</v>
      </c>
      <c r="S829" s="2">
        <v>0</v>
      </c>
    </row>
    <row r="830" spans="1:19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</row>
    <row r="831" spans="1:19" ht="13.9" x14ac:dyDescent="0.3">
      <c r="A831" s="2" t="s">
        <v>848</v>
      </c>
      <c r="B831" s="2">
        <v>31.6</v>
      </c>
      <c r="C831" s="2">
        <v>36.81</v>
      </c>
      <c r="D831" s="2">
        <v>33.24</v>
      </c>
      <c r="E831" s="2">
        <v>27.05</v>
      </c>
      <c r="F831" s="2">
        <v>57.89</v>
      </c>
      <c r="G831" s="2">
        <v>29.09</v>
      </c>
      <c r="H831" s="2">
        <v>40.74</v>
      </c>
      <c r="I831" s="2">
        <v>0</v>
      </c>
      <c r="J831" s="2">
        <v>66.59</v>
      </c>
      <c r="K831" s="2">
        <v>8.1300000000000008</v>
      </c>
      <c r="L831" s="2">
        <v>30.07</v>
      </c>
      <c r="M831" s="2">
        <v>0</v>
      </c>
      <c r="N831" s="2">
        <v>12.2</v>
      </c>
      <c r="O831" s="2">
        <v>44.64</v>
      </c>
      <c r="P831" s="2">
        <v>23.85</v>
      </c>
      <c r="Q831" s="2">
        <v>15.45</v>
      </c>
      <c r="R831" s="2">
        <v>11.72</v>
      </c>
      <c r="S831" s="2">
        <v>58.82</v>
      </c>
    </row>
    <row r="832" spans="1:19" ht="13.9" x14ac:dyDescent="0.3">
      <c r="A832" s="2" t="s">
        <v>849</v>
      </c>
      <c r="B832" s="2">
        <v>0.5</v>
      </c>
      <c r="C832" s="2">
        <v>1</v>
      </c>
      <c r="D832" s="2">
        <v>1.36</v>
      </c>
      <c r="E832" s="2">
        <v>0.39</v>
      </c>
      <c r="F832" s="2">
        <v>0.94</v>
      </c>
      <c r="G832" s="2">
        <v>1.26</v>
      </c>
      <c r="H832" s="2">
        <v>0.82</v>
      </c>
      <c r="I832" s="2">
        <v>0</v>
      </c>
      <c r="J832" s="2">
        <v>0.81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</row>
    <row r="833" spans="1:19" ht="13.9" x14ac:dyDescent="0.3">
      <c r="A833" s="2" t="s">
        <v>850</v>
      </c>
      <c r="B833" s="2">
        <v>1.26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</row>
    <row r="834" spans="1:19" ht="13.9" x14ac:dyDescent="0.3">
      <c r="A834" s="2" t="s">
        <v>851</v>
      </c>
      <c r="B834" s="2">
        <v>0</v>
      </c>
      <c r="C834" s="2">
        <v>0</v>
      </c>
      <c r="D834" s="2">
        <v>0.45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</row>
    <row r="835" spans="1:19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>
        <v>0.82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</row>
    <row r="836" spans="1:19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0.1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</row>
    <row r="837" spans="1:19" ht="13.9" x14ac:dyDescent="0.3">
      <c r="A837" s="2" t="s">
        <v>854</v>
      </c>
      <c r="B837" s="2">
        <v>0</v>
      </c>
      <c r="C837" s="2">
        <v>0</v>
      </c>
      <c r="D837" s="2">
        <v>1.02</v>
      </c>
      <c r="E837" s="2">
        <v>0.39</v>
      </c>
      <c r="F837" s="2">
        <v>0.53</v>
      </c>
      <c r="G837" s="2">
        <v>0.32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</row>
    <row r="838" spans="1:19" ht="13.9" x14ac:dyDescent="0.3">
      <c r="A838" s="2" t="s">
        <v>855</v>
      </c>
      <c r="B838" s="2">
        <v>0.5</v>
      </c>
      <c r="C838" s="2">
        <v>0.33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0.68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</row>
    <row r="839" spans="1:19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</row>
    <row r="840" spans="1:19" ht="13.9" x14ac:dyDescent="0.3">
      <c r="A840" s="2" t="s">
        <v>857</v>
      </c>
      <c r="B840" s="2">
        <v>0</v>
      </c>
      <c r="C840" s="2">
        <v>0.55000000000000004</v>
      </c>
      <c r="D840" s="2">
        <v>0</v>
      </c>
      <c r="E840" s="2">
        <v>0</v>
      </c>
      <c r="F840" s="2">
        <v>0.13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</row>
    <row r="841" spans="1:19" ht="13.9" x14ac:dyDescent="0.3">
      <c r="A841" s="2" t="s">
        <v>858</v>
      </c>
      <c r="B841" s="2">
        <v>3.4</v>
      </c>
      <c r="C841" s="2">
        <v>0.78</v>
      </c>
      <c r="D841" s="2">
        <v>0.79</v>
      </c>
      <c r="E841" s="2">
        <v>0.39</v>
      </c>
      <c r="F841" s="2">
        <v>0.27</v>
      </c>
      <c r="G841" s="2">
        <v>0.32</v>
      </c>
      <c r="H841" s="2">
        <v>0.1</v>
      </c>
      <c r="I841" s="2">
        <v>0</v>
      </c>
      <c r="J841" s="2">
        <v>2.98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14.08</v>
      </c>
    </row>
    <row r="842" spans="1:19" ht="13.9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0.26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</row>
    <row r="843" spans="1:19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0.72</v>
      </c>
      <c r="I843" s="2">
        <v>0</v>
      </c>
      <c r="J843" s="2">
        <v>1.49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</row>
    <row r="844" spans="1:19" ht="13.9" x14ac:dyDescent="0.3">
      <c r="A844" s="2" t="s">
        <v>861</v>
      </c>
      <c r="B844" s="2">
        <v>0</v>
      </c>
      <c r="C844" s="2">
        <v>0.44</v>
      </c>
      <c r="D844" s="2">
        <v>0</v>
      </c>
      <c r="E844" s="2">
        <v>0</v>
      </c>
      <c r="F844" s="2">
        <v>0</v>
      </c>
      <c r="G844" s="2">
        <v>0</v>
      </c>
      <c r="H844" s="2">
        <v>0.21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</row>
    <row r="845" spans="1:19" ht="13.9" x14ac:dyDescent="0.3">
      <c r="A845" s="2" t="s">
        <v>862</v>
      </c>
      <c r="B845" s="2">
        <v>0.13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</row>
    <row r="846" spans="1:19" ht="13.9" x14ac:dyDescent="0.3">
      <c r="A846" s="2" t="s">
        <v>863</v>
      </c>
      <c r="B846" s="2">
        <v>0</v>
      </c>
      <c r="C846" s="2">
        <v>0.22</v>
      </c>
      <c r="D846" s="2">
        <v>0</v>
      </c>
      <c r="E846" s="2">
        <v>0.39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</row>
    <row r="847" spans="1:19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</row>
    <row r="848" spans="1:19" ht="13.9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6.74</v>
      </c>
      <c r="Q848" s="2">
        <v>0</v>
      </c>
      <c r="R848" s="2">
        <v>0</v>
      </c>
      <c r="S848" s="2">
        <v>0</v>
      </c>
    </row>
    <row r="849" spans="1:19" ht="13.9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0.39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7.07</v>
      </c>
      <c r="P849" s="2">
        <v>0</v>
      </c>
      <c r="Q849" s="2">
        <v>0</v>
      </c>
      <c r="R849" s="2">
        <v>0</v>
      </c>
      <c r="S849" s="2">
        <v>0</v>
      </c>
    </row>
    <row r="850" spans="1:19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0.31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</row>
    <row r="851" spans="1:19" ht="13.9" x14ac:dyDescent="0.3">
      <c r="A851" s="2" t="s">
        <v>868</v>
      </c>
      <c r="B851" s="2">
        <v>15.61</v>
      </c>
      <c r="C851" s="2">
        <v>9.09</v>
      </c>
      <c r="D851" s="2">
        <v>9.08</v>
      </c>
      <c r="E851" s="2">
        <v>10.76</v>
      </c>
      <c r="F851" s="2">
        <v>17.78</v>
      </c>
      <c r="G851" s="2">
        <v>11.91</v>
      </c>
      <c r="H851" s="2">
        <v>4.01</v>
      </c>
      <c r="I851" s="2">
        <v>0</v>
      </c>
      <c r="J851" s="2">
        <v>10.02</v>
      </c>
      <c r="K851" s="2">
        <v>0</v>
      </c>
      <c r="L851" s="2">
        <v>0.28999999999999998</v>
      </c>
      <c r="M851" s="2">
        <v>0</v>
      </c>
      <c r="N851" s="2">
        <v>15.49</v>
      </c>
      <c r="O851" s="2">
        <v>8.2899999999999991</v>
      </c>
      <c r="P851" s="2">
        <v>10.01</v>
      </c>
      <c r="Q851" s="2">
        <v>0</v>
      </c>
      <c r="R851" s="2">
        <v>0</v>
      </c>
      <c r="S851" s="2">
        <v>28.15</v>
      </c>
    </row>
    <row r="852" spans="1:19" ht="13.9" x14ac:dyDescent="0.3">
      <c r="A852" s="2" t="s">
        <v>869</v>
      </c>
      <c r="B852" s="2">
        <v>2.39</v>
      </c>
      <c r="C852" s="2">
        <v>1.1100000000000001</v>
      </c>
      <c r="D852" s="2">
        <v>1.93</v>
      </c>
      <c r="E852" s="2">
        <v>4.9400000000000004</v>
      </c>
      <c r="F852" s="2">
        <v>0.53</v>
      </c>
      <c r="G852" s="2">
        <v>1.9</v>
      </c>
      <c r="H852" s="2">
        <v>3.19</v>
      </c>
      <c r="I852" s="2">
        <v>0</v>
      </c>
      <c r="J852" s="2">
        <v>0.54</v>
      </c>
      <c r="K852" s="2">
        <v>4.8499999999999996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0.21</v>
      </c>
      <c r="S852" s="2">
        <v>0</v>
      </c>
    </row>
    <row r="853" spans="1:19" ht="13.9" x14ac:dyDescent="0.3">
      <c r="A853" s="2" t="s">
        <v>870</v>
      </c>
      <c r="B853" s="2">
        <v>0</v>
      </c>
      <c r="C853" s="2">
        <v>1.1100000000000001</v>
      </c>
      <c r="D853" s="2">
        <v>1.36</v>
      </c>
      <c r="E853" s="2">
        <v>0</v>
      </c>
      <c r="F853" s="2">
        <v>0</v>
      </c>
      <c r="G853" s="2">
        <v>1.26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</row>
    <row r="854" spans="1:19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>
        <v>0.62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</row>
    <row r="855" spans="1:19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0.1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</row>
    <row r="856" spans="1:19" ht="13.9" x14ac:dyDescent="0.3">
      <c r="A856" s="2" t="s">
        <v>873</v>
      </c>
      <c r="B856" s="2">
        <v>0</v>
      </c>
      <c r="C856" s="2">
        <v>0.67</v>
      </c>
      <c r="D856" s="2">
        <v>0</v>
      </c>
      <c r="E856" s="2">
        <v>0.99</v>
      </c>
      <c r="F856" s="2">
        <v>0.4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</row>
    <row r="857" spans="1:19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</row>
    <row r="858" spans="1:19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0.31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</row>
    <row r="859" spans="1:19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</row>
    <row r="860" spans="1:19" ht="13.9" x14ac:dyDescent="0.3">
      <c r="A860" s="2" t="s">
        <v>877</v>
      </c>
      <c r="B860" s="2">
        <v>6.17</v>
      </c>
      <c r="C860" s="2">
        <v>6.43</v>
      </c>
      <c r="D860" s="2">
        <v>10.55</v>
      </c>
      <c r="E860" s="2">
        <v>8.49</v>
      </c>
      <c r="F860" s="2">
        <v>3.74</v>
      </c>
      <c r="G860" s="2">
        <v>3.06</v>
      </c>
      <c r="H860" s="2">
        <v>6.69</v>
      </c>
      <c r="I860" s="2">
        <v>0</v>
      </c>
      <c r="J860" s="2">
        <v>4.74</v>
      </c>
      <c r="K860" s="2">
        <v>0</v>
      </c>
      <c r="L860" s="2">
        <v>0</v>
      </c>
      <c r="M860" s="2">
        <v>0</v>
      </c>
      <c r="N860" s="2">
        <v>0</v>
      </c>
      <c r="O860" s="2">
        <v>12.44</v>
      </c>
      <c r="P860" s="2">
        <v>0</v>
      </c>
      <c r="Q860" s="2">
        <v>6.29</v>
      </c>
      <c r="R860" s="2">
        <v>0</v>
      </c>
      <c r="S860" s="2">
        <v>0</v>
      </c>
    </row>
    <row r="861" spans="1:19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</row>
    <row r="862" spans="1:19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</row>
    <row r="863" spans="1:19" ht="13.9" x14ac:dyDescent="0.3">
      <c r="A863" s="2" t="s">
        <v>880</v>
      </c>
      <c r="B863" s="2">
        <v>0</v>
      </c>
      <c r="C863" s="2">
        <v>0.22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</row>
    <row r="864" spans="1:19" ht="13.9" x14ac:dyDescent="0.3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5.1100000000000003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0.18</v>
      </c>
      <c r="R864" s="2">
        <v>0</v>
      </c>
      <c r="S864" s="2">
        <v>0</v>
      </c>
    </row>
    <row r="865" spans="1:19" ht="13.9" x14ac:dyDescent="0.3">
      <c r="A865" s="2" t="s">
        <v>882</v>
      </c>
      <c r="B865" s="2">
        <v>0.38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>
        <v>0</v>
      </c>
      <c r="I865" s="2">
        <v>0</v>
      </c>
      <c r="J865" s="2">
        <v>0.81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</row>
    <row r="866" spans="1:19" ht="13.9" x14ac:dyDescent="0.3">
      <c r="A866" s="2" t="s">
        <v>883</v>
      </c>
      <c r="B866" s="2">
        <v>1.01</v>
      </c>
      <c r="C866" s="2">
        <v>0.55000000000000004</v>
      </c>
      <c r="D866" s="2">
        <v>0</v>
      </c>
      <c r="E866" s="2">
        <v>0.99</v>
      </c>
      <c r="F866" s="2">
        <v>0.67</v>
      </c>
      <c r="G866" s="2">
        <v>1.9</v>
      </c>
      <c r="H866" s="2">
        <v>0.62</v>
      </c>
      <c r="I866" s="2">
        <v>0</v>
      </c>
      <c r="J866" s="2">
        <v>2.84</v>
      </c>
      <c r="K866" s="2">
        <v>2.36</v>
      </c>
      <c r="L866" s="2">
        <v>0</v>
      </c>
      <c r="M866" s="2">
        <v>0</v>
      </c>
      <c r="N866" s="2">
        <v>0</v>
      </c>
      <c r="O866" s="2">
        <v>0</v>
      </c>
      <c r="P866" s="2">
        <v>2.91</v>
      </c>
      <c r="Q866" s="2">
        <v>0</v>
      </c>
      <c r="R866" s="2">
        <v>0</v>
      </c>
      <c r="S866" s="2">
        <v>0</v>
      </c>
    </row>
    <row r="867" spans="1:19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</row>
    <row r="868" spans="1:19" ht="13.9" x14ac:dyDescent="0.3">
      <c r="A868" s="2" t="s">
        <v>885</v>
      </c>
      <c r="B868" s="2">
        <v>0</v>
      </c>
      <c r="C868" s="2">
        <v>0.33</v>
      </c>
      <c r="D868" s="2">
        <v>0.11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</row>
    <row r="869" spans="1:19" ht="13.9" x14ac:dyDescent="0.3">
      <c r="A869" s="2" t="s">
        <v>886</v>
      </c>
      <c r="B869" s="2">
        <v>125.75</v>
      </c>
      <c r="C869" s="2">
        <v>135.16999999999999</v>
      </c>
      <c r="D869" s="2">
        <v>125.93</v>
      </c>
      <c r="E869" s="2">
        <v>117.47</v>
      </c>
      <c r="F869" s="2">
        <v>171.28</v>
      </c>
      <c r="G869" s="2">
        <v>123.93</v>
      </c>
      <c r="H869" s="2">
        <v>104.54</v>
      </c>
      <c r="I869" s="2">
        <v>81.75</v>
      </c>
      <c r="J869" s="2">
        <v>182.85</v>
      </c>
      <c r="K869" s="2">
        <v>136.34</v>
      </c>
      <c r="L869" s="2">
        <v>205.61</v>
      </c>
      <c r="M869" s="2">
        <v>55.5</v>
      </c>
      <c r="N869" s="2">
        <v>110.09</v>
      </c>
      <c r="O869" s="2">
        <v>204.44</v>
      </c>
      <c r="P869" s="2">
        <v>129.63</v>
      </c>
      <c r="Q869" s="2">
        <v>72.58</v>
      </c>
      <c r="R869" s="2">
        <v>108.83</v>
      </c>
      <c r="S869" s="2">
        <v>213.16</v>
      </c>
    </row>
    <row r="870" spans="1:19" ht="13.9" x14ac:dyDescent="0.3">
      <c r="A870" s="2" t="s">
        <v>887</v>
      </c>
      <c r="B870" s="2">
        <v>0.63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>
        <v>0.31</v>
      </c>
      <c r="I870" s="2">
        <v>0</v>
      </c>
      <c r="J870" s="2">
        <v>1.22</v>
      </c>
      <c r="K870" s="2">
        <v>3.93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7.54</v>
      </c>
    </row>
    <row r="871" spans="1:19" ht="13.9" x14ac:dyDescent="0.3">
      <c r="A871" s="2" t="s">
        <v>888</v>
      </c>
      <c r="B871" s="2">
        <v>3382.1</v>
      </c>
      <c r="C871" s="2">
        <v>3469.74</v>
      </c>
      <c r="D871" s="2">
        <v>3795.98</v>
      </c>
      <c r="E871" s="2">
        <v>3956.7</v>
      </c>
      <c r="F871" s="2">
        <v>3210.03</v>
      </c>
      <c r="G871" s="2">
        <v>4022.79</v>
      </c>
      <c r="H871" s="2">
        <v>3854.04</v>
      </c>
      <c r="I871" s="2">
        <v>4496.3999999999996</v>
      </c>
      <c r="J871" s="2">
        <v>3388.57</v>
      </c>
      <c r="K871" s="2">
        <v>972.87</v>
      </c>
      <c r="L871" s="2">
        <v>883.16</v>
      </c>
      <c r="M871" s="2">
        <v>555.48</v>
      </c>
      <c r="N871" s="2">
        <v>1019.17</v>
      </c>
      <c r="O871" s="2">
        <v>1207.3699999999999</v>
      </c>
      <c r="P871" s="2">
        <v>1104.5899999999999</v>
      </c>
      <c r="Q871" s="2">
        <v>1335.37</v>
      </c>
      <c r="R871" s="2">
        <v>1104.79</v>
      </c>
      <c r="S871" s="2">
        <v>915.49</v>
      </c>
    </row>
    <row r="872" spans="1:19" ht="13.9" x14ac:dyDescent="0.3">
      <c r="A872" s="2" t="s">
        <v>889</v>
      </c>
      <c r="B872" s="2">
        <v>0.5</v>
      </c>
      <c r="C872" s="2">
        <v>0.44</v>
      </c>
      <c r="D872" s="2">
        <v>0.56999999999999995</v>
      </c>
      <c r="E872" s="2">
        <v>0.39</v>
      </c>
      <c r="F872" s="2">
        <v>0.13</v>
      </c>
      <c r="G872" s="2">
        <v>1.1599999999999999</v>
      </c>
      <c r="H872" s="2">
        <v>0</v>
      </c>
      <c r="I872" s="2">
        <v>0</v>
      </c>
      <c r="J872" s="2">
        <v>2.71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</row>
    <row r="873" spans="1:19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</row>
    <row r="874" spans="1:19" ht="13.9" x14ac:dyDescent="0.3">
      <c r="A874" s="2" t="s">
        <v>891</v>
      </c>
      <c r="B874" s="2">
        <v>0.25</v>
      </c>
      <c r="C874" s="2">
        <v>0.55000000000000004</v>
      </c>
      <c r="D874" s="2">
        <v>0</v>
      </c>
      <c r="E874" s="2">
        <v>0.59</v>
      </c>
      <c r="F874" s="2">
        <v>0.4</v>
      </c>
      <c r="G874" s="2">
        <v>0.42</v>
      </c>
      <c r="H874" s="2">
        <v>0</v>
      </c>
      <c r="I874" s="2">
        <v>0</v>
      </c>
      <c r="J874" s="2">
        <v>2.44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</row>
    <row r="875" spans="1:19" ht="13.9" x14ac:dyDescent="0.3">
      <c r="A875" s="2" t="s">
        <v>892</v>
      </c>
      <c r="B875" s="2">
        <v>171.32</v>
      </c>
      <c r="C875" s="2">
        <v>199.26</v>
      </c>
      <c r="D875" s="2">
        <v>139.19999999999999</v>
      </c>
      <c r="E875" s="2">
        <v>176.11</v>
      </c>
      <c r="F875" s="2">
        <v>228.77</v>
      </c>
      <c r="G875" s="2">
        <v>192.33</v>
      </c>
      <c r="H875" s="2">
        <v>146.62</v>
      </c>
      <c r="I875" s="2">
        <v>0</v>
      </c>
      <c r="J875" s="2">
        <v>232.66</v>
      </c>
      <c r="K875" s="2">
        <v>108.02</v>
      </c>
      <c r="L875" s="2">
        <v>219.2</v>
      </c>
      <c r="M875" s="2">
        <v>116.18</v>
      </c>
      <c r="N875" s="2">
        <v>167.44</v>
      </c>
      <c r="O875" s="2">
        <v>186.14</v>
      </c>
      <c r="P875" s="2">
        <v>265.45</v>
      </c>
      <c r="Q875" s="2">
        <v>84.8</v>
      </c>
      <c r="R875" s="2">
        <v>202.58</v>
      </c>
      <c r="S875" s="2">
        <v>256.89999999999998</v>
      </c>
    </row>
    <row r="876" spans="1:19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</row>
    <row r="877" spans="1:19" ht="13.9" x14ac:dyDescent="0.3">
      <c r="A877" s="2" t="s">
        <v>894</v>
      </c>
      <c r="B877" s="2">
        <v>1.38</v>
      </c>
      <c r="C877" s="2">
        <v>1.1100000000000001</v>
      </c>
      <c r="D877" s="2">
        <v>0.34</v>
      </c>
      <c r="E877" s="2">
        <v>0.39</v>
      </c>
      <c r="F877" s="2">
        <v>0.53</v>
      </c>
      <c r="G877" s="2">
        <v>0.95</v>
      </c>
      <c r="H877" s="2">
        <v>1.23</v>
      </c>
      <c r="I877" s="2">
        <v>0</v>
      </c>
      <c r="J877" s="2">
        <v>2.57</v>
      </c>
      <c r="K877" s="2">
        <v>3.8</v>
      </c>
      <c r="L877" s="2">
        <v>0</v>
      </c>
      <c r="M877" s="2">
        <v>5.19</v>
      </c>
      <c r="N877" s="2">
        <v>0</v>
      </c>
      <c r="O877" s="2">
        <v>0.24</v>
      </c>
      <c r="P877" s="2">
        <v>0</v>
      </c>
      <c r="Q877" s="2">
        <v>0</v>
      </c>
      <c r="R877" s="2">
        <v>0</v>
      </c>
      <c r="S877" s="2">
        <v>6.54</v>
      </c>
    </row>
    <row r="878" spans="1:19" ht="13.9" x14ac:dyDescent="0.3">
      <c r="A878" s="2" t="s">
        <v>895</v>
      </c>
      <c r="B878" s="2">
        <v>2.52</v>
      </c>
      <c r="C878" s="2">
        <v>0.44</v>
      </c>
      <c r="D878" s="2">
        <v>0.79</v>
      </c>
      <c r="E878" s="2">
        <v>0.89</v>
      </c>
      <c r="F878" s="2">
        <v>1.47</v>
      </c>
      <c r="G878" s="2">
        <v>0.21</v>
      </c>
      <c r="H878" s="2">
        <v>1.54</v>
      </c>
      <c r="I878" s="2">
        <v>0</v>
      </c>
      <c r="J878" s="2">
        <v>1.76</v>
      </c>
      <c r="K878" s="2">
        <v>0</v>
      </c>
      <c r="L878" s="2">
        <v>0</v>
      </c>
      <c r="M878" s="2">
        <v>0</v>
      </c>
      <c r="N878" s="2">
        <v>0</v>
      </c>
      <c r="O878" s="2">
        <v>2.44</v>
      </c>
      <c r="P878" s="2">
        <v>2.37</v>
      </c>
      <c r="Q878" s="2">
        <v>3.41</v>
      </c>
      <c r="R878" s="2">
        <v>1.46</v>
      </c>
      <c r="S878" s="2">
        <v>0.5</v>
      </c>
    </row>
    <row r="879" spans="1:19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122.63</v>
      </c>
      <c r="J879" s="2">
        <v>0.68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</row>
    <row r="880" spans="1:19" ht="13.9" x14ac:dyDescent="0.3">
      <c r="A880" s="2" t="s">
        <v>897</v>
      </c>
      <c r="B880" s="2">
        <v>0.25</v>
      </c>
      <c r="C880" s="2">
        <v>0</v>
      </c>
      <c r="D880" s="2">
        <v>0</v>
      </c>
      <c r="E880" s="2">
        <v>0</v>
      </c>
      <c r="F880" s="2">
        <v>0.4</v>
      </c>
      <c r="G880" s="2">
        <v>0</v>
      </c>
      <c r="H880" s="2">
        <v>0</v>
      </c>
      <c r="I880" s="2">
        <v>0</v>
      </c>
      <c r="J880" s="2">
        <v>0.95</v>
      </c>
      <c r="K880" s="2">
        <v>0</v>
      </c>
      <c r="L880" s="2">
        <v>0</v>
      </c>
      <c r="M880" s="2">
        <v>0</v>
      </c>
      <c r="N880" s="2">
        <v>0</v>
      </c>
      <c r="O880" s="2">
        <v>7.07</v>
      </c>
      <c r="P880" s="2">
        <v>0</v>
      </c>
      <c r="Q880" s="2">
        <v>0</v>
      </c>
      <c r="R880" s="2">
        <v>0</v>
      </c>
      <c r="S880" s="2">
        <v>0</v>
      </c>
    </row>
    <row r="881" spans="1:19" ht="13.9" x14ac:dyDescent="0.3">
      <c r="A881" s="2" t="s">
        <v>898</v>
      </c>
      <c r="B881" s="2">
        <v>1.01</v>
      </c>
      <c r="C881" s="2">
        <v>0.55000000000000004</v>
      </c>
      <c r="D881" s="2">
        <v>0.45</v>
      </c>
      <c r="E881" s="2">
        <v>0.39</v>
      </c>
      <c r="F881" s="2">
        <v>0.27</v>
      </c>
      <c r="G881" s="2">
        <v>0.42</v>
      </c>
      <c r="H881" s="2">
        <v>0</v>
      </c>
      <c r="I881" s="2">
        <v>0</v>
      </c>
      <c r="J881" s="2">
        <v>0.68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1.0900000000000001</v>
      </c>
      <c r="Q881" s="2">
        <v>1.26</v>
      </c>
      <c r="R881" s="2">
        <v>0</v>
      </c>
      <c r="S881" s="2">
        <v>0</v>
      </c>
    </row>
    <row r="882" spans="1:19" ht="13.9" x14ac:dyDescent="0.3">
      <c r="A882" s="2" t="s">
        <v>899</v>
      </c>
      <c r="B882" s="2">
        <v>0</v>
      </c>
      <c r="C882" s="2">
        <v>0.11</v>
      </c>
      <c r="D882" s="2">
        <v>0</v>
      </c>
      <c r="E882" s="2">
        <v>0</v>
      </c>
      <c r="F882" s="2">
        <v>0</v>
      </c>
      <c r="G882" s="2">
        <v>0.11</v>
      </c>
      <c r="H882" s="2">
        <v>0</v>
      </c>
      <c r="I882" s="2">
        <v>0</v>
      </c>
      <c r="J882" s="2">
        <v>0.81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</row>
    <row r="883" spans="1:19" ht="13.9" x14ac:dyDescent="0.3">
      <c r="A883" s="2" t="s">
        <v>900</v>
      </c>
      <c r="B883" s="2">
        <v>1.38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</row>
    <row r="884" spans="1:19" ht="13.9" x14ac:dyDescent="0.3">
      <c r="A884" s="2" t="s">
        <v>901</v>
      </c>
      <c r="B884" s="2">
        <v>2.77</v>
      </c>
      <c r="C884" s="2">
        <v>1.55</v>
      </c>
      <c r="D884" s="2">
        <v>0</v>
      </c>
      <c r="E884" s="2">
        <v>1.0900000000000001</v>
      </c>
      <c r="F884" s="2">
        <v>3.61</v>
      </c>
      <c r="G884" s="2">
        <v>1.26</v>
      </c>
      <c r="H884" s="2">
        <v>1.44</v>
      </c>
      <c r="I884" s="2">
        <v>0</v>
      </c>
      <c r="J884" s="2">
        <v>2.0299999999999998</v>
      </c>
      <c r="K884" s="2">
        <v>4.59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4.5999999999999996</v>
      </c>
      <c r="S884" s="2">
        <v>0</v>
      </c>
    </row>
    <row r="885" spans="1:19" ht="13.9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6.48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</row>
    <row r="886" spans="1:19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0.21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</row>
    <row r="887" spans="1:19" ht="13.9" x14ac:dyDescent="0.3">
      <c r="A887" s="2" t="s">
        <v>904</v>
      </c>
      <c r="B887" s="2">
        <v>0</v>
      </c>
      <c r="C887" s="2">
        <v>1.44</v>
      </c>
      <c r="D887" s="2">
        <v>1.25</v>
      </c>
      <c r="E887" s="2">
        <v>2.4700000000000002</v>
      </c>
      <c r="F887" s="2">
        <v>0</v>
      </c>
      <c r="G887" s="2">
        <v>0</v>
      </c>
      <c r="H887" s="2">
        <v>0</v>
      </c>
      <c r="I887" s="2">
        <v>0</v>
      </c>
      <c r="J887" s="2">
        <v>0.95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</row>
    <row r="888" spans="1:19" ht="13.9" x14ac:dyDescent="0.3">
      <c r="A888" s="2" t="s">
        <v>905</v>
      </c>
      <c r="B888" s="2">
        <v>0</v>
      </c>
      <c r="C888" s="2">
        <v>1.66</v>
      </c>
      <c r="D888" s="2">
        <v>0</v>
      </c>
      <c r="E888" s="2">
        <v>0.39</v>
      </c>
      <c r="F888" s="2">
        <v>0.27</v>
      </c>
      <c r="G888" s="2">
        <v>0.42</v>
      </c>
      <c r="H888" s="2">
        <v>0.41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</row>
    <row r="889" spans="1:19" ht="13.9" x14ac:dyDescent="0.3">
      <c r="A889" s="2" t="s">
        <v>906</v>
      </c>
      <c r="B889" s="2">
        <v>0</v>
      </c>
      <c r="C889" s="2">
        <v>0.11</v>
      </c>
      <c r="D889" s="2">
        <v>0</v>
      </c>
      <c r="E889" s="2">
        <v>0</v>
      </c>
      <c r="F889" s="2">
        <v>0</v>
      </c>
      <c r="G889" s="2">
        <v>0.32</v>
      </c>
      <c r="H889" s="2">
        <v>0</v>
      </c>
      <c r="I889" s="2">
        <v>0</v>
      </c>
      <c r="J889" s="2">
        <v>0.14000000000000001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</row>
    <row r="890" spans="1:19" ht="13.9" x14ac:dyDescent="0.3">
      <c r="A890" s="2" t="s">
        <v>907</v>
      </c>
      <c r="B890" s="2">
        <v>0</v>
      </c>
      <c r="C890" s="2">
        <v>0.33</v>
      </c>
      <c r="D890" s="2">
        <v>1.93</v>
      </c>
      <c r="E890" s="2">
        <v>1.18</v>
      </c>
      <c r="F890" s="2">
        <v>0.8</v>
      </c>
      <c r="G890" s="2">
        <v>0.21</v>
      </c>
      <c r="H890" s="2">
        <v>0</v>
      </c>
      <c r="I890" s="2">
        <v>0</v>
      </c>
      <c r="J890" s="2">
        <v>4.0599999999999996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</row>
    <row r="891" spans="1:19" ht="13.9" x14ac:dyDescent="0.3">
      <c r="A891" s="2" t="s">
        <v>908</v>
      </c>
      <c r="B891" s="2">
        <v>1.26</v>
      </c>
      <c r="C891" s="2">
        <v>0</v>
      </c>
      <c r="D891" s="2">
        <v>0.56999999999999995</v>
      </c>
      <c r="E891" s="2">
        <v>0.1</v>
      </c>
      <c r="F891" s="2">
        <v>0</v>
      </c>
      <c r="G891" s="2">
        <v>2.42</v>
      </c>
      <c r="H891" s="2">
        <v>1.1299999999999999</v>
      </c>
      <c r="I891" s="2">
        <v>0</v>
      </c>
      <c r="J891" s="2">
        <v>0.81</v>
      </c>
      <c r="K891" s="2">
        <v>0.13</v>
      </c>
      <c r="L891" s="2">
        <v>0</v>
      </c>
      <c r="M891" s="2">
        <v>16.079999999999998</v>
      </c>
      <c r="N891" s="2">
        <v>4.9400000000000004</v>
      </c>
      <c r="O891" s="2">
        <v>0</v>
      </c>
      <c r="P891" s="2">
        <v>0</v>
      </c>
      <c r="Q891" s="2">
        <v>4.8499999999999996</v>
      </c>
      <c r="R891" s="2">
        <v>0.21</v>
      </c>
      <c r="S891" s="2">
        <v>23.63</v>
      </c>
    </row>
    <row r="892" spans="1:19" ht="13.9" x14ac:dyDescent="0.3">
      <c r="A892" s="2" t="s">
        <v>909</v>
      </c>
      <c r="B892" s="2">
        <v>0.63</v>
      </c>
      <c r="C892" s="2">
        <v>0.22</v>
      </c>
      <c r="D892" s="2">
        <v>0</v>
      </c>
      <c r="E892" s="2">
        <v>0</v>
      </c>
      <c r="F892" s="2">
        <v>0.67</v>
      </c>
      <c r="G892" s="2">
        <v>0</v>
      </c>
      <c r="H892" s="2">
        <v>0.21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</row>
    <row r="893" spans="1:19" ht="13.9" x14ac:dyDescent="0.3">
      <c r="A893" s="2" t="s">
        <v>910</v>
      </c>
      <c r="B893" s="2">
        <v>0</v>
      </c>
      <c r="C893" s="2">
        <v>0.44</v>
      </c>
      <c r="D893" s="2">
        <v>0</v>
      </c>
      <c r="E893" s="2">
        <v>0</v>
      </c>
      <c r="F893" s="2">
        <v>0</v>
      </c>
      <c r="G893" s="2">
        <v>0.11</v>
      </c>
      <c r="H893" s="2">
        <v>0</v>
      </c>
      <c r="I893" s="2">
        <v>0</v>
      </c>
      <c r="J893" s="2">
        <v>0</v>
      </c>
      <c r="K893" s="2">
        <v>33.43</v>
      </c>
      <c r="L893" s="2">
        <v>8.1</v>
      </c>
      <c r="M893" s="2">
        <v>28.53</v>
      </c>
      <c r="N893" s="2">
        <v>35.270000000000003</v>
      </c>
      <c r="O893" s="2">
        <v>11.95</v>
      </c>
      <c r="P893" s="2">
        <v>26.76</v>
      </c>
      <c r="Q893" s="2">
        <v>42.58</v>
      </c>
      <c r="R893" s="2">
        <v>42.27</v>
      </c>
      <c r="S893" s="2">
        <v>125.18</v>
      </c>
    </row>
    <row r="894" spans="1:19" ht="13.9" x14ac:dyDescent="0.3">
      <c r="A894" s="2" t="s">
        <v>911</v>
      </c>
      <c r="B894" s="2">
        <v>0.25</v>
      </c>
      <c r="C894" s="2">
        <v>1</v>
      </c>
      <c r="D894" s="2">
        <v>1.02</v>
      </c>
      <c r="E894" s="2">
        <v>0</v>
      </c>
      <c r="F894" s="2">
        <v>0.67</v>
      </c>
      <c r="G894" s="2">
        <v>0</v>
      </c>
      <c r="H894" s="2">
        <v>0.31</v>
      </c>
      <c r="I894" s="2">
        <v>0</v>
      </c>
      <c r="J894" s="2">
        <v>1.22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0.18</v>
      </c>
      <c r="Q894" s="2">
        <v>0</v>
      </c>
      <c r="R894" s="2">
        <v>0</v>
      </c>
      <c r="S894" s="2">
        <v>0</v>
      </c>
    </row>
    <row r="895" spans="1:19" ht="13.9" x14ac:dyDescent="0.3">
      <c r="A895" s="2" t="s">
        <v>912</v>
      </c>
      <c r="B895" s="2">
        <v>11.58</v>
      </c>
      <c r="C895" s="2">
        <v>11.98</v>
      </c>
      <c r="D895" s="2">
        <v>15.43</v>
      </c>
      <c r="E895" s="2">
        <v>21.03</v>
      </c>
      <c r="F895" s="2">
        <v>17.78</v>
      </c>
      <c r="G895" s="2">
        <v>21.29</v>
      </c>
      <c r="H895" s="2">
        <v>22.22</v>
      </c>
      <c r="I895" s="2">
        <v>81.75</v>
      </c>
      <c r="J895" s="2">
        <v>15.7</v>
      </c>
      <c r="K895" s="2">
        <v>0.79</v>
      </c>
      <c r="L895" s="2">
        <v>17.64</v>
      </c>
      <c r="M895" s="2">
        <v>0</v>
      </c>
      <c r="N895" s="2">
        <v>0</v>
      </c>
      <c r="O895" s="2">
        <v>19.760000000000002</v>
      </c>
      <c r="P895" s="2">
        <v>0.18</v>
      </c>
      <c r="Q895" s="2">
        <v>0.18</v>
      </c>
      <c r="R895" s="2">
        <v>7.12</v>
      </c>
      <c r="S895" s="2">
        <v>0.5</v>
      </c>
    </row>
    <row r="896" spans="1:19" ht="13.9" x14ac:dyDescent="0.3">
      <c r="A896" s="2" t="s">
        <v>913</v>
      </c>
      <c r="B896" s="2">
        <v>0.38</v>
      </c>
      <c r="C896" s="2">
        <v>0.33</v>
      </c>
      <c r="D896" s="2">
        <v>0</v>
      </c>
      <c r="E896" s="2">
        <v>0.3</v>
      </c>
      <c r="F896" s="2">
        <v>0.8</v>
      </c>
      <c r="G896" s="2">
        <v>0.32</v>
      </c>
      <c r="H896" s="2">
        <v>0</v>
      </c>
      <c r="I896" s="2">
        <v>0</v>
      </c>
      <c r="J896" s="2">
        <v>1.22</v>
      </c>
      <c r="K896" s="2">
        <v>0</v>
      </c>
      <c r="L896" s="2">
        <v>0</v>
      </c>
      <c r="M896" s="2">
        <v>0</v>
      </c>
      <c r="N896" s="2">
        <v>0</v>
      </c>
      <c r="O896" s="2">
        <v>7.56</v>
      </c>
      <c r="P896" s="2">
        <v>0</v>
      </c>
      <c r="Q896" s="2">
        <v>0</v>
      </c>
      <c r="R896" s="2">
        <v>0</v>
      </c>
      <c r="S896" s="2">
        <v>4.5199999999999996</v>
      </c>
    </row>
    <row r="897" spans="1:19" ht="13.9" x14ac:dyDescent="0.3">
      <c r="A897" s="2" t="s">
        <v>914</v>
      </c>
      <c r="B897" s="2">
        <v>1.01</v>
      </c>
      <c r="C897" s="2">
        <v>0.55000000000000004</v>
      </c>
      <c r="D897" s="2">
        <v>0</v>
      </c>
      <c r="E897" s="2">
        <v>0</v>
      </c>
      <c r="F897" s="2">
        <v>0.13</v>
      </c>
      <c r="G897" s="2">
        <v>0.11</v>
      </c>
      <c r="H897" s="2">
        <v>0.51</v>
      </c>
      <c r="I897" s="2">
        <v>0</v>
      </c>
      <c r="J897" s="2">
        <v>0</v>
      </c>
      <c r="K897" s="2">
        <v>8.65</v>
      </c>
      <c r="L897" s="2">
        <v>0</v>
      </c>
      <c r="M897" s="2">
        <v>0</v>
      </c>
      <c r="N897" s="2">
        <v>0</v>
      </c>
      <c r="O897" s="2">
        <v>7.81</v>
      </c>
      <c r="P897" s="2">
        <v>0</v>
      </c>
      <c r="Q897" s="2">
        <v>2.34</v>
      </c>
      <c r="R897" s="2">
        <v>0</v>
      </c>
      <c r="S897" s="2">
        <v>17.09</v>
      </c>
    </row>
    <row r="898" spans="1:19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0.31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</row>
    <row r="899" spans="1:19" ht="13.9" x14ac:dyDescent="0.3">
      <c r="A899" s="2" t="s">
        <v>916</v>
      </c>
      <c r="B899" s="2">
        <v>24.04</v>
      </c>
      <c r="C899" s="2">
        <v>19.63</v>
      </c>
      <c r="D899" s="2">
        <v>29.5</v>
      </c>
      <c r="E899" s="2">
        <v>24.09</v>
      </c>
      <c r="F899" s="2">
        <v>23.93</v>
      </c>
      <c r="G899" s="2">
        <v>16.86</v>
      </c>
      <c r="H899" s="2">
        <v>21.09</v>
      </c>
      <c r="I899" s="2">
        <v>0</v>
      </c>
      <c r="J899" s="2">
        <v>12.86</v>
      </c>
      <c r="K899" s="2">
        <v>9.18</v>
      </c>
      <c r="L899" s="2">
        <v>0</v>
      </c>
      <c r="M899" s="2">
        <v>0</v>
      </c>
      <c r="N899" s="2">
        <v>14.17</v>
      </c>
      <c r="O899" s="2">
        <v>0</v>
      </c>
      <c r="P899" s="2">
        <v>0.91</v>
      </c>
      <c r="Q899" s="2">
        <v>9.8800000000000008</v>
      </c>
      <c r="R899" s="2">
        <v>9.2100000000000009</v>
      </c>
      <c r="S899" s="2">
        <v>0</v>
      </c>
    </row>
    <row r="900" spans="1:19" ht="13.9" x14ac:dyDescent="0.3">
      <c r="A900" s="2" t="s">
        <v>917</v>
      </c>
      <c r="B900" s="2">
        <v>0.5</v>
      </c>
      <c r="C900" s="2">
        <v>1</v>
      </c>
      <c r="D900" s="2">
        <v>0.11</v>
      </c>
      <c r="E900" s="2">
        <v>0.1</v>
      </c>
      <c r="F900" s="2">
        <v>1.2</v>
      </c>
      <c r="G900" s="2">
        <v>0.74</v>
      </c>
      <c r="H900" s="2">
        <v>0</v>
      </c>
      <c r="I900" s="2">
        <v>0</v>
      </c>
      <c r="J900" s="2">
        <v>0</v>
      </c>
      <c r="K900" s="2">
        <v>0</v>
      </c>
      <c r="L900" s="2">
        <v>12.72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</row>
    <row r="901" spans="1:19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</row>
    <row r="902" spans="1:19" ht="13.9" x14ac:dyDescent="0.3">
      <c r="A902" s="2" t="s">
        <v>919</v>
      </c>
      <c r="B902" s="2">
        <v>13294.25</v>
      </c>
      <c r="C902" s="2">
        <v>13356.93</v>
      </c>
      <c r="D902" s="2">
        <v>11289.25</v>
      </c>
      <c r="E902" s="2">
        <v>10794.61</v>
      </c>
      <c r="F902" s="2">
        <v>14466.52</v>
      </c>
      <c r="G902" s="2">
        <v>12519.33</v>
      </c>
      <c r="H902" s="2">
        <v>11314.25</v>
      </c>
      <c r="I902" s="2">
        <v>6662.85</v>
      </c>
      <c r="J902" s="2">
        <v>15917.31</v>
      </c>
      <c r="K902" s="2">
        <v>6155.23</v>
      </c>
      <c r="L902" s="2">
        <v>6502.81</v>
      </c>
      <c r="M902" s="2">
        <v>3138.37</v>
      </c>
      <c r="N902" s="2">
        <v>6769.61</v>
      </c>
      <c r="O902" s="2">
        <v>7978.28</v>
      </c>
      <c r="P902" s="2">
        <v>4862.2299999999996</v>
      </c>
      <c r="Q902" s="2">
        <v>3747.76</v>
      </c>
      <c r="R902" s="2">
        <v>6779.66</v>
      </c>
      <c r="S902" s="2">
        <v>9669.24</v>
      </c>
    </row>
    <row r="903" spans="1:19" ht="13.9" x14ac:dyDescent="0.3">
      <c r="A903" s="2" t="s">
        <v>920</v>
      </c>
      <c r="B903" s="2">
        <v>11.71</v>
      </c>
      <c r="C903" s="2">
        <v>5.32</v>
      </c>
      <c r="D903" s="2">
        <v>7.49</v>
      </c>
      <c r="E903" s="2">
        <v>11.94</v>
      </c>
      <c r="F903" s="2">
        <v>8.9600000000000009</v>
      </c>
      <c r="G903" s="2">
        <v>8.33</v>
      </c>
      <c r="H903" s="2">
        <v>5.14</v>
      </c>
      <c r="I903" s="2">
        <v>40.880000000000003</v>
      </c>
      <c r="J903" s="2">
        <v>8.66</v>
      </c>
      <c r="K903" s="2">
        <v>0.52</v>
      </c>
      <c r="L903" s="2">
        <v>0.28999999999999998</v>
      </c>
      <c r="M903" s="2">
        <v>0.26</v>
      </c>
      <c r="N903" s="2">
        <v>14.17</v>
      </c>
      <c r="O903" s="2">
        <v>18.3</v>
      </c>
      <c r="P903" s="2">
        <v>18.02</v>
      </c>
      <c r="Q903" s="2">
        <v>14.01</v>
      </c>
      <c r="R903" s="2">
        <v>7.95</v>
      </c>
      <c r="S903" s="2">
        <v>12.57</v>
      </c>
    </row>
    <row r="904" spans="1:19" ht="13.9" x14ac:dyDescent="0.3">
      <c r="A904" s="2" t="s">
        <v>921</v>
      </c>
      <c r="B904" s="2">
        <v>3.9</v>
      </c>
      <c r="C904" s="2">
        <v>0.89</v>
      </c>
      <c r="D904" s="2">
        <v>1.47</v>
      </c>
      <c r="E904" s="2">
        <v>1.18</v>
      </c>
      <c r="F904" s="2">
        <v>0.94</v>
      </c>
      <c r="G904" s="2">
        <v>0.63</v>
      </c>
      <c r="H904" s="2">
        <v>2.88</v>
      </c>
      <c r="I904" s="2">
        <v>0</v>
      </c>
      <c r="J904" s="2">
        <v>0.54</v>
      </c>
      <c r="K904" s="2">
        <v>3.41</v>
      </c>
      <c r="L904" s="2">
        <v>0</v>
      </c>
      <c r="M904" s="2">
        <v>0</v>
      </c>
      <c r="N904" s="2">
        <v>3.96</v>
      </c>
      <c r="O904" s="2">
        <v>0</v>
      </c>
      <c r="P904" s="2">
        <v>7.28</v>
      </c>
      <c r="Q904" s="2">
        <v>6.11</v>
      </c>
      <c r="R904" s="2">
        <v>0</v>
      </c>
      <c r="S904" s="2">
        <v>8.5500000000000007</v>
      </c>
    </row>
    <row r="905" spans="1:19" ht="13.9" x14ac:dyDescent="0.3">
      <c r="A905" s="2" t="s">
        <v>922</v>
      </c>
      <c r="B905" s="2">
        <v>0</v>
      </c>
      <c r="C905" s="2">
        <v>0.22</v>
      </c>
      <c r="D905" s="2">
        <v>0</v>
      </c>
      <c r="E905" s="2">
        <v>0</v>
      </c>
      <c r="F905" s="2">
        <v>0.94</v>
      </c>
      <c r="G905" s="2">
        <v>0</v>
      </c>
      <c r="H905" s="2">
        <v>0</v>
      </c>
      <c r="I905" s="2">
        <v>0</v>
      </c>
      <c r="J905" s="2">
        <v>3.25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</row>
    <row r="906" spans="1:19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</row>
    <row r="907" spans="1:19" ht="13.9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7.52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</row>
    <row r="908" spans="1:19" ht="13.9" x14ac:dyDescent="0.3">
      <c r="A908" s="2" t="s">
        <v>925</v>
      </c>
      <c r="B908" s="2">
        <v>77.540000000000006</v>
      </c>
      <c r="C908" s="2">
        <v>76.180000000000007</v>
      </c>
      <c r="D908" s="2">
        <v>60.24</v>
      </c>
      <c r="E908" s="2">
        <v>61.1</v>
      </c>
      <c r="F908" s="2">
        <v>86.37</v>
      </c>
      <c r="G908" s="2">
        <v>59.96</v>
      </c>
      <c r="H908" s="2">
        <v>62.35</v>
      </c>
      <c r="I908" s="2">
        <v>81.75</v>
      </c>
      <c r="J908" s="2">
        <v>109.5</v>
      </c>
      <c r="K908" s="2">
        <v>82.33</v>
      </c>
      <c r="L908" s="2">
        <v>54.37</v>
      </c>
      <c r="M908" s="2">
        <v>105.29</v>
      </c>
      <c r="N908" s="2">
        <v>140.09</v>
      </c>
      <c r="O908" s="2">
        <v>126.86</v>
      </c>
      <c r="P908" s="2">
        <v>60.26</v>
      </c>
      <c r="Q908" s="2">
        <v>84.08</v>
      </c>
      <c r="R908" s="2">
        <v>125.57</v>
      </c>
      <c r="S908" s="2">
        <v>225.23</v>
      </c>
    </row>
    <row r="909" spans="1:19" ht="13.9" x14ac:dyDescent="0.3">
      <c r="A909" s="2" t="s">
        <v>926</v>
      </c>
      <c r="B909" s="2">
        <v>0.76</v>
      </c>
      <c r="C909" s="2">
        <v>0.11</v>
      </c>
      <c r="D909" s="2">
        <v>0</v>
      </c>
      <c r="E909" s="2">
        <v>0.1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</row>
    <row r="910" spans="1:19" ht="13.9" x14ac:dyDescent="0.3">
      <c r="A910" s="2" t="s">
        <v>927</v>
      </c>
      <c r="B910" s="2">
        <v>1.01</v>
      </c>
      <c r="C910" s="2">
        <v>0.44</v>
      </c>
      <c r="D910" s="2">
        <v>1.25</v>
      </c>
      <c r="E910" s="2">
        <v>1.58</v>
      </c>
      <c r="F910" s="2">
        <v>1.6</v>
      </c>
      <c r="G910" s="2">
        <v>0</v>
      </c>
      <c r="H910" s="2">
        <v>1.34</v>
      </c>
      <c r="I910" s="2">
        <v>0</v>
      </c>
      <c r="J910" s="2">
        <v>1.22</v>
      </c>
      <c r="K910" s="2">
        <v>2.1</v>
      </c>
      <c r="L910" s="2">
        <v>0</v>
      </c>
      <c r="M910" s="2">
        <v>7</v>
      </c>
      <c r="N910" s="2">
        <v>0</v>
      </c>
      <c r="O910" s="2">
        <v>0</v>
      </c>
      <c r="P910" s="2">
        <v>0</v>
      </c>
      <c r="Q910" s="2">
        <v>0</v>
      </c>
      <c r="R910" s="2">
        <v>3.77</v>
      </c>
      <c r="S910" s="2">
        <v>0</v>
      </c>
    </row>
    <row r="911" spans="1:19" ht="13.9" x14ac:dyDescent="0.3">
      <c r="A911" s="2" t="s">
        <v>928</v>
      </c>
      <c r="B911" s="2">
        <v>0</v>
      </c>
      <c r="C911" s="2">
        <v>0.33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0.27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</row>
    <row r="912" spans="1:19" ht="13.9" x14ac:dyDescent="0.3">
      <c r="A912" s="2" t="s">
        <v>929</v>
      </c>
      <c r="B912" s="2">
        <v>245.84</v>
      </c>
      <c r="C912" s="2">
        <v>245.49</v>
      </c>
      <c r="D912" s="2">
        <v>167.56</v>
      </c>
      <c r="E912" s="2">
        <v>194.67</v>
      </c>
      <c r="F912" s="2">
        <v>348.97</v>
      </c>
      <c r="G912" s="2">
        <v>209.3</v>
      </c>
      <c r="H912" s="2">
        <v>196.52</v>
      </c>
      <c r="I912" s="2">
        <v>163.51</v>
      </c>
      <c r="J912" s="2">
        <v>482.92</v>
      </c>
      <c r="K912" s="2">
        <v>88.88</v>
      </c>
      <c r="L912" s="2">
        <v>115.67</v>
      </c>
      <c r="M912" s="2">
        <v>30.86</v>
      </c>
      <c r="N912" s="2">
        <v>106.47</v>
      </c>
      <c r="O912" s="2">
        <v>206.15</v>
      </c>
      <c r="P912" s="2">
        <v>118.16</v>
      </c>
      <c r="Q912" s="2">
        <v>63.96</v>
      </c>
      <c r="R912" s="2">
        <v>135.61000000000001</v>
      </c>
      <c r="S912" s="2">
        <v>249.86</v>
      </c>
    </row>
    <row r="913" spans="1:19" ht="13.9" x14ac:dyDescent="0.3">
      <c r="A913" s="2" t="s">
        <v>930</v>
      </c>
      <c r="B913" s="2">
        <v>0</v>
      </c>
      <c r="C913" s="2">
        <v>1.33</v>
      </c>
      <c r="D913" s="2">
        <v>0</v>
      </c>
      <c r="E913" s="2">
        <v>0</v>
      </c>
      <c r="F913" s="2">
        <v>0.53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</row>
    <row r="914" spans="1:19" ht="13.9" x14ac:dyDescent="0.3">
      <c r="A914" s="2" t="s">
        <v>931</v>
      </c>
      <c r="B914" s="2">
        <v>16.489999999999998</v>
      </c>
      <c r="C914" s="2">
        <v>9.98</v>
      </c>
      <c r="D914" s="2">
        <v>13.5</v>
      </c>
      <c r="E914" s="2">
        <v>12.34</v>
      </c>
      <c r="F914" s="2">
        <v>12.03</v>
      </c>
      <c r="G914" s="2">
        <v>13.49</v>
      </c>
      <c r="H914" s="2">
        <v>13.68</v>
      </c>
      <c r="I914" s="2">
        <v>0</v>
      </c>
      <c r="J914" s="2">
        <v>12.99</v>
      </c>
      <c r="K914" s="2">
        <v>9.57</v>
      </c>
      <c r="L914" s="2">
        <v>8.9600000000000009</v>
      </c>
      <c r="M914" s="2">
        <v>1.3</v>
      </c>
      <c r="N914" s="2">
        <v>0</v>
      </c>
      <c r="O914" s="2">
        <v>13.17</v>
      </c>
      <c r="P914" s="2">
        <v>0.18</v>
      </c>
      <c r="Q914" s="2">
        <v>8.6199999999999992</v>
      </c>
      <c r="R914" s="2">
        <v>0</v>
      </c>
      <c r="S914" s="2">
        <v>0</v>
      </c>
    </row>
    <row r="915" spans="1:19" ht="13.9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>
        <v>0</v>
      </c>
      <c r="I915" s="2">
        <v>0</v>
      </c>
      <c r="J915" s="2">
        <v>0</v>
      </c>
      <c r="K915" s="2">
        <v>0.79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</row>
    <row r="916" spans="1:19" ht="13.9" x14ac:dyDescent="0.3">
      <c r="A916" s="2" t="s">
        <v>933</v>
      </c>
      <c r="B916" s="2">
        <v>37.26</v>
      </c>
      <c r="C916" s="2">
        <v>19.29</v>
      </c>
      <c r="D916" s="2">
        <v>13.16</v>
      </c>
      <c r="E916" s="2">
        <v>27.34</v>
      </c>
      <c r="F916" s="2">
        <v>21.39</v>
      </c>
      <c r="G916" s="2">
        <v>21.08</v>
      </c>
      <c r="H916" s="2">
        <v>16.670000000000002</v>
      </c>
      <c r="I916" s="2">
        <v>0</v>
      </c>
      <c r="J916" s="2">
        <v>17.32</v>
      </c>
      <c r="K916" s="2">
        <v>0</v>
      </c>
      <c r="L916" s="2">
        <v>11.28</v>
      </c>
      <c r="M916" s="2">
        <v>6.74</v>
      </c>
      <c r="N916" s="2">
        <v>0.66</v>
      </c>
      <c r="O916" s="2">
        <v>9.27</v>
      </c>
      <c r="P916" s="2">
        <v>16.57</v>
      </c>
      <c r="Q916" s="2">
        <v>0.18</v>
      </c>
      <c r="R916" s="2">
        <v>14.23</v>
      </c>
      <c r="S916" s="2">
        <v>25.14</v>
      </c>
    </row>
    <row r="917" spans="1:19" ht="13.9" x14ac:dyDescent="0.3">
      <c r="A917" s="2" t="s">
        <v>934</v>
      </c>
      <c r="B917" s="2">
        <v>43.43</v>
      </c>
      <c r="C917" s="2">
        <v>34.15</v>
      </c>
      <c r="D917" s="2">
        <v>38.799999999999997</v>
      </c>
      <c r="E917" s="2">
        <v>39.58</v>
      </c>
      <c r="F917" s="2">
        <v>37.57</v>
      </c>
      <c r="G917" s="2">
        <v>49.53</v>
      </c>
      <c r="H917" s="2">
        <v>34.159999999999997</v>
      </c>
      <c r="I917" s="2">
        <v>81.75</v>
      </c>
      <c r="J917" s="2">
        <v>40.06</v>
      </c>
      <c r="K917" s="2">
        <v>0</v>
      </c>
      <c r="L917" s="2">
        <v>31.23</v>
      </c>
      <c r="M917" s="2">
        <v>2.0699999999999998</v>
      </c>
      <c r="N917" s="2">
        <v>45.82</v>
      </c>
      <c r="O917" s="2">
        <v>41.72</v>
      </c>
      <c r="P917" s="2">
        <v>12.56</v>
      </c>
      <c r="Q917" s="2">
        <v>39.340000000000003</v>
      </c>
      <c r="R917" s="2">
        <v>21.35</v>
      </c>
      <c r="S917" s="2">
        <v>0</v>
      </c>
    </row>
    <row r="918" spans="1:19" ht="13.9" x14ac:dyDescent="0.3">
      <c r="A918" s="2" t="s">
        <v>935</v>
      </c>
      <c r="B918" s="2">
        <v>5.41</v>
      </c>
      <c r="C918" s="2">
        <v>0.67</v>
      </c>
      <c r="D918" s="2">
        <v>1.47</v>
      </c>
      <c r="E918" s="2">
        <v>2.37</v>
      </c>
      <c r="F918" s="2">
        <v>3.61</v>
      </c>
      <c r="G918" s="2">
        <v>2.85</v>
      </c>
      <c r="H918" s="2">
        <v>1.54</v>
      </c>
      <c r="I918" s="2">
        <v>0</v>
      </c>
      <c r="J918" s="2">
        <v>1.35</v>
      </c>
      <c r="K918" s="2">
        <v>0</v>
      </c>
      <c r="L918" s="2">
        <v>0</v>
      </c>
      <c r="M918" s="2">
        <v>0</v>
      </c>
      <c r="N918" s="2">
        <v>0</v>
      </c>
      <c r="O918" s="2">
        <v>13.66</v>
      </c>
      <c r="P918" s="2">
        <v>10.74</v>
      </c>
      <c r="Q918" s="2">
        <v>0.18</v>
      </c>
      <c r="R918" s="2">
        <v>8.3699999999999992</v>
      </c>
      <c r="S918" s="2">
        <v>0</v>
      </c>
    </row>
    <row r="919" spans="1:19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>
        <v>0</v>
      </c>
      <c r="I919" s="2">
        <v>0</v>
      </c>
      <c r="J919" s="2">
        <v>1.35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</row>
    <row r="920" spans="1:19" ht="13.9" x14ac:dyDescent="0.3">
      <c r="A920" s="2" t="s">
        <v>937</v>
      </c>
      <c r="B920" s="2">
        <v>386.07</v>
      </c>
      <c r="C920" s="2">
        <v>407.72</v>
      </c>
      <c r="D920" s="2">
        <v>385.27</v>
      </c>
      <c r="E920" s="2">
        <v>421.81</v>
      </c>
      <c r="F920" s="2">
        <v>371.57</v>
      </c>
      <c r="G920" s="2">
        <v>419.75</v>
      </c>
      <c r="H920" s="2">
        <v>376.37</v>
      </c>
      <c r="I920" s="2">
        <v>204.38</v>
      </c>
      <c r="J920" s="2">
        <v>382.49</v>
      </c>
      <c r="K920" s="2">
        <v>810.57</v>
      </c>
      <c r="L920" s="2">
        <v>475.12</v>
      </c>
      <c r="M920" s="2">
        <v>709.26</v>
      </c>
      <c r="N920" s="2">
        <v>638.13</v>
      </c>
      <c r="O920" s="2">
        <v>557.94000000000005</v>
      </c>
      <c r="P920" s="2">
        <v>643.04999999999995</v>
      </c>
      <c r="Q920" s="2">
        <v>676.4</v>
      </c>
      <c r="R920" s="2">
        <v>549.15</v>
      </c>
      <c r="S920" s="2">
        <v>536.42999999999995</v>
      </c>
    </row>
    <row r="921" spans="1:19" ht="13.9" x14ac:dyDescent="0.3">
      <c r="A921" s="2" t="s">
        <v>938</v>
      </c>
      <c r="B921" s="2">
        <v>1.38</v>
      </c>
      <c r="C921" s="2">
        <v>1.44</v>
      </c>
      <c r="D921" s="2">
        <v>0</v>
      </c>
      <c r="E921" s="2">
        <v>0</v>
      </c>
      <c r="F921" s="2">
        <v>0.8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</row>
    <row r="922" spans="1:19" ht="13.9" x14ac:dyDescent="0.3">
      <c r="A922" s="2" t="s">
        <v>939</v>
      </c>
      <c r="B922" s="2">
        <v>0</v>
      </c>
      <c r="C922" s="2">
        <v>0</v>
      </c>
      <c r="D922" s="2">
        <v>0.45</v>
      </c>
      <c r="E922" s="2">
        <v>0.39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</row>
    <row r="923" spans="1:19" ht="13.9" x14ac:dyDescent="0.3">
      <c r="A923" s="2" t="s">
        <v>940</v>
      </c>
      <c r="B923" s="2">
        <v>4.53</v>
      </c>
      <c r="C923" s="2">
        <v>1.33</v>
      </c>
      <c r="D923" s="2">
        <v>3.74</v>
      </c>
      <c r="E923" s="2">
        <v>3.65</v>
      </c>
      <c r="F923" s="2">
        <v>4.68</v>
      </c>
      <c r="G923" s="2">
        <v>2</v>
      </c>
      <c r="H923" s="2">
        <v>4.12</v>
      </c>
      <c r="I923" s="2">
        <v>0</v>
      </c>
      <c r="J923" s="2">
        <v>4.2</v>
      </c>
      <c r="K923" s="2">
        <v>0</v>
      </c>
      <c r="L923" s="2">
        <v>0.57999999999999996</v>
      </c>
      <c r="M923" s="2">
        <v>0.26</v>
      </c>
      <c r="N923" s="2">
        <v>0</v>
      </c>
      <c r="O923" s="2">
        <v>0.24</v>
      </c>
      <c r="P923" s="2">
        <v>0</v>
      </c>
      <c r="Q923" s="2">
        <v>0</v>
      </c>
      <c r="R923" s="2">
        <v>0.21</v>
      </c>
      <c r="S923" s="2">
        <v>0</v>
      </c>
    </row>
    <row r="924" spans="1:19" ht="13.9" x14ac:dyDescent="0.3">
      <c r="A924" s="2" t="s">
        <v>941</v>
      </c>
      <c r="B924" s="2">
        <v>32.6</v>
      </c>
      <c r="C924" s="2">
        <v>23.29</v>
      </c>
      <c r="D924" s="2">
        <v>23.03</v>
      </c>
      <c r="E924" s="2">
        <v>24.68</v>
      </c>
      <c r="F924" s="2">
        <v>25.94</v>
      </c>
      <c r="G924" s="2">
        <v>15.91</v>
      </c>
      <c r="H924" s="2">
        <v>16.98</v>
      </c>
      <c r="I924" s="2">
        <v>0</v>
      </c>
      <c r="J924" s="2">
        <v>21.52</v>
      </c>
      <c r="K924" s="2">
        <v>3.41</v>
      </c>
      <c r="L924" s="2">
        <v>17.64</v>
      </c>
      <c r="M924" s="2">
        <v>5.96</v>
      </c>
      <c r="N924" s="2">
        <v>9.89</v>
      </c>
      <c r="O924" s="2">
        <v>48.3</v>
      </c>
      <c r="P924" s="2">
        <v>16.39</v>
      </c>
      <c r="Q924" s="2">
        <v>7.19</v>
      </c>
      <c r="R924" s="2">
        <v>8.3699999999999992</v>
      </c>
      <c r="S924" s="2">
        <v>33.68</v>
      </c>
    </row>
    <row r="925" spans="1:19" ht="13.9" x14ac:dyDescent="0.3">
      <c r="A925" s="2" t="s">
        <v>942</v>
      </c>
      <c r="B925" s="2">
        <v>2.64</v>
      </c>
      <c r="C925" s="2">
        <v>5.54</v>
      </c>
      <c r="D925" s="2">
        <v>2.61</v>
      </c>
      <c r="E925" s="2">
        <v>4.6399999999999997</v>
      </c>
      <c r="F925" s="2">
        <v>2.81</v>
      </c>
      <c r="G925" s="2">
        <v>2.95</v>
      </c>
      <c r="H925" s="2">
        <v>1.75</v>
      </c>
      <c r="I925" s="2">
        <v>0</v>
      </c>
      <c r="J925" s="2">
        <v>3.25</v>
      </c>
      <c r="K925" s="2">
        <v>0</v>
      </c>
      <c r="L925" s="2">
        <v>0</v>
      </c>
      <c r="M925" s="2">
        <v>0</v>
      </c>
      <c r="N925" s="2">
        <v>7.91</v>
      </c>
      <c r="O925" s="2">
        <v>3.66</v>
      </c>
      <c r="P925" s="2">
        <v>0</v>
      </c>
      <c r="Q925" s="2">
        <v>1.44</v>
      </c>
      <c r="R925" s="2">
        <v>0.42</v>
      </c>
      <c r="S925" s="2">
        <v>1.51</v>
      </c>
    </row>
    <row r="926" spans="1:19" ht="13.9" x14ac:dyDescent="0.3">
      <c r="A926" s="2" t="s">
        <v>943</v>
      </c>
      <c r="B926" s="2">
        <v>96.17</v>
      </c>
      <c r="C926" s="2">
        <v>108.78</v>
      </c>
      <c r="D926" s="2">
        <v>61.83</v>
      </c>
      <c r="E926" s="2">
        <v>85.49</v>
      </c>
      <c r="F926" s="2">
        <v>129.83000000000001</v>
      </c>
      <c r="G926" s="2">
        <v>84.2</v>
      </c>
      <c r="H926" s="2">
        <v>64.72</v>
      </c>
      <c r="I926" s="2">
        <v>0</v>
      </c>
      <c r="J926" s="2">
        <v>129.38999999999999</v>
      </c>
      <c r="K926" s="2">
        <v>39.33</v>
      </c>
      <c r="L926" s="2">
        <v>20.82</v>
      </c>
      <c r="M926" s="2">
        <v>4.41</v>
      </c>
      <c r="N926" s="2">
        <v>46.15</v>
      </c>
      <c r="O926" s="2">
        <v>110.03</v>
      </c>
      <c r="P926" s="2">
        <v>17.3</v>
      </c>
      <c r="Q926" s="2">
        <v>28.56</v>
      </c>
      <c r="R926" s="2">
        <v>51.9</v>
      </c>
      <c r="S926" s="2">
        <v>30.67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26"/>
  <sheetViews>
    <sheetView topLeftCell="H839" workbookViewId="0">
      <selection activeCell="U1" sqref="U1:U1048576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6" max="16" width="16.1328125" style="1" bestFit="1" customWidth="1"/>
    <col min="17" max="17" width="10.46484375" style="1" customWidth="1"/>
    <col min="18" max="18" width="21.59765625" style="1" bestFit="1" customWidth="1"/>
  </cols>
  <sheetData>
    <row r="1" spans="1:21" ht="13.9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 t="s">
        <v>13</v>
      </c>
      <c r="K1" s="2" t="s">
        <v>14</v>
      </c>
      <c r="L1" s="2" t="s">
        <v>15</v>
      </c>
      <c r="M1" s="2" t="s">
        <v>4</v>
      </c>
      <c r="N1" s="2" t="s">
        <v>5</v>
      </c>
      <c r="O1" s="2" t="s">
        <v>6</v>
      </c>
      <c r="P1" s="3" t="s">
        <v>946</v>
      </c>
      <c r="Q1" s="3" t="s">
        <v>947</v>
      </c>
      <c r="R1" s="4" t="s">
        <v>954</v>
      </c>
      <c r="S1" s="4" t="s">
        <v>955</v>
      </c>
      <c r="U1" t="s">
        <v>958</v>
      </c>
    </row>
    <row r="2" spans="1:21" ht="13.9" x14ac:dyDescent="0.3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>
        <v>0</v>
      </c>
      <c r="K2" s="2">
        <v>0</v>
      </c>
      <c r="L2" s="2">
        <v>0</v>
      </c>
      <c r="M2" s="2">
        <v>0.89</v>
      </c>
      <c r="N2" s="2">
        <v>1.6</v>
      </c>
      <c r="O2" s="2">
        <v>0</v>
      </c>
      <c r="P2" s="2" t="e">
        <f>LOG(SUM(J2:L2)/SUM(M2:O2),2)</f>
        <v>#NUM!</v>
      </c>
      <c r="Q2" s="2">
        <f>_xlfn.T.TEST(J2:L2,M2:O2,2,2)</f>
        <v>0.14739625476772761</v>
      </c>
      <c r="R2" s="2" t="e">
        <f>P2-H2</f>
        <v>#NUM!</v>
      </c>
      <c r="S2" t="e">
        <f>P2/H2</f>
        <v>#NUM!</v>
      </c>
      <c r="U2" t="e">
        <v>#NUM!</v>
      </c>
    </row>
    <row r="3" spans="1:21" ht="13.9" x14ac:dyDescent="0.3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>
        <v>56296.75</v>
      </c>
      <c r="K3" s="2">
        <v>61967.95</v>
      </c>
      <c r="L3" s="2">
        <v>62627.25</v>
      </c>
      <c r="M3" s="2">
        <v>20010.759999999998</v>
      </c>
      <c r="N3" s="2">
        <v>27443.15</v>
      </c>
      <c r="O3" s="2">
        <v>23913.77</v>
      </c>
      <c r="P3" s="2">
        <f t="shared" ref="P3:P65" si="2">LOG(SUM(J3:L3)/SUM(M3:O3),2)</f>
        <v>1.3417854273561509</v>
      </c>
      <c r="Q3" s="2">
        <f t="shared" ref="Q3:Q65" si="3">_xlfn.T.TEST(J3:L3,M3:O3,2,2)</f>
        <v>2.4184436232390269E-4</v>
      </c>
      <c r="R3" s="2">
        <f t="shared" ref="R3:R66" si="4">P3-H3</f>
        <v>-0.25285072694119415</v>
      </c>
      <c r="S3">
        <f>P3/H3</f>
        <v>0.84143672758215526</v>
      </c>
      <c r="U3">
        <v>17.464768681436929</v>
      </c>
    </row>
    <row r="4" spans="1:21" ht="13.9" x14ac:dyDescent="0.3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>
        <v>39643</v>
      </c>
      <c r="K4" s="2">
        <v>31772.09</v>
      </c>
      <c r="L4" s="2">
        <v>47304.85</v>
      </c>
      <c r="M4" s="2">
        <v>5348.49</v>
      </c>
      <c r="N4" s="2">
        <v>5956.63</v>
      </c>
      <c r="O4" s="2">
        <v>5843.23</v>
      </c>
      <c r="P4" s="2">
        <f>LOG(SUM(J4:L4)/SUM(M4:O4),2)</f>
        <v>2.7914205946767643</v>
      </c>
      <c r="Q4" s="2">
        <f t="shared" si="3"/>
        <v>1.6538720641395169E-3</v>
      </c>
      <c r="R4" s="2">
        <f t="shared" si="4"/>
        <v>-6.501806122429743E-2</v>
      </c>
      <c r="S4">
        <f t="shared" ref="S4:S67" si="5">P4/H4</f>
        <v>0.9772380684283285</v>
      </c>
      <c r="U4">
        <v>16.85720274238313</v>
      </c>
    </row>
    <row r="5" spans="1:21" ht="13.9" x14ac:dyDescent="0.3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>
        <v>1153.6500000000001</v>
      </c>
      <c r="K5" s="2">
        <v>1333.49</v>
      </c>
      <c r="L5" s="2">
        <v>1762.94</v>
      </c>
      <c r="M5" s="2">
        <v>245.21</v>
      </c>
      <c r="N5" s="2">
        <v>288.81</v>
      </c>
      <c r="O5" s="2">
        <v>278.54000000000002</v>
      </c>
      <c r="P5" s="2">
        <f t="shared" si="2"/>
        <v>2.3869437459197487</v>
      </c>
      <c r="Q5" s="2">
        <f t="shared" si="3"/>
        <v>3.2011451898046757E-3</v>
      </c>
      <c r="R5" s="2">
        <f t="shared" si="4"/>
        <v>-3.5885659238358958E-2</v>
      </c>
      <c r="S5">
        <f t="shared" si="5"/>
        <v>0.98518853239854209</v>
      </c>
      <c r="U5">
        <v>12.053274282269374</v>
      </c>
    </row>
    <row r="6" spans="1:21" ht="13.9" x14ac:dyDescent="0.3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>
        <v>7.25</v>
      </c>
      <c r="K6" s="2">
        <v>0</v>
      </c>
      <c r="L6" s="2">
        <v>1.64</v>
      </c>
      <c r="M6" s="2">
        <v>2.0699999999999998</v>
      </c>
      <c r="N6" s="2">
        <v>3.61</v>
      </c>
      <c r="O6" s="2">
        <v>6.22</v>
      </c>
      <c r="P6" s="2">
        <f t="shared" si="2"/>
        <v>-0.42070624936553569</v>
      </c>
      <c r="Q6" s="2">
        <f t="shared" si="3"/>
        <v>0.70945203789460765</v>
      </c>
      <c r="R6" s="2">
        <f t="shared" si="4"/>
        <v>0.21769551031708112</v>
      </c>
      <c r="S6">
        <f t="shared" si="5"/>
        <v>0.65899920071443874</v>
      </c>
      <c r="U6">
        <v>3.1521834190550453</v>
      </c>
    </row>
    <row r="7" spans="1:21" ht="13.9" x14ac:dyDescent="0.3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>
        <v>107.45</v>
      </c>
      <c r="K7" s="2">
        <v>106.86</v>
      </c>
      <c r="L7" s="2">
        <v>129.44999999999999</v>
      </c>
      <c r="M7" s="2">
        <v>48.57</v>
      </c>
      <c r="N7" s="2">
        <v>60.7</v>
      </c>
      <c r="O7" s="2">
        <v>56.59</v>
      </c>
      <c r="P7" s="2">
        <f t="shared" si="2"/>
        <v>1.0514356847775612</v>
      </c>
      <c r="Q7" s="2">
        <f t="shared" si="3"/>
        <v>1.9782209796550508E-3</v>
      </c>
      <c r="R7" s="2">
        <f t="shared" si="4"/>
        <v>-0.34861906449599966</v>
      </c>
      <c r="S7">
        <f t="shared" si="5"/>
        <v>0.75099612020395212</v>
      </c>
      <c r="U7">
        <v>8.4252578719992144</v>
      </c>
    </row>
    <row r="8" spans="1:21" ht="13.9" x14ac:dyDescent="0.3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>
        <v>1063.6600000000001</v>
      </c>
      <c r="K8" s="2">
        <v>1122.47</v>
      </c>
      <c r="L8" s="2">
        <v>1140.0899999999999</v>
      </c>
      <c r="M8" s="2">
        <v>168.11</v>
      </c>
      <c r="N8" s="2">
        <v>229.57</v>
      </c>
      <c r="O8" s="2">
        <v>238.91</v>
      </c>
      <c r="P8" s="2">
        <f t="shared" si="2"/>
        <v>2.3854471938792456</v>
      </c>
      <c r="Q8" s="2">
        <f t="shared" si="3"/>
        <v>9.7140973384187623E-6</v>
      </c>
      <c r="R8" s="2">
        <f t="shared" si="4"/>
        <v>-7.5995836416856477E-2</v>
      </c>
      <c r="S8">
        <f t="shared" si="5"/>
        <v>0.96912549448373198</v>
      </c>
      <c r="U8">
        <v>11.699667877945236</v>
      </c>
    </row>
    <row r="9" spans="1:21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0.74</v>
      </c>
      <c r="P9" s="2" t="e">
        <f t="shared" si="2"/>
        <v>#NUM!</v>
      </c>
      <c r="Q9" s="2">
        <f t="shared" si="3"/>
        <v>0.37390096630005903</v>
      </c>
      <c r="R9" s="2" t="e">
        <f t="shared" si="4"/>
        <v>#NUM!</v>
      </c>
      <c r="S9" t="e">
        <f t="shared" si="5"/>
        <v>#NUM!</v>
      </c>
      <c r="U9" t="e">
        <v>#NUM!</v>
      </c>
    </row>
    <row r="10" spans="1:21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 t="e">
        <f t="shared" si="2"/>
        <v>#DIV/0!</v>
      </c>
      <c r="Q10" s="2" t="e">
        <f t="shared" si="3"/>
        <v>#DIV/0!</v>
      </c>
      <c r="R10" s="2" t="e">
        <f t="shared" si="4"/>
        <v>#DIV/0!</v>
      </c>
      <c r="S10" t="e">
        <f t="shared" si="5"/>
        <v>#DIV/0!</v>
      </c>
      <c r="U10" t="e">
        <v>#NUM!</v>
      </c>
    </row>
    <row r="11" spans="1:21" ht="13.9" x14ac:dyDescent="0.3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>
        <v>184371.55</v>
      </c>
      <c r="K11" s="2">
        <v>123991.77</v>
      </c>
      <c r="L11" s="2">
        <v>184487.15</v>
      </c>
      <c r="M11" s="2">
        <v>80265.16</v>
      </c>
      <c r="N11" s="2">
        <v>64118.62</v>
      </c>
      <c r="O11" s="2">
        <v>78049.820000000007</v>
      </c>
      <c r="P11" s="2">
        <f t="shared" si="2"/>
        <v>1.1477752690323237</v>
      </c>
      <c r="Q11" s="2">
        <f t="shared" si="3"/>
        <v>1.2254385200617201E-2</v>
      </c>
      <c r="R11" s="2">
        <f t="shared" si="4"/>
        <v>-0.27455040283094823</v>
      </c>
      <c r="S11">
        <f t="shared" si="5"/>
        <v>0.80697078857384164</v>
      </c>
      <c r="U11">
        <v>18.910790476188811</v>
      </c>
    </row>
    <row r="12" spans="1:21" ht="13.9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</v>
      </c>
      <c r="N12" s="2">
        <v>0.53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ht="13.9" x14ac:dyDescent="0.3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>
        <v>10411.52</v>
      </c>
      <c r="K13" s="2">
        <v>7376.18</v>
      </c>
      <c r="L13" s="2">
        <v>8214.2199999999993</v>
      </c>
      <c r="M13" s="2">
        <v>7224.08</v>
      </c>
      <c r="N13" s="2">
        <v>6741.09</v>
      </c>
      <c r="O13" s="2">
        <v>6376.17</v>
      </c>
      <c r="P13" s="2">
        <f t="shared" si="2"/>
        <v>0.3542034359293646</v>
      </c>
      <c r="Q13" s="2">
        <f t="shared" si="3"/>
        <v>0.11452560402189951</v>
      </c>
      <c r="R13" s="2">
        <f t="shared" si="4"/>
        <v>-0.28026098408763706</v>
      </c>
      <c r="S13">
        <f t="shared" si="5"/>
        <v>0.55827155117677529</v>
      </c>
      <c r="U13">
        <v>14.666330536349623</v>
      </c>
    </row>
    <row r="14" spans="1:21" ht="13.9" x14ac:dyDescent="0.3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>
        <v>0</v>
      </c>
      <c r="K14" s="2">
        <v>0</v>
      </c>
      <c r="L14" s="2">
        <v>0.18</v>
      </c>
      <c r="M14" s="2">
        <v>0</v>
      </c>
      <c r="N14" s="2">
        <v>0</v>
      </c>
      <c r="O14" s="2">
        <v>0.53</v>
      </c>
      <c r="P14" s="2">
        <f t="shared" si="2"/>
        <v>-1.5579954531208871</v>
      </c>
      <c r="Q14" s="2">
        <f t="shared" si="3"/>
        <v>0.56567824274836098</v>
      </c>
      <c r="R14" s="2">
        <f t="shared" si="4"/>
        <v>-3.777776661000797</v>
      </c>
      <c r="S14">
        <f t="shared" si="5"/>
        <v>-0.70186892635644593</v>
      </c>
      <c r="U14">
        <v>-2.4739311883324122</v>
      </c>
    </row>
    <row r="15" spans="1:21" ht="13.9" x14ac:dyDescent="0.3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>
        <v>16024.18</v>
      </c>
      <c r="K15" s="2">
        <v>14230.77</v>
      </c>
      <c r="L15" s="2">
        <v>14543.17</v>
      </c>
      <c r="M15" s="2">
        <v>28081.72</v>
      </c>
      <c r="N15" s="2">
        <v>27840.53</v>
      </c>
      <c r="O15" s="2">
        <v>26302.34</v>
      </c>
      <c r="P15" s="2">
        <f t="shared" si="2"/>
        <v>-0.87613171996079287</v>
      </c>
      <c r="Q15" s="2">
        <f t="shared" si="3"/>
        <v>9.1718819661880936E-5</v>
      </c>
      <c r="R15" s="2">
        <f t="shared" si="4"/>
        <v>2.1950854228826255E-2</v>
      </c>
      <c r="S15">
        <f t="shared" si="5"/>
        <v>0.97555808913380426</v>
      </c>
      <c r="U15">
        <v>15.451150568895107</v>
      </c>
    </row>
    <row r="16" spans="1:21" ht="13.9" x14ac:dyDescent="0.3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>
        <v>10.88</v>
      </c>
      <c r="K16" s="2">
        <v>16.100000000000001</v>
      </c>
      <c r="L16" s="2">
        <v>12.93</v>
      </c>
      <c r="M16" s="2">
        <v>13.33</v>
      </c>
      <c r="N16" s="2">
        <v>12.84</v>
      </c>
      <c r="O16" s="2">
        <v>14.65</v>
      </c>
      <c r="P16" s="2">
        <f t="shared" si="2"/>
        <v>-3.252590352144745E-2</v>
      </c>
      <c r="Q16" s="2">
        <f t="shared" si="3"/>
        <v>0.85987974456298155</v>
      </c>
      <c r="R16" s="2">
        <f t="shared" si="4"/>
        <v>1.0522506127570526</v>
      </c>
      <c r="S16">
        <f t="shared" si="5"/>
        <v>2.9983967235051128E-2</v>
      </c>
      <c r="U16">
        <v>5.3186783737365468</v>
      </c>
    </row>
    <row r="17" spans="1:21" ht="13.9" x14ac:dyDescent="0.3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>
        <v>42567.01</v>
      </c>
      <c r="K17" s="2">
        <v>35176.58</v>
      </c>
      <c r="L17" s="2">
        <v>32349.85</v>
      </c>
      <c r="M17" s="2">
        <v>24656.6</v>
      </c>
      <c r="N17" s="2">
        <v>17876.98</v>
      </c>
      <c r="O17" s="2">
        <v>25804.61</v>
      </c>
      <c r="P17" s="2">
        <f t="shared" si="2"/>
        <v>0.68796456512290549</v>
      </c>
      <c r="Q17" s="2">
        <f t="shared" si="3"/>
        <v>2.3858430602871725E-2</v>
      </c>
      <c r="R17" s="2">
        <f t="shared" si="4"/>
        <v>0.44343621113259613</v>
      </c>
      <c r="S17">
        <f t="shared" si="5"/>
        <v>2.8134347362848948</v>
      </c>
      <c r="U17">
        <v>16.748368981836599</v>
      </c>
    </row>
    <row r="18" spans="1:21" ht="13.9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ht="13.9" x14ac:dyDescent="0.3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>
        <v>0</v>
      </c>
      <c r="K19" s="2">
        <v>0.73</v>
      </c>
      <c r="L19" s="2">
        <v>0</v>
      </c>
      <c r="M19" s="2">
        <v>0.39</v>
      </c>
      <c r="N19" s="2">
        <v>1.74</v>
      </c>
      <c r="O19" s="2">
        <v>0</v>
      </c>
      <c r="P19" s="2">
        <f t="shared" si="2"/>
        <v>-1.5448850613458212</v>
      </c>
      <c r="Q19" s="2">
        <f t="shared" si="3"/>
        <v>0.46659032601781097</v>
      </c>
      <c r="R19" s="2">
        <f t="shared" si="4"/>
        <v>-2.1397088105832531</v>
      </c>
      <c r="S19">
        <f t="shared" si="5"/>
        <v>-2.5972148276298217</v>
      </c>
      <c r="U19">
        <v>-0.45403163089470749</v>
      </c>
    </row>
    <row r="20" spans="1:21" ht="13.9" x14ac:dyDescent="0.3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>
        <v>0</v>
      </c>
      <c r="K20" s="2">
        <v>0</v>
      </c>
      <c r="L20" s="2">
        <v>0</v>
      </c>
      <c r="M20" s="2">
        <v>2.67</v>
      </c>
      <c r="N20" s="2">
        <v>0</v>
      </c>
      <c r="O20" s="2">
        <v>0.32</v>
      </c>
      <c r="P20" s="2" t="e">
        <f t="shared" si="2"/>
        <v>#NUM!</v>
      </c>
      <c r="Q20" s="2">
        <f t="shared" si="3"/>
        <v>0.30194982060867731</v>
      </c>
      <c r="R20" s="2" t="e">
        <f t="shared" si="4"/>
        <v>#NUM!</v>
      </c>
      <c r="S20" t="e">
        <f t="shared" si="5"/>
        <v>#NUM!</v>
      </c>
      <c r="U20" t="e">
        <v>#NUM!</v>
      </c>
    </row>
    <row r="21" spans="1:21" ht="13.9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ht="13.9" x14ac:dyDescent="0.3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>
        <v>0</v>
      </c>
      <c r="K22" s="2">
        <v>0</v>
      </c>
      <c r="L22" s="2">
        <v>0</v>
      </c>
      <c r="M22" s="2">
        <v>1.38</v>
      </c>
      <c r="N22" s="2">
        <v>1.07</v>
      </c>
      <c r="O22" s="2">
        <v>0.74</v>
      </c>
      <c r="P22" s="2" t="e">
        <f t="shared" si="2"/>
        <v>#NUM!</v>
      </c>
      <c r="Q22" s="2">
        <f t="shared" si="3"/>
        <v>4.5224558224350279E-3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ht="13.9" x14ac:dyDescent="0.3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>
        <v>12.53</v>
      </c>
      <c r="K23" s="2">
        <v>0</v>
      </c>
      <c r="L23" s="2">
        <v>0</v>
      </c>
      <c r="M23" s="2">
        <v>3.06</v>
      </c>
      <c r="N23" s="2">
        <v>6.15</v>
      </c>
      <c r="O23" s="2">
        <v>10.85</v>
      </c>
      <c r="P23" s="2">
        <f t="shared" si="2"/>
        <v>-0.67893519129032054</v>
      </c>
      <c r="Q23" s="2">
        <f t="shared" si="3"/>
        <v>0.62524870489883222</v>
      </c>
      <c r="R23" s="2" t="e">
        <f t="shared" si="4"/>
        <v>#NUM!</v>
      </c>
      <c r="S23" t="e">
        <f t="shared" si="5"/>
        <v>#NUM!</v>
      </c>
      <c r="U23">
        <v>3.6473145095471362</v>
      </c>
    </row>
    <row r="24" spans="1:21" ht="13.9" x14ac:dyDescent="0.3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ht="13.9" x14ac:dyDescent="0.3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>
        <v>29.01</v>
      </c>
      <c r="K25" s="2">
        <v>63.67</v>
      </c>
      <c r="L25" s="2">
        <v>57.35</v>
      </c>
      <c r="M25" s="2">
        <v>65.94</v>
      </c>
      <c r="N25" s="2">
        <v>80.09</v>
      </c>
      <c r="O25" s="2">
        <v>62.39</v>
      </c>
      <c r="P25" s="2">
        <f t="shared" si="2"/>
        <v>-0.47424271451239181</v>
      </c>
      <c r="Q25" s="2">
        <f t="shared" si="3"/>
        <v>0.17870713728744342</v>
      </c>
      <c r="R25" s="2">
        <f t="shared" si="4"/>
        <v>0.57126125339793421</v>
      </c>
      <c r="S25">
        <f t="shared" si="5"/>
        <v>0.45360202263055222</v>
      </c>
      <c r="U25">
        <v>7.2291072006540054</v>
      </c>
    </row>
    <row r="26" spans="1:21" ht="13.9" x14ac:dyDescent="0.3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>
        <v>0</v>
      </c>
      <c r="K26" s="2">
        <v>0</v>
      </c>
      <c r="L26" s="2">
        <v>0</v>
      </c>
      <c r="M26" s="2">
        <v>3.75</v>
      </c>
      <c r="N26" s="2">
        <v>4.28</v>
      </c>
      <c r="O26" s="2">
        <v>3.69</v>
      </c>
      <c r="P26" s="2" t="e">
        <f t="shared" si="2"/>
        <v>#NUM!</v>
      </c>
      <c r="Q26" s="2">
        <f t="shared" si="3"/>
        <v>3.1332953657204337E-5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ht="13.9" x14ac:dyDescent="0.3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>
        <v>16.149999999999999</v>
      </c>
      <c r="K27" s="2">
        <v>24.15</v>
      </c>
      <c r="L27" s="2">
        <v>1.82</v>
      </c>
      <c r="M27" s="2">
        <v>6.42</v>
      </c>
      <c r="N27" s="2">
        <v>9.6300000000000008</v>
      </c>
      <c r="O27" s="2">
        <v>6.22</v>
      </c>
      <c r="P27" s="2">
        <f t="shared" si="2"/>
        <v>0.91940387823792713</v>
      </c>
      <c r="Q27" s="2">
        <f t="shared" si="3"/>
        <v>0.37441925964257849</v>
      </c>
      <c r="R27" s="2">
        <f t="shared" si="4"/>
        <v>2.0332561339232167</v>
      </c>
      <c r="S27">
        <f t="shared" si="5"/>
        <v>-0.82542713680843649</v>
      </c>
      <c r="U27">
        <v>5.3964335312509926</v>
      </c>
    </row>
    <row r="28" spans="1:21" ht="13.9" x14ac:dyDescent="0.3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ht="13.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 t="e">
        <f t="shared" si="3"/>
        <v>#DIV/0!</v>
      </c>
      <c r="R29" s="2" t="e">
        <f t="shared" si="4"/>
        <v>#DIV/0!</v>
      </c>
      <c r="S29" t="e">
        <f t="shared" si="5"/>
        <v>#DIV/0!</v>
      </c>
      <c r="U29" t="e">
        <v>#NUM!</v>
      </c>
    </row>
    <row r="30" spans="1:21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0.32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ht="13.9" x14ac:dyDescent="0.3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>
        <v>4.6100000000000003</v>
      </c>
      <c r="K31" s="2">
        <v>18.3</v>
      </c>
      <c r="L31" s="2">
        <v>12.02</v>
      </c>
      <c r="M31" s="2">
        <v>14.51</v>
      </c>
      <c r="N31" s="2">
        <v>9.23</v>
      </c>
      <c r="O31" s="2">
        <v>7.59</v>
      </c>
      <c r="P31" s="2">
        <f t="shared" si="2"/>
        <v>0.15692187302381091</v>
      </c>
      <c r="Q31" s="2">
        <f t="shared" si="3"/>
        <v>0.80177458226550069</v>
      </c>
      <c r="R31" s="2">
        <f t="shared" si="4"/>
        <v>-0.53902310841694789</v>
      </c>
      <c r="S31">
        <f t="shared" si="5"/>
        <v>0.22548028537966927</v>
      </c>
      <c r="U31">
        <v>5.1263947376201395</v>
      </c>
    </row>
    <row r="32" spans="1:21" ht="13.9" x14ac:dyDescent="0.3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>
        <v>136.13</v>
      </c>
      <c r="K32" s="2">
        <v>222.01</v>
      </c>
      <c r="L32" s="2">
        <v>221.76</v>
      </c>
      <c r="M32" s="2">
        <v>311.14999999999998</v>
      </c>
      <c r="N32" s="2">
        <v>371.44</v>
      </c>
      <c r="O32" s="2">
        <v>331.33</v>
      </c>
      <c r="P32" s="2">
        <f t="shared" si="2"/>
        <v>-0.80606778237409549</v>
      </c>
      <c r="Q32" s="2">
        <f t="shared" si="3"/>
        <v>1.2627845034164803E-2</v>
      </c>
      <c r="R32" s="2">
        <f t="shared" si="4"/>
        <v>4.8979368364862497E-2</v>
      </c>
      <c r="S32">
        <f t="shared" si="5"/>
        <v>0.94271734801696838</v>
      </c>
      <c r="U32">
        <v>9.1796603280450295</v>
      </c>
    </row>
    <row r="33" spans="1:21" ht="13.9" x14ac:dyDescent="0.3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>
        <v>124.26</v>
      </c>
      <c r="K33" s="2">
        <v>74.900000000000006</v>
      </c>
      <c r="L33" s="2">
        <v>84.66</v>
      </c>
      <c r="M33" s="2">
        <v>50.05</v>
      </c>
      <c r="N33" s="2">
        <v>34.76</v>
      </c>
      <c r="O33" s="2">
        <v>52.9</v>
      </c>
      <c r="P33" s="2">
        <f t="shared" si="2"/>
        <v>1.0433429291065459</v>
      </c>
      <c r="Q33" s="2">
        <f t="shared" si="3"/>
        <v>3.9031563421113753E-2</v>
      </c>
      <c r="R33" s="2">
        <f t="shared" si="4"/>
        <v>0.76253317206758964</v>
      </c>
      <c r="S33">
        <f t="shared" si="5"/>
        <v>3.7154796190425987</v>
      </c>
      <c r="U33">
        <v>8.1488324454317063</v>
      </c>
    </row>
    <row r="34" spans="1:21" ht="13.9" x14ac:dyDescent="0.3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>
        <v>0</v>
      </c>
      <c r="K34" s="2">
        <v>0.24</v>
      </c>
      <c r="L34" s="2">
        <v>0</v>
      </c>
      <c r="M34" s="2">
        <v>0.3</v>
      </c>
      <c r="N34" s="2">
        <v>0</v>
      </c>
      <c r="O34" s="2">
        <v>0.21</v>
      </c>
      <c r="P34" s="2">
        <f t="shared" si="2"/>
        <v>-1.0874628412503395</v>
      </c>
      <c r="Q34" s="2">
        <f t="shared" si="3"/>
        <v>0.4935479542016441</v>
      </c>
      <c r="R34" s="2" t="e">
        <f t="shared" si="4"/>
        <v>#DIV/0!</v>
      </c>
      <c r="S34" t="e">
        <f t="shared" si="5"/>
        <v>#DIV/0!</v>
      </c>
      <c r="U34">
        <v>-2.0588936890535687</v>
      </c>
    </row>
    <row r="35" spans="1:21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>
        <v>0</v>
      </c>
      <c r="K35" s="2">
        <v>0</v>
      </c>
      <c r="L35" s="2">
        <v>0</v>
      </c>
      <c r="M35" s="2">
        <v>0</v>
      </c>
      <c r="N35" s="2">
        <v>0.27</v>
      </c>
      <c r="O35" s="2">
        <v>0</v>
      </c>
      <c r="P35" s="2" t="e">
        <f t="shared" si="2"/>
        <v>#NUM!</v>
      </c>
      <c r="Q35" s="2">
        <f t="shared" si="3"/>
        <v>0.37390096630005903</v>
      </c>
      <c r="R35" s="2" t="e">
        <f t="shared" si="4"/>
        <v>#NUM!</v>
      </c>
      <c r="S35" t="e">
        <f t="shared" si="5"/>
        <v>#NUM!</v>
      </c>
      <c r="U35" t="e">
        <v>#NUM!</v>
      </c>
    </row>
    <row r="36" spans="1:21" ht="13.9" x14ac:dyDescent="0.3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>
        <v>605.16999999999996</v>
      </c>
      <c r="K36" s="2">
        <v>1179.8</v>
      </c>
      <c r="L36" s="2">
        <v>767.95</v>
      </c>
      <c r="M36" s="2">
        <v>1741.24</v>
      </c>
      <c r="N36" s="2">
        <v>2357.65</v>
      </c>
      <c r="O36" s="2">
        <v>2223.12</v>
      </c>
      <c r="P36" s="2">
        <f t="shared" si="2"/>
        <v>-1.3082349880622597</v>
      </c>
      <c r="Q36" s="2">
        <f t="shared" si="3"/>
        <v>7.7261198896088996E-3</v>
      </c>
      <c r="R36" s="2">
        <f t="shared" si="4"/>
        <v>0.7888421295832142</v>
      </c>
      <c r="S36">
        <f t="shared" si="5"/>
        <v>0.62383732913508727</v>
      </c>
      <c r="U36">
        <v>11.317932613863594</v>
      </c>
    </row>
    <row r="37" spans="1:21" ht="13.9" x14ac:dyDescent="0.3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>
        <v>19.78</v>
      </c>
      <c r="K37" s="2">
        <v>0</v>
      </c>
      <c r="L37" s="2">
        <v>25.85</v>
      </c>
      <c r="M37" s="2">
        <v>21.91</v>
      </c>
      <c r="N37" s="2">
        <v>26.74</v>
      </c>
      <c r="O37" s="2">
        <v>20.87</v>
      </c>
      <c r="P37" s="2">
        <f t="shared" si="2"/>
        <v>-0.60744542836874704</v>
      </c>
      <c r="Q37" s="2">
        <f t="shared" si="3"/>
        <v>0.37646554129557014</v>
      </c>
      <c r="R37" s="2">
        <f t="shared" si="4"/>
        <v>7.1916686813920716</v>
      </c>
      <c r="S37">
        <f t="shared" si="5"/>
        <v>7.7886465029215479E-2</v>
      </c>
      <c r="U37">
        <v>5.5119107486709282</v>
      </c>
    </row>
    <row r="38" spans="1:21" ht="13.9" x14ac:dyDescent="0.3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>
        <v>13.18</v>
      </c>
      <c r="K38" s="2">
        <v>21.96</v>
      </c>
      <c r="L38" s="2">
        <v>9.4700000000000006</v>
      </c>
      <c r="M38" s="2">
        <v>37.61</v>
      </c>
      <c r="N38" s="2">
        <v>34.630000000000003</v>
      </c>
      <c r="O38" s="2">
        <v>26.14</v>
      </c>
      <c r="P38" s="2">
        <f t="shared" si="2"/>
        <v>-1.1409979069497536</v>
      </c>
      <c r="Q38" s="2">
        <f t="shared" si="3"/>
        <v>2.3843429277867787E-2</v>
      </c>
      <c r="R38" s="2">
        <f t="shared" si="4"/>
        <v>8.1850111889655963E-2</v>
      </c>
      <c r="S38">
        <f t="shared" si="5"/>
        <v>0.93306599787654809</v>
      </c>
      <c r="U38">
        <v>5.47929524299885</v>
      </c>
    </row>
    <row r="39" spans="1:21" ht="13.9" x14ac:dyDescent="0.3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>
        <v>0</v>
      </c>
      <c r="K39" s="2">
        <v>12.2</v>
      </c>
      <c r="L39" s="2">
        <v>0.18</v>
      </c>
      <c r="M39" s="2">
        <v>1.58</v>
      </c>
      <c r="N39" s="2">
        <v>1.74</v>
      </c>
      <c r="O39" s="2">
        <v>1.58</v>
      </c>
      <c r="P39" s="2">
        <f t="shared" si="2"/>
        <v>1.3371576602116939</v>
      </c>
      <c r="Q39" s="2">
        <f t="shared" si="3"/>
        <v>0.57028437000971732</v>
      </c>
      <c r="R39" s="2">
        <f t="shared" si="4"/>
        <v>1.6577304754870454</v>
      </c>
      <c r="S39">
        <f t="shared" si="5"/>
        <v>-4.1711511285296003</v>
      </c>
      <c r="U39">
        <v>3.6299394094395399</v>
      </c>
    </row>
    <row r="40" spans="1:21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e">
        <f t="shared" si="2"/>
        <v>#DIV/0!</v>
      </c>
      <c r="Q40" s="2" t="e">
        <f t="shared" si="3"/>
        <v>#DIV/0!</v>
      </c>
      <c r="R40" s="2" t="e">
        <f t="shared" si="4"/>
        <v>#DIV/0!</v>
      </c>
      <c r="S40" t="e">
        <f t="shared" si="5"/>
        <v>#DIV/0!</v>
      </c>
      <c r="U40" t="e">
        <v>#NUM!</v>
      </c>
    </row>
    <row r="41" spans="1:21" ht="13.9" x14ac:dyDescent="0.3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>
        <v>0</v>
      </c>
      <c r="K41" s="2">
        <v>0</v>
      </c>
      <c r="L41" s="2">
        <v>8.19</v>
      </c>
      <c r="M41" s="2">
        <v>1.28</v>
      </c>
      <c r="N41" s="2">
        <v>1.34</v>
      </c>
      <c r="O41" s="2">
        <v>1.37</v>
      </c>
      <c r="P41" s="2">
        <f t="shared" si="2"/>
        <v>1.0374747054186626</v>
      </c>
      <c r="Q41" s="2">
        <f t="shared" si="3"/>
        <v>0.6351135544253047</v>
      </c>
      <c r="R41" s="2" t="e">
        <f t="shared" si="4"/>
        <v>#NUM!</v>
      </c>
      <c r="S41" t="e">
        <f t="shared" si="5"/>
        <v>#NUM!</v>
      </c>
      <c r="U41">
        <v>3.0338634518662837</v>
      </c>
    </row>
    <row r="42" spans="1:21" ht="13.9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>
        <v>0.33</v>
      </c>
      <c r="K42" s="2">
        <v>0</v>
      </c>
      <c r="L42" s="2">
        <v>0</v>
      </c>
      <c r="M42" s="2">
        <v>0</v>
      </c>
      <c r="N42" s="2">
        <v>0</v>
      </c>
      <c r="O42" s="2">
        <v>1.48</v>
      </c>
      <c r="P42" s="2">
        <f t="shared" si="2"/>
        <v>-2.1650592462704963</v>
      </c>
      <c r="Q42" s="2">
        <f t="shared" si="3"/>
        <v>0.4904394858565102</v>
      </c>
      <c r="R42" s="2" t="e">
        <f t="shared" si="4"/>
        <v>#DIV/0!</v>
      </c>
      <c r="S42" t="e">
        <f t="shared" si="5"/>
        <v>#DIV/0!</v>
      </c>
      <c r="U42">
        <v>-1.5994620704162712</v>
      </c>
    </row>
    <row r="43" spans="1:21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>
        <v>0</v>
      </c>
      <c r="K43" s="2">
        <v>0</v>
      </c>
      <c r="L43" s="2">
        <v>0</v>
      </c>
      <c r="M43" s="2">
        <v>0.39</v>
      </c>
      <c r="N43" s="2">
        <v>0.94</v>
      </c>
      <c r="O43" s="2">
        <v>0</v>
      </c>
      <c r="P43" s="2" t="e">
        <f t="shared" si="2"/>
        <v>#NUM!</v>
      </c>
      <c r="Q43" s="2">
        <f t="shared" si="3"/>
        <v>0.17928803003973173</v>
      </c>
      <c r="R43" s="2" t="e">
        <f t="shared" si="4"/>
        <v>#NUM!</v>
      </c>
      <c r="S43" t="e">
        <f t="shared" si="5"/>
        <v>#NUM!</v>
      </c>
      <c r="U43" t="e">
        <v>#NUM!</v>
      </c>
    </row>
    <row r="44" spans="1:21" ht="13.9" x14ac:dyDescent="0.3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 t="e">
        <f t="shared" si="2"/>
        <v>#DIV/0!</v>
      </c>
      <c r="Q44" s="2" t="e">
        <f t="shared" si="3"/>
        <v>#DIV/0!</v>
      </c>
      <c r="R44" s="2" t="e">
        <f t="shared" si="4"/>
        <v>#DIV/0!</v>
      </c>
      <c r="S44" t="e">
        <f t="shared" si="5"/>
        <v>#DIV/0!</v>
      </c>
      <c r="U44" t="e">
        <v>#NUM!</v>
      </c>
    </row>
    <row r="45" spans="1:21" ht="13.9" x14ac:dyDescent="0.3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>
        <v>52.41</v>
      </c>
      <c r="K45" s="2">
        <v>15.13</v>
      </c>
      <c r="L45" s="2">
        <v>46.24</v>
      </c>
      <c r="M45" s="2">
        <v>11.45</v>
      </c>
      <c r="N45" s="2">
        <v>3.21</v>
      </c>
      <c r="O45" s="2">
        <v>4.1100000000000003</v>
      </c>
      <c r="P45" s="2">
        <f t="shared" si="2"/>
        <v>2.5997464308638869</v>
      </c>
      <c r="Q45" s="2">
        <f t="shared" si="3"/>
        <v>5.5371363216619646E-2</v>
      </c>
      <c r="R45" s="2">
        <f t="shared" si="4"/>
        <v>-4.0467940832820055</v>
      </c>
      <c r="S45">
        <f t="shared" si="5"/>
        <v>0.39114279456069256</v>
      </c>
      <c r="U45">
        <v>6.830103175920037</v>
      </c>
    </row>
    <row r="46" spans="1:21" ht="13.9" x14ac:dyDescent="0.3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5.37</v>
      </c>
      <c r="L46" s="2">
        <v>0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2.4249220882106881</v>
      </c>
    </row>
    <row r="47" spans="1:21" ht="13.9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ht="13.9" x14ac:dyDescent="0.3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>
        <v>0</v>
      </c>
      <c r="K48" s="2">
        <v>0</v>
      </c>
      <c r="L48" s="2">
        <v>0.18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>
        <f t="shared" si="3"/>
        <v>0.37390096630005903</v>
      </c>
      <c r="R48" s="2" t="e">
        <f t="shared" si="4"/>
        <v>#DIV/0!</v>
      </c>
      <c r="S48" t="e">
        <f t="shared" si="5"/>
        <v>#DIV/0!</v>
      </c>
      <c r="U48">
        <v>-2.4739311883324122</v>
      </c>
    </row>
    <row r="49" spans="1:21" ht="13.9" x14ac:dyDescent="0.3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>
        <v>0</v>
      </c>
      <c r="K49" s="2">
        <v>19.760000000000002</v>
      </c>
      <c r="L49" s="2">
        <v>0</v>
      </c>
      <c r="M49" s="2">
        <v>15.5</v>
      </c>
      <c r="N49" s="2">
        <v>131.83000000000001</v>
      </c>
      <c r="O49" s="2">
        <v>28.77</v>
      </c>
      <c r="P49" s="2">
        <f t="shared" si="2"/>
        <v>-3.1557400571338929</v>
      </c>
      <c r="Q49" s="2">
        <f t="shared" si="3"/>
        <v>0.23541824328322147</v>
      </c>
      <c r="R49" s="2">
        <f t="shared" si="4"/>
        <v>-1.4209421282188599</v>
      </c>
      <c r="S49">
        <f t="shared" si="5"/>
        <v>1.8190822138619551</v>
      </c>
      <c r="U49">
        <v>4.3045110418099535</v>
      </c>
    </row>
    <row r="50" spans="1:21" ht="13.9" x14ac:dyDescent="0.3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1.18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>
        <v>0</v>
      </c>
      <c r="K51" s="2">
        <v>0</v>
      </c>
      <c r="L51" s="2">
        <v>0</v>
      </c>
      <c r="M51" s="2">
        <v>0</v>
      </c>
      <c r="N51" s="2">
        <v>0.13</v>
      </c>
      <c r="O51" s="2">
        <v>0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ht="13.9" x14ac:dyDescent="0.3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>
        <v>22.41</v>
      </c>
      <c r="K52" s="2">
        <v>12.69</v>
      </c>
      <c r="L52" s="2">
        <v>25.85</v>
      </c>
      <c r="M52" s="2">
        <v>34.450000000000003</v>
      </c>
      <c r="N52" s="2">
        <v>48.4</v>
      </c>
      <c r="O52" s="2">
        <v>50.16</v>
      </c>
      <c r="P52" s="2">
        <f t="shared" si="2"/>
        <v>-1.1258365890019453</v>
      </c>
      <c r="Q52" s="2">
        <f t="shared" si="3"/>
        <v>1.9312366133656125E-2</v>
      </c>
      <c r="R52" s="2">
        <f t="shared" si="4"/>
        <v>-0.64040976183170328</v>
      </c>
      <c r="S52">
        <f t="shared" si="5"/>
        <v>2.3192714658250808</v>
      </c>
      <c r="U52">
        <v>5.9295543157328501</v>
      </c>
    </row>
    <row r="53" spans="1:21" ht="13.9" x14ac:dyDescent="0.3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>
        <v>0.33</v>
      </c>
      <c r="K53" s="2">
        <v>11.22</v>
      </c>
      <c r="L53" s="2">
        <v>8.56</v>
      </c>
      <c r="M53" s="2">
        <v>0</v>
      </c>
      <c r="N53" s="2">
        <v>2.81</v>
      </c>
      <c r="O53" s="2">
        <v>2</v>
      </c>
      <c r="P53" s="2">
        <f t="shared" si="2"/>
        <v>2.06380428253531</v>
      </c>
      <c r="Q53" s="2">
        <f t="shared" si="3"/>
        <v>0.20610990674349255</v>
      </c>
      <c r="R53" s="2">
        <f t="shared" si="4"/>
        <v>0.56230860433146868</v>
      </c>
      <c r="S53">
        <f t="shared" si="5"/>
        <v>1.3744989829102461</v>
      </c>
      <c r="U53">
        <v>4.3298411765306275</v>
      </c>
    </row>
    <row r="54" spans="1:21" ht="13.9" x14ac:dyDescent="0.3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ht="13.9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>
        <v>0</v>
      </c>
      <c r="K55" s="2">
        <v>0</v>
      </c>
      <c r="L55" s="2">
        <v>0</v>
      </c>
      <c r="M55" s="2">
        <v>0</v>
      </c>
      <c r="N55" s="2">
        <v>0.27</v>
      </c>
      <c r="O55" s="2">
        <v>0.11</v>
      </c>
      <c r="P55" s="2" t="e">
        <f t="shared" si="2"/>
        <v>#NUM!</v>
      </c>
      <c r="Q55" s="2">
        <f t="shared" si="3"/>
        <v>0.18141514163843797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ht="13.9" x14ac:dyDescent="0.3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>
        <v>77.13</v>
      </c>
      <c r="K56" s="2">
        <v>92.46</v>
      </c>
      <c r="L56" s="2">
        <v>38.78</v>
      </c>
      <c r="M56" s="2">
        <v>63.28</v>
      </c>
      <c r="N56" s="2">
        <v>76.08</v>
      </c>
      <c r="O56" s="2">
        <v>67.97</v>
      </c>
      <c r="P56" s="2">
        <f t="shared" si="2"/>
        <v>7.2186960446899004E-3</v>
      </c>
      <c r="Q56" s="2">
        <f t="shared" si="3"/>
        <v>0.98414389037345162</v>
      </c>
      <c r="R56" s="2">
        <f t="shared" si="4"/>
        <v>1.5870105308391322</v>
      </c>
      <c r="S56">
        <f t="shared" si="5"/>
        <v>-4.5693969836406801E-3</v>
      </c>
      <c r="U56">
        <v>7.7030037708136501</v>
      </c>
    </row>
    <row r="57" spans="1:21" ht="13.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 t="e">
        <f t="shared" si="2"/>
        <v>#DIV/0!</v>
      </c>
      <c r="Q57" s="2" t="e">
        <f t="shared" si="3"/>
        <v>#DIV/0!</v>
      </c>
      <c r="R57" s="2" t="e">
        <f t="shared" si="4"/>
        <v>#DIV/0!</v>
      </c>
      <c r="S57" t="e">
        <f t="shared" si="5"/>
        <v>#DIV/0!</v>
      </c>
      <c r="U57" t="e">
        <v>#NUM!</v>
      </c>
    </row>
    <row r="58" spans="1:21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>
        <v>0</v>
      </c>
      <c r="K58" s="2">
        <v>0</v>
      </c>
      <c r="L58" s="2">
        <v>0</v>
      </c>
      <c r="M58" s="2">
        <v>0</v>
      </c>
      <c r="N58" s="2">
        <v>0.27</v>
      </c>
      <c r="O58" s="2">
        <v>0</v>
      </c>
      <c r="P58" s="2" t="e">
        <f t="shared" si="2"/>
        <v>#NUM!</v>
      </c>
      <c r="Q58" s="2">
        <f t="shared" si="3"/>
        <v>0.37390096630005903</v>
      </c>
      <c r="R58" s="2" t="e">
        <f t="shared" si="4"/>
        <v>#NUM!</v>
      </c>
      <c r="S58" t="e">
        <f t="shared" si="5"/>
        <v>#NUM!</v>
      </c>
      <c r="U58" t="e">
        <v>#NUM!</v>
      </c>
    </row>
    <row r="59" spans="1:21" ht="13.9" x14ac:dyDescent="0.3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>
        <v>0</v>
      </c>
      <c r="K59" s="2">
        <v>14.64</v>
      </c>
      <c r="L59" s="2">
        <v>0</v>
      </c>
      <c r="M59" s="2">
        <v>6.22</v>
      </c>
      <c r="N59" s="2">
        <v>3.21</v>
      </c>
      <c r="O59" s="2">
        <v>4.95</v>
      </c>
      <c r="P59" s="2">
        <f t="shared" si="2"/>
        <v>2.5851877844744801E-2</v>
      </c>
      <c r="Q59" s="2">
        <f t="shared" si="3"/>
        <v>0.98688905091376777</v>
      </c>
      <c r="R59" s="2">
        <f t="shared" si="4"/>
        <v>3.5276204430395026</v>
      </c>
      <c r="S59">
        <f t="shared" si="5"/>
        <v>-7.3825203931793806E-3</v>
      </c>
      <c r="U59">
        <v>3.8718436485093184</v>
      </c>
    </row>
    <row r="60" spans="1:21" ht="13.9" x14ac:dyDescent="0.3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>
        <v>0.66</v>
      </c>
      <c r="K60" s="2">
        <v>17.57</v>
      </c>
      <c r="L60" s="2">
        <v>0.91</v>
      </c>
      <c r="M60" s="2">
        <v>0.79</v>
      </c>
      <c r="N60" s="2">
        <v>0.4</v>
      </c>
      <c r="O60" s="2">
        <v>2.5299999999999998</v>
      </c>
      <c r="P60" s="2">
        <f t="shared" si="2"/>
        <v>2.3632163033779943</v>
      </c>
      <c r="Q60" s="2">
        <f t="shared" si="3"/>
        <v>0.41318575471144003</v>
      </c>
      <c r="R60" s="2">
        <f t="shared" si="4"/>
        <v>-1.3381635875177063</v>
      </c>
      <c r="S60">
        <f t="shared" si="5"/>
        <v>0.63846899616837693</v>
      </c>
      <c r="U60">
        <v>4.2585189247113009</v>
      </c>
    </row>
    <row r="61" spans="1:21" ht="13.9" x14ac:dyDescent="0.3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>
        <v>0.66</v>
      </c>
      <c r="K61" s="2">
        <v>17.57</v>
      </c>
      <c r="L61" s="2">
        <v>1.64</v>
      </c>
      <c r="M61" s="2">
        <v>1.48</v>
      </c>
      <c r="N61" s="2">
        <v>0.4</v>
      </c>
      <c r="O61" s="2">
        <v>2.5299999999999998</v>
      </c>
      <c r="P61" s="2">
        <f t="shared" si="2"/>
        <v>2.1717413116921498</v>
      </c>
      <c r="Q61" s="2">
        <f t="shared" si="3"/>
        <v>0.40298823153169094</v>
      </c>
      <c r="R61" s="2">
        <f t="shared" si="4"/>
        <v>-1.0114021922832075</v>
      </c>
      <c r="S61">
        <f t="shared" si="5"/>
        <v>0.68226308646779832</v>
      </c>
      <c r="U61">
        <v>4.3125199674749455</v>
      </c>
    </row>
    <row r="62" spans="1:21" ht="13.9" x14ac:dyDescent="0.3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 t="e">
        <f t="shared" si="2"/>
        <v>#DIV/0!</v>
      </c>
      <c r="Q62" s="2" t="e">
        <f t="shared" si="3"/>
        <v>#DIV/0!</v>
      </c>
      <c r="R62" s="2" t="e">
        <f t="shared" si="4"/>
        <v>#DIV/0!</v>
      </c>
      <c r="S62" t="e">
        <f t="shared" si="5"/>
        <v>#DIV/0!</v>
      </c>
      <c r="U62" t="e">
        <v>#NUM!</v>
      </c>
    </row>
    <row r="63" spans="1:21" ht="13.9" x14ac:dyDescent="0.3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>
        <v>24.06</v>
      </c>
      <c r="K63" s="2">
        <v>30.25</v>
      </c>
      <c r="L63" s="2">
        <v>71.92</v>
      </c>
      <c r="M63" s="2">
        <v>7.7</v>
      </c>
      <c r="N63" s="2">
        <v>5.48</v>
      </c>
      <c r="O63" s="2">
        <v>3.79</v>
      </c>
      <c r="P63" s="2">
        <f t="shared" si="2"/>
        <v>2.8949963540176213</v>
      </c>
      <c r="Q63" s="2">
        <f t="shared" si="3"/>
        <v>7.3032471420022171E-2</v>
      </c>
      <c r="R63" s="2">
        <f t="shared" si="4"/>
        <v>7.2937509373798726E-2</v>
      </c>
      <c r="S63">
        <f t="shared" si="5"/>
        <v>1.0258454955722245</v>
      </c>
      <c r="U63">
        <v>6.9799110137855607</v>
      </c>
    </row>
    <row r="64" spans="1:21" ht="13.9" x14ac:dyDescent="0.3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>
        <v>435.75</v>
      </c>
      <c r="K64" s="2">
        <v>336.42</v>
      </c>
      <c r="L64" s="2">
        <v>250.34</v>
      </c>
      <c r="M64" s="2">
        <v>843.42</v>
      </c>
      <c r="N64" s="2">
        <v>678.83</v>
      </c>
      <c r="O64" s="2">
        <v>638.42999999999995</v>
      </c>
      <c r="P64" s="2">
        <f t="shared" si="2"/>
        <v>-1.079370470099319</v>
      </c>
      <c r="Q64" s="2">
        <f t="shared" si="3"/>
        <v>1.002443697507684E-2</v>
      </c>
      <c r="R64" s="2">
        <f t="shared" si="4"/>
        <v>0.39633967705862272</v>
      </c>
      <c r="S64">
        <f t="shared" si="5"/>
        <v>0.73142444143117802</v>
      </c>
      <c r="U64">
        <v>9.9978992372470703</v>
      </c>
    </row>
    <row r="65" spans="1:21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1.69</v>
      </c>
      <c r="P65" s="2" t="e">
        <f t="shared" si="2"/>
        <v>#NUM!</v>
      </c>
      <c r="Q65" s="2">
        <f t="shared" si="3"/>
        <v>0.37390096630005903</v>
      </c>
      <c r="R65" s="2" t="e">
        <f t="shared" si="4"/>
        <v>#NUM!</v>
      </c>
      <c r="S65" t="e">
        <f t="shared" si="5"/>
        <v>#NUM!</v>
      </c>
      <c r="U65" t="e">
        <v>#NUM!</v>
      </c>
    </row>
    <row r="66" spans="1:21" ht="13.9" x14ac:dyDescent="0.3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6">LOG(SUM(B66:D66)/SUM(E66:G66),2)</f>
        <v>-5.0410272682600548</v>
      </c>
      <c r="I66" s="2">
        <f t="shared" ref="I66:I129" si="7">_xlfn.T.TEST(B66:D66,E66:G66,2,2)</f>
        <v>0.14408301800446266</v>
      </c>
      <c r="J66" s="2">
        <v>0</v>
      </c>
      <c r="K66" s="2">
        <v>0</v>
      </c>
      <c r="L66" s="2">
        <v>0</v>
      </c>
      <c r="M66" s="2">
        <v>3.65</v>
      </c>
      <c r="N66" s="2">
        <v>5.62</v>
      </c>
      <c r="O66" s="2">
        <v>2.3199999999999998</v>
      </c>
      <c r="P66" s="2" t="e">
        <f t="shared" ref="P66:P129" si="8">LOG(SUM(J66:L66)/SUM(M66:O66),2)</f>
        <v>#NUM!</v>
      </c>
      <c r="Q66" s="2">
        <f t="shared" ref="Q66:Q129" si="9">_xlfn.T.TEST(J66:L66,M66:O66,2,2)</f>
        <v>1.573015199833416E-2</v>
      </c>
      <c r="R66" s="2" t="e">
        <f t="shared" si="4"/>
        <v>#NUM!</v>
      </c>
      <c r="S66" t="e">
        <f t="shared" si="5"/>
        <v>#NUM!</v>
      </c>
      <c r="U66" t="e">
        <v>#NUM!</v>
      </c>
    </row>
    <row r="67" spans="1:21" ht="13.9" x14ac:dyDescent="0.3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6"/>
        <v>-5.0410272682600548</v>
      </c>
      <c r="I67" s="2">
        <f t="shared" si="7"/>
        <v>0.14408301800446266</v>
      </c>
      <c r="J67" s="2">
        <v>0</v>
      </c>
      <c r="K67" s="2">
        <v>0</v>
      </c>
      <c r="L67" s="2">
        <v>0</v>
      </c>
      <c r="M67" s="2">
        <v>3.65</v>
      </c>
      <c r="N67" s="2">
        <v>5.62</v>
      </c>
      <c r="O67" s="2">
        <v>2.3199999999999998</v>
      </c>
      <c r="P67" s="2" t="e">
        <f t="shared" si="8"/>
        <v>#NUM!</v>
      </c>
      <c r="Q67" s="2">
        <f t="shared" si="9"/>
        <v>1.573015199833416E-2</v>
      </c>
      <c r="R67" s="2" t="e">
        <f t="shared" ref="R67:R130" si="10">P67-H67</f>
        <v>#NUM!</v>
      </c>
      <c r="S67" t="e">
        <f t="shared" si="5"/>
        <v>#NUM!</v>
      </c>
      <c r="U67" t="e">
        <v>#NUM!</v>
      </c>
    </row>
    <row r="68" spans="1:21" ht="13.9" x14ac:dyDescent="0.3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6"/>
        <v>-0.90442234001776889</v>
      </c>
      <c r="I68" s="2">
        <f t="shared" si="7"/>
        <v>0.59112164364653408</v>
      </c>
      <c r="J68" s="2">
        <v>0</v>
      </c>
      <c r="K68" s="2">
        <v>0</v>
      </c>
      <c r="L68" s="2">
        <v>1.46</v>
      </c>
      <c r="M68" s="2">
        <v>0</v>
      </c>
      <c r="N68" s="2">
        <v>0</v>
      </c>
      <c r="O68" s="2">
        <v>1.37</v>
      </c>
      <c r="P68" s="2">
        <f t="shared" si="8"/>
        <v>9.179247591949026E-2</v>
      </c>
      <c r="Q68" s="2">
        <f t="shared" si="9"/>
        <v>0.96629998781771875</v>
      </c>
      <c r="R68" s="2">
        <f t="shared" si="10"/>
        <v>0.99621481593725913</v>
      </c>
      <c r="S68">
        <f t="shared" ref="S68:S131" si="11">P68/H68</f>
        <v>-0.10149293295617492</v>
      </c>
      <c r="U68">
        <v>0.54596836910529256</v>
      </c>
    </row>
    <row r="69" spans="1:21" ht="13.9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</v>
      </c>
      <c r="N69" s="2">
        <v>0.13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ht="13.9" x14ac:dyDescent="0.3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6"/>
        <v>-1.4699354923986134</v>
      </c>
      <c r="I70" s="2">
        <f t="shared" si="7"/>
        <v>0.15642452505446808</v>
      </c>
      <c r="J70" s="2">
        <v>9.56</v>
      </c>
      <c r="K70" s="2">
        <v>20.98</v>
      </c>
      <c r="L70" s="2">
        <v>0</v>
      </c>
      <c r="M70" s="2">
        <v>7.7</v>
      </c>
      <c r="N70" s="2">
        <v>14.31</v>
      </c>
      <c r="O70" s="2">
        <v>10.33</v>
      </c>
      <c r="P70" s="2">
        <f t="shared" si="8"/>
        <v>-8.2619616676810309E-2</v>
      </c>
      <c r="Q70" s="2">
        <f t="shared" si="9"/>
        <v>0.92939196305920069</v>
      </c>
      <c r="R70" s="2">
        <f t="shared" si="10"/>
        <v>1.3873158757218031</v>
      </c>
      <c r="S70">
        <f t="shared" si="11"/>
        <v>5.6206287353462808E-2</v>
      </c>
      <c r="U70">
        <v>4.9326281570221271</v>
      </c>
    </row>
    <row r="71" spans="1:21" ht="13.9" x14ac:dyDescent="0.3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6"/>
        <v>1.1084584974666527</v>
      </c>
      <c r="I71" s="2">
        <f t="shared" si="7"/>
        <v>0.40204118748993639</v>
      </c>
      <c r="J71" s="2">
        <v>3.63</v>
      </c>
      <c r="K71" s="2">
        <v>0</v>
      </c>
      <c r="L71" s="2">
        <v>12.02</v>
      </c>
      <c r="M71" s="2">
        <v>3.55</v>
      </c>
      <c r="N71" s="2">
        <v>2.81</v>
      </c>
      <c r="O71" s="2">
        <v>1.05</v>
      </c>
      <c r="P71" s="2">
        <f t="shared" si="8"/>
        <v>1.0786172095141469</v>
      </c>
      <c r="Q71" s="2">
        <f t="shared" si="9"/>
        <v>0.49202565782410657</v>
      </c>
      <c r="R71" s="2">
        <f t="shared" si="10"/>
        <v>-2.9841287952505846E-2</v>
      </c>
      <c r="S71">
        <f t="shared" si="11"/>
        <v>0.97307856990522679</v>
      </c>
      <c r="U71">
        <v>3.968090752045256</v>
      </c>
    </row>
    <row r="72" spans="1:21" ht="13.9" x14ac:dyDescent="0.3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6"/>
        <v>-0.43853977188359711</v>
      </c>
      <c r="I72" s="2">
        <f t="shared" si="7"/>
        <v>0.62402158293181198</v>
      </c>
      <c r="J72" s="2">
        <v>19.12</v>
      </c>
      <c r="K72" s="2">
        <v>46.6</v>
      </c>
      <c r="L72" s="2">
        <v>30.4</v>
      </c>
      <c r="M72" s="2">
        <v>34.65</v>
      </c>
      <c r="N72" s="2">
        <v>54.95</v>
      </c>
      <c r="O72" s="2">
        <v>22.55</v>
      </c>
      <c r="P72" s="2">
        <f t="shared" si="8"/>
        <v>-0.22252106684376821</v>
      </c>
      <c r="Q72" s="2">
        <f t="shared" si="9"/>
        <v>0.68797299562724712</v>
      </c>
      <c r="R72" s="2">
        <f t="shared" si="10"/>
        <v>0.2160187050398289</v>
      </c>
      <c r="S72">
        <f t="shared" si="11"/>
        <v>0.50741365119064419</v>
      </c>
      <c r="U72">
        <v>6.5867647433551424</v>
      </c>
    </row>
    <row r="73" spans="1:21" ht="13.9" x14ac:dyDescent="0.3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6"/>
        <v>0.73696559416620622</v>
      </c>
      <c r="I73" s="2">
        <f t="shared" si="7"/>
        <v>0.5478614056410982</v>
      </c>
      <c r="J73" s="2">
        <v>0</v>
      </c>
      <c r="K73" s="2">
        <v>0</v>
      </c>
      <c r="L73" s="2">
        <v>0</v>
      </c>
      <c r="M73" s="2">
        <v>0.1</v>
      </c>
      <c r="N73" s="2">
        <v>0.13</v>
      </c>
      <c r="O73" s="2">
        <v>0.11</v>
      </c>
      <c r="P73" s="2" t="e">
        <f t="shared" si="8"/>
        <v>#NUM!</v>
      </c>
      <c r="Q73" s="2">
        <f t="shared" si="9"/>
        <v>2.1139752676373701E-4</v>
      </c>
      <c r="R73" s="2" t="e">
        <f t="shared" si="10"/>
        <v>#NUM!</v>
      </c>
      <c r="S73" t="e">
        <f t="shared" si="11"/>
        <v>#NUM!</v>
      </c>
      <c r="U73" t="e">
        <v>#NUM!</v>
      </c>
    </row>
    <row r="74" spans="1:21" ht="13.9" x14ac:dyDescent="0.3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0.49</v>
      </c>
      <c r="N74" s="2">
        <v>0</v>
      </c>
      <c r="O74" s="2">
        <v>0</v>
      </c>
      <c r="P74" s="2" t="e">
        <f t="shared" si="8"/>
        <v>#NUM!</v>
      </c>
      <c r="Q74" s="2">
        <f t="shared" si="9"/>
        <v>0.37390096630005903</v>
      </c>
      <c r="R74" s="2" t="e">
        <f t="shared" si="10"/>
        <v>#NUM!</v>
      </c>
      <c r="S74" t="e">
        <f t="shared" si="11"/>
        <v>#NUM!</v>
      </c>
      <c r="U74" t="e">
        <v>#NUM!</v>
      </c>
    </row>
    <row r="75" spans="1:21" ht="13.9" x14ac:dyDescent="0.3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6"/>
        <v>#NUM!</v>
      </c>
      <c r="I75" s="2">
        <f t="shared" si="7"/>
        <v>0.1263598476466152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0.11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ht="13.9" x14ac:dyDescent="0.3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6"/>
        <v>2.7578985355019339</v>
      </c>
      <c r="I76" s="2">
        <f t="shared" si="7"/>
        <v>0.20888554287763123</v>
      </c>
      <c r="J76" s="2">
        <v>0.33</v>
      </c>
      <c r="K76" s="2">
        <v>0</v>
      </c>
      <c r="L76" s="2">
        <v>12.02</v>
      </c>
      <c r="M76" s="2">
        <v>1.58</v>
      </c>
      <c r="N76" s="2">
        <v>1.07</v>
      </c>
      <c r="O76" s="2">
        <v>1.05</v>
      </c>
      <c r="P76" s="2">
        <f t="shared" si="8"/>
        <v>1.7389138659557279</v>
      </c>
      <c r="Q76" s="2">
        <f t="shared" si="9"/>
        <v>0.5065366212550495</v>
      </c>
      <c r="R76" s="2">
        <f t="shared" si="10"/>
        <v>-1.0189846695462059</v>
      </c>
      <c r="S76">
        <f t="shared" si="11"/>
        <v>0.63052133483919048</v>
      </c>
      <c r="U76">
        <v>3.6264391366973152</v>
      </c>
    </row>
    <row r="77" spans="1:21" ht="13.9" x14ac:dyDescent="0.3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6"/>
        <v>#NUM!</v>
      </c>
      <c r="I77" s="2">
        <f t="shared" si="7"/>
        <v>2.6347304928499616E-2</v>
      </c>
      <c r="J77" s="2">
        <v>0</v>
      </c>
      <c r="K77" s="2">
        <v>0</v>
      </c>
      <c r="L77" s="2">
        <v>0</v>
      </c>
      <c r="M77" s="2">
        <v>5.63</v>
      </c>
      <c r="N77" s="2">
        <v>6.69</v>
      </c>
      <c r="O77" s="2">
        <v>7.48</v>
      </c>
      <c r="P77" s="2" t="e">
        <f t="shared" si="8"/>
        <v>#NUM!</v>
      </c>
      <c r="Q77" s="2">
        <f t="shared" si="9"/>
        <v>2.4979911181806201E-4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ht="13.9" x14ac:dyDescent="0.3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6"/>
        <v>#NUM!</v>
      </c>
      <c r="I78" s="2">
        <f t="shared" si="7"/>
        <v>0.1550162111421669</v>
      </c>
      <c r="J78" s="2">
        <v>0</v>
      </c>
      <c r="K78" s="2">
        <v>0</v>
      </c>
      <c r="L78" s="2">
        <v>3.82</v>
      </c>
      <c r="M78" s="2">
        <v>0.89</v>
      </c>
      <c r="N78" s="2">
        <v>1.34</v>
      </c>
      <c r="O78" s="2">
        <v>2.5299999999999998</v>
      </c>
      <c r="P78" s="2">
        <f t="shared" si="8"/>
        <v>-0.31738893527219475</v>
      </c>
      <c r="Q78" s="2">
        <f t="shared" si="9"/>
        <v>0.82959094775714104</v>
      </c>
      <c r="R78" s="2" t="e">
        <f t="shared" si="10"/>
        <v>#NUM!</v>
      </c>
      <c r="S78" t="e">
        <f t="shared" si="11"/>
        <v>#NUM!</v>
      </c>
      <c r="U78">
        <v>1.9335726382610239</v>
      </c>
    </row>
    <row r="79" spans="1:21" ht="13.9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0.27</v>
      </c>
      <c r="O79" s="2">
        <v>0</v>
      </c>
      <c r="P79" s="2" t="e">
        <f t="shared" si="8"/>
        <v>#NUM!</v>
      </c>
      <c r="Q79" s="2">
        <f t="shared" si="9"/>
        <v>0.37390096630005903</v>
      </c>
      <c r="R79" s="2" t="e">
        <f t="shared" si="10"/>
        <v>#NUM!</v>
      </c>
      <c r="S79" t="e">
        <f t="shared" si="11"/>
        <v>#NUM!</v>
      </c>
      <c r="U79" t="e">
        <v>#NUM!</v>
      </c>
    </row>
    <row r="80" spans="1:21" ht="13.9" x14ac:dyDescent="0.3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6"/>
        <v>-1.2664635614572752</v>
      </c>
      <c r="I80" s="2">
        <f t="shared" si="7"/>
        <v>3.0296341968782513E-3</v>
      </c>
      <c r="J80" s="2">
        <v>668.13</v>
      </c>
      <c r="K80" s="2">
        <v>1068.31</v>
      </c>
      <c r="L80" s="2">
        <v>745.56</v>
      </c>
      <c r="M80" s="2">
        <v>954.97</v>
      </c>
      <c r="N80" s="2">
        <v>1206.7</v>
      </c>
      <c r="O80" s="2">
        <v>1192.6500000000001</v>
      </c>
      <c r="P80" s="2">
        <f t="shared" si="8"/>
        <v>-0.43451721219106587</v>
      </c>
      <c r="Q80" s="2">
        <f t="shared" si="9"/>
        <v>0.11955263864567268</v>
      </c>
      <c r="R80" s="2">
        <f t="shared" si="10"/>
        <v>0.83194634926620936</v>
      </c>
      <c r="S80">
        <f t="shared" si="11"/>
        <v>0.34309491833391725</v>
      </c>
      <c r="U80">
        <v>11.277287400130357</v>
      </c>
    </row>
    <row r="81" spans="1:21" ht="13.9" x14ac:dyDescent="0.3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6"/>
        <v>#NUM!</v>
      </c>
      <c r="I81" s="2">
        <f t="shared" si="7"/>
        <v>0.12463868886538043</v>
      </c>
      <c r="J81" s="2">
        <v>0</v>
      </c>
      <c r="K81" s="2">
        <v>0</v>
      </c>
      <c r="L81" s="2">
        <v>0</v>
      </c>
      <c r="M81" s="2">
        <v>1.28</v>
      </c>
      <c r="N81" s="2">
        <v>1.87</v>
      </c>
      <c r="O81" s="2">
        <v>0</v>
      </c>
      <c r="P81" s="2" t="e">
        <f t="shared" si="8"/>
        <v>#NUM!</v>
      </c>
      <c r="Q81" s="2">
        <f t="shared" si="9"/>
        <v>0.12987966620121741</v>
      </c>
      <c r="R81" s="2" t="e">
        <f t="shared" si="10"/>
        <v>#NUM!</v>
      </c>
      <c r="S81" t="e">
        <f t="shared" si="11"/>
        <v>#NUM!</v>
      </c>
      <c r="U81" t="e">
        <v>#NUM!</v>
      </c>
    </row>
    <row r="82" spans="1:21" ht="13.9" x14ac:dyDescent="0.3">
      <c r="A82" s="2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6"/>
        <v>#NUM!</v>
      </c>
      <c r="I82" s="2">
        <f t="shared" si="7"/>
        <v>5.2090272011093029E-2</v>
      </c>
      <c r="J82" s="2">
        <v>5.93</v>
      </c>
      <c r="K82" s="2">
        <v>0</v>
      </c>
      <c r="L82" s="2">
        <v>10.01</v>
      </c>
      <c r="M82" s="2">
        <v>3.16</v>
      </c>
      <c r="N82" s="2">
        <v>3.08</v>
      </c>
      <c r="O82" s="2">
        <v>7.06</v>
      </c>
      <c r="P82" s="2">
        <f t="shared" si="8"/>
        <v>0.26122538360191966</v>
      </c>
      <c r="Q82" s="2">
        <f t="shared" si="9"/>
        <v>0.79626463765140443</v>
      </c>
      <c r="R82" s="2" t="e">
        <f t="shared" si="10"/>
        <v>#NUM!</v>
      </c>
      <c r="S82" t="e">
        <f t="shared" si="11"/>
        <v>#NUM!</v>
      </c>
      <c r="U82">
        <v>3.9945797242157468</v>
      </c>
    </row>
    <row r="83" spans="1:21" ht="13.9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0.13</v>
      </c>
      <c r="O83" s="2">
        <v>0</v>
      </c>
      <c r="P83" s="2" t="e">
        <f t="shared" si="8"/>
        <v>#NUM!</v>
      </c>
      <c r="Q83" s="2">
        <f t="shared" si="9"/>
        <v>0.37390096630005903</v>
      </c>
      <c r="R83" s="2" t="e">
        <f t="shared" si="10"/>
        <v>#NUM!</v>
      </c>
      <c r="S83" t="e">
        <f t="shared" si="11"/>
        <v>#NUM!</v>
      </c>
      <c r="U83" t="e">
        <v>#NUM!</v>
      </c>
    </row>
    <row r="84" spans="1:21" ht="13.9" x14ac:dyDescent="0.3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6"/>
        <v>#NUM!</v>
      </c>
      <c r="I84" s="2">
        <f t="shared" si="7"/>
        <v>0.18970714206208195</v>
      </c>
      <c r="J84" s="2">
        <v>0</v>
      </c>
      <c r="K84" s="2">
        <v>0</v>
      </c>
      <c r="L84" s="2">
        <v>0</v>
      </c>
      <c r="M84" s="2">
        <v>0.39</v>
      </c>
      <c r="N84" s="2">
        <v>2.67</v>
      </c>
      <c r="O84" s="2">
        <v>0.53</v>
      </c>
      <c r="P84" s="2" t="e">
        <f t="shared" si="8"/>
        <v>#NUM!</v>
      </c>
      <c r="Q84" s="2">
        <f t="shared" si="9"/>
        <v>0.18012346467787663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ht="13.9" x14ac:dyDescent="0.3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6"/>
        <v>#NUM!</v>
      </c>
      <c r="I85" s="2">
        <f t="shared" si="7"/>
        <v>5.4653178450128634E-3</v>
      </c>
      <c r="J85" s="2">
        <v>0</v>
      </c>
      <c r="K85" s="2">
        <v>0</v>
      </c>
      <c r="L85" s="2">
        <v>0</v>
      </c>
      <c r="M85" s="2">
        <v>3.46</v>
      </c>
      <c r="N85" s="2">
        <v>4.95</v>
      </c>
      <c r="O85" s="2">
        <v>1.69</v>
      </c>
      <c r="P85" s="2" t="e">
        <f t="shared" si="8"/>
        <v>#NUM!</v>
      </c>
      <c r="Q85" s="2">
        <f t="shared" si="9"/>
        <v>2.3311923204210935E-2</v>
      </c>
      <c r="R85" s="2" t="e">
        <f t="shared" si="10"/>
        <v>#NUM!</v>
      </c>
      <c r="S85" t="e">
        <f t="shared" si="11"/>
        <v>#NUM!</v>
      </c>
      <c r="U85" t="e">
        <v>#NUM!</v>
      </c>
    </row>
    <row r="86" spans="1:21" ht="13.9" x14ac:dyDescent="0.3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6"/>
        <v>#NUM!</v>
      </c>
      <c r="I86" s="2">
        <f t="shared" si="7"/>
        <v>0.19352387452356762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ht="13.9" x14ac:dyDescent="0.3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6"/>
        <v>0.52830728386358727</v>
      </c>
      <c r="I87" s="2">
        <f t="shared" si="7"/>
        <v>0.73027362988775213</v>
      </c>
      <c r="J87" s="2">
        <v>0</v>
      </c>
      <c r="K87" s="2">
        <v>14.15</v>
      </c>
      <c r="L87" s="2">
        <v>0</v>
      </c>
      <c r="M87" s="2">
        <v>2.27</v>
      </c>
      <c r="N87" s="2">
        <v>38.51</v>
      </c>
      <c r="O87" s="2">
        <v>7.38</v>
      </c>
      <c r="P87" s="2">
        <f t="shared" si="8"/>
        <v>-1.7670333390404576</v>
      </c>
      <c r="Q87" s="2">
        <f t="shared" si="9"/>
        <v>0.40773440984894693</v>
      </c>
      <c r="R87" s="2">
        <f t="shared" si="10"/>
        <v>-2.2953406229040447</v>
      </c>
      <c r="S87">
        <f t="shared" si="11"/>
        <v>-3.3447075083233533</v>
      </c>
      <c r="U87">
        <v>3.8227301479445206</v>
      </c>
    </row>
    <row r="88" spans="1:21" ht="13.9" x14ac:dyDescent="0.3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6"/>
        <v>8.4392187290372317E-2</v>
      </c>
      <c r="I88" s="2">
        <f t="shared" si="7"/>
        <v>0.95882946760140619</v>
      </c>
      <c r="J88" s="2">
        <v>5.93</v>
      </c>
      <c r="K88" s="2">
        <v>0</v>
      </c>
      <c r="L88" s="2">
        <v>5.28</v>
      </c>
      <c r="M88" s="2">
        <v>1.0900000000000001</v>
      </c>
      <c r="N88" s="2">
        <v>0.4</v>
      </c>
      <c r="O88" s="2">
        <v>2.21</v>
      </c>
      <c r="P88" s="2">
        <f t="shared" si="8"/>
        <v>1.5991891022891145</v>
      </c>
      <c r="Q88" s="2">
        <f t="shared" si="9"/>
        <v>0.26862654179777762</v>
      </c>
      <c r="R88" s="2">
        <f t="shared" si="10"/>
        <v>1.5147969149987421</v>
      </c>
      <c r="S88">
        <f t="shared" si="11"/>
        <v>18.949492288743585</v>
      </c>
      <c r="U88">
        <v>3.4867143730307024</v>
      </c>
    </row>
    <row r="89" spans="1:21" ht="13.9" x14ac:dyDescent="0.3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6"/>
        <v>3.5379650211839868</v>
      </c>
      <c r="I89" s="2">
        <f t="shared" si="7"/>
        <v>0.41289019857059323</v>
      </c>
      <c r="J89" s="2">
        <v>0</v>
      </c>
      <c r="K89" s="2">
        <v>0</v>
      </c>
      <c r="L89" s="2">
        <v>0</v>
      </c>
      <c r="M89" s="2">
        <v>0.3</v>
      </c>
      <c r="N89" s="2">
        <v>0.27</v>
      </c>
      <c r="O89" s="2">
        <v>0.21</v>
      </c>
      <c r="P89" s="2" t="e">
        <f t="shared" si="8"/>
        <v>#NUM!</v>
      </c>
      <c r="Q89" s="2">
        <f t="shared" si="9"/>
        <v>6.0124634629060594E-4</v>
      </c>
      <c r="R89" s="2" t="e">
        <f t="shared" si="10"/>
        <v>#NUM!</v>
      </c>
      <c r="S89" t="e">
        <f t="shared" si="11"/>
        <v>#NUM!</v>
      </c>
      <c r="U89" t="e">
        <v>#NUM!</v>
      </c>
    </row>
    <row r="90" spans="1:21" ht="13.9" x14ac:dyDescent="0.3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>
        <f t="shared" si="7"/>
        <v>0.37390096630005903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ht="13.9" x14ac:dyDescent="0.3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6"/>
        <v>-0.70339528956525199</v>
      </c>
      <c r="I91" s="2">
        <f t="shared" si="7"/>
        <v>0.3320466660413211</v>
      </c>
      <c r="J91" s="2">
        <v>20.11</v>
      </c>
      <c r="K91" s="2">
        <v>0</v>
      </c>
      <c r="L91" s="2">
        <v>5.64</v>
      </c>
      <c r="M91" s="2">
        <v>8.2899999999999991</v>
      </c>
      <c r="N91" s="2">
        <v>7.35</v>
      </c>
      <c r="O91" s="2">
        <v>4.95</v>
      </c>
      <c r="P91" s="2">
        <f t="shared" si="8"/>
        <v>0.3226286023256888</v>
      </c>
      <c r="Q91" s="2">
        <f t="shared" si="9"/>
        <v>0.790990562420122</v>
      </c>
      <c r="R91" s="2">
        <f t="shared" si="10"/>
        <v>1.0260238918909408</v>
      </c>
      <c r="S91">
        <f t="shared" si="11"/>
        <v>-0.45867324833109996</v>
      </c>
      <c r="U91">
        <v>4.6865005271832185</v>
      </c>
    </row>
    <row r="92" spans="1:21" ht="13.9" x14ac:dyDescent="0.3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6"/>
        <v>#NUM!</v>
      </c>
      <c r="I92" s="2">
        <f t="shared" si="7"/>
        <v>0.37390096630005903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 t="e">
        <f t="shared" si="8"/>
        <v>#DIV/0!</v>
      </c>
      <c r="Q92" s="2" t="e">
        <f t="shared" si="9"/>
        <v>#DIV/0!</v>
      </c>
      <c r="R92" s="2" t="e">
        <f t="shared" si="10"/>
        <v>#DIV/0!</v>
      </c>
      <c r="S92" t="e">
        <f t="shared" si="11"/>
        <v>#DIV/0!</v>
      </c>
      <c r="U92" t="e">
        <v>#NUM!</v>
      </c>
    </row>
    <row r="93" spans="1:21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6"/>
        <v>#DIV/0!</v>
      </c>
      <c r="I93" s="2" t="e">
        <f t="shared" si="7"/>
        <v>#DIV/0!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0.32</v>
      </c>
      <c r="P93" s="2" t="e">
        <f t="shared" si="8"/>
        <v>#NUM!</v>
      </c>
      <c r="Q93" s="2">
        <f t="shared" si="9"/>
        <v>0.37390096630005903</v>
      </c>
      <c r="R93" s="2" t="e">
        <f t="shared" si="10"/>
        <v>#NUM!</v>
      </c>
      <c r="S93" t="e">
        <f t="shared" si="11"/>
        <v>#NUM!</v>
      </c>
      <c r="U93" t="e">
        <v>#NUM!</v>
      </c>
    </row>
    <row r="94" spans="1:21" ht="13.9" x14ac:dyDescent="0.3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6"/>
        <v>2.9439799143437386</v>
      </c>
      <c r="I94" s="2">
        <f t="shared" si="7"/>
        <v>0.43438847193267061</v>
      </c>
      <c r="J94" s="2">
        <v>0</v>
      </c>
      <c r="K94" s="2">
        <v>0</v>
      </c>
      <c r="L94" s="2">
        <v>0</v>
      </c>
      <c r="M94" s="2">
        <v>0</v>
      </c>
      <c r="N94" s="2">
        <v>0.67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ht="13.9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0.32</v>
      </c>
      <c r="P95" s="2" t="e">
        <f t="shared" si="8"/>
        <v>#NUM!</v>
      </c>
      <c r="Q95" s="2">
        <f t="shared" si="9"/>
        <v>0.37390096630005903</v>
      </c>
      <c r="R95" s="2" t="e">
        <f t="shared" si="10"/>
        <v>#NUM!</v>
      </c>
      <c r="S95" t="e">
        <f t="shared" si="11"/>
        <v>#NUM!</v>
      </c>
      <c r="U95" t="e">
        <v>#NUM!</v>
      </c>
    </row>
    <row r="96" spans="1:21" ht="13.9" x14ac:dyDescent="0.3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6"/>
        <v>#NUM!</v>
      </c>
      <c r="I96" s="2">
        <f t="shared" si="7"/>
        <v>0.37390096630005903</v>
      </c>
      <c r="J96" s="2">
        <v>0</v>
      </c>
      <c r="K96" s="2">
        <v>0</v>
      </c>
      <c r="L96" s="2">
        <v>9.65</v>
      </c>
      <c r="M96" s="2">
        <v>1.68</v>
      </c>
      <c r="N96" s="2">
        <v>1.2</v>
      </c>
      <c r="O96" s="2">
        <v>1.26</v>
      </c>
      <c r="P96" s="2">
        <f t="shared" si="8"/>
        <v>1.2208981746561176</v>
      </c>
      <c r="Q96" s="2">
        <f t="shared" si="9"/>
        <v>0.59894626373702375</v>
      </c>
      <c r="R96" s="2" t="e">
        <f t="shared" si="10"/>
        <v>#NUM!</v>
      </c>
      <c r="S96" t="e">
        <f t="shared" si="11"/>
        <v>#NUM!</v>
      </c>
      <c r="U96">
        <v>3.2705289423807185</v>
      </c>
    </row>
    <row r="97" spans="1:21" ht="13.9" x14ac:dyDescent="0.3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6"/>
        <v>-2.5108885538197678</v>
      </c>
      <c r="I97" s="2">
        <f t="shared" si="7"/>
        <v>2.0451651253833244E-2</v>
      </c>
      <c r="J97" s="2">
        <v>17.8</v>
      </c>
      <c r="K97" s="2">
        <v>5.37</v>
      </c>
      <c r="L97" s="2">
        <v>0.18</v>
      </c>
      <c r="M97" s="2">
        <v>22.7</v>
      </c>
      <c r="N97" s="2">
        <v>43.19</v>
      </c>
      <c r="O97" s="2">
        <v>52.9</v>
      </c>
      <c r="P97" s="2">
        <f t="shared" si="8"/>
        <v>-2.3469189370032431</v>
      </c>
      <c r="Q97" s="2">
        <f t="shared" si="9"/>
        <v>3.686474954753842E-2</v>
      </c>
      <c r="R97" s="2">
        <f t="shared" si="10"/>
        <v>0.16396961681652478</v>
      </c>
      <c r="S97">
        <f t="shared" si="11"/>
        <v>0.93469657720686927</v>
      </c>
      <c r="U97">
        <v>4.5453506448222996</v>
      </c>
    </row>
    <row r="98" spans="1:21" ht="13.9" x14ac:dyDescent="0.3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6"/>
        <v>-5.2512895631846475E-2</v>
      </c>
      <c r="I98" s="2">
        <f t="shared" si="7"/>
        <v>0.8914676837373311</v>
      </c>
      <c r="J98" s="2">
        <v>4.28</v>
      </c>
      <c r="K98" s="2">
        <v>23.91</v>
      </c>
      <c r="L98" s="2">
        <v>10.01</v>
      </c>
      <c r="M98" s="2">
        <v>17.87</v>
      </c>
      <c r="N98" s="2">
        <v>19.52</v>
      </c>
      <c r="O98" s="2">
        <v>16.329999999999998</v>
      </c>
      <c r="P98" s="2">
        <f t="shared" si="8"/>
        <v>-0.49188666650433122</v>
      </c>
      <c r="Q98" s="2">
        <f t="shared" si="9"/>
        <v>0.43010425273984998</v>
      </c>
      <c r="R98" s="2">
        <f t="shared" si="10"/>
        <v>-0.43937377087248475</v>
      </c>
      <c r="S98">
        <f t="shared" si="11"/>
        <v>9.3669690194350341</v>
      </c>
      <c r="U98">
        <v>5.2555007331483861</v>
      </c>
    </row>
    <row r="99" spans="1:21" ht="13.9" x14ac:dyDescent="0.3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6"/>
        <v>0.88003937595908743</v>
      </c>
      <c r="I99" s="2">
        <f t="shared" si="7"/>
        <v>0.68126747206795046</v>
      </c>
      <c r="J99" s="2">
        <v>2.97</v>
      </c>
      <c r="K99" s="2">
        <v>0</v>
      </c>
      <c r="L99" s="2">
        <v>0</v>
      </c>
      <c r="M99" s="2">
        <v>0.49</v>
      </c>
      <c r="N99" s="2">
        <v>0.27</v>
      </c>
      <c r="O99" s="2">
        <v>0.11</v>
      </c>
      <c r="P99" s="2">
        <f t="shared" si="8"/>
        <v>1.7713756249520378</v>
      </c>
      <c r="Q99" s="2">
        <f t="shared" si="9"/>
        <v>0.52096564153707081</v>
      </c>
      <c r="R99" s="2">
        <f t="shared" si="10"/>
        <v>0.89133624899295039</v>
      </c>
      <c r="S99">
        <f t="shared" si="11"/>
        <v>2.0128367813332799</v>
      </c>
      <c r="U99">
        <v>1.5704629310260412</v>
      </c>
    </row>
    <row r="100" spans="1:21" ht="13.9" x14ac:dyDescent="0.3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6"/>
        <v>-1.2265462379606678</v>
      </c>
      <c r="I100" s="2">
        <f t="shared" si="7"/>
        <v>5.147334024236689E-3</v>
      </c>
      <c r="J100" s="2">
        <v>22.41</v>
      </c>
      <c r="K100" s="2">
        <v>60.5</v>
      </c>
      <c r="L100" s="2">
        <v>18.39</v>
      </c>
      <c r="M100" s="2">
        <v>63.38</v>
      </c>
      <c r="N100" s="2">
        <v>77.95</v>
      </c>
      <c r="O100" s="2">
        <v>60.49</v>
      </c>
      <c r="P100" s="2">
        <f t="shared" si="8"/>
        <v>-0.99443497588047036</v>
      </c>
      <c r="Q100" s="2">
        <f t="shared" si="9"/>
        <v>8.1444369536377473E-2</v>
      </c>
      <c r="R100" s="2">
        <f t="shared" si="10"/>
        <v>0.23211126208019739</v>
      </c>
      <c r="S100">
        <f t="shared" si="11"/>
        <v>0.81076028371656006</v>
      </c>
      <c r="U100">
        <v>6.6624903639137756</v>
      </c>
    </row>
    <row r="101" spans="1:21" ht="13.9" x14ac:dyDescent="0.3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6"/>
        <v>#NUM!</v>
      </c>
      <c r="I101" s="2">
        <f t="shared" si="7"/>
        <v>3.3510822715860568E-2</v>
      </c>
      <c r="J101" s="2">
        <v>4.9400000000000004</v>
      </c>
      <c r="K101" s="2">
        <v>0</v>
      </c>
      <c r="L101" s="2">
        <v>0</v>
      </c>
      <c r="M101" s="2">
        <v>5.82</v>
      </c>
      <c r="N101" s="2">
        <v>8.56</v>
      </c>
      <c r="O101" s="2">
        <v>10.96</v>
      </c>
      <c r="P101" s="2">
        <f t="shared" si="8"/>
        <v>-2.358833577556132</v>
      </c>
      <c r="Q101" s="2">
        <f t="shared" si="9"/>
        <v>3.7409015438754821E-2</v>
      </c>
      <c r="R101" s="2" t="e">
        <f t="shared" si="10"/>
        <v>#NUM!</v>
      </c>
      <c r="S101" t="e">
        <f t="shared" si="11"/>
        <v>#NUM!</v>
      </c>
      <c r="U101">
        <v>2.304511041809953</v>
      </c>
    </row>
    <row r="102" spans="1:21" ht="13.9" x14ac:dyDescent="0.3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6"/>
        <v>-0.9434164716336324</v>
      </c>
      <c r="I102" s="2">
        <f t="shared" si="7"/>
        <v>0.69212198733773511</v>
      </c>
      <c r="J102" s="2">
        <v>0</v>
      </c>
      <c r="K102" s="2">
        <v>0</v>
      </c>
      <c r="L102" s="2">
        <v>0</v>
      </c>
      <c r="M102" s="2">
        <v>0.2</v>
      </c>
      <c r="N102" s="2">
        <v>0</v>
      </c>
      <c r="O102" s="2">
        <v>0</v>
      </c>
      <c r="P102" s="2" t="e">
        <f t="shared" si="8"/>
        <v>#NUM!</v>
      </c>
      <c r="Q102" s="2">
        <f t="shared" si="9"/>
        <v>0.37390096630005903</v>
      </c>
      <c r="R102" s="2" t="e">
        <f t="shared" si="10"/>
        <v>#NUM!</v>
      </c>
      <c r="S102" t="e">
        <f t="shared" si="11"/>
        <v>#NUM!</v>
      </c>
      <c r="U102" t="e">
        <v>#NUM!</v>
      </c>
    </row>
    <row r="103" spans="1:21" ht="13.9" x14ac:dyDescent="0.3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6"/>
        <v>4.3103401206121505</v>
      </c>
      <c r="I103" s="2">
        <f t="shared" si="7"/>
        <v>0.14332590388260497</v>
      </c>
      <c r="J103" s="2">
        <v>0</v>
      </c>
      <c r="K103" s="2">
        <v>0.73</v>
      </c>
      <c r="L103" s="2">
        <v>0</v>
      </c>
      <c r="M103" s="2">
        <v>0</v>
      </c>
      <c r="N103" s="2">
        <v>0.13</v>
      </c>
      <c r="O103" s="2">
        <v>0.32</v>
      </c>
      <c r="P103" s="2">
        <f t="shared" si="8"/>
        <v>0.69797146255034259</v>
      </c>
      <c r="Q103" s="2">
        <f t="shared" si="9"/>
        <v>0.73820929102446553</v>
      </c>
      <c r="R103" s="2">
        <f t="shared" si="10"/>
        <v>-3.6123686580618077</v>
      </c>
      <c r="S103">
        <f t="shared" si="11"/>
        <v>0.16192955614166646</v>
      </c>
      <c r="U103">
        <v>-0.45403163089470749</v>
      </c>
    </row>
    <row r="104" spans="1:21" ht="13.9" x14ac:dyDescent="0.3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6"/>
        <v>#NUM!</v>
      </c>
      <c r="I104" s="2">
        <f t="shared" si="7"/>
        <v>0.11887140555991681</v>
      </c>
      <c r="J104" s="2">
        <v>4.28</v>
      </c>
      <c r="K104" s="2">
        <v>0</v>
      </c>
      <c r="L104" s="2">
        <v>0</v>
      </c>
      <c r="M104" s="2">
        <v>0</v>
      </c>
      <c r="N104" s="2">
        <v>0.4</v>
      </c>
      <c r="O104" s="2">
        <v>0.53</v>
      </c>
      <c r="P104" s="2">
        <f t="shared" si="8"/>
        <v>2.202308175293116</v>
      </c>
      <c r="Q104" s="2">
        <f t="shared" si="9"/>
        <v>0.48009118448291138</v>
      </c>
      <c r="R104" s="2" t="e">
        <f t="shared" si="10"/>
        <v>#NUM!</v>
      </c>
      <c r="S104" t="e">
        <f t="shared" si="11"/>
        <v>#NUM!</v>
      </c>
      <c r="U104">
        <v>2.0976107966264221</v>
      </c>
    </row>
    <row r="105" spans="1:21" ht="13.9" x14ac:dyDescent="0.3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6"/>
        <v>2.5168227504807475E-2</v>
      </c>
      <c r="I105" s="2">
        <f t="shared" si="7"/>
        <v>0.9870781361227372</v>
      </c>
      <c r="J105" s="2">
        <v>5.93</v>
      </c>
      <c r="K105" s="2">
        <v>9.27</v>
      </c>
      <c r="L105" s="2">
        <v>1.46</v>
      </c>
      <c r="M105" s="2">
        <v>1.78</v>
      </c>
      <c r="N105" s="2">
        <v>2.54</v>
      </c>
      <c r="O105" s="2">
        <v>1.58</v>
      </c>
      <c r="P105" s="2">
        <f t="shared" si="8"/>
        <v>1.4976015411163437</v>
      </c>
      <c r="Q105" s="2">
        <f t="shared" si="9"/>
        <v>0.19099388192462532</v>
      </c>
      <c r="R105" s="2">
        <f t="shared" si="10"/>
        <v>1.4724333136115362</v>
      </c>
      <c r="S105">
        <f t="shared" si="11"/>
        <v>59.503655584418148</v>
      </c>
      <c r="U105">
        <v>4.0583164955908231</v>
      </c>
    </row>
    <row r="106" spans="1:21" ht="13.9" x14ac:dyDescent="0.3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6"/>
        <v>3.0848888975865134</v>
      </c>
      <c r="I106" s="2">
        <f t="shared" si="7"/>
        <v>0.42827117855830987</v>
      </c>
      <c r="J106" s="2">
        <v>0</v>
      </c>
      <c r="K106" s="2">
        <v>5.61</v>
      </c>
      <c r="L106" s="2">
        <v>3.64</v>
      </c>
      <c r="M106" s="2">
        <v>0.39</v>
      </c>
      <c r="N106" s="2">
        <v>1.07</v>
      </c>
      <c r="O106" s="2">
        <v>0.63</v>
      </c>
      <c r="P106" s="2">
        <f t="shared" si="8"/>
        <v>2.145950423322792</v>
      </c>
      <c r="Q106" s="2">
        <f t="shared" si="9"/>
        <v>0.22278789422708453</v>
      </c>
      <c r="R106" s="2">
        <f t="shared" si="10"/>
        <v>-0.93893847426372146</v>
      </c>
      <c r="S106">
        <f t="shared" si="11"/>
        <v>0.69563296914896766</v>
      </c>
      <c r="U106">
        <v>3.2094533656289501</v>
      </c>
    </row>
    <row r="107" spans="1:21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6"/>
        <v>#DIV/0!</v>
      </c>
      <c r="I107" s="2" t="e">
        <f t="shared" si="7"/>
        <v>#DIV/0!</v>
      </c>
      <c r="J107" s="2">
        <v>0</v>
      </c>
      <c r="K107" s="2">
        <v>0</v>
      </c>
      <c r="L107" s="2">
        <v>0</v>
      </c>
      <c r="M107" s="2">
        <v>0</v>
      </c>
      <c r="N107" s="2">
        <v>0.67</v>
      </c>
      <c r="O107" s="2">
        <v>0</v>
      </c>
      <c r="P107" s="2" t="e">
        <f t="shared" si="8"/>
        <v>#NUM!</v>
      </c>
      <c r="Q107" s="2">
        <f t="shared" si="9"/>
        <v>0.37390096630005903</v>
      </c>
      <c r="R107" s="2" t="e">
        <f t="shared" si="10"/>
        <v>#NUM!</v>
      </c>
      <c r="S107" t="e">
        <f t="shared" si="11"/>
        <v>#NUM!</v>
      </c>
      <c r="U107" t="e">
        <v>#NUM!</v>
      </c>
    </row>
    <row r="108" spans="1:21" ht="13.9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1.18</v>
      </c>
      <c r="N108" s="2">
        <v>0</v>
      </c>
      <c r="O108" s="2">
        <v>0</v>
      </c>
      <c r="P108" s="2" t="e">
        <f t="shared" si="8"/>
        <v>#NUM!</v>
      </c>
      <c r="Q108" s="2">
        <f t="shared" si="9"/>
        <v>0.37390096630005903</v>
      </c>
      <c r="R108" s="2" t="e">
        <f t="shared" si="10"/>
        <v>#NUM!</v>
      </c>
      <c r="S108" t="e">
        <f t="shared" si="11"/>
        <v>#NUM!</v>
      </c>
      <c r="U108" t="e">
        <v>#NUM!</v>
      </c>
    </row>
    <row r="109" spans="1:21" ht="13.9" x14ac:dyDescent="0.3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6"/>
        <v>#NUM!</v>
      </c>
      <c r="I109" s="2">
        <f t="shared" si="7"/>
        <v>2.7297772245895077E-3</v>
      </c>
      <c r="J109" s="2">
        <v>0</v>
      </c>
      <c r="K109" s="2">
        <v>0</v>
      </c>
      <c r="L109" s="2">
        <v>4.01</v>
      </c>
      <c r="M109" s="2">
        <v>4.54</v>
      </c>
      <c r="N109" s="2">
        <v>5.21</v>
      </c>
      <c r="O109" s="2">
        <v>4.22</v>
      </c>
      <c r="P109" s="2">
        <f t="shared" si="8"/>
        <v>-1.8006578789545427</v>
      </c>
      <c r="Q109" s="2">
        <f t="shared" si="9"/>
        <v>7.2239117902632127E-2</v>
      </c>
      <c r="R109" s="2" t="e">
        <f t="shared" si="10"/>
        <v>#NUM!</v>
      </c>
      <c r="S109" t="e">
        <f t="shared" si="11"/>
        <v>#NUM!</v>
      </c>
      <c r="U109">
        <v>2.0036022366801958</v>
      </c>
    </row>
    <row r="110" spans="1:21" ht="13.9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6"/>
        <v>#NUM!</v>
      </c>
      <c r="I110" s="2">
        <f t="shared" si="7"/>
        <v>0.37390096630005903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 t="e">
        <f t="shared" si="8"/>
        <v>#DIV/0!</v>
      </c>
      <c r="Q110" s="2" t="e">
        <f t="shared" si="9"/>
        <v>#DIV/0!</v>
      </c>
      <c r="R110" s="2" t="e">
        <f t="shared" si="10"/>
        <v>#DIV/0!</v>
      </c>
      <c r="S110" t="e">
        <f t="shared" si="11"/>
        <v>#DIV/0!</v>
      </c>
      <c r="U110" t="e">
        <v>#NUM!</v>
      </c>
    </row>
    <row r="111" spans="1:21" ht="13.9" x14ac:dyDescent="0.3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6"/>
        <v>-0.35910455996456997</v>
      </c>
      <c r="I111" s="2">
        <f t="shared" si="7"/>
        <v>0.79375037467825227</v>
      </c>
      <c r="J111" s="2">
        <v>0</v>
      </c>
      <c r="K111" s="2">
        <v>14.39</v>
      </c>
      <c r="L111" s="2">
        <v>0</v>
      </c>
      <c r="M111" s="2">
        <v>8.8800000000000008</v>
      </c>
      <c r="N111" s="2">
        <v>7.35</v>
      </c>
      <c r="O111" s="2">
        <v>4</v>
      </c>
      <c r="P111" s="2">
        <f t="shared" si="8"/>
        <v>-0.49142972781798494</v>
      </c>
      <c r="Q111" s="2">
        <f t="shared" si="9"/>
        <v>0.71731744067543968</v>
      </c>
      <c r="R111" s="2">
        <f t="shared" si="10"/>
        <v>-0.13232516785341497</v>
      </c>
      <c r="S111">
        <f t="shared" si="11"/>
        <v>1.3684864593935273</v>
      </c>
      <c r="U111">
        <v>3.8469946869655733</v>
      </c>
    </row>
    <row r="112" spans="1:21" ht="13.9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6"/>
        <v>#NUM!</v>
      </c>
      <c r="I112" s="2">
        <f t="shared" si="7"/>
        <v>8.9859020115631034E-3</v>
      </c>
      <c r="J112" s="2">
        <v>0</v>
      </c>
      <c r="K112" s="2">
        <v>0</v>
      </c>
      <c r="L112" s="2">
        <v>0</v>
      </c>
      <c r="M112" s="2">
        <v>0.39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ht="13.9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6"/>
        <v>#NUM!</v>
      </c>
      <c r="I113" s="2">
        <f t="shared" si="7"/>
        <v>0.37390096630005903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ht="13.9" x14ac:dyDescent="0.3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6"/>
        <v>#NUM!</v>
      </c>
      <c r="I114" s="2">
        <f t="shared" si="7"/>
        <v>0.24377266948579343</v>
      </c>
      <c r="J114" s="2">
        <v>0.66</v>
      </c>
      <c r="K114" s="2">
        <v>0</v>
      </c>
      <c r="L114" s="2">
        <v>0</v>
      </c>
      <c r="M114" s="2">
        <v>0.1</v>
      </c>
      <c r="N114" s="2">
        <v>0</v>
      </c>
      <c r="O114" s="2">
        <v>0</v>
      </c>
      <c r="P114" s="2">
        <f t="shared" si="8"/>
        <v>2.7224660244710912</v>
      </c>
      <c r="Q114" s="2">
        <f t="shared" si="9"/>
        <v>0.4487286656139175</v>
      </c>
      <c r="R114" s="2" t="e">
        <f t="shared" si="10"/>
        <v>#NUM!</v>
      </c>
      <c r="S114" t="e">
        <f t="shared" si="11"/>
        <v>#NUM!</v>
      </c>
      <c r="U114">
        <v>-0.5994620704162712</v>
      </c>
    </row>
    <row r="115" spans="1:21" ht="13.9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6"/>
        <v>#NUM!</v>
      </c>
      <c r="I115" s="2">
        <f t="shared" si="7"/>
        <v>0.1285044971232609</v>
      </c>
      <c r="J115" s="2">
        <v>0</v>
      </c>
      <c r="K115" s="2">
        <v>0</v>
      </c>
      <c r="L115" s="2">
        <v>0</v>
      </c>
      <c r="M115" s="2">
        <v>0.3</v>
      </c>
      <c r="N115" s="2">
        <v>0.13</v>
      </c>
      <c r="O115" s="2">
        <v>0</v>
      </c>
      <c r="P115" s="2" t="e">
        <f t="shared" si="8"/>
        <v>#NUM!</v>
      </c>
      <c r="Q115" s="2">
        <f t="shared" si="9"/>
        <v>0.17424917661275183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ht="13.9" x14ac:dyDescent="0.3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6"/>
        <v>1.1819045791589118</v>
      </c>
      <c r="I116" s="2">
        <f t="shared" si="7"/>
        <v>0.24563451436141778</v>
      </c>
      <c r="J116" s="2">
        <v>9.56</v>
      </c>
      <c r="K116" s="2">
        <v>18.54</v>
      </c>
      <c r="L116" s="2">
        <v>32.770000000000003</v>
      </c>
      <c r="M116" s="2">
        <v>4.9400000000000004</v>
      </c>
      <c r="N116" s="2">
        <v>7.22</v>
      </c>
      <c r="O116" s="2">
        <v>4</v>
      </c>
      <c r="P116" s="2">
        <f t="shared" si="8"/>
        <v>1.9133041677260203</v>
      </c>
      <c r="Q116" s="2">
        <f t="shared" si="9"/>
        <v>9.4337614919119947E-2</v>
      </c>
      <c r="R116" s="2">
        <f t="shared" si="10"/>
        <v>0.73139958856710852</v>
      </c>
      <c r="S116">
        <f t="shared" si="11"/>
        <v>1.6188313350030341</v>
      </c>
      <c r="U116">
        <v>5.9276594607030901</v>
      </c>
    </row>
    <row r="117" spans="1:21" ht="13.9" x14ac:dyDescent="0.3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6"/>
        <v>-2.2219960220920556</v>
      </c>
      <c r="I117" s="2">
        <f t="shared" si="7"/>
        <v>7.175439487582444E-2</v>
      </c>
      <c r="J117" s="2">
        <v>0.33</v>
      </c>
      <c r="K117" s="2">
        <v>25.37</v>
      </c>
      <c r="L117" s="2">
        <v>0.18</v>
      </c>
      <c r="M117" s="2">
        <v>4.84</v>
      </c>
      <c r="N117" s="2">
        <v>7.22</v>
      </c>
      <c r="O117" s="2">
        <v>6.11</v>
      </c>
      <c r="P117" s="2">
        <f t="shared" si="8"/>
        <v>0.51027919775839192</v>
      </c>
      <c r="Q117" s="2">
        <f t="shared" si="9"/>
        <v>0.77490244281197251</v>
      </c>
      <c r="R117" s="2">
        <f t="shared" si="10"/>
        <v>2.7322752198504476</v>
      </c>
      <c r="S117">
        <f t="shared" si="11"/>
        <v>-0.22964901497796267</v>
      </c>
      <c r="U117">
        <v>4.6937657122177834</v>
      </c>
    </row>
    <row r="118" spans="1:21" ht="13.9" x14ac:dyDescent="0.3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6"/>
        <v>-0.94051406311352614</v>
      </c>
      <c r="I118" s="2">
        <f t="shared" si="7"/>
        <v>0.14079603952936393</v>
      </c>
      <c r="J118" s="2">
        <v>115.36</v>
      </c>
      <c r="K118" s="2">
        <v>23.66</v>
      </c>
      <c r="L118" s="2">
        <v>60.26</v>
      </c>
      <c r="M118" s="2">
        <v>119.45</v>
      </c>
      <c r="N118" s="2">
        <v>71.930000000000007</v>
      </c>
      <c r="O118" s="2">
        <v>72.510000000000005</v>
      </c>
      <c r="P118" s="2">
        <f t="shared" si="8"/>
        <v>-0.4051397546898951</v>
      </c>
      <c r="Q118" s="2">
        <f t="shared" si="9"/>
        <v>0.52487972098099622</v>
      </c>
      <c r="R118" s="2">
        <f t="shared" si="10"/>
        <v>0.5353743084236311</v>
      </c>
      <c r="S118">
        <f t="shared" si="11"/>
        <v>0.43076416459813438</v>
      </c>
      <c r="U118">
        <v>7.6386531164661129</v>
      </c>
    </row>
    <row r="119" spans="1:21" ht="13.9" x14ac:dyDescent="0.3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6"/>
        <v>-0.20209365145078143</v>
      </c>
      <c r="I119" s="2">
        <f t="shared" si="7"/>
        <v>0.58858870899221127</v>
      </c>
      <c r="J119" s="2">
        <v>1715.97</v>
      </c>
      <c r="K119" s="2">
        <v>2416.6799999999998</v>
      </c>
      <c r="L119" s="2">
        <v>1338.72</v>
      </c>
      <c r="M119" s="2">
        <v>1555.36</v>
      </c>
      <c r="N119" s="2">
        <v>2087.56</v>
      </c>
      <c r="O119" s="2">
        <v>1738.97</v>
      </c>
      <c r="P119" s="2">
        <f t="shared" si="8"/>
        <v>2.3789216747136712E-2</v>
      </c>
      <c r="Q119" s="2">
        <f t="shared" si="9"/>
        <v>0.93659336366558221</v>
      </c>
      <c r="R119" s="2">
        <f t="shared" si="10"/>
        <v>0.22588286819791814</v>
      </c>
      <c r="S119">
        <f t="shared" si="11"/>
        <v>-0.11771382513186179</v>
      </c>
      <c r="U119">
        <v>12.417686405565505</v>
      </c>
    </row>
    <row r="120" spans="1:21" ht="13.9" x14ac:dyDescent="0.3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6"/>
        <v>-1.5261359934432355</v>
      </c>
      <c r="I120" s="2">
        <f t="shared" si="7"/>
        <v>9.9261163162389712E-3</v>
      </c>
      <c r="J120" s="2">
        <v>48.45</v>
      </c>
      <c r="K120" s="2">
        <v>35.619999999999997</v>
      </c>
      <c r="L120" s="2">
        <v>41.33</v>
      </c>
      <c r="M120" s="2">
        <v>44.62</v>
      </c>
      <c r="N120" s="2">
        <v>42.65</v>
      </c>
      <c r="O120" s="2">
        <v>47</v>
      </c>
      <c r="P120" s="2">
        <f t="shared" si="8"/>
        <v>-9.8599650698407051E-2</v>
      </c>
      <c r="Q120" s="2">
        <f t="shared" si="9"/>
        <v>0.49250711019916571</v>
      </c>
      <c r="R120" s="2">
        <f t="shared" si="10"/>
        <v>1.4275363427448284</v>
      </c>
      <c r="S120">
        <f t="shared" si="11"/>
        <v>6.4607381728772825E-2</v>
      </c>
      <c r="U120">
        <v>6.9703935379146769</v>
      </c>
    </row>
    <row r="121" spans="1:21" ht="13.9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6"/>
        <v>#NUM!</v>
      </c>
      <c r="I121" s="2">
        <f t="shared" si="7"/>
        <v>4.4083624419355822E-6</v>
      </c>
      <c r="J121" s="2">
        <v>0</v>
      </c>
      <c r="K121" s="2">
        <v>0</v>
      </c>
      <c r="L121" s="2">
        <v>0</v>
      </c>
      <c r="M121" s="2">
        <v>1.97</v>
      </c>
      <c r="N121" s="2">
        <v>0.4</v>
      </c>
      <c r="O121" s="2">
        <v>1.1599999999999999</v>
      </c>
      <c r="P121" s="2" t="e">
        <f t="shared" si="8"/>
        <v>#NUM!</v>
      </c>
      <c r="Q121" s="2">
        <f t="shared" si="9"/>
        <v>6.0314302998405456E-2</v>
      </c>
      <c r="R121" s="2" t="e">
        <f t="shared" si="10"/>
        <v>#NUM!</v>
      </c>
      <c r="S121" t="e">
        <f t="shared" si="11"/>
        <v>#NUM!</v>
      </c>
      <c r="U121" t="e">
        <v>#NUM!</v>
      </c>
    </row>
    <row r="122" spans="1:21" ht="13.9" x14ac:dyDescent="0.3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6"/>
        <v>0.2565388335426384</v>
      </c>
      <c r="I122" s="2">
        <f t="shared" si="7"/>
        <v>0.27487963231398543</v>
      </c>
      <c r="J122" s="2">
        <v>1013.56</v>
      </c>
      <c r="K122" s="2">
        <v>413.51</v>
      </c>
      <c r="L122" s="2">
        <v>908.5</v>
      </c>
      <c r="M122" s="2">
        <v>496.64</v>
      </c>
      <c r="N122" s="2">
        <v>315.27999999999997</v>
      </c>
      <c r="O122" s="2">
        <v>448.52</v>
      </c>
      <c r="P122" s="2">
        <f t="shared" si="8"/>
        <v>0.88984724114012403</v>
      </c>
      <c r="Q122" s="2">
        <f t="shared" si="9"/>
        <v>0.13658555889718541</v>
      </c>
      <c r="R122" s="2">
        <f t="shared" si="10"/>
        <v>0.63330840759748563</v>
      </c>
      <c r="S122">
        <f t="shared" si="11"/>
        <v>3.4686648756131717</v>
      </c>
      <c r="U122">
        <v>11.189558969851346</v>
      </c>
    </row>
    <row r="123" spans="1:21" ht="13.9" x14ac:dyDescent="0.3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6"/>
        <v>-0.51233693822634441</v>
      </c>
      <c r="I123" s="2">
        <f t="shared" si="7"/>
        <v>0.22851693231553916</v>
      </c>
      <c r="J123" s="2">
        <v>453.55</v>
      </c>
      <c r="K123" s="2">
        <v>400.58</v>
      </c>
      <c r="L123" s="2">
        <v>260.17</v>
      </c>
      <c r="M123" s="2">
        <v>394.86</v>
      </c>
      <c r="N123" s="2">
        <v>228.1</v>
      </c>
      <c r="O123" s="2">
        <v>332.81</v>
      </c>
      <c r="P123" s="2">
        <f t="shared" si="8"/>
        <v>0.22140230823285223</v>
      </c>
      <c r="Q123" s="2">
        <f t="shared" si="9"/>
        <v>0.52242592803486354</v>
      </c>
      <c r="R123" s="2">
        <f t="shared" si="10"/>
        <v>0.73373924645919664</v>
      </c>
      <c r="S123">
        <f t="shared" si="11"/>
        <v>-0.43214199819228982</v>
      </c>
      <c r="U123">
        <v>10.121921982551074</v>
      </c>
    </row>
    <row r="124" spans="1:21" ht="13.9" x14ac:dyDescent="0.3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6"/>
        <v>-0.88202594138968982</v>
      </c>
      <c r="I124" s="2">
        <f t="shared" si="7"/>
        <v>2.7092978298347671E-3</v>
      </c>
      <c r="J124" s="2">
        <v>27666.15</v>
      </c>
      <c r="K124" s="2">
        <v>31697.439999999999</v>
      </c>
      <c r="L124" s="2">
        <v>27150.62</v>
      </c>
      <c r="M124" s="2">
        <v>34934.629999999997</v>
      </c>
      <c r="N124" s="2">
        <v>36247.47</v>
      </c>
      <c r="O124" s="2">
        <v>34512.76</v>
      </c>
      <c r="P124" s="2">
        <f t="shared" si="8"/>
        <v>-0.28889619869278099</v>
      </c>
      <c r="Q124" s="2">
        <f t="shared" si="9"/>
        <v>1.3912486084154321E-2</v>
      </c>
      <c r="R124" s="2">
        <f t="shared" si="10"/>
        <v>0.59312974269690888</v>
      </c>
      <c r="S124">
        <f t="shared" si="11"/>
        <v>0.32753707701341078</v>
      </c>
      <c r="U124">
        <v>16.400649495105913</v>
      </c>
    </row>
    <row r="125" spans="1:21" ht="13.9" x14ac:dyDescent="0.3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6"/>
        <v>2.3534050473579899</v>
      </c>
      <c r="I125" s="2">
        <f t="shared" si="7"/>
        <v>8.0088845136886619E-3</v>
      </c>
      <c r="J125" s="2">
        <v>32.299999999999997</v>
      </c>
      <c r="K125" s="2">
        <v>0.24</v>
      </c>
      <c r="L125" s="2">
        <v>15.66</v>
      </c>
      <c r="M125" s="2">
        <v>10.96</v>
      </c>
      <c r="N125" s="2">
        <v>0.53</v>
      </c>
      <c r="O125" s="2">
        <v>5.69</v>
      </c>
      <c r="P125" s="2">
        <f t="shared" si="8"/>
        <v>1.4883031099788604</v>
      </c>
      <c r="Q125" s="2">
        <f t="shared" si="9"/>
        <v>0.34802006366188409</v>
      </c>
      <c r="R125" s="2">
        <f t="shared" si="10"/>
        <v>-0.86510193737912955</v>
      </c>
      <c r="S125">
        <f t="shared" si="11"/>
        <v>0.63240414634517694</v>
      </c>
      <c r="U125">
        <v>5.5909612413425993</v>
      </c>
    </row>
    <row r="126" spans="1:21" ht="13.9" x14ac:dyDescent="0.3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6"/>
        <v>1</v>
      </c>
      <c r="I126" s="2">
        <f t="shared" si="7"/>
        <v>0.67786882869924914</v>
      </c>
      <c r="J126" s="2">
        <v>0.33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 t="e">
        <f t="shared" si="8"/>
        <v>#DIV/0!</v>
      </c>
      <c r="Q126" s="2">
        <f t="shared" si="9"/>
        <v>0.37390096630005903</v>
      </c>
      <c r="R126" s="2" t="e">
        <f t="shared" si="10"/>
        <v>#DIV/0!</v>
      </c>
      <c r="S126" t="e">
        <f t="shared" si="11"/>
        <v>#DIV/0!</v>
      </c>
      <c r="U126">
        <v>-1.5994620704162712</v>
      </c>
    </row>
    <row r="127" spans="1:21" ht="13.9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6"/>
        <v>#NUM!</v>
      </c>
      <c r="I127" s="2">
        <f t="shared" si="7"/>
        <v>8.3047867091354907E-2</v>
      </c>
      <c r="J127" s="2">
        <v>0</v>
      </c>
      <c r="K127" s="2">
        <v>0</v>
      </c>
      <c r="L127" s="2">
        <v>0</v>
      </c>
      <c r="M127" s="2">
        <v>0.89</v>
      </c>
      <c r="N127" s="2">
        <v>0.4</v>
      </c>
      <c r="O127" s="2">
        <v>0.84</v>
      </c>
      <c r="P127" s="2" t="e">
        <f t="shared" si="8"/>
        <v>#NUM!</v>
      </c>
      <c r="Q127" s="2">
        <f t="shared" si="9"/>
        <v>1.0331685170671123E-2</v>
      </c>
      <c r="R127" s="2" t="e">
        <f t="shared" si="10"/>
        <v>#NUM!</v>
      </c>
      <c r="S127" t="e">
        <f t="shared" si="11"/>
        <v>#NUM!</v>
      </c>
      <c r="U127" t="e">
        <v>#NUM!</v>
      </c>
    </row>
    <row r="128" spans="1:21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 t="e">
        <f t="shared" si="8"/>
        <v>#DIV/0!</v>
      </c>
      <c r="Q128" s="2" t="e">
        <f t="shared" si="9"/>
        <v>#DIV/0!</v>
      </c>
      <c r="R128" s="2" t="e">
        <f t="shared" si="10"/>
        <v>#DIV/0!</v>
      </c>
      <c r="S128" t="e">
        <f t="shared" si="11"/>
        <v>#DIV/0!</v>
      </c>
      <c r="U128" t="e">
        <v>#NUM!</v>
      </c>
    </row>
    <row r="129" spans="1:21" ht="13.9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6"/>
        <v>#NUM!</v>
      </c>
      <c r="I129" s="2">
        <f t="shared" si="7"/>
        <v>0.37390096630005903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ht="13.9" x14ac:dyDescent="0.3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12">LOG(SUM(B130:D130)/SUM(E130:G130),2)</f>
        <v>-1.7820461772118583</v>
      </c>
      <c r="I130" s="2">
        <f t="shared" ref="I130:I193" si="13">_xlfn.T.TEST(B130:D130,E130:G130,2,2)</f>
        <v>1.3893500876329605E-3</v>
      </c>
      <c r="J130" s="2">
        <v>441.35</v>
      </c>
      <c r="K130" s="2">
        <v>338.37</v>
      </c>
      <c r="L130" s="2">
        <v>330.63</v>
      </c>
      <c r="M130" s="2">
        <v>802.65</v>
      </c>
      <c r="N130" s="2">
        <v>854.92</v>
      </c>
      <c r="O130" s="2">
        <v>953.95</v>
      </c>
      <c r="P130" s="2">
        <f t="shared" ref="P130:P193" si="14">LOG(SUM(J130:L130)/SUM(M130:O130),2)</f>
        <v>-1.2338752437392979</v>
      </c>
      <c r="Q130" s="2">
        <f t="shared" ref="Q130:Q193" si="15">_xlfn.T.TEST(J130:L130,M130:O130,2,2)</f>
        <v>9.2455658782666429E-4</v>
      </c>
      <c r="R130" s="2">
        <f t="shared" si="10"/>
        <v>0.54817093347256041</v>
      </c>
      <c r="S130">
        <f t="shared" si="11"/>
        <v>0.69239240796205748</v>
      </c>
      <c r="U130">
        <v>10.116798793375189</v>
      </c>
    </row>
    <row r="131" spans="1:21" ht="13.9" x14ac:dyDescent="0.3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12"/>
        <v>-0.54791866919420329</v>
      </c>
      <c r="I131" s="2">
        <f t="shared" si="13"/>
        <v>0.692115385912494</v>
      </c>
      <c r="J131" s="2">
        <v>0</v>
      </c>
      <c r="K131" s="2">
        <v>0</v>
      </c>
      <c r="L131" s="2">
        <v>0</v>
      </c>
      <c r="M131" s="2">
        <v>2.4700000000000002</v>
      </c>
      <c r="N131" s="2">
        <v>3.08</v>
      </c>
      <c r="O131" s="2">
        <v>2.74</v>
      </c>
      <c r="P131" s="2" t="e">
        <f t="shared" si="14"/>
        <v>#NUM!</v>
      </c>
      <c r="Q131" s="2">
        <f t="shared" si="15"/>
        <v>9.7154255579387554E-5</v>
      </c>
      <c r="R131" s="2" t="e">
        <f t="shared" ref="R131:R194" si="16">P131-H131</f>
        <v>#NUM!</v>
      </c>
      <c r="S131" t="e">
        <f t="shared" si="11"/>
        <v>#NUM!</v>
      </c>
      <c r="U131" t="e">
        <v>#NUM!</v>
      </c>
    </row>
    <row r="132" spans="1:21" ht="13.9" x14ac:dyDescent="0.3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12"/>
        <v>-1.7319881511362623</v>
      </c>
      <c r="I132" s="2">
        <f t="shared" si="13"/>
        <v>1.5244871151542553E-4</v>
      </c>
      <c r="J132" s="2">
        <v>4844.34</v>
      </c>
      <c r="K132" s="2">
        <v>7090.74</v>
      </c>
      <c r="L132" s="2">
        <v>5312.47</v>
      </c>
      <c r="M132" s="2">
        <v>12831.5</v>
      </c>
      <c r="N132" s="2">
        <v>13324.27</v>
      </c>
      <c r="O132" s="2">
        <v>14612.51</v>
      </c>
      <c r="P132" s="2">
        <f t="shared" si="14"/>
        <v>-1.2410556484674258</v>
      </c>
      <c r="Q132" s="2">
        <f t="shared" si="15"/>
        <v>8.2519973992611299E-4</v>
      </c>
      <c r="R132" s="2">
        <f t="shared" si="16"/>
        <v>0.49093250266883648</v>
      </c>
      <c r="S132">
        <f t="shared" ref="S132:S195" si="17">P132/H132</f>
        <v>0.71654973369952757</v>
      </c>
      <c r="U132">
        <v>14.074103822374633</v>
      </c>
    </row>
    <row r="133" spans="1:21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12"/>
        <v>#DIV/0!</v>
      </c>
      <c r="I133" s="2" t="e">
        <f t="shared" si="13"/>
        <v>#DIV/0!</v>
      </c>
      <c r="J133" s="2">
        <v>0</v>
      </c>
      <c r="K133" s="2">
        <v>0</v>
      </c>
      <c r="L133" s="2">
        <v>0</v>
      </c>
      <c r="M133" s="2">
        <v>0</v>
      </c>
      <c r="N133" s="2">
        <v>0.53</v>
      </c>
      <c r="O133" s="2">
        <v>0</v>
      </c>
      <c r="P133" s="2" t="e">
        <f t="shared" si="14"/>
        <v>#NUM!</v>
      </c>
      <c r="Q133" s="2">
        <f t="shared" si="15"/>
        <v>0.37390096630005903</v>
      </c>
      <c r="R133" s="2" t="e">
        <f t="shared" si="16"/>
        <v>#NUM!</v>
      </c>
      <c r="S133" t="e">
        <f t="shared" si="17"/>
        <v>#NUM!</v>
      </c>
      <c r="U133" t="e">
        <v>#NUM!</v>
      </c>
    </row>
    <row r="134" spans="1:21" ht="13.9" x14ac:dyDescent="0.3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12"/>
        <v>-1.9039215141877794</v>
      </c>
      <c r="I134" s="2">
        <f t="shared" si="13"/>
        <v>1.0588411540386963E-3</v>
      </c>
      <c r="J134" s="2">
        <v>164978.38</v>
      </c>
      <c r="K134" s="2">
        <v>283447.26</v>
      </c>
      <c r="L134" s="2">
        <v>190839.22</v>
      </c>
      <c r="M134" s="2">
        <v>485250.17</v>
      </c>
      <c r="N134" s="2">
        <v>498712.81</v>
      </c>
      <c r="O134" s="2">
        <v>474124.89</v>
      </c>
      <c r="P134" s="2">
        <f t="shared" si="14"/>
        <v>-1.189591967587156</v>
      </c>
      <c r="Q134" s="2">
        <f t="shared" si="15"/>
        <v>1.7381233865640081E-3</v>
      </c>
      <c r="R134" s="2">
        <f t="shared" si="16"/>
        <v>0.71432954660062342</v>
      </c>
      <c r="S134">
        <f t="shared" si="17"/>
        <v>0.62481145295248197</v>
      </c>
      <c r="U134">
        <v>19.286054266390451</v>
      </c>
    </row>
    <row r="135" spans="1:21" ht="13.9" x14ac:dyDescent="0.3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12"/>
        <v>1.4884996612198649</v>
      </c>
      <c r="I135" s="2">
        <f t="shared" si="13"/>
        <v>0.56487200418789607</v>
      </c>
      <c r="J135" s="2">
        <v>0</v>
      </c>
      <c r="K135" s="2">
        <v>0</v>
      </c>
      <c r="L135" s="2">
        <v>4.92</v>
      </c>
      <c r="M135" s="2">
        <v>1.28</v>
      </c>
      <c r="N135" s="2">
        <v>1.87</v>
      </c>
      <c r="O135" s="2">
        <v>1.48</v>
      </c>
      <c r="P135" s="2">
        <f t="shared" si="14"/>
        <v>8.7646122079003241E-2</v>
      </c>
      <c r="Q135" s="2">
        <f t="shared" si="15"/>
        <v>0.95606871624694367</v>
      </c>
      <c r="R135" s="2">
        <f t="shared" si="16"/>
        <v>-1.4008535391408616</v>
      </c>
      <c r="S135">
        <f t="shared" si="17"/>
        <v>5.8882191486140427E-2</v>
      </c>
      <c r="U135">
        <v>2.2986583155645151</v>
      </c>
    </row>
    <row r="136" spans="1:21" ht="13.9" x14ac:dyDescent="0.3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12"/>
        <v>-0.29196431029440006</v>
      </c>
      <c r="I136" s="2">
        <f t="shared" si="13"/>
        <v>0.52599427322725623</v>
      </c>
      <c r="J136" s="2">
        <v>1507.98</v>
      </c>
      <c r="K136" s="2">
        <v>1860.21</v>
      </c>
      <c r="L136" s="2">
        <v>1320.34</v>
      </c>
      <c r="M136" s="2">
        <v>1494.45</v>
      </c>
      <c r="N136" s="2">
        <v>1615.98</v>
      </c>
      <c r="O136" s="2">
        <v>1507.23</v>
      </c>
      <c r="P136" s="2">
        <f t="shared" si="14"/>
        <v>2.1973713005274158E-2</v>
      </c>
      <c r="Q136" s="2">
        <f t="shared" si="15"/>
        <v>0.89169269643824378</v>
      </c>
      <c r="R136" s="2">
        <f t="shared" si="16"/>
        <v>0.31393802329967424</v>
      </c>
      <c r="S136">
        <f t="shared" si="17"/>
        <v>-7.5261640654356435E-2</v>
      </c>
      <c r="U136">
        <v>12.194919948524754</v>
      </c>
    </row>
    <row r="137" spans="1:21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12"/>
        <v>#DIV/0!</v>
      </c>
      <c r="I137" s="2" t="e">
        <f t="shared" si="13"/>
        <v>#DIV/0!</v>
      </c>
      <c r="J137" s="2">
        <v>0</v>
      </c>
      <c r="K137" s="2">
        <v>0</v>
      </c>
      <c r="L137" s="2">
        <v>0</v>
      </c>
      <c r="M137" s="2">
        <v>0.59</v>
      </c>
      <c r="N137" s="2">
        <v>0</v>
      </c>
      <c r="O137" s="2">
        <v>0.63</v>
      </c>
      <c r="P137" s="2" t="e">
        <f t="shared" si="14"/>
        <v>#NUM!</v>
      </c>
      <c r="Q137" s="2">
        <f t="shared" si="15"/>
        <v>0.11654392153981484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ht="13.9" x14ac:dyDescent="0.3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12"/>
        <v>-0.67144439205641859</v>
      </c>
      <c r="I138" s="2">
        <f t="shared" si="13"/>
        <v>1.4607114202482599E-2</v>
      </c>
      <c r="J138" s="2">
        <v>35.93</v>
      </c>
      <c r="K138" s="2">
        <v>53.92</v>
      </c>
      <c r="L138" s="2">
        <v>35.5</v>
      </c>
      <c r="M138" s="2">
        <v>70.09</v>
      </c>
      <c r="N138" s="2">
        <v>87.85</v>
      </c>
      <c r="O138" s="2">
        <v>76.09</v>
      </c>
      <c r="P138" s="2">
        <f t="shared" si="14"/>
        <v>-0.9007314826840509</v>
      </c>
      <c r="Q138" s="2">
        <f t="shared" si="15"/>
        <v>1.0604066028113611E-2</v>
      </c>
      <c r="R138" s="2">
        <f t="shared" si="16"/>
        <v>-0.22928709062763231</v>
      </c>
      <c r="S138">
        <f t="shared" si="17"/>
        <v>1.3414833653244158</v>
      </c>
      <c r="U138">
        <v>6.9698181859465773</v>
      </c>
    </row>
    <row r="139" spans="1:21" ht="13.9" x14ac:dyDescent="0.3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12"/>
        <v>2.0530416067897694</v>
      </c>
      <c r="I139" s="2">
        <f t="shared" si="13"/>
        <v>0.13584532654305193</v>
      </c>
      <c r="J139" s="2">
        <v>3702.55</v>
      </c>
      <c r="K139" s="2">
        <v>4780.18</v>
      </c>
      <c r="L139" s="2">
        <v>2205.9</v>
      </c>
      <c r="M139" s="2">
        <v>935.62</v>
      </c>
      <c r="N139" s="2">
        <v>1416.22</v>
      </c>
      <c r="O139" s="2">
        <v>993.79</v>
      </c>
      <c r="P139" s="2">
        <f t="shared" si="14"/>
        <v>1.6757271407727921</v>
      </c>
      <c r="Q139" s="2">
        <f t="shared" si="15"/>
        <v>3.2471500234047233E-2</v>
      </c>
      <c r="R139" s="2">
        <f t="shared" si="16"/>
        <v>-0.37731446601697738</v>
      </c>
      <c r="S139">
        <f t="shared" si="17"/>
        <v>0.81621684394065264</v>
      </c>
      <c r="U139">
        <v>13.383789329065509</v>
      </c>
    </row>
    <row r="140" spans="1:21" ht="13.9" x14ac:dyDescent="0.3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12"/>
        <v>-2.0292401482037969</v>
      </c>
      <c r="I140" s="2">
        <f t="shared" si="13"/>
        <v>5.2458201357452796E-3</v>
      </c>
      <c r="J140" s="2">
        <v>1606.87</v>
      </c>
      <c r="K140" s="2">
        <v>2641.86</v>
      </c>
      <c r="L140" s="2">
        <v>1471.45</v>
      </c>
      <c r="M140" s="2">
        <v>5098.05</v>
      </c>
      <c r="N140" s="2">
        <v>5500.82</v>
      </c>
      <c r="O140" s="2">
        <v>4256.54</v>
      </c>
      <c r="P140" s="2">
        <f t="shared" si="14"/>
        <v>-1.3768559723049207</v>
      </c>
      <c r="Q140" s="2">
        <f t="shared" si="15"/>
        <v>4.2607332832708357E-3</v>
      </c>
      <c r="R140" s="2">
        <f t="shared" si="16"/>
        <v>0.65238417589887621</v>
      </c>
      <c r="S140">
        <f t="shared" si="17"/>
        <v>0.67850814676797078</v>
      </c>
      <c r="U140">
        <v>12.481844830445734</v>
      </c>
    </row>
    <row r="141" spans="1:21" ht="13.9" x14ac:dyDescent="0.3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12"/>
        <v>-6.7523724143610381E-3</v>
      </c>
      <c r="I141" s="2">
        <f t="shared" si="13"/>
        <v>0.99075721233820446</v>
      </c>
      <c r="J141" s="2">
        <v>22.08</v>
      </c>
      <c r="K141" s="2">
        <v>17.079999999999998</v>
      </c>
      <c r="L141" s="2">
        <v>24.03</v>
      </c>
      <c r="M141" s="2">
        <v>9.67</v>
      </c>
      <c r="N141" s="2">
        <v>16.579999999999998</v>
      </c>
      <c r="O141" s="2">
        <v>10.43</v>
      </c>
      <c r="P141" s="2">
        <f t="shared" si="14"/>
        <v>0.78470262687602543</v>
      </c>
      <c r="Q141" s="2">
        <f t="shared" si="15"/>
        <v>4.2633650264255619E-2</v>
      </c>
      <c r="R141" s="2">
        <f t="shared" si="16"/>
        <v>0.79145499929038643</v>
      </c>
      <c r="S141">
        <f t="shared" si="17"/>
        <v>-116.21139633932351</v>
      </c>
      <c r="U141">
        <v>5.9816243606963555</v>
      </c>
    </row>
    <row r="142" spans="1:21" ht="13.9" x14ac:dyDescent="0.3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12"/>
        <v>-6.7523724143610381E-3</v>
      </c>
      <c r="I142" s="2">
        <f t="shared" si="13"/>
        <v>0.99075721233820446</v>
      </c>
      <c r="J142" s="2">
        <v>22.08</v>
      </c>
      <c r="K142" s="2">
        <v>17.079999999999998</v>
      </c>
      <c r="L142" s="2">
        <v>24.03</v>
      </c>
      <c r="M142" s="2">
        <v>9.67</v>
      </c>
      <c r="N142" s="2">
        <v>16.45</v>
      </c>
      <c r="O142" s="2">
        <v>10.43</v>
      </c>
      <c r="P142" s="2">
        <f t="shared" si="14"/>
        <v>0.78982485963128035</v>
      </c>
      <c r="Q142" s="2">
        <f t="shared" si="15"/>
        <v>4.0760895717240009E-2</v>
      </c>
      <c r="R142" s="2">
        <f t="shared" si="16"/>
        <v>0.79657723204564135</v>
      </c>
      <c r="S142">
        <f t="shared" si="17"/>
        <v>-116.96997901825883</v>
      </c>
      <c r="U142">
        <v>5.9816243606963555</v>
      </c>
    </row>
    <row r="143" spans="1:21" ht="13.9" x14ac:dyDescent="0.3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12"/>
        <v>-1.8545233532533243</v>
      </c>
      <c r="I143" s="2">
        <f t="shared" si="13"/>
        <v>1.9637121710870255E-3</v>
      </c>
      <c r="J143" s="2">
        <v>135.13999999999999</v>
      </c>
      <c r="K143" s="2">
        <v>141.25</v>
      </c>
      <c r="L143" s="2">
        <v>102.68</v>
      </c>
      <c r="M143" s="2">
        <v>218.06</v>
      </c>
      <c r="N143" s="2">
        <v>204.04</v>
      </c>
      <c r="O143" s="2">
        <v>216.15</v>
      </c>
      <c r="P143" s="2">
        <f t="shared" si="14"/>
        <v>-0.75165734801470396</v>
      </c>
      <c r="Q143" s="2">
        <f t="shared" si="15"/>
        <v>2.4747231110165769E-3</v>
      </c>
      <c r="R143" s="2">
        <f t="shared" si="16"/>
        <v>1.1028660052386203</v>
      </c>
      <c r="S143">
        <f t="shared" si="17"/>
        <v>0.40531026298272183</v>
      </c>
      <c r="U143">
        <v>8.5663204743924144</v>
      </c>
    </row>
    <row r="144" spans="1:21" ht="13.9" x14ac:dyDescent="0.3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12"/>
        <v>3.4757334309663976</v>
      </c>
      <c r="I144" s="2">
        <f t="shared" si="13"/>
        <v>0.41539915258624599</v>
      </c>
      <c r="J144" s="2">
        <v>0</v>
      </c>
      <c r="K144" s="2">
        <v>0</v>
      </c>
      <c r="L144" s="2">
        <v>0</v>
      </c>
      <c r="M144" s="2">
        <v>0.49</v>
      </c>
      <c r="N144" s="2">
        <v>0.67</v>
      </c>
      <c r="O144" s="2">
        <v>0.32</v>
      </c>
      <c r="P144" s="2" t="e">
        <f t="shared" si="14"/>
        <v>#NUM!</v>
      </c>
      <c r="Q144" s="2">
        <f t="shared" si="15"/>
        <v>8.1484478837361204E-3</v>
      </c>
      <c r="R144" s="2" t="e">
        <f t="shared" si="16"/>
        <v>#NUM!</v>
      </c>
      <c r="S144" t="e">
        <f t="shared" si="17"/>
        <v>#NUM!</v>
      </c>
      <c r="U144" t="e">
        <v>#NUM!</v>
      </c>
    </row>
    <row r="145" spans="1:21" ht="13.9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0.99</v>
      </c>
      <c r="N145" s="2">
        <v>0</v>
      </c>
      <c r="O145" s="2">
        <v>0</v>
      </c>
      <c r="P145" s="2" t="e">
        <f t="shared" si="14"/>
        <v>#NUM!</v>
      </c>
      <c r="Q145" s="2">
        <f t="shared" si="15"/>
        <v>0.37390096630005903</v>
      </c>
      <c r="R145" s="2" t="e">
        <f t="shared" si="16"/>
        <v>#NUM!</v>
      </c>
      <c r="S145" t="e">
        <f t="shared" si="17"/>
        <v>#NUM!</v>
      </c>
      <c r="U145" t="e">
        <v>#NUM!</v>
      </c>
    </row>
    <row r="146" spans="1:21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12"/>
        <v>#DIV/0!</v>
      </c>
      <c r="I146" s="2" t="e">
        <f t="shared" si="13"/>
        <v>#DIV/0!</v>
      </c>
      <c r="J146" s="2">
        <v>0</v>
      </c>
      <c r="K146" s="2">
        <v>0</v>
      </c>
      <c r="L146" s="2">
        <v>0</v>
      </c>
      <c r="M146" s="2">
        <v>0.49</v>
      </c>
      <c r="N146" s="2">
        <v>0</v>
      </c>
      <c r="O146" s="2">
        <v>0</v>
      </c>
      <c r="P146" s="2" t="e">
        <f t="shared" si="14"/>
        <v>#NUM!</v>
      </c>
      <c r="Q146" s="2">
        <f t="shared" si="15"/>
        <v>0.37390096630005903</v>
      </c>
      <c r="R146" s="2" t="e">
        <f t="shared" si="16"/>
        <v>#NUM!</v>
      </c>
      <c r="S146" t="e">
        <f t="shared" si="17"/>
        <v>#NUM!</v>
      </c>
      <c r="U146" t="e">
        <v>#NUM!</v>
      </c>
    </row>
    <row r="147" spans="1:21" ht="13.9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12"/>
        <v>#NUM!</v>
      </c>
      <c r="I147" s="2">
        <f t="shared" si="13"/>
        <v>0.24020962511427801</v>
      </c>
      <c r="J147" s="2">
        <v>0</v>
      </c>
      <c r="K147" s="2">
        <v>0</v>
      </c>
      <c r="L147" s="2">
        <v>0</v>
      </c>
      <c r="M147" s="2">
        <v>0</v>
      </c>
      <c r="N147" s="2">
        <v>0.27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ht="13.9" x14ac:dyDescent="0.3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12"/>
        <v>-1.7441789830867167</v>
      </c>
      <c r="I148" s="2">
        <f t="shared" si="13"/>
        <v>9.5010241491624396E-3</v>
      </c>
      <c r="J148" s="2">
        <v>233.37</v>
      </c>
      <c r="K148" s="2">
        <v>414.25</v>
      </c>
      <c r="L148" s="2">
        <v>228.31</v>
      </c>
      <c r="M148" s="2">
        <v>628.22</v>
      </c>
      <c r="N148" s="2">
        <v>980.2</v>
      </c>
      <c r="O148" s="2">
        <v>788.39</v>
      </c>
      <c r="P148" s="2">
        <f t="shared" si="14"/>
        <v>-1.4522280616693035</v>
      </c>
      <c r="Q148" s="2">
        <f t="shared" si="15"/>
        <v>1.2943790889616835E-2</v>
      </c>
      <c r="R148" s="2">
        <f t="shared" si="16"/>
        <v>0.29195092141741319</v>
      </c>
      <c r="S148">
        <f t="shared" si="17"/>
        <v>0.83261412719195804</v>
      </c>
      <c r="U148">
        <v>9.7746717711445381</v>
      </c>
    </row>
    <row r="149" spans="1:21" ht="13.9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12"/>
        <v>#NUM!</v>
      </c>
      <c r="I149" s="2">
        <f t="shared" si="13"/>
        <v>0.37390096630005903</v>
      </c>
      <c r="J149" s="2">
        <v>0</v>
      </c>
      <c r="K149" s="2">
        <v>0</v>
      </c>
      <c r="L149" s="2">
        <v>0</v>
      </c>
      <c r="M149" s="2">
        <v>0.2</v>
      </c>
      <c r="N149" s="2">
        <v>0.67</v>
      </c>
      <c r="O149" s="2">
        <v>0.84</v>
      </c>
      <c r="P149" s="2" t="e">
        <f t="shared" si="14"/>
        <v>#NUM!</v>
      </c>
      <c r="Q149" s="2">
        <f t="shared" si="15"/>
        <v>4.081627560735069E-2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ht="13.9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12"/>
        <v>#DIV/0!</v>
      </c>
      <c r="I150" s="2" t="e">
        <f t="shared" si="13"/>
        <v>#DIV/0!</v>
      </c>
      <c r="J150" s="2">
        <v>3.3</v>
      </c>
      <c r="K150" s="2">
        <v>0</v>
      </c>
      <c r="L150" s="2">
        <v>0</v>
      </c>
      <c r="M150" s="2">
        <v>0.49</v>
      </c>
      <c r="N150" s="2">
        <v>0</v>
      </c>
      <c r="O150" s="2">
        <v>0</v>
      </c>
      <c r="P150" s="2">
        <f t="shared" si="14"/>
        <v>2.7516123701306077</v>
      </c>
      <c r="Q150" s="2">
        <f t="shared" si="15"/>
        <v>0.44704548288869678</v>
      </c>
      <c r="R150" s="2" t="e">
        <f t="shared" si="16"/>
        <v>#DIV/0!</v>
      </c>
      <c r="S150" t="e">
        <f t="shared" si="17"/>
        <v>#DIV/0!</v>
      </c>
      <c r="U150">
        <v>1.7224660244710912</v>
      </c>
    </row>
    <row r="151" spans="1:21" ht="13.9" x14ac:dyDescent="0.3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12"/>
        <v>1.3680138638915293</v>
      </c>
      <c r="I151" s="2">
        <f t="shared" si="13"/>
        <v>0.17591186989064511</v>
      </c>
      <c r="J151" s="2">
        <v>68.56</v>
      </c>
      <c r="K151" s="2">
        <v>8.7799999999999994</v>
      </c>
      <c r="L151" s="2">
        <v>48.43</v>
      </c>
      <c r="M151" s="2">
        <v>6.81</v>
      </c>
      <c r="N151" s="2">
        <v>7.62</v>
      </c>
      <c r="O151" s="2">
        <v>6.32</v>
      </c>
      <c r="P151" s="2">
        <f t="shared" si="14"/>
        <v>2.5996045946933242</v>
      </c>
      <c r="Q151" s="2">
        <f t="shared" si="15"/>
        <v>0.11705270498177957</v>
      </c>
      <c r="R151" s="2">
        <f t="shared" si="16"/>
        <v>1.2315907308017948</v>
      </c>
      <c r="S151">
        <f t="shared" si="17"/>
        <v>1.9002764981477178</v>
      </c>
      <c r="U151">
        <v>6.9746440260402487</v>
      </c>
    </row>
    <row r="152" spans="1:21" ht="13.9" x14ac:dyDescent="0.3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12"/>
        <v>-0.30691223444770227</v>
      </c>
      <c r="I152" s="2">
        <f t="shared" si="13"/>
        <v>0.83165035055938941</v>
      </c>
      <c r="J152" s="2">
        <v>1.98</v>
      </c>
      <c r="K152" s="2">
        <v>2.93</v>
      </c>
      <c r="L152" s="2">
        <v>3.82</v>
      </c>
      <c r="M152" s="2">
        <v>2.96</v>
      </c>
      <c r="N152" s="2">
        <v>2.14</v>
      </c>
      <c r="O152" s="2">
        <v>4.1100000000000003</v>
      </c>
      <c r="P152" s="2">
        <f t="shared" si="14"/>
        <v>-7.7219502461895559E-2</v>
      </c>
      <c r="Q152" s="2">
        <f t="shared" si="15"/>
        <v>0.847520591147368</v>
      </c>
      <c r="R152" s="2">
        <f t="shared" si="16"/>
        <v>0.2296927319858067</v>
      </c>
      <c r="S152">
        <f t="shared" si="17"/>
        <v>0.25160125206756373</v>
      </c>
      <c r="U152">
        <v>3.1259816538547156</v>
      </c>
    </row>
    <row r="153" spans="1:21" ht="13.9" x14ac:dyDescent="0.3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12"/>
        <v>2.6329647322131282</v>
      </c>
      <c r="I153" s="2">
        <f t="shared" si="13"/>
        <v>1.9924795338216322E-2</v>
      </c>
      <c r="J153" s="2">
        <v>30.65</v>
      </c>
      <c r="K153" s="2">
        <v>36.11</v>
      </c>
      <c r="L153" s="2">
        <v>37.869999999999997</v>
      </c>
      <c r="M153" s="2">
        <v>9.67</v>
      </c>
      <c r="N153" s="2">
        <v>11.1</v>
      </c>
      <c r="O153" s="2">
        <v>10.33</v>
      </c>
      <c r="P153" s="2">
        <f t="shared" si="14"/>
        <v>1.7503100816592652</v>
      </c>
      <c r="Q153" s="2">
        <f t="shared" si="15"/>
        <v>3.7762616353524317E-4</v>
      </c>
      <c r="R153" s="2">
        <f t="shared" si="16"/>
        <v>-0.88265465055386305</v>
      </c>
      <c r="S153">
        <f t="shared" si="17"/>
        <v>0.6647677654945453</v>
      </c>
      <c r="U153">
        <v>6.7091527569025056</v>
      </c>
    </row>
    <row r="154" spans="1:21" ht="13.9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12"/>
        <v>#NUM!</v>
      </c>
      <c r="I154" s="2">
        <f t="shared" si="13"/>
        <v>0.37390096630005903</v>
      </c>
      <c r="J154" s="2">
        <v>0</v>
      </c>
      <c r="K154" s="2">
        <v>0</v>
      </c>
      <c r="L154" s="2">
        <v>0</v>
      </c>
      <c r="M154" s="2">
        <v>0.59</v>
      </c>
      <c r="N154" s="2">
        <v>0.94</v>
      </c>
      <c r="O154" s="2">
        <v>0.11</v>
      </c>
      <c r="P154" s="2" t="e">
        <f t="shared" si="14"/>
        <v>#NUM!</v>
      </c>
      <c r="Q154" s="2">
        <f t="shared" si="15"/>
        <v>8.550966649932086E-2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ht="13.9" x14ac:dyDescent="0.3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12"/>
        <v>-5.6147098441152083</v>
      </c>
      <c r="I155" s="2">
        <f t="shared" si="13"/>
        <v>7.5287131437507034E-3</v>
      </c>
      <c r="J155" s="2">
        <v>2.31</v>
      </c>
      <c r="K155" s="2">
        <v>0.24</v>
      </c>
      <c r="L155" s="2">
        <v>0</v>
      </c>
      <c r="M155" s="2">
        <v>2.17</v>
      </c>
      <c r="N155" s="2">
        <v>0.27</v>
      </c>
      <c r="O155" s="2">
        <v>1.48</v>
      </c>
      <c r="P155" s="2">
        <f t="shared" si="14"/>
        <v>-0.62035640725635033</v>
      </c>
      <c r="Q155" s="2">
        <f t="shared" si="15"/>
        <v>0.64560031964824294</v>
      </c>
      <c r="R155" s="2">
        <f t="shared" si="16"/>
        <v>4.9943534368588578</v>
      </c>
      <c r="S155">
        <f t="shared" si="17"/>
        <v>0.1104877054166116</v>
      </c>
      <c r="U155">
        <v>1.3504972470841332</v>
      </c>
    </row>
    <row r="156" spans="1:21" ht="13.9" x14ac:dyDescent="0.3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12"/>
        <v>1.0638764756259622</v>
      </c>
      <c r="I156" s="2">
        <f t="shared" si="13"/>
        <v>5.2688702084236878E-2</v>
      </c>
      <c r="J156" s="2">
        <v>338.84</v>
      </c>
      <c r="K156" s="2">
        <v>329.59</v>
      </c>
      <c r="L156" s="2">
        <v>346.47</v>
      </c>
      <c r="M156" s="2">
        <v>135.63</v>
      </c>
      <c r="N156" s="2">
        <v>145.61000000000001</v>
      </c>
      <c r="O156" s="2">
        <v>135.41999999999999</v>
      </c>
      <c r="P156" s="2">
        <f t="shared" si="14"/>
        <v>1.2843950721048101</v>
      </c>
      <c r="Q156" s="2">
        <f t="shared" si="15"/>
        <v>4.6530517957086457E-6</v>
      </c>
      <c r="R156" s="2">
        <f t="shared" si="16"/>
        <v>0.22051859647884786</v>
      </c>
      <c r="S156">
        <f t="shared" si="17"/>
        <v>1.2072783838453609</v>
      </c>
      <c r="U156">
        <v>9.9871218676277831</v>
      </c>
    </row>
    <row r="157" spans="1:21" ht="13.9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0</v>
      </c>
      <c r="M157" s="2">
        <v>0.99</v>
      </c>
      <c r="N157" s="2">
        <v>0</v>
      </c>
      <c r="O157" s="2">
        <v>0</v>
      </c>
      <c r="P157" s="2" t="e">
        <f t="shared" si="14"/>
        <v>#NUM!</v>
      </c>
      <c r="Q157" s="2">
        <f t="shared" si="15"/>
        <v>0.37390096630005903</v>
      </c>
      <c r="R157" s="2" t="e">
        <f t="shared" si="16"/>
        <v>#NUM!</v>
      </c>
      <c r="S157" t="e">
        <f t="shared" si="17"/>
        <v>#NUM!</v>
      </c>
      <c r="U157" t="e">
        <v>#NUM!</v>
      </c>
    </row>
    <row r="158" spans="1:21" ht="13.9" x14ac:dyDescent="0.3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12"/>
        <v>0.53133313707998375</v>
      </c>
      <c r="I158" s="2">
        <f t="shared" si="13"/>
        <v>0.11484471847111179</v>
      </c>
      <c r="J158" s="2">
        <v>4.9400000000000004</v>
      </c>
      <c r="K158" s="2">
        <v>36.11</v>
      </c>
      <c r="L158" s="2">
        <v>12.02</v>
      </c>
      <c r="M158" s="2">
        <v>16.09</v>
      </c>
      <c r="N158" s="2">
        <v>9.89</v>
      </c>
      <c r="O158" s="2">
        <v>8.5399999999999991</v>
      </c>
      <c r="P158" s="2">
        <f t="shared" si="14"/>
        <v>0.62046408423265953</v>
      </c>
      <c r="Q158" s="2">
        <f t="shared" si="15"/>
        <v>0.55911436286277616</v>
      </c>
      <c r="R158" s="2">
        <f t="shared" si="16"/>
        <v>8.9130947152675777E-2</v>
      </c>
      <c r="S158">
        <f t="shared" si="17"/>
        <v>1.1677496488220318</v>
      </c>
      <c r="U158">
        <v>5.7298246436368894</v>
      </c>
    </row>
    <row r="159" spans="1:21" ht="13.9" x14ac:dyDescent="0.3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12"/>
        <v>-1.5640837710452404</v>
      </c>
      <c r="I159" s="2">
        <f t="shared" si="13"/>
        <v>0.17964648185590121</v>
      </c>
      <c r="J159" s="2">
        <v>0</v>
      </c>
      <c r="K159" s="2">
        <v>0</v>
      </c>
      <c r="L159" s="2">
        <v>0.18</v>
      </c>
      <c r="M159" s="2">
        <v>0.39</v>
      </c>
      <c r="N159" s="2">
        <v>0</v>
      </c>
      <c r="O159" s="2">
        <v>0.11</v>
      </c>
      <c r="P159" s="2">
        <f t="shared" si="14"/>
        <v>-1.4739311883324124</v>
      </c>
      <c r="Q159" s="2">
        <f t="shared" si="15"/>
        <v>0.46018629235551056</v>
      </c>
      <c r="R159" s="2">
        <f t="shared" si="16"/>
        <v>9.0152582712828E-2</v>
      </c>
      <c r="S159">
        <f t="shared" si="17"/>
        <v>0.94236077096268245</v>
      </c>
      <c r="U159">
        <v>-2.4739311883324122</v>
      </c>
    </row>
    <row r="160" spans="1:21" ht="13.9" x14ac:dyDescent="0.3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12"/>
        <v>2.3157095721522047</v>
      </c>
      <c r="I160" s="2">
        <f t="shared" si="13"/>
        <v>0.47125624754369622</v>
      </c>
      <c r="J160" s="2">
        <v>0</v>
      </c>
      <c r="K160" s="2">
        <v>0</v>
      </c>
      <c r="L160" s="2">
        <v>0</v>
      </c>
      <c r="M160" s="2">
        <v>0</v>
      </c>
      <c r="N160" s="2">
        <v>0.8</v>
      </c>
      <c r="O160" s="2">
        <v>0</v>
      </c>
      <c r="P160" s="2" t="e">
        <f t="shared" si="14"/>
        <v>#NUM!</v>
      </c>
      <c r="Q160" s="2">
        <f t="shared" si="15"/>
        <v>0.37390096630005903</v>
      </c>
      <c r="R160" s="2" t="e">
        <f t="shared" si="16"/>
        <v>#NUM!</v>
      </c>
      <c r="S160" t="e">
        <f t="shared" si="17"/>
        <v>#NUM!</v>
      </c>
      <c r="U160" t="e">
        <v>#NUM!</v>
      </c>
    </row>
    <row r="161" spans="1:21" ht="13.9" x14ac:dyDescent="0.3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12"/>
        <v>-2.9930472393582335</v>
      </c>
      <c r="I161" s="2">
        <f t="shared" si="13"/>
        <v>0.17269133939210465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 t="e">
        <f t="shared" si="14"/>
        <v>#DIV/0!</v>
      </c>
      <c r="Q161" s="2" t="e">
        <f t="shared" si="15"/>
        <v>#DIV/0!</v>
      </c>
      <c r="R161" s="2" t="e">
        <f t="shared" si="16"/>
        <v>#DIV/0!</v>
      </c>
      <c r="S161" t="e">
        <f t="shared" si="17"/>
        <v>#DIV/0!</v>
      </c>
      <c r="U161" t="e">
        <v>#NUM!</v>
      </c>
    </row>
    <row r="162" spans="1:21" ht="13.9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12"/>
        <v>#NUM!</v>
      </c>
      <c r="I162" s="2">
        <f t="shared" si="13"/>
        <v>0.37390096630005903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ht="13.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 t="e">
        <f t="shared" si="15"/>
        <v>#DIV/0!</v>
      </c>
      <c r="R163" s="2" t="e">
        <f t="shared" si="16"/>
        <v>#DIV/0!</v>
      </c>
      <c r="S163" t="e">
        <f t="shared" si="17"/>
        <v>#DIV/0!</v>
      </c>
      <c r="U163" t="e">
        <v>#NUM!</v>
      </c>
    </row>
    <row r="164" spans="1:21" ht="13.9" x14ac:dyDescent="0.3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12"/>
        <v>-1.9984709113132553</v>
      </c>
      <c r="I164" s="2">
        <f t="shared" si="13"/>
        <v>0.19478786364971881</v>
      </c>
      <c r="J164" s="2">
        <v>0</v>
      </c>
      <c r="K164" s="2">
        <v>0</v>
      </c>
      <c r="L164" s="2">
        <v>0</v>
      </c>
      <c r="M164" s="2">
        <v>0.49</v>
      </c>
      <c r="N164" s="2">
        <v>3.88</v>
      </c>
      <c r="O164" s="2">
        <v>1.9</v>
      </c>
      <c r="P164" s="2" t="e">
        <f t="shared" si="14"/>
        <v>#NUM!</v>
      </c>
      <c r="Q164" s="2">
        <f t="shared" si="15"/>
        <v>0.1006947216150722</v>
      </c>
      <c r="R164" s="2" t="e">
        <f t="shared" si="16"/>
        <v>#NUM!</v>
      </c>
      <c r="S164" t="e">
        <f t="shared" si="17"/>
        <v>#NUM!</v>
      </c>
      <c r="U164" t="e">
        <v>#NUM!</v>
      </c>
    </row>
    <row r="165" spans="1:21" ht="13.9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12"/>
        <v>#NUM!</v>
      </c>
      <c r="I165" s="2">
        <f t="shared" si="13"/>
        <v>0.37390096630005903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ht="13.9" x14ac:dyDescent="0.3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12"/>
        <v>-1.9176690725339225</v>
      </c>
      <c r="I166" s="2">
        <f t="shared" si="13"/>
        <v>1.7405981155387E-3</v>
      </c>
      <c r="J166" s="2">
        <v>614.4</v>
      </c>
      <c r="K166" s="2">
        <v>259.82</v>
      </c>
      <c r="L166" s="2">
        <v>531.80999999999995</v>
      </c>
      <c r="M166" s="2">
        <v>1766.71</v>
      </c>
      <c r="N166" s="2">
        <v>1010.69</v>
      </c>
      <c r="O166" s="2">
        <v>2049.23</v>
      </c>
      <c r="P166" s="2">
        <f t="shared" si="14"/>
        <v>-1.7793888597970235</v>
      </c>
      <c r="Q166" s="2">
        <f t="shared" si="15"/>
        <v>2.5438508900642916E-2</v>
      </c>
      <c r="R166" s="2">
        <f t="shared" si="16"/>
        <v>0.13828021273689894</v>
      </c>
      <c r="S166">
        <f t="shared" si="17"/>
        <v>0.92789151438199835</v>
      </c>
      <c r="U166">
        <v>10.457411661710863</v>
      </c>
    </row>
    <row r="167" spans="1:21" ht="13.9" x14ac:dyDescent="0.3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12"/>
        <v>2.4551946257508264</v>
      </c>
      <c r="I167" s="2">
        <f t="shared" si="13"/>
        <v>1.3790265538858934E-4</v>
      </c>
      <c r="J167" s="2">
        <v>1.98</v>
      </c>
      <c r="K167" s="2">
        <v>2.68</v>
      </c>
      <c r="L167" s="2">
        <v>3.28</v>
      </c>
      <c r="M167" s="2">
        <v>0.99</v>
      </c>
      <c r="N167" s="2">
        <v>0.53</v>
      </c>
      <c r="O167" s="2">
        <v>1.26</v>
      </c>
      <c r="P167" s="2">
        <f t="shared" si="14"/>
        <v>1.5140541244194503</v>
      </c>
      <c r="Q167" s="2">
        <f t="shared" si="15"/>
        <v>1.6366022311988405E-2</v>
      </c>
      <c r="R167" s="2">
        <f t="shared" si="16"/>
        <v>-0.94114050133137606</v>
      </c>
      <c r="S167">
        <f t="shared" si="17"/>
        <v>0.61667376937843998</v>
      </c>
      <c r="U167">
        <v>2.9891390073682333</v>
      </c>
    </row>
    <row r="168" spans="1:21" ht="13.9" x14ac:dyDescent="0.3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12"/>
        <v>-1.8430273359041116</v>
      </c>
      <c r="I168" s="2">
        <f t="shared" si="13"/>
        <v>3.6766597652767625E-4</v>
      </c>
      <c r="J168" s="2">
        <v>172.06</v>
      </c>
      <c r="K168" s="2">
        <v>132.22999999999999</v>
      </c>
      <c r="L168" s="2">
        <v>244.33</v>
      </c>
      <c r="M168" s="2">
        <v>436.22</v>
      </c>
      <c r="N168" s="2">
        <v>324.24</v>
      </c>
      <c r="O168" s="2">
        <v>540.63</v>
      </c>
      <c r="P168" s="2">
        <f t="shared" si="14"/>
        <v>-1.2458416388629439</v>
      </c>
      <c r="Q168" s="2">
        <f t="shared" si="15"/>
        <v>2.370763994212961E-2</v>
      </c>
      <c r="R168" s="2">
        <f t="shared" si="16"/>
        <v>0.59718569704116775</v>
      </c>
      <c r="S168">
        <f t="shared" si="17"/>
        <v>0.67597567035096984</v>
      </c>
      <c r="U168">
        <v>9.0996634065195661</v>
      </c>
    </row>
    <row r="169" spans="1:21" ht="13.9" x14ac:dyDescent="0.3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12"/>
        <v>4.6619912057054433</v>
      </c>
      <c r="I169" s="2">
        <f t="shared" si="13"/>
        <v>0.2845188899430493</v>
      </c>
      <c r="J169" s="2">
        <v>0</v>
      </c>
      <c r="K169" s="2">
        <v>80.510000000000005</v>
      </c>
      <c r="L169" s="2">
        <v>0.18</v>
      </c>
      <c r="M169" s="2">
        <v>0</v>
      </c>
      <c r="N169" s="2">
        <v>2.0099999999999998</v>
      </c>
      <c r="O169" s="2">
        <v>1.05</v>
      </c>
      <c r="P169" s="2">
        <f t="shared" si="14"/>
        <v>4.7207863317755168</v>
      </c>
      <c r="Q169" s="2">
        <f t="shared" si="15"/>
        <v>0.38915632105579978</v>
      </c>
      <c r="R169" s="2">
        <f t="shared" si="16"/>
        <v>5.8795126070073422E-2</v>
      </c>
      <c r="S169">
        <f t="shared" si="17"/>
        <v>1.0126115909438265</v>
      </c>
      <c r="U169">
        <v>6.3343179846934445</v>
      </c>
    </row>
    <row r="170" spans="1:21" ht="13.9" x14ac:dyDescent="0.3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12"/>
        <v>-0.84046990269985888</v>
      </c>
      <c r="I170" s="2">
        <f t="shared" si="13"/>
        <v>0.36106262623373009</v>
      </c>
      <c r="J170" s="2">
        <v>25.38</v>
      </c>
      <c r="K170" s="2">
        <v>59.53</v>
      </c>
      <c r="L170" s="2">
        <v>9.4700000000000006</v>
      </c>
      <c r="M170" s="2">
        <v>47.28</v>
      </c>
      <c r="N170" s="2">
        <v>58.83</v>
      </c>
      <c r="O170" s="2">
        <v>59.54</v>
      </c>
      <c r="P170" s="2">
        <f t="shared" si="14"/>
        <v>-0.81158512683153416</v>
      </c>
      <c r="Q170" s="2">
        <f t="shared" si="15"/>
        <v>0.19527312825512938</v>
      </c>
      <c r="R170" s="2">
        <f t="shared" si="16"/>
        <v>2.8884775868324719E-2</v>
      </c>
      <c r="S170">
        <f t="shared" si="17"/>
        <v>0.96563258746620484</v>
      </c>
      <c r="U170">
        <v>6.5604092663621181</v>
      </c>
    </row>
    <row r="171" spans="1:21" ht="13.9" x14ac:dyDescent="0.3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12"/>
        <v>-2.1776963671258223</v>
      </c>
      <c r="I171" s="2">
        <f t="shared" si="13"/>
        <v>0.13281699172366712</v>
      </c>
      <c r="J171" s="2">
        <v>0</v>
      </c>
      <c r="K171" s="2">
        <v>0</v>
      </c>
      <c r="L171" s="2">
        <v>2.5499999999999998</v>
      </c>
      <c r="M171" s="2">
        <v>7.01</v>
      </c>
      <c r="N171" s="2">
        <v>4.41</v>
      </c>
      <c r="O171" s="2">
        <v>3.06</v>
      </c>
      <c r="P171" s="2">
        <f t="shared" si="14"/>
        <v>-2.5054924502243474</v>
      </c>
      <c r="Q171" s="2">
        <f t="shared" si="15"/>
        <v>5.0507969678895509E-2</v>
      </c>
      <c r="R171" s="2">
        <f t="shared" si="16"/>
        <v>-0.32779608309852515</v>
      </c>
      <c r="S171">
        <f t="shared" si="17"/>
        <v>1.1505242365496338</v>
      </c>
      <c r="U171">
        <v>1.3504972470841332</v>
      </c>
    </row>
    <row r="172" spans="1:21" ht="13.9" x14ac:dyDescent="0.3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12"/>
        <v>-0.93517447653258889</v>
      </c>
      <c r="I172" s="2">
        <f t="shared" si="13"/>
        <v>1.9561272747574802E-2</v>
      </c>
      <c r="J172" s="2">
        <v>333.24</v>
      </c>
      <c r="K172" s="2">
        <v>230.79</v>
      </c>
      <c r="L172" s="2">
        <v>177.51</v>
      </c>
      <c r="M172" s="2">
        <v>281.83</v>
      </c>
      <c r="N172" s="2">
        <v>284.26</v>
      </c>
      <c r="O172" s="2">
        <v>247.13</v>
      </c>
      <c r="P172" s="2">
        <f t="shared" si="14"/>
        <v>-0.13312118032895892</v>
      </c>
      <c r="Q172" s="2">
        <f t="shared" si="15"/>
        <v>0.63963177348400335</v>
      </c>
      <c r="R172" s="2">
        <f t="shared" si="16"/>
        <v>0.80205329620362997</v>
      </c>
      <c r="S172">
        <f t="shared" si="17"/>
        <v>0.14234903076326627</v>
      </c>
      <c r="U172">
        <v>9.5343807061163659</v>
      </c>
    </row>
    <row r="173" spans="1:21" ht="13.9" x14ac:dyDescent="0.3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12"/>
        <v>-0.94964635347593263</v>
      </c>
      <c r="I173" s="2">
        <f t="shared" si="13"/>
        <v>2.0300270761593131E-2</v>
      </c>
      <c r="J173" s="2">
        <v>48.12</v>
      </c>
      <c r="K173" s="2">
        <v>49.28</v>
      </c>
      <c r="L173" s="2">
        <v>63.9</v>
      </c>
      <c r="M173" s="2">
        <v>60.02</v>
      </c>
      <c r="N173" s="2">
        <v>64.180000000000007</v>
      </c>
      <c r="O173" s="2">
        <v>65.23</v>
      </c>
      <c r="P173" s="2">
        <f t="shared" si="14"/>
        <v>-0.23191838979877633</v>
      </c>
      <c r="Q173" s="2">
        <f t="shared" si="15"/>
        <v>0.15282880694480516</v>
      </c>
      <c r="R173" s="2">
        <f t="shared" si="16"/>
        <v>0.7177279636771563</v>
      </c>
      <c r="S173">
        <f t="shared" si="17"/>
        <v>0.24421553239255811</v>
      </c>
      <c r="U173">
        <v>7.3336026282682809</v>
      </c>
    </row>
    <row r="174" spans="1:21" ht="13.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12"/>
        <v>#DIV/0!</v>
      </c>
      <c r="I174" s="2" t="e">
        <f t="shared" si="13"/>
        <v>#DIV/0!</v>
      </c>
      <c r="J174" s="2">
        <v>0</v>
      </c>
      <c r="K174" s="2">
        <v>0</v>
      </c>
      <c r="L174" s="2">
        <v>0</v>
      </c>
      <c r="M174" s="2">
        <v>0</v>
      </c>
      <c r="N174" s="2">
        <v>0.27</v>
      </c>
      <c r="O174" s="2">
        <v>0</v>
      </c>
      <c r="P174" s="2" t="e">
        <f t="shared" si="14"/>
        <v>#NUM!</v>
      </c>
      <c r="Q174" s="2">
        <f t="shared" si="15"/>
        <v>0.37390096630005903</v>
      </c>
      <c r="R174" s="2" t="e">
        <f t="shared" si="16"/>
        <v>#NUM!</v>
      </c>
      <c r="S174" t="e">
        <f t="shared" si="17"/>
        <v>#NUM!</v>
      </c>
      <c r="U174" t="e">
        <v>#NUM!</v>
      </c>
    </row>
    <row r="175" spans="1:21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12"/>
        <v>#DIV/0!</v>
      </c>
      <c r="I175" s="2" t="e">
        <f t="shared" si="13"/>
        <v>#DIV/0!</v>
      </c>
      <c r="J175" s="2">
        <v>0</v>
      </c>
      <c r="K175" s="2">
        <v>0</v>
      </c>
      <c r="L175" s="2">
        <v>0</v>
      </c>
      <c r="M175" s="2">
        <v>0</v>
      </c>
      <c r="N175" s="2">
        <v>0.27</v>
      </c>
      <c r="O175" s="2">
        <v>0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ht="13.9" x14ac:dyDescent="0.3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12"/>
        <v>-2.1133414730759448</v>
      </c>
      <c r="I176" s="2">
        <f t="shared" si="13"/>
        <v>0.33772488157736058</v>
      </c>
      <c r="J176" s="2">
        <v>13.84</v>
      </c>
      <c r="K176" s="2">
        <v>14.64</v>
      </c>
      <c r="L176" s="2">
        <v>8.3699999999999992</v>
      </c>
      <c r="M176" s="2">
        <v>0.49</v>
      </c>
      <c r="N176" s="2">
        <v>0.4</v>
      </c>
      <c r="O176" s="2">
        <v>0.53</v>
      </c>
      <c r="P176" s="2">
        <f t="shared" si="14"/>
        <v>4.6977017844777507</v>
      </c>
      <c r="Q176" s="2">
        <f t="shared" si="15"/>
        <v>3.8991154931181039E-3</v>
      </c>
      <c r="R176" s="2">
        <f t="shared" si="16"/>
        <v>6.8110432575536954</v>
      </c>
      <c r="S176">
        <f t="shared" si="17"/>
        <v>-2.2228787180522693</v>
      </c>
      <c r="U176">
        <v>5.2035927142077076</v>
      </c>
    </row>
    <row r="177" spans="1:21" ht="13.9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12"/>
        <v>#DIV/0!</v>
      </c>
      <c r="I177" s="2" t="e">
        <f t="shared" si="13"/>
        <v>#DIV/0!</v>
      </c>
      <c r="J177" s="2">
        <v>0</v>
      </c>
      <c r="K177" s="2">
        <v>0</v>
      </c>
      <c r="L177" s="2">
        <v>0.18</v>
      </c>
      <c r="M177" s="2">
        <v>0</v>
      </c>
      <c r="N177" s="2">
        <v>0.8</v>
      </c>
      <c r="O177" s="2">
        <v>0</v>
      </c>
      <c r="P177" s="2">
        <f t="shared" si="14"/>
        <v>-2.15200309344505</v>
      </c>
      <c r="Q177" s="2">
        <f t="shared" si="15"/>
        <v>0.49167643876912198</v>
      </c>
      <c r="R177" s="2" t="e">
        <f t="shared" si="16"/>
        <v>#DIV/0!</v>
      </c>
      <c r="S177" t="e">
        <f t="shared" si="17"/>
        <v>#DIV/0!</v>
      </c>
      <c r="U177">
        <v>-2.4739311883324122</v>
      </c>
    </row>
    <row r="178" spans="1:21" ht="13.9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12"/>
        <v>#NUM!</v>
      </c>
      <c r="I178" s="2">
        <f t="shared" si="13"/>
        <v>3.5482524604482292E-2</v>
      </c>
      <c r="J178" s="2">
        <v>0</v>
      </c>
      <c r="K178" s="2">
        <v>0</v>
      </c>
      <c r="L178" s="2">
        <v>0</v>
      </c>
      <c r="M178" s="2">
        <v>0.1</v>
      </c>
      <c r="N178" s="2">
        <v>0.53</v>
      </c>
      <c r="O178" s="2">
        <v>0.42</v>
      </c>
      <c r="P178" s="2" t="e">
        <f t="shared" si="14"/>
        <v>#NUM!</v>
      </c>
      <c r="Q178" s="2">
        <f t="shared" si="15"/>
        <v>5.3327158273051282E-2</v>
      </c>
      <c r="R178" s="2" t="e">
        <f t="shared" si="16"/>
        <v>#NUM!</v>
      </c>
      <c r="S178" t="e">
        <f t="shared" si="17"/>
        <v>#NUM!</v>
      </c>
      <c r="U178" t="e">
        <v>#NUM!</v>
      </c>
    </row>
    <row r="179" spans="1:21" ht="13.9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0.89</v>
      </c>
      <c r="N179" s="2">
        <v>0</v>
      </c>
      <c r="O179" s="2">
        <v>0</v>
      </c>
      <c r="P179" s="2" t="e">
        <f t="shared" si="14"/>
        <v>#NUM!</v>
      </c>
      <c r="Q179" s="2">
        <f t="shared" si="15"/>
        <v>0.37390096630005903</v>
      </c>
      <c r="R179" s="2" t="e">
        <f t="shared" si="16"/>
        <v>#NUM!</v>
      </c>
      <c r="S179" t="e">
        <f t="shared" si="17"/>
        <v>#NUM!</v>
      </c>
      <c r="U179" t="e">
        <v>#NUM!</v>
      </c>
    </row>
    <row r="180" spans="1:21" ht="13.9" x14ac:dyDescent="0.3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12"/>
        <v>-2.1129718129566095</v>
      </c>
      <c r="I180" s="2">
        <f t="shared" si="13"/>
        <v>7.3903255989607409E-3</v>
      </c>
      <c r="J180" s="2">
        <v>0.66</v>
      </c>
      <c r="K180" s="2">
        <v>7.56</v>
      </c>
      <c r="L180" s="2">
        <v>0</v>
      </c>
      <c r="M180" s="2">
        <v>26.75</v>
      </c>
      <c r="N180" s="2">
        <v>33.96</v>
      </c>
      <c r="O180" s="2">
        <v>43.63</v>
      </c>
      <c r="P180" s="2">
        <f t="shared" si="14"/>
        <v>-3.6660101343460605</v>
      </c>
      <c r="Q180" s="2">
        <f t="shared" si="15"/>
        <v>4.1973125751771896E-3</v>
      </c>
      <c r="R180" s="2">
        <f t="shared" si="16"/>
        <v>-1.553038321389451</v>
      </c>
      <c r="S180">
        <f t="shared" si="17"/>
        <v>1.7350019114624806</v>
      </c>
      <c r="U180">
        <v>3.0391383939069581</v>
      </c>
    </row>
    <row r="181" spans="1:21" ht="13.9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12"/>
        <v>#NUM!</v>
      </c>
      <c r="I181" s="2">
        <f t="shared" si="13"/>
        <v>0.20196164992919252</v>
      </c>
      <c r="J181" s="2">
        <v>0</v>
      </c>
      <c r="K181" s="2">
        <v>0</v>
      </c>
      <c r="L181" s="2">
        <v>0</v>
      </c>
      <c r="M181" s="2">
        <v>1.0900000000000001</v>
      </c>
      <c r="N181" s="2">
        <v>0</v>
      </c>
      <c r="O181" s="2">
        <v>0</v>
      </c>
      <c r="P181" s="2" t="e">
        <f t="shared" si="14"/>
        <v>#NUM!</v>
      </c>
      <c r="Q181" s="2">
        <f t="shared" si="15"/>
        <v>0.37390096630005903</v>
      </c>
      <c r="R181" s="2" t="e">
        <f t="shared" si="16"/>
        <v>#NUM!</v>
      </c>
      <c r="S181" t="e">
        <f t="shared" si="17"/>
        <v>#NUM!</v>
      </c>
      <c r="U181" t="e">
        <v>#NUM!</v>
      </c>
    </row>
    <row r="182" spans="1:21" ht="13.9" x14ac:dyDescent="0.3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12"/>
        <v>-1.0209023129797239</v>
      </c>
      <c r="I182" s="2">
        <f t="shared" si="13"/>
        <v>3.4583683997869853E-2</v>
      </c>
      <c r="J182" s="2">
        <v>300.94</v>
      </c>
      <c r="K182" s="2">
        <v>443.77</v>
      </c>
      <c r="L182" s="2">
        <v>220.66</v>
      </c>
      <c r="M182" s="2">
        <v>463.67</v>
      </c>
      <c r="N182" s="2">
        <v>765.34</v>
      </c>
      <c r="O182" s="2">
        <v>563.5</v>
      </c>
      <c r="P182" s="2">
        <f t="shared" si="14"/>
        <v>-0.89282726825387626</v>
      </c>
      <c r="Q182" s="2">
        <f t="shared" si="15"/>
        <v>6.6523009943866798E-2</v>
      </c>
      <c r="R182" s="2">
        <f t="shared" si="16"/>
        <v>0.12807504472584763</v>
      </c>
      <c r="S182">
        <f t="shared" si="17"/>
        <v>0.87454720878040426</v>
      </c>
      <c r="U182">
        <v>9.9149381838208406</v>
      </c>
    </row>
    <row r="183" spans="1:21" ht="13.9" x14ac:dyDescent="0.3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12"/>
        <v>-1.0083833167100453</v>
      </c>
      <c r="I183" s="2">
        <f t="shared" si="13"/>
        <v>5.6787697747520084E-3</v>
      </c>
      <c r="J183" s="2">
        <v>415.64</v>
      </c>
      <c r="K183" s="2">
        <v>500.37</v>
      </c>
      <c r="L183" s="2">
        <v>281.11</v>
      </c>
      <c r="M183" s="2">
        <v>796.43</v>
      </c>
      <c r="N183" s="2">
        <v>692.87</v>
      </c>
      <c r="O183" s="2">
        <v>824.01</v>
      </c>
      <c r="P183" s="2">
        <f t="shared" si="14"/>
        <v>-0.95039083421589088</v>
      </c>
      <c r="Q183" s="2">
        <f t="shared" si="15"/>
        <v>7.8072259117435627E-3</v>
      </c>
      <c r="R183" s="2">
        <f t="shared" si="16"/>
        <v>5.7992482494154451E-2</v>
      </c>
      <c r="S183">
        <f t="shared" si="17"/>
        <v>0.94248964502570221</v>
      </c>
      <c r="U183">
        <v>10.225352060776101</v>
      </c>
    </row>
    <row r="184" spans="1:21" ht="13.9" x14ac:dyDescent="0.3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12"/>
        <v>-0.52983476144128261</v>
      </c>
      <c r="I184" s="2">
        <f t="shared" si="13"/>
        <v>0.55484535133765456</v>
      </c>
      <c r="J184" s="2">
        <v>29.99</v>
      </c>
      <c r="K184" s="2">
        <v>43.91</v>
      </c>
      <c r="L184" s="2">
        <v>20.57</v>
      </c>
      <c r="M184" s="2">
        <v>23.49</v>
      </c>
      <c r="N184" s="2">
        <v>32.89</v>
      </c>
      <c r="O184" s="2">
        <v>22.76</v>
      </c>
      <c r="P184" s="2">
        <f t="shared" si="14"/>
        <v>0.25544919288386519</v>
      </c>
      <c r="Q184" s="2">
        <f t="shared" si="15"/>
        <v>0.53426102565284639</v>
      </c>
      <c r="R184" s="2">
        <f t="shared" si="16"/>
        <v>0.78528395432514775</v>
      </c>
      <c r="S184">
        <f t="shared" si="17"/>
        <v>-0.48212992327830612</v>
      </c>
      <c r="U184">
        <v>6.5617843530818423</v>
      </c>
    </row>
    <row r="185" spans="1:21" ht="13.9" x14ac:dyDescent="0.3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12"/>
        <v>4.9663916073571803</v>
      </c>
      <c r="I185" s="2">
        <f t="shared" si="13"/>
        <v>0.25480662815064431</v>
      </c>
      <c r="J185" s="2">
        <v>0</v>
      </c>
      <c r="K185" s="2">
        <v>0</v>
      </c>
      <c r="L185" s="2">
        <v>3.1</v>
      </c>
      <c r="M185" s="2">
        <v>0</v>
      </c>
      <c r="N185" s="2">
        <v>1.07</v>
      </c>
      <c r="O185" s="2">
        <v>0.42</v>
      </c>
      <c r="P185" s="2">
        <f t="shared" si="14"/>
        <v>1.0569558848120759</v>
      </c>
      <c r="Q185" s="2">
        <f t="shared" si="15"/>
        <v>0.64508086360408778</v>
      </c>
      <c r="R185" s="2">
        <f t="shared" si="16"/>
        <v>-3.9094357225451044</v>
      </c>
      <c r="S185">
        <f t="shared" si="17"/>
        <v>0.21282169598674183</v>
      </c>
      <c r="U185">
        <v>1.632268215499513</v>
      </c>
    </row>
    <row r="186" spans="1:21" ht="13.9" x14ac:dyDescent="0.3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12"/>
        <v>#NUM!</v>
      </c>
      <c r="I186" s="2">
        <f t="shared" si="13"/>
        <v>1.2325057595245815E-2</v>
      </c>
      <c r="J186" s="2">
        <v>0</v>
      </c>
      <c r="K186" s="2">
        <v>0</v>
      </c>
      <c r="L186" s="2">
        <v>5.83</v>
      </c>
      <c r="M186" s="2">
        <v>1.18</v>
      </c>
      <c r="N186" s="2">
        <v>6.02</v>
      </c>
      <c r="O186" s="2">
        <v>4.32</v>
      </c>
      <c r="P186" s="2">
        <f t="shared" si="14"/>
        <v>-0.98257292824181575</v>
      </c>
      <c r="Q186" s="2">
        <f t="shared" si="15"/>
        <v>0.47451775888466852</v>
      </c>
      <c r="R186" s="2" t="e">
        <f t="shared" si="16"/>
        <v>#NUM!</v>
      </c>
      <c r="S186" t="e">
        <f t="shared" si="17"/>
        <v>#NUM!</v>
      </c>
      <c r="U186">
        <v>2.5434958834257717</v>
      </c>
    </row>
    <row r="187" spans="1:21" ht="13.9" x14ac:dyDescent="0.3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12"/>
        <v>1.0750232053637305</v>
      </c>
      <c r="I187" s="2">
        <f t="shared" si="13"/>
        <v>0.24859071706412406</v>
      </c>
      <c r="J187" s="2">
        <v>31.64</v>
      </c>
      <c r="K187" s="2">
        <v>18.3</v>
      </c>
      <c r="L187" s="2">
        <v>5.64</v>
      </c>
      <c r="M187" s="2">
        <v>15.5</v>
      </c>
      <c r="N187" s="2">
        <v>10.56</v>
      </c>
      <c r="O187" s="2">
        <v>15.39</v>
      </c>
      <c r="P187" s="2">
        <f t="shared" si="14"/>
        <v>0.42319373281744893</v>
      </c>
      <c r="Q187" s="2">
        <f t="shared" si="15"/>
        <v>0.57289824187579652</v>
      </c>
      <c r="R187" s="2">
        <f t="shared" si="16"/>
        <v>-0.65182947254628165</v>
      </c>
      <c r="S187">
        <f t="shared" si="17"/>
        <v>0.39366009096916449</v>
      </c>
      <c r="U187">
        <v>5.7964939294258375</v>
      </c>
    </row>
    <row r="188" spans="1:21" ht="13.9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12"/>
        <v>#NUM!</v>
      </c>
      <c r="I188" s="2">
        <f t="shared" si="13"/>
        <v>0.17591959189449596</v>
      </c>
      <c r="J188" s="2">
        <v>0</v>
      </c>
      <c r="K188" s="2">
        <v>0</v>
      </c>
      <c r="L188" s="2">
        <v>0</v>
      </c>
      <c r="M188" s="2">
        <v>0.39</v>
      </c>
      <c r="N188" s="2">
        <v>0.13</v>
      </c>
      <c r="O188" s="2">
        <v>0</v>
      </c>
      <c r="P188" s="2" t="e">
        <f t="shared" si="14"/>
        <v>#NUM!</v>
      </c>
      <c r="Q188" s="2">
        <f t="shared" si="15"/>
        <v>0.20510645520407772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ht="13.9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12"/>
        <v>#NUM!</v>
      </c>
      <c r="I189" s="2">
        <f t="shared" si="13"/>
        <v>0.13581709535117098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0.53</v>
      </c>
      <c r="P189" s="2" t="e">
        <f t="shared" si="14"/>
        <v>#NUM!</v>
      </c>
      <c r="Q189" s="2">
        <f t="shared" si="15"/>
        <v>0.37390096630005903</v>
      </c>
      <c r="R189" s="2" t="e">
        <f t="shared" si="16"/>
        <v>#NUM!</v>
      </c>
      <c r="S189" t="e">
        <f t="shared" si="17"/>
        <v>#NUM!</v>
      </c>
      <c r="U189" t="e">
        <v>#NUM!</v>
      </c>
    </row>
    <row r="190" spans="1:21" ht="13.9" x14ac:dyDescent="0.3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12"/>
        <v>1.3792245192195731</v>
      </c>
      <c r="I190" s="2">
        <f t="shared" si="13"/>
        <v>0.35129163569391897</v>
      </c>
      <c r="J190" s="2">
        <v>16.809999999999999</v>
      </c>
      <c r="K190" s="2">
        <v>43.91</v>
      </c>
      <c r="L190" s="2">
        <v>44.06</v>
      </c>
      <c r="M190" s="2">
        <v>10.27</v>
      </c>
      <c r="N190" s="2">
        <v>11.5</v>
      </c>
      <c r="O190" s="2">
        <v>13.17</v>
      </c>
      <c r="P190" s="2">
        <f t="shared" si="14"/>
        <v>1.5844118537523004</v>
      </c>
      <c r="Q190" s="2">
        <f t="shared" si="15"/>
        <v>6.2705018700918838E-2</v>
      </c>
      <c r="R190" s="2">
        <f t="shared" si="16"/>
        <v>0.20518733453272731</v>
      </c>
      <c r="S190">
        <f t="shared" si="17"/>
        <v>1.148770074540751</v>
      </c>
      <c r="U190">
        <v>6.7112195568943349</v>
      </c>
    </row>
    <row r="191" spans="1:21" ht="13.9" x14ac:dyDescent="0.3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12"/>
        <v>-1.3403143459416129</v>
      </c>
      <c r="I191" s="2">
        <f t="shared" si="13"/>
        <v>1.2285375232619177E-2</v>
      </c>
      <c r="J191" s="2">
        <v>0.33</v>
      </c>
      <c r="K191" s="2">
        <v>0</v>
      </c>
      <c r="L191" s="2">
        <v>2.37</v>
      </c>
      <c r="M191" s="2">
        <v>21.42</v>
      </c>
      <c r="N191" s="2">
        <v>16.71</v>
      </c>
      <c r="O191" s="2">
        <v>18.13</v>
      </c>
      <c r="P191" s="2">
        <f t="shared" si="14"/>
        <v>-4.3810782402638688</v>
      </c>
      <c r="Q191" s="2">
        <f t="shared" si="15"/>
        <v>3.4923890218473667E-4</v>
      </c>
      <c r="R191" s="2">
        <f t="shared" si="16"/>
        <v>-3.0407638943222559</v>
      </c>
      <c r="S191">
        <f t="shared" si="17"/>
        <v>3.2686945816326571</v>
      </c>
      <c r="U191">
        <v>1.4329594072761063</v>
      </c>
    </row>
    <row r="192" spans="1:21" ht="13.9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12"/>
        <v>#NUM!</v>
      </c>
      <c r="I192" s="2">
        <f t="shared" si="13"/>
        <v>0.37390096630005903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ht="13.9" x14ac:dyDescent="0.3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12"/>
        <v>2.2580729391169432</v>
      </c>
      <c r="I193" s="2">
        <f t="shared" si="13"/>
        <v>0.13430101108771386</v>
      </c>
      <c r="J193" s="2">
        <v>125.58</v>
      </c>
      <c r="K193" s="2">
        <v>257.62</v>
      </c>
      <c r="L193" s="2">
        <v>109.42</v>
      </c>
      <c r="M193" s="2">
        <v>29.42</v>
      </c>
      <c r="N193" s="2">
        <v>49.34</v>
      </c>
      <c r="O193" s="2">
        <v>32.880000000000003</v>
      </c>
      <c r="P193" s="2">
        <f t="shared" si="14"/>
        <v>2.1416211718384988</v>
      </c>
      <c r="Q193" s="2">
        <f t="shared" si="15"/>
        <v>5.507939986859206E-2</v>
      </c>
      <c r="R193" s="2">
        <f t="shared" si="16"/>
        <v>-0.11645176727844442</v>
      </c>
      <c r="S193">
        <f t="shared" si="17"/>
        <v>0.94842869543267061</v>
      </c>
      <c r="U193">
        <v>8.9443313911298414</v>
      </c>
    </row>
    <row r="194" spans="1:21" ht="13.9" x14ac:dyDescent="0.3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8">LOG(SUM(B194:D194)/SUM(E194:G194),2)</f>
        <v>#DIV/0!</v>
      </c>
      <c r="I194" s="2">
        <f t="shared" ref="I194:I257" si="19">_xlfn.T.TEST(B194:D194,E194:G194,2,2)</f>
        <v>0.37390096630005903</v>
      </c>
      <c r="J194" s="2">
        <v>0</v>
      </c>
      <c r="K194" s="2">
        <v>0</v>
      </c>
      <c r="L194" s="2">
        <v>0</v>
      </c>
      <c r="M194" s="2">
        <v>0.49</v>
      </c>
      <c r="N194" s="2">
        <v>0</v>
      </c>
      <c r="O194" s="2">
        <v>0</v>
      </c>
      <c r="P194" s="2" t="e">
        <f t="shared" ref="P194:P257" si="20">LOG(SUM(J194:L194)/SUM(M194:O194),2)</f>
        <v>#NUM!</v>
      </c>
      <c r="Q194" s="2">
        <f t="shared" ref="Q194:Q257" si="21">_xlfn.T.TEST(J194:L194,M194:O194,2,2)</f>
        <v>0.37390096630005903</v>
      </c>
      <c r="R194" s="2" t="e">
        <f t="shared" si="16"/>
        <v>#NUM!</v>
      </c>
      <c r="S194" t="e">
        <f t="shared" si="17"/>
        <v>#NUM!</v>
      </c>
      <c r="U194" t="e">
        <v>#NUM!</v>
      </c>
    </row>
    <row r="195" spans="1:21" ht="13.9" x14ac:dyDescent="0.3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8"/>
        <v>-1.1299210903917332</v>
      </c>
      <c r="I195" s="2">
        <f t="shared" si="19"/>
        <v>0.13494704145451841</v>
      </c>
      <c r="J195" s="2">
        <v>14.17</v>
      </c>
      <c r="K195" s="2">
        <v>0</v>
      </c>
      <c r="L195" s="2">
        <v>15.29</v>
      </c>
      <c r="M195" s="2">
        <v>27.64</v>
      </c>
      <c r="N195" s="2">
        <v>27.41</v>
      </c>
      <c r="O195" s="2">
        <v>18.02</v>
      </c>
      <c r="P195" s="2">
        <f t="shared" si="20"/>
        <v>-1.3105217769692457</v>
      </c>
      <c r="Q195" s="2">
        <f t="shared" si="21"/>
        <v>6.7940665119628652E-2</v>
      </c>
      <c r="R195" s="2">
        <f t="shared" ref="R195:R258" si="22">P195-H195</f>
        <v>-0.18060068657751249</v>
      </c>
      <c r="S195">
        <f t="shared" si="17"/>
        <v>1.1598347779444491</v>
      </c>
      <c r="U195">
        <v>4.880685525261125</v>
      </c>
    </row>
    <row r="196" spans="1:21" ht="13.9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8"/>
        <v>#NUM!</v>
      </c>
      <c r="I196" s="2">
        <f t="shared" si="19"/>
        <v>0.18536244939379634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0.11</v>
      </c>
      <c r="P196" s="2" t="e">
        <f t="shared" si="20"/>
        <v>#NUM!</v>
      </c>
      <c r="Q196" s="2">
        <f t="shared" si="21"/>
        <v>0.37390096630005903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ht="13.9" x14ac:dyDescent="0.3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8"/>
        <v>-1.1299210903917332</v>
      </c>
      <c r="I197" s="2">
        <f t="shared" si="19"/>
        <v>0.13494704145451841</v>
      </c>
      <c r="J197" s="2">
        <v>14.17</v>
      </c>
      <c r="K197" s="2">
        <v>0</v>
      </c>
      <c r="L197" s="2">
        <v>15.29</v>
      </c>
      <c r="M197" s="2">
        <v>27.64</v>
      </c>
      <c r="N197" s="2">
        <v>27.41</v>
      </c>
      <c r="O197" s="2">
        <v>18.02</v>
      </c>
      <c r="P197" s="2">
        <f t="shared" si="20"/>
        <v>-1.3105217769692457</v>
      </c>
      <c r="Q197" s="2">
        <f t="shared" si="21"/>
        <v>6.7940665119628652E-2</v>
      </c>
      <c r="R197" s="2">
        <f t="shared" si="22"/>
        <v>-0.18060068657751249</v>
      </c>
      <c r="S197">
        <f t="shared" si="23"/>
        <v>1.1598347779444491</v>
      </c>
      <c r="U197">
        <v>4.880685525261125</v>
      </c>
    </row>
    <row r="198" spans="1:21" ht="13.9" x14ac:dyDescent="0.3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8"/>
        <v>-0.79316901581429322</v>
      </c>
      <c r="I198" s="2">
        <f t="shared" si="19"/>
        <v>0.50469920495601062</v>
      </c>
      <c r="J198" s="2">
        <v>0.33</v>
      </c>
      <c r="K198" s="2">
        <v>0</v>
      </c>
      <c r="L198" s="2">
        <v>0.73</v>
      </c>
      <c r="M198" s="2">
        <v>1.68</v>
      </c>
      <c r="N198" s="2">
        <v>0</v>
      </c>
      <c r="O198" s="2">
        <v>1.58</v>
      </c>
      <c r="P198" s="2">
        <f t="shared" si="20"/>
        <v>-1.6208076996678782</v>
      </c>
      <c r="Q198" s="2">
        <f t="shared" si="21"/>
        <v>0.27728734098933094</v>
      </c>
      <c r="R198" s="2">
        <f t="shared" si="22"/>
        <v>-0.82763868385358497</v>
      </c>
      <c r="S198">
        <f t="shared" si="23"/>
        <v>2.0434581625757331</v>
      </c>
      <c r="U198">
        <v>8.4064264788474549E-2</v>
      </c>
    </row>
    <row r="199" spans="1:21" ht="13.9" x14ac:dyDescent="0.3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8"/>
        <v>-0.45170252918734827</v>
      </c>
      <c r="I199" s="2">
        <f t="shared" si="19"/>
        <v>0.49730209806101011</v>
      </c>
      <c r="J199" s="2">
        <v>59.33</v>
      </c>
      <c r="K199" s="2">
        <v>40.25</v>
      </c>
      <c r="L199" s="2">
        <v>42.42</v>
      </c>
      <c r="M199" s="2">
        <v>23.59</v>
      </c>
      <c r="N199" s="2">
        <v>16.850000000000001</v>
      </c>
      <c r="O199" s="2">
        <v>22.87</v>
      </c>
      <c r="P199" s="2">
        <f t="shared" si="20"/>
        <v>1.1653856290559723</v>
      </c>
      <c r="Q199" s="2">
        <f t="shared" si="21"/>
        <v>1.4858842453652888E-2</v>
      </c>
      <c r="R199" s="2">
        <f t="shared" si="22"/>
        <v>1.6170881582433205</v>
      </c>
      <c r="S199">
        <f t="shared" si="23"/>
        <v>-2.5799847327678269</v>
      </c>
      <c r="U199">
        <v>7.1497471195046822</v>
      </c>
    </row>
    <row r="200" spans="1:21" ht="13.9" x14ac:dyDescent="0.3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8"/>
        <v>1.715886423225641</v>
      </c>
      <c r="I200" s="2">
        <f t="shared" si="19"/>
        <v>2.5527826185763675E-2</v>
      </c>
      <c r="J200" s="2">
        <v>109.1</v>
      </c>
      <c r="K200" s="2">
        <v>96.61</v>
      </c>
      <c r="L200" s="2">
        <v>89.21</v>
      </c>
      <c r="M200" s="2">
        <v>19.64</v>
      </c>
      <c r="N200" s="2">
        <v>22.86</v>
      </c>
      <c r="O200" s="2">
        <v>28.14</v>
      </c>
      <c r="P200" s="2">
        <f t="shared" si="20"/>
        <v>2.0617664139833458</v>
      </c>
      <c r="Q200" s="2">
        <f t="shared" si="21"/>
        <v>2.9070615458903385E-4</v>
      </c>
      <c r="R200" s="2">
        <f t="shared" si="22"/>
        <v>0.34587999075770481</v>
      </c>
      <c r="S200">
        <f t="shared" si="23"/>
        <v>1.2015751078136605</v>
      </c>
      <c r="U200">
        <v>8.2041798518570879</v>
      </c>
    </row>
    <row r="201" spans="1:21" ht="13.9" x14ac:dyDescent="0.3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8"/>
        <v>-0.40843298641288855</v>
      </c>
      <c r="I201" s="2">
        <f t="shared" si="19"/>
        <v>0.65052562926826374</v>
      </c>
      <c r="J201" s="2">
        <v>28.68</v>
      </c>
      <c r="K201" s="2">
        <v>0</v>
      </c>
      <c r="L201" s="2">
        <v>1.82</v>
      </c>
      <c r="M201" s="2">
        <v>9.77</v>
      </c>
      <c r="N201" s="2">
        <v>9.76</v>
      </c>
      <c r="O201" s="2">
        <v>11.8</v>
      </c>
      <c r="P201" s="2">
        <f t="shared" si="20"/>
        <v>-3.8735527033442831E-2</v>
      </c>
      <c r="Q201" s="2">
        <f t="shared" si="21"/>
        <v>0.97768352074186526</v>
      </c>
      <c r="R201" s="2">
        <f t="shared" si="22"/>
        <v>0.3696974593794457</v>
      </c>
      <c r="S201">
        <f t="shared" si="23"/>
        <v>9.4839369791461306E-2</v>
      </c>
      <c r="U201">
        <v>4.9307373375628867</v>
      </c>
    </row>
    <row r="202" spans="1:21" ht="13.9" x14ac:dyDescent="0.3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8"/>
        <v>#NUM!</v>
      </c>
      <c r="I202" s="2">
        <f t="shared" si="19"/>
        <v>2.9338025079515145E-2</v>
      </c>
      <c r="J202" s="2">
        <v>0</v>
      </c>
      <c r="K202" s="2">
        <v>3.17</v>
      </c>
      <c r="L202" s="2">
        <v>1.64</v>
      </c>
      <c r="M202" s="2">
        <v>1.88</v>
      </c>
      <c r="N202" s="2">
        <v>1.6</v>
      </c>
      <c r="O202" s="2">
        <v>0.53</v>
      </c>
      <c r="P202" s="2">
        <f t="shared" si="20"/>
        <v>0.26243465731512167</v>
      </c>
      <c r="Q202" s="2">
        <f t="shared" si="21"/>
        <v>0.80357091469270459</v>
      </c>
      <c r="R202" s="2" t="e">
        <f t="shared" si="22"/>
        <v>#NUM!</v>
      </c>
      <c r="S202" t="e">
        <f t="shared" si="23"/>
        <v>#NUM!</v>
      </c>
      <c r="U202">
        <v>2.266036893995317</v>
      </c>
    </row>
    <row r="203" spans="1:21" ht="13.9" x14ac:dyDescent="0.3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8"/>
        <v>-1.189859413742512</v>
      </c>
      <c r="I203" s="2">
        <f t="shared" si="19"/>
        <v>5.7239615447180633E-2</v>
      </c>
      <c r="J203" s="2">
        <v>7.91</v>
      </c>
      <c r="K203" s="2">
        <v>20.25</v>
      </c>
      <c r="L203" s="2">
        <v>18.75</v>
      </c>
      <c r="M203" s="2">
        <v>16.98</v>
      </c>
      <c r="N203" s="2">
        <v>22.86</v>
      </c>
      <c r="O203" s="2">
        <v>24.55</v>
      </c>
      <c r="P203" s="2">
        <f t="shared" si="20"/>
        <v>-0.45694114914218298</v>
      </c>
      <c r="Q203" s="2">
        <f t="shared" si="21"/>
        <v>0.2663232784415418</v>
      </c>
      <c r="R203" s="2">
        <f t="shared" si="22"/>
        <v>0.73291826460032905</v>
      </c>
      <c r="S203">
        <f t="shared" si="23"/>
        <v>0.384029528080925</v>
      </c>
      <c r="U203">
        <v>5.5518235957212569</v>
      </c>
    </row>
    <row r="204" spans="1:21" ht="13.9" x14ac:dyDescent="0.3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8"/>
        <v>-0.67916776163391013</v>
      </c>
      <c r="I204" s="2">
        <f t="shared" si="19"/>
        <v>0.57220456837121536</v>
      </c>
      <c r="J204" s="2">
        <v>26.7</v>
      </c>
      <c r="K204" s="2">
        <v>64.650000000000006</v>
      </c>
      <c r="L204" s="2">
        <v>23.67</v>
      </c>
      <c r="M204" s="2">
        <v>9.3800000000000008</v>
      </c>
      <c r="N204" s="2">
        <v>10.7</v>
      </c>
      <c r="O204" s="2">
        <v>11.49</v>
      </c>
      <c r="P204" s="2">
        <f t="shared" si="20"/>
        <v>1.8652585770763219</v>
      </c>
      <c r="Q204" s="2">
        <f t="shared" si="21"/>
        <v>0.10277079268938721</v>
      </c>
      <c r="R204" s="2">
        <f t="shared" si="22"/>
        <v>2.5444263387102319</v>
      </c>
      <c r="S204">
        <f t="shared" si="23"/>
        <v>-2.7463885691349215</v>
      </c>
      <c r="U204">
        <v>6.8457409326145822</v>
      </c>
    </row>
    <row r="205" spans="1:21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8"/>
        <v>#DIV/0!</v>
      </c>
      <c r="I205" s="2" t="e">
        <f t="shared" si="19"/>
        <v>#DIV/0!</v>
      </c>
      <c r="J205" s="2">
        <v>0</v>
      </c>
      <c r="K205" s="2">
        <v>0</v>
      </c>
      <c r="L205" s="2">
        <v>0</v>
      </c>
      <c r="M205" s="2">
        <v>1.68</v>
      </c>
      <c r="N205" s="2">
        <v>0</v>
      </c>
      <c r="O205" s="2">
        <v>0</v>
      </c>
      <c r="P205" s="2" t="e">
        <f t="shared" si="20"/>
        <v>#NUM!</v>
      </c>
      <c r="Q205" s="2">
        <f t="shared" si="21"/>
        <v>0.37390096630005903</v>
      </c>
      <c r="R205" s="2" t="e">
        <f t="shared" si="22"/>
        <v>#NUM!</v>
      </c>
      <c r="S205" t="e">
        <f t="shared" si="23"/>
        <v>#NUM!</v>
      </c>
      <c r="U205" t="e">
        <v>#NUM!</v>
      </c>
    </row>
    <row r="206" spans="1:21" ht="13.9" x14ac:dyDescent="0.3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8"/>
        <v>3.1902987916265948</v>
      </c>
      <c r="I206" s="2">
        <f t="shared" si="19"/>
        <v>0.42607768116051031</v>
      </c>
      <c r="J206" s="2">
        <v>0</v>
      </c>
      <c r="K206" s="2">
        <v>0</v>
      </c>
      <c r="L206" s="2">
        <v>0</v>
      </c>
      <c r="M206" s="2">
        <v>0.3</v>
      </c>
      <c r="N206" s="2">
        <v>2.94</v>
      </c>
      <c r="O206" s="2">
        <v>0</v>
      </c>
      <c r="P206" s="2" t="e">
        <f t="shared" si="20"/>
        <v>#NUM!</v>
      </c>
      <c r="Q206" s="2">
        <f t="shared" si="21"/>
        <v>0.3119206008414368</v>
      </c>
      <c r="R206" s="2" t="e">
        <f t="shared" si="22"/>
        <v>#NUM!</v>
      </c>
      <c r="S206" t="e">
        <f t="shared" si="23"/>
        <v>#NUM!</v>
      </c>
      <c r="U206" t="e">
        <v>#NUM!</v>
      </c>
    </row>
    <row r="207" spans="1:21" ht="13.9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8"/>
        <v>#NUM!</v>
      </c>
      <c r="I207" s="2">
        <f t="shared" si="19"/>
        <v>0.11734271318907021</v>
      </c>
      <c r="J207" s="2">
        <v>0</v>
      </c>
      <c r="K207" s="2">
        <v>0</v>
      </c>
      <c r="L207" s="2">
        <v>0</v>
      </c>
      <c r="M207" s="2">
        <v>0</v>
      </c>
      <c r="N207" s="2">
        <v>0.13</v>
      </c>
      <c r="O207" s="2">
        <v>0</v>
      </c>
      <c r="P207" s="2" t="e">
        <f t="shared" si="20"/>
        <v>#NUM!</v>
      </c>
      <c r="Q207" s="2">
        <f t="shared" si="21"/>
        <v>0.37390096630005903</v>
      </c>
      <c r="R207" s="2" t="e">
        <f t="shared" si="22"/>
        <v>#NUM!</v>
      </c>
      <c r="S207" t="e">
        <f t="shared" si="23"/>
        <v>#NUM!</v>
      </c>
      <c r="U207" t="e">
        <v>#NUM!</v>
      </c>
    </row>
    <row r="208" spans="1:21" ht="13.9" x14ac:dyDescent="0.3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8"/>
        <v>4.5160356109082445</v>
      </c>
      <c r="I208" s="2">
        <f t="shared" si="19"/>
        <v>1.6085598078910877E-2</v>
      </c>
      <c r="J208" s="2">
        <v>21.42</v>
      </c>
      <c r="K208" s="2">
        <v>20.49</v>
      </c>
      <c r="L208" s="2">
        <v>20.57</v>
      </c>
      <c r="M208" s="2">
        <v>1.38</v>
      </c>
      <c r="N208" s="2">
        <v>1.87</v>
      </c>
      <c r="O208" s="2">
        <v>1.05</v>
      </c>
      <c r="P208" s="2">
        <f t="shared" si="20"/>
        <v>3.860985888552519</v>
      </c>
      <c r="Q208" s="2">
        <f t="shared" si="21"/>
        <v>8.9307631895547999E-7</v>
      </c>
      <c r="R208" s="2">
        <f t="shared" si="22"/>
        <v>-0.65504972235572545</v>
      </c>
      <c r="S208">
        <f t="shared" si="23"/>
        <v>0.85495027524285072</v>
      </c>
      <c r="U208">
        <v>5.9653225483672552</v>
      </c>
    </row>
    <row r="209" spans="1:21" ht="13.9" x14ac:dyDescent="0.3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8"/>
        <v>1.1798615778642259</v>
      </c>
      <c r="I209" s="2">
        <f t="shared" si="19"/>
        <v>5.2909551889095081E-2</v>
      </c>
      <c r="J209" s="2">
        <v>147.01</v>
      </c>
      <c r="K209" s="2">
        <v>96.36</v>
      </c>
      <c r="L209" s="2">
        <v>88.12</v>
      </c>
      <c r="M209" s="2">
        <v>53.01</v>
      </c>
      <c r="N209" s="2">
        <v>41.98</v>
      </c>
      <c r="O209" s="2">
        <v>66.08</v>
      </c>
      <c r="P209" s="2">
        <f t="shared" si="20"/>
        <v>1.0412775387367972</v>
      </c>
      <c r="Q209" s="2">
        <f t="shared" si="21"/>
        <v>4.4748907030911528E-2</v>
      </c>
      <c r="R209" s="2">
        <f t="shared" si="22"/>
        <v>-0.13858403912742867</v>
      </c>
      <c r="S209">
        <f t="shared" si="23"/>
        <v>0.88254212042543823</v>
      </c>
      <c r="U209">
        <v>8.3728215392437679</v>
      </c>
    </row>
    <row r="210" spans="1:21" ht="13.9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8"/>
        <v>#NUM!</v>
      </c>
      <c r="I210" s="2">
        <f t="shared" si="19"/>
        <v>0.1412552101777402</v>
      </c>
      <c r="J210" s="2">
        <v>0</v>
      </c>
      <c r="K210" s="2">
        <v>0</v>
      </c>
      <c r="L210" s="2">
        <v>0</v>
      </c>
      <c r="M210" s="2">
        <v>0.79</v>
      </c>
      <c r="N210" s="2">
        <v>0</v>
      </c>
      <c r="O210" s="2">
        <v>1.1599999999999999</v>
      </c>
      <c r="P210" s="2" t="e">
        <f t="shared" si="20"/>
        <v>#NUM!</v>
      </c>
      <c r="Q210" s="2">
        <f t="shared" si="21"/>
        <v>0.1302355876437756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ht="13.9" x14ac:dyDescent="0.3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8"/>
        <v>2.4522072918693847</v>
      </c>
      <c r="I211" s="2">
        <f t="shared" si="19"/>
        <v>0.46648285853832483</v>
      </c>
      <c r="J211" s="2">
        <v>0</v>
      </c>
      <c r="K211" s="2">
        <v>0.24</v>
      </c>
      <c r="L211" s="2">
        <v>3.46</v>
      </c>
      <c r="M211" s="2">
        <v>0.69</v>
      </c>
      <c r="N211" s="2">
        <v>2.41</v>
      </c>
      <c r="O211" s="2">
        <v>1.05</v>
      </c>
      <c r="P211" s="2">
        <f t="shared" si="20"/>
        <v>-0.16558606571797499</v>
      </c>
      <c r="Q211" s="2">
        <f t="shared" si="21"/>
        <v>0.90898976094163253</v>
      </c>
      <c r="R211" s="2">
        <f t="shared" si="22"/>
        <v>-2.6177933575873595</v>
      </c>
      <c r="S211">
        <f t="shared" si="23"/>
        <v>-6.7525313323631875E-2</v>
      </c>
      <c r="U211">
        <v>1.8875252707415877</v>
      </c>
    </row>
    <row r="212" spans="1:21" ht="13.9" x14ac:dyDescent="0.3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8"/>
        <v>2.3801427088326581</v>
      </c>
      <c r="I212" s="2">
        <f t="shared" si="19"/>
        <v>0.4661413798332511</v>
      </c>
      <c r="J212" s="2">
        <v>1.32</v>
      </c>
      <c r="K212" s="2">
        <v>0</v>
      </c>
      <c r="L212" s="2">
        <v>2.73</v>
      </c>
      <c r="M212" s="2">
        <v>0.1</v>
      </c>
      <c r="N212" s="2">
        <v>0.27</v>
      </c>
      <c r="O212" s="2">
        <v>1.05</v>
      </c>
      <c r="P212" s="2">
        <f t="shared" si="20"/>
        <v>1.5120309782673049</v>
      </c>
      <c r="Q212" s="2">
        <f t="shared" si="21"/>
        <v>0.35594482690175799</v>
      </c>
      <c r="R212" s="2">
        <f t="shared" si="22"/>
        <v>-0.86811173056535318</v>
      </c>
      <c r="S212">
        <f t="shared" si="23"/>
        <v>0.6352690419176088</v>
      </c>
      <c r="U212">
        <v>2.0179219079972626</v>
      </c>
    </row>
    <row r="213" spans="1:21" ht="13.9" x14ac:dyDescent="0.3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8"/>
        <v>-0.18225913946907107</v>
      </c>
      <c r="I213" s="2">
        <f t="shared" si="19"/>
        <v>0.81551578041259076</v>
      </c>
      <c r="J213" s="2">
        <v>22.74</v>
      </c>
      <c r="K213" s="2">
        <v>0.24</v>
      </c>
      <c r="L213" s="2">
        <v>0</v>
      </c>
      <c r="M213" s="2">
        <v>9.08</v>
      </c>
      <c r="N213" s="2">
        <v>11.63</v>
      </c>
      <c r="O213" s="2">
        <v>10.119999999999999</v>
      </c>
      <c r="P213" s="2">
        <f t="shared" si="20"/>
        <v>-0.423956091461062</v>
      </c>
      <c r="Q213" s="2">
        <f t="shared" si="21"/>
        <v>0.74721895200495614</v>
      </c>
      <c r="R213" s="2">
        <f t="shared" si="22"/>
        <v>-0.24169695199199093</v>
      </c>
      <c r="S213">
        <f t="shared" si="23"/>
        <v>2.3261170479355098</v>
      </c>
      <c r="U213">
        <v>4.5223068928713888</v>
      </c>
    </row>
    <row r="214" spans="1:21" ht="13.9" x14ac:dyDescent="0.3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8"/>
        <v>-1.833990048561071</v>
      </c>
      <c r="I214" s="2">
        <f t="shared" si="19"/>
        <v>0.15623956813518</v>
      </c>
      <c r="J214" s="2">
        <v>0</v>
      </c>
      <c r="K214" s="2">
        <v>2.44</v>
      </c>
      <c r="L214" s="2">
        <v>0</v>
      </c>
      <c r="M214" s="2">
        <v>2.0699999999999998</v>
      </c>
      <c r="N214" s="2">
        <v>1.74</v>
      </c>
      <c r="O214" s="2">
        <v>2</v>
      </c>
      <c r="P214" s="2">
        <f t="shared" si="20"/>
        <v>-1.2516570158416427</v>
      </c>
      <c r="Q214" s="2">
        <f t="shared" si="21"/>
        <v>0.24233725178154625</v>
      </c>
      <c r="R214" s="2">
        <f t="shared" si="22"/>
        <v>0.58233303271942827</v>
      </c>
      <c r="S214">
        <f t="shared" si="23"/>
        <v>0.68247753951755596</v>
      </c>
      <c r="U214">
        <v>1.2868811477881617</v>
      </c>
    </row>
    <row r="215" spans="1:21" ht="13.9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8"/>
        <v>#NUM!</v>
      </c>
      <c r="I215" s="2">
        <f t="shared" si="19"/>
        <v>0.11721716888134213</v>
      </c>
      <c r="J215" s="2">
        <v>0</v>
      </c>
      <c r="K215" s="2">
        <v>0</v>
      </c>
      <c r="L215" s="2">
        <v>0</v>
      </c>
      <c r="M215" s="2">
        <v>0.49</v>
      </c>
      <c r="N215" s="2">
        <v>0</v>
      </c>
      <c r="O215" s="2">
        <v>0.32</v>
      </c>
      <c r="P215" s="2" t="e">
        <f t="shared" si="20"/>
        <v>#NUM!</v>
      </c>
      <c r="Q215" s="2">
        <f t="shared" si="21"/>
        <v>0.13333375295265293</v>
      </c>
      <c r="R215" s="2" t="e">
        <f t="shared" si="22"/>
        <v>#NUM!</v>
      </c>
      <c r="S215" t="e">
        <f t="shared" si="23"/>
        <v>#NUM!</v>
      </c>
      <c r="U215" t="e">
        <v>#NUM!</v>
      </c>
    </row>
    <row r="216" spans="1:21" ht="13.9" x14ac:dyDescent="0.3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8"/>
        <v>3.6633963761703696</v>
      </c>
      <c r="I216" s="2">
        <f t="shared" si="19"/>
        <v>0.41046064995689163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ht="13.9" x14ac:dyDescent="0.3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8"/>
        <v>0.38900937842704214</v>
      </c>
      <c r="I217" s="2">
        <f t="shared" si="19"/>
        <v>0.58079117019477577</v>
      </c>
      <c r="J217" s="2">
        <v>19.45</v>
      </c>
      <c r="K217" s="2">
        <v>76.36</v>
      </c>
      <c r="L217" s="2">
        <v>34.770000000000003</v>
      </c>
      <c r="M217" s="2">
        <v>15.2</v>
      </c>
      <c r="N217" s="2">
        <v>6.42</v>
      </c>
      <c r="O217" s="2">
        <v>11.91</v>
      </c>
      <c r="P217" s="2">
        <f t="shared" si="20"/>
        <v>1.9614095583308413</v>
      </c>
      <c r="Q217" s="2">
        <f t="shared" si="21"/>
        <v>0.13305023106314517</v>
      </c>
      <c r="R217" s="2">
        <f t="shared" si="22"/>
        <v>1.5724001799037992</v>
      </c>
      <c r="S217">
        <f t="shared" si="23"/>
        <v>5.0420623951581653</v>
      </c>
      <c r="U217">
        <v>7.028790136349901</v>
      </c>
    </row>
    <row r="218" spans="1:21" ht="13.9" x14ac:dyDescent="0.3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8"/>
        <v>-4.5149714523230653</v>
      </c>
      <c r="I218" s="2">
        <f t="shared" si="19"/>
        <v>1.5671726935449184E-2</v>
      </c>
      <c r="J218" s="2">
        <v>1.32</v>
      </c>
      <c r="K218" s="2">
        <v>16.100000000000001</v>
      </c>
      <c r="L218" s="2">
        <v>2.37</v>
      </c>
      <c r="M218" s="2">
        <v>19.739999999999998</v>
      </c>
      <c r="N218" s="2">
        <v>15.78</v>
      </c>
      <c r="O218" s="2">
        <v>23.92</v>
      </c>
      <c r="P218" s="2">
        <f t="shared" si="20"/>
        <v>-1.5866625034910842</v>
      </c>
      <c r="Q218" s="2">
        <f t="shared" si="21"/>
        <v>6.7546362536198321E-2</v>
      </c>
      <c r="R218" s="2">
        <f t="shared" si="22"/>
        <v>2.9283089488319813</v>
      </c>
      <c r="S218">
        <f t="shared" si="23"/>
        <v>0.35142248854634656</v>
      </c>
      <c r="U218">
        <v>4.3066997072727879</v>
      </c>
    </row>
    <row r="219" spans="1:21" ht="13.9" x14ac:dyDescent="0.3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8"/>
        <v>-0.44366472722504741</v>
      </c>
      <c r="I219" s="2">
        <f t="shared" si="19"/>
        <v>1.3203432106720647E-2</v>
      </c>
      <c r="J219" s="2">
        <v>46428.76</v>
      </c>
      <c r="K219" s="2">
        <v>37218.54</v>
      </c>
      <c r="L219" s="2">
        <v>34930.44</v>
      </c>
      <c r="M219" s="2">
        <v>48004.23</v>
      </c>
      <c r="N219" s="2">
        <v>39007.58</v>
      </c>
      <c r="O219" s="2">
        <v>45590.93</v>
      </c>
      <c r="P219" s="2">
        <f t="shared" si="20"/>
        <v>-0.16127738103710701</v>
      </c>
      <c r="Q219" s="2">
        <f t="shared" si="21"/>
        <v>0.3502812312837858</v>
      </c>
      <c r="R219" s="2">
        <f t="shared" si="22"/>
        <v>0.28238734618794037</v>
      </c>
      <c r="S219">
        <f t="shared" si="23"/>
        <v>0.36351183932478726</v>
      </c>
      <c r="U219">
        <v>16.855473679887695</v>
      </c>
    </row>
    <row r="220" spans="1:21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8"/>
        <v>#DIV/0!</v>
      </c>
      <c r="I220" s="2" t="e">
        <f t="shared" si="19"/>
        <v>#DIV/0!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0.32</v>
      </c>
      <c r="P220" s="2" t="e">
        <f t="shared" si="20"/>
        <v>#NUM!</v>
      </c>
      <c r="Q220" s="2">
        <f t="shared" si="21"/>
        <v>0.37390096630005903</v>
      </c>
      <c r="R220" s="2" t="e">
        <f t="shared" si="22"/>
        <v>#NUM!</v>
      </c>
      <c r="S220" t="e">
        <f t="shared" si="23"/>
        <v>#NUM!</v>
      </c>
      <c r="U220" t="e">
        <v>#NUM!</v>
      </c>
    </row>
    <row r="221" spans="1:21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8"/>
        <v>#DIV/0!</v>
      </c>
      <c r="I221" s="2" t="e">
        <f t="shared" si="19"/>
        <v>#DIV/0!</v>
      </c>
      <c r="J221" s="2">
        <v>0</v>
      </c>
      <c r="K221" s="2">
        <v>0</v>
      </c>
      <c r="L221" s="2">
        <v>0</v>
      </c>
      <c r="M221" s="2">
        <v>0.1</v>
      </c>
      <c r="N221" s="2">
        <v>0</v>
      </c>
      <c r="O221" s="2">
        <v>0</v>
      </c>
      <c r="P221" s="2" t="e">
        <f t="shared" si="20"/>
        <v>#NUM!</v>
      </c>
      <c r="Q221" s="2">
        <f t="shared" si="21"/>
        <v>0.37390096630005903</v>
      </c>
      <c r="R221" s="2" t="e">
        <f t="shared" si="22"/>
        <v>#NUM!</v>
      </c>
      <c r="S221" t="e">
        <f t="shared" si="23"/>
        <v>#NUM!</v>
      </c>
      <c r="U221" t="e">
        <v>#NUM!</v>
      </c>
    </row>
    <row r="222" spans="1:21" ht="13.9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8"/>
        <v>#DIV/0!</v>
      </c>
      <c r="I222" s="2" t="e">
        <f t="shared" si="19"/>
        <v>#DIV/0!</v>
      </c>
      <c r="J222" s="2">
        <v>10.220000000000001</v>
      </c>
      <c r="K222" s="2">
        <v>0</v>
      </c>
      <c r="L222" s="2">
        <v>0</v>
      </c>
      <c r="M222" s="2">
        <v>0</v>
      </c>
      <c r="N222" s="2">
        <v>0</v>
      </c>
      <c r="O222" s="2">
        <v>0.42</v>
      </c>
      <c r="P222" s="2">
        <f t="shared" si="20"/>
        <v>4.6048620581588615</v>
      </c>
      <c r="Q222" s="2">
        <f t="shared" si="21"/>
        <v>0.39227061798676671</v>
      </c>
      <c r="R222" s="2" t="e">
        <f t="shared" si="22"/>
        <v>#DIV/0!</v>
      </c>
      <c r="S222" t="e">
        <f t="shared" si="23"/>
        <v>#DIV/0!</v>
      </c>
      <c r="U222">
        <v>3.353323291162897</v>
      </c>
    </row>
    <row r="223" spans="1:21" ht="13.9" x14ac:dyDescent="0.3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8"/>
        <v>#NUM!</v>
      </c>
      <c r="I223" s="2">
        <f t="shared" si="19"/>
        <v>8.7426726265654973E-3</v>
      </c>
      <c r="J223" s="2">
        <v>0</v>
      </c>
      <c r="K223" s="2">
        <v>0.24</v>
      </c>
      <c r="L223" s="2">
        <v>0</v>
      </c>
      <c r="M223" s="2">
        <v>10.46</v>
      </c>
      <c r="N223" s="2">
        <v>8.56</v>
      </c>
      <c r="O223" s="2">
        <v>12.86</v>
      </c>
      <c r="P223" s="2">
        <f t="shared" si="20"/>
        <v>-7.0534734132693151</v>
      </c>
      <c r="Q223" s="2">
        <f t="shared" si="21"/>
        <v>1.069751573861525E-3</v>
      </c>
      <c r="R223" s="2" t="e">
        <f t="shared" si="22"/>
        <v>#NUM!</v>
      </c>
      <c r="S223" t="e">
        <f t="shared" si="23"/>
        <v>#NUM!</v>
      </c>
      <c r="U223">
        <v>-2.0588936890535687</v>
      </c>
    </row>
    <row r="224" spans="1:21" ht="13.9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1.69</v>
      </c>
      <c r="P224" s="2" t="e">
        <f t="shared" si="20"/>
        <v>#NUM!</v>
      </c>
      <c r="Q224" s="2">
        <f t="shared" si="21"/>
        <v>0.37390096630005903</v>
      </c>
      <c r="R224" s="2" t="e">
        <f t="shared" si="22"/>
        <v>#NUM!</v>
      </c>
      <c r="S224" t="e">
        <f t="shared" si="23"/>
        <v>#NUM!</v>
      </c>
      <c r="U224" t="e">
        <v>#NUM!</v>
      </c>
    </row>
    <row r="225" spans="1:21" ht="13.9" x14ac:dyDescent="0.3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8"/>
        <v>#NUM!</v>
      </c>
      <c r="I225" s="2">
        <f t="shared" si="19"/>
        <v>0.11617519568016452</v>
      </c>
      <c r="J225" s="2">
        <v>7.91</v>
      </c>
      <c r="K225" s="2">
        <v>0</v>
      </c>
      <c r="L225" s="2">
        <v>0.91</v>
      </c>
      <c r="M225" s="2">
        <v>0</v>
      </c>
      <c r="N225" s="2">
        <v>0.27</v>
      </c>
      <c r="O225" s="2">
        <v>0</v>
      </c>
      <c r="P225" s="2">
        <f t="shared" si="20"/>
        <v>5.0297473433940523</v>
      </c>
      <c r="Q225" s="2">
        <f t="shared" si="21"/>
        <v>0.31799275586244319</v>
      </c>
      <c r="R225" s="2" t="e">
        <f t="shared" si="22"/>
        <v>#NUM!</v>
      </c>
      <c r="S225" t="e">
        <f t="shared" si="23"/>
        <v>#NUM!</v>
      </c>
      <c r="U225">
        <v>3.1407786557827961</v>
      </c>
    </row>
    <row r="226" spans="1:21" ht="13.9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8"/>
        <v>#NUM!</v>
      </c>
      <c r="I226" s="2">
        <f t="shared" si="19"/>
        <v>0.37390096630005903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 t="e">
        <f t="shared" si="20"/>
        <v>#DIV/0!</v>
      </c>
      <c r="Q226" s="2" t="e">
        <f t="shared" si="21"/>
        <v>#DIV/0!</v>
      </c>
      <c r="R226" s="2" t="e">
        <f t="shared" si="22"/>
        <v>#DIV/0!</v>
      </c>
      <c r="S226" t="e">
        <f t="shared" si="23"/>
        <v>#DIV/0!</v>
      </c>
      <c r="U226" t="e">
        <v>#NUM!</v>
      </c>
    </row>
    <row r="227" spans="1:21" ht="13.9" x14ac:dyDescent="0.3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8"/>
        <v>#NUM!</v>
      </c>
      <c r="I227" s="2">
        <f t="shared" si="19"/>
        <v>0.37390096630005903</v>
      </c>
      <c r="J227" s="2">
        <v>0</v>
      </c>
      <c r="K227" s="2">
        <v>0.24</v>
      </c>
      <c r="L227" s="2">
        <v>0</v>
      </c>
      <c r="M227" s="2">
        <v>0.2</v>
      </c>
      <c r="N227" s="2">
        <v>0.8</v>
      </c>
      <c r="O227" s="2">
        <v>0.63</v>
      </c>
      <c r="P227" s="2">
        <f t="shared" si="20"/>
        <v>-2.7637656535099211</v>
      </c>
      <c r="Q227" s="2">
        <f t="shared" si="21"/>
        <v>7.6970900299341519E-2</v>
      </c>
      <c r="R227" s="2" t="e">
        <f t="shared" si="22"/>
        <v>#NUM!</v>
      </c>
      <c r="S227" t="e">
        <f t="shared" si="23"/>
        <v>#NUM!</v>
      </c>
      <c r="U227">
        <v>-2.0588936890535687</v>
      </c>
    </row>
    <row r="228" spans="1:21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8"/>
        <v>#DIV/0!</v>
      </c>
      <c r="I228" s="2" t="e">
        <f t="shared" si="19"/>
        <v>#DIV/0!</v>
      </c>
      <c r="J228" s="2">
        <v>0</v>
      </c>
      <c r="K228" s="2">
        <v>0</v>
      </c>
      <c r="L228" s="2">
        <v>0</v>
      </c>
      <c r="M228" s="2">
        <v>1.0900000000000001</v>
      </c>
      <c r="N228" s="2">
        <v>0</v>
      </c>
      <c r="O228" s="2">
        <v>0</v>
      </c>
      <c r="P228" s="2" t="e">
        <f t="shared" si="20"/>
        <v>#NUM!</v>
      </c>
      <c r="Q228" s="2">
        <f t="shared" si="21"/>
        <v>0.37390096630005903</v>
      </c>
      <c r="R228" s="2" t="e">
        <f t="shared" si="22"/>
        <v>#NUM!</v>
      </c>
      <c r="S228" t="e">
        <f t="shared" si="23"/>
        <v>#NUM!</v>
      </c>
      <c r="U228" t="e">
        <v>#NUM!</v>
      </c>
    </row>
    <row r="229" spans="1:21" ht="13.9" x14ac:dyDescent="0.3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8"/>
        <v>1.8555004907079764</v>
      </c>
      <c r="I229" s="2">
        <f t="shared" si="19"/>
        <v>9.5252105945783684E-3</v>
      </c>
      <c r="J229" s="2">
        <v>3602.68</v>
      </c>
      <c r="K229" s="2">
        <v>2365.94</v>
      </c>
      <c r="L229" s="2">
        <v>1623.29</v>
      </c>
      <c r="M229" s="2">
        <v>827.83</v>
      </c>
      <c r="N229" s="2">
        <v>1026.2</v>
      </c>
      <c r="O229" s="2">
        <v>723.16</v>
      </c>
      <c r="P229" s="2">
        <f t="shared" si="20"/>
        <v>1.55866398776381</v>
      </c>
      <c r="Q229" s="2">
        <f t="shared" si="21"/>
        <v>4.5847189070853625E-2</v>
      </c>
      <c r="R229" s="2">
        <f t="shared" si="22"/>
        <v>-0.29683650294416641</v>
      </c>
      <c r="S229">
        <f t="shared" si="23"/>
        <v>0.84002348453655928</v>
      </c>
      <c r="U229">
        <v>12.890247174370517</v>
      </c>
    </row>
    <row r="230" spans="1:21" ht="13.9" x14ac:dyDescent="0.3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8"/>
        <v>-0.76818577009353062</v>
      </c>
      <c r="I230" s="2">
        <f t="shared" si="19"/>
        <v>9.0737076656837293E-2</v>
      </c>
      <c r="J230" s="2">
        <v>188.87</v>
      </c>
      <c r="K230" s="2">
        <v>121.74</v>
      </c>
      <c r="L230" s="2">
        <v>252.16</v>
      </c>
      <c r="M230" s="2">
        <v>280.06</v>
      </c>
      <c r="N230" s="2">
        <v>243.75</v>
      </c>
      <c r="O230" s="2">
        <v>269.47000000000003</v>
      </c>
      <c r="P230" s="2">
        <f t="shared" si="20"/>
        <v>-0.49528475273327566</v>
      </c>
      <c r="Q230" s="2">
        <f t="shared" si="21"/>
        <v>0.12131085268774054</v>
      </c>
      <c r="R230" s="2">
        <f t="shared" si="22"/>
        <v>0.27290101736025496</v>
      </c>
      <c r="S230">
        <f t="shared" si="23"/>
        <v>0.64474606535990919</v>
      </c>
      <c r="U230">
        <v>9.1364016135787214</v>
      </c>
    </row>
    <row r="231" spans="1:21" ht="13.9" x14ac:dyDescent="0.3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8"/>
        <v>3.8026773706962343E-2</v>
      </c>
      <c r="I231" s="2">
        <f t="shared" si="19"/>
        <v>0.81216620131704387</v>
      </c>
      <c r="J231" s="2">
        <v>137.12</v>
      </c>
      <c r="K231" s="2">
        <v>104.42</v>
      </c>
      <c r="L231" s="2">
        <v>78.290000000000006</v>
      </c>
      <c r="M231" s="2">
        <v>72.36</v>
      </c>
      <c r="N231" s="2">
        <v>66.72</v>
      </c>
      <c r="O231" s="2">
        <v>65.23</v>
      </c>
      <c r="P231" s="2">
        <f t="shared" si="20"/>
        <v>0.6465454508763101</v>
      </c>
      <c r="Q231" s="2">
        <f t="shared" si="21"/>
        <v>8.8180597144386322E-2</v>
      </c>
      <c r="R231" s="2">
        <f t="shared" si="22"/>
        <v>0.60851867716934771</v>
      </c>
      <c r="S231">
        <f t="shared" si="23"/>
        <v>17.002374586354502</v>
      </c>
      <c r="U231">
        <v>8.3211614594913286</v>
      </c>
    </row>
    <row r="232" spans="1:21" ht="13.9" x14ac:dyDescent="0.3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8"/>
        <v>-1.3447588032682478</v>
      </c>
      <c r="I232" s="2">
        <f t="shared" si="19"/>
        <v>8.701923900004839E-2</v>
      </c>
      <c r="J232" s="2">
        <v>12.85</v>
      </c>
      <c r="K232" s="2">
        <v>5.12</v>
      </c>
      <c r="L232" s="2">
        <v>3.1</v>
      </c>
      <c r="M232" s="2">
        <v>14.02</v>
      </c>
      <c r="N232" s="2">
        <v>9.6300000000000008</v>
      </c>
      <c r="O232" s="2">
        <v>16.86</v>
      </c>
      <c r="P232" s="2">
        <f t="shared" si="20"/>
        <v>-0.94308777086913054</v>
      </c>
      <c r="Q232" s="2">
        <f t="shared" si="21"/>
        <v>0.14965479790132341</v>
      </c>
      <c r="R232" s="2">
        <f t="shared" si="22"/>
        <v>0.40167103239911728</v>
      </c>
      <c r="S232">
        <f t="shared" si="23"/>
        <v>0.70130626293509879</v>
      </c>
      <c r="U232">
        <v>4.397118409042581</v>
      </c>
    </row>
    <row r="233" spans="1:21" ht="13.9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8"/>
        <v>#NUM!</v>
      </c>
      <c r="I233" s="2">
        <f t="shared" si="19"/>
        <v>0.37390096630005903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ht="13.9" x14ac:dyDescent="0.3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>
        <f t="shared" si="19"/>
        <v>0.37390096630005903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ht="13.9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 t="e">
        <f t="shared" si="19"/>
        <v>#DIV/0!</v>
      </c>
      <c r="J235" s="2">
        <v>0</v>
      </c>
      <c r="K235" s="2">
        <v>0.24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>
        <f t="shared" si="21"/>
        <v>0.37390096630005903</v>
      </c>
      <c r="R235" s="2" t="e">
        <f t="shared" si="22"/>
        <v>#DIV/0!</v>
      </c>
      <c r="S235" t="e">
        <f t="shared" si="23"/>
        <v>#DIV/0!</v>
      </c>
      <c r="U235">
        <v>-2.0588936890535687</v>
      </c>
    </row>
    <row r="236" spans="1:21" ht="13.9" x14ac:dyDescent="0.3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8"/>
        <v>3.283970872236976</v>
      </c>
      <c r="I236" s="2">
        <f t="shared" si="19"/>
        <v>0.42108570010183399</v>
      </c>
      <c r="J236" s="2">
        <v>0.33</v>
      </c>
      <c r="K236" s="2">
        <v>0</v>
      </c>
      <c r="L236" s="2">
        <v>11.11</v>
      </c>
      <c r="M236" s="2">
        <v>2.37</v>
      </c>
      <c r="N236" s="2">
        <v>5.62</v>
      </c>
      <c r="O236" s="2">
        <v>3.37</v>
      </c>
      <c r="P236" s="2">
        <f t="shared" si="20"/>
        <v>1.0124217273707341E-2</v>
      </c>
      <c r="Q236" s="2">
        <f t="shared" si="21"/>
        <v>0.99470062805235471</v>
      </c>
      <c r="R236" s="2">
        <f t="shared" si="22"/>
        <v>-3.2738466549632688</v>
      </c>
      <c r="S236">
        <f t="shared" si="23"/>
        <v>3.0829193277256213E-3</v>
      </c>
      <c r="U236">
        <v>3.5160151470036647</v>
      </c>
    </row>
    <row r="237" spans="1:21" ht="13.9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8"/>
        <v>#NUM!</v>
      </c>
      <c r="I237" s="2">
        <f t="shared" si="19"/>
        <v>0.37390096630005903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ht="13.9" x14ac:dyDescent="0.3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8"/>
        <v>0.42429630990923645</v>
      </c>
      <c r="I238" s="2">
        <f t="shared" si="19"/>
        <v>0.54988811403259263</v>
      </c>
      <c r="J238" s="2">
        <v>5.27</v>
      </c>
      <c r="K238" s="2">
        <v>31.47</v>
      </c>
      <c r="L238" s="2">
        <v>7.46</v>
      </c>
      <c r="M238" s="2">
        <v>16.29</v>
      </c>
      <c r="N238" s="2">
        <v>17.25</v>
      </c>
      <c r="O238" s="2">
        <v>18.34</v>
      </c>
      <c r="P238" s="2">
        <f t="shared" si="20"/>
        <v>-0.23113210997290551</v>
      </c>
      <c r="Q238" s="2">
        <f t="shared" si="21"/>
        <v>0.77608092815729057</v>
      </c>
      <c r="R238" s="2">
        <f t="shared" si="22"/>
        <v>-0.65542841988214195</v>
      </c>
      <c r="S238">
        <f t="shared" si="23"/>
        <v>-0.54474221098540365</v>
      </c>
      <c r="U238">
        <v>5.4659744645040691</v>
      </c>
    </row>
    <row r="239" spans="1:21" ht="13.9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8"/>
        <v>#NUM!</v>
      </c>
      <c r="I239" s="2">
        <f t="shared" si="19"/>
        <v>0.37390096630005903</v>
      </c>
      <c r="J239" s="2">
        <v>0</v>
      </c>
      <c r="K239" s="2">
        <v>0</v>
      </c>
      <c r="L239" s="2">
        <v>0</v>
      </c>
      <c r="M239" s="2">
        <v>0.2</v>
      </c>
      <c r="N239" s="2">
        <v>0.27</v>
      </c>
      <c r="O239" s="2">
        <v>0.42</v>
      </c>
      <c r="P239" s="2" t="e">
        <f t="shared" si="20"/>
        <v>#NUM!</v>
      </c>
      <c r="Q239" s="2">
        <f t="shared" si="21"/>
        <v>1.0248191027726027E-2</v>
      </c>
      <c r="R239" s="2" t="e">
        <f t="shared" si="22"/>
        <v>#NUM!</v>
      </c>
      <c r="S239" t="e">
        <f t="shared" si="23"/>
        <v>#NUM!</v>
      </c>
      <c r="U239" t="e">
        <v>#NUM!</v>
      </c>
    </row>
    <row r="240" spans="1:21" ht="13.9" x14ac:dyDescent="0.3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8"/>
        <v>1.753049317501282</v>
      </c>
      <c r="I240" s="2">
        <f t="shared" si="19"/>
        <v>0.39754656876458688</v>
      </c>
      <c r="J240" s="2">
        <v>0.33</v>
      </c>
      <c r="K240" s="2">
        <v>0.24</v>
      </c>
      <c r="L240" s="2">
        <v>0</v>
      </c>
      <c r="M240" s="2">
        <v>2.57</v>
      </c>
      <c r="N240" s="2">
        <v>3.48</v>
      </c>
      <c r="O240" s="2">
        <v>3.9</v>
      </c>
      <c r="P240" s="2">
        <f t="shared" si="20"/>
        <v>-4.1256627012662692</v>
      </c>
      <c r="Q240" s="2">
        <f t="shared" si="21"/>
        <v>1.5112018805334404E-3</v>
      </c>
      <c r="R240" s="2">
        <f t="shared" si="22"/>
        <v>-5.8787120187675512</v>
      </c>
      <c r="S240">
        <f t="shared" si="23"/>
        <v>-2.3534207851874949</v>
      </c>
      <c r="U240">
        <v>-0.81096617560998285</v>
      </c>
    </row>
    <row r="241" spans="1:21" ht="13.9" x14ac:dyDescent="0.3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8"/>
        <v>#NUM!</v>
      </c>
      <c r="I241" s="2">
        <f t="shared" si="19"/>
        <v>1.1122606076481775E-3</v>
      </c>
      <c r="J241" s="2">
        <v>0</v>
      </c>
      <c r="K241" s="2">
        <v>0.24</v>
      </c>
      <c r="L241" s="2">
        <v>0</v>
      </c>
      <c r="M241" s="2">
        <v>8.7899999999999991</v>
      </c>
      <c r="N241" s="2">
        <v>8.16</v>
      </c>
      <c r="O241" s="2">
        <v>1.9</v>
      </c>
      <c r="P241" s="2">
        <f t="shared" si="20"/>
        <v>-6.2953863074348702</v>
      </c>
      <c r="Q241" s="2">
        <f t="shared" si="21"/>
        <v>4.7883604904502129E-2</v>
      </c>
      <c r="R241" s="2" t="e">
        <f t="shared" si="22"/>
        <v>#NUM!</v>
      </c>
      <c r="S241" t="e">
        <f t="shared" si="23"/>
        <v>#NUM!</v>
      </c>
      <c r="U241">
        <v>-2.0588936890535687</v>
      </c>
    </row>
    <row r="242" spans="1:21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8"/>
        <v>#DIV/0!</v>
      </c>
      <c r="I242" s="2" t="e">
        <f t="shared" si="19"/>
        <v>#DIV/0!</v>
      </c>
      <c r="J242" s="2">
        <v>0</v>
      </c>
      <c r="K242" s="2">
        <v>0</v>
      </c>
      <c r="L242" s="2">
        <v>0</v>
      </c>
      <c r="M242" s="2">
        <v>1.58</v>
      </c>
      <c r="N242" s="2">
        <v>0</v>
      </c>
      <c r="O242" s="2">
        <v>0</v>
      </c>
      <c r="P242" s="2" t="e">
        <f t="shared" si="20"/>
        <v>#NUM!</v>
      </c>
      <c r="Q242" s="2">
        <f t="shared" si="21"/>
        <v>0.37390096630005903</v>
      </c>
      <c r="R242" s="2" t="e">
        <f t="shared" si="22"/>
        <v>#NUM!</v>
      </c>
      <c r="S242" t="e">
        <f t="shared" si="23"/>
        <v>#NUM!</v>
      </c>
      <c r="U242" t="e">
        <v>#NUM!</v>
      </c>
    </row>
    <row r="243" spans="1:21" ht="13.9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8"/>
        <v>#DIV/0!</v>
      </c>
      <c r="I243" s="2" t="e">
        <f t="shared" si="19"/>
        <v>#DIV/0!</v>
      </c>
      <c r="J243" s="2">
        <v>5.6</v>
      </c>
      <c r="K243" s="2">
        <v>0.24</v>
      </c>
      <c r="L243" s="2">
        <v>0</v>
      </c>
      <c r="M243" s="2">
        <v>0.1</v>
      </c>
      <c r="N243" s="2">
        <v>0</v>
      </c>
      <c r="O243" s="2">
        <v>0</v>
      </c>
      <c r="P243" s="2">
        <f t="shared" si="20"/>
        <v>5.867896463992655</v>
      </c>
      <c r="Q243" s="2">
        <f t="shared" si="21"/>
        <v>0.35439083604756588</v>
      </c>
      <c r="R243" s="2" t="e">
        <f t="shared" si="22"/>
        <v>#DIV/0!</v>
      </c>
      <c r="S243" t="e">
        <f t="shared" si="23"/>
        <v>#DIV/0!</v>
      </c>
      <c r="U243">
        <v>2.5459683691052923</v>
      </c>
    </row>
    <row r="244" spans="1:21" ht="13.9" x14ac:dyDescent="0.3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8"/>
        <v>#NUM!</v>
      </c>
      <c r="I244" s="2">
        <f t="shared" si="19"/>
        <v>5.5558572717991181E-2</v>
      </c>
      <c r="J244" s="2">
        <v>3.96</v>
      </c>
      <c r="K244" s="2">
        <v>0</v>
      </c>
      <c r="L244" s="2">
        <v>10.56</v>
      </c>
      <c r="M244" s="2">
        <v>0.99</v>
      </c>
      <c r="N244" s="2">
        <v>2.81</v>
      </c>
      <c r="O244" s="2">
        <v>0.32</v>
      </c>
      <c r="P244" s="2">
        <f t="shared" si="20"/>
        <v>1.8173252108125324</v>
      </c>
      <c r="Q244" s="2">
        <f t="shared" si="21"/>
        <v>0.33538377562800248</v>
      </c>
      <c r="R244" s="2" t="e">
        <f t="shared" si="22"/>
        <v>#NUM!</v>
      </c>
      <c r="S244" t="e">
        <f t="shared" si="23"/>
        <v>#NUM!</v>
      </c>
      <c r="U244">
        <v>3.8599695482210259</v>
      </c>
    </row>
    <row r="245" spans="1:21" ht="13.9" x14ac:dyDescent="0.3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8"/>
        <v>0.56372791527287036</v>
      </c>
      <c r="I245" s="2">
        <f t="shared" si="19"/>
        <v>9.8157963174418369E-2</v>
      </c>
      <c r="J245" s="2">
        <v>1060.7</v>
      </c>
      <c r="K245" s="2">
        <v>845.81</v>
      </c>
      <c r="L245" s="2">
        <v>940.91</v>
      </c>
      <c r="M245" s="2">
        <v>506.01</v>
      </c>
      <c r="N245" s="2">
        <v>594.46</v>
      </c>
      <c r="O245" s="2">
        <v>517.66</v>
      </c>
      <c r="P245" s="2">
        <f t="shared" si="20"/>
        <v>0.81532779106588626</v>
      </c>
      <c r="Q245" s="2">
        <f t="shared" si="21"/>
        <v>3.8382092093988537E-3</v>
      </c>
      <c r="R245" s="2">
        <f t="shared" si="22"/>
        <v>0.2515998757930159</v>
      </c>
      <c r="S245">
        <f t="shared" si="23"/>
        <v>1.4463143814179042</v>
      </c>
      <c r="U245">
        <v>11.475439593768575</v>
      </c>
    </row>
    <row r="246" spans="1:21" ht="13.9" x14ac:dyDescent="0.3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8"/>
        <v>-2.6361197458039607</v>
      </c>
      <c r="I246" s="2">
        <f t="shared" si="19"/>
        <v>3.8369023197986227E-2</v>
      </c>
      <c r="J246" s="2">
        <v>3.63</v>
      </c>
      <c r="K246" s="2">
        <v>18.79</v>
      </c>
      <c r="L246" s="2">
        <v>1.46</v>
      </c>
      <c r="M246" s="2">
        <v>26.36</v>
      </c>
      <c r="N246" s="2">
        <v>32.76</v>
      </c>
      <c r="O246" s="2">
        <v>49.43</v>
      </c>
      <c r="P246" s="2">
        <f t="shared" si="20"/>
        <v>-2.1844849842377014</v>
      </c>
      <c r="Q246" s="2">
        <f t="shared" si="21"/>
        <v>3.2390519832390843E-2</v>
      </c>
      <c r="R246" s="2">
        <f t="shared" si="22"/>
        <v>0.45163476156625926</v>
      </c>
      <c r="S246">
        <f t="shared" si="23"/>
        <v>0.82867441348779847</v>
      </c>
      <c r="U246">
        <v>4.5777309314900805</v>
      </c>
    </row>
    <row r="247" spans="1:21" ht="13.9" x14ac:dyDescent="0.3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8"/>
        <v>1.5153452868652542</v>
      </c>
      <c r="I247" s="2">
        <f t="shared" si="19"/>
        <v>0.44811522562961581</v>
      </c>
      <c r="J247" s="2">
        <v>4.6100000000000003</v>
      </c>
      <c r="K247" s="2">
        <v>7.07</v>
      </c>
      <c r="L247" s="2">
        <v>3.1</v>
      </c>
      <c r="M247" s="2">
        <v>3.06</v>
      </c>
      <c r="N247" s="2">
        <v>2.67</v>
      </c>
      <c r="O247" s="2">
        <v>6.43</v>
      </c>
      <c r="P247" s="2">
        <f t="shared" si="20"/>
        <v>0.28150304070256538</v>
      </c>
      <c r="Q247" s="2">
        <f t="shared" si="21"/>
        <v>0.62710034970769135</v>
      </c>
      <c r="R247" s="2">
        <f t="shared" si="22"/>
        <v>-1.2338422461626888</v>
      </c>
      <c r="S247">
        <f t="shared" si="23"/>
        <v>0.18576824908658385</v>
      </c>
      <c r="U247">
        <v>3.885574364371426</v>
      </c>
    </row>
    <row r="248" spans="1:21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 t="e">
        <f t="shared" si="20"/>
        <v>#DIV/0!</v>
      </c>
      <c r="Q248" s="2" t="e">
        <f t="shared" si="21"/>
        <v>#DIV/0!</v>
      </c>
      <c r="R248" s="2" t="e">
        <f t="shared" si="22"/>
        <v>#DIV/0!</v>
      </c>
      <c r="S248" t="e">
        <f t="shared" si="23"/>
        <v>#DIV/0!</v>
      </c>
      <c r="U248" t="e">
        <v>#NUM!</v>
      </c>
    </row>
    <row r="249" spans="1:21" ht="13.9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1.38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ht="13.9" x14ac:dyDescent="0.3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8"/>
        <v>-1.386928514642237</v>
      </c>
      <c r="I250" s="2">
        <f t="shared" si="19"/>
        <v>2.161233626520855E-3</v>
      </c>
      <c r="J250" s="2">
        <v>8310.23</v>
      </c>
      <c r="K250" s="2">
        <v>12398.86</v>
      </c>
      <c r="L250" s="2">
        <v>8290.51</v>
      </c>
      <c r="M250" s="2">
        <v>18963.990000000002</v>
      </c>
      <c r="N250" s="2">
        <v>22341.98</v>
      </c>
      <c r="O250" s="2">
        <v>19378.27</v>
      </c>
      <c r="P250" s="2">
        <f t="shared" si="20"/>
        <v>-1.0652888891614662</v>
      </c>
      <c r="Q250" s="2">
        <f t="shared" si="21"/>
        <v>3.654297118767962E-3</v>
      </c>
      <c r="R250" s="2">
        <f t="shared" si="22"/>
        <v>0.32163962548077074</v>
      </c>
      <c r="S250">
        <f t="shared" si="23"/>
        <v>0.76809213879077332</v>
      </c>
      <c r="U250">
        <v>14.823745380410479</v>
      </c>
    </row>
    <row r="251" spans="1:21" ht="13.9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8"/>
        <v>#NUM!</v>
      </c>
      <c r="I251" s="2">
        <f t="shared" si="19"/>
        <v>0.37390096630005903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ht="13.9" x14ac:dyDescent="0.3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8"/>
        <v>-1.4301953494814912</v>
      </c>
      <c r="I252" s="2">
        <f t="shared" si="19"/>
        <v>4.7816961235657718E-5</v>
      </c>
      <c r="J252" s="2">
        <v>952.25</v>
      </c>
      <c r="K252" s="2">
        <v>847.28</v>
      </c>
      <c r="L252" s="2">
        <v>604.09</v>
      </c>
      <c r="M252" s="2">
        <v>2237.08</v>
      </c>
      <c r="N252" s="2">
        <v>2033.95</v>
      </c>
      <c r="O252" s="2">
        <v>2168.9499999999998</v>
      </c>
      <c r="P252" s="2">
        <f t="shared" si="20"/>
        <v>-1.4218473765270863</v>
      </c>
      <c r="Q252" s="2">
        <f t="shared" si="21"/>
        <v>3.5039542711612213E-4</v>
      </c>
      <c r="R252" s="2">
        <f t="shared" si="22"/>
        <v>8.3479729544049253E-3</v>
      </c>
      <c r="S252">
        <f t="shared" si="23"/>
        <v>0.99416305404892313</v>
      </c>
      <c r="U252">
        <v>11.230993116048554</v>
      </c>
    </row>
    <row r="253" spans="1:21" ht="13.9" x14ac:dyDescent="0.3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8"/>
        <v>-0.96914450899787907</v>
      </c>
      <c r="I253" s="2">
        <f t="shared" si="19"/>
        <v>7.7550314564555365E-3</v>
      </c>
      <c r="J253" s="2">
        <v>878.75</v>
      </c>
      <c r="K253" s="2">
        <v>1121.49</v>
      </c>
      <c r="L253" s="2">
        <v>659.8</v>
      </c>
      <c r="M253" s="2">
        <v>1088.93</v>
      </c>
      <c r="N253" s="2">
        <v>1264.8599999999999</v>
      </c>
      <c r="O253" s="2">
        <v>1279.3900000000001</v>
      </c>
      <c r="P253" s="2">
        <f t="shared" si="20"/>
        <v>-0.44978490328016546</v>
      </c>
      <c r="Q253" s="2">
        <f t="shared" si="21"/>
        <v>9.1529429887197672E-2</v>
      </c>
      <c r="R253" s="2">
        <f t="shared" si="22"/>
        <v>0.51935960571771367</v>
      </c>
      <c r="S253">
        <f t="shared" si="23"/>
        <v>0.46410509382677606</v>
      </c>
      <c r="U253">
        <v>11.377232224887704</v>
      </c>
    </row>
    <row r="254" spans="1:21" ht="13.9" x14ac:dyDescent="0.3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8"/>
        <v>-1.2279548932360211</v>
      </c>
      <c r="I254" s="2">
        <f t="shared" si="19"/>
        <v>2.4902431033459278E-3</v>
      </c>
      <c r="J254" s="2">
        <v>366.53</v>
      </c>
      <c r="K254" s="2">
        <v>419.86</v>
      </c>
      <c r="L254" s="2">
        <v>345.56</v>
      </c>
      <c r="M254" s="2">
        <v>585.48</v>
      </c>
      <c r="N254" s="2">
        <v>684.44</v>
      </c>
      <c r="O254" s="2">
        <v>684.9</v>
      </c>
      <c r="P254" s="2">
        <f t="shared" si="20"/>
        <v>-0.78822553667705031</v>
      </c>
      <c r="Q254" s="2">
        <f t="shared" si="21"/>
        <v>2.3192088299630394E-3</v>
      </c>
      <c r="R254" s="2">
        <f t="shared" si="22"/>
        <v>0.43972935655897083</v>
      </c>
      <c r="S254">
        <f t="shared" si="23"/>
        <v>0.64190105110444651</v>
      </c>
      <c r="U254">
        <v>10.144594518145333</v>
      </c>
    </row>
    <row r="255" spans="1:21" ht="13.9" x14ac:dyDescent="0.3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8"/>
        <v>-1.4374870097167236</v>
      </c>
      <c r="I255" s="2">
        <f t="shared" si="19"/>
        <v>1.5592365074224013E-4</v>
      </c>
      <c r="J255" s="2">
        <v>776.9</v>
      </c>
      <c r="K255" s="2">
        <v>542.80999999999995</v>
      </c>
      <c r="L255" s="2">
        <v>425.49</v>
      </c>
      <c r="M255" s="2">
        <v>1203.1400000000001</v>
      </c>
      <c r="N255" s="2">
        <v>1484.01</v>
      </c>
      <c r="O255" s="2">
        <v>1413.65</v>
      </c>
      <c r="P255" s="2">
        <f t="shared" si="20"/>
        <v>-1.2325130049150776</v>
      </c>
      <c r="Q255" s="2">
        <f t="shared" si="21"/>
        <v>4.1619669869607939E-3</v>
      </c>
      <c r="R255" s="2">
        <f t="shared" si="22"/>
        <v>0.20497400480164596</v>
      </c>
      <c r="S255">
        <f t="shared" si="23"/>
        <v>0.85740809940116336</v>
      </c>
      <c r="U255">
        <v>10.769176663489137</v>
      </c>
    </row>
    <row r="256" spans="1:21" ht="13.9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8"/>
        <v>#NUM!</v>
      </c>
      <c r="I256" s="2">
        <f t="shared" si="19"/>
        <v>0.37390096630005903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ht="13.9" x14ac:dyDescent="0.3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8"/>
        <v>-1.5906247071570943</v>
      </c>
      <c r="I257" s="2">
        <f t="shared" si="19"/>
        <v>0.18488060882337512</v>
      </c>
      <c r="J257" s="2">
        <v>0</v>
      </c>
      <c r="K257" s="2">
        <v>1.46</v>
      </c>
      <c r="L257" s="2">
        <v>0.18</v>
      </c>
      <c r="M257" s="2">
        <v>3.55</v>
      </c>
      <c r="N257" s="2">
        <v>33.29</v>
      </c>
      <c r="O257" s="2">
        <v>13.81</v>
      </c>
      <c r="P257" s="2">
        <f t="shared" si="20"/>
        <v>-4.948794549070417</v>
      </c>
      <c r="Q257" s="2">
        <f t="shared" si="21"/>
        <v>0.1347494939937707</v>
      </c>
      <c r="R257" s="2">
        <f t="shared" si="22"/>
        <v>-3.3581698419133228</v>
      </c>
      <c r="S257">
        <f t="shared" si="23"/>
        <v>3.1112270083590881</v>
      </c>
      <c r="U257">
        <v>0.71369581484335898</v>
      </c>
    </row>
    <row r="258" spans="1:21" ht="13.9" x14ac:dyDescent="0.3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24">LOG(SUM(B258:D258)/SUM(E258:G258),2)</f>
        <v>-0.64936151832572075</v>
      </c>
      <c r="I258" s="2">
        <f t="shared" ref="I258:I321" si="25">_xlfn.T.TEST(B258:D258,E258:G258,2,2)</f>
        <v>0.19315387438414822</v>
      </c>
      <c r="J258" s="2">
        <v>12.85</v>
      </c>
      <c r="K258" s="2">
        <v>24.88</v>
      </c>
      <c r="L258" s="2">
        <v>28.95</v>
      </c>
      <c r="M258" s="2">
        <v>21.91</v>
      </c>
      <c r="N258" s="2">
        <v>24.07</v>
      </c>
      <c r="O258" s="2">
        <v>23.29</v>
      </c>
      <c r="P258" s="2">
        <f t="shared" ref="P258:P321" si="26">LOG(SUM(J258:L258)/SUM(M258:O258),2)</f>
        <v>-5.4976569508854919E-2</v>
      </c>
      <c r="Q258" s="2">
        <f t="shared" ref="Q258:Q321" si="27">_xlfn.T.TEST(J258:L258,M258:O258,2,2)</f>
        <v>0.86802392582241206</v>
      </c>
      <c r="R258" s="2">
        <f t="shared" si="22"/>
        <v>0.59438494881686588</v>
      </c>
      <c r="S258">
        <f t="shared" si="23"/>
        <v>8.4662499943950462E-2</v>
      </c>
      <c r="U258">
        <v>6.0591821992116923</v>
      </c>
    </row>
    <row r="259" spans="1:21" ht="13.9" x14ac:dyDescent="0.3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24"/>
        <v>#NUM!</v>
      </c>
      <c r="I259" s="2">
        <f t="shared" si="25"/>
        <v>3.2919397905964327E-2</v>
      </c>
      <c r="J259" s="2">
        <v>1.65</v>
      </c>
      <c r="K259" s="2">
        <v>0</v>
      </c>
      <c r="L259" s="2">
        <v>0</v>
      </c>
      <c r="M259" s="2">
        <v>0.39</v>
      </c>
      <c r="N259" s="2">
        <v>0.27</v>
      </c>
      <c r="O259" s="2">
        <v>1.58</v>
      </c>
      <c r="P259" s="2">
        <f t="shared" si="26"/>
        <v>-0.44103270781178844</v>
      </c>
      <c r="Q259" s="2">
        <f t="shared" si="27"/>
        <v>0.79003243235062715</v>
      </c>
      <c r="R259" s="2" t="e">
        <f t="shared" ref="R259:R322" si="28">P259-H259</f>
        <v>#NUM!</v>
      </c>
      <c r="S259" t="e">
        <f t="shared" si="23"/>
        <v>#NUM!</v>
      </c>
      <c r="U259">
        <v>0.72246602447109098</v>
      </c>
    </row>
    <row r="260" spans="1:21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 t="e">
        <f t="shared" si="26"/>
        <v>#DIV/0!</v>
      </c>
      <c r="Q260" s="2" t="e">
        <f t="shared" si="27"/>
        <v>#DIV/0!</v>
      </c>
      <c r="R260" s="2" t="e">
        <f t="shared" si="28"/>
        <v>#DIV/0!</v>
      </c>
      <c r="S260" t="e">
        <f t="shared" ref="S260:S323" si="29">P260/H260</f>
        <v>#DIV/0!</v>
      </c>
      <c r="U260" t="e">
        <v>#NUM!</v>
      </c>
    </row>
    <row r="261" spans="1:21" ht="13.9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24"/>
        <v>#NUM!</v>
      </c>
      <c r="I261" s="2">
        <f t="shared" si="25"/>
        <v>0.37390096630005903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ht="13.9" x14ac:dyDescent="0.3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24"/>
        <v>0.71393499110409375</v>
      </c>
      <c r="I262" s="2">
        <f t="shared" si="25"/>
        <v>0.10743353852565017</v>
      </c>
      <c r="J262" s="2">
        <v>187.55</v>
      </c>
      <c r="K262" s="2">
        <v>379.85</v>
      </c>
      <c r="L262" s="2">
        <v>177.7</v>
      </c>
      <c r="M262" s="2">
        <v>131.88</v>
      </c>
      <c r="N262" s="2">
        <v>131.30000000000001</v>
      </c>
      <c r="O262" s="2">
        <v>151.44</v>
      </c>
      <c r="P262" s="2">
        <f t="shared" si="26"/>
        <v>0.84564435360063217</v>
      </c>
      <c r="Q262" s="2">
        <f t="shared" si="27"/>
        <v>0.17110692123607038</v>
      </c>
      <c r="R262" s="2">
        <f t="shared" si="28"/>
        <v>0.13170936249653842</v>
      </c>
      <c r="S262">
        <f t="shared" si="29"/>
        <v>1.1844836912851844</v>
      </c>
      <c r="U262">
        <v>9.5412902526950791</v>
      </c>
    </row>
    <row r="263" spans="1:21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24"/>
        <v>#DIV/0!</v>
      </c>
      <c r="I263" s="2" t="e">
        <f t="shared" si="25"/>
        <v>#DIV/0!</v>
      </c>
      <c r="J263" s="2">
        <v>0</v>
      </c>
      <c r="K263" s="2">
        <v>0</v>
      </c>
      <c r="L263" s="2">
        <v>0</v>
      </c>
      <c r="M263" s="2">
        <v>0</v>
      </c>
      <c r="N263" s="2">
        <v>0.13</v>
      </c>
      <c r="O263" s="2">
        <v>0</v>
      </c>
      <c r="P263" s="2" t="e">
        <f t="shared" si="26"/>
        <v>#NUM!</v>
      </c>
      <c r="Q263" s="2">
        <f t="shared" si="27"/>
        <v>0.37390096630005903</v>
      </c>
      <c r="R263" s="2" t="e">
        <f t="shared" si="28"/>
        <v>#NUM!</v>
      </c>
      <c r="S263" t="e">
        <f t="shared" si="29"/>
        <v>#NUM!</v>
      </c>
      <c r="U263" t="e">
        <v>#NUM!</v>
      </c>
    </row>
    <row r="264" spans="1:21" ht="13.9" x14ac:dyDescent="0.3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24"/>
        <v>#NUM!</v>
      </c>
      <c r="I264" s="2">
        <f t="shared" si="25"/>
        <v>0.37390096630005903</v>
      </c>
      <c r="J264" s="2">
        <v>0.66</v>
      </c>
      <c r="K264" s="2">
        <v>0</v>
      </c>
      <c r="L264" s="2">
        <v>0</v>
      </c>
      <c r="M264" s="2">
        <v>0</v>
      </c>
      <c r="N264" s="2">
        <v>0.27</v>
      </c>
      <c r="O264" s="2">
        <v>0</v>
      </c>
      <c r="P264" s="2">
        <f t="shared" si="26"/>
        <v>1.2895066171949847</v>
      </c>
      <c r="Q264" s="2">
        <f t="shared" si="27"/>
        <v>0.61351729145965073</v>
      </c>
      <c r="R264" s="2" t="e">
        <f t="shared" si="28"/>
        <v>#NUM!</v>
      </c>
      <c r="S264" t="e">
        <f t="shared" si="29"/>
        <v>#NUM!</v>
      </c>
      <c r="U264">
        <v>-0.5994620704162712</v>
      </c>
    </row>
    <row r="265" spans="1:21" ht="13.9" x14ac:dyDescent="0.3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24"/>
        <v>0.73402122063244069</v>
      </c>
      <c r="I265" s="2">
        <f t="shared" si="25"/>
        <v>0.13144050647057537</v>
      </c>
      <c r="J265" s="2">
        <v>57.35</v>
      </c>
      <c r="K265" s="2">
        <v>37.57</v>
      </c>
      <c r="L265" s="2">
        <v>57.9</v>
      </c>
      <c r="M265" s="2">
        <v>24.97</v>
      </c>
      <c r="N265" s="2">
        <v>17.52</v>
      </c>
      <c r="O265" s="2">
        <v>29.93</v>
      </c>
      <c r="P265" s="2">
        <f t="shared" si="26"/>
        <v>1.0773732835191736</v>
      </c>
      <c r="Q265" s="2">
        <f t="shared" si="27"/>
        <v>2.4284842045341207E-2</v>
      </c>
      <c r="R265" s="2">
        <f t="shared" si="28"/>
        <v>0.34335206288673292</v>
      </c>
      <c r="S265">
        <f t="shared" si="29"/>
        <v>1.467768578394637</v>
      </c>
      <c r="U265">
        <v>7.2556895552206262</v>
      </c>
    </row>
    <row r="266" spans="1:21" ht="13.9" x14ac:dyDescent="0.3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24"/>
        <v>0.57517705709530265</v>
      </c>
      <c r="I266" s="2">
        <f t="shared" si="25"/>
        <v>0.43380264963883836</v>
      </c>
      <c r="J266" s="2">
        <v>31.97</v>
      </c>
      <c r="K266" s="2">
        <v>38.549999999999997</v>
      </c>
      <c r="L266" s="2">
        <v>34.049999999999997</v>
      </c>
      <c r="M266" s="2">
        <v>5.53</v>
      </c>
      <c r="N266" s="2">
        <v>3.88</v>
      </c>
      <c r="O266" s="2">
        <v>6.85</v>
      </c>
      <c r="P266" s="2">
        <f t="shared" si="26"/>
        <v>2.685069854842864</v>
      </c>
      <c r="Q266" s="2">
        <f t="shared" si="27"/>
        <v>1.5696533293844142E-4</v>
      </c>
      <c r="R266" s="2">
        <f t="shared" si="28"/>
        <v>2.1098927977475612</v>
      </c>
      <c r="S266">
        <f t="shared" si="29"/>
        <v>4.6682492316413233</v>
      </c>
      <c r="U266">
        <v>6.7083252071431678</v>
      </c>
    </row>
    <row r="267" spans="1:21" ht="13.9" x14ac:dyDescent="0.3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24"/>
        <v>-6.3949573046514638</v>
      </c>
      <c r="I267" s="5">
        <f t="shared" si="25"/>
        <v>0.19794414000147925</v>
      </c>
      <c r="J267" s="5">
        <v>8.9</v>
      </c>
      <c r="K267" s="5">
        <v>0</v>
      </c>
      <c r="L267" s="5">
        <v>0</v>
      </c>
      <c r="M267" s="5">
        <v>2.17</v>
      </c>
      <c r="N267" s="5">
        <v>0.94</v>
      </c>
      <c r="O267" s="5">
        <v>1.26</v>
      </c>
      <c r="P267" s="5">
        <f t="shared" si="26"/>
        <v>1.0261720563531616</v>
      </c>
      <c r="Q267" s="5">
        <f t="shared" si="27"/>
        <v>0.64004244451426262</v>
      </c>
      <c r="R267" s="5">
        <f t="shared" si="28"/>
        <v>7.4211293610046258</v>
      </c>
      <c r="S267">
        <f t="shared" si="29"/>
        <v>-0.16046581821691921</v>
      </c>
      <c r="U267">
        <v>3.1538053360790355</v>
      </c>
    </row>
    <row r="268" spans="1:21" ht="13.9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24"/>
        <v>#NUM!</v>
      </c>
      <c r="I268" s="2">
        <f t="shared" si="25"/>
        <v>0.37390096630005903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0.53</v>
      </c>
      <c r="P268" s="2" t="e">
        <f t="shared" si="26"/>
        <v>#NUM!</v>
      </c>
      <c r="Q268" s="2">
        <f t="shared" si="27"/>
        <v>0.37390096630005903</v>
      </c>
      <c r="R268" s="2" t="e">
        <f t="shared" si="28"/>
        <v>#NUM!</v>
      </c>
      <c r="S268" t="e">
        <f t="shared" si="29"/>
        <v>#NUM!</v>
      </c>
      <c r="U268" t="e">
        <v>#NUM!</v>
      </c>
    </row>
    <row r="269" spans="1:21" ht="13.9" x14ac:dyDescent="0.3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24"/>
        <v>4.13489298528755</v>
      </c>
      <c r="I269" s="2">
        <f t="shared" si="25"/>
        <v>0.39973154755034135</v>
      </c>
      <c r="J269" s="2">
        <v>0</v>
      </c>
      <c r="K269" s="2">
        <v>0</v>
      </c>
      <c r="L269" s="2">
        <v>0</v>
      </c>
      <c r="M269" s="2">
        <v>0</v>
      </c>
      <c r="N269" s="2">
        <v>0.27</v>
      </c>
      <c r="O269" s="2">
        <v>0</v>
      </c>
      <c r="P269" s="2" t="e">
        <f t="shared" si="26"/>
        <v>#NUM!</v>
      </c>
      <c r="Q269" s="2">
        <f t="shared" si="27"/>
        <v>0.37390096630005903</v>
      </c>
      <c r="R269" s="2" t="e">
        <f t="shared" si="28"/>
        <v>#NUM!</v>
      </c>
      <c r="S269" t="e">
        <f t="shared" si="29"/>
        <v>#NUM!</v>
      </c>
      <c r="U269" t="e">
        <v>#NUM!</v>
      </c>
    </row>
    <row r="270" spans="1:21" ht="13.9" x14ac:dyDescent="0.3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24"/>
        <v>-1.581094683281443</v>
      </c>
      <c r="I270" s="2">
        <f t="shared" si="25"/>
        <v>0.1273977177493002</v>
      </c>
      <c r="J270" s="2">
        <v>0</v>
      </c>
      <c r="K270" s="2">
        <v>0</v>
      </c>
      <c r="L270" s="2">
        <v>0</v>
      </c>
      <c r="M270" s="2">
        <v>1.58</v>
      </c>
      <c r="N270" s="2">
        <v>3.61</v>
      </c>
      <c r="O270" s="2">
        <v>5.9</v>
      </c>
      <c r="P270" s="2" t="e">
        <f t="shared" si="26"/>
        <v>#NUM!</v>
      </c>
      <c r="Q270" s="2">
        <f t="shared" si="27"/>
        <v>4.1452357436405213E-2</v>
      </c>
      <c r="R270" s="2" t="e">
        <f t="shared" si="28"/>
        <v>#NUM!</v>
      </c>
      <c r="S270" t="e">
        <f t="shared" si="29"/>
        <v>#NUM!</v>
      </c>
      <c r="U270" t="e">
        <v>#NUM!</v>
      </c>
    </row>
    <row r="271" spans="1:21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24"/>
        <v>#DIV/0!</v>
      </c>
      <c r="I271" s="2" t="e">
        <f t="shared" si="25"/>
        <v>#DIV/0!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0.84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24"/>
        <v>#DIV/0!</v>
      </c>
      <c r="I272" s="2" t="e">
        <f t="shared" si="25"/>
        <v>#DIV/0!</v>
      </c>
      <c r="J272" s="2">
        <v>0</v>
      </c>
      <c r="K272" s="2">
        <v>0</v>
      </c>
      <c r="L272" s="2">
        <v>0</v>
      </c>
      <c r="M272" s="2">
        <v>0</v>
      </c>
      <c r="N272" s="2">
        <v>0.53</v>
      </c>
      <c r="O272" s="2">
        <v>0</v>
      </c>
      <c r="P272" s="2" t="e">
        <f t="shared" si="26"/>
        <v>#NUM!</v>
      </c>
      <c r="Q272" s="2">
        <f t="shared" si="27"/>
        <v>0.37390096630005903</v>
      </c>
      <c r="R272" s="2" t="e">
        <f t="shared" si="28"/>
        <v>#NUM!</v>
      </c>
      <c r="S272" t="e">
        <f t="shared" si="29"/>
        <v>#NUM!</v>
      </c>
      <c r="U272" t="e">
        <v>#NUM!</v>
      </c>
    </row>
    <row r="273" spans="1:21" ht="13.9" x14ac:dyDescent="0.3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24"/>
        <v>-3.2090946583514093</v>
      </c>
      <c r="I273" s="2">
        <f t="shared" si="25"/>
        <v>1.2439837296676468E-3</v>
      </c>
      <c r="J273" s="2">
        <v>23.73</v>
      </c>
      <c r="K273" s="2">
        <v>4.3899999999999997</v>
      </c>
      <c r="L273" s="2">
        <v>25.31</v>
      </c>
      <c r="M273" s="2">
        <v>51.73</v>
      </c>
      <c r="N273" s="2">
        <v>54.02</v>
      </c>
      <c r="O273" s="2">
        <v>43.42</v>
      </c>
      <c r="P273" s="2">
        <f t="shared" si="26"/>
        <v>-1.4812354980175326</v>
      </c>
      <c r="Q273" s="2">
        <f t="shared" si="27"/>
        <v>1.28494017061724E-2</v>
      </c>
      <c r="R273" s="2">
        <f t="shared" si="28"/>
        <v>1.7278591603338767</v>
      </c>
      <c r="S273">
        <f t="shared" si="29"/>
        <v>0.46157426181329275</v>
      </c>
      <c r="U273">
        <v>5.7395781120480507</v>
      </c>
    </row>
    <row r="274" spans="1:21" ht="13.9" x14ac:dyDescent="0.3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24"/>
        <v>0.42427331232575566</v>
      </c>
      <c r="I274" s="2">
        <f t="shared" si="25"/>
        <v>0.29621783216816427</v>
      </c>
      <c r="J274" s="2">
        <v>95.26</v>
      </c>
      <c r="K274" s="2">
        <v>120.27</v>
      </c>
      <c r="L274" s="2">
        <v>32.229999999999997</v>
      </c>
      <c r="M274" s="2">
        <v>83.91</v>
      </c>
      <c r="N274" s="2">
        <v>76.88</v>
      </c>
      <c r="O274" s="2">
        <v>52.48</v>
      </c>
      <c r="P274" s="2">
        <f t="shared" si="26"/>
        <v>0.21626224741237632</v>
      </c>
      <c r="Q274" s="2">
        <f t="shared" si="27"/>
        <v>0.70112334856081093</v>
      </c>
      <c r="R274" s="2">
        <f t="shared" si="28"/>
        <v>-0.20801106491337934</v>
      </c>
      <c r="S274">
        <f t="shared" si="29"/>
        <v>0.50972389997118384</v>
      </c>
      <c r="U274">
        <v>7.952799477899938</v>
      </c>
    </row>
    <row r="275" spans="1:21" ht="13.9" x14ac:dyDescent="0.3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24"/>
        <v>1.0086329535075798</v>
      </c>
      <c r="I275" s="2">
        <f t="shared" si="25"/>
        <v>0.39317318072703367</v>
      </c>
      <c r="J275" s="2">
        <v>5.93</v>
      </c>
      <c r="K275" s="2">
        <v>0</v>
      </c>
      <c r="L275" s="2">
        <v>0</v>
      </c>
      <c r="M275" s="2">
        <v>2.76</v>
      </c>
      <c r="N275" s="2">
        <v>2.14</v>
      </c>
      <c r="O275" s="2">
        <v>2.5299999999999998</v>
      </c>
      <c r="P275" s="2">
        <f t="shared" si="26"/>
        <v>-0.32533010599259271</v>
      </c>
      <c r="Q275" s="2">
        <f t="shared" si="27"/>
        <v>0.81353318953719711</v>
      </c>
      <c r="R275" s="2">
        <f t="shared" si="28"/>
        <v>-1.3339630595001726</v>
      </c>
      <c r="S275">
        <f t="shared" si="29"/>
        <v>-0.32254558495361307</v>
      </c>
      <c r="U275">
        <v>2.5680321047712789</v>
      </c>
    </row>
    <row r="276" spans="1:21" ht="13.9" x14ac:dyDescent="0.3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24"/>
        <v>2.2140650374488495</v>
      </c>
      <c r="I276" s="2">
        <f t="shared" si="25"/>
        <v>2.4821193527712676E-3</v>
      </c>
      <c r="J276" s="2">
        <v>130.86000000000001</v>
      </c>
      <c r="K276" s="2">
        <v>81.239999999999995</v>
      </c>
      <c r="L276" s="2">
        <v>128.16999999999999</v>
      </c>
      <c r="M276" s="2">
        <v>45.61</v>
      </c>
      <c r="N276" s="2">
        <v>40.78</v>
      </c>
      <c r="O276" s="2">
        <v>24.77</v>
      </c>
      <c r="P276" s="2">
        <f t="shared" si="26"/>
        <v>1.6140422216456241</v>
      </c>
      <c r="Q276" s="2">
        <f t="shared" si="27"/>
        <v>1.1555208692679599E-2</v>
      </c>
      <c r="R276" s="2">
        <f t="shared" si="28"/>
        <v>-0.60002281580322547</v>
      </c>
      <c r="S276">
        <f t="shared" si="29"/>
        <v>0.72899494565227396</v>
      </c>
      <c r="U276">
        <v>8.4105361510714616</v>
      </c>
    </row>
    <row r="277" spans="1:21" ht="13.9" x14ac:dyDescent="0.3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24"/>
        <v>-3.3299366477507253E-2</v>
      </c>
      <c r="I277" s="2">
        <f t="shared" si="25"/>
        <v>0.96835737830194357</v>
      </c>
      <c r="J277" s="2">
        <v>3.96</v>
      </c>
      <c r="K277" s="2">
        <v>24.88</v>
      </c>
      <c r="L277" s="2">
        <v>7.46</v>
      </c>
      <c r="M277" s="2">
        <v>4.74</v>
      </c>
      <c r="N277" s="2">
        <v>5.88</v>
      </c>
      <c r="O277" s="2">
        <v>5.27</v>
      </c>
      <c r="P277" s="2">
        <f t="shared" si="26"/>
        <v>1.1918504235345937</v>
      </c>
      <c r="Q277" s="2">
        <f t="shared" si="27"/>
        <v>0.35286163786410812</v>
      </c>
      <c r="R277" s="2">
        <f t="shared" si="28"/>
        <v>1.2251497900121009</v>
      </c>
      <c r="S277">
        <f t="shared" si="29"/>
        <v>-35.791984941805239</v>
      </c>
      <c r="U277">
        <v>5.1818976431083881</v>
      </c>
    </row>
    <row r="278" spans="1:21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24"/>
        <v>#DIV/0!</v>
      </c>
      <c r="I278" s="2" t="e">
        <f t="shared" si="25"/>
        <v>#DIV/0!</v>
      </c>
      <c r="J278" s="2">
        <v>0</v>
      </c>
      <c r="K278" s="2">
        <v>0</v>
      </c>
      <c r="L278" s="2">
        <v>0</v>
      </c>
      <c r="M278" s="2">
        <v>0.89</v>
      </c>
      <c r="N278" s="2">
        <v>2.41</v>
      </c>
      <c r="O278" s="2">
        <v>0.32</v>
      </c>
      <c r="P278" s="2" t="e">
        <f t="shared" si="26"/>
        <v>#NUM!</v>
      </c>
      <c r="Q278" s="2">
        <f t="shared" si="27"/>
        <v>0.12516581983949762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ht="13.9" x14ac:dyDescent="0.3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24"/>
        <v>1.0714716518753986</v>
      </c>
      <c r="I279" s="2">
        <f t="shared" si="25"/>
        <v>0.14180770459125874</v>
      </c>
      <c r="J279" s="2">
        <v>786.46</v>
      </c>
      <c r="K279" s="2">
        <v>1060.5</v>
      </c>
      <c r="L279" s="2">
        <v>457.53</v>
      </c>
      <c r="M279" s="2">
        <v>395.06</v>
      </c>
      <c r="N279" s="2">
        <v>541.65</v>
      </c>
      <c r="O279" s="2">
        <v>394.88</v>
      </c>
      <c r="P279" s="2">
        <f t="shared" si="26"/>
        <v>0.79129756606959434</v>
      </c>
      <c r="Q279" s="2">
        <f t="shared" si="27"/>
        <v>0.1477075122383584</v>
      </c>
      <c r="R279" s="2">
        <f t="shared" si="28"/>
        <v>-0.28017408580580427</v>
      </c>
      <c r="S279">
        <f t="shared" si="29"/>
        <v>0.73851470049122148</v>
      </c>
      <c r="U279">
        <v>11.170231791984421</v>
      </c>
    </row>
    <row r="280" spans="1:21" ht="13.9" x14ac:dyDescent="0.3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24"/>
        <v>#NUM!</v>
      </c>
      <c r="I280" s="2">
        <f t="shared" si="25"/>
        <v>0.37390096630005903</v>
      </c>
      <c r="J280" s="2">
        <v>0</v>
      </c>
      <c r="K280" s="2">
        <v>0.24</v>
      </c>
      <c r="L280" s="2">
        <v>0</v>
      </c>
      <c r="M280" s="2">
        <v>0.39</v>
      </c>
      <c r="N280" s="2">
        <v>0</v>
      </c>
      <c r="O280" s="2">
        <v>0</v>
      </c>
      <c r="P280" s="2">
        <f t="shared" si="26"/>
        <v>-0.7004397181410924</v>
      </c>
      <c r="Q280" s="2">
        <f t="shared" si="27"/>
        <v>0.75967054712707927</v>
      </c>
      <c r="R280" s="2" t="e">
        <f t="shared" si="28"/>
        <v>#NUM!</v>
      </c>
      <c r="S280" t="e">
        <f t="shared" si="29"/>
        <v>#NUM!</v>
      </c>
      <c r="U280">
        <v>-2.0588936890535687</v>
      </c>
    </row>
    <row r="281" spans="1:21" ht="13.9" x14ac:dyDescent="0.3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24"/>
        <v>-1.0615767004065884</v>
      </c>
      <c r="I281" s="2">
        <f t="shared" si="25"/>
        <v>1.0499696310510835E-2</v>
      </c>
      <c r="J281" s="2">
        <v>2822.81</v>
      </c>
      <c r="K281" s="2">
        <v>3849.23</v>
      </c>
      <c r="L281" s="2">
        <v>2181.87</v>
      </c>
      <c r="M281" s="2">
        <v>5088.08</v>
      </c>
      <c r="N281" s="2">
        <v>5757.94</v>
      </c>
      <c r="O281" s="2">
        <v>4512.1000000000004</v>
      </c>
      <c r="P281" s="2">
        <f t="shared" si="26"/>
        <v>-0.79461501176302252</v>
      </c>
      <c r="Q281" s="2">
        <f t="shared" si="27"/>
        <v>2.3029494993361519E-2</v>
      </c>
      <c r="R281" s="2">
        <f t="shared" si="28"/>
        <v>0.26696168864356584</v>
      </c>
      <c r="S281">
        <f t="shared" si="29"/>
        <v>0.74852340999824285</v>
      </c>
      <c r="U281">
        <v>13.11209899317652</v>
      </c>
    </row>
    <row r="282" spans="1:21" ht="13.9" x14ac:dyDescent="0.3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24"/>
        <v>-1.7335337035524534</v>
      </c>
      <c r="I282" s="2">
        <f t="shared" si="25"/>
        <v>3.7798189299792978E-4</v>
      </c>
      <c r="J282" s="2">
        <v>128.55000000000001</v>
      </c>
      <c r="K282" s="2">
        <v>186.87</v>
      </c>
      <c r="L282" s="2">
        <v>77.010000000000005</v>
      </c>
      <c r="M282" s="2">
        <v>298.02</v>
      </c>
      <c r="N282" s="2">
        <v>334.53</v>
      </c>
      <c r="O282" s="2">
        <v>319.52999999999997</v>
      </c>
      <c r="P282" s="2">
        <f t="shared" si="26"/>
        <v>-1.2786474681898963</v>
      </c>
      <c r="Q282" s="2">
        <f t="shared" si="27"/>
        <v>5.0704221784810839E-3</v>
      </c>
      <c r="R282" s="2">
        <f t="shared" si="28"/>
        <v>0.45488623536255712</v>
      </c>
      <c r="S282">
        <f t="shared" si="29"/>
        <v>0.73759596687945606</v>
      </c>
      <c r="U282">
        <v>8.6162915249018166</v>
      </c>
    </row>
    <row r="283" spans="1:21" ht="13.9" x14ac:dyDescent="0.3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24"/>
        <v>0.53105374609559919</v>
      </c>
      <c r="I283" s="2">
        <f t="shared" si="25"/>
        <v>5.5856591810254423E-2</v>
      </c>
      <c r="J283" s="2">
        <v>2638.23</v>
      </c>
      <c r="K283" s="2">
        <v>1727</v>
      </c>
      <c r="L283" s="2">
        <v>1790.24</v>
      </c>
      <c r="M283" s="2">
        <v>1092.78</v>
      </c>
      <c r="N283" s="2">
        <v>847.3</v>
      </c>
      <c r="O283" s="2">
        <v>1071.67</v>
      </c>
      <c r="P283" s="2">
        <f t="shared" si="26"/>
        <v>1.0312669982458591</v>
      </c>
      <c r="Q283" s="2">
        <f t="shared" si="27"/>
        <v>2.6148912757686181E-2</v>
      </c>
      <c r="R283" s="2">
        <f t="shared" si="28"/>
        <v>0.50021325215025991</v>
      </c>
      <c r="S283">
        <f t="shared" si="29"/>
        <v>1.9419258518142768</v>
      </c>
      <c r="U283">
        <v>12.587653302343666</v>
      </c>
    </row>
    <row r="284" spans="1:21" ht="13.9" x14ac:dyDescent="0.3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24"/>
        <v>#NUM!</v>
      </c>
      <c r="I284" s="2">
        <f t="shared" si="25"/>
        <v>3.4095517725046924E-2</v>
      </c>
      <c r="J284" s="2">
        <v>0</v>
      </c>
      <c r="K284" s="2">
        <v>4.3899999999999997</v>
      </c>
      <c r="L284" s="2">
        <v>0</v>
      </c>
      <c r="M284" s="2">
        <v>0</v>
      </c>
      <c r="N284" s="2">
        <v>0.27</v>
      </c>
      <c r="O284" s="2">
        <v>0</v>
      </c>
      <c r="P284" s="2">
        <f t="shared" si="26"/>
        <v>4.023189627371889</v>
      </c>
      <c r="Q284" s="2">
        <f t="shared" si="27"/>
        <v>0.40193198134928176</v>
      </c>
      <c r="R284" s="2" t="e">
        <f t="shared" si="28"/>
        <v>#NUM!</v>
      </c>
      <c r="S284" t="e">
        <f t="shared" si="29"/>
        <v>#NUM!</v>
      </c>
      <c r="U284">
        <v>2.1342209397606333</v>
      </c>
    </row>
    <row r="285" spans="1:21" ht="13.9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24"/>
        <v>#NUM!</v>
      </c>
      <c r="I285" s="2">
        <f t="shared" si="25"/>
        <v>0.11620512105041363</v>
      </c>
      <c r="J285" s="2">
        <v>0</v>
      </c>
      <c r="K285" s="2">
        <v>0</v>
      </c>
      <c r="L285" s="2">
        <v>0</v>
      </c>
      <c r="M285" s="2">
        <v>1.58</v>
      </c>
      <c r="N285" s="2">
        <v>2.54</v>
      </c>
      <c r="O285" s="2">
        <v>0.95</v>
      </c>
      <c r="P285" s="2" t="e">
        <f t="shared" si="26"/>
        <v>#NUM!</v>
      </c>
      <c r="Q285" s="2">
        <f t="shared" si="27"/>
        <v>2.1660026100042161E-2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ht="13.9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24"/>
        <v>#NUM!</v>
      </c>
      <c r="I286" s="2">
        <f t="shared" si="25"/>
        <v>0.37390096630005903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24"/>
        <v>#DIV/0!</v>
      </c>
      <c r="I287" s="2" t="e">
        <f t="shared" si="25"/>
        <v>#DIV/0!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0.53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24"/>
        <v>#DIV/0!</v>
      </c>
      <c r="I288" s="2" t="e">
        <f t="shared" si="25"/>
        <v>#DIV/0!</v>
      </c>
      <c r="J288" s="2">
        <v>0</v>
      </c>
      <c r="K288" s="2">
        <v>0</v>
      </c>
      <c r="L288" s="2">
        <v>0</v>
      </c>
      <c r="M288" s="2">
        <v>0</v>
      </c>
      <c r="N288" s="2">
        <v>0.94</v>
      </c>
      <c r="O288" s="2">
        <v>0</v>
      </c>
      <c r="P288" s="2" t="e">
        <f t="shared" si="26"/>
        <v>#NUM!</v>
      </c>
      <c r="Q288" s="2">
        <f t="shared" si="27"/>
        <v>0.37390096630005903</v>
      </c>
      <c r="R288" s="2" t="e">
        <f t="shared" si="28"/>
        <v>#NUM!</v>
      </c>
      <c r="S288" t="e">
        <f t="shared" si="29"/>
        <v>#NUM!</v>
      </c>
      <c r="U288" t="e">
        <v>#NUM!</v>
      </c>
    </row>
    <row r="289" spans="1:21" ht="13.9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24"/>
        <v>#NUM!</v>
      </c>
      <c r="I289" s="2">
        <f t="shared" si="25"/>
        <v>0.37390096630005903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ht="13.9" x14ac:dyDescent="0.3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24"/>
        <v>#NUM!</v>
      </c>
      <c r="I290" s="2">
        <f t="shared" si="25"/>
        <v>3.7098673615462478E-2</v>
      </c>
      <c r="J290" s="2">
        <v>4.6100000000000003</v>
      </c>
      <c r="K290" s="2">
        <v>0</v>
      </c>
      <c r="L290" s="2">
        <v>0</v>
      </c>
      <c r="M290" s="2">
        <v>0.89</v>
      </c>
      <c r="N290" s="2">
        <v>0.27</v>
      </c>
      <c r="O290" s="2">
        <v>1.37</v>
      </c>
      <c r="P290" s="2">
        <f t="shared" si="26"/>
        <v>0.8656293657350278</v>
      </c>
      <c r="Q290" s="2">
        <f t="shared" si="27"/>
        <v>0.68146209736679964</v>
      </c>
      <c r="R290" s="2" t="e">
        <f t="shared" si="28"/>
        <v>#NUM!</v>
      </c>
      <c r="S290" t="e">
        <f t="shared" si="29"/>
        <v>#NUM!</v>
      </c>
      <c r="U290">
        <v>2.2047667506546134</v>
      </c>
    </row>
    <row r="291" spans="1:21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 t="e">
        <f t="shared" si="26"/>
        <v>#DIV/0!</v>
      </c>
      <c r="Q291" s="2" t="e">
        <f t="shared" si="27"/>
        <v>#DIV/0!</v>
      </c>
      <c r="R291" s="2" t="e">
        <f t="shared" si="28"/>
        <v>#DIV/0!</v>
      </c>
      <c r="S291" t="e">
        <f t="shared" si="29"/>
        <v>#DIV/0!</v>
      </c>
      <c r="U291" t="e">
        <v>#NUM!</v>
      </c>
    </row>
    <row r="292" spans="1:21" ht="13.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 t="e">
        <f t="shared" si="27"/>
        <v>#DIV/0!</v>
      </c>
      <c r="R292" s="2" t="e">
        <f t="shared" si="28"/>
        <v>#DIV/0!</v>
      </c>
      <c r="S292" t="e">
        <f t="shared" si="29"/>
        <v>#DIV/0!</v>
      </c>
      <c r="U292" t="e">
        <v>#NUM!</v>
      </c>
    </row>
    <row r="293" spans="1:21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24"/>
        <v>#DIV/0!</v>
      </c>
      <c r="I293" s="2" t="e">
        <f t="shared" si="25"/>
        <v>#DIV/0!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0.84</v>
      </c>
      <c r="P293" s="2" t="e">
        <f t="shared" si="26"/>
        <v>#NUM!</v>
      </c>
      <c r="Q293" s="2">
        <f t="shared" si="27"/>
        <v>0.37390096630005903</v>
      </c>
      <c r="R293" s="2" t="e">
        <f t="shared" si="28"/>
        <v>#NUM!</v>
      </c>
      <c r="S293" t="e">
        <f t="shared" si="29"/>
        <v>#NUM!</v>
      </c>
      <c r="U293" t="e">
        <v>#NUM!</v>
      </c>
    </row>
    <row r="294" spans="1:21" ht="13.9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24"/>
        <v>#NUM!</v>
      </c>
      <c r="I294" s="2">
        <f t="shared" si="25"/>
        <v>0.37390096630005903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ht="13.9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0</v>
      </c>
      <c r="M295" s="2">
        <v>0</v>
      </c>
      <c r="N295" s="2">
        <v>1.07</v>
      </c>
      <c r="O295" s="2">
        <v>0</v>
      </c>
      <c r="P295" s="2" t="e">
        <f t="shared" si="26"/>
        <v>#NUM!</v>
      </c>
      <c r="Q295" s="2">
        <f t="shared" si="27"/>
        <v>0.37390096630005903</v>
      </c>
      <c r="R295" s="2" t="e">
        <f t="shared" si="28"/>
        <v>#NUM!</v>
      </c>
      <c r="S295" t="e">
        <f t="shared" si="29"/>
        <v>#NUM!</v>
      </c>
      <c r="U295" t="e">
        <v>#NUM!</v>
      </c>
    </row>
    <row r="296" spans="1:21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24"/>
        <v>#DIV/0!</v>
      </c>
      <c r="I296" s="2" t="e">
        <f t="shared" si="25"/>
        <v>#DIV/0!</v>
      </c>
      <c r="J296" s="2">
        <v>0</v>
      </c>
      <c r="K296" s="2">
        <v>0</v>
      </c>
      <c r="L296" s="2">
        <v>0</v>
      </c>
      <c r="M296" s="2">
        <v>0.39</v>
      </c>
      <c r="N296" s="2">
        <v>0</v>
      </c>
      <c r="O296" s="2">
        <v>0</v>
      </c>
      <c r="P296" s="2" t="e">
        <f t="shared" si="26"/>
        <v>#NUM!</v>
      </c>
      <c r="Q296" s="2">
        <f t="shared" si="27"/>
        <v>0.37390096630005903</v>
      </c>
      <c r="R296" s="2" t="e">
        <f t="shared" si="28"/>
        <v>#NUM!</v>
      </c>
      <c r="S296" t="e">
        <f t="shared" si="29"/>
        <v>#NUM!</v>
      </c>
      <c r="U296" t="e">
        <v>#NUM!</v>
      </c>
    </row>
    <row r="297" spans="1:21" ht="13.9" x14ac:dyDescent="0.3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24"/>
        <v>#NUM!</v>
      </c>
      <c r="I297" s="2">
        <f t="shared" si="25"/>
        <v>0.20861378603731132</v>
      </c>
      <c r="J297" s="2">
        <v>0</v>
      </c>
      <c r="K297" s="2">
        <v>0</v>
      </c>
      <c r="L297" s="2">
        <v>0.18</v>
      </c>
      <c r="M297" s="2">
        <v>0</v>
      </c>
      <c r="N297" s="2">
        <v>0</v>
      </c>
      <c r="O297" s="2">
        <v>0.42</v>
      </c>
      <c r="P297" s="2">
        <f t="shared" si="26"/>
        <v>-1.2223924213364481</v>
      </c>
      <c r="Q297" s="2">
        <f t="shared" si="27"/>
        <v>0.62719317558008614</v>
      </c>
      <c r="R297" s="2" t="e">
        <f t="shared" si="28"/>
        <v>#NUM!</v>
      </c>
      <c r="S297" t="e">
        <f t="shared" si="29"/>
        <v>#NUM!</v>
      </c>
      <c r="U297">
        <v>-2.4739311883324122</v>
      </c>
    </row>
    <row r="298" spans="1:21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24"/>
        <v>#DIV/0!</v>
      </c>
      <c r="I298" s="2" t="e">
        <f t="shared" si="25"/>
        <v>#DIV/0!</v>
      </c>
      <c r="J298" s="2">
        <v>0</v>
      </c>
      <c r="K298" s="2">
        <v>0</v>
      </c>
      <c r="L298" s="2">
        <v>0</v>
      </c>
      <c r="M298" s="2">
        <v>0</v>
      </c>
      <c r="N298" s="2">
        <v>0.27</v>
      </c>
      <c r="O298" s="2">
        <v>0</v>
      </c>
      <c r="P298" s="2" t="e">
        <f t="shared" si="26"/>
        <v>#NUM!</v>
      </c>
      <c r="Q298" s="2">
        <f t="shared" si="27"/>
        <v>0.37390096630005903</v>
      </c>
      <c r="R298" s="2" t="e">
        <f t="shared" si="28"/>
        <v>#NUM!</v>
      </c>
      <c r="S298" t="e">
        <f t="shared" si="29"/>
        <v>#NUM!</v>
      </c>
      <c r="U298" t="e">
        <v>#NUM!</v>
      </c>
    </row>
    <row r="299" spans="1:21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 t="e">
        <f t="shared" si="26"/>
        <v>#DIV/0!</v>
      </c>
      <c r="Q299" s="2" t="e">
        <f t="shared" si="27"/>
        <v>#DIV/0!</v>
      </c>
      <c r="R299" s="2" t="e">
        <f t="shared" si="28"/>
        <v>#DIV/0!</v>
      </c>
      <c r="S299" t="e">
        <f t="shared" si="29"/>
        <v>#DIV/0!</v>
      </c>
      <c r="U299" t="e">
        <v>#NUM!</v>
      </c>
    </row>
    <row r="300" spans="1:21" ht="13.9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24"/>
        <v>#NUM!</v>
      </c>
      <c r="I300" s="2">
        <f t="shared" si="25"/>
        <v>0.37390096630005903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ht="13.9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24"/>
        <v>#NUM!</v>
      </c>
      <c r="I301" s="2">
        <f t="shared" si="25"/>
        <v>0.37390096630005903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ht="13.9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24"/>
        <v>#NUM!</v>
      </c>
      <c r="I302" s="2">
        <f t="shared" si="25"/>
        <v>0.37390096630005903</v>
      </c>
      <c r="J302" s="2">
        <v>0</v>
      </c>
      <c r="K302" s="2">
        <v>0</v>
      </c>
      <c r="L302" s="2">
        <v>0</v>
      </c>
      <c r="M302" s="2">
        <v>0</v>
      </c>
      <c r="N302" s="2">
        <v>0.53</v>
      </c>
      <c r="O302" s="2">
        <v>2.21</v>
      </c>
      <c r="P302" s="2" t="e">
        <f t="shared" si="26"/>
        <v>#NUM!</v>
      </c>
      <c r="Q302" s="2">
        <f t="shared" si="27"/>
        <v>0.24224148840355342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24"/>
        <v>#DIV/0!</v>
      </c>
      <c r="I303" s="2" t="e">
        <f t="shared" si="25"/>
        <v>#DIV/0!</v>
      </c>
      <c r="J303" s="2">
        <v>0</v>
      </c>
      <c r="K303" s="2">
        <v>0</v>
      </c>
      <c r="L303" s="2">
        <v>0</v>
      </c>
      <c r="M303" s="2">
        <v>0.49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ht="13.9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24"/>
        <v>#NUM!</v>
      </c>
      <c r="I304" s="2">
        <f t="shared" si="25"/>
        <v>4.2108993988349851E-2</v>
      </c>
      <c r="J304" s="2">
        <v>0</v>
      </c>
      <c r="K304" s="2">
        <v>0</v>
      </c>
      <c r="L304" s="2">
        <v>0</v>
      </c>
      <c r="M304" s="2">
        <v>7.7</v>
      </c>
      <c r="N304" s="2">
        <v>7.49</v>
      </c>
      <c r="O304" s="2">
        <v>5.69</v>
      </c>
      <c r="P304" s="2" t="e">
        <f t="shared" si="26"/>
        <v>#NUM!</v>
      </c>
      <c r="Q304" s="2">
        <f t="shared" si="27"/>
        <v>4.006386930770159E-4</v>
      </c>
      <c r="R304" s="2" t="e">
        <f t="shared" si="28"/>
        <v>#NUM!</v>
      </c>
      <c r="S304" t="e">
        <f t="shared" si="29"/>
        <v>#NUM!</v>
      </c>
      <c r="U304" t="e">
        <v>#NUM!</v>
      </c>
    </row>
    <row r="305" spans="1:21" ht="13.9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24"/>
        <v>#NUM!</v>
      </c>
      <c r="I305" s="2">
        <f t="shared" si="25"/>
        <v>0.37390096630005903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ht="13.9" x14ac:dyDescent="0.3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24"/>
        <v>#DIV/0!</v>
      </c>
      <c r="I306" s="2">
        <f t="shared" si="25"/>
        <v>0.37390096630005903</v>
      </c>
      <c r="J306" s="2">
        <v>0</v>
      </c>
      <c r="K306" s="2">
        <v>0</v>
      </c>
      <c r="L306" s="2">
        <v>0</v>
      </c>
      <c r="M306" s="2">
        <v>0.3</v>
      </c>
      <c r="N306" s="2">
        <v>0.27</v>
      </c>
      <c r="O306" s="2">
        <v>0</v>
      </c>
      <c r="P306" s="2" t="e">
        <f t="shared" si="26"/>
        <v>#NUM!</v>
      </c>
      <c r="Q306" s="2">
        <f t="shared" si="27"/>
        <v>0.11721716888134213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ht="13.9" x14ac:dyDescent="0.3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24"/>
        <v>-1.0833153210925841</v>
      </c>
      <c r="I307" s="2">
        <f t="shared" si="25"/>
        <v>0.37169748492468829</v>
      </c>
      <c r="J307" s="2">
        <v>0</v>
      </c>
      <c r="K307" s="2">
        <v>14.15</v>
      </c>
      <c r="L307" s="2">
        <v>0</v>
      </c>
      <c r="M307" s="2">
        <v>6.91</v>
      </c>
      <c r="N307" s="2">
        <v>5.35</v>
      </c>
      <c r="O307" s="2">
        <v>5.8</v>
      </c>
      <c r="P307" s="2">
        <f t="shared" si="26"/>
        <v>-0.35199583976161347</v>
      </c>
      <c r="Q307" s="2">
        <f t="shared" si="27"/>
        <v>0.79693623878782816</v>
      </c>
      <c r="R307" s="2">
        <f t="shared" si="28"/>
        <v>0.73131948133097069</v>
      </c>
      <c r="S307">
        <f t="shared" si="29"/>
        <v>0.32492463912225111</v>
      </c>
      <c r="U307">
        <v>3.8227301479445206</v>
      </c>
    </row>
    <row r="308" spans="1:21" ht="13.9" x14ac:dyDescent="0.3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24"/>
        <v>#DIV/0!</v>
      </c>
      <c r="I308" s="2">
        <f t="shared" si="25"/>
        <v>0.37390096630005903</v>
      </c>
      <c r="J308" s="2">
        <v>0</v>
      </c>
      <c r="K308" s="2">
        <v>0</v>
      </c>
      <c r="L308" s="2">
        <v>5.28</v>
      </c>
      <c r="M308" s="2">
        <v>0.2</v>
      </c>
      <c r="N308" s="2">
        <v>0</v>
      </c>
      <c r="O308" s="2">
        <v>0.42</v>
      </c>
      <c r="P308" s="2">
        <f t="shared" si="26"/>
        <v>3.0901978089715785</v>
      </c>
      <c r="Q308" s="2">
        <f t="shared" si="27"/>
        <v>0.42831903952807754</v>
      </c>
      <c r="R308" s="2" t="e">
        <f t="shared" si="28"/>
        <v>#DIV/0!</v>
      </c>
      <c r="S308" t="e">
        <f t="shared" si="29"/>
        <v>#DIV/0!</v>
      </c>
      <c r="U308">
        <v>2.400537929583729</v>
      </c>
    </row>
    <row r="309" spans="1:21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24"/>
        <v>#DIV/0!</v>
      </c>
      <c r="I309" s="2" t="e">
        <f t="shared" si="25"/>
        <v>#DIV/0!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24"/>
        <v>#DIV/0!</v>
      </c>
      <c r="I310" s="2" t="e">
        <f t="shared" si="25"/>
        <v>#DIV/0!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ht="13.9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0</v>
      </c>
      <c r="L311" s="2">
        <v>0</v>
      </c>
      <c r="M311" s="2">
        <v>0</v>
      </c>
      <c r="N311" s="2">
        <v>1.07</v>
      </c>
      <c r="O311" s="2">
        <v>0</v>
      </c>
      <c r="P311" s="2" t="e">
        <f t="shared" si="26"/>
        <v>#NUM!</v>
      </c>
      <c r="Q311" s="2">
        <f t="shared" si="27"/>
        <v>0.37390096630005903</v>
      </c>
      <c r="R311" s="2" t="e">
        <f t="shared" si="28"/>
        <v>#NUM!</v>
      </c>
      <c r="S311" t="e">
        <f t="shared" si="29"/>
        <v>#NUM!</v>
      </c>
      <c r="U311" t="e">
        <v>#NUM!</v>
      </c>
    </row>
    <row r="312" spans="1:21" ht="13.9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24"/>
        <v>#NUM!</v>
      </c>
      <c r="I312" s="2">
        <f t="shared" si="25"/>
        <v>0.37390096630005903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ht="13.9" x14ac:dyDescent="0.3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24"/>
        <v>-5.4384138373682145</v>
      </c>
      <c r="I313" s="2">
        <f t="shared" si="25"/>
        <v>6.0399670733443031E-3</v>
      </c>
      <c r="J313" s="2">
        <v>6.92</v>
      </c>
      <c r="K313" s="2">
        <v>8.2899999999999991</v>
      </c>
      <c r="L313" s="2">
        <v>2.1800000000000002</v>
      </c>
      <c r="M313" s="2">
        <v>7.8</v>
      </c>
      <c r="N313" s="2">
        <v>7.49</v>
      </c>
      <c r="O313" s="2">
        <v>8.33</v>
      </c>
      <c r="P313" s="2">
        <f t="shared" si="26"/>
        <v>-0.44175103209056998</v>
      </c>
      <c r="Q313" s="2">
        <f t="shared" si="27"/>
        <v>0.32840635672223106</v>
      </c>
      <c r="R313" s="2">
        <f t="shared" si="28"/>
        <v>4.9966628052776443</v>
      </c>
      <c r="S313">
        <f t="shared" si="29"/>
        <v>8.1227917790151927E-2</v>
      </c>
      <c r="U313">
        <v>4.1201860275318625</v>
      </c>
    </row>
    <row r="314" spans="1:21" ht="13.9" x14ac:dyDescent="0.3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24"/>
        <v>2.7071587716832428</v>
      </c>
      <c r="I314" s="2">
        <f t="shared" si="25"/>
        <v>3.5293583297865369E-3</v>
      </c>
      <c r="J314" s="2">
        <v>4.28</v>
      </c>
      <c r="K314" s="2">
        <v>0</v>
      </c>
      <c r="L314" s="2">
        <v>0</v>
      </c>
      <c r="M314" s="2">
        <v>0.2</v>
      </c>
      <c r="N314" s="2">
        <v>0.53</v>
      </c>
      <c r="O314" s="2">
        <v>0</v>
      </c>
      <c r="P314" s="2">
        <f t="shared" si="26"/>
        <v>2.5516424275211298</v>
      </c>
      <c r="Q314" s="2">
        <f t="shared" si="27"/>
        <v>0.45592316630714169</v>
      </c>
      <c r="R314" s="2">
        <f t="shared" si="28"/>
        <v>-0.15551634416211302</v>
      </c>
      <c r="S314">
        <f t="shared" si="29"/>
        <v>0.94255366704428023</v>
      </c>
      <c r="U314">
        <v>2.0976107966264221</v>
      </c>
    </row>
    <row r="315" spans="1:21" ht="13.9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24"/>
        <v>#NUM!</v>
      </c>
      <c r="I315" s="2">
        <f t="shared" si="25"/>
        <v>0.37390096630005903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24"/>
        <v>#DIV/0!</v>
      </c>
      <c r="I316" s="2" t="e">
        <f t="shared" si="25"/>
        <v>#DIV/0!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0.63</v>
      </c>
      <c r="P316" s="2" t="e">
        <f t="shared" si="26"/>
        <v>#NUM!</v>
      </c>
      <c r="Q316" s="2">
        <f t="shared" si="27"/>
        <v>0.37390096630005903</v>
      </c>
      <c r="R316" s="2" t="e">
        <f t="shared" si="28"/>
        <v>#NUM!</v>
      </c>
      <c r="S316" t="e">
        <f t="shared" si="29"/>
        <v>#NUM!</v>
      </c>
      <c r="U316" t="e">
        <v>#NUM!</v>
      </c>
    </row>
    <row r="317" spans="1:21" ht="13.9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24"/>
        <v>#NUM!</v>
      </c>
      <c r="I317" s="2">
        <f t="shared" si="25"/>
        <v>7.7704357656269762E-2</v>
      </c>
      <c r="J317" s="2">
        <v>0</v>
      </c>
      <c r="K317" s="2">
        <v>0</v>
      </c>
      <c r="L317" s="2">
        <v>0</v>
      </c>
      <c r="M317" s="2">
        <v>1.0900000000000001</v>
      </c>
      <c r="N317" s="2">
        <v>1.07</v>
      </c>
      <c r="O317" s="2">
        <v>0.53</v>
      </c>
      <c r="P317" s="2" t="e">
        <f t="shared" si="26"/>
        <v>#NUM!</v>
      </c>
      <c r="Q317" s="2">
        <f t="shared" si="27"/>
        <v>8.1108813901857261E-3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24"/>
        <v>#DIV/0!</v>
      </c>
      <c r="I318" s="2" t="e">
        <f t="shared" si="25"/>
        <v>#DIV/0!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0.74</v>
      </c>
      <c r="P318" s="2" t="e">
        <f t="shared" si="26"/>
        <v>#NUM!</v>
      </c>
      <c r="Q318" s="2">
        <f t="shared" si="27"/>
        <v>0.37390096630005903</v>
      </c>
      <c r="R318" s="2" t="e">
        <f t="shared" si="28"/>
        <v>#NUM!</v>
      </c>
      <c r="S318" t="e">
        <f t="shared" si="29"/>
        <v>#NUM!</v>
      </c>
      <c r="U318" t="e">
        <v>#NUM!</v>
      </c>
    </row>
    <row r="319" spans="1:21" ht="13.9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24"/>
        <v>#NUM!</v>
      </c>
      <c r="I319" s="2">
        <f t="shared" si="25"/>
        <v>0.37390096630005903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ht="13.9" x14ac:dyDescent="0.3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0.1709108311721276</v>
      </c>
      <c r="J320" s="2">
        <v>2.31</v>
      </c>
      <c r="K320" s="2">
        <v>0.24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0.31086928652678342</v>
      </c>
      <c r="R320" s="2" t="e">
        <f t="shared" si="28"/>
        <v>#DIV/0!</v>
      </c>
      <c r="S320" t="e">
        <f t="shared" si="29"/>
        <v>#DIV/0!</v>
      </c>
      <c r="U320">
        <v>1.3504972470841332</v>
      </c>
    </row>
    <row r="321" spans="1:21" ht="13.9" x14ac:dyDescent="0.3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24"/>
        <v>#NUM!</v>
      </c>
      <c r="I321" s="2">
        <f t="shared" si="25"/>
        <v>0.21647733292724586</v>
      </c>
      <c r="J321" s="2">
        <v>0.99</v>
      </c>
      <c r="K321" s="2">
        <v>0</v>
      </c>
      <c r="L321" s="2">
        <v>7.1</v>
      </c>
      <c r="M321" s="2">
        <v>0</v>
      </c>
      <c r="N321" s="2">
        <v>0.67</v>
      </c>
      <c r="O321" s="2">
        <v>0.53</v>
      </c>
      <c r="P321" s="2">
        <f t="shared" si="26"/>
        <v>2.7531052968214587</v>
      </c>
      <c r="Q321" s="2">
        <f t="shared" si="27"/>
        <v>0.36115988180045222</v>
      </c>
      <c r="R321" s="2" t="e">
        <f t="shared" si="28"/>
        <v>#NUM!</v>
      </c>
      <c r="S321" t="e">
        <f t="shared" si="29"/>
        <v>#NUM!</v>
      </c>
      <c r="U321">
        <v>3.016139702655253</v>
      </c>
    </row>
    <row r="322" spans="1:21" ht="13.9" x14ac:dyDescent="0.3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30">LOG(SUM(B322:D322)/SUM(E322:G322),2)</f>
        <v>0.58424776449603999</v>
      </c>
      <c r="I322" s="2">
        <f t="shared" ref="I322:I385" si="31">_xlfn.T.TEST(B322:D322,E322:G322,2,2)</f>
        <v>0.75739869366381773</v>
      </c>
      <c r="J322" s="2">
        <v>17.14</v>
      </c>
      <c r="K322" s="2">
        <v>6.59</v>
      </c>
      <c r="L322" s="2">
        <v>12.02</v>
      </c>
      <c r="M322" s="2">
        <v>2.86</v>
      </c>
      <c r="N322" s="2">
        <v>6.55</v>
      </c>
      <c r="O322" s="2">
        <v>6.01</v>
      </c>
      <c r="P322" s="2">
        <f t="shared" ref="P322:P385" si="32">LOG(SUM(J322:L322)/SUM(M322:O322),2)</f>
        <v>1.21314047663808</v>
      </c>
      <c r="Q322" s="2">
        <f t="shared" ref="Q322:Q385" si="33">_xlfn.T.TEST(J322:L322,M322:O322,2,2)</f>
        <v>0.1058716506010056</v>
      </c>
      <c r="R322" s="2">
        <f t="shared" si="28"/>
        <v>0.62889271214204001</v>
      </c>
      <c r="S322">
        <f t="shared" si="29"/>
        <v>2.0764144090213335</v>
      </c>
      <c r="U322">
        <v>5.1598713367783899</v>
      </c>
    </row>
    <row r="323" spans="1:21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30"/>
        <v>#DIV/0!</v>
      </c>
      <c r="I323" s="2" t="e">
        <f t="shared" si="31"/>
        <v>#DIV/0!</v>
      </c>
      <c r="J323" s="2">
        <v>0</v>
      </c>
      <c r="K323" s="2">
        <v>0</v>
      </c>
      <c r="L323" s="2">
        <v>0</v>
      </c>
      <c r="M323" s="2">
        <v>0</v>
      </c>
      <c r="N323" s="2">
        <v>0.53</v>
      </c>
      <c r="O323" s="2">
        <v>0</v>
      </c>
      <c r="P323" s="2" t="e">
        <f t="shared" si="32"/>
        <v>#NUM!</v>
      </c>
      <c r="Q323" s="2">
        <f t="shared" si="33"/>
        <v>0.37390096630005903</v>
      </c>
      <c r="R323" s="2" t="e">
        <f t="shared" ref="R323:R386" si="34">P323-H323</f>
        <v>#NUM!</v>
      </c>
      <c r="S323" t="e">
        <f t="shared" si="29"/>
        <v>#NUM!</v>
      </c>
      <c r="U323" t="e">
        <v>#NUM!</v>
      </c>
    </row>
    <row r="324" spans="1:21" ht="13.9" x14ac:dyDescent="0.3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30"/>
        <v>#NUM!</v>
      </c>
      <c r="I324" s="2">
        <f t="shared" si="31"/>
        <v>4.6095077927927774E-2</v>
      </c>
      <c r="J324" s="2">
        <v>0.33</v>
      </c>
      <c r="K324" s="2">
        <v>0</v>
      </c>
      <c r="L324" s="2">
        <v>0</v>
      </c>
      <c r="M324" s="2">
        <v>4.24</v>
      </c>
      <c r="N324" s="2">
        <v>5.75</v>
      </c>
      <c r="O324" s="2">
        <v>3.58</v>
      </c>
      <c r="P324" s="2">
        <f t="shared" si="32"/>
        <v>-5.3618108860604003</v>
      </c>
      <c r="Q324" s="2">
        <f t="shared" si="33"/>
        <v>2.4796004533424849E-3</v>
      </c>
      <c r="R324" s="2" t="e">
        <f t="shared" si="34"/>
        <v>#NUM!</v>
      </c>
      <c r="S324" t="e">
        <f t="shared" ref="S324:S387" si="35">P324/H324</f>
        <v>#NUM!</v>
      </c>
      <c r="U324">
        <v>-1.5994620704162712</v>
      </c>
    </row>
    <row r="325" spans="1:21" ht="13.9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30"/>
        <v>#NUM!</v>
      </c>
      <c r="I325" s="2">
        <f t="shared" si="31"/>
        <v>0.37390096630005903</v>
      </c>
      <c r="J325" s="2">
        <v>0</v>
      </c>
      <c r="K325" s="2">
        <v>0</v>
      </c>
      <c r="L325" s="2">
        <v>0</v>
      </c>
      <c r="M325" s="2">
        <v>0</v>
      </c>
      <c r="N325" s="2">
        <v>0.8</v>
      </c>
      <c r="O325" s="2">
        <v>0.42</v>
      </c>
      <c r="P325" s="2" t="e">
        <f t="shared" si="32"/>
        <v>#NUM!</v>
      </c>
      <c r="Q325" s="2">
        <f t="shared" si="33"/>
        <v>0.15318372414612758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ht="13.9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0.3</v>
      </c>
      <c r="N326" s="2">
        <v>0</v>
      </c>
      <c r="O326" s="2">
        <v>0</v>
      </c>
      <c r="P326" s="2" t="e">
        <f t="shared" si="32"/>
        <v>#NUM!</v>
      </c>
      <c r="Q326" s="2">
        <f t="shared" si="33"/>
        <v>0.37390096630005903</v>
      </c>
      <c r="R326" s="2" t="e">
        <f t="shared" si="34"/>
        <v>#NUM!</v>
      </c>
      <c r="S326" t="e">
        <f t="shared" si="35"/>
        <v>#NUM!</v>
      </c>
      <c r="U326" t="e">
        <v>#NUM!</v>
      </c>
    </row>
    <row r="327" spans="1:21" ht="13.9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0.3</v>
      </c>
      <c r="N327" s="2">
        <v>0</v>
      </c>
      <c r="O327" s="2">
        <v>0</v>
      </c>
      <c r="P327" s="2" t="e">
        <f t="shared" si="32"/>
        <v>#NUM!</v>
      </c>
      <c r="Q327" s="2">
        <f t="shared" si="33"/>
        <v>0.37390096630005903</v>
      </c>
      <c r="R327" s="2" t="e">
        <f t="shared" si="34"/>
        <v>#NUM!</v>
      </c>
      <c r="S327" t="e">
        <f t="shared" si="35"/>
        <v>#NUM!</v>
      </c>
      <c r="U327" t="e">
        <v>#NUM!</v>
      </c>
    </row>
    <row r="328" spans="1:21" ht="13.9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 t="e">
        <f t="shared" si="31"/>
        <v>#DIV/0!</v>
      </c>
      <c r="J328" s="2">
        <v>4.9400000000000004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 t="e">
        <f t="shared" si="32"/>
        <v>#DIV/0!</v>
      </c>
      <c r="Q328" s="2">
        <f t="shared" si="33"/>
        <v>0.37390096630005903</v>
      </c>
      <c r="R328" s="2" t="e">
        <f t="shared" si="34"/>
        <v>#DIV/0!</v>
      </c>
      <c r="S328" t="e">
        <f t="shared" si="35"/>
        <v>#DIV/0!</v>
      </c>
      <c r="U328">
        <v>2.304511041809953</v>
      </c>
    </row>
    <row r="329" spans="1:21" ht="13.9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30"/>
        <v>#NUM!</v>
      </c>
      <c r="I329" s="2">
        <f t="shared" si="31"/>
        <v>0.37390096630005903</v>
      </c>
      <c r="J329" s="2">
        <v>0</v>
      </c>
      <c r="K329" s="2">
        <v>0</v>
      </c>
      <c r="L329" s="2">
        <v>0</v>
      </c>
      <c r="M329" s="2">
        <v>1.48</v>
      </c>
      <c r="N329" s="2">
        <v>0.4</v>
      </c>
      <c r="O329" s="2">
        <v>0</v>
      </c>
      <c r="P329" s="2" t="e">
        <f t="shared" si="32"/>
        <v>#NUM!</v>
      </c>
      <c r="Q329" s="2">
        <f t="shared" si="33"/>
        <v>0.22923971816325969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ht="13.9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0.42</v>
      </c>
      <c r="P330" s="2" t="e">
        <f t="shared" si="32"/>
        <v>#NUM!</v>
      </c>
      <c r="Q330" s="2">
        <f t="shared" si="33"/>
        <v>0.37390096630005903</v>
      </c>
      <c r="R330" s="2" t="e">
        <f t="shared" si="34"/>
        <v>#NUM!</v>
      </c>
      <c r="S330" t="e">
        <f t="shared" si="35"/>
        <v>#NUM!</v>
      </c>
      <c r="U330" t="e">
        <v>#NUM!</v>
      </c>
    </row>
    <row r="331" spans="1:21" ht="13.9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30"/>
        <v>#NUM!</v>
      </c>
      <c r="I331" s="2">
        <f t="shared" si="31"/>
        <v>0.37390096630005903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ht="13.9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30"/>
        <v>#NUM!</v>
      </c>
      <c r="I332" s="2">
        <f t="shared" si="31"/>
        <v>0.37390096630005903</v>
      </c>
      <c r="J332" s="2">
        <v>0</v>
      </c>
      <c r="K332" s="2">
        <v>0</v>
      </c>
      <c r="L332" s="2">
        <v>0</v>
      </c>
      <c r="M332" s="2">
        <v>0.99</v>
      </c>
      <c r="N332" s="2">
        <v>0</v>
      </c>
      <c r="O332" s="2">
        <v>2</v>
      </c>
      <c r="P332" s="2" t="e">
        <f t="shared" si="32"/>
        <v>#NUM!</v>
      </c>
      <c r="Q332" s="2">
        <f t="shared" si="33"/>
        <v>0.15938043584053399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ht="13.9" x14ac:dyDescent="0.3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30"/>
        <v>0.90503264938793615</v>
      </c>
      <c r="I333" s="2">
        <f t="shared" si="31"/>
        <v>0.66700424454028129</v>
      </c>
      <c r="J333" s="2">
        <v>0</v>
      </c>
      <c r="K333" s="2">
        <v>0</v>
      </c>
      <c r="L333" s="2">
        <v>0</v>
      </c>
      <c r="M333" s="2">
        <v>1.28</v>
      </c>
      <c r="N333" s="2">
        <v>2.0099999999999998</v>
      </c>
      <c r="O333" s="2">
        <v>0.32</v>
      </c>
      <c r="P333" s="2" t="e">
        <f t="shared" si="32"/>
        <v>#NUM!</v>
      </c>
      <c r="Q333" s="2">
        <f t="shared" si="33"/>
        <v>6.976861028888888E-2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 t="e">
        <f t="shared" si="32"/>
        <v>#DIV/0!</v>
      </c>
      <c r="Q334" s="2" t="e">
        <f t="shared" si="33"/>
        <v>#DIV/0!</v>
      </c>
      <c r="R334" s="2" t="e">
        <f t="shared" si="34"/>
        <v>#DIV/0!</v>
      </c>
      <c r="S334" t="e">
        <f t="shared" si="35"/>
        <v>#DIV/0!</v>
      </c>
      <c r="U334" t="e">
        <v>#NUM!</v>
      </c>
    </row>
    <row r="335" spans="1:21" ht="13.9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30"/>
        <v>#NUM!</v>
      </c>
      <c r="I335" s="2">
        <f t="shared" si="31"/>
        <v>1.4698864594548976E-3</v>
      </c>
      <c r="J335" s="2">
        <v>0</v>
      </c>
      <c r="K335" s="2">
        <v>0</v>
      </c>
      <c r="L335" s="2">
        <v>0</v>
      </c>
      <c r="M335" s="2">
        <v>1.48</v>
      </c>
      <c r="N335" s="2">
        <v>1.34</v>
      </c>
      <c r="O335" s="2">
        <v>0.63</v>
      </c>
      <c r="P335" s="2" t="e">
        <f t="shared" si="32"/>
        <v>#NUM!</v>
      </c>
      <c r="Q335" s="2">
        <f t="shared" si="33"/>
        <v>1.1962542602379713E-2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ht="13.9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30"/>
        <v>#NUM!</v>
      </c>
      <c r="I336" s="2">
        <f t="shared" si="31"/>
        <v>0.37390096630005903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 t="e">
        <f t="shared" si="33"/>
        <v>#DIV/0!</v>
      </c>
      <c r="R336" s="2" t="e">
        <f t="shared" si="34"/>
        <v>#DIV/0!</v>
      </c>
      <c r="S336" t="e">
        <f t="shared" si="35"/>
        <v>#DIV/0!</v>
      </c>
      <c r="U336" t="e">
        <v>#NUM!</v>
      </c>
    </row>
    <row r="337" spans="1:21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30"/>
        <v>#DIV/0!</v>
      </c>
      <c r="I337" s="2" t="e">
        <f t="shared" si="31"/>
        <v>#DIV/0!</v>
      </c>
      <c r="J337" s="2">
        <v>0</v>
      </c>
      <c r="K337" s="2">
        <v>0</v>
      </c>
      <c r="L337" s="2">
        <v>0</v>
      </c>
      <c r="M337" s="2">
        <v>0</v>
      </c>
      <c r="N337" s="2">
        <v>0.53</v>
      </c>
      <c r="O337" s="2">
        <v>0.42</v>
      </c>
      <c r="P337" s="2" t="e">
        <f t="shared" si="32"/>
        <v>#NUM!</v>
      </c>
      <c r="Q337" s="2">
        <f t="shared" si="33"/>
        <v>0.12142196810912945</v>
      </c>
      <c r="R337" s="2" t="e">
        <f t="shared" si="34"/>
        <v>#NUM!</v>
      </c>
      <c r="S337" t="e">
        <f t="shared" si="35"/>
        <v>#NUM!</v>
      </c>
      <c r="U337" t="e">
        <v>#NUM!</v>
      </c>
    </row>
    <row r="338" spans="1:21" ht="13.9" x14ac:dyDescent="0.3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30"/>
        <v>0.95524342176948218</v>
      </c>
      <c r="I338" s="2">
        <f t="shared" si="31"/>
        <v>0.66184521303888411</v>
      </c>
      <c r="J338" s="2">
        <v>0</v>
      </c>
      <c r="K338" s="2">
        <v>0</v>
      </c>
      <c r="L338" s="2">
        <v>0</v>
      </c>
      <c r="M338" s="2">
        <v>0.99</v>
      </c>
      <c r="N338" s="2">
        <v>0.4</v>
      </c>
      <c r="O338" s="2">
        <v>0.74</v>
      </c>
      <c r="P338" s="2" t="e">
        <f t="shared" si="32"/>
        <v>#NUM!</v>
      </c>
      <c r="Q338" s="2">
        <f t="shared" si="33"/>
        <v>1.4230349545644557E-2</v>
      </c>
      <c r="R338" s="2" t="e">
        <f t="shared" si="34"/>
        <v>#NUM!</v>
      </c>
      <c r="S338" t="e">
        <f t="shared" si="35"/>
        <v>#NUM!</v>
      </c>
      <c r="U338" t="e">
        <v>#NUM!</v>
      </c>
    </row>
    <row r="339" spans="1:21" ht="13.9" x14ac:dyDescent="0.3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30"/>
        <v>#NUM!</v>
      </c>
      <c r="I339" s="2">
        <f t="shared" si="31"/>
        <v>4.2024932043290962E-2</v>
      </c>
      <c r="J339" s="2">
        <v>0</v>
      </c>
      <c r="K339" s="2">
        <v>0</v>
      </c>
      <c r="L339" s="2">
        <v>5.28</v>
      </c>
      <c r="M339" s="2">
        <v>0.99</v>
      </c>
      <c r="N339" s="2">
        <v>0.8</v>
      </c>
      <c r="O339" s="2">
        <v>0.21</v>
      </c>
      <c r="P339" s="2">
        <f t="shared" si="32"/>
        <v>1.4005379295837288</v>
      </c>
      <c r="Q339" s="2">
        <f t="shared" si="33"/>
        <v>0.5713666979640134</v>
      </c>
      <c r="R339" s="2" t="e">
        <f t="shared" si="34"/>
        <v>#NUM!</v>
      </c>
      <c r="S339" t="e">
        <f t="shared" si="35"/>
        <v>#NUM!</v>
      </c>
      <c r="U339">
        <v>2.400537929583729</v>
      </c>
    </row>
    <row r="340" spans="1:21" ht="13.9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30"/>
        <v>#NUM!</v>
      </c>
      <c r="I340" s="2">
        <f t="shared" si="31"/>
        <v>0.25117827857643138</v>
      </c>
      <c r="J340" s="2">
        <v>0</v>
      </c>
      <c r="K340" s="2">
        <v>0</v>
      </c>
      <c r="L340" s="2">
        <v>0</v>
      </c>
      <c r="M340" s="2">
        <v>0.49</v>
      </c>
      <c r="N340" s="2">
        <v>0</v>
      </c>
      <c r="O340" s="2">
        <v>0</v>
      </c>
      <c r="P340" s="2" t="e">
        <f t="shared" si="32"/>
        <v>#NUM!</v>
      </c>
      <c r="Q340" s="2">
        <f t="shared" si="33"/>
        <v>0.37390096630005903</v>
      </c>
      <c r="R340" s="2" t="e">
        <f t="shared" si="34"/>
        <v>#NUM!</v>
      </c>
      <c r="S340" t="e">
        <f t="shared" si="35"/>
        <v>#NUM!</v>
      </c>
      <c r="U340" t="e">
        <v>#NUM!</v>
      </c>
    </row>
    <row r="341" spans="1:21" ht="13.9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30"/>
        <v>#NUM!</v>
      </c>
      <c r="I341" s="2">
        <f t="shared" si="31"/>
        <v>0.22149416901086655</v>
      </c>
      <c r="J341" s="2">
        <v>0</v>
      </c>
      <c r="K341" s="2">
        <v>0</v>
      </c>
      <c r="L341" s="2">
        <v>0</v>
      </c>
      <c r="M341" s="2">
        <v>0.1</v>
      </c>
      <c r="N341" s="2">
        <v>0</v>
      </c>
      <c r="O341" s="2">
        <v>0</v>
      </c>
      <c r="P341" s="2" t="e">
        <f t="shared" si="32"/>
        <v>#NUM!</v>
      </c>
      <c r="Q341" s="2">
        <f t="shared" si="33"/>
        <v>0.37390096630005903</v>
      </c>
      <c r="R341" s="2" t="e">
        <f t="shared" si="34"/>
        <v>#NUM!</v>
      </c>
      <c r="S341" t="e">
        <f t="shared" si="35"/>
        <v>#NUM!</v>
      </c>
      <c r="U341" t="e">
        <v>#NUM!</v>
      </c>
    </row>
    <row r="342" spans="1:21" ht="13.9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0.1</v>
      </c>
      <c r="N342" s="2">
        <v>0</v>
      </c>
      <c r="O342" s="2">
        <v>0</v>
      </c>
      <c r="P342" s="2" t="e">
        <f t="shared" si="32"/>
        <v>#NUM!</v>
      </c>
      <c r="Q342" s="2">
        <f t="shared" si="33"/>
        <v>0.37390096630005903</v>
      </c>
      <c r="R342" s="2" t="e">
        <f t="shared" si="34"/>
        <v>#NUM!</v>
      </c>
      <c r="S342" t="e">
        <f t="shared" si="35"/>
        <v>#NUM!</v>
      </c>
      <c r="U342" t="e">
        <v>#NUM!</v>
      </c>
    </row>
    <row r="343" spans="1:21" ht="13.9" x14ac:dyDescent="0.3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30"/>
        <v>#NUM!</v>
      </c>
      <c r="I343" s="2">
        <f t="shared" si="31"/>
        <v>6.50762374985632E-2</v>
      </c>
      <c r="J343" s="2">
        <v>0.99</v>
      </c>
      <c r="K343" s="2">
        <v>0</v>
      </c>
      <c r="L343" s="2">
        <v>0</v>
      </c>
      <c r="M343" s="2">
        <v>1.18</v>
      </c>
      <c r="N343" s="2">
        <v>1.2</v>
      </c>
      <c r="O343" s="2">
        <v>0.53</v>
      </c>
      <c r="P343" s="2">
        <f t="shared" si="32"/>
        <v>-1.5555187228286746</v>
      </c>
      <c r="Q343" s="2">
        <f t="shared" si="33"/>
        <v>0.18193314137212868</v>
      </c>
      <c r="R343" s="2" t="e">
        <f t="shared" si="34"/>
        <v>#NUM!</v>
      </c>
      <c r="S343" t="e">
        <f t="shared" si="35"/>
        <v>#NUM!</v>
      </c>
      <c r="U343">
        <v>-1.4499569695115091E-2</v>
      </c>
    </row>
    <row r="344" spans="1:21" ht="13.9" x14ac:dyDescent="0.3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30"/>
        <v>#NUM!</v>
      </c>
      <c r="I344" s="2">
        <f t="shared" si="31"/>
        <v>4.7850740397449965E-2</v>
      </c>
      <c r="J344" s="2">
        <v>0</v>
      </c>
      <c r="K344" s="2">
        <v>0.98</v>
      </c>
      <c r="L344" s="2">
        <v>0</v>
      </c>
      <c r="M344" s="2">
        <v>0.69</v>
      </c>
      <c r="N344" s="2">
        <v>0.67</v>
      </c>
      <c r="O344" s="2">
        <v>0.53</v>
      </c>
      <c r="P344" s="2">
        <f t="shared" si="32"/>
        <v>-0.9475325801058645</v>
      </c>
      <c r="Q344" s="2">
        <f t="shared" si="33"/>
        <v>0.4106835034251935</v>
      </c>
      <c r="R344" s="2" t="e">
        <f t="shared" si="34"/>
        <v>#NUM!</v>
      </c>
      <c r="S344" t="e">
        <f t="shared" si="35"/>
        <v>#NUM!</v>
      </c>
      <c r="U344">
        <v>-2.9146345659516508E-2</v>
      </c>
    </row>
    <row r="345" spans="1:21" ht="13.9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30"/>
        <v>#NUM!</v>
      </c>
      <c r="I345" s="2">
        <f t="shared" si="31"/>
        <v>3.9193001592135165E-2</v>
      </c>
      <c r="J345" s="2">
        <v>0</v>
      </c>
      <c r="K345" s="2">
        <v>0</v>
      </c>
      <c r="L345" s="2">
        <v>0</v>
      </c>
      <c r="M345" s="2">
        <v>0.1</v>
      </c>
      <c r="N345" s="2">
        <v>0.27</v>
      </c>
      <c r="O345" s="2">
        <v>0.11</v>
      </c>
      <c r="P345" s="2" t="e">
        <f t="shared" si="32"/>
        <v>#NUM!</v>
      </c>
      <c r="Q345" s="2">
        <f t="shared" si="33"/>
        <v>4.3893358557895674E-2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ht="13.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 t="e">
        <f t="shared" si="32"/>
        <v>#DIV/0!</v>
      </c>
      <c r="Q346" s="2" t="e">
        <f t="shared" si="33"/>
        <v>#DIV/0!</v>
      </c>
      <c r="R346" s="2" t="e">
        <f t="shared" si="34"/>
        <v>#DIV/0!</v>
      </c>
      <c r="S346" t="e">
        <f t="shared" si="35"/>
        <v>#DIV/0!</v>
      </c>
      <c r="U346" t="e">
        <v>#NUM!</v>
      </c>
    </row>
    <row r="347" spans="1:21" ht="13.9" x14ac:dyDescent="0.3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30"/>
        <v>0.59111825390627293</v>
      </c>
      <c r="I347" s="2">
        <f t="shared" si="31"/>
        <v>0.32134546947909542</v>
      </c>
      <c r="J347" s="2">
        <v>37.25</v>
      </c>
      <c r="K347" s="2">
        <v>0</v>
      </c>
      <c r="L347" s="2">
        <v>18.02</v>
      </c>
      <c r="M347" s="2">
        <v>34.06</v>
      </c>
      <c r="N347" s="2">
        <v>20.32</v>
      </c>
      <c r="O347" s="2">
        <v>26.24</v>
      </c>
      <c r="P347" s="2">
        <f t="shared" si="32"/>
        <v>-0.54464117063691875</v>
      </c>
      <c r="Q347" s="2">
        <f t="shared" si="33"/>
        <v>0.50208729073411673</v>
      </c>
      <c r="R347" s="2">
        <f t="shared" si="34"/>
        <v>-1.1357594245431917</v>
      </c>
      <c r="S347">
        <f t="shared" si="35"/>
        <v>-0.92137430545881338</v>
      </c>
      <c r="U347">
        <v>5.7884247074394359</v>
      </c>
    </row>
    <row r="348" spans="1:21" ht="13.9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30"/>
        <v>#NUM!</v>
      </c>
      <c r="I348" s="2">
        <f t="shared" si="31"/>
        <v>0.37390096630005903</v>
      </c>
      <c r="J348" s="2">
        <v>0</v>
      </c>
      <c r="K348" s="2">
        <v>0</v>
      </c>
      <c r="L348" s="2">
        <v>0</v>
      </c>
      <c r="M348" s="2">
        <v>0.1</v>
      </c>
      <c r="N348" s="2">
        <v>0.13</v>
      </c>
      <c r="O348" s="2">
        <v>0</v>
      </c>
      <c r="P348" s="2" t="e">
        <f t="shared" si="32"/>
        <v>#NUM!</v>
      </c>
      <c r="Q348" s="2">
        <f t="shared" si="33"/>
        <v>0.12283946337339596</v>
      </c>
      <c r="R348" s="2" t="e">
        <f t="shared" si="34"/>
        <v>#NUM!</v>
      </c>
      <c r="S348" t="e">
        <f t="shared" si="35"/>
        <v>#NUM!</v>
      </c>
      <c r="U348" t="e">
        <v>#NUM!</v>
      </c>
    </row>
    <row r="349" spans="1:21" ht="13.9" x14ac:dyDescent="0.3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30"/>
        <v>-0.64806230074493576</v>
      </c>
      <c r="I349" s="2">
        <f t="shared" si="31"/>
        <v>0.51220815244014917</v>
      </c>
      <c r="J349" s="2">
        <v>41.2</v>
      </c>
      <c r="K349" s="2">
        <v>14.39</v>
      </c>
      <c r="L349" s="2">
        <v>7.65</v>
      </c>
      <c r="M349" s="2">
        <v>9.2799999999999994</v>
      </c>
      <c r="N349" s="2">
        <v>10.83</v>
      </c>
      <c r="O349" s="2">
        <v>7.69</v>
      </c>
      <c r="P349" s="2">
        <f t="shared" si="32"/>
        <v>1.1857524847475012</v>
      </c>
      <c r="Q349" s="2">
        <f t="shared" si="33"/>
        <v>0.31479612652806271</v>
      </c>
      <c r="R349" s="2">
        <f t="shared" si="34"/>
        <v>1.8338147854924369</v>
      </c>
      <c r="S349">
        <f t="shared" si="35"/>
        <v>-1.8296890335767106</v>
      </c>
      <c r="U349">
        <v>5.9827654625836466</v>
      </c>
    </row>
    <row r="350" spans="1:21" ht="13.9" x14ac:dyDescent="0.3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30"/>
        <v>0.51518487308945837</v>
      </c>
      <c r="I350" s="2">
        <f t="shared" si="31"/>
        <v>0.63596415847709675</v>
      </c>
      <c r="J350" s="2">
        <v>2.97</v>
      </c>
      <c r="K350" s="2">
        <v>0</v>
      </c>
      <c r="L350" s="2">
        <v>0</v>
      </c>
      <c r="M350" s="2">
        <v>3.65</v>
      </c>
      <c r="N350" s="2">
        <v>5.21</v>
      </c>
      <c r="O350" s="2">
        <v>2.5299999999999998</v>
      </c>
      <c r="P350" s="2">
        <f t="shared" si="32"/>
        <v>-1.9392329109073458</v>
      </c>
      <c r="Q350" s="2">
        <f t="shared" si="33"/>
        <v>8.9607407404061257E-2</v>
      </c>
      <c r="R350" s="2">
        <f t="shared" si="34"/>
        <v>-2.4544177839968042</v>
      </c>
      <c r="S350">
        <f t="shared" si="35"/>
        <v>-3.7641495552424948</v>
      </c>
      <c r="U350">
        <v>1.5704629310260412</v>
      </c>
    </row>
    <row r="351" spans="1:21" ht="13.9" x14ac:dyDescent="0.3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30"/>
        <v>-7.110533501861072</v>
      </c>
      <c r="I351" s="2">
        <f t="shared" si="31"/>
        <v>5.8976411794679014E-4</v>
      </c>
      <c r="J351" s="2">
        <v>0</v>
      </c>
      <c r="K351" s="2">
        <v>0</v>
      </c>
      <c r="L351" s="2">
        <v>26.76</v>
      </c>
      <c r="M351" s="2">
        <v>12.54</v>
      </c>
      <c r="N351" s="2">
        <v>11.5</v>
      </c>
      <c r="O351" s="2">
        <v>6.22</v>
      </c>
      <c r="P351" s="2">
        <f t="shared" si="32"/>
        <v>-0.17733387157527608</v>
      </c>
      <c r="Q351" s="2">
        <f t="shared" si="33"/>
        <v>0.90450801577531958</v>
      </c>
      <c r="R351" s="2">
        <f t="shared" si="34"/>
        <v>6.9331996302857961</v>
      </c>
      <c r="S351">
        <f t="shared" si="35"/>
        <v>2.4939601441841416E-2</v>
      </c>
      <c r="U351">
        <v>4.7420062108667365</v>
      </c>
    </row>
    <row r="352" spans="1:21" ht="13.9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0.11</v>
      </c>
      <c r="P352" s="5" t="e">
        <f t="shared" si="32"/>
        <v>#NUM!</v>
      </c>
      <c r="Q352" s="5">
        <f t="shared" si="33"/>
        <v>0.37390096630005903</v>
      </c>
      <c r="R352" s="5" t="e">
        <f t="shared" si="34"/>
        <v>#NUM!</v>
      </c>
      <c r="S352" t="e">
        <f t="shared" si="35"/>
        <v>#NUM!</v>
      </c>
      <c r="U352" t="e">
        <v>#NUM!</v>
      </c>
    </row>
    <row r="353" spans="1:21" ht="13.9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30"/>
        <v>#NUM!</v>
      </c>
      <c r="I353" s="2">
        <f t="shared" si="31"/>
        <v>0.12822231080077795</v>
      </c>
      <c r="J353" s="2">
        <v>0</v>
      </c>
      <c r="K353" s="2">
        <v>0</v>
      </c>
      <c r="L353" s="2">
        <v>0</v>
      </c>
      <c r="M353" s="2">
        <v>0</v>
      </c>
      <c r="N353" s="2">
        <v>0.13</v>
      </c>
      <c r="O353" s="2">
        <v>0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ht="13.9" x14ac:dyDescent="0.3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30"/>
        <v>-2.4406625545974898</v>
      </c>
      <c r="I354" s="2">
        <f t="shared" si="31"/>
        <v>1.2758855280292719E-2</v>
      </c>
      <c r="J354" s="2">
        <v>39.22</v>
      </c>
      <c r="K354" s="2">
        <v>24.88</v>
      </c>
      <c r="L354" s="2">
        <v>22.58</v>
      </c>
      <c r="M354" s="2">
        <v>49.16</v>
      </c>
      <c r="N354" s="2">
        <v>46.53</v>
      </c>
      <c r="O354" s="2">
        <v>49.22</v>
      </c>
      <c r="P354" s="2">
        <f t="shared" si="32"/>
        <v>-0.74138609779028286</v>
      </c>
      <c r="Q354" s="2">
        <f t="shared" si="33"/>
        <v>2.1287049283915151E-2</v>
      </c>
      <c r="R354" s="2">
        <f t="shared" si="34"/>
        <v>1.699276456807207</v>
      </c>
      <c r="S354">
        <f t="shared" si="35"/>
        <v>0.30376427761131081</v>
      </c>
      <c r="U354">
        <v>6.4376272483189485</v>
      </c>
    </row>
    <row r="355" spans="1:21" ht="13.9" x14ac:dyDescent="0.3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30"/>
        <v>1.9006238372061601</v>
      </c>
      <c r="I355" s="2">
        <f t="shared" si="31"/>
        <v>0.50817155935332814</v>
      </c>
      <c r="J355" s="2">
        <v>0</v>
      </c>
      <c r="K355" s="2">
        <v>15.13</v>
      </c>
      <c r="L355" s="2">
        <v>0</v>
      </c>
      <c r="M355" s="2">
        <v>2.57</v>
      </c>
      <c r="N355" s="2">
        <v>1.87</v>
      </c>
      <c r="O355" s="2">
        <v>1.48</v>
      </c>
      <c r="P355" s="2">
        <f t="shared" si="32"/>
        <v>1.3537429065877875</v>
      </c>
      <c r="Q355" s="2">
        <f t="shared" si="33"/>
        <v>0.57631128328093895</v>
      </c>
      <c r="R355" s="2">
        <f t="shared" si="34"/>
        <v>-0.54688093061837262</v>
      </c>
      <c r="S355">
        <f t="shared" si="35"/>
        <v>0.71226240568345955</v>
      </c>
      <c r="U355">
        <v>3.9193400824420124</v>
      </c>
    </row>
    <row r="356" spans="1:21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 t="e">
        <f t="shared" si="32"/>
        <v>#DIV/0!</v>
      </c>
      <c r="Q356" s="2" t="e">
        <f t="shared" si="33"/>
        <v>#DIV/0!</v>
      </c>
      <c r="R356" s="2" t="e">
        <f t="shared" si="34"/>
        <v>#DIV/0!</v>
      </c>
      <c r="S356" t="e">
        <f t="shared" si="35"/>
        <v>#DIV/0!</v>
      </c>
      <c r="U356" t="e">
        <v>#NUM!</v>
      </c>
    </row>
    <row r="357" spans="1:21" ht="13.9" x14ac:dyDescent="0.3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30"/>
        <v>1.2230038623461892</v>
      </c>
      <c r="I357" s="2">
        <f t="shared" si="31"/>
        <v>0.60027355737712229</v>
      </c>
      <c r="J357" s="2">
        <v>35.93</v>
      </c>
      <c r="K357" s="2">
        <v>15.13</v>
      </c>
      <c r="L357" s="2">
        <v>11.65</v>
      </c>
      <c r="M357" s="2">
        <v>1.88</v>
      </c>
      <c r="N357" s="2">
        <v>5.75</v>
      </c>
      <c r="O357" s="2">
        <v>1.69</v>
      </c>
      <c r="P357" s="2">
        <f t="shared" si="32"/>
        <v>2.750293659591049</v>
      </c>
      <c r="Q357" s="2">
        <f t="shared" si="33"/>
        <v>8.1777517524053184E-2</v>
      </c>
      <c r="R357" s="2">
        <f t="shared" si="34"/>
        <v>1.5272897972448598</v>
      </c>
      <c r="S357">
        <f t="shared" si="35"/>
        <v>2.2488021046106379</v>
      </c>
      <c r="U357">
        <v>5.9706236144706049</v>
      </c>
    </row>
    <row r="358" spans="1:21" ht="13.9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0.79</v>
      </c>
      <c r="N358" s="2">
        <v>0</v>
      </c>
      <c r="O358" s="2">
        <v>0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ht="13.9" x14ac:dyDescent="0.3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30"/>
        <v>0.69464875947435489</v>
      </c>
      <c r="I359" s="2">
        <f t="shared" si="31"/>
        <v>0.54256732330199919</v>
      </c>
      <c r="J359" s="2">
        <v>5.93</v>
      </c>
      <c r="K359" s="2">
        <v>4.6399999999999997</v>
      </c>
      <c r="L359" s="2">
        <v>2.73</v>
      </c>
      <c r="M359" s="2">
        <v>2.4700000000000002</v>
      </c>
      <c r="N359" s="2">
        <v>5.88</v>
      </c>
      <c r="O359" s="2">
        <v>2.42</v>
      </c>
      <c r="P359" s="2">
        <f t="shared" si="32"/>
        <v>0.30440799584434464</v>
      </c>
      <c r="Q359" s="2">
        <f t="shared" si="33"/>
        <v>0.59805534574475394</v>
      </c>
      <c r="R359" s="2">
        <f t="shared" si="34"/>
        <v>-0.39024076363001026</v>
      </c>
      <c r="S359">
        <f t="shared" si="35"/>
        <v>0.438218584129758</v>
      </c>
      <c r="U359">
        <v>3.7333543406138276</v>
      </c>
    </row>
    <row r="360" spans="1:21" ht="13.9" x14ac:dyDescent="0.3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30"/>
        <v>2.3849062436062014</v>
      </c>
      <c r="I360" s="2">
        <f t="shared" si="31"/>
        <v>9.4291688613752228E-3</v>
      </c>
      <c r="J360" s="2">
        <v>3.63</v>
      </c>
      <c r="K360" s="2">
        <v>6.59</v>
      </c>
      <c r="L360" s="2">
        <v>4.37</v>
      </c>
      <c r="M360" s="2">
        <v>2.86</v>
      </c>
      <c r="N360" s="2">
        <v>4.41</v>
      </c>
      <c r="O360" s="2">
        <v>4.43</v>
      </c>
      <c r="P360" s="2">
        <f t="shared" si="32"/>
        <v>0.31847135344712407</v>
      </c>
      <c r="Q360" s="2">
        <f t="shared" si="33"/>
        <v>0.40269852815251939</v>
      </c>
      <c r="R360" s="2">
        <f t="shared" si="34"/>
        <v>-2.0664348901590772</v>
      </c>
      <c r="S360">
        <f t="shared" si="35"/>
        <v>0.13353621522897505</v>
      </c>
      <c r="U360">
        <v>3.8669079781431663</v>
      </c>
    </row>
    <row r="361" spans="1:21" ht="13.9" x14ac:dyDescent="0.3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30"/>
        <v>-1.6014885631448867</v>
      </c>
      <c r="I361" s="2">
        <f t="shared" si="31"/>
        <v>6.6780558083504799E-3</v>
      </c>
      <c r="J361" s="2">
        <v>127.56</v>
      </c>
      <c r="K361" s="2">
        <v>216.39</v>
      </c>
      <c r="L361" s="2">
        <v>144.74</v>
      </c>
      <c r="M361" s="2">
        <v>169.2</v>
      </c>
      <c r="N361" s="2">
        <v>196.15</v>
      </c>
      <c r="O361" s="2">
        <v>213.93</v>
      </c>
      <c r="P361" s="2">
        <f t="shared" si="32"/>
        <v>-0.24534127272629019</v>
      </c>
      <c r="Q361" s="2">
        <f t="shared" si="33"/>
        <v>0.37324277057280314</v>
      </c>
      <c r="R361" s="2">
        <f t="shared" si="34"/>
        <v>1.3561472904185965</v>
      </c>
      <c r="S361">
        <f t="shared" si="35"/>
        <v>0.15319576946869159</v>
      </c>
      <c r="U361">
        <v>8.9327757729801096</v>
      </c>
    </row>
    <row r="362" spans="1:21" ht="13.9" x14ac:dyDescent="0.3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30"/>
        <v>-0.50690404401559586</v>
      </c>
      <c r="I362" s="2">
        <f t="shared" si="31"/>
        <v>3.7256041440053247E-2</v>
      </c>
      <c r="J362" s="2">
        <v>563.97</v>
      </c>
      <c r="K362" s="2">
        <v>528.66</v>
      </c>
      <c r="L362" s="2">
        <v>417.29</v>
      </c>
      <c r="M362" s="2">
        <v>634.74</v>
      </c>
      <c r="N362" s="2">
        <v>687.92</v>
      </c>
      <c r="O362" s="2">
        <v>719.89</v>
      </c>
      <c r="P362" s="2">
        <f t="shared" si="32"/>
        <v>-0.43589928147957158</v>
      </c>
      <c r="Q362" s="2">
        <f t="shared" si="33"/>
        <v>2.4852136954845418E-2</v>
      </c>
      <c r="R362" s="2">
        <f t="shared" si="34"/>
        <v>7.100476253602428E-2</v>
      </c>
      <c r="S362">
        <f t="shared" si="35"/>
        <v>0.85992464772318977</v>
      </c>
      <c r="U362">
        <v>10.560256398013273</v>
      </c>
    </row>
    <row r="363" spans="1:21" ht="13.9" x14ac:dyDescent="0.3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30"/>
        <v>2.1408330425034539</v>
      </c>
      <c r="I363" s="2">
        <f t="shared" si="31"/>
        <v>0.29829829693674442</v>
      </c>
      <c r="J363" s="2">
        <v>336.87</v>
      </c>
      <c r="K363" s="2">
        <v>789.95</v>
      </c>
      <c r="L363" s="2">
        <v>227.95</v>
      </c>
      <c r="M363" s="2">
        <v>62.68</v>
      </c>
      <c r="N363" s="2">
        <v>139.59</v>
      </c>
      <c r="O363" s="2">
        <v>73.14</v>
      </c>
      <c r="P363" s="2">
        <f t="shared" si="32"/>
        <v>2.2983950962127544</v>
      </c>
      <c r="Q363" s="2">
        <f t="shared" si="33"/>
        <v>0.10714941627010582</v>
      </c>
      <c r="R363" s="2">
        <f t="shared" si="34"/>
        <v>0.15756205370930054</v>
      </c>
      <c r="S363">
        <f t="shared" si="35"/>
        <v>1.0735984780602275</v>
      </c>
      <c r="U363">
        <v>10.403832229950146</v>
      </c>
    </row>
    <row r="364" spans="1:21" ht="13.9" x14ac:dyDescent="0.3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30"/>
        <v>0.82818299783017546</v>
      </c>
      <c r="I364" s="2">
        <f t="shared" si="31"/>
        <v>1.3056714670193963E-2</v>
      </c>
      <c r="J364" s="2">
        <v>177.33</v>
      </c>
      <c r="K364" s="2">
        <v>193.22</v>
      </c>
      <c r="L364" s="2">
        <v>216.48</v>
      </c>
      <c r="M364" s="2">
        <v>97.93</v>
      </c>
      <c r="N364" s="2">
        <v>111.65</v>
      </c>
      <c r="O364" s="2">
        <v>114.24</v>
      </c>
      <c r="P364" s="2">
        <f t="shared" si="32"/>
        <v>0.85824214059180015</v>
      </c>
      <c r="Q364" s="2">
        <f t="shared" si="33"/>
        <v>2.133598156241175E-3</v>
      </c>
      <c r="R364" s="2">
        <f t="shared" si="34"/>
        <v>3.0059142761624691E-2</v>
      </c>
      <c r="S364">
        <f t="shared" si="35"/>
        <v>1.0362952908238627</v>
      </c>
      <c r="U364">
        <v>9.1972904235108714</v>
      </c>
    </row>
    <row r="365" spans="1:21" ht="13.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 t="e">
        <f t="shared" si="33"/>
        <v>#DIV/0!</v>
      </c>
      <c r="R365" s="2" t="e">
        <f t="shared" si="34"/>
        <v>#DIV/0!</v>
      </c>
      <c r="S365" t="e">
        <f t="shared" si="35"/>
        <v>#DIV/0!</v>
      </c>
      <c r="U365" t="e">
        <v>#NUM!</v>
      </c>
    </row>
    <row r="366" spans="1:21" ht="13.9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30"/>
        <v>#NUM!</v>
      </c>
      <c r="I366" s="2">
        <f t="shared" si="31"/>
        <v>0.37390096630005903</v>
      </c>
      <c r="J366" s="2">
        <v>0</v>
      </c>
      <c r="K366" s="2">
        <v>0</v>
      </c>
      <c r="L366" s="2">
        <v>0</v>
      </c>
      <c r="M366" s="2">
        <v>0.1</v>
      </c>
      <c r="N366" s="2">
        <v>0.8</v>
      </c>
      <c r="O366" s="2">
        <v>1.48</v>
      </c>
      <c r="P366" s="2" t="e">
        <f t="shared" si="32"/>
        <v>#NUM!</v>
      </c>
      <c r="Q366" s="2">
        <f t="shared" si="33"/>
        <v>0.11726685761111091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ht="13.9" x14ac:dyDescent="0.3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30"/>
        <v>#NUM!</v>
      </c>
      <c r="I367" s="2">
        <f t="shared" si="31"/>
        <v>9.4368458112234575E-4</v>
      </c>
      <c r="J367" s="2">
        <v>0</v>
      </c>
      <c r="K367" s="2">
        <v>6.34</v>
      </c>
      <c r="L367" s="2">
        <v>0</v>
      </c>
      <c r="M367" s="2">
        <v>3.36</v>
      </c>
      <c r="N367" s="2">
        <v>3.88</v>
      </c>
      <c r="O367" s="2">
        <v>5.16</v>
      </c>
      <c r="P367" s="2">
        <f t="shared" si="32"/>
        <v>-0.96778537513483043</v>
      </c>
      <c r="Q367" s="2">
        <f t="shared" si="33"/>
        <v>0.40656980401328652</v>
      </c>
      <c r="R367" s="2" t="e">
        <f t="shared" si="34"/>
        <v>#NUM!</v>
      </c>
      <c r="S367" t="e">
        <f t="shared" si="35"/>
        <v>#NUM!</v>
      </c>
      <c r="U367">
        <v>2.6644828403646827</v>
      </c>
    </row>
    <row r="368" spans="1:21" ht="13.9" x14ac:dyDescent="0.3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30"/>
        <v>-2.590748166043944</v>
      </c>
      <c r="I368" s="2">
        <f t="shared" si="31"/>
        <v>4.1799338849886061E-3</v>
      </c>
      <c r="J368" s="2">
        <v>6.59</v>
      </c>
      <c r="K368" s="2">
        <v>0.24</v>
      </c>
      <c r="L368" s="2">
        <v>13.65</v>
      </c>
      <c r="M368" s="2">
        <v>26.55</v>
      </c>
      <c r="N368" s="2">
        <v>29.55</v>
      </c>
      <c r="O368" s="2">
        <v>38.89</v>
      </c>
      <c r="P368" s="2">
        <f t="shared" si="32"/>
        <v>-2.2135599274764584</v>
      </c>
      <c r="Q368" s="2">
        <f t="shared" si="33"/>
        <v>9.8251124559513101E-3</v>
      </c>
      <c r="R368" s="2">
        <f t="shared" si="34"/>
        <v>0.37718823856748562</v>
      </c>
      <c r="S368">
        <f t="shared" si="35"/>
        <v>0.85440953176724632</v>
      </c>
      <c r="U368">
        <v>4.3561438102252756</v>
      </c>
    </row>
    <row r="369" spans="1:21" ht="13.9" x14ac:dyDescent="0.3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30"/>
        <v>2.0119330294959803</v>
      </c>
      <c r="I369" s="2">
        <f t="shared" si="31"/>
        <v>0.18824049316975808</v>
      </c>
      <c r="J369" s="2">
        <v>2.31</v>
      </c>
      <c r="K369" s="2">
        <v>0.73</v>
      </c>
      <c r="L369" s="2">
        <v>10.74</v>
      </c>
      <c r="M369" s="2">
        <v>3.95</v>
      </c>
      <c r="N369" s="2">
        <v>3.74</v>
      </c>
      <c r="O369" s="2">
        <v>1.79</v>
      </c>
      <c r="P369" s="2">
        <f t="shared" si="32"/>
        <v>0.53961692380603232</v>
      </c>
      <c r="Q369" s="2">
        <f t="shared" si="33"/>
        <v>0.67573930661578718</v>
      </c>
      <c r="R369" s="2">
        <f t="shared" si="34"/>
        <v>-1.4723161056899481</v>
      </c>
      <c r="S369">
        <f t="shared" si="35"/>
        <v>0.26820819375941879</v>
      </c>
      <c r="U369">
        <v>3.784503982929567</v>
      </c>
    </row>
    <row r="370" spans="1:21" ht="13.9" x14ac:dyDescent="0.3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30"/>
        <v>-0.15410003428062979</v>
      </c>
      <c r="I370" s="2">
        <f t="shared" si="31"/>
        <v>0.93333224053786012</v>
      </c>
      <c r="J370" s="2">
        <v>0</v>
      </c>
      <c r="K370" s="2">
        <v>0</v>
      </c>
      <c r="L370" s="2">
        <v>0</v>
      </c>
      <c r="M370" s="2">
        <v>1.48</v>
      </c>
      <c r="N370" s="2">
        <v>0.13</v>
      </c>
      <c r="O370" s="2">
        <v>1.58</v>
      </c>
      <c r="P370" s="2" t="e">
        <f t="shared" si="32"/>
        <v>#NUM!</v>
      </c>
      <c r="Q370" s="2">
        <f t="shared" si="33"/>
        <v>8.5328671820094723E-2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ht="13.9" x14ac:dyDescent="0.3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30"/>
        <v>-1.9744111712305641</v>
      </c>
      <c r="I371" s="2">
        <f t="shared" si="31"/>
        <v>4.4863050886835315E-2</v>
      </c>
      <c r="J371" s="2">
        <v>0.33</v>
      </c>
      <c r="K371" s="2">
        <v>12.44</v>
      </c>
      <c r="L371" s="2">
        <v>3.1</v>
      </c>
      <c r="M371" s="2">
        <v>20.73</v>
      </c>
      <c r="N371" s="2">
        <v>12.57</v>
      </c>
      <c r="O371" s="2">
        <v>12.22</v>
      </c>
      <c r="P371" s="2">
        <f t="shared" si="32"/>
        <v>-1.5201984294713999</v>
      </c>
      <c r="Q371" s="2">
        <f t="shared" si="33"/>
        <v>9.8081676062576409E-2</v>
      </c>
      <c r="R371" s="2">
        <f t="shared" si="34"/>
        <v>0.45421274175916415</v>
      </c>
      <c r="S371">
        <f t="shared" si="35"/>
        <v>0.76995027764349955</v>
      </c>
      <c r="U371">
        <v>3.9882302230604569</v>
      </c>
    </row>
    <row r="372" spans="1:21" ht="13.9" x14ac:dyDescent="0.3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30"/>
        <v>-1.3007897026248501</v>
      </c>
      <c r="I372" s="2">
        <f t="shared" si="31"/>
        <v>0.11367318573268639</v>
      </c>
      <c r="J372" s="2">
        <v>57.35</v>
      </c>
      <c r="K372" s="2">
        <v>157.11000000000001</v>
      </c>
      <c r="L372" s="2">
        <v>147.29</v>
      </c>
      <c r="M372" s="2">
        <v>223.39</v>
      </c>
      <c r="N372" s="2">
        <v>384.41</v>
      </c>
      <c r="O372" s="2">
        <v>170.83</v>
      </c>
      <c r="P372" s="2">
        <f t="shared" si="32"/>
        <v>-1.105944914901517</v>
      </c>
      <c r="Q372" s="2">
        <f t="shared" si="33"/>
        <v>0.1245148376999551</v>
      </c>
      <c r="R372" s="2">
        <f t="shared" si="34"/>
        <v>0.19484478772333302</v>
      </c>
      <c r="S372">
        <f t="shared" si="35"/>
        <v>0.85021038579091013</v>
      </c>
      <c r="U372">
        <v>8.4988492065317249</v>
      </c>
    </row>
    <row r="373" spans="1:21" ht="13.9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30"/>
        <v>#NUM!</v>
      </c>
      <c r="I373" s="2">
        <f t="shared" si="31"/>
        <v>0.18399335596368105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0.21</v>
      </c>
      <c r="P373" s="2" t="e">
        <f t="shared" si="32"/>
        <v>#NUM!</v>
      </c>
      <c r="Q373" s="2">
        <f t="shared" si="33"/>
        <v>0.37390096630005903</v>
      </c>
      <c r="R373" s="2" t="e">
        <f t="shared" si="34"/>
        <v>#NUM!</v>
      </c>
      <c r="S373" t="e">
        <f t="shared" si="35"/>
        <v>#NUM!</v>
      </c>
      <c r="U373" t="e">
        <v>#NUM!</v>
      </c>
    </row>
    <row r="374" spans="1:21" ht="13.9" x14ac:dyDescent="0.3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30"/>
        <v>-2.0984898633993638</v>
      </c>
      <c r="I374" s="2">
        <f t="shared" si="31"/>
        <v>1.6769919398437499E-2</v>
      </c>
      <c r="J374" s="2">
        <v>2.31</v>
      </c>
      <c r="K374" s="2">
        <v>7.56</v>
      </c>
      <c r="L374" s="2">
        <v>1.46</v>
      </c>
      <c r="M374" s="2">
        <v>10.46</v>
      </c>
      <c r="N374" s="2">
        <v>14.84</v>
      </c>
      <c r="O374" s="2">
        <v>10.43</v>
      </c>
      <c r="P374" s="2">
        <f t="shared" si="32"/>
        <v>-1.6569880527647549</v>
      </c>
      <c r="Q374" s="2">
        <f t="shared" si="33"/>
        <v>2.7744795767106725E-2</v>
      </c>
      <c r="R374" s="2">
        <f t="shared" si="34"/>
        <v>0.44150181063460892</v>
      </c>
      <c r="S374">
        <f t="shared" si="35"/>
        <v>0.78960974825991492</v>
      </c>
      <c r="U374">
        <v>3.5020759560457906</v>
      </c>
    </row>
    <row r="375" spans="1:21" ht="13.9" x14ac:dyDescent="0.3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30"/>
        <v>-1.1552424501182603</v>
      </c>
      <c r="I375" s="2">
        <f t="shared" si="31"/>
        <v>1.2283464177081604E-2</v>
      </c>
      <c r="J375" s="2">
        <v>63.62</v>
      </c>
      <c r="K375" s="2">
        <v>83.43</v>
      </c>
      <c r="L375" s="2">
        <v>45.7</v>
      </c>
      <c r="M375" s="2">
        <v>81.34</v>
      </c>
      <c r="N375" s="2">
        <v>118.06</v>
      </c>
      <c r="O375" s="2">
        <v>73.56</v>
      </c>
      <c r="P375" s="2">
        <f t="shared" si="32"/>
        <v>-0.50195869162853146</v>
      </c>
      <c r="Q375" s="2">
        <f t="shared" si="33"/>
        <v>0.20173111722693252</v>
      </c>
      <c r="R375" s="2">
        <f t="shared" si="34"/>
        <v>0.65328375848972886</v>
      </c>
      <c r="S375">
        <f t="shared" si="35"/>
        <v>0.43450506132037198</v>
      </c>
      <c r="U375">
        <v>7.590587049915035</v>
      </c>
    </row>
    <row r="376" spans="1:21" ht="13.9" x14ac:dyDescent="0.3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30"/>
        <v>0.27762713284072865</v>
      </c>
      <c r="I376" s="2">
        <f t="shared" si="31"/>
        <v>0.80340146949294888</v>
      </c>
      <c r="J376" s="2">
        <v>9.89</v>
      </c>
      <c r="K376" s="2">
        <v>46.84</v>
      </c>
      <c r="L376" s="2">
        <v>0</v>
      </c>
      <c r="M376" s="2">
        <v>22.01</v>
      </c>
      <c r="N376" s="2">
        <v>25.54</v>
      </c>
      <c r="O376" s="2">
        <v>26.98</v>
      </c>
      <c r="P376" s="2">
        <f t="shared" si="32"/>
        <v>-0.39370939565053259</v>
      </c>
      <c r="Q376" s="2">
        <f t="shared" si="33"/>
        <v>0.70007872701494311</v>
      </c>
      <c r="R376" s="2">
        <f t="shared" si="34"/>
        <v>-0.67133652849126124</v>
      </c>
      <c r="S376">
        <f t="shared" si="35"/>
        <v>-1.4181229032696849</v>
      </c>
      <c r="U376">
        <v>5.8260399588961933</v>
      </c>
    </row>
    <row r="377" spans="1:21" ht="13.9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30"/>
        <v>#NUM!</v>
      </c>
      <c r="I377" s="2">
        <f t="shared" si="31"/>
        <v>1.7382565833248844E-2</v>
      </c>
      <c r="J377" s="2">
        <v>0</v>
      </c>
      <c r="K377" s="2">
        <v>0</v>
      </c>
      <c r="L377" s="2">
        <v>0</v>
      </c>
      <c r="M377" s="2">
        <v>2.67</v>
      </c>
      <c r="N377" s="2">
        <v>2.54</v>
      </c>
      <c r="O377" s="2">
        <v>1.69</v>
      </c>
      <c r="P377" s="2" t="e">
        <f t="shared" si="32"/>
        <v>#NUM!</v>
      </c>
      <c r="Q377" s="2">
        <f t="shared" si="33"/>
        <v>1.7041024560816331E-3</v>
      </c>
      <c r="R377" s="2" t="e">
        <f t="shared" si="34"/>
        <v>#NUM!</v>
      </c>
      <c r="S377" t="e">
        <f t="shared" si="35"/>
        <v>#NUM!</v>
      </c>
      <c r="U377" t="e">
        <v>#NUM!</v>
      </c>
    </row>
    <row r="378" spans="1:21" ht="13.9" x14ac:dyDescent="0.3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30"/>
        <v>-1.3870231231092471</v>
      </c>
      <c r="I378" s="2">
        <f t="shared" si="31"/>
        <v>0.51229798941042815</v>
      </c>
      <c r="J378" s="2">
        <v>0</v>
      </c>
      <c r="K378" s="2">
        <v>0</v>
      </c>
      <c r="L378" s="2">
        <v>0</v>
      </c>
      <c r="M378" s="2">
        <v>0.1</v>
      </c>
      <c r="N378" s="2">
        <v>0.13</v>
      </c>
      <c r="O378" s="2">
        <v>0</v>
      </c>
      <c r="P378" s="2" t="e">
        <f t="shared" si="32"/>
        <v>#NUM!</v>
      </c>
      <c r="Q378" s="2">
        <f t="shared" si="33"/>
        <v>0.12283946337339596</v>
      </c>
      <c r="R378" s="2" t="e">
        <f t="shared" si="34"/>
        <v>#NUM!</v>
      </c>
      <c r="S378" t="e">
        <f t="shared" si="35"/>
        <v>#NUM!</v>
      </c>
      <c r="U378" t="e">
        <v>#NUM!</v>
      </c>
    </row>
    <row r="379" spans="1:21" ht="13.9" x14ac:dyDescent="0.3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30"/>
        <v>0.72111542951186491</v>
      </c>
      <c r="I379" s="2">
        <f t="shared" si="31"/>
        <v>0.72309298802823063</v>
      </c>
      <c r="J379" s="2">
        <v>0</v>
      </c>
      <c r="K379" s="2">
        <v>0</v>
      </c>
      <c r="L379" s="2">
        <v>0</v>
      </c>
      <c r="M379" s="2">
        <v>0.89</v>
      </c>
      <c r="N379" s="2">
        <v>1.34</v>
      </c>
      <c r="O379" s="2">
        <v>1.05</v>
      </c>
      <c r="P379" s="2" t="e">
        <f t="shared" si="32"/>
        <v>#NUM!</v>
      </c>
      <c r="Q379" s="2">
        <f t="shared" si="33"/>
        <v>1.1496823682171778E-3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ht="13.9" x14ac:dyDescent="0.3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>
        <f t="shared" si="31"/>
        <v>0.37390096630005903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ht="13.9" x14ac:dyDescent="0.3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30"/>
        <v>1.443129806308197</v>
      </c>
      <c r="I381" s="2">
        <f t="shared" si="31"/>
        <v>0.56882844746197914</v>
      </c>
      <c r="J381" s="2">
        <v>0.33</v>
      </c>
      <c r="K381" s="2">
        <v>0</v>
      </c>
      <c r="L381" s="2">
        <v>8.19</v>
      </c>
      <c r="M381" s="2">
        <v>0</v>
      </c>
      <c r="N381" s="2">
        <v>0.53</v>
      </c>
      <c r="O381" s="2">
        <v>2</v>
      </c>
      <c r="P381" s="2">
        <f t="shared" si="32"/>
        <v>1.7517160455315282</v>
      </c>
      <c r="Q381" s="2">
        <f t="shared" si="33"/>
        <v>0.50694988264520413</v>
      </c>
      <c r="R381" s="2">
        <f t="shared" si="34"/>
        <v>0.30858623922333117</v>
      </c>
      <c r="S381">
        <f t="shared" si="35"/>
        <v>1.2138312422586253</v>
      </c>
      <c r="U381">
        <v>3.0908534304511139</v>
      </c>
    </row>
    <row r="382" spans="1:21" ht="13.9" x14ac:dyDescent="0.3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30"/>
        <v>#NUM!</v>
      </c>
      <c r="I382" s="2">
        <f t="shared" si="31"/>
        <v>0.27304821573138199</v>
      </c>
      <c r="J382" s="2">
        <v>0</v>
      </c>
      <c r="K382" s="2">
        <v>0</v>
      </c>
      <c r="L382" s="2">
        <v>4.55</v>
      </c>
      <c r="M382" s="2">
        <v>0.3</v>
      </c>
      <c r="N382" s="2">
        <v>0</v>
      </c>
      <c r="O382" s="2">
        <v>0</v>
      </c>
      <c r="P382" s="2">
        <f t="shared" si="32"/>
        <v>3.9228321394775398</v>
      </c>
      <c r="Q382" s="2">
        <f t="shared" si="33"/>
        <v>0.40407663533440658</v>
      </c>
      <c r="R382" s="2" t="e">
        <f t="shared" si="34"/>
        <v>#NUM!</v>
      </c>
      <c r="S382" t="e">
        <f t="shared" si="35"/>
        <v>#NUM!</v>
      </c>
      <c r="U382">
        <v>2.1858665453113342</v>
      </c>
    </row>
    <row r="383" spans="1:21" ht="13.9" x14ac:dyDescent="0.3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30"/>
        <v>1.443129806308197</v>
      </c>
      <c r="I383" s="2">
        <f t="shared" si="31"/>
        <v>0.56882844746197914</v>
      </c>
      <c r="J383" s="2">
        <v>0.33</v>
      </c>
      <c r="K383" s="2">
        <v>0</v>
      </c>
      <c r="L383" s="2">
        <v>8.19</v>
      </c>
      <c r="M383" s="2">
        <v>0</v>
      </c>
      <c r="N383" s="2">
        <v>0.53</v>
      </c>
      <c r="O383" s="2">
        <v>2</v>
      </c>
      <c r="P383" s="2">
        <f t="shared" si="32"/>
        <v>1.7517160455315282</v>
      </c>
      <c r="Q383" s="2">
        <f t="shared" si="33"/>
        <v>0.50694988264520413</v>
      </c>
      <c r="R383" s="2">
        <f t="shared" si="34"/>
        <v>0.30858623922333117</v>
      </c>
      <c r="S383">
        <f t="shared" si="35"/>
        <v>1.2138312422586253</v>
      </c>
      <c r="U383">
        <v>3.0908534304511139</v>
      </c>
    </row>
    <row r="384" spans="1:21" ht="13.9" x14ac:dyDescent="0.3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30"/>
        <v>#NUM!</v>
      </c>
      <c r="I384" s="2">
        <f t="shared" si="31"/>
        <v>0.14585533230362946</v>
      </c>
      <c r="J384" s="2">
        <v>2.64</v>
      </c>
      <c r="K384" s="2">
        <v>0</v>
      </c>
      <c r="L384" s="2">
        <v>0</v>
      </c>
      <c r="M384" s="2">
        <v>0.59</v>
      </c>
      <c r="N384" s="2">
        <v>1.47</v>
      </c>
      <c r="O384" s="2">
        <v>0.42</v>
      </c>
      <c r="P384" s="2">
        <f t="shared" si="32"/>
        <v>9.0197808971578447E-2</v>
      </c>
      <c r="Q384" s="2">
        <f t="shared" si="33"/>
        <v>0.95739526094456839</v>
      </c>
      <c r="R384" s="2" t="e">
        <f t="shared" si="34"/>
        <v>#NUM!</v>
      </c>
      <c r="S384" t="e">
        <f t="shared" si="35"/>
        <v>#NUM!</v>
      </c>
      <c r="U384">
        <v>1.4005379295837288</v>
      </c>
    </row>
    <row r="385" spans="1:21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30"/>
        <v>#DIV/0!</v>
      </c>
      <c r="I385" s="2" t="e">
        <f t="shared" si="31"/>
        <v>#DIV/0!</v>
      </c>
      <c r="J385" s="2">
        <v>0</v>
      </c>
      <c r="K385" s="2">
        <v>0</v>
      </c>
      <c r="L385" s="2">
        <v>0</v>
      </c>
      <c r="M385" s="2">
        <v>0</v>
      </c>
      <c r="N385" s="2">
        <v>0.13</v>
      </c>
      <c r="O385" s="2">
        <v>0</v>
      </c>
      <c r="P385" s="2" t="e">
        <f t="shared" si="32"/>
        <v>#NUM!</v>
      </c>
      <c r="Q385" s="2">
        <f t="shared" si="33"/>
        <v>0.37390096630005903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ht="13.9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0.13034320824229523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1.79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ht="13.9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36"/>
        <v>#NUM!</v>
      </c>
      <c r="I387" s="2">
        <f t="shared" si="37"/>
        <v>0.37390096630005903</v>
      </c>
      <c r="J387" s="2">
        <v>0</v>
      </c>
      <c r="K387" s="2">
        <v>0</v>
      </c>
      <c r="L387" s="2">
        <v>0</v>
      </c>
      <c r="M387" s="2">
        <v>0.2</v>
      </c>
      <c r="N387" s="2">
        <v>0</v>
      </c>
      <c r="O387" s="2">
        <v>0.53</v>
      </c>
      <c r="P387" s="2" t="e">
        <f t="shared" si="38"/>
        <v>#NUM!</v>
      </c>
      <c r="Q387" s="2">
        <f t="shared" si="39"/>
        <v>0.19043834507523322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ht="13.9" x14ac:dyDescent="0.3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36"/>
        <v>#NUM!</v>
      </c>
      <c r="I388" s="2">
        <f t="shared" si="37"/>
        <v>0.11734271318907021</v>
      </c>
      <c r="J388" s="2">
        <v>4.6100000000000003</v>
      </c>
      <c r="K388" s="2">
        <v>0</v>
      </c>
      <c r="L388" s="2">
        <v>3.28</v>
      </c>
      <c r="M388" s="2">
        <v>0.3</v>
      </c>
      <c r="N388" s="2">
        <v>1.07</v>
      </c>
      <c r="O388" s="2">
        <v>0.32</v>
      </c>
      <c r="P388" s="2">
        <f t="shared" si="38"/>
        <v>2.2230020537312742</v>
      </c>
      <c r="Q388" s="2">
        <f t="shared" si="39"/>
        <v>0.21210609520514659</v>
      </c>
      <c r="R388" s="2" t="e">
        <f t="shared" si="40"/>
        <v>#NUM!</v>
      </c>
      <c r="S388" t="e">
        <f t="shared" ref="S388:S451" si="41">P388/H388</f>
        <v>#NUM!</v>
      </c>
      <c r="U388">
        <v>2.9800253002387338</v>
      </c>
    </row>
    <row r="389" spans="1:21" ht="13.9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36"/>
        <v>#NUM!</v>
      </c>
      <c r="I389" s="2">
        <f t="shared" si="37"/>
        <v>0.37390096630005903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ht="13.9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36"/>
        <v>#NUM!</v>
      </c>
      <c r="I390" s="2">
        <f t="shared" si="37"/>
        <v>0.12313947380468777</v>
      </c>
      <c r="J390" s="2">
        <v>0</v>
      </c>
      <c r="K390" s="2">
        <v>0</v>
      </c>
      <c r="L390" s="2">
        <v>0</v>
      </c>
      <c r="M390" s="2">
        <v>2.17</v>
      </c>
      <c r="N390" s="2">
        <v>1.74</v>
      </c>
      <c r="O390" s="2">
        <v>2</v>
      </c>
      <c r="P390" s="2" t="e">
        <f t="shared" si="38"/>
        <v>#NUM!</v>
      </c>
      <c r="Q390" s="2">
        <f t="shared" si="39"/>
        <v>9.4801581259385231E-5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ht="13.9" x14ac:dyDescent="0.3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36"/>
        <v>#NUM!</v>
      </c>
      <c r="I391" s="2">
        <f t="shared" si="37"/>
        <v>0.37390096630005903</v>
      </c>
      <c r="J391" s="2">
        <v>0</v>
      </c>
      <c r="K391" s="2">
        <v>0</v>
      </c>
      <c r="L391" s="2">
        <v>4.01</v>
      </c>
      <c r="M391" s="2">
        <v>0</v>
      </c>
      <c r="N391" s="2">
        <v>0.53</v>
      </c>
      <c r="O391" s="2">
        <v>0.74</v>
      </c>
      <c r="P391" s="2">
        <f t="shared" si="38"/>
        <v>1.6587737396827544</v>
      </c>
      <c r="Q391" s="2">
        <f t="shared" si="39"/>
        <v>0.53713670503885491</v>
      </c>
      <c r="R391" s="2" t="e">
        <f t="shared" si="40"/>
        <v>#NUM!</v>
      </c>
      <c r="S391" t="e">
        <f t="shared" si="41"/>
        <v>#NUM!</v>
      </c>
      <c r="U391">
        <v>2.0036022366801958</v>
      </c>
    </row>
    <row r="392" spans="1:21" ht="13.9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36"/>
        <v>#NUM!</v>
      </c>
      <c r="I392" s="2">
        <f t="shared" si="37"/>
        <v>1.0779074407182297E-6</v>
      </c>
      <c r="J392" s="2">
        <v>0</v>
      </c>
      <c r="K392" s="2">
        <v>0</v>
      </c>
      <c r="L392" s="2">
        <v>0</v>
      </c>
      <c r="M392" s="2">
        <v>3.16</v>
      </c>
      <c r="N392" s="2">
        <v>1.34</v>
      </c>
      <c r="O392" s="2">
        <v>1.05</v>
      </c>
      <c r="P392" s="2" t="e">
        <f t="shared" si="38"/>
        <v>#NUM!</v>
      </c>
      <c r="Q392" s="2">
        <f t="shared" si="39"/>
        <v>4.8730175311204223E-2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ht="13.9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0.27</v>
      </c>
      <c r="O393" s="2">
        <v>0</v>
      </c>
      <c r="P393" s="2" t="e">
        <f t="shared" si="38"/>
        <v>#NUM!</v>
      </c>
      <c r="Q393" s="2">
        <f t="shared" si="39"/>
        <v>0.37390096630005903</v>
      </c>
      <c r="R393" s="2" t="e">
        <f t="shared" si="40"/>
        <v>#NUM!</v>
      </c>
      <c r="S393" t="e">
        <f t="shared" si="41"/>
        <v>#NUM!</v>
      </c>
      <c r="U393" t="e">
        <v>#NUM!</v>
      </c>
    </row>
    <row r="394" spans="1:21" ht="13.9" x14ac:dyDescent="0.3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36"/>
        <v>2.4838157772642564</v>
      </c>
      <c r="I394" s="2">
        <f t="shared" si="37"/>
        <v>0.45926410201325812</v>
      </c>
      <c r="J394" s="2">
        <v>0.33</v>
      </c>
      <c r="K394" s="2">
        <v>5.61</v>
      </c>
      <c r="L394" s="2">
        <v>0</v>
      </c>
      <c r="M394" s="2">
        <v>1.38</v>
      </c>
      <c r="N394" s="2">
        <v>0.8</v>
      </c>
      <c r="O394" s="2">
        <v>1.1599999999999999</v>
      </c>
      <c r="P394" s="2">
        <f t="shared" si="38"/>
        <v>0.83061482832671374</v>
      </c>
      <c r="Q394" s="2">
        <f t="shared" si="39"/>
        <v>0.65969337823989727</v>
      </c>
      <c r="R394" s="2">
        <f t="shared" si="40"/>
        <v>-1.6532009489375428</v>
      </c>
      <c r="S394">
        <f t="shared" si="41"/>
        <v>0.33441080289842429</v>
      </c>
      <c r="U394">
        <v>2.5704629310260412</v>
      </c>
    </row>
    <row r="395" spans="1:21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 t="e">
        <f t="shared" si="38"/>
        <v>#DIV/0!</v>
      </c>
      <c r="Q395" s="2" t="e">
        <f t="shared" si="39"/>
        <v>#DIV/0!</v>
      </c>
      <c r="R395" s="2" t="e">
        <f t="shared" si="40"/>
        <v>#DIV/0!</v>
      </c>
      <c r="S395" t="e">
        <f t="shared" si="41"/>
        <v>#DIV/0!</v>
      </c>
      <c r="U395" t="e">
        <v>#NUM!</v>
      </c>
    </row>
    <row r="396" spans="1:21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36"/>
        <v>#DIV/0!</v>
      </c>
      <c r="I396" s="2" t="e">
        <f t="shared" si="37"/>
        <v>#DIV/0!</v>
      </c>
      <c r="J396" s="2">
        <v>0</v>
      </c>
      <c r="K396" s="2">
        <v>0</v>
      </c>
      <c r="L396" s="2">
        <v>0</v>
      </c>
      <c r="M396" s="2">
        <v>0</v>
      </c>
      <c r="N396" s="2">
        <v>1.34</v>
      </c>
      <c r="O396" s="2">
        <v>0.21</v>
      </c>
      <c r="P396" s="2" t="e">
        <f t="shared" si="38"/>
        <v>#NUM!</v>
      </c>
      <c r="Q396" s="2">
        <f t="shared" si="39"/>
        <v>0.28219207781394706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ht="13.9" x14ac:dyDescent="0.3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>
        <f t="shared" si="37"/>
        <v>0.37390096630005903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36"/>
        <v>#DIV/0!</v>
      </c>
      <c r="I398" s="2" t="e">
        <f t="shared" si="37"/>
        <v>#DIV/0!</v>
      </c>
      <c r="J398" s="2">
        <v>0</v>
      </c>
      <c r="K398" s="2">
        <v>0</v>
      </c>
      <c r="L398" s="2">
        <v>0</v>
      </c>
      <c r="M398" s="2">
        <v>0</v>
      </c>
      <c r="N398" s="2">
        <v>0.4</v>
      </c>
      <c r="O398" s="2">
        <v>0</v>
      </c>
      <c r="P398" s="2" t="e">
        <f t="shared" si="38"/>
        <v>#NUM!</v>
      </c>
      <c r="Q398" s="2">
        <f t="shared" si="39"/>
        <v>0.37390096630005903</v>
      </c>
      <c r="R398" s="2" t="e">
        <f t="shared" si="40"/>
        <v>#NUM!</v>
      </c>
      <c r="S398" t="e">
        <f t="shared" si="41"/>
        <v>#NUM!</v>
      </c>
      <c r="U398" t="e">
        <v>#NUM!</v>
      </c>
    </row>
    <row r="399" spans="1:21" ht="13.9" x14ac:dyDescent="0.3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36"/>
        <v>#NUM!</v>
      </c>
      <c r="I399" s="2">
        <f t="shared" si="37"/>
        <v>3.3983276216319462E-2</v>
      </c>
      <c r="J399" s="2">
        <v>22.74</v>
      </c>
      <c r="K399" s="2">
        <v>0</v>
      </c>
      <c r="L399" s="2">
        <v>8.92</v>
      </c>
      <c r="M399" s="2">
        <v>6.52</v>
      </c>
      <c r="N399" s="2">
        <v>1.74</v>
      </c>
      <c r="O399" s="2">
        <v>6.32</v>
      </c>
      <c r="P399" s="2">
        <f t="shared" si="38"/>
        <v>1.118670535810244</v>
      </c>
      <c r="Q399" s="2">
        <f t="shared" si="39"/>
        <v>0.44935830228017881</v>
      </c>
      <c r="R399" s="2" t="e">
        <f t="shared" si="40"/>
        <v>#NUM!</v>
      </c>
      <c r="S399" t="e">
        <f t="shared" si="41"/>
        <v>#NUM!</v>
      </c>
      <c r="U399">
        <v>4.9845893503624561</v>
      </c>
    </row>
    <row r="400" spans="1:21" ht="13.9" x14ac:dyDescent="0.3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36"/>
        <v>0.97299532832772728</v>
      </c>
      <c r="I400" s="2">
        <f t="shared" si="37"/>
        <v>0.17178580199589713</v>
      </c>
      <c r="J400" s="2">
        <v>68.89</v>
      </c>
      <c r="K400" s="2">
        <v>57.09</v>
      </c>
      <c r="L400" s="2">
        <v>59.35</v>
      </c>
      <c r="M400" s="2">
        <v>24.78</v>
      </c>
      <c r="N400" s="2">
        <v>14.84</v>
      </c>
      <c r="O400" s="2">
        <v>25.4</v>
      </c>
      <c r="P400" s="2">
        <f t="shared" si="38"/>
        <v>1.5111409731008403</v>
      </c>
      <c r="Q400" s="2">
        <f t="shared" si="39"/>
        <v>1.289219892799E-3</v>
      </c>
      <c r="R400" s="2">
        <f t="shared" si="40"/>
        <v>0.538145644773113</v>
      </c>
      <c r="S400">
        <f t="shared" si="41"/>
        <v>1.5530814271205351</v>
      </c>
      <c r="U400">
        <v>7.5339526240164725</v>
      </c>
    </row>
    <row r="401" spans="1:21" ht="13.9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36"/>
        <v>#NUM!</v>
      </c>
      <c r="I401" s="2">
        <f t="shared" si="37"/>
        <v>0.20510645520407772</v>
      </c>
      <c r="J401" s="2">
        <v>0</v>
      </c>
      <c r="K401" s="2">
        <v>0</v>
      </c>
      <c r="L401" s="2">
        <v>0</v>
      </c>
      <c r="M401" s="2">
        <v>1.38</v>
      </c>
      <c r="N401" s="2">
        <v>0.53</v>
      </c>
      <c r="O401" s="2">
        <v>0.53</v>
      </c>
      <c r="P401" s="2" t="e">
        <f t="shared" si="38"/>
        <v>#NUM!</v>
      </c>
      <c r="Q401" s="2">
        <f t="shared" si="39"/>
        <v>4.5441667829238162E-2</v>
      </c>
      <c r="R401" s="2" t="e">
        <f t="shared" si="40"/>
        <v>#NUM!</v>
      </c>
      <c r="S401" t="e">
        <f t="shared" si="41"/>
        <v>#NUM!</v>
      </c>
      <c r="U401" t="e">
        <v>#NUM!</v>
      </c>
    </row>
    <row r="402" spans="1:21" ht="13.9" x14ac:dyDescent="0.3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36"/>
        <v>3.0635029423061582</v>
      </c>
      <c r="I402" s="2">
        <f t="shared" si="37"/>
        <v>0.37333363424858534</v>
      </c>
      <c r="J402" s="2">
        <v>0.33</v>
      </c>
      <c r="K402" s="2">
        <v>0</v>
      </c>
      <c r="L402" s="2">
        <v>0</v>
      </c>
      <c r="M402" s="2">
        <v>0.1</v>
      </c>
      <c r="N402" s="2">
        <v>0.67</v>
      </c>
      <c r="O402" s="2">
        <v>0.53</v>
      </c>
      <c r="P402" s="2">
        <f t="shared" si="38"/>
        <v>-1.9779736936700012</v>
      </c>
      <c r="Q402" s="2">
        <f t="shared" si="39"/>
        <v>0.18770937019740322</v>
      </c>
      <c r="R402" s="2">
        <f t="shared" si="40"/>
        <v>-5.0414766359761591</v>
      </c>
      <c r="S402">
        <f t="shared" si="41"/>
        <v>-0.64565751393762749</v>
      </c>
      <c r="U402">
        <v>-1.5994620704162712</v>
      </c>
    </row>
    <row r="403" spans="1:21" ht="13.9" x14ac:dyDescent="0.3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36"/>
        <v>4.0649554418407696</v>
      </c>
      <c r="I403" s="2">
        <f t="shared" si="37"/>
        <v>0.40108711485290022</v>
      </c>
      <c r="J403" s="2">
        <v>0</v>
      </c>
      <c r="K403" s="2">
        <v>0</v>
      </c>
      <c r="L403" s="2">
        <v>0</v>
      </c>
      <c r="M403" s="2">
        <v>0</v>
      </c>
      <c r="N403" s="2">
        <v>0.67</v>
      </c>
      <c r="O403" s="2">
        <v>0.53</v>
      </c>
      <c r="P403" s="2" t="e">
        <f t="shared" si="38"/>
        <v>#NUM!</v>
      </c>
      <c r="Q403" s="2">
        <f t="shared" si="39"/>
        <v>0.12150223124498691</v>
      </c>
      <c r="R403" s="2" t="e">
        <f t="shared" si="40"/>
        <v>#NUM!</v>
      </c>
      <c r="S403" t="e">
        <f t="shared" si="41"/>
        <v>#NUM!</v>
      </c>
      <c r="U403" t="e">
        <v>#NUM!</v>
      </c>
    </row>
    <row r="404" spans="1:21" ht="13.9" x14ac:dyDescent="0.3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36"/>
        <v>1.45091453560744</v>
      </c>
      <c r="I404" s="2">
        <f t="shared" si="37"/>
        <v>0.56076788015357304</v>
      </c>
      <c r="J404" s="2">
        <v>0</v>
      </c>
      <c r="K404" s="2">
        <v>0</v>
      </c>
      <c r="L404" s="2">
        <v>0</v>
      </c>
      <c r="M404" s="2">
        <v>0.3</v>
      </c>
      <c r="N404" s="2">
        <v>0.27</v>
      </c>
      <c r="O404" s="2">
        <v>0.42</v>
      </c>
      <c r="P404" s="2" t="e">
        <f t="shared" si="38"/>
        <v>#NUM!</v>
      </c>
      <c r="Q404" s="2">
        <f t="shared" si="39"/>
        <v>1.970910938347841E-3</v>
      </c>
      <c r="R404" s="2" t="e">
        <f t="shared" si="40"/>
        <v>#NUM!</v>
      </c>
      <c r="S404" t="e">
        <f t="shared" si="41"/>
        <v>#NUM!</v>
      </c>
      <c r="U404" t="e">
        <v>#NUM!</v>
      </c>
    </row>
    <row r="405" spans="1:21" ht="13.9" x14ac:dyDescent="0.3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36"/>
        <v>1.3201474607397414</v>
      </c>
      <c r="I405" s="2">
        <f t="shared" si="37"/>
        <v>0.17509506228017518</v>
      </c>
      <c r="J405" s="2">
        <v>15.16</v>
      </c>
      <c r="K405" s="2">
        <v>15.61</v>
      </c>
      <c r="L405" s="2">
        <v>14.38</v>
      </c>
      <c r="M405" s="2">
        <v>8.2899999999999991</v>
      </c>
      <c r="N405" s="2">
        <v>21.66</v>
      </c>
      <c r="O405" s="2">
        <v>10.96</v>
      </c>
      <c r="P405" s="2">
        <f t="shared" si="38"/>
        <v>0.14227245048017442</v>
      </c>
      <c r="Q405" s="2">
        <f t="shared" si="39"/>
        <v>0.74771773551989917</v>
      </c>
      <c r="R405" s="2">
        <f t="shared" si="40"/>
        <v>-1.177875010259567</v>
      </c>
      <c r="S405">
        <f t="shared" si="41"/>
        <v>0.10777012016555514</v>
      </c>
      <c r="U405">
        <v>5.496654082593496</v>
      </c>
    </row>
    <row r="406" spans="1:21" ht="13.9" x14ac:dyDescent="0.3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36"/>
        <v>#DIV/0!</v>
      </c>
      <c r="I406" s="2">
        <f t="shared" si="37"/>
        <v>0.37390096630005903</v>
      </c>
      <c r="J406" s="2">
        <v>0</v>
      </c>
      <c r="K406" s="2">
        <v>0</v>
      </c>
      <c r="L406" s="2">
        <v>0</v>
      </c>
      <c r="M406" s="2">
        <v>1.0900000000000001</v>
      </c>
      <c r="N406" s="2">
        <v>0.8</v>
      </c>
      <c r="O406" s="2">
        <v>0</v>
      </c>
      <c r="P406" s="2" t="e">
        <f t="shared" si="38"/>
        <v>#NUM!</v>
      </c>
      <c r="Q406" s="2">
        <f t="shared" si="39"/>
        <v>0.12539602686904727</v>
      </c>
      <c r="R406" s="2" t="e">
        <f t="shared" si="40"/>
        <v>#NUM!</v>
      </c>
      <c r="S406" t="e">
        <f t="shared" si="41"/>
        <v>#NUM!</v>
      </c>
      <c r="U406" t="e">
        <v>#NUM!</v>
      </c>
    </row>
    <row r="407" spans="1:21" ht="13.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 t="e">
        <f t="shared" si="39"/>
        <v>#DIV/0!</v>
      </c>
      <c r="R407" s="2" t="e">
        <f t="shared" si="40"/>
        <v>#DIV/0!</v>
      </c>
      <c r="S407" t="e">
        <f t="shared" si="41"/>
        <v>#DIV/0!</v>
      </c>
      <c r="U407" t="e">
        <v>#NUM!</v>
      </c>
    </row>
    <row r="408" spans="1:21" ht="13.9" x14ac:dyDescent="0.3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36"/>
        <v>3.7154940638633818</v>
      </c>
      <c r="I408" s="2">
        <f t="shared" si="37"/>
        <v>0.40907281656042765</v>
      </c>
      <c r="J408" s="2">
        <v>0</v>
      </c>
      <c r="K408" s="2">
        <v>0</v>
      </c>
      <c r="L408" s="2">
        <v>0</v>
      </c>
      <c r="M408" s="2">
        <v>0.69</v>
      </c>
      <c r="N408" s="2">
        <v>0</v>
      </c>
      <c r="O408" s="2">
        <v>0.11</v>
      </c>
      <c r="P408" s="2" t="e">
        <f t="shared" si="38"/>
        <v>#NUM!</v>
      </c>
      <c r="Q408" s="2">
        <f t="shared" si="39"/>
        <v>0.28079102975461145</v>
      </c>
      <c r="R408" s="2" t="e">
        <f t="shared" si="40"/>
        <v>#NUM!</v>
      </c>
      <c r="S408" t="e">
        <f t="shared" si="41"/>
        <v>#NUM!</v>
      </c>
      <c r="U408" t="e">
        <v>#NUM!</v>
      </c>
    </row>
    <row r="409" spans="1:21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36"/>
        <v>#DIV/0!</v>
      </c>
      <c r="I409" s="2" t="e">
        <f t="shared" si="37"/>
        <v>#DIV/0!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0.11</v>
      </c>
      <c r="P409" s="2" t="e">
        <f t="shared" si="38"/>
        <v>#NUM!</v>
      </c>
      <c r="Q409" s="2">
        <f t="shared" si="39"/>
        <v>0.37390096630005903</v>
      </c>
      <c r="R409" s="2" t="e">
        <f t="shared" si="40"/>
        <v>#NUM!</v>
      </c>
      <c r="S409" t="e">
        <f t="shared" si="41"/>
        <v>#NUM!</v>
      </c>
      <c r="U409" t="e">
        <v>#NUM!</v>
      </c>
    </row>
    <row r="410" spans="1:21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36"/>
        <v>#DIV/0!</v>
      </c>
      <c r="I410" s="2" t="e">
        <f t="shared" si="37"/>
        <v>#DIV/0!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0.11</v>
      </c>
      <c r="P410" s="2" t="e">
        <f t="shared" si="38"/>
        <v>#NUM!</v>
      </c>
      <c r="Q410" s="2">
        <f t="shared" si="39"/>
        <v>0.37390096630005903</v>
      </c>
      <c r="R410" s="2" t="e">
        <f t="shared" si="40"/>
        <v>#NUM!</v>
      </c>
      <c r="S410" t="e">
        <f t="shared" si="41"/>
        <v>#NUM!</v>
      </c>
      <c r="U410" t="e">
        <v>#NUM!</v>
      </c>
    </row>
    <row r="411" spans="1:21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36"/>
        <v>#DIV/0!</v>
      </c>
      <c r="I411" s="2" t="e">
        <f t="shared" si="37"/>
        <v>#DIV/0!</v>
      </c>
      <c r="J411" s="2">
        <v>0</v>
      </c>
      <c r="K411" s="2">
        <v>0</v>
      </c>
      <c r="L411" s="2">
        <v>0</v>
      </c>
      <c r="M411" s="2">
        <v>0.1</v>
      </c>
      <c r="N411" s="2">
        <v>0</v>
      </c>
      <c r="O411" s="2">
        <v>0</v>
      </c>
      <c r="P411" s="2" t="e">
        <f t="shared" si="38"/>
        <v>#NUM!</v>
      </c>
      <c r="Q411" s="2">
        <f t="shared" si="39"/>
        <v>0.37390096630005903</v>
      </c>
      <c r="R411" s="2" t="e">
        <f t="shared" si="40"/>
        <v>#NUM!</v>
      </c>
      <c r="S411" t="e">
        <f t="shared" si="41"/>
        <v>#NUM!</v>
      </c>
      <c r="U411" t="e">
        <v>#NUM!</v>
      </c>
    </row>
    <row r="412" spans="1:21" ht="13.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 t="e">
        <f t="shared" si="39"/>
        <v>#DIV/0!</v>
      </c>
      <c r="R412" s="2" t="e">
        <f t="shared" si="40"/>
        <v>#DIV/0!</v>
      </c>
      <c r="S412" t="e">
        <f t="shared" si="41"/>
        <v>#DIV/0!</v>
      </c>
      <c r="U412" t="e">
        <v>#NUM!</v>
      </c>
    </row>
    <row r="413" spans="1:21" ht="13.9" x14ac:dyDescent="0.3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36"/>
        <v>0.27301849440641585</v>
      </c>
      <c r="I413" s="2">
        <f t="shared" si="37"/>
        <v>0.8813213765215222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 t="e">
        <f t="shared" si="38"/>
        <v>#DIV/0!</v>
      </c>
      <c r="Q413" s="2" t="e">
        <f t="shared" si="39"/>
        <v>#DIV/0!</v>
      </c>
      <c r="R413" s="2" t="e">
        <f t="shared" si="40"/>
        <v>#DIV/0!</v>
      </c>
      <c r="S413" t="e">
        <f t="shared" si="41"/>
        <v>#DIV/0!</v>
      </c>
      <c r="U413" t="e">
        <v>#NUM!</v>
      </c>
    </row>
    <row r="414" spans="1:21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36"/>
        <v>#DIV/0!</v>
      </c>
      <c r="I414" s="2" t="e">
        <f t="shared" si="37"/>
        <v>#DIV/0!</v>
      </c>
      <c r="J414" s="2">
        <v>0</v>
      </c>
      <c r="K414" s="2">
        <v>0</v>
      </c>
      <c r="L414" s="2">
        <v>0</v>
      </c>
      <c r="M414" s="2">
        <v>0.89</v>
      </c>
      <c r="N414" s="2">
        <v>0</v>
      </c>
      <c r="O414" s="2">
        <v>1.79</v>
      </c>
      <c r="P414" s="2" t="e">
        <f t="shared" si="38"/>
        <v>#NUM!</v>
      </c>
      <c r="Q414" s="2">
        <f t="shared" si="39"/>
        <v>0.15890239509585566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ht="13.9" x14ac:dyDescent="0.3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36"/>
        <v>-0.42228647794986429</v>
      </c>
      <c r="I415" s="2">
        <f t="shared" si="37"/>
        <v>2.9001804114242618E-2</v>
      </c>
      <c r="J415" s="2">
        <v>150.63</v>
      </c>
      <c r="K415" s="2">
        <v>149.06</v>
      </c>
      <c r="L415" s="2">
        <v>79.02</v>
      </c>
      <c r="M415" s="2">
        <v>205.33</v>
      </c>
      <c r="N415" s="2">
        <v>231.58</v>
      </c>
      <c r="O415" s="2">
        <v>164.82</v>
      </c>
      <c r="P415" s="2">
        <f t="shared" si="38"/>
        <v>-0.66802276921562032</v>
      </c>
      <c r="Q415" s="2">
        <f t="shared" si="39"/>
        <v>7.1850671218252879E-2</v>
      </c>
      <c r="R415" s="2">
        <f t="shared" si="40"/>
        <v>-0.24573629126575602</v>
      </c>
      <c r="S415">
        <f t="shared" si="41"/>
        <v>1.5819184465928622</v>
      </c>
      <c r="U415">
        <v>8.5649497064814302</v>
      </c>
    </row>
    <row r="416" spans="1:21" ht="13.9" x14ac:dyDescent="0.3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36"/>
        <v>-1.618636416581682</v>
      </c>
      <c r="I416" s="2">
        <f t="shared" si="37"/>
        <v>3.1725588641011188E-2</v>
      </c>
      <c r="J416" s="2">
        <v>25.05</v>
      </c>
      <c r="K416" s="2">
        <v>61.97</v>
      </c>
      <c r="L416" s="2">
        <v>35.14</v>
      </c>
      <c r="M416" s="2">
        <v>45.01</v>
      </c>
      <c r="N416" s="2">
        <v>49.07</v>
      </c>
      <c r="O416" s="2">
        <v>29.19</v>
      </c>
      <c r="P416" s="2">
        <f t="shared" si="38"/>
        <v>-1.304976909196103E-2</v>
      </c>
      <c r="Q416" s="2">
        <f t="shared" si="39"/>
        <v>0.97793778934874465</v>
      </c>
      <c r="R416" s="2">
        <f t="shared" si="40"/>
        <v>1.6055866474897209</v>
      </c>
      <c r="S416">
        <f t="shared" si="41"/>
        <v>8.0621991191327513E-3</v>
      </c>
      <c r="U416">
        <v>6.9326281570221271</v>
      </c>
    </row>
    <row r="417" spans="1:21" ht="13.9" x14ac:dyDescent="0.3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36"/>
        <v>#NUM!</v>
      </c>
      <c r="I417" s="2">
        <f t="shared" si="37"/>
        <v>0.17249655926762433</v>
      </c>
      <c r="J417" s="2">
        <v>0</v>
      </c>
      <c r="K417" s="2">
        <v>0</v>
      </c>
      <c r="L417" s="2">
        <v>0.73</v>
      </c>
      <c r="M417" s="2">
        <v>0</v>
      </c>
      <c r="N417" s="2">
        <v>0.53</v>
      </c>
      <c r="O417" s="2">
        <v>0</v>
      </c>
      <c r="P417" s="2">
        <f t="shared" si="38"/>
        <v>0.46190410431681794</v>
      </c>
      <c r="Q417" s="2">
        <f t="shared" si="39"/>
        <v>0.83540390814826804</v>
      </c>
      <c r="R417" s="2" t="e">
        <f t="shared" si="40"/>
        <v>#NUM!</v>
      </c>
      <c r="S417" t="e">
        <f t="shared" si="41"/>
        <v>#NUM!</v>
      </c>
      <c r="U417">
        <v>-0.45403163089470749</v>
      </c>
    </row>
    <row r="418" spans="1:21" ht="13.9" x14ac:dyDescent="0.3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36"/>
        <v>-0.71222468631398717</v>
      </c>
      <c r="I418" s="2">
        <f t="shared" si="37"/>
        <v>0.56059858238309523</v>
      </c>
      <c r="J418" s="2">
        <v>0</v>
      </c>
      <c r="K418" s="2">
        <v>0</v>
      </c>
      <c r="L418" s="2">
        <v>0</v>
      </c>
      <c r="M418" s="2">
        <v>4.4400000000000004</v>
      </c>
      <c r="N418" s="2">
        <v>6.42</v>
      </c>
      <c r="O418" s="2">
        <v>5.8</v>
      </c>
      <c r="P418" s="2" t="e">
        <f t="shared" si="38"/>
        <v>#NUM!</v>
      </c>
      <c r="Q418" s="2">
        <f t="shared" si="39"/>
        <v>6.8600316444531752E-4</v>
      </c>
      <c r="R418" s="2" t="e">
        <f t="shared" si="40"/>
        <v>#NUM!</v>
      </c>
      <c r="S418" t="e">
        <f t="shared" si="41"/>
        <v>#NUM!</v>
      </c>
      <c r="U418" t="e">
        <v>#NUM!</v>
      </c>
    </row>
    <row r="419" spans="1:21" ht="13.9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36"/>
        <v>#NUM!</v>
      </c>
      <c r="I419" s="2">
        <f t="shared" si="37"/>
        <v>0.37390096630005903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ht="13.9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36"/>
        <v>#NUM!</v>
      </c>
      <c r="I420" s="2">
        <f t="shared" si="37"/>
        <v>0.24589430559700179</v>
      </c>
      <c r="J420" s="2">
        <v>0</v>
      </c>
      <c r="K420" s="2">
        <v>0</v>
      </c>
      <c r="L420" s="2">
        <v>0</v>
      </c>
      <c r="M420" s="2">
        <v>0</v>
      </c>
      <c r="N420" s="2">
        <v>2.14</v>
      </c>
      <c r="O420" s="2">
        <v>0</v>
      </c>
      <c r="P420" s="2" t="e">
        <f t="shared" si="38"/>
        <v>#NUM!</v>
      </c>
      <c r="Q420" s="2">
        <f t="shared" si="39"/>
        <v>0.37390096630005903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ht="13.9" x14ac:dyDescent="0.3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36"/>
        <v>-0.97462935290232644</v>
      </c>
      <c r="I421" s="2">
        <f t="shared" si="37"/>
        <v>0.19900810070238403</v>
      </c>
      <c r="J421" s="2">
        <v>12.2</v>
      </c>
      <c r="K421" s="2">
        <v>7.07</v>
      </c>
      <c r="L421" s="2">
        <v>0</v>
      </c>
      <c r="M421" s="2">
        <v>20.73</v>
      </c>
      <c r="N421" s="2">
        <v>16.71</v>
      </c>
      <c r="O421" s="2">
        <v>24.98</v>
      </c>
      <c r="P421" s="2">
        <f t="shared" si="38"/>
        <v>-1.6956517856234892</v>
      </c>
      <c r="Q421" s="2">
        <f t="shared" si="39"/>
        <v>2.8025692795669039E-2</v>
      </c>
      <c r="R421" s="2">
        <f t="shared" si="40"/>
        <v>-0.72102243272116273</v>
      </c>
      <c r="S421">
        <f t="shared" si="41"/>
        <v>1.7397914197577229</v>
      </c>
      <c r="U421">
        <v>4.2682846665209961</v>
      </c>
    </row>
    <row r="422" spans="1:21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36"/>
        <v>#DIV/0!</v>
      </c>
      <c r="I422" s="2" t="e">
        <f t="shared" si="37"/>
        <v>#DIV/0!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0.11</v>
      </c>
      <c r="P422" s="2" t="e">
        <f t="shared" si="38"/>
        <v>#NUM!</v>
      </c>
      <c r="Q422" s="2">
        <f t="shared" si="39"/>
        <v>0.37390096630005903</v>
      </c>
      <c r="R422" s="2" t="e">
        <f t="shared" si="40"/>
        <v>#NUM!</v>
      </c>
      <c r="S422" t="e">
        <f t="shared" si="41"/>
        <v>#NUM!</v>
      </c>
      <c r="U422" t="e">
        <v>#NUM!</v>
      </c>
    </row>
    <row r="423" spans="1:21" ht="13.9" x14ac:dyDescent="0.3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36"/>
        <v>#NUM!</v>
      </c>
      <c r="I423" s="2">
        <f t="shared" si="37"/>
        <v>0.37390096630005903</v>
      </c>
      <c r="J423" s="2">
        <v>4.9400000000000004</v>
      </c>
      <c r="K423" s="2">
        <v>0</v>
      </c>
      <c r="L423" s="2">
        <v>0</v>
      </c>
      <c r="M423" s="2">
        <v>0.79</v>
      </c>
      <c r="N423" s="2">
        <v>0.8</v>
      </c>
      <c r="O423" s="2">
        <v>0</v>
      </c>
      <c r="P423" s="2">
        <f t="shared" si="38"/>
        <v>1.6354842763003226</v>
      </c>
      <c r="Q423" s="2">
        <f t="shared" si="39"/>
        <v>0.53982582601365825</v>
      </c>
      <c r="R423" s="2" t="e">
        <f t="shared" si="40"/>
        <v>#NUM!</v>
      </c>
      <c r="S423" t="e">
        <f t="shared" si="41"/>
        <v>#NUM!</v>
      </c>
      <c r="U423">
        <v>2.304511041809953</v>
      </c>
    </row>
    <row r="424" spans="1:21" ht="13.9" x14ac:dyDescent="0.3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36"/>
        <v>0.69239157642970461</v>
      </c>
      <c r="I424" s="2">
        <f t="shared" si="37"/>
        <v>0.74351085865579347</v>
      </c>
      <c r="J424" s="2">
        <v>0</v>
      </c>
      <c r="K424" s="2">
        <v>0</v>
      </c>
      <c r="L424" s="2">
        <v>0</v>
      </c>
      <c r="M424" s="2">
        <v>1.97</v>
      </c>
      <c r="N424" s="2">
        <v>0.67</v>
      </c>
      <c r="O424" s="2">
        <v>0</v>
      </c>
      <c r="P424" s="2" t="e">
        <f t="shared" si="38"/>
        <v>#NUM!</v>
      </c>
      <c r="Q424" s="2">
        <f t="shared" si="39"/>
        <v>0.20273689781628718</v>
      </c>
      <c r="R424" s="2" t="e">
        <f t="shared" si="40"/>
        <v>#NUM!</v>
      </c>
      <c r="S424" t="e">
        <f t="shared" si="41"/>
        <v>#NUM!</v>
      </c>
      <c r="U424" t="e">
        <v>#NUM!</v>
      </c>
    </row>
    <row r="425" spans="1:21" ht="13.9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36"/>
        <v>#DIV/0!</v>
      </c>
      <c r="I425" s="2" t="e">
        <f t="shared" si="37"/>
        <v>#DIV/0!</v>
      </c>
      <c r="J425" s="2">
        <v>0</v>
      </c>
      <c r="K425" s="2">
        <v>0</v>
      </c>
      <c r="L425" s="2">
        <v>6.37</v>
      </c>
      <c r="M425" s="2">
        <v>0</v>
      </c>
      <c r="N425" s="2">
        <v>0</v>
      </c>
      <c r="O425" s="2">
        <v>0.11</v>
      </c>
      <c r="P425" s="2">
        <f t="shared" si="38"/>
        <v>5.8557179436190028</v>
      </c>
      <c r="Q425" s="2">
        <f t="shared" si="39"/>
        <v>0.38144288668200205</v>
      </c>
      <c r="R425" s="2" t="e">
        <f t="shared" si="40"/>
        <v>#DIV/0!</v>
      </c>
      <c r="S425" t="e">
        <f t="shared" si="41"/>
        <v>#DIV/0!</v>
      </c>
      <c r="U425">
        <v>2.6712933724815757</v>
      </c>
    </row>
    <row r="426" spans="1:21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36"/>
        <v>#DIV/0!</v>
      </c>
      <c r="I426" s="2" t="e">
        <f t="shared" si="37"/>
        <v>#DIV/0!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0.63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ht="13.9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36"/>
        <v>#NUM!</v>
      </c>
      <c r="I427" s="2">
        <f t="shared" si="37"/>
        <v>0.37390096630005903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 t="e">
        <f t="shared" si="38"/>
        <v>#DIV/0!</v>
      </c>
      <c r="Q427" s="2" t="e">
        <f t="shared" si="39"/>
        <v>#DIV/0!</v>
      </c>
      <c r="R427" s="2" t="e">
        <f t="shared" si="40"/>
        <v>#DIV/0!</v>
      </c>
      <c r="S427" t="e">
        <f t="shared" si="41"/>
        <v>#DIV/0!</v>
      </c>
      <c r="U427" t="e">
        <v>#NUM!</v>
      </c>
    </row>
    <row r="428" spans="1:21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36"/>
        <v>#DIV/0!</v>
      </c>
      <c r="I428" s="2" t="e">
        <f t="shared" si="37"/>
        <v>#DIV/0!</v>
      </c>
      <c r="J428" s="2">
        <v>0</v>
      </c>
      <c r="K428" s="2">
        <v>0</v>
      </c>
      <c r="L428" s="2">
        <v>0</v>
      </c>
      <c r="M428" s="2">
        <v>0</v>
      </c>
      <c r="N428" s="2">
        <v>0.13</v>
      </c>
      <c r="O428" s="2">
        <v>0</v>
      </c>
      <c r="P428" s="2" t="e">
        <f t="shared" si="38"/>
        <v>#NUM!</v>
      </c>
      <c r="Q428" s="2">
        <f t="shared" si="39"/>
        <v>0.37390096630005903</v>
      </c>
      <c r="R428" s="2" t="e">
        <f t="shared" si="40"/>
        <v>#NUM!</v>
      </c>
      <c r="S428" t="e">
        <f t="shared" si="41"/>
        <v>#NUM!</v>
      </c>
      <c r="U428" t="e">
        <v>#NUM!</v>
      </c>
    </row>
    <row r="429" spans="1:21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36"/>
        <v>#DIV/0!</v>
      </c>
      <c r="I429" s="2" t="e">
        <f t="shared" si="37"/>
        <v>#DIV/0!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0.53</v>
      </c>
      <c r="P429" s="2" t="e">
        <f t="shared" si="38"/>
        <v>#NUM!</v>
      </c>
      <c r="Q429" s="2">
        <f t="shared" si="39"/>
        <v>0.37390096630005903</v>
      </c>
      <c r="R429" s="2" t="e">
        <f t="shared" si="40"/>
        <v>#NUM!</v>
      </c>
      <c r="S429" t="e">
        <f t="shared" si="41"/>
        <v>#NUM!</v>
      </c>
      <c r="U429" t="e">
        <v>#NUM!</v>
      </c>
    </row>
    <row r="430" spans="1:21" ht="13.9" x14ac:dyDescent="0.3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36"/>
        <v>4.2684888359259023</v>
      </c>
      <c r="I430" s="2">
        <f t="shared" si="37"/>
        <v>9.7547768078869515E-2</v>
      </c>
      <c r="J430" s="2">
        <v>0</v>
      </c>
      <c r="K430" s="2">
        <v>0.49</v>
      </c>
      <c r="L430" s="2">
        <v>4.01</v>
      </c>
      <c r="M430" s="2">
        <v>0.49</v>
      </c>
      <c r="N430" s="2">
        <v>0.13</v>
      </c>
      <c r="O430" s="2">
        <v>0.32</v>
      </c>
      <c r="P430" s="2">
        <f t="shared" si="38"/>
        <v>2.2591923395393998</v>
      </c>
      <c r="Q430" s="2">
        <f t="shared" si="39"/>
        <v>0.4020658211174386</v>
      </c>
      <c r="R430" s="2">
        <f t="shared" si="40"/>
        <v>-2.0092964963865025</v>
      </c>
      <c r="S430">
        <f t="shared" si="41"/>
        <v>0.5292721678278316</v>
      </c>
      <c r="U430">
        <v>2.1699250014423126</v>
      </c>
    </row>
    <row r="431" spans="1:21" ht="13.9" x14ac:dyDescent="0.3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36"/>
        <v>-2.1728178311959341</v>
      </c>
      <c r="I431" s="2">
        <f t="shared" si="37"/>
        <v>3.966389801681261E-2</v>
      </c>
      <c r="J431" s="2">
        <v>9.56</v>
      </c>
      <c r="K431" s="2">
        <v>7.07</v>
      </c>
      <c r="L431" s="2">
        <v>2.37</v>
      </c>
      <c r="M431" s="2">
        <v>12.04</v>
      </c>
      <c r="N431" s="2">
        <v>21.79</v>
      </c>
      <c r="O431" s="2">
        <v>12.44</v>
      </c>
      <c r="P431" s="2">
        <f t="shared" si="38"/>
        <v>-1.2840776803469853</v>
      </c>
      <c r="Q431" s="2">
        <f t="shared" si="39"/>
        <v>7.6011908090835273E-2</v>
      </c>
      <c r="R431" s="2">
        <f t="shared" si="40"/>
        <v>0.88874015084894875</v>
      </c>
      <c r="S431">
        <f t="shared" si="41"/>
        <v>0.59097346400191308</v>
      </c>
      <c r="U431">
        <v>4.2479275134435861</v>
      </c>
    </row>
    <row r="432" spans="1:21" ht="13.9" x14ac:dyDescent="0.3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36"/>
        <v>-1.8002304876242228</v>
      </c>
      <c r="I432" s="2">
        <f t="shared" si="37"/>
        <v>0.53087077450163911</v>
      </c>
      <c r="J432" s="2">
        <v>0</v>
      </c>
      <c r="K432" s="2">
        <v>0</v>
      </c>
      <c r="L432" s="2">
        <v>0</v>
      </c>
      <c r="M432" s="2">
        <v>0.59</v>
      </c>
      <c r="N432" s="2">
        <v>0.67</v>
      </c>
      <c r="O432" s="2">
        <v>0</v>
      </c>
      <c r="P432" s="2" t="e">
        <f t="shared" si="38"/>
        <v>#NUM!</v>
      </c>
      <c r="Q432" s="2">
        <f t="shared" si="39"/>
        <v>0.11771750432170748</v>
      </c>
      <c r="R432" s="2" t="e">
        <f t="shared" si="40"/>
        <v>#NUM!</v>
      </c>
      <c r="S432" t="e">
        <f t="shared" si="41"/>
        <v>#NUM!</v>
      </c>
      <c r="U432" t="e">
        <v>#NUM!</v>
      </c>
    </row>
    <row r="433" spans="1:21" ht="13.9" x14ac:dyDescent="0.3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36"/>
        <v>-4.6789386489301705</v>
      </c>
      <c r="I433" s="2">
        <f t="shared" si="37"/>
        <v>0.34543375885874278</v>
      </c>
      <c r="J433" s="2">
        <v>0</v>
      </c>
      <c r="K433" s="2">
        <v>0</v>
      </c>
      <c r="L433" s="2">
        <v>0</v>
      </c>
      <c r="M433" s="2">
        <v>0.49</v>
      </c>
      <c r="N433" s="2">
        <v>0</v>
      </c>
      <c r="O433" s="2">
        <v>1.48</v>
      </c>
      <c r="P433" s="2" t="e">
        <f t="shared" si="38"/>
        <v>#NUM!</v>
      </c>
      <c r="Q433" s="2">
        <f t="shared" si="39"/>
        <v>0.20590432846867199</v>
      </c>
      <c r="R433" s="2" t="e">
        <f t="shared" si="40"/>
        <v>#NUM!</v>
      </c>
      <c r="S433" t="e">
        <f t="shared" si="41"/>
        <v>#NUM!</v>
      </c>
      <c r="U433" t="e">
        <v>#NUM!</v>
      </c>
    </row>
    <row r="434" spans="1:21" ht="13.9" x14ac:dyDescent="0.3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36"/>
        <v>-1.2738614363181497</v>
      </c>
      <c r="I434" s="2">
        <f t="shared" si="37"/>
        <v>0.51258386583211424</v>
      </c>
      <c r="J434" s="2">
        <v>0</v>
      </c>
      <c r="K434" s="2">
        <v>0</v>
      </c>
      <c r="L434" s="2">
        <v>0</v>
      </c>
      <c r="M434" s="2">
        <v>2.96</v>
      </c>
      <c r="N434" s="2">
        <v>0.8</v>
      </c>
      <c r="O434" s="2">
        <v>0</v>
      </c>
      <c r="P434" s="2" t="e">
        <f t="shared" si="38"/>
        <v>#NUM!</v>
      </c>
      <c r="Q434" s="2">
        <f t="shared" si="39"/>
        <v>0.22923971816325969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ht="13.9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36"/>
        <v>#NUM!</v>
      </c>
      <c r="I435" s="2">
        <f t="shared" si="37"/>
        <v>0.37390096630005903</v>
      </c>
      <c r="J435" s="2">
        <v>0</v>
      </c>
      <c r="K435" s="2">
        <v>0</v>
      </c>
      <c r="L435" s="2">
        <v>0</v>
      </c>
      <c r="M435" s="2">
        <v>1.88</v>
      </c>
      <c r="N435" s="2">
        <v>0</v>
      </c>
      <c r="O435" s="2">
        <v>1.9</v>
      </c>
      <c r="P435" s="2" t="e">
        <f t="shared" si="38"/>
        <v>#NUM!</v>
      </c>
      <c r="Q435" s="2">
        <f t="shared" si="39"/>
        <v>0.11612765823837161</v>
      </c>
      <c r="R435" s="2" t="e">
        <f t="shared" si="40"/>
        <v>#NUM!</v>
      </c>
      <c r="S435" t="e">
        <f t="shared" si="41"/>
        <v>#NUM!</v>
      </c>
      <c r="U435" t="e">
        <v>#NUM!</v>
      </c>
    </row>
    <row r="436" spans="1:21" ht="13.9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36"/>
        <v>#NUM!</v>
      </c>
      <c r="I436" s="2">
        <f t="shared" si="37"/>
        <v>1.8346467139492572E-2</v>
      </c>
      <c r="J436" s="2">
        <v>0</v>
      </c>
      <c r="K436" s="2">
        <v>0</v>
      </c>
      <c r="L436" s="2">
        <v>0</v>
      </c>
      <c r="M436" s="2">
        <v>0</v>
      </c>
      <c r="N436" s="2">
        <v>2.41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ht="13.9" x14ac:dyDescent="0.3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36"/>
        <v>-1.1263029514487839</v>
      </c>
      <c r="I437" s="2">
        <f t="shared" si="37"/>
        <v>4.8109690058510792E-3</v>
      </c>
      <c r="J437" s="2">
        <v>15.49</v>
      </c>
      <c r="K437" s="2">
        <v>20</v>
      </c>
      <c r="L437" s="2">
        <v>12.02</v>
      </c>
      <c r="M437" s="2">
        <v>17.97</v>
      </c>
      <c r="N437" s="2">
        <v>20.99</v>
      </c>
      <c r="O437" s="2">
        <v>13.17</v>
      </c>
      <c r="P437" s="2">
        <f t="shared" si="38"/>
        <v>-0.13388265318516832</v>
      </c>
      <c r="Q437" s="2">
        <f t="shared" si="39"/>
        <v>0.65970123833738414</v>
      </c>
      <c r="R437" s="2">
        <f t="shared" si="40"/>
        <v>0.99242029826361555</v>
      </c>
      <c r="S437">
        <f t="shared" si="41"/>
        <v>0.11886913109208551</v>
      </c>
      <c r="U437">
        <v>5.5701593016361199</v>
      </c>
    </row>
    <row r="438" spans="1:21" ht="13.9" x14ac:dyDescent="0.3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36"/>
        <v>0.4876994595159474</v>
      </c>
      <c r="I438" s="2">
        <f t="shared" si="37"/>
        <v>0.14028829502779649</v>
      </c>
      <c r="J438" s="2">
        <v>4066.78</v>
      </c>
      <c r="K438" s="2">
        <v>4570.38</v>
      </c>
      <c r="L438" s="2">
        <v>4024.91</v>
      </c>
      <c r="M438" s="2">
        <v>2126.7199999999998</v>
      </c>
      <c r="N438" s="2">
        <v>2502.9899999999998</v>
      </c>
      <c r="O438" s="2">
        <v>2059.98</v>
      </c>
      <c r="P438" s="2">
        <f t="shared" si="38"/>
        <v>0.9205020132880074</v>
      </c>
      <c r="Q438" s="2">
        <f t="shared" si="39"/>
        <v>8.7066497256331813E-4</v>
      </c>
      <c r="R438" s="2">
        <f t="shared" si="40"/>
        <v>0.43280255377206001</v>
      </c>
      <c r="S438">
        <f t="shared" si="41"/>
        <v>1.8874370174648669</v>
      </c>
      <c r="U438">
        <v>13.628225655928199</v>
      </c>
    </row>
    <row r="439" spans="1:21" ht="13.9" x14ac:dyDescent="0.3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36"/>
        <v>-1.4957749189473533</v>
      </c>
      <c r="I439" s="2">
        <f t="shared" si="37"/>
        <v>1.3110577291589843E-2</v>
      </c>
      <c r="J439" s="2">
        <v>9.56</v>
      </c>
      <c r="K439" s="2">
        <v>14.88</v>
      </c>
      <c r="L439" s="2">
        <v>6.37</v>
      </c>
      <c r="M439" s="2">
        <v>10.66</v>
      </c>
      <c r="N439" s="2">
        <v>20.72</v>
      </c>
      <c r="O439" s="2">
        <v>10.01</v>
      </c>
      <c r="P439" s="2">
        <f t="shared" si="38"/>
        <v>-0.42588356619093931</v>
      </c>
      <c r="Q439" s="2">
        <f t="shared" si="39"/>
        <v>0.4546502988083676</v>
      </c>
      <c r="R439" s="2">
        <f t="shared" si="40"/>
        <v>1.069891352756414</v>
      </c>
      <c r="S439">
        <f t="shared" si="41"/>
        <v>0.28472436647798149</v>
      </c>
      <c r="U439">
        <v>4.9453267772646265</v>
      </c>
    </row>
    <row r="440" spans="1:21" ht="13.9" x14ac:dyDescent="0.3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36"/>
        <v>2.4661443289386664</v>
      </c>
      <c r="I440" s="2">
        <f t="shared" si="37"/>
        <v>0.18188577486415103</v>
      </c>
      <c r="J440" s="2">
        <v>24.06</v>
      </c>
      <c r="K440" s="2">
        <v>18.79</v>
      </c>
      <c r="L440" s="2">
        <v>14.75</v>
      </c>
      <c r="M440" s="2">
        <v>6.32</v>
      </c>
      <c r="N440" s="2">
        <v>1.74</v>
      </c>
      <c r="O440" s="2">
        <v>2.95</v>
      </c>
      <c r="P440" s="2">
        <f t="shared" si="38"/>
        <v>2.3872543427653055</v>
      </c>
      <c r="Q440" s="2">
        <f t="shared" si="39"/>
        <v>6.8095668303332644E-3</v>
      </c>
      <c r="R440" s="2">
        <f t="shared" si="40"/>
        <v>-7.888998617336096E-2</v>
      </c>
      <c r="S440">
        <f t="shared" si="41"/>
        <v>0.96801079918655364</v>
      </c>
      <c r="U440">
        <v>5.8479969065549504</v>
      </c>
    </row>
    <row r="441" spans="1:21" ht="13.9" x14ac:dyDescent="0.3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36"/>
        <v>-0.32999537615547719</v>
      </c>
      <c r="I441" s="2">
        <f t="shared" si="37"/>
        <v>0.82107215118594135</v>
      </c>
      <c r="J441" s="2">
        <v>19.45</v>
      </c>
      <c r="K441" s="2">
        <v>5.12</v>
      </c>
      <c r="L441" s="2">
        <v>0</v>
      </c>
      <c r="M441" s="2">
        <v>3.46</v>
      </c>
      <c r="N441" s="2">
        <v>4.41</v>
      </c>
      <c r="O441" s="2">
        <v>4.32</v>
      </c>
      <c r="P441" s="2">
        <f t="shared" si="38"/>
        <v>1.0111997317419525</v>
      </c>
      <c r="Q441" s="2">
        <f t="shared" si="39"/>
        <v>0.51802104108461389</v>
      </c>
      <c r="R441" s="2">
        <f t="shared" si="40"/>
        <v>1.3411951078974298</v>
      </c>
      <c r="S441">
        <f t="shared" si="41"/>
        <v>-3.064284547022035</v>
      </c>
      <c r="U441">
        <v>4.6188259525874402</v>
      </c>
    </row>
    <row r="442" spans="1:21" ht="13.9" x14ac:dyDescent="0.3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36"/>
        <v>2.447621708350435</v>
      </c>
      <c r="I442" s="2">
        <f t="shared" si="37"/>
        <v>0.37767431297334664</v>
      </c>
      <c r="J442" s="2">
        <v>1.32</v>
      </c>
      <c r="K442" s="2">
        <v>2.93</v>
      </c>
      <c r="L442" s="2">
        <v>1.64</v>
      </c>
      <c r="M442" s="2">
        <v>1.58</v>
      </c>
      <c r="N442" s="2">
        <v>1.87</v>
      </c>
      <c r="O442" s="2">
        <v>3.69</v>
      </c>
      <c r="P442" s="2">
        <f t="shared" si="38"/>
        <v>-0.27765644019863928</v>
      </c>
      <c r="Q442" s="2">
        <f t="shared" si="39"/>
        <v>0.63949475475217454</v>
      </c>
      <c r="R442" s="2">
        <f t="shared" si="40"/>
        <v>-2.7252781485490742</v>
      </c>
      <c r="S442">
        <f t="shared" si="41"/>
        <v>-0.11343927832122584</v>
      </c>
      <c r="U442">
        <v>2.5582676340557358</v>
      </c>
    </row>
    <row r="443" spans="1:21" ht="13.9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0</v>
      </c>
      <c r="K443" s="2">
        <v>0</v>
      </c>
      <c r="L443" s="2">
        <v>0</v>
      </c>
      <c r="M443" s="2">
        <v>0</v>
      </c>
      <c r="N443" s="2">
        <v>0.8</v>
      </c>
      <c r="O443" s="2">
        <v>0</v>
      </c>
      <c r="P443" s="2" t="e">
        <f t="shared" si="38"/>
        <v>#NUM!</v>
      </c>
      <c r="Q443" s="2">
        <f t="shared" si="39"/>
        <v>0.37390096630005903</v>
      </c>
      <c r="R443" s="2" t="e">
        <f t="shared" si="40"/>
        <v>#NUM!</v>
      </c>
      <c r="S443" t="e">
        <f t="shared" si="41"/>
        <v>#NUM!</v>
      </c>
      <c r="U443" t="e">
        <v>#NUM!</v>
      </c>
    </row>
    <row r="444" spans="1:21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36"/>
        <v>#DIV/0!</v>
      </c>
      <c r="I444" s="2" t="e">
        <f t="shared" si="37"/>
        <v>#DIV/0!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0.11</v>
      </c>
      <c r="P444" s="2" t="e">
        <f t="shared" si="38"/>
        <v>#NUM!</v>
      </c>
      <c r="Q444" s="2">
        <f t="shared" si="39"/>
        <v>0.37390096630005903</v>
      </c>
      <c r="R444" s="2" t="e">
        <f t="shared" si="40"/>
        <v>#NUM!</v>
      </c>
      <c r="S444" t="e">
        <f t="shared" si="41"/>
        <v>#NUM!</v>
      </c>
      <c r="U444" t="e">
        <v>#NUM!</v>
      </c>
    </row>
    <row r="445" spans="1:21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 t="e">
        <f t="shared" si="38"/>
        <v>#DIV/0!</v>
      </c>
      <c r="Q445" s="2" t="e">
        <f t="shared" si="39"/>
        <v>#DIV/0!</v>
      </c>
      <c r="R445" s="2" t="e">
        <f t="shared" si="40"/>
        <v>#DIV/0!</v>
      </c>
      <c r="S445" t="e">
        <f t="shared" si="41"/>
        <v>#DIV/0!</v>
      </c>
      <c r="U445" t="e">
        <v>#NUM!</v>
      </c>
    </row>
    <row r="446" spans="1:21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36"/>
        <v>#DIV/0!</v>
      </c>
      <c r="I446" s="2" t="e">
        <f t="shared" si="37"/>
        <v>#DIV/0!</v>
      </c>
      <c r="J446" s="2">
        <v>0</v>
      </c>
      <c r="K446" s="2">
        <v>0</v>
      </c>
      <c r="L446" s="2">
        <v>0</v>
      </c>
      <c r="M446" s="2">
        <v>0.39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ht="13.9" x14ac:dyDescent="0.3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36"/>
        <v>1.1575412769864797</v>
      </c>
      <c r="I447" s="2">
        <f t="shared" si="37"/>
        <v>0.64110641558133286</v>
      </c>
      <c r="J447" s="2">
        <v>0.33</v>
      </c>
      <c r="K447" s="2">
        <v>0</v>
      </c>
      <c r="L447" s="2">
        <v>0.18</v>
      </c>
      <c r="M447" s="2">
        <v>0.1</v>
      </c>
      <c r="N447" s="2">
        <v>0.13</v>
      </c>
      <c r="O447" s="2">
        <v>0</v>
      </c>
      <c r="P447" s="2">
        <f t="shared" si="38"/>
        <v>1.1488633859144828</v>
      </c>
      <c r="Q447" s="2">
        <f t="shared" si="39"/>
        <v>0.41681612509882349</v>
      </c>
      <c r="R447" s="2">
        <f t="shared" si="40"/>
        <v>-8.6778910719969016E-3</v>
      </c>
      <c r="S447">
        <f t="shared" si="41"/>
        <v>0.99250316922210435</v>
      </c>
      <c r="U447">
        <v>-0.97143084780322919</v>
      </c>
    </row>
    <row r="448" spans="1:21" ht="13.9" x14ac:dyDescent="0.3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36"/>
        <v>1.1725563477943561</v>
      </c>
      <c r="I448" s="2">
        <f t="shared" si="37"/>
        <v>0.34047113087817349</v>
      </c>
      <c r="J448" s="2">
        <v>10.55</v>
      </c>
      <c r="K448" s="2">
        <v>29.28</v>
      </c>
      <c r="L448" s="2">
        <v>27.67</v>
      </c>
      <c r="M448" s="2">
        <v>12.64</v>
      </c>
      <c r="N448" s="2">
        <v>15.91</v>
      </c>
      <c r="O448" s="2">
        <v>6.85</v>
      </c>
      <c r="P448" s="2">
        <f t="shared" si="38"/>
        <v>0.93113814185519583</v>
      </c>
      <c r="Q448" s="2">
        <f t="shared" si="39"/>
        <v>0.1778061511187338</v>
      </c>
      <c r="R448" s="2">
        <f t="shared" si="40"/>
        <v>-0.2414182059391603</v>
      </c>
      <c r="S448">
        <f t="shared" si="41"/>
        <v>0.79410950578769079</v>
      </c>
      <c r="U448">
        <v>6.0768155970508309</v>
      </c>
    </row>
    <row r="449" spans="1:21" ht="13.9" x14ac:dyDescent="0.3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36"/>
        <v>#NUM!</v>
      </c>
      <c r="I449" s="2">
        <f t="shared" si="37"/>
        <v>4.0403640347624427E-2</v>
      </c>
      <c r="J449" s="2">
        <v>0.33</v>
      </c>
      <c r="K449" s="2">
        <v>13.91</v>
      </c>
      <c r="L449" s="2">
        <v>0</v>
      </c>
      <c r="M449" s="2">
        <v>5.13</v>
      </c>
      <c r="N449" s="2">
        <v>9.36</v>
      </c>
      <c r="O449" s="2">
        <v>5.27</v>
      </c>
      <c r="P449" s="2">
        <f t="shared" si="38"/>
        <v>-0.47263380061827986</v>
      </c>
      <c r="Q449" s="2">
        <f t="shared" si="39"/>
        <v>0.72031805986681929</v>
      </c>
      <c r="R449" s="2" t="e">
        <f t="shared" si="40"/>
        <v>#NUM!</v>
      </c>
      <c r="S449" t="e">
        <f t="shared" si="41"/>
        <v>#NUM!</v>
      </c>
      <c r="U449">
        <v>3.8318772411916733</v>
      </c>
    </row>
    <row r="450" spans="1:21" ht="13.9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0.15987077134879107</v>
      </c>
      <c r="J450" s="2">
        <v>0</v>
      </c>
      <c r="K450" s="2">
        <v>0</v>
      </c>
      <c r="L450" s="2">
        <v>0</v>
      </c>
      <c r="M450" s="2">
        <v>0</v>
      </c>
      <c r="N450" s="2">
        <v>0.4</v>
      </c>
      <c r="O450" s="2">
        <v>0</v>
      </c>
      <c r="P450" s="2" t="e">
        <f t="shared" ref="P450:P513" si="44">LOG(SUM(J450:L450)/SUM(M450:O450),2)</f>
        <v>#NUM!</v>
      </c>
      <c r="Q450" s="2">
        <f t="shared" ref="Q450:Q513" si="45">_xlfn.T.TEST(J450:L450,M450:O450,2,2)</f>
        <v>0.37390096630005903</v>
      </c>
      <c r="R450" s="2" t="e">
        <f t="shared" si="40"/>
        <v>#NUM!</v>
      </c>
      <c r="S450" t="e">
        <f t="shared" si="41"/>
        <v>#NUM!</v>
      </c>
      <c r="U450" t="e">
        <v>#NUM!</v>
      </c>
    </row>
    <row r="451" spans="1:21" ht="13.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 t="e">
        <f t="shared" si="45"/>
        <v>#DIV/0!</v>
      </c>
      <c r="R451" s="2" t="e">
        <f t="shared" ref="R451:R514" si="46">P451-H451</f>
        <v>#DIV/0!</v>
      </c>
      <c r="S451" t="e">
        <f t="shared" si="41"/>
        <v>#DIV/0!</v>
      </c>
      <c r="U451" t="e">
        <v>#NUM!</v>
      </c>
    </row>
    <row r="452" spans="1:21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 t="e">
        <f t="shared" si="44"/>
        <v>#DIV/0!</v>
      </c>
      <c r="Q452" s="2" t="e">
        <f t="shared" si="45"/>
        <v>#DIV/0!</v>
      </c>
      <c r="R452" s="2" t="e">
        <f t="shared" si="46"/>
        <v>#DIV/0!</v>
      </c>
      <c r="S452" t="e">
        <f t="shared" ref="S452:S515" si="47">P452/H452</f>
        <v>#DIV/0!</v>
      </c>
      <c r="U452" t="e">
        <v>#NUM!</v>
      </c>
    </row>
    <row r="453" spans="1:21" ht="13.9" x14ac:dyDescent="0.3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42"/>
        <v>0.24100809950379498</v>
      </c>
      <c r="I453" s="2">
        <f t="shared" si="43"/>
        <v>0.9121691661692114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0.42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ht="13.9" x14ac:dyDescent="0.3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42"/>
        <v>0.40553366313672068</v>
      </c>
      <c r="I454" s="2">
        <f t="shared" si="43"/>
        <v>0.46943099753633794</v>
      </c>
      <c r="J454" s="2">
        <v>55.05</v>
      </c>
      <c r="K454" s="2">
        <v>32.200000000000003</v>
      </c>
      <c r="L454" s="2">
        <v>14.75</v>
      </c>
      <c r="M454" s="2">
        <v>10.07</v>
      </c>
      <c r="N454" s="2">
        <v>16.18</v>
      </c>
      <c r="O454" s="2">
        <v>11.17</v>
      </c>
      <c r="P454" s="2">
        <f t="shared" si="44"/>
        <v>1.4466876885054361</v>
      </c>
      <c r="Q454" s="2">
        <f t="shared" si="45"/>
        <v>0.14264894142214396</v>
      </c>
      <c r="R454" s="2">
        <f t="shared" si="46"/>
        <v>1.0411540253687153</v>
      </c>
      <c r="S454">
        <f t="shared" si="47"/>
        <v>3.5673676935118039</v>
      </c>
      <c r="U454">
        <v>6.6724253419714952</v>
      </c>
    </row>
    <row r="455" spans="1:21" ht="13.9" x14ac:dyDescent="0.3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42"/>
        <v>3.3617020555406762</v>
      </c>
      <c r="I455" s="2">
        <f t="shared" si="43"/>
        <v>0.1765195672763242</v>
      </c>
      <c r="J455" s="2">
        <v>4.6100000000000003</v>
      </c>
      <c r="K455" s="2">
        <v>22.44</v>
      </c>
      <c r="L455" s="2">
        <v>3.82</v>
      </c>
      <c r="M455" s="2">
        <v>0.69</v>
      </c>
      <c r="N455" s="2">
        <v>2.67</v>
      </c>
      <c r="O455" s="2">
        <v>3.16</v>
      </c>
      <c r="P455" s="2">
        <f t="shared" si="44"/>
        <v>2.2432616133840471</v>
      </c>
      <c r="Q455" s="2">
        <f t="shared" si="45"/>
        <v>0.25580575574608266</v>
      </c>
      <c r="R455" s="2">
        <f t="shared" si="46"/>
        <v>-1.1184404421566292</v>
      </c>
      <c r="S455">
        <f t="shared" si="47"/>
        <v>0.66729935500582427</v>
      </c>
      <c r="U455">
        <v>4.9481335778404008</v>
      </c>
    </row>
    <row r="456" spans="1:21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 t="e">
        <f t="shared" si="44"/>
        <v>#DIV/0!</v>
      </c>
      <c r="Q456" s="2" t="e">
        <f t="shared" si="45"/>
        <v>#DIV/0!</v>
      </c>
      <c r="R456" s="2" t="e">
        <f t="shared" si="46"/>
        <v>#DIV/0!</v>
      </c>
      <c r="S456" t="e">
        <f t="shared" si="47"/>
        <v>#DIV/0!</v>
      </c>
      <c r="U456" t="e">
        <v>#NUM!</v>
      </c>
    </row>
    <row r="457" spans="1:21" ht="13.9" x14ac:dyDescent="0.3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42"/>
        <v>#NUM!</v>
      </c>
      <c r="I457" s="2">
        <f t="shared" si="43"/>
        <v>0.37390096630005903</v>
      </c>
      <c r="J457" s="2">
        <v>5.6</v>
      </c>
      <c r="K457" s="2">
        <v>0</v>
      </c>
      <c r="L457" s="2">
        <v>0</v>
      </c>
      <c r="M457" s="2">
        <v>0</v>
      </c>
      <c r="N457" s="2">
        <v>0.13</v>
      </c>
      <c r="O457" s="2">
        <v>0</v>
      </c>
      <c r="P457" s="2">
        <f t="shared" si="44"/>
        <v>5.4288432988038737</v>
      </c>
      <c r="Q457" s="2">
        <f t="shared" si="45"/>
        <v>0.38409907221424083</v>
      </c>
      <c r="R457" s="2" t="e">
        <f t="shared" si="46"/>
        <v>#NUM!</v>
      </c>
      <c r="S457" t="e">
        <f t="shared" si="47"/>
        <v>#NUM!</v>
      </c>
      <c r="U457">
        <v>2.485426827170242</v>
      </c>
    </row>
    <row r="458" spans="1:21" ht="13.9" x14ac:dyDescent="0.3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42"/>
        <v>#NUM!</v>
      </c>
      <c r="I458" s="2">
        <f t="shared" si="43"/>
        <v>0.37390096630005903</v>
      </c>
      <c r="J458" s="2">
        <v>0</v>
      </c>
      <c r="K458" s="2">
        <v>0</v>
      </c>
      <c r="L458" s="2">
        <v>0.18</v>
      </c>
      <c r="M458" s="2">
        <v>0</v>
      </c>
      <c r="N458" s="2">
        <v>0</v>
      </c>
      <c r="O458" s="2">
        <v>0.32</v>
      </c>
      <c r="P458" s="2">
        <f t="shared" si="44"/>
        <v>-0.83007499855768763</v>
      </c>
      <c r="Q458" s="2">
        <f t="shared" si="45"/>
        <v>0.72235904489559877</v>
      </c>
      <c r="R458" s="2" t="e">
        <f t="shared" si="46"/>
        <v>#NUM!</v>
      </c>
      <c r="S458" t="e">
        <f t="shared" si="47"/>
        <v>#NUM!</v>
      </c>
      <c r="U458">
        <v>-2.4739311883324122</v>
      </c>
    </row>
    <row r="459" spans="1:21" ht="13.9" x14ac:dyDescent="0.3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42"/>
        <v>1.2554326831004556</v>
      </c>
      <c r="I459" s="2">
        <f t="shared" si="43"/>
        <v>0.46506155743296879</v>
      </c>
      <c r="J459" s="2">
        <v>20.77</v>
      </c>
      <c r="K459" s="2">
        <v>34.15</v>
      </c>
      <c r="L459" s="2">
        <v>0.18</v>
      </c>
      <c r="M459" s="2">
        <v>2.27</v>
      </c>
      <c r="N459" s="2">
        <v>4.28</v>
      </c>
      <c r="O459" s="2">
        <v>2.63</v>
      </c>
      <c r="P459" s="2">
        <f t="shared" si="44"/>
        <v>2.5854862600447124</v>
      </c>
      <c r="Q459" s="2">
        <f t="shared" si="45"/>
        <v>0.19693637402103595</v>
      </c>
      <c r="R459" s="2">
        <f t="shared" si="46"/>
        <v>1.3300535769442567</v>
      </c>
      <c r="S459">
        <f t="shared" si="47"/>
        <v>2.0594383871379827</v>
      </c>
      <c r="U459">
        <v>5.7839804136837953</v>
      </c>
    </row>
    <row r="460" spans="1:21" ht="13.9" x14ac:dyDescent="0.3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42"/>
        <v>-0.26013657113880295</v>
      </c>
      <c r="I460" s="2">
        <f t="shared" si="43"/>
        <v>0.74939736102206256</v>
      </c>
      <c r="J460" s="2">
        <v>3.96</v>
      </c>
      <c r="K460" s="2">
        <v>10.49</v>
      </c>
      <c r="L460" s="2">
        <v>7.65</v>
      </c>
      <c r="M460" s="2">
        <v>7.21</v>
      </c>
      <c r="N460" s="2">
        <v>7.62</v>
      </c>
      <c r="O460" s="2">
        <v>3.37</v>
      </c>
      <c r="P460" s="2">
        <f t="shared" si="44"/>
        <v>0.28010791919273548</v>
      </c>
      <c r="Q460" s="2">
        <f t="shared" si="45"/>
        <v>0.60588619252758913</v>
      </c>
      <c r="R460" s="2">
        <f t="shared" si="46"/>
        <v>0.54024449033153843</v>
      </c>
      <c r="S460">
        <f t="shared" si="47"/>
        <v>-1.0767725505356811</v>
      </c>
      <c r="U460">
        <v>4.4659744645040691</v>
      </c>
    </row>
    <row r="461" spans="1:21" ht="13.9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42"/>
        <v>#NUM!</v>
      </c>
      <c r="I461" s="2">
        <f t="shared" si="43"/>
        <v>0.37390096630005903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ht="13.9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 t="e">
        <f t="shared" si="43"/>
        <v>#DIV/0!</v>
      </c>
      <c r="J462" s="2">
        <v>3.3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>
        <f t="shared" si="45"/>
        <v>0.37390096630005903</v>
      </c>
      <c r="R462" s="2" t="e">
        <f t="shared" si="46"/>
        <v>#DIV/0!</v>
      </c>
      <c r="S462" t="e">
        <f t="shared" si="47"/>
        <v>#DIV/0!</v>
      </c>
      <c r="U462">
        <v>1.7224660244710912</v>
      </c>
    </row>
    <row r="463" spans="1:21" ht="13.9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0.53</v>
      </c>
      <c r="O463" s="2">
        <v>0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ht="13.9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42"/>
        <v>#NUM!</v>
      </c>
      <c r="I464" s="2">
        <f t="shared" si="43"/>
        <v>0.37390096630005903</v>
      </c>
      <c r="J464" s="2">
        <v>0</v>
      </c>
      <c r="K464" s="2">
        <v>0</v>
      </c>
      <c r="L464" s="2">
        <v>0</v>
      </c>
      <c r="M464" s="2">
        <v>1.58</v>
      </c>
      <c r="N464" s="2">
        <v>0</v>
      </c>
      <c r="O464" s="2">
        <v>0.42</v>
      </c>
      <c r="P464" s="2" t="e">
        <f t="shared" si="44"/>
        <v>#NUM!</v>
      </c>
      <c r="Q464" s="2">
        <f t="shared" si="45"/>
        <v>0.23108355581308498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42"/>
        <v>#DIV/0!</v>
      </c>
      <c r="I465" s="2" t="e">
        <f t="shared" si="43"/>
        <v>#DIV/0!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0.95</v>
      </c>
      <c r="P465" s="2" t="e">
        <f t="shared" si="44"/>
        <v>#NUM!</v>
      </c>
      <c r="Q465" s="2">
        <f t="shared" si="45"/>
        <v>0.37390096630005903</v>
      </c>
      <c r="R465" s="2" t="e">
        <f t="shared" si="46"/>
        <v>#NUM!</v>
      </c>
      <c r="S465" t="e">
        <f t="shared" si="47"/>
        <v>#NUM!</v>
      </c>
      <c r="U465" t="e">
        <v>#NUM!</v>
      </c>
    </row>
    <row r="466" spans="1:21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 t="e">
        <f t="shared" si="44"/>
        <v>#DIV/0!</v>
      </c>
      <c r="Q466" s="2" t="e">
        <f t="shared" si="45"/>
        <v>#DIV/0!</v>
      </c>
      <c r="R466" s="2" t="e">
        <f t="shared" si="46"/>
        <v>#DIV/0!</v>
      </c>
      <c r="S466" t="e">
        <f t="shared" si="47"/>
        <v>#DIV/0!</v>
      </c>
      <c r="U466" t="e">
        <v>#NUM!</v>
      </c>
    </row>
    <row r="467" spans="1:21" ht="13.9" x14ac:dyDescent="0.3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>
        <f t="shared" si="43"/>
        <v>0.37390096630005903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 t="e">
        <f t="shared" si="45"/>
        <v>#DIV/0!</v>
      </c>
      <c r="R467" s="2" t="e">
        <f t="shared" si="46"/>
        <v>#DIV/0!</v>
      </c>
      <c r="S467" t="e">
        <f t="shared" si="47"/>
        <v>#DIV/0!</v>
      </c>
      <c r="U467" t="e">
        <v>#NUM!</v>
      </c>
    </row>
    <row r="468" spans="1:21" ht="13.9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0.42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ht="13.9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42"/>
        <v>#NUM!</v>
      </c>
      <c r="I469" s="2">
        <f t="shared" si="43"/>
        <v>0.23161458206334515</v>
      </c>
      <c r="J469" s="2">
        <v>0</v>
      </c>
      <c r="K469" s="2">
        <v>0</v>
      </c>
      <c r="L469" s="2">
        <v>0</v>
      </c>
      <c r="M469" s="2">
        <v>1.0900000000000001</v>
      </c>
      <c r="N469" s="2">
        <v>0.67</v>
      </c>
      <c r="O469" s="2">
        <v>0.95</v>
      </c>
      <c r="P469" s="2" t="e">
        <f t="shared" si="44"/>
        <v>#NUM!</v>
      </c>
      <c r="Q469" s="2">
        <f t="shared" si="45"/>
        <v>1.8566942072259797E-3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ht="13.9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0.4</v>
      </c>
      <c r="O470" s="2">
        <v>0</v>
      </c>
      <c r="P470" s="2" t="e">
        <f t="shared" si="44"/>
        <v>#NUM!</v>
      </c>
      <c r="Q470" s="2">
        <f t="shared" si="45"/>
        <v>0.37390096630005903</v>
      </c>
      <c r="R470" s="2" t="e">
        <f t="shared" si="46"/>
        <v>#NUM!</v>
      </c>
      <c r="S470" t="e">
        <f t="shared" si="47"/>
        <v>#NUM!</v>
      </c>
      <c r="U470" t="e">
        <v>#NUM!</v>
      </c>
    </row>
    <row r="471" spans="1:21" ht="13.9" x14ac:dyDescent="0.3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42"/>
        <v>-2.093976148209014</v>
      </c>
      <c r="I471" s="2">
        <f t="shared" si="43"/>
        <v>0.49734662487038073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ht="13.9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42"/>
        <v>#NUM!</v>
      </c>
      <c r="I472" s="2">
        <f t="shared" si="43"/>
        <v>0.37390096630005903</v>
      </c>
      <c r="J472" s="2">
        <v>0</v>
      </c>
      <c r="K472" s="2">
        <v>0</v>
      </c>
      <c r="L472" s="2">
        <v>0</v>
      </c>
      <c r="M472" s="2">
        <v>3.06</v>
      </c>
      <c r="N472" s="2">
        <v>1.2</v>
      </c>
      <c r="O472" s="2">
        <v>0.74</v>
      </c>
      <c r="P472" s="2" t="e">
        <f t="shared" si="44"/>
        <v>#NUM!</v>
      </c>
      <c r="Q472" s="2">
        <f t="shared" si="45"/>
        <v>7.8512334704273087E-2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ht="13.9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42"/>
        <v>#NUM!</v>
      </c>
      <c r="I473" s="2">
        <f t="shared" si="43"/>
        <v>0.37390096630005903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 t="e">
        <f t="shared" si="45"/>
        <v>#DIV/0!</v>
      </c>
      <c r="R473" s="2" t="e">
        <f t="shared" si="46"/>
        <v>#DIV/0!</v>
      </c>
      <c r="S473" t="e">
        <f t="shared" si="47"/>
        <v>#DIV/0!</v>
      </c>
      <c r="U473" t="e">
        <v>#NUM!</v>
      </c>
    </row>
    <row r="474" spans="1:21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42"/>
        <v>#DIV/0!</v>
      </c>
      <c r="I474" s="2" t="e">
        <f t="shared" si="43"/>
        <v>#DIV/0!</v>
      </c>
      <c r="J474" s="2">
        <v>0</v>
      </c>
      <c r="K474" s="2">
        <v>0</v>
      </c>
      <c r="L474" s="2">
        <v>0</v>
      </c>
      <c r="M474" s="2">
        <v>0</v>
      </c>
      <c r="N474" s="2">
        <v>0.27</v>
      </c>
      <c r="O474" s="2">
        <v>0</v>
      </c>
      <c r="P474" s="2" t="e">
        <f t="shared" si="44"/>
        <v>#NUM!</v>
      </c>
      <c r="Q474" s="2">
        <f t="shared" si="45"/>
        <v>0.37390096630005903</v>
      </c>
      <c r="R474" s="2" t="e">
        <f t="shared" si="46"/>
        <v>#NUM!</v>
      </c>
      <c r="S474" t="e">
        <f t="shared" si="47"/>
        <v>#NUM!</v>
      </c>
      <c r="U474" t="e">
        <v>#NUM!</v>
      </c>
    </row>
    <row r="475" spans="1:21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42"/>
        <v>#DIV/0!</v>
      </c>
      <c r="I475" s="2" t="e">
        <f t="shared" si="43"/>
        <v>#DIV/0!</v>
      </c>
      <c r="J475" s="2">
        <v>0</v>
      </c>
      <c r="K475" s="2">
        <v>0</v>
      </c>
      <c r="L475" s="2">
        <v>0</v>
      </c>
      <c r="M475" s="2">
        <v>1.18</v>
      </c>
      <c r="N475" s="2">
        <v>0</v>
      </c>
      <c r="O475" s="2">
        <v>0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ht="13.9" x14ac:dyDescent="0.3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42"/>
        <v>#NUM!</v>
      </c>
      <c r="I476" s="2">
        <f t="shared" si="43"/>
        <v>0.11618106542193525</v>
      </c>
      <c r="J476" s="2">
        <v>10.55</v>
      </c>
      <c r="K476" s="2">
        <v>0</v>
      </c>
      <c r="L476" s="2">
        <v>0</v>
      </c>
      <c r="M476" s="2">
        <v>0.59</v>
      </c>
      <c r="N476" s="2">
        <v>1.34</v>
      </c>
      <c r="O476" s="2">
        <v>0</v>
      </c>
      <c r="P476" s="2">
        <f t="shared" si="44"/>
        <v>2.4505702463264671</v>
      </c>
      <c r="Q476" s="2">
        <f t="shared" si="45"/>
        <v>0.46227750596975176</v>
      </c>
      <c r="R476" s="2" t="e">
        <f t="shared" si="46"/>
        <v>#NUM!</v>
      </c>
      <c r="S476" t="e">
        <f t="shared" si="47"/>
        <v>#NUM!</v>
      </c>
      <c r="U476">
        <v>3.3991710938198225</v>
      </c>
    </row>
    <row r="477" spans="1:21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42"/>
        <v>#DIV/0!</v>
      </c>
      <c r="I477" s="2" t="e">
        <f t="shared" si="43"/>
        <v>#DIV/0!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0.63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ht="13.9" x14ac:dyDescent="0.3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42"/>
        <v>3.7382087610168382</v>
      </c>
      <c r="I478" s="2">
        <f t="shared" si="43"/>
        <v>9.8675515331829153E-2</v>
      </c>
      <c r="J478" s="2">
        <v>0</v>
      </c>
      <c r="K478" s="2">
        <v>4.88</v>
      </c>
      <c r="L478" s="2">
        <v>3.64</v>
      </c>
      <c r="M478" s="2">
        <v>0</v>
      </c>
      <c r="N478" s="2">
        <v>0</v>
      </c>
      <c r="O478" s="2">
        <v>0.95</v>
      </c>
      <c r="P478" s="2">
        <f t="shared" si="44"/>
        <v>3.1648540118948909</v>
      </c>
      <c r="Q478" s="2">
        <f t="shared" si="45"/>
        <v>0.16743471515120645</v>
      </c>
      <c r="R478" s="2">
        <f t="shared" si="46"/>
        <v>-0.57335474912194728</v>
      </c>
      <c r="S478">
        <f t="shared" si="47"/>
        <v>0.84662313268829115</v>
      </c>
      <c r="U478">
        <v>3.0908534304511139</v>
      </c>
    </row>
    <row r="479" spans="1:21" ht="13.9" x14ac:dyDescent="0.3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42"/>
        <v>-1.3656494723166803</v>
      </c>
      <c r="I479" s="2">
        <f t="shared" si="43"/>
        <v>0.59886332390904873</v>
      </c>
      <c r="J479" s="2">
        <v>0</v>
      </c>
      <c r="K479" s="2">
        <v>0</v>
      </c>
      <c r="L479" s="2">
        <v>4.55</v>
      </c>
      <c r="M479" s="2">
        <v>0</v>
      </c>
      <c r="N479" s="2">
        <v>0.13</v>
      </c>
      <c r="O479" s="2">
        <v>0</v>
      </c>
      <c r="P479" s="2">
        <f t="shared" si="44"/>
        <v>5.1292830169449664</v>
      </c>
      <c r="Q479" s="2">
        <f t="shared" si="45"/>
        <v>0.38651832347827414</v>
      </c>
      <c r="R479" s="2">
        <f t="shared" si="46"/>
        <v>6.4949324892616467</v>
      </c>
      <c r="S479">
        <f t="shared" si="47"/>
        <v>-3.755929410087699</v>
      </c>
      <c r="U479">
        <v>2.1858665453113342</v>
      </c>
    </row>
    <row r="480" spans="1:21" ht="13.9" x14ac:dyDescent="0.3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42"/>
        <v>#NUM!</v>
      </c>
      <c r="I480" s="2">
        <f t="shared" si="43"/>
        <v>3.418853321005807E-4</v>
      </c>
      <c r="J480" s="2">
        <v>0</v>
      </c>
      <c r="K480" s="2">
        <v>0.98</v>
      </c>
      <c r="L480" s="2">
        <v>3.82</v>
      </c>
      <c r="M480" s="2">
        <v>1.18</v>
      </c>
      <c r="N480" s="2">
        <v>1.6</v>
      </c>
      <c r="O480" s="2">
        <v>0.42</v>
      </c>
      <c r="P480" s="2">
        <f t="shared" si="44"/>
        <v>0.58496250072115596</v>
      </c>
      <c r="Q480" s="2">
        <f t="shared" si="45"/>
        <v>0.67882023288896054</v>
      </c>
      <c r="R480" s="2" t="e">
        <f t="shared" si="46"/>
        <v>#NUM!</v>
      </c>
      <c r="S480" t="e">
        <f t="shared" si="47"/>
        <v>#NUM!</v>
      </c>
      <c r="U480">
        <v>2.2630344058337939</v>
      </c>
    </row>
    <row r="481" spans="1:21" ht="13.9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0.32</v>
      </c>
      <c r="P481" s="2" t="e">
        <f t="shared" si="44"/>
        <v>#NUM!</v>
      </c>
      <c r="Q481" s="2">
        <f t="shared" si="45"/>
        <v>0.37390096630005903</v>
      </c>
      <c r="R481" s="2" t="e">
        <f t="shared" si="46"/>
        <v>#NUM!</v>
      </c>
      <c r="S481" t="e">
        <f t="shared" si="47"/>
        <v>#NUM!</v>
      </c>
      <c r="U481" t="e">
        <v>#NUM!</v>
      </c>
    </row>
    <row r="482" spans="1:21" ht="13.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 t="e">
        <f t="shared" si="45"/>
        <v>#DIV/0!</v>
      </c>
      <c r="R482" s="2" t="e">
        <f t="shared" si="46"/>
        <v>#DIV/0!</v>
      </c>
      <c r="S482" t="e">
        <f t="shared" si="47"/>
        <v>#DIV/0!</v>
      </c>
      <c r="U482" t="e">
        <v>#NUM!</v>
      </c>
    </row>
    <row r="483" spans="1:21" ht="13.9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42"/>
        <v>#NUM!</v>
      </c>
      <c r="I483" s="2">
        <f t="shared" si="43"/>
        <v>0.37390096630005903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 t="e">
        <f t="shared" si="44"/>
        <v>#DIV/0!</v>
      </c>
      <c r="Q483" s="2" t="e">
        <f t="shared" si="45"/>
        <v>#DIV/0!</v>
      </c>
      <c r="R483" s="2" t="e">
        <f t="shared" si="46"/>
        <v>#DIV/0!</v>
      </c>
      <c r="S483" t="e">
        <f t="shared" si="47"/>
        <v>#DIV/0!</v>
      </c>
      <c r="U483" t="e">
        <v>#NUM!</v>
      </c>
    </row>
    <row r="484" spans="1:21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42"/>
        <v>#DIV/0!</v>
      </c>
      <c r="I484" s="2" t="e">
        <f t="shared" si="43"/>
        <v>#DIV/0!</v>
      </c>
      <c r="J484" s="2">
        <v>0</v>
      </c>
      <c r="K484" s="2">
        <v>0</v>
      </c>
      <c r="L484" s="2">
        <v>0</v>
      </c>
      <c r="M484" s="2">
        <v>0.49</v>
      </c>
      <c r="N484" s="2">
        <v>0</v>
      </c>
      <c r="O484" s="2">
        <v>0</v>
      </c>
      <c r="P484" s="2" t="e">
        <f t="shared" si="44"/>
        <v>#NUM!</v>
      </c>
      <c r="Q484" s="2">
        <f t="shared" si="45"/>
        <v>0.37390096630005903</v>
      </c>
      <c r="R484" s="2" t="e">
        <f t="shared" si="46"/>
        <v>#NUM!</v>
      </c>
      <c r="S484" t="e">
        <f t="shared" si="47"/>
        <v>#NUM!</v>
      </c>
      <c r="U484" t="e">
        <v>#NUM!</v>
      </c>
    </row>
    <row r="485" spans="1:21" ht="13.9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42"/>
        <v>#NUM!</v>
      </c>
      <c r="I485" s="2">
        <f t="shared" si="43"/>
        <v>0.37390096630005903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 t="e">
        <f t="shared" si="45"/>
        <v>#DIV/0!</v>
      </c>
      <c r="R485" s="2" t="e">
        <f t="shared" si="46"/>
        <v>#DIV/0!</v>
      </c>
      <c r="S485" t="e">
        <f t="shared" si="47"/>
        <v>#DIV/0!</v>
      </c>
      <c r="U485" t="e">
        <v>#NUM!</v>
      </c>
    </row>
    <row r="486" spans="1:21" ht="13.9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42"/>
        <v>#NUM!</v>
      </c>
      <c r="I486" s="2">
        <f t="shared" si="43"/>
        <v>0.37390096630005903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ht="13.9" x14ac:dyDescent="0.3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42"/>
        <v>-0.20353339408513199</v>
      </c>
      <c r="I487" s="2">
        <f t="shared" si="43"/>
        <v>0.89024581860213714</v>
      </c>
      <c r="J487" s="2">
        <v>0</v>
      </c>
      <c r="K487" s="2">
        <v>3.66</v>
      </c>
      <c r="L487" s="2">
        <v>0</v>
      </c>
      <c r="M487" s="2">
        <v>4.24</v>
      </c>
      <c r="N487" s="2">
        <v>3.88</v>
      </c>
      <c r="O487" s="2">
        <v>6.96</v>
      </c>
      <c r="P487" s="2">
        <f t="shared" si="44"/>
        <v>-2.0427208749846217</v>
      </c>
      <c r="Q487" s="2">
        <f t="shared" si="45"/>
        <v>7.1197007211961344E-2</v>
      </c>
      <c r="R487" s="2">
        <f t="shared" si="46"/>
        <v>-1.8391874808994897</v>
      </c>
      <c r="S487">
        <f t="shared" si="47"/>
        <v>10.03629347491848</v>
      </c>
      <c r="U487">
        <v>1.8718436485093179</v>
      </c>
    </row>
    <row r="488" spans="1:21" ht="13.9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42"/>
        <v>#NUM!</v>
      </c>
      <c r="I488" s="2">
        <f t="shared" si="43"/>
        <v>7.4929771093532382E-2</v>
      </c>
      <c r="J488" s="2">
        <v>0</v>
      </c>
      <c r="K488" s="2">
        <v>0</v>
      </c>
      <c r="L488" s="2">
        <v>0</v>
      </c>
      <c r="M488" s="2">
        <v>0.99</v>
      </c>
      <c r="N488" s="2">
        <v>0.8</v>
      </c>
      <c r="O488" s="2">
        <v>1.1599999999999999</v>
      </c>
      <c r="P488" s="2" t="e">
        <f t="shared" si="44"/>
        <v>#NUM!</v>
      </c>
      <c r="Q488" s="2">
        <f t="shared" si="45"/>
        <v>6.9725478712508724E-4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ht="13.9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0.1</v>
      </c>
      <c r="N489" s="2">
        <v>0</v>
      </c>
      <c r="O489" s="2">
        <v>0</v>
      </c>
      <c r="P489" s="2" t="e">
        <f t="shared" si="44"/>
        <v>#NUM!</v>
      </c>
      <c r="Q489" s="2">
        <f t="shared" si="45"/>
        <v>0.37390096630005903</v>
      </c>
      <c r="R489" s="2" t="e">
        <f t="shared" si="46"/>
        <v>#NUM!</v>
      </c>
      <c r="S489" t="e">
        <f t="shared" si="47"/>
        <v>#NUM!</v>
      </c>
      <c r="U489" t="e">
        <v>#NUM!</v>
      </c>
    </row>
    <row r="490" spans="1:21" ht="13.9" x14ac:dyDescent="0.3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42"/>
        <v>-0.78849589480628823</v>
      </c>
      <c r="I490" s="2">
        <f t="shared" si="43"/>
        <v>0.52395549906329764</v>
      </c>
      <c r="J490" s="2">
        <v>0</v>
      </c>
      <c r="K490" s="2">
        <v>0</v>
      </c>
      <c r="L490" s="2">
        <v>0</v>
      </c>
      <c r="M490" s="2">
        <v>0.59</v>
      </c>
      <c r="N490" s="2">
        <v>0.53</v>
      </c>
      <c r="O490" s="2">
        <v>1.37</v>
      </c>
      <c r="P490" s="2" t="e">
        <f t="shared" si="44"/>
        <v>#NUM!</v>
      </c>
      <c r="Q490" s="2">
        <f t="shared" si="45"/>
        <v>3.7374182745025596E-2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ht="13.9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42"/>
        <v>#NUM!</v>
      </c>
      <c r="I491" s="2">
        <f t="shared" si="43"/>
        <v>0.37390096630005903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ht="13.9" x14ac:dyDescent="0.3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42"/>
        <v>2.335603031784439</v>
      </c>
      <c r="I492" s="2">
        <f t="shared" si="43"/>
        <v>0.46966510169923892</v>
      </c>
      <c r="J492" s="2">
        <v>0</v>
      </c>
      <c r="K492" s="2">
        <v>0</v>
      </c>
      <c r="L492" s="2">
        <v>0</v>
      </c>
      <c r="M492" s="2">
        <v>0.3</v>
      </c>
      <c r="N492" s="2">
        <v>0</v>
      </c>
      <c r="O492" s="2">
        <v>2.21</v>
      </c>
      <c r="P492" s="2" t="e">
        <f t="shared" si="44"/>
        <v>#NUM!</v>
      </c>
      <c r="Q492" s="2">
        <f t="shared" si="45"/>
        <v>0.29328221279686922</v>
      </c>
      <c r="R492" s="2" t="e">
        <f t="shared" si="46"/>
        <v>#NUM!</v>
      </c>
      <c r="S492" t="e">
        <f t="shared" si="47"/>
        <v>#NUM!</v>
      </c>
      <c r="U492" t="e">
        <v>#NUM!</v>
      </c>
    </row>
    <row r="493" spans="1:21" ht="13.9" x14ac:dyDescent="0.3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42"/>
        <v>-0.45828409730344877</v>
      </c>
      <c r="I493" s="2">
        <f t="shared" si="43"/>
        <v>5.2639517317655253E-2</v>
      </c>
      <c r="J493" s="2">
        <v>11.87</v>
      </c>
      <c r="K493" s="2">
        <v>15.61</v>
      </c>
      <c r="L493" s="2">
        <v>49.34</v>
      </c>
      <c r="M493" s="2">
        <v>65.05</v>
      </c>
      <c r="N493" s="2">
        <v>49.07</v>
      </c>
      <c r="O493" s="2">
        <v>53.11</v>
      </c>
      <c r="P493" s="2">
        <f t="shared" si="44"/>
        <v>-1.1222798119828716</v>
      </c>
      <c r="Q493" s="2">
        <f t="shared" si="45"/>
        <v>7.884571997691836E-2</v>
      </c>
      <c r="R493" s="2">
        <f t="shared" si="46"/>
        <v>-0.66399571467942287</v>
      </c>
      <c r="S493">
        <f t="shared" si="47"/>
        <v>2.4488735668254358</v>
      </c>
      <c r="U493">
        <v>6.2634100587563406</v>
      </c>
    </row>
    <row r="494" spans="1:21" ht="13.9" x14ac:dyDescent="0.3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42"/>
        <v>-0.31373798620348253</v>
      </c>
      <c r="I494" s="2">
        <f t="shared" si="43"/>
        <v>0.4681983335593044</v>
      </c>
      <c r="J494" s="2">
        <v>339.83</v>
      </c>
      <c r="K494" s="2">
        <v>161.99</v>
      </c>
      <c r="L494" s="2">
        <v>352.84</v>
      </c>
      <c r="M494" s="2">
        <v>369.39</v>
      </c>
      <c r="N494" s="2">
        <v>238.53</v>
      </c>
      <c r="O494" s="2">
        <v>318.05</v>
      </c>
      <c r="P494" s="2">
        <f t="shared" si="44"/>
        <v>-0.11561485054070461</v>
      </c>
      <c r="Q494" s="2">
        <f t="shared" si="45"/>
        <v>0.759082611469869</v>
      </c>
      <c r="R494" s="2">
        <f t="shared" si="46"/>
        <v>0.19812313566277792</v>
      </c>
      <c r="S494">
        <f t="shared" si="47"/>
        <v>0.36850765806127073</v>
      </c>
      <c r="U494">
        <v>9.7392067923822356</v>
      </c>
    </row>
    <row r="495" spans="1:21" ht="13.9" x14ac:dyDescent="0.3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42"/>
        <v>0.76184026280523554</v>
      </c>
      <c r="I495" s="2">
        <f t="shared" si="43"/>
        <v>0.6452033777986752</v>
      </c>
      <c r="J495" s="2">
        <v>0.33</v>
      </c>
      <c r="K495" s="2">
        <v>0.24</v>
      </c>
      <c r="L495" s="2">
        <v>0</v>
      </c>
      <c r="M495" s="2">
        <v>0</v>
      </c>
      <c r="N495" s="2">
        <v>0</v>
      </c>
      <c r="O495" s="2">
        <v>0.11</v>
      </c>
      <c r="P495" s="2">
        <f t="shared" si="44"/>
        <v>2.3734583955274449</v>
      </c>
      <c r="Q495" s="2">
        <f t="shared" si="45"/>
        <v>0.21831936970950383</v>
      </c>
      <c r="R495" s="2">
        <f t="shared" si="46"/>
        <v>1.6116181327222092</v>
      </c>
      <c r="S495">
        <f t="shared" si="47"/>
        <v>3.115427880889277</v>
      </c>
      <c r="U495">
        <v>-0.81096617560998285</v>
      </c>
    </row>
    <row r="496" spans="1:21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42"/>
        <v>#DIV/0!</v>
      </c>
      <c r="I496" s="2" t="e">
        <f t="shared" si="43"/>
        <v>#DIV/0!</v>
      </c>
      <c r="J496" s="2">
        <v>0</v>
      </c>
      <c r="K496" s="2">
        <v>0</v>
      </c>
      <c r="L496" s="2">
        <v>0</v>
      </c>
      <c r="M496" s="2">
        <v>0.2</v>
      </c>
      <c r="N496" s="2">
        <v>0</v>
      </c>
      <c r="O496" s="2">
        <v>0</v>
      </c>
      <c r="P496" s="2" t="e">
        <f t="shared" si="44"/>
        <v>#NUM!</v>
      </c>
      <c r="Q496" s="2">
        <f t="shared" si="45"/>
        <v>0.37390096630005903</v>
      </c>
      <c r="R496" s="2" t="e">
        <f t="shared" si="46"/>
        <v>#NUM!</v>
      </c>
      <c r="S496" t="e">
        <f t="shared" si="47"/>
        <v>#NUM!</v>
      </c>
      <c r="U496" t="e">
        <v>#NUM!</v>
      </c>
    </row>
    <row r="497" spans="1:21" ht="13.9" x14ac:dyDescent="0.3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42"/>
        <v>0.89308479608348801</v>
      </c>
      <c r="I497" s="2">
        <f t="shared" si="43"/>
        <v>0.68026444900413718</v>
      </c>
      <c r="J497" s="2">
        <v>0</v>
      </c>
      <c r="K497" s="2">
        <v>1.95</v>
      </c>
      <c r="L497" s="2">
        <v>0.18</v>
      </c>
      <c r="M497" s="2">
        <v>0</v>
      </c>
      <c r="N497" s="2">
        <v>0</v>
      </c>
      <c r="O497" s="2">
        <v>0</v>
      </c>
      <c r="P497" s="2" t="e">
        <f t="shared" si="44"/>
        <v>#DIV/0!</v>
      </c>
      <c r="Q497" s="2">
        <f t="shared" si="45"/>
        <v>0.31748324238639619</v>
      </c>
      <c r="R497" s="2" t="e">
        <f t="shared" si="46"/>
        <v>#DIV/0!</v>
      </c>
      <c r="S497" t="e">
        <f t="shared" si="47"/>
        <v>#DIV/0!</v>
      </c>
      <c r="U497">
        <v>1.0908534304511135</v>
      </c>
    </row>
    <row r="498" spans="1:21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42"/>
        <v>#DIV/0!</v>
      </c>
      <c r="I498" s="2" t="e">
        <f t="shared" si="43"/>
        <v>#DIV/0!</v>
      </c>
      <c r="J498" s="2">
        <v>0</v>
      </c>
      <c r="K498" s="2">
        <v>0</v>
      </c>
      <c r="L498" s="2">
        <v>0</v>
      </c>
      <c r="M498" s="2">
        <v>0.39</v>
      </c>
      <c r="N498" s="2">
        <v>0</v>
      </c>
      <c r="O498" s="2">
        <v>0</v>
      </c>
      <c r="P498" s="2" t="e">
        <f t="shared" si="44"/>
        <v>#NUM!</v>
      </c>
      <c r="Q498" s="2">
        <f t="shared" si="45"/>
        <v>0.37390096630005903</v>
      </c>
      <c r="R498" s="2" t="e">
        <f t="shared" si="46"/>
        <v>#NUM!</v>
      </c>
      <c r="S498" t="e">
        <f t="shared" si="47"/>
        <v>#NUM!</v>
      </c>
      <c r="U498" t="e">
        <v>#NUM!</v>
      </c>
    </row>
    <row r="499" spans="1:21" ht="13.9" x14ac:dyDescent="0.3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42"/>
        <v>1.9402601116813927</v>
      </c>
      <c r="I499" s="2">
        <f t="shared" si="43"/>
        <v>0.24687682142932413</v>
      </c>
      <c r="J499" s="2">
        <v>0.33</v>
      </c>
      <c r="K499" s="2">
        <v>4.1500000000000004</v>
      </c>
      <c r="L499" s="2">
        <v>8.01</v>
      </c>
      <c r="M499" s="2">
        <v>1.78</v>
      </c>
      <c r="N499" s="2">
        <v>0.53</v>
      </c>
      <c r="O499" s="2">
        <v>1.48</v>
      </c>
      <c r="P499" s="2">
        <f t="shared" si="44"/>
        <v>1.7205037234368656</v>
      </c>
      <c r="Q499" s="2">
        <f t="shared" si="45"/>
        <v>0.26671364012844462</v>
      </c>
      <c r="R499" s="2">
        <f t="shared" si="46"/>
        <v>-0.21975638824452703</v>
      </c>
      <c r="S499">
        <f t="shared" si="47"/>
        <v>0.88673869708423259</v>
      </c>
      <c r="U499">
        <v>3.6427015718332325</v>
      </c>
    </row>
    <row r="500" spans="1:21" ht="13.9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1.74</v>
      </c>
      <c r="O500" s="2">
        <v>0</v>
      </c>
      <c r="P500" s="2" t="e">
        <f t="shared" si="44"/>
        <v>#NUM!</v>
      </c>
      <c r="Q500" s="2">
        <f t="shared" si="45"/>
        <v>0.37390096630005903</v>
      </c>
      <c r="R500" s="2" t="e">
        <f t="shared" si="46"/>
        <v>#NUM!</v>
      </c>
      <c r="S500" t="e">
        <f t="shared" si="47"/>
        <v>#NUM!</v>
      </c>
      <c r="U500" t="e">
        <v>#NUM!</v>
      </c>
    </row>
    <row r="501" spans="1:21" ht="13.9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2.0099999999999998</v>
      </c>
      <c r="O501" s="2">
        <v>0</v>
      </c>
      <c r="P501" s="2" t="e">
        <f t="shared" si="44"/>
        <v>#NUM!</v>
      </c>
      <c r="Q501" s="2">
        <f t="shared" si="45"/>
        <v>0.37390096630005903</v>
      </c>
      <c r="R501" s="2" t="e">
        <f t="shared" si="46"/>
        <v>#NUM!</v>
      </c>
      <c r="S501" t="e">
        <f t="shared" si="47"/>
        <v>#NUM!</v>
      </c>
      <c r="U501" t="e">
        <v>#NUM!</v>
      </c>
    </row>
    <row r="502" spans="1:21" ht="13.9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1.74</v>
      </c>
      <c r="O502" s="2">
        <v>0</v>
      </c>
      <c r="P502" s="2" t="e">
        <f t="shared" si="44"/>
        <v>#NUM!</v>
      </c>
      <c r="Q502" s="2">
        <f t="shared" si="45"/>
        <v>0.37390096630005903</v>
      </c>
      <c r="R502" s="2" t="e">
        <f t="shared" si="46"/>
        <v>#NUM!</v>
      </c>
      <c r="S502" t="e">
        <f t="shared" si="47"/>
        <v>#NUM!</v>
      </c>
      <c r="U502" t="e">
        <v>#NUM!</v>
      </c>
    </row>
    <row r="503" spans="1:21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42"/>
        <v>#DIV/0!</v>
      </c>
      <c r="I503" s="2" t="e">
        <f t="shared" si="43"/>
        <v>#DIV/0!</v>
      </c>
      <c r="J503" s="2">
        <v>0</v>
      </c>
      <c r="K503" s="2">
        <v>0</v>
      </c>
      <c r="L503" s="2">
        <v>0</v>
      </c>
      <c r="M503" s="2">
        <v>0.2</v>
      </c>
      <c r="N503" s="2">
        <v>0</v>
      </c>
      <c r="O503" s="2">
        <v>0</v>
      </c>
      <c r="P503" s="2" t="e">
        <f t="shared" si="44"/>
        <v>#NUM!</v>
      </c>
      <c r="Q503" s="2">
        <f t="shared" si="45"/>
        <v>0.37390096630005903</v>
      </c>
      <c r="R503" s="2" t="e">
        <f t="shared" si="46"/>
        <v>#NUM!</v>
      </c>
      <c r="S503" t="e">
        <f t="shared" si="47"/>
        <v>#NUM!</v>
      </c>
      <c r="U503" t="e">
        <v>#NUM!</v>
      </c>
    </row>
    <row r="504" spans="1:21" ht="13.9" x14ac:dyDescent="0.3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42"/>
        <v>#NUM!</v>
      </c>
      <c r="I504" s="2">
        <f t="shared" si="43"/>
        <v>0.37390096630005903</v>
      </c>
      <c r="J504" s="2">
        <v>13.84</v>
      </c>
      <c r="K504" s="2">
        <v>0</v>
      </c>
      <c r="L504" s="2">
        <v>0</v>
      </c>
      <c r="M504" s="2">
        <v>0</v>
      </c>
      <c r="N504" s="2">
        <v>0</v>
      </c>
      <c r="O504" s="2">
        <v>0.53</v>
      </c>
      <c r="P504" s="2">
        <f t="shared" si="44"/>
        <v>4.7067077730735258</v>
      </c>
      <c r="Q504" s="2">
        <f t="shared" si="45"/>
        <v>0.39097240983650011</v>
      </c>
      <c r="R504" s="2" t="e">
        <f t="shared" si="46"/>
        <v>#NUM!</v>
      </c>
      <c r="S504" t="e">
        <f t="shared" si="47"/>
        <v>#NUM!</v>
      </c>
      <c r="U504">
        <v>3.7907720378620002</v>
      </c>
    </row>
    <row r="505" spans="1:21" ht="13.9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42"/>
        <v>#NUM!</v>
      </c>
      <c r="I505" s="2">
        <f t="shared" si="43"/>
        <v>0.37390096630005903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 t="e">
        <f t="shared" si="44"/>
        <v>#DIV/0!</v>
      </c>
      <c r="Q505" s="2" t="e">
        <f t="shared" si="45"/>
        <v>#DIV/0!</v>
      </c>
      <c r="R505" s="2" t="e">
        <f t="shared" si="46"/>
        <v>#DIV/0!</v>
      </c>
      <c r="S505" t="e">
        <f t="shared" si="47"/>
        <v>#DIV/0!</v>
      </c>
      <c r="U505" t="e">
        <v>#NUM!</v>
      </c>
    </row>
    <row r="506" spans="1:21" ht="13.9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42"/>
        <v>#NUM!</v>
      </c>
      <c r="I506" s="2">
        <f t="shared" si="43"/>
        <v>0.37390096630005903</v>
      </c>
      <c r="J506" s="2">
        <v>0</v>
      </c>
      <c r="K506" s="2">
        <v>0</v>
      </c>
      <c r="L506" s="2">
        <v>0</v>
      </c>
      <c r="M506" s="2">
        <v>1.0900000000000001</v>
      </c>
      <c r="N506" s="2">
        <v>0.53</v>
      </c>
      <c r="O506" s="2">
        <v>0</v>
      </c>
      <c r="P506" s="2" t="e">
        <f t="shared" si="44"/>
        <v>#NUM!</v>
      </c>
      <c r="Q506" s="2">
        <f t="shared" si="45"/>
        <v>0.16131413390526517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ht="13.9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42"/>
        <v>#NUM!</v>
      </c>
      <c r="I507" s="2">
        <f t="shared" si="43"/>
        <v>0.37390096630005903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ht="13.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 t="e">
        <f t="shared" si="45"/>
        <v>#DIV/0!</v>
      </c>
      <c r="R508" s="2" t="e">
        <f t="shared" si="46"/>
        <v>#DIV/0!</v>
      </c>
      <c r="S508" t="e">
        <f t="shared" si="47"/>
        <v>#DIV/0!</v>
      </c>
      <c r="U508" t="e">
        <v>#NUM!</v>
      </c>
    </row>
    <row r="509" spans="1:21" ht="13.9" x14ac:dyDescent="0.3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42"/>
        <v>-1.2901735743706049</v>
      </c>
      <c r="I509" s="2">
        <f t="shared" si="43"/>
        <v>0.27105885481126196</v>
      </c>
      <c r="J509" s="2">
        <v>26.04</v>
      </c>
      <c r="K509" s="2">
        <v>16.350000000000001</v>
      </c>
      <c r="L509" s="2">
        <v>0.18</v>
      </c>
      <c r="M509" s="2">
        <v>7.4</v>
      </c>
      <c r="N509" s="2">
        <v>6.28</v>
      </c>
      <c r="O509" s="2">
        <v>5.27</v>
      </c>
      <c r="P509" s="2">
        <f t="shared" si="44"/>
        <v>1.1676392417232537</v>
      </c>
      <c r="Q509" s="2">
        <f t="shared" si="45"/>
        <v>0.35692150784248716</v>
      </c>
      <c r="R509" s="2">
        <f t="shared" si="46"/>
        <v>2.4578128160938588</v>
      </c>
      <c r="S509">
        <f t="shared" si="47"/>
        <v>-0.90502492448961525</v>
      </c>
      <c r="U509">
        <v>5.411765185006983</v>
      </c>
    </row>
    <row r="510" spans="1:21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42"/>
        <v>#DIV/0!</v>
      </c>
      <c r="I510" s="2" t="e">
        <f t="shared" si="43"/>
        <v>#DIV/0!</v>
      </c>
      <c r="J510" s="2">
        <v>0</v>
      </c>
      <c r="K510" s="2">
        <v>0</v>
      </c>
      <c r="L510" s="2">
        <v>0</v>
      </c>
      <c r="M510" s="2">
        <v>1.0900000000000001</v>
      </c>
      <c r="N510" s="2">
        <v>0.4</v>
      </c>
      <c r="O510" s="2">
        <v>0</v>
      </c>
      <c r="P510" s="2" t="e">
        <f t="shared" si="44"/>
        <v>#NUM!</v>
      </c>
      <c r="Q510" s="2">
        <f t="shared" si="45"/>
        <v>0.19374132372085301</v>
      </c>
      <c r="R510" s="2" t="e">
        <f t="shared" si="46"/>
        <v>#NUM!</v>
      </c>
      <c r="S510" t="e">
        <f t="shared" si="47"/>
        <v>#NUM!</v>
      </c>
      <c r="U510" t="e">
        <v>#NUM!</v>
      </c>
    </row>
    <row r="511" spans="1:21" ht="13.9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42"/>
        <v>#NUM!</v>
      </c>
      <c r="I511" s="2">
        <f t="shared" si="43"/>
        <v>0.37390096630005903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42"/>
        <v>#DIV/0!</v>
      </c>
      <c r="I512" s="2" t="e">
        <f t="shared" si="43"/>
        <v>#DIV/0!</v>
      </c>
      <c r="J512" s="2">
        <v>0</v>
      </c>
      <c r="K512" s="2">
        <v>0</v>
      </c>
      <c r="L512" s="2">
        <v>0</v>
      </c>
      <c r="M512" s="2">
        <v>0</v>
      </c>
      <c r="N512" s="2">
        <v>1.2</v>
      </c>
      <c r="O512" s="2">
        <v>0</v>
      </c>
      <c r="P512" s="2" t="e">
        <f t="shared" si="44"/>
        <v>#NUM!</v>
      </c>
      <c r="Q512" s="2">
        <f t="shared" si="45"/>
        <v>0.37390096630005903</v>
      </c>
      <c r="R512" s="2" t="e">
        <f t="shared" si="46"/>
        <v>#NUM!</v>
      </c>
      <c r="S512" t="e">
        <f t="shared" si="47"/>
        <v>#NUM!</v>
      </c>
      <c r="U512" t="e">
        <v>#NUM!</v>
      </c>
    </row>
    <row r="513" spans="1:21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 t="e">
        <f t="shared" si="44"/>
        <v>#DIV/0!</v>
      </c>
      <c r="Q513" s="2" t="e">
        <f t="shared" si="45"/>
        <v>#DIV/0!</v>
      </c>
      <c r="R513" s="2" t="e">
        <f t="shared" si="46"/>
        <v>#DIV/0!</v>
      </c>
      <c r="S513" t="e">
        <f t="shared" si="47"/>
        <v>#DIV/0!</v>
      </c>
      <c r="U513" t="e">
        <v>#NUM!</v>
      </c>
    </row>
    <row r="514" spans="1:21" ht="13.9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0.12350156134849666</v>
      </c>
      <c r="J514" s="2">
        <v>0</v>
      </c>
      <c r="K514" s="2">
        <v>0</v>
      </c>
      <c r="L514" s="2">
        <v>0</v>
      </c>
      <c r="M514" s="2">
        <v>0.59</v>
      </c>
      <c r="N514" s="2">
        <v>0</v>
      </c>
      <c r="O514" s="2">
        <v>0.74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0.12115128356027027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ht="13.9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48"/>
        <v>#NUM!</v>
      </c>
      <c r="I515" s="2">
        <f t="shared" si="49"/>
        <v>0.37390096630005903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ht="13.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 t="e">
        <f t="shared" si="51"/>
        <v>#DIV/0!</v>
      </c>
      <c r="R516" s="2" t="e">
        <f t="shared" si="52"/>
        <v>#DIV/0!</v>
      </c>
      <c r="S516" t="e">
        <f t="shared" ref="S516:S579" si="53">P516/H516</f>
        <v>#DIV/0!</v>
      </c>
      <c r="U516" t="e">
        <v>#NUM!</v>
      </c>
    </row>
    <row r="517" spans="1:21" ht="13.9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48"/>
        <v>#NUM!</v>
      </c>
      <c r="I517" s="2">
        <f t="shared" si="49"/>
        <v>0.14478343417203191</v>
      </c>
      <c r="J517" s="2">
        <v>0</v>
      </c>
      <c r="K517" s="2">
        <v>0</v>
      </c>
      <c r="L517" s="2">
        <v>0</v>
      </c>
      <c r="M517" s="2">
        <v>0.69</v>
      </c>
      <c r="N517" s="2">
        <v>1.74</v>
      </c>
      <c r="O517" s="2">
        <v>0.53</v>
      </c>
      <c r="P517" s="2" t="e">
        <f t="shared" si="50"/>
        <v>#NUM!</v>
      </c>
      <c r="Q517" s="2">
        <f t="shared" si="51"/>
        <v>6.0048469433518471E-2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ht="13.9" x14ac:dyDescent="0.3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48"/>
        <v>3.7474705418662962E-2</v>
      </c>
      <c r="I518" s="2">
        <f t="shared" si="49"/>
        <v>0.98622732178258854</v>
      </c>
      <c r="J518" s="2">
        <v>0.33</v>
      </c>
      <c r="K518" s="2">
        <v>0</v>
      </c>
      <c r="L518" s="2">
        <v>0</v>
      </c>
      <c r="M518" s="2">
        <v>0</v>
      </c>
      <c r="N518" s="2">
        <v>0.53</v>
      </c>
      <c r="O518" s="2">
        <v>0</v>
      </c>
      <c r="P518" s="2">
        <f t="shared" si="50"/>
        <v>-0.68352633520474582</v>
      </c>
      <c r="Q518" s="2">
        <f t="shared" si="51"/>
        <v>0.76474776731945726</v>
      </c>
      <c r="R518" s="2">
        <f t="shared" si="52"/>
        <v>-0.72100104062340875</v>
      </c>
      <c r="S518">
        <f t="shared" si="53"/>
        <v>-18.239672001913576</v>
      </c>
      <c r="U518">
        <v>-1.5994620704162712</v>
      </c>
    </row>
    <row r="519" spans="1:21" ht="13.9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0.53</v>
      </c>
      <c r="O519" s="2">
        <v>0</v>
      </c>
      <c r="P519" s="2" t="e">
        <f t="shared" si="50"/>
        <v>#NUM!</v>
      </c>
      <c r="Q519" s="2">
        <f t="shared" si="51"/>
        <v>0.37390096630005903</v>
      </c>
      <c r="R519" s="2" t="e">
        <f t="shared" si="52"/>
        <v>#NUM!</v>
      </c>
      <c r="S519" t="e">
        <f t="shared" si="53"/>
        <v>#NUM!</v>
      </c>
      <c r="U519" t="e">
        <v>#NUM!</v>
      </c>
    </row>
    <row r="520" spans="1:21" ht="13.9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48"/>
        <v>#DIV/0!</v>
      </c>
      <c r="I520" s="2" t="e">
        <f t="shared" si="49"/>
        <v>#DIV/0!</v>
      </c>
      <c r="J520" s="2">
        <v>0</v>
      </c>
      <c r="K520" s="2">
        <v>0</v>
      </c>
      <c r="L520" s="2">
        <v>9.2899999999999991</v>
      </c>
      <c r="M520" s="2">
        <v>2.86</v>
      </c>
      <c r="N520" s="2">
        <v>0.8</v>
      </c>
      <c r="O520" s="2">
        <v>0.21</v>
      </c>
      <c r="P520" s="2">
        <f t="shared" si="50"/>
        <v>1.2633450302382425</v>
      </c>
      <c r="Q520" s="2">
        <f t="shared" si="51"/>
        <v>0.60242147320044404</v>
      </c>
      <c r="R520" s="2" t="e">
        <f t="shared" si="52"/>
        <v>#DIV/0!</v>
      </c>
      <c r="S520" t="e">
        <f t="shared" si="53"/>
        <v>#DIV/0!</v>
      </c>
      <c r="U520">
        <v>3.2156785966079284</v>
      </c>
    </row>
    <row r="521" spans="1:21" ht="13.9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48"/>
        <v>#NUM!</v>
      </c>
      <c r="I521" s="2">
        <f t="shared" si="49"/>
        <v>0.37390096630005903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 t="e">
        <f t="shared" si="50"/>
        <v>#DIV/0!</v>
      </c>
      <c r="Q521" s="2" t="e">
        <f t="shared" si="51"/>
        <v>#DIV/0!</v>
      </c>
      <c r="R521" s="2" t="e">
        <f t="shared" si="52"/>
        <v>#DIV/0!</v>
      </c>
      <c r="S521" t="e">
        <f t="shared" si="53"/>
        <v>#DIV/0!</v>
      </c>
      <c r="U521" t="e">
        <v>#NUM!</v>
      </c>
    </row>
    <row r="522" spans="1:21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48"/>
        <v>#DIV/0!</v>
      </c>
      <c r="I522" s="2" t="e">
        <f t="shared" si="49"/>
        <v>#DIV/0!</v>
      </c>
      <c r="J522" s="2">
        <v>0</v>
      </c>
      <c r="K522" s="2">
        <v>0</v>
      </c>
      <c r="L522" s="2">
        <v>0</v>
      </c>
      <c r="M522" s="2">
        <v>0</v>
      </c>
      <c r="N522" s="2">
        <v>1.07</v>
      </c>
      <c r="O522" s="2">
        <v>0.11</v>
      </c>
      <c r="P522" s="2" t="e">
        <f t="shared" si="50"/>
        <v>#NUM!</v>
      </c>
      <c r="Q522" s="2">
        <f t="shared" si="51"/>
        <v>0.31148793307493639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ht="13.9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0.21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ht="13.9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48"/>
        <v>#NUM!</v>
      </c>
      <c r="I524" s="2">
        <f t="shared" si="49"/>
        <v>0.37390096630005903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ht="13.9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48"/>
        <v>#NUM!</v>
      </c>
      <c r="I525" s="2">
        <f t="shared" si="49"/>
        <v>0.37390096630005903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ht="13.9" x14ac:dyDescent="0.3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48"/>
        <v>#NUM!</v>
      </c>
      <c r="I526" s="2">
        <f t="shared" si="49"/>
        <v>3.9263743402019269E-2</v>
      </c>
      <c r="J526" s="2">
        <v>5.6</v>
      </c>
      <c r="K526" s="2">
        <v>0</v>
      </c>
      <c r="L526" s="2">
        <v>0</v>
      </c>
      <c r="M526" s="2">
        <v>1.48</v>
      </c>
      <c r="N526" s="2">
        <v>2.14</v>
      </c>
      <c r="O526" s="2">
        <v>1.48</v>
      </c>
      <c r="P526" s="2">
        <f t="shared" si="50"/>
        <v>0.13492958008610864</v>
      </c>
      <c r="Q526" s="2">
        <f t="shared" si="51"/>
        <v>0.93360471551484903</v>
      </c>
      <c r="R526" s="2" t="e">
        <f t="shared" si="52"/>
        <v>#NUM!</v>
      </c>
      <c r="S526" t="e">
        <f t="shared" si="53"/>
        <v>#NUM!</v>
      </c>
      <c r="U526">
        <v>2.485426827170242</v>
      </c>
    </row>
    <row r="527" spans="1:21" ht="13.9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48"/>
        <v>#NUM!</v>
      </c>
      <c r="I527" s="2">
        <f t="shared" si="49"/>
        <v>0.32037492858293415</v>
      </c>
      <c r="J527" s="2">
        <v>0</v>
      </c>
      <c r="K527" s="2">
        <v>0</v>
      </c>
      <c r="L527" s="2">
        <v>0</v>
      </c>
      <c r="M527" s="2">
        <v>0.39</v>
      </c>
      <c r="N527" s="2">
        <v>0</v>
      </c>
      <c r="O527" s="2">
        <v>0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ht="13.9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48"/>
        <v>#NUM!</v>
      </c>
      <c r="I528" s="2">
        <f t="shared" si="49"/>
        <v>0.25714492104278447</v>
      </c>
      <c r="J528" s="2">
        <v>0</v>
      </c>
      <c r="K528" s="2">
        <v>0</v>
      </c>
      <c r="L528" s="2">
        <v>0</v>
      </c>
      <c r="M528" s="2">
        <v>1.58</v>
      </c>
      <c r="N528" s="2">
        <v>0.13</v>
      </c>
      <c r="O528" s="2">
        <v>0.53</v>
      </c>
      <c r="P528" s="2" t="e">
        <f t="shared" si="50"/>
        <v>#NUM!</v>
      </c>
      <c r="Q528" s="2">
        <f t="shared" si="51"/>
        <v>0.15925657415627797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ht="13.9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48"/>
        <v>#NUM!</v>
      </c>
      <c r="I529" s="2">
        <f t="shared" si="49"/>
        <v>0.14535733135441484</v>
      </c>
      <c r="J529" s="2">
        <v>0</v>
      </c>
      <c r="K529" s="2">
        <v>0</v>
      </c>
      <c r="L529" s="2">
        <v>0</v>
      </c>
      <c r="M529" s="2">
        <v>0</v>
      </c>
      <c r="N529" s="2">
        <v>1.2</v>
      </c>
      <c r="O529" s="2">
        <v>0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 t="e">
        <f t="shared" si="50"/>
        <v>#DIV/0!</v>
      </c>
      <c r="Q530" s="2" t="e">
        <f t="shared" si="51"/>
        <v>#DIV/0!</v>
      </c>
      <c r="R530" s="2" t="e">
        <f t="shared" si="52"/>
        <v>#DIV/0!</v>
      </c>
      <c r="S530" t="e">
        <f t="shared" si="53"/>
        <v>#DIV/0!</v>
      </c>
      <c r="U530" t="e">
        <v>#NUM!</v>
      </c>
    </row>
    <row r="531" spans="1:21" ht="13.9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48"/>
        <v>#NUM!</v>
      </c>
      <c r="I531" s="2">
        <f t="shared" si="49"/>
        <v>0.37390096630005903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 t="e">
        <f t="shared" si="50"/>
        <v>#DIV/0!</v>
      </c>
      <c r="Q531" s="2" t="e">
        <f t="shared" si="51"/>
        <v>#DIV/0!</v>
      </c>
      <c r="R531" s="2" t="e">
        <f t="shared" si="52"/>
        <v>#DIV/0!</v>
      </c>
      <c r="S531" t="e">
        <f t="shared" si="53"/>
        <v>#DIV/0!</v>
      </c>
      <c r="U531" t="e">
        <v>#NUM!</v>
      </c>
    </row>
    <row r="532" spans="1:21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48"/>
        <v>#DIV/0!</v>
      </c>
      <c r="I532" s="2" t="e">
        <f t="shared" si="49"/>
        <v>#DIV/0!</v>
      </c>
      <c r="J532" s="2">
        <v>0</v>
      </c>
      <c r="K532" s="2">
        <v>0</v>
      </c>
      <c r="L532" s="2">
        <v>0</v>
      </c>
      <c r="M532" s="2">
        <v>0</v>
      </c>
      <c r="N532" s="2">
        <v>0.53</v>
      </c>
      <c r="O532" s="2">
        <v>0</v>
      </c>
      <c r="P532" s="2" t="e">
        <f t="shared" si="50"/>
        <v>#NUM!</v>
      </c>
      <c r="Q532" s="2">
        <f t="shared" si="51"/>
        <v>0.37390096630005903</v>
      </c>
      <c r="R532" s="2" t="e">
        <f t="shared" si="52"/>
        <v>#NUM!</v>
      </c>
      <c r="S532" t="e">
        <f t="shared" si="53"/>
        <v>#NUM!</v>
      </c>
      <c r="U532" t="e">
        <v>#NUM!</v>
      </c>
    </row>
    <row r="533" spans="1:21" ht="13.9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48"/>
        <v>#NUM!</v>
      </c>
      <c r="I533" s="2">
        <f t="shared" si="49"/>
        <v>0.17836869823871432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0.11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ht="13.9" x14ac:dyDescent="0.3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48"/>
        <v>-0.47778300078825597</v>
      </c>
      <c r="I534" s="2">
        <f t="shared" si="49"/>
        <v>0.49028762453345737</v>
      </c>
      <c r="J534" s="2">
        <v>30.98</v>
      </c>
      <c r="K534" s="2">
        <v>30.25</v>
      </c>
      <c r="L534" s="2">
        <v>14.57</v>
      </c>
      <c r="M534" s="2">
        <v>34.65</v>
      </c>
      <c r="N534" s="2">
        <v>26.47</v>
      </c>
      <c r="O534" s="2">
        <v>35.200000000000003</v>
      </c>
      <c r="P534" s="2">
        <f t="shared" si="50"/>
        <v>-0.34563754370124777</v>
      </c>
      <c r="Q534" s="2">
        <f t="shared" si="51"/>
        <v>0.32151438002986382</v>
      </c>
      <c r="R534" s="2">
        <f t="shared" si="52"/>
        <v>0.1321454570870082</v>
      </c>
      <c r="S534">
        <f t="shared" si="53"/>
        <v>0.7234195087121309</v>
      </c>
      <c r="U534">
        <v>6.2441259432837297</v>
      </c>
    </row>
    <row r="535" spans="1:21" ht="13.9" x14ac:dyDescent="0.3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48"/>
        <v>#NUM!</v>
      </c>
      <c r="I535" s="2">
        <f t="shared" si="49"/>
        <v>0.13594178198946269</v>
      </c>
      <c r="J535" s="2">
        <v>0</v>
      </c>
      <c r="K535" s="2">
        <v>0.24</v>
      </c>
      <c r="L535" s="2">
        <v>0</v>
      </c>
      <c r="M535" s="2">
        <v>1.78</v>
      </c>
      <c r="N535" s="2">
        <v>1.2</v>
      </c>
      <c r="O535" s="2">
        <v>0</v>
      </c>
      <c r="P535" s="2">
        <f t="shared" si="50"/>
        <v>-3.6342060197410055</v>
      </c>
      <c r="Q535" s="2">
        <f t="shared" si="51"/>
        <v>0.16005792108507888</v>
      </c>
      <c r="R535" s="2" t="e">
        <f t="shared" si="52"/>
        <v>#NUM!</v>
      </c>
      <c r="S535" t="e">
        <f t="shared" si="53"/>
        <v>#NUM!</v>
      </c>
      <c r="U535">
        <v>-2.0588936890535687</v>
      </c>
    </row>
    <row r="536" spans="1:21" ht="13.9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48"/>
        <v>#NUM!</v>
      </c>
      <c r="I536" s="2">
        <f t="shared" si="49"/>
        <v>0.37390096630005903</v>
      </c>
      <c r="J536" s="2">
        <v>0</v>
      </c>
      <c r="K536" s="2">
        <v>0</v>
      </c>
      <c r="L536" s="2">
        <v>0</v>
      </c>
      <c r="M536" s="2">
        <v>0.1</v>
      </c>
      <c r="N536" s="2">
        <v>0</v>
      </c>
      <c r="O536" s="2">
        <v>0.32</v>
      </c>
      <c r="P536" s="2" t="e">
        <f t="shared" si="50"/>
        <v>#NUM!</v>
      </c>
      <c r="Q536" s="2">
        <f t="shared" si="51"/>
        <v>0.21266625296557221</v>
      </c>
      <c r="R536" s="2" t="e">
        <f t="shared" si="52"/>
        <v>#NUM!</v>
      </c>
      <c r="S536" t="e">
        <f t="shared" si="53"/>
        <v>#NUM!</v>
      </c>
      <c r="U536" t="e">
        <v>#NUM!</v>
      </c>
    </row>
    <row r="537" spans="1:21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48"/>
        <v>#DIV/0!</v>
      </c>
      <c r="I537" s="2" t="e">
        <f t="shared" si="49"/>
        <v>#DIV/0!</v>
      </c>
      <c r="J537" s="2">
        <v>0</v>
      </c>
      <c r="K537" s="2">
        <v>0</v>
      </c>
      <c r="L537" s="2">
        <v>0</v>
      </c>
      <c r="M537" s="2">
        <v>1.18</v>
      </c>
      <c r="N537" s="2">
        <v>0</v>
      </c>
      <c r="O537" s="2">
        <v>0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ht="13.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 t="e">
        <f t="shared" si="51"/>
        <v>#DIV/0!</v>
      </c>
      <c r="R538" s="2" t="e">
        <f t="shared" si="52"/>
        <v>#DIV/0!</v>
      </c>
      <c r="S538" t="e">
        <f t="shared" si="53"/>
        <v>#DIV/0!</v>
      </c>
      <c r="U538" t="e">
        <v>#NUM!</v>
      </c>
    </row>
    <row r="539" spans="1:21" ht="13.9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0.13</v>
      </c>
      <c r="O539" s="2">
        <v>0</v>
      </c>
      <c r="P539" s="2" t="e">
        <f t="shared" si="50"/>
        <v>#NUM!</v>
      </c>
      <c r="Q539" s="2">
        <f t="shared" si="51"/>
        <v>0.37390096630005903</v>
      </c>
      <c r="R539" s="2" t="e">
        <f t="shared" si="52"/>
        <v>#NUM!</v>
      </c>
      <c r="S539" t="e">
        <f t="shared" si="53"/>
        <v>#NUM!</v>
      </c>
      <c r="U539" t="e">
        <v>#NUM!</v>
      </c>
    </row>
    <row r="540" spans="1:21" ht="13.9" x14ac:dyDescent="0.3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48"/>
        <v>2.7884958948062879</v>
      </c>
      <c r="I540" s="2">
        <f t="shared" si="49"/>
        <v>0.44497371456842177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 t="e">
        <f t="shared" si="50"/>
        <v>#DIV/0!</v>
      </c>
      <c r="Q540" s="2" t="e">
        <f t="shared" si="51"/>
        <v>#DIV/0!</v>
      </c>
      <c r="R540" s="2" t="e">
        <f t="shared" si="52"/>
        <v>#DIV/0!</v>
      </c>
      <c r="S540" t="e">
        <f t="shared" si="53"/>
        <v>#DIV/0!</v>
      </c>
      <c r="U540" t="e">
        <v>#NUM!</v>
      </c>
    </row>
    <row r="541" spans="1:21" ht="13.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 t="e">
        <f t="shared" si="51"/>
        <v>#DIV/0!</v>
      </c>
      <c r="R541" s="2" t="e">
        <f t="shared" si="52"/>
        <v>#DIV/0!</v>
      </c>
      <c r="S541" t="e">
        <f t="shared" si="53"/>
        <v>#DIV/0!</v>
      </c>
      <c r="U541" t="e">
        <v>#NUM!</v>
      </c>
    </row>
    <row r="542" spans="1:21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48"/>
        <v>#DIV/0!</v>
      </c>
      <c r="I542" s="2" t="e">
        <f t="shared" si="49"/>
        <v>#DIV/0!</v>
      </c>
      <c r="J542" s="2">
        <v>0</v>
      </c>
      <c r="K542" s="2">
        <v>0</v>
      </c>
      <c r="L542" s="2">
        <v>0</v>
      </c>
      <c r="M542" s="2">
        <v>0.2</v>
      </c>
      <c r="N542" s="2">
        <v>0</v>
      </c>
      <c r="O542" s="2">
        <v>0</v>
      </c>
      <c r="P542" s="2" t="e">
        <f t="shared" si="50"/>
        <v>#NUM!</v>
      </c>
      <c r="Q542" s="2">
        <f t="shared" si="51"/>
        <v>0.37390096630005903</v>
      </c>
      <c r="R542" s="2" t="e">
        <f t="shared" si="52"/>
        <v>#NUM!</v>
      </c>
      <c r="S542" t="e">
        <f t="shared" si="53"/>
        <v>#NUM!</v>
      </c>
      <c r="U542" t="e">
        <v>#NUM!</v>
      </c>
    </row>
    <row r="543" spans="1:21" ht="13.9" x14ac:dyDescent="0.3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48"/>
        <v>1.0654230749980482</v>
      </c>
      <c r="I543" s="2">
        <f t="shared" si="49"/>
        <v>0.63394441214569874</v>
      </c>
      <c r="J543" s="2">
        <v>0</v>
      </c>
      <c r="K543" s="2">
        <v>0</v>
      </c>
      <c r="L543" s="2">
        <v>0</v>
      </c>
      <c r="M543" s="2">
        <v>0.69</v>
      </c>
      <c r="N543" s="2">
        <v>0.27</v>
      </c>
      <c r="O543" s="2">
        <v>0</v>
      </c>
      <c r="P543" s="2" t="e">
        <f t="shared" si="50"/>
        <v>#NUM!</v>
      </c>
      <c r="Q543" s="2">
        <f t="shared" si="51"/>
        <v>0.1861530590266964</v>
      </c>
      <c r="R543" s="2" t="e">
        <f t="shared" si="52"/>
        <v>#NUM!</v>
      </c>
      <c r="S543" t="e">
        <f t="shared" si="53"/>
        <v>#NUM!</v>
      </c>
      <c r="U543" t="e">
        <v>#NUM!</v>
      </c>
    </row>
    <row r="544" spans="1:21" ht="13.9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48"/>
        <v>#NUM!</v>
      </c>
      <c r="I544" s="2">
        <f t="shared" si="49"/>
        <v>0.37390096630005903</v>
      </c>
      <c r="J544" s="2">
        <v>0</v>
      </c>
      <c r="K544" s="2">
        <v>0</v>
      </c>
      <c r="L544" s="2">
        <v>0</v>
      </c>
      <c r="M544" s="2">
        <v>0.39</v>
      </c>
      <c r="N544" s="2">
        <v>1.2</v>
      </c>
      <c r="O544" s="2">
        <v>0.32</v>
      </c>
      <c r="P544" s="2" t="e">
        <f t="shared" si="50"/>
        <v>#NUM!</v>
      </c>
      <c r="Q544" s="2">
        <f t="shared" si="51"/>
        <v>8.720373301028353E-2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ht="13.9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48"/>
        <v>#NUM!</v>
      </c>
      <c r="I545" s="2">
        <f t="shared" si="49"/>
        <v>0.37390096630005903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 t="e">
        <f t="shared" si="50"/>
        <v>#DIV/0!</v>
      </c>
      <c r="Q545" s="2" t="e">
        <f t="shared" si="51"/>
        <v>#DIV/0!</v>
      </c>
      <c r="R545" s="2" t="e">
        <f t="shared" si="52"/>
        <v>#DIV/0!</v>
      </c>
      <c r="S545" t="e">
        <f t="shared" si="53"/>
        <v>#DIV/0!</v>
      </c>
      <c r="U545" t="e">
        <v>#NUM!</v>
      </c>
    </row>
    <row r="546" spans="1:21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48"/>
        <v>#DIV/0!</v>
      </c>
      <c r="I546" s="2" t="e">
        <f t="shared" si="49"/>
        <v>#DIV/0!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0.32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 t="e">
        <f t="shared" si="50"/>
        <v>#DIV/0!</v>
      </c>
      <c r="Q547" s="2" t="e">
        <f t="shared" si="51"/>
        <v>#DIV/0!</v>
      </c>
      <c r="R547" s="2" t="e">
        <f t="shared" si="52"/>
        <v>#DIV/0!</v>
      </c>
      <c r="S547" t="e">
        <f t="shared" si="53"/>
        <v>#DIV/0!</v>
      </c>
      <c r="U547" t="e">
        <v>#NUM!</v>
      </c>
    </row>
    <row r="548" spans="1:21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 t="e">
        <f t="shared" si="50"/>
        <v>#DIV/0!</v>
      </c>
      <c r="Q548" s="2" t="e">
        <f t="shared" si="51"/>
        <v>#DIV/0!</v>
      </c>
      <c r="R548" s="2" t="e">
        <f t="shared" si="52"/>
        <v>#DIV/0!</v>
      </c>
      <c r="S548" t="e">
        <f t="shared" si="53"/>
        <v>#DIV/0!</v>
      </c>
      <c r="U548" t="e">
        <v>#NUM!</v>
      </c>
    </row>
    <row r="549" spans="1:21" ht="13.9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48"/>
        <v>#NUM!</v>
      </c>
      <c r="I549" s="2">
        <f t="shared" si="49"/>
        <v>0.37390096630005903</v>
      </c>
      <c r="J549" s="2">
        <v>0</v>
      </c>
      <c r="K549" s="2">
        <v>0</v>
      </c>
      <c r="L549" s="2">
        <v>0</v>
      </c>
      <c r="M549" s="2">
        <v>0.79</v>
      </c>
      <c r="N549" s="2">
        <v>0.27</v>
      </c>
      <c r="O549" s="2">
        <v>0</v>
      </c>
      <c r="P549" s="2" t="e">
        <f t="shared" si="50"/>
        <v>#NUM!</v>
      </c>
      <c r="Q549" s="2">
        <f t="shared" si="51"/>
        <v>0.20215848027515795</v>
      </c>
      <c r="R549" s="2" t="e">
        <f t="shared" si="52"/>
        <v>#NUM!</v>
      </c>
      <c r="S549" t="e">
        <f t="shared" si="53"/>
        <v>#NUM!</v>
      </c>
      <c r="U549" t="e">
        <v>#NUM!</v>
      </c>
    </row>
    <row r="550" spans="1:21" ht="13.9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48"/>
        <v>#NUM!</v>
      </c>
      <c r="I550" s="2">
        <f t="shared" si="49"/>
        <v>0.37390096630005903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 t="e">
        <f t="shared" si="50"/>
        <v>#DIV/0!</v>
      </c>
      <c r="Q550" s="2" t="e">
        <f t="shared" si="51"/>
        <v>#DIV/0!</v>
      </c>
      <c r="R550" s="2" t="e">
        <f t="shared" si="52"/>
        <v>#DIV/0!</v>
      </c>
      <c r="S550" t="e">
        <f t="shared" si="53"/>
        <v>#DIV/0!</v>
      </c>
      <c r="U550" t="e">
        <v>#NUM!</v>
      </c>
    </row>
    <row r="551" spans="1:21" ht="13.9" x14ac:dyDescent="0.3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48"/>
        <v>4.7274428200476999</v>
      </c>
      <c r="I551" s="2">
        <f t="shared" si="49"/>
        <v>0.12963485118571624</v>
      </c>
      <c r="J551" s="2">
        <v>0</v>
      </c>
      <c r="K551" s="2">
        <v>0</v>
      </c>
      <c r="L551" s="2">
        <v>0</v>
      </c>
      <c r="M551" s="2">
        <v>0.3</v>
      </c>
      <c r="N551" s="2">
        <v>0.4</v>
      </c>
      <c r="O551" s="2">
        <v>0</v>
      </c>
      <c r="P551" s="2" t="e">
        <f t="shared" si="50"/>
        <v>#NUM!</v>
      </c>
      <c r="Q551" s="2">
        <f t="shared" si="51"/>
        <v>0.12417023554784123</v>
      </c>
      <c r="R551" s="2" t="e">
        <f t="shared" si="52"/>
        <v>#NUM!</v>
      </c>
      <c r="S551" t="e">
        <f t="shared" si="53"/>
        <v>#NUM!</v>
      </c>
      <c r="U551" t="e">
        <v>#NUM!</v>
      </c>
    </row>
    <row r="552" spans="1:21" ht="13.9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48"/>
        <v>#NUM!</v>
      </c>
      <c r="I552" s="2">
        <f t="shared" si="49"/>
        <v>0.37390096630005903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ht="13.9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48"/>
        <v>#NUM!</v>
      </c>
      <c r="I553" s="2">
        <f t="shared" si="49"/>
        <v>0.37390096630005903</v>
      </c>
      <c r="J553" s="2">
        <v>0</v>
      </c>
      <c r="K553" s="2">
        <v>0</v>
      </c>
      <c r="L553" s="2">
        <v>0</v>
      </c>
      <c r="M553" s="2">
        <v>0.3</v>
      </c>
      <c r="N553" s="2">
        <v>0.67</v>
      </c>
      <c r="O553" s="2">
        <v>0.42</v>
      </c>
      <c r="P553" s="2" t="e">
        <f t="shared" si="50"/>
        <v>#NUM!</v>
      </c>
      <c r="Q553" s="2">
        <f t="shared" si="51"/>
        <v>1.3144004309966744E-2</v>
      </c>
      <c r="R553" s="2" t="e">
        <f t="shared" si="52"/>
        <v>#NUM!</v>
      </c>
      <c r="S553" t="e">
        <f t="shared" si="53"/>
        <v>#NUM!</v>
      </c>
      <c r="U553" t="e">
        <v>#NUM!</v>
      </c>
    </row>
    <row r="554" spans="1:21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48"/>
        <v>#DIV/0!</v>
      </c>
      <c r="I554" s="2" t="e">
        <f t="shared" si="49"/>
        <v>#DIV/0!</v>
      </c>
      <c r="J554" s="2">
        <v>0</v>
      </c>
      <c r="K554" s="2">
        <v>0</v>
      </c>
      <c r="L554" s="2">
        <v>0</v>
      </c>
      <c r="M554" s="2">
        <v>0.49</v>
      </c>
      <c r="N554" s="2">
        <v>0.13</v>
      </c>
      <c r="O554" s="2">
        <v>0</v>
      </c>
      <c r="P554" s="2" t="e">
        <f t="shared" si="50"/>
        <v>#NUM!</v>
      </c>
      <c r="Q554" s="2">
        <f t="shared" si="51"/>
        <v>0.23129897449669085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ht="13.9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48"/>
        <v>#NUM!</v>
      </c>
      <c r="I555" s="2">
        <f t="shared" si="49"/>
        <v>8.4028709352591477E-2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 t="e">
        <f t="shared" si="50"/>
        <v>#DIV/0!</v>
      </c>
      <c r="Q555" s="2" t="e">
        <f t="shared" si="51"/>
        <v>#DIV/0!</v>
      </c>
      <c r="R555" s="2" t="e">
        <f t="shared" si="52"/>
        <v>#DIV/0!</v>
      </c>
      <c r="S555" t="e">
        <f t="shared" si="53"/>
        <v>#DIV/0!</v>
      </c>
      <c r="U555" t="e">
        <v>#NUM!</v>
      </c>
    </row>
    <row r="556" spans="1:21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48"/>
        <v>#DIV/0!</v>
      </c>
      <c r="I556" s="2" t="e">
        <f t="shared" si="49"/>
        <v>#DIV/0!</v>
      </c>
      <c r="J556" s="2">
        <v>0</v>
      </c>
      <c r="K556" s="2">
        <v>0</v>
      </c>
      <c r="L556" s="2">
        <v>0</v>
      </c>
      <c r="M556" s="2">
        <v>0.3</v>
      </c>
      <c r="N556" s="2">
        <v>0</v>
      </c>
      <c r="O556" s="2">
        <v>0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ht="13.9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48"/>
        <v>#NUM!</v>
      </c>
      <c r="I557" s="2">
        <f t="shared" si="49"/>
        <v>0.13288934191892254</v>
      </c>
      <c r="J557" s="2">
        <v>0</v>
      </c>
      <c r="K557" s="2">
        <v>0</v>
      </c>
      <c r="L557" s="2">
        <v>0</v>
      </c>
      <c r="M557" s="2">
        <v>0</v>
      </c>
      <c r="N557" s="2">
        <v>0.94</v>
      </c>
      <c r="O557" s="2">
        <v>0.11</v>
      </c>
      <c r="P557" s="2" t="e">
        <f t="shared" si="50"/>
        <v>#NUM!</v>
      </c>
      <c r="Q557" s="2">
        <f t="shared" si="51"/>
        <v>0.30351543212566295</v>
      </c>
      <c r="R557" s="2" t="e">
        <f t="shared" si="52"/>
        <v>#NUM!</v>
      </c>
      <c r="S557" t="e">
        <f t="shared" si="53"/>
        <v>#NUM!</v>
      </c>
      <c r="U557" t="e">
        <v>#NUM!</v>
      </c>
    </row>
    <row r="558" spans="1:21" ht="13.9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48"/>
        <v>#NUM!</v>
      </c>
      <c r="I558" s="2">
        <f t="shared" si="49"/>
        <v>0.37390096630005903</v>
      </c>
      <c r="J558" s="2">
        <v>0</v>
      </c>
      <c r="K558" s="2">
        <v>0</v>
      </c>
      <c r="L558" s="2">
        <v>0</v>
      </c>
      <c r="M558" s="2">
        <v>0.39</v>
      </c>
      <c r="N558" s="2">
        <v>0.13</v>
      </c>
      <c r="O558" s="2">
        <v>0</v>
      </c>
      <c r="P558" s="2" t="e">
        <f t="shared" si="50"/>
        <v>#NUM!</v>
      </c>
      <c r="Q558" s="2">
        <f t="shared" si="51"/>
        <v>0.20510645520407772</v>
      </c>
      <c r="R558" s="2" t="e">
        <f t="shared" si="52"/>
        <v>#NUM!</v>
      </c>
      <c r="S558" t="e">
        <f t="shared" si="53"/>
        <v>#NUM!</v>
      </c>
      <c r="U558" t="e">
        <v>#NUM!</v>
      </c>
    </row>
    <row r="559" spans="1:21" ht="13.9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48"/>
        <v>#NUM!</v>
      </c>
      <c r="I559" s="2">
        <f t="shared" si="49"/>
        <v>7.0178480621611568E-4</v>
      </c>
      <c r="J559" s="2">
        <v>0</v>
      </c>
      <c r="K559" s="2">
        <v>0</v>
      </c>
      <c r="L559" s="2">
        <v>0</v>
      </c>
      <c r="M559" s="2">
        <v>3.65</v>
      </c>
      <c r="N559" s="2">
        <v>3.61</v>
      </c>
      <c r="O559" s="2">
        <v>2.63</v>
      </c>
      <c r="P559" s="2" t="e">
        <f t="shared" si="50"/>
        <v>#NUM!</v>
      </c>
      <c r="Q559" s="2">
        <f t="shared" si="51"/>
        <v>5.8794670813449928E-4</v>
      </c>
      <c r="R559" s="2" t="e">
        <f t="shared" si="52"/>
        <v>#NUM!</v>
      </c>
      <c r="S559" t="e">
        <f t="shared" si="53"/>
        <v>#NUM!</v>
      </c>
      <c r="U559" t="e">
        <v>#NUM!</v>
      </c>
    </row>
    <row r="560" spans="1:21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48"/>
        <v>#DIV/0!</v>
      </c>
      <c r="I560" s="2" t="e">
        <f t="shared" si="49"/>
        <v>#DIV/0!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0.32</v>
      </c>
      <c r="P560" s="2" t="e">
        <f t="shared" si="50"/>
        <v>#NUM!</v>
      </c>
      <c r="Q560" s="2">
        <f t="shared" si="51"/>
        <v>0.37390096630005903</v>
      </c>
      <c r="R560" s="2" t="e">
        <f t="shared" si="52"/>
        <v>#NUM!</v>
      </c>
      <c r="S560" t="e">
        <f t="shared" si="53"/>
        <v>#NUM!</v>
      </c>
      <c r="U560" t="e">
        <v>#NUM!</v>
      </c>
    </row>
    <row r="561" spans="1:21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48"/>
        <v>#DIV/0!</v>
      </c>
      <c r="I561" s="2" t="e">
        <f t="shared" si="49"/>
        <v>#DIV/0!</v>
      </c>
      <c r="J561" s="2">
        <v>0</v>
      </c>
      <c r="K561" s="2">
        <v>0</v>
      </c>
      <c r="L561" s="2">
        <v>0</v>
      </c>
      <c r="M561" s="2">
        <v>0.49</v>
      </c>
      <c r="N561" s="2">
        <v>0</v>
      </c>
      <c r="O561" s="2">
        <v>0</v>
      </c>
      <c r="P561" s="2" t="e">
        <f t="shared" si="50"/>
        <v>#NUM!</v>
      </c>
      <c r="Q561" s="2">
        <f t="shared" si="51"/>
        <v>0.37390096630005903</v>
      </c>
      <c r="R561" s="2" t="e">
        <f t="shared" si="52"/>
        <v>#NUM!</v>
      </c>
      <c r="S561" t="e">
        <f t="shared" si="53"/>
        <v>#NUM!</v>
      </c>
      <c r="U561" t="e">
        <v>#NUM!</v>
      </c>
    </row>
    <row r="562" spans="1:21" ht="13.9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48"/>
        <v>#NUM!</v>
      </c>
      <c r="I562" s="2">
        <f t="shared" si="49"/>
        <v>0.37390096630005903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 t="e">
        <f t="shared" si="51"/>
        <v>#DIV/0!</v>
      </c>
      <c r="R562" s="2" t="e">
        <f t="shared" si="52"/>
        <v>#DIV/0!</v>
      </c>
      <c r="S562" t="e">
        <f t="shared" si="53"/>
        <v>#DIV/0!</v>
      </c>
      <c r="U562" t="e">
        <v>#NUM!</v>
      </c>
    </row>
    <row r="563" spans="1:21" ht="13.9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0</v>
      </c>
      <c r="N563" s="2">
        <v>0.53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ht="13.9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0.69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48"/>
        <v>#DIV/0!</v>
      </c>
      <c r="I565" s="2" t="e">
        <f t="shared" si="49"/>
        <v>#DIV/0!</v>
      </c>
      <c r="J565" s="2">
        <v>0</v>
      </c>
      <c r="K565" s="2">
        <v>0</v>
      </c>
      <c r="L565" s="2">
        <v>0</v>
      </c>
      <c r="M565" s="2">
        <v>0</v>
      </c>
      <c r="N565" s="2">
        <v>1.6</v>
      </c>
      <c r="O565" s="2">
        <v>0</v>
      </c>
      <c r="P565" s="2" t="e">
        <f t="shared" si="50"/>
        <v>#NUM!</v>
      </c>
      <c r="Q565" s="2">
        <f t="shared" si="51"/>
        <v>0.37390096630005903</v>
      </c>
      <c r="R565" s="2" t="e">
        <f t="shared" si="52"/>
        <v>#NUM!</v>
      </c>
      <c r="S565" t="e">
        <f t="shared" si="53"/>
        <v>#NUM!</v>
      </c>
      <c r="U565" t="e">
        <v>#NUM!</v>
      </c>
    </row>
    <row r="566" spans="1:21" ht="13.9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48"/>
        <v>#NUM!</v>
      </c>
      <c r="I566" s="2">
        <f t="shared" si="49"/>
        <v>0.37390096630005903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 t="e">
        <f t="shared" si="51"/>
        <v>#DIV/0!</v>
      </c>
      <c r="R566" s="2" t="e">
        <f t="shared" si="52"/>
        <v>#DIV/0!</v>
      </c>
      <c r="S566" t="e">
        <f t="shared" si="53"/>
        <v>#DIV/0!</v>
      </c>
      <c r="U566" t="e">
        <v>#NUM!</v>
      </c>
    </row>
    <row r="567" spans="1:21" ht="13.9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48"/>
        <v>#NUM!</v>
      </c>
      <c r="I567" s="2">
        <f t="shared" si="49"/>
        <v>3.6586579779243344E-2</v>
      </c>
      <c r="J567" s="2">
        <v>0</v>
      </c>
      <c r="K567" s="2">
        <v>0</v>
      </c>
      <c r="L567" s="2">
        <v>0</v>
      </c>
      <c r="M567" s="2">
        <v>0.1</v>
      </c>
      <c r="N567" s="2">
        <v>0.53</v>
      </c>
      <c r="O567" s="2">
        <v>0.95</v>
      </c>
      <c r="P567" s="2" t="e">
        <f t="shared" si="50"/>
        <v>#NUM!</v>
      </c>
      <c r="Q567" s="2">
        <f t="shared" si="51"/>
        <v>9.8385427660993979E-2</v>
      </c>
      <c r="R567" s="2" t="e">
        <f t="shared" si="52"/>
        <v>#NUM!</v>
      </c>
      <c r="S567" t="e">
        <f t="shared" si="53"/>
        <v>#NUM!</v>
      </c>
      <c r="U567" t="e">
        <v>#NUM!</v>
      </c>
    </row>
    <row r="568" spans="1:21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48"/>
        <v>#DIV/0!</v>
      </c>
      <c r="I568" s="2" t="e">
        <f t="shared" si="49"/>
        <v>#DIV/0!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0.84</v>
      </c>
      <c r="P568" s="2" t="e">
        <f t="shared" si="50"/>
        <v>#NUM!</v>
      </c>
      <c r="Q568" s="2">
        <f t="shared" si="51"/>
        <v>0.37390096630005903</v>
      </c>
      <c r="R568" s="2" t="e">
        <f t="shared" si="52"/>
        <v>#NUM!</v>
      </c>
      <c r="S568" t="e">
        <f t="shared" si="53"/>
        <v>#NUM!</v>
      </c>
      <c r="U568" t="e">
        <v>#NUM!</v>
      </c>
    </row>
    <row r="569" spans="1:21" ht="13.9" x14ac:dyDescent="0.3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48"/>
        <v>-0.24631104824266739</v>
      </c>
      <c r="I569" s="2">
        <f t="shared" si="49"/>
        <v>0.86587487691424825</v>
      </c>
      <c r="J569" s="2">
        <v>0.33</v>
      </c>
      <c r="K569" s="2">
        <v>0</v>
      </c>
      <c r="L569" s="2">
        <v>9.2899999999999991</v>
      </c>
      <c r="M569" s="2">
        <v>4.24</v>
      </c>
      <c r="N569" s="2">
        <v>6.95</v>
      </c>
      <c r="O569" s="2">
        <v>4.32</v>
      </c>
      <c r="P569" s="2">
        <f t="shared" si="50"/>
        <v>-0.68908988726604903</v>
      </c>
      <c r="Q569" s="2">
        <f t="shared" si="51"/>
        <v>0.56930433262496694</v>
      </c>
      <c r="R569" s="2">
        <f t="shared" si="52"/>
        <v>-0.44277883902338167</v>
      </c>
      <c r="S569">
        <f t="shared" si="53"/>
        <v>2.7976409997945071</v>
      </c>
      <c r="U569">
        <v>3.2660368939953175</v>
      </c>
    </row>
    <row r="570" spans="1:21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 t="e">
        <f t="shared" si="50"/>
        <v>#DIV/0!</v>
      </c>
      <c r="Q570" s="2" t="e">
        <f t="shared" si="51"/>
        <v>#DIV/0!</v>
      </c>
      <c r="R570" s="2" t="e">
        <f t="shared" si="52"/>
        <v>#DIV/0!</v>
      </c>
      <c r="S570" t="e">
        <f t="shared" si="53"/>
        <v>#DIV/0!</v>
      </c>
      <c r="U570" t="e">
        <v>#NUM!</v>
      </c>
    </row>
    <row r="571" spans="1:21" ht="13.9" x14ac:dyDescent="0.3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48"/>
        <v>0.46506837656459965</v>
      </c>
      <c r="I571" s="2">
        <f t="shared" si="49"/>
        <v>0.81660763314848794</v>
      </c>
      <c r="J571" s="2">
        <v>0</v>
      </c>
      <c r="K571" s="2">
        <v>0</v>
      </c>
      <c r="L571" s="2">
        <v>0</v>
      </c>
      <c r="M571" s="2">
        <v>0</v>
      </c>
      <c r="N571" s="2">
        <v>0.53</v>
      </c>
      <c r="O571" s="2">
        <v>0</v>
      </c>
      <c r="P571" s="2" t="e">
        <f t="shared" si="50"/>
        <v>#NUM!</v>
      </c>
      <c r="Q571" s="2">
        <f t="shared" si="51"/>
        <v>0.37390096630005903</v>
      </c>
      <c r="R571" s="2" t="e">
        <f t="shared" si="52"/>
        <v>#NUM!</v>
      </c>
      <c r="S571" t="e">
        <f t="shared" si="53"/>
        <v>#NUM!</v>
      </c>
      <c r="U571" t="e">
        <v>#NUM!</v>
      </c>
    </row>
    <row r="572" spans="1:21" ht="13.9" x14ac:dyDescent="0.3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48"/>
        <v>#NUM!</v>
      </c>
      <c r="I572" s="2">
        <f t="shared" si="49"/>
        <v>0.12929816474734934</v>
      </c>
      <c r="J572" s="2">
        <v>0.99</v>
      </c>
      <c r="K572" s="2">
        <v>0</v>
      </c>
      <c r="L572" s="2">
        <v>0</v>
      </c>
      <c r="M572" s="2">
        <v>1.88</v>
      </c>
      <c r="N572" s="2">
        <v>0.13</v>
      </c>
      <c r="O572" s="2">
        <v>1.58</v>
      </c>
      <c r="P572" s="2">
        <f t="shared" si="50"/>
        <v>-1.8584834137434418</v>
      </c>
      <c r="Q572" s="2">
        <f t="shared" si="51"/>
        <v>0.24287326304720028</v>
      </c>
      <c r="R572" s="2" t="e">
        <f t="shared" si="52"/>
        <v>#NUM!</v>
      </c>
      <c r="S572" t="e">
        <f t="shared" si="53"/>
        <v>#NUM!</v>
      </c>
      <c r="U572">
        <v>-1.4499569695115091E-2</v>
      </c>
    </row>
    <row r="573" spans="1:21" ht="13.9" x14ac:dyDescent="0.3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48"/>
        <v>#NUM!</v>
      </c>
      <c r="I573" s="2">
        <f t="shared" si="49"/>
        <v>0.12411551493311354</v>
      </c>
      <c r="J573" s="2">
        <v>0</v>
      </c>
      <c r="K573" s="2">
        <v>0</v>
      </c>
      <c r="L573" s="2">
        <v>4.7300000000000004</v>
      </c>
      <c r="M573" s="2">
        <v>1.58</v>
      </c>
      <c r="N573" s="2">
        <v>0</v>
      </c>
      <c r="O573" s="2">
        <v>1.48</v>
      </c>
      <c r="P573" s="2">
        <f t="shared" si="50"/>
        <v>0.62830853064674352</v>
      </c>
      <c r="Q573" s="2">
        <f t="shared" si="51"/>
        <v>0.75384229903256017</v>
      </c>
      <c r="R573" s="2" t="e">
        <f t="shared" si="52"/>
        <v>#NUM!</v>
      </c>
      <c r="S573" t="e">
        <f t="shared" si="53"/>
        <v>#NUM!</v>
      </c>
      <c r="U573">
        <v>2.2418401835646709</v>
      </c>
    </row>
    <row r="574" spans="1:21" ht="13.9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0.11</v>
      </c>
      <c r="P574" s="2" t="e">
        <f t="shared" si="50"/>
        <v>#NUM!</v>
      </c>
      <c r="Q574" s="2">
        <f t="shared" si="51"/>
        <v>0.37390096630005903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48"/>
        <v>#DIV/0!</v>
      </c>
      <c r="I575" s="2" t="e">
        <f t="shared" si="49"/>
        <v>#DIV/0!</v>
      </c>
      <c r="J575" s="2">
        <v>0</v>
      </c>
      <c r="K575" s="2">
        <v>0</v>
      </c>
      <c r="L575" s="2">
        <v>0</v>
      </c>
      <c r="M575" s="2">
        <v>0</v>
      </c>
      <c r="N575" s="2">
        <v>0.13</v>
      </c>
      <c r="O575" s="2">
        <v>0</v>
      </c>
      <c r="P575" s="2" t="e">
        <f t="shared" si="50"/>
        <v>#NUM!</v>
      </c>
      <c r="Q575" s="2">
        <f t="shared" si="51"/>
        <v>0.37390096630005903</v>
      </c>
      <c r="R575" s="2" t="e">
        <f t="shared" si="52"/>
        <v>#NUM!</v>
      </c>
      <c r="S575" t="e">
        <f t="shared" si="53"/>
        <v>#NUM!</v>
      </c>
      <c r="U575" t="e">
        <v>#NUM!</v>
      </c>
    </row>
    <row r="576" spans="1:21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 t="e">
        <f t="shared" si="50"/>
        <v>#DIV/0!</v>
      </c>
      <c r="Q576" s="2" t="e">
        <f t="shared" si="51"/>
        <v>#DIV/0!</v>
      </c>
      <c r="R576" s="2" t="e">
        <f t="shared" si="52"/>
        <v>#DIV/0!</v>
      </c>
      <c r="S576" t="e">
        <f t="shared" si="53"/>
        <v>#DIV/0!</v>
      </c>
      <c r="U576" t="e">
        <v>#NUM!</v>
      </c>
    </row>
    <row r="577" spans="1:21" ht="13.9" x14ac:dyDescent="0.3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48"/>
        <v>-4.9076220673786892</v>
      </c>
      <c r="I577" s="2">
        <f t="shared" si="49"/>
        <v>3.2340330343622376E-5</v>
      </c>
      <c r="J577" s="2">
        <v>17.47</v>
      </c>
      <c r="K577" s="2">
        <v>16.350000000000001</v>
      </c>
      <c r="L577" s="2">
        <v>4.7300000000000004</v>
      </c>
      <c r="M577" s="2">
        <v>105.13</v>
      </c>
      <c r="N577" s="2">
        <v>73.94</v>
      </c>
      <c r="O577" s="2">
        <v>100.12</v>
      </c>
      <c r="P577" s="2">
        <f t="shared" si="50"/>
        <v>-2.8564445029107448</v>
      </c>
      <c r="Q577" s="2">
        <f t="shared" si="51"/>
        <v>1.5732260718641887E-3</v>
      </c>
      <c r="R577" s="2">
        <f t="shared" si="52"/>
        <v>2.0511775644679444</v>
      </c>
      <c r="S577">
        <f t="shared" si="53"/>
        <v>0.58204247672161502</v>
      </c>
      <c r="U577">
        <v>5.2686589550276723</v>
      </c>
    </row>
    <row r="578" spans="1:21" ht="13.9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0.37390096630005903</v>
      </c>
      <c r="J578" s="2">
        <v>0</v>
      </c>
      <c r="K578" s="2">
        <v>0</v>
      </c>
      <c r="L578" s="2">
        <v>0</v>
      </c>
      <c r="M578" s="2">
        <v>1.38</v>
      </c>
      <c r="N578" s="2">
        <v>0</v>
      </c>
      <c r="O578" s="2">
        <v>0.53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0.18835843478770659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ht="13.9" x14ac:dyDescent="0.3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54"/>
        <v>-1.2715266357118056</v>
      </c>
      <c r="I579" s="2">
        <f t="shared" si="55"/>
        <v>0.26876753898061834</v>
      </c>
      <c r="J579" s="2">
        <v>0</v>
      </c>
      <c r="K579" s="2">
        <v>0</v>
      </c>
      <c r="L579" s="2">
        <v>0</v>
      </c>
      <c r="M579" s="2">
        <v>1.97</v>
      </c>
      <c r="N579" s="2">
        <v>4.01</v>
      </c>
      <c r="O579" s="2">
        <v>2.95</v>
      </c>
      <c r="P579" s="2" t="e">
        <f t="shared" si="56"/>
        <v>#NUM!</v>
      </c>
      <c r="Q579" s="2">
        <f t="shared" si="57"/>
        <v>7.2141046050831648E-3</v>
      </c>
      <c r="R579" s="2" t="e">
        <f t="shared" ref="R579:R642" si="58">P579-H579</f>
        <v>#NUM!</v>
      </c>
      <c r="S579" t="e">
        <f t="shared" si="53"/>
        <v>#NUM!</v>
      </c>
      <c r="U579" t="e">
        <v>#NUM!</v>
      </c>
    </row>
    <row r="580" spans="1:21" ht="13.9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54"/>
        <v>#NUM!</v>
      </c>
      <c r="I580" s="2">
        <f t="shared" si="55"/>
        <v>0.11857976240507194</v>
      </c>
      <c r="J580" s="2">
        <v>0</v>
      </c>
      <c r="K580" s="2">
        <v>0</v>
      </c>
      <c r="L580" s="2">
        <v>0</v>
      </c>
      <c r="M580" s="2">
        <v>1.0900000000000001</v>
      </c>
      <c r="N580" s="2">
        <v>0.94</v>
      </c>
      <c r="O580" s="2">
        <v>0.21</v>
      </c>
      <c r="P580" s="2" t="e">
        <f t="shared" si="56"/>
        <v>#NUM!</v>
      </c>
      <c r="Q580" s="2">
        <f t="shared" si="57"/>
        <v>5.152934400077458E-2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ht="13.9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0.13</v>
      </c>
      <c r="O581" s="2">
        <v>0</v>
      </c>
      <c r="P581" s="2" t="e">
        <f t="shared" si="56"/>
        <v>#NUM!</v>
      </c>
      <c r="Q581" s="2">
        <f t="shared" si="57"/>
        <v>0.37390096630005903</v>
      </c>
      <c r="R581" s="2" t="e">
        <f t="shared" si="58"/>
        <v>#NUM!</v>
      </c>
      <c r="S581" t="e">
        <f t="shared" si="59"/>
        <v>#NUM!</v>
      </c>
      <c r="U581" t="e">
        <v>#NUM!</v>
      </c>
    </row>
    <row r="582" spans="1:21" ht="13.9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54"/>
        <v>#NUM!</v>
      </c>
      <c r="I582" s="2">
        <f t="shared" si="55"/>
        <v>0.17401649187759899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 t="e">
        <f t="shared" si="56"/>
        <v>#DIV/0!</v>
      </c>
      <c r="Q582" s="2" t="e">
        <f t="shared" si="57"/>
        <v>#DIV/0!</v>
      </c>
      <c r="R582" s="2" t="e">
        <f t="shared" si="58"/>
        <v>#DIV/0!</v>
      </c>
      <c r="S582" t="e">
        <f t="shared" si="59"/>
        <v>#DIV/0!</v>
      </c>
      <c r="U582" t="e">
        <v>#NUM!</v>
      </c>
    </row>
    <row r="583" spans="1:21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 t="e">
        <f t="shared" si="56"/>
        <v>#DIV/0!</v>
      </c>
      <c r="Q583" s="2" t="e">
        <f t="shared" si="57"/>
        <v>#DIV/0!</v>
      </c>
      <c r="R583" s="2" t="e">
        <f t="shared" si="58"/>
        <v>#DIV/0!</v>
      </c>
      <c r="S583" t="e">
        <f t="shared" si="59"/>
        <v>#DIV/0!</v>
      </c>
      <c r="U583" t="e">
        <v>#NUM!</v>
      </c>
    </row>
    <row r="584" spans="1:21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54"/>
        <v>#DIV/0!</v>
      </c>
      <c r="I584" s="2" t="e">
        <f t="shared" si="55"/>
        <v>#DIV/0!</v>
      </c>
      <c r="J584" s="2">
        <v>0</v>
      </c>
      <c r="K584" s="2">
        <v>0</v>
      </c>
      <c r="L584" s="2">
        <v>0</v>
      </c>
      <c r="M584" s="2">
        <v>0.99</v>
      </c>
      <c r="N584" s="2">
        <v>0</v>
      </c>
      <c r="O584" s="2">
        <v>0</v>
      </c>
      <c r="P584" s="2" t="e">
        <f t="shared" si="56"/>
        <v>#NUM!</v>
      </c>
      <c r="Q584" s="2">
        <f t="shared" si="57"/>
        <v>0.37390096630005903</v>
      </c>
      <c r="R584" s="2" t="e">
        <f t="shared" si="58"/>
        <v>#NUM!</v>
      </c>
      <c r="S584" t="e">
        <f t="shared" si="59"/>
        <v>#NUM!</v>
      </c>
      <c r="U584" t="e">
        <v>#NUM!</v>
      </c>
    </row>
    <row r="585" spans="1:21" ht="13.9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54"/>
        <v>#DIV/0!</v>
      </c>
      <c r="I585" s="2" t="e">
        <f t="shared" si="55"/>
        <v>#DIV/0!</v>
      </c>
      <c r="J585" s="2">
        <v>0</v>
      </c>
      <c r="K585" s="2">
        <v>15.13</v>
      </c>
      <c r="L585" s="2">
        <v>0</v>
      </c>
      <c r="M585" s="2">
        <v>1.18</v>
      </c>
      <c r="N585" s="2">
        <v>0.67</v>
      </c>
      <c r="O585" s="2">
        <v>0</v>
      </c>
      <c r="P585" s="2">
        <f t="shared" si="56"/>
        <v>3.0318148117004249</v>
      </c>
      <c r="Q585" s="2">
        <f t="shared" si="57"/>
        <v>0.43062076076485833</v>
      </c>
      <c r="R585" s="2" t="e">
        <f t="shared" si="58"/>
        <v>#DIV/0!</v>
      </c>
      <c r="S585" t="e">
        <f t="shared" si="59"/>
        <v>#DIV/0!</v>
      </c>
      <c r="U585">
        <v>3.9193400824420124</v>
      </c>
    </row>
    <row r="586" spans="1:21" ht="13.9" x14ac:dyDescent="0.3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54"/>
        <v>1.882622126681311</v>
      </c>
      <c r="I586" s="2">
        <f t="shared" si="55"/>
        <v>1.9833876481801515E-4</v>
      </c>
      <c r="J586" s="2">
        <v>94.6</v>
      </c>
      <c r="K586" s="2">
        <v>174.68</v>
      </c>
      <c r="L586" s="2">
        <v>54.26</v>
      </c>
      <c r="M586" s="2">
        <v>15.79</v>
      </c>
      <c r="N586" s="2">
        <v>36.64</v>
      </c>
      <c r="O586" s="2">
        <v>24.24</v>
      </c>
      <c r="P586" s="2">
        <f t="shared" si="56"/>
        <v>2.0772100020195148</v>
      </c>
      <c r="Q586" s="2">
        <f t="shared" si="57"/>
        <v>8.3665021614219098E-2</v>
      </c>
      <c r="R586" s="2">
        <f t="shared" si="58"/>
        <v>0.19458787533820376</v>
      </c>
      <c r="S586">
        <f t="shared" si="59"/>
        <v>1.1033600277933753</v>
      </c>
      <c r="U586">
        <v>8.3378002767505102</v>
      </c>
    </row>
    <row r="587" spans="1:21" ht="13.9" x14ac:dyDescent="0.3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54"/>
        <v>-0.39583072482785009</v>
      </c>
      <c r="I587" s="2">
        <f t="shared" si="55"/>
        <v>0.63203164469386097</v>
      </c>
      <c r="J587" s="2">
        <v>10.55</v>
      </c>
      <c r="K587" s="2">
        <v>31.72</v>
      </c>
      <c r="L587" s="2">
        <v>0</v>
      </c>
      <c r="M587" s="2">
        <v>11.75</v>
      </c>
      <c r="N587" s="2">
        <v>19.920000000000002</v>
      </c>
      <c r="O587" s="2">
        <v>15.28</v>
      </c>
      <c r="P587" s="2">
        <f t="shared" si="56"/>
        <v>-0.15149104551034429</v>
      </c>
      <c r="Q587" s="2">
        <f t="shared" si="57"/>
        <v>0.87906057417959138</v>
      </c>
      <c r="R587" s="2">
        <f t="shared" si="58"/>
        <v>0.2443396793175058</v>
      </c>
      <c r="S587">
        <f t="shared" si="59"/>
        <v>0.38271674230500663</v>
      </c>
      <c r="U587">
        <v>5.4015622072560685</v>
      </c>
    </row>
    <row r="588" spans="1:21" ht="13.9" x14ac:dyDescent="0.3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54"/>
        <v>-0.65763880612559833</v>
      </c>
      <c r="I588" s="2">
        <f t="shared" si="55"/>
        <v>0.13379318481560259</v>
      </c>
      <c r="J588" s="2">
        <v>1203.42</v>
      </c>
      <c r="K588" s="2">
        <v>1086.1199999999999</v>
      </c>
      <c r="L588" s="2">
        <v>896.85</v>
      </c>
      <c r="M588" s="2">
        <v>1257.53</v>
      </c>
      <c r="N588" s="2">
        <v>1082.76</v>
      </c>
      <c r="O588" s="2">
        <v>1312.58</v>
      </c>
      <c r="P588" s="2">
        <f t="shared" si="56"/>
        <v>-0.1971075541827759</v>
      </c>
      <c r="Q588" s="2">
        <f t="shared" si="57"/>
        <v>0.24092403967341133</v>
      </c>
      <c r="R588" s="2">
        <f t="shared" si="58"/>
        <v>0.46053125194282241</v>
      </c>
      <c r="S588">
        <f t="shared" si="59"/>
        <v>0.29972007787072641</v>
      </c>
      <c r="U588">
        <v>11.637707141805143</v>
      </c>
    </row>
    <row r="589" spans="1:21" ht="13.9" x14ac:dyDescent="0.3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54"/>
        <v>-3.5618788876081156</v>
      </c>
      <c r="I589" s="2">
        <f t="shared" si="55"/>
        <v>1.167464060561834E-2</v>
      </c>
      <c r="J589" s="2">
        <v>0</v>
      </c>
      <c r="K589" s="2">
        <v>15.61</v>
      </c>
      <c r="L589" s="2">
        <v>0</v>
      </c>
      <c r="M589" s="2">
        <v>4.74</v>
      </c>
      <c r="N589" s="2">
        <v>6.02</v>
      </c>
      <c r="O589" s="2">
        <v>7.8</v>
      </c>
      <c r="P589" s="2">
        <f t="shared" si="56"/>
        <v>-0.24972617314966319</v>
      </c>
      <c r="Q589" s="2">
        <f t="shared" si="57"/>
        <v>0.86128175038266463</v>
      </c>
      <c r="R589" s="2">
        <f t="shared" si="58"/>
        <v>3.3121527144584522</v>
      </c>
      <c r="S589">
        <f t="shared" si="59"/>
        <v>7.0110798550301112E-2</v>
      </c>
      <c r="U589">
        <v>3.9643986322031841</v>
      </c>
    </row>
    <row r="590" spans="1:21" ht="13.9" x14ac:dyDescent="0.3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54"/>
        <v>-2.8434368830047934</v>
      </c>
      <c r="I590" s="2">
        <f t="shared" si="55"/>
        <v>1.9195513461081044E-3</v>
      </c>
      <c r="J590" s="2">
        <v>6.59</v>
      </c>
      <c r="K590" s="2">
        <v>5.86</v>
      </c>
      <c r="L590" s="2">
        <v>15.11</v>
      </c>
      <c r="M590" s="2">
        <v>64.56</v>
      </c>
      <c r="N590" s="2">
        <v>80.489999999999995</v>
      </c>
      <c r="O590" s="2">
        <v>67.87</v>
      </c>
      <c r="P590" s="2">
        <f t="shared" si="56"/>
        <v>-2.9496636782211949</v>
      </c>
      <c r="Q590" s="2">
        <f t="shared" si="57"/>
        <v>4.080510155718493E-4</v>
      </c>
      <c r="R590" s="2">
        <f t="shared" si="58"/>
        <v>-0.10622679521640155</v>
      </c>
      <c r="S590">
        <f t="shared" si="59"/>
        <v>1.0373585908839118</v>
      </c>
      <c r="U590">
        <v>4.784503982929567</v>
      </c>
    </row>
    <row r="591" spans="1:21" ht="13.9" x14ac:dyDescent="0.3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54"/>
        <v>1.2875765900965854</v>
      </c>
      <c r="I591" s="2">
        <f t="shared" si="55"/>
        <v>0.59520693768048039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0.32</v>
      </c>
      <c r="P591" s="2" t="e">
        <f t="shared" si="56"/>
        <v>#NUM!</v>
      </c>
      <c r="Q591" s="2">
        <f t="shared" si="57"/>
        <v>0.37390096630005903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ht="13.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 t="e">
        <f t="shared" si="57"/>
        <v>#DIV/0!</v>
      </c>
      <c r="R592" s="2" t="e">
        <f t="shared" si="58"/>
        <v>#DIV/0!</v>
      </c>
      <c r="S592" t="e">
        <f t="shared" si="59"/>
        <v>#DIV/0!</v>
      </c>
      <c r="U592" t="e">
        <v>#NUM!</v>
      </c>
    </row>
    <row r="593" spans="1:21" ht="13.9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54"/>
        <v>#NUM!</v>
      </c>
      <c r="I593" s="2">
        <f t="shared" si="55"/>
        <v>0.11678653102211486</v>
      </c>
      <c r="J593" s="2">
        <v>0</v>
      </c>
      <c r="K593" s="2">
        <v>0</v>
      </c>
      <c r="L593" s="2">
        <v>0</v>
      </c>
      <c r="M593" s="2">
        <v>3.06</v>
      </c>
      <c r="N593" s="2">
        <v>4.28</v>
      </c>
      <c r="O593" s="2">
        <v>1.26</v>
      </c>
      <c r="P593" s="2" t="e">
        <f t="shared" si="56"/>
        <v>#NUM!</v>
      </c>
      <c r="Q593" s="2">
        <f t="shared" si="57"/>
        <v>3.0841696481561886E-2</v>
      </c>
      <c r="R593" s="2" t="e">
        <f t="shared" si="58"/>
        <v>#NUM!</v>
      </c>
      <c r="S593" t="e">
        <f t="shared" si="59"/>
        <v>#NUM!</v>
      </c>
      <c r="U593" t="e">
        <v>#NUM!</v>
      </c>
    </row>
    <row r="594" spans="1:21" ht="13.9" x14ac:dyDescent="0.3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54"/>
        <v>#NUM!</v>
      </c>
      <c r="I594" s="2">
        <f t="shared" si="55"/>
        <v>1.0918923596839315E-2</v>
      </c>
      <c r="J594" s="2">
        <v>7.58</v>
      </c>
      <c r="K594" s="2">
        <v>19.52</v>
      </c>
      <c r="L594" s="2">
        <v>6.55</v>
      </c>
      <c r="M594" s="2">
        <v>5.82</v>
      </c>
      <c r="N594" s="2">
        <v>4.8099999999999996</v>
      </c>
      <c r="O594" s="2">
        <v>3.9</v>
      </c>
      <c r="P594" s="2">
        <f t="shared" si="56"/>
        <v>1.2115718018648383</v>
      </c>
      <c r="Q594" s="2">
        <f t="shared" si="57"/>
        <v>0.20367312255690798</v>
      </c>
      <c r="R594" s="2" t="e">
        <f t="shared" si="58"/>
        <v>#NUM!</v>
      </c>
      <c r="S594" t="e">
        <f t="shared" si="59"/>
        <v>#NUM!</v>
      </c>
      <c r="U594">
        <v>5.072534599722955</v>
      </c>
    </row>
    <row r="595" spans="1:21" ht="13.9" x14ac:dyDescent="0.3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54"/>
        <v>#NUM!</v>
      </c>
      <c r="I595" s="2">
        <f t="shared" si="55"/>
        <v>1.2215182652662847E-4</v>
      </c>
      <c r="J595" s="2">
        <v>0.33</v>
      </c>
      <c r="K595" s="2">
        <v>0</v>
      </c>
      <c r="L595" s="2">
        <v>0</v>
      </c>
      <c r="M595" s="2">
        <v>1.48</v>
      </c>
      <c r="N595" s="2">
        <v>1.34</v>
      </c>
      <c r="O595" s="2">
        <v>2.95</v>
      </c>
      <c r="P595" s="2">
        <f t="shared" si="56"/>
        <v>-4.1280333892870296</v>
      </c>
      <c r="Q595" s="2">
        <f t="shared" si="57"/>
        <v>2.6200935822492687E-2</v>
      </c>
      <c r="R595" s="2" t="e">
        <f t="shared" si="58"/>
        <v>#NUM!</v>
      </c>
      <c r="S595" t="e">
        <f t="shared" si="59"/>
        <v>#NUM!</v>
      </c>
      <c r="U595">
        <v>-1.5994620704162712</v>
      </c>
    </row>
    <row r="596" spans="1:21" ht="13.9" x14ac:dyDescent="0.3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>
        <f t="shared" si="55"/>
        <v>0.37390096630005903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54"/>
        <v>#DIV/0!</v>
      </c>
      <c r="I597" s="2" t="e">
        <f t="shared" si="55"/>
        <v>#DIV/0!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0.32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ht="13.9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0.27</v>
      </c>
      <c r="O598" s="2">
        <v>0</v>
      </c>
      <c r="P598" s="2" t="e">
        <f t="shared" si="56"/>
        <v>#NUM!</v>
      </c>
      <c r="Q598" s="2">
        <f t="shared" si="57"/>
        <v>0.37390096630005903</v>
      </c>
      <c r="R598" s="2" t="e">
        <f t="shared" si="58"/>
        <v>#NUM!</v>
      </c>
      <c r="S598" t="e">
        <f t="shared" si="59"/>
        <v>#NUM!</v>
      </c>
      <c r="U598" t="e">
        <v>#NUM!</v>
      </c>
    </row>
    <row r="599" spans="1:21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 t="e">
        <f t="shared" si="56"/>
        <v>#DIV/0!</v>
      </c>
      <c r="Q599" s="2" t="e">
        <f t="shared" si="57"/>
        <v>#DIV/0!</v>
      </c>
      <c r="R599" s="2" t="e">
        <f t="shared" si="58"/>
        <v>#DIV/0!</v>
      </c>
      <c r="S599" t="e">
        <f t="shared" si="59"/>
        <v>#DIV/0!</v>
      </c>
      <c r="U599" t="e">
        <v>#NUM!</v>
      </c>
    </row>
    <row r="600" spans="1:21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54"/>
        <v>#DIV/0!</v>
      </c>
      <c r="I600" s="2" t="e">
        <f t="shared" si="55"/>
        <v>#DIV/0!</v>
      </c>
      <c r="J600" s="2">
        <v>0</v>
      </c>
      <c r="K600" s="2">
        <v>0</v>
      </c>
      <c r="L600" s="2">
        <v>0</v>
      </c>
      <c r="M600" s="2">
        <v>0</v>
      </c>
      <c r="N600" s="2">
        <v>1.07</v>
      </c>
      <c r="O600" s="2">
        <v>0</v>
      </c>
      <c r="P600" s="2" t="e">
        <f t="shared" si="56"/>
        <v>#NUM!</v>
      </c>
      <c r="Q600" s="2">
        <f t="shared" si="57"/>
        <v>0.37390096630005903</v>
      </c>
      <c r="R600" s="2" t="e">
        <f t="shared" si="58"/>
        <v>#NUM!</v>
      </c>
      <c r="S600" t="e">
        <f t="shared" si="59"/>
        <v>#NUM!</v>
      </c>
      <c r="U600" t="e">
        <v>#NUM!</v>
      </c>
    </row>
    <row r="601" spans="1:21" ht="13.9" x14ac:dyDescent="0.3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54"/>
        <v>#NUM!</v>
      </c>
      <c r="I601" s="2">
        <f t="shared" si="55"/>
        <v>2.3397511733590476E-2</v>
      </c>
      <c r="J601" s="2">
        <v>0</v>
      </c>
      <c r="K601" s="2">
        <v>0</v>
      </c>
      <c r="L601" s="2">
        <v>12.2</v>
      </c>
      <c r="M601" s="2">
        <v>15.5</v>
      </c>
      <c r="N601" s="2">
        <v>20.190000000000001</v>
      </c>
      <c r="O601" s="2">
        <v>15.7</v>
      </c>
      <c r="P601" s="2">
        <f t="shared" si="56"/>
        <v>-2.0746065043549065</v>
      </c>
      <c r="Q601" s="2">
        <f t="shared" si="57"/>
        <v>3.9695387881933608E-2</v>
      </c>
      <c r="R601" s="2" t="e">
        <f t="shared" si="58"/>
        <v>#NUM!</v>
      </c>
      <c r="S601" t="e">
        <f t="shared" si="59"/>
        <v>#NUM!</v>
      </c>
      <c r="U601">
        <v>3.6088092426755241</v>
      </c>
    </row>
    <row r="602" spans="1:21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54"/>
        <v>#DIV/0!</v>
      </c>
      <c r="I602" s="2" t="e">
        <f t="shared" si="55"/>
        <v>#DIV/0!</v>
      </c>
      <c r="J602" s="2">
        <v>0</v>
      </c>
      <c r="K602" s="2">
        <v>0</v>
      </c>
      <c r="L602" s="2">
        <v>0</v>
      </c>
      <c r="M602" s="2">
        <v>0</v>
      </c>
      <c r="N602" s="2">
        <v>0.27</v>
      </c>
      <c r="O602" s="2">
        <v>0.32</v>
      </c>
      <c r="P602" s="2" t="e">
        <f t="shared" si="56"/>
        <v>#NUM!</v>
      </c>
      <c r="Q602" s="2">
        <f t="shared" si="57"/>
        <v>0.11896532418500548</v>
      </c>
      <c r="R602" s="2" t="e">
        <f t="shared" si="58"/>
        <v>#NUM!</v>
      </c>
      <c r="S602" t="e">
        <f t="shared" si="59"/>
        <v>#NUM!</v>
      </c>
      <c r="U602" t="e">
        <v>#NUM!</v>
      </c>
    </row>
    <row r="603" spans="1:21" ht="13.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 t="e">
        <f t="shared" si="57"/>
        <v>#DIV/0!</v>
      </c>
      <c r="R603" s="2" t="e">
        <f t="shared" si="58"/>
        <v>#DIV/0!</v>
      </c>
      <c r="S603" t="e">
        <f t="shared" si="59"/>
        <v>#DIV/0!</v>
      </c>
      <c r="U603" t="e">
        <v>#NUM!</v>
      </c>
    </row>
    <row r="604" spans="1:21" ht="13.9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54"/>
        <v>#DIV/0!</v>
      </c>
      <c r="I604" s="2" t="e">
        <f t="shared" si="55"/>
        <v>#DIV/0!</v>
      </c>
      <c r="J604" s="2">
        <v>0.33</v>
      </c>
      <c r="K604" s="2">
        <v>0</v>
      </c>
      <c r="L604" s="2">
        <v>0</v>
      </c>
      <c r="M604" s="2">
        <v>0.3</v>
      </c>
      <c r="N604" s="2">
        <v>0.13</v>
      </c>
      <c r="O604" s="2">
        <v>0</v>
      </c>
      <c r="P604" s="2">
        <f t="shared" si="56"/>
        <v>-0.38187063534364446</v>
      </c>
      <c r="Q604" s="2">
        <f t="shared" si="57"/>
        <v>0.82370177442852166</v>
      </c>
      <c r="R604" s="2" t="e">
        <f t="shared" si="58"/>
        <v>#DIV/0!</v>
      </c>
      <c r="S604" t="e">
        <f t="shared" si="59"/>
        <v>#DIV/0!</v>
      </c>
      <c r="U604">
        <v>-1.5994620704162712</v>
      </c>
    </row>
    <row r="605" spans="1:21" ht="13.9" x14ac:dyDescent="0.3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54"/>
        <v>#NUM!</v>
      </c>
      <c r="I605" s="2">
        <f t="shared" si="55"/>
        <v>0.20928943449897661</v>
      </c>
      <c r="J605" s="2">
        <v>0</v>
      </c>
      <c r="K605" s="2">
        <v>22.2</v>
      </c>
      <c r="L605" s="2">
        <v>0</v>
      </c>
      <c r="M605" s="2">
        <v>0</v>
      </c>
      <c r="N605" s="2">
        <v>1.47</v>
      </c>
      <c r="O605" s="2">
        <v>2.11</v>
      </c>
      <c r="P605" s="2">
        <f t="shared" si="56"/>
        <v>2.632528183973212</v>
      </c>
      <c r="Q605" s="2">
        <f t="shared" si="57"/>
        <v>0.45030300724646527</v>
      </c>
      <c r="R605" s="2" t="e">
        <f t="shared" si="58"/>
        <v>#NUM!</v>
      </c>
      <c r="S605" t="e">
        <f t="shared" si="59"/>
        <v>#NUM!</v>
      </c>
      <c r="U605">
        <v>4.4724877714627436</v>
      </c>
    </row>
    <row r="606" spans="1:21" ht="13.9" x14ac:dyDescent="0.3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54"/>
        <v>3.563588849928589</v>
      </c>
      <c r="I606" s="2">
        <f t="shared" si="55"/>
        <v>0.41328379255005571</v>
      </c>
      <c r="J606" s="2">
        <v>0</v>
      </c>
      <c r="K606" s="2">
        <v>5.61</v>
      </c>
      <c r="L606" s="2">
        <v>0</v>
      </c>
      <c r="M606" s="2">
        <v>0.49</v>
      </c>
      <c r="N606" s="2">
        <v>0</v>
      </c>
      <c r="O606" s="2">
        <v>0</v>
      </c>
      <c r="P606" s="2">
        <f t="shared" si="56"/>
        <v>3.517147116493585</v>
      </c>
      <c r="Q606" s="2">
        <f t="shared" si="57"/>
        <v>0.41467536378536901</v>
      </c>
      <c r="R606" s="2">
        <f t="shared" si="58"/>
        <v>-4.6441733435004018E-2</v>
      </c>
      <c r="S606">
        <f t="shared" si="59"/>
        <v>0.98696770716522619</v>
      </c>
      <c r="U606">
        <v>2.4880007708340686</v>
      </c>
    </row>
    <row r="607" spans="1:21" ht="13.9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54"/>
        <v>#NUM!</v>
      </c>
      <c r="I607" s="2">
        <f t="shared" si="55"/>
        <v>0.14172271511995713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0.11</v>
      </c>
      <c r="P607" s="2" t="e">
        <f t="shared" si="56"/>
        <v>#NUM!</v>
      </c>
      <c r="Q607" s="2">
        <f t="shared" si="57"/>
        <v>0.11701767633663412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ht="13.9" x14ac:dyDescent="0.3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54"/>
        <v>-2.3238485792037111</v>
      </c>
      <c r="I608" s="2">
        <f t="shared" si="55"/>
        <v>4.2930756073757653E-2</v>
      </c>
      <c r="J608" s="2">
        <v>10.220000000000001</v>
      </c>
      <c r="K608" s="2">
        <v>0.24</v>
      </c>
      <c r="L608" s="2">
        <v>4.01</v>
      </c>
      <c r="M608" s="2">
        <v>14.12</v>
      </c>
      <c r="N608" s="2">
        <v>16.04</v>
      </c>
      <c r="O608" s="2">
        <v>17.28</v>
      </c>
      <c r="P608" s="2">
        <f t="shared" si="56"/>
        <v>-1.713039088014279</v>
      </c>
      <c r="Q608" s="2">
        <f t="shared" si="57"/>
        <v>2.2722680386386251E-2</v>
      </c>
      <c r="R608" s="2">
        <f t="shared" si="58"/>
        <v>0.61080949118943217</v>
      </c>
      <c r="S608">
        <f t="shared" si="59"/>
        <v>0.73715607090082791</v>
      </c>
      <c r="U608">
        <v>3.8549930167570001</v>
      </c>
    </row>
    <row r="609" spans="1:21" ht="13.9" x14ac:dyDescent="0.3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54"/>
        <v>#NUM!</v>
      </c>
      <c r="I609" s="2">
        <f t="shared" si="55"/>
        <v>1.0473893808899661E-2</v>
      </c>
      <c r="J609" s="2">
        <v>0</v>
      </c>
      <c r="K609" s="2">
        <v>0.73</v>
      </c>
      <c r="L609" s="2">
        <v>1.0900000000000001</v>
      </c>
      <c r="M609" s="2">
        <v>0.2</v>
      </c>
      <c r="N609" s="2">
        <v>0.27</v>
      </c>
      <c r="O609" s="2">
        <v>0.32</v>
      </c>
      <c r="P609" s="2">
        <f t="shared" si="56"/>
        <v>1.2040138920215933</v>
      </c>
      <c r="Q609" s="2">
        <f t="shared" si="57"/>
        <v>0.34708723640261196</v>
      </c>
      <c r="R609" s="2" t="e">
        <f t="shared" si="58"/>
        <v>#NUM!</v>
      </c>
      <c r="S609" t="e">
        <f t="shared" si="59"/>
        <v>#NUM!</v>
      </c>
      <c r="U609">
        <v>0.86393845042397166</v>
      </c>
    </row>
    <row r="610" spans="1:21" ht="13.9" x14ac:dyDescent="0.3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54"/>
        <v>0.91894219603776395</v>
      </c>
      <c r="I610" s="2">
        <f t="shared" si="55"/>
        <v>0.53902896687007529</v>
      </c>
      <c r="J610" s="2">
        <v>0</v>
      </c>
      <c r="K610" s="2">
        <v>1.22</v>
      </c>
      <c r="L610" s="2">
        <v>0.18</v>
      </c>
      <c r="M610" s="2">
        <v>2.4700000000000002</v>
      </c>
      <c r="N610" s="2">
        <v>3.21</v>
      </c>
      <c r="O610" s="2">
        <v>1.9</v>
      </c>
      <c r="P610" s="2">
        <f t="shared" si="56"/>
        <v>-2.4367710212261255</v>
      </c>
      <c r="Q610" s="2">
        <f t="shared" si="57"/>
        <v>1.8522859258586877E-2</v>
      </c>
      <c r="R610" s="2">
        <f t="shared" si="58"/>
        <v>-3.3557132172638893</v>
      </c>
      <c r="S610">
        <f t="shared" si="59"/>
        <v>-2.6517130584848956</v>
      </c>
      <c r="U610">
        <v>0.48542682717024171</v>
      </c>
    </row>
    <row r="611" spans="1:21" ht="13.9" x14ac:dyDescent="0.3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54"/>
        <v>1.2940613014544184</v>
      </c>
      <c r="I611" s="2">
        <f t="shared" si="55"/>
        <v>0.58671586200790871</v>
      </c>
      <c r="J611" s="2">
        <v>0</v>
      </c>
      <c r="K611" s="2">
        <v>0</v>
      </c>
      <c r="L611" s="2">
        <v>0</v>
      </c>
      <c r="M611" s="2">
        <v>1.28</v>
      </c>
      <c r="N611" s="2">
        <v>2.81</v>
      </c>
      <c r="O611" s="2">
        <v>2.11</v>
      </c>
      <c r="P611" s="2" t="e">
        <f t="shared" si="56"/>
        <v>#NUM!</v>
      </c>
      <c r="Q611" s="2">
        <f t="shared" si="57"/>
        <v>9.4931185972709949E-3</v>
      </c>
      <c r="R611" s="2" t="e">
        <f t="shared" si="58"/>
        <v>#NUM!</v>
      </c>
      <c r="S611" t="e">
        <f t="shared" si="59"/>
        <v>#NUM!</v>
      </c>
      <c r="U611" t="e">
        <v>#NUM!</v>
      </c>
    </row>
    <row r="612" spans="1:21" ht="13.9" x14ac:dyDescent="0.3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54"/>
        <v>-4.1448340204794825</v>
      </c>
      <c r="I612" s="2">
        <f t="shared" si="55"/>
        <v>3.3387259514477394E-2</v>
      </c>
      <c r="J612" s="2">
        <v>0</v>
      </c>
      <c r="K612" s="2">
        <v>0</v>
      </c>
      <c r="L612" s="2">
        <v>0</v>
      </c>
      <c r="M612" s="2">
        <v>1.68</v>
      </c>
      <c r="N612" s="2">
        <v>4.68</v>
      </c>
      <c r="O612" s="2">
        <v>6.74</v>
      </c>
      <c r="P612" s="2" t="e">
        <f t="shared" si="56"/>
        <v>#NUM!</v>
      </c>
      <c r="Q612" s="2">
        <f t="shared" si="57"/>
        <v>4.1046793121038032E-2</v>
      </c>
      <c r="R612" s="2" t="e">
        <f t="shared" si="58"/>
        <v>#NUM!</v>
      </c>
      <c r="S612" t="e">
        <f t="shared" si="59"/>
        <v>#NUM!</v>
      </c>
      <c r="U612" t="e">
        <v>#NUM!</v>
      </c>
    </row>
    <row r="613" spans="1:21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54"/>
        <v>#DIV/0!</v>
      </c>
      <c r="I613" s="2" t="e">
        <f t="shared" si="55"/>
        <v>#DIV/0!</v>
      </c>
      <c r="J613" s="2">
        <v>0</v>
      </c>
      <c r="K613" s="2">
        <v>0</v>
      </c>
      <c r="L613" s="2">
        <v>0</v>
      </c>
      <c r="M613" s="2">
        <v>0.3</v>
      </c>
      <c r="N613" s="2">
        <v>0</v>
      </c>
      <c r="O613" s="2">
        <v>0</v>
      </c>
      <c r="P613" s="2" t="e">
        <f t="shared" si="56"/>
        <v>#NUM!</v>
      </c>
      <c r="Q613" s="2">
        <f t="shared" si="57"/>
        <v>0.37390096630005903</v>
      </c>
      <c r="R613" s="2" t="e">
        <f t="shared" si="58"/>
        <v>#NUM!</v>
      </c>
      <c r="S613" t="e">
        <f t="shared" si="59"/>
        <v>#NUM!</v>
      </c>
      <c r="U613" t="e">
        <v>#NUM!</v>
      </c>
    </row>
    <row r="614" spans="1:21" ht="13.9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0.69</v>
      </c>
      <c r="N614" s="2">
        <v>0</v>
      </c>
      <c r="O614" s="2">
        <v>0</v>
      </c>
      <c r="P614" s="2" t="e">
        <f t="shared" si="56"/>
        <v>#NUM!</v>
      </c>
      <c r="Q614" s="2">
        <f t="shared" si="57"/>
        <v>0.37390096630005903</v>
      </c>
      <c r="R614" s="2" t="e">
        <f t="shared" si="58"/>
        <v>#NUM!</v>
      </c>
      <c r="S614" t="e">
        <f t="shared" si="59"/>
        <v>#NUM!</v>
      </c>
      <c r="U614" t="e">
        <v>#NUM!</v>
      </c>
    </row>
    <row r="615" spans="1:21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54"/>
        <v>#DIV/0!</v>
      </c>
      <c r="I615" s="2" t="e">
        <f t="shared" si="55"/>
        <v>#DIV/0!</v>
      </c>
      <c r="J615" s="2">
        <v>0</v>
      </c>
      <c r="K615" s="2">
        <v>0</v>
      </c>
      <c r="L615" s="2">
        <v>0</v>
      </c>
      <c r="M615" s="2">
        <v>0</v>
      </c>
      <c r="N615" s="2">
        <v>0.13</v>
      </c>
      <c r="O615" s="2">
        <v>0</v>
      </c>
      <c r="P615" s="2" t="e">
        <f t="shared" si="56"/>
        <v>#NUM!</v>
      </c>
      <c r="Q615" s="2">
        <f t="shared" si="57"/>
        <v>0.37390096630005903</v>
      </c>
      <c r="R615" s="2" t="e">
        <f t="shared" si="58"/>
        <v>#NUM!</v>
      </c>
      <c r="S615" t="e">
        <f t="shared" si="59"/>
        <v>#NUM!</v>
      </c>
      <c r="U615" t="e">
        <v>#NUM!</v>
      </c>
    </row>
    <row r="616" spans="1:21" ht="13.9" x14ac:dyDescent="0.3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54"/>
        <v>1.0550875601042087</v>
      </c>
      <c r="I616" s="2">
        <f t="shared" si="55"/>
        <v>0.63573413955061953</v>
      </c>
      <c r="J616" s="2">
        <v>0</v>
      </c>
      <c r="K616" s="2">
        <v>0</v>
      </c>
      <c r="L616" s="2">
        <v>0</v>
      </c>
      <c r="M616" s="2">
        <v>0</v>
      </c>
      <c r="N616" s="2">
        <v>0.67</v>
      </c>
      <c r="O616" s="2">
        <v>1.79</v>
      </c>
      <c r="P616" s="2" t="e">
        <f t="shared" si="56"/>
        <v>#NUM!</v>
      </c>
      <c r="Q616" s="2">
        <f t="shared" si="57"/>
        <v>0.19140052518382053</v>
      </c>
      <c r="R616" s="2" t="e">
        <f t="shared" si="58"/>
        <v>#NUM!</v>
      </c>
      <c r="S616" t="e">
        <f t="shared" si="59"/>
        <v>#NUM!</v>
      </c>
      <c r="U616" t="e">
        <v>#NUM!</v>
      </c>
    </row>
    <row r="617" spans="1:21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54"/>
        <v>#DIV/0!</v>
      </c>
      <c r="I617" s="2" t="e">
        <f t="shared" si="55"/>
        <v>#DIV/0!</v>
      </c>
      <c r="J617" s="2">
        <v>0</v>
      </c>
      <c r="K617" s="2">
        <v>0</v>
      </c>
      <c r="L617" s="2">
        <v>0</v>
      </c>
      <c r="M617" s="2">
        <v>0.2</v>
      </c>
      <c r="N617" s="2">
        <v>0</v>
      </c>
      <c r="O617" s="2">
        <v>0</v>
      </c>
      <c r="P617" s="2" t="e">
        <f t="shared" si="56"/>
        <v>#NUM!</v>
      </c>
      <c r="Q617" s="2">
        <f t="shared" si="57"/>
        <v>0.37390096630005903</v>
      </c>
      <c r="R617" s="2" t="e">
        <f t="shared" si="58"/>
        <v>#NUM!</v>
      </c>
      <c r="S617" t="e">
        <f t="shared" si="59"/>
        <v>#NUM!</v>
      </c>
      <c r="U617" t="e">
        <v>#NUM!</v>
      </c>
    </row>
    <row r="618" spans="1:21" ht="13.9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54"/>
        <v>#NUM!</v>
      </c>
      <c r="I618" s="2">
        <f t="shared" si="55"/>
        <v>0.2016373839675579</v>
      </c>
      <c r="J618" s="2">
        <v>0</v>
      </c>
      <c r="K618" s="2">
        <v>0</v>
      </c>
      <c r="L618" s="2">
        <v>0</v>
      </c>
      <c r="M618" s="2">
        <v>4.34</v>
      </c>
      <c r="N618" s="2">
        <v>0.67</v>
      </c>
      <c r="O618" s="2">
        <v>0</v>
      </c>
      <c r="P618" s="2" t="e">
        <f t="shared" si="56"/>
        <v>#NUM!</v>
      </c>
      <c r="Q618" s="2">
        <f t="shared" si="57"/>
        <v>0.28340918869317133</v>
      </c>
      <c r="R618" s="2" t="e">
        <f t="shared" si="58"/>
        <v>#NUM!</v>
      </c>
      <c r="S618" t="e">
        <f t="shared" si="59"/>
        <v>#NUM!</v>
      </c>
      <c r="U618" t="e">
        <v>#NUM!</v>
      </c>
    </row>
    <row r="619" spans="1:21" ht="13.9" x14ac:dyDescent="0.3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54"/>
        <v>0.79512239972326304</v>
      </c>
      <c r="I619" s="2">
        <f t="shared" si="55"/>
        <v>0.69517394513127972</v>
      </c>
      <c r="J619" s="2">
        <v>13.18</v>
      </c>
      <c r="K619" s="2">
        <v>7.07</v>
      </c>
      <c r="L619" s="2">
        <v>0</v>
      </c>
      <c r="M619" s="2">
        <v>2.57</v>
      </c>
      <c r="N619" s="2">
        <v>3.21</v>
      </c>
      <c r="O619" s="2">
        <v>2.11</v>
      </c>
      <c r="P619" s="2">
        <f t="shared" si="56"/>
        <v>1.3598247026458914</v>
      </c>
      <c r="Q619" s="2">
        <f t="shared" si="57"/>
        <v>0.34165385211749782</v>
      </c>
      <c r="R619" s="2">
        <f t="shared" si="58"/>
        <v>0.56470230292262835</v>
      </c>
      <c r="S619">
        <f t="shared" si="59"/>
        <v>1.7102080171797061</v>
      </c>
      <c r="U619">
        <v>4.3398500028846252</v>
      </c>
    </row>
    <row r="620" spans="1:21" ht="13.9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54"/>
        <v>#NUM!</v>
      </c>
      <c r="I620" s="2">
        <f t="shared" si="55"/>
        <v>0.11612921919185448</v>
      </c>
      <c r="J620" s="2">
        <v>0</v>
      </c>
      <c r="K620" s="2">
        <v>0</v>
      </c>
      <c r="L620" s="2">
        <v>0</v>
      </c>
      <c r="M620" s="2">
        <v>0.49</v>
      </c>
      <c r="N620" s="2">
        <v>0</v>
      </c>
      <c r="O620" s="2">
        <v>0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ht="13.9" x14ac:dyDescent="0.3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54"/>
        <v>1.6397608533650154</v>
      </c>
      <c r="I621" s="2">
        <f t="shared" si="55"/>
        <v>0.35837850953244221</v>
      </c>
      <c r="J621" s="2">
        <v>0</v>
      </c>
      <c r="K621" s="2">
        <v>10</v>
      </c>
      <c r="L621" s="2">
        <v>1.27</v>
      </c>
      <c r="M621" s="2">
        <v>0.49</v>
      </c>
      <c r="N621" s="2">
        <v>2.67</v>
      </c>
      <c r="O621" s="2">
        <v>1.9</v>
      </c>
      <c r="P621" s="2">
        <f t="shared" si="56"/>
        <v>1.1552782254779108</v>
      </c>
      <c r="Q621" s="2">
        <f t="shared" si="57"/>
        <v>0.5538193339666313</v>
      </c>
      <c r="R621" s="2">
        <f t="shared" si="58"/>
        <v>-0.48448262788710461</v>
      </c>
      <c r="S621">
        <f t="shared" si="59"/>
        <v>0.70454067927473729</v>
      </c>
      <c r="U621">
        <v>3.4944156103974962</v>
      </c>
    </row>
    <row r="622" spans="1:21" ht="13.9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54"/>
        <v>#NUM!</v>
      </c>
      <c r="I622" s="2">
        <f t="shared" si="55"/>
        <v>0.37390096630005903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54"/>
        <v>#DIV/0!</v>
      </c>
      <c r="I623" s="2" t="e">
        <f t="shared" si="55"/>
        <v>#DIV/0!</v>
      </c>
      <c r="J623" s="2">
        <v>0</v>
      </c>
      <c r="K623" s="2">
        <v>0</v>
      </c>
      <c r="L623" s="2">
        <v>0</v>
      </c>
      <c r="M623" s="2">
        <v>0</v>
      </c>
      <c r="N623" s="2">
        <v>0.94</v>
      </c>
      <c r="O623" s="2">
        <v>0</v>
      </c>
      <c r="P623" s="2" t="e">
        <f t="shared" si="56"/>
        <v>#NUM!</v>
      </c>
      <c r="Q623" s="2">
        <f t="shared" si="57"/>
        <v>0.37390096630005903</v>
      </c>
      <c r="R623" s="2" t="e">
        <f t="shared" si="58"/>
        <v>#NUM!</v>
      </c>
      <c r="S623" t="e">
        <f t="shared" si="59"/>
        <v>#NUM!</v>
      </c>
      <c r="U623" t="e">
        <v>#NUM!</v>
      </c>
    </row>
    <row r="624" spans="1:21" ht="13.9" x14ac:dyDescent="0.3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54"/>
        <v>#NUM!</v>
      </c>
      <c r="I624" s="2">
        <f t="shared" si="55"/>
        <v>6.6785754882468573E-2</v>
      </c>
      <c r="J624" s="2">
        <v>0</v>
      </c>
      <c r="K624" s="2">
        <v>7.07</v>
      </c>
      <c r="L624" s="2">
        <v>18.39</v>
      </c>
      <c r="M624" s="2">
        <v>2.76</v>
      </c>
      <c r="N624" s="2">
        <v>1.07</v>
      </c>
      <c r="O624" s="2">
        <v>0</v>
      </c>
      <c r="P624" s="2">
        <f t="shared" si="56"/>
        <v>2.7328161219764007</v>
      </c>
      <c r="Q624" s="2">
        <f t="shared" si="57"/>
        <v>0.25389328122557075</v>
      </c>
      <c r="R624" s="2" t="e">
        <f t="shared" si="58"/>
        <v>#NUM!</v>
      </c>
      <c r="S624" t="e">
        <f t="shared" si="59"/>
        <v>#NUM!</v>
      </c>
      <c r="U624">
        <v>4.6701605141266338</v>
      </c>
    </row>
    <row r="625" spans="1:21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54"/>
        <v>#DIV/0!</v>
      </c>
      <c r="I625" s="2" t="e">
        <f t="shared" si="55"/>
        <v>#DIV/0!</v>
      </c>
      <c r="J625" s="2">
        <v>0</v>
      </c>
      <c r="K625" s="2">
        <v>0</v>
      </c>
      <c r="L625" s="2">
        <v>0</v>
      </c>
      <c r="M625" s="2">
        <v>0.49</v>
      </c>
      <c r="N625" s="2">
        <v>0</v>
      </c>
      <c r="O625" s="2">
        <v>0</v>
      </c>
      <c r="P625" s="2" t="e">
        <f t="shared" si="56"/>
        <v>#NUM!</v>
      </c>
      <c r="Q625" s="2">
        <f t="shared" si="57"/>
        <v>0.37390096630005903</v>
      </c>
      <c r="R625" s="2" t="e">
        <f t="shared" si="58"/>
        <v>#NUM!</v>
      </c>
      <c r="S625" t="e">
        <f t="shared" si="59"/>
        <v>#NUM!</v>
      </c>
      <c r="U625" t="e">
        <v>#NUM!</v>
      </c>
    </row>
    <row r="626" spans="1:21" ht="13.9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54"/>
        <v>#NUM!</v>
      </c>
      <c r="I626" s="2">
        <f t="shared" si="55"/>
        <v>0.16072314099275151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ht="13.9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54"/>
        <v>#NUM!</v>
      </c>
      <c r="I627" s="2">
        <f t="shared" si="55"/>
        <v>0.22741163115956636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54"/>
        <v>#DIV/0!</v>
      </c>
      <c r="I628" s="2" t="e">
        <f t="shared" si="55"/>
        <v>#DIV/0!</v>
      </c>
      <c r="J628" s="2">
        <v>0</v>
      </c>
      <c r="K628" s="2">
        <v>0</v>
      </c>
      <c r="L628" s="2">
        <v>0</v>
      </c>
      <c r="M628" s="2">
        <v>0</v>
      </c>
      <c r="N628" s="2">
        <v>0.67</v>
      </c>
      <c r="O628" s="2">
        <v>0</v>
      </c>
      <c r="P628" s="2" t="e">
        <f t="shared" si="56"/>
        <v>#NUM!</v>
      </c>
      <c r="Q628" s="2">
        <f t="shared" si="57"/>
        <v>0.37390096630005903</v>
      </c>
      <c r="R628" s="2" t="e">
        <f t="shared" si="58"/>
        <v>#NUM!</v>
      </c>
      <c r="S628" t="e">
        <f t="shared" si="59"/>
        <v>#NUM!</v>
      </c>
      <c r="U628" t="e">
        <v>#NUM!</v>
      </c>
    </row>
    <row r="629" spans="1:21" ht="13.9" x14ac:dyDescent="0.3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54"/>
        <v>#NUM!</v>
      </c>
      <c r="I629" s="2">
        <f t="shared" si="55"/>
        <v>0.12336620055097519</v>
      </c>
      <c r="J629" s="2">
        <v>0.33</v>
      </c>
      <c r="K629" s="2">
        <v>0</v>
      </c>
      <c r="L629" s="2">
        <v>0</v>
      </c>
      <c r="M629" s="2">
        <v>0.49</v>
      </c>
      <c r="N629" s="2">
        <v>0</v>
      </c>
      <c r="O629" s="2">
        <v>0</v>
      </c>
      <c r="P629" s="2">
        <f t="shared" si="56"/>
        <v>-0.57031572475675463</v>
      </c>
      <c r="Q629" s="2">
        <f t="shared" si="57"/>
        <v>0.79991811453454031</v>
      </c>
      <c r="R629" s="2" t="e">
        <f t="shared" si="58"/>
        <v>#NUM!</v>
      </c>
      <c r="S629" t="e">
        <f t="shared" si="59"/>
        <v>#NUM!</v>
      </c>
      <c r="U629">
        <v>-1.5994620704162712</v>
      </c>
    </row>
    <row r="630" spans="1:21" ht="13.9" x14ac:dyDescent="0.3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54"/>
        <v>3.3101828872142631</v>
      </c>
      <c r="I630" s="2">
        <f t="shared" si="55"/>
        <v>0.42154357224869016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 t="e">
        <f t="shared" si="56"/>
        <v>#DIV/0!</v>
      </c>
      <c r="Q630" s="2" t="e">
        <f t="shared" si="57"/>
        <v>#DIV/0!</v>
      </c>
      <c r="R630" s="2" t="e">
        <f t="shared" si="58"/>
        <v>#DIV/0!</v>
      </c>
      <c r="S630" t="e">
        <f t="shared" si="59"/>
        <v>#DIV/0!</v>
      </c>
      <c r="U630" t="e">
        <v>#NUM!</v>
      </c>
    </row>
    <row r="631" spans="1:21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54"/>
        <v>#DIV/0!</v>
      </c>
      <c r="I631" s="2" t="e">
        <f t="shared" si="55"/>
        <v>#DIV/0!</v>
      </c>
      <c r="J631" s="2">
        <v>0</v>
      </c>
      <c r="K631" s="2">
        <v>0</v>
      </c>
      <c r="L631" s="2">
        <v>0</v>
      </c>
      <c r="M631" s="2">
        <v>0.49</v>
      </c>
      <c r="N631" s="2">
        <v>0</v>
      </c>
      <c r="O631" s="2">
        <v>0</v>
      </c>
      <c r="P631" s="2" t="e">
        <f t="shared" si="56"/>
        <v>#NUM!</v>
      </c>
      <c r="Q631" s="2">
        <f t="shared" si="57"/>
        <v>0.37390096630005903</v>
      </c>
      <c r="R631" s="2" t="e">
        <f t="shared" si="58"/>
        <v>#NUM!</v>
      </c>
      <c r="S631" t="e">
        <f t="shared" si="59"/>
        <v>#NUM!</v>
      </c>
      <c r="U631" t="e">
        <v>#NUM!</v>
      </c>
    </row>
    <row r="632" spans="1:21" ht="13.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 t="e">
        <f t="shared" si="57"/>
        <v>#DIV/0!</v>
      </c>
      <c r="R632" s="2" t="e">
        <f t="shared" si="58"/>
        <v>#DIV/0!</v>
      </c>
      <c r="S632" t="e">
        <f t="shared" si="59"/>
        <v>#DIV/0!</v>
      </c>
      <c r="U632" t="e">
        <v>#NUM!</v>
      </c>
    </row>
    <row r="633" spans="1:21" ht="13.9" x14ac:dyDescent="0.3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54"/>
        <v>-1.484430273233132</v>
      </c>
      <c r="I633" s="2">
        <f t="shared" si="55"/>
        <v>8.4184108965204962E-3</v>
      </c>
      <c r="J633" s="2">
        <v>278.85000000000002</v>
      </c>
      <c r="K633" s="2">
        <v>442.55</v>
      </c>
      <c r="L633" s="2">
        <v>256.52999999999997</v>
      </c>
      <c r="M633" s="2">
        <v>563.07000000000005</v>
      </c>
      <c r="N633" s="2">
        <v>700.22</v>
      </c>
      <c r="O633" s="2">
        <v>557.49</v>
      </c>
      <c r="P633" s="2">
        <f t="shared" si="56"/>
        <v>-0.89675350963077094</v>
      </c>
      <c r="Q633" s="2">
        <f t="shared" si="57"/>
        <v>1.9972237913104828E-2</v>
      </c>
      <c r="R633" s="2">
        <f t="shared" si="58"/>
        <v>0.5876767636023611</v>
      </c>
      <c r="S633">
        <f t="shared" si="59"/>
        <v>0.60410618524884696</v>
      </c>
      <c r="U633">
        <v>9.9335873908753953</v>
      </c>
    </row>
    <row r="634" spans="1:21" ht="13.9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54"/>
        <v>#NUM!</v>
      </c>
      <c r="I634" s="2">
        <f t="shared" si="55"/>
        <v>0.17849684364246426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ht="13.9" x14ac:dyDescent="0.3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54"/>
        <v>-0.15964855405590839</v>
      </c>
      <c r="I635" s="2">
        <f t="shared" si="55"/>
        <v>0.67945906171936876</v>
      </c>
      <c r="J635" s="2">
        <v>155.58000000000001</v>
      </c>
      <c r="K635" s="2">
        <v>146.13</v>
      </c>
      <c r="L635" s="2">
        <v>140.01</v>
      </c>
      <c r="M635" s="2">
        <v>143.33000000000001</v>
      </c>
      <c r="N635" s="2">
        <v>102.55</v>
      </c>
      <c r="O635" s="2">
        <v>155.13</v>
      </c>
      <c r="P635" s="2">
        <f t="shared" si="56"/>
        <v>0.13949394189172024</v>
      </c>
      <c r="Q635" s="2">
        <f t="shared" si="57"/>
        <v>0.45854385961549815</v>
      </c>
      <c r="R635" s="2">
        <f t="shared" si="58"/>
        <v>0.29914249594762865</v>
      </c>
      <c r="S635">
        <f t="shared" si="59"/>
        <v>-0.87375637516184412</v>
      </c>
      <c r="U635">
        <v>8.786988345330494</v>
      </c>
    </row>
    <row r="636" spans="1:21" ht="13.9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0.84</v>
      </c>
      <c r="P636" s="2" t="e">
        <f t="shared" si="56"/>
        <v>#NUM!</v>
      </c>
      <c r="Q636" s="2">
        <f t="shared" si="57"/>
        <v>0.37390096630005903</v>
      </c>
      <c r="R636" s="2" t="e">
        <f t="shared" si="58"/>
        <v>#NUM!</v>
      </c>
      <c r="S636" t="e">
        <f t="shared" si="59"/>
        <v>#NUM!</v>
      </c>
      <c r="U636" t="e">
        <v>#NUM!</v>
      </c>
    </row>
    <row r="637" spans="1:21" ht="13.9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54"/>
        <v>#NUM!</v>
      </c>
      <c r="I637" s="2">
        <f t="shared" si="55"/>
        <v>0.37390096630005903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ht="13.9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 t="e">
        <f t="shared" si="55"/>
        <v>#DIV/0!</v>
      </c>
      <c r="J638" s="2">
        <v>0</v>
      </c>
      <c r="K638" s="2">
        <v>0</v>
      </c>
      <c r="L638" s="2">
        <v>4.01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>
        <f t="shared" si="57"/>
        <v>0.37390096630005903</v>
      </c>
      <c r="R638" s="2" t="e">
        <f t="shared" si="58"/>
        <v>#DIV/0!</v>
      </c>
      <c r="S638" t="e">
        <f t="shared" si="59"/>
        <v>#DIV/0!</v>
      </c>
      <c r="U638">
        <v>2.0036022366801958</v>
      </c>
    </row>
    <row r="639" spans="1:21" ht="13.9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0.3</v>
      </c>
      <c r="N639" s="2">
        <v>0</v>
      </c>
      <c r="O639" s="2">
        <v>0</v>
      </c>
      <c r="P639" s="2" t="e">
        <f t="shared" si="56"/>
        <v>#NUM!</v>
      </c>
      <c r="Q639" s="2">
        <f t="shared" si="57"/>
        <v>0.37390096630005903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ht="13.9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54"/>
        <v>#NUM!</v>
      </c>
      <c r="I640" s="2">
        <f t="shared" si="55"/>
        <v>0.11611652351681555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ht="13.9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54"/>
        <v>#NUM!</v>
      </c>
      <c r="I641" s="2">
        <f t="shared" si="55"/>
        <v>0.37390096630005903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ht="13.9" x14ac:dyDescent="0.3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60">LOG(SUM(B642:D642)/SUM(E642:G642),2)</f>
        <v>#NUM!</v>
      </c>
      <c r="I642" s="2">
        <f t="shared" ref="I642:I705" si="61">_xlfn.T.TEST(B642:D642,E642:G642,2,2)</f>
        <v>5.8474052497124368E-2</v>
      </c>
      <c r="J642" s="2">
        <v>0</v>
      </c>
      <c r="K642" s="2">
        <v>1.22</v>
      </c>
      <c r="L642" s="2">
        <v>0</v>
      </c>
      <c r="M642" s="2">
        <v>0.1</v>
      </c>
      <c r="N642" s="2">
        <v>0.67</v>
      </c>
      <c r="O642" s="2">
        <v>0</v>
      </c>
      <c r="P642" s="2">
        <f t="shared" ref="P642:P705" si="62">LOG(SUM(J642:L642)/SUM(M642:O642),2)</f>
        <v>0.66395079686798486</v>
      </c>
      <c r="Q642" s="2">
        <f t="shared" ref="Q642:Q705" si="63">_xlfn.T.TEST(J642:L642,M642:O642,2,2)</f>
        <v>0.75924298647557076</v>
      </c>
      <c r="R642" s="2" t="e">
        <f t="shared" si="58"/>
        <v>#NUM!</v>
      </c>
      <c r="S642" t="e">
        <f t="shared" si="59"/>
        <v>#NUM!</v>
      </c>
      <c r="U642">
        <v>0.28688114778816154</v>
      </c>
    </row>
    <row r="643" spans="1:21" ht="13.9" x14ac:dyDescent="0.3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60"/>
        <v>#NUM!</v>
      </c>
      <c r="I643" s="2">
        <f t="shared" si="61"/>
        <v>5.8474052497124368E-2</v>
      </c>
      <c r="J643" s="2">
        <v>0</v>
      </c>
      <c r="K643" s="2">
        <v>1.22</v>
      </c>
      <c r="L643" s="2">
        <v>0</v>
      </c>
      <c r="M643" s="2">
        <v>0.1</v>
      </c>
      <c r="N643" s="2">
        <v>0.67</v>
      </c>
      <c r="O643" s="2">
        <v>0</v>
      </c>
      <c r="P643" s="2">
        <f t="shared" si="62"/>
        <v>0.66395079686798486</v>
      </c>
      <c r="Q643" s="2">
        <f t="shared" si="63"/>
        <v>0.75924298647557076</v>
      </c>
      <c r="R643" s="2" t="e">
        <f t="shared" ref="R643:R706" si="64">P643-H643</f>
        <v>#NUM!</v>
      </c>
      <c r="S643" t="e">
        <f t="shared" si="59"/>
        <v>#NUM!</v>
      </c>
      <c r="U643">
        <v>0.28688114778816154</v>
      </c>
    </row>
    <row r="644" spans="1:21" ht="13.9" x14ac:dyDescent="0.3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60"/>
        <v>0.47062982524216118</v>
      </c>
      <c r="I644" s="2">
        <f t="shared" si="61"/>
        <v>0.65802567873628204</v>
      </c>
      <c r="J644" s="2">
        <v>0</v>
      </c>
      <c r="K644" s="2">
        <v>0.24</v>
      </c>
      <c r="L644" s="2">
        <v>0</v>
      </c>
      <c r="M644" s="2">
        <v>1.48</v>
      </c>
      <c r="N644" s="2">
        <v>1.2</v>
      </c>
      <c r="O644" s="2">
        <v>2.11</v>
      </c>
      <c r="P644" s="2">
        <f t="shared" si="62"/>
        <v>-4.3189193450150238</v>
      </c>
      <c r="Q644" s="2">
        <f t="shared" si="63"/>
        <v>5.6826632961506796E-3</v>
      </c>
      <c r="R644" s="2">
        <f t="shared" si="64"/>
        <v>-4.7895491702571853</v>
      </c>
      <c r="S644">
        <f t="shared" ref="S644:S707" si="65">P644/H644</f>
        <v>-9.1768925668761785</v>
      </c>
      <c r="U644">
        <v>-2.0588936890535687</v>
      </c>
    </row>
    <row r="645" spans="1:21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60"/>
        <v>#DIV/0!</v>
      </c>
      <c r="I645" s="2" t="e">
        <f t="shared" si="61"/>
        <v>#DIV/0!</v>
      </c>
      <c r="J645" s="2">
        <v>0</v>
      </c>
      <c r="K645" s="2">
        <v>0</v>
      </c>
      <c r="L645" s="2">
        <v>0</v>
      </c>
      <c r="M645" s="2">
        <v>0.1</v>
      </c>
      <c r="N645" s="2">
        <v>0</v>
      </c>
      <c r="O645" s="2">
        <v>0</v>
      </c>
      <c r="P645" s="2" t="e">
        <f t="shared" si="62"/>
        <v>#NUM!</v>
      </c>
      <c r="Q645" s="2">
        <f t="shared" si="63"/>
        <v>0.37390096630005903</v>
      </c>
      <c r="R645" s="2" t="e">
        <f t="shared" si="64"/>
        <v>#NUM!</v>
      </c>
      <c r="S645" t="e">
        <f t="shared" si="65"/>
        <v>#NUM!</v>
      </c>
      <c r="U645" t="e">
        <v>#NUM!</v>
      </c>
    </row>
    <row r="646" spans="1:21" ht="13.9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60"/>
        <v>#NUM!</v>
      </c>
      <c r="I646" s="2">
        <f t="shared" si="61"/>
        <v>7.4315190282351562E-2</v>
      </c>
      <c r="J646" s="2">
        <v>0</v>
      </c>
      <c r="K646" s="2">
        <v>0</v>
      </c>
      <c r="L646" s="2">
        <v>0</v>
      </c>
      <c r="M646" s="2">
        <v>0.69</v>
      </c>
      <c r="N646" s="2">
        <v>0.4</v>
      </c>
      <c r="O646" s="2">
        <v>0</v>
      </c>
      <c r="P646" s="2" t="e">
        <f t="shared" si="62"/>
        <v>#NUM!</v>
      </c>
      <c r="Q646" s="2">
        <f t="shared" si="63"/>
        <v>0.1434735711166597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ht="13.9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 t="e">
        <f t="shared" si="61"/>
        <v>#DIV/0!</v>
      </c>
      <c r="J647" s="2">
        <v>0</v>
      </c>
      <c r="K647" s="2">
        <v>1.95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>
        <f t="shared" si="63"/>
        <v>0.37390096630005903</v>
      </c>
      <c r="R647" s="2" t="e">
        <f t="shared" si="64"/>
        <v>#DIV/0!</v>
      </c>
      <c r="S647" t="e">
        <f t="shared" si="65"/>
        <v>#DIV/0!</v>
      </c>
      <c r="U647">
        <v>0.96347412397488608</v>
      </c>
    </row>
    <row r="648" spans="1:21" ht="13.9" x14ac:dyDescent="0.3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60"/>
        <v>-4.4907471591035053</v>
      </c>
      <c r="I648" s="2">
        <f t="shared" si="61"/>
        <v>3.4750596827020391E-2</v>
      </c>
      <c r="J648" s="2">
        <v>0</v>
      </c>
      <c r="K648" s="2">
        <v>0</v>
      </c>
      <c r="L648" s="2">
        <v>0</v>
      </c>
      <c r="M648" s="2">
        <v>0</v>
      </c>
      <c r="N648" s="2">
        <v>2.27</v>
      </c>
      <c r="O648" s="2">
        <v>1.58</v>
      </c>
      <c r="P648" s="2" t="e">
        <f t="shared" si="62"/>
        <v>#NUM!</v>
      </c>
      <c r="Q648" s="2">
        <f t="shared" si="63"/>
        <v>0.12873287639645425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ht="13.9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60"/>
        <v>#NUM!</v>
      </c>
      <c r="I649" s="2">
        <f t="shared" si="61"/>
        <v>0.15038225218985554</v>
      </c>
      <c r="J649" s="2">
        <v>0</v>
      </c>
      <c r="K649" s="2">
        <v>0</v>
      </c>
      <c r="L649" s="2">
        <v>0</v>
      </c>
      <c r="M649" s="2">
        <v>0.3</v>
      </c>
      <c r="N649" s="2">
        <v>0.27</v>
      </c>
      <c r="O649" s="2">
        <v>0</v>
      </c>
      <c r="P649" s="2" t="e">
        <f t="shared" si="62"/>
        <v>#NUM!</v>
      </c>
      <c r="Q649" s="2">
        <f t="shared" si="63"/>
        <v>0.11721716888134213</v>
      </c>
      <c r="R649" s="2" t="e">
        <f t="shared" si="64"/>
        <v>#NUM!</v>
      </c>
      <c r="S649" t="e">
        <f t="shared" si="65"/>
        <v>#NUM!</v>
      </c>
      <c r="U649" t="e">
        <v>#NUM!</v>
      </c>
    </row>
    <row r="650" spans="1:21" ht="13.9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60"/>
        <v>#NUM!</v>
      </c>
      <c r="I650" s="2">
        <f t="shared" si="61"/>
        <v>2.962996550405032E-2</v>
      </c>
      <c r="J650" s="2">
        <v>0</v>
      </c>
      <c r="K650" s="2">
        <v>0</v>
      </c>
      <c r="L650" s="2">
        <v>0</v>
      </c>
      <c r="M650" s="2">
        <v>0.89</v>
      </c>
      <c r="N650" s="2">
        <v>0.67</v>
      </c>
      <c r="O650" s="2">
        <v>0.63</v>
      </c>
      <c r="P650" s="2" t="e">
        <f t="shared" si="62"/>
        <v>#NUM!</v>
      </c>
      <c r="Q650" s="2">
        <f t="shared" si="63"/>
        <v>8.3260976632631696E-4</v>
      </c>
      <c r="R650" s="2" t="e">
        <f t="shared" si="64"/>
        <v>#NUM!</v>
      </c>
      <c r="S650" t="e">
        <f t="shared" si="65"/>
        <v>#NUM!</v>
      </c>
      <c r="U650" t="e">
        <v>#NUM!</v>
      </c>
    </row>
    <row r="651" spans="1:21" ht="13.9" x14ac:dyDescent="0.3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60"/>
        <v>-2.6299099067751306</v>
      </c>
      <c r="I651" s="2">
        <f t="shared" si="61"/>
        <v>0.10220476934338167</v>
      </c>
      <c r="J651" s="2">
        <v>0</v>
      </c>
      <c r="K651" s="2">
        <v>0</v>
      </c>
      <c r="L651" s="2">
        <v>10.92</v>
      </c>
      <c r="M651" s="2">
        <v>0.3</v>
      </c>
      <c r="N651" s="2">
        <v>0</v>
      </c>
      <c r="O651" s="2">
        <v>1.9</v>
      </c>
      <c r="P651" s="2">
        <f t="shared" si="62"/>
        <v>2.3113974273951929</v>
      </c>
      <c r="Q651" s="2">
        <f t="shared" si="63"/>
        <v>0.47463515318742544</v>
      </c>
      <c r="R651" s="2">
        <f t="shared" si="64"/>
        <v>4.9413073341703235</v>
      </c>
      <c r="S651">
        <f t="shared" si="65"/>
        <v>-0.87888844459675552</v>
      </c>
      <c r="U651">
        <v>3.4489009511451281</v>
      </c>
    </row>
    <row r="652" spans="1:21" ht="13.9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60"/>
        <v>#NUM!</v>
      </c>
      <c r="I652" s="2">
        <f t="shared" si="61"/>
        <v>0.37390096630005903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 t="e">
        <f t="shared" si="62"/>
        <v>#DIV/0!</v>
      </c>
      <c r="Q653" s="2" t="e">
        <f t="shared" si="63"/>
        <v>#DIV/0!</v>
      </c>
      <c r="R653" s="2" t="e">
        <f t="shared" si="64"/>
        <v>#DIV/0!</v>
      </c>
      <c r="S653" t="e">
        <f t="shared" si="65"/>
        <v>#DIV/0!</v>
      </c>
      <c r="U653" t="e">
        <v>#NUM!</v>
      </c>
    </row>
    <row r="654" spans="1:21" ht="13.9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 t="e">
        <f t="shared" si="61"/>
        <v>#DIV/0!</v>
      </c>
      <c r="J654" s="2">
        <v>0</v>
      </c>
      <c r="K654" s="2">
        <v>1.95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>
        <f t="shared" si="63"/>
        <v>0.37390096630005903</v>
      </c>
      <c r="R654" s="2" t="e">
        <f t="shared" si="64"/>
        <v>#DIV/0!</v>
      </c>
      <c r="S654" t="e">
        <f t="shared" si="65"/>
        <v>#DIV/0!</v>
      </c>
      <c r="U654">
        <v>0.96347412397488608</v>
      </c>
    </row>
    <row r="655" spans="1:21" ht="13.9" x14ac:dyDescent="0.3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60"/>
        <v>-3.4805687349621374E-3</v>
      </c>
      <c r="I655" s="2">
        <f t="shared" si="61"/>
        <v>0.99635112272299176</v>
      </c>
      <c r="J655" s="2">
        <v>8.57</v>
      </c>
      <c r="K655" s="2">
        <v>0.98</v>
      </c>
      <c r="L655" s="2">
        <v>0.18</v>
      </c>
      <c r="M655" s="2">
        <v>4.4400000000000004</v>
      </c>
      <c r="N655" s="2">
        <v>3.48</v>
      </c>
      <c r="O655" s="2">
        <v>4.53</v>
      </c>
      <c r="P655" s="2">
        <f t="shared" si="62"/>
        <v>-0.35563403217433159</v>
      </c>
      <c r="Q655" s="2">
        <f t="shared" si="63"/>
        <v>0.75340304988743678</v>
      </c>
      <c r="R655" s="2">
        <f t="shared" si="64"/>
        <v>-0.35215346343936943</v>
      </c>
      <c r="S655">
        <f t="shared" si="65"/>
        <v>102.17698866337724</v>
      </c>
      <c r="U655">
        <v>3.282439805006387</v>
      </c>
    </row>
    <row r="656" spans="1:21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60"/>
        <v>#DIV/0!</v>
      </c>
      <c r="I656" s="2" t="e">
        <f t="shared" si="61"/>
        <v>#DIV/0!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0.63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ht="13.9" x14ac:dyDescent="0.3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60"/>
        <v>#NUM!</v>
      </c>
      <c r="I657" s="2">
        <f t="shared" si="61"/>
        <v>5.8474052497124368E-2</v>
      </c>
      <c r="J657" s="2">
        <v>0</v>
      </c>
      <c r="K657" s="2">
        <v>1.22</v>
      </c>
      <c r="L657" s="2">
        <v>0</v>
      </c>
      <c r="M657" s="2">
        <v>0.1</v>
      </c>
      <c r="N657" s="2">
        <v>0.67</v>
      </c>
      <c r="O657" s="2">
        <v>0</v>
      </c>
      <c r="P657" s="2">
        <f t="shared" si="62"/>
        <v>0.66395079686798486</v>
      </c>
      <c r="Q657" s="2">
        <f t="shared" si="63"/>
        <v>0.75924298647557076</v>
      </c>
      <c r="R657" s="2" t="e">
        <f t="shared" si="64"/>
        <v>#NUM!</v>
      </c>
      <c r="S657" t="e">
        <f t="shared" si="65"/>
        <v>#NUM!</v>
      </c>
      <c r="U657">
        <v>0.28688114778816154</v>
      </c>
    </row>
    <row r="658" spans="1:21" ht="13.9" x14ac:dyDescent="0.3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60"/>
        <v>#NUM!</v>
      </c>
      <c r="I658" s="2">
        <f t="shared" si="61"/>
        <v>0.14022476377267643</v>
      </c>
      <c r="J658" s="2">
        <v>0</v>
      </c>
      <c r="K658" s="2">
        <v>1.22</v>
      </c>
      <c r="L658" s="2">
        <v>0</v>
      </c>
      <c r="M658" s="2">
        <v>0.1</v>
      </c>
      <c r="N658" s="2">
        <v>0.53</v>
      </c>
      <c r="O658" s="2">
        <v>0</v>
      </c>
      <c r="P658" s="2">
        <f t="shared" si="62"/>
        <v>0.9534574140629698</v>
      </c>
      <c r="Q658" s="2">
        <f t="shared" si="63"/>
        <v>0.67665084271471432</v>
      </c>
      <c r="R658" s="2" t="e">
        <f t="shared" si="64"/>
        <v>#NUM!</v>
      </c>
      <c r="S658" t="e">
        <f t="shared" si="65"/>
        <v>#NUM!</v>
      </c>
      <c r="U658">
        <v>0.28688114778816154</v>
      </c>
    </row>
    <row r="659" spans="1:21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 t="e">
        <f t="shared" si="62"/>
        <v>#DIV/0!</v>
      </c>
      <c r="Q659" s="2" t="e">
        <f t="shared" si="63"/>
        <v>#DIV/0!</v>
      </c>
      <c r="R659" s="2" t="e">
        <f t="shared" si="64"/>
        <v>#DIV/0!</v>
      </c>
      <c r="S659" t="e">
        <f t="shared" si="65"/>
        <v>#DIV/0!</v>
      </c>
      <c r="U659" t="e">
        <v>#NUM!</v>
      </c>
    </row>
    <row r="660" spans="1:21" ht="13.9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60"/>
        <v>#NUM!</v>
      </c>
      <c r="I660" s="2">
        <f t="shared" si="61"/>
        <v>0.37390096630005903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ht="13.9" x14ac:dyDescent="0.3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60"/>
        <v>#NUM!</v>
      </c>
      <c r="I661" s="2">
        <f t="shared" si="61"/>
        <v>3.9702229204604906E-3</v>
      </c>
      <c r="J661" s="2">
        <v>5.6</v>
      </c>
      <c r="K661" s="2">
        <v>0</v>
      </c>
      <c r="L661" s="2">
        <v>4.92</v>
      </c>
      <c r="M661" s="2">
        <v>3.26</v>
      </c>
      <c r="N661" s="2">
        <v>0.8</v>
      </c>
      <c r="O661" s="2">
        <v>3.06</v>
      </c>
      <c r="P661" s="2">
        <f t="shared" si="62"/>
        <v>0.56318555832590478</v>
      </c>
      <c r="Q661" s="2">
        <f t="shared" si="63"/>
        <v>0.58908209358109409</v>
      </c>
      <c r="R661" s="2" t="e">
        <f t="shared" si="64"/>
        <v>#NUM!</v>
      </c>
      <c r="S661" t="e">
        <f t="shared" si="65"/>
        <v>#NUM!</v>
      </c>
      <c r="U661">
        <v>3.3950627995175777</v>
      </c>
    </row>
    <row r="662" spans="1:21" ht="13.9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 t="e">
        <f t="shared" si="61"/>
        <v>#DIV/0!</v>
      </c>
      <c r="J662" s="2">
        <v>0</v>
      </c>
      <c r="K662" s="2">
        <v>1.95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>
        <f t="shared" si="63"/>
        <v>0.37390096630005903</v>
      </c>
      <c r="R662" s="2" t="e">
        <f t="shared" si="64"/>
        <v>#DIV/0!</v>
      </c>
      <c r="S662" t="e">
        <f t="shared" si="65"/>
        <v>#DIV/0!</v>
      </c>
      <c r="U662">
        <v>0.96347412397488608</v>
      </c>
    </row>
    <row r="663" spans="1:21" ht="13.9" x14ac:dyDescent="0.3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60"/>
        <v>#NUM!</v>
      </c>
      <c r="I663" s="2">
        <f t="shared" si="61"/>
        <v>5.8474052497124368E-2</v>
      </c>
      <c r="J663" s="2">
        <v>0</v>
      </c>
      <c r="K663" s="2">
        <v>1.22</v>
      </c>
      <c r="L663" s="2">
        <v>0</v>
      </c>
      <c r="M663" s="2">
        <v>0.1</v>
      </c>
      <c r="N663" s="2">
        <v>0.67</v>
      </c>
      <c r="O663" s="2">
        <v>0</v>
      </c>
      <c r="P663" s="2">
        <f t="shared" si="62"/>
        <v>0.66395079686798486</v>
      </c>
      <c r="Q663" s="2">
        <f t="shared" si="63"/>
        <v>0.75924298647557076</v>
      </c>
      <c r="R663" s="2" t="e">
        <f t="shared" si="64"/>
        <v>#NUM!</v>
      </c>
      <c r="S663" t="e">
        <f t="shared" si="65"/>
        <v>#NUM!</v>
      </c>
      <c r="U663">
        <v>0.28688114778816154</v>
      </c>
    </row>
    <row r="664" spans="1:21" ht="13.9" x14ac:dyDescent="0.3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60"/>
        <v>#NUM!</v>
      </c>
      <c r="I664" s="2">
        <f t="shared" si="61"/>
        <v>0.10198326116235049</v>
      </c>
      <c r="J664" s="2">
        <v>3.63</v>
      </c>
      <c r="K664" s="2">
        <v>0</v>
      </c>
      <c r="L664" s="2">
        <v>0</v>
      </c>
      <c r="M664" s="2">
        <v>3.36</v>
      </c>
      <c r="N664" s="2">
        <v>0</v>
      </c>
      <c r="O664" s="2">
        <v>2.74</v>
      </c>
      <c r="P664" s="2">
        <f t="shared" si="62"/>
        <v>-0.74883969445449794</v>
      </c>
      <c r="Q664" s="2">
        <f t="shared" si="63"/>
        <v>0.63201269791039016</v>
      </c>
      <c r="R664" s="2" t="e">
        <f t="shared" si="64"/>
        <v>#NUM!</v>
      </c>
      <c r="S664" t="e">
        <f t="shared" si="65"/>
        <v>#NUM!</v>
      </c>
      <c r="U664">
        <v>1.8599695482210259</v>
      </c>
    </row>
    <row r="665" spans="1:21" ht="13.9" x14ac:dyDescent="0.3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60"/>
        <v>-2.1736042649433625</v>
      </c>
      <c r="I665" s="2">
        <f t="shared" si="61"/>
        <v>7.5818285404704736E-3</v>
      </c>
      <c r="J665" s="2">
        <v>10.55</v>
      </c>
      <c r="K665" s="2">
        <v>10.49</v>
      </c>
      <c r="L665" s="2">
        <v>7.83</v>
      </c>
      <c r="M665" s="2">
        <v>30.9</v>
      </c>
      <c r="N665" s="2">
        <v>16.04</v>
      </c>
      <c r="O665" s="2">
        <v>22.97</v>
      </c>
      <c r="P665" s="2">
        <f t="shared" si="62"/>
        <v>-1.2759277274050229</v>
      </c>
      <c r="Q665" s="2">
        <f t="shared" si="63"/>
        <v>3.5551336757978148E-2</v>
      </c>
      <c r="R665" s="2">
        <f t="shared" si="64"/>
        <v>0.89767653753833954</v>
      </c>
      <c r="S665">
        <f t="shared" si="65"/>
        <v>0.58701013242549449</v>
      </c>
      <c r="U665">
        <v>4.8514992024612571</v>
      </c>
    </row>
    <row r="666" spans="1:21" ht="13.9" x14ac:dyDescent="0.3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60"/>
        <v>#NUM!</v>
      </c>
      <c r="I666" s="2">
        <f t="shared" si="61"/>
        <v>0.19019337479910545</v>
      </c>
      <c r="J666" s="2">
        <v>0</v>
      </c>
      <c r="K666" s="2">
        <v>2.68</v>
      </c>
      <c r="L666" s="2">
        <v>0</v>
      </c>
      <c r="M666" s="2">
        <v>1.18</v>
      </c>
      <c r="N666" s="2">
        <v>0</v>
      </c>
      <c r="O666" s="2">
        <v>0.11</v>
      </c>
      <c r="P666" s="2">
        <f t="shared" si="62"/>
        <v>1.0548619350345185</v>
      </c>
      <c r="Q666" s="2">
        <f t="shared" si="63"/>
        <v>0.65761754831587349</v>
      </c>
      <c r="R666" s="2" t="e">
        <f t="shared" si="64"/>
        <v>#NUM!</v>
      </c>
      <c r="S666" t="e">
        <f t="shared" si="65"/>
        <v>#NUM!</v>
      </c>
      <c r="U666">
        <v>1.4222330006830479</v>
      </c>
    </row>
    <row r="667" spans="1:21" ht="13.9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0.1</v>
      </c>
      <c r="N667" s="2">
        <v>0</v>
      </c>
      <c r="O667" s="2">
        <v>0</v>
      </c>
      <c r="P667" s="2" t="e">
        <f t="shared" si="62"/>
        <v>#NUM!</v>
      </c>
      <c r="Q667" s="2">
        <f t="shared" si="63"/>
        <v>0.37390096630005903</v>
      </c>
      <c r="R667" s="2" t="e">
        <f t="shared" si="64"/>
        <v>#NUM!</v>
      </c>
      <c r="S667" t="e">
        <f t="shared" si="65"/>
        <v>#NUM!</v>
      </c>
      <c r="U667" t="e">
        <v>#NUM!</v>
      </c>
    </row>
    <row r="668" spans="1:21" ht="13.9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60"/>
        <v>#NUM!</v>
      </c>
      <c r="I668" s="2">
        <f t="shared" si="61"/>
        <v>0.15890920722581581</v>
      </c>
      <c r="J668" s="2">
        <v>0</v>
      </c>
      <c r="K668" s="2">
        <v>0</v>
      </c>
      <c r="L668" s="2">
        <v>0</v>
      </c>
      <c r="M668" s="2">
        <v>0.39</v>
      </c>
      <c r="N668" s="2">
        <v>0.13</v>
      </c>
      <c r="O668" s="2">
        <v>1.37</v>
      </c>
      <c r="P668" s="2" t="e">
        <f t="shared" si="62"/>
        <v>#NUM!</v>
      </c>
      <c r="Q668" s="2">
        <f t="shared" si="63"/>
        <v>0.17049807445942508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ht="13.9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60"/>
        <v>#NUM!</v>
      </c>
      <c r="I669" s="2">
        <f t="shared" si="61"/>
        <v>0.15038225218985554</v>
      </c>
      <c r="J669" s="2">
        <v>0</v>
      </c>
      <c r="K669" s="2">
        <v>0</v>
      </c>
      <c r="L669" s="2">
        <v>0</v>
      </c>
      <c r="M669" s="2">
        <v>0.3</v>
      </c>
      <c r="N669" s="2">
        <v>0.27</v>
      </c>
      <c r="O669" s="2">
        <v>0</v>
      </c>
      <c r="P669" s="2" t="e">
        <f t="shared" si="62"/>
        <v>#NUM!</v>
      </c>
      <c r="Q669" s="2">
        <f t="shared" si="63"/>
        <v>0.11721716888134213</v>
      </c>
      <c r="R669" s="2" t="e">
        <f t="shared" si="64"/>
        <v>#NUM!</v>
      </c>
      <c r="S669" t="e">
        <f t="shared" si="65"/>
        <v>#NUM!</v>
      </c>
      <c r="U669" t="e">
        <v>#NUM!</v>
      </c>
    </row>
    <row r="670" spans="1:21" ht="13.9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60"/>
        <v>#DIV/0!</v>
      </c>
      <c r="I670" s="2" t="e">
        <f t="shared" si="61"/>
        <v>#DIV/0!</v>
      </c>
      <c r="J670" s="2">
        <v>0</v>
      </c>
      <c r="K670" s="2">
        <v>2.2000000000000002</v>
      </c>
      <c r="L670" s="2">
        <v>0</v>
      </c>
      <c r="M670" s="2">
        <v>0</v>
      </c>
      <c r="N670" s="2">
        <v>0.13</v>
      </c>
      <c r="O670" s="2">
        <v>0</v>
      </c>
      <c r="P670" s="2">
        <f t="shared" si="62"/>
        <v>4.0809199953835673</v>
      </c>
      <c r="Q670" s="2">
        <f t="shared" si="63"/>
        <v>0.40077125781951178</v>
      </c>
      <c r="R670" s="2" t="e">
        <f t="shared" si="64"/>
        <v>#DIV/0!</v>
      </c>
      <c r="S670" t="e">
        <f t="shared" si="65"/>
        <v>#DIV/0!</v>
      </c>
      <c r="U670">
        <v>1.1375035237499351</v>
      </c>
    </row>
    <row r="671" spans="1:21" ht="13.9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60"/>
        <v>#NUM!</v>
      </c>
      <c r="I671" s="2">
        <f t="shared" si="61"/>
        <v>0.11611652351681555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ht="13.9" x14ac:dyDescent="0.3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60"/>
        <v>-6.1249405903239559E-2</v>
      </c>
      <c r="I672" s="2">
        <f t="shared" si="61"/>
        <v>0.93770765283684376</v>
      </c>
      <c r="J672" s="2">
        <v>8.57</v>
      </c>
      <c r="K672" s="2">
        <v>0.98</v>
      </c>
      <c r="L672" s="2">
        <v>0.18</v>
      </c>
      <c r="M672" s="2">
        <v>4.4400000000000004</v>
      </c>
      <c r="N672" s="2">
        <v>3.48</v>
      </c>
      <c r="O672" s="2">
        <v>4.53</v>
      </c>
      <c r="P672" s="2">
        <f t="shared" si="62"/>
        <v>-0.35563403217433159</v>
      </c>
      <c r="Q672" s="2">
        <f t="shared" si="63"/>
        <v>0.75340304988743678</v>
      </c>
      <c r="R672" s="2">
        <f t="shared" si="64"/>
        <v>-0.29438462627109202</v>
      </c>
      <c r="S672">
        <f t="shared" si="65"/>
        <v>5.8063262317377298</v>
      </c>
      <c r="U672">
        <v>3.282439805006387</v>
      </c>
    </row>
    <row r="673" spans="1:21" ht="13.9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 t="e">
        <f t="shared" si="61"/>
        <v>#DIV/0!</v>
      </c>
      <c r="J673" s="2">
        <v>0</v>
      </c>
      <c r="K673" s="2">
        <v>1.95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>
        <f t="shared" si="63"/>
        <v>0.37390096630005903</v>
      </c>
      <c r="R673" s="2" t="e">
        <f t="shared" si="64"/>
        <v>#DIV/0!</v>
      </c>
      <c r="S673" t="e">
        <f t="shared" si="65"/>
        <v>#DIV/0!</v>
      </c>
      <c r="U673">
        <v>0.96347412397488608</v>
      </c>
    </row>
    <row r="674" spans="1:21" ht="13.9" x14ac:dyDescent="0.3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60"/>
        <v>0.47062982524216118</v>
      </c>
      <c r="I674" s="2">
        <f t="shared" si="61"/>
        <v>0.65802567873628204</v>
      </c>
      <c r="J674" s="2">
        <v>0</v>
      </c>
      <c r="K674" s="2">
        <v>0.24</v>
      </c>
      <c r="L674" s="2">
        <v>0</v>
      </c>
      <c r="M674" s="2">
        <v>1.48</v>
      </c>
      <c r="N674" s="2">
        <v>1.2</v>
      </c>
      <c r="O674" s="2">
        <v>2.11</v>
      </c>
      <c r="P674" s="2">
        <f t="shared" si="62"/>
        <v>-4.3189193450150238</v>
      </c>
      <c r="Q674" s="2">
        <f t="shared" si="63"/>
        <v>5.6826632961506796E-3</v>
      </c>
      <c r="R674" s="2">
        <f t="shared" si="64"/>
        <v>-4.7895491702571853</v>
      </c>
      <c r="S674">
        <f t="shared" si="65"/>
        <v>-9.1768925668761785</v>
      </c>
      <c r="U674">
        <v>-2.0588936890535687</v>
      </c>
    </row>
    <row r="675" spans="1:21" ht="13.9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60"/>
        <v>#DIV/0!</v>
      </c>
      <c r="I675" s="2" t="e">
        <f t="shared" si="61"/>
        <v>#DIV/0!</v>
      </c>
      <c r="J675" s="2">
        <v>6.26</v>
      </c>
      <c r="K675" s="2">
        <v>0</v>
      </c>
      <c r="L675" s="2">
        <v>0</v>
      </c>
      <c r="M675" s="2">
        <v>0.89</v>
      </c>
      <c r="N675" s="2">
        <v>0</v>
      </c>
      <c r="O675" s="2">
        <v>0</v>
      </c>
      <c r="P675" s="2">
        <f t="shared" si="62"/>
        <v>2.8142854159662205</v>
      </c>
      <c r="Q675" s="2">
        <f t="shared" si="63"/>
        <v>0.44356268741357918</v>
      </c>
      <c r="R675" s="2" t="e">
        <f t="shared" si="64"/>
        <v>#DIV/0!</v>
      </c>
      <c r="S675" t="e">
        <f t="shared" si="65"/>
        <v>#DIV/0!</v>
      </c>
      <c r="U675">
        <v>2.6461626571578938</v>
      </c>
    </row>
    <row r="676" spans="1:21" ht="13.9" x14ac:dyDescent="0.3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60"/>
        <v>#NUM!</v>
      </c>
      <c r="I676" s="2">
        <f t="shared" si="61"/>
        <v>5.6989080753757838E-2</v>
      </c>
      <c r="J676" s="2">
        <v>0</v>
      </c>
      <c r="K676" s="2">
        <v>0</v>
      </c>
      <c r="L676" s="2">
        <v>10.92</v>
      </c>
      <c r="M676" s="2">
        <v>0.2</v>
      </c>
      <c r="N676" s="2">
        <v>0</v>
      </c>
      <c r="O676" s="2">
        <v>1.9</v>
      </c>
      <c r="P676" s="2">
        <f t="shared" si="62"/>
        <v>2.37851162325373</v>
      </c>
      <c r="Q676" s="2">
        <f t="shared" si="63"/>
        <v>0.47016435695789405</v>
      </c>
      <c r="R676" s="2" t="e">
        <f t="shared" si="64"/>
        <v>#NUM!</v>
      </c>
      <c r="S676" t="e">
        <f t="shared" si="65"/>
        <v>#NUM!</v>
      </c>
      <c r="U676">
        <v>3.4489009511451281</v>
      </c>
    </row>
    <row r="677" spans="1:21" ht="13.9" x14ac:dyDescent="0.3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60"/>
        <v>#NUM!</v>
      </c>
      <c r="I677" s="2">
        <f t="shared" si="61"/>
        <v>0.23779614445826563</v>
      </c>
      <c r="J677" s="2">
        <v>5.6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 t="e">
        <f t="shared" si="62"/>
        <v>#DIV/0!</v>
      </c>
      <c r="Q677" s="2">
        <f t="shared" si="63"/>
        <v>0.37390096630005903</v>
      </c>
      <c r="R677" s="2" t="e">
        <f t="shared" si="64"/>
        <v>#DIV/0!</v>
      </c>
      <c r="S677" t="e">
        <f t="shared" si="65"/>
        <v>#DIV/0!</v>
      </c>
      <c r="U677">
        <v>2.485426827170242</v>
      </c>
    </row>
    <row r="678" spans="1:21" ht="13.9" x14ac:dyDescent="0.3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60"/>
        <v>#NUM!</v>
      </c>
      <c r="I678" s="2">
        <f t="shared" si="61"/>
        <v>2.1887602369510026E-2</v>
      </c>
      <c r="J678" s="2">
        <v>0</v>
      </c>
      <c r="K678" s="2">
        <v>0</v>
      </c>
      <c r="L678" s="2">
        <v>4.92</v>
      </c>
      <c r="M678" s="2">
        <v>0.59</v>
      </c>
      <c r="N678" s="2">
        <v>0.27</v>
      </c>
      <c r="O678" s="2">
        <v>2</v>
      </c>
      <c r="P678" s="2">
        <f t="shared" si="62"/>
        <v>0.78264316856085059</v>
      </c>
      <c r="Q678" s="2">
        <f t="shared" si="63"/>
        <v>0.71074713203716788</v>
      </c>
      <c r="R678" s="2" t="e">
        <f t="shared" si="64"/>
        <v>#NUM!</v>
      </c>
      <c r="S678" t="e">
        <f t="shared" si="65"/>
        <v>#NUM!</v>
      </c>
      <c r="U678">
        <v>2.2986583155645151</v>
      </c>
    </row>
    <row r="679" spans="1:21" ht="13.9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60"/>
        <v>#NUM!</v>
      </c>
      <c r="I679" s="2">
        <f t="shared" si="61"/>
        <v>0.37390096630005903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 t="e">
        <f t="shared" si="62"/>
        <v>#DIV/0!</v>
      </c>
      <c r="Q679" s="2" t="e">
        <f t="shared" si="63"/>
        <v>#DIV/0!</v>
      </c>
      <c r="R679" s="2" t="e">
        <f t="shared" si="64"/>
        <v>#DIV/0!</v>
      </c>
      <c r="S679" t="e">
        <f t="shared" si="65"/>
        <v>#DIV/0!</v>
      </c>
      <c r="U679" t="e">
        <v>#NUM!</v>
      </c>
    </row>
    <row r="680" spans="1:21" ht="13.9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60"/>
        <v>#NUM!</v>
      </c>
      <c r="I680" s="2">
        <f t="shared" si="61"/>
        <v>0.37390096630005903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 t="e">
        <f t="shared" si="62"/>
        <v>#DIV/0!</v>
      </c>
      <c r="Q680" s="2" t="e">
        <f t="shared" si="63"/>
        <v>#DIV/0!</v>
      </c>
      <c r="R680" s="2" t="e">
        <f t="shared" si="64"/>
        <v>#DIV/0!</v>
      </c>
      <c r="S680" t="e">
        <f t="shared" si="65"/>
        <v>#DIV/0!</v>
      </c>
      <c r="U680" t="e">
        <v>#NUM!</v>
      </c>
    </row>
    <row r="681" spans="1:21" ht="13.9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0.1</v>
      </c>
      <c r="N681" s="2">
        <v>0</v>
      </c>
      <c r="O681" s="2">
        <v>0</v>
      </c>
      <c r="P681" s="2" t="e">
        <f t="shared" si="62"/>
        <v>#NUM!</v>
      </c>
      <c r="Q681" s="2">
        <f t="shared" si="63"/>
        <v>0.37390096630005903</v>
      </c>
      <c r="R681" s="2" t="e">
        <f t="shared" si="64"/>
        <v>#NUM!</v>
      </c>
      <c r="S681" t="e">
        <f t="shared" si="65"/>
        <v>#NUM!</v>
      </c>
      <c r="U681" t="e">
        <v>#NUM!</v>
      </c>
    </row>
    <row r="682" spans="1:21" ht="13.9" x14ac:dyDescent="0.3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60"/>
        <v>#NUM!</v>
      </c>
      <c r="I682" s="2">
        <f t="shared" si="61"/>
        <v>0.11712670774331806</v>
      </c>
      <c r="J682" s="2">
        <v>0</v>
      </c>
      <c r="K682" s="2">
        <v>0</v>
      </c>
      <c r="L682" s="2">
        <v>0.18</v>
      </c>
      <c r="M682" s="2">
        <v>0</v>
      </c>
      <c r="N682" s="2">
        <v>0</v>
      </c>
      <c r="O682" s="2">
        <v>0</v>
      </c>
      <c r="P682" s="2" t="e">
        <f t="shared" si="62"/>
        <v>#DIV/0!</v>
      </c>
      <c r="Q682" s="2">
        <f t="shared" si="63"/>
        <v>0.37390096630005903</v>
      </c>
      <c r="R682" s="2" t="e">
        <f t="shared" si="64"/>
        <v>#DIV/0!</v>
      </c>
      <c r="S682" t="e">
        <f t="shared" si="65"/>
        <v>#DIV/0!</v>
      </c>
      <c r="U682">
        <v>-2.4739311883324122</v>
      </c>
    </row>
    <row r="683" spans="1:21" ht="13.9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60"/>
        <v>#DIV/0!</v>
      </c>
      <c r="I683" s="2" t="e">
        <f t="shared" si="61"/>
        <v>#DIV/0!</v>
      </c>
      <c r="J683" s="2">
        <v>0</v>
      </c>
      <c r="K683" s="2">
        <v>12.69</v>
      </c>
      <c r="L683" s="2">
        <v>0</v>
      </c>
      <c r="M683" s="2">
        <v>0</v>
      </c>
      <c r="N683" s="2">
        <v>0</v>
      </c>
      <c r="O683" s="2">
        <v>0.63</v>
      </c>
      <c r="P683" s="2">
        <f t="shared" si="62"/>
        <v>4.33219643034119</v>
      </c>
      <c r="Q683" s="2">
        <f t="shared" si="63"/>
        <v>0.39627468253986031</v>
      </c>
      <c r="R683" s="2" t="e">
        <f t="shared" si="64"/>
        <v>#DIV/0!</v>
      </c>
      <c r="S683" t="e">
        <f t="shared" si="65"/>
        <v>#DIV/0!</v>
      </c>
      <c r="U683">
        <v>3.665620164066381</v>
      </c>
    </row>
    <row r="684" spans="1:21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 t="e">
        <f t="shared" si="62"/>
        <v>#DIV/0!</v>
      </c>
      <c r="Q684" s="2" t="e">
        <f t="shared" si="63"/>
        <v>#DIV/0!</v>
      </c>
      <c r="R684" s="2" t="e">
        <f t="shared" si="64"/>
        <v>#DIV/0!</v>
      </c>
      <c r="S684" t="e">
        <f t="shared" si="65"/>
        <v>#DIV/0!</v>
      </c>
      <c r="U684" t="e">
        <v>#NUM!</v>
      </c>
    </row>
    <row r="685" spans="1:21" ht="13.9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60"/>
        <v>#NUM!</v>
      </c>
      <c r="I685" s="2">
        <f t="shared" si="61"/>
        <v>0.37390096630005903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 t="e">
        <f t="shared" si="63"/>
        <v>#DIV/0!</v>
      </c>
      <c r="R685" s="2" t="e">
        <f t="shared" si="64"/>
        <v>#DIV/0!</v>
      </c>
      <c r="S685" t="e">
        <f t="shared" si="65"/>
        <v>#DIV/0!</v>
      </c>
      <c r="U685" t="e">
        <v>#NUM!</v>
      </c>
    </row>
    <row r="686" spans="1:21" ht="13.9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60"/>
        <v>#NUM!</v>
      </c>
      <c r="I686" s="2">
        <f t="shared" si="61"/>
        <v>0.15363070430658815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0.21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ht="13.9" x14ac:dyDescent="0.3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>
        <f t="shared" si="61"/>
        <v>0.37390096630005903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60"/>
        <v>#DIV/0!</v>
      </c>
      <c r="I688" s="2" t="e">
        <f t="shared" si="61"/>
        <v>#DIV/0!</v>
      </c>
      <c r="J688" s="2">
        <v>0</v>
      </c>
      <c r="K688" s="2">
        <v>0</v>
      </c>
      <c r="L688" s="2">
        <v>0</v>
      </c>
      <c r="M688" s="2">
        <v>1.38</v>
      </c>
      <c r="N688" s="2">
        <v>0</v>
      </c>
      <c r="O688" s="2">
        <v>0</v>
      </c>
      <c r="P688" s="2" t="e">
        <f t="shared" si="62"/>
        <v>#NUM!</v>
      </c>
      <c r="Q688" s="2">
        <f t="shared" si="63"/>
        <v>0.37390096630005903</v>
      </c>
      <c r="R688" s="2" t="e">
        <f t="shared" si="64"/>
        <v>#NUM!</v>
      </c>
      <c r="S688" t="e">
        <f t="shared" si="65"/>
        <v>#NUM!</v>
      </c>
      <c r="U688" t="e">
        <v>#NUM!</v>
      </c>
    </row>
    <row r="689" spans="1:21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60"/>
        <v>#DIV/0!</v>
      </c>
      <c r="I689" s="2" t="e">
        <f t="shared" si="61"/>
        <v>#DIV/0!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0.84</v>
      </c>
      <c r="P689" s="2" t="e">
        <f t="shared" si="62"/>
        <v>#NUM!</v>
      </c>
      <c r="Q689" s="2">
        <f t="shared" si="63"/>
        <v>0.37390096630005903</v>
      </c>
      <c r="R689" s="2" t="e">
        <f t="shared" si="64"/>
        <v>#NUM!</v>
      </c>
      <c r="S689" t="e">
        <f t="shared" si="65"/>
        <v>#NUM!</v>
      </c>
      <c r="U689" t="e">
        <v>#NUM!</v>
      </c>
    </row>
    <row r="690" spans="1:21" ht="13.9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60"/>
        <v>#NUM!</v>
      </c>
      <c r="I690" s="2">
        <f t="shared" si="61"/>
        <v>0.23295113855790722</v>
      </c>
      <c r="J690" s="2">
        <v>0</v>
      </c>
      <c r="K690" s="2">
        <v>0</v>
      </c>
      <c r="L690" s="2">
        <v>0</v>
      </c>
      <c r="M690" s="2">
        <v>0</v>
      </c>
      <c r="N690" s="2">
        <v>0.27</v>
      </c>
      <c r="O690" s="2">
        <v>0.84</v>
      </c>
      <c r="P690" s="2" t="e">
        <f t="shared" si="62"/>
        <v>#NUM!</v>
      </c>
      <c r="Q690" s="2">
        <f t="shared" si="63"/>
        <v>0.20937694898279027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ht="13.9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60"/>
        <v>#NUM!</v>
      </c>
      <c r="I691" s="2">
        <f t="shared" si="61"/>
        <v>0.37390096630005903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 t="e">
        <f t="shared" si="62"/>
        <v>#DIV/0!</v>
      </c>
      <c r="Q691" s="2" t="e">
        <f t="shared" si="63"/>
        <v>#DIV/0!</v>
      </c>
      <c r="R691" s="2" t="e">
        <f t="shared" si="64"/>
        <v>#DIV/0!</v>
      </c>
      <c r="S691" t="e">
        <f t="shared" si="65"/>
        <v>#DIV/0!</v>
      </c>
      <c r="U691" t="e">
        <v>#NUM!</v>
      </c>
    </row>
    <row r="692" spans="1:21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 t="e">
        <f t="shared" si="62"/>
        <v>#DIV/0!</v>
      </c>
      <c r="Q692" s="2" t="e">
        <f t="shared" si="63"/>
        <v>#DIV/0!</v>
      </c>
      <c r="R692" s="2" t="e">
        <f t="shared" si="64"/>
        <v>#DIV/0!</v>
      </c>
      <c r="S692" t="e">
        <f t="shared" si="65"/>
        <v>#DIV/0!</v>
      </c>
      <c r="U692" t="e">
        <v>#NUM!</v>
      </c>
    </row>
    <row r="693" spans="1:21" ht="13.9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 t="e">
        <f t="shared" si="61"/>
        <v>#DIV/0!</v>
      </c>
      <c r="J693" s="2">
        <v>0</v>
      </c>
      <c r="K693" s="2">
        <v>0</v>
      </c>
      <c r="L693" s="2">
        <v>13.47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>
        <f t="shared" si="63"/>
        <v>0.37390096630005903</v>
      </c>
      <c r="R693" s="2" t="e">
        <f t="shared" si="64"/>
        <v>#DIV/0!</v>
      </c>
      <c r="S693" t="e">
        <f t="shared" si="65"/>
        <v>#DIV/0!</v>
      </c>
      <c r="U693">
        <v>3.7516779456875788</v>
      </c>
    </row>
    <row r="694" spans="1:21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60"/>
        <v>#DIV/0!</v>
      </c>
      <c r="I694" s="2" t="e">
        <f t="shared" si="61"/>
        <v>#DIV/0!</v>
      </c>
      <c r="J694" s="2">
        <v>0</v>
      </c>
      <c r="K694" s="2">
        <v>0</v>
      </c>
      <c r="L694" s="2">
        <v>0</v>
      </c>
      <c r="M694" s="2">
        <v>0</v>
      </c>
      <c r="N694" s="2">
        <v>0.13</v>
      </c>
      <c r="O694" s="2">
        <v>0</v>
      </c>
      <c r="P694" s="2" t="e">
        <f t="shared" si="62"/>
        <v>#NUM!</v>
      </c>
      <c r="Q694" s="2">
        <f t="shared" si="63"/>
        <v>0.37390096630005903</v>
      </c>
      <c r="R694" s="2" t="e">
        <f t="shared" si="64"/>
        <v>#NUM!</v>
      </c>
      <c r="S694" t="e">
        <f t="shared" si="65"/>
        <v>#NUM!</v>
      </c>
      <c r="U694" t="e">
        <v>#NUM!</v>
      </c>
    </row>
    <row r="695" spans="1:21" ht="13.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 t="e">
        <f t="shared" si="63"/>
        <v>#DIV/0!</v>
      </c>
      <c r="R695" s="2" t="e">
        <f t="shared" si="64"/>
        <v>#DIV/0!</v>
      </c>
      <c r="S695" t="e">
        <f t="shared" si="65"/>
        <v>#DIV/0!</v>
      </c>
      <c r="U695" t="e">
        <v>#NUM!</v>
      </c>
    </row>
    <row r="696" spans="1:21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60"/>
        <v>#DIV/0!</v>
      </c>
      <c r="I696" s="2" t="e">
        <f t="shared" si="61"/>
        <v>#DIV/0!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0.53</v>
      </c>
      <c r="P696" s="2" t="e">
        <f t="shared" si="62"/>
        <v>#NUM!</v>
      </c>
      <c r="Q696" s="2">
        <f t="shared" si="63"/>
        <v>0.37390096630005903</v>
      </c>
      <c r="R696" s="2" t="e">
        <f t="shared" si="64"/>
        <v>#NUM!</v>
      </c>
      <c r="S696" t="e">
        <f t="shared" si="65"/>
        <v>#NUM!</v>
      </c>
      <c r="U696" t="e">
        <v>#NUM!</v>
      </c>
    </row>
    <row r="697" spans="1:21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60"/>
        <v>#DIV/0!</v>
      </c>
      <c r="I697" s="2" t="e">
        <f t="shared" si="61"/>
        <v>#DIV/0!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0.53</v>
      </c>
      <c r="P697" s="2" t="e">
        <f t="shared" si="62"/>
        <v>#NUM!</v>
      </c>
      <c r="Q697" s="2">
        <f t="shared" si="63"/>
        <v>0.37390096630005903</v>
      </c>
      <c r="R697" s="2" t="e">
        <f t="shared" si="64"/>
        <v>#NUM!</v>
      </c>
      <c r="S697" t="e">
        <f t="shared" si="65"/>
        <v>#NUM!</v>
      </c>
      <c r="U697" t="e">
        <v>#NUM!</v>
      </c>
    </row>
    <row r="698" spans="1:21" ht="13.9" x14ac:dyDescent="0.3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60"/>
        <v>-0.68658589161668504</v>
      </c>
      <c r="I698" s="2">
        <f t="shared" si="61"/>
        <v>0.44430580149313942</v>
      </c>
      <c r="J698" s="2">
        <v>5.6</v>
      </c>
      <c r="K698" s="2">
        <v>12.69</v>
      </c>
      <c r="L698" s="2">
        <v>5.46</v>
      </c>
      <c r="M698" s="2">
        <v>4.1500000000000004</v>
      </c>
      <c r="N698" s="2">
        <v>17.649999999999999</v>
      </c>
      <c r="O698" s="2">
        <v>10.33</v>
      </c>
      <c r="P698" s="2">
        <f t="shared" si="62"/>
        <v>-0.43599346736573935</v>
      </c>
      <c r="Q698" s="2">
        <f t="shared" si="63"/>
        <v>0.57439595478877459</v>
      </c>
      <c r="R698" s="2">
        <f t="shared" si="64"/>
        <v>0.25059242425094569</v>
      </c>
      <c r="S698">
        <f t="shared" si="65"/>
        <v>0.63501664203894059</v>
      </c>
      <c r="U698">
        <v>4.5698556083309487</v>
      </c>
    </row>
    <row r="699" spans="1:21" ht="13.9" x14ac:dyDescent="0.3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60"/>
        <v>3.7148427832680664</v>
      </c>
      <c r="I699" s="2">
        <f t="shared" si="61"/>
        <v>0.40908981823545232</v>
      </c>
      <c r="J699" s="2">
        <v>1.32</v>
      </c>
      <c r="K699" s="2">
        <v>0</v>
      </c>
      <c r="L699" s="2">
        <v>0</v>
      </c>
      <c r="M699" s="2">
        <v>0.69</v>
      </c>
      <c r="N699" s="2">
        <v>0.27</v>
      </c>
      <c r="O699" s="2">
        <v>0.21</v>
      </c>
      <c r="P699" s="2">
        <f t="shared" si="62"/>
        <v>0.17402939977504919</v>
      </c>
      <c r="Q699" s="2">
        <f t="shared" si="63"/>
        <v>0.919580886065819</v>
      </c>
      <c r="R699" s="2">
        <f t="shared" si="64"/>
        <v>-3.5408133834930173</v>
      </c>
      <c r="S699">
        <f t="shared" si="65"/>
        <v>4.6847043045506749E-2</v>
      </c>
      <c r="U699">
        <v>0.40053792958372886</v>
      </c>
    </row>
    <row r="700" spans="1:21" ht="13.9" x14ac:dyDescent="0.3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60"/>
        <v>2.8693702850738902</v>
      </c>
      <c r="I700" s="2">
        <f t="shared" si="61"/>
        <v>1.362126924401098E-2</v>
      </c>
      <c r="J700" s="2">
        <v>317.08999999999997</v>
      </c>
      <c r="K700" s="2">
        <v>119.05</v>
      </c>
      <c r="L700" s="2">
        <v>336.64</v>
      </c>
      <c r="M700" s="2">
        <v>46.69</v>
      </c>
      <c r="N700" s="2">
        <v>27.68</v>
      </c>
      <c r="O700" s="2">
        <v>48.58</v>
      </c>
      <c r="P700" s="2">
        <f t="shared" si="62"/>
        <v>2.6519860219283653</v>
      </c>
      <c r="Q700" s="2">
        <f t="shared" si="63"/>
        <v>3.6138100691894826E-2</v>
      </c>
      <c r="R700" s="2">
        <f t="shared" si="64"/>
        <v>-0.21738426314552495</v>
      </c>
      <c r="S700">
        <f t="shared" si="65"/>
        <v>0.92423973152704231</v>
      </c>
      <c r="U700">
        <v>9.5939139466370857</v>
      </c>
    </row>
    <row r="701" spans="1:21" ht="13.9" x14ac:dyDescent="0.3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60"/>
        <v>-0.96721382854097526</v>
      </c>
      <c r="I701" s="2">
        <f t="shared" si="61"/>
        <v>0.10333459998272577</v>
      </c>
      <c r="J701" s="2">
        <v>9.23</v>
      </c>
      <c r="K701" s="2">
        <v>0</v>
      </c>
      <c r="L701" s="2">
        <v>11.11</v>
      </c>
      <c r="M701" s="2">
        <v>16.68</v>
      </c>
      <c r="N701" s="2">
        <v>14.44</v>
      </c>
      <c r="O701" s="2">
        <v>11.7</v>
      </c>
      <c r="P701" s="2">
        <f t="shared" si="62"/>
        <v>-1.0739651165280091</v>
      </c>
      <c r="Q701" s="2">
        <f t="shared" si="63"/>
        <v>0.11443994933149958</v>
      </c>
      <c r="R701" s="2">
        <f t="shared" si="64"/>
        <v>-0.10675128798703382</v>
      </c>
      <c r="S701">
        <f t="shared" si="65"/>
        <v>1.1103698942642974</v>
      </c>
      <c r="U701">
        <v>4.3462477740827756</v>
      </c>
    </row>
    <row r="702" spans="1:21" ht="13.9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1.6</v>
      </c>
      <c r="O702" s="2">
        <v>0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60"/>
        <v>#DIV/0!</v>
      </c>
      <c r="I703" s="2" t="e">
        <f t="shared" si="61"/>
        <v>#DIV/0!</v>
      </c>
      <c r="J703" s="2">
        <v>0</v>
      </c>
      <c r="K703" s="2">
        <v>0</v>
      </c>
      <c r="L703" s="2">
        <v>0</v>
      </c>
      <c r="M703" s="2">
        <v>0.3</v>
      </c>
      <c r="N703" s="2">
        <v>0.53</v>
      </c>
      <c r="O703" s="2">
        <v>0.53</v>
      </c>
      <c r="P703" s="2" t="e">
        <f t="shared" si="62"/>
        <v>#NUM!</v>
      </c>
      <c r="Q703" s="2">
        <f t="shared" si="63"/>
        <v>4.0956736627444906E-3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ht="13.9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60"/>
        <v>#NUM!</v>
      </c>
      <c r="I704" s="2">
        <f t="shared" si="61"/>
        <v>8.1356341394483455E-5</v>
      </c>
      <c r="J704" s="2">
        <v>0</v>
      </c>
      <c r="K704" s="2">
        <v>0</v>
      </c>
      <c r="L704" s="2">
        <v>0</v>
      </c>
      <c r="M704" s="2">
        <v>6.52</v>
      </c>
      <c r="N704" s="2">
        <v>3.48</v>
      </c>
      <c r="O704" s="2">
        <v>7.48</v>
      </c>
      <c r="P704" s="2" t="e">
        <f t="shared" si="62"/>
        <v>#NUM!</v>
      </c>
      <c r="Q704" s="2">
        <f t="shared" si="63"/>
        <v>8.443259355777959E-3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ht="13.9" x14ac:dyDescent="0.3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60"/>
        <v>-1.0513713650409209</v>
      </c>
      <c r="I705" s="2">
        <f t="shared" si="61"/>
        <v>2.1617859208402975E-2</v>
      </c>
      <c r="J705" s="2">
        <v>592.32000000000005</v>
      </c>
      <c r="K705" s="2">
        <v>865.58</v>
      </c>
      <c r="L705" s="2">
        <v>589.53</v>
      </c>
      <c r="M705" s="2">
        <v>1105.51</v>
      </c>
      <c r="N705" s="2">
        <v>1006.41</v>
      </c>
      <c r="O705" s="2">
        <v>1138.27</v>
      </c>
      <c r="P705" s="2">
        <f t="shared" si="62"/>
        <v>-0.66670992973166554</v>
      </c>
      <c r="Q705" s="2">
        <f t="shared" si="63"/>
        <v>1.5883528576058403E-2</v>
      </c>
      <c r="R705" s="2">
        <f t="shared" si="64"/>
        <v>0.38466143530925534</v>
      </c>
      <c r="S705">
        <f t="shared" si="65"/>
        <v>0.63413362005129015</v>
      </c>
      <c r="U705">
        <v>10.999598412777845</v>
      </c>
    </row>
    <row r="706" spans="1:21" ht="13.9" x14ac:dyDescent="0.3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4" si="66">LOG(SUM(B706:D706)/SUM(E706:G706),2)</f>
        <v>2.2767651216959024</v>
      </c>
      <c r="I706" s="2">
        <f t="shared" ref="I706:I764" si="67">_xlfn.T.TEST(B706:D706,E706:G706,2,2)</f>
        <v>0.47225241240358101</v>
      </c>
      <c r="J706" s="2">
        <v>18.79</v>
      </c>
      <c r="K706" s="2">
        <v>0</v>
      </c>
      <c r="L706" s="2">
        <v>9.2899999999999991</v>
      </c>
      <c r="M706" s="2">
        <v>1.48</v>
      </c>
      <c r="N706" s="2">
        <v>1.47</v>
      </c>
      <c r="O706" s="2">
        <v>0.42</v>
      </c>
      <c r="P706" s="2">
        <f t="shared" ref="P706:P764" si="68">LOG(SUM(J706:L706)/SUM(M706:O706),2)</f>
        <v>3.0587224391227026</v>
      </c>
      <c r="Q706" s="2">
        <f t="shared" ref="Q706:Q764" si="69">_xlfn.T.TEST(J706:L706,M706:O706,2,2)</f>
        <v>0.20427688500186333</v>
      </c>
      <c r="R706" s="2">
        <f t="shared" si="64"/>
        <v>0.78195731742680019</v>
      </c>
      <c r="S706">
        <f t="shared" si="65"/>
        <v>1.343451026184177</v>
      </c>
      <c r="U706">
        <v>4.8114710305298356</v>
      </c>
    </row>
    <row r="707" spans="1:21" ht="13.9" x14ac:dyDescent="0.3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66"/>
        <v>-0.72131602733597933</v>
      </c>
      <c r="I707" s="2">
        <f t="shared" si="67"/>
        <v>0.18428790601942108</v>
      </c>
      <c r="J707" s="2">
        <v>197.11</v>
      </c>
      <c r="K707" s="2">
        <v>134.91</v>
      </c>
      <c r="L707" s="2">
        <v>168.96</v>
      </c>
      <c r="M707" s="2">
        <v>352.61</v>
      </c>
      <c r="N707" s="2">
        <v>350.85</v>
      </c>
      <c r="O707" s="2">
        <v>304.77999999999997</v>
      </c>
      <c r="P707" s="2">
        <f t="shared" si="68"/>
        <v>-1.0090141820037271</v>
      </c>
      <c r="Q707" s="2">
        <f t="shared" si="69"/>
        <v>2.0881558648820097E-3</v>
      </c>
      <c r="R707" s="2">
        <f t="shared" ref="R707:R764" si="70">P707-H707</f>
        <v>-0.28769815466774773</v>
      </c>
      <c r="S707">
        <f t="shared" si="65"/>
        <v>1.3988517428765543</v>
      </c>
      <c r="U707">
        <v>8.9686091994292223</v>
      </c>
    </row>
    <row r="708" spans="1:21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 t="e">
        <f t="shared" si="68"/>
        <v>#DIV/0!</v>
      </c>
      <c r="Q708" s="2" t="e">
        <f t="shared" si="69"/>
        <v>#DIV/0!</v>
      </c>
      <c r="R708" s="2" t="e">
        <f t="shared" si="70"/>
        <v>#DIV/0!</v>
      </c>
      <c r="S708" t="e">
        <f t="shared" ref="S708:S771" si="71">P708/H708</f>
        <v>#DIV/0!</v>
      </c>
      <c r="U708" t="e">
        <v>#NUM!</v>
      </c>
    </row>
    <row r="709" spans="1:21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66"/>
        <v>#DIV/0!</v>
      </c>
      <c r="I709" s="2" t="e">
        <f t="shared" si="67"/>
        <v>#DIV/0!</v>
      </c>
      <c r="J709" s="2">
        <v>0</v>
      </c>
      <c r="K709" s="2">
        <v>0</v>
      </c>
      <c r="L709" s="2">
        <v>0</v>
      </c>
      <c r="M709" s="2">
        <v>0.49</v>
      </c>
      <c r="N709" s="2">
        <v>0</v>
      </c>
      <c r="O709" s="2">
        <v>0</v>
      </c>
      <c r="P709" s="2" t="e">
        <f t="shared" si="68"/>
        <v>#NUM!</v>
      </c>
      <c r="Q709" s="2">
        <f t="shared" si="69"/>
        <v>0.37390096630005903</v>
      </c>
      <c r="R709" s="2" t="e">
        <f t="shared" si="70"/>
        <v>#NUM!</v>
      </c>
      <c r="S709" t="e">
        <f t="shared" si="71"/>
        <v>#NUM!</v>
      </c>
      <c r="U709" t="e">
        <v>#NUM!</v>
      </c>
    </row>
    <row r="710" spans="1:21" ht="13.9" x14ac:dyDescent="0.3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66"/>
        <v>-3.0038741335116299</v>
      </c>
      <c r="I710" s="2">
        <f t="shared" si="67"/>
        <v>2.0905331532228042E-2</v>
      </c>
      <c r="J710" s="2">
        <v>1.32</v>
      </c>
      <c r="K710" s="2">
        <v>34.64</v>
      </c>
      <c r="L710" s="2">
        <v>11.29</v>
      </c>
      <c r="M710" s="2">
        <v>46.69</v>
      </c>
      <c r="N710" s="2">
        <v>38.909999999999997</v>
      </c>
      <c r="O710" s="2">
        <v>45.95</v>
      </c>
      <c r="P710" s="2">
        <f t="shared" si="68"/>
        <v>-1.4772250140574545</v>
      </c>
      <c r="Q710" s="2">
        <f t="shared" si="69"/>
        <v>5.0837089731596119E-2</v>
      </c>
      <c r="R710" s="2">
        <f t="shared" si="70"/>
        <v>1.5266491194541754</v>
      </c>
      <c r="S710">
        <f t="shared" si="71"/>
        <v>0.4917732729135787</v>
      </c>
      <c r="U710">
        <v>5.5622424242210728</v>
      </c>
    </row>
    <row r="711" spans="1:21" ht="13.9" x14ac:dyDescent="0.3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66"/>
        <v>0.86828392069993598</v>
      </c>
      <c r="I711" s="2">
        <f t="shared" si="67"/>
        <v>0.67958110957240458</v>
      </c>
      <c r="J711" s="2">
        <v>5.93</v>
      </c>
      <c r="K711" s="2">
        <v>0</v>
      </c>
      <c r="L711" s="2">
        <v>6.01</v>
      </c>
      <c r="M711" s="2">
        <v>3.16</v>
      </c>
      <c r="N711" s="2">
        <v>2.54</v>
      </c>
      <c r="O711" s="2">
        <v>1.79</v>
      </c>
      <c r="P711" s="2">
        <f t="shared" si="68"/>
        <v>0.67276521280605373</v>
      </c>
      <c r="Q711" s="2">
        <f t="shared" si="69"/>
        <v>0.50529124916280499</v>
      </c>
      <c r="R711" s="2">
        <f t="shared" si="70"/>
        <v>-0.19551870789388226</v>
      </c>
      <c r="S711">
        <f t="shared" si="71"/>
        <v>0.77482168766148307</v>
      </c>
      <c r="U711">
        <v>3.57773093149008</v>
      </c>
    </row>
    <row r="712" spans="1:21" ht="13.9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0.11</v>
      </c>
      <c r="P712" s="2" t="e">
        <f t="shared" si="68"/>
        <v>#NUM!</v>
      </c>
      <c r="Q712" s="2">
        <f t="shared" si="69"/>
        <v>0.37390096630005903</v>
      </c>
      <c r="R712" s="2" t="e">
        <f t="shared" si="70"/>
        <v>#NUM!</v>
      </c>
      <c r="S712" t="e">
        <f t="shared" si="71"/>
        <v>#NUM!</v>
      </c>
      <c r="U712" t="e">
        <v>#NUM!</v>
      </c>
    </row>
    <row r="713" spans="1:21" ht="13.9" x14ac:dyDescent="0.3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66"/>
        <v>#NUM!</v>
      </c>
      <c r="I713" s="2">
        <f t="shared" si="67"/>
        <v>5.923133771277924E-2</v>
      </c>
      <c r="J713" s="2">
        <v>13.18</v>
      </c>
      <c r="K713" s="2">
        <v>0</v>
      </c>
      <c r="L713" s="2">
        <v>0</v>
      </c>
      <c r="M713" s="2">
        <v>4.34</v>
      </c>
      <c r="N713" s="2">
        <v>4.68</v>
      </c>
      <c r="O713" s="2">
        <v>3.37</v>
      </c>
      <c r="P713" s="2">
        <f t="shared" si="68"/>
        <v>8.9174182867450186E-2</v>
      </c>
      <c r="Q713" s="2">
        <f t="shared" si="69"/>
        <v>0.95525705284041806</v>
      </c>
      <c r="R713" s="2" t="e">
        <f t="shared" si="70"/>
        <v>#NUM!</v>
      </c>
      <c r="S713" t="e">
        <f t="shared" si="71"/>
        <v>#NUM!</v>
      </c>
      <c r="U713">
        <v>3.7202784652333274</v>
      </c>
    </row>
    <row r="714" spans="1:21" ht="13.9" x14ac:dyDescent="0.3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66"/>
        <v>#NUM!</v>
      </c>
      <c r="I714" s="2">
        <f t="shared" si="67"/>
        <v>0.11887140555991681</v>
      </c>
      <c r="J714" s="2">
        <v>0</v>
      </c>
      <c r="K714" s="2">
        <v>0</v>
      </c>
      <c r="L714" s="2">
        <v>0.36</v>
      </c>
      <c r="M714" s="2">
        <v>0</v>
      </c>
      <c r="N714" s="2">
        <v>0</v>
      </c>
      <c r="O714" s="2">
        <v>0</v>
      </c>
      <c r="P714" s="2" t="e">
        <f t="shared" si="68"/>
        <v>#DIV/0!</v>
      </c>
      <c r="Q714" s="2">
        <f t="shared" si="69"/>
        <v>0.37390096630005903</v>
      </c>
      <c r="R714" s="2" t="e">
        <f t="shared" si="70"/>
        <v>#DIV/0!</v>
      </c>
      <c r="S714" t="e">
        <f t="shared" si="71"/>
        <v>#DIV/0!</v>
      </c>
      <c r="U714">
        <v>-1.4739311883324124</v>
      </c>
    </row>
    <row r="715" spans="1:21" ht="13.9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1.1599999999999999</v>
      </c>
      <c r="P715" s="2" t="e">
        <f t="shared" si="68"/>
        <v>#NUM!</v>
      </c>
      <c r="Q715" s="2">
        <f t="shared" si="69"/>
        <v>0.37390096630005903</v>
      </c>
      <c r="R715" s="2" t="e">
        <f t="shared" si="70"/>
        <v>#NUM!</v>
      </c>
      <c r="S715" t="e">
        <f t="shared" si="71"/>
        <v>#NUM!</v>
      </c>
      <c r="U715" t="e">
        <v>#NUM!</v>
      </c>
    </row>
    <row r="716" spans="1:21" ht="13.9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0.4</v>
      </c>
      <c r="O716" s="2">
        <v>0</v>
      </c>
      <c r="P716" s="2" t="e">
        <f t="shared" si="68"/>
        <v>#NUM!</v>
      </c>
      <c r="Q716" s="2">
        <f t="shared" si="69"/>
        <v>0.37390096630005903</v>
      </c>
      <c r="R716" s="2" t="e">
        <f t="shared" si="70"/>
        <v>#NUM!</v>
      </c>
      <c r="S716" t="e">
        <f t="shared" si="71"/>
        <v>#NUM!</v>
      </c>
      <c r="U716" t="e">
        <v>#NUM!</v>
      </c>
    </row>
    <row r="717" spans="1:21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66"/>
        <v>#DIV/0!</v>
      </c>
      <c r="I717" s="2" t="e">
        <f t="shared" si="67"/>
        <v>#DIV/0!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0.32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ht="13.9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66"/>
        <v>#DIV/0!</v>
      </c>
      <c r="I718" s="2" t="e">
        <f t="shared" si="67"/>
        <v>#DIV/0!</v>
      </c>
      <c r="J718" s="2">
        <v>1.98</v>
      </c>
      <c r="K718" s="2">
        <v>0</v>
      </c>
      <c r="L718" s="2">
        <v>4.7300000000000004</v>
      </c>
      <c r="M718" s="2">
        <v>0</v>
      </c>
      <c r="N718" s="2">
        <v>0.53</v>
      </c>
      <c r="O718" s="2">
        <v>0</v>
      </c>
      <c r="P718" s="2">
        <f t="shared" si="68"/>
        <v>3.6622485016369848</v>
      </c>
      <c r="Q718" s="2">
        <f t="shared" si="69"/>
        <v>0.21053476724535272</v>
      </c>
      <c r="R718" s="2" t="e">
        <f t="shared" si="70"/>
        <v>#DIV/0!</v>
      </c>
      <c r="S718" t="e">
        <f t="shared" si="71"/>
        <v>#DIV/0!</v>
      </c>
      <c r="U718">
        <v>2.7463127664254587</v>
      </c>
    </row>
    <row r="719" spans="1:21" ht="13.9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66"/>
        <v>#NUM!</v>
      </c>
      <c r="I719" s="2">
        <f t="shared" si="67"/>
        <v>0.37390096630005903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ht="13.9" x14ac:dyDescent="0.3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66"/>
        <v>-8.6156643749714601E-2</v>
      </c>
      <c r="I720" s="2">
        <f t="shared" si="67"/>
        <v>0.92408517272451451</v>
      </c>
      <c r="J720" s="2">
        <v>4.28</v>
      </c>
      <c r="K720" s="2">
        <v>0.24</v>
      </c>
      <c r="L720" s="2">
        <v>9.4700000000000006</v>
      </c>
      <c r="M720" s="2">
        <v>0.1</v>
      </c>
      <c r="N720" s="2">
        <v>0</v>
      </c>
      <c r="O720" s="2">
        <v>0.11</v>
      </c>
      <c r="P720" s="2">
        <f t="shared" si="68"/>
        <v>6.0578628243859933</v>
      </c>
      <c r="Q720" s="2">
        <f t="shared" si="69"/>
        <v>0.16067645250622689</v>
      </c>
      <c r="R720" s="2">
        <f t="shared" si="70"/>
        <v>6.1440194681357081</v>
      </c>
      <c r="S720">
        <f t="shared" si="71"/>
        <v>-70.312196027320994</v>
      </c>
      <c r="U720">
        <v>3.8063240573900288</v>
      </c>
    </row>
    <row r="721" spans="1:21" ht="13.9" x14ac:dyDescent="0.3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>
        <f t="shared" si="67"/>
        <v>0.37390096630005903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ht="13.9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66"/>
        <v>#NUM!</v>
      </c>
      <c r="I722" s="2">
        <f t="shared" si="67"/>
        <v>0.26483987402829778</v>
      </c>
      <c r="J722" s="2">
        <v>0</v>
      </c>
      <c r="K722" s="2">
        <v>0</v>
      </c>
      <c r="L722" s="2">
        <v>0</v>
      </c>
      <c r="M722" s="2">
        <v>0.89</v>
      </c>
      <c r="N722" s="2">
        <v>0.53</v>
      </c>
      <c r="O722" s="2">
        <v>1.26</v>
      </c>
      <c r="P722" s="2" t="e">
        <f t="shared" si="68"/>
        <v>#NUM!</v>
      </c>
      <c r="Q722" s="2">
        <f t="shared" si="69"/>
        <v>1.3273710713504534E-2</v>
      </c>
      <c r="R722" s="2" t="e">
        <f t="shared" si="70"/>
        <v>#NUM!</v>
      </c>
      <c r="S722" t="e">
        <f t="shared" si="71"/>
        <v>#NUM!</v>
      </c>
      <c r="U722" t="e">
        <v>#NUM!</v>
      </c>
    </row>
    <row r="723" spans="1:21" ht="13.9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66"/>
        <v>#NUM!</v>
      </c>
      <c r="I723" s="2">
        <f t="shared" si="67"/>
        <v>0.12444561188824621</v>
      </c>
      <c r="J723" s="2">
        <v>0</v>
      </c>
      <c r="K723" s="2">
        <v>0</v>
      </c>
      <c r="L723" s="2">
        <v>0</v>
      </c>
      <c r="M723" s="2">
        <v>0.69</v>
      </c>
      <c r="N723" s="2">
        <v>1.34</v>
      </c>
      <c r="O723" s="2">
        <v>0.74</v>
      </c>
      <c r="P723" s="2" t="e">
        <f t="shared" si="68"/>
        <v>#NUM!</v>
      </c>
      <c r="Q723" s="2">
        <f t="shared" si="69"/>
        <v>1.1498387854108592E-2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 t="e">
        <f t="shared" si="68"/>
        <v>#DIV/0!</v>
      </c>
      <c r="Q724" s="2" t="e">
        <f t="shared" si="69"/>
        <v>#DIV/0!</v>
      </c>
      <c r="R724" s="2" t="e">
        <f t="shared" si="70"/>
        <v>#DIV/0!</v>
      </c>
      <c r="S724" t="e">
        <f t="shared" si="71"/>
        <v>#DIV/0!</v>
      </c>
      <c r="U724" t="e">
        <v>#NUM!</v>
      </c>
    </row>
    <row r="725" spans="1:21" ht="13.9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66"/>
        <v>#NUM!</v>
      </c>
      <c r="I725" s="2">
        <f t="shared" si="67"/>
        <v>0.37390096630005903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ht="13.9" x14ac:dyDescent="0.3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66"/>
        <v>-0.76324316237533629</v>
      </c>
      <c r="I726" s="2">
        <f t="shared" si="67"/>
        <v>0.53566380905534661</v>
      </c>
      <c r="J726" s="2">
        <v>0</v>
      </c>
      <c r="K726" s="2">
        <v>9.27</v>
      </c>
      <c r="L726" s="2">
        <v>5.83</v>
      </c>
      <c r="M726" s="2">
        <v>6.81</v>
      </c>
      <c r="N726" s="2">
        <v>8.82</v>
      </c>
      <c r="O726" s="2">
        <v>6.43</v>
      </c>
      <c r="P726" s="2">
        <f t="shared" si="68"/>
        <v>-0.54688424137894132</v>
      </c>
      <c r="Q726" s="2">
        <f t="shared" si="69"/>
        <v>0.45470999876507157</v>
      </c>
      <c r="R726" s="2">
        <f t="shared" si="70"/>
        <v>0.21635892099639498</v>
      </c>
      <c r="S726">
        <f t="shared" si="71"/>
        <v>0.71652687942457161</v>
      </c>
      <c r="U726">
        <v>3.9164766444377168</v>
      </c>
    </row>
    <row r="727" spans="1:21" ht="13.9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66"/>
        <v>#NUM!</v>
      </c>
      <c r="I727" s="2">
        <f t="shared" si="67"/>
        <v>0.37390096630005903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ht="13.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 t="e">
        <f t="shared" si="68"/>
        <v>#DIV/0!</v>
      </c>
      <c r="Q728" s="2" t="e">
        <f t="shared" si="69"/>
        <v>#DIV/0!</v>
      </c>
      <c r="R728" s="2" t="e">
        <f t="shared" si="70"/>
        <v>#DIV/0!</v>
      </c>
      <c r="S728" t="e">
        <f t="shared" si="71"/>
        <v>#DIV/0!</v>
      </c>
      <c r="U728" t="e">
        <v>#NUM!</v>
      </c>
    </row>
    <row r="729" spans="1:21" ht="13.9" x14ac:dyDescent="0.3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66"/>
        <v>#NUM!</v>
      </c>
      <c r="I729" s="2">
        <f t="shared" si="67"/>
        <v>0.24881301806546591</v>
      </c>
      <c r="J729" s="2">
        <v>0</v>
      </c>
      <c r="K729" s="2">
        <v>7.07</v>
      </c>
      <c r="L729" s="2">
        <v>0</v>
      </c>
      <c r="M729" s="2">
        <v>0</v>
      </c>
      <c r="N729" s="2">
        <v>0.67</v>
      </c>
      <c r="O729" s="2">
        <v>0.53</v>
      </c>
      <c r="P729" s="2">
        <f t="shared" si="68"/>
        <v>2.5586758092008801</v>
      </c>
      <c r="Q729" s="2">
        <f t="shared" si="69"/>
        <v>0.4546290650647884</v>
      </c>
      <c r="R729" s="2" t="e">
        <f t="shared" si="70"/>
        <v>#NUM!</v>
      </c>
      <c r="S729" t="e">
        <f t="shared" si="71"/>
        <v>#NUM!</v>
      </c>
      <c r="U729">
        <v>2.821710215034674</v>
      </c>
    </row>
    <row r="730" spans="1:21" ht="13.9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66"/>
        <v>#NUM!</v>
      </c>
      <c r="I730" s="2">
        <f t="shared" si="67"/>
        <v>0.12340079847556613</v>
      </c>
      <c r="J730" s="2">
        <v>0</v>
      </c>
      <c r="K730" s="2">
        <v>0</v>
      </c>
      <c r="L730" s="2">
        <v>0</v>
      </c>
      <c r="M730" s="2">
        <v>4.24</v>
      </c>
      <c r="N730" s="2">
        <v>2.0099999999999998</v>
      </c>
      <c r="O730" s="2">
        <v>0.63</v>
      </c>
      <c r="P730" s="2" t="e">
        <f t="shared" si="68"/>
        <v>#NUM!</v>
      </c>
      <c r="Q730" s="2">
        <f t="shared" si="69"/>
        <v>9.4681870123872358E-2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ht="13.9" x14ac:dyDescent="0.3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66"/>
        <v>-1.0422557227120532</v>
      </c>
      <c r="I731" s="2">
        <f t="shared" si="67"/>
        <v>0.37311233314534425</v>
      </c>
      <c r="J731" s="2">
        <v>5.6</v>
      </c>
      <c r="K731" s="2">
        <v>5.86</v>
      </c>
      <c r="L731" s="2">
        <v>0</v>
      </c>
      <c r="M731" s="2">
        <v>15.4</v>
      </c>
      <c r="N731" s="2">
        <v>20.59</v>
      </c>
      <c r="O731" s="2">
        <v>23.71</v>
      </c>
      <c r="P731" s="2">
        <f t="shared" si="68"/>
        <v>-2.3811238873952627</v>
      </c>
      <c r="Q731" s="2">
        <f t="shared" si="69"/>
        <v>6.473731035115113E-3</v>
      </c>
      <c r="R731" s="2">
        <f t="shared" si="70"/>
        <v>-1.3388681646832095</v>
      </c>
      <c r="S731">
        <f t="shared" si="71"/>
        <v>2.2845870121003902</v>
      </c>
      <c r="U731">
        <v>3.5185351389821804</v>
      </c>
    </row>
    <row r="732" spans="1:21" ht="13.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 t="e">
        <f t="shared" si="69"/>
        <v>#DIV/0!</v>
      </c>
      <c r="R732" s="2" t="e">
        <f t="shared" si="70"/>
        <v>#DIV/0!</v>
      </c>
      <c r="S732" t="e">
        <f t="shared" si="71"/>
        <v>#DIV/0!</v>
      </c>
      <c r="U732" t="e">
        <v>#NUM!</v>
      </c>
    </row>
    <row r="733" spans="1:21" ht="13.9" x14ac:dyDescent="0.3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66"/>
        <v>2.1398229696528936</v>
      </c>
      <c r="I733" s="2">
        <f t="shared" si="67"/>
        <v>0.49284308790885684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ht="13.9" x14ac:dyDescent="0.3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66"/>
        <v>-1.040322314619438</v>
      </c>
      <c r="I734" s="2">
        <f t="shared" si="67"/>
        <v>5.5245543781967481E-4</v>
      </c>
      <c r="J734" s="2">
        <v>257.10000000000002</v>
      </c>
      <c r="K734" s="2">
        <v>272.26</v>
      </c>
      <c r="L734" s="2">
        <v>153.47999999999999</v>
      </c>
      <c r="M734" s="2">
        <v>350.83</v>
      </c>
      <c r="N734" s="2">
        <v>382.67</v>
      </c>
      <c r="O734" s="2">
        <v>369.69</v>
      </c>
      <c r="P734" s="2">
        <f t="shared" si="68"/>
        <v>-0.69206180713080101</v>
      </c>
      <c r="Q734" s="2">
        <f t="shared" si="69"/>
        <v>2.1887785017371892E-2</v>
      </c>
      <c r="R734" s="2">
        <f t="shared" si="70"/>
        <v>0.34826050748863702</v>
      </c>
      <c r="S734">
        <f t="shared" si="71"/>
        <v>0.6652378761902894</v>
      </c>
      <c r="U734">
        <v>9.4154037620703317</v>
      </c>
    </row>
    <row r="735" spans="1:21" ht="13.9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66"/>
        <v>#NUM!</v>
      </c>
      <c r="I735" s="2">
        <f t="shared" si="67"/>
        <v>4.4284288233334655E-2</v>
      </c>
      <c r="J735" s="2">
        <v>0</v>
      </c>
      <c r="K735" s="2">
        <v>0</v>
      </c>
      <c r="L735" s="2">
        <v>0</v>
      </c>
      <c r="M735" s="2">
        <v>0.69</v>
      </c>
      <c r="N735" s="2">
        <v>0.8</v>
      </c>
      <c r="O735" s="2">
        <v>0.32</v>
      </c>
      <c r="P735" s="2" t="e">
        <f t="shared" si="68"/>
        <v>#NUM!</v>
      </c>
      <c r="Q735" s="2">
        <f t="shared" si="69"/>
        <v>1.4194456163939629E-2</v>
      </c>
      <c r="R735" s="2" t="e">
        <f t="shared" si="70"/>
        <v>#NUM!</v>
      </c>
      <c r="S735" t="e">
        <f t="shared" si="71"/>
        <v>#NUM!</v>
      </c>
      <c r="U735" t="e">
        <v>#NUM!</v>
      </c>
    </row>
    <row r="736" spans="1:21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66"/>
        <v>#DIV/0!</v>
      </c>
      <c r="I736" s="2" t="e">
        <f t="shared" si="67"/>
        <v>#DIV/0!</v>
      </c>
      <c r="J736" s="2">
        <v>0</v>
      </c>
      <c r="K736" s="2">
        <v>0</v>
      </c>
      <c r="L736" s="2">
        <v>0</v>
      </c>
      <c r="M736" s="2">
        <v>0.3</v>
      </c>
      <c r="N736" s="2">
        <v>0</v>
      </c>
      <c r="O736" s="2">
        <v>0.11</v>
      </c>
      <c r="P736" s="2" t="e">
        <f t="shared" si="68"/>
        <v>#NUM!</v>
      </c>
      <c r="Q736" s="2">
        <f t="shared" si="69"/>
        <v>0.19384003471698563</v>
      </c>
      <c r="R736" s="2" t="e">
        <f t="shared" si="70"/>
        <v>#NUM!</v>
      </c>
      <c r="S736" t="e">
        <f t="shared" si="71"/>
        <v>#NUM!</v>
      </c>
      <c r="U736" t="e">
        <v>#NUM!</v>
      </c>
    </row>
    <row r="737" spans="1:21" ht="13.9" x14ac:dyDescent="0.3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66"/>
        <v>1.7578747137835981E-2</v>
      </c>
      <c r="I737" s="2">
        <f t="shared" si="67"/>
        <v>0.99094266601979997</v>
      </c>
      <c r="J737" s="2">
        <v>0</v>
      </c>
      <c r="K737" s="2">
        <v>0.24</v>
      </c>
      <c r="L737" s="2">
        <v>0</v>
      </c>
      <c r="M737" s="2">
        <v>1.68</v>
      </c>
      <c r="N737" s="2">
        <v>2.27</v>
      </c>
      <c r="O737" s="2">
        <v>1.9</v>
      </c>
      <c r="P737" s="2">
        <f t="shared" si="68"/>
        <v>-4.6073303137496113</v>
      </c>
      <c r="Q737" s="2">
        <f t="shared" si="69"/>
        <v>5.9557069703763781E-4</v>
      </c>
      <c r="R737" s="2">
        <f t="shared" si="70"/>
        <v>-4.6249090608874477</v>
      </c>
      <c r="S737">
        <f t="shared" si="71"/>
        <v>-262.09662597813519</v>
      </c>
      <c r="U737">
        <v>-2.0588936890535687</v>
      </c>
    </row>
    <row r="738" spans="1:21" ht="13.9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66"/>
        <v>#NUM!</v>
      </c>
      <c r="I738" s="2">
        <f t="shared" si="67"/>
        <v>0.13712629385431957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ht="13.9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66"/>
        <v>#NUM!</v>
      </c>
      <c r="I739" s="2">
        <f t="shared" si="67"/>
        <v>0.37390096630005903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66"/>
        <v>#DIV/0!</v>
      </c>
      <c r="I740" s="2" t="e">
        <f t="shared" si="67"/>
        <v>#DIV/0!</v>
      </c>
      <c r="J740" s="2">
        <v>0</v>
      </c>
      <c r="K740" s="2">
        <v>0</v>
      </c>
      <c r="L740" s="2">
        <v>0</v>
      </c>
      <c r="M740" s="2">
        <v>0</v>
      </c>
      <c r="N740" s="2">
        <v>1.34</v>
      </c>
      <c r="O740" s="2">
        <v>0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66"/>
        <v>#DIV/0!</v>
      </c>
      <c r="I741" s="2" t="e">
        <f t="shared" si="67"/>
        <v>#DIV/0!</v>
      </c>
      <c r="J741" s="2">
        <v>0</v>
      </c>
      <c r="K741" s="2">
        <v>0</v>
      </c>
      <c r="L741" s="2">
        <v>0</v>
      </c>
      <c r="M741" s="2">
        <v>0</v>
      </c>
      <c r="N741" s="2">
        <v>0.27</v>
      </c>
      <c r="O741" s="2">
        <v>0.53</v>
      </c>
      <c r="P741" s="2" t="e">
        <f t="shared" si="68"/>
        <v>#NUM!</v>
      </c>
      <c r="Q741" s="2">
        <f t="shared" si="69"/>
        <v>0.15631819763304933</v>
      </c>
      <c r="R741" s="2" t="e">
        <f t="shared" si="70"/>
        <v>#NUM!</v>
      </c>
      <c r="S741" t="e">
        <f t="shared" si="71"/>
        <v>#NUM!</v>
      </c>
      <c r="U741" t="e">
        <v>#NUM!</v>
      </c>
    </row>
    <row r="742" spans="1:21" ht="13.9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66"/>
        <v>#NUM!</v>
      </c>
      <c r="I742" s="2">
        <f t="shared" si="67"/>
        <v>0.37390096630005903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ht="13.9" x14ac:dyDescent="0.3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66"/>
        <v>#NUM!</v>
      </c>
      <c r="I743" s="2">
        <f t="shared" si="67"/>
        <v>0.37390096630005903</v>
      </c>
      <c r="J743" s="2">
        <v>5.93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>
        <f t="shared" si="69"/>
        <v>0.37390096630005903</v>
      </c>
      <c r="R743" s="2" t="e">
        <f t="shared" si="70"/>
        <v>#DIV/0!</v>
      </c>
      <c r="S743" t="e">
        <f t="shared" si="71"/>
        <v>#DIV/0!</v>
      </c>
      <c r="U743">
        <v>2.5680321047712789</v>
      </c>
    </row>
    <row r="744" spans="1:21" ht="13.9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66"/>
        <v>#NUM!</v>
      </c>
      <c r="I744" s="2">
        <f t="shared" si="67"/>
        <v>0.12362848074299966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ht="13.9" x14ac:dyDescent="0.3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66"/>
        <v>#NUM!</v>
      </c>
      <c r="I745" s="2">
        <f t="shared" si="67"/>
        <v>0.37390096630005903</v>
      </c>
      <c r="J745" s="2">
        <v>5.93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>
        <f t="shared" si="69"/>
        <v>0.37390096630005903</v>
      </c>
      <c r="R745" s="2" t="e">
        <f t="shared" si="70"/>
        <v>#DIV/0!</v>
      </c>
      <c r="S745" t="e">
        <f t="shared" si="71"/>
        <v>#DIV/0!</v>
      </c>
      <c r="U745">
        <v>2.5680321047712789</v>
      </c>
    </row>
    <row r="746" spans="1:21" ht="13.9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66"/>
        <v>#NUM!</v>
      </c>
      <c r="I746" s="2">
        <f t="shared" si="67"/>
        <v>0.10112616662393135</v>
      </c>
      <c r="J746" s="2">
        <v>0</v>
      </c>
      <c r="K746" s="2">
        <v>0</v>
      </c>
      <c r="L746" s="2">
        <v>0</v>
      </c>
      <c r="M746" s="2">
        <v>0.59</v>
      </c>
      <c r="N746" s="2">
        <v>0.27</v>
      </c>
      <c r="O746" s="2">
        <v>0</v>
      </c>
      <c r="P746" s="2" t="e">
        <f t="shared" si="68"/>
        <v>#NUM!</v>
      </c>
      <c r="Q746" s="2">
        <f t="shared" si="69"/>
        <v>0.16803556157450092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ht="13.9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66"/>
        <v>#NUM!</v>
      </c>
      <c r="I747" s="2">
        <f t="shared" si="67"/>
        <v>2.5485629905377765E-2</v>
      </c>
      <c r="J747" s="2">
        <v>0</v>
      </c>
      <c r="K747" s="2">
        <v>0</v>
      </c>
      <c r="L747" s="2">
        <v>0</v>
      </c>
      <c r="M747" s="2">
        <v>3.36</v>
      </c>
      <c r="N747" s="2">
        <v>7.09</v>
      </c>
      <c r="O747" s="2">
        <v>3.9</v>
      </c>
      <c r="P747" s="2" t="e">
        <f t="shared" si="68"/>
        <v>#NUM!</v>
      </c>
      <c r="Q747" s="2">
        <f t="shared" si="69"/>
        <v>1.4731820282112264E-2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ht="13.9" x14ac:dyDescent="0.3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66"/>
        <v>3.565098401622214</v>
      </c>
      <c r="I748" s="2">
        <f t="shared" si="67"/>
        <v>1.7484917737720897E-2</v>
      </c>
      <c r="J748" s="2">
        <v>7.91</v>
      </c>
      <c r="K748" s="2">
        <v>10.73</v>
      </c>
      <c r="L748" s="2">
        <v>29.13</v>
      </c>
      <c r="M748" s="2">
        <v>2.0699999999999998</v>
      </c>
      <c r="N748" s="2">
        <v>2.0099999999999998</v>
      </c>
      <c r="O748" s="2">
        <v>3.16</v>
      </c>
      <c r="P748" s="2">
        <f t="shared" si="68"/>
        <v>2.72204327438806</v>
      </c>
      <c r="Q748" s="2">
        <f t="shared" si="69"/>
        <v>0.11254934861117806</v>
      </c>
      <c r="R748" s="2">
        <f t="shared" si="70"/>
        <v>-0.84305512723415399</v>
      </c>
      <c r="S748">
        <f t="shared" si="71"/>
        <v>0.76352542559539405</v>
      </c>
      <c r="U748">
        <v>5.5780329716965404</v>
      </c>
    </row>
    <row r="749" spans="1:21" ht="13.9" x14ac:dyDescent="0.3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66"/>
        <v>-0.92475288501372077</v>
      </c>
      <c r="I749" s="2">
        <f t="shared" si="67"/>
        <v>0.10516615429152804</v>
      </c>
      <c r="J749" s="2">
        <v>18.79</v>
      </c>
      <c r="K749" s="2">
        <v>55.87</v>
      </c>
      <c r="L749" s="2">
        <v>28.77</v>
      </c>
      <c r="M749" s="2">
        <v>28.43</v>
      </c>
      <c r="N749" s="2">
        <v>21.53</v>
      </c>
      <c r="O749" s="2">
        <v>21.5</v>
      </c>
      <c r="P749" s="2">
        <f t="shared" si="68"/>
        <v>0.53344688280452546</v>
      </c>
      <c r="Q749" s="2">
        <f t="shared" si="69"/>
        <v>0.39961638484105916</v>
      </c>
      <c r="R749" s="2">
        <f t="shared" si="70"/>
        <v>1.4581997678182463</v>
      </c>
      <c r="S749">
        <f t="shared" si="71"/>
        <v>-0.57685343992910121</v>
      </c>
      <c r="U749">
        <v>6.6925108916150711</v>
      </c>
    </row>
    <row r="750" spans="1:21" ht="13.9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 t="e">
        <f t="shared" si="67"/>
        <v>#DIV/0!</v>
      </c>
      <c r="J750" s="2">
        <v>0</v>
      </c>
      <c r="K750" s="2">
        <v>0</v>
      </c>
      <c r="L750" s="2">
        <v>5.0999999999999996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>
        <f t="shared" si="69"/>
        <v>0.37390096630005903</v>
      </c>
      <c r="R750" s="2" t="e">
        <f t="shared" si="70"/>
        <v>#DIV/0!</v>
      </c>
      <c r="S750" t="e">
        <f t="shared" si="71"/>
        <v>#DIV/0!</v>
      </c>
      <c r="U750">
        <v>2.3504972470841334</v>
      </c>
    </row>
    <row r="751" spans="1:21" ht="13.9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66"/>
        <v>#NUM!</v>
      </c>
      <c r="I751" s="2">
        <f t="shared" si="67"/>
        <v>3.9193001592135165E-2</v>
      </c>
      <c r="J751" s="2">
        <v>0</v>
      </c>
      <c r="K751" s="2">
        <v>0</v>
      </c>
      <c r="L751" s="2">
        <v>0</v>
      </c>
      <c r="M751" s="2">
        <v>0</v>
      </c>
      <c r="N751" s="2">
        <v>0.13</v>
      </c>
      <c r="O751" s="2">
        <v>0.84</v>
      </c>
      <c r="P751" s="2" t="e">
        <f t="shared" si="68"/>
        <v>#NUM!</v>
      </c>
      <c r="Q751" s="2">
        <f t="shared" si="69"/>
        <v>0.28320897901188474</v>
      </c>
      <c r="R751" s="2" t="e">
        <f t="shared" si="70"/>
        <v>#NUM!</v>
      </c>
      <c r="S751" t="e">
        <f t="shared" si="71"/>
        <v>#NUM!</v>
      </c>
      <c r="U751" t="e">
        <v>#NUM!</v>
      </c>
    </row>
    <row r="752" spans="1:21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 t="e">
        <f t="shared" si="68"/>
        <v>#DIV/0!</v>
      </c>
      <c r="Q752" s="2" t="e">
        <f t="shared" si="69"/>
        <v>#DIV/0!</v>
      </c>
      <c r="R752" s="2" t="e">
        <f t="shared" si="70"/>
        <v>#DIV/0!</v>
      </c>
      <c r="S752" t="e">
        <f t="shared" si="71"/>
        <v>#DIV/0!</v>
      </c>
      <c r="U752" t="e">
        <v>#NUM!</v>
      </c>
    </row>
    <row r="753" spans="1:21" ht="13.9" x14ac:dyDescent="0.3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>
        <f t="shared" si="67"/>
        <v>0.37390096630005903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ht="13.9" x14ac:dyDescent="0.3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66"/>
        <v>-0.52581071679267144</v>
      </c>
      <c r="I754" s="2">
        <f t="shared" si="67"/>
        <v>0.50328498956389933</v>
      </c>
      <c r="J754" s="2">
        <v>0</v>
      </c>
      <c r="K754" s="2">
        <v>14.39</v>
      </c>
      <c r="L754" s="2">
        <v>0</v>
      </c>
      <c r="M754" s="2">
        <v>4.24</v>
      </c>
      <c r="N754" s="2">
        <v>6.15</v>
      </c>
      <c r="O754" s="2">
        <v>7.27</v>
      </c>
      <c r="P754" s="2">
        <f t="shared" si="68"/>
        <v>-0.29541875090816799</v>
      </c>
      <c r="Q754" s="2">
        <f t="shared" si="69"/>
        <v>0.83411634981377913</v>
      </c>
      <c r="R754" s="2">
        <f t="shared" si="70"/>
        <v>0.23039196588450345</v>
      </c>
      <c r="S754">
        <f t="shared" si="71"/>
        <v>0.56183478478749305</v>
      </c>
      <c r="U754">
        <v>3.8469946869655733</v>
      </c>
    </row>
    <row r="755" spans="1:21" ht="13.9" x14ac:dyDescent="0.3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66"/>
        <v>-3.8321867750375396</v>
      </c>
      <c r="I755" s="2">
        <f t="shared" si="67"/>
        <v>4.7269040001168973E-2</v>
      </c>
      <c r="J755" s="2">
        <v>0</v>
      </c>
      <c r="K755" s="2">
        <v>0.24</v>
      </c>
      <c r="L755" s="2">
        <v>0</v>
      </c>
      <c r="M755" s="2">
        <v>6.12</v>
      </c>
      <c r="N755" s="2">
        <v>6.28</v>
      </c>
      <c r="O755" s="2">
        <v>5.69</v>
      </c>
      <c r="P755" s="2">
        <f t="shared" si="68"/>
        <v>-6.2360141919000851</v>
      </c>
      <c r="Q755" s="2">
        <f t="shared" si="69"/>
        <v>6.6610883652163912E-6</v>
      </c>
      <c r="R755" s="2">
        <f t="shared" si="70"/>
        <v>-2.4038274168625455</v>
      </c>
      <c r="S755">
        <f t="shared" si="71"/>
        <v>1.6272730318158874</v>
      </c>
      <c r="U755">
        <v>-2.0588936890535687</v>
      </c>
    </row>
    <row r="756" spans="1:21" ht="13.9" x14ac:dyDescent="0.3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>
        <f t="shared" si="67"/>
        <v>0.37390096630005903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 t="e">
        <f t="shared" si="69"/>
        <v>#DIV/0!</v>
      </c>
      <c r="R756" s="2" t="e">
        <f t="shared" si="70"/>
        <v>#DIV/0!</v>
      </c>
      <c r="S756" t="e">
        <f t="shared" si="71"/>
        <v>#DIV/0!</v>
      </c>
      <c r="U756" t="e">
        <v>#NUM!</v>
      </c>
    </row>
    <row r="757" spans="1:21" ht="13.9" x14ac:dyDescent="0.3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66"/>
        <v>#NUM!</v>
      </c>
      <c r="I757" s="2">
        <f t="shared" si="67"/>
        <v>6.1262747010218032E-3</v>
      </c>
      <c r="J757" s="2">
        <v>0</v>
      </c>
      <c r="K757" s="2">
        <v>3.9</v>
      </c>
      <c r="L757" s="2">
        <v>0</v>
      </c>
      <c r="M757" s="2">
        <v>5.53</v>
      </c>
      <c r="N757" s="2">
        <v>12.17</v>
      </c>
      <c r="O757" s="2">
        <v>11.91</v>
      </c>
      <c r="P757" s="2">
        <f t="shared" si="68"/>
        <v>-2.9245384614279435</v>
      </c>
      <c r="Q757" s="2">
        <f t="shared" si="69"/>
        <v>2.7621876978541876E-2</v>
      </c>
      <c r="R757" s="2" t="e">
        <f t="shared" si="70"/>
        <v>#NUM!</v>
      </c>
      <c r="S757" t="e">
        <f t="shared" si="71"/>
        <v>#NUM!</v>
      </c>
      <c r="U757">
        <v>1.9634741239748859</v>
      </c>
    </row>
    <row r="758" spans="1:21" ht="13.9" x14ac:dyDescent="0.3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66"/>
        <v>-0.34091188829350827</v>
      </c>
      <c r="I758" s="2">
        <f t="shared" si="67"/>
        <v>0.23325077999425958</v>
      </c>
      <c r="J758" s="2">
        <v>9.89</v>
      </c>
      <c r="K758" s="2">
        <v>51.23</v>
      </c>
      <c r="L758" s="2">
        <v>19.48</v>
      </c>
      <c r="M758" s="2">
        <v>23.3</v>
      </c>
      <c r="N758" s="2">
        <v>18.850000000000001</v>
      </c>
      <c r="O758" s="2">
        <v>27.08</v>
      </c>
      <c r="P758" s="2">
        <f t="shared" si="68"/>
        <v>0.21938249059861475</v>
      </c>
      <c r="Q758" s="2">
        <f t="shared" si="69"/>
        <v>0.78051677617057247</v>
      </c>
      <c r="R758" s="2">
        <f t="shared" si="70"/>
        <v>0.56029437889212308</v>
      </c>
      <c r="S758">
        <f t="shared" si="71"/>
        <v>-0.64351669194280869</v>
      </c>
      <c r="U758">
        <v>6.3327079336406058</v>
      </c>
    </row>
    <row r="759" spans="1:21" ht="13.9" x14ac:dyDescent="0.3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66"/>
        <v>1.1707075862409371</v>
      </c>
      <c r="I759" s="2">
        <f t="shared" si="67"/>
        <v>0.41167869936054463</v>
      </c>
      <c r="J759" s="2">
        <v>28.68</v>
      </c>
      <c r="K759" s="2">
        <v>29.03</v>
      </c>
      <c r="L759" s="2">
        <v>0</v>
      </c>
      <c r="M759" s="2">
        <v>4.84</v>
      </c>
      <c r="N759" s="2">
        <v>8.69</v>
      </c>
      <c r="O759" s="2">
        <v>5.16</v>
      </c>
      <c r="P759" s="2">
        <f t="shared" si="68"/>
        <v>1.6265547619260632</v>
      </c>
      <c r="Q759" s="2">
        <f t="shared" si="69"/>
        <v>0.25093959073553379</v>
      </c>
      <c r="R759" s="2">
        <f t="shared" si="70"/>
        <v>0.45584717568512612</v>
      </c>
      <c r="S759">
        <f t="shared" si="71"/>
        <v>1.3893774850719305</v>
      </c>
      <c r="U759">
        <v>5.8507494258964963</v>
      </c>
    </row>
    <row r="760" spans="1:21" ht="13.9" x14ac:dyDescent="0.3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66"/>
        <v>-2.9843305437341163</v>
      </c>
      <c r="I760" s="2">
        <f t="shared" si="67"/>
        <v>9.307029961099977E-3</v>
      </c>
      <c r="J760" s="2">
        <v>1.65</v>
      </c>
      <c r="K760" s="2">
        <v>5.12</v>
      </c>
      <c r="L760" s="2">
        <v>0</v>
      </c>
      <c r="M760" s="2">
        <v>15.3</v>
      </c>
      <c r="N760" s="2">
        <v>15.78</v>
      </c>
      <c r="O760" s="2">
        <v>24.24</v>
      </c>
      <c r="P760" s="2">
        <f t="shared" si="68"/>
        <v>-3.0305734175754977</v>
      </c>
      <c r="Q760" s="2">
        <f t="shared" si="69"/>
        <v>7.78303436506527E-3</v>
      </c>
      <c r="R760" s="2">
        <f t="shared" si="70"/>
        <v>-4.6242873841381371E-2</v>
      </c>
      <c r="S760">
        <f t="shared" si="71"/>
        <v>1.0154952251983189</v>
      </c>
      <c r="U760">
        <v>2.7591558338002722</v>
      </c>
    </row>
    <row r="761" spans="1:21" ht="13.9" x14ac:dyDescent="0.3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66"/>
        <v>#NUM!</v>
      </c>
      <c r="I761" s="2">
        <f t="shared" si="67"/>
        <v>0.37390096630005903</v>
      </c>
      <c r="J761" s="2">
        <v>8.57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0.37390096630005903</v>
      </c>
      <c r="R761" s="2" t="e">
        <f t="shared" si="70"/>
        <v>#DIV/0!</v>
      </c>
      <c r="S761" t="e">
        <f t="shared" si="71"/>
        <v>#DIV/0!</v>
      </c>
      <c r="U761">
        <v>3.0992952043377757</v>
      </c>
    </row>
    <row r="762" spans="1:21" ht="13.9" x14ac:dyDescent="0.3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66"/>
        <v>1.5627757374564946</v>
      </c>
      <c r="I762" s="2">
        <f t="shared" si="67"/>
        <v>0.45001795662234856</v>
      </c>
      <c r="J762" s="2">
        <v>3.3</v>
      </c>
      <c r="K762" s="2">
        <v>5.37</v>
      </c>
      <c r="L762" s="2">
        <v>20.21</v>
      </c>
      <c r="M762" s="2">
        <v>2.57</v>
      </c>
      <c r="N762" s="2">
        <v>1.07</v>
      </c>
      <c r="O762" s="2">
        <v>3.06</v>
      </c>
      <c r="P762" s="2">
        <f t="shared" si="68"/>
        <v>2.1078377415420366</v>
      </c>
      <c r="Q762" s="2">
        <f t="shared" si="69"/>
        <v>0.23979973578290725</v>
      </c>
      <c r="R762" s="2">
        <f t="shared" si="70"/>
        <v>0.54506200408554206</v>
      </c>
      <c r="S762">
        <f t="shared" si="71"/>
        <v>1.3487781330497626</v>
      </c>
      <c r="U762">
        <v>4.8519988371124461</v>
      </c>
    </row>
    <row r="763" spans="1:21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66"/>
        <v>#DIV/0!</v>
      </c>
      <c r="I763" s="2" t="e">
        <f t="shared" si="67"/>
        <v>#DIV/0!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0.11</v>
      </c>
      <c r="P763" s="2" t="e">
        <f t="shared" si="68"/>
        <v>#NUM!</v>
      </c>
      <c r="Q763" s="2">
        <f t="shared" si="69"/>
        <v>0.37390096630005903</v>
      </c>
      <c r="R763" s="2" t="e">
        <f t="shared" si="70"/>
        <v>#NUM!</v>
      </c>
      <c r="S763" t="e">
        <f t="shared" si="71"/>
        <v>#NUM!</v>
      </c>
      <c r="U763" t="e">
        <v>#NUM!</v>
      </c>
    </row>
    <row r="764" spans="1:21" ht="13.9" x14ac:dyDescent="0.3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66"/>
        <v>-0.80623415647911967</v>
      </c>
      <c r="I764" s="2">
        <f t="shared" si="67"/>
        <v>0.41218127125316428</v>
      </c>
      <c r="J764" s="2">
        <v>75.48</v>
      </c>
      <c r="K764" s="2">
        <v>57.82</v>
      </c>
      <c r="L764" s="2">
        <v>19.48</v>
      </c>
      <c r="M764" s="2">
        <v>39.49</v>
      </c>
      <c r="N764" s="2">
        <v>69.53</v>
      </c>
      <c r="O764" s="2">
        <v>49.64</v>
      </c>
      <c r="P764" s="2">
        <f t="shared" si="68"/>
        <v>-5.4482757514985491E-2</v>
      </c>
      <c r="Q764" s="2">
        <f t="shared" si="69"/>
        <v>0.92172094810878691</v>
      </c>
      <c r="R764" s="2">
        <f t="shared" si="70"/>
        <v>0.75175139896413423</v>
      </c>
      <c r="S764">
        <f t="shared" si="71"/>
        <v>6.7576841141183425E-2</v>
      </c>
      <c r="U764">
        <v>7.2553118863595989</v>
      </c>
    </row>
    <row r="765" spans="1:21" ht="13.9" x14ac:dyDescent="0.3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ref="H765:H828" si="72">LOG(SUM(B765:D765)/SUM(E765:G765),2)</f>
        <v>3.0136318655877665</v>
      </c>
      <c r="I765" s="2">
        <f t="shared" ref="I765:I828" si="73">_xlfn.T.TEST(B765:D765,E765:G765,2,2)</f>
        <v>0.17905821504412833</v>
      </c>
      <c r="J765" s="2">
        <v>14.83</v>
      </c>
      <c r="K765" s="2">
        <v>2.44</v>
      </c>
      <c r="L765" s="2">
        <v>3.28</v>
      </c>
      <c r="M765" s="2">
        <v>0.2</v>
      </c>
      <c r="N765" s="2">
        <v>0.13</v>
      </c>
      <c r="O765" s="2">
        <v>0.42</v>
      </c>
      <c r="P765" s="2">
        <f t="shared" ref="P765:P828" si="74">LOG(SUM(J765:L765)/SUM(M765:O765),2)</f>
        <v>4.7761039880731646</v>
      </c>
      <c r="Q765" s="2">
        <f t="shared" ref="Q765:Q828" si="75">_xlfn.T.TEST(J765:L765,M765:O765,2,2)</f>
        <v>0.17414553631537935</v>
      </c>
      <c r="R765" s="2">
        <f t="shared" ref="R765:R828" si="76">P765-H765</f>
        <v>1.7624721224853981</v>
      </c>
      <c r="S765">
        <f t="shared" si="71"/>
        <v>1.5848332514036689</v>
      </c>
      <c r="U765">
        <v>4.3610664887943207</v>
      </c>
    </row>
    <row r="766" spans="1:21" ht="13.9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72"/>
        <v>#NUM!</v>
      </c>
      <c r="I766" s="2">
        <f t="shared" si="73"/>
        <v>0.25184998479277187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0.63</v>
      </c>
      <c r="P766" s="2" t="e">
        <f t="shared" si="74"/>
        <v>#NUM!</v>
      </c>
      <c r="Q766" s="2">
        <f t="shared" si="75"/>
        <v>0.37390096630005903</v>
      </c>
      <c r="R766" s="2" t="e">
        <f t="shared" si="76"/>
        <v>#NUM!</v>
      </c>
      <c r="S766" t="e">
        <f t="shared" si="71"/>
        <v>#NUM!</v>
      </c>
      <c r="U766" t="e">
        <v>#NUM!</v>
      </c>
    </row>
    <row r="767" spans="1:21" ht="13.9" x14ac:dyDescent="0.3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72"/>
        <v>1.7254365495571735</v>
      </c>
      <c r="I767" s="2">
        <f t="shared" si="73"/>
        <v>0.52542103604518053</v>
      </c>
      <c r="J767" s="2">
        <v>0</v>
      </c>
      <c r="K767" s="2">
        <v>0</v>
      </c>
      <c r="L767" s="2">
        <v>0</v>
      </c>
      <c r="M767" s="2">
        <v>3.55</v>
      </c>
      <c r="N767" s="2">
        <v>5.21</v>
      </c>
      <c r="O767" s="2">
        <v>5.37</v>
      </c>
      <c r="P767" s="2" t="e">
        <f t="shared" si="74"/>
        <v>#NUM!</v>
      </c>
      <c r="Q767" s="2">
        <f t="shared" si="75"/>
        <v>1.2656996858904359E-3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ht="13.9" x14ac:dyDescent="0.3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72"/>
        <v>0.88769703037520775</v>
      </c>
      <c r="I768" s="2">
        <f t="shared" si="73"/>
        <v>0.67842373767466846</v>
      </c>
      <c r="J768" s="2">
        <v>0</v>
      </c>
      <c r="K768" s="2">
        <v>3.9</v>
      </c>
      <c r="L768" s="2">
        <v>0</v>
      </c>
      <c r="M768" s="2">
        <v>0.59</v>
      </c>
      <c r="N768" s="2">
        <v>2.0099999999999998</v>
      </c>
      <c r="O768" s="2">
        <v>0.84</v>
      </c>
      <c r="P768" s="2">
        <f t="shared" si="74"/>
        <v>0.18106555904751304</v>
      </c>
      <c r="Q768" s="2">
        <f t="shared" si="75"/>
        <v>0.91637959819744885</v>
      </c>
      <c r="R768" s="2">
        <f t="shared" si="76"/>
        <v>-0.70663147132769466</v>
      </c>
      <c r="S768">
        <f t="shared" si="71"/>
        <v>0.20397224824665805</v>
      </c>
      <c r="U768">
        <v>1.9634741239748859</v>
      </c>
    </row>
    <row r="769" spans="1:21" ht="13.9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72"/>
        <v>#NUM!</v>
      </c>
      <c r="I769" s="2">
        <f t="shared" si="73"/>
        <v>0.37390096630005903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 t="e">
        <f t="shared" si="74"/>
        <v>#DIV/0!</v>
      </c>
      <c r="Q769" s="2" t="e">
        <f t="shared" si="75"/>
        <v>#DIV/0!</v>
      </c>
      <c r="R769" s="2" t="e">
        <f t="shared" si="76"/>
        <v>#DIV/0!</v>
      </c>
      <c r="S769" t="e">
        <f t="shared" si="71"/>
        <v>#DIV/0!</v>
      </c>
      <c r="U769" t="e">
        <v>#NUM!</v>
      </c>
    </row>
    <row r="770" spans="1:21" ht="13.9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0.2</v>
      </c>
      <c r="N770" s="2">
        <v>0</v>
      </c>
      <c r="O770" s="2">
        <v>0</v>
      </c>
      <c r="P770" s="2" t="e">
        <f t="shared" si="74"/>
        <v>#NUM!</v>
      </c>
      <c r="Q770" s="2">
        <f t="shared" si="75"/>
        <v>0.37390096630005903</v>
      </c>
      <c r="R770" s="2" t="e">
        <f t="shared" si="76"/>
        <v>#NUM!</v>
      </c>
      <c r="S770" t="e">
        <f t="shared" si="71"/>
        <v>#NUM!</v>
      </c>
      <c r="U770" t="e">
        <v>#NUM!</v>
      </c>
    </row>
    <row r="771" spans="1:21" ht="13.9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0</v>
      </c>
      <c r="L771" s="2">
        <v>0</v>
      </c>
      <c r="M771" s="2">
        <v>0.3</v>
      </c>
      <c r="N771" s="2">
        <v>0</v>
      </c>
      <c r="O771" s="2">
        <v>0</v>
      </c>
      <c r="P771" s="2" t="e">
        <f t="shared" si="74"/>
        <v>#NUM!</v>
      </c>
      <c r="Q771" s="2">
        <f t="shared" si="75"/>
        <v>0.37390096630005903</v>
      </c>
      <c r="R771" s="2" t="e">
        <f t="shared" si="76"/>
        <v>#NUM!</v>
      </c>
      <c r="S771" t="e">
        <f t="shared" si="71"/>
        <v>#NUM!</v>
      </c>
      <c r="U771" t="e">
        <v>#NUM!</v>
      </c>
    </row>
    <row r="772" spans="1:21" ht="13.9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72"/>
        <v>#NUM!</v>
      </c>
      <c r="I772" s="2">
        <f t="shared" si="73"/>
        <v>0.11781607687077444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ht="13.9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72"/>
        <v>#NUM!</v>
      </c>
      <c r="I773" s="2">
        <f t="shared" si="73"/>
        <v>0.25117827857643138</v>
      </c>
      <c r="J773" s="2">
        <v>0</v>
      </c>
      <c r="K773" s="2">
        <v>0</v>
      </c>
      <c r="L773" s="2">
        <v>0</v>
      </c>
      <c r="M773" s="2">
        <v>0.39</v>
      </c>
      <c r="N773" s="2">
        <v>0.13</v>
      </c>
      <c r="O773" s="2">
        <v>0.53</v>
      </c>
      <c r="P773" s="2" t="e">
        <f t="shared" si="74"/>
        <v>#NUM!</v>
      </c>
      <c r="Q773" s="2">
        <f t="shared" si="75"/>
        <v>4.0473031428763108E-2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 t="e">
        <f t="shared" si="74"/>
        <v>#DIV/0!</v>
      </c>
      <c r="Q774" s="2" t="e">
        <f t="shared" si="75"/>
        <v>#DIV/0!</v>
      </c>
      <c r="R774" s="2" t="e">
        <f t="shared" si="76"/>
        <v>#DIV/0!</v>
      </c>
      <c r="S774" t="e">
        <f t="shared" si="77"/>
        <v>#DIV/0!</v>
      </c>
      <c r="U774" t="e">
        <v>#NUM!</v>
      </c>
    </row>
    <row r="775" spans="1:21" ht="13.9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72"/>
        <v>#NUM!</v>
      </c>
      <c r="I775" s="2">
        <f t="shared" si="73"/>
        <v>0.37390096630005903</v>
      </c>
      <c r="J775" s="2">
        <v>0</v>
      </c>
      <c r="K775" s="2">
        <v>0</v>
      </c>
      <c r="L775" s="2">
        <v>0</v>
      </c>
      <c r="M775" s="2">
        <v>0.3</v>
      </c>
      <c r="N775" s="2">
        <v>0.8</v>
      </c>
      <c r="O775" s="2">
        <v>1.48</v>
      </c>
      <c r="P775" s="2" t="e">
        <f t="shared" si="74"/>
        <v>#NUM!</v>
      </c>
      <c r="Q775" s="2">
        <f t="shared" si="75"/>
        <v>6.5709532473400098E-2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ht="13.9" x14ac:dyDescent="0.3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72"/>
        <v>#DIV/0!</v>
      </c>
      <c r="I776" s="2">
        <f t="shared" si="73"/>
        <v>0.37390096630005903</v>
      </c>
      <c r="J776" s="2">
        <v>0</v>
      </c>
      <c r="K776" s="2">
        <v>0</v>
      </c>
      <c r="L776" s="2">
        <v>0</v>
      </c>
      <c r="M776" s="2">
        <v>0.2</v>
      </c>
      <c r="N776" s="2">
        <v>0</v>
      </c>
      <c r="O776" s="2">
        <v>0.21</v>
      </c>
      <c r="P776" s="2" t="e">
        <f t="shared" si="74"/>
        <v>#NUM!</v>
      </c>
      <c r="Q776" s="2">
        <f t="shared" si="75"/>
        <v>0.11635308435469104</v>
      </c>
      <c r="R776" s="2" t="e">
        <f t="shared" si="76"/>
        <v>#NUM!</v>
      </c>
      <c r="S776" t="e">
        <f t="shared" si="77"/>
        <v>#NUM!</v>
      </c>
      <c r="U776" t="e">
        <v>#NUM!</v>
      </c>
    </row>
    <row r="777" spans="1:21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 t="e">
        <f t="shared" si="74"/>
        <v>#DIV/0!</v>
      </c>
      <c r="Q777" s="2" t="e">
        <f t="shared" si="75"/>
        <v>#DIV/0!</v>
      </c>
      <c r="R777" s="2" t="e">
        <f t="shared" si="76"/>
        <v>#DIV/0!</v>
      </c>
      <c r="S777" t="e">
        <f t="shared" si="77"/>
        <v>#DIV/0!</v>
      </c>
      <c r="U777" t="e">
        <v>#NUM!</v>
      </c>
    </row>
    <row r="778" spans="1:21" ht="13.9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0.74</v>
      </c>
      <c r="P778" s="2" t="e">
        <f t="shared" si="74"/>
        <v>#NUM!</v>
      </c>
      <c r="Q778" s="2">
        <f t="shared" si="75"/>
        <v>0.37390096630005903</v>
      </c>
      <c r="R778" s="2" t="e">
        <f t="shared" si="76"/>
        <v>#NUM!</v>
      </c>
      <c r="S778" t="e">
        <f t="shared" si="77"/>
        <v>#NUM!</v>
      </c>
      <c r="U778" t="e">
        <v>#NUM!</v>
      </c>
    </row>
    <row r="779" spans="1:21" ht="13.9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72"/>
        <v>#NUM!</v>
      </c>
      <c r="I779" s="2">
        <f t="shared" si="73"/>
        <v>0.37390096630005903</v>
      </c>
      <c r="J779" s="2">
        <v>0</v>
      </c>
      <c r="K779" s="2">
        <v>0</v>
      </c>
      <c r="L779" s="2">
        <v>0</v>
      </c>
      <c r="M779" s="2">
        <v>0</v>
      </c>
      <c r="N779" s="2">
        <v>0.94</v>
      </c>
      <c r="O779" s="2">
        <v>0.32</v>
      </c>
      <c r="P779" s="2" t="e">
        <f t="shared" si="74"/>
        <v>#NUM!</v>
      </c>
      <c r="Q779" s="2">
        <f t="shared" si="75"/>
        <v>0.2026245170526938</v>
      </c>
      <c r="R779" s="2" t="e">
        <f t="shared" si="76"/>
        <v>#NUM!</v>
      </c>
      <c r="S779" t="e">
        <f t="shared" si="77"/>
        <v>#NUM!</v>
      </c>
      <c r="U779" t="e">
        <v>#NUM!</v>
      </c>
    </row>
    <row r="780" spans="1:21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72"/>
        <v>#DIV/0!</v>
      </c>
      <c r="I780" s="2" t="e">
        <f t="shared" si="73"/>
        <v>#DIV/0!</v>
      </c>
      <c r="J780" s="2">
        <v>0</v>
      </c>
      <c r="K780" s="2">
        <v>0</v>
      </c>
      <c r="L780" s="2">
        <v>0</v>
      </c>
      <c r="M780" s="2">
        <v>0.1</v>
      </c>
      <c r="N780" s="2">
        <v>0</v>
      </c>
      <c r="O780" s="2">
        <v>0</v>
      </c>
      <c r="P780" s="2" t="e">
        <f t="shared" si="74"/>
        <v>#NUM!</v>
      </c>
      <c r="Q780" s="2">
        <f t="shared" si="75"/>
        <v>0.37390096630005903</v>
      </c>
      <c r="R780" s="2" t="e">
        <f t="shared" si="76"/>
        <v>#NUM!</v>
      </c>
      <c r="S780" t="e">
        <f t="shared" si="77"/>
        <v>#NUM!</v>
      </c>
      <c r="U780" t="e">
        <v>#NUM!</v>
      </c>
    </row>
    <row r="781" spans="1:21" ht="13.9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0.49</v>
      </c>
      <c r="N781" s="2">
        <v>0</v>
      </c>
      <c r="O781" s="2">
        <v>0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 t="e">
        <f t="shared" si="74"/>
        <v>#DIV/0!</v>
      </c>
      <c r="Q782" s="2" t="e">
        <f t="shared" si="75"/>
        <v>#DIV/0!</v>
      </c>
      <c r="R782" s="2" t="e">
        <f t="shared" si="76"/>
        <v>#DIV/0!</v>
      </c>
      <c r="S782" t="e">
        <f t="shared" si="77"/>
        <v>#DIV/0!</v>
      </c>
      <c r="U782" t="e">
        <v>#NUM!</v>
      </c>
    </row>
    <row r="783" spans="1:21" ht="13.9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72"/>
        <v>#DIV/0!</v>
      </c>
      <c r="I783" s="2" t="e">
        <f t="shared" si="73"/>
        <v>#DIV/0!</v>
      </c>
      <c r="J783" s="2">
        <v>7.58</v>
      </c>
      <c r="K783" s="2">
        <v>0</v>
      </c>
      <c r="L783" s="2">
        <v>0</v>
      </c>
      <c r="M783" s="2">
        <v>0.39</v>
      </c>
      <c r="N783" s="2">
        <v>0</v>
      </c>
      <c r="O783" s="2">
        <v>0</v>
      </c>
      <c r="P783" s="2">
        <f t="shared" si="74"/>
        <v>4.2806518193088428</v>
      </c>
      <c r="Q783" s="2">
        <f t="shared" si="75"/>
        <v>0.39712843020898253</v>
      </c>
      <c r="R783" s="2" t="e">
        <f t="shared" si="76"/>
        <v>#DIV/0!</v>
      </c>
      <c r="S783" t="e">
        <f t="shared" si="77"/>
        <v>#DIV/0!</v>
      </c>
      <c r="U783">
        <v>2.9221978483963671</v>
      </c>
    </row>
    <row r="784" spans="1:21" ht="13.9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72"/>
        <v>#NUM!</v>
      </c>
      <c r="I784" s="2">
        <f t="shared" si="73"/>
        <v>0.37390096630005903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ht="13.9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0.1</v>
      </c>
      <c r="N785" s="2">
        <v>0</v>
      </c>
      <c r="O785" s="2">
        <v>0</v>
      </c>
      <c r="P785" s="2" t="e">
        <f t="shared" si="74"/>
        <v>#NUM!</v>
      </c>
      <c r="Q785" s="2">
        <f t="shared" si="75"/>
        <v>0.37390096630005903</v>
      </c>
      <c r="R785" s="2" t="e">
        <f t="shared" si="76"/>
        <v>#NUM!</v>
      </c>
      <c r="S785" t="e">
        <f t="shared" si="77"/>
        <v>#NUM!</v>
      </c>
      <c r="U785" t="e">
        <v>#NUM!</v>
      </c>
    </row>
    <row r="786" spans="1:21" ht="13.9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72"/>
        <v>#NUM!</v>
      </c>
      <c r="I786" s="2">
        <f t="shared" si="73"/>
        <v>0.16147812905921274</v>
      </c>
      <c r="J786" s="2">
        <v>0</v>
      </c>
      <c r="K786" s="2">
        <v>0</v>
      </c>
      <c r="L786" s="2">
        <v>0</v>
      </c>
      <c r="M786" s="2">
        <v>0</v>
      </c>
      <c r="N786" s="2">
        <v>0.4</v>
      </c>
      <c r="O786" s="2">
        <v>0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72"/>
        <v>#DIV/0!</v>
      </c>
      <c r="I787" s="2" t="e">
        <f t="shared" si="73"/>
        <v>#DIV/0!</v>
      </c>
      <c r="J787" s="2">
        <v>0</v>
      </c>
      <c r="K787" s="2">
        <v>0</v>
      </c>
      <c r="L787" s="2">
        <v>0</v>
      </c>
      <c r="M787" s="2">
        <v>0</v>
      </c>
      <c r="N787" s="2">
        <v>0.53</v>
      </c>
      <c r="O787" s="2">
        <v>0</v>
      </c>
      <c r="P787" s="2" t="e">
        <f t="shared" si="74"/>
        <v>#NUM!</v>
      </c>
      <c r="Q787" s="2">
        <f t="shared" si="75"/>
        <v>0.37390096630005903</v>
      </c>
      <c r="R787" s="2" t="e">
        <f t="shared" si="76"/>
        <v>#NUM!</v>
      </c>
      <c r="S787" t="e">
        <f t="shared" si="77"/>
        <v>#NUM!</v>
      </c>
      <c r="U787" t="e">
        <v>#NUM!</v>
      </c>
    </row>
    <row r="788" spans="1:21" ht="13.9" x14ac:dyDescent="0.3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72"/>
        <v>-0.20516600722585143</v>
      </c>
      <c r="I788" s="2">
        <f t="shared" si="73"/>
        <v>0.88950614838957109</v>
      </c>
      <c r="J788" s="2">
        <v>0</v>
      </c>
      <c r="K788" s="2">
        <v>0</v>
      </c>
      <c r="L788" s="2">
        <v>0</v>
      </c>
      <c r="M788" s="2">
        <v>4.34</v>
      </c>
      <c r="N788" s="2">
        <v>0.94</v>
      </c>
      <c r="O788" s="2">
        <v>1.48</v>
      </c>
      <c r="P788" s="2" t="e">
        <f t="shared" si="74"/>
        <v>#NUM!</v>
      </c>
      <c r="Q788" s="2">
        <f t="shared" si="75"/>
        <v>9.9530347600436719E-2</v>
      </c>
      <c r="R788" s="2" t="e">
        <f t="shared" si="76"/>
        <v>#NUM!</v>
      </c>
      <c r="S788" t="e">
        <f t="shared" si="77"/>
        <v>#NUM!</v>
      </c>
      <c r="U788" t="e">
        <v>#NUM!</v>
      </c>
    </row>
    <row r="789" spans="1:21" ht="13.9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72"/>
        <v>#NUM!</v>
      </c>
      <c r="I789" s="2">
        <f t="shared" si="73"/>
        <v>0.23779614445826563</v>
      </c>
      <c r="J789" s="2">
        <v>0</v>
      </c>
      <c r="K789" s="2">
        <v>0</v>
      </c>
      <c r="L789" s="2">
        <v>0</v>
      </c>
      <c r="M789" s="2">
        <v>0.69</v>
      </c>
      <c r="N789" s="2">
        <v>0.94</v>
      </c>
      <c r="O789" s="2">
        <v>0.32</v>
      </c>
      <c r="P789" s="2" t="e">
        <f t="shared" si="74"/>
        <v>#NUM!</v>
      </c>
      <c r="Q789" s="2">
        <f t="shared" si="75"/>
        <v>2.2571548002477394E-2</v>
      </c>
      <c r="R789" s="2" t="e">
        <f t="shared" si="76"/>
        <v>#NUM!</v>
      </c>
      <c r="S789" t="e">
        <f t="shared" si="77"/>
        <v>#NUM!</v>
      </c>
      <c r="U789" t="e">
        <v>#NUM!</v>
      </c>
    </row>
    <row r="790" spans="1:21" ht="13.9" x14ac:dyDescent="0.3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72"/>
        <v>#NUM!</v>
      </c>
      <c r="I790" s="2">
        <f t="shared" si="73"/>
        <v>0.37390096630005903</v>
      </c>
      <c r="J790" s="2">
        <v>0</v>
      </c>
      <c r="K790" s="2">
        <v>2.68</v>
      </c>
      <c r="L790" s="2">
        <v>0</v>
      </c>
      <c r="M790" s="2">
        <v>0</v>
      </c>
      <c r="N790" s="2">
        <v>0.13</v>
      </c>
      <c r="O790" s="2">
        <v>0</v>
      </c>
      <c r="P790" s="2">
        <f t="shared" si="74"/>
        <v>4.3656494723166812</v>
      </c>
      <c r="Q790" s="2">
        <f t="shared" si="75"/>
        <v>0.39573812765447008</v>
      </c>
      <c r="R790" s="2" t="e">
        <f t="shared" si="76"/>
        <v>#NUM!</v>
      </c>
      <c r="S790" t="e">
        <f t="shared" si="77"/>
        <v>#NUM!</v>
      </c>
      <c r="U790">
        <v>1.4222330006830479</v>
      </c>
    </row>
    <row r="791" spans="1:21" ht="13.9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72"/>
        <v>#NUM!</v>
      </c>
      <c r="I791" s="2">
        <f t="shared" si="73"/>
        <v>0.37390096630005903</v>
      </c>
      <c r="J791" s="2">
        <v>0</v>
      </c>
      <c r="K791" s="2">
        <v>0</v>
      </c>
      <c r="L791" s="2">
        <v>0</v>
      </c>
      <c r="M791" s="2">
        <v>0.2</v>
      </c>
      <c r="N791" s="2">
        <v>0</v>
      </c>
      <c r="O791" s="2">
        <v>0.21</v>
      </c>
      <c r="P791" s="2" t="e">
        <f t="shared" si="74"/>
        <v>#NUM!</v>
      </c>
      <c r="Q791" s="2">
        <f t="shared" si="75"/>
        <v>0.11635308435469104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ht="13.9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72"/>
        <v>#DIV/0!</v>
      </c>
      <c r="I792" s="2" t="e">
        <f t="shared" si="73"/>
        <v>#DIV/0!</v>
      </c>
      <c r="J792" s="2">
        <v>0</v>
      </c>
      <c r="K792" s="2">
        <v>6.1</v>
      </c>
      <c r="L792" s="2">
        <v>0</v>
      </c>
      <c r="M792" s="2">
        <v>0</v>
      </c>
      <c r="N792" s="2">
        <v>0</v>
      </c>
      <c r="O792" s="2">
        <v>0.11</v>
      </c>
      <c r="P792" s="2">
        <f t="shared" si="74"/>
        <v>5.793233813812952</v>
      </c>
      <c r="Q792" s="2">
        <f t="shared" si="75"/>
        <v>0.3817826367416971</v>
      </c>
      <c r="R792" s="2" t="e">
        <f t="shared" si="76"/>
        <v>#DIV/0!</v>
      </c>
      <c r="S792" t="e">
        <f t="shared" si="77"/>
        <v>#DIV/0!</v>
      </c>
      <c r="U792">
        <v>2.6088092426755241</v>
      </c>
    </row>
    <row r="793" spans="1:21" ht="13.9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72"/>
        <v>#NUM!</v>
      </c>
      <c r="I793" s="2">
        <f t="shared" si="73"/>
        <v>0.37390096630005903</v>
      </c>
      <c r="J793" s="2">
        <v>0</v>
      </c>
      <c r="K793" s="2">
        <v>0</v>
      </c>
      <c r="L793" s="2">
        <v>0</v>
      </c>
      <c r="M793" s="2">
        <v>0.3</v>
      </c>
      <c r="N793" s="2">
        <v>0</v>
      </c>
      <c r="O793" s="2">
        <v>0.32</v>
      </c>
      <c r="P793" s="2" t="e">
        <f t="shared" si="74"/>
        <v>#NUM!</v>
      </c>
      <c r="Q793" s="2">
        <f t="shared" si="75"/>
        <v>0.11653025104531886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ht="13.9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72"/>
        <v>#NUM!</v>
      </c>
      <c r="I794" s="2">
        <f t="shared" si="73"/>
        <v>4.6068850482169299E-2</v>
      </c>
      <c r="J794" s="2">
        <v>0</v>
      </c>
      <c r="K794" s="2">
        <v>0</v>
      </c>
      <c r="L794" s="2">
        <v>0</v>
      </c>
      <c r="M794" s="2">
        <v>0.69</v>
      </c>
      <c r="N794" s="2">
        <v>1.07</v>
      </c>
      <c r="O794" s="2">
        <v>0</v>
      </c>
      <c r="P794" s="2" t="e">
        <f t="shared" si="74"/>
        <v>#NUM!</v>
      </c>
      <c r="Q794" s="2">
        <f t="shared" si="75"/>
        <v>0.13431832993431098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 t="e">
        <f t="shared" si="74"/>
        <v>#DIV/0!</v>
      </c>
      <c r="Q795" s="2" t="e">
        <f t="shared" si="75"/>
        <v>#DIV/0!</v>
      </c>
      <c r="R795" s="2" t="e">
        <f t="shared" si="76"/>
        <v>#DIV/0!</v>
      </c>
      <c r="S795" t="e">
        <f t="shared" si="77"/>
        <v>#DIV/0!</v>
      </c>
      <c r="U795" t="e">
        <v>#NUM!</v>
      </c>
    </row>
    <row r="796" spans="1:21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72"/>
        <v>#DIV/0!</v>
      </c>
      <c r="I796" s="2" t="e">
        <f t="shared" si="73"/>
        <v>#DIV/0!</v>
      </c>
      <c r="J796" s="2">
        <v>0</v>
      </c>
      <c r="K796" s="2">
        <v>0</v>
      </c>
      <c r="L796" s="2">
        <v>0</v>
      </c>
      <c r="M796" s="2">
        <v>0.2</v>
      </c>
      <c r="N796" s="2">
        <v>0</v>
      </c>
      <c r="O796" s="2">
        <v>0</v>
      </c>
      <c r="P796" s="2" t="e">
        <f t="shared" si="74"/>
        <v>#NUM!</v>
      </c>
      <c r="Q796" s="2">
        <f t="shared" si="75"/>
        <v>0.37390096630005903</v>
      </c>
      <c r="R796" s="2" t="e">
        <f t="shared" si="76"/>
        <v>#NUM!</v>
      </c>
      <c r="S796" t="e">
        <f t="shared" si="77"/>
        <v>#NUM!</v>
      </c>
      <c r="U796" t="e">
        <v>#NUM!</v>
      </c>
    </row>
    <row r="797" spans="1:21" ht="13.9" x14ac:dyDescent="0.3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72"/>
        <v>#DIV/0!</v>
      </c>
      <c r="I797" s="2">
        <f t="shared" si="73"/>
        <v>0.37390096630005903</v>
      </c>
      <c r="J797" s="2">
        <v>0</v>
      </c>
      <c r="K797" s="2">
        <v>0</v>
      </c>
      <c r="L797" s="2">
        <v>0</v>
      </c>
      <c r="M797" s="2">
        <v>0.2</v>
      </c>
      <c r="N797" s="2">
        <v>0.27</v>
      </c>
      <c r="O797" s="2">
        <v>0</v>
      </c>
      <c r="P797" s="2" t="e">
        <f t="shared" si="74"/>
        <v>#NUM!</v>
      </c>
      <c r="Q797" s="2">
        <f t="shared" si="75"/>
        <v>0.12486409699865564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ht="13.9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72"/>
        <v>#NUM!</v>
      </c>
      <c r="I798" s="2">
        <f t="shared" si="73"/>
        <v>0.37390096630005903</v>
      </c>
      <c r="J798" s="2">
        <v>0</v>
      </c>
      <c r="K798" s="2">
        <v>0</v>
      </c>
      <c r="L798" s="2">
        <v>0</v>
      </c>
      <c r="M798" s="2">
        <v>0</v>
      </c>
      <c r="N798" s="2">
        <v>0.27</v>
      </c>
      <c r="O798" s="2">
        <v>0.53</v>
      </c>
      <c r="P798" s="2" t="e">
        <f t="shared" si="74"/>
        <v>#NUM!</v>
      </c>
      <c r="Q798" s="2">
        <f t="shared" si="75"/>
        <v>0.15631819763304933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ht="13.9" x14ac:dyDescent="0.3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>
        <f t="shared" si="73"/>
        <v>0.37390096630005903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ht="13.9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72"/>
        <v>#NUM!</v>
      </c>
      <c r="I800" s="2">
        <f t="shared" si="73"/>
        <v>0.37390096630005903</v>
      </c>
      <c r="J800" s="2">
        <v>0</v>
      </c>
      <c r="K800" s="2">
        <v>0</v>
      </c>
      <c r="L800" s="2">
        <v>0</v>
      </c>
      <c r="M800" s="2">
        <v>1.48</v>
      </c>
      <c r="N800" s="2">
        <v>0.13</v>
      </c>
      <c r="O800" s="2">
        <v>1.58</v>
      </c>
      <c r="P800" s="2" t="e">
        <f t="shared" si="74"/>
        <v>#NUM!</v>
      </c>
      <c r="Q800" s="2">
        <f t="shared" si="75"/>
        <v>8.5328671820094723E-2</v>
      </c>
      <c r="R800" s="2" t="e">
        <f t="shared" si="76"/>
        <v>#NUM!</v>
      </c>
      <c r="S800" t="e">
        <f t="shared" si="77"/>
        <v>#NUM!</v>
      </c>
      <c r="U800" t="e">
        <v>#NUM!</v>
      </c>
    </row>
    <row r="801" spans="1:21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72"/>
        <v>#DIV/0!</v>
      </c>
      <c r="I801" s="2" t="e">
        <f t="shared" si="73"/>
        <v>#DIV/0!</v>
      </c>
      <c r="J801" s="2">
        <v>0</v>
      </c>
      <c r="K801" s="2">
        <v>0</v>
      </c>
      <c r="L801" s="2">
        <v>0</v>
      </c>
      <c r="M801" s="2">
        <v>0</v>
      </c>
      <c r="N801" s="2">
        <v>0.13</v>
      </c>
      <c r="O801" s="2">
        <v>0</v>
      </c>
      <c r="P801" s="2" t="e">
        <f t="shared" si="74"/>
        <v>#NUM!</v>
      </c>
      <c r="Q801" s="2">
        <f t="shared" si="75"/>
        <v>0.37390096630005903</v>
      </c>
      <c r="R801" s="2" t="e">
        <f t="shared" si="76"/>
        <v>#NUM!</v>
      </c>
      <c r="S801" t="e">
        <f t="shared" si="77"/>
        <v>#NUM!</v>
      </c>
      <c r="U801" t="e">
        <v>#NUM!</v>
      </c>
    </row>
    <row r="802" spans="1:21" ht="13.9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72"/>
        <v>#NUM!</v>
      </c>
      <c r="I802" s="2">
        <f t="shared" si="73"/>
        <v>0.34170019006569902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1.37</v>
      </c>
      <c r="P802" s="2" t="e">
        <f t="shared" si="74"/>
        <v>#NUM!</v>
      </c>
      <c r="Q802" s="2">
        <f t="shared" si="75"/>
        <v>0.37390096630005903</v>
      </c>
      <c r="R802" s="2" t="e">
        <f t="shared" si="76"/>
        <v>#NUM!</v>
      </c>
      <c r="S802" t="e">
        <f t="shared" si="77"/>
        <v>#NUM!</v>
      </c>
      <c r="U802" t="e">
        <v>#NUM!</v>
      </c>
    </row>
    <row r="803" spans="1:21" ht="13.9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</v>
      </c>
      <c r="N803" s="2">
        <v>0.13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ht="13.9" x14ac:dyDescent="0.3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72"/>
        <v>#NUM!</v>
      </c>
      <c r="I804" s="2">
        <f t="shared" si="73"/>
        <v>0.11887140555991681</v>
      </c>
      <c r="J804" s="2">
        <v>0</v>
      </c>
      <c r="K804" s="2">
        <v>0</v>
      </c>
      <c r="L804" s="2">
        <v>4.92</v>
      </c>
      <c r="M804" s="2">
        <v>0</v>
      </c>
      <c r="N804" s="2">
        <v>0.27</v>
      </c>
      <c r="O804" s="2">
        <v>0</v>
      </c>
      <c r="P804" s="2">
        <f t="shared" si="74"/>
        <v>4.1876270031757716</v>
      </c>
      <c r="Q804" s="2">
        <f t="shared" si="75"/>
        <v>0.39875627085468435</v>
      </c>
      <c r="R804" s="2" t="e">
        <f t="shared" si="76"/>
        <v>#NUM!</v>
      </c>
      <c r="S804" t="e">
        <f t="shared" si="77"/>
        <v>#NUM!</v>
      </c>
      <c r="U804">
        <v>2.2986583155645151</v>
      </c>
    </row>
    <row r="805" spans="1:21" ht="13.9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0.13</v>
      </c>
      <c r="O805" s="2">
        <v>0</v>
      </c>
      <c r="P805" s="2" t="e">
        <f t="shared" si="74"/>
        <v>#NUM!</v>
      </c>
      <c r="Q805" s="2">
        <f t="shared" si="75"/>
        <v>0.37390096630005903</v>
      </c>
      <c r="R805" s="2" t="e">
        <f t="shared" si="76"/>
        <v>#NUM!</v>
      </c>
      <c r="S805" t="e">
        <f t="shared" si="77"/>
        <v>#NUM!</v>
      </c>
      <c r="U805" t="e">
        <v>#NUM!</v>
      </c>
    </row>
    <row r="806" spans="1:21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72"/>
        <v>#DIV/0!</v>
      </c>
      <c r="I806" s="2" t="e">
        <f t="shared" si="73"/>
        <v>#DIV/0!</v>
      </c>
      <c r="J806" s="2">
        <v>0</v>
      </c>
      <c r="K806" s="2">
        <v>0</v>
      </c>
      <c r="L806" s="2">
        <v>0</v>
      </c>
      <c r="M806" s="2">
        <v>0.1</v>
      </c>
      <c r="N806" s="2">
        <v>0</v>
      </c>
      <c r="O806" s="2">
        <v>0</v>
      </c>
      <c r="P806" s="2" t="e">
        <f t="shared" si="74"/>
        <v>#NUM!</v>
      </c>
      <c r="Q806" s="2">
        <f t="shared" si="75"/>
        <v>0.37390096630005903</v>
      </c>
      <c r="R806" s="2" t="e">
        <f t="shared" si="76"/>
        <v>#NUM!</v>
      </c>
      <c r="S806" t="e">
        <f t="shared" si="77"/>
        <v>#NUM!</v>
      </c>
      <c r="U806" t="e">
        <v>#NUM!</v>
      </c>
    </row>
    <row r="807" spans="1:21" ht="13.9" x14ac:dyDescent="0.3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72"/>
        <v>#DIV/0!</v>
      </c>
      <c r="I807" s="2">
        <f t="shared" si="73"/>
        <v>0.36265146126275422</v>
      </c>
      <c r="J807" s="2">
        <v>0</v>
      </c>
      <c r="K807" s="2">
        <v>0</v>
      </c>
      <c r="L807" s="2">
        <v>0</v>
      </c>
      <c r="M807" s="2">
        <v>0</v>
      </c>
      <c r="N807" s="2">
        <v>0.13</v>
      </c>
      <c r="O807" s="2">
        <v>0</v>
      </c>
      <c r="P807" s="2" t="e">
        <f t="shared" si="74"/>
        <v>#NUM!</v>
      </c>
      <c r="Q807" s="2">
        <f t="shared" si="75"/>
        <v>0.37390096630005903</v>
      </c>
      <c r="R807" s="2" t="e">
        <f t="shared" si="76"/>
        <v>#NUM!</v>
      </c>
      <c r="S807" t="e">
        <f t="shared" si="77"/>
        <v>#NUM!</v>
      </c>
      <c r="U807" t="e">
        <v>#NUM!</v>
      </c>
    </row>
    <row r="808" spans="1:21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72"/>
        <v>#DIV/0!</v>
      </c>
      <c r="I808" s="2" t="e">
        <f t="shared" si="73"/>
        <v>#DIV/0!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0.32</v>
      </c>
      <c r="P808" s="2" t="e">
        <f t="shared" si="74"/>
        <v>#NUM!</v>
      </c>
      <c r="Q808" s="2">
        <f t="shared" si="75"/>
        <v>0.37390096630005903</v>
      </c>
      <c r="R808" s="2" t="e">
        <f t="shared" si="76"/>
        <v>#NUM!</v>
      </c>
      <c r="S808" t="e">
        <f t="shared" si="77"/>
        <v>#NUM!</v>
      </c>
      <c r="U808" t="e">
        <v>#NUM!</v>
      </c>
    </row>
    <row r="809" spans="1:21" ht="13.9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72"/>
        <v>#NUM!</v>
      </c>
      <c r="I809" s="2">
        <f t="shared" si="73"/>
        <v>0.37390096630005903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72"/>
        <v>#DIV/0!</v>
      </c>
      <c r="I810" s="2" t="e">
        <f t="shared" si="73"/>
        <v>#DIV/0!</v>
      </c>
      <c r="J810" s="2">
        <v>0</v>
      </c>
      <c r="K810" s="2">
        <v>0</v>
      </c>
      <c r="L810" s="2">
        <v>0</v>
      </c>
      <c r="M810" s="2">
        <v>0</v>
      </c>
      <c r="N810" s="2">
        <v>0.4</v>
      </c>
      <c r="O810" s="2">
        <v>0</v>
      </c>
      <c r="P810" s="2" t="e">
        <f t="shared" si="74"/>
        <v>#NUM!</v>
      </c>
      <c r="Q810" s="2">
        <f t="shared" si="75"/>
        <v>0.37390096630005903</v>
      </c>
      <c r="R810" s="2" t="e">
        <f t="shared" si="76"/>
        <v>#NUM!</v>
      </c>
      <c r="S810" t="e">
        <f t="shared" si="77"/>
        <v>#NUM!</v>
      </c>
      <c r="U810" t="e">
        <v>#NUM!</v>
      </c>
    </row>
    <row r="811" spans="1:21" ht="13.9" x14ac:dyDescent="0.3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72"/>
        <v>0.89027963276360311</v>
      </c>
      <c r="I811" s="2">
        <f t="shared" si="73"/>
        <v>0.6758913065438199</v>
      </c>
      <c r="J811" s="2">
        <v>0</v>
      </c>
      <c r="K811" s="2">
        <v>0</v>
      </c>
      <c r="L811" s="2">
        <v>2.73</v>
      </c>
      <c r="M811" s="2">
        <v>1.18</v>
      </c>
      <c r="N811" s="2">
        <v>0.67</v>
      </c>
      <c r="O811" s="2">
        <v>0.11</v>
      </c>
      <c r="P811" s="2">
        <f t="shared" si="74"/>
        <v>0.47804729680464414</v>
      </c>
      <c r="Q811" s="2">
        <f t="shared" si="75"/>
        <v>0.80261587885638042</v>
      </c>
      <c r="R811" s="2">
        <f t="shared" si="76"/>
        <v>-0.41223233595895897</v>
      </c>
      <c r="S811">
        <f t="shared" si="77"/>
        <v>0.5369630835209509</v>
      </c>
      <c r="U811">
        <v>1.4489009511451278</v>
      </c>
    </row>
    <row r="812" spans="1:21" ht="13.9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72"/>
        <v>#NUM!</v>
      </c>
      <c r="I812" s="2">
        <f t="shared" si="73"/>
        <v>0.37390096630005903</v>
      </c>
      <c r="J812" s="2">
        <v>0</v>
      </c>
      <c r="K812" s="2">
        <v>0</v>
      </c>
      <c r="L812" s="2">
        <v>0</v>
      </c>
      <c r="M812" s="2">
        <v>0.59</v>
      </c>
      <c r="N812" s="2">
        <v>0.13</v>
      </c>
      <c r="O812" s="2">
        <v>1.05</v>
      </c>
      <c r="P812" s="2" t="e">
        <f t="shared" si="74"/>
        <v>#NUM!</v>
      </c>
      <c r="Q812" s="2">
        <f t="shared" si="75"/>
        <v>9.0456889047589722E-2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ht="13.9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 t="e">
        <f t="shared" si="73"/>
        <v>#DIV/0!</v>
      </c>
      <c r="J813" s="2">
        <v>5.93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>
        <f t="shared" si="75"/>
        <v>0.37390096630005903</v>
      </c>
      <c r="R813" s="2" t="e">
        <f t="shared" si="76"/>
        <v>#DIV/0!</v>
      </c>
      <c r="S813" t="e">
        <f t="shared" si="77"/>
        <v>#DIV/0!</v>
      </c>
      <c r="U813">
        <v>2.5680321047712789</v>
      </c>
    </row>
    <row r="814" spans="1:21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72"/>
        <v>#DIV/0!</v>
      </c>
      <c r="I814" s="2" t="e">
        <f t="shared" si="73"/>
        <v>#DIV/0!</v>
      </c>
      <c r="J814" s="2">
        <v>0</v>
      </c>
      <c r="K814" s="2">
        <v>0</v>
      </c>
      <c r="L814" s="2">
        <v>0</v>
      </c>
      <c r="M814" s="2">
        <v>0</v>
      </c>
      <c r="N814" s="2">
        <v>0.4</v>
      </c>
      <c r="O814" s="2">
        <v>0</v>
      </c>
      <c r="P814" s="2" t="e">
        <f t="shared" si="74"/>
        <v>#NUM!</v>
      </c>
      <c r="Q814" s="2">
        <f t="shared" si="75"/>
        <v>0.37390096630005903</v>
      </c>
      <c r="R814" s="2" t="e">
        <f t="shared" si="76"/>
        <v>#NUM!</v>
      </c>
      <c r="S814" t="e">
        <f t="shared" si="77"/>
        <v>#NUM!</v>
      </c>
      <c r="U814" t="e">
        <v>#NUM!</v>
      </c>
    </row>
    <row r="815" spans="1:21" ht="13.9" x14ac:dyDescent="0.3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72"/>
        <v>#NUM!</v>
      </c>
      <c r="I815" s="2">
        <f t="shared" si="73"/>
        <v>0.11915399920779023</v>
      </c>
      <c r="J815" s="2">
        <v>0</v>
      </c>
      <c r="K815" s="2">
        <v>0</v>
      </c>
      <c r="L815" s="2">
        <v>0.55000000000000004</v>
      </c>
      <c r="M815" s="2">
        <v>0.49</v>
      </c>
      <c r="N815" s="2">
        <v>1.47</v>
      </c>
      <c r="O815" s="2">
        <v>0.21</v>
      </c>
      <c r="P815" s="2">
        <f t="shared" si="74"/>
        <v>-1.9801915189198196</v>
      </c>
      <c r="Q815" s="2">
        <f t="shared" si="75"/>
        <v>0.27149717853356392</v>
      </c>
      <c r="R815" s="2" t="e">
        <f t="shared" si="76"/>
        <v>#NUM!</v>
      </c>
      <c r="S815" t="e">
        <f t="shared" si="77"/>
        <v>#NUM!</v>
      </c>
      <c r="U815">
        <v>-0.86249647625006509</v>
      </c>
    </row>
    <row r="816" spans="1:21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72"/>
        <v>#DIV/0!</v>
      </c>
      <c r="I816" s="2" t="e">
        <f t="shared" si="73"/>
        <v>#DIV/0!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0.21</v>
      </c>
      <c r="P816" s="2" t="e">
        <f t="shared" si="74"/>
        <v>#NUM!</v>
      </c>
      <c r="Q816" s="2">
        <f t="shared" si="75"/>
        <v>0.37390096630005903</v>
      </c>
      <c r="R816" s="2" t="e">
        <f t="shared" si="76"/>
        <v>#NUM!</v>
      </c>
      <c r="S816" t="e">
        <f t="shared" si="77"/>
        <v>#NUM!</v>
      </c>
      <c r="U816" t="e">
        <v>#NUM!</v>
      </c>
    </row>
    <row r="817" spans="1:21" ht="13.9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72"/>
        <v>#NUM!</v>
      </c>
      <c r="I817" s="2">
        <f t="shared" si="73"/>
        <v>8.7422592499105486E-2</v>
      </c>
      <c r="J817" s="2">
        <v>0</v>
      </c>
      <c r="K817" s="2">
        <v>0</v>
      </c>
      <c r="L817" s="2">
        <v>0</v>
      </c>
      <c r="M817" s="2">
        <v>2.4700000000000002</v>
      </c>
      <c r="N817" s="2">
        <v>1.34</v>
      </c>
      <c r="O817" s="2">
        <v>1.37</v>
      </c>
      <c r="P817" s="2" t="e">
        <f t="shared" si="74"/>
        <v>#NUM!</v>
      </c>
      <c r="Q817" s="2">
        <f t="shared" si="75"/>
        <v>9.7014263183178209E-3</v>
      </c>
      <c r="R817" s="2" t="e">
        <f t="shared" si="76"/>
        <v>#NUM!</v>
      </c>
      <c r="S817" t="e">
        <f t="shared" si="77"/>
        <v>#NUM!</v>
      </c>
      <c r="U817" t="e">
        <v>#NUM!</v>
      </c>
    </row>
    <row r="818" spans="1:21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 t="e">
        <f t="shared" si="74"/>
        <v>#DIV/0!</v>
      </c>
      <c r="Q818" s="2" t="e">
        <f t="shared" si="75"/>
        <v>#DIV/0!</v>
      </c>
      <c r="R818" s="2" t="e">
        <f t="shared" si="76"/>
        <v>#DIV/0!</v>
      </c>
      <c r="S818" t="e">
        <f t="shared" si="77"/>
        <v>#DIV/0!</v>
      </c>
      <c r="U818" t="e">
        <v>#NUM!</v>
      </c>
    </row>
    <row r="819" spans="1:21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72"/>
        <v>#DIV/0!</v>
      </c>
      <c r="I819" s="2" t="e">
        <f t="shared" si="73"/>
        <v>#DIV/0!</v>
      </c>
      <c r="J819" s="2">
        <v>0</v>
      </c>
      <c r="K819" s="2">
        <v>0</v>
      </c>
      <c r="L819" s="2">
        <v>0</v>
      </c>
      <c r="M819" s="2">
        <v>0.1</v>
      </c>
      <c r="N819" s="2">
        <v>0</v>
      </c>
      <c r="O819" s="2">
        <v>0</v>
      </c>
      <c r="P819" s="2" t="e">
        <f t="shared" si="74"/>
        <v>#NUM!</v>
      </c>
      <c r="Q819" s="2">
        <f t="shared" si="75"/>
        <v>0.37390096630005903</v>
      </c>
      <c r="R819" s="2" t="e">
        <f t="shared" si="76"/>
        <v>#NUM!</v>
      </c>
      <c r="S819" t="e">
        <f t="shared" si="77"/>
        <v>#NUM!</v>
      </c>
      <c r="U819" t="e">
        <v>#NUM!</v>
      </c>
    </row>
    <row r="820" spans="1:21" ht="13.9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0.2</v>
      </c>
      <c r="N820" s="2">
        <v>0</v>
      </c>
      <c r="O820" s="2">
        <v>0</v>
      </c>
      <c r="P820" s="2" t="e">
        <f t="shared" si="74"/>
        <v>#NUM!</v>
      </c>
      <c r="Q820" s="2">
        <f t="shared" si="75"/>
        <v>0.37390096630005903</v>
      </c>
      <c r="R820" s="2" t="e">
        <f t="shared" si="76"/>
        <v>#NUM!</v>
      </c>
      <c r="S820" t="e">
        <f t="shared" si="77"/>
        <v>#NUM!</v>
      </c>
      <c r="U820" t="e">
        <v>#NUM!</v>
      </c>
    </row>
    <row r="821" spans="1:21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72"/>
        <v>#DIV/0!</v>
      </c>
      <c r="I821" s="2" t="e">
        <f t="shared" si="73"/>
        <v>#DIV/0!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0.42</v>
      </c>
      <c r="P821" s="2" t="e">
        <f t="shared" si="74"/>
        <v>#NUM!</v>
      </c>
      <c r="Q821" s="2">
        <f t="shared" si="75"/>
        <v>0.37390096630005903</v>
      </c>
      <c r="R821" s="2" t="e">
        <f t="shared" si="76"/>
        <v>#NUM!</v>
      </c>
      <c r="S821" t="e">
        <f t="shared" si="77"/>
        <v>#NUM!</v>
      </c>
      <c r="U821" t="e">
        <v>#NUM!</v>
      </c>
    </row>
    <row r="822" spans="1:21" ht="13.9" x14ac:dyDescent="0.3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72"/>
        <v>3.9890288821789968</v>
      </c>
      <c r="I822" s="2">
        <f t="shared" si="73"/>
        <v>0.40264345683909303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ht="13.9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72"/>
        <v>#NUM!</v>
      </c>
      <c r="I823" s="2">
        <f t="shared" si="73"/>
        <v>0.37390096630005903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72"/>
        <v>#DIV/0!</v>
      </c>
      <c r="I824" s="2" t="e">
        <f t="shared" si="73"/>
        <v>#DIV/0!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0.53</v>
      </c>
      <c r="P824" s="2" t="e">
        <f t="shared" si="74"/>
        <v>#NUM!</v>
      </c>
      <c r="Q824" s="2">
        <f t="shared" si="75"/>
        <v>0.37390096630005903</v>
      </c>
      <c r="R824" s="2" t="e">
        <f t="shared" si="76"/>
        <v>#NUM!</v>
      </c>
      <c r="S824" t="e">
        <f t="shared" si="77"/>
        <v>#NUM!</v>
      </c>
      <c r="U824" t="e">
        <v>#NUM!</v>
      </c>
    </row>
    <row r="825" spans="1:21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72"/>
        <v>#DIV/0!</v>
      </c>
      <c r="I825" s="2" t="e">
        <f t="shared" si="73"/>
        <v>#DIV/0!</v>
      </c>
      <c r="J825" s="2">
        <v>0</v>
      </c>
      <c r="K825" s="2">
        <v>0</v>
      </c>
      <c r="L825" s="2">
        <v>0</v>
      </c>
      <c r="M825" s="2">
        <v>0.59</v>
      </c>
      <c r="N825" s="2">
        <v>0</v>
      </c>
      <c r="O825" s="2">
        <v>0</v>
      </c>
      <c r="P825" s="2" t="e">
        <f t="shared" si="74"/>
        <v>#NUM!</v>
      </c>
      <c r="Q825" s="2">
        <f t="shared" si="75"/>
        <v>0.37390096630005903</v>
      </c>
      <c r="R825" s="2" t="e">
        <f t="shared" si="76"/>
        <v>#NUM!</v>
      </c>
      <c r="S825" t="e">
        <f t="shared" si="77"/>
        <v>#NUM!</v>
      </c>
      <c r="U825" t="e">
        <v>#NUM!</v>
      </c>
    </row>
    <row r="826" spans="1:21" ht="13.9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 t="e">
        <f t="shared" si="73"/>
        <v>#DIV/0!</v>
      </c>
      <c r="J826" s="2">
        <v>6.26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>
        <f t="shared" si="75"/>
        <v>0.37390096630005903</v>
      </c>
      <c r="R826" s="2" t="e">
        <f t="shared" si="76"/>
        <v>#DIV/0!</v>
      </c>
      <c r="S826" t="e">
        <f t="shared" si="77"/>
        <v>#DIV/0!</v>
      </c>
      <c r="U826">
        <v>2.6461626571578938</v>
      </c>
    </row>
    <row r="827" spans="1:21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72"/>
        <v>#DIV/0!</v>
      </c>
      <c r="I827" s="2" t="e">
        <f t="shared" si="73"/>
        <v>#DIV/0!</v>
      </c>
      <c r="J827" s="2">
        <v>0</v>
      </c>
      <c r="K827" s="2">
        <v>0</v>
      </c>
      <c r="L827" s="2">
        <v>0</v>
      </c>
      <c r="M827" s="2">
        <v>0.1</v>
      </c>
      <c r="N827" s="2">
        <v>0</v>
      </c>
      <c r="O827" s="2">
        <v>0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ht="13.9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 t="e">
        <f t="shared" si="73"/>
        <v>#DIV/0!</v>
      </c>
      <c r="J828" s="2">
        <v>1.98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>
        <f t="shared" si="75"/>
        <v>0.37390096630005903</v>
      </c>
      <c r="R828" s="2" t="e">
        <f t="shared" si="76"/>
        <v>#DIV/0!</v>
      </c>
      <c r="S828" t="e">
        <f t="shared" si="77"/>
        <v>#DIV/0!</v>
      </c>
      <c r="U828">
        <v>0.98550043030488488</v>
      </c>
    </row>
    <row r="829" spans="1:21" ht="13.9" x14ac:dyDescent="0.3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ref="H829:H892" si="78">LOG(SUM(B829:D829)/SUM(E829:G829),2)</f>
        <v>-3.3046501034555269</v>
      </c>
      <c r="I829" s="2">
        <f t="shared" ref="I829:I892" si="79">_xlfn.T.TEST(B829:D829,E829:G829,2,2)</f>
        <v>0.21807601113585751</v>
      </c>
      <c r="J829" s="2">
        <v>25.05</v>
      </c>
      <c r="K829" s="2">
        <v>15.86</v>
      </c>
      <c r="L829" s="2">
        <v>0</v>
      </c>
      <c r="M829" s="2">
        <v>2.27</v>
      </c>
      <c r="N829" s="2">
        <v>1.6</v>
      </c>
      <c r="O829" s="2">
        <v>1.05</v>
      </c>
      <c r="P829" s="2">
        <f t="shared" ref="P829:P892" si="80">LOG(SUM(J829:L829)/SUM(M829:O829),2)</f>
        <v>3.0557233165488062</v>
      </c>
      <c r="Q829" s="2">
        <f t="shared" ref="Q829:Q892" si="81">_xlfn.T.TEST(J829:L829,M829:O829,2,2)</f>
        <v>0.17680050154771471</v>
      </c>
      <c r="R829" s="2">
        <f t="shared" ref="R829:R892" si="82">P829-H829</f>
        <v>6.3603734200043327</v>
      </c>
      <c r="S829">
        <f t="shared" si="77"/>
        <v>-0.92467378417871571</v>
      </c>
      <c r="U829">
        <v>5.3543816321133217</v>
      </c>
    </row>
    <row r="830" spans="1:21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78"/>
        <v>#DIV/0!</v>
      </c>
      <c r="I830" s="2" t="e">
        <f t="shared" si="79"/>
        <v>#DIV/0!</v>
      </c>
      <c r="J830" s="2">
        <v>0</v>
      </c>
      <c r="K830" s="2">
        <v>0</v>
      </c>
      <c r="L830" s="2">
        <v>0</v>
      </c>
      <c r="M830" s="2">
        <v>0</v>
      </c>
      <c r="N830" s="2">
        <v>0.4</v>
      </c>
      <c r="O830" s="2">
        <v>0</v>
      </c>
      <c r="P830" s="2" t="e">
        <f t="shared" si="80"/>
        <v>#NUM!</v>
      </c>
      <c r="Q830" s="2">
        <f t="shared" si="81"/>
        <v>0.37390096630005903</v>
      </c>
      <c r="R830" s="2" t="e">
        <f t="shared" si="82"/>
        <v>#NUM!</v>
      </c>
      <c r="S830" t="e">
        <f t="shared" si="77"/>
        <v>#NUM!</v>
      </c>
      <c r="U830" t="e">
        <v>#NUM!</v>
      </c>
    </row>
    <row r="831" spans="1:21" ht="13.9" x14ac:dyDescent="0.3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78"/>
        <v>-1.4119656718089837</v>
      </c>
      <c r="I831" s="2">
        <f t="shared" si="79"/>
        <v>8.1018889004284042E-2</v>
      </c>
      <c r="J831" s="2">
        <v>12.2</v>
      </c>
      <c r="K831" s="2">
        <v>44.64</v>
      </c>
      <c r="L831" s="2">
        <v>23.85</v>
      </c>
      <c r="M831" s="2">
        <v>27.05</v>
      </c>
      <c r="N831" s="2">
        <v>57.89</v>
      </c>
      <c r="O831" s="2">
        <v>29.09</v>
      </c>
      <c r="P831" s="2">
        <f t="shared" si="80"/>
        <v>-0.49895163611495374</v>
      </c>
      <c r="Q831" s="2">
        <f t="shared" si="81"/>
        <v>0.46439160105600891</v>
      </c>
      <c r="R831" s="2">
        <f t="shared" si="82"/>
        <v>0.91301403569402995</v>
      </c>
      <c r="S831">
        <f t="shared" si="77"/>
        <v>0.35337377251934626</v>
      </c>
      <c r="U831">
        <v>6.3343179846934428</v>
      </c>
    </row>
    <row r="832" spans="1:21" ht="13.9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78"/>
        <v>#NUM!</v>
      </c>
      <c r="I832" s="2">
        <f t="shared" si="79"/>
        <v>1.8726829414411176E-2</v>
      </c>
      <c r="J832" s="2">
        <v>0</v>
      </c>
      <c r="K832" s="2">
        <v>0</v>
      </c>
      <c r="L832" s="2">
        <v>0</v>
      </c>
      <c r="M832" s="2">
        <v>0.39</v>
      </c>
      <c r="N832" s="2">
        <v>0.94</v>
      </c>
      <c r="O832" s="2">
        <v>1.26</v>
      </c>
      <c r="P832" s="2" t="e">
        <f t="shared" si="80"/>
        <v>#NUM!</v>
      </c>
      <c r="Q832" s="2">
        <f t="shared" si="81"/>
        <v>2.7322575636423048E-2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ht="13.9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78"/>
        <v>#NUM!</v>
      </c>
      <c r="I833" s="2">
        <f t="shared" si="79"/>
        <v>0.37390096630005903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ht="13.9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si="78"/>
        <v>#NUM!</v>
      </c>
      <c r="I834" s="2">
        <f t="shared" si="79"/>
        <v>0.37390096630005903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78"/>
        <v>#DIV/0!</v>
      </c>
      <c r="I835" s="2" t="e">
        <f t="shared" si="79"/>
        <v>#DIV/0!</v>
      </c>
      <c r="J835" s="2">
        <v>0</v>
      </c>
      <c r="K835" s="2">
        <v>0</v>
      </c>
      <c r="L835" s="2">
        <v>0</v>
      </c>
      <c r="M835" s="2">
        <v>0.39</v>
      </c>
      <c r="N835" s="2">
        <v>0</v>
      </c>
      <c r="O835" s="2">
        <v>0.11</v>
      </c>
      <c r="P835" s="2" t="e">
        <f t="shared" si="80"/>
        <v>#NUM!</v>
      </c>
      <c r="Q835" s="2">
        <f t="shared" si="81"/>
        <v>0.22444645074560185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 t="e">
        <f t="shared" si="80"/>
        <v>#DIV/0!</v>
      </c>
      <c r="Q836" s="2" t="e">
        <f t="shared" si="81"/>
        <v>#DIV/0!</v>
      </c>
      <c r="R836" s="2" t="e">
        <f t="shared" si="82"/>
        <v>#DIV/0!</v>
      </c>
      <c r="S836" t="e">
        <f t="shared" ref="S836:S899" si="83">P836/H836</f>
        <v>#DIV/0!</v>
      </c>
      <c r="U836" t="e">
        <v>#NUM!</v>
      </c>
    </row>
    <row r="837" spans="1:21" ht="13.9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78"/>
        <v>#NUM!</v>
      </c>
      <c r="I837" s="2">
        <f t="shared" si="79"/>
        <v>0.37390096630005903</v>
      </c>
      <c r="J837" s="2">
        <v>0</v>
      </c>
      <c r="K837" s="2">
        <v>0</v>
      </c>
      <c r="L837" s="2">
        <v>0</v>
      </c>
      <c r="M837" s="2">
        <v>0.39</v>
      </c>
      <c r="N837" s="2">
        <v>0.53</v>
      </c>
      <c r="O837" s="2">
        <v>0.32</v>
      </c>
      <c r="P837" s="2" t="e">
        <f t="shared" si="80"/>
        <v>#NUM!</v>
      </c>
      <c r="Q837" s="2">
        <f t="shared" si="81"/>
        <v>2.5886671395731684E-3</v>
      </c>
      <c r="R837" s="2" t="e">
        <f t="shared" si="82"/>
        <v>#NUM!</v>
      </c>
      <c r="S837" t="e">
        <f t="shared" si="83"/>
        <v>#NUM!</v>
      </c>
      <c r="U837" t="e">
        <v>#NUM!</v>
      </c>
    </row>
    <row r="838" spans="1:21" ht="13.9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78"/>
        <v>#NUM!</v>
      </c>
      <c r="I838" s="2">
        <f t="shared" si="79"/>
        <v>0.13252822088813548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 t="e">
        <f t="shared" si="80"/>
        <v>#DIV/0!</v>
      </c>
      <c r="Q838" s="2" t="e">
        <f t="shared" si="81"/>
        <v>#DIV/0!</v>
      </c>
      <c r="R838" s="2" t="e">
        <f t="shared" si="82"/>
        <v>#DIV/0!</v>
      </c>
      <c r="S838" t="e">
        <f t="shared" si="83"/>
        <v>#DIV/0!</v>
      </c>
      <c r="U838" t="e">
        <v>#NUM!</v>
      </c>
    </row>
    <row r="839" spans="1:21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78"/>
        <v>#DIV/0!</v>
      </c>
      <c r="I839" s="2" t="e">
        <f t="shared" si="79"/>
        <v>#DIV/0!</v>
      </c>
      <c r="J839" s="2">
        <v>0</v>
      </c>
      <c r="K839" s="2">
        <v>0</v>
      </c>
      <c r="L839" s="2">
        <v>0</v>
      </c>
      <c r="M839" s="2">
        <v>0</v>
      </c>
      <c r="N839" s="2">
        <v>0.53</v>
      </c>
      <c r="O839" s="2">
        <v>0</v>
      </c>
      <c r="P839" s="2" t="e">
        <f t="shared" si="80"/>
        <v>#NUM!</v>
      </c>
      <c r="Q839" s="2">
        <f t="shared" si="81"/>
        <v>0.37390096630005903</v>
      </c>
      <c r="R839" s="2" t="e">
        <f t="shared" si="82"/>
        <v>#NUM!</v>
      </c>
      <c r="S839" t="e">
        <f t="shared" si="83"/>
        <v>#NUM!</v>
      </c>
      <c r="U839" t="e">
        <v>#NUM!</v>
      </c>
    </row>
    <row r="840" spans="1:21" ht="13.9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0.13</v>
      </c>
      <c r="O840" s="2">
        <v>0</v>
      </c>
      <c r="P840" s="2" t="e">
        <f t="shared" si="80"/>
        <v>#NUM!</v>
      </c>
      <c r="Q840" s="2">
        <f t="shared" si="81"/>
        <v>0.37390096630005903</v>
      </c>
      <c r="R840" s="2" t="e">
        <f t="shared" si="82"/>
        <v>#NUM!</v>
      </c>
      <c r="S840" t="e">
        <f t="shared" si="83"/>
        <v>#NUM!</v>
      </c>
      <c r="U840" t="e">
        <v>#NUM!</v>
      </c>
    </row>
    <row r="841" spans="1:21" ht="13.9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78"/>
        <v>#NUM!</v>
      </c>
      <c r="I841" s="2">
        <f t="shared" si="79"/>
        <v>0.13015427583421335</v>
      </c>
      <c r="J841" s="2">
        <v>0</v>
      </c>
      <c r="K841" s="2">
        <v>0</v>
      </c>
      <c r="L841" s="2">
        <v>0</v>
      </c>
      <c r="M841" s="2">
        <v>0.39</v>
      </c>
      <c r="N841" s="2">
        <v>0.27</v>
      </c>
      <c r="O841" s="2">
        <v>0.32</v>
      </c>
      <c r="P841" s="2" t="e">
        <f t="shared" si="80"/>
        <v>#NUM!</v>
      </c>
      <c r="Q841" s="2">
        <f t="shared" si="81"/>
        <v>7.1768558920570302E-4</v>
      </c>
      <c r="R841" s="2" t="e">
        <f t="shared" si="82"/>
        <v>#NUM!</v>
      </c>
      <c r="S841" t="e">
        <f t="shared" si="83"/>
        <v>#NUM!</v>
      </c>
      <c r="U841" t="e">
        <v>#NUM!</v>
      </c>
    </row>
    <row r="842" spans="1:21" ht="13.9" x14ac:dyDescent="0.3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>
        <f t="shared" si="79"/>
        <v>0.37390096630005903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 t="e">
        <f t="shared" si="80"/>
        <v>#DIV/0!</v>
      </c>
      <c r="Q843" s="2" t="e">
        <f t="shared" si="81"/>
        <v>#DIV/0!</v>
      </c>
      <c r="R843" s="2" t="e">
        <f t="shared" si="82"/>
        <v>#DIV/0!</v>
      </c>
      <c r="S843" t="e">
        <f t="shared" si="83"/>
        <v>#DIV/0!</v>
      </c>
      <c r="U843" t="e">
        <v>#NUM!</v>
      </c>
    </row>
    <row r="844" spans="1:21" ht="13.9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78"/>
        <v>#NUM!</v>
      </c>
      <c r="I844" s="2">
        <f t="shared" si="79"/>
        <v>0.37390096630005903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 t="e">
        <f t="shared" si="80"/>
        <v>#DIV/0!</v>
      </c>
      <c r="Q844" s="2" t="e">
        <f t="shared" si="81"/>
        <v>#DIV/0!</v>
      </c>
      <c r="R844" s="2" t="e">
        <f t="shared" si="82"/>
        <v>#DIV/0!</v>
      </c>
      <c r="S844" t="e">
        <f t="shared" si="83"/>
        <v>#DIV/0!</v>
      </c>
      <c r="U844" t="e">
        <v>#NUM!</v>
      </c>
    </row>
    <row r="845" spans="1:21" ht="13.9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78"/>
        <v>#NUM!</v>
      </c>
      <c r="I845" s="2">
        <f t="shared" si="79"/>
        <v>0.37390096630005903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ht="13.9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0.39</v>
      </c>
      <c r="N846" s="2">
        <v>0</v>
      </c>
      <c r="O846" s="2">
        <v>0</v>
      </c>
      <c r="P846" s="2" t="e">
        <f t="shared" si="80"/>
        <v>#NUM!</v>
      </c>
      <c r="Q846" s="2">
        <f t="shared" si="81"/>
        <v>0.37390096630005903</v>
      </c>
      <c r="R846" s="2" t="e">
        <f t="shared" si="82"/>
        <v>#NUM!</v>
      </c>
      <c r="S846" t="e">
        <f t="shared" si="83"/>
        <v>#NUM!</v>
      </c>
      <c r="U846" t="e">
        <v>#NUM!</v>
      </c>
    </row>
    <row r="847" spans="1:21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78"/>
        <v>#DIV/0!</v>
      </c>
      <c r="I847" s="2" t="e">
        <f t="shared" si="79"/>
        <v>#DIV/0!</v>
      </c>
      <c r="J847" s="2">
        <v>0</v>
      </c>
      <c r="K847" s="2">
        <v>0</v>
      </c>
      <c r="L847" s="2">
        <v>0</v>
      </c>
      <c r="M847" s="2">
        <v>0</v>
      </c>
      <c r="N847" s="2">
        <v>0.27</v>
      </c>
      <c r="O847" s="2">
        <v>0.11</v>
      </c>
      <c r="P847" s="2" t="e">
        <f t="shared" si="80"/>
        <v>#NUM!</v>
      </c>
      <c r="Q847" s="2">
        <f t="shared" si="81"/>
        <v>0.18141514163843797</v>
      </c>
      <c r="R847" s="2" t="e">
        <f t="shared" si="82"/>
        <v>#NUM!</v>
      </c>
      <c r="S847" t="e">
        <f t="shared" si="83"/>
        <v>#NUM!</v>
      </c>
      <c r="U847" t="e">
        <v>#NUM!</v>
      </c>
    </row>
    <row r="848" spans="1:21" ht="13.9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 t="e">
        <f t="shared" si="79"/>
        <v>#DIV/0!</v>
      </c>
      <c r="J848" s="2">
        <v>0</v>
      </c>
      <c r="K848" s="2">
        <v>0</v>
      </c>
      <c r="L848" s="2">
        <v>6.74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>
        <f t="shared" si="81"/>
        <v>0.37390096630005903</v>
      </c>
      <c r="R848" s="2" t="e">
        <f t="shared" si="82"/>
        <v>#DIV/0!</v>
      </c>
      <c r="S848" t="e">
        <f t="shared" si="83"/>
        <v>#DIV/0!</v>
      </c>
      <c r="U848">
        <v>2.7527485914071339</v>
      </c>
    </row>
    <row r="849" spans="1:21" ht="13.9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78"/>
        <v>#DIV/0!</v>
      </c>
      <c r="I849" s="2" t="e">
        <f t="shared" si="79"/>
        <v>#DIV/0!</v>
      </c>
      <c r="J849" s="2">
        <v>0</v>
      </c>
      <c r="K849" s="2">
        <v>7.07</v>
      </c>
      <c r="L849" s="2">
        <v>0</v>
      </c>
      <c r="M849" s="2">
        <v>0.39</v>
      </c>
      <c r="N849" s="2">
        <v>0</v>
      </c>
      <c r="O849" s="2">
        <v>0</v>
      </c>
      <c r="P849" s="2">
        <f t="shared" si="80"/>
        <v>4.1801641859471506</v>
      </c>
      <c r="Q849" s="2">
        <f t="shared" si="81"/>
        <v>0.39889191992411593</v>
      </c>
      <c r="R849" s="2" t="e">
        <f t="shared" si="82"/>
        <v>#DIV/0!</v>
      </c>
      <c r="S849" t="e">
        <f t="shared" si="83"/>
        <v>#DIV/0!</v>
      </c>
      <c r="U849">
        <v>2.821710215034674</v>
      </c>
    </row>
    <row r="850" spans="1:21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 t="e">
        <f t="shared" si="80"/>
        <v>#DIV/0!</v>
      </c>
      <c r="Q850" s="2" t="e">
        <f t="shared" si="81"/>
        <v>#DIV/0!</v>
      </c>
      <c r="R850" s="2" t="e">
        <f t="shared" si="82"/>
        <v>#DIV/0!</v>
      </c>
      <c r="S850" t="e">
        <f t="shared" si="83"/>
        <v>#DIV/0!</v>
      </c>
      <c r="U850" t="e">
        <v>#NUM!</v>
      </c>
    </row>
    <row r="851" spans="1:21" ht="13.9" x14ac:dyDescent="0.3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78"/>
        <v>-6.8639726176738138</v>
      </c>
      <c r="I851" s="2">
        <f t="shared" si="79"/>
        <v>6.8503716658813128E-3</v>
      </c>
      <c r="J851" s="2">
        <v>15.49</v>
      </c>
      <c r="K851" s="2">
        <v>8.2899999999999991</v>
      </c>
      <c r="L851" s="2">
        <v>10.01</v>
      </c>
      <c r="M851" s="2">
        <v>10.76</v>
      </c>
      <c r="N851" s="2">
        <v>17.78</v>
      </c>
      <c r="O851" s="2">
        <v>11.91</v>
      </c>
      <c r="P851" s="2">
        <f t="shared" si="80"/>
        <v>-0.25954335215353858</v>
      </c>
      <c r="Q851" s="2">
        <f t="shared" si="81"/>
        <v>0.50990679441638365</v>
      </c>
      <c r="R851" s="2">
        <f t="shared" si="82"/>
        <v>6.6044292655202756</v>
      </c>
      <c r="S851">
        <f t="shared" si="83"/>
        <v>3.7812410772917283E-2</v>
      </c>
      <c r="U851">
        <v>5.0785244453890765</v>
      </c>
    </row>
    <row r="852" spans="1:21" ht="13.9" x14ac:dyDescent="0.3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78"/>
        <v>-0.16296745072987162</v>
      </c>
      <c r="I852" s="2">
        <f t="shared" si="79"/>
        <v>0.91286739063094702</v>
      </c>
      <c r="J852" s="2">
        <v>0</v>
      </c>
      <c r="K852" s="2">
        <v>0</v>
      </c>
      <c r="L852" s="2">
        <v>0</v>
      </c>
      <c r="M852" s="2">
        <v>4.9400000000000004</v>
      </c>
      <c r="N852" s="2">
        <v>0.53</v>
      </c>
      <c r="O852" s="2">
        <v>1.9</v>
      </c>
      <c r="P852" s="2" t="e">
        <f t="shared" si="80"/>
        <v>#NUM!</v>
      </c>
      <c r="Q852" s="2">
        <f t="shared" si="81"/>
        <v>0.13248189584332978</v>
      </c>
      <c r="R852" s="2" t="e">
        <f t="shared" si="82"/>
        <v>#NUM!</v>
      </c>
      <c r="S852" t="e">
        <f t="shared" si="83"/>
        <v>#NUM!</v>
      </c>
      <c r="U852" t="e">
        <v>#NUM!</v>
      </c>
    </row>
    <row r="853" spans="1:21" ht="13.9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78"/>
        <v>#NUM!</v>
      </c>
      <c r="I853" s="2">
        <f t="shared" si="79"/>
        <v>0.12017535872484601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1.26</v>
      </c>
      <c r="P853" s="2" t="e">
        <f t="shared" si="80"/>
        <v>#NUM!</v>
      </c>
      <c r="Q853" s="2">
        <f t="shared" si="81"/>
        <v>0.37390096630005903</v>
      </c>
      <c r="R853" s="2" t="e">
        <f t="shared" si="82"/>
        <v>#NUM!</v>
      </c>
      <c r="S853" t="e">
        <f t="shared" si="83"/>
        <v>#NUM!</v>
      </c>
      <c r="U853" t="e">
        <v>#NUM!</v>
      </c>
    </row>
    <row r="854" spans="1:21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78"/>
        <v>#DIV/0!</v>
      </c>
      <c r="I854" s="2" t="e">
        <f t="shared" si="79"/>
        <v>#DIV/0!</v>
      </c>
      <c r="J854" s="2">
        <v>0</v>
      </c>
      <c r="K854" s="2">
        <v>0</v>
      </c>
      <c r="L854" s="2">
        <v>0</v>
      </c>
      <c r="M854" s="2">
        <v>0</v>
      </c>
      <c r="N854" s="2">
        <v>0.4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 t="e">
        <f t="shared" si="80"/>
        <v>#DIV/0!</v>
      </c>
      <c r="Q855" s="2" t="e">
        <f t="shared" si="81"/>
        <v>#DIV/0!</v>
      </c>
      <c r="R855" s="2" t="e">
        <f t="shared" si="82"/>
        <v>#DIV/0!</v>
      </c>
      <c r="S855" t="e">
        <f t="shared" si="83"/>
        <v>#DIV/0!</v>
      </c>
      <c r="U855" t="e">
        <v>#NUM!</v>
      </c>
    </row>
    <row r="856" spans="1:21" ht="13.9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78"/>
        <v>#NUM!</v>
      </c>
      <c r="I856" s="2">
        <f t="shared" si="79"/>
        <v>0.37390096630005903</v>
      </c>
      <c r="J856" s="2">
        <v>0</v>
      </c>
      <c r="K856" s="2">
        <v>0</v>
      </c>
      <c r="L856" s="2">
        <v>0</v>
      </c>
      <c r="M856" s="2">
        <v>0.99</v>
      </c>
      <c r="N856" s="2">
        <v>0.4</v>
      </c>
      <c r="O856" s="2">
        <v>0</v>
      </c>
      <c r="P856" s="2" t="e">
        <f t="shared" si="80"/>
        <v>#NUM!</v>
      </c>
      <c r="Q856" s="2">
        <f t="shared" si="81"/>
        <v>0.18238737220540271</v>
      </c>
      <c r="R856" s="2" t="e">
        <f t="shared" si="82"/>
        <v>#NUM!</v>
      </c>
      <c r="S856" t="e">
        <f t="shared" si="83"/>
        <v>#NUM!</v>
      </c>
      <c r="U856" t="e">
        <v>#NUM!</v>
      </c>
    </row>
    <row r="857" spans="1:21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78"/>
        <v>#DIV/0!</v>
      </c>
      <c r="I857" s="2" t="e">
        <f t="shared" si="79"/>
        <v>#DIV/0!</v>
      </c>
      <c r="J857" s="2">
        <v>0</v>
      </c>
      <c r="K857" s="2">
        <v>0</v>
      </c>
      <c r="L857" s="2">
        <v>0</v>
      </c>
      <c r="M857" s="2">
        <v>0</v>
      </c>
      <c r="N857" s="2">
        <v>0.27</v>
      </c>
      <c r="O857" s="2">
        <v>0</v>
      </c>
      <c r="P857" s="2" t="e">
        <f t="shared" si="80"/>
        <v>#NUM!</v>
      </c>
      <c r="Q857" s="2">
        <f t="shared" si="81"/>
        <v>0.37390096630005903</v>
      </c>
      <c r="R857" s="2" t="e">
        <f t="shared" si="82"/>
        <v>#NUM!</v>
      </c>
      <c r="S857" t="e">
        <f t="shared" si="83"/>
        <v>#NUM!</v>
      </c>
      <c r="U857" t="e">
        <v>#NUM!</v>
      </c>
    </row>
    <row r="858" spans="1:21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 t="e">
        <f t="shared" si="80"/>
        <v>#DIV/0!</v>
      </c>
      <c r="Q858" s="2" t="e">
        <f t="shared" si="81"/>
        <v>#DIV/0!</v>
      </c>
      <c r="R858" s="2" t="e">
        <f t="shared" si="82"/>
        <v>#DIV/0!</v>
      </c>
      <c r="S858" t="e">
        <f t="shared" si="83"/>
        <v>#DIV/0!</v>
      </c>
      <c r="U858" t="e">
        <v>#NUM!</v>
      </c>
    </row>
    <row r="859" spans="1:21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78"/>
        <v>#DIV/0!</v>
      </c>
      <c r="I859" s="2" t="e">
        <f t="shared" si="79"/>
        <v>#DIV/0!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0.95</v>
      </c>
      <c r="P859" s="2" t="e">
        <f t="shared" si="80"/>
        <v>#NUM!</v>
      </c>
      <c r="Q859" s="2">
        <f t="shared" si="81"/>
        <v>0.37390096630005903</v>
      </c>
      <c r="R859" s="2" t="e">
        <f t="shared" si="82"/>
        <v>#NUM!</v>
      </c>
      <c r="S859" t="e">
        <f t="shared" si="83"/>
        <v>#NUM!</v>
      </c>
      <c r="U859" t="e">
        <v>#NUM!</v>
      </c>
    </row>
    <row r="860" spans="1:21" ht="13.9" x14ac:dyDescent="0.3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78"/>
        <v>#NUM!</v>
      </c>
      <c r="I860" s="2">
        <f t="shared" si="79"/>
        <v>5.5451234321560973E-3</v>
      </c>
      <c r="J860" s="2">
        <v>0</v>
      </c>
      <c r="K860" s="2">
        <v>12.44</v>
      </c>
      <c r="L860" s="2">
        <v>0</v>
      </c>
      <c r="M860" s="2">
        <v>8.49</v>
      </c>
      <c r="N860" s="2">
        <v>3.74</v>
      </c>
      <c r="O860" s="2">
        <v>3.06</v>
      </c>
      <c r="P860" s="2">
        <f t="shared" si="80"/>
        <v>-0.29760192123020229</v>
      </c>
      <c r="Q860" s="2">
        <f t="shared" si="81"/>
        <v>0.8425925915392577</v>
      </c>
      <c r="R860" s="2" t="e">
        <f t="shared" si="82"/>
        <v>#NUM!</v>
      </c>
      <c r="S860" t="e">
        <f t="shared" si="83"/>
        <v>#NUM!</v>
      </c>
      <c r="U860">
        <v>3.636914580355878</v>
      </c>
    </row>
    <row r="861" spans="1:21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78"/>
        <v>#DIV/0!</v>
      </c>
      <c r="I861" s="2" t="e">
        <f t="shared" si="79"/>
        <v>#DIV/0!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0.42</v>
      </c>
      <c r="P861" s="2" t="e">
        <f t="shared" si="80"/>
        <v>#NUM!</v>
      </c>
      <c r="Q861" s="2">
        <f t="shared" si="81"/>
        <v>0.37390096630005903</v>
      </c>
      <c r="R861" s="2" t="e">
        <f t="shared" si="82"/>
        <v>#NUM!</v>
      </c>
      <c r="S861" t="e">
        <f t="shared" si="83"/>
        <v>#NUM!</v>
      </c>
      <c r="U861" t="e">
        <v>#NUM!</v>
      </c>
    </row>
    <row r="862" spans="1:21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78"/>
        <v>#DIV/0!</v>
      </c>
      <c r="I862" s="2" t="e">
        <f t="shared" si="79"/>
        <v>#DIV/0!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0.11</v>
      </c>
      <c r="P862" s="2" t="e">
        <f t="shared" si="80"/>
        <v>#NUM!</v>
      </c>
      <c r="Q862" s="2">
        <f t="shared" si="81"/>
        <v>0.37390096630005903</v>
      </c>
      <c r="R862" s="2" t="e">
        <f t="shared" si="82"/>
        <v>#NUM!</v>
      </c>
      <c r="S862" t="e">
        <f t="shared" si="83"/>
        <v>#NUM!</v>
      </c>
      <c r="U862" t="e">
        <v>#NUM!</v>
      </c>
    </row>
    <row r="863" spans="1:21" ht="13.9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78"/>
        <v>#NUM!</v>
      </c>
      <c r="I863" s="2">
        <f t="shared" si="79"/>
        <v>0.37390096630005903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ht="13.9" x14ac:dyDescent="0.3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78"/>
        <v>#DIV/0!</v>
      </c>
      <c r="I864" s="2">
        <f t="shared" si="79"/>
        <v>0.37390096630005903</v>
      </c>
      <c r="J864" s="2">
        <v>0</v>
      </c>
      <c r="K864" s="2">
        <v>0</v>
      </c>
      <c r="L864" s="2">
        <v>0</v>
      </c>
      <c r="M864" s="2">
        <v>0.59</v>
      </c>
      <c r="N864" s="2">
        <v>0</v>
      </c>
      <c r="O864" s="2">
        <v>0</v>
      </c>
      <c r="P864" s="2" t="e">
        <f t="shared" si="80"/>
        <v>#NUM!</v>
      </c>
      <c r="Q864" s="2">
        <f t="shared" si="81"/>
        <v>0.37390096630005903</v>
      </c>
      <c r="R864" s="2" t="e">
        <f t="shared" si="82"/>
        <v>#NUM!</v>
      </c>
      <c r="S864" t="e">
        <f t="shared" si="83"/>
        <v>#NUM!</v>
      </c>
      <c r="U864" t="e">
        <v>#NUM!</v>
      </c>
    </row>
    <row r="865" spans="1:21" ht="13.9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0.3</v>
      </c>
      <c r="N865" s="2">
        <v>0</v>
      </c>
      <c r="O865" s="2">
        <v>0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ht="13.9" x14ac:dyDescent="0.3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78"/>
        <v>0.59724083049959298</v>
      </c>
      <c r="I866" s="2">
        <f t="shared" si="79"/>
        <v>0.76653333618039743</v>
      </c>
      <c r="J866" s="2">
        <v>0</v>
      </c>
      <c r="K866" s="2">
        <v>0</v>
      </c>
      <c r="L866" s="2">
        <v>2.91</v>
      </c>
      <c r="M866" s="2">
        <v>0.99</v>
      </c>
      <c r="N866" s="2">
        <v>0.67</v>
      </c>
      <c r="O866" s="2">
        <v>1.9</v>
      </c>
      <c r="P866" s="2">
        <f t="shared" si="80"/>
        <v>-0.29085808805811381</v>
      </c>
      <c r="Q866" s="2">
        <f t="shared" si="81"/>
        <v>0.84479734257898798</v>
      </c>
      <c r="R866" s="2">
        <f t="shared" si="82"/>
        <v>-0.88809891855770684</v>
      </c>
      <c r="S866">
        <f t="shared" si="83"/>
        <v>-0.48700301989535866</v>
      </c>
      <c r="U866">
        <v>1.5410191531335593</v>
      </c>
    </row>
    <row r="867" spans="1:21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78"/>
        <v>#DIV/0!</v>
      </c>
      <c r="I867" s="2" t="e">
        <f t="shared" si="79"/>
        <v>#DIV/0!</v>
      </c>
      <c r="J867" s="2">
        <v>0</v>
      </c>
      <c r="K867" s="2">
        <v>0</v>
      </c>
      <c r="L867" s="2">
        <v>0</v>
      </c>
      <c r="M867" s="2">
        <v>0</v>
      </c>
      <c r="N867" s="2">
        <v>0.8</v>
      </c>
      <c r="O867" s="2">
        <v>0</v>
      </c>
      <c r="P867" s="2" t="e">
        <f t="shared" si="80"/>
        <v>#NUM!</v>
      </c>
      <c r="Q867" s="2">
        <f t="shared" si="81"/>
        <v>0.37390096630005903</v>
      </c>
      <c r="R867" s="2" t="e">
        <f t="shared" si="82"/>
        <v>#NUM!</v>
      </c>
      <c r="S867" t="e">
        <f t="shared" si="83"/>
        <v>#NUM!</v>
      </c>
      <c r="U867" t="e">
        <v>#NUM!</v>
      </c>
    </row>
    <row r="868" spans="1:21" ht="13.9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78"/>
        <v>#NUM!</v>
      </c>
      <c r="I868" s="2">
        <f t="shared" si="79"/>
        <v>0.20510645520407783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ht="13.9" x14ac:dyDescent="0.3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78"/>
        <v>3.8999104060152098E-2</v>
      </c>
      <c r="I869" s="2">
        <f t="shared" si="79"/>
        <v>0.93914631631798473</v>
      </c>
      <c r="J869" s="2">
        <v>110.09</v>
      </c>
      <c r="K869" s="2">
        <v>204.44</v>
      </c>
      <c r="L869" s="2">
        <v>129.63</v>
      </c>
      <c r="M869" s="2">
        <v>117.47</v>
      </c>
      <c r="N869" s="2">
        <v>171.28</v>
      </c>
      <c r="O869" s="2">
        <v>123.93</v>
      </c>
      <c r="P869" s="2">
        <f t="shared" si="80"/>
        <v>0.10605595133031381</v>
      </c>
      <c r="Q869" s="2">
        <f t="shared" si="81"/>
        <v>0.76898078532208669</v>
      </c>
      <c r="R869" s="2">
        <f t="shared" si="82"/>
        <v>6.7056847270161715E-2</v>
      </c>
      <c r="S869">
        <f t="shared" si="83"/>
        <v>2.7194458407745326</v>
      </c>
      <c r="U869">
        <v>8.7949356628035371</v>
      </c>
    </row>
    <row r="870" spans="1:21" ht="13.9" x14ac:dyDescent="0.3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78"/>
        <v>2.6411055787586903</v>
      </c>
      <c r="I870" s="2">
        <f t="shared" si="79"/>
        <v>0.45365202971264035</v>
      </c>
      <c r="J870" s="2">
        <v>0</v>
      </c>
      <c r="K870" s="2">
        <v>0</v>
      </c>
      <c r="L870" s="2">
        <v>0</v>
      </c>
      <c r="M870" s="2">
        <v>0.89</v>
      </c>
      <c r="N870" s="2">
        <v>1.87</v>
      </c>
      <c r="O870" s="2">
        <v>0</v>
      </c>
      <c r="P870" s="2" t="e">
        <f t="shared" si="80"/>
        <v>#NUM!</v>
      </c>
      <c r="Q870" s="2">
        <f t="shared" si="81"/>
        <v>0.16366189306599946</v>
      </c>
      <c r="R870" s="2" t="e">
        <f t="shared" si="82"/>
        <v>#NUM!</v>
      </c>
      <c r="S870" t="e">
        <f t="shared" si="83"/>
        <v>#NUM!</v>
      </c>
      <c r="U870" t="e">
        <v>#NUM!</v>
      </c>
    </row>
    <row r="871" spans="1:21" ht="13.9" x14ac:dyDescent="0.3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78"/>
        <v>-2.1425493902352808</v>
      </c>
      <c r="I871" s="2">
        <f t="shared" si="79"/>
        <v>1.0480774471324813E-4</v>
      </c>
      <c r="J871" s="2">
        <v>1019.17</v>
      </c>
      <c r="K871" s="2">
        <v>1207.3699999999999</v>
      </c>
      <c r="L871" s="2">
        <v>1104.5899999999999</v>
      </c>
      <c r="M871" s="2">
        <v>3956.7</v>
      </c>
      <c r="N871" s="2">
        <v>3210.03</v>
      </c>
      <c r="O871" s="2">
        <v>4022.79</v>
      </c>
      <c r="P871" s="2">
        <f t="shared" si="80"/>
        <v>-1.7480645873990259</v>
      </c>
      <c r="Q871" s="2">
        <f t="shared" si="81"/>
        <v>5.9834737245994293E-4</v>
      </c>
      <c r="R871" s="2">
        <f t="shared" si="82"/>
        <v>0.39448480283625487</v>
      </c>
      <c r="S871">
        <f t="shared" si="83"/>
        <v>0.81588064917703707</v>
      </c>
      <c r="U871">
        <v>11.70179594209543</v>
      </c>
    </row>
    <row r="872" spans="1:21" ht="13.9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78"/>
        <v>#NUM!</v>
      </c>
      <c r="I872" s="2">
        <f t="shared" si="79"/>
        <v>1.7942956129714409E-4</v>
      </c>
      <c r="J872" s="2">
        <v>0</v>
      </c>
      <c r="K872" s="2">
        <v>0</v>
      </c>
      <c r="L872" s="2">
        <v>0</v>
      </c>
      <c r="M872" s="2">
        <v>0.39</v>
      </c>
      <c r="N872" s="2">
        <v>0.13</v>
      </c>
      <c r="O872" s="2">
        <v>1.1599999999999999</v>
      </c>
      <c r="P872" s="2" t="e">
        <f t="shared" si="80"/>
        <v>#NUM!</v>
      </c>
      <c r="Q872" s="2">
        <f t="shared" si="81"/>
        <v>0.1444038795773078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78"/>
        <v>#DIV/0!</v>
      </c>
      <c r="I873" s="2" t="e">
        <f t="shared" si="79"/>
        <v>#DIV/0!</v>
      </c>
      <c r="J873" s="2">
        <v>0</v>
      </c>
      <c r="K873" s="2">
        <v>0</v>
      </c>
      <c r="L873" s="2">
        <v>0</v>
      </c>
      <c r="M873" s="2">
        <v>0.59</v>
      </c>
      <c r="N873" s="2">
        <v>0</v>
      </c>
      <c r="O873" s="2">
        <v>0</v>
      </c>
      <c r="P873" s="2" t="e">
        <f t="shared" si="80"/>
        <v>#NUM!</v>
      </c>
      <c r="Q873" s="2">
        <f t="shared" si="81"/>
        <v>0.37390096630005903</v>
      </c>
      <c r="R873" s="2" t="e">
        <f t="shared" si="82"/>
        <v>#NUM!</v>
      </c>
      <c r="S873" t="e">
        <f t="shared" si="83"/>
        <v>#NUM!</v>
      </c>
      <c r="U873" t="e">
        <v>#NUM!</v>
      </c>
    </row>
    <row r="874" spans="1:21" ht="13.9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78"/>
        <v>#NUM!</v>
      </c>
      <c r="I874" s="2">
        <f t="shared" si="79"/>
        <v>0.16879754609057537</v>
      </c>
      <c r="J874" s="2">
        <v>0</v>
      </c>
      <c r="K874" s="2">
        <v>0</v>
      </c>
      <c r="L874" s="2">
        <v>0</v>
      </c>
      <c r="M874" s="2">
        <v>0.59</v>
      </c>
      <c r="N874" s="2">
        <v>0.4</v>
      </c>
      <c r="O874" s="2">
        <v>0.42</v>
      </c>
      <c r="P874" s="2" t="e">
        <f t="shared" si="80"/>
        <v>#NUM!</v>
      </c>
      <c r="Q874" s="2">
        <f t="shared" si="81"/>
        <v>1.4594476435095675E-3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ht="13.9" x14ac:dyDescent="0.3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78"/>
        <v>-0.20126600357306401</v>
      </c>
      <c r="I875" s="2">
        <f t="shared" si="79"/>
        <v>0.60755794902705018</v>
      </c>
      <c r="J875" s="2">
        <v>167.44</v>
      </c>
      <c r="K875" s="2">
        <v>186.14</v>
      </c>
      <c r="L875" s="2">
        <v>265.45</v>
      </c>
      <c r="M875" s="2">
        <v>176.11</v>
      </c>
      <c r="N875" s="2">
        <v>228.77</v>
      </c>
      <c r="O875" s="2">
        <v>192.33</v>
      </c>
      <c r="P875" s="2">
        <f t="shared" si="80"/>
        <v>5.1771005421692926E-2</v>
      </c>
      <c r="Q875" s="2">
        <f t="shared" si="81"/>
        <v>0.84032221678176844</v>
      </c>
      <c r="R875" s="2">
        <f t="shared" si="82"/>
        <v>0.25303700899475695</v>
      </c>
      <c r="S875">
        <f t="shared" si="83"/>
        <v>-0.25722677701452401</v>
      </c>
      <c r="U875">
        <v>9.2738655181196794</v>
      </c>
    </row>
    <row r="876" spans="1:21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78"/>
        <v>#DIV/0!</v>
      </c>
      <c r="I876" s="2" t="e">
        <f t="shared" si="79"/>
        <v>#DIV/0!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0.74</v>
      </c>
      <c r="P876" s="2" t="e">
        <f t="shared" si="80"/>
        <v>#NUM!</v>
      </c>
      <c r="Q876" s="2">
        <f t="shared" si="81"/>
        <v>0.37390096630005903</v>
      </c>
      <c r="R876" s="2" t="e">
        <f t="shared" si="82"/>
        <v>#NUM!</v>
      </c>
      <c r="S876" t="e">
        <f t="shared" si="83"/>
        <v>#NUM!</v>
      </c>
      <c r="U876" t="e">
        <v>#NUM!</v>
      </c>
    </row>
    <row r="877" spans="1:21" ht="13.9" x14ac:dyDescent="0.3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78"/>
        <v>1.6675190626825651</v>
      </c>
      <c r="I877" s="2">
        <f t="shared" si="79"/>
        <v>0.26412352055772292</v>
      </c>
      <c r="J877" s="2">
        <v>0</v>
      </c>
      <c r="K877" s="2">
        <v>0.24</v>
      </c>
      <c r="L877" s="2">
        <v>0</v>
      </c>
      <c r="M877" s="2">
        <v>0.39</v>
      </c>
      <c r="N877" s="2">
        <v>0.53</v>
      </c>
      <c r="O877" s="2">
        <v>0.95</v>
      </c>
      <c r="P877" s="2">
        <f t="shared" si="80"/>
        <v>-2.9619319591664808</v>
      </c>
      <c r="Q877" s="2">
        <f t="shared" si="81"/>
        <v>4.3403742292860224E-2</v>
      </c>
      <c r="R877" s="2">
        <f t="shared" si="82"/>
        <v>-4.6294510218490457</v>
      </c>
      <c r="S877">
        <f t="shared" si="83"/>
        <v>-1.7762507340705134</v>
      </c>
      <c r="U877">
        <v>-2.0588936890535687</v>
      </c>
    </row>
    <row r="878" spans="1:21" ht="13.9" x14ac:dyDescent="0.3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78"/>
        <v>#NUM!</v>
      </c>
      <c r="I878" s="2">
        <f t="shared" si="79"/>
        <v>0.12380015289281761</v>
      </c>
      <c r="J878" s="2">
        <v>0</v>
      </c>
      <c r="K878" s="2">
        <v>2.44</v>
      </c>
      <c r="L878" s="2">
        <v>2.37</v>
      </c>
      <c r="M878" s="2">
        <v>0.89</v>
      </c>
      <c r="N878" s="2">
        <v>1.47</v>
      </c>
      <c r="O878" s="2">
        <v>0.21</v>
      </c>
      <c r="P878" s="2">
        <f t="shared" si="80"/>
        <v>0.90426853457616407</v>
      </c>
      <c r="Q878" s="2">
        <f t="shared" si="81"/>
        <v>0.44430112644892694</v>
      </c>
      <c r="R878" s="2" t="e">
        <f t="shared" si="82"/>
        <v>#NUM!</v>
      </c>
      <c r="S878" t="e">
        <f t="shared" si="83"/>
        <v>#NUM!</v>
      </c>
      <c r="U878">
        <v>2.2660368939953175</v>
      </c>
    </row>
    <row r="879" spans="1:21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 t="e">
        <f t="shared" si="80"/>
        <v>#DIV/0!</v>
      </c>
      <c r="Q879" s="2" t="e">
        <f t="shared" si="81"/>
        <v>#DIV/0!</v>
      </c>
      <c r="R879" s="2" t="e">
        <f t="shared" si="82"/>
        <v>#DIV/0!</v>
      </c>
      <c r="S879" t="e">
        <f t="shared" si="83"/>
        <v>#DIV/0!</v>
      </c>
      <c r="U879" t="e">
        <v>#NUM!</v>
      </c>
    </row>
    <row r="880" spans="1:21" ht="13.9" x14ac:dyDescent="0.3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78"/>
        <v>#NUM!</v>
      </c>
      <c r="I880" s="2">
        <f t="shared" si="79"/>
        <v>0.37390096630005903</v>
      </c>
      <c r="J880" s="2">
        <v>0</v>
      </c>
      <c r="K880" s="2">
        <v>7.07</v>
      </c>
      <c r="L880" s="2">
        <v>0</v>
      </c>
      <c r="M880" s="2">
        <v>0</v>
      </c>
      <c r="N880" s="2">
        <v>0.4</v>
      </c>
      <c r="O880" s="2">
        <v>0</v>
      </c>
      <c r="P880" s="2">
        <f t="shared" si="80"/>
        <v>4.1436383099220366</v>
      </c>
      <c r="Q880" s="2">
        <f t="shared" si="81"/>
        <v>0.3995670833497606</v>
      </c>
      <c r="R880" s="2" t="e">
        <f t="shared" si="82"/>
        <v>#NUM!</v>
      </c>
      <c r="S880" t="e">
        <f t="shared" si="83"/>
        <v>#NUM!</v>
      </c>
      <c r="U880">
        <v>2.821710215034674</v>
      </c>
    </row>
    <row r="881" spans="1:21" ht="13.9" x14ac:dyDescent="0.3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78"/>
        <v>#NUM!</v>
      </c>
      <c r="I881" s="2">
        <f t="shared" si="79"/>
        <v>1.7757400350843507E-2</v>
      </c>
      <c r="J881" s="2">
        <v>0</v>
      </c>
      <c r="K881" s="2">
        <v>0</v>
      </c>
      <c r="L881" s="2">
        <v>1.0900000000000001</v>
      </c>
      <c r="M881" s="2">
        <v>0.39</v>
      </c>
      <c r="N881" s="2">
        <v>0.27</v>
      </c>
      <c r="O881" s="2">
        <v>0.42</v>
      </c>
      <c r="P881" s="2">
        <f t="shared" si="80"/>
        <v>1.3296822613457873E-2</v>
      </c>
      <c r="Q881" s="2">
        <f t="shared" si="81"/>
        <v>0.99317346796901795</v>
      </c>
      <c r="R881" s="2" t="e">
        <f t="shared" si="82"/>
        <v>#NUM!</v>
      </c>
      <c r="S881" t="e">
        <f t="shared" si="83"/>
        <v>#NUM!</v>
      </c>
      <c r="U881">
        <v>0.12432813500220179</v>
      </c>
    </row>
    <row r="882" spans="1:21" ht="13.9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0.11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ht="13.9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0.63</v>
      </c>
      <c r="P883" s="2" t="e">
        <f t="shared" si="80"/>
        <v>#NUM!</v>
      </c>
      <c r="Q883" s="2">
        <f t="shared" si="81"/>
        <v>0.37390096630005903</v>
      </c>
      <c r="R883" s="2" t="e">
        <f t="shared" si="82"/>
        <v>#NUM!</v>
      </c>
      <c r="S883" t="e">
        <f t="shared" si="83"/>
        <v>#NUM!</v>
      </c>
      <c r="U883" t="e">
        <v>#NUM!</v>
      </c>
    </row>
    <row r="884" spans="1:21" ht="13.9" x14ac:dyDescent="0.3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78"/>
        <v>8.7462841250339401E-2</v>
      </c>
      <c r="I884" s="2">
        <f t="shared" si="79"/>
        <v>0.96094223997988926</v>
      </c>
      <c r="J884" s="2">
        <v>0</v>
      </c>
      <c r="K884" s="2">
        <v>0</v>
      </c>
      <c r="L884" s="2">
        <v>0</v>
      </c>
      <c r="M884" s="2">
        <v>1.0900000000000001</v>
      </c>
      <c r="N884" s="2">
        <v>3.61</v>
      </c>
      <c r="O884" s="2">
        <v>1.26</v>
      </c>
      <c r="P884" s="2" t="e">
        <f t="shared" si="80"/>
        <v>#NUM!</v>
      </c>
      <c r="Q884" s="2">
        <f t="shared" si="81"/>
        <v>7.0964956623766645E-2</v>
      </c>
      <c r="R884" s="2" t="e">
        <f t="shared" si="82"/>
        <v>#NUM!</v>
      </c>
      <c r="S884" t="e">
        <f t="shared" si="83"/>
        <v>#NUM!</v>
      </c>
      <c r="U884" t="e">
        <v>#NUM!</v>
      </c>
    </row>
    <row r="885" spans="1:21" ht="13.9" x14ac:dyDescent="0.3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78"/>
        <v>#DIV/0!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0.13</v>
      </c>
      <c r="O885" s="2">
        <v>0</v>
      </c>
      <c r="P885" s="2" t="e">
        <f t="shared" si="80"/>
        <v>#NUM!</v>
      </c>
      <c r="Q885" s="2">
        <f t="shared" si="81"/>
        <v>0.37390096630005903</v>
      </c>
      <c r="R885" s="2" t="e">
        <f t="shared" si="82"/>
        <v>#NUM!</v>
      </c>
      <c r="S885" t="e">
        <f t="shared" si="83"/>
        <v>#NUM!</v>
      </c>
      <c r="U885" t="e">
        <v>#NUM!</v>
      </c>
    </row>
    <row r="886" spans="1:21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 t="e">
        <f t="shared" si="80"/>
        <v>#DIV/0!</v>
      </c>
      <c r="Q886" s="2" t="e">
        <f t="shared" si="81"/>
        <v>#DIV/0!</v>
      </c>
      <c r="R886" s="2" t="e">
        <f t="shared" si="82"/>
        <v>#DIV/0!</v>
      </c>
      <c r="S886" t="e">
        <f t="shared" si="83"/>
        <v>#DIV/0!</v>
      </c>
      <c r="U886" t="e">
        <v>#NUM!</v>
      </c>
    </row>
    <row r="887" spans="1:21" ht="13.9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78"/>
        <v>#NUM!</v>
      </c>
      <c r="I887" s="2">
        <f t="shared" si="79"/>
        <v>0.11809710147660149</v>
      </c>
      <c r="J887" s="2">
        <v>0</v>
      </c>
      <c r="K887" s="2">
        <v>0</v>
      </c>
      <c r="L887" s="2">
        <v>0</v>
      </c>
      <c r="M887" s="2">
        <v>2.4700000000000002</v>
      </c>
      <c r="N887" s="2">
        <v>0</v>
      </c>
      <c r="O887" s="2">
        <v>0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ht="13.9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78"/>
        <v>#NUM!</v>
      </c>
      <c r="I888" s="2">
        <f t="shared" si="79"/>
        <v>0.37390096630005903</v>
      </c>
      <c r="J888" s="2">
        <v>0</v>
      </c>
      <c r="K888" s="2">
        <v>0</v>
      </c>
      <c r="L888" s="2">
        <v>0</v>
      </c>
      <c r="M888" s="2">
        <v>0.39</v>
      </c>
      <c r="N888" s="2">
        <v>0.27</v>
      </c>
      <c r="O888" s="2">
        <v>0.42</v>
      </c>
      <c r="P888" s="2" t="e">
        <f t="shared" si="80"/>
        <v>#NUM!</v>
      </c>
      <c r="Q888" s="2">
        <f t="shared" si="81"/>
        <v>1.4186112260286725E-3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ht="13.9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0.32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ht="13.9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78"/>
        <v>#NUM!</v>
      </c>
      <c r="I890" s="2">
        <f t="shared" si="79"/>
        <v>0.27487439760315191</v>
      </c>
      <c r="J890" s="2">
        <v>0</v>
      </c>
      <c r="K890" s="2">
        <v>0</v>
      </c>
      <c r="L890" s="2">
        <v>0</v>
      </c>
      <c r="M890" s="2">
        <v>1.18</v>
      </c>
      <c r="N890" s="2">
        <v>0.8</v>
      </c>
      <c r="O890" s="2">
        <v>0.21</v>
      </c>
      <c r="P890" s="2" t="e">
        <f t="shared" si="80"/>
        <v>#NUM!</v>
      </c>
      <c r="Q890" s="2">
        <f t="shared" si="81"/>
        <v>6.0884188090732552E-2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ht="13.9" x14ac:dyDescent="0.3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78"/>
        <v>3.1469685372334988</v>
      </c>
      <c r="I891" s="2">
        <f t="shared" si="79"/>
        <v>0.42099458977280946</v>
      </c>
      <c r="J891" s="2">
        <v>4.9400000000000004</v>
      </c>
      <c r="K891" s="2">
        <v>0</v>
      </c>
      <c r="L891" s="2">
        <v>0</v>
      </c>
      <c r="M891" s="2">
        <v>0.1</v>
      </c>
      <c r="N891" s="2">
        <v>0</v>
      </c>
      <c r="O891" s="2">
        <v>2.42</v>
      </c>
      <c r="P891" s="2">
        <f t="shared" si="80"/>
        <v>0.97108730808476129</v>
      </c>
      <c r="Q891" s="2">
        <f t="shared" si="81"/>
        <v>0.68158548371259953</v>
      </c>
      <c r="R891" s="2">
        <f t="shared" si="82"/>
        <v>-2.1758812291487377</v>
      </c>
      <c r="S891">
        <f t="shared" si="83"/>
        <v>0.3085786516755088</v>
      </c>
      <c r="U891">
        <v>2.304511041809953</v>
      </c>
    </row>
    <row r="892" spans="1:21" ht="13.9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78"/>
        <v>#NUM!</v>
      </c>
      <c r="I892" s="2">
        <f t="shared" si="79"/>
        <v>0.1996154985400517</v>
      </c>
      <c r="J892" s="2">
        <v>0</v>
      </c>
      <c r="K892" s="2">
        <v>0</v>
      </c>
      <c r="L892" s="2">
        <v>0</v>
      </c>
      <c r="M892" s="2">
        <v>0</v>
      </c>
      <c r="N892" s="2">
        <v>0.67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ht="13.9" x14ac:dyDescent="0.3">
      <c r="A893" s="2" t="s">
        <v>910</v>
      </c>
      <c r="B893" s="2">
        <v>33.43</v>
      </c>
      <c r="C893" s="2">
        <v>8.1</v>
      </c>
      <c r="D893" s="2">
        <v>28.53</v>
      </c>
      <c r="E893" s="2">
        <v>0</v>
      </c>
      <c r="F893" s="2">
        <v>0.44</v>
      </c>
      <c r="G893" s="2">
        <v>0</v>
      </c>
      <c r="H893" s="2">
        <f t="shared" ref="H893:H926" si="84">LOG(SUM(B893:D893)/SUM(E893:G893),2)</f>
        <v>7.3149436541647663</v>
      </c>
      <c r="I893" s="2">
        <f t="shared" ref="I893:I926" si="85">_xlfn.T.TEST(B893:D893,E893:G893,2,2)</f>
        <v>4.0287338441343155E-2</v>
      </c>
      <c r="J893" s="2">
        <v>35.270000000000003</v>
      </c>
      <c r="K893" s="2">
        <v>11.95</v>
      </c>
      <c r="L893" s="2">
        <v>26.76</v>
      </c>
      <c r="M893" s="2">
        <v>0</v>
      </c>
      <c r="N893" s="2">
        <v>0</v>
      </c>
      <c r="O893" s="2">
        <v>0.11</v>
      </c>
      <c r="P893" s="2">
        <f t="shared" ref="P893:P926" si="86">LOG(SUM(J893:L893)/SUM(M893:O893),2)</f>
        <v>9.393487966486699</v>
      </c>
      <c r="Q893" s="2">
        <f t="shared" ref="Q893:Q926" si="87">_xlfn.T.TEST(J893:L893,M893:O893,2,2)</f>
        <v>2.247741987351291E-2</v>
      </c>
      <c r="R893" s="2">
        <f t="shared" ref="R893:R926" si="88">P893-H893</f>
        <v>2.0785443123219327</v>
      </c>
      <c r="S893">
        <f t="shared" si="83"/>
        <v>1.2841504200977014</v>
      </c>
      <c r="U893">
        <v>6.2090633953492702</v>
      </c>
    </row>
    <row r="894" spans="1:21" ht="13.9" x14ac:dyDescent="0.3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84"/>
        <v>#NUM!</v>
      </c>
      <c r="I894" s="2">
        <f t="shared" si="85"/>
        <v>4.049519518170943E-2</v>
      </c>
      <c r="J894" s="2">
        <v>0</v>
      </c>
      <c r="K894" s="2">
        <v>0</v>
      </c>
      <c r="L894" s="2">
        <v>0.18</v>
      </c>
      <c r="M894" s="2">
        <v>0</v>
      </c>
      <c r="N894" s="2">
        <v>0.67</v>
      </c>
      <c r="O894" s="2">
        <v>0</v>
      </c>
      <c r="P894" s="2">
        <f t="shared" si="86"/>
        <v>-1.8961641890154601</v>
      </c>
      <c r="Q894" s="2">
        <f t="shared" si="87"/>
        <v>0.51897037242873056</v>
      </c>
      <c r="R894" s="2" t="e">
        <f t="shared" si="88"/>
        <v>#NUM!</v>
      </c>
      <c r="S894" t="e">
        <f t="shared" si="83"/>
        <v>#NUM!</v>
      </c>
      <c r="U894">
        <v>-2.4739311883324122</v>
      </c>
    </row>
    <row r="895" spans="1:21" ht="13.9" x14ac:dyDescent="0.3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84"/>
        <v>-1.0810480837669227</v>
      </c>
      <c r="I895" s="2">
        <f t="shared" si="85"/>
        <v>0.30865407798302696</v>
      </c>
      <c r="J895" s="2">
        <v>0</v>
      </c>
      <c r="K895" s="2">
        <v>19.760000000000002</v>
      </c>
      <c r="L895" s="2">
        <v>0.18</v>
      </c>
      <c r="M895" s="2">
        <v>21.03</v>
      </c>
      <c r="N895" s="2">
        <v>17.78</v>
      </c>
      <c r="O895" s="2">
        <v>21.29</v>
      </c>
      <c r="P895" s="2">
        <f t="shared" si="86"/>
        <v>-1.5916995812003518</v>
      </c>
      <c r="Q895" s="2">
        <f t="shared" si="87"/>
        <v>0.11453647497599236</v>
      </c>
      <c r="R895" s="2">
        <f t="shared" si="88"/>
        <v>-0.51065149743342908</v>
      </c>
      <c r="S895">
        <f t="shared" si="83"/>
        <v>1.472367052956663</v>
      </c>
      <c r="U895">
        <v>4.3175935046234715</v>
      </c>
    </row>
    <row r="896" spans="1:21" ht="13.9" x14ac:dyDescent="0.3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84"/>
        <v>#NUM!</v>
      </c>
      <c r="I896" s="2">
        <f t="shared" si="85"/>
        <v>0.11808539554779858</v>
      </c>
      <c r="J896" s="2">
        <v>0</v>
      </c>
      <c r="K896" s="2">
        <v>7.56</v>
      </c>
      <c r="L896" s="2">
        <v>0</v>
      </c>
      <c r="M896" s="2">
        <v>0.3</v>
      </c>
      <c r="N896" s="2">
        <v>0.8</v>
      </c>
      <c r="O896" s="2">
        <v>0.32</v>
      </c>
      <c r="P896" s="2">
        <f t="shared" si="86"/>
        <v>2.4124953047163902</v>
      </c>
      <c r="Q896" s="2">
        <f t="shared" si="87"/>
        <v>0.46313503322290994</v>
      </c>
      <c r="R896" s="2" t="e">
        <f t="shared" si="88"/>
        <v>#NUM!</v>
      </c>
      <c r="S896" t="e">
        <f t="shared" si="83"/>
        <v>#NUM!</v>
      </c>
      <c r="U896">
        <v>2.918386234446348</v>
      </c>
    </row>
    <row r="897" spans="1:21" ht="13.9" x14ac:dyDescent="0.3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84"/>
        <v>2.4711541036618385</v>
      </c>
      <c r="I897" s="2">
        <f t="shared" si="85"/>
        <v>0.46056776880674916</v>
      </c>
      <c r="J897" s="2">
        <v>0</v>
      </c>
      <c r="K897" s="2">
        <v>7.81</v>
      </c>
      <c r="L897" s="2">
        <v>0</v>
      </c>
      <c r="M897" s="2">
        <v>0</v>
      </c>
      <c r="N897" s="2">
        <v>0.13</v>
      </c>
      <c r="O897" s="2">
        <v>0.11</v>
      </c>
      <c r="P897" s="2">
        <f t="shared" si="86"/>
        <v>5.0242162374208235</v>
      </c>
      <c r="Q897" s="2">
        <f t="shared" si="87"/>
        <v>0.38734925488208344</v>
      </c>
      <c r="R897" s="2">
        <f t="shared" si="88"/>
        <v>2.5530621337589849</v>
      </c>
      <c r="S897">
        <f t="shared" si="83"/>
        <v>2.0331456585308754</v>
      </c>
      <c r="U897">
        <v>2.9653225483672552</v>
      </c>
    </row>
    <row r="898" spans="1:21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 t="e">
        <f t="shared" si="86"/>
        <v>#DIV/0!</v>
      </c>
      <c r="Q898" s="2" t="e">
        <f t="shared" si="87"/>
        <v>#DIV/0!</v>
      </c>
      <c r="R898" s="2" t="e">
        <f t="shared" si="88"/>
        <v>#DIV/0!</v>
      </c>
      <c r="S898" t="e">
        <f t="shared" si="83"/>
        <v>#DIV/0!</v>
      </c>
      <c r="U898" t="e">
        <v>#NUM!</v>
      </c>
    </row>
    <row r="899" spans="1:21" ht="13.9" x14ac:dyDescent="0.3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84"/>
        <v>-2.9946862001035321</v>
      </c>
      <c r="I899" s="2">
        <f t="shared" si="85"/>
        <v>6.9969505312228652E-3</v>
      </c>
      <c r="J899" s="2">
        <v>14.17</v>
      </c>
      <c r="K899" s="2">
        <v>0</v>
      </c>
      <c r="L899" s="2">
        <v>0.91</v>
      </c>
      <c r="M899" s="2">
        <v>24.09</v>
      </c>
      <c r="N899" s="2">
        <v>23.93</v>
      </c>
      <c r="O899" s="2">
        <v>16.86</v>
      </c>
      <c r="P899" s="2">
        <f t="shared" si="86"/>
        <v>-2.1051373909486086</v>
      </c>
      <c r="Q899" s="2">
        <f t="shared" si="87"/>
        <v>3.2419258654864412E-2</v>
      </c>
      <c r="R899" s="2">
        <f t="shared" si="88"/>
        <v>0.88954880915492351</v>
      </c>
      <c r="S899">
        <f t="shared" si="83"/>
        <v>0.70295758897070082</v>
      </c>
      <c r="U899">
        <v>3.9145645234939397</v>
      </c>
    </row>
    <row r="900" spans="1:21" ht="13.9" x14ac:dyDescent="0.3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84"/>
        <v>2.9819660771697385</v>
      </c>
      <c r="I900" s="2">
        <f t="shared" si="85"/>
        <v>0.43251004382403968</v>
      </c>
      <c r="J900" s="2">
        <v>0</v>
      </c>
      <c r="K900" s="2">
        <v>0</v>
      </c>
      <c r="L900" s="2">
        <v>0</v>
      </c>
      <c r="M900" s="2">
        <v>0.1</v>
      </c>
      <c r="N900" s="2">
        <v>1.2</v>
      </c>
      <c r="O900" s="2">
        <v>0.74</v>
      </c>
      <c r="P900" s="2" t="e">
        <f t="shared" si="86"/>
        <v>#NUM!</v>
      </c>
      <c r="Q900" s="2">
        <f t="shared" si="87"/>
        <v>9.9988250660252603E-2</v>
      </c>
      <c r="R900" s="2" t="e">
        <f t="shared" si="88"/>
        <v>#NUM!</v>
      </c>
      <c r="S900" t="e">
        <f t="shared" ref="S900:S926" si="89">P900/H900</f>
        <v>#NUM!</v>
      </c>
      <c r="U900" t="e">
        <v>#NUM!</v>
      </c>
    </row>
    <row r="901" spans="1:21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84"/>
        <v>#DIV/0!</v>
      </c>
      <c r="I901" s="2" t="e">
        <f t="shared" si="85"/>
        <v>#DIV/0!</v>
      </c>
      <c r="J901" s="2">
        <v>0</v>
      </c>
      <c r="K901" s="2">
        <v>0</v>
      </c>
      <c r="L901" s="2">
        <v>0</v>
      </c>
      <c r="M901" s="2">
        <v>0</v>
      </c>
      <c r="N901" s="2">
        <v>0.4</v>
      </c>
      <c r="O901" s="2">
        <v>0</v>
      </c>
      <c r="P901" s="2" t="e">
        <f t="shared" si="86"/>
        <v>#NUM!</v>
      </c>
      <c r="Q901" s="2">
        <f t="shared" si="87"/>
        <v>0.37390096630005903</v>
      </c>
      <c r="R901" s="2" t="e">
        <f t="shared" si="88"/>
        <v>#NUM!</v>
      </c>
      <c r="S901" t="e">
        <f t="shared" si="89"/>
        <v>#NUM!</v>
      </c>
      <c r="U901" t="e">
        <v>#NUM!</v>
      </c>
    </row>
    <row r="902" spans="1:21" ht="13.9" x14ac:dyDescent="0.3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84"/>
        <v>-1.2641393107792682</v>
      </c>
      <c r="I902" s="2">
        <f t="shared" si="85"/>
        <v>4.3092266947983831E-3</v>
      </c>
      <c r="J902" s="2">
        <v>6769.61</v>
      </c>
      <c r="K902" s="2">
        <v>7978.28</v>
      </c>
      <c r="L902" s="2">
        <v>4862.2299999999996</v>
      </c>
      <c r="M902" s="2">
        <v>10794.61</v>
      </c>
      <c r="N902" s="2">
        <v>14466.52</v>
      </c>
      <c r="O902" s="2">
        <v>12519.33</v>
      </c>
      <c r="P902" s="2">
        <f t="shared" si="86"/>
        <v>-0.94604190369420449</v>
      </c>
      <c r="Q902" s="2">
        <f t="shared" si="87"/>
        <v>1.2253374175708147E-2</v>
      </c>
      <c r="R902" s="2">
        <f t="shared" si="88"/>
        <v>0.31809740708506373</v>
      </c>
      <c r="S902">
        <f t="shared" si="89"/>
        <v>0.74836839233408914</v>
      </c>
      <c r="U902">
        <v>14.259310743375035</v>
      </c>
    </row>
    <row r="903" spans="1:21" ht="13.9" x14ac:dyDescent="0.3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84"/>
        <v>-4.5182762772896341</v>
      </c>
      <c r="I903" s="2">
        <f t="shared" si="85"/>
        <v>1.4114756939392506E-2</v>
      </c>
      <c r="J903" s="2">
        <v>14.17</v>
      </c>
      <c r="K903" s="2">
        <v>18.3</v>
      </c>
      <c r="L903" s="2">
        <v>18.02</v>
      </c>
      <c r="M903" s="2">
        <v>11.94</v>
      </c>
      <c r="N903" s="2">
        <v>8.9600000000000009</v>
      </c>
      <c r="O903" s="2">
        <v>8.33</v>
      </c>
      <c r="P903" s="2">
        <f t="shared" si="86"/>
        <v>0.78854784824505253</v>
      </c>
      <c r="Q903" s="2">
        <f t="shared" si="87"/>
        <v>1.5081045490374374E-2</v>
      </c>
      <c r="R903" s="2">
        <f t="shared" si="88"/>
        <v>5.3068241255346864</v>
      </c>
      <c r="S903">
        <f t="shared" si="89"/>
        <v>-0.17452404409366409</v>
      </c>
      <c r="U903">
        <v>5.6579257722763803</v>
      </c>
    </row>
    <row r="904" spans="1:21" ht="13.9" x14ac:dyDescent="0.3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84"/>
        <v>-0.87639091790844592</v>
      </c>
      <c r="I904" s="2">
        <f t="shared" si="85"/>
        <v>0.55166625033418226</v>
      </c>
      <c r="J904" s="2">
        <v>3.96</v>
      </c>
      <c r="K904" s="2">
        <v>0</v>
      </c>
      <c r="L904" s="2">
        <v>7.28</v>
      </c>
      <c r="M904" s="2">
        <v>1.18</v>
      </c>
      <c r="N904" s="2">
        <v>0.94</v>
      </c>
      <c r="O904" s="2">
        <v>0.63</v>
      </c>
      <c r="P904" s="2">
        <f t="shared" si="86"/>
        <v>2.031138511808904</v>
      </c>
      <c r="Q904" s="2">
        <f t="shared" si="87"/>
        <v>0.25098800208308375</v>
      </c>
      <c r="R904" s="2">
        <f t="shared" si="88"/>
        <v>2.90752942971735</v>
      </c>
      <c r="S904">
        <f t="shared" si="89"/>
        <v>-2.317617024896065</v>
      </c>
      <c r="U904">
        <v>3.4905701304462013</v>
      </c>
    </row>
    <row r="905" spans="1:21" ht="13.9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0.94</v>
      </c>
      <c r="O905" s="2">
        <v>0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84"/>
        <v>#DIV/0!</v>
      </c>
      <c r="I906" s="2" t="e">
        <f t="shared" si="85"/>
        <v>#DIV/0!</v>
      </c>
      <c r="J906" s="2">
        <v>0</v>
      </c>
      <c r="K906" s="2">
        <v>0</v>
      </c>
      <c r="L906" s="2">
        <v>0</v>
      </c>
      <c r="M906" s="2">
        <v>0.49</v>
      </c>
      <c r="N906" s="2">
        <v>0</v>
      </c>
      <c r="O906" s="2">
        <v>0.32</v>
      </c>
      <c r="P906" s="2" t="e">
        <f t="shared" si="86"/>
        <v>#NUM!</v>
      </c>
      <c r="Q906" s="2">
        <f t="shared" si="87"/>
        <v>0.13333375295265293</v>
      </c>
      <c r="R906" s="2" t="e">
        <f t="shared" si="88"/>
        <v>#NUM!</v>
      </c>
      <c r="S906" t="e">
        <f t="shared" si="89"/>
        <v>#NUM!</v>
      </c>
      <c r="U906" t="e">
        <v>#NUM!</v>
      </c>
    </row>
    <row r="907" spans="1:21" ht="13.9" x14ac:dyDescent="0.3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>
        <f t="shared" si="85"/>
        <v>0.37390096630005903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ht="13.9" x14ac:dyDescent="0.3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84"/>
        <v>0.17760632197385146</v>
      </c>
      <c r="I908" s="2">
        <f t="shared" si="85"/>
        <v>0.58461704214038379</v>
      </c>
      <c r="J908" s="2">
        <v>140.09</v>
      </c>
      <c r="K908" s="2">
        <v>126.86</v>
      </c>
      <c r="L908" s="2">
        <v>60.26</v>
      </c>
      <c r="M908" s="2">
        <v>61.1</v>
      </c>
      <c r="N908" s="2">
        <v>86.37</v>
      </c>
      <c r="O908" s="2">
        <v>59.96</v>
      </c>
      <c r="P908" s="2">
        <f t="shared" si="86"/>
        <v>0.657592277707155</v>
      </c>
      <c r="Q908" s="2">
        <f t="shared" si="87"/>
        <v>0.20168759659041899</v>
      </c>
      <c r="R908" s="2">
        <f t="shared" si="88"/>
        <v>0.47998595573330355</v>
      </c>
      <c r="S908">
        <f t="shared" si="89"/>
        <v>3.7025274235675614</v>
      </c>
      <c r="U908">
        <v>8.3540730295273473</v>
      </c>
    </row>
    <row r="909" spans="1:21" ht="13.9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84"/>
        <v>#NUM!</v>
      </c>
      <c r="I909" s="2">
        <f t="shared" si="85"/>
        <v>0.2884792214302897</v>
      </c>
      <c r="J909" s="2">
        <v>0</v>
      </c>
      <c r="K909" s="2">
        <v>0</v>
      </c>
      <c r="L909" s="2">
        <v>0</v>
      </c>
      <c r="M909" s="2">
        <v>0.1</v>
      </c>
      <c r="N909" s="2">
        <v>0</v>
      </c>
      <c r="O909" s="2">
        <v>0</v>
      </c>
      <c r="P909" s="2" t="e">
        <f t="shared" si="86"/>
        <v>#NUM!</v>
      </c>
      <c r="Q909" s="2">
        <f t="shared" si="87"/>
        <v>0.37390096630005903</v>
      </c>
      <c r="R909" s="2" t="e">
        <f t="shared" si="88"/>
        <v>#NUM!</v>
      </c>
      <c r="S909" t="e">
        <f t="shared" si="89"/>
        <v>#NUM!</v>
      </c>
      <c r="U909" t="e">
        <v>#NUM!</v>
      </c>
    </row>
    <row r="910" spans="1:21" ht="13.9" x14ac:dyDescent="0.3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84"/>
        <v>1.7529071380352277</v>
      </c>
      <c r="I910" s="2">
        <f t="shared" si="85"/>
        <v>0.36463470081800076</v>
      </c>
      <c r="J910" s="2">
        <v>0</v>
      </c>
      <c r="K910" s="2">
        <v>0</v>
      </c>
      <c r="L910" s="2">
        <v>0</v>
      </c>
      <c r="M910" s="2">
        <v>1.58</v>
      </c>
      <c r="N910" s="2">
        <v>1.6</v>
      </c>
      <c r="O910" s="2">
        <v>0</v>
      </c>
      <c r="P910" s="2" t="e">
        <f t="shared" si="86"/>
        <v>#NUM!</v>
      </c>
      <c r="Q910" s="2">
        <f t="shared" si="87"/>
        <v>0.11613225634638036</v>
      </c>
      <c r="R910" s="2" t="e">
        <f t="shared" si="88"/>
        <v>#NUM!</v>
      </c>
      <c r="S910" t="e">
        <f t="shared" si="89"/>
        <v>#NUM!</v>
      </c>
      <c r="U910" t="e">
        <v>#NUM!</v>
      </c>
    </row>
    <row r="911" spans="1:21" ht="13.9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84"/>
        <v>#NUM!</v>
      </c>
      <c r="I911" s="2">
        <f t="shared" si="85"/>
        <v>0.37390096630005903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 t="e">
        <f t="shared" si="86"/>
        <v>#DIV/0!</v>
      </c>
      <c r="Q911" s="2" t="e">
        <f t="shared" si="87"/>
        <v>#DIV/0!</v>
      </c>
      <c r="R911" s="2" t="e">
        <f t="shared" si="88"/>
        <v>#DIV/0!</v>
      </c>
      <c r="S911" t="e">
        <f t="shared" si="89"/>
        <v>#DIV/0!</v>
      </c>
      <c r="U911" t="e">
        <v>#NUM!</v>
      </c>
    </row>
    <row r="912" spans="1:21" ht="13.9" x14ac:dyDescent="0.3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84"/>
        <v>-1.4848620250548199</v>
      </c>
      <c r="I912" s="2">
        <f t="shared" si="85"/>
        <v>1.741458986516943E-2</v>
      </c>
      <c r="J912" s="2">
        <v>106.47</v>
      </c>
      <c r="K912" s="2">
        <v>206.15</v>
      </c>
      <c r="L912" s="2">
        <v>118.16</v>
      </c>
      <c r="M912" s="2">
        <v>194.67</v>
      </c>
      <c r="N912" s="2">
        <v>348.97</v>
      </c>
      <c r="O912" s="2">
        <v>209.3</v>
      </c>
      <c r="P912" s="2">
        <f t="shared" si="86"/>
        <v>-0.80558363369519903</v>
      </c>
      <c r="Q912" s="2">
        <f t="shared" si="87"/>
        <v>0.13968187861664966</v>
      </c>
      <c r="R912" s="2">
        <f t="shared" si="88"/>
        <v>0.67927839135962087</v>
      </c>
      <c r="S912">
        <f t="shared" si="89"/>
        <v>0.54253096927672961</v>
      </c>
      <c r="U912">
        <v>8.750807460616425</v>
      </c>
    </row>
    <row r="913" spans="1:21" ht="13.9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0.53</v>
      </c>
      <c r="O913" s="2">
        <v>0</v>
      </c>
      <c r="P913" s="2" t="e">
        <f t="shared" si="86"/>
        <v>#NUM!</v>
      </c>
      <c r="Q913" s="2">
        <f t="shared" si="87"/>
        <v>0.37390096630005903</v>
      </c>
      <c r="R913" s="2" t="e">
        <f t="shared" si="88"/>
        <v>#NUM!</v>
      </c>
      <c r="S913" t="e">
        <f t="shared" si="89"/>
        <v>#NUM!</v>
      </c>
      <c r="U913" t="e">
        <v>#NUM!</v>
      </c>
    </row>
    <row r="914" spans="1:21" ht="13.9" x14ac:dyDescent="0.3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84"/>
        <v>-1.011232895191599</v>
      </c>
      <c r="I914" s="2">
        <f t="shared" si="85"/>
        <v>0.10844161500323465</v>
      </c>
      <c r="J914" s="2">
        <v>0</v>
      </c>
      <c r="K914" s="2">
        <v>13.17</v>
      </c>
      <c r="L914" s="2">
        <v>0.18</v>
      </c>
      <c r="M914" s="2">
        <v>12.34</v>
      </c>
      <c r="N914" s="2">
        <v>12.03</v>
      </c>
      <c r="O914" s="2">
        <v>13.49</v>
      </c>
      <c r="P914" s="2">
        <f t="shared" si="86"/>
        <v>-1.5038346691287892</v>
      </c>
      <c r="Q914" s="2">
        <f t="shared" si="87"/>
        <v>0.13575840139583684</v>
      </c>
      <c r="R914" s="2">
        <f t="shared" si="88"/>
        <v>-0.49260177393719018</v>
      </c>
      <c r="S914">
        <f t="shared" si="89"/>
        <v>1.4871298948832719</v>
      </c>
      <c r="U914">
        <v>3.7387678368001915</v>
      </c>
    </row>
    <row r="915" spans="1:21" ht="13.9" x14ac:dyDescent="0.3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84"/>
        <v>#DIV/0!</v>
      </c>
      <c r="I915" s="2">
        <f t="shared" si="85"/>
        <v>0.37390096630005903</v>
      </c>
      <c r="J915" s="2">
        <v>0</v>
      </c>
      <c r="K915" s="2">
        <v>0</v>
      </c>
      <c r="L915" s="2">
        <v>0</v>
      </c>
      <c r="M915" s="2">
        <v>0</v>
      </c>
      <c r="N915" s="2">
        <v>0.27</v>
      </c>
      <c r="O915" s="2">
        <v>0.21</v>
      </c>
      <c r="P915" s="2" t="e">
        <f t="shared" si="86"/>
        <v>#NUM!</v>
      </c>
      <c r="Q915" s="2">
        <f t="shared" si="87"/>
        <v>0.12229424536952219</v>
      </c>
      <c r="R915" s="2" t="e">
        <f t="shared" si="88"/>
        <v>#NUM!</v>
      </c>
      <c r="S915" t="e">
        <f t="shared" si="89"/>
        <v>#NUM!</v>
      </c>
      <c r="U915" t="e">
        <v>#NUM!</v>
      </c>
    </row>
    <row r="916" spans="1:21" ht="13.9" x14ac:dyDescent="0.3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84"/>
        <v>-1.9517666164713139</v>
      </c>
      <c r="I916" s="2">
        <f t="shared" si="85"/>
        <v>9.5786977641947463E-2</v>
      </c>
      <c r="J916" s="2">
        <v>0.66</v>
      </c>
      <c r="K916" s="2">
        <v>9.27</v>
      </c>
      <c r="L916" s="2">
        <v>16.57</v>
      </c>
      <c r="M916" s="2">
        <v>27.34</v>
      </c>
      <c r="N916" s="2">
        <v>21.39</v>
      </c>
      <c r="O916" s="2">
        <v>21.08</v>
      </c>
      <c r="P916" s="2">
        <f t="shared" si="86"/>
        <v>-1.3974413517885809</v>
      </c>
      <c r="Q916" s="2">
        <f t="shared" si="87"/>
        <v>4.5437494404294433E-2</v>
      </c>
      <c r="R916" s="2">
        <f t="shared" si="88"/>
        <v>0.55432526468273302</v>
      </c>
      <c r="S916">
        <f t="shared" si="89"/>
        <v>0.71598793626006241</v>
      </c>
      <c r="U916">
        <v>4.7279204545631996</v>
      </c>
    </row>
    <row r="917" spans="1:21" ht="13.9" x14ac:dyDescent="0.3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84"/>
        <v>-1.8052490687926988</v>
      </c>
      <c r="I917" s="2">
        <f t="shared" si="85"/>
        <v>5.6713849474500887E-2</v>
      </c>
      <c r="J917" s="2">
        <v>45.82</v>
      </c>
      <c r="K917" s="2">
        <v>41.72</v>
      </c>
      <c r="L917" s="2">
        <v>12.56</v>
      </c>
      <c r="M917" s="2">
        <v>39.58</v>
      </c>
      <c r="N917" s="2">
        <v>37.57</v>
      </c>
      <c r="O917" s="2">
        <v>49.53</v>
      </c>
      <c r="P917" s="2">
        <f t="shared" si="86"/>
        <v>-0.33974679830483429</v>
      </c>
      <c r="Q917" s="2">
        <f t="shared" si="87"/>
        <v>0.469613895681462</v>
      </c>
      <c r="R917" s="2">
        <f t="shared" si="88"/>
        <v>1.4655022704878644</v>
      </c>
      <c r="S917">
        <f t="shared" si="89"/>
        <v>0.18819940371554805</v>
      </c>
      <c r="U917">
        <v>6.645298163948631</v>
      </c>
    </row>
    <row r="918" spans="1:21" ht="13.9" x14ac:dyDescent="0.3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84"/>
        <v>#NUM!</v>
      </c>
      <c r="I918" s="2">
        <f t="shared" si="85"/>
        <v>0.16094890290174124</v>
      </c>
      <c r="J918" s="2">
        <v>0</v>
      </c>
      <c r="K918" s="2">
        <v>13.66</v>
      </c>
      <c r="L918" s="2">
        <v>10.74</v>
      </c>
      <c r="M918" s="2">
        <v>2.37</v>
      </c>
      <c r="N918" s="2">
        <v>3.61</v>
      </c>
      <c r="O918" s="2">
        <v>2.85</v>
      </c>
      <c r="P918" s="2">
        <f t="shared" si="86"/>
        <v>1.4663958048017824</v>
      </c>
      <c r="Q918" s="2">
        <f t="shared" si="87"/>
        <v>0.28109782696036167</v>
      </c>
      <c r="R918" s="2" t="e">
        <f t="shared" si="88"/>
        <v>#NUM!</v>
      </c>
      <c r="S918" t="e">
        <f t="shared" si="89"/>
        <v>#NUM!</v>
      </c>
      <c r="U918">
        <v>4.6088092426755241</v>
      </c>
    </row>
    <row r="919" spans="1:21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84"/>
        <v>#DIV/0!</v>
      </c>
      <c r="I919" s="2" t="e">
        <f t="shared" si="85"/>
        <v>#DIV/0!</v>
      </c>
      <c r="J919" s="2">
        <v>0</v>
      </c>
      <c r="K919" s="2">
        <v>0</v>
      </c>
      <c r="L919" s="2">
        <v>0</v>
      </c>
      <c r="M919" s="2">
        <v>0.3</v>
      </c>
      <c r="N919" s="2">
        <v>0.94</v>
      </c>
      <c r="O919" s="2">
        <v>0</v>
      </c>
      <c r="P919" s="2" t="e">
        <f t="shared" si="86"/>
        <v>#NUM!</v>
      </c>
      <c r="Q919" s="2">
        <f t="shared" si="87"/>
        <v>0.21020970572113021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ht="13.9" x14ac:dyDescent="0.3">
      <c r="A920" s="2" t="s">
        <v>937</v>
      </c>
      <c r="B920" s="2">
        <v>810.57</v>
      </c>
      <c r="C920" s="2">
        <v>475.12</v>
      </c>
      <c r="D920" s="2">
        <v>709.26</v>
      </c>
      <c r="E920" s="2">
        <v>386.07</v>
      </c>
      <c r="F920" s="2">
        <v>407.72</v>
      </c>
      <c r="G920" s="2">
        <v>385.27</v>
      </c>
      <c r="H920" s="2">
        <f t="shared" si="84"/>
        <v>0.75871545217954828</v>
      </c>
      <c r="I920" s="2">
        <f t="shared" si="85"/>
        <v>5.2422215251804266E-2</v>
      </c>
      <c r="J920" s="2">
        <v>638.13</v>
      </c>
      <c r="K920" s="2">
        <v>557.94000000000005</v>
      </c>
      <c r="L920" s="2">
        <v>643.04999999999995</v>
      </c>
      <c r="M920" s="2">
        <v>421.81</v>
      </c>
      <c r="N920" s="2">
        <v>371.57</v>
      </c>
      <c r="O920" s="2">
        <v>419.75</v>
      </c>
      <c r="P920" s="2">
        <f t="shared" si="86"/>
        <v>0.60028145752903717</v>
      </c>
      <c r="Q920" s="2">
        <f t="shared" si="87"/>
        <v>2.8894919469125251E-3</v>
      </c>
      <c r="R920" s="2">
        <f t="shared" si="88"/>
        <v>-0.15843399465051111</v>
      </c>
      <c r="S920">
        <f t="shared" si="89"/>
        <v>0.79118127330163024</v>
      </c>
      <c r="U920">
        <v>10.844799901310664</v>
      </c>
    </row>
    <row r="921" spans="1:21" ht="13.9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84"/>
        <v>#NUM!</v>
      </c>
      <c r="I921" s="2">
        <f t="shared" si="85"/>
        <v>0.11629655068051944</v>
      </c>
      <c r="J921" s="2">
        <v>0</v>
      </c>
      <c r="K921" s="2">
        <v>0</v>
      </c>
      <c r="L921" s="2">
        <v>0</v>
      </c>
      <c r="M921" s="2">
        <v>0</v>
      </c>
      <c r="N921" s="2">
        <v>0.8</v>
      </c>
      <c r="O921" s="2">
        <v>0</v>
      </c>
      <c r="P921" s="2" t="e">
        <f t="shared" si="86"/>
        <v>#NUM!</v>
      </c>
      <c r="Q921" s="2">
        <f t="shared" si="87"/>
        <v>0.37390096630005903</v>
      </c>
      <c r="R921" s="2" t="e">
        <f t="shared" si="88"/>
        <v>#NUM!</v>
      </c>
      <c r="S921" t="e">
        <f t="shared" si="89"/>
        <v>#NUM!</v>
      </c>
      <c r="U921" t="e">
        <v>#NUM!</v>
      </c>
    </row>
    <row r="922" spans="1:21" ht="13.9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0.39</v>
      </c>
      <c r="N922" s="2">
        <v>0</v>
      </c>
      <c r="O922" s="2">
        <v>0</v>
      </c>
      <c r="P922" s="2" t="e">
        <f t="shared" si="86"/>
        <v>#NUM!</v>
      </c>
      <c r="Q922" s="2">
        <f t="shared" si="87"/>
        <v>0.37390096630005903</v>
      </c>
      <c r="R922" s="2" t="e">
        <f t="shared" si="88"/>
        <v>#NUM!</v>
      </c>
      <c r="S922" t="e">
        <f t="shared" si="89"/>
        <v>#NUM!</v>
      </c>
      <c r="U922" t="e">
        <v>#NUM!</v>
      </c>
    </row>
    <row r="923" spans="1:21" ht="13.9" x14ac:dyDescent="0.3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84"/>
        <v>-3.5145731728297589</v>
      </c>
      <c r="I923" s="2">
        <f t="shared" si="85"/>
        <v>4.0378178247889626E-2</v>
      </c>
      <c r="J923" s="2">
        <v>0</v>
      </c>
      <c r="K923" s="2">
        <v>0.24</v>
      </c>
      <c r="L923" s="2">
        <v>0</v>
      </c>
      <c r="M923" s="2">
        <v>3.65</v>
      </c>
      <c r="N923" s="2">
        <v>4.68</v>
      </c>
      <c r="O923" s="2">
        <v>2</v>
      </c>
      <c r="P923" s="2">
        <f t="shared" si="86"/>
        <v>-5.4276620381439038</v>
      </c>
      <c r="Q923" s="2">
        <f t="shared" si="87"/>
        <v>1.278018246331615E-2</v>
      </c>
      <c r="R923" s="2">
        <f t="shared" si="88"/>
        <v>-1.9130888653141449</v>
      </c>
      <c r="S923">
        <f t="shared" si="89"/>
        <v>1.544330355703996</v>
      </c>
      <c r="U923">
        <v>-2.0588936890535687</v>
      </c>
    </row>
    <row r="924" spans="1:21" ht="13.9" x14ac:dyDescent="0.3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84"/>
        <v>-1.5468973162145914</v>
      </c>
      <c r="I924" s="2">
        <f t="shared" si="85"/>
        <v>3.265764637883925E-2</v>
      </c>
      <c r="J924" s="2">
        <v>9.89</v>
      </c>
      <c r="K924" s="2">
        <v>48.3</v>
      </c>
      <c r="L924" s="2">
        <v>16.39</v>
      </c>
      <c r="M924" s="2">
        <v>24.68</v>
      </c>
      <c r="N924" s="2">
        <v>25.94</v>
      </c>
      <c r="O924" s="2">
        <v>15.91</v>
      </c>
      <c r="P924" s="2">
        <f t="shared" si="86"/>
        <v>0.16478376339150472</v>
      </c>
      <c r="Q924" s="2">
        <f t="shared" si="87"/>
        <v>0.83774199332111476</v>
      </c>
      <c r="R924" s="2">
        <f t="shared" si="88"/>
        <v>1.7116810796060962</v>
      </c>
      <c r="S924">
        <f t="shared" si="89"/>
        <v>-0.10652534054086192</v>
      </c>
      <c r="U924">
        <v>6.2207168919989169</v>
      </c>
    </row>
    <row r="925" spans="1:21" ht="13.9" x14ac:dyDescent="0.3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84"/>
        <v>#NUM!</v>
      </c>
      <c r="I925" s="2">
        <f t="shared" si="85"/>
        <v>2.080997959167322E-2</v>
      </c>
      <c r="J925" s="2">
        <v>7.91</v>
      </c>
      <c r="K925" s="2">
        <v>3.66</v>
      </c>
      <c r="L925" s="2">
        <v>0</v>
      </c>
      <c r="M925" s="2">
        <v>4.6399999999999997</v>
      </c>
      <c r="N925" s="2">
        <v>2.81</v>
      </c>
      <c r="O925" s="2">
        <v>2.95</v>
      </c>
      <c r="P925" s="2">
        <f t="shared" si="86"/>
        <v>0.15380533607903576</v>
      </c>
      <c r="Q925" s="2">
        <f t="shared" si="87"/>
        <v>0.87675823243424733</v>
      </c>
      <c r="R925" s="2" t="e">
        <f t="shared" si="88"/>
        <v>#NUM!</v>
      </c>
      <c r="S925" t="e">
        <f t="shared" si="89"/>
        <v>#NUM!</v>
      </c>
      <c r="U925">
        <v>3.532316959332765</v>
      </c>
    </row>
    <row r="926" spans="1:21" ht="13.9" x14ac:dyDescent="0.3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84"/>
        <v>-2.0469380306863996</v>
      </c>
      <c r="I926" s="2">
        <f t="shared" si="85"/>
        <v>1.7524003339743754E-2</v>
      </c>
      <c r="J926" s="2">
        <v>46.15</v>
      </c>
      <c r="K926" s="2">
        <v>110.03</v>
      </c>
      <c r="L926" s="2">
        <v>17.3</v>
      </c>
      <c r="M926" s="2">
        <v>85.49</v>
      </c>
      <c r="N926" s="2">
        <v>129.83000000000001</v>
      </c>
      <c r="O926" s="2">
        <v>84.2</v>
      </c>
      <c r="P926" s="2">
        <f t="shared" si="86"/>
        <v>-0.78788299172030118</v>
      </c>
      <c r="Q926" s="2">
        <f t="shared" si="87"/>
        <v>0.24980503626526646</v>
      </c>
      <c r="R926" s="2">
        <f t="shared" si="88"/>
        <v>1.2590550389660984</v>
      </c>
      <c r="S926">
        <f t="shared" si="89"/>
        <v>0.38490808217388994</v>
      </c>
      <c r="U926">
        <v>7.4386255380883792</v>
      </c>
    </row>
  </sheetData>
  <phoneticPr fontId="1" type="noConversion"/>
  <conditionalFormatting sqref="I1:I1048576">
    <cfRule type="cellIs" dxfId="8" priority="2" operator="lessThan">
      <formula>0.05</formula>
    </cfRule>
  </conditionalFormatting>
  <conditionalFormatting sqref="Q1:Q1048576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26"/>
  <sheetViews>
    <sheetView topLeftCell="I1" workbookViewId="0">
      <selection activeCell="U1" sqref="U1:U1048576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6" max="16" width="16.1328125" style="1" bestFit="1" customWidth="1"/>
    <col min="17" max="17" width="10.46484375" style="1" customWidth="1"/>
    <col min="18" max="18" width="21.59765625" style="1" bestFit="1" customWidth="1"/>
    <col min="19" max="19" width="14.9296875" customWidth="1"/>
  </cols>
  <sheetData>
    <row r="1" spans="1:21" ht="13.9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948</v>
      </c>
      <c r="I1" s="3" t="s">
        <v>949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946</v>
      </c>
      <c r="Q1" s="3" t="s">
        <v>949</v>
      </c>
      <c r="R1" s="4" t="s">
        <v>950</v>
      </c>
      <c r="S1" s="4" t="s">
        <v>955</v>
      </c>
      <c r="U1" t="s">
        <v>958</v>
      </c>
    </row>
    <row r="2" spans="1:21" ht="13.9" x14ac:dyDescent="0.3">
      <c r="A2" s="2" t="s">
        <v>19</v>
      </c>
      <c r="B2" s="2">
        <v>0</v>
      </c>
      <c r="C2" s="2">
        <v>0</v>
      </c>
      <c r="D2" s="2">
        <v>0</v>
      </c>
      <c r="E2" s="2">
        <v>0.89</v>
      </c>
      <c r="F2" s="2">
        <v>1.6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0.14739625476772761</v>
      </c>
      <c r="J2" s="2">
        <v>0</v>
      </c>
      <c r="K2" s="2">
        <v>0</v>
      </c>
      <c r="L2" s="2">
        <v>0</v>
      </c>
      <c r="M2" s="2">
        <v>1.65</v>
      </c>
      <c r="N2" s="2">
        <v>0</v>
      </c>
      <c r="O2" s="2">
        <v>0</v>
      </c>
      <c r="P2" s="2" t="e">
        <f t="shared" ref="P2:P65" si="2">LOG(SUM(J2:L2)/SUM(M2:O2),2)</f>
        <v>#NUM!</v>
      </c>
      <c r="Q2" s="2">
        <f t="shared" ref="Q2:Q65" si="3">_xlfn.T.TEST(J2:L2,M2:O2,2,2)</f>
        <v>0.37390096630005903</v>
      </c>
      <c r="R2" s="2" t="e">
        <f>P2-H2</f>
        <v>#NUM!</v>
      </c>
      <c r="S2" t="e">
        <f>P2/H2</f>
        <v>#NUM!</v>
      </c>
      <c r="U2" t="e">
        <v>#NUM!</v>
      </c>
    </row>
    <row r="3" spans="1:21" ht="13.9" x14ac:dyDescent="0.3">
      <c r="A3" s="2" t="s">
        <v>20</v>
      </c>
      <c r="B3" s="2">
        <v>56296.75</v>
      </c>
      <c r="C3" s="2">
        <v>61967.95</v>
      </c>
      <c r="D3" s="2">
        <v>62627.25</v>
      </c>
      <c r="E3" s="2">
        <v>20010.759999999998</v>
      </c>
      <c r="F3" s="2">
        <v>27443.15</v>
      </c>
      <c r="G3" s="2">
        <v>23913.77</v>
      </c>
      <c r="H3" s="2">
        <f>LOG(SUM(B3:D3)/SUM(E3:G3),2)</f>
        <v>1.3417854273561509</v>
      </c>
      <c r="I3" s="2">
        <f t="shared" si="1"/>
        <v>2.4184436232390269E-4</v>
      </c>
      <c r="J3" s="2">
        <v>70416.53</v>
      </c>
      <c r="K3" s="2">
        <v>64101.94</v>
      </c>
      <c r="L3" s="2">
        <v>66334.789999999994</v>
      </c>
      <c r="M3" s="2">
        <v>19342.72</v>
      </c>
      <c r="N3" s="2">
        <v>48193.26</v>
      </c>
      <c r="O3" s="2">
        <v>30781.48</v>
      </c>
      <c r="P3" s="2">
        <f t="shared" si="2"/>
        <v>1.0306223278611133</v>
      </c>
      <c r="Q3" s="2">
        <f t="shared" si="3"/>
        <v>1.6410341128668543E-2</v>
      </c>
      <c r="R3" s="2">
        <f t="shared" ref="R3:R66" si="4">P3-H3</f>
        <v>-0.31116309949503762</v>
      </c>
      <c r="S3">
        <f>P3/H3</f>
        <v>0.76809772028292767</v>
      </c>
      <c r="U3">
        <v>17.615782352039584</v>
      </c>
    </row>
    <row r="4" spans="1:21" ht="13.9" x14ac:dyDescent="0.3">
      <c r="A4" s="2" t="s">
        <v>21</v>
      </c>
      <c r="B4" s="2">
        <v>39643</v>
      </c>
      <c r="C4" s="2">
        <v>31772.09</v>
      </c>
      <c r="D4" s="2">
        <v>47304.85</v>
      </c>
      <c r="E4" s="2">
        <v>5348.49</v>
      </c>
      <c r="F4" s="2">
        <v>5956.63</v>
      </c>
      <c r="G4" s="2">
        <v>5843.23</v>
      </c>
      <c r="H4" s="2">
        <f t="shared" si="0"/>
        <v>2.7914205946767643</v>
      </c>
      <c r="I4" s="2">
        <f t="shared" si="1"/>
        <v>1.6538720641395169E-3</v>
      </c>
      <c r="J4" s="2">
        <v>51597.440000000002</v>
      </c>
      <c r="K4" s="2">
        <v>26402.89</v>
      </c>
      <c r="L4" s="2">
        <v>40348.06</v>
      </c>
      <c r="M4" s="2">
        <v>6445.41</v>
      </c>
      <c r="N4" s="2">
        <v>28245.59</v>
      </c>
      <c r="O4" s="2">
        <v>6436.74</v>
      </c>
      <c r="P4" s="2">
        <f>LOG(SUM(J4:L4)/SUM(M4:O4),2)</f>
        <v>1.5248563779627702</v>
      </c>
      <c r="Q4" s="2">
        <f t="shared" si="3"/>
        <v>6.6695794946872833E-2</v>
      </c>
      <c r="R4" s="2">
        <f t="shared" si="4"/>
        <v>-1.2665642167139941</v>
      </c>
      <c r="S4">
        <f t="shared" ref="S4:S67" si="5">P4/H4</f>
        <v>0.54626536068074782</v>
      </c>
      <c r="U4">
        <v>16.852680554359658</v>
      </c>
    </row>
    <row r="5" spans="1:21" ht="13.9" x14ac:dyDescent="0.3">
      <c r="A5" s="2" t="s">
        <v>22</v>
      </c>
      <c r="B5" s="2">
        <v>1153.6500000000001</v>
      </c>
      <c r="C5" s="2">
        <v>1333.49</v>
      </c>
      <c r="D5" s="2">
        <v>1762.94</v>
      </c>
      <c r="E5" s="2">
        <v>245.21</v>
      </c>
      <c r="F5" s="2">
        <v>288.81</v>
      </c>
      <c r="G5" s="2">
        <v>278.54000000000002</v>
      </c>
      <c r="H5" s="2">
        <f t="shared" si="0"/>
        <v>2.3869437459197487</v>
      </c>
      <c r="I5" s="2">
        <f t="shared" si="1"/>
        <v>3.2011451898046757E-3</v>
      </c>
      <c r="J5" s="2">
        <v>1672.76</v>
      </c>
      <c r="K5" s="2">
        <v>1245.8499999999999</v>
      </c>
      <c r="L5" s="2">
        <v>1140.72</v>
      </c>
      <c r="M5" s="2">
        <v>197.24</v>
      </c>
      <c r="N5" s="2">
        <v>1267.17</v>
      </c>
      <c r="O5" s="2">
        <v>294.52</v>
      </c>
      <c r="P5" s="2">
        <f t="shared" si="2"/>
        <v>1.2065435584173236</v>
      </c>
      <c r="Q5" s="2">
        <f t="shared" si="3"/>
        <v>0.11263341305223615</v>
      </c>
      <c r="R5" s="2">
        <f t="shared" si="4"/>
        <v>-1.180400187502425</v>
      </c>
      <c r="S5">
        <f t="shared" si="5"/>
        <v>0.50547632740813186</v>
      </c>
      <c r="U5">
        <v>11.98702591220972</v>
      </c>
    </row>
    <row r="6" spans="1:21" ht="13.9" x14ac:dyDescent="0.3">
      <c r="A6" s="2" t="s">
        <v>23</v>
      </c>
      <c r="B6" s="2">
        <v>7.25</v>
      </c>
      <c r="C6" s="2">
        <v>0</v>
      </c>
      <c r="D6" s="2">
        <v>1.64</v>
      </c>
      <c r="E6" s="2">
        <v>2.0699999999999998</v>
      </c>
      <c r="F6" s="2">
        <v>3.61</v>
      </c>
      <c r="G6" s="2">
        <v>6.22</v>
      </c>
      <c r="H6" s="2">
        <f t="shared" si="0"/>
        <v>-0.42070624936553569</v>
      </c>
      <c r="I6" s="2">
        <f t="shared" si="1"/>
        <v>0.70945203789460765</v>
      </c>
      <c r="J6" s="2">
        <v>0</v>
      </c>
      <c r="K6" s="2">
        <v>0</v>
      </c>
      <c r="L6" s="2">
        <v>35.69</v>
      </c>
      <c r="M6" s="2">
        <v>6.79</v>
      </c>
      <c r="N6" s="2">
        <v>0</v>
      </c>
      <c r="O6" s="2">
        <v>11.1</v>
      </c>
      <c r="P6" s="2">
        <f t="shared" si="2"/>
        <v>0.9963665139971144</v>
      </c>
      <c r="Q6" s="2">
        <f t="shared" si="3"/>
        <v>0.655444488412398</v>
      </c>
      <c r="R6" s="2">
        <f t="shared" si="4"/>
        <v>1.4170727633626501</v>
      </c>
      <c r="S6">
        <f t="shared" si="5"/>
        <v>-2.3683187865636133</v>
      </c>
      <c r="U6">
        <v>5.1574479962742981</v>
      </c>
    </row>
    <row r="7" spans="1:21" ht="13.9" x14ac:dyDescent="0.3">
      <c r="A7" s="2" t="s">
        <v>24</v>
      </c>
      <c r="B7" s="2">
        <v>107.45</v>
      </c>
      <c r="C7" s="2">
        <v>106.86</v>
      </c>
      <c r="D7" s="2">
        <v>129.44999999999999</v>
      </c>
      <c r="E7" s="2">
        <v>48.57</v>
      </c>
      <c r="F7" s="2">
        <v>60.7</v>
      </c>
      <c r="G7" s="2">
        <v>56.59</v>
      </c>
      <c r="H7" s="2">
        <f t="shared" si="0"/>
        <v>1.0514356847775612</v>
      </c>
      <c r="I7" s="2">
        <f t="shared" si="1"/>
        <v>1.9782209796550508E-3</v>
      </c>
      <c r="J7" s="2">
        <v>153.6</v>
      </c>
      <c r="K7" s="2">
        <v>136.03</v>
      </c>
      <c r="L7" s="2">
        <v>126.19</v>
      </c>
      <c r="M7" s="2">
        <v>46.51</v>
      </c>
      <c r="N7" s="2">
        <v>40.880000000000003</v>
      </c>
      <c r="O7" s="2">
        <v>57.79</v>
      </c>
      <c r="P7" s="2">
        <f t="shared" si="2"/>
        <v>1.5181164289068962</v>
      </c>
      <c r="Q7" s="2">
        <f t="shared" si="3"/>
        <v>6.6786070443664838E-4</v>
      </c>
      <c r="R7" s="2">
        <f t="shared" si="4"/>
        <v>0.46668074412933502</v>
      </c>
      <c r="S7">
        <f t="shared" si="5"/>
        <v>1.4438509657659799</v>
      </c>
      <c r="U7">
        <v>8.6998153400030009</v>
      </c>
    </row>
    <row r="8" spans="1:21" ht="13.9" x14ac:dyDescent="0.3">
      <c r="A8" s="2" t="s">
        <v>25</v>
      </c>
      <c r="B8" s="2">
        <v>1063.6600000000001</v>
      </c>
      <c r="C8" s="2">
        <v>1122.47</v>
      </c>
      <c r="D8" s="2">
        <v>1140.0899999999999</v>
      </c>
      <c r="E8" s="2">
        <v>168.11</v>
      </c>
      <c r="F8" s="2">
        <v>229.57</v>
      </c>
      <c r="G8" s="2">
        <v>238.91</v>
      </c>
      <c r="H8" s="2">
        <f t="shared" si="0"/>
        <v>2.3854471938792456</v>
      </c>
      <c r="I8" s="2">
        <f t="shared" si="1"/>
        <v>9.7140973384187623E-6</v>
      </c>
      <c r="J8" s="2">
        <v>1070.74</v>
      </c>
      <c r="K8" s="2">
        <v>1099.77</v>
      </c>
      <c r="L8" s="2">
        <v>1258.3599999999999</v>
      </c>
      <c r="M8" s="2">
        <v>153.19999999999999</v>
      </c>
      <c r="N8" s="2">
        <v>1308.04</v>
      </c>
      <c r="O8" s="2">
        <v>260.14</v>
      </c>
      <c r="P8" s="2">
        <f t="shared" si="2"/>
        <v>0.99416759592401305</v>
      </c>
      <c r="Q8" s="2">
        <f t="shared" si="3"/>
        <v>0.20173545219125949</v>
      </c>
      <c r="R8" s="2">
        <f t="shared" si="4"/>
        <v>-1.3912795979552326</v>
      </c>
      <c r="S8">
        <f t="shared" si="5"/>
        <v>0.41676361500473402</v>
      </c>
      <c r="U8">
        <v>11.743517492548758</v>
      </c>
    </row>
    <row r="9" spans="1:21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 t="e">
        <f t="shared" si="0"/>
        <v>#NUM!</v>
      </c>
      <c r="I9" s="2">
        <f t="shared" si="1"/>
        <v>0.37390096630005903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e">
        <f t="shared" si="2"/>
        <v>#DIV/0!</v>
      </c>
      <c r="Q9" s="2" t="e">
        <f t="shared" si="3"/>
        <v>#DIV/0!</v>
      </c>
      <c r="R9" s="2" t="e">
        <f t="shared" si="4"/>
        <v>#DIV/0!</v>
      </c>
      <c r="S9" t="e">
        <f t="shared" si="5"/>
        <v>#DIV/0!</v>
      </c>
      <c r="U9" t="e">
        <v>#NUM!</v>
      </c>
    </row>
    <row r="10" spans="1:21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0.72</v>
      </c>
      <c r="N10" s="2">
        <v>0</v>
      </c>
      <c r="O10" s="2">
        <v>0</v>
      </c>
      <c r="P10" s="2" t="e">
        <f t="shared" si="2"/>
        <v>#NUM!</v>
      </c>
      <c r="Q10" s="2">
        <f t="shared" si="3"/>
        <v>0.37390096630005903</v>
      </c>
      <c r="R10" s="2" t="e">
        <f t="shared" si="4"/>
        <v>#NUM!</v>
      </c>
      <c r="S10" t="e">
        <f t="shared" si="5"/>
        <v>#NUM!</v>
      </c>
      <c r="U10" t="e">
        <v>#NUM!</v>
      </c>
    </row>
    <row r="11" spans="1:21" ht="13.9" x14ac:dyDescent="0.3">
      <c r="A11" s="2" t="s">
        <v>28</v>
      </c>
      <c r="B11" s="2">
        <v>184371.55</v>
      </c>
      <c r="C11" s="2">
        <v>123991.77</v>
      </c>
      <c r="D11" s="2">
        <v>184487.15</v>
      </c>
      <c r="E11" s="2">
        <v>80265.16</v>
      </c>
      <c r="F11" s="2">
        <v>64118.62</v>
      </c>
      <c r="G11" s="2">
        <v>78049.820000000007</v>
      </c>
      <c r="H11" s="2">
        <f t="shared" si="0"/>
        <v>1.1477752690323237</v>
      </c>
      <c r="I11" s="2">
        <f t="shared" si="1"/>
        <v>1.2254385200617201E-2</v>
      </c>
      <c r="J11" s="2">
        <v>204730.86</v>
      </c>
      <c r="K11" s="2">
        <v>158538.32999999999</v>
      </c>
      <c r="L11" s="2">
        <v>144428.71</v>
      </c>
      <c r="M11" s="2">
        <v>64760.74</v>
      </c>
      <c r="N11" s="2">
        <v>92748.53</v>
      </c>
      <c r="O11" s="2">
        <v>71931.679999999993</v>
      </c>
      <c r="P11" s="2">
        <f t="shared" si="2"/>
        <v>1.1458473899922588</v>
      </c>
      <c r="Q11" s="2">
        <f t="shared" si="3"/>
        <v>9.8391803967005781E-3</v>
      </c>
      <c r="R11" s="2">
        <f t="shared" si="4"/>
        <v>-1.9278790400649726E-3</v>
      </c>
      <c r="S11">
        <f t="shared" si="5"/>
        <v>0.99832033404789222</v>
      </c>
      <c r="U11">
        <v>18.953610767071115</v>
      </c>
    </row>
    <row r="12" spans="1:21" ht="13.9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0.53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0.41</v>
      </c>
      <c r="N12" s="2">
        <v>0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ht="13.9" x14ac:dyDescent="0.3">
      <c r="A13" s="2" t="s">
        <v>30</v>
      </c>
      <c r="B13" s="2">
        <v>10411.52</v>
      </c>
      <c r="C13" s="2">
        <v>7376.18</v>
      </c>
      <c r="D13" s="2">
        <v>8214.2199999999993</v>
      </c>
      <c r="E13" s="2">
        <v>7224.08</v>
      </c>
      <c r="F13" s="2">
        <v>6741.09</v>
      </c>
      <c r="G13" s="2">
        <v>6376.17</v>
      </c>
      <c r="H13" s="2">
        <f t="shared" si="0"/>
        <v>0.3542034359293646</v>
      </c>
      <c r="I13" s="2">
        <f t="shared" si="1"/>
        <v>0.11452560402189951</v>
      </c>
      <c r="J13" s="2">
        <v>7655.4</v>
      </c>
      <c r="K13" s="2">
        <v>9935.2000000000007</v>
      </c>
      <c r="L13" s="2">
        <v>9073.99</v>
      </c>
      <c r="M13" s="2">
        <v>4367.97</v>
      </c>
      <c r="N13" s="2">
        <v>15778.29</v>
      </c>
      <c r="O13" s="2">
        <v>6822.07</v>
      </c>
      <c r="P13" s="2">
        <f t="shared" si="2"/>
        <v>-1.6341041161550041E-2</v>
      </c>
      <c r="Q13" s="2">
        <f t="shared" si="3"/>
        <v>0.97849653519337965</v>
      </c>
      <c r="R13" s="2">
        <f t="shared" si="4"/>
        <v>-0.37054447709091465</v>
      </c>
      <c r="S13">
        <f t="shared" si="5"/>
        <v>-4.6134620683941585E-2</v>
      </c>
      <c r="U13">
        <v>14.702637524577133</v>
      </c>
    </row>
    <row r="14" spans="1:21" ht="13.9" x14ac:dyDescent="0.3">
      <c r="A14" s="2" t="s">
        <v>31</v>
      </c>
      <c r="B14" s="2">
        <v>0</v>
      </c>
      <c r="C14" s="2">
        <v>0</v>
      </c>
      <c r="D14" s="2">
        <v>0.18</v>
      </c>
      <c r="E14" s="2">
        <v>0</v>
      </c>
      <c r="F14" s="2">
        <v>0</v>
      </c>
      <c r="G14" s="2">
        <v>0.53</v>
      </c>
      <c r="H14" s="2">
        <f t="shared" si="0"/>
        <v>-1.5579954531208871</v>
      </c>
      <c r="I14" s="2">
        <f t="shared" si="1"/>
        <v>0.56567824274836098</v>
      </c>
      <c r="J14" s="2">
        <v>0</v>
      </c>
      <c r="K14" s="2">
        <v>0</v>
      </c>
      <c r="L14" s="2">
        <v>0</v>
      </c>
      <c r="M14" s="2">
        <v>0.21</v>
      </c>
      <c r="N14" s="2">
        <v>0</v>
      </c>
      <c r="O14" s="2">
        <v>0</v>
      </c>
      <c r="P14" s="2" t="e">
        <f t="shared" si="2"/>
        <v>#NUM!</v>
      </c>
      <c r="Q14" s="2">
        <f t="shared" si="3"/>
        <v>0.37390096630005903</v>
      </c>
      <c r="R14" s="2" t="e">
        <f t="shared" si="4"/>
        <v>#NUM!</v>
      </c>
      <c r="S14" t="e">
        <f t="shared" si="5"/>
        <v>#NUM!</v>
      </c>
      <c r="U14" t="e">
        <v>#NUM!</v>
      </c>
    </row>
    <row r="15" spans="1:21" ht="13.9" x14ac:dyDescent="0.3">
      <c r="A15" s="2" t="s">
        <v>32</v>
      </c>
      <c r="B15" s="2">
        <v>16024.18</v>
      </c>
      <c r="C15" s="2">
        <v>14230.77</v>
      </c>
      <c r="D15" s="2">
        <v>14543.17</v>
      </c>
      <c r="E15" s="2">
        <v>28081.72</v>
      </c>
      <c r="F15" s="2">
        <v>27840.53</v>
      </c>
      <c r="G15" s="2">
        <v>26302.34</v>
      </c>
      <c r="H15" s="2">
        <f t="shared" si="0"/>
        <v>-0.87613171996079287</v>
      </c>
      <c r="I15" s="2">
        <f t="shared" si="1"/>
        <v>9.1718819661880936E-5</v>
      </c>
      <c r="J15" s="2">
        <v>16269.8</v>
      </c>
      <c r="K15" s="2">
        <v>15437.2</v>
      </c>
      <c r="L15" s="2">
        <v>13431.25</v>
      </c>
      <c r="M15" s="2">
        <v>24727.34</v>
      </c>
      <c r="N15" s="2">
        <v>28000.33</v>
      </c>
      <c r="O15" s="2">
        <v>23100.35</v>
      </c>
      <c r="P15" s="2">
        <f t="shared" si="2"/>
        <v>-0.74838056551515897</v>
      </c>
      <c r="Q15" s="2">
        <f t="shared" si="3"/>
        <v>3.5905252131801422E-3</v>
      </c>
      <c r="R15" s="2">
        <f t="shared" si="4"/>
        <v>0.1277511544456339</v>
      </c>
      <c r="S15">
        <f t="shared" si="5"/>
        <v>0.85418727397365457</v>
      </c>
      <c r="U15">
        <v>15.462062866194788</v>
      </c>
    </row>
    <row r="16" spans="1:21" ht="13.9" x14ac:dyDescent="0.3">
      <c r="A16" s="2" t="s">
        <v>33</v>
      </c>
      <c r="B16" s="2">
        <v>10.88</v>
      </c>
      <c r="C16" s="2">
        <v>16.100000000000001</v>
      </c>
      <c r="D16" s="2">
        <v>12.93</v>
      </c>
      <c r="E16" s="2">
        <v>13.33</v>
      </c>
      <c r="F16" s="2">
        <v>12.84</v>
      </c>
      <c r="G16" s="2">
        <v>14.65</v>
      </c>
      <c r="H16" s="2">
        <f t="shared" si="0"/>
        <v>-3.252590352144745E-2</v>
      </c>
      <c r="I16" s="2">
        <f t="shared" si="1"/>
        <v>0.85987974456298155</v>
      </c>
      <c r="J16" s="2">
        <v>3.59</v>
      </c>
      <c r="K16" s="2">
        <v>13.39</v>
      </c>
      <c r="L16" s="2">
        <v>3.02</v>
      </c>
      <c r="M16" s="2">
        <v>13.68</v>
      </c>
      <c r="N16" s="2">
        <v>0</v>
      </c>
      <c r="O16" s="2">
        <v>22.87</v>
      </c>
      <c r="P16" s="2">
        <f t="shared" si="2"/>
        <v>-0.86987140617771264</v>
      </c>
      <c r="Q16" s="2">
        <f t="shared" si="3"/>
        <v>0.50000905667992346</v>
      </c>
      <c r="R16" s="2">
        <f t="shared" si="4"/>
        <v>-0.83734550265626517</v>
      </c>
      <c r="S16">
        <f t="shared" si="5"/>
        <v>26.743958260963385</v>
      </c>
      <c r="U16">
        <v>4.3219280948873626</v>
      </c>
    </row>
    <row r="17" spans="1:21" ht="13.9" x14ac:dyDescent="0.3">
      <c r="A17" s="2" t="s">
        <v>34</v>
      </c>
      <c r="B17" s="2">
        <v>42567.01</v>
      </c>
      <c r="C17" s="2">
        <v>35176.58</v>
      </c>
      <c r="D17" s="2">
        <v>32349.85</v>
      </c>
      <c r="E17" s="2">
        <v>24656.6</v>
      </c>
      <c r="F17" s="2">
        <v>17876.98</v>
      </c>
      <c r="G17" s="2">
        <v>25804.61</v>
      </c>
      <c r="H17" s="2">
        <f t="shared" si="0"/>
        <v>0.68796456512290549</v>
      </c>
      <c r="I17" s="2">
        <f t="shared" si="1"/>
        <v>2.3858430602871725E-2</v>
      </c>
      <c r="J17" s="2">
        <v>20037.14</v>
      </c>
      <c r="K17" s="2">
        <v>29137.57</v>
      </c>
      <c r="L17" s="2">
        <v>30471.19</v>
      </c>
      <c r="M17" s="2">
        <v>19933.310000000001</v>
      </c>
      <c r="N17" s="2">
        <v>11363.64</v>
      </c>
      <c r="O17" s="2">
        <v>14278.52</v>
      </c>
      <c r="P17" s="2">
        <f t="shared" si="2"/>
        <v>0.80534256258999137</v>
      </c>
      <c r="Q17" s="2">
        <f t="shared" si="3"/>
        <v>5.1466965013160358E-2</v>
      </c>
      <c r="R17" s="2">
        <f t="shared" si="4"/>
        <v>0.11737799746708588</v>
      </c>
      <c r="S17">
        <f t="shared" si="5"/>
        <v>1.1706163419130695</v>
      </c>
      <c r="U17">
        <v>16.281312476367052</v>
      </c>
    </row>
    <row r="18" spans="1:21" ht="13.9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ht="13.9" x14ac:dyDescent="0.3">
      <c r="A19" s="2" t="s">
        <v>36</v>
      </c>
      <c r="B19" s="2">
        <v>0</v>
      </c>
      <c r="C19" s="2">
        <v>0.73</v>
      </c>
      <c r="D19" s="2">
        <v>0</v>
      </c>
      <c r="E19" s="2">
        <v>0.39</v>
      </c>
      <c r="F19" s="2">
        <v>1.74</v>
      </c>
      <c r="G19" s="2">
        <v>0</v>
      </c>
      <c r="H19" s="2">
        <f t="shared" si="0"/>
        <v>-1.5448850613458212</v>
      </c>
      <c r="I19" s="2">
        <f t="shared" si="1"/>
        <v>0.46659032601781097</v>
      </c>
      <c r="J19" s="2">
        <v>0</v>
      </c>
      <c r="K19" s="2">
        <v>2.2999999999999998</v>
      </c>
      <c r="L19" s="2">
        <v>0</v>
      </c>
      <c r="M19" s="2">
        <v>0.41</v>
      </c>
      <c r="N19" s="2">
        <v>0</v>
      </c>
      <c r="O19" s="2">
        <v>0.27</v>
      </c>
      <c r="P19" s="2">
        <f t="shared" si="2"/>
        <v>1.7580272096940357</v>
      </c>
      <c r="Q19" s="2">
        <f t="shared" si="3"/>
        <v>0.52484656742480496</v>
      </c>
      <c r="R19" s="2">
        <f t="shared" si="4"/>
        <v>3.3029122710398569</v>
      </c>
      <c r="S19">
        <f t="shared" si="5"/>
        <v>-1.1379663469349213</v>
      </c>
      <c r="U19">
        <v>1.2016338611696504</v>
      </c>
    </row>
    <row r="20" spans="1:21" ht="13.9" x14ac:dyDescent="0.3">
      <c r="A20" s="2" t="s">
        <v>37</v>
      </c>
      <c r="B20" s="2">
        <v>0</v>
      </c>
      <c r="C20" s="2">
        <v>0</v>
      </c>
      <c r="D20" s="2">
        <v>0</v>
      </c>
      <c r="E20" s="2">
        <v>2.67</v>
      </c>
      <c r="F20" s="2">
        <v>0</v>
      </c>
      <c r="G20" s="2">
        <v>0.32</v>
      </c>
      <c r="H20" s="2" t="e">
        <f t="shared" si="0"/>
        <v>#NUM!</v>
      </c>
      <c r="I20" s="2">
        <f t="shared" si="1"/>
        <v>0.30194982060867731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e">
        <f t="shared" si="2"/>
        <v>#DIV/0!</v>
      </c>
      <c r="Q20" s="2" t="e">
        <f t="shared" si="3"/>
        <v>#DIV/0!</v>
      </c>
      <c r="R20" s="2" t="e">
        <f t="shared" si="4"/>
        <v>#DIV/0!</v>
      </c>
      <c r="S20" t="e">
        <f t="shared" si="5"/>
        <v>#DIV/0!</v>
      </c>
      <c r="U20" t="e">
        <v>#NUM!</v>
      </c>
    </row>
    <row r="21" spans="1:21" ht="13.9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ht="13.9" x14ac:dyDescent="0.3">
      <c r="A22" s="2" t="s">
        <v>39</v>
      </c>
      <c r="B22" s="2">
        <v>0</v>
      </c>
      <c r="C22" s="2">
        <v>0</v>
      </c>
      <c r="D22" s="2">
        <v>0</v>
      </c>
      <c r="E22" s="2">
        <v>1.38</v>
      </c>
      <c r="F22" s="2">
        <v>1.07</v>
      </c>
      <c r="G22" s="2">
        <v>0.74</v>
      </c>
      <c r="H22" s="2" t="e">
        <f t="shared" si="0"/>
        <v>#NUM!</v>
      </c>
      <c r="I22" s="2">
        <f t="shared" si="1"/>
        <v>4.5224558224350279E-3</v>
      </c>
      <c r="J22" s="2">
        <v>0</v>
      </c>
      <c r="K22" s="2">
        <v>0</v>
      </c>
      <c r="L22" s="2">
        <v>0</v>
      </c>
      <c r="M22" s="2">
        <v>1.03</v>
      </c>
      <c r="N22" s="2">
        <v>0</v>
      </c>
      <c r="O22" s="2">
        <v>0</v>
      </c>
      <c r="P22" s="2" t="e">
        <f t="shared" si="2"/>
        <v>#NUM!</v>
      </c>
      <c r="Q22" s="2">
        <f t="shared" si="3"/>
        <v>0.37390096630005903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ht="13.9" x14ac:dyDescent="0.3">
      <c r="A23" s="2" t="s">
        <v>40</v>
      </c>
      <c r="B23" s="2">
        <v>12.53</v>
      </c>
      <c r="C23" s="2">
        <v>0</v>
      </c>
      <c r="D23" s="2">
        <v>0</v>
      </c>
      <c r="E23" s="2">
        <v>3.06</v>
      </c>
      <c r="F23" s="2">
        <v>6.15</v>
      </c>
      <c r="G23" s="2">
        <v>10.85</v>
      </c>
      <c r="H23" s="2">
        <f t="shared" si="0"/>
        <v>-0.67893519129032054</v>
      </c>
      <c r="I23" s="2">
        <f t="shared" si="1"/>
        <v>0.62524870489883222</v>
      </c>
      <c r="J23" s="2">
        <v>0</v>
      </c>
      <c r="K23" s="2">
        <v>10.050000000000001</v>
      </c>
      <c r="L23" s="2">
        <v>14.08</v>
      </c>
      <c r="M23" s="2">
        <v>4.63</v>
      </c>
      <c r="N23" s="2">
        <v>0</v>
      </c>
      <c r="O23" s="2">
        <v>2.0299999999999998</v>
      </c>
      <c r="P23" s="2">
        <f t="shared" si="2"/>
        <v>1.8572338331444893</v>
      </c>
      <c r="Q23" s="2">
        <f t="shared" si="3"/>
        <v>0.25586408185714049</v>
      </c>
      <c r="R23" s="2">
        <f t="shared" si="4"/>
        <v>2.5361690244348098</v>
      </c>
      <c r="S23">
        <f t="shared" si="5"/>
        <v>-2.7355097466884946</v>
      </c>
      <c r="U23">
        <v>4.5927560104410272</v>
      </c>
    </row>
    <row r="24" spans="1:21" ht="13.9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ht="13.9" x14ac:dyDescent="0.3">
      <c r="A25" s="2" t="s">
        <v>42</v>
      </c>
      <c r="B25" s="2">
        <v>29.01</v>
      </c>
      <c r="C25" s="2">
        <v>63.67</v>
      </c>
      <c r="D25" s="2">
        <v>57.35</v>
      </c>
      <c r="E25" s="2">
        <v>65.94</v>
      </c>
      <c r="F25" s="2">
        <v>80.09</v>
      </c>
      <c r="G25" s="2">
        <v>62.39</v>
      </c>
      <c r="H25" s="2">
        <f t="shared" si="0"/>
        <v>-0.47424271451239181</v>
      </c>
      <c r="I25" s="2">
        <f t="shared" si="1"/>
        <v>0.17870713728744342</v>
      </c>
      <c r="J25" s="2">
        <v>9.34</v>
      </c>
      <c r="K25" s="2">
        <v>83.5</v>
      </c>
      <c r="L25" s="2">
        <v>41.22</v>
      </c>
      <c r="M25" s="2">
        <v>52.06</v>
      </c>
      <c r="N25" s="2">
        <v>40.880000000000003</v>
      </c>
      <c r="O25" s="2">
        <v>103.41</v>
      </c>
      <c r="P25" s="2">
        <f t="shared" si="2"/>
        <v>-0.55054875904700329</v>
      </c>
      <c r="Q25" s="2">
        <f t="shared" si="3"/>
        <v>0.51143333985535244</v>
      </c>
      <c r="R25" s="2">
        <f t="shared" si="4"/>
        <v>-7.6306044534611484E-2</v>
      </c>
      <c r="S25">
        <f t="shared" si="5"/>
        <v>1.1609008260950684</v>
      </c>
      <c r="U25">
        <v>7.0667350287320314</v>
      </c>
    </row>
    <row r="26" spans="1:21" ht="13.9" x14ac:dyDescent="0.3">
      <c r="A26" s="2" t="s">
        <v>43</v>
      </c>
      <c r="B26" s="2">
        <v>0</v>
      </c>
      <c r="C26" s="2">
        <v>0</v>
      </c>
      <c r="D26" s="2">
        <v>0</v>
      </c>
      <c r="E26" s="2">
        <v>3.75</v>
      </c>
      <c r="F26" s="2">
        <v>4.28</v>
      </c>
      <c r="G26" s="2">
        <v>3.69</v>
      </c>
      <c r="H26" s="2" t="e">
        <f t="shared" si="0"/>
        <v>#NUM!</v>
      </c>
      <c r="I26" s="2">
        <f t="shared" si="1"/>
        <v>3.1332953657204337E-5</v>
      </c>
      <c r="J26" s="2">
        <v>0</v>
      </c>
      <c r="K26" s="2">
        <v>0</v>
      </c>
      <c r="L26" s="2">
        <v>0</v>
      </c>
      <c r="M26" s="2">
        <v>1.44</v>
      </c>
      <c r="N26" s="2">
        <v>0</v>
      </c>
      <c r="O26" s="2">
        <v>3.11</v>
      </c>
      <c r="P26" s="2" t="e">
        <f t="shared" si="2"/>
        <v>#NUM!</v>
      </c>
      <c r="Q26" s="2">
        <f t="shared" si="3"/>
        <v>0.16671952306276194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ht="13.9" x14ac:dyDescent="0.3">
      <c r="A27" s="2" t="s">
        <v>44</v>
      </c>
      <c r="B27" s="2">
        <v>16.149999999999999</v>
      </c>
      <c r="C27" s="2">
        <v>24.15</v>
      </c>
      <c r="D27" s="2">
        <v>1.82</v>
      </c>
      <c r="E27" s="2">
        <v>6.42</v>
      </c>
      <c r="F27" s="2">
        <v>9.6300000000000008</v>
      </c>
      <c r="G27" s="2">
        <v>6.22</v>
      </c>
      <c r="H27" s="2">
        <f t="shared" si="0"/>
        <v>0.91940387823792713</v>
      </c>
      <c r="I27" s="2">
        <f t="shared" si="1"/>
        <v>0.37441925964257849</v>
      </c>
      <c r="J27" s="2">
        <v>0.18</v>
      </c>
      <c r="K27" s="2">
        <v>10.050000000000001</v>
      </c>
      <c r="L27" s="2">
        <v>21.62</v>
      </c>
      <c r="M27" s="2">
        <v>8.0299999999999994</v>
      </c>
      <c r="N27" s="2">
        <v>0</v>
      </c>
      <c r="O27" s="2">
        <v>15.56</v>
      </c>
      <c r="P27" s="2">
        <f t="shared" si="2"/>
        <v>0.43311795390420033</v>
      </c>
      <c r="Q27" s="2">
        <f t="shared" si="3"/>
        <v>0.73721067932423434</v>
      </c>
      <c r="R27" s="2">
        <f t="shared" si="4"/>
        <v>-0.4862859243337268</v>
      </c>
      <c r="S27">
        <f t="shared" si="5"/>
        <v>0.47108562858608727</v>
      </c>
      <c r="U27">
        <v>4.9932214673689383</v>
      </c>
    </row>
    <row r="28" spans="1:21" ht="13.9" x14ac:dyDescent="0.3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ht="13.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0.42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>
        <f t="shared" si="3"/>
        <v>0.37390096630005903</v>
      </c>
      <c r="R29" s="2" t="e">
        <f t="shared" si="4"/>
        <v>#DIV/0!</v>
      </c>
      <c r="S29" t="e">
        <f t="shared" si="5"/>
        <v>#DIV/0!</v>
      </c>
      <c r="U29">
        <v>-1.2515387669959643</v>
      </c>
    </row>
    <row r="30" spans="1:21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 t="e">
        <f t="shared" si="0"/>
        <v>#NUM!</v>
      </c>
      <c r="I30" s="2">
        <f t="shared" si="1"/>
        <v>0.37390096630005903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0.14000000000000001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ht="13.9" x14ac:dyDescent="0.3">
      <c r="A31" s="2" t="s">
        <v>48</v>
      </c>
      <c r="B31" s="2">
        <v>4.6100000000000003</v>
      </c>
      <c r="C31" s="2">
        <v>18.3</v>
      </c>
      <c r="D31" s="2">
        <v>12.02</v>
      </c>
      <c r="E31" s="2">
        <v>14.51</v>
      </c>
      <c r="F31" s="2">
        <v>9.23</v>
      </c>
      <c r="G31" s="2">
        <v>7.59</v>
      </c>
      <c r="H31" s="2">
        <f t="shared" si="0"/>
        <v>0.15692187302381091</v>
      </c>
      <c r="I31" s="2">
        <f t="shared" si="1"/>
        <v>0.80177458226550069</v>
      </c>
      <c r="J31" s="2">
        <v>17.25</v>
      </c>
      <c r="K31" s="2">
        <v>30.56</v>
      </c>
      <c r="L31" s="2">
        <v>56.81</v>
      </c>
      <c r="M31" s="2">
        <v>8.23</v>
      </c>
      <c r="N31" s="2">
        <v>0</v>
      </c>
      <c r="O31" s="2">
        <v>9.8800000000000008</v>
      </c>
      <c r="P31" s="2">
        <f t="shared" si="2"/>
        <v>2.5303002237278287</v>
      </c>
      <c r="Q31" s="2">
        <f t="shared" si="3"/>
        <v>7.4381569235697123E-2</v>
      </c>
      <c r="R31" s="2">
        <f t="shared" si="4"/>
        <v>2.3733783507040176</v>
      </c>
      <c r="S31">
        <f t="shared" si="5"/>
        <v>16.124585916355251</v>
      </c>
      <c r="U31">
        <v>6.7090148649032724</v>
      </c>
    </row>
    <row r="32" spans="1:21" ht="13.9" x14ac:dyDescent="0.3">
      <c r="A32" s="2" t="s">
        <v>49</v>
      </c>
      <c r="B32" s="2">
        <v>136.13</v>
      </c>
      <c r="C32" s="2">
        <v>222.01</v>
      </c>
      <c r="D32" s="2">
        <v>221.76</v>
      </c>
      <c r="E32" s="2">
        <v>311.14999999999998</v>
      </c>
      <c r="F32" s="2">
        <v>371.44</v>
      </c>
      <c r="G32" s="2">
        <v>331.33</v>
      </c>
      <c r="H32" s="2">
        <f t="shared" si="0"/>
        <v>-0.80606778237409549</v>
      </c>
      <c r="I32" s="2">
        <f t="shared" si="1"/>
        <v>1.2627845034164803E-2</v>
      </c>
      <c r="J32" s="2">
        <v>162.41</v>
      </c>
      <c r="K32" s="2">
        <v>242.14</v>
      </c>
      <c r="L32" s="2">
        <v>400.69</v>
      </c>
      <c r="M32" s="2">
        <v>277.29000000000002</v>
      </c>
      <c r="N32" s="2">
        <v>1471.55</v>
      </c>
      <c r="O32" s="2">
        <v>599.73</v>
      </c>
      <c r="P32" s="2">
        <f t="shared" si="2"/>
        <v>-1.544291849801394</v>
      </c>
      <c r="Q32" s="2">
        <f t="shared" si="3"/>
        <v>0.22993284075820261</v>
      </c>
      <c r="R32" s="2">
        <f t="shared" si="4"/>
        <v>-0.73822406742729851</v>
      </c>
      <c r="S32">
        <f t="shared" si="5"/>
        <v>1.9158337345440377</v>
      </c>
      <c r="U32">
        <v>9.6532750291580527</v>
      </c>
    </row>
    <row r="33" spans="1:21" ht="13.9" x14ac:dyDescent="0.3">
      <c r="A33" s="2" t="s">
        <v>50</v>
      </c>
      <c r="B33" s="2">
        <v>124.26</v>
      </c>
      <c r="C33" s="2">
        <v>74.900000000000006</v>
      </c>
      <c r="D33" s="2">
        <v>84.66</v>
      </c>
      <c r="E33" s="2">
        <v>50.05</v>
      </c>
      <c r="F33" s="2">
        <v>34.76</v>
      </c>
      <c r="G33" s="2">
        <v>52.9</v>
      </c>
      <c r="H33" s="2">
        <f t="shared" si="0"/>
        <v>1.0433429291065459</v>
      </c>
      <c r="I33" s="2">
        <f t="shared" si="1"/>
        <v>3.9031563421113753E-2</v>
      </c>
      <c r="J33" s="2">
        <v>18.5</v>
      </c>
      <c r="K33" s="2">
        <v>50.23</v>
      </c>
      <c r="L33" s="2">
        <v>94.01</v>
      </c>
      <c r="M33" s="2">
        <v>51.34</v>
      </c>
      <c r="N33" s="2">
        <v>40.880000000000003</v>
      </c>
      <c r="O33" s="2">
        <v>40.880000000000003</v>
      </c>
      <c r="P33" s="2">
        <f t="shared" si="2"/>
        <v>0.29005832456106734</v>
      </c>
      <c r="Q33" s="2">
        <f t="shared" si="3"/>
        <v>0.678857294467063</v>
      </c>
      <c r="R33" s="2">
        <f t="shared" si="4"/>
        <v>-0.75328460454547863</v>
      </c>
      <c r="S33">
        <f t="shared" si="5"/>
        <v>0.27800861679242439</v>
      </c>
      <c r="U33">
        <v>7.3464250855855964</v>
      </c>
    </row>
    <row r="34" spans="1:21" ht="13.9" x14ac:dyDescent="0.3">
      <c r="A34" s="2" t="s">
        <v>51</v>
      </c>
      <c r="B34" s="2">
        <v>0</v>
      </c>
      <c r="C34" s="2">
        <v>0.24</v>
      </c>
      <c r="D34" s="2">
        <v>0</v>
      </c>
      <c r="E34" s="2">
        <v>0.3</v>
      </c>
      <c r="F34" s="2">
        <v>0</v>
      </c>
      <c r="G34" s="2">
        <v>0.21</v>
      </c>
      <c r="H34" s="2">
        <f t="shared" si="0"/>
        <v>-1.0874628412503395</v>
      </c>
      <c r="I34" s="2">
        <f t="shared" si="1"/>
        <v>0.4935479542016441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e">
        <f t="shared" si="2"/>
        <v>#DIV/0!</v>
      </c>
      <c r="Q34" s="2" t="e">
        <f t="shared" si="3"/>
        <v>#DIV/0!</v>
      </c>
      <c r="R34" s="2" t="e">
        <f t="shared" si="4"/>
        <v>#DIV/0!</v>
      </c>
      <c r="S34" t="e">
        <f t="shared" si="5"/>
        <v>#DIV/0!</v>
      </c>
      <c r="U34" t="e">
        <v>#NUM!</v>
      </c>
    </row>
    <row r="35" spans="1:21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 t="e">
        <f t="shared" si="0"/>
        <v>#NUM!</v>
      </c>
      <c r="I35" s="2">
        <f t="shared" si="1"/>
        <v>0.37390096630005903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e">
        <f t="shared" si="2"/>
        <v>#DIV/0!</v>
      </c>
      <c r="Q35" s="2" t="e">
        <f t="shared" si="3"/>
        <v>#DIV/0!</v>
      </c>
      <c r="R35" s="2" t="e">
        <f t="shared" si="4"/>
        <v>#DIV/0!</v>
      </c>
      <c r="S35" t="e">
        <f t="shared" si="5"/>
        <v>#DIV/0!</v>
      </c>
      <c r="U35" t="e">
        <v>#NUM!</v>
      </c>
    </row>
    <row r="36" spans="1:21" ht="13.9" x14ac:dyDescent="0.3">
      <c r="A36" s="2" t="s">
        <v>53</v>
      </c>
      <c r="B36" s="2">
        <v>605.16999999999996</v>
      </c>
      <c r="C36" s="2">
        <v>1179.8</v>
      </c>
      <c r="D36" s="2">
        <v>767.95</v>
      </c>
      <c r="E36" s="2">
        <v>1741.24</v>
      </c>
      <c r="F36" s="2">
        <v>2357.65</v>
      </c>
      <c r="G36" s="2">
        <v>2223.12</v>
      </c>
      <c r="H36" s="2">
        <f t="shared" si="0"/>
        <v>-1.3082349880622597</v>
      </c>
      <c r="I36" s="2">
        <f t="shared" si="1"/>
        <v>7.7261198896088996E-3</v>
      </c>
      <c r="J36" s="2">
        <v>862.16</v>
      </c>
      <c r="K36" s="2">
        <v>867.68</v>
      </c>
      <c r="L36" s="2">
        <v>733</v>
      </c>
      <c r="M36" s="2">
        <v>1919.2</v>
      </c>
      <c r="N36" s="2">
        <v>940.16</v>
      </c>
      <c r="O36" s="2">
        <v>1941.56</v>
      </c>
      <c r="P36" s="2">
        <f t="shared" si="2"/>
        <v>-0.96298799062620144</v>
      </c>
      <c r="Q36" s="2">
        <f t="shared" si="3"/>
        <v>7.9375988125644753E-2</v>
      </c>
      <c r="R36" s="2">
        <f t="shared" si="4"/>
        <v>0.34524699743605824</v>
      </c>
      <c r="S36">
        <f t="shared" si="5"/>
        <v>0.73609710748721568</v>
      </c>
      <c r="U36">
        <v>11.266107189923067</v>
      </c>
    </row>
    <row r="37" spans="1:21" ht="13.9" x14ac:dyDescent="0.3">
      <c r="A37" s="2" t="s">
        <v>54</v>
      </c>
      <c r="B37" s="2">
        <v>19.78</v>
      </c>
      <c r="C37" s="2">
        <v>0</v>
      </c>
      <c r="D37" s="2">
        <v>25.85</v>
      </c>
      <c r="E37" s="2">
        <v>21.91</v>
      </c>
      <c r="F37" s="2">
        <v>26.74</v>
      </c>
      <c r="G37" s="2">
        <v>20.87</v>
      </c>
      <c r="H37" s="2">
        <f t="shared" si="0"/>
        <v>-0.60744542836874704</v>
      </c>
      <c r="I37" s="2">
        <f t="shared" si="1"/>
        <v>0.37646554129557014</v>
      </c>
      <c r="J37" s="2">
        <v>0</v>
      </c>
      <c r="K37" s="2">
        <v>9</v>
      </c>
      <c r="L37" s="2">
        <v>0.5</v>
      </c>
      <c r="M37" s="2">
        <v>18.52</v>
      </c>
      <c r="N37" s="2">
        <v>0</v>
      </c>
      <c r="O37" s="2">
        <v>22.2</v>
      </c>
      <c r="P37" s="2">
        <f t="shared" si="2"/>
        <v>-2.0997381428573849</v>
      </c>
      <c r="Q37" s="2">
        <f t="shared" si="3"/>
        <v>0.23571138058436067</v>
      </c>
      <c r="R37" s="2">
        <f t="shared" si="4"/>
        <v>-1.492292714488638</v>
      </c>
      <c r="S37">
        <f t="shared" si="5"/>
        <v>3.4566695949891129</v>
      </c>
      <c r="U37">
        <v>3.2479275134435857</v>
      </c>
    </row>
    <row r="38" spans="1:21" ht="13.9" x14ac:dyDescent="0.3">
      <c r="A38" s="2" t="s">
        <v>55</v>
      </c>
      <c r="B38" s="2">
        <v>13.18</v>
      </c>
      <c r="C38" s="2">
        <v>21.96</v>
      </c>
      <c r="D38" s="2">
        <v>9.4700000000000006</v>
      </c>
      <c r="E38" s="2">
        <v>37.61</v>
      </c>
      <c r="F38" s="2">
        <v>34.630000000000003</v>
      </c>
      <c r="G38" s="2">
        <v>26.14</v>
      </c>
      <c r="H38" s="2">
        <f t="shared" si="0"/>
        <v>-1.1409979069497536</v>
      </c>
      <c r="I38" s="2">
        <f t="shared" si="1"/>
        <v>2.3843429277867787E-2</v>
      </c>
      <c r="J38" s="2">
        <v>0</v>
      </c>
      <c r="K38" s="2">
        <v>11.09</v>
      </c>
      <c r="L38" s="2">
        <v>0.5</v>
      </c>
      <c r="M38" s="2">
        <v>27.88</v>
      </c>
      <c r="N38" s="2">
        <v>40.880000000000003</v>
      </c>
      <c r="O38" s="2">
        <v>27.2</v>
      </c>
      <c r="P38" s="2">
        <f t="shared" si="2"/>
        <v>-3.0495525912869632</v>
      </c>
      <c r="Q38" s="2">
        <f t="shared" si="3"/>
        <v>8.0212352777543645E-3</v>
      </c>
      <c r="R38" s="2">
        <f t="shared" si="4"/>
        <v>-1.9085546843372097</v>
      </c>
      <c r="S38">
        <f t="shared" si="5"/>
        <v>2.6727065603821982</v>
      </c>
      <c r="U38">
        <v>3.5348086612317471</v>
      </c>
    </row>
    <row r="39" spans="1:21" ht="13.9" x14ac:dyDescent="0.3">
      <c r="A39" s="2" t="s">
        <v>56</v>
      </c>
      <c r="B39" s="2">
        <v>0</v>
      </c>
      <c r="C39" s="2">
        <v>12.2</v>
      </c>
      <c r="D39" s="2">
        <v>0.18</v>
      </c>
      <c r="E39" s="2">
        <v>1.58</v>
      </c>
      <c r="F39" s="2">
        <v>1.74</v>
      </c>
      <c r="G39" s="2">
        <v>1.58</v>
      </c>
      <c r="H39" s="2">
        <f t="shared" si="0"/>
        <v>1.3371576602116939</v>
      </c>
      <c r="I39" s="2">
        <f t="shared" si="1"/>
        <v>0.57028437000971732</v>
      </c>
      <c r="J39" s="2">
        <v>0</v>
      </c>
      <c r="K39" s="2">
        <v>0</v>
      </c>
      <c r="L39" s="2">
        <v>25.14</v>
      </c>
      <c r="M39" s="2">
        <v>1.23</v>
      </c>
      <c r="N39" s="2">
        <v>0</v>
      </c>
      <c r="O39" s="2">
        <v>3.38</v>
      </c>
      <c r="P39" s="2">
        <f t="shared" si="2"/>
        <v>2.4471459939911702</v>
      </c>
      <c r="Q39" s="2">
        <f t="shared" si="3"/>
        <v>0.46285483888094681</v>
      </c>
      <c r="R39" s="2">
        <f t="shared" si="4"/>
        <v>1.1099883337794763</v>
      </c>
      <c r="S39">
        <f t="shared" si="5"/>
        <v>1.830110290512599</v>
      </c>
      <c r="U39">
        <v>4.6519127446457835</v>
      </c>
    </row>
    <row r="40" spans="1:21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0.62</v>
      </c>
      <c r="N40" s="2">
        <v>0</v>
      </c>
      <c r="O40" s="2">
        <v>0</v>
      </c>
      <c r="P40" s="2" t="e">
        <f t="shared" si="2"/>
        <v>#NUM!</v>
      </c>
      <c r="Q40" s="2">
        <f t="shared" si="3"/>
        <v>0.37390096630005903</v>
      </c>
      <c r="R40" s="2" t="e">
        <f t="shared" si="4"/>
        <v>#NUM!</v>
      </c>
      <c r="S40" t="e">
        <f t="shared" si="5"/>
        <v>#NUM!</v>
      </c>
      <c r="U40" t="e">
        <v>#NUM!</v>
      </c>
    </row>
    <row r="41" spans="1:21" ht="13.9" x14ac:dyDescent="0.3">
      <c r="A41" s="2" t="s">
        <v>58</v>
      </c>
      <c r="B41" s="2">
        <v>0</v>
      </c>
      <c r="C41" s="2">
        <v>0</v>
      </c>
      <c r="D41" s="2">
        <v>8.19</v>
      </c>
      <c r="E41" s="2">
        <v>1.28</v>
      </c>
      <c r="F41" s="2">
        <v>1.34</v>
      </c>
      <c r="G41" s="2">
        <v>1.37</v>
      </c>
      <c r="H41" s="2">
        <f t="shared" si="0"/>
        <v>1.0374747054186626</v>
      </c>
      <c r="I41" s="2">
        <f t="shared" si="1"/>
        <v>0.6351135544253047</v>
      </c>
      <c r="J41" s="2">
        <v>3.59</v>
      </c>
      <c r="K41" s="2">
        <v>0</v>
      </c>
      <c r="L41" s="2">
        <v>0</v>
      </c>
      <c r="M41" s="2">
        <v>0.51</v>
      </c>
      <c r="N41" s="2">
        <v>0</v>
      </c>
      <c r="O41" s="2">
        <v>1.62</v>
      </c>
      <c r="P41" s="2">
        <f t="shared" si="2"/>
        <v>0.75313041359721322</v>
      </c>
      <c r="Q41" s="2">
        <f t="shared" si="3"/>
        <v>0.72487764501697605</v>
      </c>
      <c r="R41" s="2">
        <f t="shared" si="4"/>
        <v>-0.28434429182144938</v>
      </c>
      <c r="S41">
        <f t="shared" si="5"/>
        <v>0.72592653070350754</v>
      </c>
      <c r="U41">
        <v>1.8439838440483267</v>
      </c>
    </row>
    <row r="42" spans="1:21" ht="13.9" x14ac:dyDescent="0.3">
      <c r="A42" s="2" t="s">
        <v>59</v>
      </c>
      <c r="B42" s="2">
        <v>0.33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f t="shared" si="0"/>
        <v>-2.1650592462704963</v>
      </c>
      <c r="I42" s="2">
        <f t="shared" si="1"/>
        <v>0.4904394858565102</v>
      </c>
      <c r="J42" s="2">
        <v>11.14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e">
        <f t="shared" si="2"/>
        <v>#DIV/0!</v>
      </c>
      <c r="Q42" s="2">
        <f t="shared" si="3"/>
        <v>0.37390096630005903</v>
      </c>
      <c r="R42" s="2" t="e">
        <f t="shared" si="4"/>
        <v>#DIV/0!</v>
      </c>
      <c r="S42" t="e">
        <f t="shared" si="5"/>
        <v>#DIV/0!</v>
      </c>
      <c r="U42">
        <v>3.4776773275653072</v>
      </c>
    </row>
    <row r="43" spans="1:21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 t="e">
        <f t="shared" si="0"/>
        <v>#NUM!</v>
      </c>
      <c r="I43" s="2">
        <f t="shared" si="1"/>
        <v>0.17928803003973173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e">
        <f t="shared" si="2"/>
        <v>#DIV/0!</v>
      </c>
      <c r="Q43" s="2" t="e">
        <f t="shared" si="3"/>
        <v>#DIV/0!</v>
      </c>
      <c r="R43" s="2" t="e">
        <f t="shared" si="4"/>
        <v>#DIV/0!</v>
      </c>
      <c r="S43" t="e">
        <f t="shared" si="5"/>
        <v>#DIV/0!</v>
      </c>
      <c r="U43" t="e">
        <v>#NUM!</v>
      </c>
    </row>
    <row r="44" spans="1:21" ht="13.9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 t="e">
        <f t="shared" si="1"/>
        <v>#DIV/0!</v>
      </c>
      <c r="J44" s="2">
        <v>0</v>
      </c>
      <c r="K44" s="2">
        <v>0</v>
      </c>
      <c r="L44" s="2">
        <v>0</v>
      </c>
      <c r="M44" s="2">
        <v>0</v>
      </c>
      <c r="N44" s="2">
        <v>122.63</v>
      </c>
      <c r="O44" s="2">
        <v>0</v>
      </c>
      <c r="P44" s="2" t="e">
        <f t="shared" si="2"/>
        <v>#NUM!</v>
      </c>
      <c r="Q44" s="2">
        <f t="shared" si="3"/>
        <v>0.37390096630005903</v>
      </c>
      <c r="R44" s="2" t="e">
        <f t="shared" si="4"/>
        <v>#NUM!</v>
      </c>
      <c r="S44" t="e">
        <f t="shared" si="5"/>
        <v>#NUM!</v>
      </c>
      <c r="U44" t="e">
        <v>#NUM!</v>
      </c>
    </row>
    <row r="45" spans="1:21" ht="13.9" x14ac:dyDescent="0.3">
      <c r="A45" s="2" t="s">
        <v>62</v>
      </c>
      <c r="B45" s="2">
        <v>52.41</v>
      </c>
      <c r="C45" s="2">
        <v>15.13</v>
      </c>
      <c r="D45" s="2">
        <v>46.24</v>
      </c>
      <c r="E45" s="2">
        <v>11.45</v>
      </c>
      <c r="F45" s="2">
        <v>3.21</v>
      </c>
      <c r="G45" s="2">
        <v>4.1100000000000003</v>
      </c>
      <c r="H45" s="2">
        <f t="shared" si="0"/>
        <v>2.5997464308638869</v>
      </c>
      <c r="I45" s="2">
        <f t="shared" si="1"/>
        <v>5.5371363216619646E-2</v>
      </c>
      <c r="J45" s="2">
        <v>33.6</v>
      </c>
      <c r="K45" s="2">
        <v>63.2</v>
      </c>
      <c r="L45" s="2">
        <v>276.01</v>
      </c>
      <c r="M45" s="2">
        <v>6.38</v>
      </c>
      <c r="N45" s="2">
        <v>1675.93</v>
      </c>
      <c r="O45" s="2">
        <v>6.5</v>
      </c>
      <c r="P45" s="2">
        <f t="shared" si="2"/>
        <v>-2.1794945630081788</v>
      </c>
      <c r="Q45" s="2">
        <f t="shared" si="3"/>
        <v>0.47846707300991986</v>
      </c>
      <c r="R45" s="2">
        <f t="shared" si="4"/>
        <v>-4.7792409938720652</v>
      </c>
      <c r="S45">
        <f t="shared" si="5"/>
        <v>-0.83834890092874947</v>
      </c>
      <c r="U45">
        <v>8.5422967481492087</v>
      </c>
    </row>
    <row r="46" spans="1:21" ht="13.9" x14ac:dyDescent="0.3">
      <c r="A46" s="2" t="s">
        <v>63</v>
      </c>
      <c r="B46" s="2">
        <v>0</v>
      </c>
      <c r="C46" s="2">
        <v>5.37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0</v>
      </c>
      <c r="L46" s="2">
        <v>12.57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3.6519127446457831</v>
      </c>
    </row>
    <row r="47" spans="1:21" ht="13.9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ht="13.9" x14ac:dyDescent="0.3">
      <c r="A48" s="2" t="s">
        <v>65</v>
      </c>
      <c r="B48" s="2">
        <v>0</v>
      </c>
      <c r="C48" s="2">
        <v>0</v>
      </c>
      <c r="D48" s="2">
        <v>0.18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>
        <f t="shared" si="1"/>
        <v>0.37390096630005903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 t="e">
        <f t="shared" si="3"/>
        <v>#DIV/0!</v>
      </c>
      <c r="R48" s="2" t="e">
        <f t="shared" si="4"/>
        <v>#DIV/0!</v>
      </c>
      <c r="S48" t="e">
        <f t="shared" si="5"/>
        <v>#DIV/0!</v>
      </c>
      <c r="U48" t="e">
        <v>#NUM!</v>
      </c>
    </row>
    <row r="49" spans="1:21" ht="13.9" x14ac:dyDescent="0.3">
      <c r="A49" s="2" t="s">
        <v>66</v>
      </c>
      <c r="B49" s="2">
        <v>0</v>
      </c>
      <c r="C49" s="2">
        <v>19.760000000000002</v>
      </c>
      <c r="D49" s="2">
        <v>0</v>
      </c>
      <c r="E49" s="2">
        <v>15.5</v>
      </c>
      <c r="F49" s="2">
        <v>131.83000000000001</v>
      </c>
      <c r="G49" s="2">
        <v>28.77</v>
      </c>
      <c r="H49" s="2">
        <f t="shared" si="0"/>
        <v>-3.1557400571338929</v>
      </c>
      <c r="I49" s="2">
        <f t="shared" si="1"/>
        <v>0.23541824328322147</v>
      </c>
      <c r="J49" s="2">
        <v>14.37</v>
      </c>
      <c r="K49" s="2">
        <v>20.93</v>
      </c>
      <c r="L49" s="2">
        <v>1.01</v>
      </c>
      <c r="M49" s="2">
        <v>26.44</v>
      </c>
      <c r="N49" s="2">
        <v>0</v>
      </c>
      <c r="O49" s="2">
        <v>182.31</v>
      </c>
      <c r="P49" s="2">
        <f t="shared" si="2"/>
        <v>-2.5233373623359325</v>
      </c>
      <c r="Q49" s="2">
        <f t="shared" si="3"/>
        <v>0.3716465475391254</v>
      </c>
      <c r="R49" s="2">
        <f t="shared" si="4"/>
        <v>0.63240269479796041</v>
      </c>
      <c r="S49">
        <f t="shared" si="5"/>
        <v>0.79960241231899143</v>
      </c>
      <c r="U49">
        <v>5.1822950250254829</v>
      </c>
    </row>
    <row r="50" spans="1:21" ht="13.9" x14ac:dyDescent="0.3">
      <c r="A50" s="2" t="s">
        <v>67</v>
      </c>
      <c r="B50" s="2">
        <v>0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0.41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 t="e">
        <f t="shared" si="0"/>
        <v>#NUM!</v>
      </c>
      <c r="I51" s="2">
        <f t="shared" si="1"/>
        <v>0.37390096630005903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0.14000000000000001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ht="13.9" x14ac:dyDescent="0.3">
      <c r="A52" s="2" t="s">
        <v>69</v>
      </c>
      <c r="B52" s="2">
        <v>22.41</v>
      </c>
      <c r="C52" s="2">
        <v>12.69</v>
      </c>
      <c r="D52" s="2">
        <v>25.85</v>
      </c>
      <c r="E52" s="2">
        <v>34.450000000000003</v>
      </c>
      <c r="F52" s="2">
        <v>48.4</v>
      </c>
      <c r="G52" s="2">
        <v>50.16</v>
      </c>
      <c r="H52" s="2">
        <f t="shared" si="0"/>
        <v>-1.1258365890019453</v>
      </c>
      <c r="I52" s="2">
        <f t="shared" si="1"/>
        <v>1.9312366133656125E-2</v>
      </c>
      <c r="J52" s="2">
        <v>60.36</v>
      </c>
      <c r="K52" s="2">
        <v>58.81</v>
      </c>
      <c r="L52" s="2">
        <v>44.74</v>
      </c>
      <c r="M52" s="2">
        <v>52.78</v>
      </c>
      <c r="N52" s="2">
        <v>40.880000000000003</v>
      </c>
      <c r="O52" s="2">
        <v>41.15</v>
      </c>
      <c r="P52" s="2">
        <f t="shared" si="2"/>
        <v>0.28197635722965025</v>
      </c>
      <c r="Q52" s="2">
        <f t="shared" si="3"/>
        <v>0.20020682065315892</v>
      </c>
      <c r="R52" s="2">
        <f t="shared" si="4"/>
        <v>1.4078129462315956</v>
      </c>
      <c r="S52">
        <f t="shared" si="5"/>
        <v>-0.25045940057750515</v>
      </c>
      <c r="U52">
        <v>7.3567600644092437</v>
      </c>
    </row>
    <row r="53" spans="1:21" ht="13.9" x14ac:dyDescent="0.3">
      <c r="A53" s="2" t="s">
        <v>70</v>
      </c>
      <c r="B53" s="2">
        <v>0.33</v>
      </c>
      <c r="C53" s="2">
        <v>11.22</v>
      </c>
      <c r="D53" s="2">
        <v>8.56</v>
      </c>
      <c r="E53" s="2">
        <v>0</v>
      </c>
      <c r="F53" s="2">
        <v>2.81</v>
      </c>
      <c r="G53" s="2">
        <v>2</v>
      </c>
      <c r="H53" s="2">
        <f t="shared" si="0"/>
        <v>2.06380428253531</v>
      </c>
      <c r="I53" s="2">
        <f t="shared" si="1"/>
        <v>0.20610990674349255</v>
      </c>
      <c r="J53" s="2">
        <v>0</v>
      </c>
      <c r="K53" s="2">
        <v>0</v>
      </c>
      <c r="L53" s="2">
        <v>0</v>
      </c>
      <c r="M53" s="2">
        <v>3.81</v>
      </c>
      <c r="N53" s="2">
        <v>0</v>
      </c>
      <c r="O53" s="2">
        <v>1.76</v>
      </c>
      <c r="P53" s="2" t="e">
        <f t="shared" si="2"/>
        <v>#NUM!</v>
      </c>
      <c r="Q53" s="2">
        <f t="shared" si="3"/>
        <v>0.16698118510481685</v>
      </c>
      <c r="R53" s="2" t="e">
        <f t="shared" si="4"/>
        <v>#NUM!</v>
      </c>
      <c r="S53" t="e">
        <f t="shared" si="5"/>
        <v>#NUM!</v>
      </c>
      <c r="U53" t="e">
        <v>#NUM!</v>
      </c>
    </row>
    <row r="54" spans="1:21" ht="13.9" x14ac:dyDescent="0.3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ht="13.9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0.27</v>
      </c>
      <c r="G55" s="2">
        <v>0.11</v>
      </c>
      <c r="H55" s="2" t="e">
        <f t="shared" si="0"/>
        <v>#NUM!</v>
      </c>
      <c r="I55" s="2">
        <f t="shared" si="1"/>
        <v>0.18141514163843797</v>
      </c>
      <c r="J55" s="2">
        <v>0</v>
      </c>
      <c r="K55" s="2">
        <v>0</v>
      </c>
      <c r="L55" s="2">
        <v>0</v>
      </c>
      <c r="M55" s="2">
        <v>0.31</v>
      </c>
      <c r="N55" s="2">
        <v>0</v>
      </c>
      <c r="O55" s="2">
        <v>0</v>
      </c>
      <c r="P55" s="2" t="e">
        <f t="shared" si="2"/>
        <v>#NUM!</v>
      </c>
      <c r="Q55" s="2">
        <f t="shared" si="3"/>
        <v>0.37390096630005903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ht="13.9" x14ac:dyDescent="0.3">
      <c r="A56" s="2" t="s">
        <v>73</v>
      </c>
      <c r="B56" s="2">
        <v>77.13</v>
      </c>
      <c r="C56" s="2">
        <v>92.46</v>
      </c>
      <c r="D56" s="2">
        <v>38.78</v>
      </c>
      <c r="E56" s="2">
        <v>63.28</v>
      </c>
      <c r="F56" s="2">
        <v>76.08</v>
      </c>
      <c r="G56" s="2">
        <v>67.97</v>
      </c>
      <c r="H56" s="2">
        <f t="shared" si="0"/>
        <v>7.2186960446899004E-3</v>
      </c>
      <c r="I56" s="2">
        <f t="shared" si="1"/>
        <v>0.98414389037345162</v>
      </c>
      <c r="J56" s="2">
        <v>31.26</v>
      </c>
      <c r="K56" s="2">
        <v>54.62</v>
      </c>
      <c r="L56" s="2">
        <v>129.71</v>
      </c>
      <c r="M56" s="2">
        <v>45.68</v>
      </c>
      <c r="N56" s="2">
        <v>40.880000000000003</v>
      </c>
      <c r="O56" s="2">
        <v>49.4</v>
      </c>
      <c r="P56" s="2">
        <f t="shared" si="2"/>
        <v>0.66510799419190647</v>
      </c>
      <c r="Q56" s="2">
        <f t="shared" si="3"/>
        <v>0.42343379205848997</v>
      </c>
      <c r="R56" s="2">
        <f t="shared" si="4"/>
        <v>0.65788929814721653</v>
      </c>
      <c r="S56">
        <f t="shared" si="5"/>
        <v>92.136861016770808</v>
      </c>
      <c r="U56">
        <v>7.752146450958854</v>
      </c>
    </row>
    <row r="57" spans="1:21" ht="13.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0.18</v>
      </c>
      <c r="K57" s="2">
        <v>0</v>
      </c>
      <c r="L57" s="2">
        <v>0</v>
      </c>
      <c r="M57" s="2">
        <v>0</v>
      </c>
      <c r="N57" s="2">
        <v>0</v>
      </c>
      <c r="O57" s="2">
        <v>0.14000000000000001</v>
      </c>
      <c r="P57" s="2">
        <f t="shared" si="2"/>
        <v>0.36257007938470814</v>
      </c>
      <c r="Q57" s="2">
        <f t="shared" si="3"/>
        <v>0.86927786633163096</v>
      </c>
      <c r="R57" s="2" t="e">
        <f t="shared" si="4"/>
        <v>#DIV/0!</v>
      </c>
      <c r="S57" t="e">
        <f t="shared" si="5"/>
        <v>#DIV/0!</v>
      </c>
      <c r="U57">
        <v>-2.4739311883324122</v>
      </c>
    </row>
    <row r="58" spans="1:21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 t="e">
        <f t="shared" si="0"/>
        <v>#NUM!</v>
      </c>
      <c r="I58" s="2">
        <f t="shared" si="1"/>
        <v>0.37390096630005903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e">
        <f t="shared" si="2"/>
        <v>#DIV/0!</v>
      </c>
      <c r="Q58" s="2" t="e">
        <f t="shared" si="3"/>
        <v>#DIV/0!</v>
      </c>
      <c r="R58" s="2" t="e">
        <f t="shared" si="4"/>
        <v>#DIV/0!</v>
      </c>
      <c r="S58" t="e">
        <f t="shared" si="5"/>
        <v>#DIV/0!</v>
      </c>
      <c r="U58" t="e">
        <v>#NUM!</v>
      </c>
    </row>
    <row r="59" spans="1:21" ht="13.9" x14ac:dyDescent="0.3">
      <c r="A59" s="2" t="s">
        <v>76</v>
      </c>
      <c r="B59" s="2">
        <v>0</v>
      </c>
      <c r="C59" s="2">
        <v>14.64</v>
      </c>
      <c r="D59" s="2">
        <v>0</v>
      </c>
      <c r="E59" s="2">
        <v>6.22</v>
      </c>
      <c r="F59" s="2">
        <v>3.21</v>
      </c>
      <c r="G59" s="2">
        <v>4.95</v>
      </c>
      <c r="H59" s="2">
        <f t="shared" si="0"/>
        <v>2.5851877844744801E-2</v>
      </c>
      <c r="I59" s="2">
        <f t="shared" si="1"/>
        <v>0.98688905091376777</v>
      </c>
      <c r="J59" s="2">
        <v>6.11</v>
      </c>
      <c r="K59" s="2">
        <v>0</v>
      </c>
      <c r="L59" s="2">
        <v>27.65</v>
      </c>
      <c r="M59" s="2">
        <v>5.14</v>
      </c>
      <c r="N59" s="2">
        <v>0</v>
      </c>
      <c r="O59" s="2">
        <v>3.11</v>
      </c>
      <c r="P59" s="2">
        <f t="shared" si="2"/>
        <v>2.032848879574007</v>
      </c>
      <c r="Q59" s="2">
        <f t="shared" si="3"/>
        <v>0.37464493741162036</v>
      </c>
      <c r="R59" s="2">
        <f t="shared" si="4"/>
        <v>2.0069970017292622</v>
      </c>
      <c r="S59">
        <f t="shared" si="5"/>
        <v>78.634476450121667</v>
      </c>
      <c r="U59">
        <v>5.0772429989324603</v>
      </c>
    </row>
    <row r="60" spans="1:21" ht="13.9" x14ac:dyDescent="0.3">
      <c r="A60" s="2" t="s">
        <v>77</v>
      </c>
      <c r="B60" s="2">
        <v>0.66</v>
      </c>
      <c r="C60" s="2">
        <v>17.57</v>
      </c>
      <c r="D60" s="2">
        <v>0.91</v>
      </c>
      <c r="E60" s="2">
        <v>0.79</v>
      </c>
      <c r="F60" s="2">
        <v>0.4</v>
      </c>
      <c r="G60" s="2">
        <v>2.5299999999999998</v>
      </c>
      <c r="H60" s="2">
        <f t="shared" si="0"/>
        <v>2.3632163033779943</v>
      </c>
      <c r="I60" s="2">
        <f t="shared" si="1"/>
        <v>0.41318575471144003</v>
      </c>
      <c r="J60" s="2">
        <v>2.52</v>
      </c>
      <c r="K60" s="2">
        <v>1.05</v>
      </c>
      <c r="L60" s="2">
        <v>1.51</v>
      </c>
      <c r="M60" s="2">
        <v>1.03</v>
      </c>
      <c r="N60" s="2">
        <v>531.39</v>
      </c>
      <c r="O60" s="2">
        <v>0</v>
      </c>
      <c r="P60" s="2">
        <f t="shared" si="2"/>
        <v>-6.7115924589160301</v>
      </c>
      <c r="Q60" s="2">
        <f t="shared" si="3"/>
        <v>0.37677118818203398</v>
      </c>
      <c r="R60" s="2">
        <f t="shared" si="4"/>
        <v>-9.0748087622940243</v>
      </c>
      <c r="S60">
        <f t="shared" si="5"/>
        <v>-2.8400246093945962</v>
      </c>
      <c r="U60">
        <v>2.3448284969974416</v>
      </c>
    </row>
    <row r="61" spans="1:21" ht="13.9" x14ac:dyDescent="0.3">
      <c r="A61" s="2" t="s">
        <v>78</v>
      </c>
      <c r="B61" s="2">
        <v>0.66</v>
      </c>
      <c r="C61" s="2">
        <v>17.57</v>
      </c>
      <c r="D61" s="2">
        <v>1.64</v>
      </c>
      <c r="E61" s="2">
        <v>1.48</v>
      </c>
      <c r="F61" s="2">
        <v>0.4</v>
      </c>
      <c r="G61" s="2">
        <v>2.5299999999999998</v>
      </c>
      <c r="H61" s="2">
        <f t="shared" si="0"/>
        <v>2.1717413116921498</v>
      </c>
      <c r="I61" s="2">
        <f t="shared" si="1"/>
        <v>0.40298823153169094</v>
      </c>
      <c r="J61" s="2">
        <v>2.52</v>
      </c>
      <c r="K61" s="2">
        <v>1.05</v>
      </c>
      <c r="L61" s="2">
        <v>1.51</v>
      </c>
      <c r="M61" s="2">
        <v>1.03</v>
      </c>
      <c r="N61" s="2">
        <v>531.39</v>
      </c>
      <c r="O61" s="2">
        <v>0.95</v>
      </c>
      <c r="P61" s="2">
        <f t="shared" si="2"/>
        <v>-6.7141643739308501</v>
      </c>
      <c r="Q61" s="2">
        <f t="shared" si="3"/>
        <v>0.37561357397707523</v>
      </c>
      <c r="R61" s="2">
        <f t="shared" si="4"/>
        <v>-8.8859056856229994</v>
      </c>
      <c r="S61">
        <f t="shared" si="5"/>
        <v>-3.0916041140735095</v>
      </c>
      <c r="U61">
        <v>2.3448284969974416</v>
      </c>
    </row>
    <row r="62" spans="1:21" ht="13.9" x14ac:dyDescent="0.3">
      <c r="A62" s="2" t="s">
        <v>79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 t="e">
        <f t="shared" si="0"/>
        <v>#DIV/0!</v>
      </c>
      <c r="I62" s="2" t="e">
        <f t="shared" si="1"/>
        <v>#DIV/0!</v>
      </c>
      <c r="J62" s="2">
        <v>0.18</v>
      </c>
      <c r="K62" s="2">
        <v>0</v>
      </c>
      <c r="L62" s="2">
        <v>0</v>
      </c>
      <c r="M62" s="2">
        <v>0</v>
      </c>
      <c r="N62" s="2">
        <v>0</v>
      </c>
      <c r="O62" s="2">
        <v>0.14000000000000001</v>
      </c>
      <c r="P62" s="2">
        <f t="shared" si="2"/>
        <v>0.36257007938470814</v>
      </c>
      <c r="Q62" s="2">
        <f t="shared" si="3"/>
        <v>0.86927786633163096</v>
      </c>
      <c r="R62" s="2" t="e">
        <f t="shared" si="4"/>
        <v>#DIV/0!</v>
      </c>
      <c r="S62" t="e">
        <f t="shared" si="5"/>
        <v>#DIV/0!</v>
      </c>
      <c r="U62">
        <v>-2.4739311883324122</v>
      </c>
    </row>
    <row r="63" spans="1:21" ht="13.9" x14ac:dyDescent="0.3">
      <c r="A63" s="2" t="s">
        <v>80</v>
      </c>
      <c r="B63" s="2">
        <v>24.06</v>
      </c>
      <c r="C63" s="2">
        <v>30.25</v>
      </c>
      <c r="D63" s="2">
        <v>71.92</v>
      </c>
      <c r="E63" s="2">
        <v>7.7</v>
      </c>
      <c r="F63" s="2">
        <v>5.48</v>
      </c>
      <c r="G63" s="2">
        <v>3.79</v>
      </c>
      <c r="H63" s="2">
        <f t="shared" si="0"/>
        <v>2.8949963540176213</v>
      </c>
      <c r="I63" s="2">
        <f t="shared" si="1"/>
        <v>7.3032471420022171E-2</v>
      </c>
      <c r="J63" s="2">
        <v>48.87</v>
      </c>
      <c r="K63" s="2">
        <v>52.53</v>
      </c>
      <c r="L63" s="2">
        <v>88.99</v>
      </c>
      <c r="M63" s="2">
        <v>7.61</v>
      </c>
      <c r="N63" s="2">
        <v>0</v>
      </c>
      <c r="O63" s="2">
        <v>12.86</v>
      </c>
      <c r="P63" s="2">
        <f t="shared" si="2"/>
        <v>3.2173746973836539</v>
      </c>
      <c r="Q63" s="2">
        <f t="shared" si="3"/>
        <v>1.3201403217838312E-2</v>
      </c>
      <c r="R63" s="2">
        <f t="shared" si="4"/>
        <v>0.32237834336603255</v>
      </c>
      <c r="S63">
        <f t="shared" si="5"/>
        <v>1.1113570809575086</v>
      </c>
      <c r="U63">
        <v>7.5728138946323407</v>
      </c>
    </row>
    <row r="64" spans="1:21" ht="13.9" x14ac:dyDescent="0.3">
      <c r="A64" s="2" t="s">
        <v>81</v>
      </c>
      <c r="B64" s="2">
        <v>435.75</v>
      </c>
      <c r="C64" s="2">
        <v>336.42</v>
      </c>
      <c r="D64" s="2">
        <v>250.34</v>
      </c>
      <c r="E64" s="2">
        <v>843.42</v>
      </c>
      <c r="F64" s="2">
        <v>678.83</v>
      </c>
      <c r="G64" s="2">
        <v>638.42999999999995</v>
      </c>
      <c r="H64" s="2">
        <f t="shared" si="0"/>
        <v>-1.079370470099319</v>
      </c>
      <c r="I64" s="2">
        <f t="shared" si="1"/>
        <v>1.002443697507684E-2</v>
      </c>
      <c r="J64" s="2">
        <v>417.34</v>
      </c>
      <c r="K64" s="2">
        <v>331.71</v>
      </c>
      <c r="L64" s="2">
        <v>276.01</v>
      </c>
      <c r="M64" s="2">
        <v>648.72</v>
      </c>
      <c r="N64" s="2">
        <v>1348.92</v>
      </c>
      <c r="O64" s="2">
        <v>509.99</v>
      </c>
      <c r="P64" s="2">
        <f t="shared" si="2"/>
        <v>-1.2906161369529963</v>
      </c>
      <c r="Q64" s="2">
        <f t="shared" si="3"/>
        <v>0.1332760358215285</v>
      </c>
      <c r="R64" s="2">
        <f t="shared" si="4"/>
        <v>-0.21124566685367729</v>
      </c>
      <c r="S64">
        <f t="shared" si="5"/>
        <v>1.1957119197769412</v>
      </c>
      <c r="U64">
        <v>10.001492642362603</v>
      </c>
    </row>
    <row r="65" spans="1:21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 t="e">
        <f t="shared" si="0"/>
        <v>#NUM!</v>
      </c>
      <c r="I65" s="2">
        <f t="shared" si="1"/>
        <v>0.37390096630005903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e">
        <f t="shared" si="2"/>
        <v>#DIV/0!</v>
      </c>
      <c r="Q65" s="2" t="e">
        <f t="shared" si="3"/>
        <v>#DIV/0!</v>
      </c>
      <c r="R65" s="2" t="e">
        <f t="shared" si="4"/>
        <v>#DIV/0!</v>
      </c>
      <c r="S65" t="e">
        <f t="shared" si="5"/>
        <v>#DIV/0!</v>
      </c>
      <c r="U65" t="e">
        <v>#NUM!</v>
      </c>
    </row>
    <row r="66" spans="1:21" ht="13.9" x14ac:dyDescent="0.3">
      <c r="A66" s="2" t="s">
        <v>83</v>
      </c>
      <c r="B66" s="2">
        <v>0</v>
      </c>
      <c r="C66" s="2">
        <v>0</v>
      </c>
      <c r="D66" s="2">
        <v>0</v>
      </c>
      <c r="E66" s="2">
        <v>3.65</v>
      </c>
      <c r="F66" s="2">
        <v>5.62</v>
      </c>
      <c r="G66" s="2">
        <v>2.3199999999999998</v>
      </c>
      <c r="H66" s="2" t="e">
        <f t="shared" ref="H66:H129" si="6">LOG(SUM(B66:D66)/SUM(E66:G66),2)</f>
        <v>#NUM!</v>
      </c>
      <c r="I66" s="2">
        <f t="shared" ref="I66:I129" si="7">_xlfn.T.TEST(B66:D66,E66:G66,2,2)</f>
        <v>1.573015199833416E-2</v>
      </c>
      <c r="J66" s="2">
        <v>0</v>
      </c>
      <c r="K66" s="2">
        <v>2.5099999999999998</v>
      </c>
      <c r="L66" s="2">
        <v>0</v>
      </c>
      <c r="M66" s="2">
        <v>4.63</v>
      </c>
      <c r="N66" s="2">
        <v>204.38</v>
      </c>
      <c r="O66" s="2">
        <v>1.76</v>
      </c>
      <c r="P66" s="2">
        <f t="shared" ref="P66:P129" si="8">LOG(SUM(J66:L66)/SUM(M66:O66),2)</f>
        <v>-6.3918383608315095</v>
      </c>
      <c r="Q66" s="2">
        <f t="shared" ref="Q66:Q129" si="9">_xlfn.T.TEST(J66:L66,M66:O66,2,2)</f>
        <v>0.35913333185086571</v>
      </c>
      <c r="R66" s="2" t="e">
        <f t="shared" si="4"/>
        <v>#NUM!</v>
      </c>
      <c r="S66" t="e">
        <f t="shared" si="5"/>
        <v>#NUM!</v>
      </c>
      <c r="U66">
        <v>1.3276873641760472</v>
      </c>
    </row>
    <row r="67" spans="1:21" ht="13.9" x14ac:dyDescent="0.3">
      <c r="A67" s="2" t="s">
        <v>84</v>
      </c>
      <c r="B67" s="2">
        <v>0</v>
      </c>
      <c r="C67" s="2">
        <v>0</v>
      </c>
      <c r="D67" s="2">
        <v>0</v>
      </c>
      <c r="E67" s="2">
        <v>3.65</v>
      </c>
      <c r="F67" s="2">
        <v>5.62</v>
      </c>
      <c r="G67" s="2">
        <v>2.3199999999999998</v>
      </c>
      <c r="H67" s="2" t="e">
        <f t="shared" si="6"/>
        <v>#NUM!</v>
      </c>
      <c r="I67" s="2">
        <f t="shared" si="7"/>
        <v>1.573015199833416E-2</v>
      </c>
      <c r="J67" s="2">
        <v>0</v>
      </c>
      <c r="K67" s="2">
        <v>2.5099999999999998</v>
      </c>
      <c r="L67" s="2">
        <v>0</v>
      </c>
      <c r="M67" s="2">
        <v>4.63</v>
      </c>
      <c r="N67" s="2">
        <v>204.38</v>
      </c>
      <c r="O67" s="2">
        <v>1.76</v>
      </c>
      <c r="P67" s="2">
        <f t="shared" si="8"/>
        <v>-6.3918383608315095</v>
      </c>
      <c r="Q67" s="2">
        <f t="shared" si="9"/>
        <v>0.35913333185086571</v>
      </c>
      <c r="R67" s="2" t="e">
        <f t="shared" ref="R67:R130" si="10">P67-H67</f>
        <v>#NUM!</v>
      </c>
      <c r="S67" t="e">
        <f t="shared" si="5"/>
        <v>#NUM!</v>
      </c>
      <c r="U67">
        <v>1.3276873641760472</v>
      </c>
    </row>
    <row r="68" spans="1:21" ht="13.9" x14ac:dyDescent="0.3">
      <c r="A68" s="2" t="s">
        <v>85</v>
      </c>
      <c r="B68" s="2">
        <v>0</v>
      </c>
      <c r="C68" s="2">
        <v>0</v>
      </c>
      <c r="D68" s="2">
        <v>1.46</v>
      </c>
      <c r="E68" s="2">
        <v>0</v>
      </c>
      <c r="F68" s="2">
        <v>0</v>
      </c>
      <c r="G68" s="2">
        <v>1.37</v>
      </c>
      <c r="H68" s="2">
        <f t="shared" si="6"/>
        <v>9.179247591949026E-2</v>
      </c>
      <c r="I68" s="2">
        <f t="shared" si="7"/>
        <v>0.96629998781771875</v>
      </c>
      <c r="J68" s="2">
        <v>1.08</v>
      </c>
      <c r="K68" s="2">
        <v>0</v>
      </c>
      <c r="L68" s="2">
        <v>0</v>
      </c>
      <c r="M68" s="2">
        <v>0.21</v>
      </c>
      <c r="N68" s="2">
        <v>0</v>
      </c>
      <c r="O68" s="2">
        <v>0.41</v>
      </c>
      <c r="P68" s="2">
        <f t="shared" si="8"/>
        <v>0.80069119177659354</v>
      </c>
      <c r="Q68" s="2">
        <f t="shared" si="9"/>
        <v>0.70646241179113889</v>
      </c>
      <c r="R68" s="2">
        <f t="shared" si="10"/>
        <v>0.70889871585710329</v>
      </c>
      <c r="S68">
        <f t="shared" ref="S68:S131" si="11">P68/H68</f>
        <v>8.7228412106332893</v>
      </c>
      <c r="U68">
        <v>0.11103131238874395</v>
      </c>
    </row>
    <row r="69" spans="1:21" ht="13.9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0.13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0.1</v>
      </c>
      <c r="N69" s="2">
        <v>0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ht="13.9" x14ac:dyDescent="0.3">
      <c r="A70" s="2" t="s">
        <v>87</v>
      </c>
      <c r="B70" s="2">
        <v>9.56</v>
      </c>
      <c r="C70" s="2">
        <v>20.98</v>
      </c>
      <c r="D70" s="2">
        <v>0</v>
      </c>
      <c r="E70" s="2">
        <v>7.7</v>
      </c>
      <c r="F70" s="2">
        <v>14.31</v>
      </c>
      <c r="G70" s="2">
        <v>10.33</v>
      </c>
      <c r="H70" s="2">
        <f t="shared" si="6"/>
        <v>-8.2619616676810309E-2</v>
      </c>
      <c r="I70" s="2">
        <f t="shared" si="7"/>
        <v>0.92939196305920069</v>
      </c>
      <c r="J70" s="2">
        <v>0.18</v>
      </c>
      <c r="K70" s="2">
        <v>5.23</v>
      </c>
      <c r="L70" s="2">
        <v>24.13</v>
      </c>
      <c r="M70" s="2">
        <v>12.66</v>
      </c>
      <c r="N70" s="2">
        <v>163.51</v>
      </c>
      <c r="O70" s="2">
        <v>13.67</v>
      </c>
      <c r="P70" s="2">
        <f t="shared" si="8"/>
        <v>-2.6840422744291588</v>
      </c>
      <c r="Q70" s="2">
        <f t="shared" si="9"/>
        <v>0.35089370608089976</v>
      </c>
      <c r="R70" s="2">
        <f t="shared" si="10"/>
        <v>-2.6014226577523485</v>
      </c>
      <c r="S70">
        <f t="shared" si="11"/>
        <v>32.486743250438202</v>
      </c>
      <c r="U70">
        <v>4.884597920990065</v>
      </c>
    </row>
    <row r="71" spans="1:21" ht="13.9" x14ac:dyDescent="0.3">
      <c r="A71" s="2" t="s">
        <v>88</v>
      </c>
      <c r="B71" s="2">
        <v>3.63</v>
      </c>
      <c r="C71" s="2">
        <v>0</v>
      </c>
      <c r="D71" s="2">
        <v>12.02</v>
      </c>
      <c r="E71" s="2">
        <v>3.55</v>
      </c>
      <c r="F71" s="2">
        <v>2.81</v>
      </c>
      <c r="G71" s="2">
        <v>1.05</v>
      </c>
      <c r="H71" s="2">
        <f t="shared" si="6"/>
        <v>1.0786172095141469</v>
      </c>
      <c r="I71" s="2">
        <f t="shared" si="7"/>
        <v>0.49202565782410657</v>
      </c>
      <c r="J71" s="2">
        <v>3.77</v>
      </c>
      <c r="K71" s="2">
        <v>7.95</v>
      </c>
      <c r="L71" s="2">
        <v>4.0199999999999996</v>
      </c>
      <c r="M71" s="2">
        <v>1.23</v>
      </c>
      <c r="N71" s="2">
        <v>0</v>
      </c>
      <c r="O71" s="2">
        <v>3.65</v>
      </c>
      <c r="P71" s="2">
        <f t="shared" si="8"/>
        <v>1.6894824879446002</v>
      </c>
      <c r="Q71" s="2">
        <f t="shared" si="9"/>
        <v>0.10407637598537672</v>
      </c>
      <c r="R71" s="2">
        <f t="shared" si="10"/>
        <v>0.61086527843045335</v>
      </c>
      <c r="S71">
        <f t="shared" si="11"/>
        <v>1.566341119947096</v>
      </c>
      <c r="U71">
        <v>3.9763636357327616</v>
      </c>
    </row>
    <row r="72" spans="1:21" ht="13.9" x14ac:dyDescent="0.3">
      <c r="A72" s="2" t="s">
        <v>89</v>
      </c>
      <c r="B72" s="2">
        <v>19.12</v>
      </c>
      <c r="C72" s="2">
        <v>46.6</v>
      </c>
      <c r="D72" s="2">
        <v>30.4</v>
      </c>
      <c r="E72" s="2">
        <v>34.65</v>
      </c>
      <c r="F72" s="2">
        <v>54.95</v>
      </c>
      <c r="G72" s="2">
        <v>22.55</v>
      </c>
      <c r="H72" s="2">
        <f t="shared" si="6"/>
        <v>-0.22252106684376821</v>
      </c>
      <c r="I72" s="2">
        <f t="shared" si="7"/>
        <v>0.68797299562724712</v>
      </c>
      <c r="J72" s="2">
        <v>21.92</v>
      </c>
      <c r="K72" s="2">
        <v>17.79</v>
      </c>
      <c r="L72" s="2">
        <v>34.19</v>
      </c>
      <c r="M72" s="2">
        <v>25.72</v>
      </c>
      <c r="N72" s="2">
        <v>367.89</v>
      </c>
      <c r="O72" s="2">
        <v>42.5</v>
      </c>
      <c r="P72" s="2">
        <f t="shared" si="8"/>
        <v>-2.5610458023044131</v>
      </c>
      <c r="Q72" s="2">
        <f t="shared" si="9"/>
        <v>0.3396924659283444</v>
      </c>
      <c r="R72" s="2">
        <f t="shared" si="10"/>
        <v>-2.3385247354606449</v>
      </c>
      <c r="S72">
        <f t="shared" si="11"/>
        <v>11.509228490723174</v>
      </c>
      <c r="U72">
        <v>6.2075024592587891</v>
      </c>
    </row>
    <row r="73" spans="1:21" ht="13.9" x14ac:dyDescent="0.3">
      <c r="A73" s="2" t="s">
        <v>90</v>
      </c>
      <c r="B73" s="2">
        <v>0</v>
      </c>
      <c r="C73" s="2">
        <v>0</v>
      </c>
      <c r="D73" s="2">
        <v>0</v>
      </c>
      <c r="E73" s="2">
        <v>0.1</v>
      </c>
      <c r="F73" s="2">
        <v>0.13</v>
      </c>
      <c r="G73" s="2">
        <v>0.11</v>
      </c>
      <c r="H73" s="2" t="e">
        <f t="shared" si="6"/>
        <v>#NUM!</v>
      </c>
      <c r="I73" s="2">
        <f t="shared" si="7"/>
        <v>2.1139752676373701E-4</v>
      </c>
      <c r="J73" s="2">
        <v>0</v>
      </c>
      <c r="K73" s="2">
        <v>0</v>
      </c>
      <c r="L73" s="2">
        <v>17.09</v>
      </c>
      <c r="M73" s="2">
        <v>0.1</v>
      </c>
      <c r="N73" s="2">
        <v>0</v>
      </c>
      <c r="O73" s="2">
        <v>0.14000000000000001</v>
      </c>
      <c r="P73" s="2">
        <f t="shared" si="8"/>
        <v>6.1539741809549833</v>
      </c>
      <c r="Q73" s="2">
        <f t="shared" si="9"/>
        <v>0.37998398294277697</v>
      </c>
      <c r="R73" s="2" t="e">
        <f t="shared" si="10"/>
        <v>#NUM!</v>
      </c>
      <c r="S73" t="e">
        <f t="shared" si="11"/>
        <v>#NUM!</v>
      </c>
      <c r="U73">
        <v>4.0950804919014141</v>
      </c>
    </row>
    <row r="74" spans="1:21" ht="13.9" x14ac:dyDescent="0.3">
      <c r="A74" s="2" t="s">
        <v>91</v>
      </c>
      <c r="B74" s="2">
        <v>0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e">
        <f t="shared" si="8"/>
        <v>#DIV/0!</v>
      </c>
      <c r="Q74" s="2" t="e">
        <f t="shared" si="9"/>
        <v>#DIV/0!</v>
      </c>
      <c r="R74" s="2" t="e">
        <f t="shared" si="10"/>
        <v>#DIV/0!</v>
      </c>
      <c r="S74" t="e">
        <f t="shared" si="11"/>
        <v>#DIV/0!</v>
      </c>
      <c r="U74" t="e">
        <v>#NUM!</v>
      </c>
    </row>
    <row r="75" spans="1:21" ht="13.9" x14ac:dyDescent="0.3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0.11</v>
      </c>
      <c r="H75" s="2" t="e">
        <f t="shared" si="6"/>
        <v>#NUM!</v>
      </c>
      <c r="I75" s="2">
        <f t="shared" si="7"/>
        <v>0.37390096630005903</v>
      </c>
      <c r="J75" s="2">
        <v>0</v>
      </c>
      <c r="K75" s="2">
        <v>0</v>
      </c>
      <c r="L75" s="2">
        <v>0</v>
      </c>
      <c r="M75" s="2">
        <v>0.51</v>
      </c>
      <c r="N75" s="2">
        <v>0</v>
      </c>
      <c r="O75" s="2">
        <v>0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ht="13.9" x14ac:dyDescent="0.3">
      <c r="A76" s="2" t="s">
        <v>93</v>
      </c>
      <c r="B76" s="2">
        <v>0.33</v>
      </c>
      <c r="C76" s="2">
        <v>0</v>
      </c>
      <c r="D76" s="2">
        <v>12.02</v>
      </c>
      <c r="E76" s="2">
        <v>1.58</v>
      </c>
      <c r="F76" s="2">
        <v>1.07</v>
      </c>
      <c r="G76" s="2">
        <v>1.05</v>
      </c>
      <c r="H76" s="2">
        <f t="shared" si="6"/>
        <v>1.7389138659557279</v>
      </c>
      <c r="I76" s="2">
        <f t="shared" si="7"/>
        <v>0.5065366212550495</v>
      </c>
      <c r="J76" s="2">
        <v>0</v>
      </c>
      <c r="K76" s="2">
        <v>7.74</v>
      </c>
      <c r="L76" s="2">
        <v>0</v>
      </c>
      <c r="M76" s="2">
        <v>1.34</v>
      </c>
      <c r="N76" s="2">
        <v>0</v>
      </c>
      <c r="O76" s="2">
        <v>0.27</v>
      </c>
      <c r="P76" s="2">
        <f t="shared" si="8"/>
        <v>2.2652728780297933</v>
      </c>
      <c r="Q76" s="2">
        <f t="shared" si="9"/>
        <v>0.47780192817935047</v>
      </c>
      <c r="R76" s="2">
        <f t="shared" si="10"/>
        <v>0.52635901207406532</v>
      </c>
      <c r="S76">
        <f t="shared" si="11"/>
        <v>1.302694125556801</v>
      </c>
      <c r="U76">
        <v>2.9523335663696861</v>
      </c>
    </row>
    <row r="77" spans="1:21" ht="13.9" x14ac:dyDescent="0.3">
      <c r="A77" s="2" t="s">
        <v>94</v>
      </c>
      <c r="B77" s="2">
        <v>0</v>
      </c>
      <c r="C77" s="2">
        <v>0</v>
      </c>
      <c r="D77" s="2">
        <v>0</v>
      </c>
      <c r="E77" s="2">
        <v>5.63</v>
      </c>
      <c r="F77" s="2">
        <v>6.69</v>
      </c>
      <c r="G77" s="2">
        <v>7.48</v>
      </c>
      <c r="H77" s="2" t="e">
        <f t="shared" si="6"/>
        <v>#NUM!</v>
      </c>
      <c r="I77" s="2">
        <f t="shared" si="7"/>
        <v>2.4979911181806201E-4</v>
      </c>
      <c r="J77" s="2">
        <v>0</v>
      </c>
      <c r="K77" s="2">
        <v>0</v>
      </c>
      <c r="L77" s="2">
        <v>0</v>
      </c>
      <c r="M77" s="2">
        <v>8.1300000000000008</v>
      </c>
      <c r="N77" s="2">
        <v>0</v>
      </c>
      <c r="O77" s="2">
        <v>5.28</v>
      </c>
      <c r="P77" s="2" t="e">
        <f t="shared" si="8"/>
        <v>#NUM!</v>
      </c>
      <c r="Q77" s="2">
        <f t="shared" si="9"/>
        <v>0.13376332777958017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ht="13.9" x14ac:dyDescent="0.3">
      <c r="A78" s="2" t="s">
        <v>95</v>
      </c>
      <c r="B78" s="2">
        <v>0</v>
      </c>
      <c r="C78" s="2">
        <v>0</v>
      </c>
      <c r="D78" s="2">
        <v>3.82</v>
      </c>
      <c r="E78" s="2">
        <v>0.89</v>
      </c>
      <c r="F78" s="2">
        <v>1.34</v>
      </c>
      <c r="G78" s="2">
        <v>2.5299999999999998</v>
      </c>
      <c r="H78" s="2">
        <f t="shared" si="6"/>
        <v>-0.31738893527219475</v>
      </c>
      <c r="I78" s="2">
        <f t="shared" si="7"/>
        <v>0.82959094775714104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0.81</v>
      </c>
      <c r="P78" s="2" t="e">
        <f t="shared" si="8"/>
        <v>#NUM!</v>
      </c>
      <c r="Q78" s="2">
        <f t="shared" si="9"/>
        <v>0.37390096630005903</v>
      </c>
      <c r="R78" s="2" t="e">
        <f t="shared" si="10"/>
        <v>#NUM!</v>
      </c>
      <c r="S78" t="e">
        <f t="shared" si="11"/>
        <v>#NUM!</v>
      </c>
      <c r="U78" t="e">
        <v>#NUM!</v>
      </c>
    </row>
    <row r="79" spans="1:21" ht="13.9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0.27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e">
        <f t="shared" si="8"/>
        <v>#DIV/0!</v>
      </c>
      <c r="Q79" s="2" t="e">
        <f t="shared" si="9"/>
        <v>#DIV/0!</v>
      </c>
      <c r="R79" s="2" t="e">
        <f t="shared" si="10"/>
        <v>#DIV/0!</v>
      </c>
      <c r="S79" t="e">
        <f t="shared" si="11"/>
        <v>#DIV/0!</v>
      </c>
      <c r="U79" t="e">
        <v>#NUM!</v>
      </c>
    </row>
    <row r="80" spans="1:21" ht="13.9" x14ac:dyDescent="0.3">
      <c r="A80" s="2" t="s">
        <v>97</v>
      </c>
      <c r="B80" s="2">
        <v>668.13</v>
      </c>
      <c r="C80" s="2">
        <v>1068.31</v>
      </c>
      <c r="D80" s="2">
        <v>745.56</v>
      </c>
      <c r="E80" s="2">
        <v>954.97</v>
      </c>
      <c r="F80" s="2">
        <v>1206.7</v>
      </c>
      <c r="G80" s="2">
        <v>1192.6500000000001</v>
      </c>
      <c r="H80" s="2">
        <f t="shared" si="6"/>
        <v>-0.43451721219106587</v>
      </c>
      <c r="I80" s="2">
        <f t="shared" si="7"/>
        <v>0.11955263864567268</v>
      </c>
      <c r="J80" s="2">
        <v>519.91999999999996</v>
      </c>
      <c r="K80" s="2">
        <v>859.31</v>
      </c>
      <c r="L80" s="2">
        <v>1173.4000000000001</v>
      </c>
      <c r="M80" s="2">
        <v>1245.68</v>
      </c>
      <c r="N80" s="2">
        <v>981.03</v>
      </c>
      <c r="O80" s="2">
        <v>1262.52</v>
      </c>
      <c r="P80" s="2">
        <f t="shared" si="8"/>
        <v>-0.45092426261733359</v>
      </c>
      <c r="Q80" s="2">
        <f t="shared" si="9"/>
        <v>0.21051500800972281</v>
      </c>
      <c r="R80" s="2">
        <f t="shared" si="10"/>
        <v>-1.6407050426267722E-2</v>
      </c>
      <c r="S80">
        <f t="shared" si="11"/>
        <v>1.0377592646872023</v>
      </c>
      <c r="U80">
        <v>11.31776872101667</v>
      </c>
    </row>
    <row r="81" spans="1:21" ht="13.9" x14ac:dyDescent="0.3">
      <c r="A81" s="2" t="s">
        <v>98</v>
      </c>
      <c r="B81" s="2">
        <v>0</v>
      </c>
      <c r="C81" s="2">
        <v>0</v>
      </c>
      <c r="D81" s="2">
        <v>0</v>
      </c>
      <c r="E81" s="2">
        <v>1.28</v>
      </c>
      <c r="F81" s="2">
        <v>1.87</v>
      </c>
      <c r="G81" s="2">
        <v>0</v>
      </c>
      <c r="H81" s="2" t="e">
        <f t="shared" si="6"/>
        <v>#NUM!</v>
      </c>
      <c r="I81" s="2">
        <f t="shared" si="7"/>
        <v>0.12987966620121741</v>
      </c>
      <c r="J81" s="2">
        <v>0</v>
      </c>
      <c r="K81" s="2">
        <v>0</v>
      </c>
      <c r="L81" s="2">
        <v>15.59</v>
      </c>
      <c r="M81" s="2">
        <v>2.2599999999999998</v>
      </c>
      <c r="N81" s="2">
        <v>0</v>
      </c>
      <c r="O81" s="2">
        <v>0</v>
      </c>
      <c r="P81" s="2">
        <f t="shared" si="8"/>
        <v>2.7862262502825974</v>
      </c>
      <c r="Q81" s="2">
        <f t="shared" si="9"/>
        <v>0.44509935942505735</v>
      </c>
      <c r="R81" s="2" t="e">
        <f t="shared" si="10"/>
        <v>#NUM!</v>
      </c>
      <c r="S81" t="e">
        <f t="shared" si="11"/>
        <v>#NUM!</v>
      </c>
      <c r="U81">
        <v>3.9625490229230604</v>
      </c>
    </row>
    <row r="82" spans="1:21" ht="13.9" x14ac:dyDescent="0.3">
      <c r="A82" s="2" t="s">
        <v>99</v>
      </c>
      <c r="B82" s="2">
        <v>5.93</v>
      </c>
      <c r="C82" s="2">
        <v>0</v>
      </c>
      <c r="D82" s="2">
        <v>10.01</v>
      </c>
      <c r="E82" s="2">
        <v>3.16</v>
      </c>
      <c r="F82" s="2">
        <v>3.08</v>
      </c>
      <c r="G82" s="2">
        <v>7.06</v>
      </c>
      <c r="H82" s="2">
        <f t="shared" si="6"/>
        <v>0.26122538360191966</v>
      </c>
      <c r="I82" s="2">
        <f t="shared" si="7"/>
        <v>0.79626463765140443</v>
      </c>
      <c r="J82" s="2">
        <v>0</v>
      </c>
      <c r="K82" s="2">
        <v>6.7</v>
      </c>
      <c r="L82" s="2">
        <v>0</v>
      </c>
      <c r="M82" s="2">
        <v>5.56</v>
      </c>
      <c r="N82" s="2">
        <v>0</v>
      </c>
      <c r="O82" s="2">
        <v>5.82</v>
      </c>
      <c r="P82" s="2">
        <f t="shared" si="8"/>
        <v>-0.76426755696144699</v>
      </c>
      <c r="Q82" s="2">
        <f t="shared" si="9"/>
        <v>0.62274888764095992</v>
      </c>
      <c r="R82" s="2">
        <f t="shared" si="10"/>
        <v>-1.0254929405633666</v>
      </c>
      <c r="S82">
        <f t="shared" si="11"/>
        <v>-2.9257017309087825</v>
      </c>
      <c r="U82">
        <v>2.7441610955704103</v>
      </c>
    </row>
    <row r="83" spans="1:21" ht="13.9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0.13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e">
        <f t="shared" si="8"/>
        <v>#DIV/0!</v>
      </c>
      <c r="Q83" s="2" t="e">
        <f t="shared" si="9"/>
        <v>#DIV/0!</v>
      </c>
      <c r="R83" s="2" t="e">
        <f t="shared" si="10"/>
        <v>#DIV/0!</v>
      </c>
      <c r="S83" t="e">
        <f t="shared" si="11"/>
        <v>#DIV/0!</v>
      </c>
      <c r="U83" t="e">
        <v>#NUM!</v>
      </c>
    </row>
    <row r="84" spans="1:21" ht="13.9" x14ac:dyDescent="0.3">
      <c r="A84" s="2" t="s">
        <v>101</v>
      </c>
      <c r="B84" s="2">
        <v>0</v>
      </c>
      <c r="C84" s="2">
        <v>0</v>
      </c>
      <c r="D84" s="2">
        <v>0</v>
      </c>
      <c r="E84" s="2">
        <v>0.39</v>
      </c>
      <c r="F84" s="2">
        <v>2.67</v>
      </c>
      <c r="G84" s="2">
        <v>0.53</v>
      </c>
      <c r="H84" s="2" t="e">
        <f t="shared" si="6"/>
        <v>#NUM!</v>
      </c>
      <c r="I84" s="2">
        <f t="shared" si="7"/>
        <v>0.18012346467787663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0.41</v>
      </c>
      <c r="P84" s="2" t="e">
        <f t="shared" si="8"/>
        <v>#NUM!</v>
      </c>
      <c r="Q84" s="2">
        <f t="shared" si="9"/>
        <v>0.37390096630005903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ht="13.9" x14ac:dyDescent="0.3">
      <c r="A85" s="2" t="s">
        <v>102</v>
      </c>
      <c r="B85" s="2">
        <v>0</v>
      </c>
      <c r="C85" s="2">
        <v>0</v>
      </c>
      <c r="D85" s="2">
        <v>0</v>
      </c>
      <c r="E85" s="2">
        <v>3.46</v>
      </c>
      <c r="F85" s="2">
        <v>4.95</v>
      </c>
      <c r="G85" s="2">
        <v>1.69</v>
      </c>
      <c r="H85" s="2" t="e">
        <f t="shared" si="6"/>
        <v>#NUM!</v>
      </c>
      <c r="I85" s="2">
        <f t="shared" si="7"/>
        <v>2.3311923204210935E-2</v>
      </c>
      <c r="J85" s="2">
        <v>15.81</v>
      </c>
      <c r="K85" s="2">
        <v>0</v>
      </c>
      <c r="L85" s="2">
        <v>0</v>
      </c>
      <c r="M85" s="2">
        <v>2.06</v>
      </c>
      <c r="N85" s="2">
        <v>0</v>
      </c>
      <c r="O85" s="2">
        <v>3.79</v>
      </c>
      <c r="P85" s="2">
        <f t="shared" si="8"/>
        <v>1.4343288378876042</v>
      </c>
      <c r="Q85" s="2">
        <f t="shared" si="9"/>
        <v>0.57074432076439541</v>
      </c>
      <c r="R85" s="2" t="e">
        <f t="shared" si="10"/>
        <v>#NUM!</v>
      </c>
      <c r="S85" t="e">
        <f t="shared" si="11"/>
        <v>#NUM!</v>
      </c>
      <c r="U85">
        <v>3.9827654625836462</v>
      </c>
    </row>
    <row r="86" spans="1:21" ht="13.9" x14ac:dyDescent="0.3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6"/>
        <v>#DIV/0!</v>
      </c>
      <c r="I86" s="2" t="e">
        <f t="shared" si="7"/>
        <v>#DIV/0!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ht="13.9" x14ac:dyDescent="0.3">
      <c r="A87" s="2" t="s">
        <v>104</v>
      </c>
      <c r="B87" s="2">
        <v>0</v>
      </c>
      <c r="C87" s="2">
        <v>14.15</v>
      </c>
      <c r="D87" s="2">
        <v>0</v>
      </c>
      <c r="E87" s="2">
        <v>2.27</v>
      </c>
      <c r="F87" s="2">
        <v>38.51</v>
      </c>
      <c r="G87" s="2">
        <v>7.38</v>
      </c>
      <c r="H87" s="2">
        <f t="shared" si="6"/>
        <v>-1.7670333390404576</v>
      </c>
      <c r="I87" s="2">
        <f t="shared" si="7"/>
        <v>0.40773440984894693</v>
      </c>
      <c r="J87" s="2">
        <v>9.52</v>
      </c>
      <c r="K87" s="2">
        <v>11.72</v>
      </c>
      <c r="L87" s="2">
        <v>24.13</v>
      </c>
      <c r="M87" s="2">
        <v>4.42</v>
      </c>
      <c r="N87" s="2">
        <v>0</v>
      </c>
      <c r="O87" s="2">
        <v>44.8</v>
      </c>
      <c r="P87" s="2">
        <f t="shared" si="8"/>
        <v>-0.11750599810741523</v>
      </c>
      <c r="Q87" s="2">
        <f t="shared" si="9"/>
        <v>0.93576809786680371</v>
      </c>
      <c r="R87" s="2">
        <f t="shared" si="10"/>
        <v>1.6495273409330424</v>
      </c>
      <c r="S87">
        <f t="shared" si="11"/>
        <v>6.649902721768898E-2</v>
      </c>
      <c r="U87">
        <v>5.5036667545760203</v>
      </c>
    </row>
    <row r="88" spans="1:21" ht="13.9" x14ac:dyDescent="0.3">
      <c r="A88" s="2" t="s">
        <v>105</v>
      </c>
      <c r="B88" s="2">
        <v>5.93</v>
      </c>
      <c r="C88" s="2">
        <v>0</v>
      </c>
      <c r="D88" s="2">
        <v>5.28</v>
      </c>
      <c r="E88" s="2">
        <v>1.0900000000000001</v>
      </c>
      <c r="F88" s="2">
        <v>0.4</v>
      </c>
      <c r="G88" s="2">
        <v>2.21</v>
      </c>
      <c r="H88" s="2">
        <f t="shared" si="6"/>
        <v>1.5991891022891145</v>
      </c>
      <c r="I88" s="2">
        <f t="shared" si="7"/>
        <v>0.26862654179777762</v>
      </c>
      <c r="J88" s="2">
        <v>0</v>
      </c>
      <c r="K88" s="2">
        <v>2.5099999999999998</v>
      </c>
      <c r="L88" s="2">
        <v>11.06</v>
      </c>
      <c r="M88" s="2">
        <v>2.06</v>
      </c>
      <c r="N88" s="2">
        <v>327.01</v>
      </c>
      <c r="O88" s="2">
        <v>3.79</v>
      </c>
      <c r="P88" s="2">
        <f t="shared" si="8"/>
        <v>-4.6164228854351803</v>
      </c>
      <c r="Q88" s="2">
        <f t="shared" si="9"/>
        <v>0.38051071779870566</v>
      </c>
      <c r="R88" s="2">
        <f t="shared" si="10"/>
        <v>-6.2156119877242944</v>
      </c>
      <c r="S88">
        <f t="shared" si="11"/>
        <v>-2.8867273287612645</v>
      </c>
      <c r="U88">
        <v>3.7623488156441294</v>
      </c>
    </row>
    <row r="89" spans="1:21" ht="13.9" x14ac:dyDescent="0.3">
      <c r="A89" s="2" t="s">
        <v>106</v>
      </c>
      <c r="B89" s="2">
        <v>0</v>
      </c>
      <c r="C89" s="2">
        <v>0</v>
      </c>
      <c r="D89" s="2">
        <v>0</v>
      </c>
      <c r="E89" s="2">
        <v>0.3</v>
      </c>
      <c r="F89" s="2">
        <v>0.27</v>
      </c>
      <c r="G89" s="2">
        <v>0.21</v>
      </c>
      <c r="H89" s="2" t="e">
        <f t="shared" si="6"/>
        <v>#NUM!</v>
      </c>
      <c r="I89" s="2">
        <f t="shared" si="7"/>
        <v>6.0124634629060594E-4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e">
        <f t="shared" si="8"/>
        <v>#DIV/0!</v>
      </c>
      <c r="Q89" s="2" t="e">
        <f t="shared" si="9"/>
        <v>#DIV/0!</v>
      </c>
      <c r="R89" s="2" t="e">
        <f t="shared" si="10"/>
        <v>#DIV/0!</v>
      </c>
      <c r="S89" t="e">
        <f t="shared" si="11"/>
        <v>#DIV/0!</v>
      </c>
      <c r="U89" t="e">
        <v>#NUM!</v>
      </c>
    </row>
    <row r="90" spans="1:21" ht="13.9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 t="e">
        <f t="shared" si="7"/>
        <v>#DIV/0!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ht="13.9" x14ac:dyDescent="0.3">
      <c r="A91" s="2" t="s">
        <v>108</v>
      </c>
      <c r="B91" s="2">
        <v>20.11</v>
      </c>
      <c r="C91" s="2">
        <v>0</v>
      </c>
      <c r="D91" s="2">
        <v>5.64</v>
      </c>
      <c r="E91" s="2">
        <v>8.2899999999999991</v>
      </c>
      <c r="F91" s="2">
        <v>7.35</v>
      </c>
      <c r="G91" s="2">
        <v>4.95</v>
      </c>
      <c r="H91" s="2">
        <f t="shared" si="6"/>
        <v>0.3226286023256888</v>
      </c>
      <c r="I91" s="2">
        <f t="shared" si="7"/>
        <v>0.790990562420122</v>
      </c>
      <c r="J91" s="2">
        <v>0</v>
      </c>
      <c r="K91" s="2">
        <v>4.3899999999999997</v>
      </c>
      <c r="L91" s="2">
        <v>28.15</v>
      </c>
      <c r="M91" s="2">
        <v>7.31</v>
      </c>
      <c r="N91" s="2">
        <v>0</v>
      </c>
      <c r="O91" s="2">
        <v>10.69</v>
      </c>
      <c r="P91" s="2">
        <f t="shared" si="8"/>
        <v>0.8542173444554908</v>
      </c>
      <c r="Q91" s="2">
        <f t="shared" si="9"/>
        <v>0.62963103510123863</v>
      </c>
      <c r="R91" s="2">
        <f t="shared" si="10"/>
        <v>0.53158874212980201</v>
      </c>
      <c r="S91">
        <f t="shared" si="11"/>
        <v>2.6476801445929183</v>
      </c>
      <c r="U91">
        <v>5.0241423458978032</v>
      </c>
    </row>
    <row r="92" spans="1:21" ht="13.9" x14ac:dyDescent="0.3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e">
        <f t="shared" si="6"/>
        <v>#DIV/0!</v>
      </c>
      <c r="I92" s="2" t="e">
        <f t="shared" si="7"/>
        <v>#DIV/0!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0.27</v>
      </c>
      <c r="P92" s="2" t="e">
        <f t="shared" si="8"/>
        <v>#NUM!</v>
      </c>
      <c r="Q92" s="2">
        <f t="shared" si="9"/>
        <v>0.37390096630005903</v>
      </c>
      <c r="R92" s="2" t="e">
        <f t="shared" si="10"/>
        <v>#NUM!</v>
      </c>
      <c r="S92" t="e">
        <f t="shared" si="11"/>
        <v>#NUM!</v>
      </c>
      <c r="U92" t="e">
        <v>#NUM!</v>
      </c>
    </row>
    <row r="93" spans="1:21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 t="e">
        <f t="shared" si="6"/>
        <v>#NUM!</v>
      </c>
      <c r="I93" s="2">
        <f t="shared" si="7"/>
        <v>0.37390096630005903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e">
        <f t="shared" si="8"/>
        <v>#DIV/0!</v>
      </c>
      <c r="Q93" s="2" t="e">
        <f t="shared" si="9"/>
        <v>#DIV/0!</v>
      </c>
      <c r="R93" s="2" t="e">
        <f t="shared" si="10"/>
        <v>#DIV/0!</v>
      </c>
      <c r="S93" t="e">
        <f t="shared" si="11"/>
        <v>#DIV/0!</v>
      </c>
      <c r="U93" t="e">
        <v>#NUM!</v>
      </c>
    </row>
    <row r="94" spans="1:21" ht="13.9" x14ac:dyDescent="0.3">
      <c r="A94" s="2" t="s">
        <v>111</v>
      </c>
      <c r="B94" s="2">
        <v>0</v>
      </c>
      <c r="C94" s="2">
        <v>0</v>
      </c>
      <c r="D94" s="2">
        <v>0</v>
      </c>
      <c r="E94" s="2">
        <v>0</v>
      </c>
      <c r="F94" s="2">
        <v>0.67</v>
      </c>
      <c r="G94" s="2">
        <v>0</v>
      </c>
      <c r="H94" s="2" t="e">
        <f t="shared" si="6"/>
        <v>#NUM!</v>
      </c>
      <c r="I94" s="2">
        <f t="shared" si="7"/>
        <v>0.37390096630005903</v>
      </c>
      <c r="J94" s="2">
        <v>0</v>
      </c>
      <c r="K94" s="2">
        <v>0</v>
      </c>
      <c r="L94" s="2">
        <v>0</v>
      </c>
      <c r="M94" s="2">
        <v>0.41</v>
      </c>
      <c r="N94" s="2">
        <v>0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ht="13.9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0.32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e">
        <f t="shared" si="8"/>
        <v>#DIV/0!</v>
      </c>
      <c r="Q95" s="2" t="e">
        <f t="shared" si="9"/>
        <v>#DIV/0!</v>
      </c>
      <c r="R95" s="2" t="e">
        <f t="shared" si="10"/>
        <v>#DIV/0!</v>
      </c>
      <c r="S95" t="e">
        <f t="shared" si="11"/>
        <v>#DIV/0!</v>
      </c>
      <c r="U95" t="e">
        <v>#NUM!</v>
      </c>
    </row>
    <row r="96" spans="1:21" ht="13.9" x14ac:dyDescent="0.3">
      <c r="A96" s="2" t="s">
        <v>113</v>
      </c>
      <c r="B96" s="2">
        <v>0</v>
      </c>
      <c r="C96" s="2">
        <v>0</v>
      </c>
      <c r="D96" s="2">
        <v>9.65</v>
      </c>
      <c r="E96" s="2">
        <v>1.68</v>
      </c>
      <c r="F96" s="2">
        <v>1.2</v>
      </c>
      <c r="G96" s="2">
        <v>1.26</v>
      </c>
      <c r="H96" s="2">
        <f t="shared" si="6"/>
        <v>1.2208981746561176</v>
      </c>
      <c r="I96" s="2">
        <f t="shared" si="7"/>
        <v>0.59894626373702375</v>
      </c>
      <c r="J96" s="2">
        <v>0</v>
      </c>
      <c r="K96" s="2">
        <v>9.2100000000000009</v>
      </c>
      <c r="L96" s="2">
        <v>0</v>
      </c>
      <c r="M96" s="2">
        <v>0.51</v>
      </c>
      <c r="N96" s="2">
        <v>0</v>
      </c>
      <c r="O96" s="2">
        <v>0.68</v>
      </c>
      <c r="P96" s="2">
        <f t="shared" si="8"/>
        <v>2.9522395827833923</v>
      </c>
      <c r="Q96" s="2">
        <f t="shared" si="9"/>
        <v>0.43394412493357398</v>
      </c>
      <c r="R96" s="2">
        <f t="shared" si="10"/>
        <v>1.7313414081272747</v>
      </c>
      <c r="S96">
        <f t="shared" si="11"/>
        <v>2.4180882927562162</v>
      </c>
      <c r="U96">
        <v>3.2032011563166112</v>
      </c>
    </row>
    <row r="97" spans="1:21" ht="13.9" x14ac:dyDescent="0.3">
      <c r="A97" s="2" t="s">
        <v>114</v>
      </c>
      <c r="B97" s="2">
        <v>17.8</v>
      </c>
      <c r="C97" s="2">
        <v>5.37</v>
      </c>
      <c r="D97" s="2">
        <v>0.18</v>
      </c>
      <c r="E97" s="2">
        <v>22.7</v>
      </c>
      <c r="F97" s="2">
        <v>43.19</v>
      </c>
      <c r="G97" s="2">
        <v>52.9</v>
      </c>
      <c r="H97" s="2">
        <f t="shared" si="6"/>
        <v>-2.3469189370032431</v>
      </c>
      <c r="I97" s="2">
        <f t="shared" si="7"/>
        <v>3.686474954753842E-2</v>
      </c>
      <c r="J97" s="2">
        <v>0.18</v>
      </c>
      <c r="K97" s="2">
        <v>0</v>
      </c>
      <c r="L97" s="2">
        <v>0</v>
      </c>
      <c r="M97" s="2">
        <v>23.46</v>
      </c>
      <c r="N97" s="2">
        <v>0</v>
      </c>
      <c r="O97" s="2">
        <v>20.71</v>
      </c>
      <c r="P97" s="2">
        <f t="shared" si="8"/>
        <v>-7.938926115597841</v>
      </c>
      <c r="Q97" s="2">
        <f t="shared" si="9"/>
        <v>0.11876036611070445</v>
      </c>
      <c r="R97" s="2">
        <f t="shared" si="10"/>
        <v>-5.5920071785945975</v>
      </c>
      <c r="S97">
        <f t="shared" si="11"/>
        <v>3.3827014603814884</v>
      </c>
      <c r="U97">
        <v>-2.4739311883324122</v>
      </c>
    </row>
    <row r="98" spans="1:21" ht="13.9" x14ac:dyDescent="0.3">
      <c r="A98" s="2" t="s">
        <v>115</v>
      </c>
      <c r="B98" s="2">
        <v>4.28</v>
      </c>
      <c r="C98" s="2">
        <v>23.91</v>
      </c>
      <c r="D98" s="2">
        <v>10.01</v>
      </c>
      <c r="E98" s="2">
        <v>17.87</v>
      </c>
      <c r="F98" s="2">
        <v>19.52</v>
      </c>
      <c r="G98" s="2">
        <v>16.329999999999998</v>
      </c>
      <c r="H98" s="2">
        <f t="shared" si="6"/>
        <v>-0.49188666650433122</v>
      </c>
      <c r="I98" s="2">
        <f t="shared" si="7"/>
        <v>0.43010425273984998</v>
      </c>
      <c r="J98" s="2">
        <v>4.13</v>
      </c>
      <c r="K98" s="2">
        <v>7.95</v>
      </c>
      <c r="L98" s="2">
        <v>0</v>
      </c>
      <c r="M98" s="2">
        <v>26.24</v>
      </c>
      <c r="N98" s="2">
        <v>0</v>
      </c>
      <c r="O98" s="2">
        <v>32.89</v>
      </c>
      <c r="P98" s="2">
        <f t="shared" si="8"/>
        <v>-2.2912698224395629</v>
      </c>
      <c r="Q98" s="2">
        <f t="shared" si="9"/>
        <v>0.20248330666713965</v>
      </c>
      <c r="R98" s="2">
        <f t="shared" si="10"/>
        <v>-1.7993831559352316</v>
      </c>
      <c r="S98">
        <f t="shared" si="11"/>
        <v>4.6581254961083349</v>
      </c>
      <c r="U98">
        <v>3.5945485495503542</v>
      </c>
    </row>
    <row r="99" spans="1:21" ht="13.9" x14ac:dyDescent="0.3">
      <c r="A99" s="2" t="s">
        <v>116</v>
      </c>
      <c r="B99" s="2">
        <v>2.97</v>
      </c>
      <c r="C99" s="2">
        <v>0</v>
      </c>
      <c r="D99" s="2">
        <v>0</v>
      </c>
      <c r="E99" s="2">
        <v>0.49</v>
      </c>
      <c r="F99" s="2">
        <v>0.27</v>
      </c>
      <c r="G99" s="2">
        <v>0.11</v>
      </c>
      <c r="H99" s="2">
        <f t="shared" si="6"/>
        <v>1.7713756249520378</v>
      </c>
      <c r="I99" s="2">
        <f t="shared" si="7"/>
        <v>0.52096564153707081</v>
      </c>
      <c r="J99" s="2">
        <v>0</v>
      </c>
      <c r="K99" s="2">
        <v>0</v>
      </c>
      <c r="L99" s="2">
        <v>0</v>
      </c>
      <c r="M99" s="2">
        <v>0.41</v>
      </c>
      <c r="N99" s="2">
        <v>0</v>
      </c>
      <c r="O99" s="2">
        <v>1.62</v>
      </c>
      <c r="P99" s="2" t="e">
        <f t="shared" si="8"/>
        <v>#NUM!</v>
      </c>
      <c r="Q99" s="2">
        <f t="shared" si="9"/>
        <v>0.23646803877235414</v>
      </c>
      <c r="R99" s="2" t="e">
        <f t="shared" si="10"/>
        <v>#NUM!</v>
      </c>
      <c r="S99" t="e">
        <f t="shared" si="11"/>
        <v>#NUM!</v>
      </c>
      <c r="U99" t="e">
        <v>#NUM!</v>
      </c>
    </row>
    <row r="100" spans="1:21" ht="13.9" x14ac:dyDescent="0.3">
      <c r="A100" s="2" t="s">
        <v>117</v>
      </c>
      <c r="B100" s="2">
        <v>22.41</v>
      </c>
      <c r="C100" s="2">
        <v>60.5</v>
      </c>
      <c r="D100" s="2">
        <v>18.39</v>
      </c>
      <c r="E100" s="2">
        <v>63.38</v>
      </c>
      <c r="F100" s="2">
        <v>77.95</v>
      </c>
      <c r="G100" s="2">
        <v>60.49</v>
      </c>
      <c r="H100" s="2">
        <f t="shared" si="6"/>
        <v>-0.99443497588047036</v>
      </c>
      <c r="I100" s="2">
        <f t="shared" si="7"/>
        <v>8.1444369536377473E-2</v>
      </c>
      <c r="J100" s="2">
        <v>53.9</v>
      </c>
      <c r="K100" s="2">
        <v>22.39</v>
      </c>
      <c r="L100" s="2">
        <v>47.26</v>
      </c>
      <c r="M100" s="2">
        <v>53.81</v>
      </c>
      <c r="N100" s="2">
        <v>0</v>
      </c>
      <c r="O100" s="2">
        <v>99.07</v>
      </c>
      <c r="P100" s="2">
        <f t="shared" si="8"/>
        <v>-0.30730467276130996</v>
      </c>
      <c r="Q100" s="2">
        <f t="shared" si="9"/>
        <v>0.76234476765531256</v>
      </c>
      <c r="R100" s="2">
        <f t="shared" si="10"/>
        <v>0.68713030311916046</v>
      </c>
      <c r="S100">
        <f t="shared" si="11"/>
        <v>0.30902440100643397</v>
      </c>
      <c r="U100">
        <v>6.9489512004414218</v>
      </c>
    </row>
    <row r="101" spans="1:21" ht="13.9" x14ac:dyDescent="0.3">
      <c r="A101" s="2" t="s">
        <v>118</v>
      </c>
      <c r="B101" s="2">
        <v>4.9400000000000004</v>
      </c>
      <c r="C101" s="2">
        <v>0</v>
      </c>
      <c r="D101" s="2">
        <v>0</v>
      </c>
      <c r="E101" s="2">
        <v>5.82</v>
      </c>
      <c r="F101" s="2">
        <v>8.56</v>
      </c>
      <c r="G101" s="2">
        <v>10.96</v>
      </c>
      <c r="H101" s="2">
        <f t="shared" si="6"/>
        <v>-2.358833577556132</v>
      </c>
      <c r="I101" s="2">
        <f t="shared" si="7"/>
        <v>3.7409015438754821E-2</v>
      </c>
      <c r="J101" s="2">
        <v>10.06</v>
      </c>
      <c r="K101" s="2">
        <v>0</v>
      </c>
      <c r="L101" s="2">
        <v>24.13</v>
      </c>
      <c r="M101" s="2">
        <v>4.32</v>
      </c>
      <c r="N101" s="2">
        <v>0</v>
      </c>
      <c r="O101" s="2">
        <v>14.62</v>
      </c>
      <c r="P101" s="2">
        <f t="shared" si="8"/>
        <v>0.85213809196500967</v>
      </c>
      <c r="Q101" s="2">
        <f t="shared" si="9"/>
        <v>0.57033941025156565</v>
      </c>
      <c r="R101" s="2">
        <f t="shared" si="10"/>
        <v>3.2109716695211414</v>
      </c>
      <c r="S101">
        <f t="shared" si="11"/>
        <v>-0.36125401133549523</v>
      </c>
      <c r="U101">
        <v>5.0955025176586695</v>
      </c>
    </row>
    <row r="102" spans="1:21" ht="13.9" x14ac:dyDescent="0.3">
      <c r="A102" s="2" t="s">
        <v>119</v>
      </c>
      <c r="B102" s="2">
        <v>0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 t="e">
        <f t="shared" si="6"/>
        <v>#NUM!</v>
      </c>
      <c r="I102" s="2">
        <f t="shared" si="7"/>
        <v>0.37390096630005903</v>
      </c>
      <c r="J102" s="2">
        <v>0</v>
      </c>
      <c r="K102" s="2">
        <v>0.21</v>
      </c>
      <c r="L102" s="2">
        <v>0</v>
      </c>
      <c r="M102" s="2">
        <v>0.62</v>
      </c>
      <c r="N102" s="2">
        <v>0</v>
      </c>
      <c r="O102" s="2">
        <v>0.41</v>
      </c>
      <c r="P102" s="2">
        <f t="shared" si="8"/>
        <v>-2.2941831044044583</v>
      </c>
      <c r="Q102" s="2">
        <f t="shared" si="9"/>
        <v>0.23372698617802368</v>
      </c>
      <c r="R102" s="2" t="e">
        <f t="shared" si="10"/>
        <v>#NUM!</v>
      </c>
      <c r="S102" t="e">
        <f t="shared" si="11"/>
        <v>#NUM!</v>
      </c>
      <c r="U102">
        <v>-2.2515387669959646</v>
      </c>
    </row>
    <row r="103" spans="1:21" ht="13.9" x14ac:dyDescent="0.3">
      <c r="A103" s="2" t="s">
        <v>120</v>
      </c>
      <c r="B103" s="2">
        <v>0</v>
      </c>
      <c r="C103" s="2">
        <v>0.73</v>
      </c>
      <c r="D103" s="2">
        <v>0</v>
      </c>
      <c r="E103" s="2">
        <v>0</v>
      </c>
      <c r="F103" s="2">
        <v>0.13</v>
      </c>
      <c r="G103" s="2">
        <v>0.32</v>
      </c>
      <c r="H103" s="2">
        <f t="shared" si="6"/>
        <v>0.69797146255034259</v>
      </c>
      <c r="I103" s="2">
        <f t="shared" si="7"/>
        <v>0.73820929102446553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0.27</v>
      </c>
      <c r="P103" s="2" t="e">
        <f t="shared" si="8"/>
        <v>#NUM!</v>
      </c>
      <c r="Q103" s="2">
        <f t="shared" si="9"/>
        <v>0.37390096630005903</v>
      </c>
      <c r="R103" s="2" t="e">
        <f t="shared" si="10"/>
        <v>#NUM!</v>
      </c>
      <c r="S103" t="e">
        <f t="shared" si="11"/>
        <v>#NUM!</v>
      </c>
      <c r="U103" t="e">
        <v>#NUM!</v>
      </c>
    </row>
    <row r="104" spans="1:21" ht="13.9" x14ac:dyDescent="0.3">
      <c r="A104" s="2" t="s">
        <v>121</v>
      </c>
      <c r="B104" s="2">
        <v>4.28</v>
      </c>
      <c r="C104" s="2">
        <v>0</v>
      </c>
      <c r="D104" s="2">
        <v>0</v>
      </c>
      <c r="E104" s="2">
        <v>0</v>
      </c>
      <c r="F104" s="2">
        <v>0.4</v>
      </c>
      <c r="G104" s="2">
        <v>0.53</v>
      </c>
      <c r="H104" s="2">
        <f t="shared" si="6"/>
        <v>2.202308175293116</v>
      </c>
      <c r="I104" s="2">
        <f t="shared" si="7"/>
        <v>0.48009118448291138</v>
      </c>
      <c r="J104" s="2">
        <v>0</v>
      </c>
      <c r="K104" s="2">
        <v>0.21</v>
      </c>
      <c r="L104" s="2">
        <v>0</v>
      </c>
      <c r="M104" s="2">
        <v>0.31</v>
      </c>
      <c r="N104" s="2">
        <v>0</v>
      </c>
      <c r="O104" s="2">
        <v>0.27</v>
      </c>
      <c r="P104" s="2">
        <f t="shared" si="8"/>
        <v>-1.4656635723488121</v>
      </c>
      <c r="Q104" s="2">
        <f t="shared" si="9"/>
        <v>0.36180895582463124</v>
      </c>
      <c r="R104" s="2">
        <f t="shared" si="10"/>
        <v>-3.667971747641928</v>
      </c>
      <c r="S104">
        <f t="shared" si="11"/>
        <v>-0.66551247858567286</v>
      </c>
      <c r="U104">
        <v>-2.2515387669959646</v>
      </c>
    </row>
    <row r="105" spans="1:21" ht="13.9" x14ac:dyDescent="0.3">
      <c r="A105" s="2" t="s">
        <v>122</v>
      </c>
      <c r="B105" s="2">
        <v>5.93</v>
      </c>
      <c r="C105" s="2">
        <v>9.27</v>
      </c>
      <c r="D105" s="2">
        <v>1.46</v>
      </c>
      <c r="E105" s="2">
        <v>1.78</v>
      </c>
      <c r="F105" s="2">
        <v>2.54</v>
      </c>
      <c r="G105" s="2">
        <v>1.58</v>
      </c>
      <c r="H105" s="2">
        <f t="shared" si="6"/>
        <v>1.4976015411163437</v>
      </c>
      <c r="I105" s="2">
        <f t="shared" si="7"/>
        <v>0.19099388192462532</v>
      </c>
      <c r="J105" s="2">
        <v>0.36</v>
      </c>
      <c r="K105" s="2">
        <v>0</v>
      </c>
      <c r="L105" s="2">
        <v>0</v>
      </c>
      <c r="M105" s="2">
        <v>2.88</v>
      </c>
      <c r="N105" s="2">
        <v>0</v>
      </c>
      <c r="O105" s="2">
        <v>0.68</v>
      </c>
      <c r="P105" s="2">
        <f t="shared" si="8"/>
        <v>-3.3058084295240855</v>
      </c>
      <c r="Q105" s="2">
        <f t="shared" si="9"/>
        <v>0.2909207047722947</v>
      </c>
      <c r="R105" s="2">
        <f t="shared" si="10"/>
        <v>-4.8034099706404287</v>
      </c>
      <c r="S105">
        <f t="shared" si="11"/>
        <v>-2.207401861418937</v>
      </c>
      <c r="U105">
        <v>-1.4739311883324124</v>
      </c>
    </row>
    <row r="106" spans="1:21" ht="13.9" x14ac:dyDescent="0.3">
      <c r="A106" s="2" t="s">
        <v>123</v>
      </c>
      <c r="B106" s="2">
        <v>0</v>
      </c>
      <c r="C106" s="2">
        <v>5.61</v>
      </c>
      <c r="D106" s="2">
        <v>3.64</v>
      </c>
      <c r="E106" s="2">
        <v>0.39</v>
      </c>
      <c r="F106" s="2">
        <v>1.07</v>
      </c>
      <c r="G106" s="2">
        <v>0.63</v>
      </c>
      <c r="H106" s="2">
        <f t="shared" si="6"/>
        <v>2.145950423322792</v>
      </c>
      <c r="I106" s="2">
        <f t="shared" si="7"/>
        <v>0.22278789422708453</v>
      </c>
      <c r="J106" s="2">
        <v>0</v>
      </c>
      <c r="K106" s="2">
        <v>0</v>
      </c>
      <c r="L106" s="2">
        <v>0</v>
      </c>
      <c r="M106" s="2">
        <v>0.51</v>
      </c>
      <c r="N106" s="2">
        <v>0</v>
      </c>
      <c r="O106" s="2">
        <v>1.08</v>
      </c>
      <c r="P106" s="2" t="e">
        <f t="shared" si="8"/>
        <v>#NUM!</v>
      </c>
      <c r="Q106" s="2">
        <f t="shared" si="9"/>
        <v>0.16452799588312797</v>
      </c>
      <c r="R106" s="2" t="e">
        <f t="shared" si="10"/>
        <v>#NUM!</v>
      </c>
      <c r="S106" t="e">
        <f t="shared" si="11"/>
        <v>#NUM!</v>
      </c>
      <c r="U106" t="e">
        <v>#NUM!</v>
      </c>
    </row>
    <row r="107" spans="1:21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 t="e">
        <f t="shared" si="6"/>
        <v>#NUM!</v>
      </c>
      <c r="I107" s="2">
        <f t="shared" si="7"/>
        <v>0.37390096630005903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f t="shared" si="8"/>
        <v>#DIV/0!</v>
      </c>
      <c r="Q107" s="2" t="e">
        <f t="shared" si="9"/>
        <v>#DIV/0!</v>
      </c>
      <c r="R107" s="2" t="e">
        <f t="shared" si="10"/>
        <v>#DIV/0!</v>
      </c>
      <c r="S107" t="e">
        <f t="shared" si="11"/>
        <v>#DIV/0!</v>
      </c>
      <c r="U107" t="e">
        <v>#NUM!</v>
      </c>
    </row>
    <row r="108" spans="1:21" ht="13.9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1.18</v>
      </c>
      <c r="F108" s="2">
        <v>0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f t="shared" si="8"/>
        <v>#DIV/0!</v>
      </c>
      <c r="Q108" s="2" t="e">
        <f t="shared" si="9"/>
        <v>#DIV/0!</v>
      </c>
      <c r="R108" s="2" t="e">
        <f t="shared" si="10"/>
        <v>#DIV/0!</v>
      </c>
      <c r="S108" t="e">
        <f t="shared" si="11"/>
        <v>#DIV/0!</v>
      </c>
      <c r="U108" t="e">
        <v>#NUM!</v>
      </c>
    </row>
    <row r="109" spans="1:21" ht="13.9" x14ac:dyDescent="0.3">
      <c r="A109" s="2" t="s">
        <v>126</v>
      </c>
      <c r="B109" s="2">
        <v>0</v>
      </c>
      <c r="C109" s="2">
        <v>0</v>
      </c>
      <c r="D109" s="2">
        <v>4.01</v>
      </c>
      <c r="E109" s="2">
        <v>4.54</v>
      </c>
      <c r="F109" s="2">
        <v>5.21</v>
      </c>
      <c r="G109" s="2">
        <v>4.22</v>
      </c>
      <c r="H109" s="2">
        <f t="shared" si="6"/>
        <v>-1.8006578789545427</v>
      </c>
      <c r="I109" s="2">
        <f t="shared" si="7"/>
        <v>7.2239117902632127E-2</v>
      </c>
      <c r="J109" s="2">
        <v>0</v>
      </c>
      <c r="K109" s="2">
        <v>1.88</v>
      </c>
      <c r="L109" s="2">
        <v>0</v>
      </c>
      <c r="M109" s="2">
        <v>4.12</v>
      </c>
      <c r="N109" s="2">
        <v>0</v>
      </c>
      <c r="O109" s="2">
        <v>6.5</v>
      </c>
      <c r="P109" s="2">
        <f t="shared" si="8"/>
        <v>-2.4979791991265166</v>
      </c>
      <c r="Q109" s="2">
        <f t="shared" si="9"/>
        <v>0.21881952207358382</v>
      </c>
      <c r="R109" s="2">
        <f t="shared" si="10"/>
        <v>-0.6973213201719739</v>
      </c>
      <c r="S109">
        <f t="shared" si="11"/>
        <v>1.3872591947210078</v>
      </c>
      <c r="U109">
        <v>0.91073266190291258</v>
      </c>
    </row>
    <row r="110" spans="1:21" ht="13.9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e">
        <f t="shared" si="6"/>
        <v>#DIV/0!</v>
      </c>
      <c r="I110" s="2" t="e">
        <f t="shared" si="7"/>
        <v>#DIV/0!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0.54</v>
      </c>
      <c r="P110" s="2" t="e">
        <f t="shared" si="8"/>
        <v>#NUM!</v>
      </c>
      <c r="Q110" s="2">
        <f t="shared" si="9"/>
        <v>0.37390096630005903</v>
      </c>
      <c r="R110" s="2" t="e">
        <f t="shared" si="10"/>
        <v>#NUM!</v>
      </c>
      <c r="S110" t="e">
        <f t="shared" si="11"/>
        <v>#NUM!</v>
      </c>
      <c r="U110" t="e">
        <v>#NUM!</v>
      </c>
    </row>
    <row r="111" spans="1:21" ht="13.9" x14ac:dyDescent="0.3">
      <c r="A111" s="2" t="s">
        <v>128</v>
      </c>
      <c r="B111" s="2">
        <v>0</v>
      </c>
      <c r="C111" s="2">
        <v>14.39</v>
      </c>
      <c r="D111" s="2">
        <v>0</v>
      </c>
      <c r="E111" s="2">
        <v>8.8800000000000008</v>
      </c>
      <c r="F111" s="2">
        <v>7.35</v>
      </c>
      <c r="G111" s="2">
        <v>4</v>
      </c>
      <c r="H111" s="2">
        <f t="shared" si="6"/>
        <v>-0.49142972781798494</v>
      </c>
      <c r="I111" s="2">
        <f t="shared" si="7"/>
        <v>0.71731744067543968</v>
      </c>
      <c r="J111" s="2">
        <v>3.95</v>
      </c>
      <c r="K111" s="2">
        <v>9.42</v>
      </c>
      <c r="L111" s="2">
        <v>20.61</v>
      </c>
      <c r="M111" s="2">
        <v>6.89</v>
      </c>
      <c r="N111" s="2">
        <v>0</v>
      </c>
      <c r="O111" s="2">
        <v>8.39</v>
      </c>
      <c r="P111" s="2">
        <f t="shared" si="8"/>
        <v>1.1530413091484719</v>
      </c>
      <c r="Q111" s="2">
        <f t="shared" si="9"/>
        <v>0.32360749531682731</v>
      </c>
      <c r="R111" s="2">
        <f t="shared" si="10"/>
        <v>1.6444710369664568</v>
      </c>
      <c r="S111">
        <f t="shared" si="11"/>
        <v>-2.3462994684268139</v>
      </c>
      <c r="U111">
        <v>5.0866139474094965</v>
      </c>
    </row>
    <row r="112" spans="1:21" ht="13.9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0.39</v>
      </c>
      <c r="F112" s="2">
        <v>0</v>
      </c>
      <c r="G112" s="2">
        <v>0</v>
      </c>
      <c r="H112" s="2" t="e">
        <f t="shared" si="6"/>
        <v>#NUM!</v>
      </c>
      <c r="I112" s="2">
        <f t="shared" si="7"/>
        <v>0.37390096630005903</v>
      </c>
      <c r="J112" s="2">
        <v>0</v>
      </c>
      <c r="K112" s="2">
        <v>0</v>
      </c>
      <c r="L112" s="2">
        <v>0</v>
      </c>
      <c r="M112" s="2">
        <v>0.31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ht="13.9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6"/>
        <v>#DIV/0!</v>
      </c>
      <c r="I113" s="2" t="e">
        <f t="shared" si="7"/>
        <v>#DIV/0!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ht="13.9" x14ac:dyDescent="0.3">
      <c r="A114" s="2" t="s">
        <v>131</v>
      </c>
      <c r="B114" s="2">
        <v>0.66</v>
      </c>
      <c r="C114" s="2">
        <v>0</v>
      </c>
      <c r="D114" s="2">
        <v>0</v>
      </c>
      <c r="E114" s="2">
        <v>0.1</v>
      </c>
      <c r="F114" s="2">
        <v>0</v>
      </c>
      <c r="G114" s="2">
        <v>0</v>
      </c>
      <c r="H114" s="2">
        <f t="shared" si="6"/>
        <v>2.7224660244710912</v>
      </c>
      <c r="I114" s="2">
        <f t="shared" si="7"/>
        <v>0.4487286656139175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f t="shared" si="8"/>
        <v>#DIV/0!</v>
      </c>
      <c r="Q114" s="2" t="e">
        <f t="shared" si="9"/>
        <v>#DIV/0!</v>
      </c>
      <c r="R114" s="2" t="e">
        <f t="shared" si="10"/>
        <v>#DIV/0!</v>
      </c>
      <c r="S114" t="e">
        <f t="shared" si="11"/>
        <v>#DIV/0!</v>
      </c>
      <c r="U114" t="e">
        <v>#NUM!</v>
      </c>
    </row>
    <row r="115" spans="1:21" ht="13.9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0.3</v>
      </c>
      <c r="F115" s="2">
        <v>0.13</v>
      </c>
      <c r="G115" s="2">
        <v>0</v>
      </c>
      <c r="H115" s="2" t="e">
        <f t="shared" si="6"/>
        <v>#NUM!</v>
      </c>
      <c r="I115" s="2">
        <f t="shared" si="7"/>
        <v>0.17424917661275183</v>
      </c>
      <c r="J115" s="2">
        <v>0</v>
      </c>
      <c r="K115" s="2">
        <v>0</v>
      </c>
      <c r="L115" s="2">
        <v>0</v>
      </c>
      <c r="M115" s="2">
        <v>0.72</v>
      </c>
      <c r="N115" s="2">
        <v>0</v>
      </c>
      <c r="O115" s="2">
        <v>0</v>
      </c>
      <c r="P115" s="2" t="e">
        <f t="shared" si="8"/>
        <v>#NUM!</v>
      </c>
      <c r="Q115" s="2">
        <f t="shared" si="9"/>
        <v>0.37390096630005903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ht="13.9" x14ac:dyDescent="0.3">
      <c r="A116" s="2" t="s">
        <v>133</v>
      </c>
      <c r="B116" s="2">
        <v>9.56</v>
      </c>
      <c r="C116" s="2">
        <v>18.54</v>
      </c>
      <c r="D116" s="2">
        <v>32.770000000000003</v>
      </c>
      <c r="E116" s="2">
        <v>4.9400000000000004</v>
      </c>
      <c r="F116" s="2">
        <v>7.22</v>
      </c>
      <c r="G116" s="2">
        <v>4</v>
      </c>
      <c r="H116" s="2">
        <f t="shared" si="6"/>
        <v>1.9133041677260203</v>
      </c>
      <c r="I116" s="2">
        <f t="shared" si="7"/>
        <v>9.4337614919119947E-2</v>
      </c>
      <c r="J116" s="2">
        <v>15.27</v>
      </c>
      <c r="K116" s="2">
        <v>12.14</v>
      </c>
      <c r="L116" s="2">
        <v>0</v>
      </c>
      <c r="M116" s="2">
        <v>7.2</v>
      </c>
      <c r="N116" s="2">
        <v>0</v>
      </c>
      <c r="O116" s="2">
        <v>3.38</v>
      </c>
      <c r="P116" s="2">
        <f t="shared" si="8"/>
        <v>1.3733627007117495</v>
      </c>
      <c r="Q116" s="2">
        <f t="shared" si="9"/>
        <v>0.33309557176078197</v>
      </c>
      <c r="R116" s="2">
        <f t="shared" si="10"/>
        <v>-0.53994146701427082</v>
      </c>
      <c r="S116">
        <f t="shared" si="11"/>
        <v>0.71779632526698756</v>
      </c>
      <c r="U116">
        <v>4.776630423051051</v>
      </c>
    </row>
    <row r="117" spans="1:21" ht="13.9" x14ac:dyDescent="0.3">
      <c r="A117" s="2" t="s">
        <v>134</v>
      </c>
      <c r="B117" s="2">
        <v>0.33</v>
      </c>
      <c r="C117" s="2">
        <v>25.37</v>
      </c>
      <c r="D117" s="2">
        <v>0.18</v>
      </c>
      <c r="E117" s="2">
        <v>4.84</v>
      </c>
      <c r="F117" s="2">
        <v>7.22</v>
      </c>
      <c r="G117" s="2">
        <v>6.11</v>
      </c>
      <c r="H117" s="2">
        <f t="shared" si="6"/>
        <v>0.51027919775839192</v>
      </c>
      <c r="I117" s="2">
        <f t="shared" si="7"/>
        <v>0.77490244281197251</v>
      </c>
      <c r="J117" s="2">
        <v>41.14</v>
      </c>
      <c r="K117" s="2">
        <v>26.79</v>
      </c>
      <c r="L117" s="2">
        <v>50.27</v>
      </c>
      <c r="M117" s="2">
        <v>3.91</v>
      </c>
      <c r="N117" s="2">
        <v>40.880000000000003</v>
      </c>
      <c r="O117" s="2">
        <v>8.8000000000000007</v>
      </c>
      <c r="P117" s="2">
        <f t="shared" si="8"/>
        <v>1.1411943143536019</v>
      </c>
      <c r="Q117" s="2">
        <f t="shared" si="9"/>
        <v>0.18480205764301669</v>
      </c>
      <c r="R117" s="2">
        <f t="shared" si="10"/>
        <v>0.63091511659520993</v>
      </c>
      <c r="S117">
        <f t="shared" si="11"/>
        <v>2.2364115946069529</v>
      </c>
      <c r="U117">
        <v>6.8850862252901708</v>
      </c>
    </row>
    <row r="118" spans="1:21" ht="13.9" x14ac:dyDescent="0.3">
      <c r="A118" s="2" t="s">
        <v>135</v>
      </c>
      <c r="B118" s="2">
        <v>115.36</v>
      </c>
      <c r="C118" s="2">
        <v>23.66</v>
      </c>
      <c r="D118" s="2">
        <v>60.26</v>
      </c>
      <c r="E118" s="2">
        <v>119.45</v>
      </c>
      <c r="F118" s="2">
        <v>71.930000000000007</v>
      </c>
      <c r="G118" s="2">
        <v>72.510000000000005</v>
      </c>
      <c r="H118" s="2">
        <f t="shared" si="6"/>
        <v>-0.4051397546898951</v>
      </c>
      <c r="I118" s="2">
        <f t="shared" si="7"/>
        <v>0.52487972098099622</v>
      </c>
      <c r="J118" s="2">
        <v>43.84</v>
      </c>
      <c r="K118" s="2">
        <v>54.62</v>
      </c>
      <c r="L118" s="2">
        <v>58.32</v>
      </c>
      <c r="M118" s="2">
        <v>39.92</v>
      </c>
      <c r="N118" s="2">
        <v>81.75</v>
      </c>
      <c r="O118" s="2">
        <v>79.72</v>
      </c>
      <c r="P118" s="2">
        <f t="shared" si="8"/>
        <v>-0.36125051775571398</v>
      </c>
      <c r="Q118" s="2">
        <f t="shared" si="9"/>
        <v>0.3569324739109343</v>
      </c>
      <c r="R118" s="2">
        <f t="shared" si="10"/>
        <v>4.3889236934181119E-2</v>
      </c>
      <c r="S118">
        <f t="shared" si="11"/>
        <v>0.89166889591525</v>
      </c>
      <c r="U118">
        <v>7.2925977202664534</v>
      </c>
    </row>
    <row r="119" spans="1:21" ht="13.9" x14ac:dyDescent="0.3">
      <c r="A119" s="2" t="s">
        <v>136</v>
      </c>
      <c r="B119" s="2">
        <v>1715.97</v>
      </c>
      <c r="C119" s="2">
        <v>2416.6799999999998</v>
      </c>
      <c r="D119" s="2">
        <v>1338.72</v>
      </c>
      <c r="E119" s="2">
        <v>1555.36</v>
      </c>
      <c r="F119" s="2">
        <v>2087.56</v>
      </c>
      <c r="G119" s="2">
        <v>1738.97</v>
      </c>
      <c r="H119" s="2">
        <f t="shared" si="6"/>
        <v>2.3789216747136712E-2</v>
      </c>
      <c r="I119" s="2">
        <f t="shared" si="7"/>
        <v>0.93659336366558221</v>
      </c>
      <c r="J119" s="2">
        <v>1053.1300000000001</v>
      </c>
      <c r="K119" s="2">
        <v>1918.69</v>
      </c>
      <c r="L119" s="2">
        <v>2716.82</v>
      </c>
      <c r="M119" s="2">
        <v>1360.71</v>
      </c>
      <c r="N119" s="2">
        <v>35889.47</v>
      </c>
      <c r="O119" s="2">
        <v>3015.14</v>
      </c>
      <c r="P119" s="2">
        <f t="shared" si="8"/>
        <v>-2.8233821094556268</v>
      </c>
      <c r="Q119" s="2">
        <f t="shared" si="9"/>
        <v>0.36367556426237407</v>
      </c>
      <c r="R119" s="2">
        <f t="shared" si="10"/>
        <v>-2.8471713262027634</v>
      </c>
      <c r="S119">
        <f t="shared" si="11"/>
        <v>-118.6832731596954</v>
      </c>
      <c r="U119">
        <v>12.473868069043629</v>
      </c>
    </row>
    <row r="120" spans="1:21" ht="13.9" x14ac:dyDescent="0.3">
      <c r="A120" s="2" t="s">
        <v>137</v>
      </c>
      <c r="B120" s="2">
        <v>48.45</v>
      </c>
      <c r="C120" s="2">
        <v>35.619999999999997</v>
      </c>
      <c r="D120" s="2">
        <v>41.33</v>
      </c>
      <c r="E120" s="2">
        <v>44.62</v>
      </c>
      <c r="F120" s="2">
        <v>42.65</v>
      </c>
      <c r="G120" s="2">
        <v>47</v>
      </c>
      <c r="H120" s="2">
        <f t="shared" si="6"/>
        <v>-9.8599650698407051E-2</v>
      </c>
      <c r="I120" s="2">
        <f t="shared" si="7"/>
        <v>0.49250711019916571</v>
      </c>
      <c r="J120" s="2">
        <v>41.86</v>
      </c>
      <c r="K120" s="2">
        <v>52.53</v>
      </c>
      <c r="L120" s="2">
        <v>36.200000000000003</v>
      </c>
      <c r="M120" s="2">
        <v>42.39</v>
      </c>
      <c r="N120" s="2">
        <v>40.880000000000003</v>
      </c>
      <c r="O120" s="2">
        <v>45.75</v>
      </c>
      <c r="P120" s="2">
        <f t="shared" si="8"/>
        <v>1.7449703998578234E-2</v>
      </c>
      <c r="Q120" s="2">
        <f t="shared" si="9"/>
        <v>0.92166478386296058</v>
      </c>
      <c r="R120" s="2">
        <f t="shared" si="10"/>
        <v>0.11604935469698528</v>
      </c>
      <c r="S120">
        <f t="shared" si="11"/>
        <v>-0.17697531253891294</v>
      </c>
      <c r="U120">
        <v>7.028900615734333</v>
      </c>
    </row>
    <row r="121" spans="1:21" ht="13.9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1.97</v>
      </c>
      <c r="F121" s="2">
        <v>0.4</v>
      </c>
      <c r="G121" s="2">
        <v>1.1599999999999999</v>
      </c>
      <c r="H121" s="2" t="e">
        <f t="shared" si="6"/>
        <v>#NUM!</v>
      </c>
      <c r="I121" s="2">
        <f t="shared" si="7"/>
        <v>6.0314302998405456E-2</v>
      </c>
      <c r="J121" s="2">
        <v>0</v>
      </c>
      <c r="K121" s="2">
        <v>0.21</v>
      </c>
      <c r="L121" s="2">
        <v>0</v>
      </c>
      <c r="M121" s="2">
        <v>0.41</v>
      </c>
      <c r="N121" s="2">
        <v>0</v>
      </c>
      <c r="O121" s="2">
        <v>2.2999999999999998</v>
      </c>
      <c r="P121" s="2">
        <f t="shared" si="8"/>
        <v>-3.6898316185751114</v>
      </c>
      <c r="Q121" s="2">
        <f t="shared" si="9"/>
        <v>0.30665651032988844</v>
      </c>
      <c r="R121" s="2" t="e">
        <f t="shared" si="10"/>
        <v>#NUM!</v>
      </c>
      <c r="S121" t="e">
        <f t="shared" si="11"/>
        <v>#NUM!</v>
      </c>
      <c r="U121">
        <v>-2.2515387669959646</v>
      </c>
    </row>
    <row r="122" spans="1:21" ht="13.9" x14ac:dyDescent="0.3">
      <c r="A122" s="2" t="s">
        <v>139</v>
      </c>
      <c r="B122" s="2">
        <v>1013.56</v>
      </c>
      <c r="C122" s="2">
        <v>413.51</v>
      </c>
      <c r="D122" s="2">
        <v>908.5</v>
      </c>
      <c r="E122" s="2">
        <v>496.64</v>
      </c>
      <c r="F122" s="2">
        <v>315.27999999999997</v>
      </c>
      <c r="G122" s="2">
        <v>448.52</v>
      </c>
      <c r="H122" s="2">
        <f t="shared" si="6"/>
        <v>0.88984724114012403</v>
      </c>
      <c r="I122" s="2">
        <f t="shared" si="7"/>
        <v>0.13658555889718541</v>
      </c>
      <c r="J122" s="2">
        <v>525.66999999999996</v>
      </c>
      <c r="K122" s="2">
        <v>616.33000000000004</v>
      </c>
      <c r="L122" s="2">
        <v>843.1</v>
      </c>
      <c r="M122" s="2">
        <v>468.35</v>
      </c>
      <c r="N122" s="2">
        <v>10832.24</v>
      </c>
      <c r="O122" s="2">
        <v>359.62</v>
      </c>
      <c r="P122" s="2">
        <f t="shared" si="8"/>
        <v>-2.5543101811616662</v>
      </c>
      <c r="Q122" s="2">
        <f t="shared" si="9"/>
        <v>0.4058023043233821</v>
      </c>
      <c r="R122" s="2">
        <f t="shared" si="10"/>
        <v>-3.4441574223017901</v>
      </c>
      <c r="S122">
        <f t="shared" si="11"/>
        <v>-2.8705041304493291</v>
      </c>
      <c r="U122">
        <v>10.954995970050582</v>
      </c>
    </row>
    <row r="123" spans="1:21" ht="13.9" x14ac:dyDescent="0.3">
      <c r="A123" s="2" t="s">
        <v>140</v>
      </c>
      <c r="B123" s="2">
        <v>453.55</v>
      </c>
      <c r="C123" s="2">
        <v>400.58</v>
      </c>
      <c r="D123" s="2">
        <v>260.17</v>
      </c>
      <c r="E123" s="2">
        <v>394.86</v>
      </c>
      <c r="F123" s="2">
        <v>228.1</v>
      </c>
      <c r="G123" s="2">
        <v>332.81</v>
      </c>
      <c r="H123" s="2">
        <f t="shared" si="6"/>
        <v>0.22140230823285223</v>
      </c>
      <c r="I123" s="2">
        <f t="shared" si="7"/>
        <v>0.52242592803486354</v>
      </c>
      <c r="J123" s="2">
        <v>229.78</v>
      </c>
      <c r="K123" s="2">
        <v>348.45</v>
      </c>
      <c r="L123" s="2">
        <v>358.46</v>
      </c>
      <c r="M123" s="2">
        <v>297.56</v>
      </c>
      <c r="N123" s="2">
        <v>42511.45</v>
      </c>
      <c r="O123" s="2">
        <v>255</v>
      </c>
      <c r="P123" s="2">
        <f t="shared" si="8"/>
        <v>-5.5227671920693719</v>
      </c>
      <c r="Q123" s="2">
        <f t="shared" si="9"/>
        <v>0.37500068654065061</v>
      </c>
      <c r="R123" s="2">
        <f t="shared" si="10"/>
        <v>-5.744169500302224</v>
      </c>
      <c r="S123">
        <f t="shared" si="11"/>
        <v>-24.944487869841865</v>
      </c>
      <c r="U123">
        <v>9.8714278529618724</v>
      </c>
    </row>
    <row r="124" spans="1:21" ht="13.9" x14ac:dyDescent="0.3">
      <c r="A124" s="2" t="s">
        <v>141</v>
      </c>
      <c r="B124" s="2">
        <v>27666.15</v>
      </c>
      <c r="C124" s="2">
        <v>31697.439999999999</v>
      </c>
      <c r="D124" s="2">
        <v>27150.62</v>
      </c>
      <c r="E124" s="2">
        <v>34934.629999999997</v>
      </c>
      <c r="F124" s="2">
        <v>36247.47</v>
      </c>
      <c r="G124" s="2">
        <v>34512.76</v>
      </c>
      <c r="H124" s="2">
        <f t="shared" si="6"/>
        <v>-0.28889619869278099</v>
      </c>
      <c r="I124" s="2">
        <f t="shared" si="7"/>
        <v>1.3912486084154321E-2</v>
      </c>
      <c r="J124" s="2">
        <v>22950.22</v>
      </c>
      <c r="K124" s="2">
        <v>34979.019999999997</v>
      </c>
      <c r="L124" s="2">
        <v>31510.86</v>
      </c>
      <c r="M124" s="2">
        <v>36692.68</v>
      </c>
      <c r="N124" s="2">
        <v>26201.77</v>
      </c>
      <c r="O124" s="2">
        <v>38539.879999999997</v>
      </c>
      <c r="P124" s="2">
        <f t="shared" si="8"/>
        <v>-0.18155230241362844</v>
      </c>
      <c r="Q124" s="2">
        <f t="shared" si="9"/>
        <v>0.48858854688291076</v>
      </c>
      <c r="R124" s="2">
        <f t="shared" si="10"/>
        <v>0.10734389627915256</v>
      </c>
      <c r="S124">
        <f t="shared" si="11"/>
        <v>0.62843437620546683</v>
      </c>
      <c r="U124">
        <v>16.448634180760777</v>
      </c>
    </row>
    <row r="125" spans="1:21" ht="13.9" x14ac:dyDescent="0.3">
      <c r="A125" s="2" t="s">
        <v>142</v>
      </c>
      <c r="B125" s="2">
        <v>32.299999999999997</v>
      </c>
      <c r="C125" s="2">
        <v>0.24</v>
      </c>
      <c r="D125" s="2">
        <v>15.66</v>
      </c>
      <c r="E125" s="2">
        <v>10.96</v>
      </c>
      <c r="F125" s="2">
        <v>0.53</v>
      </c>
      <c r="G125" s="2">
        <v>5.69</v>
      </c>
      <c r="H125" s="2">
        <f t="shared" si="6"/>
        <v>1.4883031099788604</v>
      </c>
      <c r="I125" s="2">
        <f t="shared" si="7"/>
        <v>0.34802006366188409</v>
      </c>
      <c r="J125" s="2">
        <v>20.3</v>
      </c>
      <c r="K125" s="2">
        <v>31.39</v>
      </c>
      <c r="L125" s="2">
        <v>10.56</v>
      </c>
      <c r="M125" s="2">
        <v>3.4</v>
      </c>
      <c r="N125" s="2">
        <v>0</v>
      </c>
      <c r="O125" s="2">
        <v>0.68</v>
      </c>
      <c r="P125" s="2">
        <f t="shared" si="8"/>
        <v>3.9314327798713098</v>
      </c>
      <c r="Q125" s="2">
        <f t="shared" si="9"/>
        <v>3.3682949519537216E-2</v>
      </c>
      <c r="R125" s="2">
        <f t="shared" si="10"/>
        <v>2.4431296698924494</v>
      </c>
      <c r="S125">
        <f t="shared" si="11"/>
        <v>2.6415538296679038</v>
      </c>
      <c r="U125">
        <v>5.9600019320680806</v>
      </c>
    </row>
    <row r="126" spans="1:21" ht="13.9" x14ac:dyDescent="0.3">
      <c r="A126" s="2" t="s">
        <v>143</v>
      </c>
      <c r="B126" s="2">
        <v>0.33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 t="e">
        <f t="shared" si="6"/>
        <v>#DIV/0!</v>
      </c>
      <c r="I126" s="2">
        <f t="shared" si="7"/>
        <v>0.37390096630005903</v>
      </c>
      <c r="J126" s="2">
        <v>0.18</v>
      </c>
      <c r="K126" s="2">
        <v>0.21</v>
      </c>
      <c r="L126" s="2">
        <v>0</v>
      </c>
      <c r="M126" s="2">
        <v>0.1</v>
      </c>
      <c r="N126" s="2">
        <v>0</v>
      </c>
      <c r="O126" s="2">
        <v>0.27</v>
      </c>
      <c r="P126" s="2">
        <f t="shared" si="8"/>
        <v>7.594885323329871E-2</v>
      </c>
      <c r="Q126" s="2">
        <f t="shared" si="9"/>
        <v>0.95127370660671695</v>
      </c>
      <c r="R126" s="2" t="e">
        <f t="shared" si="10"/>
        <v>#DIV/0!</v>
      </c>
      <c r="S126" t="e">
        <f t="shared" si="11"/>
        <v>#DIV/0!</v>
      </c>
      <c r="U126">
        <v>-1.3584539709124763</v>
      </c>
    </row>
    <row r="127" spans="1:21" ht="13.9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0.89</v>
      </c>
      <c r="F127" s="2">
        <v>0.4</v>
      </c>
      <c r="G127" s="2">
        <v>0.84</v>
      </c>
      <c r="H127" s="2" t="e">
        <f t="shared" si="6"/>
        <v>#NUM!</v>
      </c>
      <c r="I127" s="2">
        <f t="shared" si="7"/>
        <v>1.0331685170671123E-2</v>
      </c>
      <c r="J127" s="2">
        <v>0</v>
      </c>
      <c r="K127" s="2">
        <v>1.05</v>
      </c>
      <c r="L127" s="2">
        <v>1.51</v>
      </c>
      <c r="M127" s="2">
        <v>0.62</v>
      </c>
      <c r="N127" s="2">
        <v>0</v>
      </c>
      <c r="O127" s="2">
        <v>1.22</v>
      </c>
      <c r="P127" s="2">
        <f t="shared" si="8"/>
        <v>0.47643804394298733</v>
      </c>
      <c r="Q127" s="2">
        <f t="shared" si="9"/>
        <v>0.69484098685753182</v>
      </c>
      <c r="R127" s="2" t="e">
        <f t="shared" si="10"/>
        <v>#NUM!</v>
      </c>
      <c r="S127" t="e">
        <f t="shared" si="11"/>
        <v>#NUM!</v>
      </c>
      <c r="U127">
        <v>1.3561438102252754</v>
      </c>
    </row>
    <row r="128" spans="1:21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0.81</v>
      </c>
      <c r="P128" s="2" t="e">
        <f t="shared" si="8"/>
        <v>#NUM!</v>
      </c>
      <c r="Q128" s="2">
        <f t="shared" si="9"/>
        <v>0.37390096630005903</v>
      </c>
      <c r="R128" s="2" t="e">
        <f t="shared" si="10"/>
        <v>#NUM!</v>
      </c>
      <c r="S128" t="e">
        <f t="shared" si="11"/>
        <v>#NUM!</v>
      </c>
      <c r="U128" t="e">
        <v>#NUM!</v>
      </c>
    </row>
    <row r="129" spans="1:21" ht="13.9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6"/>
        <v>#DIV/0!</v>
      </c>
      <c r="I129" s="2" t="e">
        <f t="shared" si="7"/>
        <v>#DIV/0!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ht="13.9" x14ac:dyDescent="0.3">
      <c r="A130" s="2" t="s">
        <v>147</v>
      </c>
      <c r="B130" s="2">
        <v>441.35</v>
      </c>
      <c r="C130" s="2">
        <v>338.37</v>
      </c>
      <c r="D130" s="2">
        <v>330.63</v>
      </c>
      <c r="E130" s="2">
        <v>802.65</v>
      </c>
      <c r="F130" s="2">
        <v>854.92</v>
      </c>
      <c r="G130" s="2">
        <v>953.95</v>
      </c>
      <c r="H130" s="2">
        <f t="shared" ref="H130:H193" si="12">LOG(SUM(B130:D130)/SUM(E130:G130),2)</f>
        <v>-1.2338752437392979</v>
      </c>
      <c r="I130" s="2">
        <f t="shared" ref="I130:I193" si="13">_xlfn.T.TEST(B130:D130,E130:G130,2,2)</f>
        <v>9.2455658782666429E-4</v>
      </c>
      <c r="J130" s="2">
        <v>201.03</v>
      </c>
      <c r="K130" s="2">
        <v>279.18</v>
      </c>
      <c r="L130" s="2">
        <v>463.03</v>
      </c>
      <c r="M130" s="2">
        <v>488.11</v>
      </c>
      <c r="N130" s="2">
        <v>408.76</v>
      </c>
      <c r="O130" s="2">
        <v>856.62</v>
      </c>
      <c r="P130" s="2">
        <f t="shared" ref="P130:P193" si="14">LOG(SUM(J130:L130)/SUM(M130:O130),2)</f>
        <v>-0.89453239792183881</v>
      </c>
      <c r="Q130" s="2">
        <f t="shared" ref="Q130:Q193" si="15">_xlfn.T.TEST(J130:L130,M130:O130,2,2)</f>
        <v>0.16323548299553928</v>
      </c>
      <c r="R130" s="2">
        <f t="shared" si="10"/>
        <v>0.3393428458174591</v>
      </c>
      <c r="S130">
        <f t="shared" si="11"/>
        <v>0.72497799308374977</v>
      </c>
      <c r="U130">
        <v>9.8814810897908849</v>
      </c>
    </row>
    <row r="131" spans="1:21" ht="13.9" x14ac:dyDescent="0.3">
      <c r="A131" s="2" t="s">
        <v>148</v>
      </c>
      <c r="B131" s="2">
        <v>0</v>
      </c>
      <c r="C131" s="2">
        <v>0</v>
      </c>
      <c r="D131" s="2">
        <v>0</v>
      </c>
      <c r="E131" s="2">
        <v>2.4700000000000002</v>
      </c>
      <c r="F131" s="2">
        <v>3.08</v>
      </c>
      <c r="G131" s="2">
        <v>2.74</v>
      </c>
      <c r="H131" s="2" t="e">
        <f t="shared" si="12"/>
        <v>#NUM!</v>
      </c>
      <c r="I131" s="2">
        <f t="shared" si="13"/>
        <v>9.7154255579387554E-5</v>
      </c>
      <c r="J131" s="2">
        <v>0</v>
      </c>
      <c r="K131" s="2">
        <v>0</v>
      </c>
      <c r="L131" s="2">
        <v>30.16</v>
      </c>
      <c r="M131" s="2">
        <v>1.75</v>
      </c>
      <c r="N131" s="2">
        <v>0</v>
      </c>
      <c r="O131" s="2">
        <v>2.84</v>
      </c>
      <c r="P131" s="2">
        <f t="shared" si="14"/>
        <v>2.7160703698548563</v>
      </c>
      <c r="Q131" s="2">
        <f t="shared" si="15"/>
        <v>0.44571282770982967</v>
      </c>
      <c r="R131" s="2" t="e">
        <f t="shared" ref="R131:R194" si="16">P131-H131</f>
        <v>#NUM!</v>
      </c>
      <c r="S131" t="e">
        <f t="shared" si="11"/>
        <v>#NUM!</v>
      </c>
      <c r="U131">
        <v>4.9145645234939392</v>
      </c>
    </row>
    <row r="132" spans="1:21" ht="13.9" x14ac:dyDescent="0.3">
      <c r="A132" s="2" t="s">
        <v>149</v>
      </c>
      <c r="B132" s="2">
        <v>4844.34</v>
      </c>
      <c r="C132" s="2">
        <v>7090.74</v>
      </c>
      <c r="D132" s="2">
        <v>5312.47</v>
      </c>
      <c r="E132" s="2">
        <v>12831.5</v>
      </c>
      <c r="F132" s="2">
        <v>13324.27</v>
      </c>
      <c r="G132" s="2">
        <v>14612.51</v>
      </c>
      <c r="H132" s="2">
        <f t="shared" si="12"/>
        <v>-1.2410556484674258</v>
      </c>
      <c r="I132" s="2">
        <f t="shared" si="13"/>
        <v>8.2519973992611299E-4</v>
      </c>
      <c r="J132" s="2">
        <v>4694.3500000000004</v>
      </c>
      <c r="K132" s="2">
        <v>7137.32</v>
      </c>
      <c r="L132" s="2">
        <v>6295.84</v>
      </c>
      <c r="M132" s="2">
        <v>10571.28</v>
      </c>
      <c r="N132" s="2">
        <v>7439.5</v>
      </c>
      <c r="O132" s="2">
        <v>12405.17</v>
      </c>
      <c r="P132" s="2">
        <f t="shared" si="14"/>
        <v>-0.74664729580734457</v>
      </c>
      <c r="Q132" s="2">
        <f t="shared" si="15"/>
        <v>6.4456945291516854E-2</v>
      </c>
      <c r="R132" s="2">
        <f t="shared" si="16"/>
        <v>0.49440835266008121</v>
      </c>
      <c r="S132">
        <f t="shared" ref="S132:S195" si="17">P132/H132</f>
        <v>0.60162273684453715</v>
      </c>
      <c r="U132">
        <v>14.145893149233787</v>
      </c>
    </row>
    <row r="133" spans="1:21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 t="e">
        <f t="shared" si="12"/>
        <v>#NUM!</v>
      </c>
      <c r="I133" s="2">
        <f t="shared" si="13"/>
        <v>0.37390096630005903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f t="shared" si="14"/>
        <v>#DIV/0!</v>
      </c>
      <c r="Q133" s="2" t="e">
        <f t="shared" si="15"/>
        <v>#DIV/0!</v>
      </c>
      <c r="R133" s="2" t="e">
        <f t="shared" si="16"/>
        <v>#DIV/0!</v>
      </c>
      <c r="S133" t="e">
        <f t="shared" si="17"/>
        <v>#DIV/0!</v>
      </c>
      <c r="U133" t="e">
        <v>#NUM!</v>
      </c>
    </row>
    <row r="134" spans="1:21" ht="13.9" x14ac:dyDescent="0.3">
      <c r="A134" s="2" t="s">
        <v>151</v>
      </c>
      <c r="B134" s="2">
        <v>164978.38</v>
      </c>
      <c r="C134" s="2">
        <v>283447.26</v>
      </c>
      <c r="D134" s="2">
        <v>190839.22</v>
      </c>
      <c r="E134" s="2">
        <v>485250.17</v>
      </c>
      <c r="F134" s="2">
        <v>498712.81</v>
      </c>
      <c r="G134" s="2">
        <v>474124.89</v>
      </c>
      <c r="H134" s="2">
        <f t="shared" si="12"/>
        <v>-1.189591967587156</v>
      </c>
      <c r="I134" s="2">
        <f t="shared" si="13"/>
        <v>1.7381233865640081E-3</v>
      </c>
      <c r="J134" s="2">
        <v>167017.59</v>
      </c>
      <c r="K134" s="2">
        <v>219498.55</v>
      </c>
      <c r="L134" s="2">
        <v>196217.17</v>
      </c>
      <c r="M134" s="2">
        <v>546281.47</v>
      </c>
      <c r="N134" s="2">
        <v>186478.09</v>
      </c>
      <c r="O134" s="2">
        <v>475505.43</v>
      </c>
      <c r="P134" s="2">
        <f t="shared" si="14"/>
        <v>-1.0520292082771188</v>
      </c>
      <c r="Q134" s="2">
        <f t="shared" si="15"/>
        <v>0.13376183828117807</v>
      </c>
      <c r="R134" s="2">
        <f t="shared" si="16"/>
        <v>0.13756275931003725</v>
      </c>
      <c r="S134">
        <f t="shared" si="17"/>
        <v>0.88436139192411056</v>
      </c>
      <c r="U134">
        <v>19.152476254314259</v>
      </c>
    </row>
    <row r="135" spans="1:21" ht="13.9" x14ac:dyDescent="0.3">
      <c r="A135" s="2" t="s">
        <v>152</v>
      </c>
      <c r="B135" s="2">
        <v>0</v>
      </c>
      <c r="C135" s="2">
        <v>0</v>
      </c>
      <c r="D135" s="2">
        <v>4.92</v>
      </c>
      <c r="E135" s="2">
        <v>1.28</v>
      </c>
      <c r="F135" s="2">
        <v>1.87</v>
      </c>
      <c r="G135" s="2">
        <v>1.48</v>
      </c>
      <c r="H135" s="2">
        <f t="shared" si="12"/>
        <v>8.7646122079003241E-2</v>
      </c>
      <c r="I135" s="2">
        <f t="shared" si="13"/>
        <v>0.95606871624694367</v>
      </c>
      <c r="J135" s="2">
        <v>0</v>
      </c>
      <c r="K135" s="2">
        <v>0</v>
      </c>
      <c r="L135" s="2">
        <v>12.57</v>
      </c>
      <c r="M135" s="2">
        <v>0.72</v>
      </c>
      <c r="N135" s="2">
        <v>0</v>
      </c>
      <c r="O135" s="2">
        <v>0</v>
      </c>
      <c r="P135" s="2">
        <f t="shared" si="14"/>
        <v>4.1258439329781957</v>
      </c>
      <c r="Q135" s="2">
        <f t="shared" si="15"/>
        <v>0.39990288398116736</v>
      </c>
      <c r="R135" s="2">
        <f t="shared" si="16"/>
        <v>4.0381978108991925</v>
      </c>
      <c r="S135">
        <f t="shared" si="17"/>
        <v>47.073890265894548</v>
      </c>
      <c r="U135">
        <v>3.6519127446457831</v>
      </c>
    </row>
    <row r="136" spans="1:21" ht="13.9" x14ac:dyDescent="0.3">
      <c r="A136" s="2" t="s">
        <v>153</v>
      </c>
      <c r="B136" s="2">
        <v>1507.98</v>
      </c>
      <c r="C136" s="2">
        <v>1860.21</v>
      </c>
      <c r="D136" s="2">
        <v>1320.34</v>
      </c>
      <c r="E136" s="2">
        <v>1494.45</v>
      </c>
      <c r="F136" s="2">
        <v>1615.98</v>
      </c>
      <c r="G136" s="2">
        <v>1507.23</v>
      </c>
      <c r="H136" s="2">
        <f t="shared" si="12"/>
        <v>2.1973713005274158E-2</v>
      </c>
      <c r="I136" s="2">
        <f t="shared" si="13"/>
        <v>0.89169269643824378</v>
      </c>
      <c r="J136" s="2">
        <v>894.32</v>
      </c>
      <c r="K136" s="2">
        <v>1642.86</v>
      </c>
      <c r="L136" s="2">
        <v>2201.5100000000002</v>
      </c>
      <c r="M136" s="2">
        <v>1373.47</v>
      </c>
      <c r="N136" s="2">
        <v>490.52</v>
      </c>
      <c r="O136" s="2">
        <v>1842.49</v>
      </c>
      <c r="P136" s="2">
        <f t="shared" si="14"/>
        <v>0.35443855780948397</v>
      </c>
      <c r="Q136" s="2">
        <f t="shared" si="15"/>
        <v>0.56426148138273435</v>
      </c>
      <c r="R136" s="2">
        <f t="shared" si="16"/>
        <v>0.33246484480420979</v>
      </c>
      <c r="S136">
        <f t="shared" si="17"/>
        <v>16.130116822969846</v>
      </c>
      <c r="U136">
        <v>12.210272569162631</v>
      </c>
    </row>
    <row r="137" spans="1:21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 t="e">
        <f t="shared" si="12"/>
        <v>#NUM!</v>
      </c>
      <c r="I137" s="2">
        <f t="shared" si="13"/>
        <v>0.11654392153981484</v>
      </c>
      <c r="J137" s="2">
        <v>0</v>
      </c>
      <c r="K137" s="2">
        <v>0</v>
      </c>
      <c r="L137" s="2">
        <v>0</v>
      </c>
      <c r="M137" s="2">
        <v>0.1</v>
      </c>
      <c r="N137" s="2">
        <v>0</v>
      </c>
      <c r="O137" s="2">
        <v>0</v>
      </c>
      <c r="P137" s="2" t="e">
        <f t="shared" si="14"/>
        <v>#NUM!</v>
      </c>
      <c r="Q137" s="2">
        <f t="shared" si="15"/>
        <v>0.37390096630005903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ht="13.9" x14ac:dyDescent="0.3">
      <c r="A138" s="2" t="s">
        <v>155</v>
      </c>
      <c r="B138" s="2">
        <v>35.93</v>
      </c>
      <c r="C138" s="2">
        <v>53.92</v>
      </c>
      <c r="D138" s="2">
        <v>35.5</v>
      </c>
      <c r="E138" s="2">
        <v>70.09</v>
      </c>
      <c r="F138" s="2">
        <v>87.85</v>
      </c>
      <c r="G138" s="2">
        <v>76.09</v>
      </c>
      <c r="H138" s="2">
        <f t="shared" si="12"/>
        <v>-0.9007314826840509</v>
      </c>
      <c r="I138" s="2">
        <f t="shared" si="13"/>
        <v>1.0604066028113611E-2</v>
      </c>
      <c r="J138" s="2">
        <v>16.89</v>
      </c>
      <c r="K138" s="2">
        <v>51.27</v>
      </c>
      <c r="L138" s="2">
        <v>80.44</v>
      </c>
      <c r="M138" s="2">
        <v>49.9</v>
      </c>
      <c r="N138" s="2">
        <v>40.880000000000003</v>
      </c>
      <c r="O138" s="2">
        <v>88.52</v>
      </c>
      <c r="P138" s="2">
        <f t="shared" si="14"/>
        <v>-0.27094137232977883</v>
      </c>
      <c r="Q138" s="2">
        <f t="shared" si="15"/>
        <v>0.68530561675081736</v>
      </c>
      <c r="R138" s="2">
        <f t="shared" si="16"/>
        <v>0.62979011035427201</v>
      </c>
      <c r="S138">
        <f t="shared" si="17"/>
        <v>0.30080149027589481</v>
      </c>
      <c r="U138">
        <v>7.2152903056512336</v>
      </c>
    </row>
    <row r="139" spans="1:21" ht="13.9" x14ac:dyDescent="0.3">
      <c r="A139" s="2" t="s">
        <v>156</v>
      </c>
      <c r="B139" s="2">
        <v>3702.55</v>
      </c>
      <c r="C139" s="2">
        <v>4780.18</v>
      </c>
      <c r="D139" s="2">
        <v>2205.9</v>
      </c>
      <c r="E139" s="2">
        <v>935.62</v>
      </c>
      <c r="F139" s="2">
        <v>1416.22</v>
      </c>
      <c r="G139" s="2">
        <v>993.79</v>
      </c>
      <c r="H139" s="2">
        <f t="shared" si="12"/>
        <v>1.6757271407727921</v>
      </c>
      <c r="I139" s="2">
        <f t="shared" si="13"/>
        <v>3.2471500234047233E-2</v>
      </c>
      <c r="J139" s="2">
        <v>3477.38</v>
      </c>
      <c r="K139" s="2">
        <v>4315.37</v>
      </c>
      <c r="L139" s="2">
        <v>12846.57</v>
      </c>
      <c r="M139" s="2">
        <v>596.86</v>
      </c>
      <c r="N139" s="2">
        <v>981.03</v>
      </c>
      <c r="O139" s="2">
        <v>1669.65</v>
      </c>
      <c r="P139" s="2">
        <f t="shared" si="14"/>
        <v>2.6679762387354313</v>
      </c>
      <c r="Q139" s="2">
        <f t="shared" si="15"/>
        <v>0.12635802904097465</v>
      </c>
      <c r="R139" s="2">
        <f t="shared" si="16"/>
        <v>0.99224909796263927</v>
      </c>
      <c r="S139">
        <f t="shared" si="17"/>
        <v>1.5921304691079035</v>
      </c>
      <c r="U139">
        <v>14.333107818877062</v>
      </c>
    </row>
    <row r="140" spans="1:21" ht="13.9" x14ac:dyDescent="0.3">
      <c r="A140" s="2" t="s">
        <v>157</v>
      </c>
      <c r="B140" s="2">
        <v>1606.87</v>
      </c>
      <c r="C140" s="2">
        <v>2641.86</v>
      </c>
      <c r="D140" s="2">
        <v>1471.45</v>
      </c>
      <c r="E140" s="2">
        <v>5098.05</v>
      </c>
      <c r="F140" s="2">
        <v>5500.82</v>
      </c>
      <c r="G140" s="2">
        <v>4256.54</v>
      </c>
      <c r="H140" s="2">
        <f t="shared" si="12"/>
        <v>-1.3768559723049207</v>
      </c>
      <c r="I140" s="2">
        <f t="shared" si="13"/>
        <v>4.2607332832708357E-3</v>
      </c>
      <c r="J140" s="2">
        <v>1604.13</v>
      </c>
      <c r="K140" s="2">
        <v>2463.2399999999998</v>
      </c>
      <c r="L140" s="2">
        <v>1629.89</v>
      </c>
      <c r="M140" s="2">
        <v>4177.32</v>
      </c>
      <c r="N140" s="2">
        <v>16841.07</v>
      </c>
      <c r="O140" s="2">
        <v>4539.97</v>
      </c>
      <c r="P140" s="2">
        <f t="shared" si="14"/>
        <v>-2.1654551144130538</v>
      </c>
      <c r="Q140" s="2">
        <f t="shared" si="15"/>
        <v>0.18770708300110342</v>
      </c>
      <c r="R140" s="2">
        <f t="shared" si="16"/>
        <v>-0.78859914210813309</v>
      </c>
      <c r="S140">
        <f t="shared" si="17"/>
        <v>1.5727535471905472</v>
      </c>
      <c r="U140">
        <v>12.476052531164045</v>
      </c>
    </row>
    <row r="141" spans="1:21" ht="13.9" x14ac:dyDescent="0.3">
      <c r="A141" s="2" t="s">
        <v>158</v>
      </c>
      <c r="B141" s="2">
        <v>22.08</v>
      </c>
      <c r="C141" s="2">
        <v>17.079999999999998</v>
      </c>
      <c r="D141" s="2">
        <v>24.03</v>
      </c>
      <c r="E141" s="2">
        <v>9.67</v>
      </c>
      <c r="F141" s="2">
        <v>16.579999999999998</v>
      </c>
      <c r="G141" s="2">
        <v>10.43</v>
      </c>
      <c r="H141" s="2">
        <f t="shared" si="12"/>
        <v>0.78470262687602543</v>
      </c>
      <c r="I141" s="2">
        <f t="shared" si="13"/>
        <v>4.2633650264255619E-2</v>
      </c>
      <c r="J141" s="2">
        <v>9.34</v>
      </c>
      <c r="K141" s="2">
        <v>9.84</v>
      </c>
      <c r="L141" s="2">
        <v>38.21</v>
      </c>
      <c r="M141" s="2">
        <v>10.08</v>
      </c>
      <c r="N141" s="2">
        <v>40.880000000000003</v>
      </c>
      <c r="O141" s="2">
        <v>13.4</v>
      </c>
      <c r="P141" s="2">
        <f t="shared" si="14"/>
        <v>-0.16536495165617773</v>
      </c>
      <c r="Q141" s="2">
        <f t="shared" si="15"/>
        <v>0.87310134562990804</v>
      </c>
      <c r="R141" s="2">
        <f t="shared" si="16"/>
        <v>-0.95006757853220314</v>
      </c>
      <c r="S141">
        <f t="shared" si="17"/>
        <v>-0.21073582015968403</v>
      </c>
      <c r="U141">
        <v>5.8427274692925435</v>
      </c>
    </row>
    <row r="142" spans="1:21" ht="13.9" x14ac:dyDescent="0.3">
      <c r="A142" s="2" t="s">
        <v>159</v>
      </c>
      <c r="B142" s="2">
        <v>22.08</v>
      </c>
      <c r="C142" s="2">
        <v>17.079999999999998</v>
      </c>
      <c r="D142" s="2">
        <v>24.03</v>
      </c>
      <c r="E142" s="2">
        <v>9.67</v>
      </c>
      <c r="F142" s="2">
        <v>16.45</v>
      </c>
      <c r="G142" s="2">
        <v>10.43</v>
      </c>
      <c r="H142" s="2">
        <f t="shared" si="12"/>
        <v>0.78982485963128035</v>
      </c>
      <c r="I142" s="2">
        <f t="shared" si="13"/>
        <v>4.0760895717240009E-2</v>
      </c>
      <c r="J142" s="2">
        <v>9.34</v>
      </c>
      <c r="K142" s="2">
        <v>9.84</v>
      </c>
      <c r="L142" s="2">
        <v>38.21</v>
      </c>
      <c r="M142" s="2">
        <v>9.67</v>
      </c>
      <c r="N142" s="2">
        <v>40.880000000000003</v>
      </c>
      <c r="O142" s="2">
        <v>13.4</v>
      </c>
      <c r="P142" s="2">
        <f t="shared" si="14"/>
        <v>-0.15614498470173094</v>
      </c>
      <c r="Q142" s="2">
        <f t="shared" si="15"/>
        <v>0.88098043985346741</v>
      </c>
      <c r="R142" s="2">
        <f t="shared" si="16"/>
        <v>-0.94596984433301134</v>
      </c>
      <c r="S142">
        <f t="shared" si="17"/>
        <v>-0.1976957078492379</v>
      </c>
      <c r="U142">
        <v>5.8427274692925435</v>
      </c>
    </row>
    <row r="143" spans="1:21" ht="13.9" x14ac:dyDescent="0.3">
      <c r="A143" s="2" t="s">
        <v>160</v>
      </c>
      <c r="B143" s="2">
        <v>135.13999999999999</v>
      </c>
      <c r="C143" s="2">
        <v>141.25</v>
      </c>
      <c r="D143" s="2">
        <v>102.68</v>
      </c>
      <c r="E143" s="2">
        <v>218.06</v>
      </c>
      <c r="F143" s="2">
        <v>204.04</v>
      </c>
      <c r="G143" s="2">
        <v>216.15</v>
      </c>
      <c r="H143" s="2">
        <f t="shared" si="12"/>
        <v>-0.75165734801470396</v>
      </c>
      <c r="I143" s="2">
        <f t="shared" si="13"/>
        <v>2.4747231110165769E-3</v>
      </c>
      <c r="J143" s="2">
        <v>104.2</v>
      </c>
      <c r="K143" s="2">
        <v>169.52</v>
      </c>
      <c r="L143" s="2">
        <v>126.19</v>
      </c>
      <c r="M143" s="2">
        <v>180.98</v>
      </c>
      <c r="N143" s="2">
        <v>122.63</v>
      </c>
      <c r="O143" s="2">
        <v>225.35</v>
      </c>
      <c r="P143" s="2">
        <f t="shared" si="14"/>
        <v>-0.40348327265076145</v>
      </c>
      <c r="Q143" s="2">
        <f t="shared" si="15"/>
        <v>0.29108432765332359</v>
      </c>
      <c r="R143" s="2">
        <f t="shared" si="16"/>
        <v>0.34817407536394251</v>
      </c>
      <c r="S143">
        <f t="shared" si="17"/>
        <v>0.53679149643976942</v>
      </c>
      <c r="U143">
        <v>8.6435315468668286</v>
      </c>
    </row>
    <row r="144" spans="1:21" ht="13.9" x14ac:dyDescent="0.3">
      <c r="A144" s="2" t="s">
        <v>161</v>
      </c>
      <c r="B144" s="2">
        <v>0</v>
      </c>
      <c r="C144" s="2">
        <v>0</v>
      </c>
      <c r="D144" s="2">
        <v>0</v>
      </c>
      <c r="E144" s="2">
        <v>0.49</v>
      </c>
      <c r="F144" s="2">
        <v>0.67</v>
      </c>
      <c r="G144" s="2">
        <v>0.32</v>
      </c>
      <c r="H144" s="2" t="e">
        <f t="shared" si="12"/>
        <v>#NUM!</v>
      </c>
      <c r="I144" s="2">
        <f t="shared" si="13"/>
        <v>8.1484478837361204E-3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f t="shared" si="14"/>
        <v>#DIV/0!</v>
      </c>
      <c r="Q144" s="2" t="e">
        <f t="shared" si="15"/>
        <v>#DIV/0!</v>
      </c>
      <c r="R144" s="2" t="e">
        <f t="shared" si="16"/>
        <v>#DIV/0!</v>
      </c>
      <c r="S144" t="e">
        <f t="shared" si="17"/>
        <v>#DIV/0!</v>
      </c>
      <c r="U144" t="e">
        <v>#NUM!</v>
      </c>
    </row>
    <row r="145" spans="1:21" ht="13.9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0.99</v>
      </c>
      <c r="F145" s="2">
        <v>0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f t="shared" si="14"/>
        <v>#DIV/0!</v>
      </c>
      <c r="Q145" s="2" t="e">
        <f t="shared" si="15"/>
        <v>#DIV/0!</v>
      </c>
      <c r="R145" s="2" t="e">
        <f t="shared" si="16"/>
        <v>#DIV/0!</v>
      </c>
      <c r="S145" t="e">
        <f t="shared" si="17"/>
        <v>#DIV/0!</v>
      </c>
      <c r="U145" t="e">
        <v>#NUM!</v>
      </c>
    </row>
    <row r="146" spans="1:21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 t="e">
        <f t="shared" si="12"/>
        <v>#NUM!</v>
      </c>
      <c r="I146" s="2">
        <f t="shared" si="13"/>
        <v>0.37390096630005903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f t="shared" si="14"/>
        <v>#DIV/0!</v>
      </c>
      <c r="Q146" s="2" t="e">
        <f t="shared" si="15"/>
        <v>#DIV/0!</v>
      </c>
      <c r="R146" s="2" t="e">
        <f t="shared" si="16"/>
        <v>#DIV/0!</v>
      </c>
      <c r="S146" t="e">
        <f t="shared" si="17"/>
        <v>#DIV/0!</v>
      </c>
      <c r="U146" t="e">
        <v>#NUM!</v>
      </c>
    </row>
    <row r="147" spans="1:21" ht="13.9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0.27</v>
      </c>
      <c r="G147" s="2">
        <v>0</v>
      </c>
      <c r="H147" s="2" t="e">
        <f t="shared" si="12"/>
        <v>#NUM!</v>
      </c>
      <c r="I147" s="2">
        <f t="shared" si="13"/>
        <v>0.37390096630005903</v>
      </c>
      <c r="J147" s="2">
        <v>0</v>
      </c>
      <c r="K147" s="2">
        <v>0</v>
      </c>
      <c r="L147" s="2">
        <v>0</v>
      </c>
      <c r="M147" s="2">
        <v>0.51</v>
      </c>
      <c r="N147" s="2">
        <v>0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ht="13.9" x14ac:dyDescent="0.3">
      <c r="A148" s="2" t="s">
        <v>165</v>
      </c>
      <c r="B148" s="2">
        <v>233.37</v>
      </c>
      <c r="C148" s="2">
        <v>414.25</v>
      </c>
      <c r="D148" s="2">
        <v>228.31</v>
      </c>
      <c r="E148" s="2">
        <v>628.22</v>
      </c>
      <c r="F148" s="2">
        <v>980.2</v>
      </c>
      <c r="G148" s="2">
        <v>788.39</v>
      </c>
      <c r="H148" s="2">
        <f t="shared" si="12"/>
        <v>-1.4522280616693035</v>
      </c>
      <c r="I148" s="2">
        <f t="shared" si="13"/>
        <v>1.2943790889616835E-2</v>
      </c>
      <c r="J148" s="2">
        <v>199.06</v>
      </c>
      <c r="K148" s="2">
        <v>230</v>
      </c>
      <c r="L148" s="2">
        <v>257.91000000000003</v>
      </c>
      <c r="M148" s="2">
        <v>584.72</v>
      </c>
      <c r="N148" s="2">
        <v>245.26</v>
      </c>
      <c r="O148" s="2">
        <v>1025.8</v>
      </c>
      <c r="P148" s="2">
        <f t="shared" si="14"/>
        <v>-1.4337066882220086</v>
      </c>
      <c r="Q148" s="2">
        <f t="shared" si="15"/>
        <v>0.1606682720030661</v>
      </c>
      <c r="R148" s="2">
        <f t="shared" si="16"/>
        <v>1.8521373447294875E-2</v>
      </c>
      <c r="S148">
        <f t="shared" si="17"/>
        <v>0.98724623636179776</v>
      </c>
      <c r="U148">
        <v>9.424103287659074</v>
      </c>
    </row>
    <row r="149" spans="1:21" ht="13.9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 t="e">
        <f t="shared" si="12"/>
        <v>#NUM!</v>
      </c>
      <c r="I149" s="2">
        <f t="shared" si="13"/>
        <v>4.081627560735069E-2</v>
      </c>
      <c r="J149" s="2">
        <v>0</v>
      </c>
      <c r="K149" s="2">
        <v>0</v>
      </c>
      <c r="L149" s="2">
        <v>0</v>
      </c>
      <c r="M149" s="2">
        <v>0.1</v>
      </c>
      <c r="N149" s="2">
        <v>0</v>
      </c>
      <c r="O149" s="2">
        <v>0</v>
      </c>
      <c r="P149" s="2" t="e">
        <f t="shared" si="14"/>
        <v>#NUM!</v>
      </c>
      <c r="Q149" s="2">
        <f t="shared" si="15"/>
        <v>0.37390096630005903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ht="13.9" x14ac:dyDescent="0.3">
      <c r="A150" s="2" t="s">
        <v>167</v>
      </c>
      <c r="B150" s="2">
        <v>3.3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f t="shared" si="12"/>
        <v>2.7516123701306077</v>
      </c>
      <c r="I150" s="2">
        <f t="shared" si="13"/>
        <v>0.44704548288869678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e">
        <f t="shared" si="14"/>
        <v>#DIV/0!</v>
      </c>
      <c r="Q150" s="2" t="e">
        <f t="shared" si="15"/>
        <v>#DIV/0!</v>
      </c>
      <c r="R150" s="2" t="e">
        <f t="shared" si="16"/>
        <v>#DIV/0!</v>
      </c>
      <c r="S150" t="e">
        <f t="shared" si="17"/>
        <v>#DIV/0!</v>
      </c>
      <c r="U150" t="e">
        <v>#NUM!</v>
      </c>
    </row>
    <row r="151" spans="1:21" ht="13.9" x14ac:dyDescent="0.3">
      <c r="A151" s="2" t="s">
        <v>168</v>
      </c>
      <c r="B151" s="2">
        <v>68.56</v>
      </c>
      <c r="C151" s="2">
        <v>8.7799999999999994</v>
      </c>
      <c r="D151" s="2">
        <v>48.43</v>
      </c>
      <c r="E151" s="2">
        <v>6.81</v>
      </c>
      <c r="F151" s="2">
        <v>7.62</v>
      </c>
      <c r="G151" s="2">
        <v>6.32</v>
      </c>
      <c r="H151" s="2">
        <f t="shared" si="12"/>
        <v>2.5996045946933242</v>
      </c>
      <c r="I151" s="2">
        <f t="shared" si="13"/>
        <v>0.11705270498177957</v>
      </c>
      <c r="J151" s="2">
        <v>9.16</v>
      </c>
      <c r="K151" s="2">
        <v>34.53</v>
      </c>
      <c r="L151" s="2">
        <v>105.07</v>
      </c>
      <c r="M151" s="2">
        <v>5.25</v>
      </c>
      <c r="N151" s="2">
        <v>0</v>
      </c>
      <c r="O151" s="2">
        <v>8.8000000000000007</v>
      </c>
      <c r="P151" s="2">
        <f t="shared" si="14"/>
        <v>3.4043446175036993</v>
      </c>
      <c r="Q151" s="2">
        <f t="shared" si="15"/>
        <v>0.19404141165173255</v>
      </c>
      <c r="R151" s="2">
        <f t="shared" si="16"/>
        <v>0.80474002281037516</v>
      </c>
      <c r="S151">
        <f t="shared" si="17"/>
        <v>1.3095624713285716</v>
      </c>
      <c r="U151">
        <v>7.2168428428372637</v>
      </c>
    </row>
    <row r="152" spans="1:21" ht="13.9" x14ac:dyDescent="0.3">
      <c r="A152" s="2" t="s">
        <v>169</v>
      </c>
      <c r="B152" s="2">
        <v>1.98</v>
      </c>
      <c r="C152" s="2">
        <v>2.93</v>
      </c>
      <c r="D152" s="2">
        <v>3.82</v>
      </c>
      <c r="E152" s="2">
        <v>2.96</v>
      </c>
      <c r="F152" s="2">
        <v>2.14</v>
      </c>
      <c r="G152" s="2">
        <v>4.1100000000000003</v>
      </c>
      <c r="H152" s="2">
        <f t="shared" si="12"/>
        <v>-7.7219502461895559E-2</v>
      </c>
      <c r="I152" s="2">
        <f t="shared" si="13"/>
        <v>0.847520591147368</v>
      </c>
      <c r="J152" s="2">
        <v>1.44</v>
      </c>
      <c r="K152" s="2">
        <v>8.7899999999999991</v>
      </c>
      <c r="L152" s="2">
        <v>0</v>
      </c>
      <c r="M152" s="2">
        <v>2.57</v>
      </c>
      <c r="N152" s="2">
        <v>0</v>
      </c>
      <c r="O152" s="2">
        <v>2.71</v>
      </c>
      <c r="P152" s="2">
        <f t="shared" si="14"/>
        <v>0.95419631038687525</v>
      </c>
      <c r="Q152" s="2">
        <f t="shared" si="15"/>
        <v>0.59501995482854797</v>
      </c>
      <c r="R152" s="2">
        <f t="shared" si="16"/>
        <v>1.0314158128487707</v>
      </c>
      <c r="S152">
        <f t="shared" si="17"/>
        <v>-12.356934193634947</v>
      </c>
      <c r="U152">
        <v>3.3547342399706039</v>
      </c>
    </row>
    <row r="153" spans="1:21" ht="13.9" x14ac:dyDescent="0.3">
      <c r="A153" s="2" t="s">
        <v>170</v>
      </c>
      <c r="B153" s="2">
        <v>30.65</v>
      </c>
      <c r="C153" s="2">
        <v>36.11</v>
      </c>
      <c r="D153" s="2">
        <v>37.869999999999997</v>
      </c>
      <c r="E153" s="2">
        <v>9.67</v>
      </c>
      <c r="F153" s="2">
        <v>11.1</v>
      </c>
      <c r="G153" s="2">
        <v>10.33</v>
      </c>
      <c r="H153" s="2">
        <f t="shared" si="12"/>
        <v>1.7503100816592652</v>
      </c>
      <c r="I153" s="2">
        <f t="shared" si="13"/>
        <v>3.7762616353524317E-4</v>
      </c>
      <c r="J153" s="2">
        <v>21.38</v>
      </c>
      <c r="K153" s="2">
        <v>36.21</v>
      </c>
      <c r="L153" s="2">
        <v>0</v>
      </c>
      <c r="M153" s="2">
        <v>7.31</v>
      </c>
      <c r="N153" s="2">
        <v>0</v>
      </c>
      <c r="O153" s="2">
        <v>21.66</v>
      </c>
      <c r="P153" s="2">
        <f t="shared" si="14"/>
        <v>0.99125863742570741</v>
      </c>
      <c r="Q153" s="2">
        <f t="shared" si="15"/>
        <v>0.48079148107392261</v>
      </c>
      <c r="R153" s="2">
        <f t="shared" si="16"/>
        <v>-0.75905144423355775</v>
      </c>
      <c r="S153">
        <f t="shared" si="17"/>
        <v>0.56633315880007418</v>
      </c>
      <c r="U153">
        <v>5.8477464169213862</v>
      </c>
    </row>
    <row r="154" spans="1:21" ht="13.9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 t="e">
        <f t="shared" si="12"/>
        <v>#NUM!</v>
      </c>
      <c r="I154" s="2">
        <f t="shared" si="13"/>
        <v>8.550966649932086E-2</v>
      </c>
      <c r="J154" s="2">
        <v>0</v>
      </c>
      <c r="K154" s="2">
        <v>0</v>
      </c>
      <c r="L154" s="2">
        <v>0</v>
      </c>
      <c r="M154" s="2">
        <v>0.21</v>
      </c>
      <c r="N154" s="2">
        <v>0</v>
      </c>
      <c r="O154" s="2">
        <v>1.62</v>
      </c>
      <c r="P154" s="2" t="e">
        <f t="shared" si="14"/>
        <v>#NUM!</v>
      </c>
      <c r="Q154" s="2">
        <f t="shared" si="15"/>
        <v>0.29659124348046351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ht="13.9" x14ac:dyDescent="0.3">
      <c r="A155" s="2" t="s">
        <v>172</v>
      </c>
      <c r="B155" s="2">
        <v>2.31</v>
      </c>
      <c r="C155" s="2">
        <v>0.24</v>
      </c>
      <c r="D155" s="2">
        <v>0</v>
      </c>
      <c r="E155" s="2">
        <v>2.17</v>
      </c>
      <c r="F155" s="2">
        <v>0.27</v>
      </c>
      <c r="G155" s="2">
        <v>1.48</v>
      </c>
      <c r="H155" s="2">
        <f t="shared" si="12"/>
        <v>-0.62035640725635033</v>
      </c>
      <c r="I155" s="2">
        <f t="shared" si="13"/>
        <v>0.64560031964824294</v>
      </c>
      <c r="J155" s="2">
        <v>0.18</v>
      </c>
      <c r="K155" s="2">
        <v>1.05</v>
      </c>
      <c r="L155" s="2">
        <v>0</v>
      </c>
      <c r="M155" s="2">
        <v>2.68</v>
      </c>
      <c r="N155" s="2">
        <v>0</v>
      </c>
      <c r="O155" s="2">
        <v>2.44</v>
      </c>
      <c r="P155" s="2">
        <f t="shared" si="14"/>
        <v>-2.0574854946607601</v>
      </c>
      <c r="Q155" s="2">
        <f t="shared" si="15"/>
        <v>0.2296050988399698</v>
      </c>
      <c r="R155" s="2">
        <f t="shared" si="16"/>
        <v>-1.4371290874044098</v>
      </c>
      <c r="S155">
        <f t="shared" si="17"/>
        <v>3.3166184319114222</v>
      </c>
      <c r="U155">
        <v>0.29865831556451516</v>
      </c>
    </row>
    <row r="156" spans="1:21" ht="13.9" x14ac:dyDescent="0.3">
      <c r="A156" s="2" t="s">
        <v>173</v>
      </c>
      <c r="B156" s="2">
        <v>338.84</v>
      </c>
      <c r="C156" s="2">
        <v>329.59</v>
      </c>
      <c r="D156" s="2">
        <v>346.47</v>
      </c>
      <c r="E156" s="2">
        <v>135.63</v>
      </c>
      <c r="F156" s="2">
        <v>145.61000000000001</v>
      </c>
      <c r="G156" s="2">
        <v>135.41999999999999</v>
      </c>
      <c r="H156" s="2">
        <f t="shared" si="12"/>
        <v>1.2843950721048101</v>
      </c>
      <c r="I156" s="2">
        <f t="shared" si="13"/>
        <v>4.6530517957086457E-6</v>
      </c>
      <c r="J156" s="2">
        <v>194.21</v>
      </c>
      <c r="K156" s="2">
        <v>306.18</v>
      </c>
      <c r="L156" s="2">
        <v>540.45000000000005</v>
      </c>
      <c r="M156" s="2">
        <v>104.02</v>
      </c>
      <c r="N156" s="2">
        <v>40.880000000000003</v>
      </c>
      <c r="O156" s="2">
        <v>187.73</v>
      </c>
      <c r="P156" s="2">
        <f t="shared" si="14"/>
        <v>1.645758115016672</v>
      </c>
      <c r="Q156" s="2">
        <f t="shared" si="15"/>
        <v>9.9533130060959374E-2</v>
      </c>
      <c r="R156" s="2">
        <f t="shared" si="16"/>
        <v>0.36136304291186194</v>
      </c>
      <c r="S156">
        <f t="shared" si="17"/>
        <v>1.2813488238627979</v>
      </c>
      <c r="U156">
        <v>10.023532596385344</v>
      </c>
    </row>
    <row r="157" spans="1:21" ht="13.9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0.99</v>
      </c>
      <c r="F157" s="2">
        <v>0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30.67</v>
      </c>
      <c r="M157" s="2">
        <v>0</v>
      </c>
      <c r="N157" s="2">
        <v>0</v>
      </c>
      <c r="O157" s="2">
        <v>0</v>
      </c>
      <c r="P157" s="2" t="e">
        <f t="shared" si="14"/>
        <v>#DIV/0!</v>
      </c>
      <c r="Q157" s="2">
        <f t="shared" si="15"/>
        <v>0.37390096630005903</v>
      </c>
      <c r="R157" s="2" t="e">
        <f t="shared" si="16"/>
        <v>#DIV/0!</v>
      </c>
      <c r="S157" t="e">
        <f t="shared" si="17"/>
        <v>#DIV/0!</v>
      </c>
      <c r="U157">
        <v>4.9387562614922951</v>
      </c>
    </row>
    <row r="158" spans="1:21" ht="13.9" x14ac:dyDescent="0.3">
      <c r="A158" s="2" t="s">
        <v>175</v>
      </c>
      <c r="B158" s="2">
        <v>4.9400000000000004</v>
      </c>
      <c r="C158" s="2">
        <v>36.11</v>
      </c>
      <c r="D158" s="2">
        <v>12.02</v>
      </c>
      <c r="E158" s="2">
        <v>16.09</v>
      </c>
      <c r="F158" s="2">
        <v>9.89</v>
      </c>
      <c r="G158" s="2">
        <v>8.5399999999999991</v>
      </c>
      <c r="H158" s="2">
        <f t="shared" si="12"/>
        <v>0.62046408423265953</v>
      </c>
      <c r="I158" s="2">
        <f t="shared" si="13"/>
        <v>0.55911436286277616</v>
      </c>
      <c r="J158" s="2">
        <v>17.25</v>
      </c>
      <c r="K158" s="2">
        <v>47.09</v>
      </c>
      <c r="L158" s="2">
        <v>56.31</v>
      </c>
      <c r="M158" s="2">
        <v>9.16</v>
      </c>
      <c r="N158" s="2">
        <v>0</v>
      </c>
      <c r="O158" s="2">
        <v>10.69</v>
      </c>
      <c r="P158" s="2">
        <f t="shared" si="14"/>
        <v>2.6036170030727939</v>
      </c>
      <c r="Q158" s="2">
        <f t="shared" si="15"/>
        <v>5.1767062843889579E-2</v>
      </c>
      <c r="R158" s="2">
        <f t="shared" si="16"/>
        <v>1.9831529188401342</v>
      </c>
      <c r="S158">
        <f t="shared" si="17"/>
        <v>4.1962412800939797</v>
      </c>
      <c r="U158">
        <v>6.9146841053283898</v>
      </c>
    </row>
    <row r="159" spans="1:21" ht="13.9" x14ac:dyDescent="0.3">
      <c r="A159" s="2" t="s">
        <v>176</v>
      </c>
      <c r="B159" s="2">
        <v>0</v>
      </c>
      <c r="C159" s="2">
        <v>0</v>
      </c>
      <c r="D159" s="2">
        <v>0.18</v>
      </c>
      <c r="E159" s="2">
        <v>0.39</v>
      </c>
      <c r="F159" s="2">
        <v>0</v>
      </c>
      <c r="G159" s="2">
        <v>0.11</v>
      </c>
      <c r="H159" s="2">
        <f t="shared" si="12"/>
        <v>-1.4739311883324124</v>
      </c>
      <c r="I159" s="2">
        <f t="shared" si="13"/>
        <v>0.46018629235551056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1.22</v>
      </c>
      <c r="P159" s="2" t="e">
        <f t="shared" si="14"/>
        <v>#NUM!</v>
      </c>
      <c r="Q159" s="2">
        <f t="shared" si="15"/>
        <v>0.37390096630005903</v>
      </c>
      <c r="R159" s="2" t="e">
        <f t="shared" si="16"/>
        <v>#NUM!</v>
      </c>
      <c r="S159" t="e">
        <f t="shared" si="17"/>
        <v>#NUM!</v>
      </c>
      <c r="U159" t="e">
        <v>#NUM!</v>
      </c>
    </row>
    <row r="160" spans="1:21" ht="13.9" x14ac:dyDescent="0.3">
      <c r="A160" s="2" t="s">
        <v>177</v>
      </c>
      <c r="B160" s="2">
        <v>0</v>
      </c>
      <c r="C160" s="2">
        <v>0</v>
      </c>
      <c r="D160" s="2">
        <v>0</v>
      </c>
      <c r="E160" s="2">
        <v>0</v>
      </c>
      <c r="F160" s="2">
        <v>0.8</v>
      </c>
      <c r="G160" s="2">
        <v>0</v>
      </c>
      <c r="H160" s="2" t="e">
        <f t="shared" si="12"/>
        <v>#NUM!</v>
      </c>
      <c r="I160" s="2">
        <f t="shared" si="13"/>
        <v>0.37390096630005903</v>
      </c>
      <c r="J160" s="2">
        <v>0</v>
      </c>
      <c r="K160" s="2">
        <v>1.67</v>
      </c>
      <c r="L160" s="2">
        <v>0</v>
      </c>
      <c r="M160" s="2">
        <v>0</v>
      </c>
      <c r="N160" s="2">
        <v>0</v>
      </c>
      <c r="O160" s="2">
        <v>0.68</v>
      </c>
      <c r="P160" s="2">
        <f t="shared" si="14"/>
        <v>1.2962414512237126</v>
      </c>
      <c r="Q160" s="2">
        <f t="shared" si="15"/>
        <v>0.61218468108132751</v>
      </c>
      <c r="R160" s="2" t="e">
        <f t="shared" si="16"/>
        <v>#NUM!</v>
      </c>
      <c r="S160" t="e">
        <f t="shared" si="17"/>
        <v>#NUM!</v>
      </c>
      <c r="U160">
        <v>0.73984810269932755</v>
      </c>
    </row>
    <row r="161" spans="1:21" ht="13.9" x14ac:dyDescent="0.3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 t="e">
        <f t="shared" si="12"/>
        <v>#DIV/0!</v>
      </c>
      <c r="I161" s="2" t="e">
        <f t="shared" si="13"/>
        <v>#DIV/0!</v>
      </c>
      <c r="J161" s="2">
        <v>0</v>
      </c>
      <c r="K161" s="2">
        <v>0</v>
      </c>
      <c r="L161" s="2">
        <v>1.01</v>
      </c>
      <c r="M161" s="2">
        <v>0.62</v>
      </c>
      <c r="N161" s="2">
        <v>0</v>
      </c>
      <c r="O161" s="2">
        <v>0.54</v>
      </c>
      <c r="P161" s="2">
        <f t="shared" si="14"/>
        <v>-0.19976951237577756</v>
      </c>
      <c r="Q161" s="2">
        <f t="shared" si="15"/>
        <v>0.90390870373680221</v>
      </c>
      <c r="R161" s="2" t="e">
        <f t="shared" si="16"/>
        <v>#DIV/0!</v>
      </c>
      <c r="S161" t="e">
        <f t="shared" si="17"/>
        <v>#DIV/0!</v>
      </c>
      <c r="U161">
        <v>1.4355292977070055E-2</v>
      </c>
    </row>
    <row r="162" spans="1:21" ht="13.9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12"/>
        <v>#DIV/0!</v>
      </c>
      <c r="I162" s="2" t="e">
        <f t="shared" si="13"/>
        <v>#DIV/0!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ht="13.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5.44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>
        <f t="shared" si="15"/>
        <v>0.37390096630005903</v>
      </c>
      <c r="R163" s="2" t="e">
        <f t="shared" si="16"/>
        <v>#DIV/0!</v>
      </c>
      <c r="S163" t="e">
        <f t="shared" si="17"/>
        <v>#DIV/0!</v>
      </c>
      <c r="U163">
        <v>2.4436066514756147</v>
      </c>
    </row>
    <row r="164" spans="1:21" ht="13.9" x14ac:dyDescent="0.3">
      <c r="A164" s="2" t="s">
        <v>181</v>
      </c>
      <c r="B164" s="2">
        <v>0</v>
      </c>
      <c r="C164" s="2">
        <v>0</v>
      </c>
      <c r="D164" s="2">
        <v>0</v>
      </c>
      <c r="E164" s="2">
        <v>0.49</v>
      </c>
      <c r="F164" s="2">
        <v>3.88</v>
      </c>
      <c r="G164" s="2">
        <v>1.9</v>
      </c>
      <c r="H164" s="2" t="e">
        <f t="shared" si="12"/>
        <v>#NUM!</v>
      </c>
      <c r="I164" s="2">
        <f t="shared" si="13"/>
        <v>0.1006947216150722</v>
      </c>
      <c r="J164" s="2">
        <v>0</v>
      </c>
      <c r="K164" s="2">
        <v>0</v>
      </c>
      <c r="L164" s="2">
        <v>5.03</v>
      </c>
      <c r="M164" s="2">
        <v>0.41</v>
      </c>
      <c r="N164" s="2">
        <v>0</v>
      </c>
      <c r="O164" s="2">
        <v>1.49</v>
      </c>
      <c r="P164" s="2">
        <f t="shared" si="14"/>
        <v>1.4045589814745796</v>
      </c>
      <c r="Q164" s="2">
        <f t="shared" si="15"/>
        <v>0.57993566528816043</v>
      </c>
      <c r="R164" s="2" t="e">
        <f t="shared" si="16"/>
        <v>#NUM!</v>
      </c>
      <c r="S164" t="e">
        <f t="shared" si="17"/>
        <v>#NUM!</v>
      </c>
      <c r="U164">
        <v>2.3305584000308026</v>
      </c>
    </row>
    <row r="165" spans="1:21" ht="13.9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12"/>
        <v>#DIV/0!</v>
      </c>
      <c r="I165" s="2" t="e">
        <f t="shared" si="13"/>
        <v>#DIV/0!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ht="13.9" x14ac:dyDescent="0.3">
      <c r="A166" s="2" t="s">
        <v>183</v>
      </c>
      <c r="B166" s="2">
        <v>614.4</v>
      </c>
      <c r="C166" s="2">
        <v>259.82</v>
      </c>
      <c r="D166" s="2">
        <v>531.80999999999995</v>
      </c>
      <c r="E166" s="2">
        <v>1766.71</v>
      </c>
      <c r="F166" s="2">
        <v>1010.69</v>
      </c>
      <c r="G166" s="2">
        <v>2049.23</v>
      </c>
      <c r="H166" s="2">
        <f t="shared" si="12"/>
        <v>-1.7793888597970235</v>
      </c>
      <c r="I166" s="2">
        <f t="shared" si="13"/>
        <v>2.5438508900642916E-2</v>
      </c>
      <c r="J166" s="2">
        <v>416.26</v>
      </c>
      <c r="K166" s="2">
        <v>407.47</v>
      </c>
      <c r="L166" s="2">
        <v>387.61</v>
      </c>
      <c r="M166" s="2">
        <v>1544.78</v>
      </c>
      <c r="N166" s="2">
        <v>817.53</v>
      </c>
      <c r="O166" s="2">
        <v>1731.5</v>
      </c>
      <c r="P166" s="2">
        <f t="shared" si="14"/>
        <v>-1.7568402874131068</v>
      </c>
      <c r="Q166" s="2">
        <f t="shared" si="15"/>
        <v>2.6180238618999908E-2</v>
      </c>
      <c r="R166" s="2">
        <f t="shared" si="16"/>
        <v>2.2548572383916721E-2</v>
      </c>
      <c r="S166">
        <f t="shared" si="17"/>
        <v>0.98732791190651326</v>
      </c>
      <c r="U166">
        <v>10.242388143474825</v>
      </c>
    </row>
    <row r="167" spans="1:21" ht="13.9" x14ac:dyDescent="0.3">
      <c r="A167" s="2" t="s">
        <v>184</v>
      </c>
      <c r="B167" s="2">
        <v>1.98</v>
      </c>
      <c r="C167" s="2">
        <v>2.68</v>
      </c>
      <c r="D167" s="2">
        <v>3.28</v>
      </c>
      <c r="E167" s="2">
        <v>0.99</v>
      </c>
      <c r="F167" s="2">
        <v>0.53</v>
      </c>
      <c r="G167" s="2">
        <v>1.26</v>
      </c>
      <c r="H167" s="2">
        <f t="shared" si="12"/>
        <v>1.5140541244194503</v>
      </c>
      <c r="I167" s="2">
        <f t="shared" si="13"/>
        <v>1.6366022311988405E-2</v>
      </c>
      <c r="J167" s="2">
        <v>4.13</v>
      </c>
      <c r="K167" s="2">
        <v>3.77</v>
      </c>
      <c r="L167" s="2">
        <v>1.51</v>
      </c>
      <c r="M167" s="2">
        <v>0.62</v>
      </c>
      <c r="N167" s="2">
        <v>0</v>
      </c>
      <c r="O167" s="2">
        <v>1.62</v>
      </c>
      <c r="P167" s="2">
        <f t="shared" si="14"/>
        <v>2.0706959906709326</v>
      </c>
      <c r="Q167" s="2">
        <f t="shared" si="15"/>
        <v>6.4921338139876619E-2</v>
      </c>
      <c r="R167" s="2">
        <f t="shared" si="16"/>
        <v>0.55664186625148226</v>
      </c>
      <c r="S167">
        <f t="shared" si="17"/>
        <v>1.3676499124262953</v>
      </c>
      <c r="U167">
        <v>3.2341947229538124</v>
      </c>
    </row>
    <row r="168" spans="1:21" ht="13.9" x14ac:dyDescent="0.3">
      <c r="A168" s="2" t="s">
        <v>185</v>
      </c>
      <c r="B168" s="2">
        <v>172.06</v>
      </c>
      <c r="C168" s="2">
        <v>132.22999999999999</v>
      </c>
      <c r="D168" s="2">
        <v>244.33</v>
      </c>
      <c r="E168" s="2">
        <v>436.22</v>
      </c>
      <c r="F168" s="2">
        <v>324.24</v>
      </c>
      <c r="G168" s="2">
        <v>540.63</v>
      </c>
      <c r="H168" s="2">
        <f t="shared" si="12"/>
        <v>-1.2458416388629439</v>
      </c>
      <c r="I168" s="2">
        <f t="shared" si="13"/>
        <v>2.370763994212961E-2</v>
      </c>
      <c r="J168" s="2">
        <v>149.11000000000001</v>
      </c>
      <c r="K168" s="2">
        <v>164.29</v>
      </c>
      <c r="L168" s="2">
        <v>348.9</v>
      </c>
      <c r="M168" s="2">
        <v>552.62</v>
      </c>
      <c r="N168" s="2">
        <v>204.38</v>
      </c>
      <c r="O168" s="2">
        <v>384.79</v>
      </c>
      <c r="P168" s="2">
        <f t="shared" si="14"/>
        <v>-0.78574056877740939</v>
      </c>
      <c r="Q168" s="2">
        <f t="shared" si="15"/>
        <v>0.25140346431787802</v>
      </c>
      <c r="R168" s="2">
        <f t="shared" si="16"/>
        <v>0.46010107008553447</v>
      </c>
      <c r="S168">
        <f t="shared" si="17"/>
        <v>0.63069056633436971</v>
      </c>
      <c r="U168">
        <v>9.3713410480058439</v>
      </c>
    </row>
    <row r="169" spans="1:21" ht="13.9" x14ac:dyDescent="0.3">
      <c r="A169" s="2" t="s">
        <v>186</v>
      </c>
      <c r="B169" s="2">
        <v>0</v>
      </c>
      <c r="C169" s="2">
        <v>80.510000000000005</v>
      </c>
      <c r="D169" s="2">
        <v>0.18</v>
      </c>
      <c r="E169" s="2">
        <v>0</v>
      </c>
      <c r="F169" s="2">
        <v>2.0099999999999998</v>
      </c>
      <c r="G169" s="2">
        <v>1.05</v>
      </c>
      <c r="H169" s="2">
        <f t="shared" si="12"/>
        <v>4.7207863317755168</v>
      </c>
      <c r="I169" s="2">
        <f t="shared" si="13"/>
        <v>0.38915632105579978</v>
      </c>
      <c r="J169" s="2">
        <v>301.45999999999998</v>
      </c>
      <c r="K169" s="2">
        <v>28.67</v>
      </c>
      <c r="L169" s="2">
        <v>29.66</v>
      </c>
      <c r="M169" s="2">
        <v>0.62</v>
      </c>
      <c r="N169" s="2">
        <v>0</v>
      </c>
      <c r="O169" s="2">
        <v>0</v>
      </c>
      <c r="P169" s="2">
        <f t="shared" si="14"/>
        <v>9.1806711580563096</v>
      </c>
      <c r="Q169" s="2">
        <f t="shared" si="15"/>
        <v>0.2575994508293698</v>
      </c>
      <c r="R169" s="2">
        <f t="shared" si="16"/>
        <v>4.4598848262807929</v>
      </c>
      <c r="S169">
        <f t="shared" si="17"/>
        <v>1.9447334644784491</v>
      </c>
      <c r="U169">
        <v>8.4910112786684611</v>
      </c>
    </row>
    <row r="170" spans="1:21" ht="13.9" x14ac:dyDescent="0.3">
      <c r="A170" s="2" t="s">
        <v>187</v>
      </c>
      <c r="B170" s="2">
        <v>25.38</v>
      </c>
      <c r="C170" s="2">
        <v>59.53</v>
      </c>
      <c r="D170" s="2">
        <v>9.4700000000000006</v>
      </c>
      <c r="E170" s="2">
        <v>47.28</v>
      </c>
      <c r="F170" s="2">
        <v>58.83</v>
      </c>
      <c r="G170" s="2">
        <v>59.54</v>
      </c>
      <c r="H170" s="2">
        <f t="shared" si="12"/>
        <v>-0.81158512683153416</v>
      </c>
      <c r="I170" s="2">
        <f t="shared" si="13"/>
        <v>0.19527312825512938</v>
      </c>
      <c r="J170" s="2">
        <v>15.09</v>
      </c>
      <c r="K170" s="2">
        <v>4.8099999999999996</v>
      </c>
      <c r="L170" s="2">
        <v>15.08</v>
      </c>
      <c r="M170" s="2">
        <v>44.14</v>
      </c>
      <c r="N170" s="2">
        <v>40.880000000000003</v>
      </c>
      <c r="O170" s="2">
        <v>57.39</v>
      </c>
      <c r="P170" s="2">
        <f t="shared" si="14"/>
        <v>-2.0254482612289362</v>
      </c>
      <c r="Q170" s="2">
        <f t="shared" si="15"/>
        <v>4.2068212877849984E-3</v>
      </c>
      <c r="R170" s="2">
        <f t="shared" si="16"/>
        <v>-1.213863134397402</v>
      </c>
      <c r="S170">
        <f t="shared" si="17"/>
        <v>2.4956695166856737</v>
      </c>
      <c r="U170">
        <v>5.1284583841469278</v>
      </c>
    </row>
    <row r="171" spans="1:21" ht="13.9" x14ac:dyDescent="0.3">
      <c r="A171" s="2" t="s">
        <v>188</v>
      </c>
      <c r="B171" s="2">
        <v>0</v>
      </c>
      <c r="C171" s="2">
        <v>0</v>
      </c>
      <c r="D171" s="2">
        <v>2.5499999999999998</v>
      </c>
      <c r="E171" s="2">
        <v>7.01</v>
      </c>
      <c r="F171" s="2">
        <v>4.41</v>
      </c>
      <c r="G171" s="2">
        <v>3.06</v>
      </c>
      <c r="H171" s="2">
        <f t="shared" si="12"/>
        <v>-2.5054924502243474</v>
      </c>
      <c r="I171" s="2">
        <f t="shared" si="13"/>
        <v>5.0507969678895509E-2</v>
      </c>
      <c r="J171" s="2">
        <v>0</v>
      </c>
      <c r="K171" s="2">
        <v>4.5999999999999996</v>
      </c>
      <c r="L171" s="2">
        <v>0</v>
      </c>
      <c r="M171" s="2">
        <v>2.88</v>
      </c>
      <c r="N171" s="2">
        <v>286.13</v>
      </c>
      <c r="O171" s="2">
        <v>12.18</v>
      </c>
      <c r="P171" s="2">
        <f t="shared" si="14"/>
        <v>-6.0328961995780457</v>
      </c>
      <c r="Q171" s="2">
        <f t="shared" si="15"/>
        <v>0.34730211223576724</v>
      </c>
      <c r="R171" s="2">
        <f t="shared" si="16"/>
        <v>-3.5274037493536983</v>
      </c>
      <c r="S171">
        <f t="shared" si="17"/>
        <v>2.407868440808052</v>
      </c>
      <c r="U171">
        <v>2.2016338611696504</v>
      </c>
    </row>
    <row r="172" spans="1:21" ht="13.9" x14ac:dyDescent="0.3">
      <c r="A172" s="2" t="s">
        <v>189</v>
      </c>
      <c r="B172" s="2">
        <v>333.24</v>
      </c>
      <c r="C172" s="2">
        <v>230.79</v>
      </c>
      <c r="D172" s="2">
        <v>177.51</v>
      </c>
      <c r="E172" s="2">
        <v>281.83</v>
      </c>
      <c r="F172" s="2">
        <v>284.26</v>
      </c>
      <c r="G172" s="2">
        <v>247.13</v>
      </c>
      <c r="H172" s="2">
        <f t="shared" si="12"/>
        <v>-0.13312118032895892</v>
      </c>
      <c r="I172" s="2">
        <f t="shared" si="13"/>
        <v>0.63963177348400335</v>
      </c>
      <c r="J172" s="2">
        <v>113.9</v>
      </c>
      <c r="K172" s="2">
        <v>162.61000000000001</v>
      </c>
      <c r="L172" s="2">
        <v>261.93</v>
      </c>
      <c r="M172" s="2">
        <v>175.94</v>
      </c>
      <c r="N172" s="2">
        <v>163.51</v>
      </c>
      <c r="O172" s="2">
        <v>295.87</v>
      </c>
      <c r="P172" s="2">
        <f t="shared" si="14"/>
        <v>-0.23869784633243998</v>
      </c>
      <c r="Q172" s="2">
        <f t="shared" si="15"/>
        <v>0.6226027502410264</v>
      </c>
      <c r="R172" s="2">
        <f t="shared" si="16"/>
        <v>-0.10557666600348106</v>
      </c>
      <c r="S172">
        <f t="shared" si="17"/>
        <v>1.7930869133115259</v>
      </c>
      <c r="U172">
        <v>9.0726417796227778</v>
      </c>
    </row>
    <row r="173" spans="1:21" ht="13.9" x14ac:dyDescent="0.3">
      <c r="A173" s="2" t="s">
        <v>190</v>
      </c>
      <c r="B173" s="2">
        <v>48.12</v>
      </c>
      <c r="C173" s="2">
        <v>49.28</v>
      </c>
      <c r="D173" s="2">
        <v>63.9</v>
      </c>
      <c r="E173" s="2">
        <v>60.02</v>
      </c>
      <c r="F173" s="2">
        <v>64.180000000000007</v>
      </c>
      <c r="G173" s="2">
        <v>65.23</v>
      </c>
      <c r="H173" s="2">
        <f t="shared" si="12"/>
        <v>-0.23191838979877633</v>
      </c>
      <c r="I173" s="2">
        <f t="shared" si="13"/>
        <v>0.15282880694480516</v>
      </c>
      <c r="J173" s="2">
        <v>17.61</v>
      </c>
      <c r="K173" s="2">
        <v>36.619999999999997</v>
      </c>
      <c r="L173" s="2">
        <v>63.35</v>
      </c>
      <c r="M173" s="2">
        <v>61.84</v>
      </c>
      <c r="N173" s="2">
        <v>40.880000000000003</v>
      </c>
      <c r="O173" s="2">
        <v>59.15</v>
      </c>
      <c r="P173" s="2">
        <f t="shared" si="14"/>
        <v>-0.46119294709316644</v>
      </c>
      <c r="Q173" s="2">
        <f t="shared" si="15"/>
        <v>0.37527338638430813</v>
      </c>
      <c r="R173" s="2">
        <f t="shared" si="16"/>
        <v>-0.22927455729439011</v>
      </c>
      <c r="S173">
        <f t="shared" si="17"/>
        <v>1.9886001601396073</v>
      </c>
      <c r="U173">
        <v>6.8774988727835344</v>
      </c>
    </row>
    <row r="174" spans="1:21" ht="13.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 t="e">
        <f t="shared" si="12"/>
        <v>#NUM!</v>
      </c>
      <c r="I174" s="2">
        <f t="shared" si="13"/>
        <v>0.37390096630005903</v>
      </c>
      <c r="J174" s="2">
        <v>0</v>
      </c>
      <c r="K174" s="2">
        <v>2.09</v>
      </c>
      <c r="L174" s="2">
        <v>0</v>
      </c>
      <c r="M174" s="2">
        <v>0</v>
      </c>
      <c r="N174" s="2">
        <v>0</v>
      </c>
      <c r="O174" s="2">
        <v>0</v>
      </c>
      <c r="P174" s="2" t="e">
        <f t="shared" si="14"/>
        <v>#DIV/0!</v>
      </c>
      <c r="Q174" s="2">
        <f t="shared" si="15"/>
        <v>0.37390096630005903</v>
      </c>
      <c r="R174" s="2" t="e">
        <f t="shared" si="16"/>
        <v>#DIV/0!</v>
      </c>
      <c r="S174" t="e">
        <f t="shared" si="17"/>
        <v>#DIV/0!</v>
      </c>
      <c r="U174">
        <v>1.0635029423061579</v>
      </c>
    </row>
    <row r="175" spans="1:21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 t="e">
        <f t="shared" si="12"/>
        <v>#NUM!</v>
      </c>
      <c r="I175" s="2">
        <f t="shared" si="13"/>
        <v>0.37390096630005903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0.14000000000000001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ht="13.9" x14ac:dyDescent="0.3">
      <c r="A176" s="2" t="s">
        <v>193</v>
      </c>
      <c r="B176" s="2">
        <v>13.84</v>
      </c>
      <c r="C176" s="2">
        <v>14.64</v>
      </c>
      <c r="D176" s="2">
        <v>8.3699999999999992</v>
      </c>
      <c r="E176" s="2">
        <v>0.49</v>
      </c>
      <c r="F176" s="2">
        <v>0.4</v>
      </c>
      <c r="G176" s="2">
        <v>0.53</v>
      </c>
      <c r="H176" s="2">
        <f t="shared" si="12"/>
        <v>4.6977017844777507</v>
      </c>
      <c r="I176" s="2">
        <f t="shared" si="13"/>
        <v>3.8991154931181039E-3</v>
      </c>
      <c r="J176" s="2">
        <v>0</v>
      </c>
      <c r="K176" s="2">
        <v>13.39</v>
      </c>
      <c r="L176" s="2">
        <v>15.59</v>
      </c>
      <c r="M176" s="2">
        <v>1.44</v>
      </c>
      <c r="N176" s="2">
        <v>0</v>
      </c>
      <c r="O176" s="2">
        <v>0.41</v>
      </c>
      <c r="P176" s="2">
        <f t="shared" si="14"/>
        <v>3.9694604190406171</v>
      </c>
      <c r="Q176" s="2">
        <f t="shared" si="15"/>
        <v>0.138115413925611</v>
      </c>
      <c r="R176" s="2">
        <f t="shared" si="16"/>
        <v>-0.72824136543713358</v>
      </c>
      <c r="S176">
        <f t="shared" si="17"/>
        <v>0.84497922625837918</v>
      </c>
      <c r="U176">
        <v>4.8569856897822046</v>
      </c>
    </row>
    <row r="177" spans="1:21" ht="13.9" x14ac:dyDescent="0.3">
      <c r="A177" s="2" t="s">
        <v>194</v>
      </c>
      <c r="B177" s="2">
        <v>0</v>
      </c>
      <c r="C177" s="2">
        <v>0</v>
      </c>
      <c r="D177" s="2">
        <v>0.18</v>
      </c>
      <c r="E177" s="2">
        <v>0</v>
      </c>
      <c r="F177" s="2">
        <v>0.8</v>
      </c>
      <c r="G177" s="2">
        <v>0</v>
      </c>
      <c r="H177" s="2">
        <f t="shared" si="12"/>
        <v>-2.15200309344505</v>
      </c>
      <c r="I177" s="2">
        <f t="shared" si="13"/>
        <v>0.49167643876912198</v>
      </c>
      <c r="J177" s="2">
        <v>0</v>
      </c>
      <c r="K177" s="2">
        <v>0</v>
      </c>
      <c r="L177" s="2">
        <v>0.5</v>
      </c>
      <c r="M177" s="2">
        <v>0</v>
      </c>
      <c r="N177" s="2">
        <v>0</v>
      </c>
      <c r="O177" s="2">
        <v>0</v>
      </c>
      <c r="P177" s="2" t="e">
        <f t="shared" si="14"/>
        <v>#DIV/0!</v>
      </c>
      <c r="Q177" s="2">
        <f t="shared" si="15"/>
        <v>0.37390096630005903</v>
      </c>
      <c r="R177" s="2" t="e">
        <f t="shared" si="16"/>
        <v>#DIV/0!</v>
      </c>
      <c r="S177" t="e">
        <f t="shared" si="17"/>
        <v>#DIV/0!</v>
      </c>
      <c r="U177">
        <v>-1</v>
      </c>
    </row>
    <row r="178" spans="1:21" ht="13.9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0.1</v>
      </c>
      <c r="F178" s="2">
        <v>0.53</v>
      </c>
      <c r="G178" s="2">
        <v>0.42</v>
      </c>
      <c r="H178" s="2" t="e">
        <f t="shared" si="12"/>
        <v>#NUM!</v>
      </c>
      <c r="I178" s="2">
        <f t="shared" si="13"/>
        <v>5.3327158273051282E-2</v>
      </c>
      <c r="J178" s="2">
        <v>0</v>
      </c>
      <c r="K178" s="2">
        <v>0</v>
      </c>
      <c r="L178" s="2">
        <v>9.0500000000000007</v>
      </c>
      <c r="M178" s="2">
        <v>0.41</v>
      </c>
      <c r="N178" s="2">
        <v>0</v>
      </c>
      <c r="O178" s="2">
        <v>0.68</v>
      </c>
      <c r="P178" s="2">
        <f t="shared" si="14"/>
        <v>3.0535896571936414</v>
      </c>
      <c r="Q178" s="2">
        <f t="shared" si="15"/>
        <v>0.42967507284319584</v>
      </c>
      <c r="R178" s="2" t="e">
        <f t="shared" si="16"/>
        <v>#NUM!</v>
      </c>
      <c r="S178" t="e">
        <f t="shared" si="17"/>
        <v>#NUM!</v>
      </c>
      <c r="U178">
        <v>3.177917792195843</v>
      </c>
    </row>
    <row r="179" spans="1:21" ht="13.9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0.89</v>
      </c>
      <c r="F179" s="2">
        <v>0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e">
        <f t="shared" si="14"/>
        <v>#DIV/0!</v>
      </c>
      <c r="Q179" s="2" t="e">
        <f t="shared" si="15"/>
        <v>#DIV/0!</v>
      </c>
      <c r="R179" s="2" t="e">
        <f t="shared" si="16"/>
        <v>#DIV/0!</v>
      </c>
      <c r="S179" t="e">
        <f t="shared" si="17"/>
        <v>#DIV/0!</v>
      </c>
      <c r="U179" t="e">
        <v>#NUM!</v>
      </c>
    </row>
    <row r="180" spans="1:21" ht="13.9" x14ac:dyDescent="0.3">
      <c r="A180" s="2" t="s">
        <v>197</v>
      </c>
      <c r="B180" s="2">
        <v>0.66</v>
      </c>
      <c r="C180" s="2">
        <v>7.56</v>
      </c>
      <c r="D180" s="2">
        <v>0</v>
      </c>
      <c r="E180" s="2">
        <v>26.75</v>
      </c>
      <c r="F180" s="2">
        <v>33.96</v>
      </c>
      <c r="G180" s="2">
        <v>43.63</v>
      </c>
      <c r="H180" s="2">
        <f t="shared" si="12"/>
        <v>-3.6660101343460605</v>
      </c>
      <c r="I180" s="2">
        <f t="shared" si="13"/>
        <v>4.1973125751771896E-3</v>
      </c>
      <c r="J180" s="2">
        <v>0</v>
      </c>
      <c r="K180" s="2">
        <v>5.65</v>
      </c>
      <c r="L180" s="2">
        <v>1.01</v>
      </c>
      <c r="M180" s="2">
        <v>40.85</v>
      </c>
      <c r="N180" s="2">
        <v>40.880000000000003</v>
      </c>
      <c r="O180" s="2">
        <v>31.67</v>
      </c>
      <c r="P180" s="2">
        <f t="shared" si="14"/>
        <v>-4.0897546527583293</v>
      </c>
      <c r="Q180" s="2">
        <f t="shared" si="15"/>
        <v>5.4165416743390986E-4</v>
      </c>
      <c r="R180" s="2">
        <f t="shared" si="16"/>
        <v>-0.42374451841226879</v>
      </c>
      <c r="S180">
        <f t="shared" si="17"/>
        <v>1.1155873832541534</v>
      </c>
      <c r="U180">
        <v>2.7355221772965375</v>
      </c>
    </row>
    <row r="181" spans="1:21" ht="13.9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1.0900000000000001</v>
      </c>
      <c r="F181" s="2">
        <v>0</v>
      </c>
      <c r="G181" s="2">
        <v>0</v>
      </c>
      <c r="H181" s="2" t="e">
        <f t="shared" si="12"/>
        <v>#NUM!</v>
      </c>
      <c r="I181" s="2">
        <f t="shared" si="13"/>
        <v>0.37390096630005903</v>
      </c>
      <c r="J181" s="2">
        <v>0</v>
      </c>
      <c r="K181" s="2">
        <v>2.2999999999999998</v>
      </c>
      <c r="L181" s="2">
        <v>0</v>
      </c>
      <c r="M181" s="2">
        <v>0</v>
      </c>
      <c r="N181" s="2">
        <v>0</v>
      </c>
      <c r="O181" s="2">
        <v>0</v>
      </c>
      <c r="P181" s="2" t="e">
        <f t="shared" si="14"/>
        <v>#DIV/0!</v>
      </c>
      <c r="Q181" s="2">
        <f t="shared" si="15"/>
        <v>0.37390096630005903</v>
      </c>
      <c r="R181" s="2" t="e">
        <f t="shared" si="16"/>
        <v>#DIV/0!</v>
      </c>
      <c r="S181" t="e">
        <f t="shared" si="17"/>
        <v>#DIV/0!</v>
      </c>
      <c r="U181">
        <v>1.2016338611696504</v>
      </c>
    </row>
    <row r="182" spans="1:21" ht="13.9" x14ac:dyDescent="0.3">
      <c r="A182" s="2" t="s">
        <v>199</v>
      </c>
      <c r="B182" s="2">
        <v>300.94</v>
      </c>
      <c r="C182" s="2">
        <v>443.77</v>
      </c>
      <c r="D182" s="2">
        <v>220.66</v>
      </c>
      <c r="E182" s="2">
        <v>463.67</v>
      </c>
      <c r="F182" s="2">
        <v>765.34</v>
      </c>
      <c r="G182" s="2">
        <v>563.5</v>
      </c>
      <c r="H182" s="2">
        <f t="shared" si="12"/>
        <v>-0.89282726825387626</v>
      </c>
      <c r="I182" s="2">
        <f t="shared" si="13"/>
        <v>6.6523009943866798E-2</v>
      </c>
      <c r="J182" s="2">
        <v>167.44</v>
      </c>
      <c r="K182" s="2">
        <v>434.26</v>
      </c>
      <c r="L182" s="2">
        <v>582.17999999999995</v>
      </c>
      <c r="M182" s="2">
        <v>453.74</v>
      </c>
      <c r="N182" s="2">
        <v>817.53</v>
      </c>
      <c r="O182" s="2">
        <v>1048.95</v>
      </c>
      <c r="P182" s="2">
        <f t="shared" si="14"/>
        <v>-0.97073875169043644</v>
      </c>
      <c r="Q182" s="2">
        <f t="shared" si="15"/>
        <v>0.1478062868895654</v>
      </c>
      <c r="R182" s="2">
        <f t="shared" si="16"/>
        <v>-7.791148343656018E-2</v>
      </c>
      <c r="S182">
        <f t="shared" si="17"/>
        <v>1.0872637812562933</v>
      </c>
      <c r="U182">
        <v>10.209307139126716</v>
      </c>
    </row>
    <row r="183" spans="1:21" ht="13.9" x14ac:dyDescent="0.3">
      <c r="A183" s="2" t="s">
        <v>200</v>
      </c>
      <c r="B183" s="2">
        <v>415.64</v>
      </c>
      <c r="C183" s="2">
        <v>500.37</v>
      </c>
      <c r="D183" s="2">
        <v>281.11</v>
      </c>
      <c r="E183" s="2">
        <v>796.43</v>
      </c>
      <c r="F183" s="2">
        <v>692.87</v>
      </c>
      <c r="G183" s="2">
        <v>824.01</v>
      </c>
      <c r="H183" s="2">
        <f t="shared" si="12"/>
        <v>-0.95039083421589088</v>
      </c>
      <c r="I183" s="2">
        <f t="shared" si="13"/>
        <v>7.8072259117435627E-3</v>
      </c>
      <c r="J183" s="2">
        <v>314.02999999999997</v>
      </c>
      <c r="K183" s="2">
        <v>483.86</v>
      </c>
      <c r="L183" s="2">
        <v>292.08999999999997</v>
      </c>
      <c r="M183" s="2">
        <v>703.56</v>
      </c>
      <c r="N183" s="2">
        <v>531.39</v>
      </c>
      <c r="O183" s="2">
        <v>632.89</v>
      </c>
      <c r="P183" s="2">
        <f t="shared" si="14"/>
        <v>-0.77706921515472605</v>
      </c>
      <c r="Q183" s="2">
        <f t="shared" si="15"/>
        <v>2.9898047172418604E-2</v>
      </c>
      <c r="R183" s="2">
        <f t="shared" si="16"/>
        <v>0.17332161906116483</v>
      </c>
      <c r="S183">
        <f t="shared" si="17"/>
        <v>0.81763121778824621</v>
      </c>
      <c r="U183">
        <v>10.090085947952788</v>
      </c>
    </row>
    <row r="184" spans="1:21" ht="13.9" x14ac:dyDescent="0.3">
      <c r="A184" s="2" t="s">
        <v>201</v>
      </c>
      <c r="B184" s="2">
        <v>29.99</v>
      </c>
      <c r="C184" s="2">
        <v>43.91</v>
      </c>
      <c r="D184" s="2">
        <v>20.57</v>
      </c>
      <c r="E184" s="2">
        <v>23.49</v>
      </c>
      <c r="F184" s="2">
        <v>32.89</v>
      </c>
      <c r="G184" s="2">
        <v>22.76</v>
      </c>
      <c r="H184" s="2">
        <f t="shared" si="12"/>
        <v>0.25544919288386519</v>
      </c>
      <c r="I184" s="2">
        <f t="shared" si="13"/>
        <v>0.53426102565284639</v>
      </c>
      <c r="J184" s="2">
        <v>1.26</v>
      </c>
      <c r="K184" s="2">
        <v>11.93</v>
      </c>
      <c r="L184" s="2">
        <v>65.36</v>
      </c>
      <c r="M184" s="2">
        <v>16.05</v>
      </c>
      <c r="N184" s="2">
        <v>613.15</v>
      </c>
      <c r="O184" s="2">
        <v>29.24</v>
      </c>
      <c r="P184" s="2">
        <f t="shared" si="14"/>
        <v>-3.0673688010094704</v>
      </c>
      <c r="Q184" s="2">
        <f t="shared" si="15"/>
        <v>0.38393433935987986</v>
      </c>
      <c r="R184" s="2">
        <f t="shared" si="16"/>
        <v>-3.3228179938933358</v>
      </c>
      <c r="S184">
        <f t="shared" si="17"/>
        <v>-12.00774512685185</v>
      </c>
      <c r="U184">
        <v>6.2955393704068339</v>
      </c>
    </row>
    <row r="185" spans="1:21" ht="13.9" x14ac:dyDescent="0.3">
      <c r="A185" s="2" t="s">
        <v>202</v>
      </c>
      <c r="B185" s="2">
        <v>0</v>
      </c>
      <c r="C185" s="2">
        <v>0</v>
      </c>
      <c r="D185" s="2">
        <v>3.1</v>
      </c>
      <c r="E185" s="2">
        <v>0</v>
      </c>
      <c r="F185" s="2">
        <v>1.07</v>
      </c>
      <c r="G185" s="2">
        <v>0.42</v>
      </c>
      <c r="H185" s="2">
        <f t="shared" si="12"/>
        <v>1.0569558848120759</v>
      </c>
      <c r="I185" s="2">
        <f t="shared" si="13"/>
        <v>0.64508086360408778</v>
      </c>
      <c r="J185" s="2">
        <v>0</v>
      </c>
      <c r="K185" s="2">
        <v>6.28</v>
      </c>
      <c r="L185" s="2">
        <v>0</v>
      </c>
      <c r="M185" s="2">
        <v>0.21</v>
      </c>
      <c r="N185" s="2">
        <v>0</v>
      </c>
      <c r="O185" s="2">
        <v>0.14000000000000001</v>
      </c>
      <c r="P185" s="2">
        <f t="shared" si="14"/>
        <v>4.1653377319466607</v>
      </c>
      <c r="Q185" s="2">
        <f t="shared" si="15"/>
        <v>0.39868586814394236</v>
      </c>
      <c r="R185" s="2">
        <f t="shared" si="16"/>
        <v>3.1083818471345848</v>
      </c>
      <c r="S185">
        <f t="shared" si="17"/>
        <v>3.9408813478409717</v>
      </c>
      <c r="U185">
        <v>2.6507645591169027</v>
      </c>
    </row>
    <row r="186" spans="1:21" ht="13.9" x14ac:dyDescent="0.3">
      <c r="A186" s="2" t="s">
        <v>203</v>
      </c>
      <c r="B186" s="2">
        <v>0</v>
      </c>
      <c r="C186" s="2">
        <v>0</v>
      </c>
      <c r="D186" s="2">
        <v>5.83</v>
      </c>
      <c r="E186" s="2">
        <v>1.18</v>
      </c>
      <c r="F186" s="2">
        <v>6.02</v>
      </c>
      <c r="G186" s="2">
        <v>4.32</v>
      </c>
      <c r="H186" s="2">
        <f t="shared" si="12"/>
        <v>-0.98257292824181575</v>
      </c>
      <c r="I186" s="2">
        <f t="shared" si="13"/>
        <v>0.47451775888466852</v>
      </c>
      <c r="J186" s="2">
        <v>0</v>
      </c>
      <c r="K186" s="2">
        <v>1.67</v>
      </c>
      <c r="L186" s="2">
        <v>0.5</v>
      </c>
      <c r="M186" s="2">
        <v>3.5</v>
      </c>
      <c r="N186" s="2">
        <v>163.51</v>
      </c>
      <c r="O186" s="2">
        <v>9.07</v>
      </c>
      <c r="P186" s="2">
        <f t="shared" si="14"/>
        <v>-6.3423921974470785</v>
      </c>
      <c r="Q186" s="2">
        <f t="shared" si="15"/>
        <v>0.33093918298579245</v>
      </c>
      <c r="R186" s="2">
        <f t="shared" si="16"/>
        <v>-5.3598192692052624</v>
      </c>
      <c r="S186">
        <f t="shared" si="17"/>
        <v>6.4548818872874403</v>
      </c>
      <c r="U186">
        <v>1.1176950426697545</v>
      </c>
    </row>
    <row r="187" spans="1:21" ht="13.9" x14ac:dyDescent="0.3">
      <c r="A187" s="2" t="s">
        <v>204</v>
      </c>
      <c r="B187" s="2">
        <v>31.64</v>
      </c>
      <c r="C187" s="2">
        <v>18.3</v>
      </c>
      <c r="D187" s="2">
        <v>5.64</v>
      </c>
      <c r="E187" s="2">
        <v>15.5</v>
      </c>
      <c r="F187" s="2">
        <v>10.56</v>
      </c>
      <c r="G187" s="2">
        <v>15.39</v>
      </c>
      <c r="H187" s="2">
        <f t="shared" si="12"/>
        <v>0.42319373281744893</v>
      </c>
      <c r="I187" s="2">
        <f t="shared" si="13"/>
        <v>0.57289824187579652</v>
      </c>
      <c r="J187" s="2">
        <v>0</v>
      </c>
      <c r="K187" s="2">
        <v>19.46</v>
      </c>
      <c r="L187" s="2">
        <v>28.15</v>
      </c>
      <c r="M187" s="2">
        <v>10.49</v>
      </c>
      <c r="N187" s="2">
        <v>0</v>
      </c>
      <c r="O187" s="2">
        <v>17.600000000000001</v>
      </c>
      <c r="P187" s="2">
        <f t="shared" si="14"/>
        <v>0.76120800442993963</v>
      </c>
      <c r="Q187" s="2">
        <f t="shared" si="15"/>
        <v>0.54173231644861497</v>
      </c>
      <c r="R187" s="2">
        <f t="shared" si="16"/>
        <v>0.3380142716124907</v>
      </c>
      <c r="S187">
        <f t="shared" si="17"/>
        <v>1.7987222999786208</v>
      </c>
      <c r="U187">
        <v>5.5731927237816139</v>
      </c>
    </row>
    <row r="188" spans="1:21" ht="13.9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0.39</v>
      </c>
      <c r="F188" s="2">
        <v>0.13</v>
      </c>
      <c r="G188" s="2">
        <v>0</v>
      </c>
      <c r="H188" s="2" t="e">
        <f t="shared" si="12"/>
        <v>#NUM!</v>
      </c>
      <c r="I188" s="2">
        <f t="shared" si="13"/>
        <v>0.20510645520407772</v>
      </c>
      <c r="J188" s="2">
        <v>0</v>
      </c>
      <c r="K188" s="2">
        <v>0</v>
      </c>
      <c r="L188" s="2">
        <v>0</v>
      </c>
      <c r="M188" s="2">
        <v>0.62</v>
      </c>
      <c r="N188" s="2">
        <v>0</v>
      </c>
      <c r="O188" s="2">
        <v>0</v>
      </c>
      <c r="P188" s="2" t="e">
        <f t="shared" si="14"/>
        <v>#NUM!</v>
      </c>
      <c r="Q188" s="2">
        <f t="shared" si="15"/>
        <v>0.37390096630005903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ht="13.9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0.53</v>
      </c>
      <c r="H189" s="2" t="e">
        <f t="shared" si="12"/>
        <v>#NUM!</v>
      </c>
      <c r="I189" s="2">
        <f t="shared" si="13"/>
        <v>0.37390096630005903</v>
      </c>
      <c r="J189" s="2">
        <v>0</v>
      </c>
      <c r="K189" s="2">
        <v>0.21</v>
      </c>
      <c r="L189" s="2">
        <v>0</v>
      </c>
      <c r="M189" s="2">
        <v>0</v>
      </c>
      <c r="N189" s="2">
        <v>0</v>
      </c>
      <c r="O189" s="2">
        <v>0</v>
      </c>
      <c r="P189" s="2" t="e">
        <f t="shared" si="14"/>
        <v>#DIV/0!</v>
      </c>
      <c r="Q189" s="2">
        <f t="shared" si="15"/>
        <v>0.37390096630005903</v>
      </c>
      <c r="R189" s="2" t="e">
        <f t="shared" si="16"/>
        <v>#DIV/0!</v>
      </c>
      <c r="S189" t="e">
        <f t="shared" si="17"/>
        <v>#DIV/0!</v>
      </c>
      <c r="U189">
        <v>-2.2515387669959646</v>
      </c>
    </row>
    <row r="190" spans="1:21" ht="13.9" x14ac:dyDescent="0.3">
      <c r="A190" s="2" t="s">
        <v>207</v>
      </c>
      <c r="B190" s="2">
        <v>16.809999999999999</v>
      </c>
      <c r="C190" s="2">
        <v>43.91</v>
      </c>
      <c r="D190" s="2">
        <v>44.06</v>
      </c>
      <c r="E190" s="2">
        <v>10.27</v>
      </c>
      <c r="F190" s="2">
        <v>11.5</v>
      </c>
      <c r="G190" s="2">
        <v>13.17</v>
      </c>
      <c r="H190" s="2">
        <f t="shared" si="12"/>
        <v>1.5844118537523004</v>
      </c>
      <c r="I190" s="2">
        <f t="shared" si="13"/>
        <v>6.2705018700918838E-2</v>
      </c>
      <c r="J190" s="2">
        <v>46.89</v>
      </c>
      <c r="K190" s="2">
        <v>9.42</v>
      </c>
      <c r="L190" s="2">
        <v>20.11</v>
      </c>
      <c r="M190" s="2">
        <v>9.67</v>
      </c>
      <c r="N190" s="2">
        <v>0</v>
      </c>
      <c r="O190" s="2">
        <v>20.170000000000002</v>
      </c>
      <c r="P190" s="2">
        <f t="shared" si="14"/>
        <v>1.3567027221022734</v>
      </c>
      <c r="Q190" s="2">
        <f t="shared" si="15"/>
        <v>0.28448347526939693</v>
      </c>
      <c r="R190" s="2">
        <f t="shared" si="16"/>
        <v>-0.22770913165002704</v>
      </c>
      <c r="S190">
        <f t="shared" si="17"/>
        <v>0.85628160310038548</v>
      </c>
      <c r="U190">
        <v>6.2558783525827861</v>
      </c>
    </row>
    <row r="191" spans="1:21" ht="13.9" x14ac:dyDescent="0.3">
      <c r="A191" s="2" t="s">
        <v>208</v>
      </c>
      <c r="B191" s="2">
        <v>0.33</v>
      </c>
      <c r="C191" s="2">
        <v>0</v>
      </c>
      <c r="D191" s="2">
        <v>2.37</v>
      </c>
      <c r="E191" s="2">
        <v>21.42</v>
      </c>
      <c r="F191" s="2">
        <v>16.71</v>
      </c>
      <c r="G191" s="2">
        <v>18.13</v>
      </c>
      <c r="H191" s="2">
        <f t="shared" si="12"/>
        <v>-4.3810782402638688</v>
      </c>
      <c r="I191" s="2">
        <f t="shared" si="13"/>
        <v>3.4923890218473667E-4</v>
      </c>
      <c r="J191" s="2">
        <v>0.36</v>
      </c>
      <c r="K191" s="2">
        <v>24.07</v>
      </c>
      <c r="L191" s="2">
        <v>32.18</v>
      </c>
      <c r="M191" s="2">
        <v>18.62</v>
      </c>
      <c r="N191" s="2">
        <v>40.880000000000003</v>
      </c>
      <c r="O191" s="2">
        <v>23.01</v>
      </c>
      <c r="P191" s="2">
        <f t="shared" si="14"/>
        <v>-0.54351205722765306</v>
      </c>
      <c r="Q191" s="2">
        <f t="shared" si="15"/>
        <v>0.50238607247977773</v>
      </c>
      <c r="R191" s="2">
        <f t="shared" si="16"/>
        <v>3.8375661830362158</v>
      </c>
      <c r="S191">
        <f t="shared" si="17"/>
        <v>0.12405897074207872</v>
      </c>
      <c r="U191">
        <v>5.822985018546877</v>
      </c>
    </row>
    <row r="192" spans="1:21" ht="13.9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12"/>
        <v>#DIV/0!</v>
      </c>
      <c r="I192" s="2" t="e">
        <f t="shared" si="13"/>
        <v>#DIV/0!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ht="13.9" x14ac:dyDescent="0.3">
      <c r="A193" s="2" t="s">
        <v>210</v>
      </c>
      <c r="B193" s="2">
        <v>125.58</v>
      </c>
      <c r="C193" s="2">
        <v>257.62</v>
      </c>
      <c r="D193" s="2">
        <v>109.42</v>
      </c>
      <c r="E193" s="2">
        <v>29.42</v>
      </c>
      <c r="F193" s="2">
        <v>49.34</v>
      </c>
      <c r="G193" s="2">
        <v>32.880000000000003</v>
      </c>
      <c r="H193" s="2">
        <f t="shared" si="12"/>
        <v>2.1416211718384988</v>
      </c>
      <c r="I193" s="2">
        <f t="shared" si="13"/>
        <v>5.507939986859206E-2</v>
      </c>
      <c r="J193" s="2">
        <v>91.62</v>
      </c>
      <c r="K193" s="2">
        <v>141.26</v>
      </c>
      <c r="L193" s="2">
        <v>432.36</v>
      </c>
      <c r="M193" s="2">
        <v>35.39</v>
      </c>
      <c r="N193" s="2">
        <v>81.75</v>
      </c>
      <c r="O193" s="2">
        <v>74.58</v>
      </c>
      <c r="P193" s="2">
        <f t="shared" si="14"/>
        <v>1.7948740735055393</v>
      </c>
      <c r="Q193" s="2">
        <f t="shared" si="15"/>
        <v>0.21507154031377734</v>
      </c>
      <c r="R193" s="2">
        <f t="shared" si="16"/>
        <v>-0.34674709833295947</v>
      </c>
      <c r="S193">
        <f t="shared" si="17"/>
        <v>0.83809130069661641</v>
      </c>
      <c r="U193">
        <v>9.3777311083497779</v>
      </c>
    </row>
    <row r="194" spans="1:21" ht="13.9" x14ac:dyDescent="0.3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 t="e">
        <f t="shared" ref="H194:H257" si="18">LOG(SUM(B194:D194)/SUM(E194:G194),2)</f>
        <v>#NUM!</v>
      </c>
      <c r="I194" s="2">
        <f t="shared" ref="I194:I257" si="19">_xlfn.T.TEST(B194:D194,E194:G194,2,2)</f>
        <v>0.37390096630005903</v>
      </c>
      <c r="J194" s="2">
        <v>6.65</v>
      </c>
      <c r="K194" s="2">
        <v>6.28</v>
      </c>
      <c r="L194" s="2">
        <v>0</v>
      </c>
      <c r="M194" s="2">
        <v>0</v>
      </c>
      <c r="N194" s="2">
        <v>204.38</v>
      </c>
      <c r="O194" s="2">
        <v>0</v>
      </c>
      <c r="P194" s="2">
        <f t="shared" ref="P194:P257" si="20">LOG(SUM(J194:L194)/SUM(M194:O194),2)</f>
        <v>-3.982459845209696</v>
      </c>
      <c r="Q194" s="2">
        <f t="shared" ref="Q194:Q257" si="21">_xlfn.T.TEST(J194:L194,M194:O194,2,2)</f>
        <v>0.40214240578194654</v>
      </c>
      <c r="R194" s="2" t="e">
        <f t="shared" si="16"/>
        <v>#NUM!</v>
      </c>
      <c r="S194" t="e">
        <f t="shared" si="17"/>
        <v>#NUM!</v>
      </c>
      <c r="U194">
        <v>3.6926503700355298</v>
      </c>
    </row>
    <row r="195" spans="1:21" ht="13.9" x14ac:dyDescent="0.3">
      <c r="A195" s="2" t="s">
        <v>212</v>
      </c>
      <c r="B195" s="2">
        <v>14.17</v>
      </c>
      <c r="C195" s="2">
        <v>0</v>
      </c>
      <c r="D195" s="2">
        <v>15.29</v>
      </c>
      <c r="E195" s="2">
        <v>27.64</v>
      </c>
      <c r="F195" s="2">
        <v>27.41</v>
      </c>
      <c r="G195" s="2">
        <v>18.02</v>
      </c>
      <c r="H195" s="2">
        <f t="shared" si="18"/>
        <v>-1.3105217769692457</v>
      </c>
      <c r="I195" s="2">
        <f t="shared" si="19"/>
        <v>6.7940665119628652E-2</v>
      </c>
      <c r="J195" s="2">
        <v>0</v>
      </c>
      <c r="K195" s="2">
        <v>8.58</v>
      </c>
      <c r="L195" s="2">
        <v>0</v>
      </c>
      <c r="M195" s="2">
        <v>20.48</v>
      </c>
      <c r="N195" s="2">
        <v>40.880000000000003</v>
      </c>
      <c r="O195" s="2">
        <v>33.299999999999997</v>
      </c>
      <c r="P195" s="2">
        <f t="shared" si="20"/>
        <v>-3.4637053692388178</v>
      </c>
      <c r="Q195" s="2">
        <f t="shared" si="21"/>
        <v>1.2210952772358671E-2</v>
      </c>
      <c r="R195" s="2">
        <f t="shared" ref="R195:R258" si="22">P195-H195</f>
        <v>-2.1531835922695723</v>
      </c>
      <c r="S195">
        <f t="shared" si="17"/>
        <v>2.642997186394791</v>
      </c>
      <c r="U195">
        <v>3.1009776477248212</v>
      </c>
    </row>
    <row r="196" spans="1:21" ht="13.9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0.11</v>
      </c>
      <c r="H196" s="2" t="e">
        <f t="shared" si="18"/>
        <v>#NUM!</v>
      </c>
      <c r="I196" s="2">
        <f t="shared" si="19"/>
        <v>0.37390096630005903</v>
      </c>
      <c r="J196" s="2">
        <v>0</v>
      </c>
      <c r="K196" s="2">
        <v>0</v>
      </c>
      <c r="L196" s="2">
        <v>0</v>
      </c>
      <c r="M196" s="2">
        <v>0.1</v>
      </c>
      <c r="N196" s="2">
        <v>0</v>
      </c>
      <c r="O196" s="2">
        <v>0.27</v>
      </c>
      <c r="P196" s="2" t="e">
        <f t="shared" si="20"/>
        <v>#NUM!</v>
      </c>
      <c r="Q196" s="2">
        <f t="shared" si="21"/>
        <v>0.19265015532098587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ht="13.9" x14ac:dyDescent="0.3">
      <c r="A197" s="2" t="s">
        <v>214</v>
      </c>
      <c r="B197" s="2">
        <v>14.17</v>
      </c>
      <c r="C197" s="2">
        <v>0</v>
      </c>
      <c r="D197" s="2">
        <v>15.29</v>
      </c>
      <c r="E197" s="2">
        <v>27.64</v>
      </c>
      <c r="F197" s="2">
        <v>27.41</v>
      </c>
      <c r="G197" s="2">
        <v>18.02</v>
      </c>
      <c r="H197" s="2">
        <f t="shared" si="18"/>
        <v>-1.3105217769692457</v>
      </c>
      <c r="I197" s="2">
        <f t="shared" si="19"/>
        <v>6.7940665119628652E-2</v>
      </c>
      <c r="J197" s="2">
        <v>0</v>
      </c>
      <c r="K197" s="2">
        <v>8.58</v>
      </c>
      <c r="L197" s="2">
        <v>0</v>
      </c>
      <c r="M197" s="2">
        <v>20.48</v>
      </c>
      <c r="N197" s="2">
        <v>40.880000000000003</v>
      </c>
      <c r="O197" s="2">
        <v>33.299999999999997</v>
      </c>
      <c r="P197" s="2">
        <f t="shared" si="20"/>
        <v>-3.4637053692388178</v>
      </c>
      <c r="Q197" s="2">
        <f t="shared" si="21"/>
        <v>1.2210952772358671E-2</v>
      </c>
      <c r="R197" s="2">
        <f t="shared" si="22"/>
        <v>-2.1531835922695723</v>
      </c>
      <c r="S197">
        <f t="shared" si="23"/>
        <v>2.642997186394791</v>
      </c>
      <c r="U197">
        <v>3.1009776477248212</v>
      </c>
    </row>
    <row r="198" spans="1:21" ht="13.9" x14ac:dyDescent="0.3">
      <c r="A198" s="2" t="s">
        <v>215</v>
      </c>
      <c r="B198" s="2">
        <v>0.33</v>
      </c>
      <c r="C198" s="2">
        <v>0</v>
      </c>
      <c r="D198" s="2">
        <v>0.73</v>
      </c>
      <c r="E198" s="2">
        <v>1.68</v>
      </c>
      <c r="F198" s="2">
        <v>0</v>
      </c>
      <c r="G198" s="2">
        <v>1.58</v>
      </c>
      <c r="H198" s="2">
        <f t="shared" si="18"/>
        <v>-1.6208076996678782</v>
      </c>
      <c r="I198" s="2">
        <f t="shared" si="19"/>
        <v>0.27728734098933094</v>
      </c>
      <c r="J198" s="2">
        <v>0.18</v>
      </c>
      <c r="K198" s="2">
        <v>0.63</v>
      </c>
      <c r="L198" s="2">
        <v>0</v>
      </c>
      <c r="M198" s="2">
        <v>1.44</v>
      </c>
      <c r="N198" s="2">
        <v>0</v>
      </c>
      <c r="O198" s="2">
        <v>0.27</v>
      </c>
      <c r="P198" s="2">
        <f t="shared" si="20"/>
        <v>-1.0780025120012731</v>
      </c>
      <c r="Q198" s="2">
        <f t="shared" si="21"/>
        <v>0.56585597084483175</v>
      </c>
      <c r="R198" s="2">
        <f t="shared" si="22"/>
        <v>0.54280518766660513</v>
      </c>
      <c r="S198">
        <f t="shared" si="23"/>
        <v>0.6651020427791452</v>
      </c>
      <c r="U198">
        <v>-0.30400618689009989</v>
      </c>
    </row>
    <row r="199" spans="1:21" ht="13.9" x14ac:dyDescent="0.3">
      <c r="A199" s="2" t="s">
        <v>216</v>
      </c>
      <c r="B199" s="2">
        <v>59.33</v>
      </c>
      <c r="C199" s="2">
        <v>40.25</v>
      </c>
      <c r="D199" s="2">
        <v>42.42</v>
      </c>
      <c r="E199" s="2">
        <v>23.59</v>
      </c>
      <c r="F199" s="2">
        <v>16.850000000000001</v>
      </c>
      <c r="G199" s="2">
        <v>22.87</v>
      </c>
      <c r="H199" s="2">
        <f t="shared" si="18"/>
        <v>1.1653856290559723</v>
      </c>
      <c r="I199" s="2">
        <f t="shared" si="19"/>
        <v>1.4858842453652888E-2</v>
      </c>
      <c r="J199" s="2">
        <v>30.54</v>
      </c>
      <c r="K199" s="2">
        <v>27.42</v>
      </c>
      <c r="L199" s="2">
        <v>124.68</v>
      </c>
      <c r="M199" s="2">
        <v>23.66</v>
      </c>
      <c r="N199" s="2">
        <v>0</v>
      </c>
      <c r="O199" s="2">
        <v>14.62</v>
      </c>
      <c r="P199" s="2">
        <f t="shared" si="20"/>
        <v>2.254340029738676</v>
      </c>
      <c r="Q199" s="2">
        <f t="shared" si="21"/>
        <v>0.21452247901835059</v>
      </c>
      <c r="R199" s="2">
        <f t="shared" si="22"/>
        <v>1.0889544006827037</v>
      </c>
      <c r="S199">
        <f t="shared" si="23"/>
        <v>1.9344155046470048</v>
      </c>
      <c r="U199">
        <v>7.5128589544499773</v>
      </c>
    </row>
    <row r="200" spans="1:21" ht="13.9" x14ac:dyDescent="0.3">
      <c r="A200" s="2" t="s">
        <v>217</v>
      </c>
      <c r="B200" s="2">
        <v>109.1</v>
      </c>
      <c r="C200" s="2">
        <v>96.61</v>
      </c>
      <c r="D200" s="2">
        <v>89.21</v>
      </c>
      <c r="E200" s="2">
        <v>19.64</v>
      </c>
      <c r="F200" s="2">
        <v>22.86</v>
      </c>
      <c r="G200" s="2">
        <v>28.14</v>
      </c>
      <c r="H200" s="2">
        <f t="shared" si="18"/>
        <v>2.0617664139833458</v>
      </c>
      <c r="I200" s="2">
        <f t="shared" si="19"/>
        <v>2.9070615458903385E-4</v>
      </c>
      <c r="J200" s="2">
        <v>68.989999999999995</v>
      </c>
      <c r="K200" s="2">
        <v>62.78</v>
      </c>
      <c r="L200" s="2">
        <v>130.21</v>
      </c>
      <c r="M200" s="2">
        <v>20.059999999999999</v>
      </c>
      <c r="N200" s="2">
        <v>40.880000000000003</v>
      </c>
      <c r="O200" s="2">
        <v>17.46</v>
      </c>
      <c r="P200" s="2">
        <f t="shared" si="20"/>
        <v>1.7405311187135442</v>
      </c>
      <c r="Q200" s="2">
        <f t="shared" si="21"/>
        <v>5.4716445573451615E-2</v>
      </c>
      <c r="R200" s="2">
        <f t="shared" si="22"/>
        <v>-0.32123529526980166</v>
      </c>
      <c r="S200">
        <f t="shared" si="23"/>
        <v>0.84419413708016855</v>
      </c>
      <c r="U200">
        <v>8.0333128679413903</v>
      </c>
    </row>
    <row r="201" spans="1:21" ht="13.9" x14ac:dyDescent="0.3">
      <c r="A201" s="2" t="s">
        <v>218</v>
      </c>
      <c r="B201" s="2">
        <v>28.68</v>
      </c>
      <c r="C201" s="2">
        <v>0</v>
      </c>
      <c r="D201" s="2">
        <v>1.82</v>
      </c>
      <c r="E201" s="2">
        <v>9.77</v>
      </c>
      <c r="F201" s="2">
        <v>9.76</v>
      </c>
      <c r="G201" s="2">
        <v>11.8</v>
      </c>
      <c r="H201" s="2">
        <f t="shared" si="18"/>
        <v>-3.8735527033442831E-2</v>
      </c>
      <c r="I201" s="2">
        <f t="shared" si="19"/>
        <v>0.97768352074186526</v>
      </c>
      <c r="J201" s="2">
        <v>9.52</v>
      </c>
      <c r="K201" s="2">
        <v>4.1900000000000004</v>
      </c>
      <c r="L201" s="2">
        <v>0</v>
      </c>
      <c r="M201" s="2">
        <v>9.67</v>
      </c>
      <c r="N201" s="2">
        <v>0</v>
      </c>
      <c r="O201" s="2">
        <v>16.239999999999998</v>
      </c>
      <c r="P201" s="2">
        <f t="shared" si="20"/>
        <v>-0.9182804444008682</v>
      </c>
      <c r="Q201" s="2">
        <f t="shared" si="21"/>
        <v>0.49791603678515989</v>
      </c>
      <c r="R201" s="2">
        <f t="shared" si="22"/>
        <v>-0.87954491736742535</v>
      </c>
      <c r="S201">
        <f t="shared" si="23"/>
        <v>23.706414104242306</v>
      </c>
      <c r="U201">
        <v>3.7771566660045015</v>
      </c>
    </row>
    <row r="202" spans="1:21" ht="13.9" x14ac:dyDescent="0.3">
      <c r="A202" s="2" t="s">
        <v>219</v>
      </c>
      <c r="B202" s="2">
        <v>0</v>
      </c>
      <c r="C202" s="2">
        <v>3.17</v>
      </c>
      <c r="D202" s="2">
        <v>1.64</v>
      </c>
      <c r="E202" s="2">
        <v>1.88</v>
      </c>
      <c r="F202" s="2">
        <v>1.6</v>
      </c>
      <c r="G202" s="2">
        <v>0.53</v>
      </c>
      <c r="H202" s="2">
        <f t="shared" si="18"/>
        <v>0.26243465731512167</v>
      </c>
      <c r="I202" s="2">
        <f t="shared" si="19"/>
        <v>0.80357091469270459</v>
      </c>
      <c r="J202" s="2">
        <v>0</v>
      </c>
      <c r="K202" s="2">
        <v>0.63</v>
      </c>
      <c r="L202" s="2">
        <v>0</v>
      </c>
      <c r="M202" s="2">
        <v>2.06</v>
      </c>
      <c r="N202" s="2">
        <v>0</v>
      </c>
      <c r="O202" s="2">
        <v>1.76</v>
      </c>
      <c r="P202" s="2">
        <f t="shared" si="20"/>
        <v>-2.6001489045358328</v>
      </c>
      <c r="Q202" s="2">
        <f t="shared" si="21"/>
        <v>0.19081870489211594</v>
      </c>
      <c r="R202" s="2">
        <f t="shared" si="22"/>
        <v>-2.8625835618509545</v>
      </c>
      <c r="S202">
        <f t="shared" si="23"/>
        <v>-9.9077954533027697</v>
      </c>
      <c r="U202">
        <v>-0.66657626627480826</v>
      </c>
    </row>
    <row r="203" spans="1:21" ht="13.9" x14ac:dyDescent="0.3">
      <c r="A203" s="2" t="s">
        <v>220</v>
      </c>
      <c r="B203" s="2">
        <v>7.91</v>
      </c>
      <c r="C203" s="2">
        <v>20.25</v>
      </c>
      <c r="D203" s="2">
        <v>18.75</v>
      </c>
      <c r="E203" s="2">
        <v>16.98</v>
      </c>
      <c r="F203" s="2">
        <v>22.86</v>
      </c>
      <c r="G203" s="2">
        <v>24.55</v>
      </c>
      <c r="H203" s="2">
        <f t="shared" si="18"/>
        <v>-0.45694114914218298</v>
      </c>
      <c r="I203" s="2">
        <f t="shared" si="19"/>
        <v>0.2663232784415418</v>
      </c>
      <c r="J203" s="2">
        <v>37.909999999999997</v>
      </c>
      <c r="K203" s="2">
        <v>10.050000000000001</v>
      </c>
      <c r="L203" s="2">
        <v>50.78</v>
      </c>
      <c r="M203" s="2">
        <v>23.36</v>
      </c>
      <c r="N203" s="2">
        <v>0</v>
      </c>
      <c r="O203" s="2">
        <v>21.52</v>
      </c>
      <c r="P203" s="2">
        <f t="shared" si="20"/>
        <v>1.137561969132304</v>
      </c>
      <c r="Q203" s="2">
        <f t="shared" si="21"/>
        <v>0.27383159217870234</v>
      </c>
      <c r="R203" s="2">
        <f t="shared" si="22"/>
        <v>1.5945031182744871</v>
      </c>
      <c r="S203">
        <f t="shared" si="23"/>
        <v>-2.489515271863461</v>
      </c>
      <c r="U203">
        <v>6.6255627399663721</v>
      </c>
    </row>
    <row r="204" spans="1:21" ht="13.9" x14ac:dyDescent="0.3">
      <c r="A204" s="2" t="s">
        <v>221</v>
      </c>
      <c r="B204" s="2">
        <v>26.7</v>
      </c>
      <c r="C204" s="2">
        <v>64.650000000000006</v>
      </c>
      <c r="D204" s="2">
        <v>23.67</v>
      </c>
      <c r="E204" s="2">
        <v>9.3800000000000008</v>
      </c>
      <c r="F204" s="2">
        <v>10.7</v>
      </c>
      <c r="G204" s="2">
        <v>11.49</v>
      </c>
      <c r="H204" s="2">
        <f t="shared" si="18"/>
        <v>1.8652585770763219</v>
      </c>
      <c r="I204" s="2">
        <f t="shared" si="19"/>
        <v>0.10277079268938721</v>
      </c>
      <c r="J204" s="2">
        <v>0.18</v>
      </c>
      <c r="K204" s="2">
        <v>15.7</v>
      </c>
      <c r="L204" s="2">
        <v>0</v>
      </c>
      <c r="M204" s="2">
        <v>8.44</v>
      </c>
      <c r="N204" s="2">
        <v>0</v>
      </c>
      <c r="O204" s="2">
        <v>14.21</v>
      </c>
      <c r="P204" s="2">
        <f t="shared" si="20"/>
        <v>-0.51230013779063976</v>
      </c>
      <c r="Q204" s="2">
        <f t="shared" si="21"/>
        <v>0.7510931493822508</v>
      </c>
      <c r="R204" s="2">
        <f t="shared" si="22"/>
        <v>-2.3775587148669617</v>
      </c>
      <c r="S204">
        <f t="shared" si="23"/>
        <v>-0.27465368291920078</v>
      </c>
      <c r="U204">
        <v>3.9891390073682333</v>
      </c>
    </row>
    <row r="205" spans="1:21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 t="e">
        <f t="shared" si="18"/>
        <v>#NUM!</v>
      </c>
      <c r="I205" s="2">
        <f t="shared" si="19"/>
        <v>0.37390096630005903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f t="shared" si="20"/>
        <v>#DIV/0!</v>
      </c>
      <c r="Q205" s="2" t="e">
        <f t="shared" si="21"/>
        <v>#DIV/0!</v>
      </c>
      <c r="R205" s="2" t="e">
        <f t="shared" si="22"/>
        <v>#DIV/0!</v>
      </c>
      <c r="S205" t="e">
        <f t="shared" si="23"/>
        <v>#DIV/0!</v>
      </c>
      <c r="U205" t="e">
        <v>#NUM!</v>
      </c>
    </row>
    <row r="206" spans="1:21" ht="13.9" x14ac:dyDescent="0.3">
      <c r="A206" s="2" t="s">
        <v>223</v>
      </c>
      <c r="B206" s="2">
        <v>0</v>
      </c>
      <c r="C206" s="2">
        <v>0</v>
      </c>
      <c r="D206" s="2">
        <v>0</v>
      </c>
      <c r="E206" s="2">
        <v>0.3</v>
      </c>
      <c r="F206" s="2">
        <v>2.94</v>
      </c>
      <c r="G206" s="2">
        <v>0</v>
      </c>
      <c r="H206" s="2" t="e">
        <f t="shared" si="18"/>
        <v>#NUM!</v>
      </c>
      <c r="I206" s="2">
        <f t="shared" si="19"/>
        <v>0.3119206008414368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f t="shared" si="20"/>
        <v>#DIV/0!</v>
      </c>
      <c r="Q206" s="2" t="e">
        <f t="shared" si="21"/>
        <v>#DIV/0!</v>
      </c>
      <c r="R206" s="2" t="e">
        <f t="shared" si="22"/>
        <v>#DIV/0!</v>
      </c>
      <c r="S206" t="e">
        <f t="shared" si="23"/>
        <v>#DIV/0!</v>
      </c>
      <c r="U206" t="e">
        <v>#NUM!</v>
      </c>
    </row>
    <row r="207" spans="1:21" ht="13.9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</v>
      </c>
      <c r="F207" s="2">
        <v>0.13</v>
      </c>
      <c r="G207" s="2">
        <v>0</v>
      </c>
      <c r="H207" s="2" t="e">
        <f t="shared" si="18"/>
        <v>#NUM!</v>
      </c>
      <c r="I207" s="2">
        <f t="shared" si="19"/>
        <v>0.37390096630005903</v>
      </c>
      <c r="J207" s="2">
        <v>0</v>
      </c>
      <c r="K207" s="2">
        <v>5.86</v>
      </c>
      <c r="L207" s="2">
        <v>0</v>
      </c>
      <c r="M207" s="2">
        <v>0.82</v>
      </c>
      <c r="N207" s="2">
        <v>0</v>
      </c>
      <c r="O207" s="2">
        <v>0</v>
      </c>
      <c r="P207" s="2">
        <f t="shared" si="20"/>
        <v>2.8372048498041647</v>
      </c>
      <c r="Q207" s="2">
        <f t="shared" si="21"/>
        <v>0.44233398639705429</v>
      </c>
      <c r="R207" s="2" t="e">
        <f t="shared" si="22"/>
        <v>#NUM!</v>
      </c>
      <c r="S207" t="e">
        <f t="shared" si="23"/>
        <v>#NUM!</v>
      </c>
      <c r="U207">
        <v>2.5509006646475232</v>
      </c>
    </row>
    <row r="208" spans="1:21" ht="13.9" x14ac:dyDescent="0.3">
      <c r="A208" s="2" t="s">
        <v>225</v>
      </c>
      <c r="B208" s="2">
        <v>21.42</v>
      </c>
      <c r="C208" s="2">
        <v>20.49</v>
      </c>
      <c r="D208" s="2">
        <v>20.57</v>
      </c>
      <c r="E208" s="2">
        <v>1.38</v>
      </c>
      <c r="F208" s="2">
        <v>1.87</v>
      </c>
      <c r="G208" s="2">
        <v>1.05</v>
      </c>
      <c r="H208" s="2">
        <f t="shared" si="18"/>
        <v>3.860985888552519</v>
      </c>
      <c r="I208" s="2">
        <f t="shared" si="19"/>
        <v>8.9307631895547999E-7</v>
      </c>
      <c r="J208" s="2">
        <v>8.08</v>
      </c>
      <c r="K208" s="2">
        <v>0</v>
      </c>
      <c r="L208" s="2">
        <v>0</v>
      </c>
      <c r="M208" s="2">
        <v>2.37</v>
      </c>
      <c r="N208" s="2">
        <v>0</v>
      </c>
      <c r="O208" s="2">
        <v>1.35</v>
      </c>
      <c r="P208" s="2">
        <f t="shared" si="20"/>
        <v>1.1190526716437634</v>
      </c>
      <c r="Q208" s="2">
        <f t="shared" si="21"/>
        <v>0.62867579207802282</v>
      </c>
      <c r="R208" s="2">
        <f t="shared" si="22"/>
        <v>-2.7419332169087554</v>
      </c>
      <c r="S208">
        <f t="shared" si="23"/>
        <v>0.28983599110311575</v>
      </c>
      <c r="U208">
        <v>3.0143552929770703</v>
      </c>
    </row>
    <row r="209" spans="1:21" ht="13.9" x14ac:dyDescent="0.3">
      <c r="A209" s="2" t="s">
        <v>226</v>
      </c>
      <c r="B209" s="2">
        <v>147.01</v>
      </c>
      <c r="C209" s="2">
        <v>96.36</v>
      </c>
      <c r="D209" s="2">
        <v>88.12</v>
      </c>
      <c r="E209" s="2">
        <v>53.01</v>
      </c>
      <c r="F209" s="2">
        <v>41.98</v>
      </c>
      <c r="G209" s="2">
        <v>66.08</v>
      </c>
      <c r="H209" s="2">
        <f t="shared" si="18"/>
        <v>1.0412775387367972</v>
      </c>
      <c r="I209" s="2">
        <f t="shared" si="19"/>
        <v>4.4748907030911528E-2</v>
      </c>
      <c r="J209" s="2">
        <v>82.64</v>
      </c>
      <c r="K209" s="2">
        <v>139.80000000000001</v>
      </c>
      <c r="L209" s="2">
        <v>158.36000000000001</v>
      </c>
      <c r="M209" s="2">
        <v>47.53</v>
      </c>
      <c r="N209" s="2">
        <v>0</v>
      </c>
      <c r="O209" s="2">
        <v>49.67</v>
      </c>
      <c r="P209" s="2">
        <f t="shared" si="20"/>
        <v>1.9700052597021627</v>
      </c>
      <c r="Q209" s="2">
        <f t="shared" si="21"/>
        <v>2.777263054979728E-2</v>
      </c>
      <c r="R209" s="2">
        <f t="shared" si="22"/>
        <v>0.92872772096536549</v>
      </c>
      <c r="S209">
        <f t="shared" si="23"/>
        <v>1.891911797206373</v>
      </c>
      <c r="U209">
        <v>8.5728896684205829</v>
      </c>
    </row>
    <row r="210" spans="1:21" ht="13.9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0.79</v>
      </c>
      <c r="F210" s="2">
        <v>0</v>
      </c>
      <c r="G210" s="2">
        <v>1.1599999999999999</v>
      </c>
      <c r="H210" s="2" t="e">
        <f t="shared" si="18"/>
        <v>#NUM!</v>
      </c>
      <c r="I210" s="2">
        <f t="shared" si="19"/>
        <v>0.1302355876437756</v>
      </c>
      <c r="J210" s="2">
        <v>0</v>
      </c>
      <c r="K210" s="2">
        <v>0</v>
      </c>
      <c r="L210" s="2">
        <v>0</v>
      </c>
      <c r="M210" s="2">
        <v>0.41</v>
      </c>
      <c r="N210" s="2">
        <v>0</v>
      </c>
      <c r="O210" s="2">
        <v>0</v>
      </c>
      <c r="P210" s="2" t="e">
        <f t="shared" si="20"/>
        <v>#NUM!</v>
      </c>
      <c r="Q210" s="2">
        <f t="shared" si="21"/>
        <v>0.37390096630005903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ht="13.9" x14ac:dyDescent="0.3">
      <c r="A211" s="2" t="s">
        <v>228</v>
      </c>
      <c r="B211" s="2">
        <v>0</v>
      </c>
      <c r="C211" s="2">
        <v>0.24</v>
      </c>
      <c r="D211" s="2">
        <v>3.46</v>
      </c>
      <c r="E211" s="2">
        <v>0.69</v>
      </c>
      <c r="F211" s="2">
        <v>2.41</v>
      </c>
      <c r="G211" s="2">
        <v>1.05</v>
      </c>
      <c r="H211" s="2">
        <f t="shared" si="18"/>
        <v>-0.16558606571797499</v>
      </c>
      <c r="I211" s="2">
        <f t="shared" si="19"/>
        <v>0.90898976094163253</v>
      </c>
      <c r="J211" s="2">
        <v>6.29</v>
      </c>
      <c r="K211" s="2">
        <v>0</v>
      </c>
      <c r="L211" s="2">
        <v>0</v>
      </c>
      <c r="M211" s="2">
        <v>1.75</v>
      </c>
      <c r="N211" s="2">
        <v>0</v>
      </c>
      <c r="O211" s="2">
        <v>2.44</v>
      </c>
      <c r="P211" s="2">
        <f t="shared" si="20"/>
        <v>0.58610977317993784</v>
      </c>
      <c r="Q211" s="2">
        <f t="shared" si="21"/>
        <v>0.76817349260998535</v>
      </c>
      <c r="R211" s="2">
        <f t="shared" si="22"/>
        <v>0.7516958388979128</v>
      </c>
      <c r="S211">
        <f t="shared" si="23"/>
        <v>-3.5396080620587718</v>
      </c>
      <c r="U211">
        <v>2.6530600171045644</v>
      </c>
    </row>
    <row r="212" spans="1:21" ht="13.9" x14ac:dyDescent="0.3">
      <c r="A212" s="2" t="s">
        <v>229</v>
      </c>
      <c r="B212" s="2">
        <v>1.32</v>
      </c>
      <c r="C212" s="2">
        <v>0</v>
      </c>
      <c r="D212" s="2">
        <v>2.73</v>
      </c>
      <c r="E212" s="2">
        <v>0.1</v>
      </c>
      <c r="F212" s="2">
        <v>0.27</v>
      </c>
      <c r="G212" s="2">
        <v>1.05</v>
      </c>
      <c r="H212" s="2">
        <f t="shared" si="18"/>
        <v>1.5120309782673049</v>
      </c>
      <c r="I212" s="2">
        <f t="shared" si="19"/>
        <v>0.35594482690175799</v>
      </c>
      <c r="J212" s="2">
        <v>0</v>
      </c>
      <c r="K212" s="2">
        <v>1.05</v>
      </c>
      <c r="L212" s="2">
        <v>5.03</v>
      </c>
      <c r="M212" s="2">
        <v>0</v>
      </c>
      <c r="N212" s="2">
        <v>0</v>
      </c>
      <c r="O212" s="2">
        <v>1.22</v>
      </c>
      <c r="P212" s="2">
        <f t="shared" si="20"/>
        <v>2.3171901758806994</v>
      </c>
      <c r="Q212" s="2">
        <f t="shared" si="21"/>
        <v>0.36452756980615481</v>
      </c>
      <c r="R212" s="2">
        <f t="shared" si="22"/>
        <v>0.8051591976133945</v>
      </c>
      <c r="S212">
        <f t="shared" si="23"/>
        <v>1.5325017867927928</v>
      </c>
      <c r="U212">
        <v>2.6040713236688608</v>
      </c>
    </row>
    <row r="213" spans="1:21" ht="13.9" x14ac:dyDescent="0.3">
      <c r="A213" s="2" t="s">
        <v>230</v>
      </c>
      <c r="B213" s="2">
        <v>22.74</v>
      </c>
      <c r="C213" s="2">
        <v>0.24</v>
      </c>
      <c r="D213" s="2">
        <v>0</v>
      </c>
      <c r="E213" s="2">
        <v>9.08</v>
      </c>
      <c r="F213" s="2">
        <v>11.63</v>
      </c>
      <c r="G213" s="2">
        <v>10.119999999999999</v>
      </c>
      <c r="H213" s="2">
        <f t="shared" si="18"/>
        <v>-0.423956091461062</v>
      </c>
      <c r="I213" s="2">
        <f t="shared" si="19"/>
        <v>0.74721895200495614</v>
      </c>
      <c r="J213" s="2">
        <v>12.58</v>
      </c>
      <c r="K213" s="2">
        <v>15.49</v>
      </c>
      <c r="L213" s="2">
        <v>11.56</v>
      </c>
      <c r="M213" s="2">
        <v>4.32</v>
      </c>
      <c r="N213" s="2">
        <v>204.38</v>
      </c>
      <c r="O213" s="2">
        <v>15.56</v>
      </c>
      <c r="P213" s="2">
        <f t="shared" si="20"/>
        <v>-2.500507445518632</v>
      </c>
      <c r="Q213" s="2">
        <f t="shared" si="21"/>
        <v>0.39671807878106169</v>
      </c>
      <c r="R213" s="2">
        <f t="shared" si="22"/>
        <v>-2.0765513540575702</v>
      </c>
      <c r="S213">
        <f t="shared" si="23"/>
        <v>5.8980340084305398</v>
      </c>
      <c r="U213">
        <v>5.3085210621932593</v>
      </c>
    </row>
    <row r="214" spans="1:21" ht="13.9" x14ac:dyDescent="0.3">
      <c r="A214" s="2" t="s">
        <v>231</v>
      </c>
      <c r="B214" s="2">
        <v>0</v>
      </c>
      <c r="C214" s="2">
        <v>2.44</v>
      </c>
      <c r="D214" s="2">
        <v>0</v>
      </c>
      <c r="E214" s="2">
        <v>2.0699999999999998</v>
      </c>
      <c r="F214" s="2">
        <v>1.74</v>
      </c>
      <c r="G214" s="2">
        <v>2</v>
      </c>
      <c r="H214" s="2">
        <f t="shared" si="18"/>
        <v>-1.2516570158416427</v>
      </c>
      <c r="I214" s="2">
        <f t="shared" si="19"/>
        <v>0.24233725178154625</v>
      </c>
      <c r="J214" s="2">
        <v>0</v>
      </c>
      <c r="K214" s="2">
        <v>0</v>
      </c>
      <c r="L214" s="2">
        <v>2.5099999999999998</v>
      </c>
      <c r="M214" s="2">
        <v>1.44</v>
      </c>
      <c r="N214" s="2">
        <v>0</v>
      </c>
      <c r="O214" s="2">
        <v>1.22</v>
      </c>
      <c r="P214" s="2">
        <f t="shared" si="20"/>
        <v>-8.373888155041774E-2</v>
      </c>
      <c r="Q214" s="2">
        <f t="shared" si="21"/>
        <v>0.96050729125789192</v>
      </c>
      <c r="R214" s="2">
        <f t="shared" si="22"/>
        <v>1.167918134291225</v>
      </c>
      <c r="S214">
        <f t="shared" si="23"/>
        <v>6.6902418546433667E-2</v>
      </c>
      <c r="U214">
        <v>1.3276873641760472</v>
      </c>
    </row>
    <row r="215" spans="1:21" ht="13.9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0.49</v>
      </c>
      <c r="F215" s="2">
        <v>0</v>
      </c>
      <c r="G215" s="2">
        <v>0.32</v>
      </c>
      <c r="H215" s="2" t="e">
        <f t="shared" si="18"/>
        <v>#NUM!</v>
      </c>
      <c r="I215" s="2">
        <f t="shared" si="19"/>
        <v>0.13333375295265293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 t="e">
        <f t="shared" si="20"/>
        <v>#DIV/0!</v>
      </c>
      <c r="Q215" s="2" t="e">
        <f t="shared" si="21"/>
        <v>#DIV/0!</v>
      </c>
      <c r="R215" s="2" t="e">
        <f t="shared" si="22"/>
        <v>#DIV/0!</v>
      </c>
      <c r="S215" t="e">
        <f t="shared" si="23"/>
        <v>#DIV/0!</v>
      </c>
      <c r="U215" t="e">
        <v>#NUM!</v>
      </c>
    </row>
    <row r="216" spans="1:21" ht="13.9" x14ac:dyDescent="0.3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18"/>
        <v>#DIV/0!</v>
      </c>
      <c r="I216" s="2" t="e">
        <f t="shared" si="19"/>
        <v>#DIV/0!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ht="13.9" x14ac:dyDescent="0.3">
      <c r="A217" s="2" t="s">
        <v>234</v>
      </c>
      <c r="B217" s="2">
        <v>19.45</v>
      </c>
      <c r="C217" s="2">
        <v>76.36</v>
      </c>
      <c r="D217" s="2">
        <v>34.770000000000003</v>
      </c>
      <c r="E217" s="2">
        <v>15.2</v>
      </c>
      <c r="F217" s="2">
        <v>6.42</v>
      </c>
      <c r="G217" s="2">
        <v>11.91</v>
      </c>
      <c r="H217" s="2">
        <f t="shared" si="18"/>
        <v>1.9614095583308413</v>
      </c>
      <c r="I217" s="2">
        <f t="shared" si="19"/>
        <v>0.13305023106314517</v>
      </c>
      <c r="J217" s="2">
        <v>0</v>
      </c>
      <c r="K217" s="2">
        <v>35.159999999999997</v>
      </c>
      <c r="L217" s="2">
        <v>20.11</v>
      </c>
      <c r="M217" s="2">
        <v>11.83</v>
      </c>
      <c r="N217" s="2">
        <v>0</v>
      </c>
      <c r="O217" s="2">
        <v>9.4700000000000006</v>
      </c>
      <c r="P217" s="2">
        <f t="shared" si="20"/>
        <v>1.3756431821009603</v>
      </c>
      <c r="Q217" s="2">
        <f t="shared" si="21"/>
        <v>0.35388545065804283</v>
      </c>
      <c r="R217" s="2">
        <f t="shared" si="22"/>
        <v>-0.58576637622988104</v>
      </c>
      <c r="S217">
        <f t="shared" si="23"/>
        <v>0.70135437867022121</v>
      </c>
      <c r="U217">
        <v>5.7884247074394359</v>
      </c>
    </row>
    <row r="218" spans="1:21" ht="13.9" x14ac:dyDescent="0.3">
      <c r="A218" s="2" t="s">
        <v>235</v>
      </c>
      <c r="B218" s="2">
        <v>1.32</v>
      </c>
      <c r="C218" s="2">
        <v>16.100000000000001</v>
      </c>
      <c r="D218" s="2">
        <v>2.37</v>
      </c>
      <c r="E218" s="2">
        <v>19.739999999999998</v>
      </c>
      <c r="F218" s="2">
        <v>15.78</v>
      </c>
      <c r="G218" s="2">
        <v>23.92</v>
      </c>
      <c r="H218" s="2">
        <f t="shared" si="18"/>
        <v>-1.5866625034910842</v>
      </c>
      <c r="I218" s="2">
        <f t="shared" si="19"/>
        <v>6.7546362536198321E-2</v>
      </c>
      <c r="J218" s="2">
        <v>0</v>
      </c>
      <c r="K218" s="2">
        <v>9.6300000000000008</v>
      </c>
      <c r="L218" s="2">
        <v>32.68</v>
      </c>
      <c r="M218" s="2">
        <v>13.58</v>
      </c>
      <c r="N218" s="2">
        <v>40.880000000000003</v>
      </c>
      <c r="O218" s="2">
        <v>16.38</v>
      </c>
      <c r="P218" s="2">
        <f t="shared" si="20"/>
        <v>-0.74356552639556384</v>
      </c>
      <c r="Q218" s="2">
        <f t="shared" si="21"/>
        <v>0.50522379537014861</v>
      </c>
      <c r="R218" s="2">
        <f t="shared" si="22"/>
        <v>0.84309697709552034</v>
      </c>
      <c r="S218">
        <f t="shared" si="23"/>
        <v>0.46863496475118038</v>
      </c>
      <c r="U218">
        <v>5.4029267805816259</v>
      </c>
    </row>
    <row r="219" spans="1:21" ht="13.9" x14ac:dyDescent="0.3">
      <c r="A219" s="2" t="s">
        <v>236</v>
      </c>
      <c r="B219" s="2">
        <v>46428.76</v>
      </c>
      <c r="C219" s="2">
        <v>37218.54</v>
      </c>
      <c r="D219" s="2">
        <v>34930.44</v>
      </c>
      <c r="E219" s="2">
        <v>48004.23</v>
      </c>
      <c r="F219" s="2">
        <v>39007.58</v>
      </c>
      <c r="G219" s="2">
        <v>45590.93</v>
      </c>
      <c r="H219" s="2">
        <f t="shared" si="18"/>
        <v>-0.16127738103710701</v>
      </c>
      <c r="I219" s="2">
        <f t="shared" si="19"/>
        <v>0.3502812312837858</v>
      </c>
      <c r="J219" s="2">
        <v>33394.21</v>
      </c>
      <c r="K219" s="2">
        <v>43786.82</v>
      </c>
      <c r="L219" s="2">
        <v>41758.75</v>
      </c>
      <c r="M219" s="2">
        <v>45426.25</v>
      </c>
      <c r="N219" s="2">
        <v>26406.15</v>
      </c>
      <c r="O219" s="2">
        <v>36749.1</v>
      </c>
      <c r="P219" s="2">
        <f t="shared" si="20"/>
        <v>0.13145299307183844</v>
      </c>
      <c r="Q219" s="2">
        <f t="shared" si="21"/>
        <v>0.61557978358426801</v>
      </c>
      <c r="R219" s="2">
        <f t="shared" si="22"/>
        <v>0.29273037410894542</v>
      </c>
      <c r="S219">
        <f t="shared" si="23"/>
        <v>-0.8150739565989944</v>
      </c>
      <c r="U219">
        <v>16.859871786748329</v>
      </c>
    </row>
    <row r="220" spans="1:21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 t="e">
        <f t="shared" si="18"/>
        <v>#NUM!</v>
      </c>
      <c r="I220" s="2">
        <f t="shared" si="19"/>
        <v>0.37390096630005903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 t="e">
        <f t="shared" si="20"/>
        <v>#DIV/0!</v>
      </c>
      <c r="Q220" s="2" t="e">
        <f t="shared" si="21"/>
        <v>#DIV/0!</v>
      </c>
      <c r="R220" s="2" t="e">
        <f t="shared" si="22"/>
        <v>#DIV/0!</v>
      </c>
      <c r="S220" t="e">
        <f t="shared" si="23"/>
        <v>#DIV/0!</v>
      </c>
      <c r="U220" t="e">
        <v>#NUM!</v>
      </c>
    </row>
    <row r="221" spans="1:21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 t="e">
        <f t="shared" si="18"/>
        <v>#NUM!</v>
      </c>
      <c r="I221" s="2">
        <f t="shared" si="19"/>
        <v>0.37390096630005903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 t="e">
        <f t="shared" si="20"/>
        <v>#DIV/0!</v>
      </c>
      <c r="Q221" s="2" t="e">
        <f t="shared" si="21"/>
        <v>#DIV/0!</v>
      </c>
      <c r="R221" s="2" t="e">
        <f t="shared" si="22"/>
        <v>#DIV/0!</v>
      </c>
      <c r="S221" t="e">
        <f t="shared" si="23"/>
        <v>#DIV/0!</v>
      </c>
      <c r="U221" t="e">
        <v>#NUM!</v>
      </c>
    </row>
    <row r="222" spans="1:21" ht="13.9" x14ac:dyDescent="0.3">
      <c r="A222" s="2" t="s">
        <v>239</v>
      </c>
      <c r="B222" s="2">
        <v>10.220000000000001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f t="shared" si="18"/>
        <v>4.6048620581588615</v>
      </c>
      <c r="I222" s="2">
        <f t="shared" si="19"/>
        <v>0.39227061798676671</v>
      </c>
      <c r="J222" s="2">
        <v>0</v>
      </c>
      <c r="K222" s="2">
        <v>0.21</v>
      </c>
      <c r="L222" s="2">
        <v>0</v>
      </c>
      <c r="M222" s="2">
        <v>0</v>
      </c>
      <c r="N222" s="2">
        <v>0</v>
      </c>
      <c r="O222" s="2">
        <v>0</v>
      </c>
      <c r="P222" s="2" t="e">
        <f t="shared" si="20"/>
        <v>#DIV/0!</v>
      </c>
      <c r="Q222" s="2">
        <f t="shared" si="21"/>
        <v>0.37390096630005903</v>
      </c>
      <c r="R222" s="2" t="e">
        <f t="shared" si="22"/>
        <v>#DIV/0!</v>
      </c>
      <c r="S222" t="e">
        <f t="shared" si="23"/>
        <v>#DIV/0!</v>
      </c>
      <c r="U222">
        <v>-2.2515387669959646</v>
      </c>
    </row>
    <row r="223" spans="1:21" ht="13.9" x14ac:dyDescent="0.3">
      <c r="A223" s="2" t="s">
        <v>240</v>
      </c>
      <c r="B223" s="2">
        <v>0</v>
      </c>
      <c r="C223" s="2">
        <v>0.24</v>
      </c>
      <c r="D223" s="2">
        <v>0</v>
      </c>
      <c r="E223" s="2">
        <v>10.46</v>
      </c>
      <c r="F223" s="2">
        <v>8.56</v>
      </c>
      <c r="G223" s="2">
        <v>12.86</v>
      </c>
      <c r="H223" s="2">
        <f t="shared" si="18"/>
        <v>-7.0534734132693151</v>
      </c>
      <c r="I223" s="2">
        <f t="shared" si="19"/>
        <v>1.069751573861525E-3</v>
      </c>
      <c r="J223" s="2">
        <v>9.34</v>
      </c>
      <c r="K223" s="2">
        <v>0</v>
      </c>
      <c r="L223" s="2">
        <v>0</v>
      </c>
      <c r="M223" s="2">
        <v>12.14</v>
      </c>
      <c r="N223" s="2">
        <v>0</v>
      </c>
      <c r="O223" s="2">
        <v>9.1999999999999993</v>
      </c>
      <c r="P223" s="2">
        <f t="shared" si="20"/>
        <v>-1.1920657211147629</v>
      </c>
      <c r="Q223" s="2">
        <f t="shared" si="21"/>
        <v>0.45173395715383763</v>
      </c>
      <c r="R223" s="2">
        <f t="shared" si="22"/>
        <v>5.8614076921545522</v>
      </c>
      <c r="S223">
        <f t="shared" si="23"/>
        <v>0.16900407094073605</v>
      </c>
      <c r="U223">
        <v>3.2234225499349369</v>
      </c>
    </row>
    <row r="224" spans="1:21" ht="13.9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f t="shared" si="20"/>
        <v>#DIV/0!</v>
      </c>
      <c r="Q224" s="2" t="e">
        <f t="shared" si="21"/>
        <v>#DIV/0!</v>
      </c>
      <c r="R224" s="2" t="e">
        <f t="shared" si="22"/>
        <v>#DIV/0!</v>
      </c>
      <c r="S224" t="e">
        <f t="shared" si="23"/>
        <v>#DIV/0!</v>
      </c>
      <c r="U224" t="e">
        <v>#NUM!</v>
      </c>
    </row>
    <row r="225" spans="1:21" ht="13.9" x14ac:dyDescent="0.3">
      <c r="A225" s="2" t="s">
        <v>242</v>
      </c>
      <c r="B225" s="2">
        <v>7.91</v>
      </c>
      <c r="C225" s="2">
        <v>0</v>
      </c>
      <c r="D225" s="2">
        <v>0.91</v>
      </c>
      <c r="E225" s="2">
        <v>0</v>
      </c>
      <c r="F225" s="2">
        <v>0.27</v>
      </c>
      <c r="G225" s="2">
        <v>0</v>
      </c>
      <c r="H225" s="2">
        <f t="shared" si="18"/>
        <v>5.0297473433940523</v>
      </c>
      <c r="I225" s="2">
        <f t="shared" si="19"/>
        <v>0.31799275586244319</v>
      </c>
      <c r="J225" s="2">
        <v>0</v>
      </c>
      <c r="K225" s="2">
        <v>0</v>
      </c>
      <c r="L225" s="2">
        <v>0</v>
      </c>
      <c r="M225" s="2">
        <v>0.93</v>
      </c>
      <c r="N225" s="2">
        <v>0</v>
      </c>
      <c r="O225" s="2">
        <v>1.49</v>
      </c>
      <c r="P225" s="2" t="e">
        <f t="shared" si="20"/>
        <v>#NUM!</v>
      </c>
      <c r="Q225" s="2">
        <f t="shared" si="21"/>
        <v>0.13696427071498948</v>
      </c>
      <c r="R225" s="2" t="e">
        <f t="shared" si="22"/>
        <v>#NUM!</v>
      </c>
      <c r="S225" t="e">
        <f t="shared" si="23"/>
        <v>#NUM!</v>
      </c>
      <c r="U225" t="e">
        <v>#NUM!</v>
      </c>
    </row>
    <row r="226" spans="1:21" ht="13.9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 t="e">
        <f t="shared" si="18"/>
        <v>#DIV/0!</v>
      </c>
      <c r="I226" s="2" t="e">
        <f t="shared" si="19"/>
        <v>#DIV/0!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0.14000000000000001</v>
      </c>
      <c r="P226" s="2" t="e">
        <f t="shared" si="20"/>
        <v>#NUM!</v>
      </c>
      <c r="Q226" s="2">
        <f t="shared" si="21"/>
        <v>0.37390096630005903</v>
      </c>
      <c r="R226" s="2" t="e">
        <f t="shared" si="22"/>
        <v>#NUM!</v>
      </c>
      <c r="S226" t="e">
        <f t="shared" si="23"/>
        <v>#NUM!</v>
      </c>
      <c r="U226" t="e">
        <v>#NUM!</v>
      </c>
    </row>
    <row r="227" spans="1:21" ht="13.9" x14ac:dyDescent="0.3">
      <c r="A227" s="2" t="s">
        <v>244</v>
      </c>
      <c r="B227" s="2">
        <v>0</v>
      </c>
      <c r="C227" s="2">
        <v>0.24</v>
      </c>
      <c r="D227" s="2">
        <v>0</v>
      </c>
      <c r="E227" s="2">
        <v>0.2</v>
      </c>
      <c r="F227" s="2">
        <v>0.8</v>
      </c>
      <c r="G227" s="2">
        <v>0.63</v>
      </c>
      <c r="H227" s="2">
        <f t="shared" si="18"/>
        <v>-2.7637656535099211</v>
      </c>
      <c r="I227" s="2">
        <f t="shared" si="19"/>
        <v>7.6970900299341519E-2</v>
      </c>
      <c r="J227" s="2">
        <v>0</v>
      </c>
      <c r="K227" s="2">
        <v>0</v>
      </c>
      <c r="L227" s="2">
        <v>0</v>
      </c>
      <c r="M227" s="2">
        <v>1.75</v>
      </c>
      <c r="N227" s="2">
        <v>0</v>
      </c>
      <c r="O227" s="2">
        <v>0.54</v>
      </c>
      <c r="P227" s="2" t="e">
        <f t="shared" si="20"/>
        <v>#NUM!</v>
      </c>
      <c r="Q227" s="2">
        <f t="shared" si="21"/>
        <v>0.2141371439716821</v>
      </c>
      <c r="R227" s="2" t="e">
        <f t="shared" si="22"/>
        <v>#NUM!</v>
      </c>
      <c r="S227" t="e">
        <f t="shared" si="23"/>
        <v>#NUM!</v>
      </c>
      <c r="U227" t="e">
        <v>#NUM!</v>
      </c>
    </row>
    <row r="228" spans="1:21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 t="e">
        <f t="shared" si="18"/>
        <v>#NUM!</v>
      </c>
      <c r="I228" s="2">
        <f t="shared" si="19"/>
        <v>0.37390096630005903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 t="e">
        <f t="shared" si="20"/>
        <v>#DIV/0!</v>
      </c>
      <c r="Q228" s="2" t="e">
        <f t="shared" si="21"/>
        <v>#DIV/0!</v>
      </c>
      <c r="R228" s="2" t="e">
        <f t="shared" si="22"/>
        <v>#DIV/0!</v>
      </c>
      <c r="S228" t="e">
        <f t="shared" si="23"/>
        <v>#DIV/0!</v>
      </c>
      <c r="U228" t="e">
        <v>#NUM!</v>
      </c>
    </row>
    <row r="229" spans="1:21" ht="13.9" x14ac:dyDescent="0.3">
      <c r="A229" s="2" t="s">
        <v>246</v>
      </c>
      <c r="B229" s="2">
        <v>3602.68</v>
      </c>
      <c r="C229" s="2">
        <v>2365.94</v>
      </c>
      <c r="D229" s="2">
        <v>1623.29</v>
      </c>
      <c r="E229" s="2">
        <v>827.83</v>
      </c>
      <c r="F229" s="2">
        <v>1026.2</v>
      </c>
      <c r="G229" s="2">
        <v>723.16</v>
      </c>
      <c r="H229" s="2">
        <f t="shared" si="18"/>
        <v>1.55866398776381</v>
      </c>
      <c r="I229" s="2">
        <f t="shared" si="19"/>
        <v>4.5847189070853625E-2</v>
      </c>
      <c r="J229" s="2">
        <v>1913.49</v>
      </c>
      <c r="K229" s="2">
        <v>3335.52</v>
      </c>
      <c r="L229" s="2">
        <v>7819.15</v>
      </c>
      <c r="M229" s="2">
        <v>655.1</v>
      </c>
      <c r="N229" s="2">
        <v>2329.9499999999998</v>
      </c>
      <c r="O229" s="2">
        <v>1980.82</v>
      </c>
      <c r="P229" s="2">
        <f t="shared" si="20"/>
        <v>1.3959376243844432</v>
      </c>
      <c r="Q229" s="2">
        <f t="shared" si="21"/>
        <v>0.21835130986515772</v>
      </c>
      <c r="R229" s="2">
        <f t="shared" si="22"/>
        <v>-0.16272636337936675</v>
      </c>
      <c r="S229">
        <f t="shared" si="23"/>
        <v>0.89559881754063775</v>
      </c>
      <c r="U229">
        <v>13.673768403181057</v>
      </c>
    </row>
    <row r="230" spans="1:21" ht="13.9" x14ac:dyDescent="0.3">
      <c r="A230" s="2" t="s">
        <v>247</v>
      </c>
      <c r="B230" s="2">
        <v>188.87</v>
      </c>
      <c r="C230" s="2">
        <v>121.74</v>
      </c>
      <c r="D230" s="2">
        <v>252.16</v>
      </c>
      <c r="E230" s="2">
        <v>280.06</v>
      </c>
      <c r="F230" s="2">
        <v>243.75</v>
      </c>
      <c r="G230" s="2">
        <v>269.47000000000003</v>
      </c>
      <c r="H230" s="2">
        <f t="shared" si="18"/>
        <v>-0.49528475273327566</v>
      </c>
      <c r="I230" s="2">
        <f t="shared" si="19"/>
        <v>0.12131085268774054</v>
      </c>
      <c r="J230" s="2">
        <v>207.86</v>
      </c>
      <c r="K230" s="2">
        <v>277.72000000000003</v>
      </c>
      <c r="L230" s="2">
        <v>179.48</v>
      </c>
      <c r="M230" s="2">
        <v>309.49</v>
      </c>
      <c r="N230" s="2">
        <v>3147.48</v>
      </c>
      <c r="O230" s="2">
        <v>283.82</v>
      </c>
      <c r="P230" s="2">
        <f t="shared" si="20"/>
        <v>-2.4917865705004396</v>
      </c>
      <c r="Q230" s="2">
        <f t="shared" si="21"/>
        <v>0.34156633694078486</v>
      </c>
      <c r="R230" s="2">
        <f t="shared" si="22"/>
        <v>-1.9965018177671641</v>
      </c>
      <c r="S230">
        <f t="shared" si="23"/>
        <v>5.0310181299732735</v>
      </c>
      <c r="U230">
        <v>9.3773406924902805</v>
      </c>
    </row>
    <row r="231" spans="1:21" ht="13.9" x14ac:dyDescent="0.3">
      <c r="A231" s="2" t="s">
        <v>248</v>
      </c>
      <c r="B231" s="2">
        <v>137.12</v>
      </c>
      <c r="C231" s="2">
        <v>104.42</v>
      </c>
      <c r="D231" s="2">
        <v>78.290000000000006</v>
      </c>
      <c r="E231" s="2">
        <v>72.36</v>
      </c>
      <c r="F231" s="2">
        <v>66.72</v>
      </c>
      <c r="G231" s="2">
        <v>65.23</v>
      </c>
      <c r="H231" s="2">
        <f t="shared" si="18"/>
        <v>0.6465454508763101</v>
      </c>
      <c r="I231" s="2">
        <f t="shared" si="19"/>
        <v>8.8180597144386322E-2</v>
      </c>
      <c r="J231" s="2">
        <v>123.06</v>
      </c>
      <c r="K231" s="2">
        <v>153.82</v>
      </c>
      <c r="L231" s="2">
        <v>137.25</v>
      </c>
      <c r="M231" s="2">
        <v>61.22</v>
      </c>
      <c r="N231" s="2">
        <v>613.15</v>
      </c>
      <c r="O231" s="2">
        <v>70.92</v>
      </c>
      <c r="P231" s="2">
        <f t="shared" si="20"/>
        <v>-0.84771818549520439</v>
      </c>
      <c r="Q231" s="2">
        <f t="shared" si="21"/>
        <v>0.57810404547919103</v>
      </c>
      <c r="R231" s="2">
        <f t="shared" si="22"/>
        <v>-1.4942636363715145</v>
      </c>
      <c r="S231">
        <f t="shared" si="23"/>
        <v>-1.3111501818568676</v>
      </c>
      <c r="U231">
        <v>8.693939906569776</v>
      </c>
    </row>
    <row r="232" spans="1:21" ht="13.9" x14ac:dyDescent="0.3">
      <c r="A232" s="2" t="s">
        <v>249</v>
      </c>
      <c r="B232" s="2">
        <v>12.85</v>
      </c>
      <c r="C232" s="2">
        <v>5.12</v>
      </c>
      <c r="D232" s="2">
        <v>3.1</v>
      </c>
      <c r="E232" s="2">
        <v>14.02</v>
      </c>
      <c r="F232" s="2">
        <v>9.6300000000000008</v>
      </c>
      <c r="G232" s="2">
        <v>16.86</v>
      </c>
      <c r="H232" s="2">
        <f t="shared" si="18"/>
        <v>-0.94308777086913054</v>
      </c>
      <c r="I232" s="2">
        <f t="shared" si="19"/>
        <v>0.14965479790132341</v>
      </c>
      <c r="J232" s="2">
        <v>2.87</v>
      </c>
      <c r="K232" s="2">
        <v>2.09</v>
      </c>
      <c r="L232" s="2">
        <v>10.56</v>
      </c>
      <c r="M232" s="2">
        <v>12.04</v>
      </c>
      <c r="N232" s="2">
        <v>0</v>
      </c>
      <c r="O232" s="2">
        <v>8.39</v>
      </c>
      <c r="P232" s="2">
        <f t="shared" si="20"/>
        <v>-0.39656064654609979</v>
      </c>
      <c r="Q232" s="2">
        <f t="shared" si="21"/>
        <v>0.73297814905070036</v>
      </c>
      <c r="R232" s="2">
        <f t="shared" si="22"/>
        <v>0.54652712432303074</v>
      </c>
      <c r="S232">
        <f t="shared" si="23"/>
        <v>0.42049177053863984</v>
      </c>
      <c r="U232">
        <v>3.956056652412403</v>
      </c>
    </row>
    <row r="233" spans="1:21" ht="13.9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18"/>
        <v>#DIV/0!</v>
      </c>
      <c r="I233" s="2" t="e">
        <f t="shared" si="19"/>
        <v>#DIV/0!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ht="13.9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 t="e">
        <f t="shared" si="19"/>
        <v>#DIV/0!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ht="13.9" x14ac:dyDescent="0.3">
      <c r="A235" s="2" t="s">
        <v>252</v>
      </c>
      <c r="B235" s="2">
        <v>0</v>
      </c>
      <c r="C235" s="2">
        <v>0.24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>
        <f t="shared" si="19"/>
        <v>0.37390096630005903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 t="e">
        <f t="shared" si="21"/>
        <v>#DIV/0!</v>
      </c>
      <c r="R235" s="2" t="e">
        <f t="shared" si="22"/>
        <v>#DIV/0!</v>
      </c>
      <c r="S235" t="e">
        <f t="shared" si="23"/>
        <v>#DIV/0!</v>
      </c>
      <c r="U235" t="e">
        <v>#NUM!</v>
      </c>
    </row>
    <row r="236" spans="1:21" ht="13.9" x14ac:dyDescent="0.3">
      <c r="A236" s="2" t="s">
        <v>253</v>
      </c>
      <c r="B236" s="2">
        <v>0.33</v>
      </c>
      <c r="C236" s="2">
        <v>0</v>
      </c>
      <c r="D236" s="2">
        <v>11.11</v>
      </c>
      <c r="E236" s="2">
        <v>2.37</v>
      </c>
      <c r="F236" s="2">
        <v>5.62</v>
      </c>
      <c r="G236" s="2">
        <v>3.37</v>
      </c>
      <c r="H236" s="2">
        <f t="shared" si="18"/>
        <v>1.0124217273707341E-2</v>
      </c>
      <c r="I236" s="2">
        <f t="shared" si="19"/>
        <v>0.99470062805235471</v>
      </c>
      <c r="J236" s="2">
        <v>10.42</v>
      </c>
      <c r="K236" s="2">
        <v>0</v>
      </c>
      <c r="L236" s="2">
        <v>0</v>
      </c>
      <c r="M236" s="2">
        <v>1.44</v>
      </c>
      <c r="N236" s="2">
        <v>0</v>
      </c>
      <c r="O236" s="2">
        <v>0.95</v>
      </c>
      <c r="P236" s="2">
        <f t="shared" si="20"/>
        <v>2.1242727542977602</v>
      </c>
      <c r="Q236" s="2">
        <f t="shared" si="21"/>
        <v>0.48691869150981276</v>
      </c>
      <c r="R236" s="2">
        <f t="shared" si="22"/>
        <v>2.1141485370240529</v>
      </c>
      <c r="S236">
        <f t="shared" si="23"/>
        <v>209.82093695425823</v>
      </c>
      <c r="U236">
        <v>3.3812833725037836</v>
      </c>
    </row>
    <row r="237" spans="1:21" ht="13.9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18"/>
        <v>#DIV/0!</v>
      </c>
      <c r="I237" s="2" t="e">
        <f t="shared" si="19"/>
        <v>#DIV/0!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ht="13.9" x14ac:dyDescent="0.3">
      <c r="A238" s="2" t="s">
        <v>255</v>
      </c>
      <c r="B238" s="2">
        <v>5.27</v>
      </c>
      <c r="C238" s="2">
        <v>31.47</v>
      </c>
      <c r="D238" s="2">
        <v>7.46</v>
      </c>
      <c r="E238" s="2">
        <v>16.29</v>
      </c>
      <c r="F238" s="2">
        <v>17.25</v>
      </c>
      <c r="G238" s="2">
        <v>18.34</v>
      </c>
      <c r="H238" s="2">
        <f t="shared" si="18"/>
        <v>-0.23113210997290551</v>
      </c>
      <c r="I238" s="2">
        <f t="shared" si="19"/>
        <v>0.77608092815729057</v>
      </c>
      <c r="J238" s="2">
        <v>0.36</v>
      </c>
      <c r="K238" s="2">
        <v>18</v>
      </c>
      <c r="L238" s="2">
        <v>17.09</v>
      </c>
      <c r="M238" s="2">
        <v>9.0500000000000007</v>
      </c>
      <c r="N238" s="2">
        <v>408.76</v>
      </c>
      <c r="O238" s="2">
        <v>46.69</v>
      </c>
      <c r="P238" s="2">
        <f t="shared" si="20"/>
        <v>-3.7118210640304992</v>
      </c>
      <c r="Q238" s="2">
        <f t="shared" si="21"/>
        <v>0.32496181376593569</v>
      </c>
      <c r="R238" s="2">
        <f t="shared" si="22"/>
        <v>-3.4806889540575936</v>
      </c>
      <c r="S238">
        <f t="shared" si="23"/>
        <v>16.059305063522405</v>
      </c>
      <c r="U238">
        <v>5.1477137223521536</v>
      </c>
    </row>
    <row r="239" spans="1:21" ht="13.9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0.2</v>
      </c>
      <c r="F239" s="2">
        <v>0.27</v>
      </c>
      <c r="G239" s="2">
        <v>0.42</v>
      </c>
      <c r="H239" s="2" t="e">
        <f t="shared" si="18"/>
        <v>#NUM!</v>
      </c>
      <c r="I239" s="2">
        <f t="shared" si="19"/>
        <v>1.0248191027726027E-2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f t="shared" si="20"/>
        <v>#DIV/0!</v>
      </c>
      <c r="Q239" s="2" t="e">
        <f t="shared" si="21"/>
        <v>#DIV/0!</v>
      </c>
      <c r="R239" s="2" t="e">
        <f t="shared" si="22"/>
        <v>#DIV/0!</v>
      </c>
      <c r="S239" t="e">
        <f t="shared" si="23"/>
        <v>#DIV/0!</v>
      </c>
      <c r="U239" t="e">
        <v>#NUM!</v>
      </c>
    </row>
    <row r="240" spans="1:21" ht="13.9" x14ac:dyDescent="0.3">
      <c r="A240" s="2" t="s">
        <v>257</v>
      </c>
      <c r="B240" s="2">
        <v>0.33</v>
      </c>
      <c r="C240" s="2">
        <v>0.24</v>
      </c>
      <c r="D240" s="2">
        <v>0</v>
      </c>
      <c r="E240" s="2">
        <v>2.57</v>
      </c>
      <c r="F240" s="2">
        <v>3.48</v>
      </c>
      <c r="G240" s="2">
        <v>3.9</v>
      </c>
      <c r="H240" s="2">
        <f t="shared" si="18"/>
        <v>-4.1256627012662692</v>
      </c>
      <c r="I240" s="2">
        <f t="shared" si="19"/>
        <v>1.5112018805334404E-3</v>
      </c>
      <c r="J240" s="2">
        <v>0</v>
      </c>
      <c r="K240" s="2">
        <v>0</v>
      </c>
      <c r="L240" s="2">
        <v>0</v>
      </c>
      <c r="M240" s="2">
        <v>0.93</v>
      </c>
      <c r="N240" s="2">
        <v>0</v>
      </c>
      <c r="O240" s="2">
        <v>6.9</v>
      </c>
      <c r="P240" s="2" t="e">
        <f t="shared" si="20"/>
        <v>#NUM!</v>
      </c>
      <c r="Q240" s="2">
        <f t="shared" si="21"/>
        <v>0.29380149775312842</v>
      </c>
      <c r="R240" s="2" t="e">
        <f t="shared" si="22"/>
        <v>#NUM!</v>
      </c>
      <c r="S240" t="e">
        <f t="shared" si="23"/>
        <v>#NUM!</v>
      </c>
      <c r="U240" t="e">
        <v>#NUM!</v>
      </c>
    </row>
    <row r="241" spans="1:21" ht="13.9" x14ac:dyDescent="0.3">
      <c r="A241" s="2" t="s">
        <v>258</v>
      </c>
      <c r="B241" s="2">
        <v>0</v>
      </c>
      <c r="C241" s="2">
        <v>0.24</v>
      </c>
      <c r="D241" s="2">
        <v>0</v>
      </c>
      <c r="E241" s="2">
        <v>8.7899999999999991</v>
      </c>
      <c r="F241" s="2">
        <v>8.16</v>
      </c>
      <c r="G241" s="2">
        <v>1.9</v>
      </c>
      <c r="H241" s="2">
        <f t="shared" si="18"/>
        <v>-6.2953863074348702</v>
      </c>
      <c r="I241" s="2">
        <f t="shared" si="19"/>
        <v>4.7883604904502129E-2</v>
      </c>
      <c r="J241" s="2">
        <v>4.3099999999999996</v>
      </c>
      <c r="K241" s="2">
        <v>5.65</v>
      </c>
      <c r="L241" s="2">
        <v>0</v>
      </c>
      <c r="M241" s="2">
        <v>4.84</v>
      </c>
      <c r="N241" s="2">
        <v>0</v>
      </c>
      <c r="O241" s="2">
        <v>6.63</v>
      </c>
      <c r="P241" s="2">
        <f t="shared" si="20"/>
        <v>-0.20364774394774374</v>
      </c>
      <c r="Q241" s="2">
        <f t="shared" si="21"/>
        <v>0.85662511692521759</v>
      </c>
      <c r="R241" s="2">
        <f t="shared" si="22"/>
        <v>6.0917385634871266</v>
      </c>
      <c r="S241">
        <f t="shared" si="23"/>
        <v>3.2348728736032471E-2</v>
      </c>
      <c r="U241">
        <v>3.3161457422933562</v>
      </c>
    </row>
    <row r="242" spans="1:21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 t="e">
        <f t="shared" si="18"/>
        <v>#NUM!</v>
      </c>
      <c r="I242" s="2">
        <f t="shared" si="19"/>
        <v>0.37390096630005903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f t="shared" si="20"/>
        <v>#DIV/0!</v>
      </c>
      <c r="Q242" s="2" t="e">
        <f t="shared" si="21"/>
        <v>#DIV/0!</v>
      </c>
      <c r="R242" s="2" t="e">
        <f t="shared" si="22"/>
        <v>#DIV/0!</v>
      </c>
      <c r="S242" t="e">
        <f t="shared" si="23"/>
        <v>#DIV/0!</v>
      </c>
      <c r="U242" t="e">
        <v>#NUM!</v>
      </c>
    </row>
    <row r="243" spans="1:21" ht="13.9" x14ac:dyDescent="0.3">
      <c r="A243" s="2" t="s">
        <v>260</v>
      </c>
      <c r="B243" s="2">
        <v>5.6</v>
      </c>
      <c r="C243" s="2">
        <v>0.24</v>
      </c>
      <c r="D243" s="2">
        <v>0</v>
      </c>
      <c r="E243" s="2">
        <v>0.1</v>
      </c>
      <c r="F243" s="2">
        <v>0</v>
      </c>
      <c r="G243" s="2">
        <v>0</v>
      </c>
      <c r="H243" s="2">
        <f t="shared" si="18"/>
        <v>5.867896463992655</v>
      </c>
      <c r="I243" s="2">
        <f t="shared" si="19"/>
        <v>0.35439083604756588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f t="shared" si="20"/>
        <v>#DIV/0!</v>
      </c>
      <c r="Q243" s="2" t="e">
        <f t="shared" si="21"/>
        <v>#DIV/0!</v>
      </c>
      <c r="R243" s="2" t="e">
        <f t="shared" si="22"/>
        <v>#DIV/0!</v>
      </c>
      <c r="S243" t="e">
        <f t="shared" si="23"/>
        <v>#DIV/0!</v>
      </c>
      <c r="U243" t="e">
        <v>#NUM!</v>
      </c>
    </row>
    <row r="244" spans="1:21" ht="13.9" x14ac:dyDescent="0.3">
      <c r="A244" s="2" t="s">
        <v>261</v>
      </c>
      <c r="B244" s="2">
        <v>3.96</v>
      </c>
      <c r="C244" s="2">
        <v>0</v>
      </c>
      <c r="D244" s="2">
        <v>10.56</v>
      </c>
      <c r="E244" s="2">
        <v>0.99</v>
      </c>
      <c r="F244" s="2">
        <v>2.81</v>
      </c>
      <c r="G244" s="2">
        <v>0.32</v>
      </c>
      <c r="H244" s="2">
        <f t="shared" si="18"/>
        <v>1.8173252108125324</v>
      </c>
      <c r="I244" s="2">
        <f t="shared" si="19"/>
        <v>0.33538377562800248</v>
      </c>
      <c r="J244" s="2">
        <v>0</v>
      </c>
      <c r="K244" s="2">
        <v>2.72</v>
      </c>
      <c r="L244" s="2">
        <v>0</v>
      </c>
      <c r="M244" s="2">
        <v>0.72</v>
      </c>
      <c r="N244" s="2">
        <v>40.880000000000003</v>
      </c>
      <c r="O244" s="2">
        <v>4.47</v>
      </c>
      <c r="P244" s="2">
        <f t="shared" si="20"/>
        <v>-4.0821490413538717</v>
      </c>
      <c r="Q244" s="2">
        <f t="shared" si="21"/>
        <v>0.32336505986288888</v>
      </c>
      <c r="R244" s="2">
        <f t="shared" si="22"/>
        <v>-5.8994742521664039</v>
      </c>
      <c r="S244">
        <f t="shared" si="23"/>
        <v>-2.2462402530192871</v>
      </c>
      <c r="U244">
        <v>1.4436066514756147</v>
      </c>
    </row>
    <row r="245" spans="1:21" ht="13.9" x14ac:dyDescent="0.3">
      <c r="A245" s="2" t="s">
        <v>262</v>
      </c>
      <c r="B245" s="2">
        <v>1060.7</v>
      </c>
      <c r="C245" s="2">
        <v>845.81</v>
      </c>
      <c r="D245" s="2">
        <v>940.91</v>
      </c>
      <c r="E245" s="2">
        <v>506.01</v>
      </c>
      <c r="F245" s="2">
        <v>594.46</v>
      </c>
      <c r="G245" s="2">
        <v>517.66</v>
      </c>
      <c r="H245" s="2">
        <f t="shared" si="18"/>
        <v>0.81532779106588626</v>
      </c>
      <c r="I245" s="2">
        <f t="shared" si="19"/>
        <v>3.8382092093988537E-3</v>
      </c>
      <c r="J245" s="2">
        <v>872.4</v>
      </c>
      <c r="K245" s="2">
        <v>1009.36</v>
      </c>
      <c r="L245" s="2">
        <v>1280.48</v>
      </c>
      <c r="M245" s="2">
        <v>496.34</v>
      </c>
      <c r="N245" s="2">
        <v>1471.55</v>
      </c>
      <c r="O245" s="2">
        <v>568.33000000000004</v>
      </c>
      <c r="P245" s="2">
        <f t="shared" si="20"/>
        <v>0.31826697102914042</v>
      </c>
      <c r="Q245" s="2">
        <f t="shared" si="21"/>
        <v>0.56808578666005038</v>
      </c>
      <c r="R245" s="2">
        <f t="shared" si="22"/>
        <v>-0.49706082003674584</v>
      </c>
      <c r="S245">
        <f t="shared" si="23"/>
        <v>0.39035462119237563</v>
      </c>
      <c r="U245">
        <v>11.626731150672788</v>
      </c>
    </row>
    <row r="246" spans="1:21" ht="13.9" x14ac:dyDescent="0.3">
      <c r="A246" s="2" t="s">
        <v>263</v>
      </c>
      <c r="B246" s="2">
        <v>3.63</v>
      </c>
      <c r="C246" s="2">
        <v>18.79</v>
      </c>
      <c r="D246" s="2">
        <v>1.46</v>
      </c>
      <c r="E246" s="2">
        <v>26.36</v>
      </c>
      <c r="F246" s="2">
        <v>32.76</v>
      </c>
      <c r="G246" s="2">
        <v>49.43</v>
      </c>
      <c r="H246" s="2">
        <f t="shared" si="18"/>
        <v>-2.1844849842377014</v>
      </c>
      <c r="I246" s="2">
        <f t="shared" si="19"/>
        <v>3.2390519832390843E-2</v>
      </c>
      <c r="J246" s="2">
        <v>1.08</v>
      </c>
      <c r="K246" s="2">
        <v>19.670000000000002</v>
      </c>
      <c r="L246" s="2">
        <v>2.5099999999999998</v>
      </c>
      <c r="M246" s="2">
        <v>36.11</v>
      </c>
      <c r="N246" s="2">
        <v>0</v>
      </c>
      <c r="O246" s="2">
        <v>33.700000000000003</v>
      </c>
      <c r="P246" s="2">
        <f t="shared" si="20"/>
        <v>-1.5855826146532865</v>
      </c>
      <c r="Q246" s="2">
        <f t="shared" si="21"/>
        <v>0.30169631617702136</v>
      </c>
      <c r="R246" s="2">
        <f t="shared" si="22"/>
        <v>0.5989023695844149</v>
      </c>
      <c r="S246">
        <f t="shared" si="23"/>
        <v>0.72583818432910485</v>
      </c>
      <c r="U246">
        <v>4.5397791916984938</v>
      </c>
    </row>
    <row r="247" spans="1:21" ht="13.9" x14ac:dyDescent="0.3">
      <c r="A247" s="2" t="s">
        <v>264</v>
      </c>
      <c r="B247" s="2">
        <v>4.6100000000000003</v>
      </c>
      <c r="C247" s="2">
        <v>7.07</v>
      </c>
      <c r="D247" s="2">
        <v>3.1</v>
      </c>
      <c r="E247" s="2">
        <v>3.06</v>
      </c>
      <c r="F247" s="2">
        <v>2.67</v>
      </c>
      <c r="G247" s="2">
        <v>6.43</v>
      </c>
      <c r="H247" s="2">
        <f t="shared" si="18"/>
        <v>0.28150304070256538</v>
      </c>
      <c r="I247" s="2">
        <f t="shared" si="19"/>
        <v>0.62710034970769135</v>
      </c>
      <c r="J247" s="2">
        <v>3.95</v>
      </c>
      <c r="K247" s="2">
        <v>3.14</v>
      </c>
      <c r="L247" s="2">
        <v>6.03</v>
      </c>
      <c r="M247" s="2">
        <v>1.23</v>
      </c>
      <c r="N247" s="2">
        <v>0</v>
      </c>
      <c r="O247" s="2">
        <v>6.09</v>
      </c>
      <c r="P247" s="2">
        <f t="shared" si="20"/>
        <v>0.84185216633404125</v>
      </c>
      <c r="Q247" s="2">
        <f t="shared" si="21"/>
        <v>0.39877999371988826</v>
      </c>
      <c r="R247" s="2">
        <f t="shared" si="22"/>
        <v>0.56034912563147588</v>
      </c>
      <c r="S247">
        <f t="shared" si="23"/>
        <v>2.9905615379250476</v>
      </c>
      <c r="U247">
        <v>3.7136958148433594</v>
      </c>
    </row>
    <row r="248" spans="1:21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0.27</v>
      </c>
      <c r="P248" s="2" t="e">
        <f t="shared" si="20"/>
        <v>#NUM!</v>
      </c>
      <c r="Q248" s="2">
        <f t="shared" si="21"/>
        <v>0.37390096630005903</v>
      </c>
      <c r="R248" s="2" t="e">
        <f t="shared" si="22"/>
        <v>#NUM!</v>
      </c>
      <c r="S248" t="e">
        <f t="shared" si="23"/>
        <v>#NUM!</v>
      </c>
      <c r="U248" t="e">
        <v>#NUM!</v>
      </c>
    </row>
    <row r="249" spans="1:21" ht="13.9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1.38</v>
      </c>
      <c r="F249" s="2">
        <v>0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0.72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ht="13.9" x14ac:dyDescent="0.3">
      <c r="A250" s="2" t="s">
        <v>267</v>
      </c>
      <c r="B250" s="2">
        <v>8310.23</v>
      </c>
      <c r="C250" s="2">
        <v>12398.86</v>
      </c>
      <c r="D250" s="2">
        <v>8290.51</v>
      </c>
      <c r="E250" s="2">
        <v>18963.990000000002</v>
      </c>
      <c r="F250" s="2">
        <v>22341.98</v>
      </c>
      <c r="G250" s="2">
        <v>19378.27</v>
      </c>
      <c r="H250" s="2">
        <f t="shared" si="18"/>
        <v>-1.0652888891614662</v>
      </c>
      <c r="I250" s="2">
        <f t="shared" si="19"/>
        <v>3.654297118767962E-3</v>
      </c>
      <c r="J250" s="2">
        <v>5927.14</v>
      </c>
      <c r="K250" s="2">
        <v>11937.81</v>
      </c>
      <c r="L250" s="2">
        <v>13177.37</v>
      </c>
      <c r="M250" s="2">
        <v>16512.330000000002</v>
      </c>
      <c r="N250" s="2">
        <v>10750.49</v>
      </c>
      <c r="O250" s="2">
        <v>22292.87</v>
      </c>
      <c r="P250" s="2">
        <f t="shared" si="20"/>
        <v>-0.67481433382848743</v>
      </c>
      <c r="Q250" s="2">
        <f t="shared" si="21"/>
        <v>0.1990439731133283</v>
      </c>
      <c r="R250" s="2">
        <f t="shared" si="22"/>
        <v>0.39047455533297881</v>
      </c>
      <c r="S250">
        <f t="shared" si="23"/>
        <v>0.63345665264533291</v>
      </c>
      <c r="U250">
        <v>14.921948763344398</v>
      </c>
    </row>
    <row r="251" spans="1:21" ht="13.9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18"/>
        <v>#DIV/0!</v>
      </c>
      <c r="I251" s="2" t="e">
        <f t="shared" si="19"/>
        <v>#DIV/0!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ht="13.9" x14ac:dyDescent="0.3">
      <c r="A252" s="2" t="s">
        <v>269</v>
      </c>
      <c r="B252" s="2">
        <v>952.25</v>
      </c>
      <c r="C252" s="2">
        <v>847.28</v>
      </c>
      <c r="D252" s="2">
        <v>604.09</v>
      </c>
      <c r="E252" s="2">
        <v>2237.08</v>
      </c>
      <c r="F252" s="2">
        <v>2033.95</v>
      </c>
      <c r="G252" s="2">
        <v>2168.9499999999998</v>
      </c>
      <c r="H252" s="2">
        <f t="shared" si="18"/>
        <v>-1.4218473765270863</v>
      </c>
      <c r="I252" s="2">
        <f t="shared" si="19"/>
        <v>3.5039542711612213E-4</v>
      </c>
      <c r="J252" s="2">
        <v>598.79</v>
      </c>
      <c r="K252" s="2">
        <v>878.98</v>
      </c>
      <c r="L252" s="2">
        <v>1117.5999999999999</v>
      </c>
      <c r="M252" s="2">
        <v>1672.37</v>
      </c>
      <c r="N252" s="2">
        <v>1185.42</v>
      </c>
      <c r="O252" s="2">
        <v>2193.1799999999998</v>
      </c>
      <c r="P252" s="2">
        <f t="shared" si="20"/>
        <v>-0.96062024687192382</v>
      </c>
      <c r="Q252" s="2">
        <f t="shared" si="21"/>
        <v>6.6718589953598681E-2</v>
      </c>
      <c r="R252" s="2">
        <f t="shared" si="22"/>
        <v>0.46122712965516244</v>
      </c>
      <c r="S252">
        <f t="shared" si="23"/>
        <v>0.67561417823780323</v>
      </c>
      <c r="U252">
        <v>11.34172451076503</v>
      </c>
    </row>
    <row r="253" spans="1:21" ht="13.9" x14ac:dyDescent="0.3">
      <c r="A253" s="2" t="s">
        <v>270</v>
      </c>
      <c r="B253" s="2">
        <v>878.75</v>
      </c>
      <c r="C253" s="2">
        <v>1121.49</v>
      </c>
      <c r="D253" s="2">
        <v>659.8</v>
      </c>
      <c r="E253" s="2">
        <v>1088.93</v>
      </c>
      <c r="F253" s="2">
        <v>1264.8599999999999</v>
      </c>
      <c r="G253" s="2">
        <v>1279.3900000000001</v>
      </c>
      <c r="H253" s="2">
        <f t="shared" si="18"/>
        <v>-0.44978490328016546</v>
      </c>
      <c r="I253" s="2">
        <f t="shared" si="19"/>
        <v>9.1529429887197672E-2</v>
      </c>
      <c r="J253" s="2">
        <v>723.82</v>
      </c>
      <c r="K253" s="2">
        <v>842.15</v>
      </c>
      <c r="L253" s="2">
        <v>1039.67</v>
      </c>
      <c r="M253" s="2">
        <v>1124.99</v>
      </c>
      <c r="N253" s="2">
        <v>1553.3</v>
      </c>
      <c r="O253" s="2">
        <v>1068.3</v>
      </c>
      <c r="P253" s="2">
        <f t="shared" si="20"/>
        <v>-0.52394033580095267</v>
      </c>
      <c r="Q253" s="2">
        <f t="shared" si="21"/>
        <v>0.1003769312258392</v>
      </c>
      <c r="R253" s="2">
        <f t="shared" si="22"/>
        <v>-7.4155432520787212E-2</v>
      </c>
      <c r="S253">
        <f t="shared" si="23"/>
        <v>1.1648686560620216</v>
      </c>
      <c r="U253">
        <v>11.347422056944328</v>
      </c>
    </row>
    <row r="254" spans="1:21" ht="13.9" x14ac:dyDescent="0.3">
      <c r="A254" s="2" t="s">
        <v>271</v>
      </c>
      <c r="B254" s="2">
        <v>366.53</v>
      </c>
      <c r="C254" s="2">
        <v>419.86</v>
      </c>
      <c r="D254" s="2">
        <v>345.56</v>
      </c>
      <c r="E254" s="2">
        <v>585.48</v>
      </c>
      <c r="F254" s="2">
        <v>684.44</v>
      </c>
      <c r="G254" s="2">
        <v>684.9</v>
      </c>
      <c r="H254" s="2">
        <f t="shared" si="18"/>
        <v>-0.78822553667705031</v>
      </c>
      <c r="I254" s="2">
        <f t="shared" si="19"/>
        <v>2.3192088299630394E-3</v>
      </c>
      <c r="J254" s="2">
        <v>350.5</v>
      </c>
      <c r="K254" s="2">
        <v>533.46</v>
      </c>
      <c r="L254" s="2">
        <v>381.08</v>
      </c>
      <c r="M254" s="2">
        <v>646.25</v>
      </c>
      <c r="N254" s="2">
        <v>60864.94</v>
      </c>
      <c r="O254" s="2">
        <v>712.34</v>
      </c>
      <c r="P254" s="2">
        <f t="shared" si="20"/>
        <v>-5.6202053345283964</v>
      </c>
      <c r="Q254" s="2">
        <f t="shared" si="21"/>
        <v>0.36842523136575012</v>
      </c>
      <c r="R254" s="2">
        <f t="shared" si="22"/>
        <v>-4.8319797978513463</v>
      </c>
      <c r="S254">
        <f t="shared" si="23"/>
        <v>7.1301995089142771</v>
      </c>
      <c r="U254">
        <v>10.304967287675964</v>
      </c>
    </row>
    <row r="255" spans="1:21" ht="13.9" x14ac:dyDescent="0.3">
      <c r="A255" s="2" t="s">
        <v>272</v>
      </c>
      <c r="B255" s="2">
        <v>776.9</v>
      </c>
      <c r="C255" s="2">
        <v>542.80999999999995</v>
      </c>
      <c r="D255" s="2">
        <v>425.49</v>
      </c>
      <c r="E255" s="2">
        <v>1203.1400000000001</v>
      </c>
      <c r="F255" s="2">
        <v>1484.01</v>
      </c>
      <c r="G255" s="2">
        <v>1413.65</v>
      </c>
      <c r="H255" s="2">
        <f t="shared" si="18"/>
        <v>-1.2325130049150776</v>
      </c>
      <c r="I255" s="2">
        <f t="shared" si="19"/>
        <v>4.1619669869607939E-3</v>
      </c>
      <c r="J255" s="2">
        <v>254.93</v>
      </c>
      <c r="K255" s="2">
        <v>634.54</v>
      </c>
      <c r="L255" s="2">
        <v>459</v>
      </c>
      <c r="M255" s="2">
        <v>1187.1400000000001</v>
      </c>
      <c r="N255" s="2">
        <v>3433.62</v>
      </c>
      <c r="O255" s="2">
        <v>1111.3399999999999</v>
      </c>
      <c r="P255" s="2">
        <f t="shared" si="20"/>
        <v>-2.0877403528544214</v>
      </c>
      <c r="Q255" s="2">
        <f t="shared" si="21"/>
        <v>0.13045147077721397</v>
      </c>
      <c r="R255" s="2">
        <f t="shared" si="22"/>
        <v>-0.85522734793934374</v>
      </c>
      <c r="S255">
        <f t="shared" si="23"/>
        <v>1.6938891066697268</v>
      </c>
      <c r="U255">
        <v>10.397107710327063</v>
      </c>
    </row>
    <row r="256" spans="1:21" ht="13.9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18"/>
        <v>#DIV/0!</v>
      </c>
      <c r="I256" s="2" t="e">
        <f t="shared" si="19"/>
        <v>#DIV/0!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ht="13.9" x14ac:dyDescent="0.3">
      <c r="A257" s="2" t="s">
        <v>274</v>
      </c>
      <c r="B257" s="2">
        <v>0</v>
      </c>
      <c r="C257" s="2">
        <v>1.46</v>
      </c>
      <c r="D257" s="2">
        <v>0.18</v>
      </c>
      <c r="E257" s="2">
        <v>3.55</v>
      </c>
      <c r="F257" s="2">
        <v>33.29</v>
      </c>
      <c r="G257" s="2">
        <v>13.81</v>
      </c>
      <c r="H257" s="2">
        <f t="shared" si="18"/>
        <v>-4.948794549070417</v>
      </c>
      <c r="I257" s="2">
        <f t="shared" si="19"/>
        <v>0.1347494939937707</v>
      </c>
      <c r="J257" s="2">
        <v>0.36</v>
      </c>
      <c r="K257" s="2">
        <v>6.7</v>
      </c>
      <c r="L257" s="2">
        <v>2.5099999999999998</v>
      </c>
      <c r="M257" s="2">
        <v>15.43</v>
      </c>
      <c r="N257" s="2">
        <v>163.51</v>
      </c>
      <c r="O257" s="2">
        <v>34.380000000000003</v>
      </c>
      <c r="P257" s="2">
        <f t="shared" si="20"/>
        <v>-4.4783564981969688</v>
      </c>
      <c r="Q257" s="2">
        <f t="shared" si="21"/>
        <v>0.21842027075448833</v>
      </c>
      <c r="R257" s="2">
        <f t="shared" si="22"/>
        <v>0.47043805087344825</v>
      </c>
      <c r="S257">
        <f t="shared" si="23"/>
        <v>0.90493886011860902</v>
      </c>
      <c r="U257">
        <v>3.2585189247113013</v>
      </c>
    </row>
    <row r="258" spans="1:21" ht="13.9" x14ac:dyDescent="0.3">
      <c r="A258" s="2" t="s">
        <v>275</v>
      </c>
      <c r="B258" s="2">
        <v>12.85</v>
      </c>
      <c r="C258" s="2">
        <v>24.88</v>
      </c>
      <c r="D258" s="2">
        <v>28.95</v>
      </c>
      <c r="E258" s="2">
        <v>21.91</v>
      </c>
      <c r="F258" s="2">
        <v>24.07</v>
      </c>
      <c r="G258" s="2">
        <v>23.29</v>
      </c>
      <c r="H258" s="2">
        <f t="shared" ref="H258:H321" si="24">LOG(SUM(B258:D258)/SUM(E258:G258),2)</f>
        <v>-5.4976569508854919E-2</v>
      </c>
      <c r="I258" s="2">
        <f t="shared" ref="I258:I321" si="25">_xlfn.T.TEST(B258:D258,E258:G258,2,2)</f>
        <v>0.86802392582241206</v>
      </c>
      <c r="J258" s="2">
        <v>15.63</v>
      </c>
      <c r="K258" s="2">
        <v>22.6</v>
      </c>
      <c r="L258" s="2">
        <v>28.66</v>
      </c>
      <c r="M258" s="2">
        <v>15.12</v>
      </c>
      <c r="N258" s="2">
        <v>0</v>
      </c>
      <c r="O258" s="2">
        <v>29.51</v>
      </c>
      <c r="P258" s="2">
        <f t="shared" ref="P258:P321" si="26">LOG(SUM(J258:L258)/SUM(M258:O258),2)</f>
        <v>0.58377673867511815</v>
      </c>
      <c r="Q258" s="2">
        <f t="shared" ref="Q258:Q321" si="27">_xlfn.T.TEST(J258:L258,M258:O258,2,2)</f>
        <v>0.47027658867103944</v>
      </c>
      <c r="R258" s="2">
        <f t="shared" si="22"/>
        <v>0.63875330818397302</v>
      </c>
      <c r="S258">
        <f t="shared" si="23"/>
        <v>-10.618646159453272</v>
      </c>
      <c r="U258">
        <v>6.0637186401522492</v>
      </c>
    </row>
    <row r="259" spans="1:21" ht="13.9" x14ac:dyDescent="0.3">
      <c r="A259" s="2" t="s">
        <v>276</v>
      </c>
      <c r="B259" s="2">
        <v>1.65</v>
      </c>
      <c r="C259" s="2">
        <v>0</v>
      </c>
      <c r="D259" s="2">
        <v>0</v>
      </c>
      <c r="E259" s="2">
        <v>0.39</v>
      </c>
      <c r="F259" s="2">
        <v>0.27</v>
      </c>
      <c r="G259" s="2">
        <v>1.58</v>
      </c>
      <c r="H259" s="2">
        <f t="shared" si="24"/>
        <v>-0.44103270781178844</v>
      </c>
      <c r="I259" s="2">
        <f t="shared" si="25"/>
        <v>0.79003243235062715</v>
      </c>
      <c r="J259" s="2">
        <v>0</v>
      </c>
      <c r="K259" s="2">
        <v>3.98</v>
      </c>
      <c r="L259" s="2">
        <v>0</v>
      </c>
      <c r="M259" s="2">
        <v>0.41</v>
      </c>
      <c r="N259" s="2">
        <v>0</v>
      </c>
      <c r="O259" s="2">
        <v>0.81</v>
      </c>
      <c r="P259" s="2">
        <f t="shared" si="26"/>
        <v>1.7058872829807625</v>
      </c>
      <c r="Q259" s="2">
        <f t="shared" si="27"/>
        <v>0.53214820038667587</v>
      </c>
      <c r="R259" s="2">
        <f t="shared" ref="R259:R322" si="28">P259-H259</f>
        <v>2.1469199907925511</v>
      </c>
      <c r="S259">
        <f t="shared" si="23"/>
        <v>-3.8679382566536384</v>
      </c>
      <c r="U259">
        <v>1.9927684307689242</v>
      </c>
    </row>
    <row r="260" spans="1:21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0.27</v>
      </c>
      <c r="P260" s="2" t="e">
        <f t="shared" si="26"/>
        <v>#NUM!</v>
      </c>
      <c r="Q260" s="2">
        <f t="shared" si="27"/>
        <v>0.37390096630005903</v>
      </c>
      <c r="R260" s="2" t="e">
        <f t="shared" si="28"/>
        <v>#NUM!</v>
      </c>
      <c r="S260" t="e">
        <f t="shared" ref="S260:S323" si="29">P260/H260</f>
        <v>#NUM!</v>
      </c>
      <c r="U260" t="e">
        <v>#NUM!</v>
      </c>
    </row>
    <row r="261" spans="1:21" ht="13.9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24"/>
        <v>#DIV/0!</v>
      </c>
      <c r="I261" s="2" t="e">
        <f t="shared" si="25"/>
        <v>#DIV/0!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ht="13.9" x14ac:dyDescent="0.3">
      <c r="A262" s="2" t="s">
        <v>279</v>
      </c>
      <c r="B262" s="2">
        <v>187.55</v>
      </c>
      <c r="C262" s="2">
        <v>379.85</v>
      </c>
      <c r="D262" s="2">
        <v>177.7</v>
      </c>
      <c r="E262" s="2">
        <v>131.88</v>
      </c>
      <c r="F262" s="2">
        <v>131.30000000000001</v>
      </c>
      <c r="G262" s="2">
        <v>151.44</v>
      </c>
      <c r="H262" s="2">
        <f t="shared" si="24"/>
        <v>0.84564435360063217</v>
      </c>
      <c r="I262" s="2">
        <f t="shared" si="25"/>
        <v>0.17110692123607038</v>
      </c>
      <c r="J262" s="2">
        <v>125.4</v>
      </c>
      <c r="K262" s="2">
        <v>228.53</v>
      </c>
      <c r="L262" s="2">
        <v>382.08</v>
      </c>
      <c r="M262" s="2">
        <v>92.81</v>
      </c>
      <c r="N262" s="2">
        <v>122.63</v>
      </c>
      <c r="O262" s="2">
        <v>126.69</v>
      </c>
      <c r="P262" s="2">
        <f t="shared" si="26"/>
        <v>1.1051807542212533</v>
      </c>
      <c r="Q262" s="2">
        <f t="shared" si="27"/>
        <v>0.15631919622006016</v>
      </c>
      <c r="R262" s="2">
        <f t="shared" si="28"/>
        <v>0.25953640062062111</v>
      </c>
      <c r="S262">
        <f t="shared" si="29"/>
        <v>1.3069096358481582</v>
      </c>
      <c r="U262">
        <v>9.5235815577586447</v>
      </c>
    </row>
    <row r="263" spans="1:21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 t="e">
        <f t="shared" si="24"/>
        <v>#NUM!</v>
      </c>
      <c r="I263" s="2">
        <f t="shared" si="25"/>
        <v>0.37390096630005903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f t="shared" si="26"/>
        <v>#DIV/0!</v>
      </c>
      <c r="Q263" s="2" t="e">
        <f t="shared" si="27"/>
        <v>#DIV/0!</v>
      </c>
      <c r="R263" s="2" t="e">
        <f t="shared" si="28"/>
        <v>#DIV/0!</v>
      </c>
      <c r="S263" t="e">
        <f t="shared" si="29"/>
        <v>#DIV/0!</v>
      </c>
      <c r="U263" t="e">
        <v>#NUM!</v>
      </c>
    </row>
    <row r="264" spans="1:21" ht="13.9" x14ac:dyDescent="0.3">
      <c r="A264" s="2" t="s">
        <v>281</v>
      </c>
      <c r="B264" s="2">
        <v>0.66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f t="shared" si="24"/>
        <v>1.2895066171949847</v>
      </c>
      <c r="I264" s="2">
        <f t="shared" si="25"/>
        <v>0.61351729145965073</v>
      </c>
      <c r="J264" s="2">
        <v>0</v>
      </c>
      <c r="K264" s="2">
        <v>1.05</v>
      </c>
      <c r="L264" s="2">
        <v>0</v>
      </c>
      <c r="M264" s="2">
        <v>0</v>
      </c>
      <c r="N264" s="2">
        <v>0</v>
      </c>
      <c r="O264" s="2">
        <v>1.08</v>
      </c>
      <c r="P264" s="2">
        <f t="shared" si="26"/>
        <v>-4.0641984497345927E-2</v>
      </c>
      <c r="Q264" s="2">
        <f t="shared" si="27"/>
        <v>0.98506384014328829</v>
      </c>
      <c r="R264" s="2">
        <f t="shared" si="28"/>
        <v>-1.3301486016923307</v>
      </c>
      <c r="S264">
        <f t="shared" si="29"/>
        <v>-3.1517468739906823E-2</v>
      </c>
      <c r="U264">
        <v>7.0389327891398012E-2</v>
      </c>
    </row>
    <row r="265" spans="1:21" ht="13.9" x14ac:dyDescent="0.3">
      <c r="A265" s="2" t="s">
        <v>282</v>
      </c>
      <c r="B265" s="2">
        <v>57.35</v>
      </c>
      <c r="C265" s="2">
        <v>37.57</v>
      </c>
      <c r="D265" s="2">
        <v>57.9</v>
      </c>
      <c r="E265" s="2">
        <v>24.97</v>
      </c>
      <c r="F265" s="2">
        <v>17.52</v>
      </c>
      <c r="G265" s="2">
        <v>29.93</v>
      </c>
      <c r="H265" s="2">
        <f t="shared" si="24"/>
        <v>1.0773732835191736</v>
      </c>
      <c r="I265" s="2">
        <f t="shared" si="25"/>
        <v>2.4284842045341207E-2</v>
      </c>
      <c r="J265" s="2">
        <v>24.79</v>
      </c>
      <c r="K265" s="2">
        <v>39.340000000000003</v>
      </c>
      <c r="L265" s="2">
        <v>156.86000000000001</v>
      </c>
      <c r="M265" s="2">
        <v>20.48</v>
      </c>
      <c r="N265" s="2">
        <v>0</v>
      </c>
      <c r="O265" s="2">
        <v>31.27</v>
      </c>
      <c r="P265" s="2">
        <f t="shared" si="26"/>
        <v>2.0943503200965394</v>
      </c>
      <c r="Q265" s="2">
        <f t="shared" si="27"/>
        <v>0.25792879310517408</v>
      </c>
      <c r="R265" s="2">
        <f t="shared" si="28"/>
        <v>1.0169770365773658</v>
      </c>
      <c r="S265">
        <f t="shared" si="29"/>
        <v>1.9439412060186538</v>
      </c>
      <c r="U265">
        <v>7.7878372775958651</v>
      </c>
    </row>
    <row r="266" spans="1:21" ht="13.9" x14ac:dyDescent="0.3">
      <c r="A266" s="2" t="s">
        <v>283</v>
      </c>
      <c r="B266" s="2">
        <v>31.97</v>
      </c>
      <c r="C266" s="2">
        <v>38.549999999999997</v>
      </c>
      <c r="D266" s="2">
        <v>34.049999999999997</v>
      </c>
      <c r="E266" s="2">
        <v>5.53</v>
      </c>
      <c r="F266" s="2">
        <v>3.88</v>
      </c>
      <c r="G266" s="2">
        <v>6.85</v>
      </c>
      <c r="H266" s="2">
        <f t="shared" si="24"/>
        <v>2.685069854842864</v>
      </c>
      <c r="I266" s="2">
        <f t="shared" si="25"/>
        <v>1.5696533293844142E-4</v>
      </c>
      <c r="J266" s="2">
        <v>57.67</v>
      </c>
      <c r="K266" s="2">
        <v>38.93</v>
      </c>
      <c r="L266" s="2">
        <v>137.75</v>
      </c>
      <c r="M266" s="2">
        <v>1.65</v>
      </c>
      <c r="N266" s="2">
        <v>0</v>
      </c>
      <c r="O266" s="2">
        <v>2.84</v>
      </c>
      <c r="P266" s="2">
        <f t="shared" si="26"/>
        <v>5.7058055396252403</v>
      </c>
      <c r="Q266" s="2">
        <f t="shared" si="27"/>
        <v>6.4837458158012007E-2</v>
      </c>
      <c r="R266" s="2">
        <f t="shared" si="28"/>
        <v>3.0207356847823763</v>
      </c>
      <c r="S266">
        <f t="shared" si="29"/>
        <v>2.1250119542827148</v>
      </c>
      <c r="U266">
        <v>7.8725209845916622</v>
      </c>
    </row>
    <row r="267" spans="1:21" ht="13.9" x14ac:dyDescent="0.3">
      <c r="A267" s="2" t="s">
        <v>284</v>
      </c>
      <c r="B267" s="2">
        <v>8.9</v>
      </c>
      <c r="C267" s="2">
        <v>0</v>
      </c>
      <c r="D267" s="2">
        <v>0</v>
      </c>
      <c r="E267" s="2">
        <v>2.17</v>
      </c>
      <c r="F267" s="2">
        <v>0.94</v>
      </c>
      <c r="G267" s="2">
        <v>1.26</v>
      </c>
      <c r="H267" s="5">
        <f t="shared" si="24"/>
        <v>1.0261720563531616</v>
      </c>
      <c r="I267" s="5">
        <f t="shared" si="25"/>
        <v>0.64004244451426262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0.54854783893335646</v>
      </c>
      <c r="S267">
        <f t="shared" si="29"/>
        <v>1.5345573732369997</v>
      </c>
      <c r="U267">
        <v>4.5765221379205032</v>
      </c>
    </row>
    <row r="268" spans="1:21" ht="13.9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0.53</v>
      </c>
      <c r="H268" s="2" t="e">
        <f t="shared" si="24"/>
        <v>#NUM!</v>
      </c>
      <c r="I268" s="2">
        <f t="shared" si="25"/>
        <v>0.37390096630005903</v>
      </c>
      <c r="J268" s="2">
        <v>9.6999999999999993</v>
      </c>
      <c r="K268" s="2">
        <v>6.49</v>
      </c>
      <c r="L268" s="2">
        <v>0</v>
      </c>
      <c r="M268" s="2">
        <v>0</v>
      </c>
      <c r="N268" s="2">
        <v>0</v>
      </c>
      <c r="O268" s="2">
        <v>0</v>
      </c>
      <c r="P268" s="2" t="e">
        <f t="shared" si="26"/>
        <v>#DIV/0!</v>
      </c>
      <c r="Q268" s="2">
        <f t="shared" si="27"/>
        <v>0.13151224217957475</v>
      </c>
      <c r="R268" s="2" t="e">
        <f t="shared" si="28"/>
        <v>#DIV/0!</v>
      </c>
      <c r="S268" t="e">
        <f t="shared" si="29"/>
        <v>#DIV/0!</v>
      </c>
      <c r="U268">
        <v>4.0170310805278415</v>
      </c>
    </row>
    <row r="269" spans="1:21" ht="13.9" x14ac:dyDescent="0.3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0.27</v>
      </c>
      <c r="G269" s="2">
        <v>0</v>
      </c>
      <c r="H269" s="2" t="e">
        <f t="shared" si="24"/>
        <v>#NUM!</v>
      </c>
      <c r="I269" s="2">
        <f t="shared" si="25"/>
        <v>0.37390096630005903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f t="shared" si="26"/>
        <v>#DIV/0!</v>
      </c>
      <c r="Q269" s="2" t="e">
        <f t="shared" si="27"/>
        <v>#DIV/0!</v>
      </c>
      <c r="R269" s="2" t="e">
        <f t="shared" si="28"/>
        <v>#DIV/0!</v>
      </c>
      <c r="S269" t="e">
        <f t="shared" si="29"/>
        <v>#DIV/0!</v>
      </c>
      <c r="U269" t="e">
        <v>#NUM!</v>
      </c>
    </row>
    <row r="270" spans="1:21" ht="13.9" x14ac:dyDescent="0.3">
      <c r="A270" s="2" t="s">
        <v>287</v>
      </c>
      <c r="B270" s="2">
        <v>0</v>
      </c>
      <c r="C270" s="2">
        <v>0</v>
      </c>
      <c r="D270" s="2">
        <v>0</v>
      </c>
      <c r="E270" s="2">
        <v>1.58</v>
      </c>
      <c r="F270" s="2">
        <v>3.61</v>
      </c>
      <c r="G270" s="2">
        <v>5.9</v>
      </c>
      <c r="H270" s="2" t="e">
        <f t="shared" si="24"/>
        <v>#NUM!</v>
      </c>
      <c r="I270" s="2">
        <f t="shared" si="25"/>
        <v>4.1452357436405213E-2</v>
      </c>
      <c r="J270" s="2">
        <v>0.18</v>
      </c>
      <c r="K270" s="2">
        <v>4.3899999999999997</v>
      </c>
      <c r="L270" s="2">
        <v>0</v>
      </c>
      <c r="M270" s="2">
        <v>2.06</v>
      </c>
      <c r="N270" s="2">
        <v>0</v>
      </c>
      <c r="O270" s="2">
        <v>5.01</v>
      </c>
      <c r="P270" s="2">
        <f t="shared" si="26"/>
        <v>-0.62951604975132947</v>
      </c>
      <c r="Q270" s="2">
        <f t="shared" si="27"/>
        <v>0.70413777518194998</v>
      </c>
      <c r="R270" s="2" t="e">
        <f t="shared" si="28"/>
        <v>#NUM!</v>
      </c>
      <c r="S270" t="e">
        <f t="shared" si="29"/>
        <v>#NUM!</v>
      </c>
      <c r="U270">
        <v>2.192194165283345</v>
      </c>
    </row>
    <row r="271" spans="1:21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 t="e">
        <f t="shared" si="24"/>
        <v>#NUM!</v>
      </c>
      <c r="I271" s="2">
        <f t="shared" si="25"/>
        <v>0.37390096630005903</v>
      </c>
      <c r="J271" s="2">
        <v>0</v>
      </c>
      <c r="K271" s="2">
        <v>0</v>
      </c>
      <c r="L271" s="2">
        <v>0</v>
      </c>
      <c r="M271" s="2">
        <v>0</v>
      </c>
      <c r="N271" s="2">
        <v>163.51</v>
      </c>
      <c r="O271" s="2">
        <v>0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 t="e">
        <f t="shared" si="24"/>
        <v>#NUM!</v>
      </c>
      <c r="I272" s="2">
        <f t="shared" si="25"/>
        <v>0.37390096630005903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f t="shared" si="26"/>
        <v>#DIV/0!</v>
      </c>
      <c r="Q272" s="2" t="e">
        <f t="shared" si="27"/>
        <v>#DIV/0!</v>
      </c>
      <c r="R272" s="2" t="e">
        <f t="shared" si="28"/>
        <v>#DIV/0!</v>
      </c>
      <c r="S272" t="e">
        <f t="shared" si="29"/>
        <v>#DIV/0!</v>
      </c>
      <c r="U272" t="e">
        <v>#NUM!</v>
      </c>
    </row>
    <row r="273" spans="1:21" ht="13.9" x14ac:dyDescent="0.3">
      <c r="A273" s="2" t="s">
        <v>290</v>
      </c>
      <c r="B273" s="2">
        <v>23.73</v>
      </c>
      <c r="C273" s="2">
        <v>4.3899999999999997</v>
      </c>
      <c r="D273" s="2">
        <v>25.31</v>
      </c>
      <c r="E273" s="2">
        <v>51.73</v>
      </c>
      <c r="F273" s="2">
        <v>54.02</v>
      </c>
      <c r="G273" s="2">
        <v>43.42</v>
      </c>
      <c r="H273" s="2">
        <f t="shared" si="24"/>
        <v>-1.4812354980175326</v>
      </c>
      <c r="I273" s="2">
        <f t="shared" si="25"/>
        <v>1.28494017061724E-2</v>
      </c>
      <c r="J273" s="2">
        <v>10.42</v>
      </c>
      <c r="K273" s="2">
        <v>57.76</v>
      </c>
      <c r="L273" s="2">
        <v>13.07</v>
      </c>
      <c r="M273" s="2">
        <v>47.53</v>
      </c>
      <c r="N273" s="2">
        <v>40.880000000000003</v>
      </c>
      <c r="O273" s="2">
        <v>56.44</v>
      </c>
      <c r="P273" s="2">
        <f t="shared" si="26"/>
        <v>-0.83411996646722408</v>
      </c>
      <c r="Q273" s="2">
        <f t="shared" si="27"/>
        <v>0.25592368380222014</v>
      </c>
      <c r="R273" s="2">
        <f t="shared" si="28"/>
        <v>0.64711553155030854</v>
      </c>
      <c r="S273">
        <f t="shared" si="29"/>
        <v>0.56312447789942921</v>
      </c>
      <c r="U273">
        <v>6.344295907915817</v>
      </c>
    </row>
    <row r="274" spans="1:21" ht="13.9" x14ac:dyDescent="0.3">
      <c r="A274" s="2" t="s">
        <v>291</v>
      </c>
      <c r="B274" s="2">
        <v>95.26</v>
      </c>
      <c r="C274" s="2">
        <v>120.27</v>
      </c>
      <c r="D274" s="2">
        <v>32.229999999999997</v>
      </c>
      <c r="E274" s="2">
        <v>83.91</v>
      </c>
      <c r="F274" s="2">
        <v>76.88</v>
      </c>
      <c r="G274" s="2">
        <v>52.48</v>
      </c>
      <c r="H274" s="2">
        <f t="shared" si="24"/>
        <v>0.21626224741237632</v>
      </c>
      <c r="I274" s="2">
        <f t="shared" si="25"/>
        <v>0.70112334856081093</v>
      </c>
      <c r="J274" s="2">
        <v>41.14</v>
      </c>
      <c r="K274" s="2">
        <v>26.58</v>
      </c>
      <c r="L274" s="2">
        <v>76.92</v>
      </c>
      <c r="M274" s="2">
        <v>62.25</v>
      </c>
      <c r="N274" s="2">
        <v>163.51</v>
      </c>
      <c r="O274" s="2">
        <v>61.18</v>
      </c>
      <c r="P274" s="2">
        <f t="shared" si="26"/>
        <v>-0.98828251378443677</v>
      </c>
      <c r="Q274" s="2">
        <f t="shared" si="27"/>
        <v>0.27001887428074778</v>
      </c>
      <c r="R274" s="2">
        <f t="shared" si="28"/>
        <v>-1.204544761196813</v>
      </c>
      <c r="S274">
        <f t="shared" si="29"/>
        <v>-4.5698337347800955</v>
      </c>
      <c r="U274">
        <v>7.1763227726404626</v>
      </c>
    </row>
    <row r="275" spans="1:21" ht="13.9" x14ac:dyDescent="0.3">
      <c r="A275" s="2" t="s">
        <v>292</v>
      </c>
      <c r="B275" s="2">
        <v>5.93</v>
      </c>
      <c r="C275" s="2">
        <v>0</v>
      </c>
      <c r="D275" s="2">
        <v>0</v>
      </c>
      <c r="E275" s="2">
        <v>2.76</v>
      </c>
      <c r="F275" s="2">
        <v>2.14</v>
      </c>
      <c r="G275" s="2">
        <v>2.5299999999999998</v>
      </c>
      <c r="H275" s="2">
        <f t="shared" si="24"/>
        <v>-0.32533010599259271</v>
      </c>
      <c r="I275" s="2">
        <f t="shared" si="25"/>
        <v>0.81353318953719711</v>
      </c>
      <c r="J275" s="2">
        <v>3.05</v>
      </c>
      <c r="K275" s="2">
        <v>0</v>
      </c>
      <c r="L275" s="2">
        <v>0</v>
      </c>
      <c r="M275" s="2">
        <v>2.98</v>
      </c>
      <c r="N275" s="2">
        <v>0</v>
      </c>
      <c r="O275" s="2">
        <v>4.0599999999999996</v>
      </c>
      <c r="P275" s="2">
        <f t="shared" si="26"/>
        <v>-1.2067661861870485</v>
      </c>
      <c r="Q275" s="2">
        <f t="shared" si="27"/>
        <v>0.4482321943881345</v>
      </c>
      <c r="R275" s="2">
        <f t="shared" si="28"/>
        <v>-0.88143608019445574</v>
      </c>
      <c r="S275">
        <f t="shared" si="29"/>
        <v>3.7093590908384138</v>
      </c>
      <c r="U275">
        <v>1.6088092426755241</v>
      </c>
    </row>
    <row r="276" spans="1:21" ht="13.9" x14ac:dyDescent="0.3">
      <c r="A276" s="2" t="s">
        <v>293</v>
      </c>
      <c r="B276" s="2">
        <v>130.86000000000001</v>
      </c>
      <c r="C276" s="2">
        <v>81.239999999999995</v>
      </c>
      <c r="D276" s="2">
        <v>128.16999999999999</v>
      </c>
      <c r="E276" s="2">
        <v>45.61</v>
      </c>
      <c r="F276" s="2">
        <v>40.78</v>
      </c>
      <c r="G276" s="2">
        <v>24.77</v>
      </c>
      <c r="H276" s="2">
        <f t="shared" si="24"/>
        <v>1.6140422216456241</v>
      </c>
      <c r="I276" s="2">
        <f t="shared" si="25"/>
        <v>1.1555208692679599E-2</v>
      </c>
      <c r="J276" s="2">
        <v>22.1</v>
      </c>
      <c r="K276" s="2">
        <v>176.21</v>
      </c>
      <c r="L276" s="2">
        <v>173.95</v>
      </c>
      <c r="M276" s="2">
        <v>36.729999999999997</v>
      </c>
      <c r="N276" s="2">
        <v>613.15</v>
      </c>
      <c r="O276" s="2">
        <v>68.489999999999995</v>
      </c>
      <c r="P276" s="2">
        <f t="shared" si="26"/>
        <v>-0.94841649828152197</v>
      </c>
      <c r="Q276" s="2">
        <f t="shared" si="27"/>
        <v>0.5838676021506054</v>
      </c>
      <c r="R276" s="2">
        <f t="shared" si="28"/>
        <v>-2.5624587199271458</v>
      </c>
      <c r="S276">
        <f t="shared" si="29"/>
        <v>-0.58760327676840318</v>
      </c>
      <c r="U276">
        <v>8.5401667941405481</v>
      </c>
    </row>
    <row r="277" spans="1:21" ht="13.9" x14ac:dyDescent="0.3">
      <c r="A277" s="2" t="s">
        <v>294</v>
      </c>
      <c r="B277" s="2">
        <v>3.96</v>
      </c>
      <c r="C277" s="2">
        <v>24.88</v>
      </c>
      <c r="D277" s="2">
        <v>7.46</v>
      </c>
      <c r="E277" s="2">
        <v>4.74</v>
      </c>
      <c r="F277" s="2">
        <v>5.88</v>
      </c>
      <c r="G277" s="2">
        <v>5.27</v>
      </c>
      <c r="H277" s="2">
        <f t="shared" si="24"/>
        <v>1.1918504235345937</v>
      </c>
      <c r="I277" s="2">
        <f t="shared" si="25"/>
        <v>0.35286163786410812</v>
      </c>
      <c r="J277" s="2">
        <v>3.23</v>
      </c>
      <c r="K277" s="2">
        <v>6.49</v>
      </c>
      <c r="L277" s="2">
        <v>0</v>
      </c>
      <c r="M277" s="2">
        <v>9.0500000000000007</v>
      </c>
      <c r="N277" s="2">
        <v>0</v>
      </c>
      <c r="O277" s="2">
        <v>7.31</v>
      </c>
      <c r="P277" s="2">
        <f t="shared" si="26"/>
        <v>-0.75114452933596787</v>
      </c>
      <c r="Q277" s="2">
        <f t="shared" si="27"/>
        <v>0.54448378382833584</v>
      </c>
      <c r="R277" s="2">
        <f t="shared" si="28"/>
        <v>-1.9429949528705617</v>
      </c>
      <c r="S277">
        <f t="shared" si="29"/>
        <v>-0.63023389051484091</v>
      </c>
      <c r="U277">
        <v>3.2809563138310565</v>
      </c>
    </row>
    <row r="278" spans="1:21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 t="e">
        <f t="shared" si="24"/>
        <v>#NUM!</v>
      </c>
      <c r="I278" s="2">
        <f t="shared" si="25"/>
        <v>0.12516581983949762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0.27</v>
      </c>
      <c r="P278" s="2" t="e">
        <f t="shared" si="26"/>
        <v>#NUM!</v>
      </c>
      <c r="Q278" s="2">
        <f t="shared" si="27"/>
        <v>0.37390096630005903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ht="13.9" x14ac:dyDescent="0.3">
      <c r="A279" s="2" t="s">
        <v>296</v>
      </c>
      <c r="B279" s="2">
        <v>786.46</v>
      </c>
      <c r="C279" s="2">
        <v>1060.5</v>
      </c>
      <c r="D279" s="2">
        <v>457.53</v>
      </c>
      <c r="E279" s="2">
        <v>395.06</v>
      </c>
      <c r="F279" s="2">
        <v>541.65</v>
      </c>
      <c r="G279" s="2">
        <v>394.88</v>
      </c>
      <c r="H279" s="2">
        <f t="shared" si="24"/>
        <v>0.79129756606959434</v>
      </c>
      <c r="I279" s="2">
        <f t="shared" si="25"/>
        <v>0.1477075122383584</v>
      </c>
      <c r="J279" s="2">
        <v>567.71</v>
      </c>
      <c r="K279" s="2">
        <v>931.93</v>
      </c>
      <c r="L279" s="2">
        <v>2455.89</v>
      </c>
      <c r="M279" s="2">
        <v>346.53</v>
      </c>
      <c r="N279" s="2">
        <v>490.52</v>
      </c>
      <c r="O279" s="2">
        <v>698.8</v>
      </c>
      <c r="P279" s="2">
        <f t="shared" si="26"/>
        <v>1.3648336928323177</v>
      </c>
      <c r="Q279" s="2">
        <f t="shared" si="27"/>
        <v>0.24159533499851471</v>
      </c>
      <c r="R279" s="2">
        <f t="shared" si="28"/>
        <v>0.57353612676272336</v>
      </c>
      <c r="S279">
        <f t="shared" si="29"/>
        <v>1.724804613783282</v>
      </c>
      <c r="U279">
        <v>11.949655298486134</v>
      </c>
    </row>
    <row r="280" spans="1:21" ht="13.9" x14ac:dyDescent="0.3">
      <c r="A280" s="2" t="s">
        <v>297</v>
      </c>
      <c r="B280" s="2">
        <v>0</v>
      </c>
      <c r="C280" s="2">
        <v>0.24</v>
      </c>
      <c r="D280" s="2">
        <v>0</v>
      </c>
      <c r="E280" s="2">
        <v>0.39</v>
      </c>
      <c r="F280" s="2">
        <v>0</v>
      </c>
      <c r="G280" s="2">
        <v>0</v>
      </c>
      <c r="H280" s="2">
        <f t="shared" si="24"/>
        <v>-0.7004397181410924</v>
      </c>
      <c r="I280" s="2">
        <f t="shared" si="25"/>
        <v>0.75967054712707927</v>
      </c>
      <c r="J280" s="2">
        <v>0</v>
      </c>
      <c r="K280" s="2">
        <v>0</v>
      </c>
      <c r="L280" s="2">
        <v>0</v>
      </c>
      <c r="M280" s="2">
        <v>0.93</v>
      </c>
      <c r="N280" s="2">
        <v>0</v>
      </c>
      <c r="O280" s="2">
        <v>0.14000000000000001</v>
      </c>
      <c r="P280" s="2" t="e">
        <f t="shared" si="26"/>
        <v>#NUM!</v>
      </c>
      <c r="Q280" s="2">
        <f t="shared" si="27"/>
        <v>0.28541863874957513</v>
      </c>
      <c r="R280" s="2" t="e">
        <f t="shared" si="28"/>
        <v>#NUM!</v>
      </c>
      <c r="S280" t="e">
        <f t="shared" si="29"/>
        <v>#NUM!</v>
      </c>
      <c r="U280" t="e">
        <v>#NUM!</v>
      </c>
    </row>
    <row r="281" spans="1:21" ht="13.9" x14ac:dyDescent="0.3">
      <c r="A281" s="2" t="s">
        <v>298</v>
      </c>
      <c r="B281" s="2">
        <v>2822.81</v>
      </c>
      <c r="C281" s="2">
        <v>3849.23</v>
      </c>
      <c r="D281" s="2">
        <v>2181.87</v>
      </c>
      <c r="E281" s="2">
        <v>5088.08</v>
      </c>
      <c r="F281" s="2">
        <v>5757.94</v>
      </c>
      <c r="G281" s="2">
        <v>4512.1000000000004</v>
      </c>
      <c r="H281" s="2">
        <f t="shared" si="24"/>
        <v>-0.79461501176302252</v>
      </c>
      <c r="I281" s="2">
        <f t="shared" si="25"/>
        <v>2.3029494993361519E-2</v>
      </c>
      <c r="J281" s="2">
        <v>1842.53</v>
      </c>
      <c r="K281" s="2">
        <v>3174.17</v>
      </c>
      <c r="L281" s="2">
        <v>4432.17</v>
      </c>
      <c r="M281" s="2">
        <v>3987.28</v>
      </c>
      <c r="N281" s="2">
        <v>9360.69</v>
      </c>
      <c r="O281" s="2">
        <v>6306.53</v>
      </c>
      <c r="P281" s="2">
        <f t="shared" si="26"/>
        <v>-1.0566459514453193</v>
      </c>
      <c r="Q281" s="2">
        <f t="shared" si="27"/>
        <v>0.12008559486178365</v>
      </c>
      <c r="R281" s="2">
        <f t="shared" si="28"/>
        <v>-0.26203093968229674</v>
      </c>
      <c r="S281">
        <f t="shared" si="29"/>
        <v>1.3297583556858878</v>
      </c>
      <c r="U281">
        <v>13.205926090940382</v>
      </c>
    </row>
    <row r="282" spans="1:21" ht="13.9" x14ac:dyDescent="0.3">
      <c r="A282" s="2" t="s">
        <v>299</v>
      </c>
      <c r="B282" s="2">
        <v>128.55000000000001</v>
      </c>
      <c r="C282" s="2">
        <v>186.87</v>
      </c>
      <c r="D282" s="2">
        <v>77.010000000000005</v>
      </c>
      <c r="E282" s="2">
        <v>298.02</v>
      </c>
      <c r="F282" s="2">
        <v>334.53</v>
      </c>
      <c r="G282" s="2">
        <v>319.52999999999997</v>
      </c>
      <c r="H282" s="2">
        <f t="shared" si="24"/>
        <v>-1.2786474681898963</v>
      </c>
      <c r="I282" s="2">
        <f t="shared" si="25"/>
        <v>5.0704221784810839E-3</v>
      </c>
      <c r="J282" s="2">
        <v>134.02000000000001</v>
      </c>
      <c r="K282" s="2">
        <v>231.46</v>
      </c>
      <c r="L282" s="2">
        <v>117.64</v>
      </c>
      <c r="M282" s="2">
        <v>310.11</v>
      </c>
      <c r="N282" s="2">
        <v>8052.65</v>
      </c>
      <c r="O282" s="2">
        <v>348.11</v>
      </c>
      <c r="P282" s="2">
        <f t="shared" si="26"/>
        <v>-4.172363332289474</v>
      </c>
      <c r="Q282" s="2">
        <f t="shared" si="27"/>
        <v>0.34682464247921085</v>
      </c>
      <c r="R282" s="2">
        <f t="shared" si="28"/>
        <v>-2.8937158640995779</v>
      </c>
      <c r="S282">
        <f t="shared" si="29"/>
        <v>3.2631068657227593</v>
      </c>
      <c r="U282">
        <v>8.9162377678677718</v>
      </c>
    </row>
    <row r="283" spans="1:21" ht="13.9" x14ac:dyDescent="0.3">
      <c r="A283" s="2" t="s">
        <v>300</v>
      </c>
      <c r="B283" s="2">
        <v>2638.23</v>
      </c>
      <c r="C283" s="2">
        <v>1727</v>
      </c>
      <c r="D283" s="2">
        <v>1790.24</v>
      </c>
      <c r="E283" s="2">
        <v>1092.78</v>
      </c>
      <c r="F283" s="2">
        <v>847.3</v>
      </c>
      <c r="G283" s="2">
        <v>1071.67</v>
      </c>
      <c r="H283" s="2">
        <f t="shared" si="24"/>
        <v>1.0312669982458591</v>
      </c>
      <c r="I283" s="2">
        <f t="shared" si="25"/>
        <v>2.6148912757686181E-2</v>
      </c>
      <c r="J283" s="2">
        <v>1446.57</v>
      </c>
      <c r="K283" s="2">
        <v>1822.63</v>
      </c>
      <c r="L283" s="2">
        <v>2028.06</v>
      </c>
      <c r="M283" s="2">
        <v>952.55</v>
      </c>
      <c r="N283" s="2">
        <v>2697.84</v>
      </c>
      <c r="O283" s="2">
        <v>729.52</v>
      </c>
      <c r="P283" s="2">
        <f t="shared" si="26"/>
        <v>0.27434509559647074</v>
      </c>
      <c r="Q283" s="2">
        <f t="shared" si="27"/>
        <v>0.660229986531775</v>
      </c>
      <c r="R283" s="2">
        <f t="shared" si="28"/>
        <v>-0.7569219026493883</v>
      </c>
      <c r="S283">
        <f t="shared" si="29"/>
        <v>0.26602722288516939</v>
      </c>
      <c r="U283">
        <v>12.371030605361788</v>
      </c>
    </row>
    <row r="284" spans="1:21" ht="13.9" x14ac:dyDescent="0.3">
      <c r="A284" s="2" t="s">
        <v>301</v>
      </c>
      <c r="B284" s="2">
        <v>0</v>
      </c>
      <c r="C284" s="2">
        <v>4.3899999999999997</v>
      </c>
      <c r="D284" s="2">
        <v>0</v>
      </c>
      <c r="E284" s="2">
        <v>0</v>
      </c>
      <c r="F284" s="2">
        <v>0.27</v>
      </c>
      <c r="G284" s="2">
        <v>0</v>
      </c>
      <c r="H284" s="2">
        <f t="shared" si="24"/>
        <v>4.023189627371889</v>
      </c>
      <c r="I284" s="2">
        <f t="shared" si="25"/>
        <v>0.40193198134928176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0.41</v>
      </c>
      <c r="P284" s="2" t="e">
        <f t="shared" si="26"/>
        <v>#NUM!</v>
      </c>
      <c r="Q284" s="2">
        <f t="shared" si="27"/>
        <v>0.37390096630005903</v>
      </c>
      <c r="R284" s="2" t="e">
        <f t="shared" si="28"/>
        <v>#NUM!</v>
      </c>
      <c r="S284" t="e">
        <f t="shared" si="29"/>
        <v>#NUM!</v>
      </c>
      <c r="U284" t="e">
        <v>#NUM!</v>
      </c>
    </row>
    <row r="285" spans="1:21" ht="13.9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1.58</v>
      </c>
      <c r="F285" s="2">
        <v>2.54</v>
      </c>
      <c r="G285" s="2">
        <v>0.95</v>
      </c>
      <c r="H285" s="2" t="e">
        <f t="shared" si="24"/>
        <v>#NUM!</v>
      </c>
      <c r="I285" s="2">
        <f t="shared" si="25"/>
        <v>2.1660026100042161E-2</v>
      </c>
      <c r="J285" s="2">
        <v>0</v>
      </c>
      <c r="K285" s="2">
        <v>0</v>
      </c>
      <c r="L285" s="2">
        <v>0</v>
      </c>
      <c r="M285" s="2">
        <v>2.2599999999999998</v>
      </c>
      <c r="N285" s="2">
        <v>0</v>
      </c>
      <c r="O285" s="2">
        <v>0.68</v>
      </c>
      <c r="P285" s="2" t="e">
        <f t="shared" si="26"/>
        <v>#NUM!</v>
      </c>
      <c r="Q285" s="2">
        <f t="shared" si="27"/>
        <v>0.21705690138286429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ht="13.9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24"/>
        <v>#DIV/0!</v>
      </c>
      <c r="I286" s="2" t="e">
        <f t="shared" si="25"/>
        <v>#DIV/0!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 t="e">
        <f t="shared" si="24"/>
        <v>#NUM!</v>
      </c>
      <c r="I287" s="2">
        <f t="shared" si="25"/>
        <v>0.37390096630005903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0.54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 t="e">
        <f t="shared" si="24"/>
        <v>#NUM!</v>
      </c>
      <c r="I288" s="2">
        <f t="shared" si="25"/>
        <v>0.37390096630005903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 t="e">
        <f t="shared" si="26"/>
        <v>#DIV/0!</v>
      </c>
      <c r="Q288" s="2" t="e">
        <f t="shared" si="27"/>
        <v>#DIV/0!</v>
      </c>
      <c r="R288" s="2" t="e">
        <f t="shared" si="28"/>
        <v>#DIV/0!</v>
      </c>
      <c r="S288" t="e">
        <f t="shared" si="29"/>
        <v>#DIV/0!</v>
      </c>
      <c r="U288" t="e">
        <v>#NUM!</v>
      </c>
    </row>
    <row r="289" spans="1:21" ht="13.9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24"/>
        <v>#DIV/0!</v>
      </c>
      <c r="I289" s="2" t="e">
        <f t="shared" si="25"/>
        <v>#DIV/0!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ht="13.9" x14ac:dyDescent="0.3">
      <c r="A290" s="2" t="s">
        <v>307</v>
      </c>
      <c r="B290" s="2">
        <v>4.6100000000000003</v>
      </c>
      <c r="C290" s="2">
        <v>0</v>
      </c>
      <c r="D290" s="2">
        <v>0</v>
      </c>
      <c r="E290" s="2">
        <v>0.89</v>
      </c>
      <c r="F290" s="2">
        <v>0.27</v>
      </c>
      <c r="G290" s="2">
        <v>1.37</v>
      </c>
      <c r="H290" s="2">
        <f t="shared" si="24"/>
        <v>0.8656293657350278</v>
      </c>
      <c r="I290" s="2">
        <f t="shared" si="25"/>
        <v>0.68146209736679964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2.17</v>
      </c>
      <c r="P290" s="2" t="e">
        <f t="shared" si="26"/>
        <v>#NUM!</v>
      </c>
      <c r="Q290" s="2">
        <f t="shared" si="27"/>
        <v>0.37390096630005903</v>
      </c>
      <c r="R290" s="2" t="e">
        <f t="shared" si="28"/>
        <v>#NUM!</v>
      </c>
      <c r="S290" t="e">
        <f t="shared" si="29"/>
        <v>#NUM!</v>
      </c>
      <c r="U290" t="e">
        <v>#NUM!</v>
      </c>
    </row>
    <row r="291" spans="1:21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0.41</v>
      </c>
      <c r="N291" s="2">
        <v>0</v>
      </c>
      <c r="O291" s="2">
        <v>0</v>
      </c>
      <c r="P291" s="2" t="e">
        <f t="shared" si="26"/>
        <v>#NUM!</v>
      </c>
      <c r="Q291" s="2">
        <f t="shared" si="27"/>
        <v>0.37390096630005903</v>
      </c>
      <c r="R291" s="2" t="e">
        <f t="shared" si="28"/>
        <v>#NUM!</v>
      </c>
      <c r="S291" t="e">
        <f t="shared" si="29"/>
        <v>#NUM!</v>
      </c>
      <c r="U291" t="e">
        <v>#NUM!</v>
      </c>
    </row>
    <row r="292" spans="1:21" ht="13.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0.5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>
        <f t="shared" si="27"/>
        <v>0.37390096630005903</v>
      </c>
      <c r="R292" s="2" t="e">
        <f t="shared" si="28"/>
        <v>#DIV/0!</v>
      </c>
      <c r="S292" t="e">
        <f t="shared" si="29"/>
        <v>#DIV/0!</v>
      </c>
      <c r="U292">
        <v>-1</v>
      </c>
    </row>
    <row r="293" spans="1:21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 t="e">
        <f t="shared" si="24"/>
        <v>#NUM!</v>
      </c>
      <c r="I293" s="2">
        <f t="shared" si="25"/>
        <v>0.37390096630005903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f t="shared" si="26"/>
        <v>#DIV/0!</v>
      </c>
      <c r="Q293" s="2" t="e">
        <f t="shared" si="27"/>
        <v>#DIV/0!</v>
      </c>
      <c r="R293" s="2" t="e">
        <f t="shared" si="28"/>
        <v>#DIV/0!</v>
      </c>
      <c r="S293" t="e">
        <f t="shared" si="29"/>
        <v>#DIV/0!</v>
      </c>
      <c r="U293" t="e">
        <v>#NUM!</v>
      </c>
    </row>
    <row r="294" spans="1:21" ht="13.9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24"/>
        <v>#DIV/0!</v>
      </c>
      <c r="I294" s="2" t="e">
        <f t="shared" si="25"/>
        <v>#DIV/0!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ht="13.9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12.07</v>
      </c>
      <c r="M295" s="2">
        <v>0.51</v>
      </c>
      <c r="N295" s="2">
        <v>0</v>
      </c>
      <c r="O295" s="2">
        <v>0</v>
      </c>
      <c r="P295" s="2">
        <f t="shared" si="26"/>
        <v>4.5647846187835261</v>
      </c>
      <c r="Q295" s="2">
        <f t="shared" si="27"/>
        <v>0.39280910804390073</v>
      </c>
      <c r="R295" s="2" t="e">
        <f t="shared" si="28"/>
        <v>#NUM!</v>
      </c>
      <c r="S295" t="e">
        <f t="shared" si="29"/>
        <v>#NUM!</v>
      </c>
      <c r="U295">
        <v>3.593353770980297</v>
      </c>
    </row>
    <row r="296" spans="1:21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 t="e">
        <f t="shared" si="24"/>
        <v>#NUM!</v>
      </c>
      <c r="I296" s="2">
        <f t="shared" si="25"/>
        <v>0.37390096630005903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f t="shared" si="26"/>
        <v>#DIV/0!</v>
      </c>
      <c r="Q296" s="2" t="e">
        <f t="shared" si="27"/>
        <v>#DIV/0!</v>
      </c>
      <c r="R296" s="2" t="e">
        <f t="shared" si="28"/>
        <v>#DIV/0!</v>
      </c>
      <c r="S296" t="e">
        <f t="shared" si="29"/>
        <v>#DIV/0!</v>
      </c>
      <c r="U296" t="e">
        <v>#NUM!</v>
      </c>
    </row>
    <row r="297" spans="1:21" ht="13.9" x14ac:dyDescent="0.3">
      <c r="A297" s="2" t="s">
        <v>314</v>
      </c>
      <c r="B297" s="2">
        <v>0</v>
      </c>
      <c r="C297" s="2">
        <v>0</v>
      </c>
      <c r="D297" s="2">
        <v>0.18</v>
      </c>
      <c r="E297" s="2">
        <v>0</v>
      </c>
      <c r="F297" s="2">
        <v>0</v>
      </c>
      <c r="G297" s="2">
        <v>0.42</v>
      </c>
      <c r="H297" s="2">
        <f t="shared" si="24"/>
        <v>-1.2223924213364481</v>
      </c>
      <c r="I297" s="2">
        <f t="shared" si="25"/>
        <v>0.62719317558008614</v>
      </c>
      <c r="J297" s="2">
        <v>0</v>
      </c>
      <c r="K297" s="2">
        <v>0</v>
      </c>
      <c r="L297" s="2">
        <v>0</v>
      </c>
      <c r="M297" s="2">
        <v>0.31</v>
      </c>
      <c r="N297" s="2">
        <v>0</v>
      </c>
      <c r="O297" s="2">
        <v>1.22</v>
      </c>
      <c r="P297" s="2" t="e">
        <f t="shared" si="26"/>
        <v>#NUM!</v>
      </c>
      <c r="Q297" s="2">
        <f t="shared" si="27"/>
        <v>0.23603457154468926</v>
      </c>
      <c r="R297" s="2" t="e">
        <f t="shared" si="28"/>
        <v>#NUM!</v>
      </c>
      <c r="S297" t="e">
        <f t="shared" si="29"/>
        <v>#NUM!</v>
      </c>
      <c r="U297" t="e">
        <v>#NUM!</v>
      </c>
    </row>
    <row r="298" spans="1:21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 t="e">
        <f t="shared" si="24"/>
        <v>#NUM!</v>
      </c>
      <c r="I298" s="2">
        <f t="shared" si="25"/>
        <v>0.37390096630005903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f t="shared" si="26"/>
        <v>#DIV/0!</v>
      </c>
      <c r="Q298" s="2" t="e">
        <f t="shared" si="27"/>
        <v>#DIV/0!</v>
      </c>
      <c r="R298" s="2" t="e">
        <f t="shared" si="28"/>
        <v>#DIV/0!</v>
      </c>
      <c r="S298" t="e">
        <f t="shared" si="29"/>
        <v>#DIV/0!</v>
      </c>
      <c r="U298" t="e">
        <v>#NUM!</v>
      </c>
    </row>
    <row r="299" spans="1:21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163.51</v>
      </c>
      <c r="O299" s="2">
        <v>0</v>
      </c>
      <c r="P299" s="2" t="e">
        <f t="shared" si="26"/>
        <v>#NUM!</v>
      </c>
      <c r="Q299" s="2">
        <f t="shared" si="27"/>
        <v>0.37390096630005903</v>
      </c>
      <c r="R299" s="2" t="e">
        <f t="shared" si="28"/>
        <v>#NUM!</v>
      </c>
      <c r="S299" t="e">
        <f t="shared" si="29"/>
        <v>#NUM!</v>
      </c>
      <c r="U299" t="e">
        <v>#NUM!</v>
      </c>
    </row>
    <row r="300" spans="1:21" ht="13.9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24"/>
        <v>#DIV/0!</v>
      </c>
      <c r="I300" s="2" t="e">
        <f t="shared" si="25"/>
        <v>#DIV/0!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ht="13.9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24"/>
        <v>#DIV/0!</v>
      </c>
      <c r="I301" s="2" t="e">
        <f t="shared" si="25"/>
        <v>#DIV/0!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ht="13.9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0.53</v>
      </c>
      <c r="G302" s="2">
        <v>2.21</v>
      </c>
      <c r="H302" s="2" t="e">
        <f t="shared" si="24"/>
        <v>#NUM!</v>
      </c>
      <c r="I302" s="2">
        <f t="shared" si="25"/>
        <v>0.24224148840355342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0.14000000000000001</v>
      </c>
      <c r="P302" s="2" t="e">
        <f t="shared" si="26"/>
        <v>#NUM!</v>
      </c>
      <c r="Q302" s="2">
        <f t="shared" si="27"/>
        <v>0.37390096630005903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 t="e">
        <f t="shared" si="24"/>
        <v>#NUM!</v>
      </c>
      <c r="I303" s="2">
        <f t="shared" si="25"/>
        <v>0.37390096630005903</v>
      </c>
      <c r="J303" s="2">
        <v>0</v>
      </c>
      <c r="K303" s="2">
        <v>0</v>
      </c>
      <c r="L303" s="2">
        <v>0</v>
      </c>
      <c r="M303" s="2">
        <v>0.72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ht="13.9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7.7</v>
      </c>
      <c r="F304" s="2">
        <v>7.49</v>
      </c>
      <c r="G304" s="2">
        <v>5.69</v>
      </c>
      <c r="H304" s="2" t="e">
        <f t="shared" si="24"/>
        <v>#NUM!</v>
      </c>
      <c r="I304" s="2">
        <f t="shared" si="25"/>
        <v>4.006386930770159E-4</v>
      </c>
      <c r="J304" s="2">
        <v>0</v>
      </c>
      <c r="K304" s="2">
        <v>0</v>
      </c>
      <c r="L304" s="2">
        <v>19.100000000000001</v>
      </c>
      <c r="M304" s="2">
        <v>6.48</v>
      </c>
      <c r="N304" s="2">
        <v>0</v>
      </c>
      <c r="O304" s="2">
        <v>7.71</v>
      </c>
      <c r="P304" s="2">
        <f t="shared" si="26"/>
        <v>0.42869804886255974</v>
      </c>
      <c r="Q304" s="2">
        <f t="shared" si="27"/>
        <v>0.82165712930307255</v>
      </c>
      <c r="R304" s="2" t="e">
        <f t="shared" si="28"/>
        <v>#NUM!</v>
      </c>
      <c r="S304" t="e">
        <f t="shared" si="29"/>
        <v>#NUM!</v>
      </c>
      <c r="U304">
        <v>4.2555007331483869</v>
      </c>
    </row>
    <row r="305" spans="1:21" ht="13.9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24"/>
        <v>#DIV/0!</v>
      </c>
      <c r="I305" s="2" t="e">
        <f t="shared" si="25"/>
        <v>#DIV/0!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ht="13.9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 t="e">
        <f t="shared" si="24"/>
        <v>#NUM!</v>
      </c>
      <c r="I306" s="2">
        <f t="shared" si="25"/>
        <v>0.11721716888134213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0.14000000000000001</v>
      </c>
      <c r="P306" s="2" t="e">
        <f t="shared" si="26"/>
        <v>#NUM!</v>
      </c>
      <c r="Q306" s="2">
        <f t="shared" si="27"/>
        <v>0.37390096630005903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ht="13.9" x14ac:dyDescent="0.3">
      <c r="A307" s="2" t="s">
        <v>324</v>
      </c>
      <c r="B307" s="2">
        <v>0</v>
      </c>
      <c r="C307" s="2">
        <v>14.15</v>
      </c>
      <c r="D307" s="2">
        <v>0</v>
      </c>
      <c r="E307" s="2">
        <v>6.91</v>
      </c>
      <c r="F307" s="2">
        <v>5.35</v>
      </c>
      <c r="G307" s="2">
        <v>5.8</v>
      </c>
      <c r="H307" s="2">
        <f t="shared" si="24"/>
        <v>-0.35199583976161347</v>
      </c>
      <c r="I307" s="2">
        <f t="shared" si="25"/>
        <v>0.79693623878782816</v>
      </c>
      <c r="J307" s="2">
        <v>0</v>
      </c>
      <c r="K307" s="2">
        <v>0</v>
      </c>
      <c r="L307" s="2">
        <v>0</v>
      </c>
      <c r="M307" s="2">
        <v>6.89</v>
      </c>
      <c r="N307" s="2">
        <v>81.75</v>
      </c>
      <c r="O307" s="2">
        <v>8.5299999999999994</v>
      </c>
      <c r="P307" s="2" t="e">
        <f t="shared" si="26"/>
        <v>#NUM!</v>
      </c>
      <c r="Q307" s="2">
        <f t="shared" si="27"/>
        <v>0.2596996907920901</v>
      </c>
      <c r="R307" s="2" t="e">
        <f t="shared" si="28"/>
        <v>#NUM!</v>
      </c>
      <c r="S307" t="e">
        <f t="shared" si="29"/>
        <v>#NUM!</v>
      </c>
      <c r="U307" t="e">
        <v>#NUM!</v>
      </c>
    </row>
    <row r="308" spans="1:21" ht="13.9" x14ac:dyDescent="0.3">
      <c r="A308" s="2" t="s">
        <v>325</v>
      </c>
      <c r="B308" s="2">
        <v>0</v>
      </c>
      <c r="C308" s="2">
        <v>0</v>
      </c>
      <c r="D308" s="2">
        <v>5.28</v>
      </c>
      <c r="E308" s="2">
        <v>0.2</v>
      </c>
      <c r="F308" s="2">
        <v>0</v>
      </c>
      <c r="G308" s="2">
        <v>0.42</v>
      </c>
      <c r="H308" s="2">
        <f t="shared" si="24"/>
        <v>3.0901978089715785</v>
      </c>
      <c r="I308" s="2">
        <f t="shared" si="25"/>
        <v>0.42831903952807754</v>
      </c>
      <c r="J308" s="2">
        <v>0</v>
      </c>
      <c r="K308" s="2">
        <v>0</v>
      </c>
      <c r="L308" s="2">
        <v>0</v>
      </c>
      <c r="M308" s="2">
        <v>0.21</v>
      </c>
      <c r="N308" s="2">
        <v>0</v>
      </c>
      <c r="O308" s="2">
        <v>0</v>
      </c>
      <c r="P308" s="2" t="e">
        <f t="shared" si="26"/>
        <v>#NUM!</v>
      </c>
      <c r="Q308" s="2">
        <f t="shared" si="27"/>
        <v>0.37390096630005903</v>
      </c>
      <c r="R308" s="2" t="e">
        <f t="shared" si="28"/>
        <v>#NUM!</v>
      </c>
      <c r="S308" t="e">
        <f t="shared" si="29"/>
        <v>#NUM!</v>
      </c>
      <c r="U308" t="e">
        <v>#NUM!</v>
      </c>
    </row>
    <row r="309" spans="1:21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24"/>
        <v>#NUM!</v>
      </c>
      <c r="I309" s="2">
        <f t="shared" si="25"/>
        <v>0.37390096630005903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24"/>
        <v>#NUM!</v>
      </c>
      <c r="I310" s="2">
        <f t="shared" si="25"/>
        <v>0.37390096630005903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ht="13.9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1.07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2.93</v>
      </c>
      <c r="L311" s="2">
        <v>0</v>
      </c>
      <c r="M311" s="2">
        <v>0.62</v>
      </c>
      <c r="N311" s="2">
        <v>0</v>
      </c>
      <c r="O311" s="2">
        <v>0.41</v>
      </c>
      <c r="P311" s="2">
        <f t="shared" si="26"/>
        <v>1.5082563272390297</v>
      </c>
      <c r="Q311" s="2">
        <f t="shared" si="27"/>
        <v>0.55847200177528578</v>
      </c>
      <c r="R311" s="2" t="e">
        <f t="shared" si="28"/>
        <v>#NUM!</v>
      </c>
      <c r="S311" t="e">
        <f t="shared" si="29"/>
        <v>#NUM!</v>
      </c>
      <c r="U311">
        <v>1.5509006646475234</v>
      </c>
    </row>
    <row r="312" spans="1:21" ht="13.9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24"/>
        <v>#DIV/0!</v>
      </c>
      <c r="I312" s="2" t="e">
        <f t="shared" si="25"/>
        <v>#DIV/0!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ht="13.9" x14ac:dyDescent="0.3">
      <c r="A313" s="2" t="s">
        <v>330</v>
      </c>
      <c r="B313" s="2">
        <v>6.92</v>
      </c>
      <c r="C313" s="2">
        <v>8.2899999999999991</v>
      </c>
      <c r="D313" s="2">
        <v>2.1800000000000002</v>
      </c>
      <c r="E313" s="2">
        <v>7.8</v>
      </c>
      <c r="F313" s="2">
        <v>7.49</v>
      </c>
      <c r="G313" s="2">
        <v>8.33</v>
      </c>
      <c r="H313" s="2">
        <f t="shared" si="24"/>
        <v>-0.44175103209056998</v>
      </c>
      <c r="I313" s="2">
        <f t="shared" si="25"/>
        <v>0.32840635672223106</v>
      </c>
      <c r="J313" s="2">
        <v>0</v>
      </c>
      <c r="K313" s="2">
        <v>2.09</v>
      </c>
      <c r="L313" s="2">
        <v>5.03</v>
      </c>
      <c r="M313" s="2">
        <v>9.0500000000000007</v>
      </c>
      <c r="N313" s="2">
        <v>0</v>
      </c>
      <c r="O313" s="2">
        <v>6.63</v>
      </c>
      <c r="P313" s="2">
        <f t="shared" si="26"/>
        <v>-1.1389764131488105</v>
      </c>
      <c r="Q313" s="2">
        <f t="shared" si="27"/>
        <v>0.40575779197035916</v>
      </c>
      <c r="R313" s="2">
        <f t="shared" si="28"/>
        <v>-0.6972253810582405</v>
      </c>
      <c r="S313">
        <f t="shared" si="29"/>
        <v>2.5783220194385237</v>
      </c>
      <c r="U313">
        <v>2.8318772411916733</v>
      </c>
    </row>
    <row r="314" spans="1:21" ht="13.9" x14ac:dyDescent="0.3">
      <c r="A314" s="2" t="s">
        <v>331</v>
      </c>
      <c r="B314" s="2">
        <v>4.28</v>
      </c>
      <c r="C314" s="2">
        <v>0</v>
      </c>
      <c r="D314" s="2">
        <v>0</v>
      </c>
      <c r="E314" s="2">
        <v>0.2</v>
      </c>
      <c r="F314" s="2">
        <v>0.53</v>
      </c>
      <c r="G314" s="2">
        <v>0</v>
      </c>
      <c r="H314" s="2">
        <f t="shared" si="24"/>
        <v>2.5516424275211298</v>
      </c>
      <c r="I314" s="2">
        <f t="shared" si="25"/>
        <v>0.45592316630714169</v>
      </c>
      <c r="J314" s="2">
        <v>0</v>
      </c>
      <c r="K314" s="2">
        <v>0.21</v>
      </c>
      <c r="L314" s="2">
        <v>0.5</v>
      </c>
      <c r="M314" s="2">
        <v>0.41</v>
      </c>
      <c r="N314" s="2">
        <v>0</v>
      </c>
      <c r="O314" s="2">
        <v>0</v>
      </c>
      <c r="P314" s="2">
        <f t="shared" si="26"/>
        <v>0.79219511488659844</v>
      </c>
      <c r="Q314" s="2">
        <f t="shared" si="27"/>
        <v>0.64207009002253856</v>
      </c>
      <c r="R314" s="2">
        <f t="shared" si="28"/>
        <v>-1.7594473126345314</v>
      </c>
      <c r="S314">
        <f t="shared" si="29"/>
        <v>0.31046478391417887</v>
      </c>
      <c r="U314">
        <v>-0.49410907027004275</v>
      </c>
    </row>
    <row r="315" spans="1:21" ht="13.9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24"/>
        <v>#DIV/0!</v>
      </c>
      <c r="I315" s="2" t="e">
        <f t="shared" si="25"/>
        <v>#DIV/0!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 t="e">
        <f t="shared" si="24"/>
        <v>#NUM!</v>
      </c>
      <c r="I316" s="2">
        <f t="shared" si="25"/>
        <v>0.37390096630005903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f t="shared" si="26"/>
        <v>#DIV/0!</v>
      </c>
      <c r="Q316" s="2" t="e">
        <f t="shared" si="27"/>
        <v>#DIV/0!</v>
      </c>
      <c r="R316" s="2" t="e">
        <f t="shared" si="28"/>
        <v>#DIV/0!</v>
      </c>
      <c r="S316" t="e">
        <f t="shared" si="29"/>
        <v>#DIV/0!</v>
      </c>
      <c r="U316" t="e">
        <v>#NUM!</v>
      </c>
    </row>
    <row r="317" spans="1:21" ht="13.9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1.0900000000000001</v>
      </c>
      <c r="F317" s="2">
        <v>1.07</v>
      </c>
      <c r="G317" s="2">
        <v>0.53</v>
      </c>
      <c r="H317" s="2" t="e">
        <f t="shared" si="24"/>
        <v>#NUM!</v>
      </c>
      <c r="I317" s="2">
        <f t="shared" si="25"/>
        <v>8.1108813901857261E-3</v>
      </c>
      <c r="J317" s="2">
        <v>0</v>
      </c>
      <c r="K317" s="2">
        <v>0</v>
      </c>
      <c r="L317" s="2">
        <v>0</v>
      </c>
      <c r="M317" s="2">
        <v>3.29</v>
      </c>
      <c r="N317" s="2">
        <v>0</v>
      </c>
      <c r="O317" s="2">
        <v>2.57</v>
      </c>
      <c r="P317" s="2" t="e">
        <f t="shared" si="26"/>
        <v>#NUM!</v>
      </c>
      <c r="Q317" s="2">
        <f t="shared" si="27"/>
        <v>0.12208643291038682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 t="e">
        <f t="shared" si="24"/>
        <v>#NUM!</v>
      </c>
      <c r="I318" s="2">
        <f t="shared" si="25"/>
        <v>0.37390096630005903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f t="shared" si="26"/>
        <v>#DIV/0!</v>
      </c>
      <c r="Q318" s="2" t="e">
        <f t="shared" si="27"/>
        <v>#DIV/0!</v>
      </c>
      <c r="R318" s="2" t="e">
        <f t="shared" si="28"/>
        <v>#DIV/0!</v>
      </c>
      <c r="S318" t="e">
        <f t="shared" si="29"/>
        <v>#DIV/0!</v>
      </c>
      <c r="U318" t="e">
        <v>#NUM!</v>
      </c>
    </row>
    <row r="319" spans="1:21" ht="13.9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24"/>
        <v>#DIV/0!</v>
      </c>
      <c r="I319" s="2" t="e">
        <f t="shared" si="25"/>
        <v>#DIV/0!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ht="13.9" x14ac:dyDescent="0.3">
      <c r="A320" s="2" t="s">
        <v>337</v>
      </c>
      <c r="B320" s="2">
        <v>2.31</v>
      </c>
      <c r="C320" s="2">
        <v>0.24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0.31086928652678342</v>
      </c>
      <c r="J320" s="2">
        <v>0</v>
      </c>
      <c r="K320" s="2">
        <v>0.21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0.37390096630005903</v>
      </c>
      <c r="R320" s="2" t="e">
        <f t="shared" si="28"/>
        <v>#DIV/0!</v>
      </c>
      <c r="S320" t="e">
        <f t="shared" si="29"/>
        <v>#DIV/0!</v>
      </c>
      <c r="U320">
        <v>-2.2515387669959646</v>
      </c>
    </row>
    <row r="321" spans="1:21" ht="13.9" x14ac:dyDescent="0.3">
      <c r="A321" s="2" t="s">
        <v>338</v>
      </c>
      <c r="B321" s="2">
        <v>0.99</v>
      </c>
      <c r="C321" s="2">
        <v>0</v>
      </c>
      <c r="D321" s="2">
        <v>7.1</v>
      </c>
      <c r="E321" s="2">
        <v>0</v>
      </c>
      <c r="F321" s="2">
        <v>0.67</v>
      </c>
      <c r="G321" s="2">
        <v>0.53</v>
      </c>
      <c r="H321" s="2">
        <f t="shared" si="24"/>
        <v>2.7531052968214587</v>
      </c>
      <c r="I321" s="2">
        <f t="shared" si="25"/>
        <v>0.36115988180045222</v>
      </c>
      <c r="J321" s="2">
        <v>0</v>
      </c>
      <c r="K321" s="2">
        <v>0</v>
      </c>
      <c r="L321" s="2">
        <v>16.09</v>
      </c>
      <c r="M321" s="2">
        <v>1.54</v>
      </c>
      <c r="N321" s="2">
        <v>0</v>
      </c>
      <c r="O321" s="2">
        <v>1.08</v>
      </c>
      <c r="P321" s="2">
        <f t="shared" si="26"/>
        <v>2.6185256091859959</v>
      </c>
      <c r="Q321" s="2">
        <f t="shared" si="27"/>
        <v>0.4511139505794417</v>
      </c>
      <c r="R321" s="2">
        <f t="shared" si="28"/>
        <v>-0.1345796876354628</v>
      </c>
      <c r="S321">
        <f t="shared" si="29"/>
        <v>0.95111713024894506</v>
      </c>
      <c r="U321">
        <v>4.0080924209487216</v>
      </c>
    </row>
    <row r="322" spans="1:21" ht="13.9" x14ac:dyDescent="0.3">
      <c r="A322" s="2" t="s">
        <v>339</v>
      </c>
      <c r="B322" s="2">
        <v>17.14</v>
      </c>
      <c r="C322" s="2">
        <v>6.59</v>
      </c>
      <c r="D322" s="2">
        <v>12.02</v>
      </c>
      <c r="E322" s="2">
        <v>2.86</v>
      </c>
      <c r="F322" s="2">
        <v>6.55</v>
      </c>
      <c r="G322" s="2">
        <v>6.01</v>
      </c>
      <c r="H322" s="2">
        <f t="shared" ref="H322:H385" si="30">LOG(SUM(B322:D322)/SUM(E322:G322),2)</f>
        <v>1.21314047663808</v>
      </c>
      <c r="I322" s="2">
        <f t="shared" ref="I322:I385" si="31">_xlfn.T.TEST(B322:D322,E322:G322,2,2)</f>
        <v>0.1058716506010056</v>
      </c>
      <c r="J322" s="2">
        <v>23.18</v>
      </c>
      <c r="K322" s="2">
        <v>0</v>
      </c>
      <c r="L322" s="2">
        <v>15.08</v>
      </c>
      <c r="M322" s="2">
        <v>5.86</v>
      </c>
      <c r="N322" s="2">
        <v>0</v>
      </c>
      <c r="O322" s="2">
        <v>5.96</v>
      </c>
      <c r="P322" s="2">
        <f t="shared" ref="P322:P385" si="32">LOG(SUM(J322:L322)/SUM(M322:O322),2)</f>
        <v>1.6946068381685799</v>
      </c>
      <c r="Q322" s="2">
        <f t="shared" ref="Q322:Q385" si="33">_xlfn.T.TEST(J322:L322,M322:O322,2,2)</f>
        <v>0.28067386011978523</v>
      </c>
      <c r="R322" s="2">
        <f t="shared" si="28"/>
        <v>0.48146636153049993</v>
      </c>
      <c r="S322">
        <f t="shared" si="29"/>
        <v>1.3968760179074771</v>
      </c>
      <c r="U322">
        <v>5.2577649685713874</v>
      </c>
    </row>
    <row r="323" spans="1:21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 t="e">
        <f t="shared" si="30"/>
        <v>#NUM!</v>
      </c>
      <c r="I323" s="2">
        <f t="shared" si="31"/>
        <v>0.37390096630005903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f t="shared" si="32"/>
        <v>#DIV/0!</v>
      </c>
      <c r="Q323" s="2" t="e">
        <f t="shared" si="33"/>
        <v>#DIV/0!</v>
      </c>
      <c r="R323" s="2" t="e">
        <f t="shared" ref="R323:R386" si="34">P323-H323</f>
        <v>#DIV/0!</v>
      </c>
      <c r="S323" t="e">
        <f t="shared" si="29"/>
        <v>#DIV/0!</v>
      </c>
      <c r="U323" t="e">
        <v>#NUM!</v>
      </c>
    </row>
    <row r="324" spans="1:21" ht="13.9" x14ac:dyDescent="0.3">
      <c r="A324" s="2" t="s">
        <v>341</v>
      </c>
      <c r="B324" s="2">
        <v>0.33</v>
      </c>
      <c r="C324" s="2">
        <v>0</v>
      </c>
      <c r="D324" s="2">
        <v>0</v>
      </c>
      <c r="E324" s="2">
        <v>4.24</v>
      </c>
      <c r="F324" s="2">
        <v>5.75</v>
      </c>
      <c r="G324" s="2">
        <v>3.58</v>
      </c>
      <c r="H324" s="2">
        <f t="shared" si="30"/>
        <v>-5.3618108860604003</v>
      </c>
      <c r="I324" s="2">
        <f t="shared" si="31"/>
        <v>2.4796004533424849E-3</v>
      </c>
      <c r="J324" s="2">
        <v>0.18</v>
      </c>
      <c r="K324" s="2">
        <v>6.91</v>
      </c>
      <c r="L324" s="2">
        <v>0</v>
      </c>
      <c r="M324" s="2">
        <v>3.29</v>
      </c>
      <c r="N324" s="2">
        <v>0</v>
      </c>
      <c r="O324" s="2">
        <v>4.33</v>
      </c>
      <c r="P324" s="2">
        <f t="shared" si="32"/>
        <v>-0.10400537025380602</v>
      </c>
      <c r="Q324" s="2">
        <f t="shared" si="33"/>
        <v>0.94950974029668322</v>
      </c>
      <c r="R324" s="2">
        <f t="shared" si="34"/>
        <v>5.2578055158065942</v>
      </c>
      <c r="S324">
        <f t="shared" ref="S324:S387" si="35">P324/H324</f>
        <v>1.9397433528325007E-2</v>
      </c>
      <c r="U324">
        <v>2.8257856274647914</v>
      </c>
    </row>
    <row r="325" spans="1:21" ht="13.9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0.8</v>
      </c>
      <c r="G325" s="2">
        <v>0.42</v>
      </c>
      <c r="H325" s="2" t="e">
        <f t="shared" si="30"/>
        <v>#NUM!</v>
      </c>
      <c r="I325" s="2">
        <f t="shared" si="31"/>
        <v>0.15318372414612758</v>
      </c>
      <c r="J325" s="2">
        <v>0</v>
      </c>
      <c r="K325" s="2">
        <v>0</v>
      </c>
      <c r="L325" s="2">
        <v>0</v>
      </c>
      <c r="M325" s="2">
        <v>0.1</v>
      </c>
      <c r="N325" s="2">
        <v>0</v>
      </c>
      <c r="O325" s="2">
        <v>0</v>
      </c>
      <c r="P325" s="2" t="e">
        <f t="shared" si="32"/>
        <v>#NUM!</v>
      </c>
      <c r="Q325" s="2">
        <f t="shared" si="33"/>
        <v>0.37390096630005903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ht="13.9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f t="shared" si="32"/>
        <v>#DIV/0!</v>
      </c>
      <c r="Q326" s="2" t="e">
        <f t="shared" si="33"/>
        <v>#DIV/0!</v>
      </c>
      <c r="R326" s="2" t="e">
        <f t="shared" si="34"/>
        <v>#DIV/0!</v>
      </c>
      <c r="S326" t="e">
        <f t="shared" si="35"/>
        <v>#DIV/0!</v>
      </c>
      <c r="U326" t="e">
        <v>#NUM!</v>
      </c>
    </row>
    <row r="327" spans="1:21" ht="13.9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f t="shared" si="32"/>
        <v>#DIV/0!</v>
      </c>
      <c r="Q327" s="2" t="e">
        <f t="shared" si="33"/>
        <v>#DIV/0!</v>
      </c>
      <c r="R327" s="2" t="e">
        <f t="shared" si="34"/>
        <v>#DIV/0!</v>
      </c>
      <c r="S327" t="e">
        <f t="shared" si="35"/>
        <v>#DIV/0!</v>
      </c>
      <c r="U327" t="e">
        <v>#NUM!</v>
      </c>
    </row>
    <row r="328" spans="1:21" ht="13.9" x14ac:dyDescent="0.3">
      <c r="A328" s="2" t="s">
        <v>345</v>
      </c>
      <c r="B328" s="2">
        <v>4.9400000000000004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>
        <f t="shared" si="31"/>
        <v>0.37390096630005903</v>
      </c>
      <c r="J328" s="2">
        <v>0</v>
      </c>
      <c r="K328" s="2">
        <v>0</v>
      </c>
      <c r="L328" s="2">
        <v>0</v>
      </c>
      <c r="M328" s="2">
        <v>0.21</v>
      </c>
      <c r="N328" s="2">
        <v>0</v>
      </c>
      <c r="O328" s="2">
        <v>0</v>
      </c>
      <c r="P328" s="2" t="e">
        <f t="shared" si="32"/>
        <v>#NUM!</v>
      </c>
      <c r="Q328" s="2">
        <f t="shared" si="33"/>
        <v>0.37390096630005903</v>
      </c>
      <c r="R328" s="2" t="e">
        <f t="shared" si="34"/>
        <v>#NUM!</v>
      </c>
      <c r="S328" t="e">
        <f t="shared" si="35"/>
        <v>#NUM!</v>
      </c>
      <c r="U328" t="e">
        <v>#NUM!</v>
      </c>
    </row>
    <row r="329" spans="1:21" ht="13.9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1.48</v>
      </c>
      <c r="F329" s="2">
        <v>0.4</v>
      </c>
      <c r="G329" s="2">
        <v>0</v>
      </c>
      <c r="H329" s="2" t="e">
        <f t="shared" si="30"/>
        <v>#NUM!</v>
      </c>
      <c r="I329" s="2">
        <f t="shared" si="31"/>
        <v>0.22923971816325969</v>
      </c>
      <c r="J329" s="2">
        <v>0</v>
      </c>
      <c r="K329" s="2">
        <v>0</v>
      </c>
      <c r="L329" s="2">
        <v>0</v>
      </c>
      <c r="M329" s="2">
        <v>0.72</v>
      </c>
      <c r="N329" s="2">
        <v>0</v>
      </c>
      <c r="O329" s="2">
        <v>0.81</v>
      </c>
      <c r="P329" s="2" t="e">
        <f t="shared" si="32"/>
        <v>#NUM!</v>
      </c>
      <c r="Q329" s="2">
        <f t="shared" si="33"/>
        <v>0.11749101920491983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ht="13.9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0.42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 t="e">
        <f t="shared" si="32"/>
        <v>#DIV/0!</v>
      </c>
      <c r="Q330" s="2" t="e">
        <f t="shared" si="33"/>
        <v>#DIV/0!</v>
      </c>
      <c r="R330" s="2" t="e">
        <f t="shared" si="34"/>
        <v>#DIV/0!</v>
      </c>
      <c r="S330" t="e">
        <f t="shared" si="35"/>
        <v>#DIV/0!</v>
      </c>
      <c r="U330" t="e">
        <v>#NUM!</v>
      </c>
    </row>
    <row r="331" spans="1:21" ht="13.9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30"/>
        <v>#DIV/0!</v>
      </c>
      <c r="I331" s="2" t="e">
        <f t="shared" si="31"/>
        <v>#DIV/0!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ht="13.9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0.99</v>
      </c>
      <c r="F332" s="2">
        <v>0</v>
      </c>
      <c r="G332" s="2">
        <v>2</v>
      </c>
      <c r="H332" s="2" t="e">
        <f t="shared" si="30"/>
        <v>#NUM!</v>
      </c>
      <c r="I332" s="2">
        <f t="shared" si="31"/>
        <v>0.15938043584053399</v>
      </c>
      <c r="J332" s="2">
        <v>0</v>
      </c>
      <c r="K332" s="2">
        <v>0</v>
      </c>
      <c r="L332" s="2">
        <v>0</v>
      </c>
      <c r="M332" s="2">
        <v>0.21</v>
      </c>
      <c r="N332" s="2">
        <v>0</v>
      </c>
      <c r="O332" s="2">
        <v>0</v>
      </c>
      <c r="P332" s="2" t="e">
        <f t="shared" si="32"/>
        <v>#NUM!</v>
      </c>
      <c r="Q332" s="2">
        <f t="shared" si="33"/>
        <v>0.37390096630005903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ht="13.9" x14ac:dyDescent="0.3">
      <c r="A333" s="2" t="s">
        <v>350</v>
      </c>
      <c r="B333" s="2">
        <v>0</v>
      </c>
      <c r="C333" s="2">
        <v>0</v>
      </c>
      <c r="D333" s="2">
        <v>0</v>
      </c>
      <c r="E333" s="2">
        <v>1.28</v>
      </c>
      <c r="F333" s="2">
        <v>2.0099999999999998</v>
      </c>
      <c r="G333" s="2">
        <v>0.32</v>
      </c>
      <c r="H333" s="2" t="e">
        <f t="shared" si="30"/>
        <v>#NUM!</v>
      </c>
      <c r="I333" s="2">
        <f t="shared" si="31"/>
        <v>6.976861028888888E-2</v>
      </c>
      <c r="J333" s="2">
        <v>0</v>
      </c>
      <c r="K333" s="2">
        <v>0</v>
      </c>
      <c r="L333" s="2">
        <v>0</v>
      </c>
      <c r="M333" s="2">
        <v>0.82</v>
      </c>
      <c r="N333" s="2">
        <v>0</v>
      </c>
      <c r="O333" s="2">
        <v>0.54</v>
      </c>
      <c r="P333" s="2" t="e">
        <f t="shared" si="32"/>
        <v>#NUM!</v>
      </c>
      <c r="Q333" s="2">
        <f t="shared" si="33"/>
        <v>0.13269603943196495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0.14000000000000001</v>
      </c>
      <c r="P334" s="2" t="e">
        <f t="shared" si="32"/>
        <v>#NUM!</v>
      </c>
      <c r="Q334" s="2">
        <f t="shared" si="33"/>
        <v>0.37390096630005903</v>
      </c>
      <c r="R334" s="2" t="e">
        <f t="shared" si="34"/>
        <v>#NUM!</v>
      </c>
      <c r="S334" t="e">
        <f t="shared" si="35"/>
        <v>#NUM!</v>
      </c>
      <c r="U334" t="e">
        <v>#NUM!</v>
      </c>
    </row>
    <row r="335" spans="1:21" ht="13.9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1.48</v>
      </c>
      <c r="F335" s="2">
        <v>1.34</v>
      </c>
      <c r="G335" s="2">
        <v>0.63</v>
      </c>
      <c r="H335" s="2" t="e">
        <f t="shared" si="30"/>
        <v>#NUM!</v>
      </c>
      <c r="I335" s="2">
        <f t="shared" si="31"/>
        <v>1.1962542602379713E-2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2.17</v>
      </c>
      <c r="P335" s="2" t="e">
        <f t="shared" si="32"/>
        <v>#NUM!</v>
      </c>
      <c r="Q335" s="2">
        <f t="shared" si="33"/>
        <v>0.37390096630005903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ht="13.9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30"/>
        <v>#DIV/0!</v>
      </c>
      <c r="I336" s="2" t="e">
        <f t="shared" si="31"/>
        <v>#DIV/0!</v>
      </c>
      <c r="J336" s="2">
        <v>7.01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>
        <f t="shared" si="33"/>
        <v>0.37390096630005903</v>
      </c>
      <c r="R336" s="2" t="e">
        <f t="shared" si="34"/>
        <v>#DIV/0!</v>
      </c>
      <c r="S336" t="e">
        <f t="shared" si="35"/>
        <v>#DIV/0!</v>
      </c>
      <c r="U336">
        <v>2.8094144442358986</v>
      </c>
    </row>
    <row r="337" spans="1:21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 t="e">
        <f t="shared" si="30"/>
        <v>#NUM!</v>
      </c>
      <c r="I337" s="2">
        <f t="shared" si="31"/>
        <v>0.12142196810912945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 t="e">
        <f t="shared" si="32"/>
        <v>#DIV/0!</v>
      </c>
      <c r="Q337" s="2" t="e">
        <f t="shared" si="33"/>
        <v>#DIV/0!</v>
      </c>
      <c r="R337" s="2" t="e">
        <f t="shared" si="34"/>
        <v>#DIV/0!</v>
      </c>
      <c r="S337" t="e">
        <f t="shared" si="35"/>
        <v>#DIV/0!</v>
      </c>
      <c r="U337" t="e">
        <v>#NUM!</v>
      </c>
    </row>
    <row r="338" spans="1:21" ht="13.9" x14ac:dyDescent="0.3">
      <c r="A338" s="2" t="s">
        <v>355</v>
      </c>
      <c r="B338" s="2">
        <v>0</v>
      </c>
      <c r="C338" s="2">
        <v>0</v>
      </c>
      <c r="D338" s="2">
        <v>0</v>
      </c>
      <c r="E338" s="2">
        <v>0.99</v>
      </c>
      <c r="F338" s="2">
        <v>0.4</v>
      </c>
      <c r="G338" s="2">
        <v>0.74</v>
      </c>
      <c r="H338" s="2" t="e">
        <f t="shared" si="30"/>
        <v>#NUM!</v>
      </c>
      <c r="I338" s="2">
        <f t="shared" si="31"/>
        <v>1.4230349545644557E-2</v>
      </c>
      <c r="J338" s="2">
        <v>10.24</v>
      </c>
      <c r="K338" s="2">
        <v>0</v>
      </c>
      <c r="L338" s="2">
        <v>0</v>
      </c>
      <c r="M338" s="2">
        <v>1.54</v>
      </c>
      <c r="N338" s="2">
        <v>0</v>
      </c>
      <c r="O338" s="2">
        <v>2.44</v>
      </c>
      <c r="P338" s="2">
        <f t="shared" si="32"/>
        <v>1.3633753794563512</v>
      </c>
      <c r="Q338" s="2">
        <f t="shared" si="33"/>
        <v>0.58178903140539717</v>
      </c>
      <c r="R338" s="2" t="e">
        <f t="shared" si="34"/>
        <v>#NUM!</v>
      </c>
      <c r="S338" t="e">
        <f t="shared" si="35"/>
        <v>#NUM!</v>
      </c>
      <c r="U338">
        <v>3.3561438102252756</v>
      </c>
    </row>
    <row r="339" spans="1:21" ht="13.9" x14ac:dyDescent="0.3">
      <c r="A339" s="2" t="s">
        <v>356</v>
      </c>
      <c r="B339" s="2">
        <v>0</v>
      </c>
      <c r="C339" s="2">
        <v>0</v>
      </c>
      <c r="D339" s="2">
        <v>5.28</v>
      </c>
      <c r="E339" s="2">
        <v>0.99</v>
      </c>
      <c r="F339" s="2">
        <v>0.8</v>
      </c>
      <c r="G339" s="2">
        <v>0.21</v>
      </c>
      <c r="H339" s="2">
        <f t="shared" si="30"/>
        <v>1.4005379295837288</v>
      </c>
      <c r="I339" s="2">
        <f t="shared" si="31"/>
        <v>0.5713666979640134</v>
      </c>
      <c r="J339" s="2">
        <v>1.08</v>
      </c>
      <c r="K339" s="2">
        <v>0</v>
      </c>
      <c r="L339" s="2">
        <v>0</v>
      </c>
      <c r="M339" s="2">
        <v>0.51</v>
      </c>
      <c r="N339" s="2">
        <v>0</v>
      </c>
      <c r="O339" s="2">
        <v>0.54</v>
      </c>
      <c r="P339" s="2">
        <f t="shared" si="32"/>
        <v>4.064198449734608E-2</v>
      </c>
      <c r="Q339" s="2">
        <f t="shared" si="33"/>
        <v>0.98126998760156148</v>
      </c>
      <c r="R339" s="2">
        <f t="shared" si="34"/>
        <v>-1.3598959450863828</v>
      </c>
      <c r="S339">
        <f t="shared" si="35"/>
        <v>2.9018838861026623E-2</v>
      </c>
      <c r="U339">
        <v>0.11103131238874395</v>
      </c>
    </row>
    <row r="340" spans="1:21" ht="13.9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0.49</v>
      </c>
      <c r="F340" s="2">
        <v>0</v>
      </c>
      <c r="G340" s="2">
        <v>0</v>
      </c>
      <c r="H340" s="2" t="e">
        <f t="shared" si="30"/>
        <v>#NUM!</v>
      </c>
      <c r="I340" s="2">
        <f t="shared" si="31"/>
        <v>0.37390096630005903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 t="e">
        <f t="shared" si="32"/>
        <v>#DIV/0!</v>
      </c>
      <c r="Q340" s="2" t="e">
        <f t="shared" si="33"/>
        <v>#DIV/0!</v>
      </c>
      <c r="R340" s="2" t="e">
        <f t="shared" si="34"/>
        <v>#DIV/0!</v>
      </c>
      <c r="S340" t="e">
        <f t="shared" si="35"/>
        <v>#DIV/0!</v>
      </c>
      <c r="U340" t="e">
        <v>#NUM!</v>
      </c>
    </row>
    <row r="341" spans="1:21" ht="13.9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0.1</v>
      </c>
      <c r="F341" s="2">
        <v>0</v>
      </c>
      <c r="G341" s="2">
        <v>0</v>
      </c>
      <c r="H341" s="2" t="e">
        <f t="shared" si="30"/>
        <v>#NUM!</v>
      </c>
      <c r="I341" s="2">
        <f t="shared" si="31"/>
        <v>0.37390096630005903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f t="shared" si="32"/>
        <v>#DIV/0!</v>
      </c>
      <c r="Q341" s="2" t="e">
        <f t="shared" si="33"/>
        <v>#DIV/0!</v>
      </c>
      <c r="R341" s="2" t="e">
        <f t="shared" si="34"/>
        <v>#DIV/0!</v>
      </c>
      <c r="S341" t="e">
        <f t="shared" si="35"/>
        <v>#DIV/0!</v>
      </c>
      <c r="U341" t="e">
        <v>#NUM!</v>
      </c>
    </row>
    <row r="342" spans="1:21" ht="13.9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 t="e">
        <f t="shared" si="32"/>
        <v>#DIV/0!</v>
      </c>
      <c r="Q342" s="2" t="e">
        <f t="shared" si="33"/>
        <v>#DIV/0!</v>
      </c>
      <c r="R342" s="2" t="e">
        <f t="shared" si="34"/>
        <v>#DIV/0!</v>
      </c>
      <c r="S342" t="e">
        <f t="shared" si="35"/>
        <v>#DIV/0!</v>
      </c>
      <c r="U342" t="e">
        <v>#NUM!</v>
      </c>
    </row>
    <row r="343" spans="1:21" ht="13.9" x14ac:dyDescent="0.3">
      <c r="A343" s="2" t="s">
        <v>360</v>
      </c>
      <c r="B343" s="2">
        <v>0.99</v>
      </c>
      <c r="C343" s="2">
        <v>0</v>
      </c>
      <c r="D343" s="2">
        <v>0</v>
      </c>
      <c r="E343" s="2">
        <v>1.18</v>
      </c>
      <c r="F343" s="2">
        <v>1.2</v>
      </c>
      <c r="G343" s="2">
        <v>0.53</v>
      </c>
      <c r="H343" s="2">
        <f t="shared" si="30"/>
        <v>-1.5555187228286746</v>
      </c>
      <c r="I343" s="2">
        <f t="shared" si="31"/>
        <v>0.18193314137212868</v>
      </c>
      <c r="J343" s="2">
        <v>0</v>
      </c>
      <c r="K343" s="2">
        <v>0</v>
      </c>
      <c r="L343" s="2">
        <v>0</v>
      </c>
      <c r="M343" s="2">
        <v>0.72</v>
      </c>
      <c r="N343" s="2">
        <v>0</v>
      </c>
      <c r="O343" s="2">
        <v>1.89</v>
      </c>
      <c r="P343" s="2" t="e">
        <f t="shared" si="32"/>
        <v>#NUM!</v>
      </c>
      <c r="Q343" s="2">
        <f t="shared" si="33"/>
        <v>0.18931767648133244</v>
      </c>
      <c r="R343" s="2" t="e">
        <f t="shared" si="34"/>
        <v>#NUM!</v>
      </c>
      <c r="S343" t="e">
        <f t="shared" si="35"/>
        <v>#NUM!</v>
      </c>
      <c r="U343" t="e">
        <v>#NUM!</v>
      </c>
    </row>
    <row r="344" spans="1:21" ht="13.9" x14ac:dyDescent="0.3">
      <c r="A344" s="2" t="s">
        <v>361</v>
      </c>
      <c r="B344" s="2">
        <v>0</v>
      </c>
      <c r="C344" s="2">
        <v>0.98</v>
      </c>
      <c r="D344" s="2">
        <v>0</v>
      </c>
      <c r="E344" s="2">
        <v>0.69</v>
      </c>
      <c r="F344" s="2">
        <v>0.67</v>
      </c>
      <c r="G344" s="2">
        <v>0.53</v>
      </c>
      <c r="H344" s="2">
        <f t="shared" si="30"/>
        <v>-0.9475325801058645</v>
      </c>
      <c r="I344" s="2">
        <f t="shared" si="31"/>
        <v>0.4106835034251935</v>
      </c>
      <c r="J344" s="2">
        <v>0</v>
      </c>
      <c r="K344" s="2">
        <v>0</v>
      </c>
      <c r="L344" s="2">
        <v>0</v>
      </c>
      <c r="M344" s="2">
        <v>0.31</v>
      </c>
      <c r="N344" s="2">
        <v>0</v>
      </c>
      <c r="O344" s="2">
        <v>0.68</v>
      </c>
      <c r="P344" s="2" t="e">
        <f t="shared" si="32"/>
        <v>#NUM!</v>
      </c>
      <c r="Q344" s="2">
        <f t="shared" si="33"/>
        <v>0.16846605525595862</v>
      </c>
      <c r="R344" s="2" t="e">
        <f t="shared" si="34"/>
        <v>#NUM!</v>
      </c>
      <c r="S344" t="e">
        <f t="shared" si="35"/>
        <v>#NUM!</v>
      </c>
      <c r="U344" t="e">
        <v>#NUM!</v>
      </c>
    </row>
    <row r="345" spans="1:21" ht="13.9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0.1</v>
      </c>
      <c r="F345" s="2">
        <v>0.27</v>
      </c>
      <c r="G345" s="2">
        <v>0.11</v>
      </c>
      <c r="H345" s="2" t="e">
        <f t="shared" si="30"/>
        <v>#NUM!</v>
      </c>
      <c r="I345" s="2">
        <f t="shared" si="31"/>
        <v>4.3893358557895674E-2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0.27</v>
      </c>
      <c r="P345" s="2" t="e">
        <f t="shared" si="32"/>
        <v>#NUM!</v>
      </c>
      <c r="Q345" s="2">
        <f t="shared" si="33"/>
        <v>0.37390096630005903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ht="13.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5.21</v>
      </c>
      <c r="K346" s="2">
        <v>0</v>
      </c>
      <c r="L346" s="2">
        <v>0</v>
      </c>
      <c r="M346" s="2">
        <v>0.51</v>
      </c>
      <c r="N346" s="2">
        <v>0</v>
      </c>
      <c r="O346" s="2">
        <v>0.81</v>
      </c>
      <c r="P346" s="2">
        <f t="shared" si="32"/>
        <v>1.9807454429200548</v>
      </c>
      <c r="Q346" s="2">
        <f t="shared" si="33"/>
        <v>0.50047910018303399</v>
      </c>
      <c r="R346" s="2" t="e">
        <f t="shared" si="34"/>
        <v>#DIV/0!</v>
      </c>
      <c r="S346" t="e">
        <f t="shared" si="35"/>
        <v>#DIV/0!</v>
      </c>
      <c r="U346">
        <v>2.3812833725037836</v>
      </c>
    </row>
    <row r="347" spans="1:21" ht="13.9" x14ac:dyDescent="0.3">
      <c r="A347" s="2" t="s">
        <v>364</v>
      </c>
      <c r="B347" s="2">
        <v>37.25</v>
      </c>
      <c r="C347" s="2">
        <v>0</v>
      </c>
      <c r="D347" s="2">
        <v>18.02</v>
      </c>
      <c r="E347" s="2">
        <v>34.06</v>
      </c>
      <c r="F347" s="2">
        <v>20.32</v>
      </c>
      <c r="G347" s="2">
        <v>26.24</v>
      </c>
      <c r="H347" s="2">
        <f t="shared" si="30"/>
        <v>-0.54464117063691875</v>
      </c>
      <c r="I347" s="2">
        <f t="shared" si="31"/>
        <v>0.50208729073411673</v>
      </c>
      <c r="J347" s="2">
        <v>11.14</v>
      </c>
      <c r="K347" s="2">
        <v>3.35</v>
      </c>
      <c r="L347" s="2">
        <v>25.64</v>
      </c>
      <c r="M347" s="2">
        <v>21.61</v>
      </c>
      <c r="N347" s="2">
        <v>0</v>
      </c>
      <c r="O347" s="2">
        <v>11.5</v>
      </c>
      <c r="P347" s="2">
        <f t="shared" si="32"/>
        <v>0.27741414538299614</v>
      </c>
      <c r="Q347" s="2">
        <f t="shared" si="33"/>
        <v>0.80841468053147225</v>
      </c>
      <c r="R347" s="2">
        <f t="shared" si="34"/>
        <v>0.82205531601991488</v>
      </c>
      <c r="S347">
        <f t="shared" si="35"/>
        <v>-0.50935213924165923</v>
      </c>
      <c r="U347">
        <v>5.3266092510052703</v>
      </c>
    </row>
    <row r="348" spans="1:21" ht="13.9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 t="e">
        <f t="shared" si="30"/>
        <v>#NUM!</v>
      </c>
      <c r="I348" s="2">
        <f t="shared" si="31"/>
        <v>0.12283946337339596</v>
      </c>
      <c r="J348" s="2">
        <v>0.9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 t="e">
        <f t="shared" si="32"/>
        <v>#DIV/0!</v>
      </c>
      <c r="Q348" s="2">
        <f t="shared" si="33"/>
        <v>0.37390096630005903</v>
      </c>
      <c r="R348" s="2" t="e">
        <f t="shared" si="34"/>
        <v>#DIV/0!</v>
      </c>
      <c r="S348" t="e">
        <f t="shared" si="35"/>
        <v>#DIV/0!</v>
      </c>
      <c r="U348">
        <v>-0.15200309344504997</v>
      </c>
    </row>
    <row r="349" spans="1:21" ht="13.9" x14ac:dyDescent="0.3">
      <c r="A349" s="2" t="s">
        <v>366</v>
      </c>
      <c r="B349" s="2">
        <v>41.2</v>
      </c>
      <c r="C349" s="2">
        <v>14.39</v>
      </c>
      <c r="D349" s="2">
        <v>7.65</v>
      </c>
      <c r="E349" s="2">
        <v>9.2799999999999994</v>
      </c>
      <c r="F349" s="2">
        <v>10.83</v>
      </c>
      <c r="G349" s="2">
        <v>7.69</v>
      </c>
      <c r="H349" s="2">
        <f t="shared" si="30"/>
        <v>1.1857524847475012</v>
      </c>
      <c r="I349" s="2">
        <f t="shared" si="31"/>
        <v>0.31479612652806271</v>
      </c>
      <c r="J349" s="2">
        <v>7.19</v>
      </c>
      <c r="K349" s="2">
        <v>12.77</v>
      </c>
      <c r="L349" s="2">
        <v>24.63</v>
      </c>
      <c r="M349" s="2">
        <v>6.28</v>
      </c>
      <c r="N349" s="2">
        <v>0</v>
      </c>
      <c r="O349" s="2">
        <v>16.239999999999998</v>
      </c>
      <c r="P349" s="2">
        <f t="shared" si="32"/>
        <v>0.98551337223367519</v>
      </c>
      <c r="Q349" s="2">
        <f t="shared" si="33"/>
        <v>0.35168526836112268</v>
      </c>
      <c r="R349" s="2">
        <f t="shared" si="34"/>
        <v>-0.20023911251382598</v>
      </c>
      <c r="S349">
        <f t="shared" si="35"/>
        <v>0.83112908040292599</v>
      </c>
      <c r="U349">
        <v>5.4786482945391803</v>
      </c>
    </row>
    <row r="350" spans="1:21" ht="13.9" x14ac:dyDescent="0.3">
      <c r="A350" s="2" t="s">
        <v>367</v>
      </c>
      <c r="B350" s="2">
        <v>2.97</v>
      </c>
      <c r="C350" s="2">
        <v>0</v>
      </c>
      <c r="D350" s="2">
        <v>0</v>
      </c>
      <c r="E350" s="2">
        <v>3.65</v>
      </c>
      <c r="F350" s="2">
        <v>5.21</v>
      </c>
      <c r="G350" s="2">
        <v>2.5299999999999998</v>
      </c>
      <c r="H350" s="2">
        <f t="shared" si="30"/>
        <v>-1.9392329109073458</v>
      </c>
      <c r="I350" s="2">
        <f t="shared" si="31"/>
        <v>8.9607407404061257E-2</v>
      </c>
      <c r="J350" s="2">
        <v>0</v>
      </c>
      <c r="K350" s="2">
        <v>7.74</v>
      </c>
      <c r="L350" s="2">
        <v>13.07</v>
      </c>
      <c r="M350" s="2">
        <v>2.57</v>
      </c>
      <c r="N350" s="2">
        <v>0</v>
      </c>
      <c r="O350" s="2">
        <v>6.36</v>
      </c>
      <c r="P350" s="2">
        <f t="shared" si="32"/>
        <v>1.2205448846141118</v>
      </c>
      <c r="Q350" s="2">
        <f t="shared" si="33"/>
        <v>0.40117924157544738</v>
      </c>
      <c r="R350" s="2">
        <f t="shared" si="34"/>
        <v>3.1597777955214577</v>
      </c>
      <c r="S350">
        <f t="shared" si="35"/>
        <v>-0.6293957150526247</v>
      </c>
      <c r="U350">
        <v>4.3792050599606105</v>
      </c>
    </row>
    <row r="351" spans="1:21" ht="13.9" x14ac:dyDescent="0.3">
      <c r="A351" s="2" t="s">
        <v>368</v>
      </c>
      <c r="B351" s="2">
        <v>0</v>
      </c>
      <c r="C351" s="2">
        <v>0</v>
      </c>
      <c r="D351" s="2">
        <v>26.76</v>
      </c>
      <c r="E351" s="2">
        <v>12.54</v>
      </c>
      <c r="F351" s="2">
        <v>11.5</v>
      </c>
      <c r="G351" s="2">
        <v>6.22</v>
      </c>
      <c r="H351" s="2">
        <f t="shared" si="30"/>
        <v>-0.17733387157527608</v>
      </c>
      <c r="I351" s="2">
        <f t="shared" si="31"/>
        <v>0.90450801577531958</v>
      </c>
      <c r="J351" s="2">
        <v>8.8000000000000007</v>
      </c>
      <c r="K351" s="2">
        <v>9.42</v>
      </c>
      <c r="L351" s="2">
        <v>25.64</v>
      </c>
      <c r="M351" s="2">
        <v>9.8800000000000008</v>
      </c>
      <c r="N351" s="2">
        <v>0</v>
      </c>
      <c r="O351" s="2">
        <v>9.61</v>
      </c>
      <c r="P351" s="2">
        <f t="shared" si="32"/>
        <v>1.1701717214157035</v>
      </c>
      <c r="Q351" s="2">
        <f t="shared" si="33"/>
        <v>0.27311966734436344</v>
      </c>
      <c r="R351" s="2">
        <f t="shared" si="34"/>
        <v>1.3475055929909796</v>
      </c>
      <c r="S351">
        <f t="shared" si="35"/>
        <v>-6.5986926864052577</v>
      </c>
      <c r="U351">
        <v>5.4548339068988687</v>
      </c>
    </row>
    <row r="352" spans="1:21" ht="13.9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t="e">
        <f t="shared" si="35"/>
        <v>#NUM!</v>
      </c>
      <c r="U352">
        <v>2.266036893995317</v>
      </c>
    </row>
    <row r="353" spans="1:21" ht="13.9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0.13</v>
      </c>
      <c r="G353" s="2">
        <v>0</v>
      </c>
      <c r="H353" s="2" t="e">
        <f t="shared" si="30"/>
        <v>#NUM!</v>
      </c>
      <c r="I353" s="2">
        <f t="shared" si="31"/>
        <v>0.37390096630005903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0.41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ht="13.9" x14ac:dyDescent="0.3">
      <c r="A354" s="2" t="s">
        <v>371</v>
      </c>
      <c r="B354" s="2">
        <v>39.22</v>
      </c>
      <c r="C354" s="2">
        <v>24.88</v>
      </c>
      <c r="D354" s="2">
        <v>22.58</v>
      </c>
      <c r="E354" s="2">
        <v>49.16</v>
      </c>
      <c r="F354" s="2">
        <v>46.53</v>
      </c>
      <c r="G354" s="2">
        <v>49.22</v>
      </c>
      <c r="H354" s="2">
        <f t="shared" si="30"/>
        <v>-0.74138609779028286</v>
      </c>
      <c r="I354" s="2">
        <f t="shared" si="31"/>
        <v>2.1287049283915151E-2</v>
      </c>
      <c r="J354" s="2">
        <v>13.11</v>
      </c>
      <c r="K354" s="2">
        <v>28.25</v>
      </c>
      <c r="L354" s="2">
        <v>13.07</v>
      </c>
      <c r="M354" s="2">
        <v>55.35</v>
      </c>
      <c r="N354" s="2">
        <v>40.880000000000003</v>
      </c>
      <c r="O354" s="2">
        <v>46.97</v>
      </c>
      <c r="P354" s="2">
        <f t="shared" si="32"/>
        <v>-1.3955575514265248</v>
      </c>
      <c r="Q354" s="2">
        <f t="shared" si="33"/>
        <v>1.0776204729483884E-2</v>
      </c>
      <c r="R354" s="2">
        <f t="shared" si="34"/>
        <v>-0.65417145363624196</v>
      </c>
      <c r="S354">
        <f t="shared" si="35"/>
        <v>1.8823627197569714</v>
      </c>
      <c r="U354">
        <v>5.7663301309503687</v>
      </c>
    </row>
    <row r="355" spans="1:21" ht="13.9" x14ac:dyDescent="0.3">
      <c r="A355" s="2" t="s">
        <v>372</v>
      </c>
      <c r="B355" s="2">
        <v>0</v>
      </c>
      <c r="C355" s="2">
        <v>15.13</v>
      </c>
      <c r="D355" s="2">
        <v>0</v>
      </c>
      <c r="E355" s="2">
        <v>2.57</v>
      </c>
      <c r="F355" s="2">
        <v>1.87</v>
      </c>
      <c r="G355" s="2">
        <v>1.48</v>
      </c>
      <c r="H355" s="2">
        <f t="shared" si="30"/>
        <v>1.3537429065877875</v>
      </c>
      <c r="I355" s="2">
        <f t="shared" si="31"/>
        <v>0.57631128328093895</v>
      </c>
      <c r="J355" s="2">
        <v>10.24</v>
      </c>
      <c r="K355" s="2">
        <v>4.8099999999999996</v>
      </c>
      <c r="L355" s="2">
        <v>0</v>
      </c>
      <c r="M355" s="2">
        <v>0.72</v>
      </c>
      <c r="N355" s="2">
        <v>0</v>
      </c>
      <c r="O355" s="2">
        <v>0</v>
      </c>
      <c r="P355" s="2">
        <f t="shared" si="32"/>
        <v>4.3856227702047521</v>
      </c>
      <c r="Q355" s="2">
        <f t="shared" si="33"/>
        <v>0.18276499298380758</v>
      </c>
      <c r="R355" s="2">
        <f t="shared" si="34"/>
        <v>3.0318798636169646</v>
      </c>
      <c r="S355">
        <f t="shared" si="35"/>
        <v>3.2396275163199557</v>
      </c>
      <c r="U355">
        <v>3.9116915818723403</v>
      </c>
    </row>
    <row r="356" spans="1:21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0.62</v>
      </c>
      <c r="N356" s="2">
        <v>0</v>
      </c>
      <c r="O356" s="2">
        <v>0</v>
      </c>
      <c r="P356" s="2" t="e">
        <f t="shared" si="32"/>
        <v>#NUM!</v>
      </c>
      <c r="Q356" s="2">
        <f t="shared" si="33"/>
        <v>0.37390096630005903</v>
      </c>
      <c r="R356" s="2" t="e">
        <f t="shared" si="34"/>
        <v>#NUM!</v>
      </c>
      <c r="S356" t="e">
        <f t="shared" si="35"/>
        <v>#NUM!</v>
      </c>
      <c r="U356" t="e">
        <v>#NUM!</v>
      </c>
    </row>
    <row r="357" spans="1:21" ht="13.9" x14ac:dyDescent="0.3">
      <c r="A357" s="2" t="s">
        <v>374</v>
      </c>
      <c r="B357" s="2">
        <v>35.93</v>
      </c>
      <c r="C357" s="2">
        <v>15.13</v>
      </c>
      <c r="D357" s="2">
        <v>11.65</v>
      </c>
      <c r="E357" s="2">
        <v>1.88</v>
      </c>
      <c r="F357" s="2">
        <v>5.75</v>
      </c>
      <c r="G357" s="2">
        <v>1.69</v>
      </c>
      <c r="H357" s="2">
        <f t="shared" si="30"/>
        <v>2.750293659591049</v>
      </c>
      <c r="I357" s="2">
        <f t="shared" si="31"/>
        <v>8.1777517524053184E-2</v>
      </c>
      <c r="J357" s="2">
        <v>11.14</v>
      </c>
      <c r="K357" s="2">
        <v>23.23</v>
      </c>
      <c r="L357" s="2">
        <v>5.03</v>
      </c>
      <c r="M357" s="2">
        <v>2.16</v>
      </c>
      <c r="N357" s="2">
        <v>0</v>
      </c>
      <c r="O357" s="2">
        <v>2.2999999999999998</v>
      </c>
      <c r="P357" s="2">
        <f t="shared" si="32"/>
        <v>3.1430800144234343</v>
      </c>
      <c r="Q357" s="2">
        <f t="shared" si="33"/>
        <v>9.720143008466231E-2</v>
      </c>
      <c r="R357" s="2">
        <f t="shared" si="34"/>
        <v>0.39278635483238533</v>
      </c>
      <c r="S357">
        <f t="shared" si="35"/>
        <v>1.1428161510908585</v>
      </c>
      <c r="U357">
        <v>5.3001237245690147</v>
      </c>
    </row>
    <row r="358" spans="1:21" ht="13.9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0.79</v>
      </c>
      <c r="F358" s="2">
        <v>0</v>
      </c>
      <c r="G358" s="2">
        <v>0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0.14000000000000001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ht="13.9" x14ac:dyDescent="0.3">
      <c r="A359" s="2" t="s">
        <v>376</v>
      </c>
      <c r="B359" s="2">
        <v>5.93</v>
      </c>
      <c r="C359" s="2">
        <v>4.6399999999999997</v>
      </c>
      <c r="D359" s="2">
        <v>2.73</v>
      </c>
      <c r="E359" s="2">
        <v>2.4700000000000002</v>
      </c>
      <c r="F359" s="2">
        <v>5.88</v>
      </c>
      <c r="G359" s="2">
        <v>2.42</v>
      </c>
      <c r="H359" s="2">
        <f t="shared" si="30"/>
        <v>0.30440799584434464</v>
      </c>
      <c r="I359" s="2">
        <f t="shared" si="31"/>
        <v>0.59805534574475394</v>
      </c>
      <c r="J359" s="2">
        <v>11.32</v>
      </c>
      <c r="K359" s="2">
        <v>5.65</v>
      </c>
      <c r="L359" s="2">
        <v>0</v>
      </c>
      <c r="M359" s="2">
        <v>3.19</v>
      </c>
      <c r="N359" s="2">
        <v>40.880000000000003</v>
      </c>
      <c r="O359" s="2">
        <v>8.93</v>
      </c>
      <c r="P359" s="2">
        <f t="shared" si="32"/>
        <v>-1.6430057947952605</v>
      </c>
      <c r="Q359" s="2">
        <f t="shared" si="33"/>
        <v>0.37962596010743554</v>
      </c>
      <c r="R359" s="2">
        <f t="shared" si="34"/>
        <v>-1.9474137906396052</v>
      </c>
      <c r="S359">
        <f t="shared" si="35"/>
        <v>-5.3973805459282085</v>
      </c>
      <c r="U359">
        <v>4.0849146597679384</v>
      </c>
    </row>
    <row r="360" spans="1:21" ht="13.9" x14ac:dyDescent="0.3">
      <c r="A360" s="2" t="s">
        <v>377</v>
      </c>
      <c r="B360" s="2">
        <v>3.63</v>
      </c>
      <c r="C360" s="2">
        <v>6.59</v>
      </c>
      <c r="D360" s="2">
        <v>4.37</v>
      </c>
      <c r="E360" s="2">
        <v>2.86</v>
      </c>
      <c r="F360" s="2">
        <v>4.41</v>
      </c>
      <c r="G360" s="2">
        <v>4.43</v>
      </c>
      <c r="H360" s="2">
        <f t="shared" si="30"/>
        <v>0.31847135344712407</v>
      </c>
      <c r="I360" s="2">
        <f t="shared" si="31"/>
        <v>0.40269852815251939</v>
      </c>
      <c r="J360" s="2">
        <v>0.18</v>
      </c>
      <c r="K360" s="2">
        <v>4.8099999999999996</v>
      </c>
      <c r="L360" s="2">
        <v>27.65</v>
      </c>
      <c r="M360" s="2">
        <v>4.12</v>
      </c>
      <c r="N360" s="2">
        <v>286.13</v>
      </c>
      <c r="O360" s="2">
        <v>2.17</v>
      </c>
      <c r="P360" s="2">
        <f t="shared" si="32"/>
        <v>-3.1633290250450048</v>
      </c>
      <c r="Q360" s="2">
        <f t="shared" si="33"/>
        <v>0.41229333965147053</v>
      </c>
      <c r="R360" s="2">
        <f t="shared" si="34"/>
        <v>-3.481800378492129</v>
      </c>
      <c r="S360">
        <f t="shared" si="35"/>
        <v>-9.9328526437471663</v>
      </c>
      <c r="U360">
        <v>5.0285691521967708</v>
      </c>
    </row>
    <row r="361" spans="1:21" ht="13.9" x14ac:dyDescent="0.3">
      <c r="A361" s="2" t="s">
        <v>378</v>
      </c>
      <c r="B361" s="2">
        <v>127.56</v>
      </c>
      <c r="C361" s="2">
        <v>216.39</v>
      </c>
      <c r="D361" s="2">
        <v>144.74</v>
      </c>
      <c r="E361" s="2">
        <v>169.2</v>
      </c>
      <c r="F361" s="2">
        <v>196.15</v>
      </c>
      <c r="G361" s="2">
        <v>213.93</v>
      </c>
      <c r="H361" s="2">
        <f t="shared" si="30"/>
        <v>-0.24534127272629019</v>
      </c>
      <c r="I361" s="2">
        <f t="shared" si="31"/>
        <v>0.37324277057280314</v>
      </c>
      <c r="J361" s="2">
        <v>90.73</v>
      </c>
      <c r="K361" s="2">
        <v>105.48</v>
      </c>
      <c r="L361" s="2">
        <v>198.58</v>
      </c>
      <c r="M361" s="2">
        <v>177.69</v>
      </c>
      <c r="N361" s="2">
        <v>245.26</v>
      </c>
      <c r="O361" s="2">
        <v>178.93</v>
      </c>
      <c r="P361" s="2">
        <f t="shared" si="32"/>
        <v>-0.60839043100792178</v>
      </c>
      <c r="Q361" s="2">
        <f t="shared" si="33"/>
        <v>0.1632756501198841</v>
      </c>
      <c r="R361" s="2">
        <f t="shared" si="34"/>
        <v>-0.36304915828163159</v>
      </c>
      <c r="S361">
        <f t="shared" si="35"/>
        <v>2.4797720507737795</v>
      </c>
      <c r="U361">
        <v>8.6249416366786509</v>
      </c>
    </row>
    <row r="362" spans="1:21" ht="13.9" x14ac:dyDescent="0.3">
      <c r="A362" s="2" t="s">
        <v>379</v>
      </c>
      <c r="B362" s="2">
        <v>563.97</v>
      </c>
      <c r="C362" s="2">
        <v>528.66</v>
      </c>
      <c r="D362" s="2">
        <v>417.29</v>
      </c>
      <c r="E362" s="2">
        <v>634.74</v>
      </c>
      <c r="F362" s="2">
        <v>687.92</v>
      </c>
      <c r="G362" s="2">
        <v>719.89</v>
      </c>
      <c r="H362" s="2">
        <f t="shared" si="30"/>
        <v>-0.43589928147957158</v>
      </c>
      <c r="I362" s="2">
        <f t="shared" si="31"/>
        <v>2.4852136954845418E-2</v>
      </c>
      <c r="J362" s="2">
        <v>407.63</v>
      </c>
      <c r="K362" s="2">
        <v>679.74</v>
      </c>
      <c r="L362" s="2">
        <v>454.98</v>
      </c>
      <c r="M362" s="2">
        <v>592.03</v>
      </c>
      <c r="N362" s="2">
        <v>81.75</v>
      </c>
      <c r="O362" s="2">
        <v>592.96</v>
      </c>
      <c r="P362" s="2">
        <f t="shared" si="32"/>
        <v>0.28400974819227631</v>
      </c>
      <c r="Q362" s="2">
        <f t="shared" si="33"/>
        <v>0.65368969359935936</v>
      </c>
      <c r="R362" s="2">
        <f t="shared" si="34"/>
        <v>0.71990902967184789</v>
      </c>
      <c r="S362">
        <f t="shared" si="35"/>
        <v>-0.65154901661746933</v>
      </c>
      <c r="U362">
        <v>10.590914472721446</v>
      </c>
    </row>
    <row r="363" spans="1:21" ht="13.9" x14ac:dyDescent="0.3">
      <c r="A363" s="2" t="s">
        <v>380</v>
      </c>
      <c r="B363" s="2">
        <v>336.87</v>
      </c>
      <c r="C363" s="2">
        <v>789.95</v>
      </c>
      <c r="D363" s="2">
        <v>227.95</v>
      </c>
      <c r="E363" s="2">
        <v>62.68</v>
      </c>
      <c r="F363" s="2">
        <v>139.59</v>
      </c>
      <c r="G363" s="2">
        <v>73.14</v>
      </c>
      <c r="H363" s="2">
        <f t="shared" si="30"/>
        <v>2.2983950962127544</v>
      </c>
      <c r="I363" s="2">
        <f t="shared" si="31"/>
        <v>0.10714941627010582</v>
      </c>
      <c r="J363" s="2">
        <v>227.62</v>
      </c>
      <c r="K363" s="2">
        <v>391.36</v>
      </c>
      <c r="L363" s="2">
        <v>1056.76</v>
      </c>
      <c r="M363" s="2">
        <v>56.38</v>
      </c>
      <c r="N363" s="2">
        <v>40.880000000000003</v>
      </c>
      <c r="O363" s="2">
        <v>193.95</v>
      </c>
      <c r="P363" s="2">
        <f t="shared" si="32"/>
        <v>2.5246665216716209</v>
      </c>
      <c r="Q363" s="2">
        <f t="shared" si="33"/>
        <v>0.14834906119181837</v>
      </c>
      <c r="R363" s="2">
        <f t="shared" si="34"/>
        <v>0.22627142545886647</v>
      </c>
      <c r="S363">
        <f t="shared" si="35"/>
        <v>1.0984475758026597</v>
      </c>
      <c r="U363">
        <v>10.710582609231235</v>
      </c>
    </row>
    <row r="364" spans="1:21" ht="13.9" x14ac:dyDescent="0.3">
      <c r="A364" s="2" t="s">
        <v>381</v>
      </c>
      <c r="B364" s="2">
        <v>177.33</v>
      </c>
      <c r="C364" s="2">
        <v>193.22</v>
      </c>
      <c r="D364" s="2">
        <v>216.48</v>
      </c>
      <c r="E364" s="2">
        <v>97.93</v>
      </c>
      <c r="F364" s="2">
        <v>111.65</v>
      </c>
      <c r="G364" s="2">
        <v>114.24</v>
      </c>
      <c r="H364" s="2">
        <f t="shared" si="30"/>
        <v>0.85824214059180015</v>
      </c>
      <c r="I364" s="2">
        <f t="shared" si="31"/>
        <v>2.133598156241175E-3</v>
      </c>
      <c r="J364" s="2">
        <v>155.58000000000001</v>
      </c>
      <c r="K364" s="2">
        <v>106.52</v>
      </c>
      <c r="L364" s="2">
        <v>171.44</v>
      </c>
      <c r="M364" s="2">
        <v>91.88</v>
      </c>
      <c r="N364" s="2">
        <v>449.64</v>
      </c>
      <c r="O364" s="2">
        <v>108.68</v>
      </c>
      <c r="P364" s="2">
        <f t="shared" si="32"/>
        <v>-0.58471844807277018</v>
      </c>
      <c r="Q364" s="2">
        <f t="shared" si="33"/>
        <v>0.57415725891681979</v>
      </c>
      <c r="R364" s="2">
        <f t="shared" si="34"/>
        <v>-1.4429605886645702</v>
      </c>
      <c r="S364">
        <f t="shared" si="35"/>
        <v>-0.68129776017474286</v>
      </c>
      <c r="U364">
        <v>8.7600212977302228</v>
      </c>
    </row>
    <row r="365" spans="1:21" ht="13.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0.5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>
        <f t="shared" si="33"/>
        <v>0.37390096630005903</v>
      </c>
      <c r="R365" s="2" t="e">
        <f t="shared" si="34"/>
        <v>#DIV/0!</v>
      </c>
      <c r="S365" t="e">
        <f t="shared" si="35"/>
        <v>#DIV/0!</v>
      </c>
      <c r="U365">
        <v>-1</v>
      </c>
    </row>
    <row r="366" spans="1:21" ht="13.9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 t="e">
        <f t="shared" si="30"/>
        <v>#NUM!</v>
      </c>
      <c r="I366" s="2">
        <f t="shared" si="31"/>
        <v>0.11726685761111091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2.17</v>
      </c>
      <c r="P366" s="2" t="e">
        <f t="shared" si="32"/>
        <v>#NUM!</v>
      </c>
      <c r="Q366" s="2">
        <f t="shared" si="33"/>
        <v>0.37390096630005903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ht="13.9" x14ac:dyDescent="0.3">
      <c r="A367" s="2" t="s">
        <v>384</v>
      </c>
      <c r="B367" s="2">
        <v>0</v>
      </c>
      <c r="C367" s="2">
        <v>6.34</v>
      </c>
      <c r="D367" s="2">
        <v>0</v>
      </c>
      <c r="E367" s="2">
        <v>3.36</v>
      </c>
      <c r="F367" s="2">
        <v>3.88</v>
      </c>
      <c r="G367" s="2">
        <v>5.16</v>
      </c>
      <c r="H367" s="2">
        <f t="shared" si="30"/>
        <v>-0.96778537513483043</v>
      </c>
      <c r="I367" s="2">
        <f t="shared" si="31"/>
        <v>0.40656980401328652</v>
      </c>
      <c r="J367" s="2">
        <v>0</v>
      </c>
      <c r="K367" s="2">
        <v>0</v>
      </c>
      <c r="L367" s="2">
        <v>17.600000000000001</v>
      </c>
      <c r="M367" s="2">
        <v>4.32</v>
      </c>
      <c r="N367" s="2">
        <v>40.880000000000003</v>
      </c>
      <c r="O367" s="2">
        <v>3.38</v>
      </c>
      <c r="P367" s="2">
        <f t="shared" si="32"/>
        <v>-1.4647870611112055</v>
      </c>
      <c r="Q367" s="2">
        <f t="shared" si="33"/>
        <v>0.49201616950164512</v>
      </c>
      <c r="R367" s="2">
        <f t="shared" si="34"/>
        <v>-0.49700168597637506</v>
      </c>
      <c r="S367">
        <f t="shared" si="35"/>
        <v>1.5135453570034922</v>
      </c>
      <c r="U367">
        <v>4.1375035237499356</v>
      </c>
    </row>
    <row r="368" spans="1:21" ht="13.9" x14ac:dyDescent="0.3">
      <c r="A368" s="2" t="s">
        <v>385</v>
      </c>
      <c r="B368" s="2">
        <v>6.59</v>
      </c>
      <c r="C368" s="2">
        <v>0.24</v>
      </c>
      <c r="D368" s="2">
        <v>13.65</v>
      </c>
      <c r="E368" s="2">
        <v>26.55</v>
      </c>
      <c r="F368" s="2">
        <v>29.55</v>
      </c>
      <c r="G368" s="2">
        <v>38.89</v>
      </c>
      <c r="H368" s="2">
        <f t="shared" si="30"/>
        <v>-2.2135599274764584</v>
      </c>
      <c r="I368" s="2">
        <f t="shared" si="31"/>
        <v>9.8251124559513101E-3</v>
      </c>
      <c r="J368" s="2">
        <v>11.5</v>
      </c>
      <c r="K368" s="2">
        <v>15.49</v>
      </c>
      <c r="L368" s="2">
        <v>0</v>
      </c>
      <c r="M368" s="2">
        <v>42.6</v>
      </c>
      <c r="N368" s="2">
        <v>0</v>
      </c>
      <c r="O368" s="2">
        <v>31.54</v>
      </c>
      <c r="P368" s="2">
        <f t="shared" si="32"/>
        <v>-1.457827138352304</v>
      </c>
      <c r="Q368" s="2">
        <f t="shared" si="33"/>
        <v>0.31156718024672908</v>
      </c>
      <c r="R368" s="2">
        <f t="shared" si="34"/>
        <v>0.75573278912415431</v>
      </c>
      <c r="S368">
        <f t="shared" si="35"/>
        <v>0.65858941529280479</v>
      </c>
      <c r="U368">
        <v>4.754353071692127</v>
      </c>
    </row>
    <row r="369" spans="1:21" ht="13.9" x14ac:dyDescent="0.3">
      <c r="A369" s="2" t="s">
        <v>386</v>
      </c>
      <c r="B369" s="2">
        <v>2.31</v>
      </c>
      <c r="C369" s="2">
        <v>0.73</v>
      </c>
      <c r="D369" s="2">
        <v>10.74</v>
      </c>
      <c r="E369" s="2">
        <v>3.95</v>
      </c>
      <c r="F369" s="2">
        <v>3.74</v>
      </c>
      <c r="G369" s="2">
        <v>1.79</v>
      </c>
      <c r="H369" s="2">
        <f t="shared" si="30"/>
        <v>0.53961692380603232</v>
      </c>
      <c r="I369" s="2">
        <f t="shared" si="31"/>
        <v>0.67573930661578718</v>
      </c>
      <c r="J369" s="2">
        <v>7.37</v>
      </c>
      <c r="K369" s="2">
        <v>14.23</v>
      </c>
      <c r="L369" s="2">
        <v>1.01</v>
      </c>
      <c r="M369" s="2">
        <v>2.06</v>
      </c>
      <c r="N369" s="2">
        <v>0</v>
      </c>
      <c r="O369" s="2">
        <v>6.09</v>
      </c>
      <c r="P369" s="2">
        <f t="shared" si="32"/>
        <v>1.4720890276330894</v>
      </c>
      <c r="Q369" s="2">
        <f t="shared" si="33"/>
        <v>0.31664253772273421</v>
      </c>
      <c r="R369" s="2">
        <f t="shared" si="34"/>
        <v>0.93247210382705703</v>
      </c>
      <c r="S369">
        <f t="shared" si="35"/>
        <v>2.7280260545761501</v>
      </c>
      <c r="U369">
        <v>4.4988890869768046</v>
      </c>
    </row>
    <row r="370" spans="1:21" ht="13.9" x14ac:dyDescent="0.3">
      <c r="A370" s="2" t="s">
        <v>387</v>
      </c>
      <c r="B370" s="2">
        <v>0</v>
      </c>
      <c r="C370" s="2">
        <v>0</v>
      </c>
      <c r="D370" s="2">
        <v>0</v>
      </c>
      <c r="E370" s="2">
        <v>1.48</v>
      </c>
      <c r="F370" s="2">
        <v>0.13</v>
      </c>
      <c r="G370" s="2">
        <v>1.58</v>
      </c>
      <c r="H370" s="2" t="e">
        <f t="shared" si="30"/>
        <v>#NUM!</v>
      </c>
      <c r="I370" s="2">
        <f t="shared" si="31"/>
        <v>8.5328671820094723E-2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0.68</v>
      </c>
      <c r="P370" s="2" t="e">
        <f t="shared" si="32"/>
        <v>#NUM!</v>
      </c>
      <c r="Q370" s="2">
        <f t="shared" si="33"/>
        <v>0.37390096630005903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ht="13.9" x14ac:dyDescent="0.3">
      <c r="A371" s="2" t="s">
        <v>388</v>
      </c>
      <c r="B371" s="2">
        <v>0.33</v>
      </c>
      <c r="C371" s="2">
        <v>12.44</v>
      </c>
      <c r="D371" s="2">
        <v>3.1</v>
      </c>
      <c r="E371" s="2">
        <v>20.73</v>
      </c>
      <c r="F371" s="2">
        <v>12.57</v>
      </c>
      <c r="G371" s="2">
        <v>12.22</v>
      </c>
      <c r="H371" s="2">
        <f t="shared" si="30"/>
        <v>-1.5201984294713999</v>
      </c>
      <c r="I371" s="2">
        <f t="shared" si="31"/>
        <v>9.8081676062576409E-2</v>
      </c>
      <c r="J371" s="2">
        <v>4.8499999999999996</v>
      </c>
      <c r="K371" s="2">
        <v>3.98</v>
      </c>
      <c r="L371" s="2">
        <v>25.14</v>
      </c>
      <c r="M371" s="2">
        <v>15.33</v>
      </c>
      <c r="N371" s="2">
        <v>0</v>
      </c>
      <c r="O371" s="2">
        <v>8.26</v>
      </c>
      <c r="P371" s="2">
        <f t="shared" si="32"/>
        <v>0.52608579963973823</v>
      </c>
      <c r="Q371" s="2">
        <f t="shared" si="33"/>
        <v>0.69511271963005361</v>
      </c>
      <c r="R371" s="2">
        <f t="shared" si="34"/>
        <v>2.0462842291111381</v>
      </c>
      <c r="S371">
        <f t="shared" si="35"/>
        <v>-0.3460639015543962</v>
      </c>
      <c r="U371">
        <v>5.0861893131044766</v>
      </c>
    </row>
    <row r="372" spans="1:21" ht="13.9" x14ac:dyDescent="0.3">
      <c r="A372" s="2" t="s">
        <v>389</v>
      </c>
      <c r="B372" s="2">
        <v>57.35</v>
      </c>
      <c r="C372" s="2">
        <v>157.11000000000001</v>
      </c>
      <c r="D372" s="2">
        <v>147.29</v>
      </c>
      <c r="E372" s="2">
        <v>223.39</v>
      </c>
      <c r="F372" s="2">
        <v>384.41</v>
      </c>
      <c r="G372" s="2">
        <v>170.83</v>
      </c>
      <c r="H372" s="2">
        <f t="shared" si="30"/>
        <v>-1.105944914901517</v>
      </c>
      <c r="I372" s="2">
        <f t="shared" si="31"/>
        <v>0.1245148376999551</v>
      </c>
      <c r="J372" s="2">
        <v>72.22</v>
      </c>
      <c r="K372" s="2">
        <v>137.71</v>
      </c>
      <c r="L372" s="2">
        <v>235.28</v>
      </c>
      <c r="M372" s="2">
        <v>178.41</v>
      </c>
      <c r="N372" s="2">
        <v>2043.82</v>
      </c>
      <c r="O372" s="2">
        <v>397.25</v>
      </c>
      <c r="P372" s="2">
        <f t="shared" si="32"/>
        <v>-2.5567225439460128</v>
      </c>
      <c r="Q372" s="2">
        <f t="shared" si="33"/>
        <v>0.28707308022788863</v>
      </c>
      <c r="R372" s="2">
        <f t="shared" si="34"/>
        <v>-1.4507776290444958</v>
      </c>
      <c r="S372">
        <f t="shared" si="35"/>
        <v>2.3117991768818662</v>
      </c>
      <c r="U372">
        <v>8.7983421876396459</v>
      </c>
    </row>
    <row r="373" spans="1:21" ht="13.9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0.21</v>
      </c>
      <c r="H373" s="2" t="e">
        <f t="shared" si="30"/>
        <v>#NUM!</v>
      </c>
      <c r="I373" s="2">
        <f t="shared" si="31"/>
        <v>0.37390096630005903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f t="shared" si="32"/>
        <v>#DIV/0!</v>
      </c>
      <c r="Q373" s="2" t="e">
        <f t="shared" si="33"/>
        <v>#DIV/0!</v>
      </c>
      <c r="R373" s="2" t="e">
        <f t="shared" si="34"/>
        <v>#DIV/0!</v>
      </c>
      <c r="S373" t="e">
        <f t="shared" si="35"/>
        <v>#DIV/0!</v>
      </c>
      <c r="U373" t="e">
        <v>#NUM!</v>
      </c>
    </row>
    <row r="374" spans="1:21" ht="13.9" x14ac:dyDescent="0.3">
      <c r="A374" s="2" t="s">
        <v>391</v>
      </c>
      <c r="B374" s="2">
        <v>2.31</v>
      </c>
      <c r="C374" s="2">
        <v>7.56</v>
      </c>
      <c r="D374" s="2">
        <v>1.46</v>
      </c>
      <c r="E374" s="2">
        <v>10.46</v>
      </c>
      <c r="F374" s="2">
        <v>14.84</v>
      </c>
      <c r="G374" s="2">
        <v>10.43</v>
      </c>
      <c r="H374" s="2">
        <f t="shared" si="30"/>
        <v>-1.6569880527647549</v>
      </c>
      <c r="I374" s="2">
        <f t="shared" si="31"/>
        <v>2.7744795767106725E-2</v>
      </c>
      <c r="J374" s="2">
        <v>1.62</v>
      </c>
      <c r="K374" s="2">
        <v>9</v>
      </c>
      <c r="L374" s="2">
        <v>4.0199999999999996</v>
      </c>
      <c r="M374" s="2">
        <v>10.49</v>
      </c>
      <c r="N374" s="2">
        <v>490.52</v>
      </c>
      <c r="O374" s="2">
        <v>24.23</v>
      </c>
      <c r="P374" s="2">
        <f t="shared" si="32"/>
        <v>-5.1649893310761614</v>
      </c>
      <c r="Q374" s="2">
        <f t="shared" si="33"/>
        <v>0.34143387252390678</v>
      </c>
      <c r="R374" s="2">
        <f t="shared" si="34"/>
        <v>-3.5080012783114065</v>
      </c>
      <c r="S374">
        <f t="shared" si="35"/>
        <v>3.1170950945953759</v>
      </c>
      <c r="U374">
        <v>3.8718436485093184</v>
      </c>
    </row>
    <row r="375" spans="1:21" ht="13.9" x14ac:dyDescent="0.3">
      <c r="A375" s="2" t="s">
        <v>392</v>
      </c>
      <c r="B375" s="2">
        <v>63.62</v>
      </c>
      <c r="C375" s="2">
        <v>83.43</v>
      </c>
      <c r="D375" s="2">
        <v>45.7</v>
      </c>
      <c r="E375" s="2">
        <v>81.34</v>
      </c>
      <c r="F375" s="2">
        <v>118.06</v>
      </c>
      <c r="G375" s="2">
        <v>73.56</v>
      </c>
      <c r="H375" s="2">
        <f t="shared" si="30"/>
        <v>-0.50195869162853146</v>
      </c>
      <c r="I375" s="2">
        <f t="shared" si="31"/>
        <v>0.20173111722693252</v>
      </c>
      <c r="J375" s="2">
        <v>48.87</v>
      </c>
      <c r="K375" s="2">
        <v>130.59</v>
      </c>
      <c r="L375" s="2">
        <v>164.9</v>
      </c>
      <c r="M375" s="2">
        <v>88.79</v>
      </c>
      <c r="N375" s="2">
        <v>40.880000000000003</v>
      </c>
      <c r="O375" s="2">
        <v>145.63</v>
      </c>
      <c r="P375" s="2">
        <f t="shared" si="32"/>
        <v>0.32291296267032171</v>
      </c>
      <c r="Q375" s="2">
        <f t="shared" si="33"/>
        <v>0.64189710436079417</v>
      </c>
      <c r="R375" s="2">
        <f t="shared" si="34"/>
        <v>0.82487165429885323</v>
      </c>
      <c r="S375">
        <f t="shared" si="35"/>
        <v>-0.64330584977556204</v>
      </c>
      <c r="U375">
        <v>8.4277737623785214</v>
      </c>
    </row>
    <row r="376" spans="1:21" ht="13.9" x14ac:dyDescent="0.3">
      <c r="A376" s="2" t="s">
        <v>393</v>
      </c>
      <c r="B376" s="2">
        <v>9.89</v>
      </c>
      <c r="C376" s="2">
        <v>46.84</v>
      </c>
      <c r="D376" s="2">
        <v>0</v>
      </c>
      <c r="E376" s="2">
        <v>22.01</v>
      </c>
      <c r="F376" s="2">
        <v>25.54</v>
      </c>
      <c r="G376" s="2">
        <v>26.98</v>
      </c>
      <c r="H376" s="2">
        <f t="shared" si="30"/>
        <v>-0.39370939565053259</v>
      </c>
      <c r="I376" s="2">
        <f t="shared" si="31"/>
        <v>0.70007872701494311</v>
      </c>
      <c r="J376" s="2">
        <v>6.29</v>
      </c>
      <c r="K376" s="2">
        <v>12.98</v>
      </c>
      <c r="L376" s="2">
        <v>31.17</v>
      </c>
      <c r="M376" s="2">
        <v>11.73</v>
      </c>
      <c r="N376" s="2">
        <v>0</v>
      </c>
      <c r="O376" s="2">
        <v>54.41</v>
      </c>
      <c r="P376" s="2">
        <f t="shared" si="32"/>
        <v>-0.39095476986289507</v>
      </c>
      <c r="Q376" s="2">
        <f t="shared" si="33"/>
        <v>0.78714611113977351</v>
      </c>
      <c r="R376" s="2">
        <f t="shared" si="34"/>
        <v>2.7546257876375213E-3</v>
      </c>
      <c r="S376">
        <f t="shared" si="35"/>
        <v>0.99300340347965022</v>
      </c>
      <c r="U376">
        <v>5.6564963705534952</v>
      </c>
    </row>
    <row r="377" spans="1:21" ht="13.9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2.67</v>
      </c>
      <c r="F377" s="2">
        <v>2.54</v>
      </c>
      <c r="G377" s="2">
        <v>1.69</v>
      </c>
      <c r="H377" s="2" t="e">
        <f t="shared" si="30"/>
        <v>#NUM!</v>
      </c>
      <c r="I377" s="2">
        <f t="shared" si="31"/>
        <v>1.7041024560816331E-3</v>
      </c>
      <c r="J377" s="2">
        <v>0</v>
      </c>
      <c r="K377" s="2">
        <v>2.72</v>
      </c>
      <c r="L377" s="2">
        <v>0</v>
      </c>
      <c r="M377" s="2">
        <v>1.44</v>
      </c>
      <c r="N377" s="2">
        <v>0</v>
      </c>
      <c r="O377" s="2">
        <v>0.95</v>
      </c>
      <c r="P377" s="2">
        <f t="shared" si="32"/>
        <v>0.18659603326959126</v>
      </c>
      <c r="Q377" s="2">
        <f t="shared" si="33"/>
        <v>0.91773686195203663</v>
      </c>
      <c r="R377" s="2" t="e">
        <f t="shared" si="34"/>
        <v>#NUM!</v>
      </c>
      <c r="S377" t="e">
        <f t="shared" si="35"/>
        <v>#NUM!</v>
      </c>
      <c r="U377">
        <v>1.4436066514756147</v>
      </c>
    </row>
    <row r="378" spans="1:21" ht="13.9" x14ac:dyDescent="0.3">
      <c r="A378" s="2" t="s">
        <v>395</v>
      </c>
      <c r="B378" s="2">
        <v>0</v>
      </c>
      <c r="C378" s="2">
        <v>0</v>
      </c>
      <c r="D378" s="2">
        <v>0</v>
      </c>
      <c r="E378" s="2">
        <v>0.1</v>
      </c>
      <c r="F378" s="2">
        <v>0.13</v>
      </c>
      <c r="G378" s="2">
        <v>0</v>
      </c>
      <c r="H378" s="2" t="e">
        <f t="shared" si="30"/>
        <v>#NUM!</v>
      </c>
      <c r="I378" s="2">
        <f t="shared" si="31"/>
        <v>0.12283946337339596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f t="shared" si="32"/>
        <v>#DIV/0!</v>
      </c>
      <c r="Q378" s="2" t="e">
        <f t="shared" si="33"/>
        <v>#DIV/0!</v>
      </c>
      <c r="R378" s="2" t="e">
        <f t="shared" si="34"/>
        <v>#DIV/0!</v>
      </c>
      <c r="S378" t="e">
        <f t="shared" si="35"/>
        <v>#DIV/0!</v>
      </c>
      <c r="U378" t="e">
        <v>#NUM!</v>
      </c>
    </row>
    <row r="379" spans="1:21" ht="13.9" x14ac:dyDescent="0.3">
      <c r="A379" s="2" t="s">
        <v>396</v>
      </c>
      <c r="B379" s="2">
        <v>0</v>
      </c>
      <c r="C379" s="2">
        <v>0</v>
      </c>
      <c r="D379" s="2">
        <v>0</v>
      </c>
      <c r="E379" s="2">
        <v>0.89</v>
      </c>
      <c r="F379" s="2">
        <v>1.34</v>
      </c>
      <c r="G379" s="2">
        <v>1.05</v>
      </c>
      <c r="H379" s="2" t="e">
        <f t="shared" si="30"/>
        <v>#NUM!</v>
      </c>
      <c r="I379" s="2">
        <f t="shared" si="31"/>
        <v>1.1496823682171778E-3</v>
      </c>
      <c r="J379" s="2">
        <v>0</v>
      </c>
      <c r="K379" s="2">
        <v>0</v>
      </c>
      <c r="L379" s="2">
        <v>0</v>
      </c>
      <c r="M379" s="2">
        <v>0</v>
      </c>
      <c r="N379" s="2">
        <v>408.76</v>
      </c>
      <c r="O379" s="2">
        <v>0.41</v>
      </c>
      <c r="P379" s="2" t="e">
        <f t="shared" si="32"/>
        <v>#NUM!</v>
      </c>
      <c r="Q379" s="2">
        <f t="shared" si="33"/>
        <v>0.3732553494844113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ht="13.9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 t="e">
        <f t="shared" si="31"/>
        <v>#DIV/0!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ht="13.9" x14ac:dyDescent="0.3">
      <c r="A381" s="2" t="s">
        <v>398</v>
      </c>
      <c r="B381" s="2">
        <v>0.33</v>
      </c>
      <c r="C381" s="2">
        <v>0</v>
      </c>
      <c r="D381" s="2">
        <v>8.19</v>
      </c>
      <c r="E381" s="2">
        <v>0</v>
      </c>
      <c r="F381" s="2">
        <v>0.53</v>
      </c>
      <c r="G381" s="2">
        <v>2</v>
      </c>
      <c r="H381" s="2">
        <f t="shared" si="30"/>
        <v>1.7517160455315282</v>
      </c>
      <c r="I381" s="2">
        <f t="shared" si="31"/>
        <v>0.50694988264520413</v>
      </c>
      <c r="J381" s="2">
        <v>0</v>
      </c>
      <c r="K381" s="2">
        <v>6.49</v>
      </c>
      <c r="L381" s="2">
        <v>0</v>
      </c>
      <c r="M381" s="2">
        <v>0</v>
      </c>
      <c r="N381" s="2">
        <v>0</v>
      </c>
      <c r="O381" s="2">
        <v>2.84</v>
      </c>
      <c r="P381" s="2">
        <f t="shared" si="32"/>
        <v>1.1923275484944567</v>
      </c>
      <c r="Q381" s="2">
        <f t="shared" si="33"/>
        <v>0.63355678613943223</v>
      </c>
      <c r="R381" s="2">
        <f t="shared" si="34"/>
        <v>-0.5593884970370715</v>
      </c>
      <c r="S381">
        <f t="shared" si="35"/>
        <v>0.68066257173129074</v>
      </c>
      <c r="U381">
        <v>2.6982184782244136</v>
      </c>
    </row>
    <row r="382" spans="1:21" ht="13.9" x14ac:dyDescent="0.3">
      <c r="A382" s="2" t="s">
        <v>399</v>
      </c>
      <c r="B382" s="2">
        <v>0</v>
      </c>
      <c r="C382" s="2">
        <v>0</v>
      </c>
      <c r="D382" s="2">
        <v>4.55</v>
      </c>
      <c r="E382" s="2">
        <v>0.3</v>
      </c>
      <c r="F382" s="2">
        <v>0</v>
      </c>
      <c r="G382" s="2">
        <v>0</v>
      </c>
      <c r="H382" s="2">
        <f t="shared" si="30"/>
        <v>3.9228321394775398</v>
      </c>
      <c r="I382" s="2">
        <f t="shared" si="31"/>
        <v>0.40407663533440658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f t="shared" si="32"/>
        <v>#DIV/0!</v>
      </c>
      <c r="Q382" s="2" t="e">
        <f t="shared" si="33"/>
        <v>#DIV/0!</v>
      </c>
      <c r="R382" s="2" t="e">
        <f t="shared" si="34"/>
        <v>#DIV/0!</v>
      </c>
      <c r="S382" t="e">
        <f t="shared" si="35"/>
        <v>#DIV/0!</v>
      </c>
      <c r="U382" t="e">
        <v>#NUM!</v>
      </c>
    </row>
    <row r="383" spans="1:21" ht="13.9" x14ac:dyDescent="0.3">
      <c r="A383" s="2" t="s">
        <v>400</v>
      </c>
      <c r="B383" s="2">
        <v>0.33</v>
      </c>
      <c r="C383" s="2">
        <v>0</v>
      </c>
      <c r="D383" s="2">
        <v>8.19</v>
      </c>
      <c r="E383" s="2">
        <v>0</v>
      </c>
      <c r="F383" s="2">
        <v>0.53</v>
      </c>
      <c r="G383" s="2">
        <v>2</v>
      </c>
      <c r="H383" s="2">
        <f t="shared" si="30"/>
        <v>1.7517160455315282</v>
      </c>
      <c r="I383" s="2">
        <f t="shared" si="31"/>
        <v>0.50694988264520413</v>
      </c>
      <c r="J383" s="2">
        <v>0</v>
      </c>
      <c r="K383" s="2">
        <v>6.49</v>
      </c>
      <c r="L383" s="2">
        <v>0</v>
      </c>
      <c r="M383" s="2">
        <v>0</v>
      </c>
      <c r="N383" s="2">
        <v>0</v>
      </c>
      <c r="O383" s="2">
        <v>2.84</v>
      </c>
      <c r="P383" s="2">
        <f t="shared" si="32"/>
        <v>1.1923275484944567</v>
      </c>
      <c r="Q383" s="2">
        <f t="shared" si="33"/>
        <v>0.63355678613943223</v>
      </c>
      <c r="R383" s="2">
        <f t="shared" si="34"/>
        <v>-0.5593884970370715</v>
      </c>
      <c r="S383">
        <f t="shared" si="35"/>
        <v>0.68066257173129074</v>
      </c>
      <c r="U383">
        <v>2.6982184782244136</v>
      </c>
    </row>
    <row r="384" spans="1:21" ht="13.9" x14ac:dyDescent="0.3">
      <c r="A384" s="2" t="s">
        <v>401</v>
      </c>
      <c r="B384" s="2">
        <v>2.64</v>
      </c>
      <c r="C384" s="2">
        <v>0</v>
      </c>
      <c r="D384" s="2">
        <v>0</v>
      </c>
      <c r="E384" s="2">
        <v>0.59</v>
      </c>
      <c r="F384" s="2">
        <v>1.47</v>
      </c>
      <c r="G384" s="2">
        <v>0.42</v>
      </c>
      <c r="H384" s="2">
        <f t="shared" si="30"/>
        <v>9.0197808971578447E-2</v>
      </c>
      <c r="I384" s="2">
        <f t="shared" si="31"/>
        <v>0.95739526094456839</v>
      </c>
      <c r="J384" s="2">
        <v>2.16</v>
      </c>
      <c r="K384" s="2">
        <v>0.84</v>
      </c>
      <c r="L384" s="2">
        <v>0</v>
      </c>
      <c r="M384" s="2">
        <v>0.82</v>
      </c>
      <c r="N384" s="2">
        <v>0</v>
      </c>
      <c r="O384" s="2">
        <v>1.89</v>
      </c>
      <c r="P384" s="2">
        <f t="shared" si="32"/>
        <v>0.14666964914200947</v>
      </c>
      <c r="Q384" s="2">
        <f t="shared" si="33"/>
        <v>0.91325338248676702</v>
      </c>
      <c r="R384" s="2">
        <f t="shared" si="34"/>
        <v>5.6471840170431026E-2</v>
      </c>
      <c r="S384">
        <f t="shared" si="35"/>
        <v>1.6260888242665124</v>
      </c>
      <c r="U384">
        <v>1.5849625007211563</v>
      </c>
    </row>
    <row r="385" spans="1:21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 t="e">
        <f t="shared" si="30"/>
        <v>#NUM!</v>
      </c>
      <c r="I385" s="2">
        <f t="shared" si="31"/>
        <v>0.37390096630005903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0.54</v>
      </c>
      <c r="P385" s="2" t="e">
        <f t="shared" si="32"/>
        <v>#NUM!</v>
      </c>
      <c r="Q385" s="2">
        <f t="shared" si="33"/>
        <v>0.14438407235636969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ht="13.9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1.79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0.37390096630005903</v>
      </c>
      <c r="J386" s="2">
        <v>0</v>
      </c>
      <c r="K386" s="2">
        <v>0</v>
      </c>
      <c r="L386" s="2">
        <v>0</v>
      </c>
      <c r="M386" s="2">
        <v>1.1299999999999999</v>
      </c>
      <c r="N386" s="2">
        <v>0</v>
      </c>
      <c r="O386" s="2">
        <v>0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ht="13.9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0.2</v>
      </c>
      <c r="F387" s="2">
        <v>0</v>
      </c>
      <c r="G387" s="2">
        <v>0.53</v>
      </c>
      <c r="H387" s="2" t="e">
        <f t="shared" si="36"/>
        <v>#NUM!</v>
      </c>
      <c r="I387" s="2">
        <f t="shared" si="37"/>
        <v>0.19043834507523322</v>
      </c>
      <c r="J387" s="2">
        <v>0</v>
      </c>
      <c r="K387" s="2">
        <v>0</v>
      </c>
      <c r="L387" s="2">
        <v>0</v>
      </c>
      <c r="M387" s="2">
        <v>1.75</v>
      </c>
      <c r="N387" s="2">
        <v>0</v>
      </c>
      <c r="O387" s="2">
        <v>2.84</v>
      </c>
      <c r="P387" s="2" t="e">
        <f t="shared" si="38"/>
        <v>#NUM!</v>
      </c>
      <c r="Q387" s="2">
        <f t="shared" si="39"/>
        <v>0.13804562066976742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ht="13.9" x14ac:dyDescent="0.3">
      <c r="A388" s="2" t="s">
        <v>405</v>
      </c>
      <c r="B388" s="2">
        <v>4.6100000000000003</v>
      </c>
      <c r="C388" s="2">
        <v>0</v>
      </c>
      <c r="D388" s="2">
        <v>3.28</v>
      </c>
      <c r="E388" s="2">
        <v>0.3</v>
      </c>
      <c r="F388" s="2">
        <v>1.07</v>
      </c>
      <c r="G388" s="2">
        <v>0.32</v>
      </c>
      <c r="H388" s="2">
        <f t="shared" si="36"/>
        <v>2.2230020537312742</v>
      </c>
      <c r="I388" s="2">
        <f t="shared" si="37"/>
        <v>0.21210609520514659</v>
      </c>
      <c r="J388" s="2">
        <v>4.13</v>
      </c>
      <c r="K388" s="2">
        <v>0.21</v>
      </c>
      <c r="L388" s="2">
        <v>2.0099999999999998</v>
      </c>
      <c r="M388" s="2">
        <v>1.95</v>
      </c>
      <c r="N388" s="2">
        <v>0</v>
      </c>
      <c r="O388" s="2">
        <v>0.54</v>
      </c>
      <c r="P388" s="2">
        <f t="shared" si="38"/>
        <v>1.3506108495914471</v>
      </c>
      <c r="Q388" s="2">
        <f t="shared" si="39"/>
        <v>0.36941568094888533</v>
      </c>
      <c r="R388" s="2">
        <f t="shared" si="40"/>
        <v>-0.87239120413982718</v>
      </c>
      <c r="S388">
        <f t="shared" ref="S388:S451" si="41">P388/H388</f>
        <v>0.60756167423438401</v>
      </c>
      <c r="U388">
        <v>2.6667565918848033</v>
      </c>
    </row>
    <row r="389" spans="1:21" ht="13.9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36"/>
        <v>#DIV/0!</v>
      </c>
      <c r="I389" s="2" t="e">
        <f t="shared" si="37"/>
        <v>#DIV/0!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ht="13.9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2.17</v>
      </c>
      <c r="F390" s="2">
        <v>1.74</v>
      </c>
      <c r="G390" s="2">
        <v>2</v>
      </c>
      <c r="H390" s="2" t="e">
        <f t="shared" si="36"/>
        <v>#NUM!</v>
      </c>
      <c r="I390" s="2">
        <f t="shared" si="37"/>
        <v>9.4801581259385231E-5</v>
      </c>
      <c r="J390" s="2">
        <v>0</v>
      </c>
      <c r="K390" s="2">
        <v>0</v>
      </c>
      <c r="L390" s="2">
        <v>0</v>
      </c>
      <c r="M390" s="2">
        <v>0.72</v>
      </c>
      <c r="N390" s="2">
        <v>0</v>
      </c>
      <c r="O390" s="2">
        <v>2.71</v>
      </c>
      <c r="P390" s="2" t="e">
        <f t="shared" si="38"/>
        <v>#NUM!</v>
      </c>
      <c r="Q390" s="2">
        <f t="shared" si="39"/>
        <v>0.23114195605244375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ht="13.9" x14ac:dyDescent="0.3">
      <c r="A391" s="2" t="s">
        <v>408</v>
      </c>
      <c r="B391" s="2">
        <v>0</v>
      </c>
      <c r="C391" s="2">
        <v>0</v>
      </c>
      <c r="D391" s="2">
        <v>4.01</v>
      </c>
      <c r="E391" s="2">
        <v>0</v>
      </c>
      <c r="F391" s="2">
        <v>0.53</v>
      </c>
      <c r="G391" s="2">
        <v>0.74</v>
      </c>
      <c r="H391" s="2">
        <f t="shared" si="36"/>
        <v>1.6587737396827544</v>
      </c>
      <c r="I391" s="2">
        <f t="shared" si="37"/>
        <v>0.53713670503885491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 t="e">
        <f t="shared" si="38"/>
        <v>#DIV/0!</v>
      </c>
      <c r="Q391" s="2" t="e">
        <f t="shared" si="39"/>
        <v>#DIV/0!</v>
      </c>
      <c r="R391" s="2" t="e">
        <f t="shared" si="40"/>
        <v>#DIV/0!</v>
      </c>
      <c r="S391" t="e">
        <f t="shared" si="41"/>
        <v>#DIV/0!</v>
      </c>
      <c r="U391" t="e">
        <v>#NUM!</v>
      </c>
    </row>
    <row r="392" spans="1:21" ht="13.9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3.16</v>
      </c>
      <c r="F392" s="2">
        <v>1.34</v>
      </c>
      <c r="G392" s="2">
        <v>1.05</v>
      </c>
      <c r="H392" s="2" t="e">
        <f t="shared" si="36"/>
        <v>#NUM!</v>
      </c>
      <c r="I392" s="2">
        <f t="shared" si="37"/>
        <v>4.8730175311204223E-2</v>
      </c>
      <c r="J392" s="2">
        <v>0</v>
      </c>
      <c r="K392" s="2">
        <v>0</v>
      </c>
      <c r="L392" s="2">
        <v>0</v>
      </c>
      <c r="M392" s="2">
        <v>1.23</v>
      </c>
      <c r="N392" s="2">
        <v>0</v>
      </c>
      <c r="O392" s="2">
        <v>0.54</v>
      </c>
      <c r="P392" s="2" t="e">
        <f t="shared" si="38"/>
        <v>#NUM!</v>
      </c>
      <c r="Q392" s="2">
        <f t="shared" si="39"/>
        <v>0.17275077445252598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ht="13.9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0.27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 t="e">
        <f t="shared" si="38"/>
        <v>#DIV/0!</v>
      </c>
      <c r="Q393" s="2" t="e">
        <f t="shared" si="39"/>
        <v>#DIV/0!</v>
      </c>
      <c r="R393" s="2" t="e">
        <f t="shared" si="40"/>
        <v>#DIV/0!</v>
      </c>
      <c r="S393" t="e">
        <f t="shared" si="41"/>
        <v>#DIV/0!</v>
      </c>
      <c r="U393" t="e">
        <v>#NUM!</v>
      </c>
    </row>
    <row r="394" spans="1:21" ht="13.9" x14ac:dyDescent="0.3">
      <c r="A394" s="2" t="s">
        <v>411</v>
      </c>
      <c r="B394" s="2">
        <v>0.33</v>
      </c>
      <c r="C394" s="2">
        <v>5.61</v>
      </c>
      <c r="D394" s="2">
        <v>0</v>
      </c>
      <c r="E394" s="2">
        <v>1.38</v>
      </c>
      <c r="F394" s="2">
        <v>0.8</v>
      </c>
      <c r="G394" s="2">
        <v>1.1599999999999999</v>
      </c>
      <c r="H394" s="2">
        <f t="shared" si="36"/>
        <v>0.83061482832671374</v>
      </c>
      <c r="I394" s="2">
        <f t="shared" si="37"/>
        <v>0.65969337823989727</v>
      </c>
      <c r="J394" s="2">
        <v>0</v>
      </c>
      <c r="K394" s="2">
        <v>0</v>
      </c>
      <c r="L394" s="2">
        <v>0</v>
      </c>
      <c r="M394" s="2">
        <v>1.23</v>
      </c>
      <c r="N394" s="2">
        <v>0</v>
      </c>
      <c r="O394" s="2">
        <v>1.89</v>
      </c>
      <c r="P394" s="2" t="e">
        <f t="shared" si="38"/>
        <v>#NUM!</v>
      </c>
      <c r="Q394" s="2">
        <f t="shared" si="39"/>
        <v>0.13360242991684559</v>
      </c>
      <c r="R394" s="2" t="e">
        <f t="shared" si="40"/>
        <v>#NUM!</v>
      </c>
      <c r="S394" t="e">
        <f t="shared" si="41"/>
        <v>#NUM!</v>
      </c>
      <c r="U394" t="e">
        <v>#NUM!</v>
      </c>
    </row>
    <row r="395" spans="1:21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0.41</v>
      </c>
      <c r="N395" s="2">
        <v>0</v>
      </c>
      <c r="O395" s="2">
        <v>0</v>
      </c>
      <c r="P395" s="2" t="e">
        <f t="shared" si="38"/>
        <v>#NUM!</v>
      </c>
      <c r="Q395" s="2">
        <f t="shared" si="39"/>
        <v>0.37390096630005903</v>
      </c>
      <c r="R395" s="2" t="e">
        <f t="shared" si="40"/>
        <v>#NUM!</v>
      </c>
      <c r="S395" t="e">
        <f t="shared" si="41"/>
        <v>#NUM!</v>
      </c>
      <c r="U395" t="e">
        <v>#NUM!</v>
      </c>
    </row>
    <row r="396" spans="1:21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 t="e">
        <f t="shared" si="36"/>
        <v>#NUM!</v>
      </c>
      <c r="I396" s="2">
        <f t="shared" si="37"/>
        <v>0.28219207781394706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0.27</v>
      </c>
      <c r="P396" s="2" t="e">
        <f t="shared" si="38"/>
        <v>#NUM!</v>
      </c>
      <c r="Q396" s="2">
        <f t="shared" si="39"/>
        <v>0.37390096630005903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ht="13.9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 t="e">
        <f t="shared" si="37"/>
        <v>#DIV/0!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 t="e">
        <f t="shared" si="36"/>
        <v>#NUM!</v>
      </c>
      <c r="I398" s="2">
        <f t="shared" si="37"/>
        <v>0.37390096630005903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f t="shared" si="38"/>
        <v>#DIV/0!</v>
      </c>
      <c r="Q398" s="2" t="e">
        <f t="shared" si="39"/>
        <v>#DIV/0!</v>
      </c>
      <c r="R398" s="2" t="e">
        <f t="shared" si="40"/>
        <v>#DIV/0!</v>
      </c>
      <c r="S398" t="e">
        <f t="shared" si="41"/>
        <v>#DIV/0!</v>
      </c>
      <c r="U398" t="e">
        <v>#NUM!</v>
      </c>
    </row>
    <row r="399" spans="1:21" ht="13.9" x14ac:dyDescent="0.3">
      <c r="A399" s="2" t="s">
        <v>416</v>
      </c>
      <c r="B399" s="2">
        <v>22.74</v>
      </c>
      <c r="C399" s="2">
        <v>0</v>
      </c>
      <c r="D399" s="2">
        <v>8.92</v>
      </c>
      <c r="E399" s="2">
        <v>6.52</v>
      </c>
      <c r="F399" s="2">
        <v>1.74</v>
      </c>
      <c r="G399" s="2">
        <v>6.32</v>
      </c>
      <c r="H399" s="2">
        <f t="shared" si="36"/>
        <v>1.118670535810244</v>
      </c>
      <c r="I399" s="2">
        <f t="shared" si="37"/>
        <v>0.44935830228017881</v>
      </c>
      <c r="J399" s="2">
        <v>3.41</v>
      </c>
      <c r="K399" s="2">
        <v>0</v>
      </c>
      <c r="L399" s="2">
        <v>0</v>
      </c>
      <c r="M399" s="2">
        <v>2.88</v>
      </c>
      <c r="N399" s="2">
        <v>0</v>
      </c>
      <c r="O399" s="2">
        <v>2.17</v>
      </c>
      <c r="P399" s="2">
        <f t="shared" si="38"/>
        <v>-0.56651164861498449</v>
      </c>
      <c r="Q399" s="2">
        <f t="shared" si="39"/>
        <v>0.72153482493209498</v>
      </c>
      <c r="R399" s="2">
        <f t="shared" si="40"/>
        <v>-1.6851821844252286</v>
      </c>
      <c r="S399">
        <f t="shared" si="41"/>
        <v>-0.50641509763611026</v>
      </c>
      <c r="U399">
        <v>1.7697717392494476</v>
      </c>
    </row>
    <row r="400" spans="1:21" ht="13.9" x14ac:dyDescent="0.3">
      <c r="A400" s="2" t="s">
        <v>417</v>
      </c>
      <c r="B400" s="2">
        <v>68.89</v>
      </c>
      <c r="C400" s="2">
        <v>57.09</v>
      </c>
      <c r="D400" s="2">
        <v>59.35</v>
      </c>
      <c r="E400" s="2">
        <v>24.78</v>
      </c>
      <c r="F400" s="2">
        <v>14.84</v>
      </c>
      <c r="G400" s="2">
        <v>25.4</v>
      </c>
      <c r="H400" s="2">
        <f t="shared" si="36"/>
        <v>1.5111409731008403</v>
      </c>
      <c r="I400" s="2">
        <f t="shared" si="37"/>
        <v>1.289219892799E-3</v>
      </c>
      <c r="J400" s="2">
        <v>35.93</v>
      </c>
      <c r="K400" s="2">
        <v>36.409999999999997</v>
      </c>
      <c r="L400" s="2">
        <v>69.88</v>
      </c>
      <c r="M400" s="2">
        <v>24.9</v>
      </c>
      <c r="N400" s="2">
        <v>0</v>
      </c>
      <c r="O400" s="2">
        <v>20.440000000000001</v>
      </c>
      <c r="P400" s="2">
        <f t="shared" si="38"/>
        <v>1.6492680651928628</v>
      </c>
      <c r="Q400" s="2">
        <f t="shared" si="39"/>
        <v>7.6488788007032141E-2</v>
      </c>
      <c r="R400" s="2">
        <f t="shared" si="40"/>
        <v>0.13812709209202256</v>
      </c>
      <c r="S400">
        <f t="shared" si="41"/>
        <v>1.0914058281462566</v>
      </c>
      <c r="U400">
        <v>7.1519805511589247</v>
      </c>
    </row>
    <row r="401" spans="1:21" ht="13.9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1.38</v>
      </c>
      <c r="F401" s="2">
        <v>0.53</v>
      </c>
      <c r="G401" s="2">
        <v>0.53</v>
      </c>
      <c r="H401" s="2" t="e">
        <f t="shared" si="36"/>
        <v>#NUM!</v>
      </c>
      <c r="I401" s="2">
        <f t="shared" si="37"/>
        <v>4.5441667829238162E-2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 t="e">
        <f t="shared" si="38"/>
        <v>#DIV/0!</v>
      </c>
      <c r="Q401" s="2" t="e">
        <f t="shared" si="39"/>
        <v>#DIV/0!</v>
      </c>
      <c r="R401" s="2" t="e">
        <f t="shared" si="40"/>
        <v>#DIV/0!</v>
      </c>
      <c r="S401" t="e">
        <f t="shared" si="41"/>
        <v>#DIV/0!</v>
      </c>
      <c r="U401" t="e">
        <v>#NUM!</v>
      </c>
    </row>
    <row r="402" spans="1:21" ht="13.9" x14ac:dyDescent="0.3">
      <c r="A402" s="2" t="s">
        <v>419</v>
      </c>
      <c r="B402" s="2">
        <v>0.33</v>
      </c>
      <c r="C402" s="2">
        <v>0</v>
      </c>
      <c r="D402" s="2">
        <v>0</v>
      </c>
      <c r="E402" s="2">
        <v>0.1</v>
      </c>
      <c r="F402" s="2">
        <v>0.67</v>
      </c>
      <c r="G402" s="2">
        <v>0.53</v>
      </c>
      <c r="H402" s="2">
        <f t="shared" si="36"/>
        <v>-1.9779736936700012</v>
      </c>
      <c r="I402" s="2">
        <f t="shared" si="37"/>
        <v>0.18770937019740322</v>
      </c>
      <c r="J402" s="2">
        <v>0.18</v>
      </c>
      <c r="K402" s="2">
        <v>0</v>
      </c>
      <c r="L402" s="2">
        <v>0</v>
      </c>
      <c r="M402" s="2">
        <v>0</v>
      </c>
      <c r="N402" s="2">
        <v>0</v>
      </c>
      <c r="O402" s="2">
        <v>0.14000000000000001</v>
      </c>
      <c r="P402" s="2">
        <f t="shared" si="38"/>
        <v>0.36257007938470814</v>
      </c>
      <c r="Q402" s="2">
        <f t="shared" si="39"/>
        <v>0.86927786633163096</v>
      </c>
      <c r="R402" s="2">
        <f t="shared" si="40"/>
        <v>2.3405437730547094</v>
      </c>
      <c r="S402">
        <f t="shared" si="41"/>
        <v>-0.1833037924341567</v>
      </c>
      <c r="U402">
        <v>-2.4739311883324122</v>
      </c>
    </row>
    <row r="403" spans="1:21" ht="13.9" x14ac:dyDescent="0.3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0.67</v>
      </c>
      <c r="G403" s="2">
        <v>0.53</v>
      </c>
      <c r="H403" s="2" t="e">
        <f t="shared" si="36"/>
        <v>#NUM!</v>
      </c>
      <c r="I403" s="2">
        <f t="shared" si="37"/>
        <v>0.12150223124498691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f t="shared" si="38"/>
        <v>#DIV/0!</v>
      </c>
      <c r="Q403" s="2" t="e">
        <f t="shared" si="39"/>
        <v>#DIV/0!</v>
      </c>
      <c r="R403" s="2" t="e">
        <f t="shared" si="40"/>
        <v>#DIV/0!</v>
      </c>
      <c r="S403" t="e">
        <f t="shared" si="41"/>
        <v>#DIV/0!</v>
      </c>
      <c r="U403" t="e">
        <v>#NUM!</v>
      </c>
    </row>
    <row r="404" spans="1:21" ht="13.9" x14ac:dyDescent="0.3">
      <c r="A404" s="2" t="s">
        <v>421</v>
      </c>
      <c r="B404" s="2">
        <v>0</v>
      </c>
      <c r="C404" s="2">
        <v>0</v>
      </c>
      <c r="D404" s="2">
        <v>0</v>
      </c>
      <c r="E404" s="2">
        <v>0.3</v>
      </c>
      <c r="F404" s="2">
        <v>0.27</v>
      </c>
      <c r="G404" s="2">
        <v>0.42</v>
      </c>
      <c r="H404" s="2" t="e">
        <f t="shared" si="36"/>
        <v>#NUM!</v>
      </c>
      <c r="I404" s="2">
        <f t="shared" si="37"/>
        <v>1.970910938347841E-3</v>
      </c>
      <c r="J404" s="2">
        <v>5.93</v>
      </c>
      <c r="K404" s="2">
        <v>4.3899999999999997</v>
      </c>
      <c r="L404" s="2">
        <v>0</v>
      </c>
      <c r="M404" s="2">
        <v>2.88</v>
      </c>
      <c r="N404" s="2">
        <v>0</v>
      </c>
      <c r="O404" s="2">
        <v>1.89</v>
      </c>
      <c r="P404" s="2">
        <f t="shared" si="38"/>
        <v>1.1133817994177428</v>
      </c>
      <c r="Q404" s="2">
        <f t="shared" si="39"/>
        <v>0.40023859874067264</v>
      </c>
      <c r="R404" s="2" t="e">
        <f t="shared" si="40"/>
        <v>#NUM!</v>
      </c>
      <c r="S404" t="e">
        <f t="shared" si="41"/>
        <v>#NUM!</v>
      </c>
      <c r="U404">
        <v>3.3673710656485296</v>
      </c>
    </row>
    <row r="405" spans="1:21" ht="13.9" x14ac:dyDescent="0.3">
      <c r="A405" s="2" t="s">
        <v>422</v>
      </c>
      <c r="B405" s="2">
        <v>15.16</v>
      </c>
      <c r="C405" s="2">
        <v>15.61</v>
      </c>
      <c r="D405" s="2">
        <v>14.38</v>
      </c>
      <c r="E405" s="2">
        <v>8.2899999999999991</v>
      </c>
      <c r="F405" s="2">
        <v>21.66</v>
      </c>
      <c r="G405" s="2">
        <v>10.96</v>
      </c>
      <c r="H405" s="2">
        <f t="shared" si="36"/>
        <v>0.14227245048017442</v>
      </c>
      <c r="I405" s="2">
        <f t="shared" si="37"/>
        <v>0.74771773551989917</v>
      </c>
      <c r="J405" s="2">
        <v>25.51</v>
      </c>
      <c r="K405" s="2">
        <v>21.35</v>
      </c>
      <c r="L405" s="2">
        <v>22.62</v>
      </c>
      <c r="M405" s="2">
        <v>5.66</v>
      </c>
      <c r="N405" s="2">
        <v>204.38</v>
      </c>
      <c r="O405" s="2">
        <v>16.510000000000002</v>
      </c>
      <c r="P405" s="2">
        <f t="shared" si="38"/>
        <v>-1.7051598316903582</v>
      </c>
      <c r="Q405" s="2">
        <f t="shared" si="39"/>
        <v>0.46261246749850898</v>
      </c>
      <c r="R405" s="2">
        <f t="shared" si="40"/>
        <v>-1.8474322821705327</v>
      </c>
      <c r="S405">
        <f t="shared" si="41"/>
        <v>-11.985172293971075</v>
      </c>
      <c r="U405">
        <v>6.1185258489356693</v>
      </c>
    </row>
    <row r="406" spans="1:21" ht="13.9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 t="e">
        <f t="shared" si="36"/>
        <v>#NUM!</v>
      </c>
      <c r="I406" s="2">
        <f t="shared" si="37"/>
        <v>0.12539602686904727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f t="shared" si="38"/>
        <v>#DIV/0!</v>
      </c>
      <c r="Q406" s="2" t="e">
        <f t="shared" si="39"/>
        <v>#DIV/0!</v>
      </c>
      <c r="R406" s="2" t="e">
        <f t="shared" si="40"/>
        <v>#DIV/0!</v>
      </c>
      <c r="S406" t="e">
        <f t="shared" si="41"/>
        <v>#DIV/0!</v>
      </c>
      <c r="U406" t="e">
        <v>#NUM!</v>
      </c>
    </row>
    <row r="407" spans="1:21" ht="13.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0.21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>
        <f t="shared" si="39"/>
        <v>0.37390096630005903</v>
      </c>
      <c r="R407" s="2" t="e">
        <f t="shared" si="40"/>
        <v>#DIV/0!</v>
      </c>
      <c r="S407" t="e">
        <f t="shared" si="41"/>
        <v>#DIV/0!</v>
      </c>
      <c r="U407">
        <v>-2.2515387669959646</v>
      </c>
    </row>
    <row r="408" spans="1:21" ht="13.9" x14ac:dyDescent="0.3">
      <c r="A408" s="2" t="s">
        <v>425</v>
      </c>
      <c r="B408" s="2">
        <v>0</v>
      </c>
      <c r="C408" s="2">
        <v>0</v>
      </c>
      <c r="D408" s="2">
        <v>0</v>
      </c>
      <c r="E408" s="2">
        <v>0.69</v>
      </c>
      <c r="F408" s="2">
        <v>0</v>
      </c>
      <c r="G408" s="2">
        <v>0.11</v>
      </c>
      <c r="H408" s="2" t="e">
        <f t="shared" si="36"/>
        <v>#NUM!</v>
      </c>
      <c r="I408" s="2">
        <f t="shared" si="37"/>
        <v>0.28079102975461145</v>
      </c>
      <c r="J408" s="2">
        <v>0</v>
      </c>
      <c r="K408" s="2">
        <v>0.21</v>
      </c>
      <c r="L408" s="2">
        <v>0</v>
      </c>
      <c r="M408" s="2">
        <v>0</v>
      </c>
      <c r="N408" s="2">
        <v>0</v>
      </c>
      <c r="O408" s="2">
        <v>0</v>
      </c>
      <c r="P408" s="2" t="e">
        <f t="shared" si="38"/>
        <v>#DIV/0!</v>
      </c>
      <c r="Q408" s="2">
        <f t="shared" si="39"/>
        <v>0.37390096630005903</v>
      </c>
      <c r="R408" s="2" t="e">
        <f t="shared" si="40"/>
        <v>#DIV/0!</v>
      </c>
      <c r="S408" t="e">
        <f t="shared" si="41"/>
        <v>#DIV/0!</v>
      </c>
      <c r="U408">
        <v>-2.2515387669959646</v>
      </c>
    </row>
    <row r="409" spans="1:21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 t="e">
        <f t="shared" si="36"/>
        <v>#NUM!</v>
      </c>
      <c r="I409" s="2">
        <f t="shared" si="37"/>
        <v>0.37390096630005903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f t="shared" si="38"/>
        <v>#DIV/0!</v>
      </c>
      <c r="Q409" s="2" t="e">
        <f t="shared" si="39"/>
        <v>#DIV/0!</v>
      </c>
      <c r="R409" s="2" t="e">
        <f t="shared" si="40"/>
        <v>#DIV/0!</v>
      </c>
      <c r="S409" t="e">
        <f t="shared" si="41"/>
        <v>#DIV/0!</v>
      </c>
      <c r="U409" t="e">
        <v>#NUM!</v>
      </c>
    </row>
    <row r="410" spans="1:21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 t="e">
        <f t="shared" si="36"/>
        <v>#NUM!</v>
      </c>
      <c r="I410" s="2">
        <f t="shared" si="37"/>
        <v>0.37390096630005903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f t="shared" si="38"/>
        <v>#DIV/0!</v>
      </c>
      <c r="Q410" s="2" t="e">
        <f t="shared" si="39"/>
        <v>#DIV/0!</v>
      </c>
      <c r="R410" s="2" t="e">
        <f t="shared" si="40"/>
        <v>#DIV/0!</v>
      </c>
      <c r="S410" t="e">
        <f t="shared" si="41"/>
        <v>#DIV/0!</v>
      </c>
      <c r="U410" t="e">
        <v>#NUM!</v>
      </c>
    </row>
    <row r="411" spans="1:21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 t="e">
        <f t="shared" si="36"/>
        <v>#NUM!</v>
      </c>
      <c r="I411" s="2">
        <f t="shared" si="37"/>
        <v>0.37390096630005903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f t="shared" si="38"/>
        <v>#DIV/0!</v>
      </c>
      <c r="Q411" s="2" t="e">
        <f t="shared" si="39"/>
        <v>#DIV/0!</v>
      </c>
      <c r="R411" s="2" t="e">
        <f t="shared" si="40"/>
        <v>#DIV/0!</v>
      </c>
      <c r="S411" t="e">
        <f t="shared" si="41"/>
        <v>#DIV/0!</v>
      </c>
      <c r="U411" t="e">
        <v>#NUM!</v>
      </c>
    </row>
    <row r="412" spans="1:21" ht="13.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0.18</v>
      </c>
      <c r="K412" s="2">
        <v>0.21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>
        <f t="shared" si="39"/>
        <v>0.11846479931931941</v>
      </c>
      <c r="R412" s="2" t="e">
        <f t="shared" si="40"/>
        <v>#DIV/0!</v>
      </c>
      <c r="S412" t="e">
        <f t="shared" si="41"/>
        <v>#DIV/0!</v>
      </c>
      <c r="U412">
        <v>-1.3584539709124763</v>
      </c>
    </row>
    <row r="413" spans="1:21" ht="13.9" x14ac:dyDescent="0.3">
      <c r="A413" s="2" t="s">
        <v>430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36"/>
        <v>#DIV/0!</v>
      </c>
      <c r="I413" s="2" t="e">
        <f t="shared" si="37"/>
        <v>#DIV/0!</v>
      </c>
      <c r="J413" s="2">
        <v>0</v>
      </c>
      <c r="K413" s="2">
        <v>0</v>
      </c>
      <c r="L413" s="2">
        <v>0</v>
      </c>
      <c r="M413" s="2">
        <v>0.1</v>
      </c>
      <c r="N413" s="2">
        <v>0</v>
      </c>
      <c r="O413" s="2">
        <v>0.14000000000000001</v>
      </c>
      <c r="P413" s="2" t="e">
        <f t="shared" si="38"/>
        <v>#NUM!</v>
      </c>
      <c r="Q413" s="2">
        <f t="shared" si="39"/>
        <v>0.12704639298528589</v>
      </c>
      <c r="R413" s="2" t="e">
        <f t="shared" si="40"/>
        <v>#NUM!</v>
      </c>
      <c r="S413" t="e">
        <f t="shared" si="41"/>
        <v>#NUM!</v>
      </c>
      <c r="U413" t="e">
        <v>#NUM!</v>
      </c>
    </row>
    <row r="414" spans="1:21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 t="e">
        <f t="shared" si="36"/>
        <v>#NUM!</v>
      </c>
      <c r="I414" s="2">
        <f t="shared" si="37"/>
        <v>0.15890239509585566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1.62</v>
      </c>
      <c r="P414" s="2" t="e">
        <f t="shared" si="38"/>
        <v>#NUM!</v>
      </c>
      <c r="Q414" s="2">
        <f t="shared" si="39"/>
        <v>0.37390096630005903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ht="13.9" x14ac:dyDescent="0.3">
      <c r="A415" s="2" t="s">
        <v>432</v>
      </c>
      <c r="B415" s="2">
        <v>150.63</v>
      </c>
      <c r="C415" s="2">
        <v>149.06</v>
      </c>
      <c r="D415" s="2">
        <v>79.02</v>
      </c>
      <c r="E415" s="2">
        <v>205.33</v>
      </c>
      <c r="F415" s="2">
        <v>231.58</v>
      </c>
      <c r="G415" s="2">
        <v>164.82</v>
      </c>
      <c r="H415" s="2">
        <f t="shared" si="36"/>
        <v>-0.66802276921562032</v>
      </c>
      <c r="I415" s="2">
        <f t="shared" si="37"/>
        <v>7.1850671218252879E-2</v>
      </c>
      <c r="J415" s="2">
        <v>151.44999999999999</v>
      </c>
      <c r="K415" s="2">
        <v>109.87</v>
      </c>
      <c r="L415" s="2">
        <v>112.61</v>
      </c>
      <c r="M415" s="2">
        <v>162.57</v>
      </c>
      <c r="N415" s="2">
        <v>245.26</v>
      </c>
      <c r="O415" s="2">
        <v>137.51</v>
      </c>
      <c r="P415" s="2">
        <f t="shared" si="38"/>
        <v>-0.54438775749253598</v>
      </c>
      <c r="Q415" s="2">
        <f t="shared" si="39"/>
        <v>0.1800062185506173</v>
      </c>
      <c r="R415" s="2">
        <f t="shared" si="40"/>
        <v>0.12363501172308433</v>
      </c>
      <c r="S415">
        <f t="shared" si="41"/>
        <v>0.81492395555879893</v>
      </c>
      <c r="U415">
        <v>8.5466244114789429</v>
      </c>
    </row>
    <row r="416" spans="1:21" ht="13.9" x14ac:dyDescent="0.3">
      <c r="A416" s="2" t="s">
        <v>433</v>
      </c>
      <c r="B416" s="2">
        <v>25.05</v>
      </c>
      <c r="C416" s="2">
        <v>61.97</v>
      </c>
      <c r="D416" s="2">
        <v>35.14</v>
      </c>
      <c r="E416" s="2">
        <v>45.01</v>
      </c>
      <c r="F416" s="2">
        <v>49.07</v>
      </c>
      <c r="G416" s="2">
        <v>29.19</v>
      </c>
      <c r="H416" s="2">
        <f t="shared" si="36"/>
        <v>-1.304976909196103E-2</v>
      </c>
      <c r="I416" s="2">
        <f t="shared" si="37"/>
        <v>0.97793778934874465</v>
      </c>
      <c r="J416" s="2">
        <v>37.729999999999997</v>
      </c>
      <c r="K416" s="2">
        <v>10.46</v>
      </c>
      <c r="L416" s="2">
        <v>50.78</v>
      </c>
      <c r="M416" s="2">
        <v>39.200000000000003</v>
      </c>
      <c r="N416" s="2">
        <v>40.880000000000003</v>
      </c>
      <c r="O416" s="2">
        <v>27.07</v>
      </c>
      <c r="P416" s="2">
        <f t="shared" si="38"/>
        <v>-0.114568666277823</v>
      </c>
      <c r="Q416" s="2">
        <f t="shared" si="39"/>
        <v>0.83988386320741715</v>
      </c>
      <c r="R416" s="2">
        <f t="shared" si="40"/>
        <v>-0.10151889718586198</v>
      </c>
      <c r="S416">
        <f t="shared" si="41"/>
        <v>8.7793634868528088</v>
      </c>
      <c r="U416">
        <v>6.628919373511363</v>
      </c>
    </row>
    <row r="417" spans="1:21" ht="13.9" x14ac:dyDescent="0.3">
      <c r="A417" s="2" t="s">
        <v>434</v>
      </c>
      <c r="B417" s="2">
        <v>0</v>
      </c>
      <c r="C417" s="2">
        <v>0</v>
      </c>
      <c r="D417" s="2">
        <v>0.73</v>
      </c>
      <c r="E417" s="2">
        <v>0</v>
      </c>
      <c r="F417" s="2">
        <v>0.53</v>
      </c>
      <c r="G417" s="2">
        <v>0</v>
      </c>
      <c r="H417" s="2">
        <f t="shared" si="36"/>
        <v>0.46190410431681794</v>
      </c>
      <c r="I417" s="2">
        <f t="shared" si="37"/>
        <v>0.83540390814826804</v>
      </c>
      <c r="J417" s="2">
        <v>0</v>
      </c>
      <c r="K417" s="2">
        <v>0</v>
      </c>
      <c r="L417" s="2">
        <v>0</v>
      </c>
      <c r="M417" s="2">
        <v>0.1</v>
      </c>
      <c r="N417" s="2">
        <v>0</v>
      </c>
      <c r="O417" s="2">
        <v>1.35</v>
      </c>
      <c r="P417" s="2" t="e">
        <f t="shared" si="38"/>
        <v>#NUM!</v>
      </c>
      <c r="Q417" s="2">
        <f t="shared" si="39"/>
        <v>0.32811379819755454</v>
      </c>
      <c r="R417" s="2" t="e">
        <f t="shared" si="40"/>
        <v>#NUM!</v>
      </c>
      <c r="S417" t="e">
        <f t="shared" si="41"/>
        <v>#NUM!</v>
      </c>
      <c r="U417" t="e">
        <v>#NUM!</v>
      </c>
    </row>
    <row r="418" spans="1:21" ht="13.9" x14ac:dyDescent="0.3">
      <c r="A418" s="2" t="s">
        <v>435</v>
      </c>
      <c r="B418" s="2">
        <v>0</v>
      </c>
      <c r="C418" s="2">
        <v>0</v>
      </c>
      <c r="D418" s="2">
        <v>0</v>
      </c>
      <c r="E418" s="2">
        <v>4.4400000000000004</v>
      </c>
      <c r="F418" s="2">
        <v>6.42</v>
      </c>
      <c r="G418" s="2">
        <v>5.8</v>
      </c>
      <c r="H418" s="2" t="e">
        <f t="shared" si="36"/>
        <v>#NUM!</v>
      </c>
      <c r="I418" s="2">
        <f t="shared" si="37"/>
        <v>6.8600316444531752E-4</v>
      </c>
      <c r="J418" s="2">
        <v>0</v>
      </c>
      <c r="K418" s="2">
        <v>6.49</v>
      </c>
      <c r="L418" s="2">
        <v>0</v>
      </c>
      <c r="M418" s="2">
        <v>4.22</v>
      </c>
      <c r="N418" s="2">
        <v>0</v>
      </c>
      <c r="O418" s="2">
        <v>7.85</v>
      </c>
      <c r="P418" s="2">
        <f t="shared" si="38"/>
        <v>-0.89513529275588288</v>
      </c>
      <c r="Q418" s="2">
        <f t="shared" si="39"/>
        <v>0.58483950185356492</v>
      </c>
      <c r="R418" s="2" t="e">
        <f t="shared" si="40"/>
        <v>#NUM!</v>
      </c>
      <c r="S418" t="e">
        <f t="shared" si="41"/>
        <v>#NUM!</v>
      </c>
      <c r="U418">
        <v>2.6982184782244136</v>
      </c>
    </row>
    <row r="419" spans="1:21" ht="13.9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36"/>
        <v>#DIV/0!</v>
      </c>
      <c r="I419" s="2" t="e">
        <f t="shared" si="37"/>
        <v>#DIV/0!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ht="13.9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</v>
      </c>
      <c r="F420" s="2">
        <v>2.14</v>
      </c>
      <c r="G420" s="2">
        <v>0</v>
      </c>
      <c r="H420" s="2" t="e">
        <f t="shared" si="36"/>
        <v>#NUM!</v>
      </c>
      <c r="I420" s="2">
        <f t="shared" si="37"/>
        <v>0.37390096630005903</v>
      </c>
      <c r="J420" s="2">
        <v>0</v>
      </c>
      <c r="K420" s="2">
        <v>0</v>
      </c>
      <c r="L420" s="2">
        <v>0</v>
      </c>
      <c r="M420" s="2">
        <v>0.51</v>
      </c>
      <c r="N420" s="2">
        <v>0</v>
      </c>
      <c r="O420" s="2">
        <v>1.22</v>
      </c>
      <c r="P420" s="2" t="e">
        <f t="shared" si="38"/>
        <v>#NUM!</v>
      </c>
      <c r="Q420" s="2">
        <f t="shared" si="39"/>
        <v>0.17841016846128757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ht="13.9" x14ac:dyDescent="0.3">
      <c r="A421" s="2" t="s">
        <v>438</v>
      </c>
      <c r="B421" s="2">
        <v>12.2</v>
      </c>
      <c r="C421" s="2">
        <v>7.07</v>
      </c>
      <c r="D421" s="2">
        <v>0</v>
      </c>
      <c r="E421" s="2">
        <v>20.73</v>
      </c>
      <c r="F421" s="2">
        <v>16.71</v>
      </c>
      <c r="G421" s="2">
        <v>24.98</v>
      </c>
      <c r="H421" s="2">
        <f t="shared" si="36"/>
        <v>-1.6956517856234892</v>
      </c>
      <c r="I421" s="2">
        <f t="shared" si="37"/>
        <v>2.8025692795669039E-2</v>
      </c>
      <c r="J421" s="2">
        <v>11.32</v>
      </c>
      <c r="K421" s="2">
        <v>5.44</v>
      </c>
      <c r="L421" s="2">
        <v>0</v>
      </c>
      <c r="M421" s="2">
        <v>17.7</v>
      </c>
      <c r="N421" s="2">
        <v>40.880000000000003</v>
      </c>
      <c r="O421" s="2">
        <v>12.18</v>
      </c>
      <c r="P421" s="2">
        <f t="shared" si="38"/>
        <v>-2.0779118989911067</v>
      </c>
      <c r="Q421" s="2">
        <f t="shared" si="39"/>
        <v>0.12742724870184469</v>
      </c>
      <c r="R421" s="2">
        <f t="shared" si="40"/>
        <v>-0.38226011336761756</v>
      </c>
      <c r="S421">
        <f t="shared" si="41"/>
        <v>1.2254355030959738</v>
      </c>
      <c r="U421">
        <v>4.0669502439246266</v>
      </c>
    </row>
    <row r="422" spans="1:21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 t="e">
        <f t="shared" si="36"/>
        <v>#NUM!</v>
      </c>
      <c r="I422" s="2">
        <f t="shared" si="37"/>
        <v>0.37390096630005903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 t="e">
        <f t="shared" si="38"/>
        <v>#DIV/0!</v>
      </c>
      <c r="Q422" s="2" t="e">
        <f t="shared" si="39"/>
        <v>#DIV/0!</v>
      </c>
      <c r="R422" s="2" t="e">
        <f t="shared" si="40"/>
        <v>#DIV/0!</v>
      </c>
      <c r="S422" t="e">
        <f t="shared" si="41"/>
        <v>#DIV/0!</v>
      </c>
      <c r="U422" t="e">
        <v>#NUM!</v>
      </c>
    </row>
    <row r="423" spans="1:21" ht="13.9" x14ac:dyDescent="0.3">
      <c r="A423" s="2" t="s">
        <v>440</v>
      </c>
      <c r="B423" s="2">
        <v>4.9400000000000004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f t="shared" si="36"/>
        <v>1.6354842763003226</v>
      </c>
      <c r="I423" s="2">
        <f t="shared" si="37"/>
        <v>0.53982582601365825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2.0299999999999998</v>
      </c>
      <c r="P423" s="2" t="e">
        <f t="shared" si="38"/>
        <v>#NUM!</v>
      </c>
      <c r="Q423" s="2">
        <f t="shared" si="39"/>
        <v>0.37390096630005903</v>
      </c>
      <c r="R423" s="2" t="e">
        <f t="shared" si="40"/>
        <v>#NUM!</v>
      </c>
      <c r="S423" t="e">
        <f t="shared" si="41"/>
        <v>#NUM!</v>
      </c>
      <c r="U423" t="e">
        <v>#NUM!</v>
      </c>
    </row>
    <row r="424" spans="1:21" ht="13.9" x14ac:dyDescent="0.3">
      <c r="A424" s="2" t="s">
        <v>441</v>
      </c>
      <c r="B424" s="2">
        <v>0</v>
      </c>
      <c r="C424" s="2">
        <v>0</v>
      </c>
      <c r="D424" s="2">
        <v>0</v>
      </c>
      <c r="E424" s="2">
        <v>1.97</v>
      </c>
      <c r="F424" s="2">
        <v>0.67</v>
      </c>
      <c r="G424" s="2">
        <v>0</v>
      </c>
      <c r="H424" s="2" t="e">
        <f t="shared" si="36"/>
        <v>#NUM!</v>
      </c>
      <c r="I424" s="2">
        <f t="shared" si="37"/>
        <v>0.20273689781628718</v>
      </c>
      <c r="J424" s="2">
        <v>0</v>
      </c>
      <c r="K424" s="2">
        <v>10.46</v>
      </c>
      <c r="L424" s="2">
        <v>1.01</v>
      </c>
      <c r="M424" s="2">
        <v>1.95</v>
      </c>
      <c r="N424" s="2">
        <v>0</v>
      </c>
      <c r="O424" s="2">
        <v>1.22</v>
      </c>
      <c r="P424" s="2">
        <f t="shared" si="38"/>
        <v>1.8553106458764179</v>
      </c>
      <c r="Q424" s="2">
        <f t="shared" si="39"/>
        <v>0.45892670773721561</v>
      </c>
      <c r="R424" s="2" t="e">
        <f t="shared" si="40"/>
        <v>#NUM!</v>
      </c>
      <c r="S424" t="e">
        <f t="shared" si="41"/>
        <v>#NUM!</v>
      </c>
      <c r="U424">
        <v>3.5197934862411002</v>
      </c>
    </row>
    <row r="425" spans="1:21" ht="13.9" x14ac:dyDescent="0.3">
      <c r="A425" s="2" t="s">
        <v>442</v>
      </c>
      <c r="B425" s="2">
        <v>0</v>
      </c>
      <c r="C425" s="2">
        <v>0</v>
      </c>
      <c r="D425" s="2">
        <v>6.37</v>
      </c>
      <c r="E425" s="2">
        <v>0</v>
      </c>
      <c r="F425" s="2">
        <v>0</v>
      </c>
      <c r="G425" s="2">
        <v>0.11</v>
      </c>
      <c r="H425" s="2">
        <f t="shared" si="36"/>
        <v>5.8557179436190028</v>
      </c>
      <c r="I425" s="2">
        <f t="shared" si="37"/>
        <v>0.38144288668200205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 t="e">
        <f t="shared" si="38"/>
        <v>#DIV/0!</v>
      </c>
      <c r="Q425" s="2" t="e">
        <f t="shared" si="39"/>
        <v>#DIV/0!</v>
      </c>
      <c r="R425" s="2" t="e">
        <f t="shared" si="40"/>
        <v>#DIV/0!</v>
      </c>
      <c r="S425" t="e">
        <f t="shared" si="41"/>
        <v>#DIV/0!</v>
      </c>
      <c r="U425" t="e">
        <v>#NUM!</v>
      </c>
    </row>
    <row r="426" spans="1:21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 t="e">
        <f t="shared" si="36"/>
        <v>#NUM!</v>
      </c>
      <c r="I426" s="2">
        <f t="shared" si="37"/>
        <v>0.37390096630005903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0.41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ht="13.9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36"/>
        <v>#DIV/0!</v>
      </c>
      <c r="I427" s="2" t="e">
        <f t="shared" si="37"/>
        <v>#DIV/0!</v>
      </c>
      <c r="J427" s="2">
        <v>0</v>
      </c>
      <c r="K427" s="2">
        <v>0</v>
      </c>
      <c r="L427" s="2">
        <v>0</v>
      </c>
      <c r="M427" s="2">
        <v>0.51</v>
      </c>
      <c r="N427" s="2">
        <v>0</v>
      </c>
      <c r="O427" s="2">
        <v>0.27</v>
      </c>
      <c r="P427" s="2" t="e">
        <f t="shared" si="38"/>
        <v>#NUM!</v>
      </c>
      <c r="Q427" s="2">
        <f t="shared" si="39"/>
        <v>0.15232633449782892</v>
      </c>
      <c r="R427" s="2" t="e">
        <f t="shared" si="40"/>
        <v>#NUM!</v>
      </c>
      <c r="S427" t="e">
        <f t="shared" si="41"/>
        <v>#NUM!</v>
      </c>
      <c r="U427" t="e">
        <v>#NUM!</v>
      </c>
    </row>
    <row r="428" spans="1:21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 t="e">
        <f t="shared" si="36"/>
        <v>#NUM!</v>
      </c>
      <c r="I428" s="2">
        <f t="shared" si="37"/>
        <v>0.37390096630005903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f t="shared" si="38"/>
        <v>#DIV/0!</v>
      </c>
      <c r="Q428" s="2" t="e">
        <f t="shared" si="39"/>
        <v>#DIV/0!</v>
      </c>
      <c r="R428" s="2" t="e">
        <f t="shared" si="40"/>
        <v>#DIV/0!</v>
      </c>
      <c r="S428" t="e">
        <f t="shared" si="41"/>
        <v>#DIV/0!</v>
      </c>
      <c r="U428" t="e">
        <v>#NUM!</v>
      </c>
    </row>
    <row r="429" spans="1:21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 t="e">
        <f t="shared" si="36"/>
        <v>#NUM!</v>
      </c>
      <c r="I429" s="2">
        <f t="shared" si="37"/>
        <v>0.37390096630005903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 t="e">
        <f t="shared" si="38"/>
        <v>#DIV/0!</v>
      </c>
      <c r="Q429" s="2" t="e">
        <f t="shared" si="39"/>
        <v>#DIV/0!</v>
      </c>
      <c r="R429" s="2" t="e">
        <f t="shared" si="40"/>
        <v>#DIV/0!</v>
      </c>
      <c r="S429" t="e">
        <f t="shared" si="41"/>
        <v>#DIV/0!</v>
      </c>
      <c r="U429" t="e">
        <v>#NUM!</v>
      </c>
    </row>
    <row r="430" spans="1:21" ht="13.9" x14ac:dyDescent="0.3">
      <c r="A430" s="2" t="s">
        <v>447</v>
      </c>
      <c r="B430" s="2">
        <v>0</v>
      </c>
      <c r="C430" s="2">
        <v>0.49</v>
      </c>
      <c r="D430" s="2">
        <v>4.01</v>
      </c>
      <c r="E430" s="2">
        <v>0.49</v>
      </c>
      <c r="F430" s="2">
        <v>0.13</v>
      </c>
      <c r="G430" s="2">
        <v>0.32</v>
      </c>
      <c r="H430" s="2">
        <f t="shared" si="36"/>
        <v>2.2591923395393998</v>
      </c>
      <c r="I430" s="2">
        <f t="shared" si="37"/>
        <v>0.4020658211174386</v>
      </c>
      <c r="J430" s="2">
        <v>0</v>
      </c>
      <c r="K430" s="2">
        <v>0</v>
      </c>
      <c r="L430" s="2">
        <v>6.03</v>
      </c>
      <c r="M430" s="2">
        <v>0.1</v>
      </c>
      <c r="N430" s="2">
        <v>204.38</v>
      </c>
      <c r="O430" s="2">
        <v>0</v>
      </c>
      <c r="P430" s="2">
        <f t="shared" si="38"/>
        <v>-5.0836579290469093</v>
      </c>
      <c r="Q430" s="2">
        <f t="shared" si="39"/>
        <v>0.38662085009528596</v>
      </c>
      <c r="R430" s="2">
        <f t="shared" si="40"/>
        <v>-7.3428502685863091</v>
      </c>
      <c r="S430">
        <f t="shared" si="41"/>
        <v>-2.250210325201154</v>
      </c>
      <c r="U430">
        <v>2.5921580021253603</v>
      </c>
    </row>
    <row r="431" spans="1:21" ht="13.9" x14ac:dyDescent="0.3">
      <c r="A431" s="2" t="s">
        <v>448</v>
      </c>
      <c r="B431" s="2">
        <v>9.56</v>
      </c>
      <c r="C431" s="2">
        <v>7.07</v>
      </c>
      <c r="D431" s="2">
        <v>2.37</v>
      </c>
      <c r="E431" s="2">
        <v>12.04</v>
      </c>
      <c r="F431" s="2">
        <v>21.79</v>
      </c>
      <c r="G431" s="2">
        <v>12.44</v>
      </c>
      <c r="H431" s="2">
        <f t="shared" si="36"/>
        <v>-1.2840776803469853</v>
      </c>
      <c r="I431" s="2">
        <f t="shared" si="37"/>
        <v>7.6011908090835273E-2</v>
      </c>
      <c r="J431" s="2">
        <v>0</v>
      </c>
      <c r="K431" s="2">
        <v>3.77</v>
      </c>
      <c r="L431" s="2">
        <v>0.5</v>
      </c>
      <c r="M431" s="2">
        <v>12.66</v>
      </c>
      <c r="N431" s="2">
        <v>0</v>
      </c>
      <c r="O431" s="2">
        <v>17.05</v>
      </c>
      <c r="P431" s="2">
        <f t="shared" si="38"/>
        <v>-2.798640630214924</v>
      </c>
      <c r="Q431" s="2">
        <f t="shared" si="39"/>
        <v>0.1813115077607996</v>
      </c>
      <c r="R431" s="2">
        <f t="shared" si="40"/>
        <v>-1.5145629498679387</v>
      </c>
      <c r="S431">
        <f t="shared" si="41"/>
        <v>2.1794948024162148</v>
      </c>
      <c r="U431">
        <v>2.0942360698457656</v>
      </c>
    </row>
    <row r="432" spans="1:21" ht="13.9" x14ac:dyDescent="0.3">
      <c r="A432" s="2" t="s">
        <v>449</v>
      </c>
      <c r="B432" s="2">
        <v>0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 t="e">
        <f t="shared" si="36"/>
        <v>#NUM!</v>
      </c>
      <c r="I432" s="2">
        <f t="shared" si="37"/>
        <v>0.11771750432170748</v>
      </c>
      <c r="J432" s="2">
        <v>0</v>
      </c>
      <c r="K432" s="2">
        <v>6.49</v>
      </c>
      <c r="L432" s="2">
        <v>0</v>
      </c>
      <c r="M432" s="2">
        <v>0</v>
      </c>
      <c r="N432" s="2">
        <v>0</v>
      </c>
      <c r="O432" s="2">
        <v>1.49</v>
      </c>
      <c r="P432" s="2">
        <f t="shared" si="38"/>
        <v>2.1229061475369773</v>
      </c>
      <c r="Q432" s="2">
        <f t="shared" si="39"/>
        <v>0.49448401244425316</v>
      </c>
      <c r="R432" s="2" t="e">
        <f t="shared" si="40"/>
        <v>#NUM!</v>
      </c>
      <c r="S432" t="e">
        <f t="shared" si="41"/>
        <v>#NUM!</v>
      </c>
      <c r="U432">
        <v>2.6982184782244136</v>
      </c>
    </row>
    <row r="433" spans="1:21" ht="13.9" x14ac:dyDescent="0.3">
      <c r="A433" s="2" t="s">
        <v>450</v>
      </c>
      <c r="B433" s="2">
        <v>0</v>
      </c>
      <c r="C433" s="2">
        <v>0</v>
      </c>
      <c r="D433" s="2">
        <v>0</v>
      </c>
      <c r="E433" s="2">
        <v>0.49</v>
      </c>
      <c r="F433" s="2">
        <v>0</v>
      </c>
      <c r="G433" s="2">
        <v>1.48</v>
      </c>
      <c r="H433" s="2" t="e">
        <f t="shared" si="36"/>
        <v>#NUM!</v>
      </c>
      <c r="I433" s="2">
        <f t="shared" si="37"/>
        <v>0.20590432846867199</v>
      </c>
      <c r="J433" s="2">
        <v>0</v>
      </c>
      <c r="K433" s="2">
        <v>0</v>
      </c>
      <c r="L433" s="2">
        <v>10.56</v>
      </c>
      <c r="M433" s="2">
        <v>0.82</v>
      </c>
      <c r="N433" s="2">
        <v>0</v>
      </c>
      <c r="O433" s="2">
        <v>0</v>
      </c>
      <c r="P433" s="2">
        <f t="shared" si="38"/>
        <v>3.68684211474037</v>
      </c>
      <c r="Q433" s="2">
        <f t="shared" si="39"/>
        <v>0.40982904835264733</v>
      </c>
      <c r="R433" s="2" t="e">
        <f t="shared" si="40"/>
        <v>#NUM!</v>
      </c>
      <c r="S433" t="e">
        <f t="shared" si="41"/>
        <v>#NUM!</v>
      </c>
      <c r="U433">
        <v>3.400537929583729</v>
      </c>
    </row>
    <row r="434" spans="1:21" ht="13.9" x14ac:dyDescent="0.3">
      <c r="A434" s="2" t="s">
        <v>451</v>
      </c>
      <c r="B434" s="2">
        <v>0</v>
      </c>
      <c r="C434" s="2">
        <v>0</v>
      </c>
      <c r="D434" s="2">
        <v>0</v>
      </c>
      <c r="E434" s="2">
        <v>2.96</v>
      </c>
      <c r="F434" s="2">
        <v>0.8</v>
      </c>
      <c r="G434" s="2">
        <v>0</v>
      </c>
      <c r="H434" s="2" t="e">
        <f t="shared" si="36"/>
        <v>#NUM!</v>
      </c>
      <c r="I434" s="2">
        <f t="shared" si="37"/>
        <v>0.22923971816325969</v>
      </c>
      <c r="J434" s="2">
        <v>0</v>
      </c>
      <c r="K434" s="2">
        <v>0</v>
      </c>
      <c r="L434" s="2">
        <v>0</v>
      </c>
      <c r="M434" s="2">
        <v>1.44</v>
      </c>
      <c r="N434" s="2">
        <v>0</v>
      </c>
      <c r="O434" s="2">
        <v>1.22</v>
      </c>
      <c r="P434" s="2" t="e">
        <f t="shared" si="38"/>
        <v>#NUM!</v>
      </c>
      <c r="Q434" s="2">
        <f t="shared" si="39"/>
        <v>0.11883024240352499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ht="13.9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1.88</v>
      </c>
      <c r="F435" s="2">
        <v>0</v>
      </c>
      <c r="G435" s="2">
        <v>1.9</v>
      </c>
      <c r="H435" s="2" t="e">
        <f t="shared" si="36"/>
        <v>#NUM!</v>
      </c>
      <c r="I435" s="2">
        <f t="shared" si="37"/>
        <v>0.11612765823837161</v>
      </c>
      <c r="J435" s="2">
        <v>0</v>
      </c>
      <c r="K435" s="2">
        <v>7.53</v>
      </c>
      <c r="L435" s="2">
        <v>0</v>
      </c>
      <c r="M435" s="2">
        <v>0</v>
      </c>
      <c r="N435" s="2">
        <v>0</v>
      </c>
      <c r="O435" s="2">
        <v>0</v>
      </c>
      <c r="P435" s="2" t="e">
        <f t="shared" si="38"/>
        <v>#DIV/0!</v>
      </c>
      <c r="Q435" s="2">
        <f t="shared" si="39"/>
        <v>0.37390096630005903</v>
      </c>
      <c r="R435" s="2" t="e">
        <f t="shared" si="40"/>
        <v>#DIV/0!</v>
      </c>
      <c r="S435" t="e">
        <f t="shared" si="41"/>
        <v>#DIV/0!</v>
      </c>
      <c r="U435">
        <v>2.9126498648972032</v>
      </c>
    </row>
    <row r="436" spans="1:21" ht="13.9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0</v>
      </c>
      <c r="F436" s="2">
        <v>2.41</v>
      </c>
      <c r="G436" s="2">
        <v>0</v>
      </c>
      <c r="H436" s="2" t="e">
        <f t="shared" si="36"/>
        <v>#NUM!</v>
      </c>
      <c r="I436" s="2">
        <f t="shared" si="37"/>
        <v>0.37390096630005903</v>
      </c>
      <c r="J436" s="2">
        <v>0</v>
      </c>
      <c r="K436" s="2">
        <v>0</v>
      </c>
      <c r="L436" s="2">
        <v>0</v>
      </c>
      <c r="M436" s="2">
        <v>0.41</v>
      </c>
      <c r="N436" s="2">
        <v>0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ht="13.9" x14ac:dyDescent="0.3">
      <c r="A437" s="2" t="s">
        <v>454</v>
      </c>
      <c r="B437" s="2">
        <v>15.49</v>
      </c>
      <c r="C437" s="2">
        <v>20</v>
      </c>
      <c r="D437" s="2">
        <v>12.02</v>
      </c>
      <c r="E437" s="2">
        <v>17.97</v>
      </c>
      <c r="F437" s="2">
        <v>20.99</v>
      </c>
      <c r="G437" s="2">
        <v>13.17</v>
      </c>
      <c r="H437" s="2">
        <f t="shared" si="36"/>
        <v>-0.13388265318516832</v>
      </c>
      <c r="I437" s="2">
        <f t="shared" si="37"/>
        <v>0.65970123833738414</v>
      </c>
      <c r="J437" s="2">
        <v>7.9</v>
      </c>
      <c r="K437" s="2">
        <v>44.37</v>
      </c>
      <c r="L437" s="2">
        <v>39.72</v>
      </c>
      <c r="M437" s="2">
        <v>15.54</v>
      </c>
      <c r="N437" s="2">
        <v>163.51</v>
      </c>
      <c r="O437" s="2">
        <v>33.43</v>
      </c>
      <c r="P437" s="2">
        <f t="shared" si="38"/>
        <v>-1.2077781087166992</v>
      </c>
      <c r="Q437" s="2">
        <f t="shared" si="39"/>
        <v>0.44995941939768958</v>
      </c>
      <c r="R437" s="2">
        <f t="shared" si="40"/>
        <v>-1.073895455531531</v>
      </c>
      <c r="S437">
        <f t="shared" si="41"/>
        <v>9.0211695091392041</v>
      </c>
      <c r="U437">
        <v>6.5234051328555012</v>
      </c>
    </row>
    <row r="438" spans="1:21" ht="13.9" x14ac:dyDescent="0.3">
      <c r="A438" s="2" t="s">
        <v>455</v>
      </c>
      <c r="B438" s="2">
        <v>4066.78</v>
      </c>
      <c r="C438" s="2">
        <v>4570.38</v>
      </c>
      <c r="D438" s="2">
        <v>4024.91</v>
      </c>
      <c r="E438" s="2">
        <v>2126.7199999999998</v>
      </c>
      <c r="F438" s="2">
        <v>2502.9899999999998</v>
      </c>
      <c r="G438" s="2">
        <v>2059.98</v>
      </c>
      <c r="H438" s="2">
        <f t="shared" si="36"/>
        <v>0.9205020132880074</v>
      </c>
      <c r="I438" s="2">
        <f t="shared" si="37"/>
        <v>8.7066497256331813E-4</v>
      </c>
      <c r="J438" s="2">
        <v>3613.73</v>
      </c>
      <c r="K438" s="2">
        <v>4070.1</v>
      </c>
      <c r="L438" s="2">
        <v>6064.58</v>
      </c>
      <c r="M438" s="2">
        <v>2060.5700000000002</v>
      </c>
      <c r="N438" s="2">
        <v>39568.35</v>
      </c>
      <c r="O438" s="2">
        <v>3370.84</v>
      </c>
      <c r="P438" s="2">
        <f t="shared" si="38"/>
        <v>-1.7106525260657455</v>
      </c>
      <c r="Q438" s="2">
        <f t="shared" si="39"/>
        <v>0.44518285900859528</v>
      </c>
      <c r="R438" s="2">
        <f t="shared" si="40"/>
        <v>-2.6311545393537528</v>
      </c>
      <c r="S438">
        <f t="shared" si="41"/>
        <v>-1.8583908577835073</v>
      </c>
      <c r="U438">
        <v>13.746977160531946</v>
      </c>
    </row>
    <row r="439" spans="1:21" ht="13.9" x14ac:dyDescent="0.3">
      <c r="A439" s="2" t="s">
        <v>456</v>
      </c>
      <c r="B439" s="2">
        <v>9.56</v>
      </c>
      <c r="C439" s="2">
        <v>14.88</v>
      </c>
      <c r="D439" s="2">
        <v>6.37</v>
      </c>
      <c r="E439" s="2">
        <v>10.66</v>
      </c>
      <c r="F439" s="2">
        <v>20.72</v>
      </c>
      <c r="G439" s="2">
        <v>10.01</v>
      </c>
      <c r="H439" s="2">
        <f t="shared" si="36"/>
        <v>-0.42588356619093931</v>
      </c>
      <c r="I439" s="2">
        <f t="shared" si="37"/>
        <v>0.4546502988083676</v>
      </c>
      <c r="J439" s="2">
        <v>14.37</v>
      </c>
      <c r="K439" s="2">
        <v>5.65</v>
      </c>
      <c r="L439" s="2">
        <v>11.56</v>
      </c>
      <c r="M439" s="2">
        <v>13.58</v>
      </c>
      <c r="N439" s="2">
        <v>0</v>
      </c>
      <c r="O439" s="2">
        <v>27.88</v>
      </c>
      <c r="P439" s="2">
        <f t="shared" si="38"/>
        <v>-0.39270894524917788</v>
      </c>
      <c r="Q439" s="2">
        <f t="shared" si="39"/>
        <v>0.7165693929890925</v>
      </c>
      <c r="R439" s="2">
        <f t="shared" si="40"/>
        <v>3.3174620941761435E-2</v>
      </c>
      <c r="S439">
        <f t="shared" si="41"/>
        <v>0.92210401251573992</v>
      </c>
      <c r="U439">
        <v>4.9809392660855121</v>
      </c>
    </row>
    <row r="440" spans="1:21" ht="13.9" x14ac:dyDescent="0.3">
      <c r="A440" s="2" t="s">
        <v>457</v>
      </c>
      <c r="B440" s="2">
        <v>24.06</v>
      </c>
      <c r="C440" s="2">
        <v>18.79</v>
      </c>
      <c r="D440" s="2">
        <v>14.75</v>
      </c>
      <c r="E440" s="2">
        <v>6.32</v>
      </c>
      <c r="F440" s="2">
        <v>1.74</v>
      </c>
      <c r="G440" s="2">
        <v>2.95</v>
      </c>
      <c r="H440" s="2">
        <f t="shared" si="36"/>
        <v>2.3872543427653055</v>
      </c>
      <c r="I440" s="2">
        <f t="shared" si="37"/>
        <v>6.8095668303332644E-3</v>
      </c>
      <c r="J440" s="2">
        <v>1.98</v>
      </c>
      <c r="K440" s="2">
        <v>4.3899999999999997</v>
      </c>
      <c r="L440" s="2">
        <v>56.81</v>
      </c>
      <c r="M440" s="2">
        <v>2.57</v>
      </c>
      <c r="N440" s="2">
        <v>0</v>
      </c>
      <c r="O440" s="2">
        <v>2.57</v>
      </c>
      <c r="P440" s="2">
        <f t="shared" si="38"/>
        <v>3.619627672552995</v>
      </c>
      <c r="Q440" s="2">
        <f t="shared" si="39"/>
        <v>0.34080454920591313</v>
      </c>
      <c r="R440" s="2">
        <f t="shared" si="40"/>
        <v>1.2323733297876895</v>
      </c>
      <c r="S440">
        <f t="shared" si="41"/>
        <v>1.5162304274458476</v>
      </c>
      <c r="U440">
        <v>5.9813960319721486</v>
      </c>
    </row>
    <row r="441" spans="1:21" ht="13.9" x14ac:dyDescent="0.3">
      <c r="A441" s="2" t="s">
        <v>458</v>
      </c>
      <c r="B441" s="2">
        <v>19.45</v>
      </c>
      <c r="C441" s="2">
        <v>5.12</v>
      </c>
      <c r="D441" s="2">
        <v>0</v>
      </c>
      <c r="E441" s="2">
        <v>3.46</v>
      </c>
      <c r="F441" s="2">
        <v>4.41</v>
      </c>
      <c r="G441" s="2">
        <v>4.32</v>
      </c>
      <c r="H441" s="2">
        <f t="shared" si="36"/>
        <v>1.0111997317419525</v>
      </c>
      <c r="I441" s="2">
        <f t="shared" si="37"/>
        <v>0.51802104108461389</v>
      </c>
      <c r="J441" s="2">
        <v>0</v>
      </c>
      <c r="K441" s="2">
        <v>2.2999999999999998</v>
      </c>
      <c r="L441" s="2">
        <v>13.57</v>
      </c>
      <c r="M441" s="2">
        <v>2.37</v>
      </c>
      <c r="N441" s="2">
        <v>0</v>
      </c>
      <c r="O441" s="2">
        <v>6.9</v>
      </c>
      <c r="P441" s="2">
        <f t="shared" si="38"/>
        <v>0.7756608842096514</v>
      </c>
      <c r="Q441" s="2">
        <f t="shared" si="39"/>
        <v>0.66118478928899349</v>
      </c>
      <c r="R441" s="2">
        <f t="shared" si="40"/>
        <v>-0.23553884753230114</v>
      </c>
      <c r="S441">
        <f t="shared" si="41"/>
        <v>0.76706990702366196</v>
      </c>
      <c r="U441">
        <v>3.9882302230604569</v>
      </c>
    </row>
    <row r="442" spans="1:21" ht="13.9" x14ac:dyDescent="0.3">
      <c r="A442" s="2" t="s">
        <v>459</v>
      </c>
      <c r="B442" s="2">
        <v>1.32</v>
      </c>
      <c r="C442" s="2">
        <v>2.93</v>
      </c>
      <c r="D442" s="2">
        <v>1.64</v>
      </c>
      <c r="E442" s="2">
        <v>1.58</v>
      </c>
      <c r="F442" s="2">
        <v>1.87</v>
      </c>
      <c r="G442" s="2">
        <v>3.69</v>
      </c>
      <c r="H442" s="2">
        <f t="shared" si="36"/>
        <v>-0.27765644019863928</v>
      </c>
      <c r="I442" s="2">
        <f t="shared" si="37"/>
        <v>0.63949475475217454</v>
      </c>
      <c r="J442" s="2">
        <v>2.16</v>
      </c>
      <c r="K442" s="2">
        <v>7.53</v>
      </c>
      <c r="L442" s="2">
        <v>33.68</v>
      </c>
      <c r="M442" s="2">
        <v>1.54</v>
      </c>
      <c r="N442" s="2">
        <v>0</v>
      </c>
      <c r="O442" s="2">
        <v>5.01</v>
      </c>
      <c r="P442" s="2">
        <f t="shared" si="38"/>
        <v>2.7271306314382904</v>
      </c>
      <c r="Q442" s="2">
        <f t="shared" si="39"/>
        <v>0.28066512115867109</v>
      </c>
      <c r="R442" s="2">
        <f t="shared" si="40"/>
        <v>3.0047870716369296</v>
      </c>
      <c r="S442">
        <f t="shared" si="41"/>
        <v>-9.8219606557199359</v>
      </c>
      <c r="U442">
        <v>5.4386255380883792</v>
      </c>
    </row>
    <row r="443" spans="1:21" ht="13.9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10.06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f t="shared" si="38"/>
        <v>#DIV/0!</v>
      </c>
      <c r="Q443" s="2">
        <f t="shared" si="39"/>
        <v>0.37390096630005903</v>
      </c>
      <c r="R443" s="2" t="e">
        <f t="shared" si="40"/>
        <v>#DIV/0!</v>
      </c>
      <c r="S443" t="e">
        <f t="shared" si="41"/>
        <v>#DIV/0!</v>
      </c>
      <c r="U443">
        <v>3.3305584000308026</v>
      </c>
    </row>
    <row r="444" spans="1:21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 t="e">
        <f t="shared" si="36"/>
        <v>#NUM!</v>
      </c>
      <c r="I444" s="2">
        <f t="shared" si="37"/>
        <v>0.37390096630005903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f t="shared" si="38"/>
        <v>#DIV/0!</v>
      </c>
      <c r="Q444" s="2" t="e">
        <f t="shared" si="39"/>
        <v>#DIV/0!</v>
      </c>
      <c r="R444" s="2" t="e">
        <f t="shared" si="40"/>
        <v>#DIV/0!</v>
      </c>
      <c r="S444" t="e">
        <f t="shared" si="41"/>
        <v>#DIV/0!</v>
      </c>
      <c r="U444" t="e">
        <v>#NUM!</v>
      </c>
    </row>
    <row r="445" spans="1:21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1.08</v>
      </c>
      <c r="P445" s="2" t="e">
        <f t="shared" si="38"/>
        <v>#NUM!</v>
      </c>
      <c r="Q445" s="2">
        <f t="shared" si="39"/>
        <v>0.37390096630005903</v>
      </c>
      <c r="R445" s="2" t="e">
        <f t="shared" si="40"/>
        <v>#NUM!</v>
      </c>
      <c r="S445" t="e">
        <f t="shared" si="41"/>
        <v>#NUM!</v>
      </c>
      <c r="U445" t="e">
        <v>#NUM!</v>
      </c>
    </row>
    <row r="446" spans="1:21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 t="e">
        <f t="shared" si="36"/>
        <v>#NUM!</v>
      </c>
      <c r="I446" s="2">
        <f t="shared" si="37"/>
        <v>0.37390096630005903</v>
      </c>
      <c r="J446" s="2">
        <v>0</v>
      </c>
      <c r="K446" s="2">
        <v>0</v>
      </c>
      <c r="L446" s="2">
        <v>0</v>
      </c>
      <c r="M446" s="2">
        <v>0.21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ht="13.9" x14ac:dyDescent="0.3">
      <c r="A447" s="2" t="s">
        <v>464</v>
      </c>
      <c r="B447" s="2">
        <v>0.33</v>
      </c>
      <c r="C447" s="2">
        <v>0</v>
      </c>
      <c r="D447" s="2">
        <v>0.18</v>
      </c>
      <c r="E447" s="2">
        <v>0.1</v>
      </c>
      <c r="F447" s="2">
        <v>0.13</v>
      </c>
      <c r="G447" s="2">
        <v>0</v>
      </c>
      <c r="H447" s="2">
        <f t="shared" si="36"/>
        <v>1.1488633859144828</v>
      </c>
      <c r="I447" s="2">
        <f t="shared" si="37"/>
        <v>0.41681612509882349</v>
      </c>
      <c r="J447" s="2">
        <v>0.18</v>
      </c>
      <c r="K447" s="2">
        <v>0</v>
      </c>
      <c r="L447" s="2">
        <v>0.5</v>
      </c>
      <c r="M447" s="2">
        <v>0</v>
      </c>
      <c r="N447" s="2">
        <v>0</v>
      </c>
      <c r="O447" s="2">
        <v>0.14000000000000001</v>
      </c>
      <c r="P447" s="2">
        <f t="shared" si="38"/>
        <v>2.2801079191927349</v>
      </c>
      <c r="Q447" s="2">
        <f t="shared" si="39"/>
        <v>0.30594999652180999</v>
      </c>
      <c r="R447" s="2">
        <f t="shared" si="40"/>
        <v>1.1312445332782521</v>
      </c>
      <c r="S447">
        <f t="shared" si="41"/>
        <v>1.9846641011870996</v>
      </c>
      <c r="U447">
        <v>-0.55639334852438549</v>
      </c>
    </row>
    <row r="448" spans="1:21" ht="13.9" x14ac:dyDescent="0.3">
      <c r="A448" s="2" t="s">
        <v>465</v>
      </c>
      <c r="B448" s="2">
        <v>10.55</v>
      </c>
      <c r="C448" s="2">
        <v>29.28</v>
      </c>
      <c r="D448" s="2">
        <v>27.67</v>
      </c>
      <c r="E448" s="2">
        <v>12.64</v>
      </c>
      <c r="F448" s="2">
        <v>15.91</v>
      </c>
      <c r="G448" s="2">
        <v>6.85</v>
      </c>
      <c r="H448" s="2">
        <f t="shared" si="36"/>
        <v>0.93113814185519583</v>
      </c>
      <c r="I448" s="2">
        <f t="shared" si="37"/>
        <v>0.1778061511187338</v>
      </c>
      <c r="J448" s="2">
        <v>19.22</v>
      </c>
      <c r="K448" s="2">
        <v>24.49</v>
      </c>
      <c r="L448" s="2">
        <v>65.86</v>
      </c>
      <c r="M448" s="2">
        <v>14.4</v>
      </c>
      <c r="N448" s="2">
        <v>40.880000000000003</v>
      </c>
      <c r="O448" s="2">
        <v>21.52</v>
      </c>
      <c r="P448" s="2">
        <f t="shared" si="38"/>
        <v>0.51267462990559343</v>
      </c>
      <c r="Q448" s="2">
        <f t="shared" si="39"/>
        <v>0.54955291481842061</v>
      </c>
      <c r="R448" s="2">
        <f t="shared" si="40"/>
        <v>-0.41846351194960241</v>
      </c>
      <c r="S448">
        <f t="shared" si="41"/>
        <v>0.5505892271625159</v>
      </c>
      <c r="U448">
        <v>6.7757090357393874</v>
      </c>
    </row>
    <row r="449" spans="1:21" ht="13.9" x14ac:dyDescent="0.3">
      <c r="A449" s="2" t="s">
        <v>466</v>
      </c>
      <c r="B449" s="2">
        <v>0.33</v>
      </c>
      <c r="C449" s="2">
        <v>13.91</v>
      </c>
      <c r="D449" s="2">
        <v>0</v>
      </c>
      <c r="E449" s="2">
        <v>5.13</v>
      </c>
      <c r="F449" s="2">
        <v>9.36</v>
      </c>
      <c r="G449" s="2">
        <v>5.27</v>
      </c>
      <c r="H449" s="2">
        <f t="shared" si="36"/>
        <v>-0.47263380061827986</v>
      </c>
      <c r="I449" s="2">
        <f t="shared" si="37"/>
        <v>0.72031805986681929</v>
      </c>
      <c r="J449" s="2">
        <v>7.01</v>
      </c>
      <c r="K449" s="2">
        <v>11.09</v>
      </c>
      <c r="L449" s="2">
        <v>0</v>
      </c>
      <c r="M449" s="2">
        <v>9.4700000000000006</v>
      </c>
      <c r="N449" s="2">
        <v>0</v>
      </c>
      <c r="O449" s="2">
        <v>16.239999999999998</v>
      </c>
      <c r="P449" s="2">
        <f t="shared" si="38"/>
        <v>-0.50633991286308822</v>
      </c>
      <c r="Q449" s="2">
        <f t="shared" si="39"/>
        <v>0.68012751641410296</v>
      </c>
      <c r="R449" s="2">
        <f t="shared" si="40"/>
        <v>-3.3706112244808351E-2</v>
      </c>
      <c r="S449">
        <f t="shared" si="41"/>
        <v>1.0713154924610035</v>
      </c>
      <c r="U449">
        <v>4.177917792195843</v>
      </c>
    </row>
    <row r="450" spans="1:21" ht="13.9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0.4</v>
      </c>
      <c r="G450" s="2">
        <v>0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0.37390096630005903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f t="shared" ref="P450:P513" si="44">LOG(SUM(J450:L450)/SUM(M450:O450),2)</f>
        <v>#DIV/0!</v>
      </c>
      <c r="Q450" s="2" t="e">
        <f t="shared" ref="Q450:Q513" si="45">_xlfn.T.TEST(J450:L450,M450:O450,2,2)</f>
        <v>#DIV/0!</v>
      </c>
      <c r="R450" s="2" t="e">
        <f t="shared" si="40"/>
        <v>#DIV/0!</v>
      </c>
      <c r="S450" t="e">
        <f t="shared" si="41"/>
        <v>#DIV/0!</v>
      </c>
      <c r="U450" t="e">
        <v>#NUM!</v>
      </c>
    </row>
    <row r="451" spans="1:21" ht="13.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0.72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>
        <f t="shared" si="45"/>
        <v>0.37390096630005903</v>
      </c>
      <c r="R451" s="2" t="e">
        <f t="shared" ref="R451:R514" si="46">P451-H451</f>
        <v>#DIV/0!</v>
      </c>
      <c r="S451" t="e">
        <f t="shared" si="41"/>
        <v>#DIV/0!</v>
      </c>
      <c r="U451">
        <v>-0.47393118833241243</v>
      </c>
    </row>
    <row r="452" spans="1:21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0.82</v>
      </c>
      <c r="N452" s="2">
        <v>0</v>
      </c>
      <c r="O452" s="2">
        <v>0</v>
      </c>
      <c r="P452" s="2" t="e">
        <f t="shared" si="44"/>
        <v>#NUM!</v>
      </c>
      <c r="Q452" s="2">
        <f t="shared" si="45"/>
        <v>0.37390096630005903</v>
      </c>
      <c r="R452" s="2" t="e">
        <f t="shared" si="46"/>
        <v>#NUM!</v>
      </c>
      <c r="S452" t="e">
        <f t="shared" ref="S452:S515" si="47">P452/H452</f>
        <v>#NUM!</v>
      </c>
      <c r="U452" t="e">
        <v>#NUM!</v>
      </c>
    </row>
    <row r="453" spans="1:21" ht="13.9" x14ac:dyDescent="0.3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0.42</v>
      </c>
      <c r="H453" s="2" t="e">
        <f t="shared" si="42"/>
        <v>#NUM!</v>
      </c>
      <c r="I453" s="2">
        <f t="shared" si="43"/>
        <v>0.37390096630005903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0.54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ht="13.9" x14ac:dyDescent="0.3">
      <c r="A454" s="2" t="s">
        <v>471</v>
      </c>
      <c r="B454" s="2">
        <v>55.05</v>
      </c>
      <c r="C454" s="2">
        <v>32.200000000000003</v>
      </c>
      <c r="D454" s="2">
        <v>14.75</v>
      </c>
      <c r="E454" s="2">
        <v>10.07</v>
      </c>
      <c r="F454" s="2">
        <v>16.18</v>
      </c>
      <c r="G454" s="2">
        <v>11.17</v>
      </c>
      <c r="H454" s="2">
        <f t="shared" si="42"/>
        <v>1.4466876885054361</v>
      </c>
      <c r="I454" s="2">
        <f t="shared" si="43"/>
        <v>0.14264894142214396</v>
      </c>
      <c r="J454" s="2">
        <v>11.68</v>
      </c>
      <c r="K454" s="2">
        <v>27.42</v>
      </c>
      <c r="L454" s="2">
        <v>31.67</v>
      </c>
      <c r="M454" s="2">
        <v>13.17</v>
      </c>
      <c r="N454" s="2">
        <v>204.38</v>
      </c>
      <c r="O454" s="2">
        <v>8.8000000000000007</v>
      </c>
      <c r="P454" s="2">
        <f t="shared" si="44"/>
        <v>-1.6773454821745828</v>
      </c>
      <c r="Q454" s="2">
        <f t="shared" si="45"/>
        <v>0.46813332769161325</v>
      </c>
      <c r="R454" s="2">
        <f t="shared" si="46"/>
        <v>-3.1240331706800188</v>
      </c>
      <c r="S454">
        <f t="shared" si="47"/>
        <v>-1.1594385543623709</v>
      </c>
      <c r="U454">
        <v>6.1450660141858942</v>
      </c>
    </row>
    <row r="455" spans="1:21" ht="13.9" x14ac:dyDescent="0.3">
      <c r="A455" s="2" t="s">
        <v>472</v>
      </c>
      <c r="B455" s="2">
        <v>4.6100000000000003</v>
      </c>
      <c r="C455" s="2">
        <v>22.44</v>
      </c>
      <c r="D455" s="2">
        <v>3.82</v>
      </c>
      <c r="E455" s="2">
        <v>0.69</v>
      </c>
      <c r="F455" s="2">
        <v>2.67</v>
      </c>
      <c r="G455" s="2">
        <v>3.16</v>
      </c>
      <c r="H455" s="2">
        <f t="shared" si="42"/>
        <v>2.2432616133840471</v>
      </c>
      <c r="I455" s="2">
        <f t="shared" si="43"/>
        <v>0.25580575574608266</v>
      </c>
      <c r="J455" s="2">
        <v>8.44</v>
      </c>
      <c r="K455" s="2">
        <v>20.09</v>
      </c>
      <c r="L455" s="2">
        <v>14.58</v>
      </c>
      <c r="M455" s="2">
        <v>1.95</v>
      </c>
      <c r="N455" s="2">
        <v>0</v>
      </c>
      <c r="O455" s="2">
        <v>0.27</v>
      </c>
      <c r="P455" s="2">
        <f t="shared" si="44"/>
        <v>4.2793909808283868</v>
      </c>
      <c r="Q455" s="2">
        <f t="shared" si="45"/>
        <v>1.6320565669332394E-2</v>
      </c>
      <c r="R455" s="2">
        <f t="shared" si="46"/>
        <v>2.0361293674443397</v>
      </c>
      <c r="S455">
        <f t="shared" si="47"/>
        <v>1.907664694699946</v>
      </c>
      <c r="U455">
        <v>5.4299506574037677</v>
      </c>
    </row>
    <row r="456" spans="1:21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0.27</v>
      </c>
      <c r="P456" s="2" t="e">
        <f t="shared" si="44"/>
        <v>#NUM!</v>
      </c>
      <c r="Q456" s="2">
        <f t="shared" si="45"/>
        <v>0.37390096630005903</v>
      </c>
      <c r="R456" s="2" t="e">
        <f t="shared" si="46"/>
        <v>#NUM!</v>
      </c>
      <c r="S456" t="e">
        <f t="shared" si="47"/>
        <v>#NUM!</v>
      </c>
      <c r="U456" t="e">
        <v>#NUM!</v>
      </c>
    </row>
    <row r="457" spans="1:21" ht="13.9" x14ac:dyDescent="0.3">
      <c r="A457" s="2" t="s">
        <v>474</v>
      </c>
      <c r="B457" s="2">
        <v>5.6</v>
      </c>
      <c r="C457" s="2">
        <v>0</v>
      </c>
      <c r="D457" s="2">
        <v>0</v>
      </c>
      <c r="E457" s="2">
        <v>0</v>
      </c>
      <c r="F457" s="2">
        <v>0.13</v>
      </c>
      <c r="G457" s="2">
        <v>0</v>
      </c>
      <c r="H457" s="2">
        <f t="shared" si="42"/>
        <v>5.4288432988038737</v>
      </c>
      <c r="I457" s="2">
        <f t="shared" si="43"/>
        <v>0.38409907221424083</v>
      </c>
      <c r="J457" s="2">
        <v>0</v>
      </c>
      <c r="K457" s="2">
        <v>0</v>
      </c>
      <c r="L457" s="2">
        <v>0</v>
      </c>
      <c r="M457" s="2">
        <v>0.82</v>
      </c>
      <c r="N457" s="2">
        <v>0</v>
      </c>
      <c r="O457" s="2">
        <v>0.68</v>
      </c>
      <c r="P457" s="2" t="e">
        <f t="shared" si="44"/>
        <v>#NUM!</v>
      </c>
      <c r="Q457" s="2">
        <f t="shared" si="45"/>
        <v>0.11956990922285785</v>
      </c>
      <c r="R457" s="2" t="e">
        <f t="shared" si="46"/>
        <v>#NUM!</v>
      </c>
      <c r="S457" t="e">
        <f t="shared" si="47"/>
        <v>#NUM!</v>
      </c>
      <c r="U457" t="e">
        <v>#NUM!</v>
      </c>
    </row>
    <row r="458" spans="1:21" ht="13.9" x14ac:dyDescent="0.3">
      <c r="A458" s="2" t="s">
        <v>475</v>
      </c>
      <c r="B458" s="2">
        <v>0</v>
      </c>
      <c r="C458" s="2">
        <v>0</v>
      </c>
      <c r="D458" s="2">
        <v>0.18</v>
      </c>
      <c r="E458" s="2">
        <v>0</v>
      </c>
      <c r="F458" s="2">
        <v>0</v>
      </c>
      <c r="G458" s="2">
        <v>0.32</v>
      </c>
      <c r="H458" s="2">
        <f t="shared" si="42"/>
        <v>-0.83007499855768763</v>
      </c>
      <c r="I458" s="2">
        <f t="shared" si="43"/>
        <v>0.72235904489559877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0.95</v>
      </c>
      <c r="P458" s="2" t="e">
        <f t="shared" si="44"/>
        <v>#NUM!</v>
      </c>
      <c r="Q458" s="2">
        <f t="shared" si="45"/>
        <v>0.37390096630005903</v>
      </c>
      <c r="R458" s="2" t="e">
        <f t="shared" si="46"/>
        <v>#NUM!</v>
      </c>
      <c r="S458" t="e">
        <f t="shared" si="47"/>
        <v>#NUM!</v>
      </c>
      <c r="U458" t="e">
        <v>#NUM!</v>
      </c>
    </row>
    <row r="459" spans="1:21" ht="13.9" x14ac:dyDescent="0.3">
      <c r="A459" s="2" t="s">
        <v>476</v>
      </c>
      <c r="B459" s="2">
        <v>20.77</v>
      </c>
      <c r="C459" s="2">
        <v>34.15</v>
      </c>
      <c r="D459" s="2">
        <v>0.18</v>
      </c>
      <c r="E459" s="2">
        <v>2.27</v>
      </c>
      <c r="F459" s="2">
        <v>4.28</v>
      </c>
      <c r="G459" s="2">
        <v>2.63</v>
      </c>
      <c r="H459" s="2">
        <f t="shared" si="42"/>
        <v>2.5854862600447124</v>
      </c>
      <c r="I459" s="2">
        <f t="shared" si="43"/>
        <v>0.19693637402103595</v>
      </c>
      <c r="J459" s="2">
        <v>7.01</v>
      </c>
      <c r="K459" s="2">
        <v>20.93</v>
      </c>
      <c r="L459" s="2">
        <v>1.01</v>
      </c>
      <c r="M459" s="2">
        <v>1.75</v>
      </c>
      <c r="N459" s="2">
        <v>327.01</v>
      </c>
      <c r="O459" s="2">
        <v>1.35</v>
      </c>
      <c r="P459" s="2">
        <f t="shared" si="44"/>
        <v>-3.5113115893589866</v>
      </c>
      <c r="Q459" s="2">
        <f t="shared" si="45"/>
        <v>0.40779469401161578</v>
      </c>
      <c r="R459" s="2">
        <f t="shared" si="46"/>
        <v>-6.096797849403699</v>
      </c>
      <c r="S459">
        <f t="shared" si="47"/>
        <v>-1.3580855731556907</v>
      </c>
      <c r="U459">
        <v>4.8554914431018741</v>
      </c>
    </row>
    <row r="460" spans="1:21" ht="13.9" x14ac:dyDescent="0.3">
      <c r="A460" s="2" t="s">
        <v>477</v>
      </c>
      <c r="B460" s="2">
        <v>3.96</v>
      </c>
      <c r="C460" s="2">
        <v>10.49</v>
      </c>
      <c r="D460" s="2">
        <v>7.65</v>
      </c>
      <c r="E460" s="2">
        <v>7.21</v>
      </c>
      <c r="F460" s="2">
        <v>7.62</v>
      </c>
      <c r="G460" s="2">
        <v>3.37</v>
      </c>
      <c r="H460" s="2">
        <f t="shared" si="42"/>
        <v>0.28010791919273548</v>
      </c>
      <c r="I460" s="2">
        <f t="shared" si="43"/>
        <v>0.60588619252758913</v>
      </c>
      <c r="J460" s="2">
        <v>0</v>
      </c>
      <c r="K460" s="2">
        <v>2.2999999999999998</v>
      </c>
      <c r="L460" s="2">
        <v>8.5500000000000007</v>
      </c>
      <c r="M460" s="2">
        <v>2.98</v>
      </c>
      <c r="N460" s="2">
        <v>0</v>
      </c>
      <c r="O460" s="2">
        <v>5.55</v>
      </c>
      <c r="P460" s="2">
        <f t="shared" si="44"/>
        <v>0.34707739601355175</v>
      </c>
      <c r="Q460" s="2">
        <f t="shared" si="45"/>
        <v>0.81028744411067888</v>
      </c>
      <c r="R460" s="2">
        <f t="shared" si="46"/>
        <v>6.6969476820816276E-2</v>
      </c>
      <c r="S460">
        <f t="shared" si="47"/>
        <v>1.2390845536028425</v>
      </c>
      <c r="U460">
        <v>3.4396231375571173</v>
      </c>
    </row>
    <row r="461" spans="1:21" ht="13.9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42"/>
        <v>#DIV/0!</v>
      </c>
      <c r="I461" s="2" t="e">
        <f t="shared" si="43"/>
        <v>#DIV/0!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ht="13.9" x14ac:dyDescent="0.3">
      <c r="A462" s="2" t="s">
        <v>479</v>
      </c>
      <c r="B462" s="2">
        <v>3.3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>
        <f t="shared" si="43"/>
        <v>0.37390096630005903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 t="e">
        <f t="shared" si="45"/>
        <v>#DIV/0!</v>
      </c>
      <c r="R462" s="2" t="e">
        <f t="shared" si="46"/>
        <v>#DIV/0!</v>
      </c>
      <c r="S462" t="e">
        <f t="shared" si="47"/>
        <v>#DIV/0!</v>
      </c>
      <c r="U462" t="e">
        <v>#NUM!</v>
      </c>
    </row>
    <row r="463" spans="1:21" ht="13.9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0.53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1.76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ht="13.9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1.58</v>
      </c>
      <c r="F464" s="2">
        <v>0</v>
      </c>
      <c r="G464" s="2">
        <v>0.42</v>
      </c>
      <c r="H464" s="2" t="e">
        <f t="shared" si="42"/>
        <v>#NUM!</v>
      </c>
      <c r="I464" s="2">
        <f t="shared" si="43"/>
        <v>0.23108355581308498</v>
      </c>
      <c r="J464" s="2">
        <v>0</v>
      </c>
      <c r="K464" s="2">
        <v>0</v>
      </c>
      <c r="L464" s="2">
        <v>0</v>
      </c>
      <c r="M464" s="2">
        <v>0.62</v>
      </c>
      <c r="N464" s="2">
        <v>0</v>
      </c>
      <c r="O464" s="2">
        <v>0</v>
      </c>
      <c r="P464" s="2" t="e">
        <f t="shared" si="44"/>
        <v>#NUM!</v>
      </c>
      <c r="Q464" s="2">
        <f t="shared" si="45"/>
        <v>0.37390096630005903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 t="e">
        <f t="shared" si="42"/>
        <v>#NUM!</v>
      </c>
      <c r="I465" s="2">
        <f t="shared" si="43"/>
        <v>0.37390096630005903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f t="shared" si="44"/>
        <v>#DIV/0!</v>
      </c>
      <c r="Q465" s="2" t="e">
        <f t="shared" si="45"/>
        <v>#DIV/0!</v>
      </c>
      <c r="R465" s="2" t="e">
        <f t="shared" si="46"/>
        <v>#DIV/0!</v>
      </c>
      <c r="S465" t="e">
        <f t="shared" si="47"/>
        <v>#DIV/0!</v>
      </c>
      <c r="U465" t="e">
        <v>#NUM!</v>
      </c>
    </row>
    <row r="466" spans="1:21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0.41</v>
      </c>
      <c r="P466" s="2" t="e">
        <f t="shared" si="44"/>
        <v>#NUM!</v>
      </c>
      <c r="Q466" s="2">
        <f t="shared" si="45"/>
        <v>0.37390096630005903</v>
      </c>
      <c r="R466" s="2" t="e">
        <f t="shared" si="46"/>
        <v>#NUM!</v>
      </c>
      <c r="S466" t="e">
        <f t="shared" si="47"/>
        <v>#NUM!</v>
      </c>
      <c r="U466" t="e">
        <v>#NUM!</v>
      </c>
    </row>
    <row r="467" spans="1:21" ht="13.9" x14ac:dyDescent="0.3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 t="e">
        <f t="shared" si="43"/>
        <v>#DIV/0!</v>
      </c>
      <c r="J467" s="2">
        <v>0.36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>
        <f t="shared" si="45"/>
        <v>0.37390096630005903</v>
      </c>
      <c r="R467" s="2" t="e">
        <f t="shared" si="46"/>
        <v>#DIV/0!</v>
      </c>
      <c r="S467" t="e">
        <f t="shared" si="47"/>
        <v>#DIV/0!</v>
      </c>
      <c r="U467">
        <v>-1.4739311883324124</v>
      </c>
    </row>
    <row r="468" spans="1:21" ht="13.9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0.51</v>
      </c>
      <c r="N468" s="2">
        <v>0</v>
      </c>
      <c r="O468" s="2">
        <v>0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ht="13.9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1.0900000000000001</v>
      </c>
      <c r="F469" s="2">
        <v>0.67</v>
      </c>
      <c r="G469" s="2">
        <v>0.95</v>
      </c>
      <c r="H469" s="2" t="e">
        <f t="shared" si="42"/>
        <v>#NUM!</v>
      </c>
      <c r="I469" s="2">
        <f t="shared" si="43"/>
        <v>1.8566942072259797E-3</v>
      </c>
      <c r="J469" s="2">
        <v>0</v>
      </c>
      <c r="K469" s="2">
        <v>0</v>
      </c>
      <c r="L469" s="2">
        <v>0</v>
      </c>
      <c r="M469" s="2">
        <v>0.82</v>
      </c>
      <c r="N469" s="2">
        <v>0</v>
      </c>
      <c r="O469" s="2">
        <v>0.27</v>
      </c>
      <c r="P469" s="2" t="e">
        <f t="shared" si="44"/>
        <v>#NUM!</v>
      </c>
      <c r="Q469" s="2">
        <f t="shared" si="45"/>
        <v>0.20654992188403973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ht="13.9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f t="shared" si="44"/>
        <v>#DIV/0!</v>
      </c>
      <c r="Q470" s="2" t="e">
        <f t="shared" si="45"/>
        <v>#DIV/0!</v>
      </c>
      <c r="R470" s="2" t="e">
        <f t="shared" si="46"/>
        <v>#DIV/0!</v>
      </c>
      <c r="S470" t="e">
        <f t="shared" si="47"/>
        <v>#DIV/0!</v>
      </c>
      <c r="U470" t="e">
        <v>#NUM!</v>
      </c>
    </row>
    <row r="471" spans="1:21" ht="13.9" x14ac:dyDescent="0.3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42"/>
        <v>#DIV/0!</v>
      </c>
      <c r="I471" s="2" t="e">
        <f t="shared" si="43"/>
        <v>#DIV/0!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ht="13.9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3.06</v>
      </c>
      <c r="F472" s="2">
        <v>1.2</v>
      </c>
      <c r="G472" s="2">
        <v>0.74</v>
      </c>
      <c r="H472" s="2" t="e">
        <f t="shared" si="42"/>
        <v>#NUM!</v>
      </c>
      <c r="I472" s="2">
        <f t="shared" si="43"/>
        <v>7.8512334704273087E-2</v>
      </c>
      <c r="J472" s="2">
        <v>0</v>
      </c>
      <c r="K472" s="2">
        <v>0</v>
      </c>
      <c r="L472" s="2">
        <v>0</v>
      </c>
      <c r="M472" s="2">
        <v>2.88</v>
      </c>
      <c r="N472" s="2">
        <v>0</v>
      </c>
      <c r="O472" s="2">
        <v>0</v>
      </c>
      <c r="P472" s="2" t="e">
        <f t="shared" si="44"/>
        <v>#NUM!</v>
      </c>
      <c r="Q472" s="2">
        <f t="shared" si="45"/>
        <v>0.37390096630005903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ht="13.9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42"/>
        <v>#DIV/0!</v>
      </c>
      <c r="I473" s="2" t="e">
        <f t="shared" si="43"/>
        <v>#DIV/0!</v>
      </c>
      <c r="J473" s="2">
        <v>0</v>
      </c>
      <c r="K473" s="2">
        <v>0</v>
      </c>
      <c r="L473" s="2">
        <v>3.52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>
        <f t="shared" si="45"/>
        <v>0.37390096630005903</v>
      </c>
      <c r="R473" s="2" t="e">
        <f t="shared" si="46"/>
        <v>#DIV/0!</v>
      </c>
      <c r="S473" t="e">
        <f t="shared" si="47"/>
        <v>#DIV/0!</v>
      </c>
      <c r="U473">
        <v>1.8155754288625725</v>
      </c>
    </row>
    <row r="474" spans="1:21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 t="e">
        <f t="shared" si="42"/>
        <v>#NUM!</v>
      </c>
      <c r="I474" s="2">
        <f t="shared" si="43"/>
        <v>0.37390096630005903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f t="shared" si="44"/>
        <v>#DIV/0!</v>
      </c>
      <c r="Q474" s="2" t="e">
        <f t="shared" si="45"/>
        <v>#DIV/0!</v>
      </c>
      <c r="R474" s="2" t="e">
        <f t="shared" si="46"/>
        <v>#DIV/0!</v>
      </c>
      <c r="S474" t="e">
        <f t="shared" si="47"/>
        <v>#DIV/0!</v>
      </c>
      <c r="U474" t="e">
        <v>#NUM!</v>
      </c>
    </row>
    <row r="475" spans="1:21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 t="e">
        <f t="shared" si="42"/>
        <v>#NUM!</v>
      </c>
      <c r="I475" s="2">
        <f t="shared" si="43"/>
        <v>0.37390096630005903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0.68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ht="13.9" x14ac:dyDescent="0.3">
      <c r="A476" s="2" t="s">
        <v>493</v>
      </c>
      <c r="B476" s="2">
        <v>10.55</v>
      </c>
      <c r="C476" s="2">
        <v>0</v>
      </c>
      <c r="D476" s="2">
        <v>0</v>
      </c>
      <c r="E476" s="2">
        <v>0.59</v>
      </c>
      <c r="F476" s="2">
        <v>1.34</v>
      </c>
      <c r="G476" s="2">
        <v>0</v>
      </c>
      <c r="H476" s="2">
        <f t="shared" si="42"/>
        <v>2.4505702463264671</v>
      </c>
      <c r="I476" s="2">
        <f t="shared" si="43"/>
        <v>0.46227750596975176</v>
      </c>
      <c r="J476" s="2">
        <v>0.18</v>
      </c>
      <c r="K476" s="2">
        <v>0</v>
      </c>
      <c r="L476" s="2">
        <v>0</v>
      </c>
      <c r="M476" s="2">
        <v>0.21</v>
      </c>
      <c r="N476" s="2">
        <v>0</v>
      </c>
      <c r="O476" s="2">
        <v>0</v>
      </c>
      <c r="P476" s="2">
        <f t="shared" si="44"/>
        <v>-0.22239242133644802</v>
      </c>
      <c r="Q476" s="2">
        <f t="shared" si="45"/>
        <v>0.91884984911766754</v>
      </c>
      <c r="R476" s="2">
        <f t="shared" si="46"/>
        <v>-2.6729626676629152</v>
      </c>
      <c r="S476">
        <f t="shared" si="47"/>
        <v>-9.0751294181354678E-2</v>
      </c>
      <c r="U476">
        <v>-2.4739311883324122</v>
      </c>
    </row>
    <row r="477" spans="1:21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 t="e">
        <f t="shared" si="42"/>
        <v>#NUM!</v>
      </c>
      <c r="I477" s="2">
        <f t="shared" si="43"/>
        <v>0.37390096630005903</v>
      </c>
      <c r="J477" s="2">
        <v>0</v>
      </c>
      <c r="K477" s="2">
        <v>0</v>
      </c>
      <c r="L477" s="2">
        <v>0</v>
      </c>
      <c r="M477" s="2">
        <v>0.1</v>
      </c>
      <c r="N477" s="2">
        <v>0</v>
      </c>
      <c r="O477" s="2">
        <v>0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ht="13.9" x14ac:dyDescent="0.3">
      <c r="A478" s="2" t="s">
        <v>495</v>
      </c>
      <c r="B478" s="2">
        <v>0</v>
      </c>
      <c r="C478" s="2">
        <v>4.88</v>
      </c>
      <c r="D478" s="2">
        <v>3.64</v>
      </c>
      <c r="E478" s="2">
        <v>0</v>
      </c>
      <c r="F478" s="2">
        <v>0</v>
      </c>
      <c r="G478" s="2">
        <v>0.95</v>
      </c>
      <c r="H478" s="2">
        <f t="shared" si="42"/>
        <v>3.1648540118948909</v>
      </c>
      <c r="I478" s="2">
        <f t="shared" si="43"/>
        <v>0.16743471515120645</v>
      </c>
      <c r="J478" s="2">
        <v>3.23</v>
      </c>
      <c r="K478" s="2">
        <v>1.26</v>
      </c>
      <c r="L478" s="2">
        <v>3.52</v>
      </c>
      <c r="M478" s="2">
        <v>1.1299999999999999</v>
      </c>
      <c r="N478" s="2">
        <v>899.28</v>
      </c>
      <c r="O478" s="2">
        <v>0.68</v>
      </c>
      <c r="P478" s="2">
        <f t="shared" si="44"/>
        <v>-6.8137251553651135</v>
      </c>
      <c r="Q478" s="2">
        <f t="shared" si="45"/>
        <v>0.37644010739418665</v>
      </c>
      <c r="R478" s="2">
        <f t="shared" si="46"/>
        <v>-9.9785791672600048</v>
      </c>
      <c r="S478">
        <f t="shared" si="47"/>
        <v>-2.1529350579066793</v>
      </c>
      <c r="U478">
        <v>3.0018022426339854</v>
      </c>
    </row>
    <row r="479" spans="1:21" ht="13.9" x14ac:dyDescent="0.3">
      <c r="A479" s="2" t="s">
        <v>496</v>
      </c>
      <c r="B479" s="2">
        <v>0</v>
      </c>
      <c r="C479" s="2">
        <v>0</v>
      </c>
      <c r="D479" s="2">
        <v>4.55</v>
      </c>
      <c r="E479" s="2">
        <v>0</v>
      </c>
      <c r="F479" s="2">
        <v>0.13</v>
      </c>
      <c r="G479" s="2">
        <v>0</v>
      </c>
      <c r="H479" s="2">
        <f t="shared" si="42"/>
        <v>5.1292830169449664</v>
      </c>
      <c r="I479" s="2">
        <f t="shared" si="43"/>
        <v>0.38651832347827414</v>
      </c>
      <c r="J479" s="2">
        <v>0</v>
      </c>
      <c r="K479" s="2">
        <v>0</v>
      </c>
      <c r="L479" s="2">
        <v>0</v>
      </c>
      <c r="M479" s="2">
        <v>0.31</v>
      </c>
      <c r="N479" s="2">
        <v>204.38</v>
      </c>
      <c r="O479" s="2">
        <v>0.41</v>
      </c>
      <c r="P479" s="2" t="e">
        <f t="shared" si="44"/>
        <v>#NUM!</v>
      </c>
      <c r="Q479" s="2">
        <f t="shared" si="45"/>
        <v>0.37163434150090968</v>
      </c>
      <c r="R479" s="2" t="e">
        <f t="shared" si="46"/>
        <v>#NUM!</v>
      </c>
      <c r="S479" t="e">
        <f t="shared" si="47"/>
        <v>#NUM!</v>
      </c>
      <c r="U479" t="e">
        <v>#NUM!</v>
      </c>
    </row>
    <row r="480" spans="1:21" ht="13.9" x14ac:dyDescent="0.3">
      <c r="A480" s="2" t="s">
        <v>497</v>
      </c>
      <c r="B480" s="2">
        <v>0</v>
      </c>
      <c r="C480" s="2">
        <v>0.98</v>
      </c>
      <c r="D480" s="2">
        <v>3.82</v>
      </c>
      <c r="E480" s="2">
        <v>1.18</v>
      </c>
      <c r="F480" s="2">
        <v>1.6</v>
      </c>
      <c r="G480" s="2">
        <v>0.42</v>
      </c>
      <c r="H480" s="2">
        <f t="shared" si="42"/>
        <v>0.58496250072115596</v>
      </c>
      <c r="I480" s="2">
        <f t="shared" si="43"/>
        <v>0.67882023288896054</v>
      </c>
      <c r="J480" s="2">
        <v>0</v>
      </c>
      <c r="K480" s="2">
        <v>0</v>
      </c>
      <c r="L480" s="2">
        <v>0.5</v>
      </c>
      <c r="M480" s="2">
        <v>0</v>
      </c>
      <c r="N480" s="2">
        <v>0</v>
      </c>
      <c r="O480" s="2">
        <v>0.14000000000000001</v>
      </c>
      <c r="P480" s="2">
        <f t="shared" si="44"/>
        <v>1.8365012677171204</v>
      </c>
      <c r="Q480" s="2">
        <f t="shared" si="45"/>
        <v>0.5262549116472891</v>
      </c>
      <c r="R480" s="2">
        <f t="shared" si="46"/>
        <v>1.2515387669959646</v>
      </c>
      <c r="S480">
        <f t="shared" si="47"/>
        <v>3.1395196537436796</v>
      </c>
      <c r="U480">
        <v>-1</v>
      </c>
    </row>
    <row r="481" spans="1:21" ht="13.9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f t="shared" si="44"/>
        <v>#DIV/0!</v>
      </c>
      <c r="Q481" s="2" t="e">
        <f t="shared" si="45"/>
        <v>#DIV/0!</v>
      </c>
      <c r="R481" s="2" t="e">
        <f t="shared" si="46"/>
        <v>#DIV/0!</v>
      </c>
      <c r="S481" t="e">
        <f t="shared" si="47"/>
        <v>#DIV/0!</v>
      </c>
      <c r="U481" t="e">
        <v>#NUM!</v>
      </c>
    </row>
    <row r="482" spans="1:21" ht="13.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0.21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>
        <f t="shared" si="45"/>
        <v>0.37390096630005903</v>
      </c>
      <c r="R482" s="2" t="e">
        <f t="shared" si="46"/>
        <v>#DIV/0!</v>
      </c>
      <c r="S482" t="e">
        <f t="shared" si="47"/>
        <v>#DIV/0!</v>
      </c>
      <c r="U482">
        <v>-2.2515387669959646</v>
      </c>
    </row>
    <row r="483" spans="1:21" ht="13.9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42"/>
        <v>#DIV/0!</v>
      </c>
      <c r="I483" s="2" t="e">
        <f t="shared" si="43"/>
        <v>#DIV/0!</v>
      </c>
      <c r="J483" s="2">
        <v>0</v>
      </c>
      <c r="K483" s="2">
        <v>0</v>
      </c>
      <c r="L483" s="2">
        <v>0</v>
      </c>
      <c r="M483" s="2">
        <v>0.62</v>
      </c>
      <c r="N483" s="2">
        <v>0</v>
      </c>
      <c r="O483" s="2">
        <v>0</v>
      </c>
      <c r="P483" s="2" t="e">
        <f t="shared" si="44"/>
        <v>#NUM!</v>
      </c>
      <c r="Q483" s="2">
        <f t="shared" si="45"/>
        <v>0.37390096630005903</v>
      </c>
      <c r="R483" s="2" t="e">
        <f t="shared" si="46"/>
        <v>#NUM!</v>
      </c>
      <c r="S483" t="e">
        <f t="shared" si="47"/>
        <v>#NUM!</v>
      </c>
      <c r="U483" t="e">
        <v>#NUM!</v>
      </c>
    </row>
    <row r="484" spans="1:21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 t="e">
        <f t="shared" si="42"/>
        <v>#NUM!</v>
      </c>
      <c r="I484" s="2">
        <f t="shared" si="43"/>
        <v>0.37390096630005903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f t="shared" si="44"/>
        <v>#DIV/0!</v>
      </c>
      <c r="Q484" s="2" t="e">
        <f t="shared" si="45"/>
        <v>#DIV/0!</v>
      </c>
      <c r="R484" s="2" t="e">
        <f t="shared" si="46"/>
        <v>#DIV/0!</v>
      </c>
      <c r="S484" t="e">
        <f t="shared" si="47"/>
        <v>#DIV/0!</v>
      </c>
      <c r="U484" t="e">
        <v>#NUM!</v>
      </c>
    </row>
    <row r="485" spans="1:21" ht="13.9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42"/>
        <v>#DIV/0!</v>
      </c>
      <c r="I485" s="2" t="e">
        <f t="shared" si="43"/>
        <v>#DIV/0!</v>
      </c>
      <c r="J485" s="2">
        <v>10.24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>
        <f t="shared" si="45"/>
        <v>0.37390096630005903</v>
      </c>
      <c r="R485" s="2" t="e">
        <f t="shared" si="46"/>
        <v>#DIV/0!</v>
      </c>
      <c r="S485" t="e">
        <f t="shared" si="47"/>
        <v>#DIV/0!</v>
      </c>
      <c r="U485">
        <v>3.3561438102252756</v>
      </c>
    </row>
    <row r="486" spans="1:21" ht="13.9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42"/>
        <v>#DIV/0!</v>
      </c>
      <c r="I486" s="2" t="e">
        <f t="shared" si="43"/>
        <v>#DIV/0!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ht="13.9" x14ac:dyDescent="0.3">
      <c r="A487" s="2" t="s">
        <v>504</v>
      </c>
      <c r="B487" s="2">
        <v>0</v>
      </c>
      <c r="C487" s="2">
        <v>3.66</v>
      </c>
      <c r="D487" s="2">
        <v>0</v>
      </c>
      <c r="E487" s="2">
        <v>4.24</v>
      </c>
      <c r="F487" s="2">
        <v>3.88</v>
      </c>
      <c r="G487" s="2">
        <v>6.96</v>
      </c>
      <c r="H487" s="2">
        <f t="shared" si="42"/>
        <v>-2.0427208749846217</v>
      </c>
      <c r="I487" s="2">
        <f t="shared" si="43"/>
        <v>7.1197007211961344E-2</v>
      </c>
      <c r="J487" s="2">
        <v>3.41</v>
      </c>
      <c r="K487" s="2">
        <v>0</v>
      </c>
      <c r="L487" s="2">
        <v>0</v>
      </c>
      <c r="M487" s="2">
        <v>2.88</v>
      </c>
      <c r="N487" s="2">
        <v>0</v>
      </c>
      <c r="O487" s="2">
        <v>5.82</v>
      </c>
      <c r="P487" s="2">
        <f t="shared" si="44"/>
        <v>-1.3512436617119181</v>
      </c>
      <c r="Q487" s="2">
        <f t="shared" si="45"/>
        <v>0.43374506226376397</v>
      </c>
      <c r="R487" s="2">
        <f t="shared" si="46"/>
        <v>0.69147721327270362</v>
      </c>
      <c r="S487">
        <f t="shared" si="47"/>
        <v>0.66149207082543315</v>
      </c>
      <c r="U487">
        <v>1.7697717392494476</v>
      </c>
    </row>
    <row r="488" spans="1:21" ht="13.9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0.99</v>
      </c>
      <c r="F488" s="2">
        <v>0.8</v>
      </c>
      <c r="G488" s="2">
        <v>1.1599999999999999</v>
      </c>
      <c r="H488" s="2" t="e">
        <f t="shared" si="42"/>
        <v>#NUM!</v>
      </c>
      <c r="I488" s="2">
        <f t="shared" si="43"/>
        <v>6.9725478712508724E-4</v>
      </c>
      <c r="J488" s="2">
        <v>0</v>
      </c>
      <c r="K488" s="2">
        <v>0</v>
      </c>
      <c r="L488" s="2">
        <v>0</v>
      </c>
      <c r="M488" s="2">
        <v>0.51</v>
      </c>
      <c r="N488" s="2">
        <v>0</v>
      </c>
      <c r="O488" s="2">
        <v>0.54</v>
      </c>
      <c r="P488" s="2" t="e">
        <f t="shared" si="44"/>
        <v>#NUM!</v>
      </c>
      <c r="Q488" s="2">
        <f t="shared" si="45"/>
        <v>0.11644111590956105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ht="13.9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0.1</v>
      </c>
      <c r="F489" s="2">
        <v>0</v>
      </c>
      <c r="G489" s="2">
        <v>0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f t="shared" si="44"/>
        <v>#DIV/0!</v>
      </c>
      <c r="Q489" s="2" t="e">
        <f t="shared" si="45"/>
        <v>#DIV/0!</v>
      </c>
      <c r="R489" s="2" t="e">
        <f t="shared" si="46"/>
        <v>#DIV/0!</v>
      </c>
      <c r="S489" t="e">
        <f t="shared" si="47"/>
        <v>#DIV/0!</v>
      </c>
      <c r="U489" t="e">
        <v>#NUM!</v>
      </c>
    </row>
    <row r="490" spans="1:21" ht="13.9" x14ac:dyDescent="0.3">
      <c r="A490" s="2" t="s">
        <v>507</v>
      </c>
      <c r="B490" s="2">
        <v>0</v>
      </c>
      <c r="C490" s="2">
        <v>0</v>
      </c>
      <c r="D490" s="2">
        <v>0</v>
      </c>
      <c r="E490" s="2">
        <v>0.59</v>
      </c>
      <c r="F490" s="2">
        <v>0.53</v>
      </c>
      <c r="G490" s="2">
        <v>1.37</v>
      </c>
      <c r="H490" s="2" t="e">
        <f t="shared" si="42"/>
        <v>#NUM!</v>
      </c>
      <c r="I490" s="2">
        <f t="shared" si="43"/>
        <v>3.7374182745025596E-2</v>
      </c>
      <c r="J490" s="2">
        <v>0</v>
      </c>
      <c r="K490" s="2">
        <v>0</v>
      </c>
      <c r="L490" s="2">
        <v>0</v>
      </c>
      <c r="M490" s="2">
        <v>0.31</v>
      </c>
      <c r="N490" s="2">
        <v>0</v>
      </c>
      <c r="O490" s="2">
        <v>0.41</v>
      </c>
      <c r="P490" s="2" t="e">
        <f t="shared" si="44"/>
        <v>#NUM!</v>
      </c>
      <c r="Q490" s="2">
        <f t="shared" si="45"/>
        <v>0.12373238021215915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ht="13.9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42"/>
        <v>#DIV/0!</v>
      </c>
      <c r="I491" s="2" t="e">
        <f t="shared" si="43"/>
        <v>#DIV/0!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ht="13.9" x14ac:dyDescent="0.3">
      <c r="A492" s="2" t="s">
        <v>509</v>
      </c>
      <c r="B492" s="2">
        <v>0</v>
      </c>
      <c r="C492" s="2">
        <v>0</v>
      </c>
      <c r="D492" s="2">
        <v>0</v>
      </c>
      <c r="E492" s="2">
        <v>0.3</v>
      </c>
      <c r="F492" s="2">
        <v>0</v>
      </c>
      <c r="G492" s="2">
        <v>2.21</v>
      </c>
      <c r="H492" s="2" t="e">
        <f t="shared" si="42"/>
        <v>#NUM!</v>
      </c>
      <c r="I492" s="2">
        <f t="shared" si="43"/>
        <v>0.29328221279686922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 t="e">
        <f t="shared" si="44"/>
        <v>#DIV/0!</v>
      </c>
      <c r="Q492" s="2" t="e">
        <f t="shared" si="45"/>
        <v>#DIV/0!</v>
      </c>
      <c r="R492" s="2" t="e">
        <f t="shared" si="46"/>
        <v>#DIV/0!</v>
      </c>
      <c r="S492" t="e">
        <f t="shared" si="47"/>
        <v>#DIV/0!</v>
      </c>
      <c r="U492" t="e">
        <v>#NUM!</v>
      </c>
    </row>
    <row r="493" spans="1:21" ht="13.9" x14ac:dyDescent="0.3">
      <c r="A493" s="2" t="s">
        <v>510</v>
      </c>
      <c r="B493" s="2">
        <v>11.87</v>
      </c>
      <c r="C493" s="2">
        <v>15.61</v>
      </c>
      <c r="D493" s="2">
        <v>49.34</v>
      </c>
      <c r="E493" s="2">
        <v>65.05</v>
      </c>
      <c r="F493" s="2">
        <v>49.07</v>
      </c>
      <c r="G493" s="2">
        <v>53.11</v>
      </c>
      <c r="H493" s="2">
        <f t="shared" si="42"/>
        <v>-1.1222798119828716</v>
      </c>
      <c r="I493" s="2">
        <f t="shared" si="43"/>
        <v>7.884571997691836E-2</v>
      </c>
      <c r="J493" s="2">
        <v>11.5</v>
      </c>
      <c r="K493" s="2">
        <v>43.32</v>
      </c>
      <c r="L493" s="2">
        <v>41.73</v>
      </c>
      <c r="M493" s="2">
        <v>50.52</v>
      </c>
      <c r="N493" s="2">
        <v>0</v>
      </c>
      <c r="O493" s="2">
        <v>64.56</v>
      </c>
      <c r="P493" s="2">
        <f t="shared" si="44"/>
        <v>-0.25328896190127453</v>
      </c>
      <c r="Q493" s="2">
        <f t="shared" si="45"/>
        <v>0.79434807334707258</v>
      </c>
      <c r="R493" s="2">
        <f t="shared" si="46"/>
        <v>0.86899085008159704</v>
      </c>
      <c r="S493">
        <f t="shared" si="47"/>
        <v>0.22569145341192351</v>
      </c>
      <c r="U493">
        <v>6.5932043540632881</v>
      </c>
    </row>
    <row r="494" spans="1:21" ht="13.9" x14ac:dyDescent="0.3">
      <c r="A494" s="2" t="s">
        <v>511</v>
      </c>
      <c r="B494" s="2">
        <v>339.83</v>
      </c>
      <c r="C494" s="2">
        <v>161.99</v>
      </c>
      <c r="D494" s="2">
        <v>352.84</v>
      </c>
      <c r="E494" s="2">
        <v>369.39</v>
      </c>
      <c r="F494" s="2">
        <v>238.53</v>
      </c>
      <c r="G494" s="2">
        <v>318.05</v>
      </c>
      <c r="H494" s="2">
        <f t="shared" si="42"/>
        <v>-0.11561485054070461</v>
      </c>
      <c r="I494" s="2">
        <f t="shared" si="43"/>
        <v>0.759082611469869</v>
      </c>
      <c r="J494" s="2">
        <v>129.71</v>
      </c>
      <c r="K494" s="2">
        <v>328.57</v>
      </c>
      <c r="L494" s="2">
        <v>268.45999999999998</v>
      </c>
      <c r="M494" s="2">
        <v>266.38</v>
      </c>
      <c r="N494" s="2">
        <v>163.51</v>
      </c>
      <c r="O494" s="2">
        <v>304.13</v>
      </c>
      <c r="P494" s="2">
        <f t="shared" si="44"/>
        <v>-1.438005812452663E-2</v>
      </c>
      <c r="Q494" s="2">
        <f t="shared" si="45"/>
        <v>0.9748463906701097</v>
      </c>
      <c r="R494" s="2">
        <f t="shared" si="46"/>
        <v>0.10123479241617798</v>
      </c>
      <c r="S494">
        <f t="shared" si="47"/>
        <v>0.12437898814273718</v>
      </c>
      <c r="U494">
        <v>9.5052955046747094</v>
      </c>
    </row>
    <row r="495" spans="1:21" ht="13.9" x14ac:dyDescent="0.3">
      <c r="A495" s="2" t="s">
        <v>512</v>
      </c>
      <c r="B495" s="2">
        <v>0.33</v>
      </c>
      <c r="C495" s="2">
        <v>0.24</v>
      </c>
      <c r="D495" s="2">
        <v>0</v>
      </c>
      <c r="E495" s="2">
        <v>0</v>
      </c>
      <c r="F495" s="2">
        <v>0</v>
      </c>
      <c r="G495" s="2">
        <v>0.11</v>
      </c>
      <c r="H495" s="2">
        <f t="shared" si="42"/>
        <v>2.3734583955274449</v>
      </c>
      <c r="I495" s="2">
        <f t="shared" si="43"/>
        <v>0.21831936970950383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f t="shared" si="44"/>
        <v>#DIV/0!</v>
      </c>
      <c r="Q495" s="2" t="e">
        <f t="shared" si="45"/>
        <v>#DIV/0!</v>
      </c>
      <c r="R495" s="2" t="e">
        <f t="shared" si="46"/>
        <v>#DIV/0!</v>
      </c>
      <c r="S495" t="e">
        <f t="shared" si="47"/>
        <v>#DIV/0!</v>
      </c>
      <c r="U495" t="e">
        <v>#NUM!</v>
      </c>
    </row>
    <row r="496" spans="1:21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 t="e">
        <f t="shared" si="42"/>
        <v>#NUM!</v>
      </c>
      <c r="I496" s="2">
        <f t="shared" si="43"/>
        <v>0.37390096630005903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f t="shared" si="44"/>
        <v>#DIV/0!</v>
      </c>
      <c r="Q496" s="2" t="e">
        <f t="shared" si="45"/>
        <v>#DIV/0!</v>
      </c>
      <c r="R496" s="2" t="e">
        <f t="shared" si="46"/>
        <v>#DIV/0!</v>
      </c>
      <c r="S496" t="e">
        <f t="shared" si="47"/>
        <v>#DIV/0!</v>
      </c>
      <c r="U496" t="e">
        <v>#NUM!</v>
      </c>
    </row>
    <row r="497" spans="1:21" ht="13.9" x14ac:dyDescent="0.3">
      <c r="A497" s="2" t="s">
        <v>514</v>
      </c>
      <c r="B497" s="2">
        <v>0</v>
      </c>
      <c r="C497" s="2">
        <v>1.95</v>
      </c>
      <c r="D497" s="2">
        <v>0.18</v>
      </c>
      <c r="E497" s="2">
        <v>0</v>
      </c>
      <c r="F497" s="2">
        <v>0</v>
      </c>
      <c r="G497" s="2">
        <v>0</v>
      </c>
      <c r="H497" s="2" t="e">
        <f t="shared" si="42"/>
        <v>#DIV/0!</v>
      </c>
      <c r="I497" s="2">
        <f t="shared" si="43"/>
        <v>0.31748324238639619</v>
      </c>
      <c r="J497" s="2">
        <v>0</v>
      </c>
      <c r="K497" s="2">
        <v>0</v>
      </c>
      <c r="L497" s="2">
        <v>0</v>
      </c>
      <c r="M497" s="2">
        <v>0</v>
      </c>
      <c r="N497" s="2">
        <v>204.38</v>
      </c>
      <c r="O497" s="2">
        <v>0</v>
      </c>
      <c r="P497" s="2" t="e">
        <f t="shared" si="44"/>
        <v>#NUM!</v>
      </c>
      <c r="Q497" s="2">
        <f t="shared" si="45"/>
        <v>0.37390096630005903</v>
      </c>
      <c r="R497" s="2" t="e">
        <f t="shared" si="46"/>
        <v>#NUM!</v>
      </c>
      <c r="S497" t="e">
        <f t="shared" si="47"/>
        <v>#NUM!</v>
      </c>
      <c r="U497" t="e">
        <v>#NUM!</v>
      </c>
    </row>
    <row r="498" spans="1:21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 t="e">
        <f t="shared" si="42"/>
        <v>#NUM!</v>
      </c>
      <c r="I498" s="2">
        <f t="shared" si="43"/>
        <v>0.37390096630005903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 t="e">
        <f t="shared" si="44"/>
        <v>#DIV/0!</v>
      </c>
      <c r="Q498" s="2" t="e">
        <f t="shared" si="45"/>
        <v>#DIV/0!</v>
      </c>
      <c r="R498" s="2" t="e">
        <f t="shared" si="46"/>
        <v>#DIV/0!</v>
      </c>
      <c r="S498" t="e">
        <f t="shared" si="47"/>
        <v>#DIV/0!</v>
      </c>
      <c r="U498" t="e">
        <v>#NUM!</v>
      </c>
    </row>
    <row r="499" spans="1:21" ht="13.9" x14ac:dyDescent="0.3">
      <c r="A499" s="2" t="s">
        <v>516</v>
      </c>
      <c r="B499" s="2">
        <v>0.33</v>
      </c>
      <c r="C499" s="2">
        <v>4.1500000000000004</v>
      </c>
      <c r="D499" s="2">
        <v>8.01</v>
      </c>
      <c r="E499" s="2">
        <v>1.78</v>
      </c>
      <c r="F499" s="2">
        <v>0.53</v>
      </c>
      <c r="G499" s="2">
        <v>1.48</v>
      </c>
      <c r="H499" s="2">
        <f t="shared" si="42"/>
        <v>1.7205037234368656</v>
      </c>
      <c r="I499" s="2">
        <f t="shared" si="43"/>
        <v>0.26671364012844462</v>
      </c>
      <c r="J499" s="2">
        <v>0.18</v>
      </c>
      <c r="K499" s="2">
        <v>7.53</v>
      </c>
      <c r="L499" s="2">
        <v>1.01</v>
      </c>
      <c r="M499" s="2">
        <v>1.65</v>
      </c>
      <c r="N499" s="2">
        <v>0</v>
      </c>
      <c r="O499" s="2">
        <v>0.27</v>
      </c>
      <c r="P499" s="2">
        <f t="shared" si="44"/>
        <v>2.1832218240557704</v>
      </c>
      <c r="Q499" s="2">
        <f t="shared" si="45"/>
        <v>0.39475568117069526</v>
      </c>
      <c r="R499" s="2">
        <f t="shared" si="46"/>
        <v>0.46271810061890473</v>
      </c>
      <c r="S499">
        <f t="shared" si="47"/>
        <v>1.2689433880994936</v>
      </c>
      <c r="U499">
        <v>3.1243281350022016</v>
      </c>
    </row>
    <row r="500" spans="1:21" ht="13.9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1.74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f t="shared" si="44"/>
        <v>#DIV/0!</v>
      </c>
      <c r="Q500" s="2" t="e">
        <f t="shared" si="45"/>
        <v>#DIV/0!</v>
      </c>
      <c r="R500" s="2" t="e">
        <f t="shared" si="46"/>
        <v>#DIV/0!</v>
      </c>
      <c r="S500" t="e">
        <f t="shared" si="47"/>
        <v>#DIV/0!</v>
      </c>
      <c r="U500" t="e">
        <v>#NUM!</v>
      </c>
    </row>
    <row r="501" spans="1:21" ht="13.9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2.0099999999999998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f t="shared" si="44"/>
        <v>#DIV/0!</v>
      </c>
      <c r="Q501" s="2" t="e">
        <f t="shared" si="45"/>
        <v>#DIV/0!</v>
      </c>
      <c r="R501" s="2" t="e">
        <f t="shared" si="46"/>
        <v>#DIV/0!</v>
      </c>
      <c r="S501" t="e">
        <f t="shared" si="47"/>
        <v>#DIV/0!</v>
      </c>
      <c r="U501" t="e">
        <v>#NUM!</v>
      </c>
    </row>
    <row r="502" spans="1:21" ht="13.9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1.74</v>
      </c>
      <c r="G502" s="2">
        <v>0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f t="shared" si="44"/>
        <v>#DIV/0!</v>
      </c>
      <c r="Q502" s="2" t="e">
        <f t="shared" si="45"/>
        <v>#DIV/0!</v>
      </c>
      <c r="R502" s="2" t="e">
        <f t="shared" si="46"/>
        <v>#DIV/0!</v>
      </c>
      <c r="S502" t="e">
        <f t="shared" si="47"/>
        <v>#DIV/0!</v>
      </c>
      <c r="U502" t="e">
        <v>#NUM!</v>
      </c>
    </row>
    <row r="503" spans="1:21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 t="e">
        <f t="shared" si="42"/>
        <v>#NUM!</v>
      </c>
      <c r="I503" s="2">
        <f t="shared" si="43"/>
        <v>0.37390096630005903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f t="shared" si="44"/>
        <v>#DIV/0!</v>
      </c>
      <c r="Q503" s="2" t="e">
        <f t="shared" si="45"/>
        <v>#DIV/0!</v>
      </c>
      <c r="R503" s="2" t="e">
        <f t="shared" si="46"/>
        <v>#DIV/0!</v>
      </c>
      <c r="S503" t="e">
        <f t="shared" si="47"/>
        <v>#DIV/0!</v>
      </c>
      <c r="U503" t="e">
        <v>#NUM!</v>
      </c>
    </row>
    <row r="504" spans="1:21" ht="13.9" x14ac:dyDescent="0.3">
      <c r="A504" s="2" t="s">
        <v>521</v>
      </c>
      <c r="B504" s="2">
        <v>13.84</v>
      </c>
      <c r="C504" s="2">
        <v>0</v>
      </c>
      <c r="D504" s="2">
        <v>0</v>
      </c>
      <c r="E504" s="2">
        <v>0</v>
      </c>
      <c r="F504" s="2">
        <v>0</v>
      </c>
      <c r="G504" s="2">
        <v>0.53</v>
      </c>
      <c r="H504" s="2">
        <f t="shared" si="42"/>
        <v>4.7067077730735258</v>
      </c>
      <c r="I504" s="2">
        <f t="shared" si="43"/>
        <v>0.39097240983650011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 t="e">
        <f t="shared" si="44"/>
        <v>#DIV/0!</v>
      </c>
      <c r="Q504" s="2" t="e">
        <f t="shared" si="45"/>
        <v>#DIV/0!</v>
      </c>
      <c r="R504" s="2" t="e">
        <f t="shared" si="46"/>
        <v>#DIV/0!</v>
      </c>
      <c r="S504" t="e">
        <f t="shared" si="47"/>
        <v>#DIV/0!</v>
      </c>
      <c r="U504" t="e">
        <v>#NUM!</v>
      </c>
    </row>
    <row r="505" spans="1:21" ht="13.9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42"/>
        <v>#DIV/0!</v>
      </c>
      <c r="I505" s="2" t="e">
        <f t="shared" si="43"/>
        <v>#DIV/0!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0.81</v>
      </c>
      <c r="P505" s="2" t="e">
        <f t="shared" si="44"/>
        <v>#NUM!</v>
      </c>
      <c r="Q505" s="2">
        <f t="shared" si="45"/>
        <v>0.37390096630005903</v>
      </c>
      <c r="R505" s="2" t="e">
        <f t="shared" si="46"/>
        <v>#NUM!</v>
      </c>
      <c r="S505" t="e">
        <f t="shared" si="47"/>
        <v>#NUM!</v>
      </c>
      <c r="U505" t="e">
        <v>#NUM!</v>
      </c>
    </row>
    <row r="506" spans="1:21" ht="13.9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1.0900000000000001</v>
      </c>
      <c r="F506" s="2">
        <v>0.53</v>
      </c>
      <c r="G506" s="2">
        <v>0</v>
      </c>
      <c r="H506" s="2" t="e">
        <f t="shared" si="42"/>
        <v>#NUM!</v>
      </c>
      <c r="I506" s="2">
        <f t="shared" si="43"/>
        <v>0.16131413390526517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1.08</v>
      </c>
      <c r="P506" s="2" t="e">
        <f t="shared" si="44"/>
        <v>#NUM!</v>
      </c>
      <c r="Q506" s="2">
        <f t="shared" si="45"/>
        <v>0.37390096630005903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ht="13.9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42"/>
        <v>#DIV/0!</v>
      </c>
      <c r="I507" s="2" t="e">
        <f t="shared" si="43"/>
        <v>#DIV/0!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ht="13.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24.13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>
        <f t="shared" si="45"/>
        <v>0.37390096630005903</v>
      </c>
      <c r="R508" s="2" t="e">
        <f t="shared" si="46"/>
        <v>#DIV/0!</v>
      </c>
      <c r="S508" t="e">
        <f t="shared" si="47"/>
        <v>#DIV/0!</v>
      </c>
      <c r="U508">
        <v>4.5927560104410272</v>
      </c>
    </row>
    <row r="509" spans="1:21" ht="13.9" x14ac:dyDescent="0.3">
      <c r="A509" s="2" t="s">
        <v>526</v>
      </c>
      <c r="B509" s="2">
        <v>26.04</v>
      </c>
      <c r="C509" s="2">
        <v>16.350000000000001</v>
      </c>
      <c r="D509" s="2">
        <v>0.18</v>
      </c>
      <c r="E509" s="2">
        <v>7.4</v>
      </c>
      <c r="F509" s="2">
        <v>6.28</v>
      </c>
      <c r="G509" s="2">
        <v>5.27</v>
      </c>
      <c r="H509" s="2">
        <f t="shared" si="42"/>
        <v>1.1676392417232537</v>
      </c>
      <c r="I509" s="2">
        <f t="shared" si="43"/>
        <v>0.35692150784248716</v>
      </c>
      <c r="J509" s="2">
        <v>0.18</v>
      </c>
      <c r="K509" s="2">
        <v>3.77</v>
      </c>
      <c r="L509" s="2">
        <v>0</v>
      </c>
      <c r="M509" s="2">
        <v>6.07</v>
      </c>
      <c r="N509" s="2">
        <v>0</v>
      </c>
      <c r="O509" s="2">
        <v>6.5</v>
      </c>
      <c r="P509" s="2">
        <f t="shared" si="44"/>
        <v>-1.6700600913560424</v>
      </c>
      <c r="Q509" s="2">
        <f t="shared" si="45"/>
        <v>0.30276225463032741</v>
      </c>
      <c r="R509" s="2">
        <f t="shared" si="46"/>
        <v>-2.8376993330792963</v>
      </c>
      <c r="S509">
        <f t="shared" si="47"/>
        <v>-1.4302877392946247</v>
      </c>
      <c r="U509">
        <v>1.9818526532897409</v>
      </c>
    </row>
    <row r="510" spans="1:21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 t="e">
        <f t="shared" si="42"/>
        <v>#NUM!</v>
      </c>
      <c r="I510" s="2">
        <f t="shared" si="43"/>
        <v>0.19374132372085301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 t="e">
        <f t="shared" si="44"/>
        <v>#DIV/0!</v>
      </c>
      <c r="Q510" s="2" t="e">
        <f t="shared" si="45"/>
        <v>#DIV/0!</v>
      </c>
      <c r="R510" s="2" t="e">
        <f t="shared" si="46"/>
        <v>#DIV/0!</v>
      </c>
      <c r="S510" t="e">
        <f t="shared" si="47"/>
        <v>#DIV/0!</v>
      </c>
      <c r="U510" t="e">
        <v>#NUM!</v>
      </c>
    </row>
    <row r="511" spans="1:21" ht="13.9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42"/>
        <v>#DIV/0!</v>
      </c>
      <c r="I511" s="2" t="e">
        <f t="shared" si="43"/>
        <v>#DIV/0!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 t="e">
        <f t="shared" si="42"/>
        <v>#NUM!</v>
      </c>
      <c r="I512" s="2">
        <f t="shared" si="43"/>
        <v>0.37390096630005903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f t="shared" si="44"/>
        <v>#DIV/0!</v>
      </c>
      <c r="Q512" s="2" t="e">
        <f t="shared" si="45"/>
        <v>#DIV/0!</v>
      </c>
      <c r="R512" s="2" t="e">
        <f t="shared" si="46"/>
        <v>#DIV/0!</v>
      </c>
      <c r="S512" t="e">
        <f t="shared" si="47"/>
        <v>#DIV/0!</v>
      </c>
      <c r="U512" t="e">
        <v>#NUM!</v>
      </c>
    </row>
    <row r="513" spans="1:21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0.14000000000000001</v>
      </c>
      <c r="P513" s="2" t="e">
        <f t="shared" si="44"/>
        <v>#NUM!</v>
      </c>
      <c r="Q513" s="2">
        <f t="shared" si="45"/>
        <v>0.37390096630005903</v>
      </c>
      <c r="R513" s="2" t="e">
        <f t="shared" si="46"/>
        <v>#NUM!</v>
      </c>
      <c r="S513" t="e">
        <f t="shared" si="47"/>
        <v>#NUM!</v>
      </c>
      <c r="U513" t="e">
        <v>#NUM!</v>
      </c>
    </row>
    <row r="514" spans="1:21" ht="13.9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0.59</v>
      </c>
      <c r="F514" s="2">
        <v>0</v>
      </c>
      <c r="G514" s="2">
        <v>0.74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0.12115128356027027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0.95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0.37390096630005903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ht="13.9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48"/>
        <v>#DIV/0!</v>
      </c>
      <c r="I515" s="2" t="e">
        <f t="shared" si="49"/>
        <v>#DIV/0!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ht="13.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4.49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>
        <f t="shared" si="51"/>
        <v>0.37390096630005903</v>
      </c>
      <c r="R516" s="2" t="e">
        <f t="shared" si="52"/>
        <v>#DIV/0!</v>
      </c>
      <c r="S516" t="e">
        <f t="shared" ref="S516:S579" si="53">P516/H516</f>
        <v>#DIV/0!</v>
      </c>
      <c r="U516">
        <v>2.1667154449664223</v>
      </c>
    </row>
    <row r="517" spans="1:21" ht="13.9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0.69</v>
      </c>
      <c r="F517" s="2">
        <v>1.74</v>
      </c>
      <c r="G517" s="2">
        <v>0.53</v>
      </c>
      <c r="H517" s="2" t="e">
        <f t="shared" si="48"/>
        <v>#NUM!</v>
      </c>
      <c r="I517" s="2">
        <f t="shared" si="49"/>
        <v>6.0048469433518471E-2</v>
      </c>
      <c r="J517" s="2">
        <v>0</v>
      </c>
      <c r="K517" s="2">
        <v>0</v>
      </c>
      <c r="L517" s="2">
        <v>0</v>
      </c>
      <c r="M517" s="2">
        <v>0.41</v>
      </c>
      <c r="N517" s="2">
        <v>0</v>
      </c>
      <c r="O517" s="2">
        <v>0.81</v>
      </c>
      <c r="P517" s="2" t="e">
        <f t="shared" si="50"/>
        <v>#NUM!</v>
      </c>
      <c r="Q517" s="2">
        <f t="shared" si="51"/>
        <v>0.15699679863226787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ht="13.9" x14ac:dyDescent="0.3">
      <c r="A518" s="2" t="s">
        <v>535</v>
      </c>
      <c r="B518" s="2">
        <v>0.33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f t="shared" si="48"/>
        <v>-0.68352633520474582</v>
      </c>
      <c r="I518" s="2">
        <f t="shared" si="49"/>
        <v>0.76474776731945726</v>
      </c>
      <c r="J518" s="2">
        <v>0</v>
      </c>
      <c r="K518" s="2">
        <v>0</v>
      </c>
      <c r="L518" s="2">
        <v>0</v>
      </c>
      <c r="M518" s="2">
        <v>0.93</v>
      </c>
      <c r="N518" s="2">
        <v>0</v>
      </c>
      <c r="O518" s="2">
        <v>0</v>
      </c>
      <c r="P518" s="2" t="e">
        <f t="shared" si="50"/>
        <v>#NUM!</v>
      </c>
      <c r="Q518" s="2">
        <f t="shared" si="51"/>
        <v>0.37390096630005903</v>
      </c>
      <c r="R518" s="2" t="e">
        <f t="shared" si="52"/>
        <v>#NUM!</v>
      </c>
      <c r="S518" t="e">
        <f t="shared" si="53"/>
        <v>#NUM!</v>
      </c>
      <c r="U518" t="e">
        <v>#NUM!</v>
      </c>
    </row>
    <row r="519" spans="1:21" ht="13.9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0.53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f t="shared" si="50"/>
        <v>#DIV/0!</v>
      </c>
      <c r="Q519" s="2" t="e">
        <f t="shared" si="51"/>
        <v>#DIV/0!</v>
      </c>
      <c r="R519" s="2" t="e">
        <f t="shared" si="52"/>
        <v>#DIV/0!</v>
      </c>
      <c r="S519" t="e">
        <f t="shared" si="53"/>
        <v>#DIV/0!</v>
      </c>
      <c r="U519" t="e">
        <v>#NUM!</v>
      </c>
    </row>
    <row r="520" spans="1:21" ht="13.9" x14ac:dyDescent="0.3">
      <c r="A520" s="2" t="s">
        <v>537</v>
      </c>
      <c r="B520" s="2">
        <v>0</v>
      </c>
      <c r="C520" s="2">
        <v>0</v>
      </c>
      <c r="D520" s="2">
        <v>9.2899999999999991</v>
      </c>
      <c r="E520" s="2">
        <v>2.86</v>
      </c>
      <c r="F520" s="2">
        <v>0.8</v>
      </c>
      <c r="G520" s="2">
        <v>0.21</v>
      </c>
      <c r="H520" s="2">
        <f t="shared" si="48"/>
        <v>1.2633450302382425</v>
      </c>
      <c r="I520" s="2">
        <f t="shared" si="49"/>
        <v>0.60242147320044404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f t="shared" si="50"/>
        <v>#DIV/0!</v>
      </c>
      <c r="Q520" s="2" t="e">
        <f t="shared" si="51"/>
        <v>#DIV/0!</v>
      </c>
      <c r="R520" s="2" t="e">
        <f t="shared" si="52"/>
        <v>#DIV/0!</v>
      </c>
      <c r="S520" t="e">
        <f t="shared" si="53"/>
        <v>#DIV/0!</v>
      </c>
      <c r="U520" t="e">
        <v>#NUM!</v>
      </c>
    </row>
    <row r="521" spans="1:21" ht="13.9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48"/>
        <v>#DIV/0!</v>
      </c>
      <c r="I521" s="2" t="e">
        <f t="shared" si="49"/>
        <v>#DIV/0!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0.14000000000000001</v>
      </c>
      <c r="P521" s="2" t="e">
        <f t="shared" si="50"/>
        <v>#NUM!</v>
      </c>
      <c r="Q521" s="2">
        <f t="shared" si="51"/>
        <v>0.37390096630005903</v>
      </c>
      <c r="R521" s="2" t="e">
        <f t="shared" si="52"/>
        <v>#NUM!</v>
      </c>
      <c r="S521" t="e">
        <f t="shared" si="53"/>
        <v>#NUM!</v>
      </c>
      <c r="U521" t="e">
        <v>#NUM!</v>
      </c>
    </row>
    <row r="522" spans="1:21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 t="e">
        <f t="shared" si="48"/>
        <v>#NUM!</v>
      </c>
      <c r="I522" s="2">
        <f t="shared" si="49"/>
        <v>0.31148793307493639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1.89</v>
      </c>
      <c r="P522" s="2" t="e">
        <f t="shared" si="50"/>
        <v>#NUM!</v>
      </c>
      <c r="Q522" s="2">
        <f t="shared" si="51"/>
        <v>0.37390096630005903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ht="13.9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0.21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0.41</v>
      </c>
      <c r="N523" s="2">
        <v>0</v>
      </c>
      <c r="O523" s="2">
        <v>0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ht="13.9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48"/>
        <v>#DIV/0!</v>
      </c>
      <c r="I524" s="2" t="e">
        <f t="shared" si="49"/>
        <v>#DIV/0!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ht="13.9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48"/>
        <v>#DIV/0!</v>
      </c>
      <c r="I525" s="2" t="e">
        <f t="shared" si="49"/>
        <v>#DIV/0!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ht="13.9" x14ac:dyDescent="0.3">
      <c r="A526" s="2" t="s">
        <v>543</v>
      </c>
      <c r="B526" s="2">
        <v>5.6</v>
      </c>
      <c r="C526" s="2">
        <v>0</v>
      </c>
      <c r="D526" s="2">
        <v>0</v>
      </c>
      <c r="E526" s="2">
        <v>1.48</v>
      </c>
      <c r="F526" s="2">
        <v>2.14</v>
      </c>
      <c r="G526" s="2">
        <v>1.48</v>
      </c>
      <c r="H526" s="2">
        <f t="shared" si="48"/>
        <v>0.13492958008610864</v>
      </c>
      <c r="I526" s="2">
        <f t="shared" si="49"/>
        <v>0.93360471551484903</v>
      </c>
      <c r="J526" s="2">
        <v>10.24</v>
      </c>
      <c r="K526" s="2">
        <v>0</v>
      </c>
      <c r="L526" s="2">
        <v>0</v>
      </c>
      <c r="M526" s="2">
        <v>1.34</v>
      </c>
      <c r="N526" s="2">
        <v>0</v>
      </c>
      <c r="O526" s="2">
        <v>4.47</v>
      </c>
      <c r="P526" s="2">
        <f t="shared" si="50"/>
        <v>0.81760564659547119</v>
      </c>
      <c r="Q526" s="2">
        <f t="shared" si="51"/>
        <v>0.70734127239009736</v>
      </c>
      <c r="R526" s="2">
        <f t="shared" si="52"/>
        <v>0.68267606650936252</v>
      </c>
      <c r="S526">
        <f t="shared" si="53"/>
        <v>6.0594989332487064</v>
      </c>
      <c r="U526">
        <v>3.3561438102252756</v>
      </c>
    </row>
    <row r="527" spans="1:21" ht="13.9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0.39</v>
      </c>
      <c r="F527" s="2">
        <v>0</v>
      </c>
      <c r="G527" s="2">
        <v>0</v>
      </c>
      <c r="H527" s="2" t="e">
        <f t="shared" si="48"/>
        <v>#NUM!</v>
      </c>
      <c r="I527" s="2">
        <f t="shared" si="49"/>
        <v>0.37390096630005903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1.76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ht="13.9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1.58</v>
      </c>
      <c r="F528" s="2">
        <v>0.13</v>
      </c>
      <c r="G528" s="2">
        <v>0.53</v>
      </c>
      <c r="H528" s="2" t="e">
        <f t="shared" si="48"/>
        <v>#NUM!</v>
      </c>
      <c r="I528" s="2">
        <f t="shared" si="49"/>
        <v>0.15925657415627797</v>
      </c>
      <c r="J528" s="2">
        <v>0</v>
      </c>
      <c r="K528" s="2">
        <v>0</v>
      </c>
      <c r="L528" s="2">
        <v>0</v>
      </c>
      <c r="M528" s="2">
        <v>0.72</v>
      </c>
      <c r="N528" s="2">
        <v>0</v>
      </c>
      <c r="O528" s="2">
        <v>0</v>
      </c>
      <c r="P528" s="2" t="e">
        <f t="shared" si="50"/>
        <v>#NUM!</v>
      </c>
      <c r="Q528" s="2">
        <f t="shared" si="51"/>
        <v>0.37390096630005903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ht="13.9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1.2</v>
      </c>
      <c r="G529" s="2">
        <v>0</v>
      </c>
      <c r="H529" s="2" t="e">
        <f t="shared" si="48"/>
        <v>#NUM!</v>
      </c>
      <c r="I529" s="2">
        <f t="shared" si="49"/>
        <v>0.37390096630005903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1.35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0.27</v>
      </c>
      <c r="P530" s="2" t="e">
        <f t="shared" si="50"/>
        <v>#NUM!</v>
      </c>
      <c r="Q530" s="2">
        <f t="shared" si="51"/>
        <v>0.37390096630005903</v>
      </c>
      <c r="R530" s="2" t="e">
        <f t="shared" si="52"/>
        <v>#NUM!</v>
      </c>
      <c r="S530" t="e">
        <f t="shared" si="53"/>
        <v>#NUM!</v>
      </c>
      <c r="U530" t="e">
        <v>#NUM!</v>
      </c>
    </row>
    <row r="531" spans="1:21" ht="13.9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48"/>
        <v>#DIV/0!</v>
      </c>
      <c r="I531" s="2" t="e">
        <f t="shared" si="49"/>
        <v>#DIV/0!</v>
      </c>
      <c r="J531" s="2">
        <v>0</v>
      </c>
      <c r="K531" s="2">
        <v>0</v>
      </c>
      <c r="L531" s="2">
        <v>0</v>
      </c>
      <c r="M531" s="2">
        <v>0.72</v>
      </c>
      <c r="N531" s="2">
        <v>0</v>
      </c>
      <c r="O531" s="2">
        <v>0</v>
      </c>
      <c r="P531" s="2" t="e">
        <f t="shared" si="50"/>
        <v>#NUM!</v>
      </c>
      <c r="Q531" s="2">
        <f t="shared" si="51"/>
        <v>0.37390096630005903</v>
      </c>
      <c r="R531" s="2" t="e">
        <f t="shared" si="52"/>
        <v>#NUM!</v>
      </c>
      <c r="S531" t="e">
        <f t="shared" si="53"/>
        <v>#NUM!</v>
      </c>
      <c r="U531" t="e">
        <v>#NUM!</v>
      </c>
    </row>
    <row r="532" spans="1:21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 t="e">
        <f t="shared" si="48"/>
        <v>#NUM!</v>
      </c>
      <c r="I532" s="2">
        <f t="shared" si="49"/>
        <v>0.37390096630005903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f t="shared" si="50"/>
        <v>#DIV/0!</v>
      </c>
      <c r="Q532" s="2" t="e">
        <f t="shared" si="51"/>
        <v>#DIV/0!</v>
      </c>
      <c r="R532" s="2" t="e">
        <f t="shared" si="52"/>
        <v>#DIV/0!</v>
      </c>
      <c r="S532" t="e">
        <f t="shared" si="53"/>
        <v>#DIV/0!</v>
      </c>
      <c r="U532" t="e">
        <v>#NUM!</v>
      </c>
    </row>
    <row r="533" spans="1:21" ht="13.9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0.11</v>
      </c>
      <c r="H533" s="2" t="e">
        <f t="shared" si="48"/>
        <v>#NUM!</v>
      </c>
      <c r="I533" s="2">
        <f t="shared" si="49"/>
        <v>0.37390096630005903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1.22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ht="13.9" x14ac:dyDescent="0.3">
      <c r="A534" s="2" t="s">
        <v>551</v>
      </c>
      <c r="B534" s="2">
        <v>30.98</v>
      </c>
      <c r="C534" s="2">
        <v>30.25</v>
      </c>
      <c r="D534" s="2">
        <v>14.57</v>
      </c>
      <c r="E534" s="2">
        <v>34.65</v>
      </c>
      <c r="F534" s="2">
        <v>26.47</v>
      </c>
      <c r="G534" s="2">
        <v>35.200000000000003</v>
      </c>
      <c r="H534" s="2">
        <f t="shared" si="48"/>
        <v>-0.34563754370124777</v>
      </c>
      <c r="I534" s="2">
        <f t="shared" si="49"/>
        <v>0.32151438002986382</v>
      </c>
      <c r="J534" s="2">
        <v>10.24</v>
      </c>
      <c r="K534" s="2">
        <v>12.56</v>
      </c>
      <c r="L534" s="2">
        <v>9.0500000000000007</v>
      </c>
      <c r="M534" s="2">
        <v>27.78</v>
      </c>
      <c r="N534" s="2">
        <v>0</v>
      </c>
      <c r="O534" s="2">
        <v>46.97</v>
      </c>
      <c r="P534" s="2">
        <f t="shared" si="50"/>
        <v>-1.2307802068291669</v>
      </c>
      <c r="Q534" s="2">
        <f t="shared" si="51"/>
        <v>0.35467266036473144</v>
      </c>
      <c r="R534" s="2">
        <f t="shared" si="52"/>
        <v>-0.88514266312791912</v>
      </c>
      <c r="S534">
        <f t="shared" si="53"/>
        <v>3.5608984881948857</v>
      </c>
      <c r="U534">
        <v>4.9932214673689383</v>
      </c>
    </row>
    <row r="535" spans="1:21" ht="13.9" x14ac:dyDescent="0.3">
      <c r="A535" s="2" t="s">
        <v>552</v>
      </c>
      <c r="B535" s="2">
        <v>0</v>
      </c>
      <c r="C535" s="2">
        <v>0.24</v>
      </c>
      <c r="D535" s="2">
        <v>0</v>
      </c>
      <c r="E535" s="2">
        <v>1.78</v>
      </c>
      <c r="F535" s="2">
        <v>1.2</v>
      </c>
      <c r="G535" s="2">
        <v>0</v>
      </c>
      <c r="H535" s="2">
        <f t="shared" si="48"/>
        <v>-3.6342060197410055</v>
      </c>
      <c r="I535" s="2">
        <f t="shared" si="49"/>
        <v>0.16005792108507888</v>
      </c>
      <c r="J535" s="2">
        <v>0</v>
      </c>
      <c r="K535" s="2">
        <v>0</v>
      </c>
      <c r="L535" s="2">
        <v>0</v>
      </c>
      <c r="M535" s="2">
        <v>0.72</v>
      </c>
      <c r="N535" s="2">
        <v>0</v>
      </c>
      <c r="O535" s="2">
        <v>0.27</v>
      </c>
      <c r="P535" s="2" t="e">
        <f t="shared" si="50"/>
        <v>#NUM!</v>
      </c>
      <c r="Q535" s="2">
        <f t="shared" si="51"/>
        <v>0.19117998721848575</v>
      </c>
      <c r="R535" s="2" t="e">
        <f t="shared" si="52"/>
        <v>#NUM!</v>
      </c>
      <c r="S535" t="e">
        <f t="shared" si="53"/>
        <v>#NUM!</v>
      </c>
      <c r="U535" t="e">
        <v>#NUM!</v>
      </c>
    </row>
    <row r="536" spans="1:21" ht="13.9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 t="e">
        <f t="shared" si="48"/>
        <v>#NUM!</v>
      </c>
      <c r="I536" s="2">
        <f t="shared" si="49"/>
        <v>0.21266625296557221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 t="e">
        <f t="shared" si="50"/>
        <v>#DIV/0!</v>
      </c>
      <c r="Q536" s="2" t="e">
        <f t="shared" si="51"/>
        <v>#DIV/0!</v>
      </c>
      <c r="R536" s="2" t="e">
        <f t="shared" si="52"/>
        <v>#DIV/0!</v>
      </c>
      <c r="S536" t="e">
        <f t="shared" si="53"/>
        <v>#DIV/0!</v>
      </c>
      <c r="U536" t="e">
        <v>#NUM!</v>
      </c>
    </row>
    <row r="537" spans="1:21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 t="e">
        <f t="shared" si="48"/>
        <v>#NUM!</v>
      </c>
      <c r="I537" s="2">
        <f t="shared" si="49"/>
        <v>0.37390096630005903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1.08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ht="13.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6.03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>
        <f t="shared" si="51"/>
        <v>0.37390096630005903</v>
      </c>
      <c r="R538" s="2" t="e">
        <f t="shared" si="52"/>
        <v>#DIV/0!</v>
      </c>
      <c r="S538" t="e">
        <f t="shared" si="53"/>
        <v>#DIV/0!</v>
      </c>
      <c r="U538">
        <v>2.5921580021253603</v>
      </c>
    </row>
    <row r="539" spans="1:21" ht="13.9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f t="shared" si="50"/>
        <v>#DIV/0!</v>
      </c>
      <c r="Q539" s="2" t="e">
        <f t="shared" si="51"/>
        <v>#DIV/0!</v>
      </c>
      <c r="R539" s="2" t="e">
        <f t="shared" si="52"/>
        <v>#DIV/0!</v>
      </c>
      <c r="S539" t="e">
        <f t="shared" si="53"/>
        <v>#DIV/0!</v>
      </c>
      <c r="U539" t="e">
        <v>#NUM!</v>
      </c>
    </row>
    <row r="540" spans="1:21" ht="13.9" x14ac:dyDescent="0.3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48"/>
        <v>#DIV/0!</v>
      </c>
      <c r="I540" s="2" t="e">
        <f t="shared" si="49"/>
        <v>#DIV/0!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1.08</v>
      </c>
      <c r="P540" s="2" t="e">
        <f t="shared" si="50"/>
        <v>#NUM!</v>
      </c>
      <c r="Q540" s="2">
        <f t="shared" si="51"/>
        <v>0.37390096630005903</v>
      </c>
      <c r="R540" s="2" t="e">
        <f t="shared" si="52"/>
        <v>#NUM!</v>
      </c>
      <c r="S540" t="e">
        <f t="shared" si="53"/>
        <v>#NUM!</v>
      </c>
      <c r="U540" t="e">
        <v>#NUM!</v>
      </c>
    </row>
    <row r="541" spans="1:21" ht="13.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1.62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>
        <f t="shared" si="51"/>
        <v>0.37390096630005903</v>
      </c>
      <c r="R541" s="2" t="e">
        <f t="shared" si="52"/>
        <v>#DIV/0!</v>
      </c>
      <c r="S541" t="e">
        <f t="shared" si="53"/>
        <v>#DIV/0!</v>
      </c>
      <c r="U541">
        <v>0.69599381310990016</v>
      </c>
    </row>
    <row r="542" spans="1:21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 t="e">
        <f t="shared" si="48"/>
        <v>#NUM!</v>
      </c>
      <c r="I542" s="2">
        <f t="shared" si="49"/>
        <v>0.37390096630005903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 t="e">
        <f t="shared" si="50"/>
        <v>#DIV/0!</v>
      </c>
      <c r="Q542" s="2" t="e">
        <f t="shared" si="51"/>
        <v>#DIV/0!</v>
      </c>
      <c r="R542" s="2" t="e">
        <f t="shared" si="52"/>
        <v>#DIV/0!</v>
      </c>
      <c r="S542" t="e">
        <f t="shared" si="53"/>
        <v>#DIV/0!</v>
      </c>
      <c r="U542" t="e">
        <v>#NUM!</v>
      </c>
    </row>
    <row r="543" spans="1:21" ht="13.9" x14ac:dyDescent="0.3">
      <c r="A543" s="2" t="s">
        <v>560</v>
      </c>
      <c r="B543" s="2">
        <v>0</v>
      </c>
      <c r="C543" s="2">
        <v>0</v>
      </c>
      <c r="D543" s="2">
        <v>0</v>
      </c>
      <c r="E543" s="2">
        <v>0.69</v>
      </c>
      <c r="F543" s="2">
        <v>0.27</v>
      </c>
      <c r="G543" s="2">
        <v>0</v>
      </c>
      <c r="H543" s="2" t="e">
        <f t="shared" si="48"/>
        <v>#NUM!</v>
      </c>
      <c r="I543" s="2">
        <f t="shared" si="49"/>
        <v>0.1861530590266964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f t="shared" si="50"/>
        <v>#DIV/0!</v>
      </c>
      <c r="Q543" s="2" t="e">
        <f t="shared" si="51"/>
        <v>#DIV/0!</v>
      </c>
      <c r="R543" s="2" t="e">
        <f t="shared" si="52"/>
        <v>#DIV/0!</v>
      </c>
      <c r="S543" t="e">
        <f t="shared" si="53"/>
        <v>#DIV/0!</v>
      </c>
      <c r="U543" t="e">
        <v>#NUM!</v>
      </c>
    </row>
    <row r="544" spans="1:21" ht="13.9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0.39</v>
      </c>
      <c r="F544" s="2">
        <v>1.2</v>
      </c>
      <c r="G544" s="2">
        <v>0.32</v>
      </c>
      <c r="H544" s="2" t="e">
        <f t="shared" si="48"/>
        <v>#NUM!</v>
      </c>
      <c r="I544" s="2">
        <f t="shared" si="49"/>
        <v>8.720373301028353E-2</v>
      </c>
      <c r="J544" s="2">
        <v>0</v>
      </c>
      <c r="K544" s="2">
        <v>0</v>
      </c>
      <c r="L544" s="2">
        <v>0</v>
      </c>
      <c r="M544" s="2">
        <v>0.21</v>
      </c>
      <c r="N544" s="2">
        <v>0</v>
      </c>
      <c r="O544" s="2">
        <v>0</v>
      </c>
      <c r="P544" s="2" t="e">
        <f t="shared" si="50"/>
        <v>#NUM!</v>
      </c>
      <c r="Q544" s="2">
        <f t="shared" si="51"/>
        <v>0.37390096630005903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ht="13.9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48"/>
        <v>#DIV/0!</v>
      </c>
      <c r="I545" s="2" t="e">
        <f t="shared" si="49"/>
        <v>#DIV/0!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0.95</v>
      </c>
      <c r="P545" s="2" t="e">
        <f t="shared" si="50"/>
        <v>#NUM!</v>
      </c>
      <c r="Q545" s="2">
        <f t="shared" si="51"/>
        <v>0.37390096630005903</v>
      </c>
      <c r="R545" s="2" t="e">
        <f t="shared" si="52"/>
        <v>#NUM!</v>
      </c>
      <c r="S545" t="e">
        <f t="shared" si="53"/>
        <v>#NUM!</v>
      </c>
      <c r="U545" t="e">
        <v>#NUM!</v>
      </c>
    </row>
    <row r="546" spans="1:21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 t="e">
        <f t="shared" si="48"/>
        <v>#NUM!</v>
      </c>
      <c r="I546" s="2">
        <f t="shared" si="49"/>
        <v>0.37390096630005903</v>
      </c>
      <c r="J546" s="2">
        <v>0</v>
      </c>
      <c r="K546" s="2">
        <v>0</v>
      </c>
      <c r="L546" s="2">
        <v>0</v>
      </c>
      <c r="M546" s="2">
        <v>0.1</v>
      </c>
      <c r="N546" s="2">
        <v>0</v>
      </c>
      <c r="O546" s="2">
        <v>0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0.1</v>
      </c>
      <c r="N547" s="2">
        <v>0</v>
      </c>
      <c r="O547" s="2">
        <v>0</v>
      </c>
      <c r="P547" s="2" t="e">
        <f t="shared" si="50"/>
        <v>#NUM!</v>
      </c>
      <c r="Q547" s="2">
        <f t="shared" si="51"/>
        <v>0.37390096630005903</v>
      </c>
      <c r="R547" s="2" t="e">
        <f t="shared" si="52"/>
        <v>#NUM!</v>
      </c>
      <c r="S547" t="e">
        <f t="shared" si="53"/>
        <v>#NUM!</v>
      </c>
      <c r="U547" t="e">
        <v>#NUM!</v>
      </c>
    </row>
    <row r="548" spans="1:21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0.31</v>
      </c>
      <c r="N548" s="2">
        <v>0</v>
      </c>
      <c r="O548" s="2">
        <v>0</v>
      </c>
      <c r="P548" s="2" t="e">
        <f t="shared" si="50"/>
        <v>#NUM!</v>
      </c>
      <c r="Q548" s="2">
        <f t="shared" si="51"/>
        <v>0.37390096630005903</v>
      </c>
      <c r="R548" s="2" t="e">
        <f t="shared" si="52"/>
        <v>#NUM!</v>
      </c>
      <c r="S548" t="e">
        <f t="shared" si="53"/>
        <v>#NUM!</v>
      </c>
      <c r="U548" t="e">
        <v>#NUM!</v>
      </c>
    </row>
    <row r="549" spans="1:21" ht="13.9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0.79</v>
      </c>
      <c r="F549" s="2">
        <v>0.27</v>
      </c>
      <c r="G549" s="2">
        <v>0</v>
      </c>
      <c r="H549" s="2" t="e">
        <f t="shared" si="48"/>
        <v>#NUM!</v>
      </c>
      <c r="I549" s="2">
        <f t="shared" si="49"/>
        <v>0.20215848027515795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f t="shared" si="50"/>
        <v>#DIV/0!</v>
      </c>
      <c r="Q549" s="2" t="e">
        <f t="shared" si="51"/>
        <v>#DIV/0!</v>
      </c>
      <c r="R549" s="2" t="e">
        <f t="shared" si="52"/>
        <v>#DIV/0!</v>
      </c>
      <c r="S549" t="e">
        <f t="shared" si="53"/>
        <v>#DIV/0!</v>
      </c>
      <c r="U549" t="e">
        <v>#NUM!</v>
      </c>
    </row>
    <row r="550" spans="1:21" ht="13.9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48"/>
        <v>#DIV/0!</v>
      </c>
      <c r="I550" s="2" t="e">
        <f t="shared" si="49"/>
        <v>#DIV/0!</v>
      </c>
      <c r="J550" s="2">
        <v>0</v>
      </c>
      <c r="K550" s="2">
        <v>0</v>
      </c>
      <c r="L550" s="2">
        <v>0</v>
      </c>
      <c r="M550" s="2">
        <v>1.23</v>
      </c>
      <c r="N550" s="2">
        <v>0</v>
      </c>
      <c r="O550" s="2">
        <v>0</v>
      </c>
      <c r="P550" s="2" t="e">
        <f t="shared" si="50"/>
        <v>#NUM!</v>
      </c>
      <c r="Q550" s="2">
        <f t="shared" si="51"/>
        <v>0.37390096630005903</v>
      </c>
      <c r="R550" s="2" t="e">
        <f t="shared" si="52"/>
        <v>#NUM!</v>
      </c>
      <c r="S550" t="e">
        <f t="shared" si="53"/>
        <v>#NUM!</v>
      </c>
      <c r="U550" t="e">
        <v>#NUM!</v>
      </c>
    </row>
    <row r="551" spans="1:21" ht="13.9" x14ac:dyDescent="0.3">
      <c r="A551" s="2" t="s">
        <v>568</v>
      </c>
      <c r="B551" s="2">
        <v>0</v>
      </c>
      <c r="C551" s="2">
        <v>0</v>
      </c>
      <c r="D551" s="2">
        <v>0</v>
      </c>
      <c r="E551" s="2">
        <v>0.3</v>
      </c>
      <c r="F551" s="2">
        <v>0.4</v>
      </c>
      <c r="G551" s="2">
        <v>0</v>
      </c>
      <c r="H551" s="2" t="e">
        <f t="shared" si="48"/>
        <v>#NUM!</v>
      </c>
      <c r="I551" s="2">
        <f t="shared" si="49"/>
        <v>0.12417023554784123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f t="shared" si="50"/>
        <v>#DIV/0!</v>
      </c>
      <c r="Q551" s="2" t="e">
        <f t="shared" si="51"/>
        <v>#DIV/0!</v>
      </c>
      <c r="R551" s="2" t="e">
        <f t="shared" si="52"/>
        <v>#DIV/0!</v>
      </c>
      <c r="S551" t="e">
        <f t="shared" si="53"/>
        <v>#DIV/0!</v>
      </c>
      <c r="U551" t="e">
        <v>#NUM!</v>
      </c>
    </row>
    <row r="552" spans="1:21" ht="13.9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48"/>
        <v>#DIV/0!</v>
      </c>
      <c r="I552" s="2" t="e">
        <f t="shared" si="49"/>
        <v>#DIV/0!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ht="13.9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 t="e">
        <f t="shared" si="48"/>
        <v>#NUM!</v>
      </c>
      <c r="I553" s="2">
        <f t="shared" si="49"/>
        <v>1.3144004309966744E-2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f t="shared" si="50"/>
        <v>#DIV/0!</v>
      </c>
      <c r="Q553" s="2" t="e">
        <f t="shared" si="51"/>
        <v>#DIV/0!</v>
      </c>
      <c r="R553" s="2" t="e">
        <f t="shared" si="52"/>
        <v>#DIV/0!</v>
      </c>
      <c r="S553" t="e">
        <f t="shared" si="53"/>
        <v>#DIV/0!</v>
      </c>
      <c r="U553" t="e">
        <v>#NUM!</v>
      </c>
    </row>
    <row r="554" spans="1:21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 t="e">
        <f t="shared" si="48"/>
        <v>#NUM!</v>
      </c>
      <c r="I554" s="2">
        <f t="shared" si="49"/>
        <v>0.23129897449669085</v>
      </c>
      <c r="J554" s="2">
        <v>0</v>
      </c>
      <c r="K554" s="2">
        <v>0</v>
      </c>
      <c r="L554" s="2">
        <v>0</v>
      </c>
      <c r="M554" s="2">
        <v>0.31</v>
      </c>
      <c r="N554" s="2">
        <v>0</v>
      </c>
      <c r="O554" s="2">
        <v>0</v>
      </c>
      <c r="P554" s="2" t="e">
        <f t="shared" si="50"/>
        <v>#NUM!</v>
      </c>
      <c r="Q554" s="2">
        <f t="shared" si="51"/>
        <v>0.37390096630005903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ht="13.9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48"/>
        <v>#DIV/0!</v>
      </c>
      <c r="I555" s="2" t="e">
        <f t="shared" si="49"/>
        <v>#DIV/0!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0.81</v>
      </c>
      <c r="P555" s="2" t="e">
        <f t="shared" si="50"/>
        <v>#NUM!</v>
      </c>
      <c r="Q555" s="2">
        <f t="shared" si="51"/>
        <v>0.37390096630005903</v>
      </c>
      <c r="R555" s="2" t="e">
        <f t="shared" si="52"/>
        <v>#NUM!</v>
      </c>
      <c r="S555" t="e">
        <f t="shared" si="53"/>
        <v>#NUM!</v>
      </c>
      <c r="U555" t="e">
        <v>#NUM!</v>
      </c>
    </row>
    <row r="556" spans="1:21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 t="e">
        <f t="shared" si="48"/>
        <v>#NUM!</v>
      </c>
      <c r="I556" s="2">
        <f t="shared" si="49"/>
        <v>0.37390096630005903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0.27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ht="13.9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0.94</v>
      </c>
      <c r="G557" s="2">
        <v>0.11</v>
      </c>
      <c r="H557" s="2" t="e">
        <f t="shared" si="48"/>
        <v>#NUM!</v>
      </c>
      <c r="I557" s="2">
        <f t="shared" si="49"/>
        <v>0.30351543212566295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f t="shared" si="50"/>
        <v>#DIV/0!</v>
      </c>
      <c r="Q557" s="2" t="e">
        <f t="shared" si="51"/>
        <v>#DIV/0!</v>
      </c>
      <c r="R557" s="2" t="e">
        <f t="shared" si="52"/>
        <v>#DIV/0!</v>
      </c>
      <c r="S557" t="e">
        <f t="shared" si="53"/>
        <v>#DIV/0!</v>
      </c>
      <c r="U557" t="e">
        <v>#NUM!</v>
      </c>
    </row>
    <row r="558" spans="1:21" ht="13.9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0.39</v>
      </c>
      <c r="F558" s="2">
        <v>0.13</v>
      </c>
      <c r="G558" s="2">
        <v>0</v>
      </c>
      <c r="H558" s="2" t="e">
        <f t="shared" si="48"/>
        <v>#NUM!</v>
      </c>
      <c r="I558" s="2">
        <f t="shared" si="49"/>
        <v>0.20510645520407772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 t="e">
        <f t="shared" si="50"/>
        <v>#DIV/0!</v>
      </c>
      <c r="Q558" s="2" t="e">
        <f t="shared" si="51"/>
        <v>#DIV/0!</v>
      </c>
      <c r="R558" s="2" t="e">
        <f t="shared" si="52"/>
        <v>#DIV/0!</v>
      </c>
      <c r="S558" t="e">
        <f t="shared" si="53"/>
        <v>#DIV/0!</v>
      </c>
      <c r="U558" t="e">
        <v>#NUM!</v>
      </c>
    </row>
    <row r="559" spans="1:21" ht="13.9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3.65</v>
      </c>
      <c r="F559" s="2">
        <v>3.61</v>
      </c>
      <c r="G559" s="2">
        <v>2.63</v>
      </c>
      <c r="H559" s="2" t="e">
        <f t="shared" si="48"/>
        <v>#NUM!</v>
      </c>
      <c r="I559" s="2">
        <f t="shared" si="49"/>
        <v>5.8794670813449928E-4</v>
      </c>
      <c r="J559" s="2">
        <v>0</v>
      </c>
      <c r="K559" s="2">
        <v>3.56</v>
      </c>
      <c r="L559" s="2">
        <v>12.07</v>
      </c>
      <c r="M559" s="2">
        <v>5.25</v>
      </c>
      <c r="N559" s="2">
        <v>0</v>
      </c>
      <c r="O559" s="2">
        <v>5.14</v>
      </c>
      <c r="P559" s="2">
        <f t="shared" si="50"/>
        <v>0.58912212409545262</v>
      </c>
      <c r="Q559" s="2">
        <f t="shared" si="51"/>
        <v>0.68324420236307737</v>
      </c>
      <c r="R559" s="2" t="e">
        <f t="shared" si="52"/>
        <v>#NUM!</v>
      </c>
      <c r="S559" t="e">
        <f t="shared" si="53"/>
        <v>#NUM!</v>
      </c>
      <c r="U559">
        <v>3.9662458732249397</v>
      </c>
    </row>
    <row r="560" spans="1:21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 t="e">
        <f t="shared" si="48"/>
        <v>#NUM!</v>
      </c>
      <c r="I560" s="2">
        <f t="shared" si="49"/>
        <v>0.37390096630005903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f t="shared" si="50"/>
        <v>#DIV/0!</v>
      </c>
      <c r="Q560" s="2" t="e">
        <f t="shared" si="51"/>
        <v>#DIV/0!</v>
      </c>
      <c r="R560" s="2" t="e">
        <f t="shared" si="52"/>
        <v>#DIV/0!</v>
      </c>
      <c r="S560" t="e">
        <f t="shared" si="53"/>
        <v>#DIV/0!</v>
      </c>
      <c r="U560" t="e">
        <v>#NUM!</v>
      </c>
    </row>
    <row r="561" spans="1:21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 t="e">
        <f t="shared" si="48"/>
        <v>#NUM!</v>
      </c>
      <c r="I561" s="2">
        <f t="shared" si="49"/>
        <v>0.37390096630005903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f t="shared" si="50"/>
        <v>#DIV/0!</v>
      </c>
      <c r="Q561" s="2" t="e">
        <f t="shared" si="51"/>
        <v>#DIV/0!</v>
      </c>
      <c r="R561" s="2" t="e">
        <f t="shared" si="52"/>
        <v>#DIV/0!</v>
      </c>
      <c r="S561" t="e">
        <f t="shared" si="53"/>
        <v>#DIV/0!</v>
      </c>
      <c r="U561" t="e">
        <v>#NUM!</v>
      </c>
    </row>
    <row r="562" spans="1:21" ht="13.9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48"/>
        <v>#DIV/0!</v>
      </c>
      <c r="I562" s="2" t="e">
        <f t="shared" si="49"/>
        <v>#DIV/0!</v>
      </c>
      <c r="J562" s="2">
        <v>3.23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>
        <f t="shared" si="51"/>
        <v>0.37390096630005903</v>
      </c>
      <c r="R562" s="2" t="e">
        <f t="shared" si="52"/>
        <v>#DIV/0!</v>
      </c>
      <c r="S562" t="e">
        <f t="shared" si="53"/>
        <v>#DIV/0!</v>
      </c>
      <c r="U562">
        <v>1.6915341649192002</v>
      </c>
    </row>
    <row r="563" spans="1:21" ht="13.9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0.53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1.1299999999999999</v>
      </c>
      <c r="N563" s="2">
        <v>0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ht="13.9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0.31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 t="e">
        <f t="shared" si="48"/>
        <v>#NUM!</v>
      </c>
      <c r="I565" s="2">
        <f t="shared" si="49"/>
        <v>0.37390096630005903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f t="shared" si="50"/>
        <v>#DIV/0!</v>
      </c>
      <c r="Q565" s="2" t="e">
        <f t="shared" si="51"/>
        <v>#DIV/0!</v>
      </c>
      <c r="R565" s="2" t="e">
        <f t="shared" si="52"/>
        <v>#DIV/0!</v>
      </c>
      <c r="S565" t="e">
        <f t="shared" si="53"/>
        <v>#DIV/0!</v>
      </c>
      <c r="U565" t="e">
        <v>#NUM!</v>
      </c>
    </row>
    <row r="566" spans="1:21" ht="13.9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48"/>
        <v>#DIV/0!</v>
      </c>
      <c r="I566" s="2" t="e">
        <f t="shared" si="49"/>
        <v>#DIV/0!</v>
      </c>
      <c r="J566" s="2">
        <v>3.05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>
        <f t="shared" si="51"/>
        <v>0.37390096630005903</v>
      </c>
      <c r="R566" s="2" t="e">
        <f t="shared" si="52"/>
        <v>#DIV/0!</v>
      </c>
      <c r="S566" t="e">
        <f t="shared" si="53"/>
        <v>#DIV/0!</v>
      </c>
      <c r="U566">
        <v>1.6088092426755241</v>
      </c>
    </row>
    <row r="567" spans="1:21" ht="13.9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0.1</v>
      </c>
      <c r="F567" s="2">
        <v>0.53</v>
      </c>
      <c r="G567" s="2">
        <v>0.95</v>
      </c>
      <c r="H567" s="2" t="e">
        <f t="shared" si="48"/>
        <v>#NUM!</v>
      </c>
      <c r="I567" s="2">
        <f t="shared" si="49"/>
        <v>9.8385427660993979E-2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f t="shared" si="50"/>
        <v>#DIV/0!</v>
      </c>
      <c r="Q567" s="2" t="e">
        <f t="shared" si="51"/>
        <v>#DIV/0!</v>
      </c>
      <c r="R567" s="2" t="e">
        <f t="shared" si="52"/>
        <v>#DIV/0!</v>
      </c>
      <c r="S567" t="e">
        <f t="shared" si="53"/>
        <v>#DIV/0!</v>
      </c>
      <c r="U567" t="e">
        <v>#NUM!</v>
      </c>
    </row>
    <row r="568" spans="1:21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 t="e">
        <f t="shared" si="48"/>
        <v>#NUM!</v>
      </c>
      <c r="I568" s="2">
        <f t="shared" si="49"/>
        <v>0.37390096630005903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 t="e">
        <f t="shared" si="50"/>
        <v>#DIV/0!</v>
      </c>
      <c r="Q568" s="2" t="e">
        <f t="shared" si="51"/>
        <v>#DIV/0!</v>
      </c>
      <c r="R568" s="2" t="e">
        <f t="shared" si="52"/>
        <v>#DIV/0!</v>
      </c>
      <c r="S568" t="e">
        <f t="shared" si="53"/>
        <v>#DIV/0!</v>
      </c>
      <c r="U568" t="e">
        <v>#NUM!</v>
      </c>
    </row>
    <row r="569" spans="1:21" ht="13.9" x14ac:dyDescent="0.3">
      <c r="A569" s="2" t="s">
        <v>586</v>
      </c>
      <c r="B569" s="2">
        <v>0.33</v>
      </c>
      <c r="C569" s="2">
        <v>0</v>
      </c>
      <c r="D569" s="2">
        <v>9.2899999999999991</v>
      </c>
      <c r="E569" s="2">
        <v>4.24</v>
      </c>
      <c r="F569" s="2">
        <v>6.95</v>
      </c>
      <c r="G569" s="2">
        <v>4.32</v>
      </c>
      <c r="H569" s="2">
        <f t="shared" si="48"/>
        <v>-0.68908988726604903</v>
      </c>
      <c r="I569" s="2">
        <f t="shared" si="49"/>
        <v>0.56930433262496694</v>
      </c>
      <c r="J569" s="2">
        <v>0</v>
      </c>
      <c r="K569" s="2">
        <v>0</v>
      </c>
      <c r="L569" s="2">
        <v>0</v>
      </c>
      <c r="M569" s="2">
        <v>1.34</v>
      </c>
      <c r="N569" s="2">
        <v>0</v>
      </c>
      <c r="O569" s="2">
        <v>4.47</v>
      </c>
      <c r="P569" s="2" t="e">
        <f t="shared" si="50"/>
        <v>#NUM!</v>
      </c>
      <c r="Q569" s="2">
        <f t="shared" si="51"/>
        <v>0.2174826207600479</v>
      </c>
      <c r="R569" s="2" t="e">
        <f t="shared" si="52"/>
        <v>#NUM!</v>
      </c>
      <c r="S569" t="e">
        <f t="shared" si="53"/>
        <v>#NUM!</v>
      </c>
      <c r="U569" t="e">
        <v>#NUM!</v>
      </c>
    </row>
    <row r="570" spans="1:21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0.21</v>
      </c>
      <c r="N570" s="2">
        <v>0</v>
      </c>
      <c r="O570" s="2">
        <v>1.89</v>
      </c>
      <c r="P570" s="2" t="e">
        <f t="shared" si="50"/>
        <v>#NUM!</v>
      </c>
      <c r="Q570" s="2">
        <f t="shared" si="51"/>
        <v>0.30680858549861045</v>
      </c>
      <c r="R570" s="2" t="e">
        <f t="shared" si="52"/>
        <v>#NUM!</v>
      </c>
      <c r="S570" t="e">
        <f t="shared" si="53"/>
        <v>#NUM!</v>
      </c>
      <c r="U570" t="e">
        <v>#NUM!</v>
      </c>
    </row>
    <row r="571" spans="1:21" ht="13.9" x14ac:dyDescent="0.3">
      <c r="A571" s="2" t="s">
        <v>588</v>
      </c>
      <c r="B571" s="2">
        <v>0</v>
      </c>
      <c r="C571" s="2">
        <v>0</v>
      </c>
      <c r="D571" s="2">
        <v>0</v>
      </c>
      <c r="E571" s="2">
        <v>0</v>
      </c>
      <c r="F571" s="2">
        <v>0.53</v>
      </c>
      <c r="G571" s="2">
        <v>0</v>
      </c>
      <c r="H571" s="2" t="e">
        <f t="shared" si="48"/>
        <v>#NUM!</v>
      </c>
      <c r="I571" s="2">
        <f t="shared" si="49"/>
        <v>0.37390096630005903</v>
      </c>
      <c r="J571" s="2">
        <v>0</v>
      </c>
      <c r="K571" s="2">
        <v>6.28</v>
      </c>
      <c r="L571" s="2">
        <v>0</v>
      </c>
      <c r="M571" s="2">
        <v>1.1299999999999999</v>
      </c>
      <c r="N571" s="2">
        <v>0</v>
      </c>
      <c r="O571" s="2">
        <v>0</v>
      </c>
      <c r="P571" s="2">
        <f t="shared" si="50"/>
        <v>2.4744417864764392</v>
      </c>
      <c r="Q571" s="2">
        <f t="shared" si="51"/>
        <v>0.46486306570601693</v>
      </c>
      <c r="R571" s="2" t="e">
        <f t="shared" si="52"/>
        <v>#NUM!</v>
      </c>
      <c r="S571" t="e">
        <f t="shared" si="53"/>
        <v>#NUM!</v>
      </c>
      <c r="U571">
        <v>2.6507645591169027</v>
      </c>
    </row>
    <row r="572" spans="1:21" ht="13.9" x14ac:dyDescent="0.3">
      <c r="A572" s="2" t="s">
        <v>589</v>
      </c>
      <c r="B572" s="2">
        <v>0.99</v>
      </c>
      <c r="C572" s="2">
        <v>0</v>
      </c>
      <c r="D572" s="2">
        <v>0</v>
      </c>
      <c r="E572" s="2">
        <v>1.88</v>
      </c>
      <c r="F572" s="2">
        <v>0.13</v>
      </c>
      <c r="G572" s="2">
        <v>1.58</v>
      </c>
      <c r="H572" s="2">
        <f t="shared" si="48"/>
        <v>-1.8584834137434418</v>
      </c>
      <c r="I572" s="2">
        <f t="shared" si="49"/>
        <v>0.24287326304720028</v>
      </c>
      <c r="J572" s="2">
        <v>0</v>
      </c>
      <c r="K572" s="2">
        <v>0</v>
      </c>
      <c r="L572" s="2">
        <v>0</v>
      </c>
      <c r="M572" s="2">
        <v>2.4700000000000002</v>
      </c>
      <c r="N572" s="2">
        <v>0</v>
      </c>
      <c r="O572" s="2">
        <v>0.68</v>
      </c>
      <c r="P572" s="2" t="e">
        <f t="shared" si="50"/>
        <v>#NUM!</v>
      </c>
      <c r="Q572" s="2">
        <f t="shared" si="51"/>
        <v>0.22717568453362202</v>
      </c>
      <c r="R572" s="2" t="e">
        <f t="shared" si="52"/>
        <v>#NUM!</v>
      </c>
      <c r="S572" t="e">
        <f t="shared" si="53"/>
        <v>#NUM!</v>
      </c>
      <c r="U572" t="e">
        <v>#NUM!</v>
      </c>
    </row>
    <row r="573" spans="1:21" ht="13.9" x14ac:dyDescent="0.3">
      <c r="A573" s="2" t="s">
        <v>590</v>
      </c>
      <c r="B573" s="2">
        <v>0</v>
      </c>
      <c r="C573" s="2">
        <v>0</v>
      </c>
      <c r="D573" s="2">
        <v>4.7300000000000004</v>
      </c>
      <c r="E573" s="2">
        <v>1.58</v>
      </c>
      <c r="F573" s="2">
        <v>0</v>
      </c>
      <c r="G573" s="2">
        <v>1.48</v>
      </c>
      <c r="H573" s="2">
        <f t="shared" si="48"/>
        <v>0.62830853064674352</v>
      </c>
      <c r="I573" s="2">
        <f t="shared" si="49"/>
        <v>0.75384229903256017</v>
      </c>
      <c r="J573" s="2">
        <v>1.26</v>
      </c>
      <c r="K573" s="2">
        <v>4.8099999999999996</v>
      </c>
      <c r="L573" s="2">
        <v>0</v>
      </c>
      <c r="M573" s="2">
        <v>0</v>
      </c>
      <c r="N573" s="2">
        <v>0</v>
      </c>
      <c r="O573" s="2">
        <v>0</v>
      </c>
      <c r="P573" s="2" t="e">
        <f t="shared" si="50"/>
        <v>#DIV/0!</v>
      </c>
      <c r="Q573" s="2">
        <f t="shared" si="51"/>
        <v>0.23270268411330711</v>
      </c>
      <c r="R573" s="2" t="e">
        <f t="shared" si="52"/>
        <v>#DIV/0!</v>
      </c>
      <c r="S573" t="e">
        <f t="shared" si="53"/>
        <v>#DIV/0!</v>
      </c>
      <c r="U573">
        <v>2.6016965164809571</v>
      </c>
    </row>
    <row r="574" spans="1:21" ht="13.9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0.51</v>
      </c>
      <c r="N574" s="2">
        <v>0</v>
      </c>
      <c r="O574" s="2">
        <v>0.54</v>
      </c>
      <c r="P574" s="2" t="e">
        <f t="shared" si="50"/>
        <v>#NUM!</v>
      </c>
      <c r="Q574" s="2">
        <f t="shared" si="51"/>
        <v>0.11644111590956105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 t="e">
        <f t="shared" si="48"/>
        <v>#NUM!</v>
      </c>
      <c r="I575" s="2">
        <f t="shared" si="49"/>
        <v>0.37390096630005903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f t="shared" si="50"/>
        <v>#DIV/0!</v>
      </c>
      <c r="Q575" s="2" t="e">
        <f t="shared" si="51"/>
        <v>#DIV/0!</v>
      </c>
      <c r="R575" s="2" t="e">
        <f t="shared" si="52"/>
        <v>#DIV/0!</v>
      </c>
      <c r="S575" t="e">
        <f t="shared" si="53"/>
        <v>#DIV/0!</v>
      </c>
      <c r="U575" t="e">
        <v>#NUM!</v>
      </c>
    </row>
    <row r="576" spans="1:21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122.63</v>
      </c>
      <c r="O576" s="2">
        <v>0</v>
      </c>
      <c r="P576" s="2" t="e">
        <f t="shared" si="50"/>
        <v>#NUM!</v>
      </c>
      <c r="Q576" s="2">
        <f t="shared" si="51"/>
        <v>0.37390096630005903</v>
      </c>
      <c r="R576" s="2" t="e">
        <f t="shared" si="52"/>
        <v>#NUM!</v>
      </c>
      <c r="S576" t="e">
        <f t="shared" si="53"/>
        <v>#NUM!</v>
      </c>
      <c r="U576" t="e">
        <v>#NUM!</v>
      </c>
    </row>
    <row r="577" spans="1:21" ht="13.9" x14ac:dyDescent="0.3">
      <c r="A577" s="2" t="s">
        <v>594</v>
      </c>
      <c r="B577" s="2">
        <v>17.47</v>
      </c>
      <c r="C577" s="2">
        <v>16.350000000000001</v>
      </c>
      <c r="D577" s="2">
        <v>4.7300000000000004</v>
      </c>
      <c r="E577" s="2">
        <v>105.13</v>
      </c>
      <c r="F577" s="2">
        <v>73.94</v>
      </c>
      <c r="G577" s="2">
        <v>100.12</v>
      </c>
      <c r="H577" s="2">
        <f t="shared" si="48"/>
        <v>-2.8564445029107448</v>
      </c>
      <c r="I577" s="2">
        <f t="shared" si="49"/>
        <v>1.5732260718641887E-3</v>
      </c>
      <c r="J577" s="2">
        <v>0.18</v>
      </c>
      <c r="K577" s="2">
        <v>9.84</v>
      </c>
      <c r="L577" s="2">
        <v>1.01</v>
      </c>
      <c r="M577" s="2">
        <v>95.17</v>
      </c>
      <c r="N577" s="2">
        <v>0</v>
      </c>
      <c r="O577" s="2">
        <v>64.56</v>
      </c>
      <c r="P577" s="2">
        <f t="shared" si="50"/>
        <v>-3.8561306047255828</v>
      </c>
      <c r="Q577" s="2">
        <f t="shared" si="51"/>
        <v>0.15385129429623917</v>
      </c>
      <c r="R577" s="2">
        <f t="shared" si="52"/>
        <v>-0.99968610181483797</v>
      </c>
      <c r="S577">
        <f t="shared" si="53"/>
        <v>1.3499756780837675</v>
      </c>
      <c r="U577">
        <v>3.463360885816658</v>
      </c>
    </row>
    <row r="578" spans="1:21" ht="13.9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1.38</v>
      </c>
      <c r="F578" s="2">
        <v>0</v>
      </c>
      <c r="G578" s="2">
        <v>0.53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0.18835843478770659</v>
      </c>
      <c r="J578" s="2">
        <v>0</v>
      </c>
      <c r="K578" s="2">
        <v>0</v>
      </c>
      <c r="L578" s="2">
        <v>0</v>
      </c>
      <c r="M578" s="2">
        <v>1.03</v>
      </c>
      <c r="N578" s="2">
        <v>0</v>
      </c>
      <c r="O578" s="2">
        <v>0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0.37390096630005903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ht="13.9" x14ac:dyDescent="0.3">
      <c r="A579" s="2" t="s">
        <v>596</v>
      </c>
      <c r="B579" s="2">
        <v>0</v>
      </c>
      <c r="C579" s="2">
        <v>0</v>
      </c>
      <c r="D579" s="2">
        <v>0</v>
      </c>
      <c r="E579" s="2">
        <v>1.97</v>
      </c>
      <c r="F579" s="2">
        <v>4.01</v>
      </c>
      <c r="G579" s="2">
        <v>2.95</v>
      </c>
      <c r="H579" s="2" t="e">
        <f t="shared" si="54"/>
        <v>#NUM!</v>
      </c>
      <c r="I579" s="2">
        <f t="shared" si="55"/>
        <v>7.2141046050831648E-3</v>
      </c>
      <c r="J579" s="2">
        <v>0</v>
      </c>
      <c r="K579" s="2">
        <v>0.21</v>
      </c>
      <c r="L579" s="2">
        <v>25.64</v>
      </c>
      <c r="M579" s="2">
        <v>0.82</v>
      </c>
      <c r="N579" s="2">
        <v>0</v>
      </c>
      <c r="O579" s="2">
        <v>5.01</v>
      </c>
      <c r="P579" s="2">
        <f t="shared" si="56"/>
        <v>2.1485964920018006</v>
      </c>
      <c r="Q579" s="2">
        <f t="shared" si="57"/>
        <v>0.48356638003337654</v>
      </c>
      <c r="R579" s="2" t="e">
        <f t="shared" ref="R579:R642" si="58">P579-H579</f>
        <v>#NUM!</v>
      </c>
      <c r="S579" t="e">
        <f t="shared" si="53"/>
        <v>#NUM!</v>
      </c>
      <c r="U579">
        <v>4.6920923754275723</v>
      </c>
    </row>
    <row r="580" spans="1:21" ht="13.9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1.0900000000000001</v>
      </c>
      <c r="F580" s="2">
        <v>0.94</v>
      </c>
      <c r="G580" s="2">
        <v>0.21</v>
      </c>
      <c r="H580" s="2" t="e">
        <f t="shared" si="54"/>
        <v>#NUM!</v>
      </c>
      <c r="I580" s="2">
        <f t="shared" si="55"/>
        <v>5.152934400077458E-2</v>
      </c>
      <c r="J580" s="2">
        <v>0</v>
      </c>
      <c r="K580" s="2">
        <v>0</v>
      </c>
      <c r="L580" s="2">
        <v>0</v>
      </c>
      <c r="M580" s="2">
        <v>0.93</v>
      </c>
      <c r="N580" s="2">
        <v>0</v>
      </c>
      <c r="O580" s="2">
        <v>0</v>
      </c>
      <c r="P580" s="2" t="e">
        <f t="shared" si="56"/>
        <v>#NUM!</v>
      </c>
      <c r="Q580" s="2">
        <f t="shared" si="57"/>
        <v>0.37390096630005903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ht="13.9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0.13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f t="shared" si="56"/>
        <v>#DIV/0!</v>
      </c>
      <c r="Q581" s="2" t="e">
        <f t="shared" si="57"/>
        <v>#DIV/0!</v>
      </c>
      <c r="R581" s="2" t="e">
        <f t="shared" si="58"/>
        <v>#DIV/0!</v>
      </c>
      <c r="S581" t="e">
        <f t="shared" si="59"/>
        <v>#DIV/0!</v>
      </c>
      <c r="U581" t="e">
        <v>#NUM!</v>
      </c>
    </row>
    <row r="582" spans="1:21" ht="13.9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54"/>
        <v>#DIV/0!</v>
      </c>
      <c r="I582" s="2" t="e">
        <f t="shared" si="55"/>
        <v>#DIV/0!</v>
      </c>
      <c r="J582" s="2">
        <v>0</v>
      </c>
      <c r="K582" s="2">
        <v>0</v>
      </c>
      <c r="L582" s="2">
        <v>0</v>
      </c>
      <c r="M582" s="2">
        <v>0.1</v>
      </c>
      <c r="N582" s="2">
        <v>0</v>
      </c>
      <c r="O582" s="2">
        <v>0</v>
      </c>
      <c r="P582" s="2" t="e">
        <f t="shared" si="56"/>
        <v>#NUM!</v>
      </c>
      <c r="Q582" s="2">
        <f t="shared" si="57"/>
        <v>0.37390096630005903</v>
      </c>
      <c r="R582" s="2" t="e">
        <f t="shared" si="58"/>
        <v>#NUM!</v>
      </c>
      <c r="S582" t="e">
        <f t="shared" si="59"/>
        <v>#NUM!</v>
      </c>
      <c r="U582" t="e">
        <v>#NUM!</v>
      </c>
    </row>
    <row r="583" spans="1:21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0.41</v>
      </c>
      <c r="N583" s="2">
        <v>0</v>
      </c>
      <c r="O583" s="2">
        <v>0</v>
      </c>
      <c r="P583" s="2" t="e">
        <f t="shared" si="56"/>
        <v>#NUM!</v>
      </c>
      <c r="Q583" s="2">
        <f t="shared" si="57"/>
        <v>0.37390096630005903</v>
      </c>
      <c r="R583" s="2" t="e">
        <f t="shared" si="58"/>
        <v>#NUM!</v>
      </c>
      <c r="S583" t="e">
        <f t="shared" si="59"/>
        <v>#NUM!</v>
      </c>
      <c r="U583" t="e">
        <v>#NUM!</v>
      </c>
    </row>
    <row r="584" spans="1:21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 t="e">
        <f t="shared" si="54"/>
        <v>#NUM!</v>
      </c>
      <c r="I584" s="2">
        <f t="shared" si="55"/>
        <v>0.37390096630005903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 t="e">
        <f t="shared" si="56"/>
        <v>#DIV/0!</v>
      </c>
      <c r="Q584" s="2" t="e">
        <f t="shared" si="57"/>
        <v>#DIV/0!</v>
      </c>
      <c r="R584" s="2" t="e">
        <f t="shared" si="58"/>
        <v>#DIV/0!</v>
      </c>
      <c r="S584" t="e">
        <f t="shared" si="59"/>
        <v>#DIV/0!</v>
      </c>
      <c r="U584" t="e">
        <v>#NUM!</v>
      </c>
    </row>
    <row r="585" spans="1:21" ht="13.9" x14ac:dyDescent="0.3">
      <c r="A585" s="2" t="s">
        <v>602</v>
      </c>
      <c r="B585" s="2">
        <v>0</v>
      </c>
      <c r="C585" s="2">
        <v>15.13</v>
      </c>
      <c r="D585" s="2">
        <v>0</v>
      </c>
      <c r="E585" s="2">
        <v>1.18</v>
      </c>
      <c r="F585" s="2">
        <v>0.67</v>
      </c>
      <c r="G585" s="2">
        <v>0</v>
      </c>
      <c r="H585" s="2">
        <f t="shared" si="54"/>
        <v>3.0318148117004249</v>
      </c>
      <c r="I585" s="2">
        <f t="shared" si="55"/>
        <v>0.43062076076485833</v>
      </c>
      <c r="J585" s="2">
        <v>0</v>
      </c>
      <c r="K585" s="2">
        <v>11.51</v>
      </c>
      <c r="L585" s="2">
        <v>0</v>
      </c>
      <c r="M585" s="2">
        <v>0</v>
      </c>
      <c r="N585" s="2">
        <v>0</v>
      </c>
      <c r="O585" s="2">
        <v>0.14000000000000001</v>
      </c>
      <c r="P585" s="2">
        <f t="shared" si="56"/>
        <v>6.3613171960746264</v>
      </c>
      <c r="Q585" s="2">
        <f t="shared" si="57"/>
        <v>0.37918655318526179</v>
      </c>
      <c r="R585" s="2">
        <f t="shared" si="58"/>
        <v>3.3295023843742015</v>
      </c>
      <c r="S585">
        <f t="shared" si="59"/>
        <v>2.0981879142238293</v>
      </c>
      <c r="U585">
        <v>3.5248159283575062</v>
      </c>
    </row>
    <row r="586" spans="1:21" ht="13.9" x14ac:dyDescent="0.3">
      <c r="A586" s="2" t="s">
        <v>603</v>
      </c>
      <c r="B586" s="2">
        <v>94.6</v>
      </c>
      <c r="C586" s="2">
        <v>174.68</v>
      </c>
      <c r="D586" s="2">
        <v>54.26</v>
      </c>
      <c r="E586" s="2">
        <v>15.79</v>
      </c>
      <c r="F586" s="2">
        <v>36.64</v>
      </c>
      <c r="G586" s="2">
        <v>24.24</v>
      </c>
      <c r="H586" s="2">
        <f t="shared" si="54"/>
        <v>2.0772100020195148</v>
      </c>
      <c r="I586" s="2">
        <f t="shared" si="55"/>
        <v>8.3665021614219098E-2</v>
      </c>
      <c r="J586" s="2">
        <v>64.14</v>
      </c>
      <c r="K586" s="2">
        <v>130.16999999999999</v>
      </c>
      <c r="L586" s="2">
        <v>289.08</v>
      </c>
      <c r="M586" s="2">
        <v>28.19</v>
      </c>
      <c r="N586" s="2">
        <v>81.75</v>
      </c>
      <c r="O586" s="2">
        <v>28.42</v>
      </c>
      <c r="P586" s="2">
        <f t="shared" si="56"/>
        <v>1.804760709224918</v>
      </c>
      <c r="Q586" s="2">
        <f t="shared" si="57"/>
        <v>0.17131872067548923</v>
      </c>
      <c r="R586" s="2">
        <f t="shared" si="58"/>
        <v>-0.27244929279459673</v>
      </c>
      <c r="S586">
        <f t="shared" si="59"/>
        <v>0.86883883067686229</v>
      </c>
      <c r="U586">
        <v>8.9170438178231226</v>
      </c>
    </row>
    <row r="587" spans="1:21" ht="13.9" x14ac:dyDescent="0.3">
      <c r="A587" s="2" t="s">
        <v>604</v>
      </c>
      <c r="B587" s="2">
        <v>10.55</v>
      </c>
      <c r="C587" s="2">
        <v>31.72</v>
      </c>
      <c r="D587" s="2">
        <v>0</v>
      </c>
      <c r="E587" s="2">
        <v>11.75</v>
      </c>
      <c r="F587" s="2">
        <v>19.920000000000002</v>
      </c>
      <c r="G587" s="2">
        <v>15.28</v>
      </c>
      <c r="H587" s="2">
        <f t="shared" si="54"/>
        <v>-0.15149104551034429</v>
      </c>
      <c r="I587" s="2">
        <f t="shared" si="55"/>
        <v>0.87906057417959138</v>
      </c>
      <c r="J587" s="2">
        <v>0.18</v>
      </c>
      <c r="K587" s="2">
        <v>16.95</v>
      </c>
      <c r="L587" s="2">
        <v>11.06</v>
      </c>
      <c r="M587" s="2">
        <v>17.59</v>
      </c>
      <c r="N587" s="2">
        <v>0</v>
      </c>
      <c r="O587" s="2">
        <v>9.75</v>
      </c>
      <c r="P587" s="2">
        <f t="shared" si="56"/>
        <v>4.4170234964361808E-2</v>
      </c>
      <c r="Q587" s="2">
        <f t="shared" si="57"/>
        <v>0.96996193845606871</v>
      </c>
      <c r="R587" s="2">
        <f t="shared" si="58"/>
        <v>0.1956612804747061</v>
      </c>
      <c r="S587">
        <f t="shared" si="59"/>
        <v>-0.29156993943477488</v>
      </c>
      <c r="U587">
        <v>4.8171115727956968</v>
      </c>
    </row>
    <row r="588" spans="1:21" ht="13.9" x14ac:dyDescent="0.3">
      <c r="A588" s="2" t="s">
        <v>605</v>
      </c>
      <c r="B588" s="2">
        <v>1203.42</v>
      </c>
      <c r="C588" s="2">
        <v>1086.1199999999999</v>
      </c>
      <c r="D588" s="2">
        <v>896.85</v>
      </c>
      <c r="E588" s="2">
        <v>1257.53</v>
      </c>
      <c r="F588" s="2">
        <v>1082.76</v>
      </c>
      <c r="G588" s="2">
        <v>1312.58</v>
      </c>
      <c r="H588" s="2">
        <f t="shared" si="54"/>
        <v>-0.1971075541827759</v>
      </c>
      <c r="I588" s="2">
        <f t="shared" si="55"/>
        <v>0.24092403967341133</v>
      </c>
      <c r="J588" s="2">
        <v>851.74</v>
      </c>
      <c r="K588" s="2">
        <v>801.34</v>
      </c>
      <c r="L588" s="2">
        <v>1492.64</v>
      </c>
      <c r="M588" s="2">
        <v>1316.68</v>
      </c>
      <c r="N588" s="2">
        <v>2616.09</v>
      </c>
      <c r="O588" s="2">
        <v>1300.1500000000001</v>
      </c>
      <c r="P588" s="2">
        <f t="shared" si="56"/>
        <v>-0.73422594101321159</v>
      </c>
      <c r="Q588" s="2">
        <f t="shared" si="57"/>
        <v>0.22821473682506224</v>
      </c>
      <c r="R588" s="2">
        <f t="shared" si="58"/>
        <v>-0.53711838683043567</v>
      </c>
      <c r="S588">
        <f t="shared" si="59"/>
        <v>3.7250015305469781</v>
      </c>
      <c r="U588">
        <v>11.619174547091184</v>
      </c>
    </row>
    <row r="589" spans="1:21" ht="13.9" x14ac:dyDescent="0.3">
      <c r="A589" s="2" t="s">
        <v>606</v>
      </c>
      <c r="B589" s="2">
        <v>0</v>
      </c>
      <c r="C589" s="2">
        <v>15.61</v>
      </c>
      <c r="D589" s="2">
        <v>0</v>
      </c>
      <c r="E589" s="2">
        <v>4.74</v>
      </c>
      <c r="F589" s="2">
        <v>6.02</v>
      </c>
      <c r="G589" s="2">
        <v>7.8</v>
      </c>
      <c r="H589" s="2">
        <f t="shared" si="54"/>
        <v>-0.24972617314966319</v>
      </c>
      <c r="I589" s="2">
        <f t="shared" si="55"/>
        <v>0.86128175038266463</v>
      </c>
      <c r="J589" s="2">
        <v>0</v>
      </c>
      <c r="K589" s="2">
        <v>3.56</v>
      </c>
      <c r="L589" s="2">
        <v>0</v>
      </c>
      <c r="M589" s="2">
        <v>6.79</v>
      </c>
      <c r="N589" s="2">
        <v>408.76</v>
      </c>
      <c r="O589" s="2">
        <v>7.44</v>
      </c>
      <c r="P589" s="2">
        <f t="shared" si="56"/>
        <v>-6.8926025052593811</v>
      </c>
      <c r="Q589" s="2">
        <f t="shared" si="57"/>
        <v>0.35532584465594758</v>
      </c>
      <c r="R589" s="2">
        <f t="shared" si="58"/>
        <v>-6.6428763321097177</v>
      </c>
      <c r="S589">
        <f t="shared" si="59"/>
        <v>27.600641207634176</v>
      </c>
      <c r="U589">
        <v>1.8318772411916731</v>
      </c>
    </row>
    <row r="590" spans="1:21" ht="13.9" x14ac:dyDescent="0.3">
      <c r="A590" s="2" t="s">
        <v>607</v>
      </c>
      <c r="B590" s="2">
        <v>6.59</v>
      </c>
      <c r="C590" s="2">
        <v>5.86</v>
      </c>
      <c r="D590" s="2">
        <v>15.11</v>
      </c>
      <c r="E590" s="2">
        <v>64.56</v>
      </c>
      <c r="F590" s="2">
        <v>80.489999999999995</v>
      </c>
      <c r="G590" s="2">
        <v>67.87</v>
      </c>
      <c r="H590" s="2">
        <f t="shared" si="54"/>
        <v>-2.9496636782211949</v>
      </c>
      <c r="I590" s="2">
        <f t="shared" si="55"/>
        <v>4.080510155718493E-4</v>
      </c>
      <c r="J590" s="2">
        <v>9.16</v>
      </c>
      <c r="K590" s="2">
        <v>11.93</v>
      </c>
      <c r="L590" s="2">
        <v>39.72</v>
      </c>
      <c r="M590" s="2">
        <v>51.24</v>
      </c>
      <c r="N590" s="2">
        <v>0</v>
      </c>
      <c r="O590" s="2">
        <v>70.25</v>
      </c>
      <c r="P590" s="2">
        <f t="shared" si="56"/>
        <v>-0.99845707397316541</v>
      </c>
      <c r="Q590" s="2">
        <f t="shared" si="57"/>
        <v>0.43135145637662364</v>
      </c>
      <c r="R590" s="2">
        <f t="shared" si="58"/>
        <v>1.9512066042480294</v>
      </c>
      <c r="S590">
        <f t="shared" si="59"/>
        <v>0.33849861641693618</v>
      </c>
      <c r="U590">
        <v>5.9262366844133298</v>
      </c>
    </row>
    <row r="591" spans="1:21" ht="13.9" x14ac:dyDescent="0.3">
      <c r="A591" s="2" t="s">
        <v>608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0.32</v>
      </c>
      <c r="H591" s="2" t="e">
        <f t="shared" si="54"/>
        <v>#NUM!</v>
      </c>
      <c r="I591" s="2">
        <f t="shared" si="55"/>
        <v>0.37390096630005903</v>
      </c>
      <c r="J591" s="2">
        <v>0</v>
      </c>
      <c r="K591" s="2">
        <v>0</v>
      </c>
      <c r="L591" s="2">
        <v>0</v>
      </c>
      <c r="M591" s="2">
        <v>2.2599999999999998</v>
      </c>
      <c r="N591" s="2">
        <v>0</v>
      </c>
      <c r="O591" s="2">
        <v>0.41</v>
      </c>
      <c r="P591" s="2" t="e">
        <f t="shared" si="56"/>
        <v>#NUM!</v>
      </c>
      <c r="Q591" s="2">
        <f t="shared" si="57"/>
        <v>0.26964307605782228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ht="13.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7.53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>
        <f t="shared" si="57"/>
        <v>0.37390096630005903</v>
      </c>
      <c r="R592" s="2" t="e">
        <f t="shared" si="58"/>
        <v>#DIV/0!</v>
      </c>
      <c r="S592" t="e">
        <f t="shared" si="59"/>
        <v>#DIV/0!</v>
      </c>
      <c r="U592">
        <v>2.9126498648972032</v>
      </c>
    </row>
    <row r="593" spans="1:21" ht="13.9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3.06</v>
      </c>
      <c r="F593" s="2">
        <v>4.28</v>
      </c>
      <c r="G593" s="2">
        <v>1.26</v>
      </c>
      <c r="H593" s="2" t="e">
        <f t="shared" si="54"/>
        <v>#NUM!</v>
      </c>
      <c r="I593" s="2">
        <f t="shared" si="55"/>
        <v>3.0841696481561886E-2</v>
      </c>
      <c r="J593" s="2">
        <v>0</v>
      </c>
      <c r="K593" s="2">
        <v>0</v>
      </c>
      <c r="L593" s="2">
        <v>10.56</v>
      </c>
      <c r="M593" s="2">
        <v>1.85</v>
      </c>
      <c r="N593" s="2">
        <v>0</v>
      </c>
      <c r="O593" s="2">
        <v>1.22</v>
      </c>
      <c r="P593" s="2">
        <f t="shared" si="56"/>
        <v>1.7822992739882739</v>
      </c>
      <c r="Q593" s="2">
        <f t="shared" si="57"/>
        <v>0.52194531378936682</v>
      </c>
      <c r="R593" s="2" t="e">
        <f t="shared" si="58"/>
        <v>#NUM!</v>
      </c>
      <c r="S593" t="e">
        <f t="shared" si="59"/>
        <v>#NUM!</v>
      </c>
      <c r="U593">
        <v>3.400537929583729</v>
      </c>
    </row>
    <row r="594" spans="1:21" ht="13.9" x14ac:dyDescent="0.3">
      <c r="A594" s="2" t="s">
        <v>611</v>
      </c>
      <c r="B594" s="2">
        <v>7.58</v>
      </c>
      <c r="C594" s="2">
        <v>19.52</v>
      </c>
      <c r="D594" s="2">
        <v>6.55</v>
      </c>
      <c r="E594" s="2">
        <v>5.82</v>
      </c>
      <c r="F594" s="2">
        <v>4.8099999999999996</v>
      </c>
      <c r="G594" s="2">
        <v>3.9</v>
      </c>
      <c r="H594" s="2">
        <f t="shared" si="54"/>
        <v>1.2115718018648383</v>
      </c>
      <c r="I594" s="2">
        <f t="shared" si="55"/>
        <v>0.20367312255690798</v>
      </c>
      <c r="J594" s="2">
        <v>0</v>
      </c>
      <c r="K594" s="2">
        <v>0</v>
      </c>
      <c r="L594" s="2">
        <v>0</v>
      </c>
      <c r="M594" s="2">
        <v>2.2599999999999998</v>
      </c>
      <c r="N594" s="2">
        <v>0</v>
      </c>
      <c r="O594" s="2">
        <v>3.25</v>
      </c>
      <c r="P594" s="2" t="e">
        <f t="shared" si="56"/>
        <v>#NUM!</v>
      </c>
      <c r="Q594" s="2">
        <f t="shared" si="57"/>
        <v>0.12879583666271874</v>
      </c>
      <c r="R594" s="2" t="e">
        <f t="shared" si="58"/>
        <v>#NUM!</v>
      </c>
      <c r="S594" t="e">
        <f t="shared" si="59"/>
        <v>#NUM!</v>
      </c>
      <c r="U594" t="e">
        <v>#NUM!</v>
      </c>
    </row>
    <row r="595" spans="1:21" ht="13.9" x14ac:dyDescent="0.3">
      <c r="A595" s="2" t="s">
        <v>612</v>
      </c>
      <c r="B595" s="2">
        <v>0.33</v>
      </c>
      <c r="C595" s="2">
        <v>0</v>
      </c>
      <c r="D595" s="2">
        <v>0</v>
      </c>
      <c r="E595" s="2">
        <v>1.48</v>
      </c>
      <c r="F595" s="2">
        <v>1.34</v>
      </c>
      <c r="G595" s="2">
        <v>2.95</v>
      </c>
      <c r="H595" s="2">
        <f t="shared" si="54"/>
        <v>-4.1280333892870296</v>
      </c>
      <c r="I595" s="2">
        <f t="shared" si="55"/>
        <v>2.6200935822492687E-2</v>
      </c>
      <c r="J595" s="2">
        <v>0</v>
      </c>
      <c r="K595" s="2">
        <v>8.7899999999999991</v>
      </c>
      <c r="L595" s="2">
        <v>0</v>
      </c>
      <c r="M595" s="2">
        <v>0.93</v>
      </c>
      <c r="N595" s="2">
        <v>0</v>
      </c>
      <c r="O595" s="2">
        <v>2.17</v>
      </c>
      <c r="P595" s="2">
        <f t="shared" si="56"/>
        <v>1.5035949498691663</v>
      </c>
      <c r="Q595" s="2">
        <f t="shared" si="57"/>
        <v>0.56115966726734912</v>
      </c>
      <c r="R595" s="2">
        <f t="shared" si="58"/>
        <v>5.6316283391561957</v>
      </c>
      <c r="S595">
        <f t="shared" si="59"/>
        <v>-0.36424001651034577</v>
      </c>
      <c r="U595">
        <v>3.1358631653686793</v>
      </c>
    </row>
    <row r="596" spans="1:21" ht="13.9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 t="e">
        <f t="shared" si="55"/>
        <v>#DIV/0!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 t="e">
        <f t="shared" si="54"/>
        <v>#NUM!</v>
      </c>
      <c r="I597" s="2">
        <f t="shared" si="55"/>
        <v>0.37390096630005903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0.27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ht="13.9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0.27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f t="shared" si="56"/>
        <v>#DIV/0!</v>
      </c>
      <c r="Q598" s="2" t="e">
        <f t="shared" si="57"/>
        <v>#DIV/0!</v>
      </c>
      <c r="R598" s="2" t="e">
        <f t="shared" si="58"/>
        <v>#DIV/0!</v>
      </c>
      <c r="S598" t="e">
        <f t="shared" si="59"/>
        <v>#DIV/0!</v>
      </c>
      <c r="U598" t="e">
        <v>#NUM!</v>
      </c>
    </row>
    <row r="599" spans="1:21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0.41</v>
      </c>
      <c r="P599" s="2" t="e">
        <f t="shared" si="56"/>
        <v>#NUM!</v>
      </c>
      <c r="Q599" s="2">
        <f t="shared" si="57"/>
        <v>0.37390096630005903</v>
      </c>
      <c r="R599" s="2" t="e">
        <f t="shared" si="58"/>
        <v>#NUM!</v>
      </c>
      <c r="S599" t="e">
        <f t="shared" si="59"/>
        <v>#NUM!</v>
      </c>
      <c r="U599" t="e">
        <v>#NUM!</v>
      </c>
    </row>
    <row r="600" spans="1:21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 t="e">
        <f t="shared" si="54"/>
        <v>#NUM!</v>
      </c>
      <c r="I600" s="2">
        <f t="shared" si="55"/>
        <v>0.37390096630005903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 t="e">
        <f t="shared" si="56"/>
        <v>#DIV/0!</v>
      </c>
      <c r="Q600" s="2" t="e">
        <f t="shared" si="57"/>
        <v>#DIV/0!</v>
      </c>
      <c r="R600" s="2" t="e">
        <f t="shared" si="58"/>
        <v>#DIV/0!</v>
      </c>
      <c r="S600" t="e">
        <f t="shared" si="59"/>
        <v>#DIV/0!</v>
      </c>
      <c r="U600" t="e">
        <v>#NUM!</v>
      </c>
    </row>
    <row r="601" spans="1:21" ht="13.9" x14ac:dyDescent="0.3">
      <c r="A601" s="2" t="s">
        <v>618</v>
      </c>
      <c r="B601" s="2">
        <v>0</v>
      </c>
      <c r="C601" s="2">
        <v>0</v>
      </c>
      <c r="D601" s="2">
        <v>12.2</v>
      </c>
      <c r="E601" s="2">
        <v>15.5</v>
      </c>
      <c r="F601" s="2">
        <v>20.190000000000001</v>
      </c>
      <c r="G601" s="2">
        <v>15.7</v>
      </c>
      <c r="H601" s="2">
        <f t="shared" si="54"/>
        <v>-2.0746065043549065</v>
      </c>
      <c r="I601" s="2">
        <f t="shared" si="55"/>
        <v>3.9695387881933608E-2</v>
      </c>
      <c r="J601" s="2">
        <v>5.21</v>
      </c>
      <c r="K601" s="2">
        <v>9.6300000000000008</v>
      </c>
      <c r="L601" s="2">
        <v>5.53</v>
      </c>
      <c r="M601" s="2">
        <v>19.45</v>
      </c>
      <c r="N601" s="2">
        <v>0</v>
      </c>
      <c r="O601" s="2">
        <v>27.75</v>
      </c>
      <c r="P601" s="2">
        <f t="shared" si="56"/>
        <v>-1.2123408792833157</v>
      </c>
      <c r="Q601" s="2">
        <f t="shared" si="57"/>
        <v>0.34424510279821185</v>
      </c>
      <c r="R601" s="2">
        <f t="shared" si="58"/>
        <v>0.86226562507159077</v>
      </c>
      <c r="S601">
        <f t="shared" si="59"/>
        <v>0.58437148285153473</v>
      </c>
      <c r="U601">
        <v>4.3483740751911633</v>
      </c>
    </row>
    <row r="602" spans="1:21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 t="e">
        <f t="shared" si="54"/>
        <v>#NUM!</v>
      </c>
      <c r="I602" s="2">
        <f t="shared" si="55"/>
        <v>0.11896532418500548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f t="shared" si="56"/>
        <v>#DIV/0!</v>
      </c>
      <c r="Q602" s="2" t="e">
        <f t="shared" si="57"/>
        <v>#DIV/0!</v>
      </c>
      <c r="R602" s="2" t="e">
        <f t="shared" si="58"/>
        <v>#DIV/0!</v>
      </c>
      <c r="S602" t="e">
        <f t="shared" si="59"/>
        <v>#DIV/0!</v>
      </c>
      <c r="U602" t="e">
        <v>#NUM!</v>
      </c>
    </row>
    <row r="603" spans="1:21" ht="13.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4.1900000000000004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>
        <f t="shared" si="57"/>
        <v>0.37390096630005903</v>
      </c>
      <c r="R603" s="2" t="e">
        <f t="shared" si="58"/>
        <v>#DIV/0!</v>
      </c>
      <c r="S603" t="e">
        <f t="shared" si="59"/>
        <v>#DIV/0!</v>
      </c>
      <c r="U603">
        <v>2.066950243924627</v>
      </c>
    </row>
    <row r="604" spans="1:21" ht="13.9" x14ac:dyDescent="0.3">
      <c r="A604" s="2" t="s">
        <v>621</v>
      </c>
      <c r="B604" s="2">
        <v>0.33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f t="shared" si="54"/>
        <v>-0.38187063534364446</v>
      </c>
      <c r="I604" s="2">
        <f t="shared" si="55"/>
        <v>0.82370177442852166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 t="e">
        <f t="shared" si="56"/>
        <v>#DIV/0!</v>
      </c>
      <c r="Q604" s="2" t="e">
        <f t="shared" si="57"/>
        <v>#DIV/0!</v>
      </c>
      <c r="R604" s="2" t="e">
        <f t="shared" si="58"/>
        <v>#DIV/0!</v>
      </c>
      <c r="S604" t="e">
        <f t="shared" si="59"/>
        <v>#DIV/0!</v>
      </c>
      <c r="U604" t="e">
        <v>#NUM!</v>
      </c>
    </row>
    <row r="605" spans="1:21" ht="13.9" x14ac:dyDescent="0.3">
      <c r="A605" s="2" t="s">
        <v>622</v>
      </c>
      <c r="B605" s="2">
        <v>0</v>
      </c>
      <c r="C605" s="2">
        <v>22.2</v>
      </c>
      <c r="D605" s="2">
        <v>0</v>
      </c>
      <c r="E605" s="2">
        <v>0</v>
      </c>
      <c r="F605" s="2">
        <v>1.47</v>
      </c>
      <c r="G605" s="2">
        <v>2.11</v>
      </c>
      <c r="H605" s="2">
        <f t="shared" si="54"/>
        <v>2.632528183973212</v>
      </c>
      <c r="I605" s="2">
        <f t="shared" si="55"/>
        <v>0.45030300724646527</v>
      </c>
      <c r="J605" s="2">
        <v>0</v>
      </c>
      <c r="K605" s="2">
        <v>0</v>
      </c>
      <c r="L605" s="2">
        <v>0</v>
      </c>
      <c r="M605" s="2">
        <v>2.2599999999999998</v>
      </c>
      <c r="N605" s="2">
        <v>0</v>
      </c>
      <c r="O605" s="2">
        <v>4.74</v>
      </c>
      <c r="P605" s="2" t="e">
        <f t="shared" si="56"/>
        <v>#NUM!</v>
      </c>
      <c r="Q605" s="2">
        <f t="shared" si="57"/>
        <v>0.16346342524754634</v>
      </c>
      <c r="R605" s="2" t="e">
        <f t="shared" si="58"/>
        <v>#NUM!</v>
      </c>
      <c r="S605" t="e">
        <f t="shared" si="59"/>
        <v>#NUM!</v>
      </c>
      <c r="U605" t="e">
        <v>#NUM!</v>
      </c>
    </row>
    <row r="606" spans="1:21" ht="13.9" x14ac:dyDescent="0.3">
      <c r="A606" s="2" t="s">
        <v>623</v>
      </c>
      <c r="B606" s="2">
        <v>0</v>
      </c>
      <c r="C606" s="2">
        <v>5.61</v>
      </c>
      <c r="D606" s="2">
        <v>0</v>
      </c>
      <c r="E606" s="2">
        <v>0.49</v>
      </c>
      <c r="F606" s="2">
        <v>0</v>
      </c>
      <c r="G606" s="2">
        <v>0</v>
      </c>
      <c r="H606" s="2">
        <f t="shared" si="54"/>
        <v>3.517147116493585</v>
      </c>
      <c r="I606" s="2">
        <f t="shared" si="55"/>
        <v>0.41467536378536901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f t="shared" si="56"/>
        <v>#DIV/0!</v>
      </c>
      <c r="Q606" s="2" t="e">
        <f t="shared" si="57"/>
        <v>#DIV/0!</v>
      </c>
      <c r="R606" s="2" t="e">
        <f t="shared" si="58"/>
        <v>#DIV/0!</v>
      </c>
      <c r="S606" t="e">
        <f t="shared" si="59"/>
        <v>#DIV/0!</v>
      </c>
      <c r="U606" t="e">
        <v>#NUM!</v>
      </c>
    </row>
    <row r="607" spans="1:21" ht="13.9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0.11</v>
      </c>
      <c r="H607" s="2" t="e">
        <f t="shared" si="54"/>
        <v>#NUM!</v>
      </c>
      <c r="I607" s="2">
        <f t="shared" si="55"/>
        <v>0.11701767633663412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1.49</v>
      </c>
      <c r="P607" s="2" t="e">
        <f t="shared" si="56"/>
        <v>#NUM!</v>
      </c>
      <c r="Q607" s="2">
        <f t="shared" si="57"/>
        <v>0.33224201222489275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ht="13.9" x14ac:dyDescent="0.3">
      <c r="A608" s="2" t="s">
        <v>625</v>
      </c>
      <c r="B608" s="2">
        <v>10.220000000000001</v>
      </c>
      <c r="C608" s="2">
        <v>0.24</v>
      </c>
      <c r="D608" s="2">
        <v>4.01</v>
      </c>
      <c r="E608" s="2">
        <v>14.12</v>
      </c>
      <c r="F608" s="2">
        <v>16.04</v>
      </c>
      <c r="G608" s="2">
        <v>17.28</v>
      </c>
      <c r="H608" s="2">
        <f t="shared" si="54"/>
        <v>-1.713039088014279</v>
      </c>
      <c r="I608" s="2">
        <f t="shared" si="55"/>
        <v>2.2722680386386251E-2</v>
      </c>
      <c r="J608" s="2">
        <v>3.95</v>
      </c>
      <c r="K608" s="2">
        <v>8.16</v>
      </c>
      <c r="L608" s="2">
        <v>0</v>
      </c>
      <c r="M608" s="2">
        <v>14.92</v>
      </c>
      <c r="N608" s="2">
        <v>0</v>
      </c>
      <c r="O608" s="2">
        <v>25.99</v>
      </c>
      <c r="P608" s="2">
        <f t="shared" si="56"/>
        <v>-1.7562546721937176</v>
      </c>
      <c r="Q608" s="2">
        <f t="shared" si="57"/>
        <v>0.2905887654438189</v>
      </c>
      <c r="R608" s="2">
        <f t="shared" si="58"/>
        <v>-4.3215584179438604E-2</v>
      </c>
      <c r="S608">
        <f t="shared" si="59"/>
        <v>1.0252274361290454</v>
      </c>
      <c r="U608">
        <v>3.5981269599196044</v>
      </c>
    </row>
    <row r="609" spans="1:21" ht="13.9" x14ac:dyDescent="0.3">
      <c r="A609" s="2" t="s">
        <v>626</v>
      </c>
      <c r="B609" s="2">
        <v>0</v>
      </c>
      <c r="C609" s="2">
        <v>0.73</v>
      </c>
      <c r="D609" s="2">
        <v>1.0900000000000001</v>
      </c>
      <c r="E609" s="2">
        <v>0.2</v>
      </c>
      <c r="F609" s="2">
        <v>0.27</v>
      </c>
      <c r="G609" s="2">
        <v>0.32</v>
      </c>
      <c r="H609" s="2">
        <f t="shared" si="54"/>
        <v>1.2040138920215933</v>
      </c>
      <c r="I609" s="2">
        <f t="shared" si="55"/>
        <v>0.34708723640261196</v>
      </c>
      <c r="J609" s="2">
        <v>0</v>
      </c>
      <c r="K609" s="2">
        <v>0</v>
      </c>
      <c r="L609" s="2">
        <v>2.5099999999999998</v>
      </c>
      <c r="M609" s="2">
        <v>0.1</v>
      </c>
      <c r="N609" s="2">
        <v>0</v>
      </c>
      <c r="O609" s="2">
        <v>0.41</v>
      </c>
      <c r="P609" s="2">
        <f t="shared" si="56"/>
        <v>2.2991182119792763</v>
      </c>
      <c r="Q609" s="2">
        <f t="shared" si="57"/>
        <v>0.47462201605889431</v>
      </c>
      <c r="R609" s="2">
        <f t="shared" si="58"/>
        <v>1.0951043199576831</v>
      </c>
      <c r="S609">
        <f t="shared" si="59"/>
        <v>1.9095445884922091</v>
      </c>
      <c r="U609">
        <v>1.3276873641760472</v>
      </c>
    </row>
    <row r="610" spans="1:21" ht="13.9" x14ac:dyDescent="0.3">
      <c r="A610" s="2" t="s">
        <v>627</v>
      </c>
      <c r="B610" s="2">
        <v>0</v>
      </c>
      <c r="C610" s="2">
        <v>1.22</v>
      </c>
      <c r="D610" s="2">
        <v>0.18</v>
      </c>
      <c r="E610" s="2">
        <v>2.4700000000000002</v>
      </c>
      <c r="F610" s="2">
        <v>3.21</v>
      </c>
      <c r="G610" s="2">
        <v>1.9</v>
      </c>
      <c r="H610" s="2">
        <f t="shared" si="54"/>
        <v>-2.4367710212261255</v>
      </c>
      <c r="I610" s="2">
        <f t="shared" si="55"/>
        <v>1.8522859258586877E-2</v>
      </c>
      <c r="J610" s="2">
        <v>0</v>
      </c>
      <c r="K610" s="2">
        <v>10.88</v>
      </c>
      <c r="L610" s="2">
        <v>2.5099999999999998</v>
      </c>
      <c r="M610" s="2">
        <v>1.23</v>
      </c>
      <c r="N610" s="2">
        <v>0</v>
      </c>
      <c r="O610" s="2">
        <v>5.01</v>
      </c>
      <c r="P610" s="2">
        <f t="shared" si="56"/>
        <v>1.1015380264620624</v>
      </c>
      <c r="Q610" s="2">
        <f t="shared" si="57"/>
        <v>0.5460611959227859</v>
      </c>
      <c r="R610" s="2">
        <f t="shared" si="58"/>
        <v>3.538309047688188</v>
      </c>
      <c r="S610">
        <f t="shared" si="59"/>
        <v>-0.45204822975438808</v>
      </c>
      <c r="U610">
        <v>3.7430840555495859</v>
      </c>
    </row>
    <row r="611" spans="1:21" ht="13.9" x14ac:dyDescent="0.3">
      <c r="A611" s="2" t="s">
        <v>628</v>
      </c>
      <c r="B611" s="2">
        <v>0</v>
      </c>
      <c r="C611" s="2">
        <v>0</v>
      </c>
      <c r="D611" s="2">
        <v>0</v>
      </c>
      <c r="E611" s="2">
        <v>1.28</v>
      </c>
      <c r="F611" s="2">
        <v>2.81</v>
      </c>
      <c r="G611" s="2">
        <v>2.11</v>
      </c>
      <c r="H611" s="2" t="e">
        <f t="shared" si="54"/>
        <v>#NUM!</v>
      </c>
      <c r="I611" s="2">
        <f t="shared" si="55"/>
        <v>9.4931185972709949E-3</v>
      </c>
      <c r="J611" s="2">
        <v>0</v>
      </c>
      <c r="K611" s="2">
        <v>0</v>
      </c>
      <c r="L611" s="2">
        <v>20.61</v>
      </c>
      <c r="M611" s="2">
        <v>1.75</v>
      </c>
      <c r="N611" s="2">
        <v>0</v>
      </c>
      <c r="O611" s="2">
        <v>1.76</v>
      </c>
      <c r="P611" s="2">
        <f t="shared" si="56"/>
        <v>2.5538015692346958</v>
      </c>
      <c r="Q611" s="2">
        <f t="shared" si="57"/>
        <v>0.45486751291604094</v>
      </c>
      <c r="R611" s="2" t="e">
        <f t="shared" si="58"/>
        <v>#NUM!</v>
      </c>
      <c r="S611" t="e">
        <f t="shared" si="59"/>
        <v>#NUM!</v>
      </c>
      <c r="U611">
        <v>4.3652725997645314</v>
      </c>
    </row>
    <row r="612" spans="1:21" ht="13.9" x14ac:dyDescent="0.3">
      <c r="A612" s="2" t="s">
        <v>629</v>
      </c>
      <c r="B612" s="2">
        <v>0</v>
      </c>
      <c r="C612" s="2">
        <v>0</v>
      </c>
      <c r="D612" s="2">
        <v>0</v>
      </c>
      <c r="E612" s="2">
        <v>1.68</v>
      </c>
      <c r="F612" s="2">
        <v>4.68</v>
      </c>
      <c r="G612" s="2">
        <v>6.74</v>
      </c>
      <c r="H612" s="2" t="e">
        <f t="shared" si="54"/>
        <v>#NUM!</v>
      </c>
      <c r="I612" s="2">
        <f t="shared" si="55"/>
        <v>4.1046793121038032E-2</v>
      </c>
      <c r="J612" s="2">
        <v>0</v>
      </c>
      <c r="K612" s="2">
        <v>4.8099999999999996</v>
      </c>
      <c r="L612" s="2">
        <v>0</v>
      </c>
      <c r="M612" s="2">
        <v>1.85</v>
      </c>
      <c r="N612" s="2">
        <v>0</v>
      </c>
      <c r="O612" s="2">
        <v>1.35</v>
      </c>
      <c r="P612" s="2">
        <f t="shared" si="56"/>
        <v>0.58796498888267945</v>
      </c>
      <c r="Q612" s="2">
        <f t="shared" si="57"/>
        <v>0.767482890500916</v>
      </c>
      <c r="R612" s="2" t="e">
        <f t="shared" si="58"/>
        <v>#NUM!</v>
      </c>
      <c r="S612" t="e">
        <f t="shared" si="59"/>
        <v>#NUM!</v>
      </c>
      <c r="U612">
        <v>2.266036893995317</v>
      </c>
    </row>
    <row r="613" spans="1:21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 t="e">
        <f t="shared" si="54"/>
        <v>#NUM!</v>
      </c>
      <c r="I613" s="2">
        <f t="shared" si="55"/>
        <v>0.37390096630005903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f t="shared" si="56"/>
        <v>#DIV/0!</v>
      </c>
      <c r="Q613" s="2" t="e">
        <f t="shared" si="57"/>
        <v>#DIV/0!</v>
      </c>
      <c r="R613" s="2" t="e">
        <f t="shared" si="58"/>
        <v>#DIV/0!</v>
      </c>
      <c r="S613" t="e">
        <f t="shared" si="59"/>
        <v>#DIV/0!</v>
      </c>
      <c r="U613" t="e">
        <v>#NUM!</v>
      </c>
    </row>
    <row r="614" spans="1:21" ht="13.9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0.69</v>
      </c>
      <c r="F614" s="2">
        <v>0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f t="shared" si="56"/>
        <v>#DIV/0!</v>
      </c>
      <c r="Q614" s="2" t="e">
        <f t="shared" si="57"/>
        <v>#DIV/0!</v>
      </c>
      <c r="R614" s="2" t="e">
        <f t="shared" si="58"/>
        <v>#DIV/0!</v>
      </c>
      <c r="S614" t="e">
        <f t="shared" si="59"/>
        <v>#DIV/0!</v>
      </c>
      <c r="U614" t="e">
        <v>#NUM!</v>
      </c>
    </row>
    <row r="615" spans="1:21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 t="e">
        <f t="shared" si="54"/>
        <v>#NUM!</v>
      </c>
      <c r="I615" s="2">
        <f t="shared" si="55"/>
        <v>0.37390096630005903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 t="e">
        <f t="shared" si="56"/>
        <v>#DIV/0!</v>
      </c>
      <c r="Q615" s="2" t="e">
        <f t="shared" si="57"/>
        <v>#DIV/0!</v>
      </c>
      <c r="R615" s="2" t="e">
        <f t="shared" si="58"/>
        <v>#DIV/0!</v>
      </c>
      <c r="S615" t="e">
        <f t="shared" si="59"/>
        <v>#DIV/0!</v>
      </c>
      <c r="U615" t="e">
        <v>#NUM!</v>
      </c>
    </row>
    <row r="616" spans="1:21" ht="13.9" x14ac:dyDescent="0.3">
      <c r="A616" s="2" t="s">
        <v>633</v>
      </c>
      <c r="B616" s="2">
        <v>0</v>
      </c>
      <c r="C616" s="2">
        <v>0</v>
      </c>
      <c r="D616" s="2">
        <v>0</v>
      </c>
      <c r="E616" s="2">
        <v>0</v>
      </c>
      <c r="F616" s="2">
        <v>0.67</v>
      </c>
      <c r="G616" s="2">
        <v>1.79</v>
      </c>
      <c r="H616" s="2" t="e">
        <f t="shared" si="54"/>
        <v>#NUM!</v>
      </c>
      <c r="I616" s="2">
        <f t="shared" si="55"/>
        <v>0.19140052518382053</v>
      </c>
      <c r="J616" s="2">
        <v>3.05</v>
      </c>
      <c r="K616" s="2">
        <v>9</v>
      </c>
      <c r="L616" s="2">
        <v>0</v>
      </c>
      <c r="M616" s="2">
        <v>0.62</v>
      </c>
      <c r="N616" s="2">
        <v>0</v>
      </c>
      <c r="O616" s="2">
        <v>0.41</v>
      </c>
      <c r="P616" s="2">
        <f t="shared" si="56"/>
        <v>3.5483169039341056</v>
      </c>
      <c r="Q616" s="2">
        <f t="shared" si="57"/>
        <v>0.23780167513625353</v>
      </c>
      <c r="R616" s="2" t="e">
        <f t="shared" si="58"/>
        <v>#NUM!</v>
      </c>
      <c r="S616" t="e">
        <f t="shared" si="59"/>
        <v>#NUM!</v>
      </c>
      <c r="U616">
        <v>3.5909612413425993</v>
      </c>
    </row>
    <row r="617" spans="1:21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54"/>
        <v>#NUM!</v>
      </c>
      <c r="I617" s="2">
        <f t="shared" si="55"/>
        <v>0.37390096630005903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f t="shared" si="56"/>
        <v>#DIV/0!</v>
      </c>
      <c r="Q617" s="2" t="e">
        <f t="shared" si="57"/>
        <v>#DIV/0!</v>
      </c>
      <c r="R617" s="2" t="e">
        <f t="shared" si="58"/>
        <v>#DIV/0!</v>
      </c>
      <c r="S617" t="e">
        <f t="shared" si="59"/>
        <v>#DIV/0!</v>
      </c>
      <c r="U617" t="e">
        <v>#NUM!</v>
      </c>
    </row>
    <row r="618" spans="1:21" ht="13.9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4.34</v>
      </c>
      <c r="F618" s="2">
        <v>0.67</v>
      </c>
      <c r="G618" s="2">
        <v>0</v>
      </c>
      <c r="H618" s="2" t="e">
        <f t="shared" si="54"/>
        <v>#NUM!</v>
      </c>
      <c r="I618" s="2">
        <f t="shared" si="55"/>
        <v>0.28340918869317133</v>
      </c>
      <c r="J618" s="2">
        <v>0</v>
      </c>
      <c r="K618" s="2">
        <v>0</v>
      </c>
      <c r="L618" s="2">
        <v>9.0500000000000007</v>
      </c>
      <c r="M618" s="2">
        <v>1.23</v>
      </c>
      <c r="N618" s="2">
        <v>0</v>
      </c>
      <c r="O618" s="2">
        <v>1.62</v>
      </c>
      <c r="P618" s="2">
        <f t="shared" si="56"/>
        <v>1.6669558729184637</v>
      </c>
      <c r="Q618" s="2">
        <f t="shared" si="57"/>
        <v>0.53594619859309356</v>
      </c>
      <c r="R618" s="2" t="e">
        <f t="shared" si="58"/>
        <v>#NUM!</v>
      </c>
      <c r="S618" t="e">
        <f t="shared" si="59"/>
        <v>#NUM!</v>
      </c>
      <c r="U618">
        <v>3.177917792195843</v>
      </c>
    </row>
    <row r="619" spans="1:21" ht="13.9" x14ac:dyDescent="0.3">
      <c r="A619" s="2" t="s">
        <v>636</v>
      </c>
      <c r="B619" s="2">
        <v>13.18</v>
      </c>
      <c r="C619" s="2">
        <v>7.07</v>
      </c>
      <c r="D619" s="2">
        <v>0</v>
      </c>
      <c r="E619" s="2">
        <v>2.57</v>
      </c>
      <c r="F619" s="2">
        <v>3.21</v>
      </c>
      <c r="G619" s="2">
        <v>2.11</v>
      </c>
      <c r="H619" s="2">
        <f t="shared" si="54"/>
        <v>1.3598247026458914</v>
      </c>
      <c r="I619" s="2">
        <f t="shared" si="55"/>
        <v>0.34165385211749782</v>
      </c>
      <c r="J619" s="2">
        <v>0</v>
      </c>
      <c r="K619" s="2">
        <v>1.88</v>
      </c>
      <c r="L619" s="2">
        <v>0</v>
      </c>
      <c r="M619" s="2">
        <v>0.72</v>
      </c>
      <c r="N619" s="2">
        <v>0</v>
      </c>
      <c r="O619" s="2">
        <v>3.93</v>
      </c>
      <c r="P619" s="2">
        <f t="shared" si="56"/>
        <v>-1.3064980543177567</v>
      </c>
      <c r="Q619" s="2">
        <f t="shared" si="57"/>
        <v>0.53469192617445249</v>
      </c>
      <c r="R619" s="2">
        <f t="shared" si="58"/>
        <v>-2.6663227569636483</v>
      </c>
      <c r="S619">
        <f t="shared" si="59"/>
        <v>-0.9607841744422102</v>
      </c>
      <c r="U619">
        <v>0.91073266190291258</v>
      </c>
    </row>
    <row r="620" spans="1:21" ht="13.9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0.49</v>
      </c>
      <c r="F620" s="2">
        <v>0</v>
      </c>
      <c r="G620" s="2">
        <v>0</v>
      </c>
      <c r="H620" s="2" t="e">
        <f t="shared" si="54"/>
        <v>#NUM!</v>
      </c>
      <c r="I620" s="2">
        <f t="shared" si="55"/>
        <v>0.37390096630005903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0.68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ht="13.9" x14ac:dyDescent="0.3">
      <c r="A621" s="2" t="s">
        <v>638</v>
      </c>
      <c r="B621" s="2">
        <v>0</v>
      </c>
      <c r="C621" s="2">
        <v>10</v>
      </c>
      <c r="D621" s="2">
        <v>1.27</v>
      </c>
      <c r="E621" s="2">
        <v>0.49</v>
      </c>
      <c r="F621" s="2">
        <v>2.67</v>
      </c>
      <c r="G621" s="2">
        <v>1.9</v>
      </c>
      <c r="H621" s="2">
        <f t="shared" si="54"/>
        <v>1.1552782254779108</v>
      </c>
      <c r="I621" s="2">
        <f t="shared" si="55"/>
        <v>0.5538193339666313</v>
      </c>
      <c r="J621" s="2">
        <v>11.32</v>
      </c>
      <c r="K621" s="2">
        <v>2.72</v>
      </c>
      <c r="L621" s="2">
        <v>0</v>
      </c>
      <c r="M621" s="2">
        <v>2.06</v>
      </c>
      <c r="N621" s="2">
        <v>286.13</v>
      </c>
      <c r="O621" s="2">
        <v>0.27</v>
      </c>
      <c r="P621" s="2">
        <f t="shared" si="56"/>
        <v>-4.3607564372056071</v>
      </c>
      <c r="Q621" s="2">
        <f t="shared" si="57"/>
        <v>0.3903660290759865</v>
      </c>
      <c r="R621" s="2">
        <f t="shared" si="58"/>
        <v>-5.5160346626835182</v>
      </c>
      <c r="S621">
        <f t="shared" si="59"/>
        <v>-3.7746374345467015</v>
      </c>
      <c r="U621">
        <v>3.8114710305298365</v>
      </c>
    </row>
    <row r="622" spans="1:21" ht="13.9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54"/>
        <v>#DIV/0!</v>
      </c>
      <c r="I622" s="2" t="e">
        <f t="shared" si="55"/>
        <v>#DIV/0!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 t="e">
        <f t="shared" si="54"/>
        <v>#NUM!</v>
      </c>
      <c r="I623" s="2">
        <f t="shared" si="55"/>
        <v>0.37390096630005903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 t="e">
        <f t="shared" si="56"/>
        <v>#DIV/0!</v>
      </c>
      <c r="Q623" s="2" t="e">
        <f t="shared" si="57"/>
        <v>#DIV/0!</v>
      </c>
      <c r="R623" s="2" t="e">
        <f t="shared" si="58"/>
        <v>#DIV/0!</v>
      </c>
      <c r="S623" t="e">
        <f t="shared" si="59"/>
        <v>#DIV/0!</v>
      </c>
      <c r="U623" t="e">
        <v>#NUM!</v>
      </c>
    </row>
    <row r="624" spans="1:21" ht="13.9" x14ac:dyDescent="0.3">
      <c r="A624" s="2" t="s">
        <v>641</v>
      </c>
      <c r="B624" s="2">
        <v>0</v>
      </c>
      <c r="C624" s="2">
        <v>7.07</v>
      </c>
      <c r="D624" s="2">
        <v>18.39</v>
      </c>
      <c r="E624" s="2">
        <v>2.76</v>
      </c>
      <c r="F624" s="2">
        <v>1.07</v>
      </c>
      <c r="G624" s="2">
        <v>0</v>
      </c>
      <c r="H624" s="2">
        <f t="shared" si="54"/>
        <v>2.7328161219764007</v>
      </c>
      <c r="I624" s="2">
        <f t="shared" si="55"/>
        <v>0.25389328122557075</v>
      </c>
      <c r="J624" s="2">
        <v>0</v>
      </c>
      <c r="K624" s="2">
        <v>0</v>
      </c>
      <c r="L624" s="2">
        <v>0</v>
      </c>
      <c r="M624" s="2">
        <v>0.41</v>
      </c>
      <c r="N624" s="2">
        <v>163.51</v>
      </c>
      <c r="O624" s="2">
        <v>0.68</v>
      </c>
      <c r="P624" s="2" t="e">
        <f t="shared" si="56"/>
        <v>#NUM!</v>
      </c>
      <c r="Q624" s="2">
        <f t="shared" si="57"/>
        <v>0.36961564153084114</v>
      </c>
      <c r="R624" s="2" t="e">
        <f t="shared" si="58"/>
        <v>#NUM!</v>
      </c>
      <c r="S624" t="e">
        <f t="shared" si="59"/>
        <v>#NUM!</v>
      </c>
      <c r="U624" t="e">
        <v>#NUM!</v>
      </c>
    </row>
    <row r="625" spans="1:21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 t="e">
        <f t="shared" si="54"/>
        <v>#NUM!</v>
      </c>
      <c r="I625" s="2">
        <f t="shared" si="55"/>
        <v>0.37390096630005903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f t="shared" si="56"/>
        <v>#DIV/0!</v>
      </c>
      <c r="Q625" s="2" t="e">
        <f t="shared" si="57"/>
        <v>#DIV/0!</v>
      </c>
      <c r="R625" s="2" t="e">
        <f t="shared" si="58"/>
        <v>#DIV/0!</v>
      </c>
      <c r="S625" t="e">
        <f t="shared" si="59"/>
        <v>#DIV/0!</v>
      </c>
      <c r="U625" t="e">
        <v>#NUM!</v>
      </c>
    </row>
    <row r="626" spans="1:21" ht="13.9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54"/>
        <v>#DIV/0!</v>
      </c>
      <c r="I626" s="2" t="e">
        <f t="shared" si="55"/>
        <v>#DIV/0!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ht="13.9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54"/>
        <v>#DIV/0!</v>
      </c>
      <c r="I627" s="2" t="e">
        <f t="shared" si="55"/>
        <v>#DIV/0!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 t="e">
        <f t="shared" si="54"/>
        <v>#NUM!</v>
      </c>
      <c r="I628" s="2">
        <f t="shared" si="55"/>
        <v>0.37390096630005903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 t="e">
        <f t="shared" si="56"/>
        <v>#DIV/0!</v>
      </c>
      <c r="Q628" s="2" t="e">
        <f t="shared" si="57"/>
        <v>#DIV/0!</v>
      </c>
      <c r="R628" s="2" t="e">
        <f t="shared" si="58"/>
        <v>#DIV/0!</v>
      </c>
      <c r="S628" t="e">
        <f t="shared" si="59"/>
        <v>#DIV/0!</v>
      </c>
      <c r="U628" t="e">
        <v>#NUM!</v>
      </c>
    </row>
    <row r="629" spans="1:21" ht="13.9" x14ac:dyDescent="0.3">
      <c r="A629" s="2" t="s">
        <v>646</v>
      </c>
      <c r="B629" s="2">
        <v>0.33</v>
      </c>
      <c r="C629" s="2">
        <v>0</v>
      </c>
      <c r="D629" s="2">
        <v>0</v>
      </c>
      <c r="E629" s="2">
        <v>0.49</v>
      </c>
      <c r="F629" s="2">
        <v>0</v>
      </c>
      <c r="G629" s="2">
        <v>0</v>
      </c>
      <c r="H629" s="2">
        <f t="shared" si="54"/>
        <v>-0.57031572475675463</v>
      </c>
      <c r="I629" s="2">
        <f t="shared" si="55"/>
        <v>0.79991811453454031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f t="shared" si="56"/>
        <v>#DIV/0!</v>
      </c>
      <c r="Q629" s="2" t="e">
        <f t="shared" si="57"/>
        <v>#DIV/0!</v>
      </c>
      <c r="R629" s="2" t="e">
        <f t="shared" si="58"/>
        <v>#DIV/0!</v>
      </c>
      <c r="S629" t="e">
        <f t="shared" si="59"/>
        <v>#DIV/0!</v>
      </c>
      <c r="U629" t="e">
        <v>#NUM!</v>
      </c>
    </row>
    <row r="630" spans="1:21" ht="13.9" x14ac:dyDescent="0.3">
      <c r="A630" s="2" t="s">
        <v>647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54"/>
        <v>#DIV/0!</v>
      </c>
      <c r="I630" s="2" t="e">
        <f t="shared" si="55"/>
        <v>#DIV/0!</v>
      </c>
      <c r="J630" s="2">
        <v>0</v>
      </c>
      <c r="K630" s="2">
        <v>0</v>
      </c>
      <c r="L630" s="2">
        <v>0</v>
      </c>
      <c r="M630" s="2">
        <v>0.93</v>
      </c>
      <c r="N630" s="2">
        <v>0</v>
      </c>
      <c r="O630" s="2">
        <v>0</v>
      </c>
      <c r="P630" s="2" t="e">
        <f t="shared" si="56"/>
        <v>#NUM!</v>
      </c>
      <c r="Q630" s="2">
        <f t="shared" si="57"/>
        <v>0.37390096630005903</v>
      </c>
      <c r="R630" s="2" t="e">
        <f t="shared" si="58"/>
        <v>#NUM!</v>
      </c>
      <c r="S630" t="e">
        <f t="shared" si="59"/>
        <v>#NUM!</v>
      </c>
      <c r="U630" t="e">
        <v>#NUM!</v>
      </c>
    </row>
    <row r="631" spans="1:21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 t="e">
        <f t="shared" si="54"/>
        <v>#NUM!</v>
      </c>
      <c r="I631" s="2">
        <f t="shared" si="55"/>
        <v>0.37390096630005903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 t="e">
        <f t="shared" si="56"/>
        <v>#DIV/0!</v>
      </c>
      <c r="Q631" s="2" t="e">
        <f t="shared" si="57"/>
        <v>#DIV/0!</v>
      </c>
      <c r="R631" s="2" t="e">
        <f t="shared" si="58"/>
        <v>#DIV/0!</v>
      </c>
      <c r="S631" t="e">
        <f t="shared" si="59"/>
        <v>#DIV/0!</v>
      </c>
      <c r="U631" t="e">
        <v>#NUM!</v>
      </c>
    </row>
    <row r="632" spans="1:21" ht="13.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0.72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>
        <f t="shared" si="57"/>
        <v>0.37390096630005903</v>
      </c>
      <c r="R632" s="2" t="e">
        <f t="shared" si="58"/>
        <v>#DIV/0!</v>
      </c>
      <c r="S632" t="e">
        <f t="shared" si="59"/>
        <v>#DIV/0!</v>
      </c>
      <c r="U632">
        <v>-0.47393118833241243</v>
      </c>
    </row>
    <row r="633" spans="1:21" ht="13.9" x14ac:dyDescent="0.3">
      <c r="A633" s="2" t="s">
        <v>650</v>
      </c>
      <c r="B633" s="2">
        <v>278.85000000000002</v>
      </c>
      <c r="C633" s="2">
        <v>442.55</v>
      </c>
      <c r="D633" s="2">
        <v>256.52999999999997</v>
      </c>
      <c r="E633" s="2">
        <v>563.07000000000005</v>
      </c>
      <c r="F633" s="2">
        <v>700.22</v>
      </c>
      <c r="G633" s="2">
        <v>557.49</v>
      </c>
      <c r="H633" s="2">
        <f t="shared" si="54"/>
        <v>-0.89675350963077094</v>
      </c>
      <c r="I633" s="2">
        <f t="shared" si="55"/>
        <v>1.9972237913104828E-2</v>
      </c>
      <c r="J633" s="2">
        <v>283.49</v>
      </c>
      <c r="K633" s="2">
        <v>579.91999999999996</v>
      </c>
      <c r="L633" s="2">
        <v>525.37</v>
      </c>
      <c r="M633" s="2">
        <v>534.51</v>
      </c>
      <c r="N633" s="2">
        <v>327.01</v>
      </c>
      <c r="O633" s="2">
        <v>764.17</v>
      </c>
      <c r="P633" s="2">
        <f t="shared" si="56"/>
        <v>-0.22723410202272007</v>
      </c>
      <c r="Q633" s="2">
        <f t="shared" si="57"/>
        <v>0.6386648844039875</v>
      </c>
      <c r="R633" s="2">
        <f t="shared" si="58"/>
        <v>0.66951940760805084</v>
      </c>
      <c r="S633">
        <f t="shared" si="59"/>
        <v>0.25339638995812952</v>
      </c>
      <c r="U633">
        <v>10.439602361269257</v>
      </c>
    </row>
    <row r="634" spans="1:21" ht="13.9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54"/>
        <v>#DIV/0!</v>
      </c>
      <c r="I634" s="2" t="e">
        <f t="shared" si="55"/>
        <v>#DIV/0!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ht="13.9" x14ac:dyDescent="0.3">
      <c r="A635" s="2" t="s">
        <v>652</v>
      </c>
      <c r="B635" s="2">
        <v>155.58000000000001</v>
      </c>
      <c r="C635" s="2">
        <v>146.13</v>
      </c>
      <c r="D635" s="2">
        <v>140.01</v>
      </c>
      <c r="E635" s="2">
        <v>143.33000000000001</v>
      </c>
      <c r="F635" s="2">
        <v>102.55</v>
      </c>
      <c r="G635" s="2">
        <v>155.13</v>
      </c>
      <c r="H635" s="2">
        <f t="shared" si="54"/>
        <v>0.13949394189172024</v>
      </c>
      <c r="I635" s="2">
        <f t="shared" si="55"/>
        <v>0.45854385961549815</v>
      </c>
      <c r="J635" s="2">
        <v>107.43</v>
      </c>
      <c r="K635" s="2">
        <v>159.68</v>
      </c>
      <c r="L635" s="2">
        <v>130.21</v>
      </c>
      <c r="M635" s="2">
        <v>123.78</v>
      </c>
      <c r="N635" s="2">
        <v>81.75</v>
      </c>
      <c r="O635" s="2">
        <v>117.75</v>
      </c>
      <c r="P635" s="2">
        <f t="shared" si="56"/>
        <v>0.29751715993469657</v>
      </c>
      <c r="Q635" s="2">
        <f t="shared" si="57"/>
        <v>0.28521800208406456</v>
      </c>
      <c r="R635" s="2">
        <f t="shared" si="58"/>
        <v>0.15802321804297634</v>
      </c>
      <c r="S635">
        <f t="shared" si="59"/>
        <v>2.1328321208790495</v>
      </c>
      <c r="U635">
        <v>8.6341576063434307</v>
      </c>
    </row>
    <row r="636" spans="1:21" ht="13.9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0.84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f t="shared" si="56"/>
        <v>#DIV/0!</v>
      </c>
      <c r="Q636" s="2" t="e">
        <f t="shared" si="57"/>
        <v>#DIV/0!</v>
      </c>
      <c r="R636" s="2" t="e">
        <f t="shared" si="58"/>
        <v>#DIV/0!</v>
      </c>
      <c r="S636" t="e">
        <f t="shared" si="59"/>
        <v>#DIV/0!</v>
      </c>
      <c r="U636" t="e">
        <v>#NUM!</v>
      </c>
    </row>
    <row r="637" spans="1:21" ht="13.9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54"/>
        <v>#DIV/0!</v>
      </c>
      <c r="I637" s="2" t="e">
        <f t="shared" si="55"/>
        <v>#DIV/0!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ht="13.9" x14ac:dyDescent="0.3">
      <c r="A638" s="2" t="s">
        <v>655</v>
      </c>
      <c r="B638" s="2">
        <v>0</v>
      </c>
      <c r="C638" s="2">
        <v>0</v>
      </c>
      <c r="D638" s="2">
        <v>4.01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>
        <f t="shared" si="55"/>
        <v>0.37390096630005903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 t="e">
        <f t="shared" si="57"/>
        <v>#DIV/0!</v>
      </c>
      <c r="R638" s="2" t="e">
        <f t="shared" si="58"/>
        <v>#DIV/0!</v>
      </c>
      <c r="S638" t="e">
        <f t="shared" si="59"/>
        <v>#DIV/0!</v>
      </c>
      <c r="U638" t="e">
        <v>#NUM!</v>
      </c>
    </row>
    <row r="639" spans="1:21" ht="13.9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0.3</v>
      </c>
      <c r="F639" s="2">
        <v>0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0.1</v>
      </c>
      <c r="N639" s="2">
        <v>0</v>
      </c>
      <c r="O639" s="2">
        <v>0.95</v>
      </c>
      <c r="P639" s="2" t="e">
        <f t="shared" si="56"/>
        <v>#NUM!</v>
      </c>
      <c r="Q639" s="2">
        <f t="shared" si="57"/>
        <v>0.31009649504930942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ht="13.9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54"/>
        <v>#DIV/0!</v>
      </c>
      <c r="I640" s="2" t="e">
        <f t="shared" si="55"/>
        <v>#DIV/0!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ht="13.9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54"/>
        <v>#DIV/0!</v>
      </c>
      <c r="I641" s="2" t="e">
        <f t="shared" si="55"/>
        <v>#DIV/0!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ht="13.9" x14ac:dyDescent="0.3">
      <c r="A642" s="2" t="s">
        <v>659</v>
      </c>
      <c r="B642" s="2">
        <v>0</v>
      </c>
      <c r="C642" s="2">
        <v>1.22</v>
      </c>
      <c r="D642" s="2">
        <v>0</v>
      </c>
      <c r="E642" s="2">
        <v>0.1</v>
      </c>
      <c r="F642" s="2">
        <v>0.67</v>
      </c>
      <c r="G642" s="2">
        <v>0</v>
      </c>
      <c r="H642" s="2">
        <f t="shared" ref="H642:H705" si="60">LOG(SUM(B642:D642)/SUM(E642:G642),2)</f>
        <v>0.66395079686798486</v>
      </c>
      <c r="I642" s="2">
        <f t="shared" ref="I642:I705" si="61">_xlfn.T.TEST(B642:D642,E642:G642,2,2)</f>
        <v>0.75924298647557076</v>
      </c>
      <c r="J642" s="2">
        <v>0</v>
      </c>
      <c r="K642" s="2">
        <v>0</v>
      </c>
      <c r="L642" s="2">
        <v>0</v>
      </c>
      <c r="M642" s="2">
        <v>0.72</v>
      </c>
      <c r="N642" s="2">
        <v>0</v>
      </c>
      <c r="O642" s="2">
        <v>0.68</v>
      </c>
      <c r="P642" s="2" t="e">
        <f t="shared" ref="P642:P705" si="62">LOG(SUM(J642:L642)/SUM(M642:O642),2)</f>
        <v>#NUM!</v>
      </c>
      <c r="Q642" s="2">
        <f t="shared" ref="Q642:Q705" si="63">_xlfn.T.TEST(J642:L642,M642:O642,2,2)</f>
        <v>0.1164411159095611</v>
      </c>
      <c r="R642" s="2" t="e">
        <f t="shared" si="58"/>
        <v>#NUM!</v>
      </c>
      <c r="S642" t="e">
        <f t="shared" si="59"/>
        <v>#NUM!</v>
      </c>
      <c r="U642" t="e">
        <v>#NUM!</v>
      </c>
    </row>
    <row r="643" spans="1:21" ht="13.9" x14ac:dyDescent="0.3">
      <c r="A643" s="2" t="s">
        <v>660</v>
      </c>
      <c r="B643" s="2">
        <v>0</v>
      </c>
      <c r="C643" s="2">
        <v>1.22</v>
      </c>
      <c r="D643" s="2">
        <v>0</v>
      </c>
      <c r="E643" s="2">
        <v>0.1</v>
      </c>
      <c r="F643" s="2">
        <v>0.67</v>
      </c>
      <c r="G643" s="2">
        <v>0</v>
      </c>
      <c r="H643" s="2">
        <f t="shared" si="60"/>
        <v>0.66395079686798486</v>
      </c>
      <c r="I643" s="2">
        <f t="shared" si="61"/>
        <v>0.75924298647557076</v>
      </c>
      <c r="J643" s="2">
        <v>0</v>
      </c>
      <c r="K643" s="2">
        <v>0</v>
      </c>
      <c r="L643" s="2">
        <v>0</v>
      </c>
      <c r="M643" s="2">
        <v>0.72</v>
      </c>
      <c r="N643" s="2">
        <v>0</v>
      </c>
      <c r="O643" s="2">
        <v>0.68</v>
      </c>
      <c r="P643" s="2" t="e">
        <f t="shared" si="62"/>
        <v>#NUM!</v>
      </c>
      <c r="Q643" s="2">
        <f t="shared" si="63"/>
        <v>0.1164411159095611</v>
      </c>
      <c r="R643" s="2" t="e">
        <f t="shared" ref="R643:R706" si="64">P643-H643</f>
        <v>#NUM!</v>
      </c>
      <c r="S643" t="e">
        <f t="shared" si="59"/>
        <v>#NUM!</v>
      </c>
      <c r="U643" t="e">
        <v>#NUM!</v>
      </c>
    </row>
    <row r="644" spans="1:21" ht="13.9" x14ac:dyDescent="0.3">
      <c r="A644" s="2" t="s">
        <v>661</v>
      </c>
      <c r="B644" s="2">
        <v>0</v>
      </c>
      <c r="C644" s="2">
        <v>0.24</v>
      </c>
      <c r="D644" s="2">
        <v>0</v>
      </c>
      <c r="E644" s="2">
        <v>1.48</v>
      </c>
      <c r="F644" s="2">
        <v>1.2</v>
      </c>
      <c r="G644" s="2">
        <v>2.11</v>
      </c>
      <c r="H644" s="2">
        <f t="shared" si="60"/>
        <v>-4.3189193450150238</v>
      </c>
      <c r="I644" s="2">
        <f t="shared" si="61"/>
        <v>5.6826632961506796E-3</v>
      </c>
      <c r="J644" s="2">
        <v>0.18</v>
      </c>
      <c r="K644" s="2">
        <v>0</v>
      </c>
      <c r="L644" s="2">
        <v>7.04</v>
      </c>
      <c r="M644" s="2">
        <v>2.57</v>
      </c>
      <c r="N644" s="2">
        <v>0</v>
      </c>
      <c r="O644" s="2">
        <v>2.44</v>
      </c>
      <c r="P644" s="2">
        <f t="shared" si="62"/>
        <v>0.52718823369196277</v>
      </c>
      <c r="Q644" s="2">
        <f t="shared" si="63"/>
        <v>0.77979818840065651</v>
      </c>
      <c r="R644" s="2">
        <f t="shared" si="64"/>
        <v>4.8461075787069863</v>
      </c>
      <c r="S644">
        <f t="shared" ref="S644:S707" si="65">P644/H644</f>
        <v>-0.12206484807373241</v>
      </c>
      <c r="U644">
        <v>2.8519988371124461</v>
      </c>
    </row>
    <row r="645" spans="1:21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 t="e">
        <f t="shared" si="60"/>
        <v>#NUM!</v>
      </c>
      <c r="I645" s="2">
        <f t="shared" si="61"/>
        <v>0.37390096630005903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f t="shared" si="62"/>
        <v>#DIV/0!</v>
      </c>
      <c r="Q645" s="2" t="e">
        <f t="shared" si="63"/>
        <v>#DIV/0!</v>
      </c>
      <c r="R645" s="2" t="e">
        <f t="shared" si="64"/>
        <v>#DIV/0!</v>
      </c>
      <c r="S645" t="e">
        <f t="shared" si="65"/>
        <v>#DIV/0!</v>
      </c>
      <c r="U645" t="e">
        <v>#NUM!</v>
      </c>
    </row>
    <row r="646" spans="1:21" ht="13.9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0.69</v>
      </c>
      <c r="F646" s="2">
        <v>0.4</v>
      </c>
      <c r="G646" s="2">
        <v>0</v>
      </c>
      <c r="H646" s="2" t="e">
        <f t="shared" si="60"/>
        <v>#NUM!</v>
      </c>
      <c r="I646" s="2">
        <f t="shared" si="61"/>
        <v>0.1434735711166597</v>
      </c>
      <c r="J646" s="2">
        <v>0</v>
      </c>
      <c r="K646" s="2">
        <v>0</v>
      </c>
      <c r="L646" s="2">
        <v>0</v>
      </c>
      <c r="M646" s="2">
        <v>0.21</v>
      </c>
      <c r="N646" s="2">
        <v>0</v>
      </c>
      <c r="O646" s="2">
        <v>2.0299999999999998</v>
      </c>
      <c r="P646" s="2" t="e">
        <f t="shared" si="62"/>
        <v>#NUM!</v>
      </c>
      <c r="Q646" s="2">
        <f t="shared" si="63"/>
        <v>0.31112278603169208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ht="13.9" x14ac:dyDescent="0.3">
      <c r="A647" s="2" t="s">
        <v>664</v>
      </c>
      <c r="B647" s="2">
        <v>0</v>
      </c>
      <c r="C647" s="2">
        <v>1.95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>
        <f t="shared" si="61"/>
        <v>0.37390096630005903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 t="e">
        <f t="shared" si="63"/>
        <v>#DIV/0!</v>
      </c>
      <c r="R647" s="2" t="e">
        <f t="shared" si="64"/>
        <v>#DIV/0!</v>
      </c>
      <c r="S647" t="e">
        <f t="shared" si="65"/>
        <v>#DIV/0!</v>
      </c>
      <c r="U647" t="e">
        <v>#NUM!</v>
      </c>
    </row>
    <row r="648" spans="1:21" ht="13.9" x14ac:dyDescent="0.3">
      <c r="A648" s="2" t="s">
        <v>665</v>
      </c>
      <c r="B648" s="2">
        <v>0</v>
      </c>
      <c r="C648" s="2">
        <v>0</v>
      </c>
      <c r="D648" s="2">
        <v>0</v>
      </c>
      <c r="E648" s="2">
        <v>0</v>
      </c>
      <c r="F648" s="2">
        <v>2.27</v>
      </c>
      <c r="G648" s="2">
        <v>1.58</v>
      </c>
      <c r="H648" s="2" t="e">
        <f t="shared" si="60"/>
        <v>#NUM!</v>
      </c>
      <c r="I648" s="2">
        <f t="shared" si="61"/>
        <v>0.12873287639645425</v>
      </c>
      <c r="J648" s="2">
        <v>0</v>
      </c>
      <c r="K648" s="2">
        <v>0</v>
      </c>
      <c r="L648" s="2">
        <v>0</v>
      </c>
      <c r="M648" s="2">
        <v>0.62</v>
      </c>
      <c r="N648" s="2">
        <v>0</v>
      </c>
      <c r="O648" s="2">
        <v>0.14000000000000001</v>
      </c>
      <c r="P648" s="2" t="e">
        <f t="shared" si="62"/>
        <v>#NUM!</v>
      </c>
      <c r="Q648" s="2">
        <f t="shared" si="63"/>
        <v>0.24852132960146875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ht="13.9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0.3</v>
      </c>
      <c r="F649" s="2">
        <v>0.27</v>
      </c>
      <c r="G649" s="2">
        <v>0</v>
      </c>
      <c r="H649" s="2" t="e">
        <f t="shared" si="60"/>
        <v>#NUM!</v>
      </c>
      <c r="I649" s="2">
        <f t="shared" si="61"/>
        <v>0.11721716888134213</v>
      </c>
      <c r="J649" s="2">
        <v>0</v>
      </c>
      <c r="K649" s="2">
        <v>7.95</v>
      </c>
      <c r="L649" s="2">
        <v>0</v>
      </c>
      <c r="M649" s="2">
        <v>0.72</v>
      </c>
      <c r="N649" s="2">
        <v>0</v>
      </c>
      <c r="O649" s="2">
        <v>1.89</v>
      </c>
      <c r="P649" s="2">
        <f t="shared" si="62"/>
        <v>1.6069050536018334</v>
      </c>
      <c r="Q649" s="2">
        <f t="shared" si="63"/>
        <v>0.54668588294932463</v>
      </c>
      <c r="R649" s="2" t="e">
        <f t="shared" si="64"/>
        <v>#NUM!</v>
      </c>
      <c r="S649" t="e">
        <f t="shared" si="65"/>
        <v>#NUM!</v>
      </c>
      <c r="U649">
        <v>2.9909548603969931</v>
      </c>
    </row>
    <row r="650" spans="1:21" ht="13.9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0.89</v>
      </c>
      <c r="F650" s="2">
        <v>0.67</v>
      </c>
      <c r="G650" s="2">
        <v>0.63</v>
      </c>
      <c r="H650" s="2" t="e">
        <f t="shared" si="60"/>
        <v>#NUM!</v>
      </c>
      <c r="I650" s="2">
        <f t="shared" si="61"/>
        <v>8.3260976632631696E-4</v>
      </c>
      <c r="J650" s="2">
        <v>0.36</v>
      </c>
      <c r="K650" s="2">
        <v>0</v>
      </c>
      <c r="L650" s="2">
        <v>0</v>
      </c>
      <c r="M650" s="2">
        <v>0.31</v>
      </c>
      <c r="N650" s="2">
        <v>0</v>
      </c>
      <c r="O650" s="2">
        <v>0.81</v>
      </c>
      <c r="P650" s="2">
        <f t="shared" si="62"/>
        <v>-1.637429920615292</v>
      </c>
      <c r="Q650" s="2">
        <f t="shared" si="63"/>
        <v>0.39277065922797194</v>
      </c>
      <c r="R650" s="2" t="e">
        <f t="shared" si="64"/>
        <v>#NUM!</v>
      </c>
      <c r="S650" t="e">
        <f t="shared" si="65"/>
        <v>#NUM!</v>
      </c>
      <c r="U650">
        <v>-1.4739311883324124</v>
      </c>
    </row>
    <row r="651" spans="1:21" ht="13.9" x14ac:dyDescent="0.3">
      <c r="A651" s="2" t="s">
        <v>668</v>
      </c>
      <c r="B651" s="2">
        <v>0</v>
      </c>
      <c r="C651" s="2">
        <v>0</v>
      </c>
      <c r="D651" s="2">
        <v>10.92</v>
      </c>
      <c r="E651" s="2">
        <v>0.3</v>
      </c>
      <c r="F651" s="2">
        <v>0</v>
      </c>
      <c r="G651" s="2">
        <v>1.9</v>
      </c>
      <c r="H651" s="2">
        <f t="shared" si="60"/>
        <v>2.3113974273951929</v>
      </c>
      <c r="I651" s="2">
        <f t="shared" si="61"/>
        <v>0.47463515318742544</v>
      </c>
      <c r="J651" s="2">
        <v>0</v>
      </c>
      <c r="K651" s="2">
        <v>0</v>
      </c>
      <c r="L651" s="2">
        <v>0.5</v>
      </c>
      <c r="M651" s="2">
        <v>0.51</v>
      </c>
      <c r="N651" s="2">
        <v>40.880000000000003</v>
      </c>
      <c r="O651" s="2">
        <v>1.49</v>
      </c>
      <c r="P651" s="2">
        <f t="shared" si="62"/>
        <v>-6.4222330006830477</v>
      </c>
      <c r="Q651" s="2">
        <f t="shared" si="63"/>
        <v>0.34795402272128773</v>
      </c>
      <c r="R651" s="2">
        <f t="shared" si="64"/>
        <v>-8.7336304280782411</v>
      </c>
      <c r="S651">
        <f t="shared" si="65"/>
        <v>-2.7785065971629646</v>
      </c>
      <c r="U651">
        <v>-1</v>
      </c>
    </row>
    <row r="652" spans="1:21" ht="13.9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60"/>
        <v>#DIV/0!</v>
      </c>
      <c r="I652" s="2" t="e">
        <f t="shared" si="61"/>
        <v>#DIV/0!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0.1</v>
      </c>
      <c r="N653" s="2">
        <v>0</v>
      </c>
      <c r="O653" s="2">
        <v>0.14000000000000001</v>
      </c>
      <c r="P653" s="2" t="e">
        <f t="shared" si="62"/>
        <v>#NUM!</v>
      </c>
      <c r="Q653" s="2">
        <f t="shared" si="63"/>
        <v>0.12704639298528589</v>
      </c>
      <c r="R653" s="2" t="e">
        <f t="shared" si="64"/>
        <v>#NUM!</v>
      </c>
      <c r="S653" t="e">
        <f t="shared" si="65"/>
        <v>#NUM!</v>
      </c>
      <c r="U653" t="e">
        <v>#NUM!</v>
      </c>
    </row>
    <row r="654" spans="1:21" ht="13.9" x14ac:dyDescent="0.3">
      <c r="A654" s="2" t="s">
        <v>671</v>
      </c>
      <c r="B654" s="2">
        <v>0</v>
      </c>
      <c r="C654" s="2">
        <v>1.95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>
        <f t="shared" si="61"/>
        <v>0.37390096630005903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 t="e">
        <f t="shared" si="63"/>
        <v>#DIV/0!</v>
      </c>
      <c r="R654" s="2" t="e">
        <f t="shared" si="64"/>
        <v>#DIV/0!</v>
      </c>
      <c r="S654" t="e">
        <f t="shared" si="65"/>
        <v>#DIV/0!</v>
      </c>
      <c r="U654" t="e">
        <v>#NUM!</v>
      </c>
    </row>
    <row r="655" spans="1:21" ht="13.9" x14ac:dyDescent="0.3">
      <c r="A655" s="2" t="s">
        <v>672</v>
      </c>
      <c r="B655" s="2">
        <v>8.57</v>
      </c>
      <c r="C655" s="2">
        <v>0.98</v>
      </c>
      <c r="D655" s="2">
        <v>0.18</v>
      </c>
      <c r="E655" s="2">
        <v>4.4400000000000004</v>
      </c>
      <c r="F655" s="2">
        <v>3.48</v>
      </c>
      <c r="G655" s="2">
        <v>4.53</v>
      </c>
      <c r="H655" s="2">
        <f t="shared" si="60"/>
        <v>-0.35563403217433159</v>
      </c>
      <c r="I655" s="2">
        <f t="shared" si="61"/>
        <v>0.75340304988743678</v>
      </c>
      <c r="J655" s="2">
        <v>0.18</v>
      </c>
      <c r="K655" s="2">
        <v>4.1900000000000004</v>
      </c>
      <c r="L655" s="2">
        <v>7.04</v>
      </c>
      <c r="M655" s="2">
        <v>4.84</v>
      </c>
      <c r="N655" s="2">
        <v>0</v>
      </c>
      <c r="O655" s="2">
        <v>4.74</v>
      </c>
      <c r="P655" s="2">
        <f t="shared" si="62"/>
        <v>0.25220123055250149</v>
      </c>
      <c r="Q655" s="2">
        <f t="shared" si="63"/>
        <v>0.82278447474637839</v>
      </c>
      <c r="R655" s="2">
        <f t="shared" si="64"/>
        <v>0.60783526272683308</v>
      </c>
      <c r="S655">
        <f t="shared" si="65"/>
        <v>-0.70915943845574536</v>
      </c>
      <c r="U655">
        <v>3.5122268865139574</v>
      </c>
    </row>
    <row r="656" spans="1:21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 t="e">
        <f t="shared" si="60"/>
        <v>#NUM!</v>
      </c>
      <c r="I656" s="2">
        <f t="shared" si="61"/>
        <v>0.37390096630005903</v>
      </c>
      <c r="J656" s="2">
        <v>0</v>
      </c>
      <c r="K656" s="2">
        <v>0</v>
      </c>
      <c r="L656" s="2">
        <v>0</v>
      </c>
      <c r="M656" s="2">
        <v>0.62</v>
      </c>
      <c r="N656" s="2">
        <v>0</v>
      </c>
      <c r="O656" s="2">
        <v>0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ht="13.9" x14ac:dyDescent="0.3">
      <c r="A657" s="2" t="s">
        <v>674</v>
      </c>
      <c r="B657" s="2">
        <v>0</v>
      </c>
      <c r="C657" s="2">
        <v>1.22</v>
      </c>
      <c r="D657" s="2">
        <v>0</v>
      </c>
      <c r="E657" s="2">
        <v>0.1</v>
      </c>
      <c r="F657" s="2">
        <v>0.67</v>
      </c>
      <c r="G657" s="2">
        <v>0</v>
      </c>
      <c r="H657" s="2">
        <f t="shared" si="60"/>
        <v>0.66395079686798486</v>
      </c>
      <c r="I657" s="2">
        <f t="shared" si="61"/>
        <v>0.75924298647557076</v>
      </c>
      <c r="J657" s="2">
        <v>0</v>
      </c>
      <c r="K657" s="2">
        <v>0</v>
      </c>
      <c r="L657" s="2">
        <v>0</v>
      </c>
      <c r="M657" s="2">
        <v>0.72</v>
      </c>
      <c r="N657" s="2">
        <v>0</v>
      </c>
      <c r="O657" s="2">
        <v>0.68</v>
      </c>
      <c r="P657" s="2" t="e">
        <f t="shared" si="62"/>
        <v>#NUM!</v>
      </c>
      <c r="Q657" s="2">
        <f t="shared" si="63"/>
        <v>0.1164411159095611</v>
      </c>
      <c r="R657" s="2" t="e">
        <f t="shared" si="64"/>
        <v>#NUM!</v>
      </c>
      <c r="S657" t="e">
        <f t="shared" si="65"/>
        <v>#NUM!</v>
      </c>
      <c r="U657" t="e">
        <v>#NUM!</v>
      </c>
    </row>
    <row r="658" spans="1:21" ht="13.9" x14ac:dyDescent="0.3">
      <c r="A658" s="2" t="s">
        <v>675</v>
      </c>
      <c r="B658" s="2">
        <v>0</v>
      </c>
      <c r="C658" s="2">
        <v>1.22</v>
      </c>
      <c r="D658" s="2">
        <v>0</v>
      </c>
      <c r="E658" s="2">
        <v>0.1</v>
      </c>
      <c r="F658" s="2">
        <v>0.53</v>
      </c>
      <c r="G658" s="2">
        <v>0</v>
      </c>
      <c r="H658" s="2">
        <f t="shared" si="60"/>
        <v>0.9534574140629698</v>
      </c>
      <c r="I658" s="2">
        <f t="shared" si="61"/>
        <v>0.67665084271471432</v>
      </c>
      <c r="J658" s="2">
        <v>0</v>
      </c>
      <c r="K658" s="2">
        <v>0</v>
      </c>
      <c r="L658" s="2">
        <v>0</v>
      </c>
      <c r="M658" s="2">
        <v>0.72</v>
      </c>
      <c r="N658" s="2">
        <v>0</v>
      </c>
      <c r="O658" s="2">
        <v>0.41</v>
      </c>
      <c r="P658" s="2" t="e">
        <f t="shared" si="62"/>
        <v>#NUM!</v>
      </c>
      <c r="Q658" s="2">
        <f t="shared" si="63"/>
        <v>0.14514692278909413</v>
      </c>
      <c r="R658" s="2" t="e">
        <f t="shared" si="64"/>
        <v>#NUM!</v>
      </c>
      <c r="S658" t="e">
        <f t="shared" si="65"/>
        <v>#NUM!</v>
      </c>
      <c r="U658" t="e">
        <v>#NUM!</v>
      </c>
    </row>
    <row r="659" spans="1:21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0.27</v>
      </c>
      <c r="P659" s="2" t="e">
        <f t="shared" si="62"/>
        <v>#NUM!</v>
      </c>
      <c r="Q659" s="2">
        <f t="shared" si="63"/>
        <v>0.37390096630005903</v>
      </c>
      <c r="R659" s="2" t="e">
        <f t="shared" si="64"/>
        <v>#NUM!</v>
      </c>
      <c r="S659" t="e">
        <f t="shared" si="65"/>
        <v>#NUM!</v>
      </c>
      <c r="U659" t="e">
        <v>#NUM!</v>
      </c>
    </row>
    <row r="660" spans="1:21" ht="13.9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60"/>
        <v>#DIV/0!</v>
      </c>
      <c r="I660" s="2" t="e">
        <f t="shared" si="61"/>
        <v>#DIV/0!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ht="13.9" x14ac:dyDescent="0.3">
      <c r="A661" s="2" t="s">
        <v>678</v>
      </c>
      <c r="B661" s="2">
        <v>5.6</v>
      </c>
      <c r="C661" s="2">
        <v>0</v>
      </c>
      <c r="D661" s="2">
        <v>4.92</v>
      </c>
      <c r="E661" s="2">
        <v>3.26</v>
      </c>
      <c r="F661" s="2">
        <v>0.8</v>
      </c>
      <c r="G661" s="2">
        <v>3.06</v>
      </c>
      <c r="H661" s="2">
        <f t="shared" si="60"/>
        <v>0.56318555832590478</v>
      </c>
      <c r="I661" s="2">
        <f t="shared" si="61"/>
        <v>0.58908209358109409</v>
      </c>
      <c r="J661" s="2">
        <v>0</v>
      </c>
      <c r="K661" s="2">
        <v>0</v>
      </c>
      <c r="L661" s="2">
        <v>9.0500000000000007</v>
      </c>
      <c r="M661" s="2">
        <v>1.44</v>
      </c>
      <c r="N661" s="2">
        <v>0</v>
      </c>
      <c r="O661" s="2">
        <v>0.54</v>
      </c>
      <c r="P661" s="2">
        <f t="shared" si="62"/>
        <v>2.1924173618909584</v>
      </c>
      <c r="Q661" s="2">
        <f t="shared" si="63"/>
        <v>0.4822641301737548</v>
      </c>
      <c r="R661" s="2">
        <f t="shared" si="64"/>
        <v>1.6292318035650535</v>
      </c>
      <c r="S661">
        <f t="shared" si="65"/>
        <v>3.8928863311197479</v>
      </c>
      <c r="U661">
        <v>3.177917792195843</v>
      </c>
    </row>
    <row r="662" spans="1:21" ht="13.9" x14ac:dyDescent="0.3">
      <c r="A662" s="2" t="s">
        <v>679</v>
      </c>
      <c r="B662" s="2">
        <v>0</v>
      </c>
      <c r="C662" s="2">
        <v>1.95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>
        <f t="shared" si="61"/>
        <v>0.37390096630005903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 t="e">
        <f t="shared" si="63"/>
        <v>#DIV/0!</v>
      </c>
      <c r="R662" s="2" t="e">
        <f t="shared" si="64"/>
        <v>#DIV/0!</v>
      </c>
      <c r="S662" t="e">
        <f t="shared" si="65"/>
        <v>#DIV/0!</v>
      </c>
      <c r="U662" t="e">
        <v>#NUM!</v>
      </c>
    </row>
    <row r="663" spans="1:21" ht="13.9" x14ac:dyDescent="0.3">
      <c r="A663" s="2" t="s">
        <v>680</v>
      </c>
      <c r="B663" s="2">
        <v>0</v>
      </c>
      <c r="C663" s="2">
        <v>1.22</v>
      </c>
      <c r="D663" s="2">
        <v>0</v>
      </c>
      <c r="E663" s="2">
        <v>0.1</v>
      </c>
      <c r="F663" s="2">
        <v>0.67</v>
      </c>
      <c r="G663" s="2">
        <v>0</v>
      </c>
      <c r="H663" s="2">
        <f t="shared" si="60"/>
        <v>0.66395079686798486</v>
      </c>
      <c r="I663" s="2">
        <f t="shared" si="61"/>
        <v>0.75924298647557076</v>
      </c>
      <c r="J663" s="2">
        <v>0</v>
      </c>
      <c r="K663" s="2">
        <v>0</v>
      </c>
      <c r="L663" s="2">
        <v>0</v>
      </c>
      <c r="M663" s="2">
        <v>0.72</v>
      </c>
      <c r="N663" s="2">
        <v>0</v>
      </c>
      <c r="O663" s="2">
        <v>0.68</v>
      </c>
      <c r="P663" s="2" t="e">
        <f t="shared" si="62"/>
        <v>#NUM!</v>
      </c>
      <c r="Q663" s="2">
        <f t="shared" si="63"/>
        <v>0.1164411159095611</v>
      </c>
      <c r="R663" s="2" t="e">
        <f t="shared" si="64"/>
        <v>#NUM!</v>
      </c>
      <c r="S663" t="e">
        <f t="shared" si="65"/>
        <v>#NUM!</v>
      </c>
      <c r="U663" t="e">
        <v>#NUM!</v>
      </c>
    </row>
    <row r="664" spans="1:21" ht="13.9" x14ac:dyDescent="0.3">
      <c r="A664" s="2" t="s">
        <v>681</v>
      </c>
      <c r="B664" s="2">
        <v>3.63</v>
      </c>
      <c r="C664" s="2">
        <v>0</v>
      </c>
      <c r="D664" s="2">
        <v>0</v>
      </c>
      <c r="E664" s="2">
        <v>3.36</v>
      </c>
      <c r="F664" s="2">
        <v>0</v>
      </c>
      <c r="G664" s="2">
        <v>2.74</v>
      </c>
      <c r="H664" s="2">
        <f t="shared" si="60"/>
        <v>-0.74883969445449794</v>
      </c>
      <c r="I664" s="2">
        <f t="shared" si="61"/>
        <v>0.63201269791039016</v>
      </c>
      <c r="J664" s="2">
        <v>0.54</v>
      </c>
      <c r="K664" s="2">
        <v>0</v>
      </c>
      <c r="L664" s="2">
        <v>7.04</v>
      </c>
      <c r="M664" s="2">
        <v>1.75</v>
      </c>
      <c r="N664" s="2">
        <v>0</v>
      </c>
      <c r="O664" s="2">
        <v>0.27</v>
      </c>
      <c r="P664" s="2">
        <f t="shared" si="62"/>
        <v>1.907842555419297</v>
      </c>
      <c r="Q664" s="2">
        <f t="shared" si="63"/>
        <v>0.47028413069166208</v>
      </c>
      <c r="R664" s="2">
        <f t="shared" si="64"/>
        <v>2.656682249873795</v>
      </c>
      <c r="S664">
        <f t="shared" si="65"/>
        <v>-2.5477316033695168</v>
      </c>
      <c r="U664">
        <v>2.9221978483963671</v>
      </c>
    </row>
    <row r="665" spans="1:21" ht="13.9" x14ac:dyDescent="0.3">
      <c r="A665" s="2" t="s">
        <v>682</v>
      </c>
      <c r="B665" s="2">
        <v>10.55</v>
      </c>
      <c r="C665" s="2">
        <v>10.49</v>
      </c>
      <c r="D665" s="2">
        <v>7.83</v>
      </c>
      <c r="E665" s="2">
        <v>30.9</v>
      </c>
      <c r="F665" s="2">
        <v>16.04</v>
      </c>
      <c r="G665" s="2">
        <v>22.97</v>
      </c>
      <c r="H665" s="2">
        <f t="shared" si="60"/>
        <v>-1.2759277274050229</v>
      </c>
      <c r="I665" s="2">
        <f t="shared" si="61"/>
        <v>3.5551336757978148E-2</v>
      </c>
      <c r="J665" s="2">
        <v>10.6</v>
      </c>
      <c r="K665" s="2">
        <v>18.21</v>
      </c>
      <c r="L665" s="2">
        <v>12.07</v>
      </c>
      <c r="M665" s="2">
        <v>27.16</v>
      </c>
      <c r="N665" s="2">
        <v>0</v>
      </c>
      <c r="O665" s="2">
        <v>14.89</v>
      </c>
      <c r="P665" s="2">
        <f t="shared" si="62"/>
        <v>-4.0710604204885023E-2</v>
      </c>
      <c r="Q665" s="2">
        <f t="shared" si="63"/>
        <v>0.96430749910270941</v>
      </c>
      <c r="R665" s="2">
        <f t="shared" si="64"/>
        <v>1.2352171232001379</v>
      </c>
      <c r="S665">
        <f t="shared" si="65"/>
        <v>3.1906669422163983E-2</v>
      </c>
      <c r="U665">
        <v>5.353323291162897</v>
      </c>
    </row>
    <row r="666" spans="1:21" ht="13.9" x14ac:dyDescent="0.3">
      <c r="A666" s="2" t="s">
        <v>683</v>
      </c>
      <c r="B666" s="2">
        <v>0</v>
      </c>
      <c r="C666" s="2">
        <v>2.68</v>
      </c>
      <c r="D666" s="2">
        <v>0</v>
      </c>
      <c r="E666" s="2">
        <v>1.18</v>
      </c>
      <c r="F666" s="2">
        <v>0</v>
      </c>
      <c r="G666" s="2">
        <v>0.11</v>
      </c>
      <c r="H666" s="2">
        <f t="shared" si="60"/>
        <v>1.0548619350345185</v>
      </c>
      <c r="I666" s="2">
        <f t="shared" si="61"/>
        <v>0.65761754831587349</v>
      </c>
      <c r="J666" s="2">
        <v>0</v>
      </c>
      <c r="K666" s="2">
        <v>0</v>
      </c>
      <c r="L666" s="2">
        <v>0</v>
      </c>
      <c r="M666" s="2">
        <v>0.82</v>
      </c>
      <c r="N666" s="2">
        <v>0</v>
      </c>
      <c r="O666" s="2">
        <v>1.22</v>
      </c>
      <c r="P666" s="2" t="e">
        <f t="shared" si="62"/>
        <v>#NUM!</v>
      </c>
      <c r="Q666" s="2">
        <f t="shared" si="63"/>
        <v>0.13117903003554612</v>
      </c>
      <c r="R666" s="2" t="e">
        <f t="shared" si="64"/>
        <v>#NUM!</v>
      </c>
      <c r="S666" t="e">
        <f t="shared" si="65"/>
        <v>#NUM!</v>
      </c>
      <c r="U666" t="e">
        <v>#NUM!</v>
      </c>
    </row>
    <row r="667" spans="1:21" ht="13.9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0.1</v>
      </c>
      <c r="F667" s="2">
        <v>0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f t="shared" si="62"/>
        <v>#DIV/0!</v>
      </c>
      <c r="Q667" s="2" t="e">
        <f t="shared" si="63"/>
        <v>#DIV/0!</v>
      </c>
      <c r="R667" s="2" t="e">
        <f t="shared" si="64"/>
        <v>#DIV/0!</v>
      </c>
      <c r="S667" t="e">
        <f t="shared" si="65"/>
        <v>#DIV/0!</v>
      </c>
      <c r="U667" t="e">
        <v>#NUM!</v>
      </c>
    </row>
    <row r="668" spans="1:21" ht="13.9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0.39</v>
      </c>
      <c r="F668" s="2">
        <v>0.13</v>
      </c>
      <c r="G668" s="2">
        <v>1.37</v>
      </c>
      <c r="H668" s="2" t="e">
        <f t="shared" si="60"/>
        <v>#NUM!</v>
      </c>
      <c r="I668" s="2">
        <f t="shared" si="61"/>
        <v>0.17049807445942508</v>
      </c>
      <c r="J668" s="2">
        <v>0</v>
      </c>
      <c r="K668" s="2">
        <v>0</v>
      </c>
      <c r="L668" s="2">
        <v>0</v>
      </c>
      <c r="M668" s="2">
        <v>1.54</v>
      </c>
      <c r="N668" s="2">
        <v>0</v>
      </c>
      <c r="O668" s="2">
        <v>0.81</v>
      </c>
      <c r="P668" s="2" t="e">
        <f t="shared" si="62"/>
        <v>#NUM!</v>
      </c>
      <c r="Q668" s="2">
        <f t="shared" si="63"/>
        <v>0.15299326590166459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ht="13.9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0.3</v>
      </c>
      <c r="F669" s="2">
        <v>0.27</v>
      </c>
      <c r="G669" s="2">
        <v>0</v>
      </c>
      <c r="H669" s="2" t="e">
        <f t="shared" si="60"/>
        <v>#NUM!</v>
      </c>
      <c r="I669" s="2">
        <f t="shared" si="61"/>
        <v>0.11721716888134213</v>
      </c>
      <c r="J669" s="2">
        <v>0</v>
      </c>
      <c r="K669" s="2">
        <v>7.95</v>
      </c>
      <c r="L669" s="2">
        <v>0</v>
      </c>
      <c r="M669" s="2">
        <v>0.72</v>
      </c>
      <c r="N669" s="2">
        <v>0</v>
      </c>
      <c r="O669" s="2">
        <v>1.89</v>
      </c>
      <c r="P669" s="2">
        <f t="shared" si="62"/>
        <v>1.6069050536018334</v>
      </c>
      <c r="Q669" s="2">
        <f t="shared" si="63"/>
        <v>0.54668588294932463</v>
      </c>
      <c r="R669" s="2" t="e">
        <f t="shared" si="64"/>
        <v>#NUM!</v>
      </c>
      <c r="S669" t="e">
        <f t="shared" si="65"/>
        <v>#NUM!</v>
      </c>
      <c r="U669">
        <v>2.9909548603969931</v>
      </c>
    </row>
    <row r="670" spans="1:21" ht="13.9" x14ac:dyDescent="0.3">
      <c r="A670" s="2" t="s">
        <v>687</v>
      </c>
      <c r="B670" s="2">
        <v>0</v>
      </c>
      <c r="C670" s="2">
        <v>2.2000000000000002</v>
      </c>
      <c r="D670" s="2">
        <v>0</v>
      </c>
      <c r="E670" s="2">
        <v>0</v>
      </c>
      <c r="F670" s="2">
        <v>0.13</v>
      </c>
      <c r="G670" s="2">
        <v>0</v>
      </c>
      <c r="H670" s="2">
        <f t="shared" si="60"/>
        <v>4.0809199953835673</v>
      </c>
      <c r="I670" s="2">
        <f t="shared" si="61"/>
        <v>0.40077125781951178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0.54</v>
      </c>
      <c r="P670" s="2" t="e">
        <f t="shared" si="62"/>
        <v>#NUM!</v>
      </c>
      <c r="Q670" s="2">
        <f t="shared" si="63"/>
        <v>0.37390096630005903</v>
      </c>
      <c r="R670" s="2" t="e">
        <f t="shared" si="64"/>
        <v>#NUM!</v>
      </c>
      <c r="S670" t="e">
        <f t="shared" si="65"/>
        <v>#NUM!</v>
      </c>
      <c r="U670" t="e">
        <v>#NUM!</v>
      </c>
    </row>
    <row r="671" spans="1:21" ht="13.9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60"/>
        <v>#DIV/0!</v>
      </c>
      <c r="I671" s="2" t="e">
        <f t="shared" si="61"/>
        <v>#DIV/0!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ht="13.9" x14ac:dyDescent="0.3">
      <c r="A672" s="2" t="s">
        <v>689</v>
      </c>
      <c r="B672" s="2">
        <v>8.57</v>
      </c>
      <c r="C672" s="2">
        <v>0.98</v>
      </c>
      <c r="D672" s="2">
        <v>0.18</v>
      </c>
      <c r="E672" s="2">
        <v>4.4400000000000004</v>
      </c>
      <c r="F672" s="2">
        <v>3.48</v>
      </c>
      <c r="G672" s="2">
        <v>4.53</v>
      </c>
      <c r="H672" s="2">
        <f t="shared" si="60"/>
        <v>-0.35563403217433159</v>
      </c>
      <c r="I672" s="2">
        <f t="shared" si="61"/>
        <v>0.75340304988743678</v>
      </c>
      <c r="J672" s="2">
        <v>0.18</v>
      </c>
      <c r="K672" s="2">
        <v>4.1900000000000004</v>
      </c>
      <c r="L672" s="2">
        <v>1.51</v>
      </c>
      <c r="M672" s="2">
        <v>4.84</v>
      </c>
      <c r="N672" s="2">
        <v>0</v>
      </c>
      <c r="O672" s="2">
        <v>4.74</v>
      </c>
      <c r="P672" s="2">
        <f t="shared" si="62"/>
        <v>-0.70420950089981593</v>
      </c>
      <c r="Q672" s="2">
        <f t="shared" si="63"/>
        <v>0.5680688846738825</v>
      </c>
      <c r="R672" s="2">
        <f t="shared" si="64"/>
        <v>-0.34857546872548434</v>
      </c>
      <c r="S672">
        <f t="shared" si="65"/>
        <v>1.9801521710234211</v>
      </c>
      <c r="U672">
        <v>2.5558161550616396</v>
      </c>
    </row>
    <row r="673" spans="1:21" ht="13.9" x14ac:dyDescent="0.3">
      <c r="A673" s="2" t="s">
        <v>690</v>
      </c>
      <c r="B673" s="2">
        <v>0</v>
      </c>
      <c r="C673" s="2">
        <v>1.95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>
        <f t="shared" si="61"/>
        <v>0.37390096630005903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 t="e">
        <f t="shared" si="63"/>
        <v>#DIV/0!</v>
      </c>
      <c r="R673" s="2" t="e">
        <f t="shared" si="64"/>
        <v>#DIV/0!</v>
      </c>
      <c r="S673" t="e">
        <f t="shared" si="65"/>
        <v>#DIV/0!</v>
      </c>
      <c r="U673" t="e">
        <v>#NUM!</v>
      </c>
    </row>
    <row r="674" spans="1:21" ht="13.9" x14ac:dyDescent="0.3">
      <c r="A674" s="2" t="s">
        <v>691</v>
      </c>
      <c r="B674" s="2">
        <v>0</v>
      </c>
      <c r="C674" s="2">
        <v>0.24</v>
      </c>
      <c r="D674" s="2">
        <v>0</v>
      </c>
      <c r="E674" s="2">
        <v>1.48</v>
      </c>
      <c r="F674" s="2">
        <v>1.2</v>
      </c>
      <c r="G674" s="2">
        <v>2.11</v>
      </c>
      <c r="H674" s="2">
        <f t="shared" si="60"/>
        <v>-4.3189193450150238</v>
      </c>
      <c r="I674" s="2">
        <f t="shared" si="61"/>
        <v>5.6826632961506796E-3</v>
      </c>
      <c r="J674" s="2">
        <v>0.18</v>
      </c>
      <c r="K674" s="2">
        <v>0</v>
      </c>
      <c r="L674" s="2">
        <v>7.04</v>
      </c>
      <c r="M674" s="2">
        <v>2.57</v>
      </c>
      <c r="N674" s="2">
        <v>0</v>
      </c>
      <c r="O674" s="2">
        <v>2.44</v>
      </c>
      <c r="P674" s="2">
        <f t="shared" si="62"/>
        <v>0.52718823369196277</v>
      </c>
      <c r="Q674" s="2">
        <f t="shared" si="63"/>
        <v>0.77979818840065651</v>
      </c>
      <c r="R674" s="2">
        <f t="shared" si="64"/>
        <v>4.8461075787069863</v>
      </c>
      <c r="S674">
        <f t="shared" si="65"/>
        <v>-0.12206484807373241</v>
      </c>
      <c r="U674">
        <v>2.8519988371124461</v>
      </c>
    </row>
    <row r="675" spans="1:21" ht="13.9" x14ac:dyDescent="0.3">
      <c r="A675" s="2" t="s">
        <v>692</v>
      </c>
      <c r="B675" s="2">
        <v>6.26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f t="shared" si="60"/>
        <v>2.8142854159662205</v>
      </c>
      <c r="I675" s="2">
        <f t="shared" si="61"/>
        <v>0.44356268741357918</v>
      </c>
      <c r="J675" s="2">
        <v>0</v>
      </c>
      <c r="K675" s="2">
        <v>0</v>
      </c>
      <c r="L675" s="2">
        <v>0</v>
      </c>
      <c r="M675" s="2">
        <v>0.41</v>
      </c>
      <c r="N675" s="2">
        <v>0</v>
      </c>
      <c r="O675" s="2">
        <v>0.68</v>
      </c>
      <c r="P675" s="2" t="e">
        <f t="shared" si="62"/>
        <v>#NUM!</v>
      </c>
      <c r="Q675" s="2">
        <f t="shared" si="63"/>
        <v>0.13992620896169952</v>
      </c>
      <c r="R675" s="2" t="e">
        <f t="shared" si="64"/>
        <v>#NUM!</v>
      </c>
      <c r="S675" t="e">
        <f t="shared" si="65"/>
        <v>#NUM!</v>
      </c>
      <c r="U675" t="e">
        <v>#NUM!</v>
      </c>
    </row>
    <row r="676" spans="1:21" ht="13.9" x14ac:dyDescent="0.3">
      <c r="A676" s="2" t="s">
        <v>693</v>
      </c>
      <c r="B676" s="2">
        <v>0</v>
      </c>
      <c r="C676" s="2">
        <v>0</v>
      </c>
      <c r="D676" s="2">
        <v>10.92</v>
      </c>
      <c r="E676" s="2">
        <v>0.2</v>
      </c>
      <c r="F676" s="2">
        <v>0</v>
      </c>
      <c r="G676" s="2">
        <v>1.9</v>
      </c>
      <c r="H676" s="2">
        <f t="shared" si="60"/>
        <v>2.37851162325373</v>
      </c>
      <c r="I676" s="2">
        <f t="shared" si="61"/>
        <v>0.47016435695789405</v>
      </c>
      <c r="J676" s="2">
        <v>0</v>
      </c>
      <c r="K676" s="2">
        <v>0</v>
      </c>
      <c r="L676" s="2">
        <v>0</v>
      </c>
      <c r="M676" s="2">
        <v>0.31</v>
      </c>
      <c r="N676" s="2">
        <v>40.880000000000003</v>
      </c>
      <c r="O676" s="2">
        <v>2.2999999999999998</v>
      </c>
      <c r="P676" s="2" t="e">
        <f t="shared" si="62"/>
        <v>#NUM!</v>
      </c>
      <c r="Q676" s="2">
        <f t="shared" si="63"/>
        <v>0.33390361053730538</v>
      </c>
      <c r="R676" s="2" t="e">
        <f t="shared" si="64"/>
        <v>#NUM!</v>
      </c>
      <c r="S676" t="e">
        <f t="shared" si="65"/>
        <v>#NUM!</v>
      </c>
      <c r="U676" t="e">
        <v>#NUM!</v>
      </c>
    </row>
    <row r="677" spans="1:21" ht="13.9" x14ac:dyDescent="0.3">
      <c r="A677" s="2" t="s">
        <v>694</v>
      </c>
      <c r="B677" s="2">
        <v>5.6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 t="e">
        <f t="shared" si="60"/>
        <v>#DIV/0!</v>
      </c>
      <c r="I677" s="2">
        <f t="shared" si="61"/>
        <v>0.37390096630005903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0.81</v>
      </c>
      <c r="P677" s="2" t="e">
        <f t="shared" si="62"/>
        <v>#NUM!</v>
      </c>
      <c r="Q677" s="2">
        <f t="shared" si="63"/>
        <v>0.37390096630005903</v>
      </c>
      <c r="R677" s="2" t="e">
        <f t="shared" si="64"/>
        <v>#NUM!</v>
      </c>
      <c r="S677" t="e">
        <f t="shared" si="65"/>
        <v>#NUM!</v>
      </c>
      <c r="U677" t="e">
        <v>#NUM!</v>
      </c>
    </row>
    <row r="678" spans="1:21" ht="13.9" x14ac:dyDescent="0.3">
      <c r="A678" s="2" t="s">
        <v>695</v>
      </c>
      <c r="B678" s="2">
        <v>0</v>
      </c>
      <c r="C678" s="2">
        <v>0</v>
      </c>
      <c r="D678" s="2">
        <v>4.92</v>
      </c>
      <c r="E678" s="2">
        <v>0.59</v>
      </c>
      <c r="F678" s="2">
        <v>0.27</v>
      </c>
      <c r="G678" s="2">
        <v>2</v>
      </c>
      <c r="H678" s="2">
        <f t="shared" si="60"/>
        <v>0.78264316856085059</v>
      </c>
      <c r="I678" s="2">
        <f t="shared" si="61"/>
        <v>0.71074713203716788</v>
      </c>
      <c r="J678" s="2">
        <v>0</v>
      </c>
      <c r="K678" s="2">
        <v>0</v>
      </c>
      <c r="L678" s="2">
        <v>0</v>
      </c>
      <c r="M678" s="2">
        <v>1.65</v>
      </c>
      <c r="N678" s="2">
        <v>0</v>
      </c>
      <c r="O678" s="2">
        <v>2.2999999999999998</v>
      </c>
      <c r="P678" s="2" t="e">
        <f t="shared" si="62"/>
        <v>#NUM!</v>
      </c>
      <c r="Q678" s="2">
        <f t="shared" si="63"/>
        <v>0.12677442570073946</v>
      </c>
      <c r="R678" s="2" t="e">
        <f t="shared" si="64"/>
        <v>#NUM!</v>
      </c>
      <c r="S678" t="e">
        <f t="shared" si="65"/>
        <v>#NUM!</v>
      </c>
      <c r="U678" t="e">
        <v>#NUM!</v>
      </c>
    </row>
    <row r="679" spans="1:21" ht="13.9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 t="e">
        <f t="shared" si="60"/>
        <v>#DIV/0!</v>
      </c>
      <c r="I679" s="2" t="e">
        <f t="shared" si="61"/>
        <v>#DIV/0!</v>
      </c>
      <c r="J679" s="2">
        <v>0</v>
      </c>
      <c r="K679" s="2">
        <v>0</v>
      </c>
      <c r="L679" s="2">
        <v>0</v>
      </c>
      <c r="M679" s="2">
        <v>0.21</v>
      </c>
      <c r="N679" s="2">
        <v>0</v>
      </c>
      <c r="O679" s="2">
        <v>0</v>
      </c>
      <c r="P679" s="2" t="e">
        <f t="shared" si="62"/>
        <v>#NUM!</v>
      </c>
      <c r="Q679" s="2">
        <f t="shared" si="63"/>
        <v>0.37390096630005903</v>
      </c>
      <c r="R679" s="2" t="e">
        <f t="shared" si="64"/>
        <v>#NUM!</v>
      </c>
      <c r="S679" t="e">
        <f t="shared" si="65"/>
        <v>#NUM!</v>
      </c>
      <c r="U679" t="e">
        <v>#NUM!</v>
      </c>
    </row>
    <row r="680" spans="1:21" ht="13.9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 t="e">
        <f t="shared" si="60"/>
        <v>#DIV/0!</v>
      </c>
      <c r="I680" s="2" t="e">
        <f t="shared" si="61"/>
        <v>#DIV/0!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0.27</v>
      </c>
      <c r="P680" s="2" t="e">
        <f t="shared" si="62"/>
        <v>#NUM!</v>
      </c>
      <c r="Q680" s="2">
        <f t="shared" si="63"/>
        <v>0.37390096630005903</v>
      </c>
      <c r="R680" s="2" t="e">
        <f t="shared" si="64"/>
        <v>#NUM!</v>
      </c>
      <c r="S680" t="e">
        <f t="shared" si="65"/>
        <v>#NUM!</v>
      </c>
      <c r="U680" t="e">
        <v>#NUM!</v>
      </c>
    </row>
    <row r="681" spans="1:21" ht="13.9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f t="shared" si="62"/>
        <v>#DIV/0!</v>
      </c>
      <c r="Q681" s="2" t="e">
        <f t="shared" si="63"/>
        <v>#DIV/0!</v>
      </c>
      <c r="R681" s="2" t="e">
        <f t="shared" si="64"/>
        <v>#DIV/0!</v>
      </c>
      <c r="S681" t="e">
        <f t="shared" si="65"/>
        <v>#DIV/0!</v>
      </c>
      <c r="U681" t="e">
        <v>#NUM!</v>
      </c>
    </row>
    <row r="682" spans="1:21" ht="13.9" x14ac:dyDescent="0.3">
      <c r="A682" s="2" t="s">
        <v>699</v>
      </c>
      <c r="B682" s="2">
        <v>0</v>
      </c>
      <c r="C682" s="2">
        <v>0</v>
      </c>
      <c r="D682" s="2">
        <v>0.18</v>
      </c>
      <c r="E682" s="2">
        <v>0</v>
      </c>
      <c r="F682" s="2">
        <v>0</v>
      </c>
      <c r="G682" s="2">
        <v>0</v>
      </c>
      <c r="H682" s="2" t="e">
        <f t="shared" si="60"/>
        <v>#DIV/0!</v>
      </c>
      <c r="I682" s="2">
        <f t="shared" si="61"/>
        <v>0.37390096630005903</v>
      </c>
      <c r="J682" s="2">
        <v>0</v>
      </c>
      <c r="K682" s="2">
        <v>0.21</v>
      </c>
      <c r="L682" s="2">
        <v>0</v>
      </c>
      <c r="M682" s="2">
        <v>0.1</v>
      </c>
      <c r="N682" s="2">
        <v>0</v>
      </c>
      <c r="O682" s="2">
        <v>0.27</v>
      </c>
      <c r="P682" s="2">
        <f t="shared" si="62"/>
        <v>-0.81713594285018953</v>
      </c>
      <c r="Q682" s="2">
        <f t="shared" si="63"/>
        <v>0.63949250866372687</v>
      </c>
      <c r="R682" s="2" t="e">
        <f t="shared" si="64"/>
        <v>#DIV/0!</v>
      </c>
      <c r="S682" t="e">
        <f t="shared" si="65"/>
        <v>#DIV/0!</v>
      </c>
      <c r="U682">
        <v>-2.2515387669959646</v>
      </c>
    </row>
    <row r="683" spans="1:21" ht="13.9" x14ac:dyDescent="0.3">
      <c r="A683" s="2" t="s">
        <v>700</v>
      </c>
      <c r="B683" s="2">
        <v>0</v>
      </c>
      <c r="C683" s="2">
        <v>12.69</v>
      </c>
      <c r="D683" s="2">
        <v>0</v>
      </c>
      <c r="E683" s="2">
        <v>0</v>
      </c>
      <c r="F683" s="2">
        <v>0</v>
      </c>
      <c r="G683" s="2">
        <v>0.63</v>
      </c>
      <c r="H683" s="2">
        <f t="shared" si="60"/>
        <v>4.33219643034119</v>
      </c>
      <c r="I683" s="2">
        <f t="shared" si="61"/>
        <v>0.39627468253986031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f t="shared" si="62"/>
        <v>#DIV/0!</v>
      </c>
      <c r="Q683" s="2" t="e">
        <f t="shared" si="63"/>
        <v>#DIV/0!</v>
      </c>
      <c r="R683" s="2" t="e">
        <f t="shared" si="64"/>
        <v>#DIV/0!</v>
      </c>
      <c r="S683" t="e">
        <f t="shared" si="65"/>
        <v>#DIV/0!</v>
      </c>
      <c r="U683" t="e">
        <v>#NUM!</v>
      </c>
    </row>
    <row r="684" spans="1:21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0.1</v>
      </c>
      <c r="N684" s="2">
        <v>0</v>
      </c>
      <c r="O684" s="2">
        <v>0</v>
      </c>
      <c r="P684" s="2" t="e">
        <f t="shared" si="62"/>
        <v>#NUM!</v>
      </c>
      <c r="Q684" s="2">
        <f t="shared" si="63"/>
        <v>0.37390096630005903</v>
      </c>
      <c r="R684" s="2" t="e">
        <f t="shared" si="64"/>
        <v>#NUM!</v>
      </c>
      <c r="S684" t="e">
        <f t="shared" si="65"/>
        <v>#NUM!</v>
      </c>
      <c r="U684" t="e">
        <v>#NUM!</v>
      </c>
    </row>
    <row r="685" spans="1:21" ht="13.9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60"/>
        <v>#DIV/0!</v>
      </c>
      <c r="I685" s="2" t="e">
        <f t="shared" si="61"/>
        <v>#DIV/0!</v>
      </c>
      <c r="J685" s="2">
        <v>0</v>
      </c>
      <c r="K685" s="2">
        <v>0.21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>
        <f t="shared" si="63"/>
        <v>0.37390096630005903</v>
      </c>
      <c r="R685" s="2" t="e">
        <f t="shared" si="64"/>
        <v>#DIV/0!</v>
      </c>
      <c r="S685" t="e">
        <f t="shared" si="65"/>
        <v>#DIV/0!</v>
      </c>
      <c r="U685">
        <v>-2.2515387669959646</v>
      </c>
    </row>
    <row r="686" spans="1:21" ht="13.9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0.21</v>
      </c>
      <c r="H686" s="2" t="e">
        <f t="shared" si="60"/>
        <v>#NUM!</v>
      </c>
      <c r="I686" s="2">
        <f t="shared" si="61"/>
        <v>0.37390096630005903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0.27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ht="13.9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 t="e">
        <f t="shared" si="61"/>
        <v>#DIV/0!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 t="e">
        <f t="shared" si="60"/>
        <v>#NUM!</v>
      </c>
      <c r="I688" s="2">
        <f t="shared" si="61"/>
        <v>0.37390096630005903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 t="e">
        <f t="shared" si="62"/>
        <v>#DIV/0!</v>
      </c>
      <c r="Q688" s="2" t="e">
        <f t="shared" si="63"/>
        <v>#DIV/0!</v>
      </c>
      <c r="R688" s="2" t="e">
        <f t="shared" si="64"/>
        <v>#DIV/0!</v>
      </c>
      <c r="S688" t="e">
        <f t="shared" si="65"/>
        <v>#DIV/0!</v>
      </c>
      <c r="U688" t="e">
        <v>#NUM!</v>
      </c>
    </row>
    <row r="689" spans="1:21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 t="e">
        <f t="shared" si="60"/>
        <v>#NUM!</v>
      </c>
      <c r="I689" s="2">
        <f t="shared" si="61"/>
        <v>0.37390096630005903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f t="shared" si="62"/>
        <v>#DIV/0!</v>
      </c>
      <c r="Q689" s="2" t="e">
        <f t="shared" si="63"/>
        <v>#DIV/0!</v>
      </c>
      <c r="R689" s="2" t="e">
        <f t="shared" si="64"/>
        <v>#DIV/0!</v>
      </c>
      <c r="S689" t="e">
        <f t="shared" si="65"/>
        <v>#DIV/0!</v>
      </c>
      <c r="U689" t="e">
        <v>#NUM!</v>
      </c>
    </row>
    <row r="690" spans="1:21" ht="13.9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</v>
      </c>
      <c r="F690" s="2">
        <v>0.27</v>
      </c>
      <c r="G690" s="2">
        <v>0.84</v>
      </c>
      <c r="H690" s="2" t="e">
        <f t="shared" si="60"/>
        <v>#NUM!</v>
      </c>
      <c r="I690" s="2">
        <f t="shared" si="61"/>
        <v>0.20937694898279027</v>
      </c>
      <c r="J690" s="2">
        <v>0</v>
      </c>
      <c r="K690" s="2">
        <v>0</v>
      </c>
      <c r="L690" s="2">
        <v>0</v>
      </c>
      <c r="M690" s="2">
        <v>0.31</v>
      </c>
      <c r="N690" s="2">
        <v>0</v>
      </c>
      <c r="O690" s="2">
        <v>2.71</v>
      </c>
      <c r="P690" s="2" t="e">
        <f t="shared" si="62"/>
        <v>#NUM!</v>
      </c>
      <c r="Q690" s="2">
        <f t="shared" si="63"/>
        <v>0.3049772363913329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ht="13.9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60"/>
        <v>#DIV/0!</v>
      </c>
      <c r="I691" s="2" t="e">
        <f t="shared" si="61"/>
        <v>#DIV/0!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0.14000000000000001</v>
      </c>
      <c r="P691" s="2" t="e">
        <f t="shared" si="62"/>
        <v>#NUM!</v>
      </c>
      <c r="Q691" s="2">
        <f t="shared" si="63"/>
        <v>0.37390096630005903</v>
      </c>
      <c r="R691" s="2" t="e">
        <f t="shared" si="64"/>
        <v>#NUM!</v>
      </c>
      <c r="S691" t="e">
        <f t="shared" si="65"/>
        <v>#NUM!</v>
      </c>
      <c r="U691" t="e">
        <v>#NUM!</v>
      </c>
    </row>
    <row r="692" spans="1:21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0.51</v>
      </c>
      <c r="N692" s="2">
        <v>0</v>
      </c>
      <c r="O692" s="2">
        <v>0</v>
      </c>
      <c r="P692" s="2" t="e">
        <f t="shared" si="62"/>
        <v>#NUM!</v>
      </c>
      <c r="Q692" s="2">
        <f t="shared" si="63"/>
        <v>0.37390096630005903</v>
      </c>
      <c r="R692" s="2" t="e">
        <f t="shared" si="64"/>
        <v>#NUM!</v>
      </c>
      <c r="S692" t="e">
        <f t="shared" si="65"/>
        <v>#NUM!</v>
      </c>
      <c r="U692" t="e">
        <v>#NUM!</v>
      </c>
    </row>
    <row r="693" spans="1:21" ht="13.9" x14ac:dyDescent="0.3">
      <c r="A693" s="2" t="s">
        <v>710</v>
      </c>
      <c r="B693" s="2">
        <v>0</v>
      </c>
      <c r="C693" s="2">
        <v>0</v>
      </c>
      <c r="D693" s="2">
        <v>13.47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>
        <f t="shared" si="61"/>
        <v>0.37390096630005903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 t="e">
        <f t="shared" si="63"/>
        <v>#DIV/0!</v>
      </c>
      <c r="R693" s="2" t="e">
        <f t="shared" si="64"/>
        <v>#DIV/0!</v>
      </c>
      <c r="S693" t="e">
        <f t="shared" si="65"/>
        <v>#DIV/0!</v>
      </c>
      <c r="U693" t="e">
        <v>#NUM!</v>
      </c>
    </row>
    <row r="694" spans="1:21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 t="e">
        <f t="shared" si="60"/>
        <v>#NUM!</v>
      </c>
      <c r="I694" s="2">
        <f t="shared" si="61"/>
        <v>0.37390096630005903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f t="shared" si="62"/>
        <v>#DIV/0!</v>
      </c>
      <c r="Q694" s="2" t="e">
        <f t="shared" si="63"/>
        <v>#DIV/0!</v>
      </c>
      <c r="R694" s="2" t="e">
        <f t="shared" si="64"/>
        <v>#DIV/0!</v>
      </c>
      <c r="S694" t="e">
        <f t="shared" si="65"/>
        <v>#DIV/0!</v>
      </c>
      <c r="U694" t="e">
        <v>#NUM!</v>
      </c>
    </row>
    <row r="695" spans="1:21" ht="13.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9.52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>
        <f t="shared" si="63"/>
        <v>0.37390096630005903</v>
      </c>
      <c r="R695" s="2" t="e">
        <f t="shared" si="64"/>
        <v>#DIV/0!</v>
      </c>
      <c r="S695" t="e">
        <f t="shared" si="65"/>
        <v>#DIV/0!</v>
      </c>
      <c r="U695">
        <v>3.2509615735332189</v>
      </c>
    </row>
    <row r="696" spans="1:21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 t="e">
        <f t="shared" si="60"/>
        <v>#NUM!</v>
      </c>
      <c r="I696" s="2">
        <f t="shared" si="61"/>
        <v>0.37390096630005903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 t="e">
        <f t="shared" si="62"/>
        <v>#DIV/0!</v>
      </c>
      <c r="Q696" s="2" t="e">
        <f t="shared" si="63"/>
        <v>#DIV/0!</v>
      </c>
      <c r="R696" s="2" t="e">
        <f t="shared" si="64"/>
        <v>#DIV/0!</v>
      </c>
      <c r="S696" t="e">
        <f t="shared" si="65"/>
        <v>#DIV/0!</v>
      </c>
      <c r="U696" t="e">
        <v>#NUM!</v>
      </c>
    </row>
    <row r="697" spans="1:21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 t="e">
        <f t="shared" si="60"/>
        <v>#NUM!</v>
      </c>
      <c r="I697" s="2">
        <f t="shared" si="61"/>
        <v>0.37390096630005903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f t="shared" si="62"/>
        <v>#DIV/0!</v>
      </c>
      <c r="Q697" s="2" t="e">
        <f t="shared" si="63"/>
        <v>#DIV/0!</v>
      </c>
      <c r="R697" s="2" t="e">
        <f t="shared" si="64"/>
        <v>#DIV/0!</v>
      </c>
      <c r="S697" t="e">
        <f t="shared" si="65"/>
        <v>#DIV/0!</v>
      </c>
      <c r="U697" t="e">
        <v>#NUM!</v>
      </c>
    </row>
    <row r="698" spans="1:21" ht="13.9" x14ac:dyDescent="0.3">
      <c r="A698" s="2" t="s">
        <v>715</v>
      </c>
      <c r="B698" s="2">
        <v>5.6</v>
      </c>
      <c r="C698" s="2">
        <v>12.69</v>
      </c>
      <c r="D698" s="2">
        <v>5.46</v>
      </c>
      <c r="E698" s="2">
        <v>4.1500000000000004</v>
      </c>
      <c r="F698" s="2">
        <v>17.649999999999999</v>
      </c>
      <c r="G698" s="2">
        <v>10.33</v>
      </c>
      <c r="H698" s="2">
        <f t="shared" si="60"/>
        <v>-0.43599346736573935</v>
      </c>
      <c r="I698" s="2">
        <f t="shared" si="61"/>
        <v>0.57439595478877459</v>
      </c>
      <c r="J698" s="2">
        <v>6.47</v>
      </c>
      <c r="K698" s="2">
        <v>20.3</v>
      </c>
      <c r="L698" s="2">
        <v>34.19</v>
      </c>
      <c r="M698" s="2">
        <v>6.69</v>
      </c>
      <c r="N698" s="2">
        <v>81.75</v>
      </c>
      <c r="O698" s="2">
        <v>18.14</v>
      </c>
      <c r="P698" s="2">
        <f t="shared" si="62"/>
        <v>-0.80600193026671252</v>
      </c>
      <c r="Q698" s="2">
        <f t="shared" si="63"/>
        <v>0.5711302551266183</v>
      </c>
      <c r="R698" s="2">
        <f t="shared" si="64"/>
        <v>-0.37000846290097317</v>
      </c>
      <c r="S698">
        <f t="shared" si="65"/>
        <v>1.8486559790369206</v>
      </c>
      <c r="U698">
        <v>5.9297909977185981</v>
      </c>
    </row>
    <row r="699" spans="1:21" ht="13.9" x14ac:dyDescent="0.3">
      <c r="A699" s="2" t="s">
        <v>716</v>
      </c>
      <c r="B699" s="2">
        <v>1.32</v>
      </c>
      <c r="C699" s="2">
        <v>0</v>
      </c>
      <c r="D699" s="2">
        <v>0</v>
      </c>
      <c r="E699" s="2">
        <v>0.69</v>
      </c>
      <c r="F699" s="2">
        <v>0.27</v>
      </c>
      <c r="G699" s="2">
        <v>0.21</v>
      </c>
      <c r="H699" s="2">
        <f t="shared" si="60"/>
        <v>0.17402939977504919</v>
      </c>
      <c r="I699" s="2">
        <f t="shared" si="61"/>
        <v>0.919580886065819</v>
      </c>
      <c r="J699" s="2">
        <v>1.62</v>
      </c>
      <c r="K699" s="2">
        <v>0</v>
      </c>
      <c r="L699" s="2">
        <v>7.04</v>
      </c>
      <c r="M699" s="2">
        <v>1.34</v>
      </c>
      <c r="N699" s="2">
        <v>0</v>
      </c>
      <c r="O699" s="2">
        <v>1.08</v>
      </c>
      <c r="P699" s="2">
        <f t="shared" si="62"/>
        <v>1.8393599774521305</v>
      </c>
      <c r="Q699" s="2">
        <f t="shared" si="63"/>
        <v>0.391652459367127</v>
      </c>
      <c r="R699" s="2">
        <f t="shared" si="64"/>
        <v>1.6653305776770813</v>
      </c>
      <c r="S699">
        <f t="shared" si="65"/>
        <v>10.569248528292873</v>
      </c>
      <c r="U699">
        <v>3.1143670249520001</v>
      </c>
    </row>
    <row r="700" spans="1:21" ht="13.9" x14ac:dyDescent="0.3">
      <c r="A700" s="2" t="s">
        <v>717</v>
      </c>
      <c r="B700" s="2">
        <v>317.08999999999997</v>
      </c>
      <c r="C700" s="2">
        <v>119.05</v>
      </c>
      <c r="D700" s="2">
        <v>336.64</v>
      </c>
      <c r="E700" s="2">
        <v>46.69</v>
      </c>
      <c r="F700" s="2">
        <v>27.68</v>
      </c>
      <c r="G700" s="2">
        <v>48.58</v>
      </c>
      <c r="H700" s="2">
        <f t="shared" si="60"/>
        <v>2.6519860219283653</v>
      </c>
      <c r="I700" s="2">
        <f t="shared" si="61"/>
        <v>3.6138100691894826E-2</v>
      </c>
      <c r="J700" s="2">
        <v>204.45</v>
      </c>
      <c r="K700" s="2">
        <v>114.06</v>
      </c>
      <c r="L700" s="2">
        <v>280.52999999999997</v>
      </c>
      <c r="M700" s="2">
        <v>31.38</v>
      </c>
      <c r="N700" s="2">
        <v>1185.42</v>
      </c>
      <c r="O700" s="2">
        <v>55.9</v>
      </c>
      <c r="P700" s="2">
        <f t="shared" si="62"/>
        <v>-1.0871681430487454</v>
      </c>
      <c r="Q700" s="2">
        <f t="shared" si="63"/>
        <v>0.58980470539143703</v>
      </c>
      <c r="R700" s="2">
        <f t="shared" si="64"/>
        <v>-3.7391541649771107</v>
      </c>
      <c r="S700">
        <f t="shared" si="65"/>
        <v>-0.40994489942983253</v>
      </c>
      <c r="U700">
        <v>9.2265085298086795</v>
      </c>
    </row>
    <row r="701" spans="1:21" ht="13.9" x14ac:dyDescent="0.3">
      <c r="A701" s="2" t="s">
        <v>718</v>
      </c>
      <c r="B701" s="2">
        <v>9.23</v>
      </c>
      <c r="C701" s="2">
        <v>0</v>
      </c>
      <c r="D701" s="2">
        <v>11.11</v>
      </c>
      <c r="E701" s="2">
        <v>16.68</v>
      </c>
      <c r="F701" s="2">
        <v>14.44</v>
      </c>
      <c r="G701" s="2">
        <v>11.7</v>
      </c>
      <c r="H701" s="2">
        <f t="shared" si="60"/>
        <v>-1.0739651165280091</v>
      </c>
      <c r="I701" s="2">
        <f t="shared" si="61"/>
        <v>0.11443994933149958</v>
      </c>
      <c r="J701" s="2">
        <v>4.8499999999999996</v>
      </c>
      <c r="K701" s="2">
        <v>14.23</v>
      </c>
      <c r="L701" s="2">
        <v>8.5500000000000007</v>
      </c>
      <c r="M701" s="2">
        <v>12.14</v>
      </c>
      <c r="N701" s="2">
        <v>0</v>
      </c>
      <c r="O701" s="2">
        <v>19.350000000000001</v>
      </c>
      <c r="P701" s="2">
        <f t="shared" si="62"/>
        <v>-0.18865819532291814</v>
      </c>
      <c r="Q701" s="2">
        <f t="shared" si="63"/>
        <v>0.84743761703469311</v>
      </c>
      <c r="R701" s="2">
        <f t="shared" si="64"/>
        <v>0.88530692120509091</v>
      </c>
      <c r="S701">
        <f t="shared" si="65"/>
        <v>0.17566510533677834</v>
      </c>
      <c r="U701">
        <v>4.7881636570377673</v>
      </c>
    </row>
    <row r="702" spans="1:21" ht="13.9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1.62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 t="e">
        <f t="shared" si="60"/>
        <v>#NUM!</v>
      </c>
      <c r="I703" s="2">
        <f t="shared" si="61"/>
        <v>4.0956736627444906E-3</v>
      </c>
      <c r="J703" s="2">
        <v>0</v>
      </c>
      <c r="K703" s="2">
        <v>0</v>
      </c>
      <c r="L703" s="2">
        <v>0</v>
      </c>
      <c r="M703" s="2">
        <v>0.51</v>
      </c>
      <c r="N703" s="2">
        <v>0</v>
      </c>
      <c r="O703" s="2">
        <v>0</v>
      </c>
      <c r="P703" s="2" t="e">
        <f t="shared" si="62"/>
        <v>#NUM!</v>
      </c>
      <c r="Q703" s="2">
        <f t="shared" si="63"/>
        <v>0.37390096630005903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ht="13.9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6.52</v>
      </c>
      <c r="F704" s="2">
        <v>3.48</v>
      </c>
      <c r="G704" s="2">
        <v>7.48</v>
      </c>
      <c r="H704" s="2" t="e">
        <f t="shared" si="60"/>
        <v>#NUM!</v>
      </c>
      <c r="I704" s="2">
        <f t="shared" si="61"/>
        <v>8.443259355777959E-3</v>
      </c>
      <c r="J704" s="2">
        <v>0</v>
      </c>
      <c r="K704" s="2">
        <v>0</v>
      </c>
      <c r="L704" s="2">
        <v>0</v>
      </c>
      <c r="M704" s="2">
        <v>4.22</v>
      </c>
      <c r="N704" s="2">
        <v>0</v>
      </c>
      <c r="O704" s="2">
        <v>1.62</v>
      </c>
      <c r="P704" s="2" t="e">
        <f t="shared" si="62"/>
        <v>#NUM!</v>
      </c>
      <c r="Q704" s="2">
        <f t="shared" si="63"/>
        <v>0.18841125213317594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ht="13.9" x14ac:dyDescent="0.3">
      <c r="A705" s="2" t="s">
        <v>722</v>
      </c>
      <c r="B705" s="2">
        <v>592.32000000000005</v>
      </c>
      <c r="C705" s="2">
        <v>865.58</v>
      </c>
      <c r="D705" s="2">
        <v>589.53</v>
      </c>
      <c r="E705" s="2">
        <v>1105.51</v>
      </c>
      <c r="F705" s="2">
        <v>1006.41</v>
      </c>
      <c r="G705" s="2">
        <v>1138.27</v>
      </c>
      <c r="H705" s="2">
        <f t="shared" si="60"/>
        <v>-0.66670992973166554</v>
      </c>
      <c r="I705" s="2">
        <f t="shared" si="61"/>
        <v>1.5883528576058403E-2</v>
      </c>
      <c r="J705" s="2">
        <v>473.39</v>
      </c>
      <c r="K705" s="2">
        <v>674.51</v>
      </c>
      <c r="L705" s="2">
        <v>627.91999999999996</v>
      </c>
      <c r="M705" s="2">
        <v>1306.5899999999999</v>
      </c>
      <c r="N705" s="2">
        <v>1062.79</v>
      </c>
      <c r="O705" s="2">
        <v>959.21</v>
      </c>
      <c r="P705" s="2">
        <f t="shared" si="62"/>
        <v>-0.90642582187254628</v>
      </c>
      <c r="Q705" s="2">
        <f t="shared" si="63"/>
        <v>1.2361254266423391E-2</v>
      </c>
      <c r="R705" s="2">
        <f t="shared" si="64"/>
        <v>-0.23971589214088074</v>
      </c>
      <c r="S705">
        <f t="shared" si="65"/>
        <v>1.3595505053259977</v>
      </c>
      <c r="U705">
        <v>10.794269639847872</v>
      </c>
    </row>
    <row r="706" spans="1:21" ht="13.9" x14ac:dyDescent="0.3">
      <c r="A706" s="2" t="s">
        <v>723</v>
      </c>
      <c r="B706" s="2">
        <v>18.79</v>
      </c>
      <c r="C706" s="2">
        <v>0</v>
      </c>
      <c r="D706" s="2">
        <v>9.2899999999999991</v>
      </c>
      <c r="E706" s="2">
        <v>1.48</v>
      </c>
      <c r="F706" s="2">
        <v>1.47</v>
      </c>
      <c r="G706" s="2">
        <v>0.42</v>
      </c>
      <c r="H706" s="2">
        <f t="shared" ref="H706:H764" si="66">LOG(SUM(B706:D706)/SUM(E706:G706),2)</f>
        <v>3.0587224391227026</v>
      </c>
      <c r="I706" s="2">
        <f t="shared" ref="I706:I764" si="67">_xlfn.T.TEST(B706:D706,E706:G706,2,2)</f>
        <v>0.20427688500186333</v>
      </c>
      <c r="J706" s="2">
        <v>9.8800000000000008</v>
      </c>
      <c r="K706" s="2">
        <v>0</v>
      </c>
      <c r="L706" s="2">
        <v>58.32</v>
      </c>
      <c r="M706" s="2">
        <v>2.2599999999999998</v>
      </c>
      <c r="N706" s="2">
        <v>0</v>
      </c>
      <c r="O706" s="2">
        <v>1.22</v>
      </c>
      <c r="P706" s="2">
        <f t="shared" ref="P706:P764" si="68">LOG(SUM(J706:L706)/SUM(M706:O706),2)</f>
        <v>4.2926125280628069</v>
      </c>
      <c r="Q706" s="2">
        <f t="shared" ref="Q706:Q764" si="69">_xlfn.T.TEST(J706:L706,M706:O706,2,2)</f>
        <v>0.29761546605266603</v>
      </c>
      <c r="R706" s="2">
        <f t="shared" si="64"/>
        <v>1.2338900889401043</v>
      </c>
      <c r="S706">
        <f t="shared" si="65"/>
        <v>1.4034004763420138</v>
      </c>
      <c r="U706">
        <v>6.0916998341368105</v>
      </c>
    </row>
    <row r="707" spans="1:21" ht="13.9" x14ac:dyDescent="0.3">
      <c r="A707" s="2" t="s">
        <v>724</v>
      </c>
      <c r="B707" s="2">
        <v>197.11</v>
      </c>
      <c r="C707" s="2">
        <v>134.91</v>
      </c>
      <c r="D707" s="2">
        <v>168.96</v>
      </c>
      <c r="E707" s="2">
        <v>352.61</v>
      </c>
      <c r="F707" s="2">
        <v>350.85</v>
      </c>
      <c r="G707" s="2">
        <v>304.77999999999997</v>
      </c>
      <c r="H707" s="2">
        <f t="shared" si="66"/>
        <v>-1.0090141820037271</v>
      </c>
      <c r="I707" s="2">
        <f t="shared" si="67"/>
        <v>2.0881558648820097E-3</v>
      </c>
      <c r="J707" s="2">
        <v>88.21</v>
      </c>
      <c r="K707" s="2">
        <v>157.59</v>
      </c>
      <c r="L707" s="2">
        <v>240.31</v>
      </c>
      <c r="M707" s="2">
        <v>231.91</v>
      </c>
      <c r="N707" s="2">
        <v>286.13</v>
      </c>
      <c r="O707" s="2">
        <v>293.43</v>
      </c>
      <c r="P707" s="2">
        <f t="shared" si="68"/>
        <v>-0.73925494660750368</v>
      </c>
      <c r="Q707" s="2">
        <f t="shared" si="69"/>
        <v>8.6985657444950973E-2</v>
      </c>
      <c r="R707" s="2">
        <f t="shared" ref="R707:R764" si="70">P707-H707</f>
        <v>0.26975923539622337</v>
      </c>
      <c r="S707">
        <f t="shared" si="65"/>
        <v>0.732650699853863</v>
      </c>
      <c r="U707">
        <v>8.9251390025723083</v>
      </c>
    </row>
    <row r="708" spans="1:21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0.72</v>
      </c>
      <c r="N708" s="2">
        <v>0</v>
      </c>
      <c r="O708" s="2">
        <v>0</v>
      </c>
      <c r="P708" s="2" t="e">
        <f t="shared" si="68"/>
        <v>#NUM!</v>
      </c>
      <c r="Q708" s="2">
        <f t="shared" si="69"/>
        <v>0.37390096630005903</v>
      </c>
      <c r="R708" s="2" t="e">
        <f t="shared" si="70"/>
        <v>#NUM!</v>
      </c>
      <c r="S708" t="e">
        <f t="shared" ref="S708:S771" si="71">P708/H708</f>
        <v>#NUM!</v>
      </c>
      <c r="U708" t="e">
        <v>#NUM!</v>
      </c>
    </row>
    <row r="709" spans="1:21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 t="e">
        <f t="shared" si="66"/>
        <v>#NUM!</v>
      </c>
      <c r="I709" s="2">
        <f t="shared" si="67"/>
        <v>0.37390096630005903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f t="shared" si="68"/>
        <v>#DIV/0!</v>
      </c>
      <c r="Q709" s="2" t="e">
        <f t="shared" si="69"/>
        <v>#DIV/0!</v>
      </c>
      <c r="R709" s="2" t="e">
        <f t="shared" si="70"/>
        <v>#DIV/0!</v>
      </c>
      <c r="S709" t="e">
        <f t="shared" si="71"/>
        <v>#DIV/0!</v>
      </c>
      <c r="U709" t="e">
        <v>#NUM!</v>
      </c>
    </row>
    <row r="710" spans="1:21" ht="13.9" x14ac:dyDescent="0.3">
      <c r="A710" s="2" t="s">
        <v>727</v>
      </c>
      <c r="B710" s="2">
        <v>1.32</v>
      </c>
      <c r="C710" s="2">
        <v>34.64</v>
      </c>
      <c r="D710" s="2">
        <v>11.29</v>
      </c>
      <c r="E710" s="2">
        <v>46.69</v>
      </c>
      <c r="F710" s="2">
        <v>38.909999999999997</v>
      </c>
      <c r="G710" s="2">
        <v>45.95</v>
      </c>
      <c r="H710" s="2">
        <f t="shared" si="66"/>
        <v>-1.4772250140574545</v>
      </c>
      <c r="I710" s="2">
        <f t="shared" si="67"/>
        <v>5.0837089731596119E-2</v>
      </c>
      <c r="J710" s="2">
        <v>20.66</v>
      </c>
      <c r="K710" s="2">
        <v>32.44</v>
      </c>
      <c r="L710" s="2">
        <v>81.44</v>
      </c>
      <c r="M710" s="2">
        <v>37.549999999999997</v>
      </c>
      <c r="N710" s="2">
        <v>327.01</v>
      </c>
      <c r="O710" s="2">
        <v>87.71</v>
      </c>
      <c r="P710" s="2">
        <f t="shared" si="68"/>
        <v>-1.7491491389296281</v>
      </c>
      <c r="Q710" s="2">
        <f t="shared" si="69"/>
        <v>0.31022298728018427</v>
      </c>
      <c r="R710" s="2">
        <f t="shared" si="70"/>
        <v>-0.27192412487217354</v>
      </c>
      <c r="S710">
        <f t="shared" si="71"/>
        <v>1.1840776606708594</v>
      </c>
      <c r="U710">
        <v>7.0718913530566301</v>
      </c>
    </row>
    <row r="711" spans="1:21" ht="13.9" x14ac:dyDescent="0.3">
      <c r="A711" s="2" t="s">
        <v>728</v>
      </c>
      <c r="B711" s="2">
        <v>5.93</v>
      </c>
      <c r="C711" s="2">
        <v>0</v>
      </c>
      <c r="D711" s="2">
        <v>6.01</v>
      </c>
      <c r="E711" s="2">
        <v>3.16</v>
      </c>
      <c r="F711" s="2">
        <v>2.54</v>
      </c>
      <c r="G711" s="2">
        <v>1.79</v>
      </c>
      <c r="H711" s="2">
        <f t="shared" si="66"/>
        <v>0.67276521280605373</v>
      </c>
      <c r="I711" s="2">
        <f t="shared" si="67"/>
        <v>0.50529124916280499</v>
      </c>
      <c r="J711" s="2">
        <v>0</v>
      </c>
      <c r="K711" s="2">
        <v>0</v>
      </c>
      <c r="L711" s="2">
        <v>0</v>
      </c>
      <c r="M711" s="2">
        <v>2.98</v>
      </c>
      <c r="N711" s="2">
        <v>0</v>
      </c>
      <c r="O711" s="2">
        <v>2.2999999999999998</v>
      </c>
      <c r="P711" s="2" t="e">
        <f t="shared" si="68"/>
        <v>#NUM!</v>
      </c>
      <c r="Q711" s="2">
        <f t="shared" si="69"/>
        <v>0.12267186028321368</v>
      </c>
      <c r="R711" s="2" t="e">
        <f t="shared" si="70"/>
        <v>#NUM!</v>
      </c>
      <c r="S711" t="e">
        <f t="shared" si="71"/>
        <v>#NUM!</v>
      </c>
      <c r="U711" t="e">
        <v>#NUM!</v>
      </c>
    </row>
    <row r="712" spans="1:21" ht="13.9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 t="e">
        <f t="shared" si="68"/>
        <v>#DIV/0!</v>
      </c>
      <c r="Q712" s="2" t="e">
        <f t="shared" si="69"/>
        <v>#DIV/0!</v>
      </c>
      <c r="R712" s="2" t="e">
        <f t="shared" si="70"/>
        <v>#DIV/0!</v>
      </c>
      <c r="S712" t="e">
        <f t="shared" si="71"/>
        <v>#DIV/0!</v>
      </c>
      <c r="U712" t="e">
        <v>#NUM!</v>
      </c>
    </row>
    <row r="713" spans="1:21" ht="13.9" x14ac:dyDescent="0.3">
      <c r="A713" s="2" t="s">
        <v>730</v>
      </c>
      <c r="B713" s="2">
        <v>13.18</v>
      </c>
      <c r="C713" s="2">
        <v>0</v>
      </c>
      <c r="D713" s="2">
        <v>0</v>
      </c>
      <c r="E713" s="2">
        <v>4.34</v>
      </c>
      <c r="F713" s="2">
        <v>4.68</v>
      </c>
      <c r="G713" s="2">
        <v>3.37</v>
      </c>
      <c r="H713" s="2">
        <f t="shared" si="66"/>
        <v>8.9174182867450186E-2</v>
      </c>
      <c r="I713" s="2">
        <f t="shared" si="67"/>
        <v>0.95525705284041806</v>
      </c>
      <c r="J713" s="2">
        <v>11.32</v>
      </c>
      <c r="K713" s="2">
        <v>0</v>
      </c>
      <c r="L713" s="2">
        <v>0</v>
      </c>
      <c r="M713" s="2">
        <v>4.22</v>
      </c>
      <c r="N713" s="2">
        <v>0</v>
      </c>
      <c r="O713" s="2">
        <v>0.68</v>
      </c>
      <c r="P713" s="2">
        <f t="shared" si="68"/>
        <v>1.2080203038293118</v>
      </c>
      <c r="Q713" s="2">
        <f t="shared" si="69"/>
        <v>0.62047083684639537</v>
      </c>
      <c r="R713" s="2">
        <f t="shared" si="70"/>
        <v>1.1188461209618616</v>
      </c>
      <c r="S713">
        <f t="shared" si="71"/>
        <v>13.546749350368939</v>
      </c>
      <c r="U713">
        <v>3.5008020530571575</v>
      </c>
    </row>
    <row r="714" spans="1:21" ht="13.9" x14ac:dyDescent="0.3">
      <c r="A714" s="2" t="s">
        <v>731</v>
      </c>
      <c r="B714" s="2">
        <v>0</v>
      </c>
      <c r="C714" s="2">
        <v>0</v>
      </c>
      <c r="D714" s="2">
        <v>0.36</v>
      </c>
      <c r="E714" s="2">
        <v>0</v>
      </c>
      <c r="F714" s="2">
        <v>0</v>
      </c>
      <c r="G714" s="2">
        <v>0</v>
      </c>
      <c r="H714" s="2" t="e">
        <f t="shared" si="66"/>
        <v>#DIV/0!</v>
      </c>
      <c r="I714" s="2">
        <f t="shared" si="67"/>
        <v>0.37390096630005903</v>
      </c>
      <c r="J714" s="2">
        <v>0</v>
      </c>
      <c r="K714" s="2">
        <v>0</v>
      </c>
      <c r="L714" s="2">
        <v>0</v>
      </c>
      <c r="M714" s="2">
        <v>0.1</v>
      </c>
      <c r="N714" s="2">
        <v>0</v>
      </c>
      <c r="O714" s="2">
        <v>0</v>
      </c>
      <c r="P714" s="2" t="e">
        <f t="shared" si="68"/>
        <v>#NUM!</v>
      </c>
      <c r="Q714" s="2">
        <f t="shared" si="69"/>
        <v>0.37390096630005903</v>
      </c>
      <c r="R714" s="2" t="e">
        <f t="shared" si="70"/>
        <v>#NUM!</v>
      </c>
      <c r="S714" t="e">
        <f t="shared" si="71"/>
        <v>#NUM!</v>
      </c>
      <c r="U714" t="e">
        <v>#NUM!</v>
      </c>
    </row>
    <row r="715" spans="1:21" ht="13.9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1.1599999999999999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 t="e">
        <f t="shared" si="68"/>
        <v>#DIV/0!</v>
      </c>
      <c r="Q715" s="2" t="e">
        <f t="shared" si="69"/>
        <v>#DIV/0!</v>
      </c>
      <c r="R715" s="2" t="e">
        <f t="shared" si="70"/>
        <v>#DIV/0!</v>
      </c>
      <c r="S715" t="e">
        <f t="shared" si="71"/>
        <v>#DIV/0!</v>
      </c>
      <c r="U715" t="e">
        <v>#NUM!</v>
      </c>
    </row>
    <row r="716" spans="1:21" ht="13.9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0.4</v>
      </c>
      <c r="G716" s="2">
        <v>0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 t="e">
        <f t="shared" si="68"/>
        <v>#DIV/0!</v>
      </c>
      <c r="Q716" s="2" t="e">
        <f t="shared" si="69"/>
        <v>#DIV/0!</v>
      </c>
      <c r="R716" s="2" t="e">
        <f t="shared" si="70"/>
        <v>#DIV/0!</v>
      </c>
      <c r="S716" t="e">
        <f t="shared" si="71"/>
        <v>#DIV/0!</v>
      </c>
      <c r="U716" t="e">
        <v>#NUM!</v>
      </c>
    </row>
    <row r="717" spans="1:21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 t="e">
        <f t="shared" si="66"/>
        <v>#NUM!</v>
      </c>
      <c r="I717" s="2">
        <f t="shared" si="67"/>
        <v>0.37390096630005903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0.68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ht="13.9" x14ac:dyDescent="0.3">
      <c r="A718" s="2" t="s">
        <v>735</v>
      </c>
      <c r="B718" s="2">
        <v>1.98</v>
      </c>
      <c r="C718" s="2">
        <v>0</v>
      </c>
      <c r="D718" s="2">
        <v>4.7300000000000004</v>
      </c>
      <c r="E718" s="2">
        <v>0</v>
      </c>
      <c r="F718" s="2">
        <v>0.53</v>
      </c>
      <c r="G718" s="2">
        <v>0</v>
      </c>
      <c r="H718" s="2">
        <f t="shared" si="66"/>
        <v>3.6622485016369848</v>
      </c>
      <c r="I718" s="2">
        <f t="shared" si="67"/>
        <v>0.21053476724535272</v>
      </c>
      <c r="J718" s="2">
        <v>0</v>
      </c>
      <c r="K718" s="2">
        <v>1.88</v>
      </c>
      <c r="L718" s="2">
        <v>0</v>
      </c>
      <c r="M718" s="2">
        <v>0</v>
      </c>
      <c r="N718" s="2">
        <v>0</v>
      </c>
      <c r="O718" s="2">
        <v>0</v>
      </c>
      <c r="P718" s="2" t="e">
        <f t="shared" si="68"/>
        <v>#DIV/0!</v>
      </c>
      <c r="Q718" s="2">
        <f t="shared" si="69"/>
        <v>0.37390096630005903</v>
      </c>
      <c r="R718" s="2" t="e">
        <f t="shared" si="70"/>
        <v>#DIV/0!</v>
      </c>
      <c r="S718" t="e">
        <f t="shared" si="71"/>
        <v>#DIV/0!</v>
      </c>
      <c r="U718">
        <v>0.91073266190291258</v>
      </c>
    </row>
    <row r="719" spans="1:21" ht="13.9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66"/>
        <v>#DIV/0!</v>
      </c>
      <c r="I719" s="2" t="e">
        <f t="shared" si="67"/>
        <v>#DIV/0!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ht="13.9" x14ac:dyDescent="0.3">
      <c r="A720" s="2" t="s">
        <v>737</v>
      </c>
      <c r="B720" s="2">
        <v>4.28</v>
      </c>
      <c r="C720" s="2">
        <v>0.24</v>
      </c>
      <c r="D720" s="2">
        <v>9.4700000000000006</v>
      </c>
      <c r="E720" s="2">
        <v>0.1</v>
      </c>
      <c r="F720" s="2">
        <v>0</v>
      </c>
      <c r="G720" s="2">
        <v>0.11</v>
      </c>
      <c r="H720" s="2">
        <f t="shared" si="66"/>
        <v>6.0578628243859933</v>
      </c>
      <c r="I720" s="2">
        <f t="shared" si="67"/>
        <v>0.16067645250622689</v>
      </c>
      <c r="J720" s="2">
        <v>0.18</v>
      </c>
      <c r="K720" s="2">
        <v>1.05</v>
      </c>
      <c r="L720" s="2">
        <v>0</v>
      </c>
      <c r="M720" s="2">
        <v>0.1</v>
      </c>
      <c r="N720" s="2">
        <v>0</v>
      </c>
      <c r="O720" s="2">
        <v>0</v>
      </c>
      <c r="P720" s="2">
        <f t="shared" si="68"/>
        <v>3.6205864104518772</v>
      </c>
      <c r="Q720" s="2">
        <f t="shared" si="69"/>
        <v>0.31210872120506128</v>
      </c>
      <c r="R720" s="2">
        <f t="shared" si="70"/>
        <v>-2.4372764139341161</v>
      </c>
      <c r="S720">
        <f t="shared" si="71"/>
        <v>0.59766728224303245</v>
      </c>
      <c r="U720">
        <v>0.29865831556451516</v>
      </c>
    </row>
    <row r="721" spans="1:21" ht="13.9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 t="e">
        <f t="shared" si="67"/>
        <v>#DIV/0!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ht="13.9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0.89</v>
      </c>
      <c r="F722" s="2">
        <v>0.53</v>
      </c>
      <c r="G722" s="2">
        <v>1.26</v>
      </c>
      <c r="H722" s="2" t="e">
        <f t="shared" si="66"/>
        <v>#NUM!</v>
      </c>
      <c r="I722" s="2">
        <f t="shared" si="67"/>
        <v>1.3273710713504534E-2</v>
      </c>
      <c r="J722" s="2">
        <v>0</v>
      </c>
      <c r="K722" s="2">
        <v>5.86</v>
      </c>
      <c r="L722" s="2">
        <v>0</v>
      </c>
      <c r="M722" s="2">
        <v>0.31</v>
      </c>
      <c r="N722" s="2">
        <v>0</v>
      </c>
      <c r="O722" s="2">
        <v>0</v>
      </c>
      <c r="P722" s="2">
        <f t="shared" si="68"/>
        <v>4.2405605440353726</v>
      </c>
      <c r="Q722" s="2">
        <f t="shared" si="69"/>
        <v>0.39781590918103021</v>
      </c>
      <c r="R722" s="2" t="e">
        <f t="shared" si="70"/>
        <v>#NUM!</v>
      </c>
      <c r="S722" t="e">
        <f t="shared" si="71"/>
        <v>#NUM!</v>
      </c>
      <c r="U722">
        <v>2.5509006646475232</v>
      </c>
    </row>
    <row r="723" spans="1:21" ht="13.9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0.69</v>
      </c>
      <c r="F723" s="2">
        <v>1.34</v>
      </c>
      <c r="G723" s="2">
        <v>0.74</v>
      </c>
      <c r="H723" s="2" t="e">
        <f t="shared" si="66"/>
        <v>#NUM!</v>
      </c>
      <c r="I723" s="2">
        <f t="shared" si="67"/>
        <v>1.1498387854108592E-2</v>
      </c>
      <c r="J723" s="2">
        <v>0</v>
      </c>
      <c r="K723" s="2">
        <v>0</v>
      </c>
      <c r="L723" s="2">
        <v>0</v>
      </c>
      <c r="M723" s="2">
        <v>1.03</v>
      </c>
      <c r="N723" s="2">
        <v>0</v>
      </c>
      <c r="O723" s="2">
        <v>0.27</v>
      </c>
      <c r="P723" s="2" t="e">
        <f t="shared" si="68"/>
        <v>#NUM!</v>
      </c>
      <c r="Q723" s="2">
        <f t="shared" si="69"/>
        <v>0.23262633311758715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0.82</v>
      </c>
      <c r="N724" s="2">
        <v>0</v>
      </c>
      <c r="O724" s="2">
        <v>0</v>
      </c>
      <c r="P724" s="2" t="e">
        <f t="shared" si="68"/>
        <v>#NUM!</v>
      </c>
      <c r="Q724" s="2">
        <f t="shared" si="69"/>
        <v>0.37390096630005903</v>
      </c>
      <c r="R724" s="2" t="e">
        <f t="shared" si="70"/>
        <v>#NUM!</v>
      </c>
      <c r="S724" t="e">
        <f t="shared" si="71"/>
        <v>#NUM!</v>
      </c>
      <c r="U724" t="e">
        <v>#NUM!</v>
      </c>
    </row>
    <row r="725" spans="1:21" ht="13.9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66"/>
        <v>#DIV/0!</v>
      </c>
      <c r="I725" s="2" t="e">
        <f t="shared" si="67"/>
        <v>#DIV/0!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ht="13.9" x14ac:dyDescent="0.3">
      <c r="A726" s="2" t="s">
        <v>743</v>
      </c>
      <c r="B726" s="2">
        <v>0</v>
      </c>
      <c r="C726" s="2">
        <v>9.27</v>
      </c>
      <c r="D726" s="2">
        <v>5.83</v>
      </c>
      <c r="E726" s="2">
        <v>6.81</v>
      </c>
      <c r="F726" s="2">
        <v>8.82</v>
      </c>
      <c r="G726" s="2">
        <v>6.43</v>
      </c>
      <c r="H726" s="2">
        <f t="shared" si="66"/>
        <v>-0.54688424137894132</v>
      </c>
      <c r="I726" s="2">
        <f t="shared" si="67"/>
        <v>0.45470999876507157</v>
      </c>
      <c r="J726" s="2">
        <v>3.23</v>
      </c>
      <c r="K726" s="2">
        <v>5.23</v>
      </c>
      <c r="L726" s="2">
        <v>0</v>
      </c>
      <c r="M726" s="2">
        <v>6.07</v>
      </c>
      <c r="N726" s="2">
        <v>2534.34</v>
      </c>
      <c r="O726" s="2">
        <v>9.75</v>
      </c>
      <c r="P726" s="2">
        <f t="shared" si="68"/>
        <v>-8.2357143876029877</v>
      </c>
      <c r="Q726" s="2">
        <f t="shared" si="69"/>
        <v>0.37131496171814832</v>
      </c>
      <c r="R726" s="2">
        <f t="shared" si="70"/>
        <v>-7.6888301462240465</v>
      </c>
      <c r="S726">
        <f t="shared" si="71"/>
        <v>15.059337542506336</v>
      </c>
      <c r="U726">
        <v>3.0806576633452254</v>
      </c>
    </row>
    <row r="727" spans="1:21" ht="13.9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66"/>
        <v>#DIV/0!</v>
      </c>
      <c r="I727" s="2" t="e">
        <f t="shared" si="67"/>
        <v>#DIV/0!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ht="13.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0.18</v>
      </c>
      <c r="K728" s="2">
        <v>0</v>
      </c>
      <c r="L728" s="2">
        <v>0</v>
      </c>
      <c r="M728" s="2">
        <v>0.31</v>
      </c>
      <c r="N728" s="2">
        <v>0</v>
      </c>
      <c r="O728" s="2">
        <v>0</v>
      </c>
      <c r="P728" s="2">
        <f t="shared" si="68"/>
        <v>-0.78427130894456298</v>
      </c>
      <c r="Q728" s="2">
        <f t="shared" si="69"/>
        <v>0.73521378916689417</v>
      </c>
      <c r="R728" s="2" t="e">
        <f t="shared" si="70"/>
        <v>#DIV/0!</v>
      </c>
      <c r="S728" t="e">
        <f t="shared" si="71"/>
        <v>#DIV/0!</v>
      </c>
      <c r="U728">
        <v>-2.4739311883324122</v>
      </c>
    </row>
    <row r="729" spans="1:21" ht="13.9" x14ac:dyDescent="0.3">
      <c r="A729" s="2" t="s">
        <v>746</v>
      </c>
      <c r="B729" s="2">
        <v>0</v>
      </c>
      <c r="C729" s="2">
        <v>7.07</v>
      </c>
      <c r="D729" s="2">
        <v>0</v>
      </c>
      <c r="E729" s="2">
        <v>0</v>
      </c>
      <c r="F729" s="2">
        <v>0.67</v>
      </c>
      <c r="G729" s="2">
        <v>0.53</v>
      </c>
      <c r="H729" s="2">
        <f t="shared" si="66"/>
        <v>2.5586758092008801</v>
      </c>
      <c r="I729" s="2">
        <f t="shared" si="67"/>
        <v>0.4546290650647884</v>
      </c>
      <c r="J729" s="2">
        <v>0</v>
      </c>
      <c r="K729" s="2">
        <v>5.86</v>
      </c>
      <c r="L729" s="2">
        <v>0</v>
      </c>
      <c r="M729" s="2">
        <v>1.23</v>
      </c>
      <c r="N729" s="2">
        <v>0</v>
      </c>
      <c r="O729" s="2">
        <v>0.27</v>
      </c>
      <c r="P729" s="2">
        <f t="shared" si="68"/>
        <v>1.9659381639263671</v>
      </c>
      <c r="Q729" s="2">
        <f t="shared" si="69"/>
        <v>0.50540104734822122</v>
      </c>
      <c r="R729" s="2">
        <f t="shared" si="70"/>
        <v>-0.592737645274513</v>
      </c>
      <c r="S729">
        <f t="shared" si="71"/>
        <v>0.76834202944231711</v>
      </c>
      <c r="U729">
        <v>2.5509006646475232</v>
      </c>
    </row>
    <row r="730" spans="1:21" ht="13.9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4.24</v>
      </c>
      <c r="F730" s="2">
        <v>2.0099999999999998</v>
      </c>
      <c r="G730" s="2">
        <v>0.63</v>
      </c>
      <c r="H730" s="2" t="e">
        <f t="shared" si="66"/>
        <v>#NUM!</v>
      </c>
      <c r="I730" s="2">
        <f t="shared" si="67"/>
        <v>9.4681870123872358E-2</v>
      </c>
      <c r="J730" s="2">
        <v>0</v>
      </c>
      <c r="K730" s="2">
        <v>0</v>
      </c>
      <c r="L730" s="2">
        <v>0</v>
      </c>
      <c r="M730" s="2">
        <v>0.72</v>
      </c>
      <c r="N730" s="2">
        <v>0</v>
      </c>
      <c r="O730" s="2">
        <v>0</v>
      </c>
      <c r="P730" s="2" t="e">
        <f t="shared" si="68"/>
        <v>#NUM!</v>
      </c>
      <c r="Q730" s="2">
        <f t="shared" si="69"/>
        <v>0.37390096630005903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ht="13.9" x14ac:dyDescent="0.3">
      <c r="A731" s="2" t="s">
        <v>748</v>
      </c>
      <c r="B731" s="2">
        <v>5.6</v>
      </c>
      <c r="C731" s="2">
        <v>5.86</v>
      </c>
      <c r="D731" s="2">
        <v>0</v>
      </c>
      <c r="E731" s="2">
        <v>15.4</v>
      </c>
      <c r="F731" s="2">
        <v>20.59</v>
      </c>
      <c r="G731" s="2">
        <v>23.71</v>
      </c>
      <c r="H731" s="2">
        <f t="shared" si="66"/>
        <v>-2.3811238873952627</v>
      </c>
      <c r="I731" s="2">
        <f t="shared" si="67"/>
        <v>6.473731035115113E-3</v>
      </c>
      <c r="J731" s="2">
        <v>31.26</v>
      </c>
      <c r="K731" s="2">
        <v>19.88</v>
      </c>
      <c r="L731" s="2">
        <v>31.17</v>
      </c>
      <c r="M731" s="2">
        <v>16.670000000000002</v>
      </c>
      <c r="N731" s="2">
        <v>0</v>
      </c>
      <c r="O731" s="2">
        <v>28.42</v>
      </c>
      <c r="P731" s="2">
        <f t="shared" si="68"/>
        <v>0.86826020711125373</v>
      </c>
      <c r="Q731" s="2">
        <f t="shared" si="69"/>
        <v>0.24314041411056822</v>
      </c>
      <c r="R731" s="2">
        <f t="shared" si="70"/>
        <v>3.2493840945065164</v>
      </c>
      <c r="S731">
        <f t="shared" si="71"/>
        <v>-0.3646430207632132</v>
      </c>
      <c r="U731">
        <v>6.3629958119740504</v>
      </c>
    </row>
    <row r="732" spans="1:21" ht="13.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9.6999999999999993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>
        <f t="shared" si="69"/>
        <v>0.37390096630005903</v>
      </c>
      <c r="R732" s="2" t="e">
        <f t="shared" si="70"/>
        <v>#DIV/0!</v>
      </c>
      <c r="S732" t="e">
        <f t="shared" si="71"/>
        <v>#DIV/0!</v>
      </c>
      <c r="U732">
        <v>3.2779847472997652</v>
      </c>
    </row>
    <row r="733" spans="1:21" ht="13.9" x14ac:dyDescent="0.3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66"/>
        <v>#DIV/0!</v>
      </c>
      <c r="I733" s="2" t="e">
        <f t="shared" si="67"/>
        <v>#DIV/0!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ht="13.9" x14ac:dyDescent="0.3">
      <c r="A734" s="2" t="s">
        <v>751</v>
      </c>
      <c r="B734" s="2">
        <v>257.10000000000002</v>
      </c>
      <c r="C734" s="2">
        <v>272.26</v>
      </c>
      <c r="D734" s="2">
        <v>153.47999999999999</v>
      </c>
      <c r="E734" s="2">
        <v>350.83</v>
      </c>
      <c r="F734" s="2">
        <v>382.67</v>
      </c>
      <c r="G734" s="2">
        <v>369.69</v>
      </c>
      <c r="H734" s="2">
        <f t="shared" si="66"/>
        <v>-0.69206180713080101</v>
      </c>
      <c r="I734" s="2">
        <f t="shared" si="67"/>
        <v>2.1887785017371892E-2</v>
      </c>
      <c r="J734" s="2">
        <v>238.94</v>
      </c>
      <c r="K734" s="2">
        <v>229.58</v>
      </c>
      <c r="L734" s="2">
        <v>282.04000000000002</v>
      </c>
      <c r="M734" s="2">
        <v>353.53</v>
      </c>
      <c r="N734" s="2">
        <v>613.15</v>
      </c>
      <c r="O734" s="2">
        <v>435.28</v>
      </c>
      <c r="P734" s="2">
        <f t="shared" si="68"/>
        <v>-0.90140587664537775</v>
      </c>
      <c r="Q734" s="2">
        <f t="shared" si="69"/>
        <v>5.0213430554006462E-2</v>
      </c>
      <c r="R734" s="2">
        <f t="shared" si="70"/>
        <v>-0.20934406951457674</v>
      </c>
      <c r="S734">
        <f t="shared" si="71"/>
        <v>1.3024933139750772</v>
      </c>
      <c r="U734">
        <v>9.5518235957212561</v>
      </c>
    </row>
    <row r="735" spans="1:21" ht="13.9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0.69</v>
      </c>
      <c r="F735" s="2">
        <v>0.8</v>
      </c>
      <c r="G735" s="2">
        <v>0.32</v>
      </c>
      <c r="H735" s="2" t="e">
        <f t="shared" si="66"/>
        <v>#NUM!</v>
      </c>
      <c r="I735" s="2">
        <f t="shared" si="67"/>
        <v>1.4194456163939629E-2</v>
      </c>
      <c r="J735" s="2">
        <v>0</v>
      </c>
      <c r="K735" s="2">
        <v>5.0199999999999996</v>
      </c>
      <c r="L735" s="2">
        <v>0</v>
      </c>
      <c r="M735" s="2">
        <v>0.51</v>
      </c>
      <c r="N735" s="2">
        <v>0</v>
      </c>
      <c r="O735" s="2">
        <v>0</v>
      </c>
      <c r="P735" s="2">
        <f t="shared" si="68"/>
        <v>3.2991182119792759</v>
      </c>
      <c r="Q735" s="2">
        <f t="shared" si="69"/>
        <v>0.4219438721311744</v>
      </c>
      <c r="R735" s="2" t="e">
        <f t="shared" si="70"/>
        <v>#NUM!</v>
      </c>
      <c r="S735" t="e">
        <f t="shared" si="71"/>
        <v>#NUM!</v>
      </c>
      <c r="U735">
        <v>2.3276873641760472</v>
      </c>
    </row>
    <row r="736" spans="1:21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 t="e">
        <f t="shared" si="66"/>
        <v>#NUM!</v>
      </c>
      <c r="I736" s="2">
        <f t="shared" si="67"/>
        <v>0.19384003471698563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f t="shared" si="68"/>
        <v>#DIV/0!</v>
      </c>
      <c r="Q736" s="2" t="e">
        <f t="shared" si="69"/>
        <v>#DIV/0!</v>
      </c>
      <c r="R736" s="2" t="e">
        <f t="shared" si="70"/>
        <v>#DIV/0!</v>
      </c>
      <c r="S736" t="e">
        <f t="shared" si="71"/>
        <v>#DIV/0!</v>
      </c>
      <c r="U736" t="e">
        <v>#NUM!</v>
      </c>
    </row>
    <row r="737" spans="1:21" ht="13.9" x14ac:dyDescent="0.3">
      <c r="A737" s="2" t="s">
        <v>754</v>
      </c>
      <c r="B737" s="2">
        <v>0</v>
      </c>
      <c r="C737" s="2">
        <v>0.24</v>
      </c>
      <c r="D737" s="2">
        <v>0</v>
      </c>
      <c r="E737" s="2">
        <v>1.68</v>
      </c>
      <c r="F737" s="2">
        <v>2.27</v>
      </c>
      <c r="G737" s="2">
        <v>1.9</v>
      </c>
      <c r="H737" s="2">
        <f t="shared" si="66"/>
        <v>-4.6073303137496113</v>
      </c>
      <c r="I737" s="2">
        <f t="shared" si="67"/>
        <v>5.9557069703763781E-4</v>
      </c>
      <c r="J737" s="2">
        <v>0</v>
      </c>
      <c r="K737" s="2">
        <v>0</v>
      </c>
      <c r="L737" s="2">
        <v>0</v>
      </c>
      <c r="M737" s="2">
        <v>1.23</v>
      </c>
      <c r="N737" s="2">
        <v>0</v>
      </c>
      <c r="O737" s="2">
        <v>2.98</v>
      </c>
      <c r="P737" s="2" t="e">
        <f t="shared" si="68"/>
        <v>#NUM!</v>
      </c>
      <c r="Q737" s="2">
        <f t="shared" si="69"/>
        <v>0.17989178632712399</v>
      </c>
      <c r="R737" s="2" t="e">
        <f t="shared" si="70"/>
        <v>#NUM!</v>
      </c>
      <c r="S737" t="e">
        <f t="shared" si="71"/>
        <v>#NUM!</v>
      </c>
      <c r="U737" t="e">
        <v>#NUM!</v>
      </c>
    </row>
    <row r="738" spans="1:21" ht="13.9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66"/>
        <v>#DIV/0!</v>
      </c>
      <c r="I738" s="2" t="e">
        <f t="shared" si="67"/>
        <v>#DIV/0!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ht="13.9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66"/>
        <v>#DIV/0!</v>
      </c>
      <c r="I739" s="2" t="e">
        <f t="shared" si="67"/>
        <v>#DIV/0!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 t="e">
        <f t="shared" si="66"/>
        <v>#NUM!</v>
      </c>
      <c r="I740" s="2">
        <f t="shared" si="67"/>
        <v>0.37390096630005903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0.68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 t="e">
        <f t="shared" si="66"/>
        <v>#NUM!</v>
      </c>
      <c r="I741" s="2">
        <f t="shared" si="67"/>
        <v>0.15631819763304933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f t="shared" si="68"/>
        <v>#DIV/0!</v>
      </c>
      <c r="Q741" s="2" t="e">
        <f t="shared" si="69"/>
        <v>#DIV/0!</v>
      </c>
      <c r="R741" s="2" t="e">
        <f t="shared" si="70"/>
        <v>#DIV/0!</v>
      </c>
      <c r="S741" t="e">
        <f t="shared" si="71"/>
        <v>#DIV/0!</v>
      </c>
      <c r="U741" t="e">
        <v>#NUM!</v>
      </c>
    </row>
    <row r="742" spans="1:21" ht="13.9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66"/>
        <v>#DIV/0!</v>
      </c>
      <c r="I742" s="2" t="e">
        <f t="shared" si="67"/>
        <v>#DIV/0!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ht="13.9" x14ac:dyDescent="0.3">
      <c r="A743" s="2" t="s">
        <v>760</v>
      </c>
      <c r="B743" s="2">
        <v>5.93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66"/>
        <v>#DIV/0!</v>
      </c>
      <c r="I743" s="2">
        <f t="shared" si="67"/>
        <v>0.37390096630005903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 t="e">
        <f t="shared" si="69"/>
        <v>#DIV/0!</v>
      </c>
      <c r="R743" s="2" t="e">
        <f t="shared" si="70"/>
        <v>#DIV/0!</v>
      </c>
      <c r="S743" t="e">
        <f t="shared" si="71"/>
        <v>#DIV/0!</v>
      </c>
      <c r="U743" t="e">
        <v>#NUM!</v>
      </c>
    </row>
    <row r="744" spans="1:21" ht="13.9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66"/>
        <v>#DIV/0!</v>
      </c>
      <c r="I744" s="2" t="e">
        <f t="shared" si="67"/>
        <v>#DIV/0!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ht="13.9" x14ac:dyDescent="0.3">
      <c r="A745" s="2" t="s">
        <v>762</v>
      </c>
      <c r="B745" s="2">
        <v>5.93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66"/>
        <v>#DIV/0!</v>
      </c>
      <c r="I745" s="2">
        <f t="shared" si="67"/>
        <v>0.37390096630005903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 t="e">
        <f t="shared" si="69"/>
        <v>#DIV/0!</v>
      </c>
      <c r="R745" s="2" t="e">
        <f t="shared" si="70"/>
        <v>#DIV/0!</v>
      </c>
      <c r="S745" t="e">
        <f t="shared" si="71"/>
        <v>#DIV/0!</v>
      </c>
      <c r="U745" t="e">
        <v>#NUM!</v>
      </c>
    </row>
    <row r="746" spans="1:21" ht="13.9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0.59</v>
      </c>
      <c r="F746" s="2">
        <v>0.27</v>
      </c>
      <c r="G746" s="2">
        <v>0</v>
      </c>
      <c r="H746" s="2" t="e">
        <f t="shared" si="66"/>
        <v>#NUM!</v>
      </c>
      <c r="I746" s="2">
        <f t="shared" si="67"/>
        <v>0.16803556157450092</v>
      </c>
      <c r="J746" s="2">
        <v>0</v>
      </c>
      <c r="K746" s="2">
        <v>0</v>
      </c>
      <c r="L746" s="2">
        <v>0</v>
      </c>
      <c r="M746" s="2">
        <v>0.31</v>
      </c>
      <c r="N746" s="2">
        <v>0</v>
      </c>
      <c r="O746" s="2">
        <v>0</v>
      </c>
      <c r="P746" s="2" t="e">
        <f t="shared" si="68"/>
        <v>#NUM!</v>
      </c>
      <c r="Q746" s="2">
        <f t="shared" si="69"/>
        <v>0.37390096630005903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ht="13.9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3.36</v>
      </c>
      <c r="F747" s="2">
        <v>7.09</v>
      </c>
      <c r="G747" s="2">
        <v>3.9</v>
      </c>
      <c r="H747" s="2" t="e">
        <f t="shared" si="66"/>
        <v>#NUM!</v>
      </c>
      <c r="I747" s="2">
        <f t="shared" si="67"/>
        <v>1.4731820282112264E-2</v>
      </c>
      <c r="J747" s="2">
        <v>0</v>
      </c>
      <c r="K747" s="2">
        <v>0</v>
      </c>
      <c r="L747" s="2">
        <v>0</v>
      </c>
      <c r="M747" s="2">
        <v>2.68</v>
      </c>
      <c r="N747" s="2">
        <v>0</v>
      </c>
      <c r="O747" s="2">
        <v>2.98</v>
      </c>
      <c r="P747" s="2" t="e">
        <f t="shared" si="68"/>
        <v>#NUM!</v>
      </c>
      <c r="Q747" s="2">
        <f t="shared" si="69"/>
        <v>0.11723276410001338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ht="13.9" x14ac:dyDescent="0.3">
      <c r="A748" s="2" t="s">
        <v>765</v>
      </c>
      <c r="B748" s="2">
        <v>7.91</v>
      </c>
      <c r="C748" s="2">
        <v>10.73</v>
      </c>
      <c r="D748" s="2">
        <v>29.13</v>
      </c>
      <c r="E748" s="2">
        <v>2.0699999999999998</v>
      </c>
      <c r="F748" s="2">
        <v>2.0099999999999998</v>
      </c>
      <c r="G748" s="2">
        <v>3.16</v>
      </c>
      <c r="H748" s="2">
        <f t="shared" si="66"/>
        <v>2.72204327438806</v>
      </c>
      <c r="I748" s="2">
        <f t="shared" si="67"/>
        <v>0.11254934861117806</v>
      </c>
      <c r="J748" s="2">
        <v>8.98</v>
      </c>
      <c r="K748" s="2">
        <v>28.25</v>
      </c>
      <c r="L748" s="2">
        <v>11.56</v>
      </c>
      <c r="M748" s="2">
        <v>1.03</v>
      </c>
      <c r="N748" s="2">
        <v>0</v>
      </c>
      <c r="O748" s="2">
        <v>2.0299999999999998</v>
      </c>
      <c r="P748" s="2">
        <f t="shared" si="68"/>
        <v>3.9949819252333758</v>
      </c>
      <c r="Q748" s="2">
        <f t="shared" si="69"/>
        <v>6.5904700739158453E-2</v>
      </c>
      <c r="R748" s="2">
        <f t="shared" si="70"/>
        <v>1.2729386508453158</v>
      </c>
      <c r="S748">
        <f t="shared" si="71"/>
        <v>1.4676408574479713</v>
      </c>
      <c r="U748">
        <v>5.6085135781513022</v>
      </c>
    </row>
    <row r="749" spans="1:21" ht="13.9" x14ac:dyDescent="0.3">
      <c r="A749" s="2" t="s">
        <v>766</v>
      </c>
      <c r="B749" s="2">
        <v>18.79</v>
      </c>
      <c r="C749" s="2">
        <v>55.87</v>
      </c>
      <c r="D749" s="2">
        <v>28.77</v>
      </c>
      <c r="E749" s="2">
        <v>28.43</v>
      </c>
      <c r="F749" s="2">
        <v>21.53</v>
      </c>
      <c r="G749" s="2">
        <v>21.5</v>
      </c>
      <c r="H749" s="2">
        <f t="shared" si="66"/>
        <v>0.53344688280452546</v>
      </c>
      <c r="I749" s="2">
        <f t="shared" si="67"/>
        <v>0.39961638484105916</v>
      </c>
      <c r="J749" s="2">
        <v>0.54</v>
      </c>
      <c r="K749" s="2">
        <v>8.58</v>
      </c>
      <c r="L749" s="2">
        <v>17.600000000000001</v>
      </c>
      <c r="M749" s="2">
        <v>20.48</v>
      </c>
      <c r="N749" s="2">
        <v>0</v>
      </c>
      <c r="O749" s="2">
        <v>31.13</v>
      </c>
      <c r="P749" s="2">
        <f t="shared" si="68"/>
        <v>-0.94973062280999754</v>
      </c>
      <c r="Q749" s="2">
        <f t="shared" si="69"/>
        <v>0.46884763101838212</v>
      </c>
      <c r="R749" s="2">
        <f t="shared" si="70"/>
        <v>-1.4831775056145231</v>
      </c>
      <c r="S749">
        <f t="shared" si="71"/>
        <v>-1.7803658685133112</v>
      </c>
      <c r="U749">
        <v>4.7398481026993284</v>
      </c>
    </row>
    <row r="750" spans="1:21" ht="13.9" x14ac:dyDescent="0.3">
      <c r="A750" s="2" t="s">
        <v>767</v>
      </c>
      <c r="B750" s="2">
        <v>0</v>
      </c>
      <c r="C750" s="2">
        <v>0</v>
      </c>
      <c r="D750" s="2">
        <v>5.0999999999999996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>
        <f t="shared" si="67"/>
        <v>0.37390096630005903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 t="e">
        <f t="shared" si="69"/>
        <v>#DIV/0!</v>
      </c>
      <c r="R750" s="2" t="e">
        <f t="shared" si="70"/>
        <v>#DIV/0!</v>
      </c>
      <c r="S750" t="e">
        <f t="shared" si="71"/>
        <v>#DIV/0!</v>
      </c>
      <c r="U750" t="e">
        <v>#NUM!</v>
      </c>
    </row>
    <row r="751" spans="1:21" ht="13.9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</v>
      </c>
      <c r="F751" s="2">
        <v>0.13</v>
      </c>
      <c r="G751" s="2">
        <v>0.84</v>
      </c>
      <c r="H751" s="2" t="e">
        <f t="shared" si="66"/>
        <v>#NUM!</v>
      </c>
      <c r="I751" s="2">
        <f t="shared" si="67"/>
        <v>0.28320897901188474</v>
      </c>
      <c r="J751" s="2">
        <v>0.36</v>
      </c>
      <c r="K751" s="2">
        <v>0.21</v>
      </c>
      <c r="L751" s="2">
        <v>1.01</v>
      </c>
      <c r="M751" s="2">
        <v>0</v>
      </c>
      <c r="N751" s="2">
        <v>0</v>
      </c>
      <c r="O751" s="2">
        <v>0.41</v>
      </c>
      <c r="P751" s="2">
        <f t="shared" si="68"/>
        <v>1.9462287435590195</v>
      </c>
      <c r="Q751" s="2">
        <f t="shared" si="69"/>
        <v>0.23745971629479487</v>
      </c>
      <c r="R751" s="2" t="e">
        <f t="shared" si="70"/>
        <v>#NUM!</v>
      </c>
      <c r="S751" t="e">
        <f t="shared" si="71"/>
        <v>#NUM!</v>
      </c>
      <c r="U751">
        <v>0.65992455840237829</v>
      </c>
    </row>
    <row r="752" spans="1:21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0.1</v>
      </c>
      <c r="N752" s="2">
        <v>0</v>
      </c>
      <c r="O752" s="2">
        <v>0</v>
      </c>
      <c r="P752" s="2" t="e">
        <f t="shared" si="68"/>
        <v>#NUM!</v>
      </c>
      <c r="Q752" s="2">
        <f t="shared" si="69"/>
        <v>0.37390096630005903</v>
      </c>
      <c r="R752" s="2" t="e">
        <f t="shared" si="70"/>
        <v>#NUM!</v>
      </c>
      <c r="S752" t="e">
        <f t="shared" si="71"/>
        <v>#NUM!</v>
      </c>
      <c r="U752" t="e">
        <v>#NUM!</v>
      </c>
    </row>
    <row r="753" spans="1:21" ht="13.9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 t="e">
        <f t="shared" si="67"/>
        <v>#DIV/0!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ht="13.9" x14ac:dyDescent="0.3">
      <c r="A754" s="2" t="s">
        <v>771</v>
      </c>
      <c r="B754" s="2">
        <v>0</v>
      </c>
      <c r="C754" s="2">
        <v>14.39</v>
      </c>
      <c r="D754" s="2">
        <v>0</v>
      </c>
      <c r="E754" s="2">
        <v>4.24</v>
      </c>
      <c r="F754" s="2">
        <v>6.15</v>
      </c>
      <c r="G754" s="2">
        <v>7.27</v>
      </c>
      <c r="H754" s="2">
        <f t="shared" si="66"/>
        <v>-0.29541875090816799</v>
      </c>
      <c r="I754" s="2">
        <f t="shared" si="67"/>
        <v>0.83411634981377913</v>
      </c>
      <c r="J754" s="2">
        <v>0</v>
      </c>
      <c r="K754" s="2">
        <v>0</v>
      </c>
      <c r="L754" s="2">
        <v>0</v>
      </c>
      <c r="M754" s="2">
        <v>4.9400000000000004</v>
      </c>
      <c r="N754" s="2">
        <v>0</v>
      </c>
      <c r="O754" s="2">
        <v>2.98</v>
      </c>
      <c r="P754" s="2" t="e">
        <f t="shared" si="68"/>
        <v>#NUM!</v>
      </c>
      <c r="Q754" s="2">
        <f t="shared" si="69"/>
        <v>0.13988285211681975</v>
      </c>
      <c r="R754" s="2" t="e">
        <f t="shared" si="70"/>
        <v>#NUM!</v>
      </c>
      <c r="S754" t="e">
        <f t="shared" si="71"/>
        <v>#NUM!</v>
      </c>
      <c r="U754" t="e">
        <v>#NUM!</v>
      </c>
    </row>
    <row r="755" spans="1:21" ht="13.9" x14ac:dyDescent="0.3">
      <c r="A755" s="2" t="s">
        <v>772</v>
      </c>
      <c r="B755" s="2">
        <v>0</v>
      </c>
      <c r="C755" s="2">
        <v>0.24</v>
      </c>
      <c r="D755" s="2">
        <v>0</v>
      </c>
      <c r="E755" s="2">
        <v>6.12</v>
      </c>
      <c r="F755" s="2">
        <v>6.28</v>
      </c>
      <c r="G755" s="2">
        <v>5.69</v>
      </c>
      <c r="H755" s="2">
        <f t="shared" si="66"/>
        <v>-6.2360141919000851</v>
      </c>
      <c r="I755" s="2">
        <f t="shared" si="67"/>
        <v>6.6610883652163912E-6</v>
      </c>
      <c r="J755" s="2">
        <v>8.98</v>
      </c>
      <c r="K755" s="2">
        <v>8.58</v>
      </c>
      <c r="L755" s="2">
        <v>0</v>
      </c>
      <c r="M755" s="2">
        <v>7</v>
      </c>
      <c r="N755" s="2">
        <v>40.880000000000003</v>
      </c>
      <c r="O755" s="2">
        <v>4.47</v>
      </c>
      <c r="P755" s="2">
        <f t="shared" si="68"/>
        <v>-1.5758966922828126</v>
      </c>
      <c r="Q755" s="2">
        <f t="shared" si="69"/>
        <v>0.39205039145521242</v>
      </c>
      <c r="R755" s="2">
        <f t="shared" si="70"/>
        <v>4.6601174996172725</v>
      </c>
      <c r="S755">
        <f t="shared" si="71"/>
        <v>0.25270896501963286</v>
      </c>
      <c r="U755">
        <v>4.1342209397606338</v>
      </c>
    </row>
    <row r="756" spans="1:21" ht="13.9" x14ac:dyDescent="0.3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 t="e">
        <f t="shared" si="67"/>
        <v>#DIV/0!</v>
      </c>
      <c r="J756" s="2">
        <v>0</v>
      </c>
      <c r="K756" s="2">
        <v>3.98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>
        <f t="shared" si="69"/>
        <v>0.37390096630005903</v>
      </c>
      <c r="R756" s="2" t="e">
        <f t="shared" si="70"/>
        <v>#DIV/0!</v>
      </c>
      <c r="S756" t="e">
        <f t="shared" si="71"/>
        <v>#DIV/0!</v>
      </c>
      <c r="U756">
        <v>1.9927684307689242</v>
      </c>
    </row>
    <row r="757" spans="1:21" ht="13.9" x14ac:dyDescent="0.3">
      <c r="A757" s="2" t="s">
        <v>774</v>
      </c>
      <c r="B757" s="2">
        <v>0</v>
      </c>
      <c r="C757" s="2">
        <v>3.9</v>
      </c>
      <c r="D757" s="2">
        <v>0</v>
      </c>
      <c r="E757" s="2">
        <v>5.53</v>
      </c>
      <c r="F757" s="2">
        <v>12.17</v>
      </c>
      <c r="G757" s="2">
        <v>11.91</v>
      </c>
      <c r="H757" s="2">
        <f t="shared" si="66"/>
        <v>-2.9245384614279435</v>
      </c>
      <c r="I757" s="2">
        <f t="shared" si="67"/>
        <v>2.7621876978541876E-2</v>
      </c>
      <c r="J757" s="2">
        <v>0</v>
      </c>
      <c r="K757" s="2">
        <v>0</v>
      </c>
      <c r="L757" s="2">
        <v>0</v>
      </c>
      <c r="M757" s="2">
        <v>11.11</v>
      </c>
      <c r="N757" s="2">
        <v>0</v>
      </c>
      <c r="O757" s="2">
        <v>15.56</v>
      </c>
      <c r="P757" s="2" t="e">
        <f t="shared" si="68"/>
        <v>#NUM!</v>
      </c>
      <c r="Q757" s="2">
        <f t="shared" si="69"/>
        <v>0.12707072098279371</v>
      </c>
      <c r="R757" s="2" t="e">
        <f t="shared" si="70"/>
        <v>#NUM!</v>
      </c>
      <c r="S757" t="e">
        <f t="shared" si="71"/>
        <v>#NUM!</v>
      </c>
      <c r="U757" t="e">
        <v>#NUM!</v>
      </c>
    </row>
    <row r="758" spans="1:21" ht="13.9" x14ac:dyDescent="0.3">
      <c r="A758" s="2" t="s">
        <v>775</v>
      </c>
      <c r="B758" s="2">
        <v>9.89</v>
      </c>
      <c r="C758" s="2">
        <v>51.23</v>
      </c>
      <c r="D758" s="2">
        <v>19.48</v>
      </c>
      <c r="E758" s="2">
        <v>23.3</v>
      </c>
      <c r="F758" s="2">
        <v>18.850000000000001</v>
      </c>
      <c r="G758" s="2">
        <v>27.08</v>
      </c>
      <c r="H758" s="2">
        <f t="shared" si="66"/>
        <v>0.21938249059861475</v>
      </c>
      <c r="I758" s="2">
        <f t="shared" si="67"/>
        <v>0.78051677617057247</v>
      </c>
      <c r="J758" s="2">
        <v>31.08</v>
      </c>
      <c r="K758" s="2">
        <v>47.72</v>
      </c>
      <c r="L758" s="2">
        <v>0.5</v>
      </c>
      <c r="M758" s="2">
        <v>20.48</v>
      </c>
      <c r="N758" s="2">
        <v>0</v>
      </c>
      <c r="O758" s="2">
        <v>15.84</v>
      </c>
      <c r="P758" s="2">
        <f t="shared" si="68"/>
        <v>1.1265566633004256</v>
      </c>
      <c r="Q758" s="2">
        <f t="shared" si="69"/>
        <v>0.39798591110721776</v>
      </c>
      <c r="R758" s="2">
        <f t="shared" si="70"/>
        <v>0.90717417270181078</v>
      </c>
      <c r="S758">
        <f t="shared" si="71"/>
        <v>5.1351256895044974</v>
      </c>
      <c r="U758">
        <v>6.3092489608166167</v>
      </c>
    </row>
    <row r="759" spans="1:21" ht="13.9" x14ac:dyDescent="0.3">
      <c r="A759" s="2" t="s">
        <v>776</v>
      </c>
      <c r="B759" s="2">
        <v>28.68</v>
      </c>
      <c r="C759" s="2">
        <v>29.03</v>
      </c>
      <c r="D759" s="2">
        <v>0</v>
      </c>
      <c r="E759" s="2">
        <v>4.84</v>
      </c>
      <c r="F759" s="2">
        <v>8.69</v>
      </c>
      <c r="G759" s="2">
        <v>5.16</v>
      </c>
      <c r="H759" s="2">
        <f t="shared" si="66"/>
        <v>1.6265547619260632</v>
      </c>
      <c r="I759" s="2">
        <f t="shared" si="67"/>
        <v>0.25093959073553379</v>
      </c>
      <c r="J759" s="2">
        <v>8.98</v>
      </c>
      <c r="K759" s="2">
        <v>27.42</v>
      </c>
      <c r="L759" s="2">
        <v>53.29</v>
      </c>
      <c r="M759" s="2">
        <v>4.42</v>
      </c>
      <c r="N759" s="2">
        <v>0</v>
      </c>
      <c r="O759" s="2">
        <v>14.62</v>
      </c>
      <c r="P759" s="2">
        <f t="shared" si="68"/>
        <v>2.2359136619652742</v>
      </c>
      <c r="Q759" s="2">
        <f t="shared" si="69"/>
        <v>0.15745216759394998</v>
      </c>
      <c r="R759" s="2">
        <f t="shared" si="70"/>
        <v>0.609358900039211</v>
      </c>
      <c r="S759">
        <f t="shared" si="71"/>
        <v>1.3746316535433745</v>
      </c>
      <c r="U759">
        <v>6.4868752354984922</v>
      </c>
    </row>
    <row r="760" spans="1:21" ht="13.9" x14ac:dyDescent="0.3">
      <c r="A760" s="2" t="s">
        <v>777</v>
      </c>
      <c r="B760" s="2">
        <v>1.65</v>
      </c>
      <c r="C760" s="2">
        <v>5.12</v>
      </c>
      <c r="D760" s="2">
        <v>0</v>
      </c>
      <c r="E760" s="2">
        <v>15.3</v>
      </c>
      <c r="F760" s="2">
        <v>15.78</v>
      </c>
      <c r="G760" s="2">
        <v>24.24</v>
      </c>
      <c r="H760" s="2">
        <f t="shared" si="66"/>
        <v>-3.0305734175754977</v>
      </c>
      <c r="I760" s="2">
        <f t="shared" si="67"/>
        <v>7.78303436506527E-3</v>
      </c>
      <c r="J760" s="2">
        <v>10.6</v>
      </c>
      <c r="K760" s="2">
        <v>7.53</v>
      </c>
      <c r="L760" s="2">
        <v>0</v>
      </c>
      <c r="M760" s="2">
        <v>15.84</v>
      </c>
      <c r="N760" s="2">
        <v>0</v>
      </c>
      <c r="O760" s="2">
        <v>23.01</v>
      </c>
      <c r="P760" s="2">
        <f t="shared" si="68"/>
        <v>-1.0995356735509145</v>
      </c>
      <c r="Q760" s="2">
        <f t="shared" si="69"/>
        <v>0.40874887234669804</v>
      </c>
      <c r="R760" s="2">
        <f t="shared" si="70"/>
        <v>1.9310377440245832</v>
      </c>
      <c r="S760">
        <f t="shared" si="71"/>
        <v>0.36281439914118924</v>
      </c>
      <c r="U760">
        <v>4.1803070199694332</v>
      </c>
    </row>
    <row r="761" spans="1:21" ht="13.9" x14ac:dyDescent="0.3">
      <c r="A761" s="2" t="s">
        <v>778</v>
      </c>
      <c r="B761" s="2">
        <v>8.57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66"/>
        <v>#DIV/0!</v>
      </c>
      <c r="I761" s="2">
        <f t="shared" si="67"/>
        <v>0.37390096630005903</v>
      </c>
      <c r="J761" s="2">
        <v>0</v>
      </c>
      <c r="K761" s="2">
        <v>8.3699999999999992</v>
      </c>
      <c r="L761" s="2">
        <v>28.66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0.22048371573700468</v>
      </c>
      <c r="R761" s="2" t="e">
        <f t="shared" si="70"/>
        <v>#DIV/0!</v>
      </c>
      <c r="S761" t="e">
        <f t="shared" si="71"/>
        <v>#DIV/0!</v>
      </c>
      <c r="U761">
        <v>5.2106226443969055</v>
      </c>
    </row>
    <row r="762" spans="1:21" ht="13.9" x14ac:dyDescent="0.3">
      <c r="A762" s="2" t="s">
        <v>779</v>
      </c>
      <c r="B762" s="2">
        <v>3.3</v>
      </c>
      <c r="C762" s="2">
        <v>5.37</v>
      </c>
      <c r="D762" s="2">
        <v>20.21</v>
      </c>
      <c r="E762" s="2">
        <v>2.57</v>
      </c>
      <c r="F762" s="2">
        <v>1.07</v>
      </c>
      <c r="G762" s="2">
        <v>3.06</v>
      </c>
      <c r="H762" s="2">
        <f t="shared" si="66"/>
        <v>2.1078377415420366</v>
      </c>
      <c r="I762" s="2">
        <f t="shared" si="67"/>
        <v>0.23979973578290725</v>
      </c>
      <c r="J762" s="2">
        <v>6.47</v>
      </c>
      <c r="K762" s="2">
        <v>2.5099999999999998</v>
      </c>
      <c r="L762" s="2">
        <v>8.5500000000000007</v>
      </c>
      <c r="M762" s="2">
        <v>0.21</v>
      </c>
      <c r="N762" s="2">
        <v>0</v>
      </c>
      <c r="O762" s="2">
        <v>1.22</v>
      </c>
      <c r="P762" s="2">
        <f t="shared" si="68"/>
        <v>3.6157389439811491</v>
      </c>
      <c r="Q762" s="2">
        <f t="shared" si="69"/>
        <v>4.1423052852190043E-2</v>
      </c>
      <c r="R762" s="2">
        <f t="shared" si="70"/>
        <v>1.5079012024391125</v>
      </c>
      <c r="S762">
        <f t="shared" si="71"/>
        <v>1.7153782156571373</v>
      </c>
      <c r="U762">
        <v>4.1317540909848134</v>
      </c>
    </row>
    <row r="763" spans="1:21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 t="e">
        <f t="shared" si="66"/>
        <v>#NUM!</v>
      </c>
      <c r="I763" s="2">
        <f t="shared" si="67"/>
        <v>0.37390096630005903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 t="e">
        <f t="shared" si="68"/>
        <v>#DIV/0!</v>
      </c>
      <c r="Q763" s="2" t="e">
        <f t="shared" si="69"/>
        <v>#DIV/0!</v>
      </c>
      <c r="R763" s="2" t="e">
        <f t="shared" si="70"/>
        <v>#DIV/0!</v>
      </c>
      <c r="S763" t="e">
        <f t="shared" si="71"/>
        <v>#DIV/0!</v>
      </c>
      <c r="U763" t="e">
        <v>#NUM!</v>
      </c>
    </row>
    <row r="764" spans="1:21" ht="13.9" x14ac:dyDescent="0.3">
      <c r="A764" s="2" t="s">
        <v>781</v>
      </c>
      <c r="B764" s="2">
        <v>75.48</v>
      </c>
      <c r="C764" s="2">
        <v>57.82</v>
      </c>
      <c r="D764" s="2">
        <v>19.48</v>
      </c>
      <c r="E764" s="2">
        <v>39.49</v>
      </c>
      <c r="F764" s="2">
        <v>69.53</v>
      </c>
      <c r="G764" s="2">
        <v>49.64</v>
      </c>
      <c r="H764" s="2">
        <f t="shared" si="66"/>
        <v>-5.4482757514985491E-2</v>
      </c>
      <c r="I764" s="2">
        <f t="shared" si="67"/>
        <v>0.92172094810878691</v>
      </c>
      <c r="J764" s="2">
        <v>11.68</v>
      </c>
      <c r="K764" s="2">
        <v>31.18</v>
      </c>
      <c r="L764" s="2">
        <v>45.25</v>
      </c>
      <c r="M764" s="2">
        <v>52.06</v>
      </c>
      <c r="N764" s="2">
        <v>1185.42</v>
      </c>
      <c r="O764" s="2">
        <v>88.65</v>
      </c>
      <c r="P764" s="2">
        <f t="shared" si="68"/>
        <v>-3.9117726325986748</v>
      </c>
      <c r="Q764" s="2">
        <f t="shared" si="69"/>
        <v>0.32944549668196982</v>
      </c>
      <c r="R764" s="2">
        <f t="shared" si="70"/>
        <v>-3.8572898750836893</v>
      </c>
      <c r="S764">
        <f t="shared" si="71"/>
        <v>71.798359903548217</v>
      </c>
      <c r="U764">
        <v>6.4612338612712827</v>
      </c>
    </row>
    <row r="765" spans="1:21" ht="13.9" x14ac:dyDescent="0.3">
      <c r="A765" s="2" t="s">
        <v>782</v>
      </c>
      <c r="B765" s="2">
        <v>14.83</v>
      </c>
      <c r="C765" s="2">
        <v>2.44</v>
      </c>
      <c r="D765" s="2">
        <v>3.28</v>
      </c>
      <c r="E765" s="2">
        <v>0.2</v>
      </c>
      <c r="F765" s="2">
        <v>0.13</v>
      </c>
      <c r="G765" s="2">
        <v>0.42</v>
      </c>
      <c r="H765" s="2">
        <f t="shared" ref="H765:H828" si="72">LOG(SUM(B765:D765)/SUM(E765:G765),2)</f>
        <v>4.7761039880731646</v>
      </c>
      <c r="I765" s="2">
        <f t="shared" ref="I765:I828" si="73">_xlfn.T.TEST(B765:D765,E765:G765,2,2)</f>
        <v>0.17414553631537935</v>
      </c>
      <c r="J765" s="2">
        <v>2.87</v>
      </c>
      <c r="K765" s="2">
        <v>13.81</v>
      </c>
      <c r="L765" s="2">
        <v>6.03</v>
      </c>
      <c r="M765" s="2">
        <v>0.41</v>
      </c>
      <c r="N765" s="2">
        <v>0</v>
      </c>
      <c r="O765" s="2">
        <v>0.54</v>
      </c>
      <c r="P765" s="2">
        <f t="shared" ref="P765:P828" si="74">LOG(SUM(J765:L765)/SUM(M765:O765),2)</f>
        <v>4.5792563823759407</v>
      </c>
      <c r="Q765" s="2">
        <f t="shared" ref="Q765:Q828" si="75">_xlfn.T.TEST(J765:L765,M765:O765,2,2)</f>
        <v>8.9752503308364207E-2</v>
      </c>
      <c r="R765" s="2">
        <f t="shared" ref="R765:R828" si="76">P765-H765</f>
        <v>-0.19684760569722393</v>
      </c>
      <c r="S765">
        <f t="shared" si="71"/>
        <v>0.95878489953552315</v>
      </c>
      <c r="U765">
        <v>4.5052558009321633</v>
      </c>
    </row>
    <row r="766" spans="1:21" ht="13.9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0.63</v>
      </c>
      <c r="H766" s="2" t="e">
        <f t="shared" si="72"/>
        <v>#NUM!</v>
      </c>
      <c r="I766" s="2">
        <f t="shared" si="73"/>
        <v>0.37390096630005903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f t="shared" si="74"/>
        <v>#DIV/0!</v>
      </c>
      <c r="Q766" s="2" t="e">
        <f t="shared" si="75"/>
        <v>#DIV/0!</v>
      </c>
      <c r="R766" s="2" t="e">
        <f t="shared" si="76"/>
        <v>#DIV/0!</v>
      </c>
      <c r="S766" t="e">
        <f t="shared" si="71"/>
        <v>#DIV/0!</v>
      </c>
      <c r="U766" t="e">
        <v>#NUM!</v>
      </c>
    </row>
    <row r="767" spans="1:21" ht="13.9" x14ac:dyDescent="0.3">
      <c r="A767" s="2" t="s">
        <v>784</v>
      </c>
      <c r="B767" s="2">
        <v>0</v>
      </c>
      <c r="C767" s="2">
        <v>0</v>
      </c>
      <c r="D767" s="2">
        <v>0</v>
      </c>
      <c r="E767" s="2">
        <v>3.55</v>
      </c>
      <c r="F767" s="2">
        <v>5.21</v>
      </c>
      <c r="G767" s="2">
        <v>5.37</v>
      </c>
      <c r="H767" s="2" t="e">
        <f t="shared" si="72"/>
        <v>#NUM!</v>
      </c>
      <c r="I767" s="2">
        <f t="shared" si="73"/>
        <v>1.2656996858904359E-3</v>
      </c>
      <c r="J767" s="2">
        <v>0</v>
      </c>
      <c r="K767" s="2">
        <v>0</v>
      </c>
      <c r="L767" s="2">
        <v>0</v>
      </c>
      <c r="M767" s="2">
        <v>3.4</v>
      </c>
      <c r="N767" s="2">
        <v>0</v>
      </c>
      <c r="O767" s="2">
        <v>1.22</v>
      </c>
      <c r="P767" s="2" t="e">
        <f t="shared" si="74"/>
        <v>#NUM!</v>
      </c>
      <c r="Q767" s="2">
        <f t="shared" si="75"/>
        <v>0.19640033947247904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ht="13.9" x14ac:dyDescent="0.3">
      <c r="A768" s="2" t="s">
        <v>785</v>
      </c>
      <c r="B768" s="2">
        <v>0</v>
      </c>
      <c r="C768" s="2">
        <v>3.9</v>
      </c>
      <c r="D768" s="2">
        <v>0</v>
      </c>
      <c r="E768" s="2">
        <v>0.59</v>
      </c>
      <c r="F768" s="2">
        <v>2.0099999999999998</v>
      </c>
      <c r="G768" s="2">
        <v>0.84</v>
      </c>
      <c r="H768" s="2">
        <f t="shared" si="72"/>
        <v>0.18106555904751304</v>
      </c>
      <c r="I768" s="2">
        <f t="shared" si="73"/>
        <v>0.91637959819744885</v>
      </c>
      <c r="J768" s="2">
        <v>0</v>
      </c>
      <c r="K768" s="2">
        <v>0</v>
      </c>
      <c r="L768" s="2">
        <v>0</v>
      </c>
      <c r="M768" s="2">
        <v>0.41</v>
      </c>
      <c r="N768" s="2">
        <v>0</v>
      </c>
      <c r="O768" s="2">
        <v>0</v>
      </c>
      <c r="P768" s="2" t="e">
        <f t="shared" si="74"/>
        <v>#NUM!</v>
      </c>
      <c r="Q768" s="2">
        <f t="shared" si="75"/>
        <v>0.37390096630005903</v>
      </c>
      <c r="R768" s="2" t="e">
        <f t="shared" si="76"/>
        <v>#NUM!</v>
      </c>
      <c r="S768" t="e">
        <f t="shared" si="71"/>
        <v>#NUM!</v>
      </c>
      <c r="U768" t="e">
        <v>#NUM!</v>
      </c>
    </row>
    <row r="769" spans="1:21" ht="13.9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72"/>
        <v>#DIV/0!</v>
      </c>
      <c r="I769" s="2" t="e">
        <f t="shared" si="73"/>
        <v>#DIV/0!</v>
      </c>
      <c r="J769" s="2">
        <v>0</v>
      </c>
      <c r="K769" s="2">
        <v>0</v>
      </c>
      <c r="L769" s="2">
        <v>0</v>
      </c>
      <c r="M769" s="2">
        <v>0.1</v>
      </c>
      <c r="N769" s="2">
        <v>0</v>
      </c>
      <c r="O769" s="2">
        <v>0</v>
      </c>
      <c r="P769" s="2" t="e">
        <f t="shared" si="74"/>
        <v>#NUM!</v>
      </c>
      <c r="Q769" s="2">
        <f t="shared" si="75"/>
        <v>0.37390096630005903</v>
      </c>
      <c r="R769" s="2" t="e">
        <f t="shared" si="76"/>
        <v>#NUM!</v>
      </c>
      <c r="S769" t="e">
        <f t="shared" si="71"/>
        <v>#NUM!</v>
      </c>
      <c r="U769" t="e">
        <v>#NUM!</v>
      </c>
    </row>
    <row r="770" spans="1:21" ht="13.9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0.2</v>
      </c>
      <c r="F770" s="2">
        <v>0</v>
      </c>
      <c r="G770" s="2">
        <v>0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f t="shared" si="74"/>
        <v>#DIV/0!</v>
      </c>
      <c r="Q770" s="2" t="e">
        <f t="shared" si="75"/>
        <v>#DIV/0!</v>
      </c>
      <c r="R770" s="2" t="e">
        <f t="shared" si="76"/>
        <v>#DIV/0!</v>
      </c>
      <c r="S770" t="e">
        <f t="shared" si="71"/>
        <v>#DIV/0!</v>
      </c>
      <c r="U770" t="e">
        <v>#NUM!</v>
      </c>
    </row>
    <row r="771" spans="1:21" ht="13.9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0.3</v>
      </c>
      <c r="F771" s="2">
        <v>0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1.67</v>
      </c>
      <c r="L771" s="2">
        <v>0</v>
      </c>
      <c r="M771" s="2">
        <v>0</v>
      </c>
      <c r="N771" s="2">
        <v>0</v>
      </c>
      <c r="O771" s="2">
        <v>0</v>
      </c>
      <c r="P771" s="2" t="e">
        <f t="shared" si="74"/>
        <v>#DIV/0!</v>
      </c>
      <c r="Q771" s="2">
        <f t="shared" si="75"/>
        <v>0.37390096630005903</v>
      </c>
      <c r="R771" s="2" t="e">
        <f t="shared" si="76"/>
        <v>#DIV/0!</v>
      </c>
      <c r="S771" t="e">
        <f t="shared" si="71"/>
        <v>#DIV/0!</v>
      </c>
      <c r="U771">
        <v>0.73984810269932755</v>
      </c>
    </row>
    <row r="772" spans="1:21" ht="13.9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72"/>
        <v>#DIV/0!</v>
      </c>
      <c r="I772" s="2" t="e">
        <f t="shared" si="73"/>
        <v>#DIV/0!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ht="13.9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0.39</v>
      </c>
      <c r="F773" s="2">
        <v>0.13</v>
      </c>
      <c r="G773" s="2">
        <v>0.53</v>
      </c>
      <c r="H773" s="2" t="e">
        <f t="shared" si="72"/>
        <v>#NUM!</v>
      </c>
      <c r="I773" s="2">
        <f t="shared" si="73"/>
        <v>4.0473031428763108E-2</v>
      </c>
      <c r="J773" s="2">
        <v>0</v>
      </c>
      <c r="K773" s="2">
        <v>0</v>
      </c>
      <c r="L773" s="2">
        <v>0</v>
      </c>
      <c r="M773" s="2">
        <v>0.51</v>
      </c>
      <c r="N773" s="2">
        <v>0</v>
      </c>
      <c r="O773" s="2">
        <v>1.49</v>
      </c>
      <c r="P773" s="2" t="e">
        <f t="shared" si="74"/>
        <v>#NUM!</v>
      </c>
      <c r="Q773" s="2">
        <f t="shared" si="75"/>
        <v>0.20198250776465046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0.31</v>
      </c>
      <c r="N774" s="2">
        <v>0</v>
      </c>
      <c r="O774" s="2">
        <v>0</v>
      </c>
      <c r="P774" s="2" t="e">
        <f t="shared" si="74"/>
        <v>#NUM!</v>
      </c>
      <c r="Q774" s="2">
        <f t="shared" si="75"/>
        <v>0.37390096630005903</v>
      </c>
      <c r="R774" s="2" t="e">
        <f t="shared" si="76"/>
        <v>#NUM!</v>
      </c>
      <c r="S774" t="e">
        <f t="shared" si="77"/>
        <v>#NUM!</v>
      </c>
      <c r="U774" t="e">
        <v>#NUM!</v>
      </c>
    </row>
    <row r="775" spans="1:21" ht="13.9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0.3</v>
      </c>
      <c r="F775" s="2">
        <v>0.8</v>
      </c>
      <c r="G775" s="2">
        <v>1.48</v>
      </c>
      <c r="H775" s="2" t="e">
        <f t="shared" si="72"/>
        <v>#NUM!</v>
      </c>
      <c r="I775" s="2">
        <f t="shared" si="73"/>
        <v>6.5709532473400098E-2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0.95</v>
      </c>
      <c r="P775" s="2" t="e">
        <f t="shared" si="74"/>
        <v>#NUM!</v>
      </c>
      <c r="Q775" s="2">
        <f t="shared" si="75"/>
        <v>0.37390096630005903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ht="13.9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 t="e">
        <f t="shared" si="72"/>
        <v>#NUM!</v>
      </c>
      <c r="I776" s="2">
        <f t="shared" si="73"/>
        <v>0.11635308435469104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 t="e">
        <f t="shared" si="74"/>
        <v>#DIV/0!</v>
      </c>
      <c r="Q776" s="2" t="e">
        <f t="shared" si="75"/>
        <v>#DIV/0!</v>
      </c>
      <c r="R776" s="2" t="e">
        <f t="shared" si="76"/>
        <v>#DIV/0!</v>
      </c>
      <c r="S776" t="e">
        <f t="shared" si="77"/>
        <v>#DIV/0!</v>
      </c>
      <c r="U776" t="e">
        <v>#NUM!</v>
      </c>
    </row>
    <row r="777" spans="1:21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0.27</v>
      </c>
      <c r="P777" s="2" t="e">
        <f t="shared" si="74"/>
        <v>#NUM!</v>
      </c>
      <c r="Q777" s="2">
        <f t="shared" si="75"/>
        <v>0.37390096630005903</v>
      </c>
      <c r="R777" s="2" t="e">
        <f t="shared" si="76"/>
        <v>#NUM!</v>
      </c>
      <c r="S777" t="e">
        <f t="shared" si="77"/>
        <v>#NUM!</v>
      </c>
      <c r="U777" t="e">
        <v>#NUM!</v>
      </c>
    </row>
    <row r="778" spans="1:21" ht="13.9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0.74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 t="e">
        <f t="shared" si="74"/>
        <v>#DIV/0!</v>
      </c>
      <c r="Q778" s="2" t="e">
        <f t="shared" si="75"/>
        <v>#DIV/0!</v>
      </c>
      <c r="R778" s="2" t="e">
        <f t="shared" si="76"/>
        <v>#DIV/0!</v>
      </c>
      <c r="S778" t="e">
        <f t="shared" si="77"/>
        <v>#DIV/0!</v>
      </c>
      <c r="U778" t="e">
        <v>#NUM!</v>
      </c>
    </row>
    <row r="779" spans="1:21" ht="13.9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 t="e">
        <f t="shared" si="72"/>
        <v>#NUM!</v>
      </c>
      <c r="I779" s="2">
        <f t="shared" si="73"/>
        <v>0.2026245170526938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 t="e">
        <f t="shared" si="74"/>
        <v>#DIV/0!</v>
      </c>
      <c r="Q779" s="2" t="e">
        <f t="shared" si="75"/>
        <v>#DIV/0!</v>
      </c>
      <c r="R779" s="2" t="e">
        <f t="shared" si="76"/>
        <v>#DIV/0!</v>
      </c>
      <c r="S779" t="e">
        <f t="shared" si="77"/>
        <v>#DIV/0!</v>
      </c>
      <c r="U779" t="e">
        <v>#NUM!</v>
      </c>
    </row>
    <row r="780" spans="1:21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 t="e">
        <f t="shared" si="72"/>
        <v>#NUM!</v>
      </c>
      <c r="I780" s="2">
        <f t="shared" si="73"/>
        <v>0.37390096630005903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 t="e">
        <f t="shared" si="74"/>
        <v>#DIV/0!</v>
      </c>
      <c r="Q780" s="2" t="e">
        <f t="shared" si="75"/>
        <v>#DIV/0!</v>
      </c>
      <c r="R780" s="2" t="e">
        <f t="shared" si="76"/>
        <v>#DIV/0!</v>
      </c>
      <c r="S780" t="e">
        <f t="shared" si="77"/>
        <v>#DIV/0!</v>
      </c>
      <c r="U780" t="e">
        <v>#NUM!</v>
      </c>
    </row>
    <row r="781" spans="1:21" ht="13.9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0.49</v>
      </c>
      <c r="F781" s="2">
        <v>0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0.81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0.62</v>
      </c>
      <c r="N782" s="2">
        <v>0</v>
      </c>
      <c r="O782" s="2">
        <v>0</v>
      </c>
      <c r="P782" s="2" t="e">
        <f t="shared" si="74"/>
        <v>#NUM!</v>
      </c>
      <c r="Q782" s="2">
        <f t="shared" si="75"/>
        <v>0.37390096630005903</v>
      </c>
      <c r="R782" s="2" t="e">
        <f t="shared" si="76"/>
        <v>#NUM!</v>
      </c>
      <c r="S782" t="e">
        <f t="shared" si="77"/>
        <v>#NUM!</v>
      </c>
      <c r="U782" t="e">
        <v>#NUM!</v>
      </c>
    </row>
    <row r="783" spans="1:21" ht="13.9" x14ac:dyDescent="0.3">
      <c r="A783" s="2" t="s">
        <v>800</v>
      </c>
      <c r="B783" s="2">
        <v>7.58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f t="shared" si="72"/>
        <v>4.2806518193088428</v>
      </c>
      <c r="I783" s="2">
        <f t="shared" si="73"/>
        <v>0.39712843020898253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 t="e">
        <f t="shared" si="74"/>
        <v>#DIV/0!</v>
      </c>
      <c r="Q783" s="2" t="e">
        <f t="shared" si="75"/>
        <v>#DIV/0!</v>
      </c>
      <c r="R783" s="2" t="e">
        <f t="shared" si="76"/>
        <v>#DIV/0!</v>
      </c>
      <c r="S783" t="e">
        <f t="shared" si="77"/>
        <v>#DIV/0!</v>
      </c>
      <c r="U783" t="e">
        <v>#NUM!</v>
      </c>
    </row>
    <row r="784" spans="1:21" ht="13.9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72"/>
        <v>#DIV/0!</v>
      </c>
      <c r="I784" s="2" t="e">
        <f t="shared" si="73"/>
        <v>#DIV/0!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ht="13.9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 t="e">
        <f t="shared" si="74"/>
        <v>#DIV/0!</v>
      </c>
      <c r="Q785" s="2" t="e">
        <f t="shared" si="75"/>
        <v>#DIV/0!</v>
      </c>
      <c r="R785" s="2" t="e">
        <f t="shared" si="76"/>
        <v>#DIV/0!</v>
      </c>
      <c r="S785" t="e">
        <f t="shared" si="77"/>
        <v>#DIV/0!</v>
      </c>
      <c r="U785" t="e">
        <v>#NUM!</v>
      </c>
    </row>
    <row r="786" spans="1:21" ht="13.9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0.4</v>
      </c>
      <c r="G786" s="2">
        <v>0</v>
      </c>
      <c r="H786" s="2" t="e">
        <f t="shared" si="72"/>
        <v>#NUM!</v>
      </c>
      <c r="I786" s="2">
        <f t="shared" si="73"/>
        <v>0.37390096630005903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0.95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 t="e">
        <f t="shared" si="72"/>
        <v>#NUM!</v>
      </c>
      <c r="I787" s="2">
        <f t="shared" si="73"/>
        <v>0.37390096630005903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f t="shared" si="74"/>
        <v>#DIV/0!</v>
      </c>
      <c r="Q787" s="2" t="e">
        <f t="shared" si="75"/>
        <v>#DIV/0!</v>
      </c>
      <c r="R787" s="2" t="e">
        <f t="shared" si="76"/>
        <v>#DIV/0!</v>
      </c>
      <c r="S787" t="e">
        <f t="shared" si="77"/>
        <v>#DIV/0!</v>
      </c>
      <c r="U787" t="e">
        <v>#NUM!</v>
      </c>
    </row>
    <row r="788" spans="1:21" ht="13.9" x14ac:dyDescent="0.3">
      <c r="A788" s="2" t="s">
        <v>805</v>
      </c>
      <c r="B788" s="2">
        <v>0</v>
      </c>
      <c r="C788" s="2">
        <v>0</v>
      </c>
      <c r="D788" s="2">
        <v>0</v>
      </c>
      <c r="E788" s="2">
        <v>4.34</v>
      </c>
      <c r="F788" s="2">
        <v>0.94</v>
      </c>
      <c r="G788" s="2">
        <v>1.48</v>
      </c>
      <c r="H788" s="2" t="e">
        <f t="shared" si="72"/>
        <v>#NUM!</v>
      </c>
      <c r="I788" s="2">
        <f t="shared" si="73"/>
        <v>9.9530347600436719E-2</v>
      </c>
      <c r="J788" s="2">
        <v>0</v>
      </c>
      <c r="K788" s="2">
        <v>7.53</v>
      </c>
      <c r="L788" s="2">
        <v>0.5</v>
      </c>
      <c r="M788" s="2">
        <v>1.1299999999999999</v>
      </c>
      <c r="N788" s="2">
        <v>0</v>
      </c>
      <c r="O788" s="2">
        <v>2.71</v>
      </c>
      <c r="P788" s="2">
        <f t="shared" si="74"/>
        <v>1.0642936767961586</v>
      </c>
      <c r="Q788" s="2">
        <f t="shared" si="75"/>
        <v>0.61366639379253218</v>
      </c>
      <c r="R788" s="2" t="e">
        <f t="shared" si="76"/>
        <v>#NUM!</v>
      </c>
      <c r="S788" t="e">
        <f t="shared" si="77"/>
        <v>#NUM!</v>
      </c>
      <c r="U788">
        <v>3.0053999877425897</v>
      </c>
    </row>
    <row r="789" spans="1:21" ht="13.9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0.69</v>
      </c>
      <c r="F789" s="2">
        <v>0.94</v>
      </c>
      <c r="G789" s="2">
        <v>0.32</v>
      </c>
      <c r="H789" s="2" t="e">
        <f t="shared" si="72"/>
        <v>#NUM!</v>
      </c>
      <c r="I789" s="2">
        <f t="shared" si="73"/>
        <v>2.2571548002477394E-2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 t="e">
        <f t="shared" si="74"/>
        <v>#DIV/0!</v>
      </c>
      <c r="Q789" s="2" t="e">
        <f t="shared" si="75"/>
        <v>#DIV/0!</v>
      </c>
      <c r="R789" s="2" t="e">
        <f t="shared" si="76"/>
        <v>#DIV/0!</v>
      </c>
      <c r="S789" t="e">
        <f t="shared" si="77"/>
        <v>#DIV/0!</v>
      </c>
      <c r="U789" t="e">
        <v>#NUM!</v>
      </c>
    </row>
    <row r="790" spans="1:21" ht="13.9" x14ac:dyDescent="0.3">
      <c r="A790" s="2" t="s">
        <v>807</v>
      </c>
      <c r="B790" s="2">
        <v>0</v>
      </c>
      <c r="C790" s="2">
        <v>2.68</v>
      </c>
      <c r="D790" s="2">
        <v>0</v>
      </c>
      <c r="E790" s="2">
        <v>0</v>
      </c>
      <c r="F790" s="2">
        <v>0.13</v>
      </c>
      <c r="G790" s="2">
        <v>0</v>
      </c>
      <c r="H790" s="2">
        <f t="shared" si="72"/>
        <v>4.3656494723166812</v>
      </c>
      <c r="I790" s="2">
        <f t="shared" si="73"/>
        <v>0.39573812765447008</v>
      </c>
      <c r="J790" s="2">
        <v>0</v>
      </c>
      <c r="K790" s="2">
        <v>0</v>
      </c>
      <c r="L790" s="2">
        <v>0</v>
      </c>
      <c r="M790" s="2">
        <v>0.1</v>
      </c>
      <c r="N790" s="2">
        <v>0</v>
      </c>
      <c r="O790" s="2">
        <v>0</v>
      </c>
      <c r="P790" s="2" t="e">
        <f t="shared" si="74"/>
        <v>#NUM!</v>
      </c>
      <c r="Q790" s="2">
        <f t="shared" si="75"/>
        <v>0.37390096630005903</v>
      </c>
      <c r="R790" s="2" t="e">
        <f t="shared" si="76"/>
        <v>#NUM!</v>
      </c>
      <c r="S790" t="e">
        <f t="shared" si="77"/>
        <v>#NUM!</v>
      </c>
      <c r="U790" t="e">
        <v>#NUM!</v>
      </c>
    </row>
    <row r="791" spans="1:21" ht="13.9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 t="e">
        <f t="shared" si="72"/>
        <v>#NUM!</v>
      </c>
      <c r="I791" s="2">
        <f t="shared" si="73"/>
        <v>0.11635308435469104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0.14000000000000001</v>
      </c>
      <c r="P791" s="2" t="e">
        <f t="shared" si="74"/>
        <v>#NUM!</v>
      </c>
      <c r="Q791" s="2">
        <f t="shared" si="75"/>
        <v>0.37390096630005903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ht="13.9" x14ac:dyDescent="0.3">
      <c r="A792" s="2" t="s">
        <v>809</v>
      </c>
      <c r="B792" s="2">
        <v>0</v>
      </c>
      <c r="C792" s="2">
        <v>6.1</v>
      </c>
      <c r="D792" s="2">
        <v>0</v>
      </c>
      <c r="E792" s="2">
        <v>0</v>
      </c>
      <c r="F792" s="2">
        <v>0</v>
      </c>
      <c r="G792" s="2">
        <v>0.11</v>
      </c>
      <c r="H792" s="2">
        <f t="shared" si="72"/>
        <v>5.793233813812952</v>
      </c>
      <c r="I792" s="2">
        <f t="shared" si="73"/>
        <v>0.3817826367416971</v>
      </c>
      <c r="J792" s="2">
        <v>0</v>
      </c>
      <c r="K792" s="2">
        <v>0</v>
      </c>
      <c r="L792" s="2">
        <v>0</v>
      </c>
      <c r="M792" s="2">
        <v>0.62</v>
      </c>
      <c r="N792" s="2">
        <v>0</v>
      </c>
      <c r="O792" s="2">
        <v>0.54</v>
      </c>
      <c r="P792" s="2" t="e">
        <f t="shared" si="74"/>
        <v>#NUM!</v>
      </c>
      <c r="Q792" s="2">
        <f t="shared" si="75"/>
        <v>0.11800491355674664</v>
      </c>
      <c r="R792" s="2" t="e">
        <f t="shared" si="76"/>
        <v>#NUM!</v>
      </c>
      <c r="S792" t="e">
        <f t="shared" si="77"/>
        <v>#NUM!</v>
      </c>
      <c r="U792" t="e">
        <v>#NUM!</v>
      </c>
    </row>
    <row r="793" spans="1:21" ht="13.9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 t="e">
        <f t="shared" si="72"/>
        <v>#NUM!</v>
      </c>
      <c r="I793" s="2">
        <f t="shared" si="73"/>
        <v>0.11653025104531886</v>
      </c>
      <c r="J793" s="2">
        <v>0</v>
      </c>
      <c r="K793" s="2">
        <v>0</v>
      </c>
      <c r="L793" s="2">
        <v>0</v>
      </c>
      <c r="M793" s="2">
        <v>0.31</v>
      </c>
      <c r="N793" s="2">
        <v>0</v>
      </c>
      <c r="O793" s="2">
        <v>1.89</v>
      </c>
      <c r="P793" s="2" t="e">
        <f t="shared" si="74"/>
        <v>#NUM!</v>
      </c>
      <c r="Q793" s="2">
        <f t="shared" si="75"/>
        <v>0.27842236753211863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ht="13.9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0.69</v>
      </c>
      <c r="F794" s="2">
        <v>1.07</v>
      </c>
      <c r="G794" s="2">
        <v>0</v>
      </c>
      <c r="H794" s="2" t="e">
        <f t="shared" si="72"/>
        <v>#NUM!</v>
      </c>
      <c r="I794" s="2">
        <f t="shared" si="73"/>
        <v>0.13431832993431098</v>
      </c>
      <c r="J794" s="2">
        <v>0</v>
      </c>
      <c r="K794" s="2">
        <v>0</v>
      </c>
      <c r="L794" s="2">
        <v>0</v>
      </c>
      <c r="M794" s="2">
        <v>1.44</v>
      </c>
      <c r="N794" s="2">
        <v>0</v>
      </c>
      <c r="O794" s="2">
        <v>0</v>
      </c>
      <c r="P794" s="2" t="e">
        <f t="shared" si="74"/>
        <v>#NUM!</v>
      </c>
      <c r="Q794" s="2">
        <f t="shared" si="75"/>
        <v>0.37390096630005903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0.14000000000000001</v>
      </c>
      <c r="P795" s="2" t="e">
        <f t="shared" si="74"/>
        <v>#NUM!</v>
      </c>
      <c r="Q795" s="2">
        <f t="shared" si="75"/>
        <v>0.37390096630005903</v>
      </c>
      <c r="R795" s="2" t="e">
        <f t="shared" si="76"/>
        <v>#NUM!</v>
      </c>
      <c r="S795" t="e">
        <f t="shared" si="77"/>
        <v>#NUM!</v>
      </c>
      <c r="U795" t="e">
        <v>#NUM!</v>
      </c>
    </row>
    <row r="796" spans="1:21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 t="e">
        <f t="shared" si="72"/>
        <v>#NUM!</v>
      </c>
      <c r="I796" s="2">
        <f t="shared" si="73"/>
        <v>0.37390096630005903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 t="e">
        <f t="shared" si="74"/>
        <v>#DIV/0!</v>
      </c>
      <c r="Q796" s="2" t="e">
        <f t="shared" si="75"/>
        <v>#DIV/0!</v>
      </c>
      <c r="R796" s="2" t="e">
        <f t="shared" si="76"/>
        <v>#DIV/0!</v>
      </c>
      <c r="S796" t="e">
        <f t="shared" si="77"/>
        <v>#DIV/0!</v>
      </c>
      <c r="U796" t="e">
        <v>#NUM!</v>
      </c>
    </row>
    <row r="797" spans="1:21" ht="13.9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 t="e">
        <f t="shared" si="72"/>
        <v>#NUM!</v>
      </c>
      <c r="I797" s="2">
        <f t="shared" si="73"/>
        <v>0.12486409699865564</v>
      </c>
      <c r="J797" s="2">
        <v>0</v>
      </c>
      <c r="K797" s="2">
        <v>0</v>
      </c>
      <c r="L797" s="2">
        <v>0</v>
      </c>
      <c r="M797" s="2">
        <v>0.72</v>
      </c>
      <c r="N797" s="2">
        <v>0</v>
      </c>
      <c r="O797" s="2">
        <v>0.81</v>
      </c>
      <c r="P797" s="2" t="e">
        <f t="shared" si="74"/>
        <v>#NUM!</v>
      </c>
      <c r="Q797" s="2">
        <f t="shared" si="75"/>
        <v>0.11749101920491983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ht="13.9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 t="e">
        <f t="shared" si="72"/>
        <v>#NUM!</v>
      </c>
      <c r="I798" s="2">
        <f t="shared" si="73"/>
        <v>0.15631819763304933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0.41</v>
      </c>
      <c r="P798" s="2" t="e">
        <f t="shared" si="74"/>
        <v>#NUM!</v>
      </c>
      <c r="Q798" s="2">
        <f t="shared" si="75"/>
        <v>0.37390096630005903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ht="13.9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 t="e">
        <f t="shared" si="73"/>
        <v>#DIV/0!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ht="13.9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1.48</v>
      </c>
      <c r="F800" s="2">
        <v>0.13</v>
      </c>
      <c r="G800" s="2">
        <v>1.58</v>
      </c>
      <c r="H800" s="2" t="e">
        <f t="shared" si="72"/>
        <v>#NUM!</v>
      </c>
      <c r="I800" s="2">
        <f t="shared" si="73"/>
        <v>8.5328671820094723E-2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 t="e">
        <f t="shared" si="74"/>
        <v>#DIV/0!</v>
      </c>
      <c r="Q800" s="2" t="e">
        <f t="shared" si="75"/>
        <v>#DIV/0!</v>
      </c>
      <c r="R800" s="2" t="e">
        <f t="shared" si="76"/>
        <v>#DIV/0!</v>
      </c>
      <c r="S800" t="e">
        <f t="shared" si="77"/>
        <v>#DIV/0!</v>
      </c>
      <c r="U800" t="e">
        <v>#NUM!</v>
      </c>
    </row>
    <row r="801" spans="1:21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 t="e">
        <f t="shared" si="72"/>
        <v>#NUM!</v>
      </c>
      <c r="I801" s="2">
        <f t="shared" si="73"/>
        <v>0.37390096630005903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 t="e">
        <f t="shared" si="74"/>
        <v>#DIV/0!</v>
      </c>
      <c r="Q801" s="2" t="e">
        <f t="shared" si="75"/>
        <v>#DIV/0!</v>
      </c>
      <c r="R801" s="2" t="e">
        <f t="shared" si="76"/>
        <v>#DIV/0!</v>
      </c>
      <c r="S801" t="e">
        <f t="shared" si="77"/>
        <v>#DIV/0!</v>
      </c>
      <c r="U801" t="e">
        <v>#NUM!</v>
      </c>
    </row>
    <row r="802" spans="1:21" ht="13.9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1.37</v>
      </c>
      <c r="H802" s="2" t="e">
        <f t="shared" si="72"/>
        <v>#NUM!</v>
      </c>
      <c r="I802" s="2">
        <f t="shared" si="73"/>
        <v>0.37390096630005903</v>
      </c>
      <c r="J802" s="2">
        <v>0.18</v>
      </c>
      <c r="K802" s="2">
        <v>0</v>
      </c>
      <c r="L802" s="2">
        <v>0</v>
      </c>
      <c r="M802" s="2">
        <v>0.51</v>
      </c>
      <c r="N802" s="2">
        <v>0</v>
      </c>
      <c r="O802" s="2">
        <v>1.35</v>
      </c>
      <c r="P802" s="2">
        <f t="shared" si="74"/>
        <v>-3.3692338096657193</v>
      </c>
      <c r="Q802" s="2">
        <f t="shared" si="75"/>
        <v>0.23227863569881238</v>
      </c>
      <c r="R802" s="2" t="e">
        <f t="shared" si="76"/>
        <v>#NUM!</v>
      </c>
      <c r="S802" t="e">
        <f t="shared" si="77"/>
        <v>#NUM!</v>
      </c>
      <c r="U802">
        <v>-2.4739311883324122</v>
      </c>
    </row>
    <row r="803" spans="1:21" ht="13.9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0.13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0.31</v>
      </c>
      <c r="N803" s="2">
        <v>0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ht="13.9" x14ac:dyDescent="0.3">
      <c r="A804" s="2" t="s">
        <v>821</v>
      </c>
      <c r="B804" s="2">
        <v>0</v>
      </c>
      <c r="C804" s="2">
        <v>0</v>
      </c>
      <c r="D804" s="2">
        <v>4.92</v>
      </c>
      <c r="E804" s="2">
        <v>0</v>
      </c>
      <c r="F804" s="2">
        <v>0.27</v>
      </c>
      <c r="G804" s="2">
        <v>0</v>
      </c>
      <c r="H804" s="2">
        <f t="shared" si="72"/>
        <v>4.1876270031757716</v>
      </c>
      <c r="I804" s="2">
        <f t="shared" si="73"/>
        <v>0.39875627085468435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 t="e">
        <f t="shared" si="74"/>
        <v>#DIV/0!</v>
      </c>
      <c r="Q804" s="2" t="e">
        <f t="shared" si="75"/>
        <v>#DIV/0!</v>
      </c>
      <c r="R804" s="2" t="e">
        <f t="shared" si="76"/>
        <v>#DIV/0!</v>
      </c>
      <c r="S804" t="e">
        <f t="shared" si="77"/>
        <v>#DIV/0!</v>
      </c>
      <c r="U804" t="e">
        <v>#NUM!</v>
      </c>
    </row>
    <row r="805" spans="1:21" ht="13.9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 t="e">
        <f t="shared" si="74"/>
        <v>#DIV/0!</v>
      </c>
      <c r="Q805" s="2" t="e">
        <f t="shared" si="75"/>
        <v>#DIV/0!</v>
      </c>
      <c r="R805" s="2" t="e">
        <f t="shared" si="76"/>
        <v>#DIV/0!</v>
      </c>
      <c r="S805" t="e">
        <f t="shared" si="77"/>
        <v>#DIV/0!</v>
      </c>
      <c r="U805" t="e">
        <v>#NUM!</v>
      </c>
    </row>
    <row r="806" spans="1:21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 t="e">
        <f t="shared" si="72"/>
        <v>#NUM!</v>
      </c>
      <c r="I806" s="2">
        <f t="shared" si="73"/>
        <v>0.37390096630005903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 t="e">
        <f t="shared" si="74"/>
        <v>#DIV/0!</v>
      </c>
      <c r="Q806" s="2" t="e">
        <f t="shared" si="75"/>
        <v>#DIV/0!</v>
      </c>
      <c r="R806" s="2" t="e">
        <f t="shared" si="76"/>
        <v>#DIV/0!</v>
      </c>
      <c r="S806" t="e">
        <f t="shared" si="77"/>
        <v>#DIV/0!</v>
      </c>
      <c r="U806" t="e">
        <v>#NUM!</v>
      </c>
    </row>
    <row r="807" spans="1:21" ht="13.9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 t="e">
        <f t="shared" si="72"/>
        <v>#NUM!</v>
      </c>
      <c r="I807" s="2">
        <f t="shared" si="73"/>
        <v>0.37390096630005903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 t="e">
        <f t="shared" si="74"/>
        <v>#DIV/0!</v>
      </c>
      <c r="Q807" s="2" t="e">
        <f t="shared" si="75"/>
        <v>#DIV/0!</v>
      </c>
      <c r="R807" s="2" t="e">
        <f t="shared" si="76"/>
        <v>#DIV/0!</v>
      </c>
      <c r="S807" t="e">
        <f t="shared" si="77"/>
        <v>#DIV/0!</v>
      </c>
      <c r="U807" t="e">
        <v>#NUM!</v>
      </c>
    </row>
    <row r="808" spans="1:21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 t="e">
        <f t="shared" si="72"/>
        <v>#NUM!</v>
      </c>
      <c r="I808" s="2">
        <f t="shared" si="73"/>
        <v>0.37390096630005903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 t="e">
        <f t="shared" si="74"/>
        <v>#DIV/0!</v>
      </c>
      <c r="Q808" s="2" t="e">
        <f t="shared" si="75"/>
        <v>#DIV/0!</v>
      </c>
      <c r="R808" s="2" t="e">
        <f t="shared" si="76"/>
        <v>#DIV/0!</v>
      </c>
      <c r="S808" t="e">
        <f t="shared" si="77"/>
        <v>#DIV/0!</v>
      </c>
      <c r="U808" t="e">
        <v>#NUM!</v>
      </c>
    </row>
    <row r="809" spans="1:21" ht="13.9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72"/>
        <v>#DIV/0!</v>
      </c>
      <c r="I809" s="2" t="e">
        <f t="shared" si="73"/>
        <v>#DIV/0!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 t="e">
        <f t="shared" si="72"/>
        <v>#NUM!</v>
      </c>
      <c r="I810" s="2">
        <f t="shared" si="73"/>
        <v>0.37390096630005903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 t="e">
        <f t="shared" si="74"/>
        <v>#DIV/0!</v>
      </c>
      <c r="Q810" s="2" t="e">
        <f t="shared" si="75"/>
        <v>#DIV/0!</v>
      </c>
      <c r="R810" s="2" t="e">
        <f t="shared" si="76"/>
        <v>#DIV/0!</v>
      </c>
      <c r="S810" t="e">
        <f t="shared" si="77"/>
        <v>#DIV/0!</v>
      </c>
      <c r="U810" t="e">
        <v>#NUM!</v>
      </c>
    </row>
    <row r="811" spans="1:21" ht="13.9" x14ac:dyDescent="0.3">
      <c r="A811" s="2" t="s">
        <v>828</v>
      </c>
      <c r="B811" s="2">
        <v>0</v>
      </c>
      <c r="C811" s="2">
        <v>0</v>
      </c>
      <c r="D811" s="2">
        <v>2.73</v>
      </c>
      <c r="E811" s="2">
        <v>1.18</v>
      </c>
      <c r="F811" s="2">
        <v>0.67</v>
      </c>
      <c r="G811" s="2">
        <v>0.11</v>
      </c>
      <c r="H811" s="2">
        <f t="shared" si="72"/>
        <v>0.47804729680464414</v>
      </c>
      <c r="I811" s="2">
        <f t="shared" si="73"/>
        <v>0.80261587885638042</v>
      </c>
      <c r="J811" s="2">
        <v>12.04</v>
      </c>
      <c r="K811" s="2">
        <v>3.98</v>
      </c>
      <c r="L811" s="2">
        <v>0</v>
      </c>
      <c r="M811" s="2">
        <v>0.51</v>
      </c>
      <c r="N811" s="2">
        <v>0</v>
      </c>
      <c r="O811" s="2">
        <v>0</v>
      </c>
      <c r="P811" s="2">
        <f t="shared" si="74"/>
        <v>4.9732330904372146</v>
      </c>
      <c r="Q811" s="2">
        <f t="shared" si="75"/>
        <v>0.21855049341514293</v>
      </c>
      <c r="R811" s="2">
        <f t="shared" si="76"/>
        <v>4.4951857936325705</v>
      </c>
      <c r="S811">
        <f t="shared" si="77"/>
        <v>10.403223956456229</v>
      </c>
      <c r="U811">
        <v>4.0018022426339854</v>
      </c>
    </row>
    <row r="812" spans="1:21" ht="13.9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 t="e">
        <f t="shared" si="72"/>
        <v>#NUM!</v>
      </c>
      <c r="I812" s="2">
        <f t="shared" si="73"/>
        <v>9.0456889047589722E-2</v>
      </c>
      <c r="J812" s="2">
        <v>0</v>
      </c>
      <c r="K812" s="2">
        <v>0</v>
      </c>
      <c r="L812" s="2">
        <v>0</v>
      </c>
      <c r="M812" s="2">
        <v>1.85</v>
      </c>
      <c r="N812" s="2">
        <v>0</v>
      </c>
      <c r="O812" s="2">
        <v>0.54</v>
      </c>
      <c r="P812" s="2" t="e">
        <f t="shared" si="74"/>
        <v>#NUM!</v>
      </c>
      <c r="Q812" s="2">
        <f t="shared" si="75"/>
        <v>0.22054358309891101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ht="13.9" x14ac:dyDescent="0.3">
      <c r="A813" s="2" t="s">
        <v>830</v>
      </c>
      <c r="B813" s="2">
        <v>5.93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>
        <f t="shared" si="73"/>
        <v>0.37390096630005903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 t="e">
        <f t="shared" si="75"/>
        <v>#DIV/0!</v>
      </c>
      <c r="R813" s="2" t="e">
        <f t="shared" si="76"/>
        <v>#DIV/0!</v>
      </c>
      <c r="S813" t="e">
        <f t="shared" si="77"/>
        <v>#DIV/0!</v>
      </c>
      <c r="U813" t="e">
        <v>#NUM!</v>
      </c>
    </row>
    <row r="814" spans="1:21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 t="e">
        <f t="shared" si="72"/>
        <v>#NUM!</v>
      </c>
      <c r="I814" s="2">
        <f t="shared" si="73"/>
        <v>0.37390096630005903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 t="e">
        <f t="shared" si="74"/>
        <v>#DIV/0!</v>
      </c>
      <c r="Q814" s="2" t="e">
        <f t="shared" si="75"/>
        <v>#DIV/0!</v>
      </c>
      <c r="R814" s="2" t="e">
        <f t="shared" si="76"/>
        <v>#DIV/0!</v>
      </c>
      <c r="S814" t="e">
        <f t="shared" si="77"/>
        <v>#DIV/0!</v>
      </c>
      <c r="U814" t="e">
        <v>#NUM!</v>
      </c>
    </row>
    <row r="815" spans="1:21" ht="13.9" x14ac:dyDescent="0.3">
      <c r="A815" s="2" t="s">
        <v>832</v>
      </c>
      <c r="B815" s="2">
        <v>0</v>
      </c>
      <c r="C815" s="2">
        <v>0</v>
      </c>
      <c r="D815" s="2">
        <v>0.55000000000000004</v>
      </c>
      <c r="E815" s="2">
        <v>0.49</v>
      </c>
      <c r="F815" s="2">
        <v>1.47</v>
      </c>
      <c r="G815" s="2">
        <v>0.21</v>
      </c>
      <c r="H815" s="2">
        <f t="shared" si="72"/>
        <v>-1.9801915189198196</v>
      </c>
      <c r="I815" s="2">
        <f t="shared" si="73"/>
        <v>0.27149717853356392</v>
      </c>
      <c r="J815" s="2">
        <v>0</v>
      </c>
      <c r="K815" s="2">
        <v>0</v>
      </c>
      <c r="L815" s="2">
        <v>0</v>
      </c>
      <c r="M815" s="2">
        <v>0.1</v>
      </c>
      <c r="N815" s="2">
        <v>0</v>
      </c>
      <c r="O815" s="2">
        <v>1.22</v>
      </c>
      <c r="P815" s="2" t="e">
        <f t="shared" si="74"/>
        <v>#NUM!</v>
      </c>
      <c r="Q815" s="2">
        <f t="shared" si="75"/>
        <v>0.32347882207091694</v>
      </c>
      <c r="R815" s="2" t="e">
        <f t="shared" si="76"/>
        <v>#NUM!</v>
      </c>
      <c r="S815" t="e">
        <f t="shared" si="77"/>
        <v>#NUM!</v>
      </c>
      <c r="U815" t="e">
        <v>#NUM!</v>
      </c>
    </row>
    <row r="816" spans="1:21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 t="e">
        <f t="shared" si="72"/>
        <v>#NUM!</v>
      </c>
      <c r="I816" s="2">
        <f t="shared" si="73"/>
        <v>0.37390096630005903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 t="e">
        <f t="shared" si="74"/>
        <v>#DIV/0!</v>
      </c>
      <c r="Q816" s="2" t="e">
        <f t="shared" si="75"/>
        <v>#DIV/0!</v>
      </c>
      <c r="R816" s="2" t="e">
        <f t="shared" si="76"/>
        <v>#DIV/0!</v>
      </c>
      <c r="S816" t="e">
        <f t="shared" si="77"/>
        <v>#DIV/0!</v>
      </c>
      <c r="U816" t="e">
        <v>#NUM!</v>
      </c>
    </row>
    <row r="817" spans="1:21" ht="13.9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2.4700000000000002</v>
      </c>
      <c r="F817" s="2">
        <v>1.34</v>
      </c>
      <c r="G817" s="2">
        <v>1.37</v>
      </c>
      <c r="H817" s="2" t="e">
        <f t="shared" si="72"/>
        <v>#NUM!</v>
      </c>
      <c r="I817" s="2">
        <f t="shared" si="73"/>
        <v>9.7014263183178209E-3</v>
      </c>
      <c r="J817" s="2">
        <v>0</v>
      </c>
      <c r="K817" s="2">
        <v>4.3899999999999997</v>
      </c>
      <c r="L817" s="2">
        <v>19.61</v>
      </c>
      <c r="M817" s="2">
        <v>4.63</v>
      </c>
      <c r="N817" s="2">
        <v>0</v>
      </c>
      <c r="O817" s="2">
        <v>2.84</v>
      </c>
      <c r="P817" s="2">
        <f t="shared" si="74"/>
        <v>1.683854257706644</v>
      </c>
      <c r="Q817" s="2">
        <f t="shared" si="75"/>
        <v>0.41694747411107663</v>
      </c>
      <c r="R817" s="2" t="e">
        <f t="shared" si="76"/>
        <v>#NUM!</v>
      </c>
      <c r="S817" t="e">
        <f t="shared" si="77"/>
        <v>#NUM!</v>
      </c>
      <c r="U817">
        <v>4.584962500721157</v>
      </c>
    </row>
    <row r="818" spans="1:21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0.1</v>
      </c>
      <c r="N818" s="2">
        <v>0</v>
      </c>
      <c r="O818" s="2">
        <v>0</v>
      </c>
      <c r="P818" s="2" t="e">
        <f t="shared" si="74"/>
        <v>#NUM!</v>
      </c>
      <c r="Q818" s="2">
        <f t="shared" si="75"/>
        <v>0.37390096630005903</v>
      </c>
      <c r="R818" s="2" t="e">
        <f t="shared" si="76"/>
        <v>#NUM!</v>
      </c>
      <c r="S818" t="e">
        <f t="shared" si="77"/>
        <v>#NUM!</v>
      </c>
      <c r="U818" t="e">
        <v>#NUM!</v>
      </c>
    </row>
    <row r="819" spans="1:21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 t="e">
        <f t="shared" si="72"/>
        <v>#NUM!</v>
      </c>
      <c r="I819" s="2">
        <f t="shared" si="73"/>
        <v>0.37390096630005903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 t="e">
        <f t="shared" si="74"/>
        <v>#DIV/0!</v>
      </c>
      <c r="Q819" s="2" t="e">
        <f t="shared" si="75"/>
        <v>#DIV/0!</v>
      </c>
      <c r="R819" s="2" t="e">
        <f t="shared" si="76"/>
        <v>#DIV/0!</v>
      </c>
      <c r="S819" t="e">
        <f t="shared" si="77"/>
        <v>#DIV/0!</v>
      </c>
      <c r="U819" t="e">
        <v>#NUM!</v>
      </c>
    </row>
    <row r="820" spans="1:21" ht="13.9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 t="e">
        <f t="shared" si="74"/>
        <v>#DIV/0!</v>
      </c>
      <c r="Q820" s="2" t="e">
        <f t="shared" si="75"/>
        <v>#DIV/0!</v>
      </c>
      <c r="R820" s="2" t="e">
        <f t="shared" si="76"/>
        <v>#DIV/0!</v>
      </c>
      <c r="S820" t="e">
        <f t="shared" si="77"/>
        <v>#DIV/0!</v>
      </c>
      <c r="U820" t="e">
        <v>#NUM!</v>
      </c>
    </row>
    <row r="821" spans="1:21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 t="e">
        <f t="shared" si="72"/>
        <v>#NUM!</v>
      </c>
      <c r="I821" s="2">
        <f t="shared" si="73"/>
        <v>0.37390096630005903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 t="e">
        <f t="shared" si="74"/>
        <v>#DIV/0!</v>
      </c>
      <c r="Q821" s="2" t="e">
        <f t="shared" si="75"/>
        <v>#DIV/0!</v>
      </c>
      <c r="R821" s="2" t="e">
        <f t="shared" si="76"/>
        <v>#DIV/0!</v>
      </c>
      <c r="S821" t="e">
        <f t="shared" si="77"/>
        <v>#DIV/0!</v>
      </c>
      <c r="U821" t="e">
        <v>#NUM!</v>
      </c>
    </row>
    <row r="822" spans="1:21" ht="13.9" x14ac:dyDescent="0.3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72"/>
        <v>#DIV/0!</v>
      </c>
      <c r="I822" s="2" t="e">
        <f t="shared" si="73"/>
        <v>#DIV/0!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ht="13.9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72"/>
        <v>#DIV/0!</v>
      </c>
      <c r="I823" s="2" t="e">
        <f t="shared" si="73"/>
        <v>#DIV/0!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 t="e">
        <f t="shared" si="72"/>
        <v>#NUM!</v>
      </c>
      <c r="I824" s="2">
        <f t="shared" si="73"/>
        <v>0.37390096630005903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 t="e">
        <f t="shared" si="74"/>
        <v>#DIV/0!</v>
      </c>
      <c r="Q824" s="2" t="e">
        <f t="shared" si="75"/>
        <v>#DIV/0!</v>
      </c>
      <c r="R824" s="2" t="e">
        <f t="shared" si="76"/>
        <v>#DIV/0!</v>
      </c>
      <c r="S824" t="e">
        <f t="shared" si="77"/>
        <v>#DIV/0!</v>
      </c>
      <c r="U824" t="e">
        <v>#NUM!</v>
      </c>
    </row>
    <row r="825" spans="1:21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 t="e">
        <f t="shared" si="72"/>
        <v>#NUM!</v>
      </c>
      <c r="I825" s="2">
        <f t="shared" si="73"/>
        <v>0.37390096630005903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 t="e">
        <f t="shared" si="74"/>
        <v>#DIV/0!</v>
      </c>
      <c r="Q825" s="2" t="e">
        <f t="shared" si="75"/>
        <v>#DIV/0!</v>
      </c>
      <c r="R825" s="2" t="e">
        <f t="shared" si="76"/>
        <v>#DIV/0!</v>
      </c>
      <c r="S825" t="e">
        <f t="shared" si="77"/>
        <v>#DIV/0!</v>
      </c>
      <c r="U825" t="e">
        <v>#NUM!</v>
      </c>
    </row>
    <row r="826" spans="1:21" ht="13.9" x14ac:dyDescent="0.3">
      <c r="A826" s="2" t="s">
        <v>843</v>
      </c>
      <c r="B826" s="2">
        <v>6.26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>
        <f t="shared" si="73"/>
        <v>0.37390096630005903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 t="e">
        <f t="shared" si="75"/>
        <v>#DIV/0!</v>
      </c>
      <c r="R826" s="2" t="e">
        <f t="shared" si="76"/>
        <v>#DIV/0!</v>
      </c>
      <c r="S826" t="e">
        <f t="shared" si="77"/>
        <v>#DIV/0!</v>
      </c>
      <c r="U826" t="e">
        <v>#NUM!</v>
      </c>
    </row>
    <row r="827" spans="1:21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 t="e">
        <f t="shared" si="72"/>
        <v>#NUM!</v>
      </c>
      <c r="I827" s="2">
        <f t="shared" si="73"/>
        <v>0.37390096630005903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0.68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ht="13.9" x14ac:dyDescent="0.3">
      <c r="A828" s="2" t="s">
        <v>845</v>
      </c>
      <c r="B828" s="2">
        <v>1.98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>
        <f t="shared" si="73"/>
        <v>0.37390096630005903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 t="e">
        <f t="shared" si="75"/>
        <v>#DIV/0!</v>
      </c>
      <c r="R828" s="2" t="e">
        <f t="shared" si="76"/>
        <v>#DIV/0!</v>
      </c>
      <c r="S828" t="e">
        <f t="shared" si="77"/>
        <v>#DIV/0!</v>
      </c>
      <c r="U828" t="e">
        <v>#NUM!</v>
      </c>
    </row>
    <row r="829" spans="1:21" ht="13.9" x14ac:dyDescent="0.3">
      <c r="A829" s="2" t="s">
        <v>846</v>
      </c>
      <c r="B829" s="2">
        <v>25.05</v>
      </c>
      <c r="C829" s="2">
        <v>15.86</v>
      </c>
      <c r="D829" s="2">
        <v>0</v>
      </c>
      <c r="E829" s="2">
        <v>2.27</v>
      </c>
      <c r="F829" s="2">
        <v>1.6</v>
      </c>
      <c r="G829" s="2">
        <v>1.05</v>
      </c>
      <c r="H829" s="2">
        <f t="shared" ref="H829:H892" si="78">LOG(SUM(B829:D829)/SUM(E829:G829),2)</f>
        <v>3.0557233165488062</v>
      </c>
      <c r="I829" s="2">
        <f t="shared" ref="I829:I892" si="79">_xlfn.T.TEST(B829:D829,E829:G829,2,2)</f>
        <v>0.17680050154771471</v>
      </c>
      <c r="J829" s="2">
        <v>0</v>
      </c>
      <c r="K829" s="2">
        <v>0</v>
      </c>
      <c r="L829" s="2">
        <v>0</v>
      </c>
      <c r="M829" s="2">
        <v>1.1299999999999999</v>
      </c>
      <c r="N829" s="2">
        <v>0</v>
      </c>
      <c r="O829" s="2">
        <v>1.22</v>
      </c>
      <c r="P829" s="2" t="e">
        <f t="shared" ref="P829:P892" si="80">LOG(SUM(J829:L829)/SUM(M829:O829),2)</f>
        <v>#NUM!</v>
      </c>
      <c r="Q829" s="2">
        <f t="shared" ref="Q829:Q892" si="81">_xlfn.T.TEST(J829:L829,M829:O829,2,2)</f>
        <v>0.11669958915797259</v>
      </c>
      <c r="R829" s="2" t="e">
        <f t="shared" ref="R829:R892" si="82">P829-H829</f>
        <v>#NUM!</v>
      </c>
      <c r="S829" t="e">
        <f t="shared" si="77"/>
        <v>#NUM!</v>
      </c>
      <c r="U829" t="e">
        <v>#NUM!</v>
      </c>
    </row>
    <row r="830" spans="1:21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 t="e">
        <f t="shared" si="78"/>
        <v>#NUM!</v>
      </c>
      <c r="I830" s="2">
        <f t="shared" si="79"/>
        <v>0.37390096630005903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 t="e">
        <f t="shared" si="80"/>
        <v>#DIV/0!</v>
      </c>
      <c r="Q830" s="2" t="e">
        <f t="shared" si="81"/>
        <v>#DIV/0!</v>
      </c>
      <c r="R830" s="2" t="e">
        <f t="shared" si="82"/>
        <v>#DIV/0!</v>
      </c>
      <c r="S830" t="e">
        <f t="shared" si="77"/>
        <v>#DIV/0!</v>
      </c>
      <c r="U830" t="e">
        <v>#NUM!</v>
      </c>
    </row>
    <row r="831" spans="1:21" ht="13.9" x14ac:dyDescent="0.3">
      <c r="A831" s="2" t="s">
        <v>848</v>
      </c>
      <c r="B831" s="2">
        <v>12.2</v>
      </c>
      <c r="C831" s="2">
        <v>44.64</v>
      </c>
      <c r="D831" s="2">
        <v>23.85</v>
      </c>
      <c r="E831" s="2">
        <v>27.05</v>
      </c>
      <c r="F831" s="2">
        <v>57.89</v>
      </c>
      <c r="G831" s="2">
        <v>29.09</v>
      </c>
      <c r="H831" s="2">
        <f t="shared" si="78"/>
        <v>-0.49895163611495374</v>
      </c>
      <c r="I831" s="2">
        <f t="shared" si="79"/>
        <v>0.46439160105600891</v>
      </c>
      <c r="J831" s="2">
        <v>15.45</v>
      </c>
      <c r="K831" s="2">
        <v>11.72</v>
      </c>
      <c r="L831" s="2">
        <v>58.82</v>
      </c>
      <c r="M831" s="2">
        <v>40.74</v>
      </c>
      <c r="N831" s="2">
        <v>0</v>
      </c>
      <c r="O831" s="2">
        <v>66.59</v>
      </c>
      <c r="P831" s="2">
        <f t="shared" si="80"/>
        <v>-0.31981258279309505</v>
      </c>
      <c r="Q831" s="2">
        <f t="shared" si="81"/>
        <v>0.78666204996590039</v>
      </c>
      <c r="R831" s="2">
        <f t="shared" si="82"/>
        <v>0.1791390533218587</v>
      </c>
      <c r="S831">
        <f t="shared" si="77"/>
        <v>0.64096910330486068</v>
      </c>
      <c r="U831">
        <v>6.4260969897108176</v>
      </c>
    </row>
    <row r="832" spans="1:21" ht="13.9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0.39</v>
      </c>
      <c r="F832" s="2">
        <v>0.94</v>
      </c>
      <c r="G832" s="2">
        <v>1.26</v>
      </c>
      <c r="H832" s="2" t="e">
        <f t="shared" si="78"/>
        <v>#NUM!</v>
      </c>
      <c r="I832" s="2">
        <f t="shared" si="79"/>
        <v>2.7322575636423048E-2</v>
      </c>
      <c r="J832" s="2">
        <v>0</v>
      </c>
      <c r="K832" s="2">
        <v>0</v>
      </c>
      <c r="L832" s="2">
        <v>0</v>
      </c>
      <c r="M832" s="2">
        <v>0.82</v>
      </c>
      <c r="N832" s="2">
        <v>0</v>
      </c>
      <c r="O832" s="2">
        <v>0.81</v>
      </c>
      <c r="P832" s="2" t="e">
        <f t="shared" si="80"/>
        <v>#NUM!</v>
      </c>
      <c r="Q832" s="2">
        <f t="shared" si="81"/>
        <v>0.11613149366812972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ht="13.9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78"/>
        <v>#DIV/0!</v>
      </c>
      <c r="I833" s="2" t="e">
        <f t="shared" si="79"/>
        <v>#DIV/0!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ht="13.9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si="78"/>
        <v>#DIV/0!</v>
      </c>
      <c r="I834" s="2" t="e">
        <f t="shared" si="79"/>
        <v>#DIV/0!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 t="e">
        <f t="shared" si="78"/>
        <v>#NUM!</v>
      </c>
      <c r="I835" s="2">
        <f t="shared" si="79"/>
        <v>0.22444645074560185</v>
      </c>
      <c r="J835" s="2">
        <v>0</v>
      </c>
      <c r="K835" s="2">
        <v>0</v>
      </c>
      <c r="L835" s="2">
        <v>0</v>
      </c>
      <c r="M835" s="2">
        <v>0.82</v>
      </c>
      <c r="N835" s="2">
        <v>0</v>
      </c>
      <c r="O835" s="2">
        <v>0</v>
      </c>
      <c r="P835" s="2" t="e">
        <f t="shared" si="80"/>
        <v>#NUM!</v>
      </c>
      <c r="Q835" s="2">
        <f t="shared" si="81"/>
        <v>0.37390096630005903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0.1</v>
      </c>
      <c r="N836" s="2">
        <v>0</v>
      </c>
      <c r="O836" s="2">
        <v>0</v>
      </c>
      <c r="P836" s="2" t="e">
        <f t="shared" si="80"/>
        <v>#NUM!</v>
      </c>
      <c r="Q836" s="2">
        <f t="shared" si="81"/>
        <v>0.37390096630005903</v>
      </c>
      <c r="R836" s="2" t="e">
        <f t="shared" si="82"/>
        <v>#NUM!</v>
      </c>
      <c r="S836" t="e">
        <f t="shared" ref="S836:S899" si="83">P836/H836</f>
        <v>#NUM!</v>
      </c>
      <c r="U836" t="e">
        <v>#NUM!</v>
      </c>
    </row>
    <row r="837" spans="1:21" ht="13.9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0.39</v>
      </c>
      <c r="F837" s="2">
        <v>0.53</v>
      </c>
      <c r="G837" s="2">
        <v>0.32</v>
      </c>
      <c r="H837" s="2" t="e">
        <f t="shared" si="78"/>
        <v>#NUM!</v>
      </c>
      <c r="I837" s="2">
        <f t="shared" si="79"/>
        <v>2.5886671395731684E-3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 t="e">
        <f t="shared" si="80"/>
        <v>#DIV/0!</v>
      </c>
      <c r="Q837" s="2" t="e">
        <f t="shared" si="81"/>
        <v>#DIV/0!</v>
      </c>
      <c r="R837" s="2" t="e">
        <f t="shared" si="82"/>
        <v>#DIV/0!</v>
      </c>
      <c r="S837" t="e">
        <f t="shared" si="83"/>
        <v>#DIV/0!</v>
      </c>
      <c r="U837" t="e">
        <v>#NUM!</v>
      </c>
    </row>
    <row r="838" spans="1:21" ht="13.9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78"/>
        <v>#DIV/0!</v>
      </c>
      <c r="I838" s="2" t="e">
        <f t="shared" si="79"/>
        <v>#DIV/0!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0.68</v>
      </c>
      <c r="P838" s="2" t="e">
        <f t="shared" si="80"/>
        <v>#NUM!</v>
      </c>
      <c r="Q838" s="2">
        <f t="shared" si="81"/>
        <v>0.37390096630005903</v>
      </c>
      <c r="R838" s="2" t="e">
        <f t="shared" si="82"/>
        <v>#NUM!</v>
      </c>
      <c r="S838" t="e">
        <f t="shared" si="83"/>
        <v>#NUM!</v>
      </c>
      <c r="U838" t="e">
        <v>#NUM!</v>
      </c>
    </row>
    <row r="839" spans="1:21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 t="e">
        <f t="shared" si="78"/>
        <v>#NUM!</v>
      </c>
      <c r="I839" s="2">
        <f t="shared" si="79"/>
        <v>0.37390096630005903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 t="e">
        <f t="shared" si="80"/>
        <v>#DIV/0!</v>
      </c>
      <c r="Q839" s="2" t="e">
        <f t="shared" si="81"/>
        <v>#DIV/0!</v>
      </c>
      <c r="R839" s="2" t="e">
        <f t="shared" si="82"/>
        <v>#DIV/0!</v>
      </c>
      <c r="S839" t="e">
        <f t="shared" si="83"/>
        <v>#DIV/0!</v>
      </c>
      <c r="U839" t="e">
        <v>#NUM!</v>
      </c>
    </row>
    <row r="840" spans="1:21" ht="13.9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0.13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 t="e">
        <f t="shared" si="80"/>
        <v>#DIV/0!</v>
      </c>
      <c r="Q840" s="2" t="e">
        <f t="shared" si="81"/>
        <v>#DIV/0!</v>
      </c>
      <c r="R840" s="2" t="e">
        <f t="shared" si="82"/>
        <v>#DIV/0!</v>
      </c>
      <c r="S840" t="e">
        <f t="shared" si="83"/>
        <v>#DIV/0!</v>
      </c>
      <c r="U840" t="e">
        <v>#NUM!</v>
      </c>
    </row>
    <row r="841" spans="1:21" ht="13.9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0.39</v>
      </c>
      <c r="F841" s="2">
        <v>0.27</v>
      </c>
      <c r="G841" s="2">
        <v>0.32</v>
      </c>
      <c r="H841" s="2" t="e">
        <f t="shared" si="78"/>
        <v>#NUM!</v>
      </c>
      <c r="I841" s="2">
        <f t="shared" si="79"/>
        <v>7.1768558920570302E-4</v>
      </c>
      <c r="J841" s="2">
        <v>0</v>
      </c>
      <c r="K841" s="2">
        <v>0</v>
      </c>
      <c r="L841" s="2">
        <v>14.08</v>
      </c>
      <c r="M841" s="2">
        <v>0.1</v>
      </c>
      <c r="N841" s="2">
        <v>0</v>
      </c>
      <c r="O841" s="2">
        <v>2.98</v>
      </c>
      <c r="P841" s="2">
        <f t="shared" si="80"/>
        <v>2.1926450779423958</v>
      </c>
      <c r="Q841" s="2">
        <f t="shared" si="81"/>
        <v>0.48699250920817627</v>
      </c>
      <c r="R841" s="2" t="e">
        <f t="shared" si="82"/>
        <v>#NUM!</v>
      </c>
      <c r="S841" t="e">
        <f t="shared" si="83"/>
        <v>#NUM!</v>
      </c>
      <c r="U841">
        <v>3.8155754288625725</v>
      </c>
    </row>
    <row r="842" spans="1:21" ht="13.9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 t="e">
        <f t="shared" si="79"/>
        <v>#DIV/0!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0.72</v>
      </c>
      <c r="N843" s="2">
        <v>0</v>
      </c>
      <c r="O843" s="2">
        <v>1.49</v>
      </c>
      <c r="P843" s="2" t="e">
        <f t="shared" si="80"/>
        <v>#NUM!</v>
      </c>
      <c r="Q843" s="2">
        <f t="shared" si="81"/>
        <v>0.1619933248132697</v>
      </c>
      <c r="R843" s="2" t="e">
        <f t="shared" si="82"/>
        <v>#NUM!</v>
      </c>
      <c r="S843" t="e">
        <f t="shared" si="83"/>
        <v>#NUM!</v>
      </c>
      <c r="U843" t="e">
        <v>#NUM!</v>
      </c>
    </row>
    <row r="844" spans="1:21" ht="13.9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78"/>
        <v>#DIV/0!</v>
      </c>
      <c r="I844" s="2" t="e">
        <f t="shared" si="79"/>
        <v>#DIV/0!</v>
      </c>
      <c r="J844" s="2">
        <v>0</v>
      </c>
      <c r="K844" s="2">
        <v>0</v>
      </c>
      <c r="L844" s="2">
        <v>0</v>
      </c>
      <c r="M844" s="2">
        <v>0.21</v>
      </c>
      <c r="N844" s="2">
        <v>0</v>
      </c>
      <c r="O844" s="2">
        <v>0</v>
      </c>
      <c r="P844" s="2" t="e">
        <f t="shared" si="80"/>
        <v>#NUM!</v>
      </c>
      <c r="Q844" s="2">
        <f t="shared" si="81"/>
        <v>0.37390096630005903</v>
      </c>
      <c r="R844" s="2" t="e">
        <f t="shared" si="82"/>
        <v>#NUM!</v>
      </c>
      <c r="S844" t="e">
        <f t="shared" si="83"/>
        <v>#NUM!</v>
      </c>
      <c r="U844" t="e">
        <v>#NUM!</v>
      </c>
    </row>
    <row r="845" spans="1:21" ht="13.9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78"/>
        <v>#DIV/0!</v>
      </c>
      <c r="I845" s="2" t="e">
        <f t="shared" si="79"/>
        <v>#DIV/0!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ht="13.9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0.39</v>
      </c>
      <c r="F846" s="2">
        <v>0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 t="e">
        <f t="shared" si="80"/>
        <v>#DIV/0!</v>
      </c>
      <c r="Q846" s="2" t="e">
        <f t="shared" si="81"/>
        <v>#DIV/0!</v>
      </c>
      <c r="R846" s="2" t="e">
        <f t="shared" si="82"/>
        <v>#DIV/0!</v>
      </c>
      <c r="S846" t="e">
        <f t="shared" si="83"/>
        <v>#DIV/0!</v>
      </c>
      <c r="U846" t="e">
        <v>#NUM!</v>
      </c>
    </row>
    <row r="847" spans="1:21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 t="e">
        <f t="shared" si="78"/>
        <v>#NUM!</v>
      </c>
      <c r="I847" s="2">
        <f t="shared" si="79"/>
        <v>0.18141514163843797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 t="e">
        <f t="shared" si="80"/>
        <v>#DIV/0!</v>
      </c>
      <c r="Q847" s="2" t="e">
        <f t="shared" si="81"/>
        <v>#DIV/0!</v>
      </c>
      <c r="R847" s="2" t="e">
        <f t="shared" si="82"/>
        <v>#DIV/0!</v>
      </c>
      <c r="S847" t="e">
        <f t="shared" si="83"/>
        <v>#DIV/0!</v>
      </c>
      <c r="U847" t="e">
        <v>#NUM!</v>
      </c>
    </row>
    <row r="848" spans="1:21" ht="13.9" x14ac:dyDescent="0.3">
      <c r="A848" s="2" t="s">
        <v>865</v>
      </c>
      <c r="B848" s="2">
        <v>0</v>
      </c>
      <c r="C848" s="2">
        <v>0</v>
      </c>
      <c r="D848" s="2">
        <v>6.74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>
        <f t="shared" si="79"/>
        <v>0.37390096630005903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 t="e">
        <f t="shared" si="81"/>
        <v>#DIV/0!</v>
      </c>
      <c r="R848" s="2" t="e">
        <f t="shared" si="82"/>
        <v>#DIV/0!</v>
      </c>
      <c r="S848" t="e">
        <f t="shared" si="83"/>
        <v>#DIV/0!</v>
      </c>
      <c r="U848" t="e">
        <v>#NUM!</v>
      </c>
    </row>
    <row r="849" spans="1:21" ht="13.9" x14ac:dyDescent="0.3">
      <c r="A849" s="2" t="s">
        <v>866</v>
      </c>
      <c r="B849" s="2">
        <v>0</v>
      </c>
      <c r="C849" s="2">
        <v>7.07</v>
      </c>
      <c r="D849" s="2">
        <v>0</v>
      </c>
      <c r="E849" s="2">
        <v>0.39</v>
      </c>
      <c r="F849" s="2">
        <v>0</v>
      </c>
      <c r="G849" s="2">
        <v>0</v>
      </c>
      <c r="H849" s="2">
        <f t="shared" si="78"/>
        <v>4.1801641859471506</v>
      </c>
      <c r="I849" s="2">
        <f t="shared" si="79"/>
        <v>0.39889191992411593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 t="e">
        <f t="shared" si="80"/>
        <v>#DIV/0!</v>
      </c>
      <c r="Q849" s="2" t="e">
        <f t="shared" si="81"/>
        <v>#DIV/0!</v>
      </c>
      <c r="R849" s="2" t="e">
        <f t="shared" si="82"/>
        <v>#DIV/0!</v>
      </c>
      <c r="S849" t="e">
        <f t="shared" si="83"/>
        <v>#DIV/0!</v>
      </c>
      <c r="U849" t="e">
        <v>#NUM!</v>
      </c>
    </row>
    <row r="850" spans="1:21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0.31</v>
      </c>
      <c r="N850" s="2">
        <v>0</v>
      </c>
      <c r="O850" s="2">
        <v>0</v>
      </c>
      <c r="P850" s="2" t="e">
        <f t="shared" si="80"/>
        <v>#NUM!</v>
      </c>
      <c r="Q850" s="2">
        <f t="shared" si="81"/>
        <v>0.37390096630005903</v>
      </c>
      <c r="R850" s="2" t="e">
        <f t="shared" si="82"/>
        <v>#NUM!</v>
      </c>
      <c r="S850" t="e">
        <f t="shared" si="83"/>
        <v>#NUM!</v>
      </c>
      <c r="U850" t="e">
        <v>#NUM!</v>
      </c>
    </row>
    <row r="851" spans="1:21" ht="13.9" x14ac:dyDescent="0.3">
      <c r="A851" s="2" t="s">
        <v>868</v>
      </c>
      <c r="B851" s="2">
        <v>15.49</v>
      </c>
      <c r="C851" s="2">
        <v>8.2899999999999991</v>
      </c>
      <c r="D851" s="2">
        <v>10.01</v>
      </c>
      <c r="E851" s="2">
        <v>10.76</v>
      </c>
      <c r="F851" s="2">
        <v>17.78</v>
      </c>
      <c r="G851" s="2">
        <v>11.91</v>
      </c>
      <c r="H851" s="2">
        <f t="shared" si="78"/>
        <v>-0.25954335215353858</v>
      </c>
      <c r="I851" s="2">
        <f t="shared" si="79"/>
        <v>0.50990679441638365</v>
      </c>
      <c r="J851" s="2">
        <v>0</v>
      </c>
      <c r="K851" s="2">
        <v>0</v>
      </c>
      <c r="L851" s="2">
        <v>28.15</v>
      </c>
      <c r="M851" s="2">
        <v>4.01</v>
      </c>
      <c r="N851" s="2">
        <v>0</v>
      </c>
      <c r="O851" s="2">
        <v>10.02</v>
      </c>
      <c r="P851" s="2">
        <f t="shared" si="80"/>
        <v>1.0046199133476927</v>
      </c>
      <c r="Q851" s="2">
        <f t="shared" si="81"/>
        <v>0.65690571128459285</v>
      </c>
      <c r="R851" s="2">
        <f t="shared" si="82"/>
        <v>1.2641632655012314</v>
      </c>
      <c r="S851">
        <f t="shared" si="83"/>
        <v>-3.8707210375913914</v>
      </c>
      <c r="U851">
        <v>4.815063017192867</v>
      </c>
    </row>
    <row r="852" spans="1:21" ht="13.9" x14ac:dyDescent="0.3">
      <c r="A852" s="2" t="s">
        <v>869</v>
      </c>
      <c r="B852" s="2">
        <v>0</v>
      </c>
      <c r="C852" s="2">
        <v>0</v>
      </c>
      <c r="D852" s="2">
        <v>0</v>
      </c>
      <c r="E852" s="2">
        <v>4.9400000000000004</v>
      </c>
      <c r="F852" s="2">
        <v>0.53</v>
      </c>
      <c r="G852" s="2">
        <v>1.9</v>
      </c>
      <c r="H852" s="2" t="e">
        <f t="shared" si="78"/>
        <v>#NUM!</v>
      </c>
      <c r="I852" s="2">
        <f t="shared" si="79"/>
        <v>0.13248189584332978</v>
      </c>
      <c r="J852" s="2">
        <v>0</v>
      </c>
      <c r="K852" s="2">
        <v>0.21</v>
      </c>
      <c r="L852" s="2">
        <v>0</v>
      </c>
      <c r="M852" s="2">
        <v>3.19</v>
      </c>
      <c r="N852" s="2">
        <v>0</v>
      </c>
      <c r="O852" s="2">
        <v>0.54</v>
      </c>
      <c r="P852" s="2">
        <f t="shared" si="80"/>
        <v>-4.1507143974764773</v>
      </c>
      <c r="Q852" s="2">
        <f t="shared" si="81"/>
        <v>0.30079104702015669</v>
      </c>
      <c r="R852" s="2" t="e">
        <f t="shared" si="82"/>
        <v>#NUM!</v>
      </c>
      <c r="S852" t="e">
        <f t="shared" si="83"/>
        <v>#NUM!</v>
      </c>
      <c r="U852">
        <v>-2.2515387669959646</v>
      </c>
    </row>
    <row r="853" spans="1:21" ht="13.9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1.26</v>
      </c>
      <c r="H853" s="2" t="e">
        <f t="shared" si="78"/>
        <v>#NUM!</v>
      </c>
      <c r="I853" s="2">
        <f t="shared" si="79"/>
        <v>0.37390096630005903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 t="e">
        <f t="shared" si="80"/>
        <v>#DIV/0!</v>
      </c>
      <c r="Q853" s="2" t="e">
        <f t="shared" si="81"/>
        <v>#DIV/0!</v>
      </c>
      <c r="R853" s="2" t="e">
        <f t="shared" si="82"/>
        <v>#DIV/0!</v>
      </c>
      <c r="S853" t="e">
        <f t="shared" si="83"/>
        <v>#DIV/0!</v>
      </c>
      <c r="U853" t="e">
        <v>#NUM!</v>
      </c>
    </row>
    <row r="854" spans="1:21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 t="e">
        <f t="shared" si="78"/>
        <v>#NUM!</v>
      </c>
      <c r="I854" s="2">
        <f t="shared" si="79"/>
        <v>0.37390096630005903</v>
      </c>
      <c r="J854" s="2">
        <v>0</v>
      </c>
      <c r="K854" s="2">
        <v>0</v>
      </c>
      <c r="L854" s="2">
        <v>0</v>
      </c>
      <c r="M854" s="2">
        <v>0.62</v>
      </c>
      <c r="N854" s="2">
        <v>0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0.1</v>
      </c>
      <c r="N855" s="2">
        <v>0</v>
      </c>
      <c r="O855" s="2">
        <v>0</v>
      </c>
      <c r="P855" s="2" t="e">
        <f t="shared" si="80"/>
        <v>#NUM!</v>
      </c>
      <c r="Q855" s="2">
        <f t="shared" si="81"/>
        <v>0.37390096630005903</v>
      </c>
      <c r="R855" s="2" t="e">
        <f t="shared" si="82"/>
        <v>#NUM!</v>
      </c>
      <c r="S855" t="e">
        <f t="shared" si="83"/>
        <v>#NUM!</v>
      </c>
      <c r="U855" t="e">
        <v>#NUM!</v>
      </c>
    </row>
    <row r="856" spans="1:21" ht="13.9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0.99</v>
      </c>
      <c r="F856" s="2">
        <v>0.4</v>
      </c>
      <c r="G856" s="2">
        <v>0</v>
      </c>
      <c r="H856" s="2" t="e">
        <f t="shared" si="78"/>
        <v>#NUM!</v>
      </c>
      <c r="I856" s="2">
        <f t="shared" si="79"/>
        <v>0.18238737220540271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 t="e">
        <f t="shared" si="80"/>
        <v>#DIV/0!</v>
      </c>
      <c r="Q856" s="2" t="e">
        <f t="shared" si="81"/>
        <v>#DIV/0!</v>
      </c>
      <c r="R856" s="2" t="e">
        <f t="shared" si="82"/>
        <v>#DIV/0!</v>
      </c>
      <c r="S856" t="e">
        <f t="shared" si="83"/>
        <v>#DIV/0!</v>
      </c>
      <c r="U856" t="e">
        <v>#NUM!</v>
      </c>
    </row>
    <row r="857" spans="1:21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 t="e">
        <f t="shared" si="78"/>
        <v>#NUM!</v>
      </c>
      <c r="I857" s="2">
        <f t="shared" si="79"/>
        <v>0.37390096630005903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 t="e">
        <f t="shared" si="80"/>
        <v>#DIV/0!</v>
      </c>
      <c r="Q857" s="2" t="e">
        <f t="shared" si="81"/>
        <v>#DIV/0!</v>
      </c>
      <c r="R857" s="2" t="e">
        <f t="shared" si="82"/>
        <v>#DIV/0!</v>
      </c>
      <c r="S857" t="e">
        <f t="shared" si="83"/>
        <v>#DIV/0!</v>
      </c>
      <c r="U857" t="e">
        <v>#NUM!</v>
      </c>
    </row>
    <row r="858" spans="1:21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0.31</v>
      </c>
      <c r="N858" s="2">
        <v>0</v>
      </c>
      <c r="O858" s="2">
        <v>0</v>
      </c>
      <c r="P858" s="2" t="e">
        <f t="shared" si="80"/>
        <v>#NUM!</v>
      </c>
      <c r="Q858" s="2">
        <f t="shared" si="81"/>
        <v>0.37390096630005903</v>
      </c>
      <c r="R858" s="2" t="e">
        <f t="shared" si="82"/>
        <v>#NUM!</v>
      </c>
      <c r="S858" t="e">
        <f t="shared" si="83"/>
        <v>#NUM!</v>
      </c>
      <c r="U858" t="e">
        <v>#NUM!</v>
      </c>
    </row>
    <row r="859" spans="1:21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 t="e">
        <f t="shared" si="78"/>
        <v>#NUM!</v>
      </c>
      <c r="I859" s="2">
        <f t="shared" si="79"/>
        <v>0.37390096630005903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 t="e">
        <f t="shared" si="80"/>
        <v>#DIV/0!</v>
      </c>
      <c r="Q859" s="2" t="e">
        <f t="shared" si="81"/>
        <v>#DIV/0!</v>
      </c>
      <c r="R859" s="2" t="e">
        <f t="shared" si="82"/>
        <v>#DIV/0!</v>
      </c>
      <c r="S859" t="e">
        <f t="shared" si="83"/>
        <v>#DIV/0!</v>
      </c>
      <c r="U859" t="e">
        <v>#NUM!</v>
      </c>
    </row>
    <row r="860" spans="1:21" ht="13.9" x14ac:dyDescent="0.3">
      <c r="A860" s="2" t="s">
        <v>877</v>
      </c>
      <c r="B860" s="2">
        <v>0</v>
      </c>
      <c r="C860" s="2">
        <v>12.44</v>
      </c>
      <c r="D860" s="2">
        <v>0</v>
      </c>
      <c r="E860" s="2">
        <v>8.49</v>
      </c>
      <c r="F860" s="2">
        <v>3.74</v>
      </c>
      <c r="G860" s="2">
        <v>3.06</v>
      </c>
      <c r="H860" s="2">
        <f t="shared" si="78"/>
        <v>-0.29760192123020229</v>
      </c>
      <c r="I860" s="2">
        <f t="shared" si="79"/>
        <v>0.8425925915392577</v>
      </c>
      <c r="J860" s="2">
        <v>6.29</v>
      </c>
      <c r="K860" s="2">
        <v>0</v>
      </c>
      <c r="L860" s="2">
        <v>0</v>
      </c>
      <c r="M860" s="2">
        <v>6.69</v>
      </c>
      <c r="N860" s="2">
        <v>0</v>
      </c>
      <c r="O860" s="2">
        <v>4.74</v>
      </c>
      <c r="P860" s="2">
        <f t="shared" si="80"/>
        <v>-0.86169348133518908</v>
      </c>
      <c r="Q860" s="2">
        <f t="shared" si="81"/>
        <v>0.58495570488955695</v>
      </c>
      <c r="R860" s="2">
        <f t="shared" si="82"/>
        <v>-0.56409156010498673</v>
      </c>
      <c r="S860">
        <f t="shared" si="83"/>
        <v>2.8954567153773456</v>
      </c>
      <c r="U860">
        <v>2.6530600171045644</v>
      </c>
    </row>
    <row r="861" spans="1:21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 t="e">
        <f t="shared" si="78"/>
        <v>#NUM!</v>
      </c>
      <c r="I861" s="2">
        <f t="shared" si="79"/>
        <v>0.37390096630005903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 t="e">
        <f t="shared" si="80"/>
        <v>#DIV/0!</v>
      </c>
      <c r="Q861" s="2" t="e">
        <f t="shared" si="81"/>
        <v>#DIV/0!</v>
      </c>
      <c r="R861" s="2" t="e">
        <f t="shared" si="82"/>
        <v>#DIV/0!</v>
      </c>
      <c r="S861" t="e">
        <f t="shared" si="83"/>
        <v>#DIV/0!</v>
      </c>
      <c r="U861" t="e">
        <v>#NUM!</v>
      </c>
    </row>
    <row r="862" spans="1:21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 t="e">
        <f t="shared" si="78"/>
        <v>#NUM!</v>
      </c>
      <c r="I862" s="2">
        <f t="shared" si="79"/>
        <v>0.37390096630005903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 t="e">
        <f t="shared" si="80"/>
        <v>#DIV/0!</v>
      </c>
      <c r="Q862" s="2" t="e">
        <f t="shared" si="81"/>
        <v>#DIV/0!</v>
      </c>
      <c r="R862" s="2" t="e">
        <f t="shared" si="82"/>
        <v>#DIV/0!</v>
      </c>
      <c r="S862" t="e">
        <f t="shared" si="83"/>
        <v>#DIV/0!</v>
      </c>
      <c r="U862" t="e">
        <v>#NUM!</v>
      </c>
    </row>
    <row r="863" spans="1:21" ht="13.9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78"/>
        <v>#DIV/0!</v>
      </c>
      <c r="I863" s="2" t="e">
        <f t="shared" si="79"/>
        <v>#DIV/0!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ht="13.9" x14ac:dyDescent="0.3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 t="e">
        <f t="shared" si="78"/>
        <v>#NUM!</v>
      </c>
      <c r="I864" s="2">
        <f t="shared" si="79"/>
        <v>0.37390096630005903</v>
      </c>
      <c r="J864" s="2">
        <v>0.18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 t="e">
        <f t="shared" si="80"/>
        <v>#DIV/0!</v>
      </c>
      <c r="Q864" s="2">
        <f t="shared" si="81"/>
        <v>0.37390096630005903</v>
      </c>
      <c r="R864" s="2" t="e">
        <f t="shared" si="82"/>
        <v>#DIV/0!</v>
      </c>
      <c r="S864" t="e">
        <f t="shared" si="83"/>
        <v>#DIV/0!</v>
      </c>
      <c r="U864">
        <v>-2.4739311883324122</v>
      </c>
    </row>
    <row r="865" spans="1:21" ht="13.9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0.81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ht="13.9" x14ac:dyDescent="0.3">
      <c r="A866" s="2" t="s">
        <v>883</v>
      </c>
      <c r="B866" s="2">
        <v>0</v>
      </c>
      <c r="C866" s="2">
        <v>0</v>
      </c>
      <c r="D866" s="2">
        <v>2.91</v>
      </c>
      <c r="E866" s="2">
        <v>0.99</v>
      </c>
      <c r="F866" s="2">
        <v>0.67</v>
      </c>
      <c r="G866" s="2">
        <v>1.9</v>
      </c>
      <c r="H866" s="2">
        <f t="shared" si="78"/>
        <v>-0.29085808805811381</v>
      </c>
      <c r="I866" s="2">
        <f t="shared" si="79"/>
        <v>0.84479734257898798</v>
      </c>
      <c r="J866" s="2">
        <v>0</v>
      </c>
      <c r="K866" s="2">
        <v>0</v>
      </c>
      <c r="L866" s="2">
        <v>0</v>
      </c>
      <c r="M866" s="2">
        <v>0.62</v>
      </c>
      <c r="N866" s="2">
        <v>0</v>
      </c>
      <c r="O866" s="2">
        <v>2.84</v>
      </c>
      <c r="P866" s="2" t="e">
        <f t="shared" si="80"/>
        <v>#NUM!</v>
      </c>
      <c r="Q866" s="2">
        <f t="shared" si="81"/>
        <v>0.2519576791984951</v>
      </c>
      <c r="R866" s="2" t="e">
        <f t="shared" si="82"/>
        <v>#NUM!</v>
      </c>
      <c r="S866" t="e">
        <f t="shared" si="83"/>
        <v>#NUM!</v>
      </c>
      <c r="U866" t="e">
        <v>#NUM!</v>
      </c>
    </row>
    <row r="867" spans="1:21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 t="e">
        <f t="shared" si="78"/>
        <v>#NUM!</v>
      </c>
      <c r="I867" s="2">
        <f t="shared" si="79"/>
        <v>0.37390096630005903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 t="e">
        <f t="shared" si="80"/>
        <v>#DIV/0!</v>
      </c>
      <c r="Q867" s="2" t="e">
        <f t="shared" si="81"/>
        <v>#DIV/0!</v>
      </c>
      <c r="R867" s="2" t="e">
        <f t="shared" si="82"/>
        <v>#DIV/0!</v>
      </c>
      <c r="S867" t="e">
        <f t="shared" si="83"/>
        <v>#DIV/0!</v>
      </c>
      <c r="U867" t="e">
        <v>#NUM!</v>
      </c>
    </row>
    <row r="868" spans="1:21" ht="13.9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78"/>
        <v>#DIV/0!</v>
      </c>
      <c r="I868" s="2" t="e">
        <f t="shared" si="79"/>
        <v>#DIV/0!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ht="13.9" x14ac:dyDescent="0.3">
      <c r="A869" s="2" t="s">
        <v>886</v>
      </c>
      <c r="B869" s="2">
        <v>110.09</v>
      </c>
      <c r="C869" s="2">
        <v>204.44</v>
      </c>
      <c r="D869" s="2">
        <v>129.63</v>
      </c>
      <c r="E869" s="2">
        <v>117.47</v>
      </c>
      <c r="F869" s="2">
        <v>171.28</v>
      </c>
      <c r="G869" s="2">
        <v>123.93</v>
      </c>
      <c r="H869" s="2">
        <f t="shared" si="78"/>
        <v>0.10605595133031381</v>
      </c>
      <c r="I869" s="2">
        <f t="shared" si="79"/>
        <v>0.76898078532208669</v>
      </c>
      <c r="J869" s="2">
        <v>72.58</v>
      </c>
      <c r="K869" s="2">
        <v>108.83</v>
      </c>
      <c r="L869" s="2">
        <v>213.16</v>
      </c>
      <c r="M869" s="2">
        <v>104.54</v>
      </c>
      <c r="N869" s="2">
        <v>81.75</v>
      </c>
      <c r="O869" s="2">
        <v>182.85</v>
      </c>
      <c r="P869" s="2">
        <f t="shared" si="80"/>
        <v>9.6113192597275646E-2</v>
      </c>
      <c r="Q869" s="2">
        <f t="shared" si="81"/>
        <v>0.87861290229443356</v>
      </c>
      <c r="R869" s="2">
        <f t="shared" si="82"/>
        <v>-9.9427587330381678E-3</v>
      </c>
      <c r="S869">
        <f t="shared" si="83"/>
        <v>0.90624987463389761</v>
      </c>
      <c r="U869">
        <v>8.6241374588200976</v>
      </c>
    </row>
    <row r="870" spans="1:21" ht="13.9" x14ac:dyDescent="0.3">
      <c r="A870" s="2" t="s">
        <v>887</v>
      </c>
      <c r="B870" s="2">
        <v>0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 t="e">
        <f t="shared" si="78"/>
        <v>#NUM!</v>
      </c>
      <c r="I870" s="2">
        <f t="shared" si="79"/>
        <v>0.16366189306599946</v>
      </c>
      <c r="J870" s="2">
        <v>0</v>
      </c>
      <c r="K870" s="2">
        <v>0</v>
      </c>
      <c r="L870" s="2">
        <v>7.54</v>
      </c>
      <c r="M870" s="2">
        <v>0.31</v>
      </c>
      <c r="N870" s="2">
        <v>0</v>
      </c>
      <c r="O870" s="2">
        <v>1.22</v>
      </c>
      <c r="P870" s="2">
        <f t="shared" si="80"/>
        <v>2.3010328705760128</v>
      </c>
      <c r="Q870" s="2">
        <f t="shared" si="81"/>
        <v>0.474373104383563</v>
      </c>
      <c r="R870" s="2" t="e">
        <f t="shared" si="82"/>
        <v>#NUM!</v>
      </c>
      <c r="S870" t="e">
        <f t="shared" si="83"/>
        <v>#NUM!</v>
      </c>
      <c r="U870">
        <v>2.9145645234939401</v>
      </c>
    </row>
    <row r="871" spans="1:21" ht="13.9" x14ac:dyDescent="0.3">
      <c r="A871" s="2" t="s">
        <v>888</v>
      </c>
      <c r="B871" s="2">
        <v>1019.17</v>
      </c>
      <c r="C871" s="2">
        <v>1207.3699999999999</v>
      </c>
      <c r="D871" s="2">
        <v>1104.5899999999999</v>
      </c>
      <c r="E871" s="2">
        <v>3956.7</v>
      </c>
      <c r="F871" s="2">
        <v>3210.03</v>
      </c>
      <c r="G871" s="2">
        <v>4022.79</v>
      </c>
      <c r="H871" s="2">
        <f t="shared" si="78"/>
        <v>-1.7480645873990259</v>
      </c>
      <c r="I871" s="2">
        <f t="shared" si="79"/>
        <v>5.9834737245994293E-4</v>
      </c>
      <c r="J871" s="2">
        <v>1335.37</v>
      </c>
      <c r="K871" s="2">
        <v>1104.79</v>
      </c>
      <c r="L871" s="2">
        <v>915.49</v>
      </c>
      <c r="M871" s="2">
        <v>3854.04</v>
      </c>
      <c r="N871" s="2">
        <v>4496.3999999999996</v>
      </c>
      <c r="O871" s="2">
        <v>3388.57</v>
      </c>
      <c r="P871" s="2">
        <f t="shared" si="80"/>
        <v>-1.8066465918563352</v>
      </c>
      <c r="Q871" s="2">
        <f t="shared" si="81"/>
        <v>1.2398504802061169E-3</v>
      </c>
      <c r="R871" s="2">
        <f t="shared" si="82"/>
        <v>-5.8582004457309322E-2</v>
      </c>
      <c r="S871">
        <f t="shared" si="83"/>
        <v>1.0335124942634268</v>
      </c>
      <c r="U871">
        <v>11.712376532741189</v>
      </c>
    </row>
    <row r="872" spans="1:21" ht="13.9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0.39</v>
      </c>
      <c r="F872" s="2">
        <v>0.13</v>
      </c>
      <c r="G872" s="2">
        <v>1.1599999999999999</v>
      </c>
      <c r="H872" s="2" t="e">
        <f t="shared" si="78"/>
        <v>#NUM!</v>
      </c>
      <c r="I872" s="2">
        <f t="shared" si="79"/>
        <v>0.1444038795773078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2.71</v>
      </c>
      <c r="P872" s="2" t="e">
        <f t="shared" si="80"/>
        <v>#NUM!</v>
      </c>
      <c r="Q872" s="2">
        <f t="shared" si="81"/>
        <v>0.37390096630005903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 t="e">
        <f t="shared" si="78"/>
        <v>#NUM!</v>
      </c>
      <c r="I873" s="2">
        <f t="shared" si="79"/>
        <v>0.37390096630005903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 t="e">
        <f t="shared" si="80"/>
        <v>#DIV/0!</v>
      </c>
      <c r="Q873" s="2" t="e">
        <f t="shared" si="81"/>
        <v>#DIV/0!</v>
      </c>
      <c r="R873" s="2" t="e">
        <f t="shared" si="82"/>
        <v>#DIV/0!</v>
      </c>
      <c r="S873" t="e">
        <f t="shared" si="83"/>
        <v>#DIV/0!</v>
      </c>
      <c r="U873" t="e">
        <v>#NUM!</v>
      </c>
    </row>
    <row r="874" spans="1:21" ht="13.9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0.59</v>
      </c>
      <c r="F874" s="2">
        <v>0.4</v>
      </c>
      <c r="G874" s="2">
        <v>0.42</v>
      </c>
      <c r="H874" s="2" t="e">
        <f t="shared" si="78"/>
        <v>#NUM!</v>
      </c>
      <c r="I874" s="2">
        <f t="shared" si="79"/>
        <v>1.4594476435095675E-3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2.44</v>
      </c>
      <c r="P874" s="2" t="e">
        <f t="shared" si="80"/>
        <v>#NUM!</v>
      </c>
      <c r="Q874" s="2">
        <f t="shared" si="81"/>
        <v>0.37390096630005903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ht="13.9" x14ac:dyDescent="0.3">
      <c r="A875" s="2" t="s">
        <v>892</v>
      </c>
      <c r="B875" s="2">
        <v>167.44</v>
      </c>
      <c r="C875" s="2">
        <v>186.14</v>
      </c>
      <c r="D875" s="2">
        <v>265.45</v>
      </c>
      <c r="E875" s="2">
        <v>176.11</v>
      </c>
      <c r="F875" s="2">
        <v>228.77</v>
      </c>
      <c r="G875" s="2">
        <v>192.33</v>
      </c>
      <c r="H875" s="2">
        <f t="shared" si="78"/>
        <v>5.1771005421692926E-2</v>
      </c>
      <c r="I875" s="2">
        <f t="shared" si="79"/>
        <v>0.84032221678176844</v>
      </c>
      <c r="J875" s="2">
        <v>84.8</v>
      </c>
      <c r="K875" s="2">
        <v>202.58</v>
      </c>
      <c r="L875" s="2">
        <v>256.89999999999998</v>
      </c>
      <c r="M875" s="2">
        <v>146.62</v>
      </c>
      <c r="N875" s="2">
        <v>0</v>
      </c>
      <c r="O875" s="2">
        <v>232.66</v>
      </c>
      <c r="P875" s="2">
        <f t="shared" si="80"/>
        <v>0.52108572588727164</v>
      </c>
      <c r="Q875" s="2">
        <f t="shared" si="81"/>
        <v>0.55201013626092155</v>
      </c>
      <c r="R875" s="2">
        <f t="shared" si="82"/>
        <v>0.46931472046557871</v>
      </c>
      <c r="S875">
        <f t="shared" si="83"/>
        <v>10.065203904054911</v>
      </c>
      <c r="U875">
        <v>9.0882052138389433</v>
      </c>
    </row>
    <row r="876" spans="1:21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 t="e">
        <f t="shared" si="78"/>
        <v>#NUM!</v>
      </c>
      <c r="I876" s="2">
        <f t="shared" si="79"/>
        <v>0.37390096630005903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 t="e">
        <f t="shared" si="80"/>
        <v>#DIV/0!</v>
      </c>
      <c r="Q876" s="2" t="e">
        <f t="shared" si="81"/>
        <v>#DIV/0!</v>
      </c>
      <c r="R876" s="2" t="e">
        <f t="shared" si="82"/>
        <v>#DIV/0!</v>
      </c>
      <c r="S876" t="e">
        <f t="shared" si="83"/>
        <v>#DIV/0!</v>
      </c>
      <c r="U876" t="e">
        <v>#NUM!</v>
      </c>
    </row>
    <row r="877" spans="1:21" ht="13.9" x14ac:dyDescent="0.3">
      <c r="A877" s="2" t="s">
        <v>894</v>
      </c>
      <c r="B877" s="2">
        <v>0</v>
      </c>
      <c r="C877" s="2">
        <v>0.24</v>
      </c>
      <c r="D877" s="2">
        <v>0</v>
      </c>
      <c r="E877" s="2">
        <v>0.39</v>
      </c>
      <c r="F877" s="2">
        <v>0.53</v>
      </c>
      <c r="G877" s="2">
        <v>0.95</v>
      </c>
      <c r="H877" s="2">
        <f t="shared" si="78"/>
        <v>-2.9619319591664808</v>
      </c>
      <c r="I877" s="2">
        <f t="shared" si="79"/>
        <v>4.3403742292860224E-2</v>
      </c>
      <c r="J877" s="2">
        <v>0</v>
      </c>
      <c r="K877" s="2">
        <v>0</v>
      </c>
      <c r="L877" s="2">
        <v>6.54</v>
      </c>
      <c r="M877" s="2">
        <v>1.23</v>
      </c>
      <c r="N877" s="2">
        <v>0</v>
      </c>
      <c r="O877" s="2">
        <v>2.57</v>
      </c>
      <c r="P877" s="2">
        <f t="shared" si="80"/>
        <v>0.78329121716713479</v>
      </c>
      <c r="Q877" s="2">
        <f t="shared" si="81"/>
        <v>0.71190484327805326</v>
      </c>
      <c r="R877" s="2">
        <f t="shared" si="82"/>
        <v>3.7452231763336155</v>
      </c>
      <c r="S877">
        <f t="shared" si="83"/>
        <v>-0.26445280579219022</v>
      </c>
      <c r="U877">
        <v>2.7092906357233577</v>
      </c>
    </row>
    <row r="878" spans="1:21" ht="13.9" x14ac:dyDescent="0.3">
      <c r="A878" s="2" t="s">
        <v>895</v>
      </c>
      <c r="B878" s="2">
        <v>0</v>
      </c>
      <c r="C878" s="2">
        <v>2.44</v>
      </c>
      <c r="D878" s="2">
        <v>2.37</v>
      </c>
      <c r="E878" s="2">
        <v>0.89</v>
      </c>
      <c r="F878" s="2">
        <v>1.47</v>
      </c>
      <c r="G878" s="2">
        <v>0.21</v>
      </c>
      <c r="H878" s="2">
        <f t="shared" si="78"/>
        <v>0.90426853457616407</v>
      </c>
      <c r="I878" s="2">
        <f t="shared" si="79"/>
        <v>0.44430112644892694</v>
      </c>
      <c r="J878" s="2">
        <v>3.41</v>
      </c>
      <c r="K878" s="2">
        <v>1.46</v>
      </c>
      <c r="L878" s="2">
        <v>0.5</v>
      </c>
      <c r="M878" s="2">
        <v>1.54</v>
      </c>
      <c r="N878" s="2">
        <v>0</v>
      </c>
      <c r="O878" s="2">
        <v>1.76</v>
      </c>
      <c r="P878" s="2">
        <f t="shared" si="80"/>
        <v>0.70245606373959701</v>
      </c>
      <c r="Q878" s="2">
        <f t="shared" si="81"/>
        <v>0.53566040831382156</v>
      </c>
      <c r="R878" s="2">
        <f t="shared" si="82"/>
        <v>-0.20181247083656706</v>
      </c>
      <c r="S878">
        <f t="shared" si="83"/>
        <v>0.77682241157361764</v>
      </c>
      <c r="U878">
        <v>2.4249220882106881</v>
      </c>
    </row>
    <row r="879" spans="1:21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122.63</v>
      </c>
      <c r="O879" s="2">
        <v>0.68</v>
      </c>
      <c r="P879" s="2" t="e">
        <f t="shared" si="80"/>
        <v>#NUM!</v>
      </c>
      <c r="Q879" s="2">
        <f t="shared" si="81"/>
        <v>0.37033993423004985</v>
      </c>
      <c r="R879" s="2" t="e">
        <f t="shared" si="82"/>
        <v>#NUM!</v>
      </c>
      <c r="S879" t="e">
        <f t="shared" si="83"/>
        <v>#NUM!</v>
      </c>
      <c r="U879" t="e">
        <v>#NUM!</v>
      </c>
    </row>
    <row r="880" spans="1:21" ht="13.9" x14ac:dyDescent="0.3">
      <c r="A880" s="2" t="s">
        <v>897</v>
      </c>
      <c r="B880" s="2">
        <v>0</v>
      </c>
      <c r="C880" s="2">
        <v>7.07</v>
      </c>
      <c r="D880" s="2">
        <v>0</v>
      </c>
      <c r="E880" s="2">
        <v>0</v>
      </c>
      <c r="F880" s="2">
        <v>0.4</v>
      </c>
      <c r="G880" s="2">
        <v>0</v>
      </c>
      <c r="H880" s="2">
        <f t="shared" si="78"/>
        <v>4.1436383099220366</v>
      </c>
      <c r="I880" s="2">
        <f t="shared" si="79"/>
        <v>0.3995670833497606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0.95</v>
      </c>
      <c r="P880" s="2" t="e">
        <f t="shared" si="80"/>
        <v>#NUM!</v>
      </c>
      <c r="Q880" s="2">
        <f t="shared" si="81"/>
        <v>0.37390096630005903</v>
      </c>
      <c r="R880" s="2" t="e">
        <f t="shared" si="82"/>
        <v>#NUM!</v>
      </c>
      <c r="S880" t="e">
        <f t="shared" si="83"/>
        <v>#NUM!</v>
      </c>
      <c r="U880" t="e">
        <v>#NUM!</v>
      </c>
    </row>
    <row r="881" spans="1:21" ht="13.9" x14ac:dyDescent="0.3">
      <c r="A881" s="2" t="s">
        <v>898</v>
      </c>
      <c r="B881" s="2">
        <v>0</v>
      </c>
      <c r="C881" s="2">
        <v>0</v>
      </c>
      <c r="D881" s="2">
        <v>1.0900000000000001</v>
      </c>
      <c r="E881" s="2">
        <v>0.39</v>
      </c>
      <c r="F881" s="2">
        <v>0.27</v>
      </c>
      <c r="G881" s="2">
        <v>0.42</v>
      </c>
      <c r="H881" s="2">
        <f t="shared" si="78"/>
        <v>1.3296822613457873E-2</v>
      </c>
      <c r="I881" s="2">
        <f t="shared" si="79"/>
        <v>0.99317346796901795</v>
      </c>
      <c r="J881" s="2">
        <v>1.26</v>
      </c>
      <c r="K881" s="2">
        <v>0</v>
      </c>
      <c r="L881" s="2">
        <v>0</v>
      </c>
      <c r="M881" s="2">
        <v>0</v>
      </c>
      <c r="N881" s="2">
        <v>0</v>
      </c>
      <c r="O881" s="2">
        <v>0.68</v>
      </c>
      <c r="P881" s="2">
        <f t="shared" si="80"/>
        <v>0.88981708224957701</v>
      </c>
      <c r="Q881" s="2">
        <f t="shared" si="81"/>
        <v>0.7061408468350745</v>
      </c>
      <c r="R881" s="2">
        <f t="shared" si="82"/>
        <v>0.87652025963611913</v>
      </c>
      <c r="S881">
        <f t="shared" si="83"/>
        <v>66.919527177040209</v>
      </c>
      <c r="U881">
        <v>0.3334237337251918</v>
      </c>
    </row>
    <row r="882" spans="1:21" ht="13.9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0.11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0.81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ht="13.9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 t="e">
        <f t="shared" si="80"/>
        <v>#DIV/0!</v>
      </c>
      <c r="Q883" s="2" t="e">
        <f t="shared" si="81"/>
        <v>#DIV/0!</v>
      </c>
      <c r="R883" s="2" t="e">
        <f t="shared" si="82"/>
        <v>#DIV/0!</v>
      </c>
      <c r="S883" t="e">
        <f t="shared" si="83"/>
        <v>#DIV/0!</v>
      </c>
      <c r="U883" t="e">
        <v>#NUM!</v>
      </c>
    </row>
    <row r="884" spans="1:21" ht="13.9" x14ac:dyDescent="0.3">
      <c r="A884" s="2" t="s">
        <v>901</v>
      </c>
      <c r="B884" s="2">
        <v>0</v>
      </c>
      <c r="C884" s="2">
        <v>0</v>
      </c>
      <c r="D884" s="2">
        <v>0</v>
      </c>
      <c r="E884" s="2">
        <v>1.0900000000000001</v>
      </c>
      <c r="F884" s="2">
        <v>3.61</v>
      </c>
      <c r="G884" s="2">
        <v>1.26</v>
      </c>
      <c r="H884" s="2" t="e">
        <f t="shared" si="78"/>
        <v>#NUM!</v>
      </c>
      <c r="I884" s="2">
        <f t="shared" si="79"/>
        <v>7.0964956623766645E-2</v>
      </c>
      <c r="J884" s="2">
        <v>0</v>
      </c>
      <c r="K884" s="2">
        <v>4.5999999999999996</v>
      </c>
      <c r="L884" s="2">
        <v>0</v>
      </c>
      <c r="M884" s="2">
        <v>1.44</v>
      </c>
      <c r="N884" s="2">
        <v>0</v>
      </c>
      <c r="O884" s="2">
        <v>2.0299999999999998</v>
      </c>
      <c r="P884" s="2">
        <f t="shared" si="80"/>
        <v>0.40669819836611426</v>
      </c>
      <c r="Q884" s="2">
        <f t="shared" si="81"/>
        <v>0.83038028086068039</v>
      </c>
      <c r="R884" s="2" t="e">
        <f t="shared" si="82"/>
        <v>#NUM!</v>
      </c>
      <c r="S884" t="e">
        <f t="shared" si="83"/>
        <v>#NUM!</v>
      </c>
      <c r="U884">
        <v>2.2016338611696504</v>
      </c>
    </row>
    <row r="885" spans="1:21" ht="13.9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 t="e">
        <f t="shared" si="78"/>
        <v>#NUM!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 t="e">
        <f t="shared" si="80"/>
        <v>#DIV/0!</v>
      </c>
      <c r="Q885" s="2" t="e">
        <f t="shared" si="81"/>
        <v>#DIV/0!</v>
      </c>
      <c r="R885" s="2" t="e">
        <f t="shared" si="82"/>
        <v>#DIV/0!</v>
      </c>
      <c r="S885" t="e">
        <f t="shared" si="83"/>
        <v>#DIV/0!</v>
      </c>
      <c r="U885" t="e">
        <v>#NUM!</v>
      </c>
    </row>
    <row r="886" spans="1:21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0.21</v>
      </c>
      <c r="N886" s="2">
        <v>0</v>
      </c>
      <c r="O886" s="2">
        <v>0</v>
      </c>
      <c r="P886" s="2" t="e">
        <f t="shared" si="80"/>
        <v>#NUM!</v>
      </c>
      <c r="Q886" s="2">
        <f t="shared" si="81"/>
        <v>0.37390096630005903</v>
      </c>
      <c r="R886" s="2" t="e">
        <f t="shared" si="82"/>
        <v>#NUM!</v>
      </c>
      <c r="S886" t="e">
        <f t="shared" si="83"/>
        <v>#NUM!</v>
      </c>
      <c r="U886" t="e">
        <v>#NUM!</v>
      </c>
    </row>
    <row r="887" spans="1:21" ht="13.9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2.4700000000000002</v>
      </c>
      <c r="F887" s="2">
        <v>0</v>
      </c>
      <c r="G887" s="2">
        <v>0</v>
      </c>
      <c r="H887" s="2" t="e">
        <f t="shared" si="78"/>
        <v>#NUM!</v>
      </c>
      <c r="I887" s="2">
        <f t="shared" si="79"/>
        <v>0.37390096630005903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0.95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ht="13.9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0.39</v>
      </c>
      <c r="F888" s="2">
        <v>0.27</v>
      </c>
      <c r="G888" s="2">
        <v>0.42</v>
      </c>
      <c r="H888" s="2" t="e">
        <f t="shared" si="78"/>
        <v>#NUM!</v>
      </c>
      <c r="I888" s="2">
        <f t="shared" si="79"/>
        <v>1.4186112260286725E-3</v>
      </c>
      <c r="J888" s="2">
        <v>0</v>
      </c>
      <c r="K888" s="2">
        <v>0</v>
      </c>
      <c r="L888" s="2">
        <v>0</v>
      </c>
      <c r="M888" s="2">
        <v>0.41</v>
      </c>
      <c r="N888" s="2">
        <v>0</v>
      </c>
      <c r="O888" s="2">
        <v>0</v>
      </c>
      <c r="P888" s="2" t="e">
        <f t="shared" si="80"/>
        <v>#NUM!</v>
      </c>
      <c r="Q888" s="2">
        <f t="shared" si="81"/>
        <v>0.37390096630005903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ht="13.9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0.32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0.14000000000000001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ht="13.9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1.18</v>
      </c>
      <c r="F890" s="2">
        <v>0.8</v>
      </c>
      <c r="G890" s="2">
        <v>0.21</v>
      </c>
      <c r="H890" s="2" t="e">
        <f t="shared" si="78"/>
        <v>#NUM!</v>
      </c>
      <c r="I890" s="2">
        <f t="shared" si="79"/>
        <v>6.0884188090732552E-2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4.0599999999999996</v>
      </c>
      <c r="P890" s="2" t="e">
        <f t="shared" si="80"/>
        <v>#NUM!</v>
      </c>
      <c r="Q890" s="2">
        <f t="shared" si="81"/>
        <v>0.37390096630005903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ht="13.9" x14ac:dyDescent="0.3">
      <c r="A891" s="2" t="s">
        <v>908</v>
      </c>
      <c r="B891" s="2">
        <v>4.9400000000000004</v>
      </c>
      <c r="C891" s="2">
        <v>0</v>
      </c>
      <c r="D891" s="2">
        <v>0</v>
      </c>
      <c r="E891" s="2">
        <v>0.1</v>
      </c>
      <c r="F891" s="2">
        <v>0</v>
      </c>
      <c r="G891" s="2">
        <v>2.42</v>
      </c>
      <c r="H891" s="2">
        <f t="shared" si="78"/>
        <v>0.97108730808476129</v>
      </c>
      <c r="I891" s="2">
        <f t="shared" si="79"/>
        <v>0.68158548371259953</v>
      </c>
      <c r="J891" s="2">
        <v>4.8499999999999996</v>
      </c>
      <c r="K891" s="2">
        <v>0.21</v>
      </c>
      <c r="L891" s="2">
        <v>23.63</v>
      </c>
      <c r="M891" s="2">
        <v>1.1299999999999999</v>
      </c>
      <c r="N891" s="2">
        <v>0</v>
      </c>
      <c r="O891" s="2">
        <v>0.81</v>
      </c>
      <c r="P891" s="2">
        <f t="shared" si="80"/>
        <v>3.8864194105815368</v>
      </c>
      <c r="Q891" s="2">
        <f t="shared" si="81"/>
        <v>0.28141362252671959</v>
      </c>
      <c r="R891" s="2">
        <f t="shared" si="82"/>
        <v>2.9153321024967758</v>
      </c>
      <c r="S891">
        <f t="shared" si="83"/>
        <v>4.0021318147454474</v>
      </c>
      <c r="U891">
        <v>4.8424760629939394</v>
      </c>
    </row>
    <row r="892" spans="1:21" ht="13.9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</v>
      </c>
      <c r="F892" s="2">
        <v>0.67</v>
      </c>
      <c r="G892" s="2">
        <v>0</v>
      </c>
      <c r="H892" s="2" t="e">
        <f t="shared" si="78"/>
        <v>#NUM!</v>
      </c>
      <c r="I892" s="2">
        <f t="shared" si="79"/>
        <v>0.37390096630005903</v>
      </c>
      <c r="J892" s="2">
        <v>0</v>
      </c>
      <c r="K892" s="2">
        <v>0</v>
      </c>
      <c r="L892" s="2">
        <v>0</v>
      </c>
      <c r="M892" s="2">
        <v>0.21</v>
      </c>
      <c r="N892" s="2">
        <v>0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ht="13.9" x14ac:dyDescent="0.3">
      <c r="A893" s="2" t="s">
        <v>910</v>
      </c>
      <c r="B893" s="2">
        <v>35.270000000000003</v>
      </c>
      <c r="C893" s="2">
        <v>11.95</v>
      </c>
      <c r="D893" s="2">
        <v>26.76</v>
      </c>
      <c r="E893" s="2">
        <v>0</v>
      </c>
      <c r="F893" s="2">
        <v>0</v>
      </c>
      <c r="G893" s="2">
        <v>0.11</v>
      </c>
      <c r="H893" s="2">
        <f t="shared" ref="H893:H926" si="84">LOG(SUM(B893:D893)/SUM(E893:G893),2)</f>
        <v>9.393487966486699</v>
      </c>
      <c r="I893" s="2">
        <f t="shared" ref="I893:I926" si="85">_xlfn.T.TEST(B893:D893,E893:G893,2,2)</f>
        <v>2.247741987351291E-2</v>
      </c>
      <c r="J893" s="2">
        <v>42.58</v>
      </c>
      <c r="K893" s="2">
        <v>42.27</v>
      </c>
      <c r="L893" s="2">
        <v>125.18</v>
      </c>
      <c r="M893" s="2">
        <v>0</v>
      </c>
      <c r="N893" s="2">
        <v>0</v>
      </c>
      <c r="O893" s="2">
        <v>0</v>
      </c>
      <c r="P893" s="2" t="e">
        <f t="shared" ref="P893:P926" si="86">LOG(SUM(J893:L893)/SUM(M893:O893),2)</f>
        <v>#DIV/0!</v>
      </c>
      <c r="Q893" s="2">
        <f t="shared" ref="Q893:Q926" si="87">_xlfn.T.TEST(J893:L893,M893:O893,2,2)</f>
        <v>6.4119706422422124E-2</v>
      </c>
      <c r="R893" s="2" t="e">
        <f t="shared" ref="R893:R926" si="88">P893-H893</f>
        <v>#DIV/0!</v>
      </c>
      <c r="S893" t="e">
        <f t="shared" si="83"/>
        <v>#DIV/0!</v>
      </c>
      <c r="U893">
        <v>7.7144516022377019</v>
      </c>
    </row>
    <row r="894" spans="1:21" ht="13.9" x14ac:dyDescent="0.3">
      <c r="A894" s="2" t="s">
        <v>911</v>
      </c>
      <c r="B894" s="2">
        <v>0</v>
      </c>
      <c r="C894" s="2">
        <v>0</v>
      </c>
      <c r="D894" s="2">
        <v>0.18</v>
      </c>
      <c r="E894" s="2">
        <v>0</v>
      </c>
      <c r="F894" s="2">
        <v>0.67</v>
      </c>
      <c r="G894" s="2">
        <v>0</v>
      </c>
      <c r="H894" s="2">
        <f t="shared" si="84"/>
        <v>-1.8961641890154601</v>
      </c>
      <c r="I894" s="2">
        <f t="shared" si="85"/>
        <v>0.51897037242873056</v>
      </c>
      <c r="J894" s="2">
        <v>0</v>
      </c>
      <c r="K894" s="2">
        <v>0</v>
      </c>
      <c r="L894" s="2">
        <v>0</v>
      </c>
      <c r="M894" s="2">
        <v>0.31</v>
      </c>
      <c r="N894" s="2">
        <v>0</v>
      </c>
      <c r="O894" s="2">
        <v>1.22</v>
      </c>
      <c r="P894" s="2" t="e">
        <f t="shared" si="86"/>
        <v>#NUM!</v>
      </c>
      <c r="Q894" s="2">
        <f t="shared" si="87"/>
        <v>0.23603457154468926</v>
      </c>
      <c r="R894" s="2" t="e">
        <f t="shared" si="88"/>
        <v>#NUM!</v>
      </c>
      <c r="S894" t="e">
        <f t="shared" si="83"/>
        <v>#NUM!</v>
      </c>
      <c r="U894" t="e">
        <v>#NUM!</v>
      </c>
    </row>
    <row r="895" spans="1:21" ht="13.9" x14ac:dyDescent="0.3">
      <c r="A895" s="2" t="s">
        <v>912</v>
      </c>
      <c r="B895" s="2">
        <v>0</v>
      </c>
      <c r="C895" s="2">
        <v>19.760000000000002</v>
      </c>
      <c r="D895" s="2">
        <v>0.18</v>
      </c>
      <c r="E895" s="2">
        <v>21.03</v>
      </c>
      <c r="F895" s="2">
        <v>17.78</v>
      </c>
      <c r="G895" s="2">
        <v>21.29</v>
      </c>
      <c r="H895" s="2">
        <f t="shared" si="84"/>
        <v>-1.5916995812003518</v>
      </c>
      <c r="I895" s="2">
        <f t="shared" si="85"/>
        <v>0.11453647497599236</v>
      </c>
      <c r="J895" s="2">
        <v>0.18</v>
      </c>
      <c r="K895" s="2">
        <v>7.12</v>
      </c>
      <c r="L895" s="2">
        <v>0.5</v>
      </c>
      <c r="M895" s="2">
        <v>22.22</v>
      </c>
      <c r="N895" s="2">
        <v>81.75</v>
      </c>
      <c r="O895" s="2">
        <v>15.7</v>
      </c>
      <c r="P895" s="2">
        <f t="shared" si="86"/>
        <v>-3.9394435950587088</v>
      </c>
      <c r="Q895" s="2">
        <f t="shared" si="87"/>
        <v>0.15244953229162092</v>
      </c>
      <c r="R895" s="2">
        <f t="shared" si="88"/>
        <v>-2.3477440138583567</v>
      </c>
      <c r="S895">
        <f t="shared" si="83"/>
        <v>2.4749919153009059</v>
      </c>
      <c r="U895">
        <v>2.9634741239748865</v>
      </c>
    </row>
    <row r="896" spans="1:21" ht="13.9" x14ac:dyDescent="0.3">
      <c r="A896" s="2" t="s">
        <v>913</v>
      </c>
      <c r="B896" s="2">
        <v>0</v>
      </c>
      <c r="C896" s="2">
        <v>7.56</v>
      </c>
      <c r="D896" s="2">
        <v>0</v>
      </c>
      <c r="E896" s="2">
        <v>0.3</v>
      </c>
      <c r="F896" s="2">
        <v>0.8</v>
      </c>
      <c r="G896" s="2">
        <v>0.32</v>
      </c>
      <c r="H896" s="2">
        <f t="shared" si="84"/>
        <v>2.4124953047163902</v>
      </c>
      <c r="I896" s="2">
        <f t="shared" si="85"/>
        <v>0.46313503322290994</v>
      </c>
      <c r="J896" s="2">
        <v>0</v>
      </c>
      <c r="K896" s="2">
        <v>0</v>
      </c>
      <c r="L896" s="2">
        <v>4.5199999999999996</v>
      </c>
      <c r="M896" s="2">
        <v>0</v>
      </c>
      <c r="N896" s="2">
        <v>0</v>
      </c>
      <c r="O896" s="2">
        <v>1.22</v>
      </c>
      <c r="P896" s="2">
        <f t="shared" si="86"/>
        <v>1.8894416248523016</v>
      </c>
      <c r="Q896" s="2">
        <f t="shared" si="87"/>
        <v>0.51977246542006394</v>
      </c>
      <c r="R896" s="2">
        <f t="shared" si="88"/>
        <v>-0.52305367986408857</v>
      </c>
      <c r="S896">
        <f t="shared" si="83"/>
        <v>0.78318976254937078</v>
      </c>
      <c r="U896">
        <v>2.176322772640463</v>
      </c>
    </row>
    <row r="897" spans="1:21" ht="13.9" x14ac:dyDescent="0.3">
      <c r="A897" s="2" t="s">
        <v>914</v>
      </c>
      <c r="B897" s="2">
        <v>0</v>
      </c>
      <c r="C897" s="2">
        <v>7.81</v>
      </c>
      <c r="D897" s="2">
        <v>0</v>
      </c>
      <c r="E897" s="2">
        <v>0</v>
      </c>
      <c r="F897" s="2">
        <v>0.13</v>
      </c>
      <c r="G897" s="2">
        <v>0.11</v>
      </c>
      <c r="H897" s="2">
        <f t="shared" si="84"/>
        <v>5.0242162374208235</v>
      </c>
      <c r="I897" s="2">
        <f t="shared" si="85"/>
        <v>0.38734925488208344</v>
      </c>
      <c r="J897" s="2">
        <v>2.34</v>
      </c>
      <c r="K897" s="2">
        <v>0</v>
      </c>
      <c r="L897" s="2">
        <v>17.09</v>
      </c>
      <c r="M897" s="2">
        <v>0.51</v>
      </c>
      <c r="N897" s="2">
        <v>0</v>
      </c>
      <c r="O897" s="2">
        <v>0</v>
      </c>
      <c r="P897" s="2">
        <f t="shared" si="86"/>
        <v>5.2516448436138488</v>
      </c>
      <c r="Q897" s="2">
        <f t="shared" si="87"/>
        <v>0.30397514946033127</v>
      </c>
      <c r="R897" s="2">
        <f t="shared" si="88"/>
        <v>0.2274286061930253</v>
      </c>
      <c r="S897">
        <f t="shared" si="83"/>
        <v>1.0452664844516675</v>
      </c>
      <c r="U897">
        <v>4.2802139958106196</v>
      </c>
    </row>
    <row r="898" spans="1:21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0.31</v>
      </c>
      <c r="N898" s="2">
        <v>0</v>
      </c>
      <c r="O898" s="2">
        <v>0</v>
      </c>
      <c r="P898" s="2" t="e">
        <f t="shared" si="86"/>
        <v>#NUM!</v>
      </c>
      <c r="Q898" s="2">
        <f t="shared" si="87"/>
        <v>0.37390096630005903</v>
      </c>
      <c r="R898" s="2" t="e">
        <f t="shared" si="88"/>
        <v>#NUM!</v>
      </c>
      <c r="S898" t="e">
        <f t="shared" si="83"/>
        <v>#NUM!</v>
      </c>
      <c r="U898" t="e">
        <v>#NUM!</v>
      </c>
    </row>
    <row r="899" spans="1:21" ht="13.9" x14ac:dyDescent="0.3">
      <c r="A899" s="2" t="s">
        <v>916</v>
      </c>
      <c r="B899" s="2">
        <v>14.17</v>
      </c>
      <c r="C899" s="2">
        <v>0</v>
      </c>
      <c r="D899" s="2">
        <v>0.91</v>
      </c>
      <c r="E899" s="2">
        <v>24.09</v>
      </c>
      <c r="F899" s="2">
        <v>23.93</v>
      </c>
      <c r="G899" s="2">
        <v>16.86</v>
      </c>
      <c r="H899" s="2">
        <f t="shared" si="84"/>
        <v>-2.1051373909486086</v>
      </c>
      <c r="I899" s="2">
        <f t="shared" si="85"/>
        <v>3.2419258654864412E-2</v>
      </c>
      <c r="J899" s="2">
        <v>9.8800000000000008</v>
      </c>
      <c r="K899" s="2">
        <v>9.2100000000000009</v>
      </c>
      <c r="L899" s="2">
        <v>0</v>
      </c>
      <c r="M899" s="2">
        <v>21.09</v>
      </c>
      <c r="N899" s="2">
        <v>0</v>
      </c>
      <c r="O899" s="2">
        <v>12.86</v>
      </c>
      <c r="P899" s="2">
        <f t="shared" si="86"/>
        <v>-0.83059447172815648</v>
      </c>
      <c r="Q899" s="2">
        <f t="shared" si="87"/>
        <v>0.51340927705975059</v>
      </c>
      <c r="R899" s="2">
        <f t="shared" si="88"/>
        <v>1.274542919220452</v>
      </c>
      <c r="S899">
        <f t="shared" si="83"/>
        <v>0.39455594456658116</v>
      </c>
      <c r="U899">
        <v>4.2547451976292132</v>
      </c>
    </row>
    <row r="900" spans="1:21" ht="13.9" x14ac:dyDescent="0.3">
      <c r="A900" s="2" t="s">
        <v>917</v>
      </c>
      <c r="B900" s="2">
        <v>0</v>
      </c>
      <c r="C900" s="2">
        <v>0</v>
      </c>
      <c r="D900" s="2">
        <v>0</v>
      </c>
      <c r="E900" s="2">
        <v>0.1</v>
      </c>
      <c r="F900" s="2">
        <v>1.2</v>
      </c>
      <c r="G900" s="2">
        <v>0.74</v>
      </c>
      <c r="H900" s="2" t="e">
        <f t="shared" si="84"/>
        <v>#NUM!</v>
      </c>
      <c r="I900" s="2">
        <f t="shared" si="85"/>
        <v>9.9988250660252603E-2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 t="e">
        <f t="shared" si="86"/>
        <v>#DIV/0!</v>
      </c>
      <c r="Q900" s="2" t="e">
        <f t="shared" si="87"/>
        <v>#DIV/0!</v>
      </c>
      <c r="R900" s="2" t="e">
        <f t="shared" si="88"/>
        <v>#DIV/0!</v>
      </c>
      <c r="S900" t="e">
        <f t="shared" ref="S900:S926" si="89">P900/H900</f>
        <v>#DIV/0!</v>
      </c>
      <c r="U900" t="e">
        <v>#NUM!</v>
      </c>
    </row>
    <row r="901" spans="1:21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 t="e">
        <f t="shared" si="84"/>
        <v>#NUM!</v>
      </c>
      <c r="I901" s="2">
        <f t="shared" si="85"/>
        <v>0.37390096630005903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 t="e">
        <f t="shared" si="86"/>
        <v>#DIV/0!</v>
      </c>
      <c r="Q901" s="2" t="e">
        <f t="shared" si="87"/>
        <v>#DIV/0!</v>
      </c>
      <c r="R901" s="2" t="e">
        <f t="shared" si="88"/>
        <v>#DIV/0!</v>
      </c>
      <c r="S901" t="e">
        <f t="shared" si="89"/>
        <v>#DIV/0!</v>
      </c>
      <c r="U901" t="e">
        <v>#NUM!</v>
      </c>
    </row>
    <row r="902" spans="1:21" ht="13.9" x14ac:dyDescent="0.3">
      <c r="A902" s="2" t="s">
        <v>919</v>
      </c>
      <c r="B902" s="2">
        <v>6769.61</v>
      </c>
      <c r="C902" s="2">
        <v>7978.28</v>
      </c>
      <c r="D902" s="2">
        <v>4862.2299999999996</v>
      </c>
      <c r="E902" s="2">
        <v>10794.61</v>
      </c>
      <c r="F902" s="2">
        <v>14466.52</v>
      </c>
      <c r="G902" s="2">
        <v>12519.33</v>
      </c>
      <c r="H902" s="2">
        <f t="shared" si="84"/>
        <v>-0.94604190369420449</v>
      </c>
      <c r="I902" s="2">
        <f t="shared" si="85"/>
        <v>1.2253374175708147E-2</v>
      </c>
      <c r="J902" s="2">
        <v>3747.76</v>
      </c>
      <c r="K902" s="2">
        <v>6779.66</v>
      </c>
      <c r="L902" s="2">
        <v>9669.24</v>
      </c>
      <c r="M902" s="2">
        <v>11314.25</v>
      </c>
      <c r="N902" s="2">
        <v>6662.85</v>
      </c>
      <c r="O902" s="2">
        <v>15917.31</v>
      </c>
      <c r="P902" s="2">
        <f t="shared" si="86"/>
        <v>-0.74693062938635491</v>
      </c>
      <c r="Q902" s="2">
        <f t="shared" si="87"/>
        <v>0.22339857434913044</v>
      </c>
      <c r="R902" s="2">
        <f t="shared" si="88"/>
        <v>0.19911127430784958</v>
      </c>
      <c r="S902">
        <f t="shared" si="89"/>
        <v>0.78953228865408731</v>
      </c>
      <c r="U902">
        <v>14.301829108177511</v>
      </c>
    </row>
    <row r="903" spans="1:21" ht="13.9" x14ac:dyDescent="0.3">
      <c r="A903" s="2" t="s">
        <v>920</v>
      </c>
      <c r="B903" s="2">
        <v>14.17</v>
      </c>
      <c r="C903" s="2">
        <v>18.3</v>
      </c>
      <c r="D903" s="2">
        <v>18.02</v>
      </c>
      <c r="E903" s="2">
        <v>11.94</v>
      </c>
      <c r="F903" s="2">
        <v>8.9600000000000009</v>
      </c>
      <c r="G903" s="2">
        <v>8.33</v>
      </c>
      <c r="H903" s="2">
        <f t="shared" si="84"/>
        <v>0.78854784824505253</v>
      </c>
      <c r="I903" s="2">
        <f t="shared" si="85"/>
        <v>1.5081045490374374E-2</v>
      </c>
      <c r="J903" s="2">
        <v>14.01</v>
      </c>
      <c r="K903" s="2">
        <v>7.95</v>
      </c>
      <c r="L903" s="2">
        <v>12.57</v>
      </c>
      <c r="M903" s="2">
        <v>5.14</v>
      </c>
      <c r="N903" s="2">
        <v>40.880000000000003</v>
      </c>
      <c r="O903" s="2">
        <v>8.66</v>
      </c>
      <c r="P903" s="2">
        <f t="shared" si="86"/>
        <v>-0.66316290875267359</v>
      </c>
      <c r="Q903" s="2">
        <f t="shared" si="87"/>
        <v>0.59109478931411252</v>
      </c>
      <c r="R903" s="2">
        <f t="shared" si="88"/>
        <v>-1.4517107569977261</v>
      </c>
      <c r="S903">
        <f t="shared" si="89"/>
        <v>-0.84099260460677361</v>
      </c>
      <c r="U903">
        <v>5.1097784290786619</v>
      </c>
    </row>
    <row r="904" spans="1:21" ht="13.9" x14ac:dyDescent="0.3">
      <c r="A904" s="2" t="s">
        <v>921</v>
      </c>
      <c r="B904" s="2">
        <v>3.96</v>
      </c>
      <c r="C904" s="2">
        <v>0</v>
      </c>
      <c r="D904" s="2">
        <v>7.28</v>
      </c>
      <c r="E904" s="2">
        <v>1.18</v>
      </c>
      <c r="F904" s="2">
        <v>0.94</v>
      </c>
      <c r="G904" s="2">
        <v>0.63</v>
      </c>
      <c r="H904" s="2">
        <f t="shared" si="84"/>
        <v>2.031138511808904</v>
      </c>
      <c r="I904" s="2">
        <f t="shared" si="85"/>
        <v>0.25098800208308375</v>
      </c>
      <c r="J904" s="2">
        <v>6.11</v>
      </c>
      <c r="K904" s="2">
        <v>0</v>
      </c>
      <c r="L904" s="2">
        <v>8.5500000000000007</v>
      </c>
      <c r="M904" s="2">
        <v>2.88</v>
      </c>
      <c r="N904" s="2">
        <v>0</v>
      </c>
      <c r="O904" s="2">
        <v>0.54</v>
      </c>
      <c r="P904" s="2">
        <f t="shared" si="86"/>
        <v>2.0998168732479141</v>
      </c>
      <c r="Q904" s="2">
        <f t="shared" si="87"/>
        <v>0.23639640620828056</v>
      </c>
      <c r="R904" s="2">
        <f t="shared" si="88"/>
        <v>6.8678361439010072E-2</v>
      </c>
      <c r="S904">
        <f t="shared" si="89"/>
        <v>1.0338127414943485</v>
      </c>
      <c r="U904">
        <v>3.8738131983590871</v>
      </c>
    </row>
    <row r="905" spans="1:21" ht="13.9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0.94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3.25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 t="e">
        <f t="shared" si="84"/>
        <v>#NUM!</v>
      </c>
      <c r="I906" s="2">
        <f t="shared" si="85"/>
        <v>0.13333375295265293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 t="e">
        <f t="shared" si="86"/>
        <v>#DIV/0!</v>
      </c>
      <c r="Q906" s="2" t="e">
        <f t="shared" si="87"/>
        <v>#DIV/0!</v>
      </c>
      <c r="R906" s="2" t="e">
        <f t="shared" si="88"/>
        <v>#DIV/0!</v>
      </c>
      <c r="S906" t="e">
        <f t="shared" si="89"/>
        <v>#DIV/0!</v>
      </c>
      <c r="U906" t="e">
        <v>#NUM!</v>
      </c>
    </row>
    <row r="907" spans="1:21" ht="13.9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 t="e">
        <f t="shared" si="85"/>
        <v>#DIV/0!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ht="13.9" x14ac:dyDescent="0.3">
      <c r="A908" s="2" t="s">
        <v>925</v>
      </c>
      <c r="B908" s="2">
        <v>140.09</v>
      </c>
      <c r="C908" s="2">
        <v>126.86</v>
      </c>
      <c r="D908" s="2">
        <v>60.26</v>
      </c>
      <c r="E908" s="2">
        <v>61.1</v>
      </c>
      <c r="F908" s="2">
        <v>86.37</v>
      </c>
      <c r="G908" s="2">
        <v>59.96</v>
      </c>
      <c r="H908" s="2">
        <f t="shared" si="84"/>
        <v>0.657592277707155</v>
      </c>
      <c r="I908" s="2">
        <f t="shared" si="85"/>
        <v>0.20168759659041899</v>
      </c>
      <c r="J908" s="2">
        <v>84.08</v>
      </c>
      <c r="K908" s="2">
        <v>125.57</v>
      </c>
      <c r="L908" s="2">
        <v>225.23</v>
      </c>
      <c r="M908" s="2">
        <v>62.35</v>
      </c>
      <c r="N908" s="2">
        <v>81.75</v>
      </c>
      <c r="O908" s="2">
        <v>109.5</v>
      </c>
      <c r="P908" s="2">
        <f t="shared" si="86"/>
        <v>0.77806261574062185</v>
      </c>
      <c r="Q908" s="2">
        <f t="shared" si="87"/>
        <v>0.24215038720913507</v>
      </c>
      <c r="R908" s="2">
        <f t="shared" si="88"/>
        <v>0.12047033803346685</v>
      </c>
      <c r="S908">
        <f t="shared" si="89"/>
        <v>1.1831991373948521</v>
      </c>
      <c r="U908">
        <v>8.7644735509926672</v>
      </c>
    </row>
    <row r="909" spans="1:21" ht="13.9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0.1</v>
      </c>
      <c r="F909" s="2">
        <v>0</v>
      </c>
      <c r="G909" s="2">
        <v>0</v>
      </c>
      <c r="H909" s="2" t="e">
        <f t="shared" si="84"/>
        <v>#NUM!</v>
      </c>
      <c r="I909" s="2">
        <f t="shared" si="85"/>
        <v>0.37390096630005903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 t="e">
        <f t="shared" si="86"/>
        <v>#DIV/0!</v>
      </c>
      <c r="Q909" s="2" t="e">
        <f t="shared" si="87"/>
        <v>#DIV/0!</v>
      </c>
      <c r="R909" s="2" t="e">
        <f t="shared" si="88"/>
        <v>#DIV/0!</v>
      </c>
      <c r="S909" t="e">
        <f t="shared" si="89"/>
        <v>#DIV/0!</v>
      </c>
      <c r="U909" t="e">
        <v>#NUM!</v>
      </c>
    </row>
    <row r="910" spans="1:21" ht="13.9" x14ac:dyDescent="0.3">
      <c r="A910" s="2" t="s">
        <v>927</v>
      </c>
      <c r="B910" s="2">
        <v>0</v>
      </c>
      <c r="C910" s="2">
        <v>0</v>
      </c>
      <c r="D910" s="2">
        <v>0</v>
      </c>
      <c r="E910" s="2">
        <v>1.58</v>
      </c>
      <c r="F910" s="2">
        <v>1.6</v>
      </c>
      <c r="G910" s="2">
        <v>0</v>
      </c>
      <c r="H910" s="2" t="e">
        <f t="shared" si="84"/>
        <v>#NUM!</v>
      </c>
      <c r="I910" s="2">
        <f t="shared" si="85"/>
        <v>0.11613225634638036</v>
      </c>
      <c r="J910" s="2">
        <v>0</v>
      </c>
      <c r="K910" s="2">
        <v>3.77</v>
      </c>
      <c r="L910" s="2">
        <v>0</v>
      </c>
      <c r="M910" s="2">
        <v>1.34</v>
      </c>
      <c r="N910" s="2">
        <v>0</v>
      </c>
      <c r="O910" s="2">
        <v>1.22</v>
      </c>
      <c r="P910" s="2">
        <f t="shared" si="86"/>
        <v>0.55842071326866438</v>
      </c>
      <c r="Q910" s="2">
        <f t="shared" si="87"/>
        <v>0.77641896722672232</v>
      </c>
      <c r="R910" s="2" t="e">
        <f t="shared" si="88"/>
        <v>#NUM!</v>
      </c>
      <c r="S910" t="e">
        <f t="shared" si="89"/>
        <v>#NUM!</v>
      </c>
      <c r="U910">
        <v>1.9145645234939395</v>
      </c>
    </row>
    <row r="911" spans="1:21" ht="13.9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84"/>
        <v>#DIV/0!</v>
      </c>
      <c r="I911" s="2" t="e">
        <f t="shared" si="85"/>
        <v>#DIV/0!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0.27</v>
      </c>
      <c r="P911" s="2" t="e">
        <f t="shared" si="86"/>
        <v>#NUM!</v>
      </c>
      <c r="Q911" s="2">
        <f t="shared" si="87"/>
        <v>0.37390096630005903</v>
      </c>
      <c r="R911" s="2" t="e">
        <f t="shared" si="88"/>
        <v>#NUM!</v>
      </c>
      <c r="S911" t="e">
        <f t="shared" si="89"/>
        <v>#NUM!</v>
      </c>
      <c r="U911" t="e">
        <v>#NUM!</v>
      </c>
    </row>
    <row r="912" spans="1:21" ht="13.9" x14ac:dyDescent="0.3">
      <c r="A912" s="2" t="s">
        <v>929</v>
      </c>
      <c r="B912" s="2">
        <v>106.47</v>
      </c>
      <c r="C912" s="2">
        <v>206.15</v>
      </c>
      <c r="D912" s="2">
        <v>118.16</v>
      </c>
      <c r="E912" s="2">
        <v>194.67</v>
      </c>
      <c r="F912" s="2">
        <v>348.97</v>
      </c>
      <c r="G912" s="2">
        <v>209.3</v>
      </c>
      <c r="H912" s="2">
        <f t="shared" si="84"/>
        <v>-0.80558363369519903</v>
      </c>
      <c r="I912" s="2">
        <f t="shared" si="85"/>
        <v>0.13968187861664966</v>
      </c>
      <c r="J912" s="2">
        <v>63.96</v>
      </c>
      <c r="K912" s="2">
        <v>135.61000000000001</v>
      </c>
      <c r="L912" s="2">
        <v>249.86</v>
      </c>
      <c r="M912" s="2">
        <v>196.52</v>
      </c>
      <c r="N912" s="2">
        <v>163.51</v>
      </c>
      <c r="O912" s="2">
        <v>482.92</v>
      </c>
      <c r="P912" s="2">
        <f t="shared" si="86"/>
        <v>-0.90735063014516371</v>
      </c>
      <c r="Q912" s="2">
        <f t="shared" si="87"/>
        <v>0.31752866296151849</v>
      </c>
      <c r="R912" s="2">
        <f t="shared" si="88"/>
        <v>-0.10176699644996468</v>
      </c>
      <c r="S912">
        <f t="shared" si="89"/>
        <v>1.1263270406613912</v>
      </c>
      <c r="U912">
        <v>8.8119526191582995</v>
      </c>
    </row>
    <row r="913" spans="1:21" ht="13.9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0.53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 t="e">
        <f t="shared" si="86"/>
        <v>#DIV/0!</v>
      </c>
      <c r="Q913" s="2" t="e">
        <f t="shared" si="87"/>
        <v>#DIV/0!</v>
      </c>
      <c r="R913" s="2" t="e">
        <f t="shared" si="88"/>
        <v>#DIV/0!</v>
      </c>
      <c r="S913" t="e">
        <f t="shared" si="89"/>
        <v>#DIV/0!</v>
      </c>
      <c r="U913" t="e">
        <v>#NUM!</v>
      </c>
    </row>
    <row r="914" spans="1:21" ht="13.9" x14ac:dyDescent="0.3">
      <c r="A914" s="2" t="s">
        <v>931</v>
      </c>
      <c r="B914" s="2">
        <v>0</v>
      </c>
      <c r="C914" s="2">
        <v>13.17</v>
      </c>
      <c r="D914" s="2">
        <v>0.18</v>
      </c>
      <c r="E914" s="2">
        <v>12.34</v>
      </c>
      <c r="F914" s="2">
        <v>12.03</v>
      </c>
      <c r="G914" s="2">
        <v>13.49</v>
      </c>
      <c r="H914" s="2">
        <f t="shared" si="84"/>
        <v>-1.5038346691287892</v>
      </c>
      <c r="I914" s="2">
        <f t="shared" si="85"/>
        <v>0.13575840139583684</v>
      </c>
      <c r="J914" s="2">
        <v>8.6199999999999992</v>
      </c>
      <c r="K914" s="2">
        <v>0</v>
      </c>
      <c r="L914" s="2">
        <v>0</v>
      </c>
      <c r="M914" s="2">
        <v>13.68</v>
      </c>
      <c r="N914" s="2">
        <v>0</v>
      </c>
      <c r="O914" s="2">
        <v>12.99</v>
      </c>
      <c r="P914" s="2">
        <f t="shared" si="86"/>
        <v>-1.6294580504618283</v>
      </c>
      <c r="Q914" s="2">
        <f t="shared" si="87"/>
        <v>0.31941911535730849</v>
      </c>
      <c r="R914" s="2">
        <f t="shared" si="88"/>
        <v>-0.12562338133303919</v>
      </c>
      <c r="S914">
        <f t="shared" si="89"/>
        <v>1.0835353672261168</v>
      </c>
      <c r="U914">
        <v>3.1076878693143732</v>
      </c>
    </row>
    <row r="915" spans="1:21" ht="13.9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 t="e">
        <f t="shared" si="84"/>
        <v>#NUM!</v>
      </c>
      <c r="I915" s="2">
        <f t="shared" si="85"/>
        <v>0.12229424536952219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 t="e">
        <f t="shared" si="86"/>
        <v>#DIV/0!</v>
      </c>
      <c r="Q915" s="2" t="e">
        <f t="shared" si="87"/>
        <v>#DIV/0!</v>
      </c>
      <c r="R915" s="2" t="e">
        <f t="shared" si="88"/>
        <v>#DIV/0!</v>
      </c>
      <c r="S915" t="e">
        <f t="shared" si="89"/>
        <v>#DIV/0!</v>
      </c>
      <c r="U915" t="e">
        <v>#NUM!</v>
      </c>
    </row>
    <row r="916" spans="1:21" ht="13.9" x14ac:dyDescent="0.3">
      <c r="A916" s="2" t="s">
        <v>933</v>
      </c>
      <c r="B916" s="2">
        <v>0.66</v>
      </c>
      <c r="C916" s="2">
        <v>9.27</v>
      </c>
      <c r="D916" s="2">
        <v>16.57</v>
      </c>
      <c r="E916" s="2">
        <v>27.34</v>
      </c>
      <c r="F916" s="2">
        <v>21.39</v>
      </c>
      <c r="G916" s="2">
        <v>21.08</v>
      </c>
      <c r="H916" s="2">
        <f t="shared" si="84"/>
        <v>-1.3974413517885809</v>
      </c>
      <c r="I916" s="2">
        <f t="shared" si="85"/>
        <v>4.5437494404294433E-2</v>
      </c>
      <c r="J916" s="2">
        <v>0.18</v>
      </c>
      <c r="K916" s="2">
        <v>14.23</v>
      </c>
      <c r="L916" s="2">
        <v>25.14</v>
      </c>
      <c r="M916" s="2">
        <v>16.670000000000002</v>
      </c>
      <c r="N916" s="2">
        <v>0</v>
      </c>
      <c r="O916" s="2">
        <v>17.32</v>
      </c>
      <c r="P916" s="2">
        <f t="shared" si="86"/>
        <v>0.21856733281848215</v>
      </c>
      <c r="Q916" s="2">
        <f t="shared" si="87"/>
        <v>0.84989603041893735</v>
      </c>
      <c r="R916" s="2">
        <f t="shared" si="88"/>
        <v>1.6160086846070629</v>
      </c>
      <c r="S916">
        <f t="shared" si="89"/>
        <v>-0.15640537081483849</v>
      </c>
      <c r="U916">
        <v>5.3056057895854298</v>
      </c>
    </row>
    <row r="917" spans="1:21" ht="13.9" x14ac:dyDescent="0.3">
      <c r="A917" s="2" t="s">
        <v>934</v>
      </c>
      <c r="B917" s="2">
        <v>45.82</v>
      </c>
      <c r="C917" s="2">
        <v>41.72</v>
      </c>
      <c r="D917" s="2">
        <v>12.56</v>
      </c>
      <c r="E917" s="2">
        <v>39.58</v>
      </c>
      <c r="F917" s="2">
        <v>37.57</v>
      </c>
      <c r="G917" s="2">
        <v>49.53</v>
      </c>
      <c r="H917" s="2">
        <f t="shared" si="84"/>
        <v>-0.33974679830483429</v>
      </c>
      <c r="I917" s="2">
        <f t="shared" si="85"/>
        <v>0.469613895681462</v>
      </c>
      <c r="J917" s="2">
        <v>39.340000000000003</v>
      </c>
      <c r="K917" s="2">
        <v>21.35</v>
      </c>
      <c r="L917" s="2">
        <v>0</v>
      </c>
      <c r="M917" s="2">
        <v>34.159999999999997</v>
      </c>
      <c r="N917" s="2">
        <v>81.75</v>
      </c>
      <c r="O917" s="2">
        <v>40.06</v>
      </c>
      <c r="P917" s="2">
        <f t="shared" si="86"/>
        <v>-1.3617378353230429</v>
      </c>
      <c r="Q917" s="2">
        <f t="shared" si="87"/>
        <v>0.16649130750073521</v>
      </c>
      <c r="R917" s="2">
        <f t="shared" si="88"/>
        <v>-1.0219910370182086</v>
      </c>
      <c r="S917">
        <f t="shared" si="89"/>
        <v>4.0080961531276529</v>
      </c>
      <c r="U917">
        <v>5.9233869155047145</v>
      </c>
    </row>
    <row r="918" spans="1:21" ht="13.9" x14ac:dyDescent="0.3">
      <c r="A918" s="2" t="s">
        <v>935</v>
      </c>
      <c r="B918" s="2">
        <v>0</v>
      </c>
      <c r="C918" s="2">
        <v>13.66</v>
      </c>
      <c r="D918" s="2">
        <v>10.74</v>
      </c>
      <c r="E918" s="2">
        <v>2.37</v>
      </c>
      <c r="F918" s="2">
        <v>3.61</v>
      </c>
      <c r="G918" s="2">
        <v>2.85</v>
      </c>
      <c r="H918" s="2">
        <f t="shared" si="84"/>
        <v>1.4663958048017824</v>
      </c>
      <c r="I918" s="2">
        <f t="shared" si="85"/>
        <v>0.28109782696036167</v>
      </c>
      <c r="J918" s="2">
        <v>0.18</v>
      </c>
      <c r="K918" s="2">
        <v>8.3699999999999992</v>
      </c>
      <c r="L918" s="2">
        <v>0</v>
      </c>
      <c r="M918" s="2">
        <v>1.54</v>
      </c>
      <c r="N918" s="2">
        <v>0</v>
      </c>
      <c r="O918" s="2">
        <v>1.35</v>
      </c>
      <c r="P918" s="2">
        <f t="shared" si="86"/>
        <v>1.5648549272725811</v>
      </c>
      <c r="Q918" s="2">
        <f t="shared" si="87"/>
        <v>0.53774087447562358</v>
      </c>
      <c r="R918" s="2">
        <f t="shared" si="88"/>
        <v>9.8459122470798688E-2</v>
      </c>
      <c r="S918">
        <f t="shared" si="89"/>
        <v>1.0671436198524229</v>
      </c>
      <c r="U918">
        <v>3.0959244199985352</v>
      </c>
    </row>
    <row r="919" spans="1:21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 t="e">
        <f t="shared" si="84"/>
        <v>#NUM!</v>
      </c>
      <c r="I919" s="2">
        <f t="shared" si="85"/>
        <v>0.21020970572113021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1.35</v>
      </c>
      <c r="P919" s="2" t="e">
        <f t="shared" si="86"/>
        <v>#NUM!</v>
      </c>
      <c r="Q919" s="2">
        <f t="shared" si="87"/>
        <v>0.37390096630005903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ht="13.9" x14ac:dyDescent="0.3">
      <c r="A920" s="2" t="s">
        <v>937</v>
      </c>
      <c r="B920" s="2">
        <v>638.13</v>
      </c>
      <c r="C920" s="2">
        <v>557.94000000000005</v>
      </c>
      <c r="D920" s="2">
        <v>643.04999999999995</v>
      </c>
      <c r="E920" s="2">
        <v>421.81</v>
      </c>
      <c r="F920" s="2">
        <v>371.57</v>
      </c>
      <c r="G920" s="2">
        <v>419.75</v>
      </c>
      <c r="H920" s="2">
        <f t="shared" si="84"/>
        <v>0.60028145752903717</v>
      </c>
      <c r="I920" s="2">
        <f t="shared" si="85"/>
        <v>2.8894919469125251E-3</v>
      </c>
      <c r="J920" s="2">
        <v>676.4</v>
      </c>
      <c r="K920" s="2">
        <v>549.15</v>
      </c>
      <c r="L920" s="2">
        <v>536.42999999999995</v>
      </c>
      <c r="M920" s="2">
        <v>376.37</v>
      </c>
      <c r="N920" s="2">
        <v>204.38</v>
      </c>
      <c r="O920" s="2">
        <v>382.49</v>
      </c>
      <c r="P920" s="2">
        <f t="shared" si="86"/>
        <v>0.87123033996124688</v>
      </c>
      <c r="Q920" s="2">
        <f t="shared" si="87"/>
        <v>2.2326774858584607E-2</v>
      </c>
      <c r="R920" s="2">
        <f t="shared" si="88"/>
        <v>0.27094888243220971</v>
      </c>
      <c r="S920">
        <f t="shared" si="89"/>
        <v>1.4513697350365069</v>
      </c>
      <c r="U920">
        <v>10.782981833174345</v>
      </c>
    </row>
    <row r="921" spans="1:21" ht="13.9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0.8</v>
      </c>
      <c r="G921" s="2">
        <v>0</v>
      </c>
      <c r="H921" s="2" t="e">
        <f t="shared" si="84"/>
        <v>#NUM!</v>
      </c>
      <c r="I921" s="2">
        <f t="shared" si="85"/>
        <v>0.37390096630005903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 t="e">
        <f t="shared" si="86"/>
        <v>#DIV/0!</v>
      </c>
      <c r="Q921" s="2" t="e">
        <f t="shared" si="87"/>
        <v>#DIV/0!</v>
      </c>
      <c r="R921" s="2" t="e">
        <f t="shared" si="88"/>
        <v>#DIV/0!</v>
      </c>
      <c r="S921" t="e">
        <f t="shared" si="89"/>
        <v>#DIV/0!</v>
      </c>
      <c r="U921" t="e">
        <v>#NUM!</v>
      </c>
    </row>
    <row r="922" spans="1:21" ht="13.9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0.39</v>
      </c>
      <c r="F922" s="2">
        <v>0</v>
      </c>
      <c r="G922" s="2">
        <v>0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 t="e">
        <f t="shared" si="86"/>
        <v>#DIV/0!</v>
      </c>
      <c r="Q922" s="2" t="e">
        <f t="shared" si="87"/>
        <v>#DIV/0!</v>
      </c>
      <c r="R922" s="2" t="e">
        <f t="shared" si="88"/>
        <v>#DIV/0!</v>
      </c>
      <c r="S922" t="e">
        <f t="shared" si="89"/>
        <v>#DIV/0!</v>
      </c>
      <c r="U922" t="e">
        <v>#NUM!</v>
      </c>
    </row>
    <row r="923" spans="1:21" ht="13.9" x14ac:dyDescent="0.3">
      <c r="A923" s="2" t="s">
        <v>940</v>
      </c>
      <c r="B923" s="2">
        <v>0</v>
      </c>
      <c r="C923" s="2">
        <v>0.24</v>
      </c>
      <c r="D923" s="2">
        <v>0</v>
      </c>
      <c r="E923" s="2">
        <v>3.65</v>
      </c>
      <c r="F923" s="2">
        <v>4.68</v>
      </c>
      <c r="G923" s="2">
        <v>2</v>
      </c>
      <c r="H923" s="2">
        <f t="shared" si="84"/>
        <v>-5.4276620381439038</v>
      </c>
      <c r="I923" s="2">
        <f t="shared" si="85"/>
        <v>1.278018246331615E-2</v>
      </c>
      <c r="J923" s="2">
        <v>0</v>
      </c>
      <c r="K923" s="2">
        <v>0.21</v>
      </c>
      <c r="L923" s="2">
        <v>0</v>
      </c>
      <c r="M923" s="2">
        <v>4.12</v>
      </c>
      <c r="N923" s="2">
        <v>0</v>
      </c>
      <c r="O923" s="2">
        <v>4.2</v>
      </c>
      <c r="P923" s="2">
        <f t="shared" si="86"/>
        <v>-5.3081222953623319</v>
      </c>
      <c r="Q923" s="2">
        <f t="shared" si="87"/>
        <v>0.12341386205590338</v>
      </c>
      <c r="R923" s="2">
        <f t="shared" si="88"/>
        <v>0.11953974278157187</v>
      </c>
      <c r="S923">
        <f t="shared" si="89"/>
        <v>0.97797583159351409</v>
      </c>
      <c r="U923">
        <v>-2.2515387669959646</v>
      </c>
    </row>
    <row r="924" spans="1:21" ht="13.9" x14ac:dyDescent="0.3">
      <c r="A924" s="2" t="s">
        <v>941</v>
      </c>
      <c r="B924" s="2">
        <v>9.89</v>
      </c>
      <c r="C924" s="2">
        <v>48.3</v>
      </c>
      <c r="D924" s="2">
        <v>16.39</v>
      </c>
      <c r="E924" s="2">
        <v>24.68</v>
      </c>
      <c r="F924" s="2">
        <v>25.94</v>
      </c>
      <c r="G924" s="2">
        <v>15.91</v>
      </c>
      <c r="H924" s="2">
        <f t="shared" si="84"/>
        <v>0.16478376339150472</v>
      </c>
      <c r="I924" s="2">
        <f t="shared" si="85"/>
        <v>0.83774199332111476</v>
      </c>
      <c r="J924" s="2">
        <v>7.19</v>
      </c>
      <c r="K924" s="2">
        <v>8.3699999999999992</v>
      </c>
      <c r="L924" s="2">
        <v>33.68</v>
      </c>
      <c r="M924" s="2">
        <v>16.98</v>
      </c>
      <c r="N924" s="2">
        <v>0</v>
      </c>
      <c r="O924" s="2">
        <v>21.52</v>
      </c>
      <c r="P924" s="2">
        <f t="shared" si="86"/>
        <v>0.3549723160148312</v>
      </c>
      <c r="Q924" s="2">
        <f t="shared" si="87"/>
        <v>0.75781364161661102</v>
      </c>
      <c r="R924" s="2">
        <f t="shared" si="88"/>
        <v>0.19018855262332648</v>
      </c>
      <c r="S924">
        <f t="shared" si="89"/>
        <v>2.1541704638184727</v>
      </c>
      <c r="U924">
        <v>5.6217588567097332</v>
      </c>
    </row>
    <row r="925" spans="1:21" ht="13.9" x14ac:dyDescent="0.3">
      <c r="A925" s="2" t="s">
        <v>942</v>
      </c>
      <c r="B925" s="2">
        <v>7.91</v>
      </c>
      <c r="C925" s="2">
        <v>3.66</v>
      </c>
      <c r="D925" s="2">
        <v>0</v>
      </c>
      <c r="E925" s="2">
        <v>4.6399999999999997</v>
      </c>
      <c r="F925" s="2">
        <v>2.81</v>
      </c>
      <c r="G925" s="2">
        <v>2.95</v>
      </c>
      <c r="H925" s="2">
        <f t="shared" si="84"/>
        <v>0.15380533607903576</v>
      </c>
      <c r="I925" s="2">
        <f t="shared" si="85"/>
        <v>0.87675823243424733</v>
      </c>
      <c r="J925" s="2">
        <v>1.44</v>
      </c>
      <c r="K925" s="2">
        <v>0.42</v>
      </c>
      <c r="L925" s="2">
        <v>1.51</v>
      </c>
      <c r="M925" s="2">
        <v>1.75</v>
      </c>
      <c r="N925" s="2">
        <v>0</v>
      </c>
      <c r="O925" s="2">
        <v>3.25</v>
      </c>
      <c r="P925" s="2">
        <f t="shared" si="86"/>
        <v>-0.5691795034802285</v>
      </c>
      <c r="Q925" s="2">
        <f t="shared" si="87"/>
        <v>0.61678523233976557</v>
      </c>
      <c r="R925" s="2">
        <f t="shared" si="88"/>
        <v>-0.72298483955926429</v>
      </c>
      <c r="S925">
        <f t="shared" si="89"/>
        <v>-3.7006486120074853</v>
      </c>
      <c r="U925">
        <v>1.7527485914071339</v>
      </c>
    </row>
    <row r="926" spans="1:21" ht="13.9" x14ac:dyDescent="0.3">
      <c r="A926" s="2" t="s">
        <v>943</v>
      </c>
      <c r="B926" s="2">
        <v>46.15</v>
      </c>
      <c r="C926" s="2">
        <v>110.03</v>
      </c>
      <c r="D926" s="2">
        <v>17.3</v>
      </c>
      <c r="E926" s="2">
        <v>85.49</v>
      </c>
      <c r="F926" s="2">
        <v>129.83000000000001</v>
      </c>
      <c r="G926" s="2">
        <v>84.2</v>
      </c>
      <c r="H926" s="2">
        <f t="shared" si="84"/>
        <v>-0.78788299172030118</v>
      </c>
      <c r="I926" s="2">
        <f t="shared" si="85"/>
        <v>0.24980503626526646</v>
      </c>
      <c r="J926" s="2">
        <v>28.56</v>
      </c>
      <c r="K926" s="2">
        <v>51.9</v>
      </c>
      <c r="L926" s="2">
        <v>30.67</v>
      </c>
      <c r="M926" s="2">
        <v>64.72</v>
      </c>
      <c r="N926" s="2">
        <v>0</v>
      </c>
      <c r="O926" s="2">
        <v>129.38999999999999</v>
      </c>
      <c r="P926" s="2">
        <f t="shared" si="86"/>
        <v>-0.80462611279021323</v>
      </c>
      <c r="Q926" s="2">
        <f t="shared" si="87"/>
        <v>0.50792455937723735</v>
      </c>
      <c r="R926" s="2">
        <f t="shared" si="88"/>
        <v>-1.6743121069912048E-2</v>
      </c>
      <c r="S926">
        <f t="shared" si="89"/>
        <v>1.0212507710483181</v>
      </c>
      <c r="U926">
        <v>6.7961045205321451</v>
      </c>
    </row>
  </sheetData>
  <phoneticPr fontId="1" type="noConversion"/>
  <conditionalFormatting sqref="I1:I1048576">
    <cfRule type="cellIs" dxfId="6" priority="2" operator="lessThan">
      <formula>0.05</formula>
    </cfRule>
  </conditionalFormatting>
  <conditionalFormatting sqref="Q1:Q1048576">
    <cfRule type="cellIs" dxfId="5" priority="1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26"/>
  <sheetViews>
    <sheetView topLeftCell="H1" workbookViewId="0">
      <selection activeCell="V9" sqref="V9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6" max="16" width="16.1328125" style="1" bestFit="1" customWidth="1"/>
    <col min="17" max="17" width="10.46484375" style="1" customWidth="1"/>
    <col min="18" max="18" width="21.59765625" style="1" bestFit="1" customWidth="1"/>
  </cols>
  <sheetData>
    <row r="1" spans="1:21" ht="13.9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951</v>
      </c>
      <c r="I1" s="3" t="s">
        <v>952</v>
      </c>
      <c r="J1" s="2" t="s">
        <v>16</v>
      </c>
      <c r="K1" s="2" t="s">
        <v>17</v>
      </c>
      <c r="L1" s="2" t="s">
        <v>18</v>
      </c>
      <c r="M1" s="2" t="s">
        <v>7</v>
      </c>
      <c r="N1" s="2" t="s">
        <v>8</v>
      </c>
      <c r="O1" s="2" t="s">
        <v>9</v>
      </c>
      <c r="P1" s="3" t="s">
        <v>953</v>
      </c>
      <c r="Q1" s="3" t="s">
        <v>949</v>
      </c>
      <c r="R1" s="4" t="s">
        <v>950</v>
      </c>
      <c r="S1" s="4" t="s">
        <v>955</v>
      </c>
      <c r="U1" t="s">
        <v>958</v>
      </c>
    </row>
    <row r="2" spans="1:21" ht="13.9" x14ac:dyDescent="0.3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>
        <v>0</v>
      </c>
      <c r="K2" s="2">
        <v>0</v>
      </c>
      <c r="L2" s="2">
        <v>0</v>
      </c>
      <c r="M2" s="2">
        <v>1.65</v>
      </c>
      <c r="N2" s="2">
        <v>0</v>
      </c>
      <c r="O2" s="2">
        <v>0</v>
      </c>
      <c r="P2" s="2" t="e">
        <f t="shared" ref="P2:P65" si="2">LOG(SUM(J2:L2)/SUM(M2:O2),2)</f>
        <v>#NUM!</v>
      </c>
      <c r="Q2" s="2">
        <f t="shared" ref="Q2:Q65" si="3">_xlfn.T.TEST(J2:L2,M2:O2,2,2)</f>
        <v>0.37390096630005903</v>
      </c>
      <c r="R2" s="2" t="e">
        <f>P2-H2</f>
        <v>#NUM!</v>
      </c>
      <c r="S2" t="e">
        <f>P2/H2</f>
        <v>#NUM!</v>
      </c>
      <c r="U2" t="e">
        <v>#NUM!</v>
      </c>
    </row>
    <row r="3" spans="1:21" ht="13.9" x14ac:dyDescent="0.3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>
        <v>70416.53</v>
      </c>
      <c r="K3" s="2">
        <v>64101.94</v>
      </c>
      <c r="L3" s="2">
        <v>66334.789999999994</v>
      </c>
      <c r="M3" s="2">
        <v>19342.72</v>
      </c>
      <c r="N3" s="2">
        <v>48193.26</v>
      </c>
      <c r="O3" s="2">
        <v>30781.48</v>
      </c>
      <c r="P3" s="2">
        <f t="shared" si="2"/>
        <v>1.0306223278611133</v>
      </c>
      <c r="Q3" s="2">
        <f t="shared" si="3"/>
        <v>1.6410341128668543E-2</v>
      </c>
      <c r="R3" s="2">
        <f t="shared" ref="R3:R66" si="4">P3-H3</f>
        <v>-0.56401382643623177</v>
      </c>
      <c r="S3">
        <f>P3/H3</f>
        <v>0.64630563221818027</v>
      </c>
      <c r="U3">
        <v>17.615782352039584</v>
      </c>
    </row>
    <row r="4" spans="1:21" ht="13.9" x14ac:dyDescent="0.3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>
        <v>51597.440000000002</v>
      </c>
      <c r="K4" s="2">
        <v>26402.89</v>
      </c>
      <c r="L4" s="2">
        <v>40348.06</v>
      </c>
      <c r="M4" s="2">
        <v>6445.41</v>
      </c>
      <c r="N4" s="2">
        <v>28245.59</v>
      </c>
      <c r="O4" s="2">
        <v>6436.74</v>
      </c>
      <c r="P4" s="2">
        <f>LOG(SUM(J4:L4)/SUM(M4:O4),2)</f>
        <v>1.5248563779627702</v>
      </c>
      <c r="Q4" s="2">
        <f t="shared" si="3"/>
        <v>6.6695794946872833E-2</v>
      </c>
      <c r="R4" s="2">
        <f t="shared" si="4"/>
        <v>-1.3315822779382915</v>
      </c>
      <c r="S4">
        <f t="shared" ref="S4:S67" si="5">P4/H4</f>
        <v>0.53383130592095818</v>
      </c>
      <c r="U4">
        <v>16.852680554359658</v>
      </c>
    </row>
    <row r="5" spans="1:21" ht="13.9" x14ac:dyDescent="0.3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>
        <v>1672.76</v>
      </c>
      <c r="K5" s="2">
        <v>1245.8499999999999</v>
      </c>
      <c r="L5" s="2">
        <v>1140.72</v>
      </c>
      <c r="M5" s="2">
        <v>197.24</v>
      </c>
      <c r="N5" s="2">
        <v>1267.17</v>
      </c>
      <c r="O5" s="2">
        <v>294.52</v>
      </c>
      <c r="P5" s="2">
        <f t="shared" si="2"/>
        <v>1.2065435584173236</v>
      </c>
      <c r="Q5" s="2">
        <f t="shared" si="3"/>
        <v>0.11263341305223615</v>
      </c>
      <c r="R5" s="2">
        <f t="shared" si="4"/>
        <v>-1.216285846740784</v>
      </c>
      <c r="S5">
        <f t="shared" si="5"/>
        <v>0.49798948116142239</v>
      </c>
      <c r="U5">
        <v>11.98702591220972</v>
      </c>
    </row>
    <row r="6" spans="1:21" ht="13.9" x14ac:dyDescent="0.3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>
        <v>0</v>
      </c>
      <c r="K6" s="2">
        <v>0</v>
      </c>
      <c r="L6" s="2">
        <v>35.69</v>
      </c>
      <c r="M6" s="2">
        <v>6.79</v>
      </c>
      <c r="N6" s="2">
        <v>0</v>
      </c>
      <c r="O6" s="2">
        <v>11.1</v>
      </c>
      <c r="P6" s="2">
        <f t="shared" si="2"/>
        <v>0.9963665139971144</v>
      </c>
      <c r="Q6" s="2">
        <f t="shared" si="3"/>
        <v>0.655444488412398</v>
      </c>
      <c r="R6" s="2">
        <f t="shared" si="4"/>
        <v>1.6347682736797311</v>
      </c>
      <c r="S6">
        <f t="shared" si="5"/>
        <v>-1.5607201873824106</v>
      </c>
      <c r="U6">
        <v>5.1574479962742981</v>
      </c>
    </row>
    <row r="7" spans="1:21" ht="13.9" x14ac:dyDescent="0.3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>
        <v>153.6</v>
      </c>
      <c r="K7" s="2">
        <v>136.03</v>
      </c>
      <c r="L7" s="2">
        <v>126.19</v>
      </c>
      <c r="M7" s="2">
        <v>46.51</v>
      </c>
      <c r="N7" s="2">
        <v>40.880000000000003</v>
      </c>
      <c r="O7" s="2">
        <v>57.79</v>
      </c>
      <c r="P7" s="2">
        <f t="shared" si="2"/>
        <v>1.5181164289068962</v>
      </c>
      <c r="Q7" s="2">
        <f t="shared" si="3"/>
        <v>6.6786070443664838E-4</v>
      </c>
      <c r="R7" s="2">
        <f t="shared" si="4"/>
        <v>0.11806167963333536</v>
      </c>
      <c r="S7">
        <f t="shared" si="5"/>
        <v>1.0843264734429803</v>
      </c>
      <c r="U7">
        <v>8.6998153400030009</v>
      </c>
    </row>
    <row r="8" spans="1:21" ht="13.9" x14ac:dyDescent="0.3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>
        <v>1070.74</v>
      </c>
      <c r="K8" s="2">
        <v>1099.77</v>
      </c>
      <c r="L8" s="2">
        <v>1258.3599999999999</v>
      </c>
      <c r="M8" s="2">
        <v>153.19999999999999</v>
      </c>
      <c r="N8" s="2">
        <v>1308.04</v>
      </c>
      <c r="O8" s="2">
        <v>260.14</v>
      </c>
      <c r="P8" s="2">
        <f t="shared" si="2"/>
        <v>0.99416759592401305</v>
      </c>
      <c r="Q8" s="2">
        <f t="shared" si="3"/>
        <v>0.20173545219125949</v>
      </c>
      <c r="R8" s="2">
        <f t="shared" si="4"/>
        <v>-1.4672754343720891</v>
      </c>
      <c r="S8">
        <f t="shared" si="5"/>
        <v>0.40389624447429057</v>
      </c>
      <c r="U8">
        <v>11.743517492548758</v>
      </c>
    </row>
    <row r="9" spans="1:21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 t="e">
        <f t="shared" si="2"/>
        <v>#DIV/0!</v>
      </c>
      <c r="Q9" s="2" t="e">
        <f t="shared" si="3"/>
        <v>#DIV/0!</v>
      </c>
      <c r="R9" s="2" t="e">
        <f t="shared" si="4"/>
        <v>#DIV/0!</v>
      </c>
      <c r="S9" t="e">
        <f t="shared" si="5"/>
        <v>#DIV/0!</v>
      </c>
      <c r="U9" t="e">
        <v>#NUM!</v>
      </c>
    </row>
    <row r="10" spans="1:21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>
        <v>0</v>
      </c>
      <c r="K10" s="2">
        <v>0</v>
      </c>
      <c r="L10" s="2">
        <v>0</v>
      </c>
      <c r="M10" s="2">
        <v>0.72</v>
      </c>
      <c r="N10" s="2">
        <v>0</v>
      </c>
      <c r="O10" s="2">
        <v>0</v>
      </c>
      <c r="P10" s="2" t="e">
        <f t="shared" si="2"/>
        <v>#NUM!</v>
      </c>
      <c r="Q10" s="2">
        <f t="shared" si="3"/>
        <v>0.37390096630005903</v>
      </c>
      <c r="R10" s="2" t="e">
        <f t="shared" si="4"/>
        <v>#NUM!</v>
      </c>
      <c r="S10" t="e">
        <f t="shared" si="5"/>
        <v>#NUM!</v>
      </c>
      <c r="U10" t="e">
        <v>#NUM!</v>
      </c>
    </row>
    <row r="11" spans="1:21" ht="13.9" x14ac:dyDescent="0.3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>
        <v>204730.86</v>
      </c>
      <c r="K11" s="2">
        <v>158538.32999999999</v>
      </c>
      <c r="L11" s="2">
        <v>144428.71</v>
      </c>
      <c r="M11" s="2">
        <v>64760.74</v>
      </c>
      <c r="N11" s="2">
        <v>92748.53</v>
      </c>
      <c r="O11" s="2">
        <v>71931.679999999993</v>
      </c>
      <c r="P11" s="2">
        <f t="shared" si="2"/>
        <v>1.1458473899922588</v>
      </c>
      <c r="Q11" s="2">
        <f t="shared" si="3"/>
        <v>9.8391803967005781E-3</v>
      </c>
      <c r="R11" s="2">
        <f t="shared" si="4"/>
        <v>-0.2764782818710132</v>
      </c>
      <c r="S11">
        <f t="shared" si="5"/>
        <v>0.80561534721592865</v>
      </c>
      <c r="U11">
        <v>18.953610767071115</v>
      </c>
    </row>
    <row r="12" spans="1:21" ht="13.9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>
        <v>0</v>
      </c>
      <c r="K12" s="2">
        <v>0</v>
      </c>
      <c r="L12" s="2">
        <v>0</v>
      </c>
      <c r="M12" s="2">
        <v>0.41</v>
      </c>
      <c r="N12" s="2">
        <v>0</v>
      </c>
      <c r="O12" s="2">
        <v>0</v>
      </c>
      <c r="P12" s="2" t="e">
        <f t="shared" si="2"/>
        <v>#NUM!</v>
      </c>
      <c r="Q12" s="2">
        <f t="shared" si="3"/>
        <v>0.37390096630005903</v>
      </c>
      <c r="R12" s="2" t="e">
        <f t="shared" si="4"/>
        <v>#NUM!</v>
      </c>
      <c r="S12" t="e">
        <f t="shared" si="5"/>
        <v>#NUM!</v>
      </c>
      <c r="U12" t="e">
        <v>#NUM!</v>
      </c>
    </row>
    <row r="13" spans="1:21" ht="13.9" x14ac:dyDescent="0.3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>
        <v>7655.4</v>
      </c>
      <c r="K13" s="2">
        <v>9935.2000000000007</v>
      </c>
      <c r="L13" s="2">
        <v>9073.99</v>
      </c>
      <c r="M13" s="2">
        <v>4367.97</v>
      </c>
      <c r="N13" s="2">
        <v>15778.29</v>
      </c>
      <c r="O13" s="2">
        <v>6822.07</v>
      </c>
      <c r="P13" s="2">
        <f t="shared" si="2"/>
        <v>-1.6341041161550041E-2</v>
      </c>
      <c r="Q13" s="2">
        <f t="shared" si="3"/>
        <v>0.97849653519337965</v>
      </c>
      <c r="R13" s="2">
        <f t="shared" si="4"/>
        <v>-0.65080546117855165</v>
      </c>
      <c r="S13">
        <f t="shared" si="5"/>
        <v>-2.5755646252176211E-2</v>
      </c>
      <c r="U13">
        <v>14.702637524577133</v>
      </c>
    </row>
    <row r="14" spans="1:21" ht="13.9" x14ac:dyDescent="0.3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>
        <v>0</v>
      </c>
      <c r="K14" s="2">
        <v>0</v>
      </c>
      <c r="L14" s="2">
        <v>0</v>
      </c>
      <c r="M14" s="2">
        <v>0.21</v>
      </c>
      <c r="N14" s="2">
        <v>0</v>
      </c>
      <c r="O14" s="2">
        <v>0</v>
      </c>
      <c r="P14" s="2" t="e">
        <f t="shared" si="2"/>
        <v>#NUM!</v>
      </c>
      <c r="Q14" s="2">
        <f t="shared" si="3"/>
        <v>0.37390096630005903</v>
      </c>
      <c r="R14" s="2" t="e">
        <f t="shared" si="4"/>
        <v>#NUM!</v>
      </c>
      <c r="S14" t="e">
        <f t="shared" si="5"/>
        <v>#NUM!</v>
      </c>
      <c r="U14" t="e">
        <v>#NUM!</v>
      </c>
    </row>
    <row r="15" spans="1:21" ht="13.9" x14ac:dyDescent="0.3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>
        <v>16269.8</v>
      </c>
      <c r="K15" s="2">
        <v>15437.2</v>
      </c>
      <c r="L15" s="2">
        <v>13431.25</v>
      </c>
      <c r="M15" s="2">
        <v>24727.34</v>
      </c>
      <c r="N15" s="2">
        <v>28000.33</v>
      </c>
      <c r="O15" s="2">
        <v>23100.35</v>
      </c>
      <c r="P15" s="2">
        <f t="shared" si="2"/>
        <v>-0.74838056551515897</v>
      </c>
      <c r="Q15" s="2">
        <f t="shared" si="3"/>
        <v>3.5905252131801422E-3</v>
      </c>
      <c r="R15" s="2">
        <f t="shared" si="4"/>
        <v>0.14970200867446015</v>
      </c>
      <c r="S15">
        <f t="shared" si="5"/>
        <v>0.83330930476015186</v>
      </c>
      <c r="U15">
        <v>15.462062866194788</v>
      </c>
    </row>
    <row r="16" spans="1:21" ht="13.9" x14ac:dyDescent="0.3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>
        <v>3.59</v>
      </c>
      <c r="K16" s="2">
        <v>13.39</v>
      </c>
      <c r="L16" s="2">
        <v>3.02</v>
      </c>
      <c r="M16" s="2">
        <v>13.68</v>
      </c>
      <c r="N16" s="2">
        <v>0</v>
      </c>
      <c r="O16" s="2">
        <v>22.87</v>
      </c>
      <c r="P16" s="2">
        <f t="shared" si="2"/>
        <v>-0.86987140617771264</v>
      </c>
      <c r="Q16" s="2">
        <f t="shared" si="3"/>
        <v>0.50000905667992346</v>
      </c>
      <c r="R16" s="2">
        <f t="shared" si="4"/>
        <v>0.21490511010078728</v>
      </c>
      <c r="S16">
        <f t="shared" si="5"/>
        <v>0.80188996823230119</v>
      </c>
      <c r="U16">
        <v>4.3219280948873626</v>
      </c>
    </row>
    <row r="17" spans="1:21" ht="13.9" x14ac:dyDescent="0.3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>
        <v>20037.14</v>
      </c>
      <c r="K17" s="2">
        <v>29137.57</v>
      </c>
      <c r="L17" s="2">
        <v>30471.19</v>
      </c>
      <c r="M17" s="2">
        <v>19933.310000000001</v>
      </c>
      <c r="N17" s="2">
        <v>11363.64</v>
      </c>
      <c r="O17" s="2">
        <v>14278.52</v>
      </c>
      <c r="P17" s="2">
        <f t="shared" si="2"/>
        <v>0.80534256258999137</v>
      </c>
      <c r="Q17" s="2">
        <f t="shared" si="3"/>
        <v>5.1466965013160358E-2</v>
      </c>
      <c r="R17" s="2">
        <f t="shared" si="4"/>
        <v>0.56081420859968201</v>
      </c>
      <c r="S17">
        <f t="shared" si="5"/>
        <v>3.2934526792009851</v>
      </c>
      <c r="U17">
        <v>16.281312476367052</v>
      </c>
    </row>
    <row r="18" spans="1:21" ht="13.9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 t="e">
        <f t="shared" si="2"/>
        <v>#DIV/0!</v>
      </c>
      <c r="Q18" s="2" t="e">
        <f t="shared" si="3"/>
        <v>#DIV/0!</v>
      </c>
      <c r="R18" s="2" t="e">
        <f t="shared" si="4"/>
        <v>#DIV/0!</v>
      </c>
      <c r="S18" t="e">
        <f t="shared" si="5"/>
        <v>#DIV/0!</v>
      </c>
      <c r="U18" t="e">
        <v>#NUM!</v>
      </c>
    </row>
    <row r="19" spans="1:21" ht="13.9" x14ac:dyDescent="0.3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>
        <v>0</v>
      </c>
      <c r="K19" s="2">
        <v>2.2999999999999998</v>
      </c>
      <c r="L19" s="2">
        <v>0</v>
      </c>
      <c r="M19" s="2">
        <v>0.41</v>
      </c>
      <c r="N19" s="2">
        <v>0</v>
      </c>
      <c r="O19" s="2">
        <v>0.27</v>
      </c>
      <c r="P19" s="2">
        <f t="shared" si="2"/>
        <v>1.7580272096940357</v>
      </c>
      <c r="Q19" s="2">
        <f t="shared" si="3"/>
        <v>0.52484656742480496</v>
      </c>
      <c r="R19" s="2">
        <f t="shared" si="4"/>
        <v>1.1632034604566037</v>
      </c>
      <c r="S19">
        <f t="shared" si="5"/>
        <v>2.9555430696031193</v>
      </c>
      <c r="U19">
        <v>1.2016338611696504</v>
      </c>
    </row>
    <row r="20" spans="1:21" ht="13.9" x14ac:dyDescent="0.3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 t="e">
        <f t="shared" si="2"/>
        <v>#DIV/0!</v>
      </c>
      <c r="Q20" s="2" t="e">
        <f t="shared" si="3"/>
        <v>#DIV/0!</v>
      </c>
      <c r="R20" s="2" t="e">
        <f t="shared" si="4"/>
        <v>#DIV/0!</v>
      </c>
      <c r="S20" t="e">
        <f t="shared" si="5"/>
        <v>#DIV/0!</v>
      </c>
      <c r="U20" t="e">
        <v>#NUM!</v>
      </c>
    </row>
    <row r="21" spans="1:21" ht="13.9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 t="e">
        <f t="shared" si="2"/>
        <v>#DIV/0!</v>
      </c>
      <c r="Q21" s="2" t="e">
        <f t="shared" si="3"/>
        <v>#DIV/0!</v>
      </c>
      <c r="R21" s="2" t="e">
        <f t="shared" si="4"/>
        <v>#DIV/0!</v>
      </c>
      <c r="S21" t="e">
        <f t="shared" si="5"/>
        <v>#DIV/0!</v>
      </c>
      <c r="U21" t="e">
        <v>#NUM!</v>
      </c>
    </row>
    <row r="22" spans="1:21" ht="13.9" x14ac:dyDescent="0.3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>
        <v>0</v>
      </c>
      <c r="K22" s="2">
        <v>0</v>
      </c>
      <c r="L22" s="2">
        <v>0</v>
      </c>
      <c r="M22" s="2">
        <v>1.03</v>
      </c>
      <c r="N22" s="2">
        <v>0</v>
      </c>
      <c r="O22" s="2">
        <v>0</v>
      </c>
      <c r="P22" s="2" t="e">
        <f t="shared" si="2"/>
        <v>#NUM!</v>
      </c>
      <c r="Q22" s="2">
        <f t="shared" si="3"/>
        <v>0.37390096630005903</v>
      </c>
      <c r="R22" s="2" t="e">
        <f t="shared" si="4"/>
        <v>#NUM!</v>
      </c>
      <c r="S22" t="e">
        <f t="shared" si="5"/>
        <v>#NUM!</v>
      </c>
      <c r="U22" t="e">
        <v>#NUM!</v>
      </c>
    </row>
    <row r="23" spans="1:21" ht="13.9" x14ac:dyDescent="0.3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>
        <v>0</v>
      </c>
      <c r="K23" s="2">
        <v>10.050000000000001</v>
      </c>
      <c r="L23" s="2">
        <v>14.08</v>
      </c>
      <c r="M23" s="2">
        <v>4.63</v>
      </c>
      <c r="N23" s="2">
        <v>0</v>
      </c>
      <c r="O23" s="2">
        <v>2.0299999999999998</v>
      </c>
      <c r="P23" s="2">
        <f t="shared" si="2"/>
        <v>1.8572338331444893</v>
      </c>
      <c r="Q23" s="2">
        <f t="shared" si="3"/>
        <v>0.25586408185714049</v>
      </c>
      <c r="R23" s="2" t="e">
        <f t="shared" si="4"/>
        <v>#NUM!</v>
      </c>
      <c r="S23" t="e">
        <f t="shared" si="5"/>
        <v>#NUM!</v>
      </c>
      <c r="U23">
        <v>4.5927560104410272</v>
      </c>
    </row>
    <row r="24" spans="1:21" ht="13.9" x14ac:dyDescent="0.3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e">
        <f t="shared" si="2"/>
        <v>#DIV/0!</v>
      </c>
      <c r="Q24" s="2" t="e">
        <f t="shared" si="3"/>
        <v>#DIV/0!</v>
      </c>
      <c r="R24" s="2" t="e">
        <f t="shared" si="4"/>
        <v>#DIV/0!</v>
      </c>
      <c r="S24" t="e">
        <f t="shared" si="5"/>
        <v>#DIV/0!</v>
      </c>
      <c r="U24" t="e">
        <v>#NUM!</v>
      </c>
    </row>
    <row r="25" spans="1:21" ht="13.9" x14ac:dyDescent="0.3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>
        <v>9.34</v>
      </c>
      <c r="K25" s="2">
        <v>83.5</v>
      </c>
      <c r="L25" s="2">
        <v>41.22</v>
      </c>
      <c r="M25" s="2">
        <v>52.06</v>
      </c>
      <c r="N25" s="2">
        <v>40.880000000000003</v>
      </c>
      <c r="O25" s="2">
        <v>103.41</v>
      </c>
      <c r="P25" s="2">
        <f t="shared" si="2"/>
        <v>-0.55054875904700329</v>
      </c>
      <c r="Q25" s="2">
        <f t="shared" si="3"/>
        <v>0.51143333985535244</v>
      </c>
      <c r="R25" s="2">
        <f t="shared" si="4"/>
        <v>0.49495520886332267</v>
      </c>
      <c r="S25">
        <f t="shared" si="5"/>
        <v>0.5265869627902019</v>
      </c>
      <c r="U25">
        <v>7.0667350287320314</v>
      </c>
    </row>
    <row r="26" spans="1:21" ht="13.9" x14ac:dyDescent="0.3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>
        <v>0</v>
      </c>
      <c r="K26" s="2">
        <v>0</v>
      </c>
      <c r="L26" s="2">
        <v>0</v>
      </c>
      <c r="M26" s="2">
        <v>1.44</v>
      </c>
      <c r="N26" s="2">
        <v>0</v>
      </c>
      <c r="O26" s="2">
        <v>3.11</v>
      </c>
      <c r="P26" s="2" t="e">
        <f t="shared" si="2"/>
        <v>#NUM!</v>
      </c>
      <c r="Q26" s="2">
        <f t="shared" si="3"/>
        <v>0.16671952306276194</v>
      </c>
      <c r="R26" s="2" t="e">
        <f t="shared" si="4"/>
        <v>#NUM!</v>
      </c>
      <c r="S26" t="e">
        <f t="shared" si="5"/>
        <v>#NUM!</v>
      </c>
      <c r="U26" t="e">
        <v>#NUM!</v>
      </c>
    </row>
    <row r="27" spans="1:21" ht="13.9" x14ac:dyDescent="0.3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>
        <v>0.18</v>
      </c>
      <c r="K27" s="2">
        <v>10.050000000000001</v>
      </c>
      <c r="L27" s="2">
        <v>21.62</v>
      </c>
      <c r="M27" s="2">
        <v>8.0299999999999994</v>
      </c>
      <c r="N27" s="2">
        <v>0</v>
      </c>
      <c r="O27" s="2">
        <v>15.56</v>
      </c>
      <c r="P27" s="2">
        <f t="shared" si="2"/>
        <v>0.43311795390420033</v>
      </c>
      <c r="Q27" s="2">
        <f t="shared" si="3"/>
        <v>0.73721067932423434</v>
      </c>
      <c r="R27" s="2">
        <f t="shared" si="4"/>
        <v>1.5469702095894899</v>
      </c>
      <c r="S27">
        <f t="shared" si="5"/>
        <v>-0.38884686159541654</v>
      </c>
      <c r="U27">
        <v>4.9932214673689383</v>
      </c>
    </row>
    <row r="28" spans="1:21" ht="13.9" x14ac:dyDescent="0.3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e">
        <f t="shared" si="2"/>
        <v>#DIV/0!</v>
      </c>
      <c r="Q28" s="2" t="e">
        <f t="shared" si="3"/>
        <v>#DIV/0!</v>
      </c>
      <c r="R28" s="2" t="e">
        <f t="shared" si="4"/>
        <v>#DIV/0!</v>
      </c>
      <c r="S28" t="e">
        <f t="shared" si="5"/>
        <v>#DIV/0!</v>
      </c>
      <c r="U28" t="e">
        <v>#NUM!</v>
      </c>
    </row>
    <row r="29" spans="1:21" ht="13.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>
        <v>0</v>
      </c>
      <c r="K29" s="2">
        <v>0.42</v>
      </c>
      <c r="L29" s="2">
        <v>0</v>
      </c>
      <c r="M29" s="2">
        <v>0</v>
      </c>
      <c r="N29" s="2">
        <v>0</v>
      </c>
      <c r="O29" s="2">
        <v>0</v>
      </c>
      <c r="P29" s="2" t="e">
        <f t="shared" si="2"/>
        <v>#DIV/0!</v>
      </c>
      <c r="Q29" s="2">
        <f t="shared" si="3"/>
        <v>0.37390096630005903</v>
      </c>
      <c r="R29" s="2" t="e">
        <f t="shared" si="4"/>
        <v>#DIV/0!</v>
      </c>
      <c r="S29" t="e">
        <f t="shared" si="5"/>
        <v>#DIV/0!</v>
      </c>
      <c r="U29">
        <v>-1.2515387669959643</v>
      </c>
    </row>
    <row r="30" spans="1:21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0.14000000000000001</v>
      </c>
      <c r="P30" s="2" t="e">
        <f t="shared" si="2"/>
        <v>#NUM!</v>
      </c>
      <c r="Q30" s="2">
        <f t="shared" si="3"/>
        <v>0.37390096630005903</v>
      </c>
      <c r="R30" s="2" t="e">
        <f t="shared" si="4"/>
        <v>#NUM!</v>
      </c>
      <c r="S30" t="e">
        <f t="shared" si="5"/>
        <v>#NUM!</v>
      </c>
      <c r="U30" t="e">
        <v>#NUM!</v>
      </c>
    </row>
    <row r="31" spans="1:21" ht="13.9" x14ac:dyDescent="0.3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>
        <v>17.25</v>
      </c>
      <c r="K31" s="2">
        <v>30.56</v>
      </c>
      <c r="L31" s="2">
        <v>56.81</v>
      </c>
      <c r="M31" s="2">
        <v>8.23</v>
      </c>
      <c r="N31" s="2">
        <v>0</v>
      </c>
      <c r="O31" s="2">
        <v>9.8800000000000008</v>
      </c>
      <c r="P31" s="2">
        <f t="shared" si="2"/>
        <v>2.5303002237278287</v>
      </c>
      <c r="Q31" s="2">
        <f t="shared" si="3"/>
        <v>7.4381569235697123E-2</v>
      </c>
      <c r="R31" s="2">
        <f t="shared" si="4"/>
        <v>1.8343552422870699</v>
      </c>
      <c r="S31">
        <f t="shared" si="5"/>
        <v>3.635776234048778</v>
      </c>
      <c r="U31">
        <v>6.7090148649032724</v>
      </c>
    </row>
    <row r="32" spans="1:21" ht="13.9" x14ac:dyDescent="0.3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>
        <v>162.41</v>
      </c>
      <c r="K32" s="2">
        <v>242.14</v>
      </c>
      <c r="L32" s="2">
        <v>400.69</v>
      </c>
      <c r="M32" s="2">
        <v>277.29000000000002</v>
      </c>
      <c r="N32" s="2">
        <v>1471.55</v>
      </c>
      <c r="O32" s="2">
        <v>599.73</v>
      </c>
      <c r="P32" s="2">
        <f t="shared" si="2"/>
        <v>-1.544291849801394</v>
      </c>
      <c r="Q32" s="2">
        <f t="shared" si="3"/>
        <v>0.22993284075820261</v>
      </c>
      <c r="R32" s="2">
        <f t="shared" si="4"/>
        <v>-0.68924469906243602</v>
      </c>
      <c r="S32">
        <f t="shared" si="5"/>
        <v>1.8060896974707998</v>
      </c>
      <c r="U32">
        <v>9.6532750291580527</v>
      </c>
    </row>
    <row r="33" spans="1:21" ht="13.9" x14ac:dyDescent="0.3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>
        <v>18.5</v>
      </c>
      <c r="K33" s="2">
        <v>50.23</v>
      </c>
      <c r="L33" s="2">
        <v>94.01</v>
      </c>
      <c r="M33" s="2">
        <v>51.34</v>
      </c>
      <c r="N33" s="2">
        <v>40.880000000000003</v>
      </c>
      <c r="O33" s="2">
        <v>40.880000000000003</v>
      </c>
      <c r="P33" s="2">
        <f t="shared" si="2"/>
        <v>0.29005832456106734</v>
      </c>
      <c r="Q33" s="2">
        <f t="shared" si="3"/>
        <v>0.678857294467063</v>
      </c>
      <c r="R33" s="2">
        <f t="shared" si="4"/>
        <v>9.2485675221110619E-3</v>
      </c>
      <c r="S33">
        <f t="shared" si="5"/>
        <v>1.0329353496104767</v>
      </c>
      <c r="U33">
        <v>7.3464250855855964</v>
      </c>
    </row>
    <row r="34" spans="1:21" ht="13.9" x14ac:dyDescent="0.3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e">
        <f t="shared" si="2"/>
        <v>#DIV/0!</v>
      </c>
      <c r="Q34" s="2" t="e">
        <f t="shared" si="3"/>
        <v>#DIV/0!</v>
      </c>
      <c r="R34" s="2" t="e">
        <f t="shared" si="4"/>
        <v>#DIV/0!</v>
      </c>
      <c r="S34" t="e">
        <f t="shared" si="5"/>
        <v>#DIV/0!</v>
      </c>
      <c r="U34" t="e">
        <v>#NUM!</v>
      </c>
    </row>
    <row r="35" spans="1:21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e">
        <f t="shared" si="2"/>
        <v>#DIV/0!</v>
      </c>
      <c r="Q35" s="2" t="e">
        <f t="shared" si="3"/>
        <v>#DIV/0!</v>
      </c>
      <c r="R35" s="2" t="e">
        <f t="shared" si="4"/>
        <v>#DIV/0!</v>
      </c>
      <c r="S35" t="e">
        <f t="shared" si="5"/>
        <v>#DIV/0!</v>
      </c>
      <c r="U35" t="e">
        <v>#NUM!</v>
      </c>
    </row>
    <row r="36" spans="1:21" ht="13.9" x14ac:dyDescent="0.3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>
        <v>862.16</v>
      </c>
      <c r="K36" s="2">
        <v>867.68</v>
      </c>
      <c r="L36" s="2">
        <v>733</v>
      </c>
      <c r="M36" s="2">
        <v>1919.2</v>
      </c>
      <c r="N36" s="2">
        <v>940.16</v>
      </c>
      <c r="O36" s="2">
        <v>1941.56</v>
      </c>
      <c r="P36" s="2">
        <f t="shared" si="2"/>
        <v>-0.96298799062620144</v>
      </c>
      <c r="Q36" s="2">
        <f t="shared" si="3"/>
        <v>7.9375988125644753E-2</v>
      </c>
      <c r="R36" s="2">
        <f t="shared" si="4"/>
        <v>1.1340891270192723</v>
      </c>
      <c r="S36">
        <f t="shared" si="5"/>
        <v>0.4592048535188879</v>
      </c>
      <c r="U36">
        <v>11.266107189923067</v>
      </c>
    </row>
    <row r="37" spans="1:21" ht="13.9" x14ac:dyDescent="0.3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>
        <v>0</v>
      </c>
      <c r="K37" s="2">
        <v>9</v>
      </c>
      <c r="L37" s="2">
        <v>0.5</v>
      </c>
      <c r="M37" s="2">
        <v>18.52</v>
      </c>
      <c r="N37" s="2">
        <v>0</v>
      </c>
      <c r="O37" s="2">
        <v>22.2</v>
      </c>
      <c r="P37" s="2">
        <f t="shared" si="2"/>
        <v>-2.0997381428573849</v>
      </c>
      <c r="Q37" s="2">
        <f t="shared" si="3"/>
        <v>0.23571138058436067</v>
      </c>
      <c r="R37" s="2">
        <f t="shared" si="4"/>
        <v>5.6993759669034336</v>
      </c>
      <c r="S37">
        <f t="shared" si="5"/>
        <v>0.26922777552767196</v>
      </c>
      <c r="U37">
        <v>3.2479275134435857</v>
      </c>
    </row>
    <row r="38" spans="1:21" ht="13.9" x14ac:dyDescent="0.3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>
        <v>0</v>
      </c>
      <c r="K38" s="2">
        <v>11.09</v>
      </c>
      <c r="L38" s="2">
        <v>0.5</v>
      </c>
      <c r="M38" s="2">
        <v>27.88</v>
      </c>
      <c r="N38" s="2">
        <v>40.880000000000003</v>
      </c>
      <c r="O38" s="2">
        <v>27.2</v>
      </c>
      <c r="P38" s="2">
        <f t="shared" si="2"/>
        <v>-3.0495525912869632</v>
      </c>
      <c r="Q38" s="2">
        <f t="shared" si="3"/>
        <v>8.0212352777543645E-3</v>
      </c>
      <c r="R38" s="2">
        <f t="shared" si="4"/>
        <v>-1.8267045724475537</v>
      </c>
      <c r="S38">
        <f t="shared" si="5"/>
        <v>2.4938116137942123</v>
      </c>
      <c r="U38">
        <v>3.5348086612317471</v>
      </c>
    </row>
    <row r="39" spans="1:21" ht="13.9" x14ac:dyDescent="0.3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>
        <v>0</v>
      </c>
      <c r="K39" s="2">
        <v>0</v>
      </c>
      <c r="L39" s="2">
        <v>25.14</v>
      </c>
      <c r="M39" s="2">
        <v>1.23</v>
      </c>
      <c r="N39" s="2">
        <v>0</v>
      </c>
      <c r="O39" s="2">
        <v>3.38</v>
      </c>
      <c r="P39" s="2">
        <f t="shared" si="2"/>
        <v>2.4471459939911702</v>
      </c>
      <c r="Q39" s="2">
        <f t="shared" si="3"/>
        <v>0.46285483888094681</v>
      </c>
      <c r="R39" s="2">
        <f t="shared" si="4"/>
        <v>2.7677188092665217</v>
      </c>
      <c r="S39">
        <f t="shared" si="5"/>
        <v>-7.6336666036052616</v>
      </c>
      <c r="U39">
        <v>4.6519127446457835</v>
      </c>
    </row>
    <row r="40" spans="1:21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>
        <v>0</v>
      </c>
      <c r="K40" s="2">
        <v>0</v>
      </c>
      <c r="L40" s="2">
        <v>0</v>
      </c>
      <c r="M40" s="2">
        <v>0.62</v>
      </c>
      <c r="N40" s="2">
        <v>0</v>
      </c>
      <c r="O40" s="2">
        <v>0</v>
      </c>
      <c r="P40" s="2" t="e">
        <f t="shared" si="2"/>
        <v>#NUM!</v>
      </c>
      <c r="Q40" s="2">
        <f t="shared" si="3"/>
        <v>0.37390096630005903</v>
      </c>
      <c r="R40" s="2" t="e">
        <f t="shared" si="4"/>
        <v>#NUM!</v>
      </c>
      <c r="S40" t="e">
        <f t="shared" si="5"/>
        <v>#NUM!</v>
      </c>
      <c r="U40" t="e">
        <v>#NUM!</v>
      </c>
    </row>
    <row r="41" spans="1:21" ht="13.9" x14ac:dyDescent="0.3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>
        <v>3.59</v>
      </c>
      <c r="K41" s="2">
        <v>0</v>
      </c>
      <c r="L41" s="2">
        <v>0</v>
      </c>
      <c r="M41" s="2">
        <v>0.51</v>
      </c>
      <c r="N41" s="2">
        <v>0</v>
      </c>
      <c r="O41" s="2">
        <v>1.62</v>
      </c>
      <c r="P41" s="2">
        <f t="shared" si="2"/>
        <v>0.75313041359721322</v>
      </c>
      <c r="Q41" s="2">
        <f t="shared" si="3"/>
        <v>0.72487764501697605</v>
      </c>
      <c r="R41" s="2" t="e">
        <f t="shared" si="4"/>
        <v>#NUM!</v>
      </c>
      <c r="S41" t="e">
        <f t="shared" si="5"/>
        <v>#NUM!</v>
      </c>
      <c r="U41">
        <v>1.8439838440483267</v>
      </c>
    </row>
    <row r="42" spans="1:21" ht="13.9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>
        <v>11.14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e">
        <f t="shared" si="2"/>
        <v>#DIV/0!</v>
      </c>
      <c r="Q42" s="2">
        <f t="shared" si="3"/>
        <v>0.37390096630005903</v>
      </c>
      <c r="R42" s="2" t="e">
        <f t="shared" si="4"/>
        <v>#DIV/0!</v>
      </c>
      <c r="S42" t="e">
        <f t="shared" si="5"/>
        <v>#DIV/0!</v>
      </c>
      <c r="U42">
        <v>3.4776773275653072</v>
      </c>
    </row>
    <row r="43" spans="1:21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 t="e">
        <f t="shared" si="2"/>
        <v>#DIV/0!</v>
      </c>
      <c r="Q43" s="2" t="e">
        <f t="shared" si="3"/>
        <v>#DIV/0!</v>
      </c>
      <c r="R43" s="2" t="e">
        <f t="shared" si="4"/>
        <v>#DIV/0!</v>
      </c>
      <c r="S43" t="e">
        <f t="shared" si="5"/>
        <v>#DIV/0!</v>
      </c>
      <c r="U43" t="e">
        <v>#NUM!</v>
      </c>
    </row>
    <row r="44" spans="1:21" ht="13.9" x14ac:dyDescent="0.3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>
        <v>0</v>
      </c>
      <c r="K44" s="2">
        <v>0</v>
      </c>
      <c r="L44" s="2">
        <v>0</v>
      </c>
      <c r="M44" s="2">
        <v>0</v>
      </c>
      <c r="N44" s="2">
        <v>122.63</v>
      </c>
      <c r="O44" s="2">
        <v>0</v>
      </c>
      <c r="P44" s="2" t="e">
        <f t="shared" si="2"/>
        <v>#NUM!</v>
      </c>
      <c r="Q44" s="2">
        <f t="shared" si="3"/>
        <v>0.37390096630005903</v>
      </c>
      <c r="R44" s="2" t="e">
        <f t="shared" si="4"/>
        <v>#NUM!</v>
      </c>
      <c r="S44" t="e">
        <f t="shared" si="5"/>
        <v>#NUM!</v>
      </c>
      <c r="U44" t="e">
        <v>#NUM!</v>
      </c>
    </row>
    <row r="45" spans="1:21" ht="13.9" x14ac:dyDescent="0.3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>
        <v>33.6</v>
      </c>
      <c r="K45" s="2">
        <v>63.2</v>
      </c>
      <c r="L45" s="2">
        <v>276.01</v>
      </c>
      <c r="M45" s="2">
        <v>6.38</v>
      </c>
      <c r="N45" s="2">
        <v>1675.93</v>
      </c>
      <c r="O45" s="2">
        <v>6.5</v>
      </c>
      <c r="P45" s="2">
        <f t="shared" si="2"/>
        <v>-2.1794945630081788</v>
      </c>
      <c r="Q45" s="2">
        <f t="shared" si="3"/>
        <v>0.47846707300991986</v>
      </c>
      <c r="R45" s="2">
        <f t="shared" si="4"/>
        <v>-8.8260350771540708</v>
      </c>
      <c r="S45">
        <f t="shared" si="5"/>
        <v>-0.32791413192615626</v>
      </c>
      <c r="U45">
        <v>8.5422967481492087</v>
      </c>
    </row>
    <row r="46" spans="1:21" ht="13.9" x14ac:dyDescent="0.3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>
        <v>0</v>
      </c>
      <c r="K46" s="2">
        <v>0</v>
      </c>
      <c r="L46" s="2">
        <v>12.57</v>
      </c>
      <c r="M46" s="2">
        <v>0</v>
      </c>
      <c r="N46" s="2">
        <v>0</v>
      </c>
      <c r="O46" s="2">
        <v>0</v>
      </c>
      <c r="P46" s="2" t="e">
        <f t="shared" si="2"/>
        <v>#DIV/0!</v>
      </c>
      <c r="Q46" s="2">
        <f t="shared" si="3"/>
        <v>0.37390096630005903</v>
      </c>
      <c r="R46" s="2" t="e">
        <f t="shared" si="4"/>
        <v>#DIV/0!</v>
      </c>
      <c r="S46" t="e">
        <f t="shared" si="5"/>
        <v>#DIV/0!</v>
      </c>
      <c r="U46">
        <v>3.6519127446457831</v>
      </c>
    </row>
    <row r="47" spans="1:21" ht="13.9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 t="e">
        <f t="shared" si="2"/>
        <v>#DIV/0!</v>
      </c>
      <c r="Q47" s="2" t="e">
        <f t="shared" si="3"/>
        <v>#DIV/0!</v>
      </c>
      <c r="R47" s="2" t="e">
        <f t="shared" si="4"/>
        <v>#DIV/0!</v>
      </c>
      <c r="S47" t="e">
        <f t="shared" si="5"/>
        <v>#DIV/0!</v>
      </c>
      <c r="U47" t="e">
        <v>#NUM!</v>
      </c>
    </row>
    <row r="48" spans="1:21" ht="13.9" x14ac:dyDescent="0.3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 t="e">
        <f t="shared" si="2"/>
        <v>#DIV/0!</v>
      </c>
      <c r="Q48" s="2" t="e">
        <f t="shared" si="3"/>
        <v>#DIV/0!</v>
      </c>
      <c r="R48" s="2" t="e">
        <f t="shared" si="4"/>
        <v>#DIV/0!</v>
      </c>
      <c r="S48" t="e">
        <f t="shared" si="5"/>
        <v>#DIV/0!</v>
      </c>
      <c r="U48" t="e">
        <v>#NUM!</v>
      </c>
    </row>
    <row r="49" spans="1:21" ht="13.9" x14ac:dyDescent="0.3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>
        <v>14.37</v>
      </c>
      <c r="K49" s="2">
        <v>20.93</v>
      </c>
      <c r="L49" s="2">
        <v>1.01</v>
      </c>
      <c r="M49" s="2">
        <v>26.44</v>
      </c>
      <c r="N49" s="2">
        <v>0</v>
      </c>
      <c r="O49" s="2">
        <v>182.31</v>
      </c>
      <c r="P49" s="2">
        <f t="shared" si="2"/>
        <v>-2.5233373623359325</v>
      </c>
      <c r="Q49" s="2">
        <f t="shared" si="3"/>
        <v>0.3716465475391254</v>
      </c>
      <c r="R49" s="2">
        <f t="shared" si="4"/>
        <v>-0.78853943342089949</v>
      </c>
      <c r="S49">
        <f t="shared" si="5"/>
        <v>1.4545425264105907</v>
      </c>
      <c r="U49">
        <v>5.1822950250254829</v>
      </c>
    </row>
    <row r="50" spans="1:21" ht="13.9" x14ac:dyDescent="0.3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>
        <v>0</v>
      </c>
      <c r="K50" s="2">
        <v>0</v>
      </c>
      <c r="L50" s="2">
        <v>0</v>
      </c>
      <c r="M50" s="2">
        <v>0.41</v>
      </c>
      <c r="N50" s="2">
        <v>0</v>
      </c>
      <c r="O50" s="2">
        <v>0</v>
      </c>
      <c r="P50" s="2" t="e">
        <f t="shared" si="2"/>
        <v>#NUM!</v>
      </c>
      <c r="Q50" s="2">
        <f t="shared" si="3"/>
        <v>0.37390096630005903</v>
      </c>
      <c r="R50" s="2" t="e">
        <f t="shared" si="4"/>
        <v>#NUM!</v>
      </c>
      <c r="S50" t="e">
        <f t="shared" si="5"/>
        <v>#NUM!</v>
      </c>
      <c r="U50" t="e">
        <v>#NUM!</v>
      </c>
    </row>
    <row r="51" spans="1:21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0.14000000000000001</v>
      </c>
      <c r="P51" s="2" t="e">
        <f t="shared" si="2"/>
        <v>#NUM!</v>
      </c>
      <c r="Q51" s="2">
        <f t="shared" si="3"/>
        <v>0.37390096630005903</v>
      </c>
      <c r="R51" s="2" t="e">
        <f t="shared" si="4"/>
        <v>#NUM!</v>
      </c>
      <c r="S51" t="e">
        <f t="shared" si="5"/>
        <v>#NUM!</v>
      </c>
      <c r="U51" t="e">
        <v>#NUM!</v>
      </c>
    </row>
    <row r="52" spans="1:21" ht="13.9" x14ac:dyDescent="0.3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>
        <v>60.36</v>
      </c>
      <c r="K52" s="2">
        <v>58.81</v>
      </c>
      <c r="L52" s="2">
        <v>44.74</v>
      </c>
      <c r="M52" s="2">
        <v>52.78</v>
      </c>
      <c r="N52" s="2">
        <v>40.880000000000003</v>
      </c>
      <c r="O52" s="2">
        <v>41.15</v>
      </c>
      <c r="P52" s="2">
        <f t="shared" si="2"/>
        <v>0.28197635722965025</v>
      </c>
      <c r="Q52" s="2">
        <f t="shared" si="3"/>
        <v>0.20020682065315892</v>
      </c>
      <c r="R52" s="2">
        <f t="shared" si="4"/>
        <v>0.76740318439989219</v>
      </c>
      <c r="S52">
        <f t="shared" si="5"/>
        <v>-0.58088334110706152</v>
      </c>
      <c r="U52">
        <v>7.3567600644092437</v>
      </c>
    </row>
    <row r="53" spans="1:21" ht="13.9" x14ac:dyDescent="0.3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>
        <v>0</v>
      </c>
      <c r="K53" s="2">
        <v>0</v>
      </c>
      <c r="L53" s="2">
        <v>0</v>
      </c>
      <c r="M53" s="2">
        <v>3.81</v>
      </c>
      <c r="N53" s="2">
        <v>0</v>
      </c>
      <c r="O53" s="2">
        <v>1.76</v>
      </c>
      <c r="P53" s="2" t="e">
        <f t="shared" si="2"/>
        <v>#NUM!</v>
      </c>
      <c r="Q53" s="2">
        <f t="shared" si="3"/>
        <v>0.16698118510481685</v>
      </c>
      <c r="R53" s="2" t="e">
        <f t="shared" si="4"/>
        <v>#NUM!</v>
      </c>
      <c r="S53" t="e">
        <f t="shared" si="5"/>
        <v>#NUM!</v>
      </c>
      <c r="U53" t="e">
        <v>#NUM!</v>
      </c>
    </row>
    <row r="54" spans="1:21" ht="13.9" x14ac:dyDescent="0.3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 t="e">
        <f t="shared" si="2"/>
        <v>#DIV/0!</v>
      </c>
      <c r="Q54" s="2" t="e">
        <f t="shared" si="3"/>
        <v>#DIV/0!</v>
      </c>
      <c r="R54" s="2" t="e">
        <f t="shared" si="4"/>
        <v>#DIV/0!</v>
      </c>
      <c r="S54" t="e">
        <f t="shared" si="5"/>
        <v>#DIV/0!</v>
      </c>
      <c r="U54" t="e">
        <v>#NUM!</v>
      </c>
    </row>
    <row r="55" spans="1:21" ht="13.9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>
        <v>0</v>
      </c>
      <c r="K55" s="2">
        <v>0</v>
      </c>
      <c r="L55" s="2">
        <v>0</v>
      </c>
      <c r="M55" s="2">
        <v>0.31</v>
      </c>
      <c r="N55" s="2">
        <v>0</v>
      </c>
      <c r="O55" s="2">
        <v>0</v>
      </c>
      <c r="P55" s="2" t="e">
        <f t="shared" si="2"/>
        <v>#NUM!</v>
      </c>
      <c r="Q55" s="2">
        <f t="shared" si="3"/>
        <v>0.37390096630005903</v>
      </c>
      <c r="R55" s="2" t="e">
        <f t="shared" si="4"/>
        <v>#NUM!</v>
      </c>
      <c r="S55" t="e">
        <f t="shared" si="5"/>
        <v>#NUM!</v>
      </c>
      <c r="U55" t="e">
        <v>#NUM!</v>
      </c>
    </row>
    <row r="56" spans="1:21" ht="13.9" x14ac:dyDescent="0.3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>
        <v>31.26</v>
      </c>
      <c r="K56" s="2">
        <v>54.62</v>
      </c>
      <c r="L56" s="2">
        <v>129.71</v>
      </c>
      <c r="M56" s="2">
        <v>45.68</v>
      </c>
      <c r="N56" s="2">
        <v>40.880000000000003</v>
      </c>
      <c r="O56" s="2">
        <v>49.4</v>
      </c>
      <c r="P56" s="2">
        <f t="shared" si="2"/>
        <v>0.66510799419190647</v>
      </c>
      <c r="Q56" s="2">
        <f t="shared" si="3"/>
        <v>0.42343379205848997</v>
      </c>
      <c r="R56" s="2">
        <f t="shared" si="4"/>
        <v>2.2448998289863491</v>
      </c>
      <c r="S56">
        <f t="shared" si="5"/>
        <v>-0.42100989481215306</v>
      </c>
      <c r="U56">
        <v>7.752146450958854</v>
      </c>
    </row>
    <row r="57" spans="1:21" ht="13.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>
        <v>0.18</v>
      </c>
      <c r="K57" s="2">
        <v>0</v>
      </c>
      <c r="L57" s="2">
        <v>0</v>
      </c>
      <c r="M57" s="2">
        <v>0</v>
      </c>
      <c r="N57" s="2">
        <v>0</v>
      </c>
      <c r="O57" s="2">
        <v>0.14000000000000001</v>
      </c>
      <c r="P57" s="2">
        <f t="shared" si="2"/>
        <v>0.36257007938470814</v>
      </c>
      <c r="Q57" s="2">
        <f t="shared" si="3"/>
        <v>0.86927786633163096</v>
      </c>
      <c r="R57" s="2" t="e">
        <f t="shared" si="4"/>
        <v>#DIV/0!</v>
      </c>
      <c r="S57" t="e">
        <f t="shared" si="5"/>
        <v>#DIV/0!</v>
      </c>
      <c r="U57">
        <v>-2.4739311883324122</v>
      </c>
    </row>
    <row r="58" spans="1:21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 t="e">
        <f t="shared" si="2"/>
        <v>#DIV/0!</v>
      </c>
      <c r="Q58" s="2" t="e">
        <f t="shared" si="3"/>
        <v>#DIV/0!</v>
      </c>
      <c r="R58" s="2" t="e">
        <f t="shared" si="4"/>
        <v>#DIV/0!</v>
      </c>
      <c r="S58" t="e">
        <f t="shared" si="5"/>
        <v>#DIV/0!</v>
      </c>
      <c r="U58" t="e">
        <v>#NUM!</v>
      </c>
    </row>
    <row r="59" spans="1:21" ht="13.9" x14ac:dyDescent="0.3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>
        <v>6.11</v>
      </c>
      <c r="K59" s="2">
        <v>0</v>
      </c>
      <c r="L59" s="2">
        <v>27.65</v>
      </c>
      <c r="M59" s="2">
        <v>5.14</v>
      </c>
      <c r="N59" s="2">
        <v>0</v>
      </c>
      <c r="O59" s="2">
        <v>3.11</v>
      </c>
      <c r="P59" s="2">
        <f t="shared" si="2"/>
        <v>2.032848879574007</v>
      </c>
      <c r="Q59" s="2">
        <f t="shared" si="3"/>
        <v>0.37464493741162036</v>
      </c>
      <c r="R59" s="2">
        <f t="shared" si="4"/>
        <v>5.5346174447687648</v>
      </c>
      <c r="S59">
        <f t="shared" si="5"/>
        <v>-0.58052062600000698</v>
      </c>
      <c r="U59">
        <v>5.0772429989324603</v>
      </c>
    </row>
    <row r="60" spans="1:21" ht="13.9" x14ac:dyDescent="0.3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>
        <v>2.52</v>
      </c>
      <c r="K60" s="2">
        <v>1.05</v>
      </c>
      <c r="L60" s="2">
        <v>1.51</v>
      </c>
      <c r="M60" s="2">
        <v>1.03</v>
      </c>
      <c r="N60" s="2">
        <v>531.39</v>
      </c>
      <c r="O60" s="2">
        <v>0</v>
      </c>
      <c r="P60" s="2">
        <f t="shared" si="2"/>
        <v>-6.7115924589160301</v>
      </c>
      <c r="Q60" s="2">
        <f t="shared" si="3"/>
        <v>0.37677118818203398</v>
      </c>
      <c r="R60" s="2">
        <f t="shared" si="4"/>
        <v>-10.412972349811731</v>
      </c>
      <c r="S60">
        <f t="shared" si="5"/>
        <v>-1.8132676614536547</v>
      </c>
      <c r="U60">
        <v>2.3448284969974416</v>
      </c>
    </row>
    <row r="61" spans="1:21" ht="13.9" x14ac:dyDescent="0.3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>
        <v>2.52</v>
      </c>
      <c r="K61" s="2">
        <v>1.05</v>
      </c>
      <c r="L61" s="2">
        <v>1.51</v>
      </c>
      <c r="M61" s="2">
        <v>1.03</v>
      </c>
      <c r="N61" s="2">
        <v>531.39</v>
      </c>
      <c r="O61" s="2">
        <v>0.95</v>
      </c>
      <c r="P61" s="2">
        <f t="shared" si="2"/>
        <v>-6.7141643739308501</v>
      </c>
      <c r="Q61" s="2">
        <f t="shared" si="3"/>
        <v>0.37561357397707523</v>
      </c>
      <c r="R61" s="2">
        <f t="shared" si="4"/>
        <v>-9.8973078779062078</v>
      </c>
      <c r="S61">
        <f t="shared" si="5"/>
        <v>-2.1092873650043358</v>
      </c>
      <c r="U61">
        <v>2.3448284969974416</v>
      </c>
    </row>
    <row r="62" spans="1:21" ht="13.9" x14ac:dyDescent="0.3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>
        <v>0.18</v>
      </c>
      <c r="K62" s="2">
        <v>0</v>
      </c>
      <c r="L62" s="2">
        <v>0</v>
      </c>
      <c r="M62" s="2">
        <v>0</v>
      </c>
      <c r="N62" s="2">
        <v>0</v>
      </c>
      <c r="O62" s="2">
        <v>0.14000000000000001</v>
      </c>
      <c r="P62" s="2">
        <f t="shared" si="2"/>
        <v>0.36257007938470814</v>
      </c>
      <c r="Q62" s="2">
        <f t="shared" si="3"/>
        <v>0.86927786633163096</v>
      </c>
      <c r="R62" s="2" t="e">
        <f t="shared" si="4"/>
        <v>#NUM!</v>
      </c>
      <c r="S62" t="e">
        <f t="shared" si="5"/>
        <v>#NUM!</v>
      </c>
      <c r="U62">
        <v>-2.4739311883324122</v>
      </c>
    </row>
    <row r="63" spans="1:21" ht="13.9" x14ac:dyDescent="0.3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>
        <v>48.87</v>
      </c>
      <c r="K63" s="2">
        <v>52.53</v>
      </c>
      <c r="L63" s="2">
        <v>88.99</v>
      </c>
      <c r="M63" s="2">
        <v>7.61</v>
      </c>
      <c r="N63" s="2">
        <v>0</v>
      </c>
      <c r="O63" s="2">
        <v>12.86</v>
      </c>
      <c r="P63" s="2">
        <f t="shared" si="2"/>
        <v>3.2173746973836539</v>
      </c>
      <c r="Q63" s="2">
        <f t="shared" si="3"/>
        <v>1.3201403217838312E-2</v>
      </c>
      <c r="R63" s="2">
        <f t="shared" si="4"/>
        <v>0.39531585273983127</v>
      </c>
      <c r="S63">
        <f t="shared" si="5"/>
        <v>1.1400806554725562</v>
      </c>
      <c r="U63">
        <v>7.5728138946323407</v>
      </c>
    </row>
    <row r="64" spans="1:21" ht="13.9" x14ac:dyDescent="0.3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>
        <v>417.34</v>
      </c>
      <c r="K64" s="2">
        <v>331.71</v>
      </c>
      <c r="L64" s="2">
        <v>276.01</v>
      </c>
      <c r="M64" s="2">
        <v>648.72</v>
      </c>
      <c r="N64" s="2">
        <v>1348.92</v>
      </c>
      <c r="O64" s="2">
        <v>509.99</v>
      </c>
      <c r="P64" s="2">
        <f t="shared" si="2"/>
        <v>-1.2906161369529963</v>
      </c>
      <c r="Q64" s="2">
        <f t="shared" si="3"/>
        <v>0.1332760358215285</v>
      </c>
      <c r="R64" s="2">
        <f t="shared" si="4"/>
        <v>0.18509401020494543</v>
      </c>
      <c r="S64">
        <f t="shared" si="5"/>
        <v>0.87457292303545076</v>
      </c>
      <c r="U64">
        <v>10.001492642362603</v>
      </c>
    </row>
    <row r="65" spans="1:21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 t="e">
        <f t="shared" si="2"/>
        <v>#DIV/0!</v>
      </c>
      <c r="Q65" s="2" t="e">
        <f t="shared" si="3"/>
        <v>#DIV/0!</v>
      </c>
      <c r="R65" s="2" t="e">
        <f t="shared" si="4"/>
        <v>#DIV/0!</v>
      </c>
      <c r="S65" t="e">
        <f t="shared" si="5"/>
        <v>#DIV/0!</v>
      </c>
      <c r="U65" t="e">
        <v>#NUM!</v>
      </c>
    </row>
    <row r="66" spans="1:21" ht="13.9" x14ac:dyDescent="0.3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6">LOG(SUM(B66:D66)/SUM(E66:G66),2)</f>
        <v>-5.0410272682600548</v>
      </c>
      <c r="I66" s="2">
        <f t="shared" ref="I66:I129" si="7">_xlfn.T.TEST(B66:D66,E66:G66,2,2)</f>
        <v>0.14408301800446266</v>
      </c>
      <c r="J66" s="2">
        <v>0</v>
      </c>
      <c r="K66" s="2">
        <v>2.5099999999999998</v>
      </c>
      <c r="L66" s="2">
        <v>0</v>
      </c>
      <c r="M66" s="2">
        <v>4.63</v>
      </c>
      <c r="N66" s="2">
        <v>204.38</v>
      </c>
      <c r="O66" s="2">
        <v>1.76</v>
      </c>
      <c r="P66" s="2">
        <f t="shared" ref="P66:P129" si="8">LOG(SUM(J66:L66)/SUM(M66:O66),2)</f>
        <v>-6.3918383608315095</v>
      </c>
      <c r="Q66" s="2">
        <f t="shared" ref="Q66:Q129" si="9">_xlfn.T.TEST(J66:L66,M66:O66,2,2)</f>
        <v>0.35913333185086571</v>
      </c>
      <c r="R66" s="2">
        <f t="shared" si="4"/>
        <v>-1.3508110925714547</v>
      </c>
      <c r="S66">
        <f t="shared" si="5"/>
        <v>1.2679634567891747</v>
      </c>
      <c r="U66">
        <v>1.3276873641760472</v>
      </c>
    </row>
    <row r="67" spans="1:21" ht="13.9" x14ac:dyDescent="0.3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6"/>
        <v>-5.0410272682600548</v>
      </c>
      <c r="I67" s="2">
        <f t="shared" si="7"/>
        <v>0.14408301800446266</v>
      </c>
      <c r="J67" s="2">
        <v>0</v>
      </c>
      <c r="K67" s="2">
        <v>2.5099999999999998</v>
      </c>
      <c r="L67" s="2">
        <v>0</v>
      </c>
      <c r="M67" s="2">
        <v>4.63</v>
      </c>
      <c r="N67" s="2">
        <v>204.38</v>
      </c>
      <c r="O67" s="2">
        <v>1.76</v>
      </c>
      <c r="P67" s="2">
        <f t="shared" si="8"/>
        <v>-6.3918383608315095</v>
      </c>
      <c r="Q67" s="2">
        <f t="shared" si="9"/>
        <v>0.35913333185086571</v>
      </c>
      <c r="R67" s="2">
        <f t="shared" ref="R67:R130" si="10">P67-H67</f>
        <v>-1.3508110925714547</v>
      </c>
      <c r="S67">
        <f t="shared" si="5"/>
        <v>1.2679634567891747</v>
      </c>
      <c r="U67">
        <v>1.3276873641760472</v>
      </c>
    </row>
    <row r="68" spans="1:21" ht="13.9" x14ac:dyDescent="0.3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6"/>
        <v>-0.90442234001776889</v>
      </c>
      <c r="I68" s="2">
        <f t="shared" si="7"/>
        <v>0.59112164364653408</v>
      </c>
      <c r="J68" s="2">
        <v>1.08</v>
      </c>
      <c r="K68" s="2">
        <v>0</v>
      </c>
      <c r="L68" s="2">
        <v>0</v>
      </c>
      <c r="M68" s="2">
        <v>0.21</v>
      </c>
      <c r="N68" s="2">
        <v>0</v>
      </c>
      <c r="O68" s="2">
        <v>0.41</v>
      </c>
      <c r="P68" s="2">
        <f t="shared" si="8"/>
        <v>0.80069119177659354</v>
      </c>
      <c r="Q68" s="2">
        <f t="shared" si="9"/>
        <v>0.70646241179113889</v>
      </c>
      <c r="R68" s="2">
        <f t="shared" si="10"/>
        <v>1.7051135317943624</v>
      </c>
      <c r="S68">
        <f t="shared" ref="S68:S131" si="11">P68/H68</f>
        <v>-0.88530673817816419</v>
      </c>
      <c r="U68">
        <v>0.11103131238874395</v>
      </c>
    </row>
    <row r="69" spans="1:21" ht="13.9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6"/>
        <v>#NUM!</v>
      </c>
      <c r="I69" s="2">
        <f t="shared" si="7"/>
        <v>0.37390096630005903</v>
      </c>
      <c r="J69" s="2">
        <v>0</v>
      </c>
      <c r="K69" s="2">
        <v>0</v>
      </c>
      <c r="L69" s="2">
        <v>0</v>
      </c>
      <c r="M69" s="2">
        <v>0.1</v>
      </c>
      <c r="N69" s="2">
        <v>0</v>
      </c>
      <c r="O69" s="2">
        <v>0</v>
      </c>
      <c r="P69" s="2" t="e">
        <f t="shared" si="8"/>
        <v>#NUM!</v>
      </c>
      <c r="Q69" s="2">
        <f t="shared" si="9"/>
        <v>0.37390096630005903</v>
      </c>
      <c r="R69" s="2" t="e">
        <f t="shared" si="10"/>
        <v>#NUM!</v>
      </c>
      <c r="S69" t="e">
        <f t="shared" si="11"/>
        <v>#NUM!</v>
      </c>
      <c r="U69" t="e">
        <v>#NUM!</v>
      </c>
    </row>
    <row r="70" spans="1:21" ht="13.9" x14ac:dyDescent="0.3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6"/>
        <v>-1.4699354923986134</v>
      </c>
      <c r="I70" s="2">
        <f t="shared" si="7"/>
        <v>0.15642452505446808</v>
      </c>
      <c r="J70" s="2">
        <v>0.18</v>
      </c>
      <c r="K70" s="2">
        <v>5.23</v>
      </c>
      <c r="L70" s="2">
        <v>24.13</v>
      </c>
      <c r="M70" s="2">
        <v>12.66</v>
      </c>
      <c r="N70" s="2">
        <v>163.51</v>
      </c>
      <c r="O70" s="2">
        <v>13.67</v>
      </c>
      <c r="P70" s="2">
        <f t="shared" si="8"/>
        <v>-2.6840422744291588</v>
      </c>
      <c r="Q70" s="2">
        <f t="shared" si="9"/>
        <v>0.35089370608089976</v>
      </c>
      <c r="R70" s="2">
        <f t="shared" si="10"/>
        <v>-1.2141067820305453</v>
      </c>
      <c r="S70">
        <f t="shared" si="11"/>
        <v>1.8259592263122979</v>
      </c>
      <c r="U70">
        <v>4.884597920990065</v>
      </c>
    </row>
    <row r="71" spans="1:21" ht="13.9" x14ac:dyDescent="0.3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6"/>
        <v>1.1084584974666527</v>
      </c>
      <c r="I71" s="2">
        <f t="shared" si="7"/>
        <v>0.40204118748993639</v>
      </c>
      <c r="J71" s="2">
        <v>3.77</v>
      </c>
      <c r="K71" s="2">
        <v>7.95</v>
      </c>
      <c r="L71" s="2">
        <v>4.0199999999999996</v>
      </c>
      <c r="M71" s="2">
        <v>1.23</v>
      </c>
      <c r="N71" s="2">
        <v>0</v>
      </c>
      <c r="O71" s="2">
        <v>3.65</v>
      </c>
      <c r="P71" s="2">
        <f t="shared" si="8"/>
        <v>1.6894824879446002</v>
      </c>
      <c r="Q71" s="2">
        <f t="shared" si="9"/>
        <v>0.10407637598537672</v>
      </c>
      <c r="R71" s="2">
        <f t="shared" si="10"/>
        <v>0.58102399047794751</v>
      </c>
      <c r="S71">
        <f t="shared" si="11"/>
        <v>1.5241729769818715</v>
      </c>
      <c r="U71">
        <v>3.9763636357327616</v>
      </c>
    </row>
    <row r="72" spans="1:21" ht="13.9" x14ac:dyDescent="0.3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6"/>
        <v>-0.43853977188359711</v>
      </c>
      <c r="I72" s="2">
        <f t="shared" si="7"/>
        <v>0.62402158293181198</v>
      </c>
      <c r="J72" s="2">
        <v>21.92</v>
      </c>
      <c r="K72" s="2">
        <v>17.79</v>
      </c>
      <c r="L72" s="2">
        <v>34.19</v>
      </c>
      <c r="M72" s="2">
        <v>25.72</v>
      </c>
      <c r="N72" s="2">
        <v>367.89</v>
      </c>
      <c r="O72" s="2">
        <v>42.5</v>
      </c>
      <c r="P72" s="2">
        <f t="shared" si="8"/>
        <v>-2.5610458023044131</v>
      </c>
      <c r="Q72" s="2">
        <f t="shared" si="9"/>
        <v>0.3396924659283444</v>
      </c>
      <c r="R72" s="2">
        <f t="shared" si="10"/>
        <v>-2.1225060304208161</v>
      </c>
      <c r="S72">
        <f t="shared" si="11"/>
        <v>5.839939650865233</v>
      </c>
      <c r="U72">
        <v>6.2075024592587891</v>
      </c>
    </row>
    <row r="73" spans="1:21" ht="13.9" x14ac:dyDescent="0.3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6"/>
        <v>0.73696559416620622</v>
      </c>
      <c r="I73" s="2">
        <f t="shared" si="7"/>
        <v>0.5478614056410982</v>
      </c>
      <c r="J73" s="2">
        <v>0</v>
      </c>
      <c r="K73" s="2">
        <v>0</v>
      </c>
      <c r="L73" s="2">
        <v>17.09</v>
      </c>
      <c r="M73" s="2">
        <v>0.1</v>
      </c>
      <c r="N73" s="2">
        <v>0</v>
      </c>
      <c r="O73" s="2">
        <v>0.14000000000000001</v>
      </c>
      <c r="P73" s="2">
        <f t="shared" si="8"/>
        <v>6.1539741809549833</v>
      </c>
      <c r="Q73" s="2">
        <f t="shared" si="9"/>
        <v>0.37998398294277697</v>
      </c>
      <c r="R73" s="2">
        <f t="shared" si="10"/>
        <v>5.4170085867887767</v>
      </c>
      <c r="S73">
        <f t="shared" si="11"/>
        <v>8.3504226380032218</v>
      </c>
      <c r="U73">
        <v>4.0950804919014141</v>
      </c>
    </row>
    <row r="74" spans="1:21" ht="13.9" x14ac:dyDescent="0.3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6"/>
        <v>#NUM!</v>
      </c>
      <c r="I74" s="2">
        <f t="shared" si="7"/>
        <v>0.37390096630005903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 t="e">
        <f t="shared" si="8"/>
        <v>#DIV/0!</v>
      </c>
      <c r="Q74" s="2" t="e">
        <f t="shared" si="9"/>
        <v>#DIV/0!</v>
      </c>
      <c r="R74" s="2" t="e">
        <f t="shared" si="10"/>
        <v>#DIV/0!</v>
      </c>
      <c r="S74" t="e">
        <f t="shared" si="11"/>
        <v>#DIV/0!</v>
      </c>
      <c r="U74" t="e">
        <v>#NUM!</v>
      </c>
    </row>
    <row r="75" spans="1:21" ht="13.9" x14ac:dyDescent="0.3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6"/>
        <v>#NUM!</v>
      </c>
      <c r="I75" s="2">
        <f t="shared" si="7"/>
        <v>0.1263598476466152</v>
      </c>
      <c r="J75" s="2">
        <v>0</v>
      </c>
      <c r="K75" s="2">
        <v>0</v>
      </c>
      <c r="L75" s="2">
        <v>0</v>
      </c>
      <c r="M75" s="2">
        <v>0.51</v>
      </c>
      <c r="N75" s="2">
        <v>0</v>
      </c>
      <c r="O75" s="2">
        <v>0</v>
      </c>
      <c r="P75" s="2" t="e">
        <f t="shared" si="8"/>
        <v>#NUM!</v>
      </c>
      <c r="Q75" s="2">
        <f t="shared" si="9"/>
        <v>0.37390096630005903</v>
      </c>
      <c r="R75" s="2" t="e">
        <f t="shared" si="10"/>
        <v>#NUM!</v>
      </c>
      <c r="S75" t="e">
        <f t="shared" si="11"/>
        <v>#NUM!</v>
      </c>
      <c r="U75" t="e">
        <v>#NUM!</v>
      </c>
    </row>
    <row r="76" spans="1:21" ht="13.9" x14ac:dyDescent="0.3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6"/>
        <v>2.7578985355019339</v>
      </c>
      <c r="I76" s="2">
        <f t="shared" si="7"/>
        <v>0.20888554287763123</v>
      </c>
      <c r="J76" s="2">
        <v>0</v>
      </c>
      <c r="K76" s="2">
        <v>7.74</v>
      </c>
      <c r="L76" s="2">
        <v>0</v>
      </c>
      <c r="M76" s="2">
        <v>1.34</v>
      </c>
      <c r="N76" s="2">
        <v>0</v>
      </c>
      <c r="O76" s="2">
        <v>0.27</v>
      </c>
      <c r="P76" s="2">
        <f t="shared" si="8"/>
        <v>2.2652728780297933</v>
      </c>
      <c r="Q76" s="2">
        <f t="shared" si="9"/>
        <v>0.47780192817935047</v>
      </c>
      <c r="R76" s="2">
        <f t="shared" si="10"/>
        <v>-0.4926256574721406</v>
      </c>
      <c r="S76">
        <f t="shared" si="11"/>
        <v>0.82137643893324619</v>
      </c>
      <c r="U76">
        <v>2.9523335663696861</v>
      </c>
    </row>
    <row r="77" spans="1:21" ht="13.9" x14ac:dyDescent="0.3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6"/>
        <v>#NUM!</v>
      </c>
      <c r="I77" s="2">
        <f t="shared" si="7"/>
        <v>2.6347304928499616E-2</v>
      </c>
      <c r="J77" s="2">
        <v>0</v>
      </c>
      <c r="K77" s="2">
        <v>0</v>
      </c>
      <c r="L77" s="2">
        <v>0</v>
      </c>
      <c r="M77" s="2">
        <v>8.1300000000000008</v>
      </c>
      <c r="N77" s="2">
        <v>0</v>
      </c>
      <c r="O77" s="2">
        <v>5.28</v>
      </c>
      <c r="P77" s="2" t="e">
        <f t="shared" si="8"/>
        <v>#NUM!</v>
      </c>
      <c r="Q77" s="2">
        <f t="shared" si="9"/>
        <v>0.13376332777958017</v>
      </c>
      <c r="R77" s="2" t="e">
        <f t="shared" si="10"/>
        <v>#NUM!</v>
      </c>
      <c r="S77" t="e">
        <f t="shared" si="11"/>
        <v>#NUM!</v>
      </c>
      <c r="U77" t="e">
        <v>#NUM!</v>
      </c>
    </row>
    <row r="78" spans="1:21" ht="13.9" x14ac:dyDescent="0.3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6"/>
        <v>#NUM!</v>
      </c>
      <c r="I78" s="2">
        <f t="shared" si="7"/>
        <v>0.1550162111421669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0.81</v>
      </c>
      <c r="P78" s="2" t="e">
        <f t="shared" si="8"/>
        <v>#NUM!</v>
      </c>
      <c r="Q78" s="2">
        <f t="shared" si="9"/>
        <v>0.37390096630005903</v>
      </c>
      <c r="R78" s="2" t="e">
        <f t="shared" si="10"/>
        <v>#NUM!</v>
      </c>
      <c r="S78" t="e">
        <f t="shared" si="11"/>
        <v>#NUM!</v>
      </c>
      <c r="U78" t="e">
        <v>#NUM!</v>
      </c>
    </row>
    <row r="79" spans="1:21" ht="13.9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6"/>
        <v>#NUM!</v>
      </c>
      <c r="I79" s="2">
        <f t="shared" si="7"/>
        <v>0.37390096630005903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 t="e">
        <f t="shared" si="8"/>
        <v>#DIV/0!</v>
      </c>
      <c r="Q79" s="2" t="e">
        <f t="shared" si="9"/>
        <v>#DIV/0!</v>
      </c>
      <c r="R79" s="2" t="e">
        <f t="shared" si="10"/>
        <v>#DIV/0!</v>
      </c>
      <c r="S79" t="e">
        <f t="shared" si="11"/>
        <v>#DIV/0!</v>
      </c>
      <c r="U79" t="e">
        <v>#NUM!</v>
      </c>
    </row>
    <row r="80" spans="1:21" ht="13.9" x14ac:dyDescent="0.3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6"/>
        <v>-1.2664635614572752</v>
      </c>
      <c r="I80" s="2">
        <f t="shared" si="7"/>
        <v>3.0296341968782513E-3</v>
      </c>
      <c r="J80" s="2">
        <v>519.91999999999996</v>
      </c>
      <c r="K80" s="2">
        <v>859.31</v>
      </c>
      <c r="L80" s="2">
        <v>1173.4000000000001</v>
      </c>
      <c r="M80" s="2">
        <v>1245.68</v>
      </c>
      <c r="N80" s="2">
        <v>981.03</v>
      </c>
      <c r="O80" s="2">
        <v>1262.52</v>
      </c>
      <c r="P80" s="2">
        <f t="shared" si="8"/>
        <v>-0.45092426261733359</v>
      </c>
      <c r="Q80" s="2">
        <f t="shared" si="9"/>
        <v>0.21051500800972281</v>
      </c>
      <c r="R80" s="2">
        <f t="shared" si="10"/>
        <v>0.8155392988399417</v>
      </c>
      <c r="S80">
        <f t="shared" si="11"/>
        <v>0.35604993016812175</v>
      </c>
      <c r="U80">
        <v>11.31776872101667</v>
      </c>
    </row>
    <row r="81" spans="1:21" ht="13.9" x14ac:dyDescent="0.3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6"/>
        <v>#NUM!</v>
      </c>
      <c r="I81" s="2">
        <f t="shared" si="7"/>
        <v>0.12463868886538043</v>
      </c>
      <c r="J81" s="2">
        <v>0</v>
      </c>
      <c r="K81" s="2">
        <v>0</v>
      </c>
      <c r="L81" s="2">
        <v>15.59</v>
      </c>
      <c r="M81" s="2">
        <v>2.2599999999999998</v>
      </c>
      <c r="N81" s="2">
        <v>0</v>
      </c>
      <c r="O81" s="2">
        <v>0</v>
      </c>
      <c r="P81" s="2">
        <f t="shared" si="8"/>
        <v>2.7862262502825974</v>
      </c>
      <c r="Q81" s="2">
        <f t="shared" si="9"/>
        <v>0.44509935942505735</v>
      </c>
      <c r="R81" s="2" t="e">
        <f t="shared" si="10"/>
        <v>#NUM!</v>
      </c>
      <c r="S81" t="e">
        <f t="shared" si="11"/>
        <v>#NUM!</v>
      </c>
      <c r="U81">
        <v>3.9625490229230604</v>
      </c>
    </row>
    <row r="82" spans="1:21" ht="13.9" x14ac:dyDescent="0.3">
      <c r="A82" s="2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6"/>
        <v>#NUM!</v>
      </c>
      <c r="I82" s="2">
        <f t="shared" si="7"/>
        <v>5.2090272011093029E-2</v>
      </c>
      <c r="J82" s="2">
        <v>0</v>
      </c>
      <c r="K82" s="2">
        <v>6.7</v>
      </c>
      <c r="L82" s="2">
        <v>0</v>
      </c>
      <c r="M82" s="2">
        <v>5.56</v>
      </c>
      <c r="N82" s="2">
        <v>0</v>
      </c>
      <c r="O82" s="2">
        <v>5.82</v>
      </c>
      <c r="P82" s="2">
        <f t="shared" si="8"/>
        <v>-0.76426755696144699</v>
      </c>
      <c r="Q82" s="2">
        <f t="shared" si="9"/>
        <v>0.62274888764095992</v>
      </c>
      <c r="R82" s="2" t="e">
        <f t="shared" si="10"/>
        <v>#NUM!</v>
      </c>
      <c r="S82" t="e">
        <f t="shared" si="11"/>
        <v>#NUM!</v>
      </c>
      <c r="U82">
        <v>2.7441610955704103</v>
      </c>
    </row>
    <row r="83" spans="1:21" ht="13.9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6"/>
        <v>#NUM!</v>
      </c>
      <c r="I83" s="2">
        <f t="shared" si="7"/>
        <v>0.37390096630005903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 t="e">
        <f t="shared" si="8"/>
        <v>#DIV/0!</v>
      </c>
      <c r="Q83" s="2" t="e">
        <f t="shared" si="9"/>
        <v>#DIV/0!</v>
      </c>
      <c r="R83" s="2" t="e">
        <f t="shared" si="10"/>
        <v>#DIV/0!</v>
      </c>
      <c r="S83" t="e">
        <f t="shared" si="11"/>
        <v>#DIV/0!</v>
      </c>
      <c r="U83" t="e">
        <v>#NUM!</v>
      </c>
    </row>
    <row r="84" spans="1:21" ht="13.9" x14ac:dyDescent="0.3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6"/>
        <v>#NUM!</v>
      </c>
      <c r="I84" s="2">
        <f t="shared" si="7"/>
        <v>0.18970714206208195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0.41</v>
      </c>
      <c r="P84" s="2" t="e">
        <f t="shared" si="8"/>
        <v>#NUM!</v>
      </c>
      <c r="Q84" s="2">
        <f t="shared" si="9"/>
        <v>0.37390096630005903</v>
      </c>
      <c r="R84" s="2" t="e">
        <f t="shared" si="10"/>
        <v>#NUM!</v>
      </c>
      <c r="S84" t="e">
        <f t="shared" si="11"/>
        <v>#NUM!</v>
      </c>
      <c r="U84" t="e">
        <v>#NUM!</v>
      </c>
    </row>
    <row r="85" spans="1:21" ht="13.9" x14ac:dyDescent="0.3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6"/>
        <v>#NUM!</v>
      </c>
      <c r="I85" s="2">
        <f t="shared" si="7"/>
        <v>5.4653178450128634E-3</v>
      </c>
      <c r="J85" s="2">
        <v>15.81</v>
      </c>
      <c r="K85" s="2">
        <v>0</v>
      </c>
      <c r="L85" s="2">
        <v>0</v>
      </c>
      <c r="M85" s="2">
        <v>2.06</v>
      </c>
      <c r="N85" s="2">
        <v>0</v>
      </c>
      <c r="O85" s="2">
        <v>3.79</v>
      </c>
      <c r="P85" s="2">
        <f t="shared" si="8"/>
        <v>1.4343288378876042</v>
      </c>
      <c r="Q85" s="2">
        <f t="shared" si="9"/>
        <v>0.57074432076439541</v>
      </c>
      <c r="R85" s="2" t="e">
        <f t="shared" si="10"/>
        <v>#NUM!</v>
      </c>
      <c r="S85" t="e">
        <f t="shared" si="11"/>
        <v>#NUM!</v>
      </c>
      <c r="U85">
        <v>3.9827654625836462</v>
      </c>
    </row>
    <row r="86" spans="1:21" ht="13.9" x14ac:dyDescent="0.3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6"/>
        <v>#NUM!</v>
      </c>
      <c r="I86" s="2">
        <f t="shared" si="7"/>
        <v>0.19352387452356762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 t="e">
        <f t="shared" si="8"/>
        <v>#DIV/0!</v>
      </c>
      <c r="Q86" s="2" t="e">
        <f t="shared" si="9"/>
        <v>#DIV/0!</v>
      </c>
      <c r="R86" s="2" t="e">
        <f t="shared" si="10"/>
        <v>#DIV/0!</v>
      </c>
      <c r="S86" t="e">
        <f t="shared" si="11"/>
        <v>#DIV/0!</v>
      </c>
      <c r="U86" t="e">
        <v>#NUM!</v>
      </c>
    </row>
    <row r="87" spans="1:21" ht="13.9" x14ac:dyDescent="0.3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6"/>
        <v>0.52830728386358727</v>
      </c>
      <c r="I87" s="2">
        <f t="shared" si="7"/>
        <v>0.73027362988775213</v>
      </c>
      <c r="J87" s="2">
        <v>9.52</v>
      </c>
      <c r="K87" s="2">
        <v>11.72</v>
      </c>
      <c r="L87" s="2">
        <v>24.13</v>
      </c>
      <c r="M87" s="2">
        <v>4.42</v>
      </c>
      <c r="N87" s="2">
        <v>0</v>
      </c>
      <c r="O87" s="2">
        <v>44.8</v>
      </c>
      <c r="P87" s="2">
        <f t="shared" si="8"/>
        <v>-0.11750599810741523</v>
      </c>
      <c r="Q87" s="2">
        <f t="shared" si="9"/>
        <v>0.93576809786680371</v>
      </c>
      <c r="R87" s="2">
        <f t="shared" si="10"/>
        <v>-0.64581328197100252</v>
      </c>
      <c r="S87">
        <f t="shared" si="11"/>
        <v>-0.22241979563120337</v>
      </c>
      <c r="U87">
        <v>5.5036667545760203</v>
      </c>
    </row>
    <row r="88" spans="1:21" ht="13.9" x14ac:dyDescent="0.3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6"/>
        <v>8.4392187290372317E-2</v>
      </c>
      <c r="I88" s="2">
        <f t="shared" si="7"/>
        <v>0.95882946760140619</v>
      </c>
      <c r="J88" s="2">
        <v>0</v>
      </c>
      <c r="K88" s="2">
        <v>2.5099999999999998</v>
      </c>
      <c r="L88" s="2">
        <v>11.06</v>
      </c>
      <c r="M88" s="2">
        <v>2.06</v>
      </c>
      <c r="N88" s="2">
        <v>327.01</v>
      </c>
      <c r="O88" s="2">
        <v>3.79</v>
      </c>
      <c r="P88" s="2">
        <f t="shared" si="8"/>
        <v>-4.6164228854351803</v>
      </c>
      <c r="Q88" s="2">
        <f t="shared" si="9"/>
        <v>0.38051071779870566</v>
      </c>
      <c r="R88" s="2">
        <f t="shared" si="10"/>
        <v>-4.7008150727255522</v>
      </c>
      <c r="S88">
        <f t="shared" si="11"/>
        <v>-54.702017256066952</v>
      </c>
      <c r="U88">
        <v>3.7623488156441294</v>
      </c>
    </row>
    <row r="89" spans="1:21" ht="13.9" x14ac:dyDescent="0.3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6"/>
        <v>3.5379650211839868</v>
      </c>
      <c r="I89" s="2">
        <f t="shared" si="7"/>
        <v>0.41289019857059323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 t="e">
        <f t="shared" si="8"/>
        <v>#DIV/0!</v>
      </c>
      <c r="Q89" s="2" t="e">
        <f t="shared" si="9"/>
        <v>#DIV/0!</v>
      </c>
      <c r="R89" s="2" t="e">
        <f t="shared" si="10"/>
        <v>#DIV/0!</v>
      </c>
      <c r="S89" t="e">
        <f t="shared" si="11"/>
        <v>#DIV/0!</v>
      </c>
      <c r="U89" t="e">
        <v>#NUM!</v>
      </c>
    </row>
    <row r="90" spans="1:21" ht="13.9" x14ac:dyDescent="0.3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6"/>
        <v>#DIV/0!</v>
      </c>
      <c r="I90" s="2">
        <f t="shared" si="7"/>
        <v>0.37390096630005903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 t="e">
        <f t="shared" si="8"/>
        <v>#DIV/0!</v>
      </c>
      <c r="Q90" s="2" t="e">
        <f t="shared" si="9"/>
        <v>#DIV/0!</v>
      </c>
      <c r="R90" s="2" t="e">
        <f t="shared" si="10"/>
        <v>#DIV/0!</v>
      </c>
      <c r="S90" t="e">
        <f t="shared" si="11"/>
        <v>#DIV/0!</v>
      </c>
      <c r="U90" t="e">
        <v>#NUM!</v>
      </c>
    </row>
    <row r="91" spans="1:21" ht="13.9" x14ac:dyDescent="0.3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6"/>
        <v>-0.70339528956525199</v>
      </c>
      <c r="I91" s="2">
        <f t="shared" si="7"/>
        <v>0.3320466660413211</v>
      </c>
      <c r="J91" s="2">
        <v>0</v>
      </c>
      <c r="K91" s="2">
        <v>4.3899999999999997</v>
      </c>
      <c r="L91" s="2">
        <v>28.15</v>
      </c>
      <c r="M91" s="2">
        <v>7.31</v>
      </c>
      <c r="N91" s="2">
        <v>0</v>
      </c>
      <c r="O91" s="2">
        <v>10.69</v>
      </c>
      <c r="P91" s="2">
        <f t="shared" si="8"/>
        <v>0.8542173444554908</v>
      </c>
      <c r="Q91" s="2">
        <f t="shared" si="9"/>
        <v>0.62963103510123863</v>
      </c>
      <c r="R91" s="2">
        <f t="shared" si="10"/>
        <v>1.5576126340207428</v>
      </c>
      <c r="S91">
        <f t="shared" si="11"/>
        <v>-1.2144200524621902</v>
      </c>
      <c r="U91">
        <v>5.0241423458978032</v>
      </c>
    </row>
    <row r="92" spans="1:21" ht="13.9" x14ac:dyDescent="0.3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6"/>
        <v>#NUM!</v>
      </c>
      <c r="I92" s="2">
        <f t="shared" si="7"/>
        <v>0.37390096630005903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0.27</v>
      </c>
      <c r="P92" s="2" t="e">
        <f t="shared" si="8"/>
        <v>#NUM!</v>
      </c>
      <c r="Q92" s="2">
        <f t="shared" si="9"/>
        <v>0.37390096630005903</v>
      </c>
      <c r="R92" s="2" t="e">
        <f t="shared" si="10"/>
        <v>#NUM!</v>
      </c>
      <c r="S92" t="e">
        <f t="shared" si="11"/>
        <v>#NUM!</v>
      </c>
      <c r="U92" t="e">
        <v>#NUM!</v>
      </c>
    </row>
    <row r="93" spans="1:21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6"/>
        <v>#DIV/0!</v>
      </c>
      <c r="I93" s="2" t="e">
        <f t="shared" si="7"/>
        <v>#DIV/0!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 t="e">
        <f t="shared" si="8"/>
        <v>#DIV/0!</v>
      </c>
      <c r="Q93" s="2" t="e">
        <f t="shared" si="9"/>
        <v>#DIV/0!</v>
      </c>
      <c r="R93" s="2" t="e">
        <f t="shared" si="10"/>
        <v>#DIV/0!</v>
      </c>
      <c r="S93" t="e">
        <f t="shared" si="11"/>
        <v>#DIV/0!</v>
      </c>
      <c r="U93" t="e">
        <v>#NUM!</v>
      </c>
    </row>
    <row r="94" spans="1:21" ht="13.9" x14ac:dyDescent="0.3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6"/>
        <v>2.9439799143437386</v>
      </c>
      <c r="I94" s="2">
        <f t="shared" si="7"/>
        <v>0.43438847193267061</v>
      </c>
      <c r="J94" s="2">
        <v>0</v>
      </c>
      <c r="K94" s="2">
        <v>0</v>
      </c>
      <c r="L94" s="2">
        <v>0</v>
      </c>
      <c r="M94" s="2">
        <v>0.41</v>
      </c>
      <c r="N94" s="2">
        <v>0</v>
      </c>
      <c r="O94" s="2">
        <v>0</v>
      </c>
      <c r="P94" s="2" t="e">
        <f t="shared" si="8"/>
        <v>#NUM!</v>
      </c>
      <c r="Q94" s="2">
        <f t="shared" si="9"/>
        <v>0.37390096630005903</v>
      </c>
      <c r="R94" s="2" t="e">
        <f t="shared" si="10"/>
        <v>#NUM!</v>
      </c>
      <c r="S94" t="e">
        <f t="shared" si="11"/>
        <v>#NUM!</v>
      </c>
      <c r="U94" t="e">
        <v>#NUM!</v>
      </c>
    </row>
    <row r="95" spans="1:21" ht="13.9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6"/>
        <v>#NUM!</v>
      </c>
      <c r="I95" s="2">
        <f t="shared" si="7"/>
        <v>0.37390096630005903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 t="e">
        <f t="shared" si="8"/>
        <v>#DIV/0!</v>
      </c>
      <c r="Q95" s="2" t="e">
        <f t="shared" si="9"/>
        <v>#DIV/0!</v>
      </c>
      <c r="R95" s="2" t="e">
        <f t="shared" si="10"/>
        <v>#DIV/0!</v>
      </c>
      <c r="S95" t="e">
        <f t="shared" si="11"/>
        <v>#DIV/0!</v>
      </c>
      <c r="U95" t="e">
        <v>#NUM!</v>
      </c>
    </row>
    <row r="96" spans="1:21" ht="13.9" x14ac:dyDescent="0.3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6"/>
        <v>#NUM!</v>
      </c>
      <c r="I96" s="2">
        <f t="shared" si="7"/>
        <v>0.37390096630005903</v>
      </c>
      <c r="J96" s="2">
        <v>0</v>
      </c>
      <c r="K96" s="2">
        <v>9.2100000000000009</v>
      </c>
      <c r="L96" s="2">
        <v>0</v>
      </c>
      <c r="M96" s="2">
        <v>0.51</v>
      </c>
      <c r="N96" s="2">
        <v>0</v>
      </c>
      <c r="O96" s="2">
        <v>0.68</v>
      </c>
      <c r="P96" s="2">
        <f t="shared" si="8"/>
        <v>2.9522395827833923</v>
      </c>
      <c r="Q96" s="2">
        <f t="shared" si="9"/>
        <v>0.43394412493357398</v>
      </c>
      <c r="R96" s="2" t="e">
        <f t="shared" si="10"/>
        <v>#NUM!</v>
      </c>
      <c r="S96" t="e">
        <f t="shared" si="11"/>
        <v>#NUM!</v>
      </c>
      <c r="U96">
        <v>3.2032011563166112</v>
      </c>
    </row>
    <row r="97" spans="1:21" ht="13.9" x14ac:dyDescent="0.3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6"/>
        <v>-2.5108885538197678</v>
      </c>
      <c r="I97" s="2">
        <f t="shared" si="7"/>
        <v>2.0451651253833244E-2</v>
      </c>
      <c r="J97" s="2">
        <v>0.18</v>
      </c>
      <c r="K97" s="2">
        <v>0</v>
      </c>
      <c r="L97" s="2">
        <v>0</v>
      </c>
      <c r="M97" s="2">
        <v>23.46</v>
      </c>
      <c r="N97" s="2">
        <v>0</v>
      </c>
      <c r="O97" s="2">
        <v>20.71</v>
      </c>
      <c r="P97" s="2">
        <f t="shared" si="8"/>
        <v>-7.938926115597841</v>
      </c>
      <c r="Q97" s="2">
        <f t="shared" si="9"/>
        <v>0.11876036611070445</v>
      </c>
      <c r="R97" s="2">
        <f t="shared" si="10"/>
        <v>-5.4280375617780727</v>
      </c>
      <c r="S97">
        <f t="shared" si="11"/>
        <v>3.1617994767312556</v>
      </c>
      <c r="U97">
        <v>-2.4739311883324122</v>
      </c>
    </row>
    <row r="98" spans="1:21" ht="13.9" x14ac:dyDescent="0.3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6"/>
        <v>-5.2512895631846475E-2</v>
      </c>
      <c r="I98" s="2">
        <f t="shared" si="7"/>
        <v>0.8914676837373311</v>
      </c>
      <c r="J98" s="2">
        <v>4.13</v>
      </c>
      <c r="K98" s="2">
        <v>7.95</v>
      </c>
      <c r="L98" s="2">
        <v>0</v>
      </c>
      <c r="M98" s="2">
        <v>26.24</v>
      </c>
      <c r="N98" s="2">
        <v>0</v>
      </c>
      <c r="O98" s="2">
        <v>32.89</v>
      </c>
      <c r="P98" s="2">
        <f t="shared" si="8"/>
        <v>-2.2912698224395629</v>
      </c>
      <c r="Q98" s="2">
        <f t="shared" si="9"/>
        <v>0.20248330666713965</v>
      </c>
      <c r="R98" s="2">
        <f t="shared" si="10"/>
        <v>-2.2387569268077163</v>
      </c>
      <c r="S98">
        <f t="shared" si="11"/>
        <v>43.632517210687219</v>
      </c>
      <c r="U98">
        <v>3.5945485495503542</v>
      </c>
    </row>
    <row r="99" spans="1:21" ht="13.9" x14ac:dyDescent="0.3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6"/>
        <v>0.88003937595908743</v>
      </c>
      <c r="I99" s="2">
        <f t="shared" si="7"/>
        <v>0.68126747206795046</v>
      </c>
      <c r="J99" s="2">
        <v>0</v>
      </c>
      <c r="K99" s="2">
        <v>0</v>
      </c>
      <c r="L99" s="2">
        <v>0</v>
      </c>
      <c r="M99" s="2">
        <v>0.41</v>
      </c>
      <c r="N99" s="2">
        <v>0</v>
      </c>
      <c r="O99" s="2">
        <v>1.62</v>
      </c>
      <c r="P99" s="2" t="e">
        <f t="shared" si="8"/>
        <v>#NUM!</v>
      </c>
      <c r="Q99" s="2">
        <f t="shared" si="9"/>
        <v>0.23646803877235414</v>
      </c>
      <c r="R99" s="2" t="e">
        <f t="shared" si="10"/>
        <v>#NUM!</v>
      </c>
      <c r="S99" t="e">
        <f t="shared" si="11"/>
        <v>#NUM!</v>
      </c>
      <c r="U99" t="e">
        <v>#NUM!</v>
      </c>
    </row>
    <row r="100" spans="1:21" ht="13.9" x14ac:dyDescent="0.3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6"/>
        <v>-1.2265462379606678</v>
      </c>
      <c r="I100" s="2">
        <f t="shared" si="7"/>
        <v>5.147334024236689E-3</v>
      </c>
      <c r="J100" s="2">
        <v>53.9</v>
      </c>
      <c r="K100" s="2">
        <v>22.39</v>
      </c>
      <c r="L100" s="2">
        <v>47.26</v>
      </c>
      <c r="M100" s="2">
        <v>53.81</v>
      </c>
      <c r="N100" s="2">
        <v>0</v>
      </c>
      <c r="O100" s="2">
        <v>99.07</v>
      </c>
      <c r="P100" s="2">
        <f t="shared" si="8"/>
        <v>-0.30730467276130996</v>
      </c>
      <c r="Q100" s="2">
        <f t="shared" si="9"/>
        <v>0.76234476765531256</v>
      </c>
      <c r="R100" s="2">
        <f t="shared" si="10"/>
        <v>0.91924156519935774</v>
      </c>
      <c r="S100">
        <f t="shared" si="11"/>
        <v>0.25054471103531645</v>
      </c>
      <c r="U100">
        <v>6.9489512004414218</v>
      </c>
    </row>
    <row r="101" spans="1:21" ht="13.9" x14ac:dyDescent="0.3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6"/>
        <v>#NUM!</v>
      </c>
      <c r="I101" s="2">
        <f t="shared" si="7"/>
        <v>3.3510822715860568E-2</v>
      </c>
      <c r="J101" s="2">
        <v>10.06</v>
      </c>
      <c r="K101" s="2">
        <v>0</v>
      </c>
      <c r="L101" s="2">
        <v>24.13</v>
      </c>
      <c r="M101" s="2">
        <v>4.32</v>
      </c>
      <c r="N101" s="2">
        <v>0</v>
      </c>
      <c r="O101" s="2">
        <v>14.62</v>
      </c>
      <c r="P101" s="2">
        <f t="shared" si="8"/>
        <v>0.85213809196500967</v>
      </c>
      <c r="Q101" s="2">
        <f t="shared" si="9"/>
        <v>0.57033941025156565</v>
      </c>
      <c r="R101" s="2" t="e">
        <f t="shared" si="10"/>
        <v>#NUM!</v>
      </c>
      <c r="S101" t="e">
        <f t="shared" si="11"/>
        <v>#NUM!</v>
      </c>
      <c r="U101">
        <v>5.0955025176586695</v>
      </c>
    </row>
    <row r="102" spans="1:21" ht="13.9" x14ac:dyDescent="0.3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6"/>
        <v>-0.9434164716336324</v>
      </c>
      <c r="I102" s="2">
        <f t="shared" si="7"/>
        <v>0.69212198733773511</v>
      </c>
      <c r="J102" s="2">
        <v>0</v>
      </c>
      <c r="K102" s="2">
        <v>0.21</v>
      </c>
      <c r="L102" s="2">
        <v>0</v>
      </c>
      <c r="M102" s="2">
        <v>0.62</v>
      </c>
      <c r="N102" s="2">
        <v>0</v>
      </c>
      <c r="O102" s="2">
        <v>0.41</v>
      </c>
      <c r="P102" s="2">
        <f t="shared" si="8"/>
        <v>-2.2941831044044583</v>
      </c>
      <c r="Q102" s="2">
        <f t="shared" si="9"/>
        <v>0.23372698617802368</v>
      </c>
      <c r="R102" s="2">
        <f t="shared" si="10"/>
        <v>-1.3507666327708259</v>
      </c>
      <c r="S102">
        <f t="shared" si="11"/>
        <v>2.4317819047952605</v>
      </c>
      <c r="U102">
        <v>-2.2515387669959646</v>
      </c>
    </row>
    <row r="103" spans="1:21" ht="13.9" x14ac:dyDescent="0.3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6"/>
        <v>4.3103401206121505</v>
      </c>
      <c r="I103" s="2">
        <f t="shared" si="7"/>
        <v>0.14332590388260497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0.27</v>
      </c>
      <c r="P103" s="2" t="e">
        <f t="shared" si="8"/>
        <v>#NUM!</v>
      </c>
      <c r="Q103" s="2">
        <f t="shared" si="9"/>
        <v>0.37390096630005903</v>
      </c>
      <c r="R103" s="2" t="e">
        <f t="shared" si="10"/>
        <v>#NUM!</v>
      </c>
      <c r="S103" t="e">
        <f t="shared" si="11"/>
        <v>#NUM!</v>
      </c>
      <c r="U103" t="e">
        <v>#NUM!</v>
      </c>
    </row>
    <row r="104" spans="1:21" ht="13.9" x14ac:dyDescent="0.3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6"/>
        <v>#NUM!</v>
      </c>
      <c r="I104" s="2">
        <f t="shared" si="7"/>
        <v>0.11887140555991681</v>
      </c>
      <c r="J104" s="2">
        <v>0</v>
      </c>
      <c r="K104" s="2">
        <v>0.21</v>
      </c>
      <c r="L104" s="2">
        <v>0</v>
      </c>
      <c r="M104" s="2">
        <v>0.31</v>
      </c>
      <c r="N104" s="2">
        <v>0</v>
      </c>
      <c r="O104" s="2">
        <v>0.27</v>
      </c>
      <c r="P104" s="2">
        <f t="shared" si="8"/>
        <v>-1.4656635723488121</v>
      </c>
      <c r="Q104" s="2">
        <f t="shared" si="9"/>
        <v>0.36180895582463124</v>
      </c>
      <c r="R104" s="2" t="e">
        <f t="shared" si="10"/>
        <v>#NUM!</v>
      </c>
      <c r="S104" t="e">
        <f t="shared" si="11"/>
        <v>#NUM!</v>
      </c>
      <c r="U104">
        <v>-2.2515387669959646</v>
      </c>
    </row>
    <row r="105" spans="1:21" ht="13.9" x14ac:dyDescent="0.3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6"/>
        <v>2.5168227504807475E-2</v>
      </c>
      <c r="I105" s="2">
        <f t="shared" si="7"/>
        <v>0.9870781361227372</v>
      </c>
      <c r="J105" s="2">
        <v>0.36</v>
      </c>
      <c r="K105" s="2">
        <v>0</v>
      </c>
      <c r="L105" s="2">
        <v>0</v>
      </c>
      <c r="M105" s="2">
        <v>2.88</v>
      </c>
      <c r="N105" s="2">
        <v>0</v>
      </c>
      <c r="O105" s="2">
        <v>0.68</v>
      </c>
      <c r="P105" s="2">
        <f t="shared" si="8"/>
        <v>-3.3058084295240855</v>
      </c>
      <c r="Q105" s="2">
        <f t="shared" si="9"/>
        <v>0.2909207047722947</v>
      </c>
      <c r="R105" s="2">
        <f t="shared" si="10"/>
        <v>-3.3309766570288928</v>
      </c>
      <c r="S105">
        <f t="shared" si="11"/>
        <v>-131.34848009827593</v>
      </c>
      <c r="U105">
        <v>-1.4739311883324124</v>
      </c>
    </row>
    <row r="106" spans="1:21" ht="13.9" x14ac:dyDescent="0.3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6"/>
        <v>3.0848888975865134</v>
      </c>
      <c r="I106" s="2">
        <f t="shared" si="7"/>
        <v>0.42827117855830987</v>
      </c>
      <c r="J106" s="2">
        <v>0</v>
      </c>
      <c r="K106" s="2">
        <v>0</v>
      </c>
      <c r="L106" s="2">
        <v>0</v>
      </c>
      <c r="M106" s="2">
        <v>0.51</v>
      </c>
      <c r="N106" s="2">
        <v>0</v>
      </c>
      <c r="O106" s="2">
        <v>1.08</v>
      </c>
      <c r="P106" s="2" t="e">
        <f t="shared" si="8"/>
        <v>#NUM!</v>
      </c>
      <c r="Q106" s="2">
        <f t="shared" si="9"/>
        <v>0.16452799588312797</v>
      </c>
      <c r="R106" s="2" t="e">
        <f t="shared" si="10"/>
        <v>#NUM!</v>
      </c>
      <c r="S106" t="e">
        <f t="shared" si="11"/>
        <v>#NUM!</v>
      </c>
      <c r="U106" t="e">
        <v>#NUM!</v>
      </c>
    </row>
    <row r="107" spans="1:21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6"/>
        <v>#DIV/0!</v>
      </c>
      <c r="I107" s="2" t="e">
        <f t="shared" si="7"/>
        <v>#DIV/0!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 t="e">
        <f t="shared" si="8"/>
        <v>#DIV/0!</v>
      </c>
      <c r="Q107" s="2" t="e">
        <f t="shared" si="9"/>
        <v>#DIV/0!</v>
      </c>
      <c r="R107" s="2" t="e">
        <f t="shared" si="10"/>
        <v>#DIV/0!</v>
      </c>
      <c r="S107" t="e">
        <f t="shared" si="11"/>
        <v>#DIV/0!</v>
      </c>
      <c r="U107" t="e">
        <v>#NUM!</v>
      </c>
    </row>
    <row r="108" spans="1:21" ht="13.9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6"/>
        <v>#NUM!</v>
      </c>
      <c r="I108" s="2">
        <f t="shared" si="7"/>
        <v>0.37390096630005903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f t="shared" si="8"/>
        <v>#DIV/0!</v>
      </c>
      <c r="Q108" s="2" t="e">
        <f t="shared" si="9"/>
        <v>#DIV/0!</v>
      </c>
      <c r="R108" s="2" t="e">
        <f t="shared" si="10"/>
        <v>#DIV/0!</v>
      </c>
      <c r="S108" t="e">
        <f t="shared" si="11"/>
        <v>#DIV/0!</v>
      </c>
      <c r="U108" t="e">
        <v>#NUM!</v>
      </c>
    </row>
    <row r="109" spans="1:21" ht="13.9" x14ac:dyDescent="0.3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6"/>
        <v>#NUM!</v>
      </c>
      <c r="I109" s="2">
        <f t="shared" si="7"/>
        <v>2.7297772245895077E-3</v>
      </c>
      <c r="J109" s="2">
        <v>0</v>
      </c>
      <c r="K109" s="2">
        <v>1.88</v>
      </c>
      <c r="L109" s="2">
        <v>0</v>
      </c>
      <c r="M109" s="2">
        <v>4.12</v>
      </c>
      <c r="N109" s="2">
        <v>0</v>
      </c>
      <c r="O109" s="2">
        <v>6.5</v>
      </c>
      <c r="P109" s="2">
        <f t="shared" si="8"/>
        <v>-2.4979791991265166</v>
      </c>
      <c r="Q109" s="2">
        <f t="shared" si="9"/>
        <v>0.21881952207358382</v>
      </c>
      <c r="R109" s="2" t="e">
        <f t="shared" si="10"/>
        <v>#NUM!</v>
      </c>
      <c r="S109" t="e">
        <f t="shared" si="11"/>
        <v>#NUM!</v>
      </c>
      <c r="U109">
        <v>0.91073266190291258</v>
      </c>
    </row>
    <row r="110" spans="1:21" ht="13.9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6"/>
        <v>#NUM!</v>
      </c>
      <c r="I110" s="2">
        <f t="shared" si="7"/>
        <v>0.37390096630005903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0.54</v>
      </c>
      <c r="P110" s="2" t="e">
        <f t="shared" si="8"/>
        <v>#NUM!</v>
      </c>
      <c r="Q110" s="2">
        <f t="shared" si="9"/>
        <v>0.37390096630005903</v>
      </c>
      <c r="R110" s="2" t="e">
        <f t="shared" si="10"/>
        <v>#NUM!</v>
      </c>
      <c r="S110" t="e">
        <f t="shared" si="11"/>
        <v>#NUM!</v>
      </c>
      <c r="U110" t="e">
        <v>#NUM!</v>
      </c>
    </row>
    <row r="111" spans="1:21" ht="13.9" x14ac:dyDescent="0.3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6"/>
        <v>-0.35910455996456997</v>
      </c>
      <c r="I111" s="2">
        <f t="shared" si="7"/>
        <v>0.79375037467825227</v>
      </c>
      <c r="J111" s="2">
        <v>3.95</v>
      </c>
      <c r="K111" s="2">
        <v>9.42</v>
      </c>
      <c r="L111" s="2">
        <v>20.61</v>
      </c>
      <c r="M111" s="2">
        <v>6.89</v>
      </c>
      <c r="N111" s="2">
        <v>0</v>
      </c>
      <c r="O111" s="2">
        <v>8.39</v>
      </c>
      <c r="P111" s="2">
        <f t="shared" si="8"/>
        <v>1.1530413091484719</v>
      </c>
      <c r="Q111" s="2">
        <f t="shared" si="9"/>
        <v>0.32360749531682731</v>
      </c>
      <c r="R111" s="2">
        <f t="shared" si="10"/>
        <v>1.5121458691130418</v>
      </c>
      <c r="S111">
        <f t="shared" si="11"/>
        <v>-3.2108790522243256</v>
      </c>
      <c r="U111">
        <v>5.0866139474094965</v>
      </c>
    </row>
    <row r="112" spans="1:21" ht="13.9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6"/>
        <v>#NUM!</v>
      </c>
      <c r="I112" s="2">
        <f t="shared" si="7"/>
        <v>8.9859020115631034E-3</v>
      </c>
      <c r="J112" s="2">
        <v>0</v>
      </c>
      <c r="K112" s="2">
        <v>0</v>
      </c>
      <c r="L112" s="2">
        <v>0</v>
      </c>
      <c r="M112" s="2">
        <v>0.31</v>
      </c>
      <c r="N112" s="2">
        <v>0</v>
      </c>
      <c r="O112" s="2">
        <v>0</v>
      </c>
      <c r="P112" s="2" t="e">
        <f t="shared" si="8"/>
        <v>#NUM!</v>
      </c>
      <c r="Q112" s="2">
        <f t="shared" si="9"/>
        <v>0.37390096630005903</v>
      </c>
      <c r="R112" s="2" t="e">
        <f t="shared" si="10"/>
        <v>#NUM!</v>
      </c>
      <c r="S112" t="e">
        <f t="shared" si="11"/>
        <v>#NUM!</v>
      </c>
      <c r="U112" t="e">
        <v>#NUM!</v>
      </c>
    </row>
    <row r="113" spans="1:21" ht="13.9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6"/>
        <v>#NUM!</v>
      </c>
      <c r="I113" s="2">
        <f t="shared" si="7"/>
        <v>0.37390096630005903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 t="e">
        <f t="shared" si="8"/>
        <v>#DIV/0!</v>
      </c>
      <c r="Q113" s="2" t="e">
        <f t="shared" si="9"/>
        <v>#DIV/0!</v>
      </c>
      <c r="R113" s="2" t="e">
        <f t="shared" si="10"/>
        <v>#DIV/0!</v>
      </c>
      <c r="S113" t="e">
        <f t="shared" si="11"/>
        <v>#DIV/0!</v>
      </c>
      <c r="U113" t="e">
        <v>#NUM!</v>
      </c>
    </row>
    <row r="114" spans="1:21" ht="13.9" x14ac:dyDescent="0.3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6"/>
        <v>#NUM!</v>
      </c>
      <c r="I114" s="2">
        <f t="shared" si="7"/>
        <v>0.24377266948579343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f t="shared" si="8"/>
        <v>#DIV/0!</v>
      </c>
      <c r="Q114" s="2" t="e">
        <f t="shared" si="9"/>
        <v>#DIV/0!</v>
      </c>
      <c r="R114" s="2" t="e">
        <f t="shared" si="10"/>
        <v>#DIV/0!</v>
      </c>
      <c r="S114" t="e">
        <f t="shared" si="11"/>
        <v>#DIV/0!</v>
      </c>
      <c r="U114" t="e">
        <v>#NUM!</v>
      </c>
    </row>
    <row r="115" spans="1:21" ht="13.9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6"/>
        <v>#NUM!</v>
      </c>
      <c r="I115" s="2">
        <f t="shared" si="7"/>
        <v>0.1285044971232609</v>
      </c>
      <c r="J115" s="2">
        <v>0</v>
      </c>
      <c r="K115" s="2">
        <v>0</v>
      </c>
      <c r="L115" s="2">
        <v>0</v>
      </c>
      <c r="M115" s="2">
        <v>0.72</v>
      </c>
      <c r="N115" s="2">
        <v>0</v>
      </c>
      <c r="O115" s="2">
        <v>0</v>
      </c>
      <c r="P115" s="2" t="e">
        <f t="shared" si="8"/>
        <v>#NUM!</v>
      </c>
      <c r="Q115" s="2">
        <f t="shared" si="9"/>
        <v>0.37390096630005903</v>
      </c>
      <c r="R115" s="2" t="e">
        <f t="shared" si="10"/>
        <v>#NUM!</v>
      </c>
      <c r="S115" t="e">
        <f t="shared" si="11"/>
        <v>#NUM!</v>
      </c>
      <c r="U115" t="e">
        <v>#NUM!</v>
      </c>
    </row>
    <row r="116" spans="1:21" ht="13.9" x14ac:dyDescent="0.3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6"/>
        <v>1.1819045791589118</v>
      </c>
      <c r="I116" s="2">
        <f t="shared" si="7"/>
        <v>0.24563451436141778</v>
      </c>
      <c r="J116" s="2">
        <v>15.27</v>
      </c>
      <c r="K116" s="2">
        <v>12.14</v>
      </c>
      <c r="L116" s="2">
        <v>0</v>
      </c>
      <c r="M116" s="2">
        <v>7.2</v>
      </c>
      <c r="N116" s="2">
        <v>0</v>
      </c>
      <c r="O116" s="2">
        <v>3.38</v>
      </c>
      <c r="P116" s="2">
        <f t="shared" si="8"/>
        <v>1.3733627007117495</v>
      </c>
      <c r="Q116" s="2">
        <f t="shared" si="9"/>
        <v>0.33309557176078197</v>
      </c>
      <c r="R116" s="2">
        <f t="shared" si="10"/>
        <v>0.1914581215528377</v>
      </c>
      <c r="S116">
        <f t="shared" si="11"/>
        <v>1.1619911834922296</v>
      </c>
      <c r="U116">
        <v>4.776630423051051</v>
      </c>
    </row>
    <row r="117" spans="1:21" ht="13.9" x14ac:dyDescent="0.3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6"/>
        <v>-2.2219960220920556</v>
      </c>
      <c r="I117" s="2">
        <f t="shared" si="7"/>
        <v>7.175439487582444E-2</v>
      </c>
      <c r="J117" s="2">
        <v>41.14</v>
      </c>
      <c r="K117" s="2">
        <v>26.79</v>
      </c>
      <c r="L117" s="2">
        <v>50.27</v>
      </c>
      <c r="M117" s="2">
        <v>3.91</v>
      </c>
      <c r="N117" s="2">
        <v>40.880000000000003</v>
      </c>
      <c r="O117" s="2">
        <v>8.8000000000000007</v>
      </c>
      <c r="P117" s="2">
        <f t="shared" si="8"/>
        <v>1.1411943143536019</v>
      </c>
      <c r="Q117" s="2">
        <f t="shared" si="9"/>
        <v>0.18480205764301669</v>
      </c>
      <c r="R117" s="2">
        <f t="shared" si="10"/>
        <v>3.3631903364456575</v>
      </c>
      <c r="S117">
        <f t="shared" si="11"/>
        <v>-0.51358971978678147</v>
      </c>
      <c r="U117">
        <v>6.8850862252901708</v>
      </c>
    </row>
    <row r="118" spans="1:21" ht="13.9" x14ac:dyDescent="0.3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6"/>
        <v>-0.94051406311352614</v>
      </c>
      <c r="I118" s="2">
        <f t="shared" si="7"/>
        <v>0.14079603952936393</v>
      </c>
      <c r="J118" s="2">
        <v>43.84</v>
      </c>
      <c r="K118" s="2">
        <v>54.62</v>
      </c>
      <c r="L118" s="2">
        <v>58.32</v>
      </c>
      <c r="M118" s="2">
        <v>39.92</v>
      </c>
      <c r="N118" s="2">
        <v>81.75</v>
      </c>
      <c r="O118" s="2">
        <v>79.72</v>
      </c>
      <c r="P118" s="2">
        <f t="shared" si="8"/>
        <v>-0.36125051775571398</v>
      </c>
      <c r="Q118" s="2">
        <f t="shared" si="9"/>
        <v>0.3569324739109343</v>
      </c>
      <c r="R118" s="2">
        <f t="shared" si="10"/>
        <v>0.5792635453578121</v>
      </c>
      <c r="S118">
        <f t="shared" si="11"/>
        <v>0.38409900704707345</v>
      </c>
      <c r="U118">
        <v>7.2925977202664534</v>
      </c>
    </row>
    <row r="119" spans="1:21" ht="13.9" x14ac:dyDescent="0.3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6"/>
        <v>-0.20209365145078143</v>
      </c>
      <c r="I119" s="2">
        <f t="shared" si="7"/>
        <v>0.58858870899221127</v>
      </c>
      <c r="J119" s="2">
        <v>1053.1300000000001</v>
      </c>
      <c r="K119" s="2">
        <v>1918.69</v>
      </c>
      <c r="L119" s="2">
        <v>2716.82</v>
      </c>
      <c r="M119" s="2">
        <v>1360.71</v>
      </c>
      <c r="N119" s="2">
        <v>35889.47</v>
      </c>
      <c r="O119" s="2">
        <v>3015.14</v>
      </c>
      <c r="P119" s="2">
        <f t="shared" si="8"/>
        <v>-2.8233821094556268</v>
      </c>
      <c r="Q119" s="2">
        <f t="shared" si="9"/>
        <v>0.36367556426237407</v>
      </c>
      <c r="R119" s="2">
        <f t="shared" si="10"/>
        <v>-2.6212884580048454</v>
      </c>
      <c r="S119">
        <f t="shared" si="11"/>
        <v>13.97066206279737</v>
      </c>
      <c r="U119">
        <v>12.473868069043629</v>
      </c>
    </row>
    <row r="120" spans="1:21" ht="13.9" x14ac:dyDescent="0.3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6"/>
        <v>-1.5261359934432355</v>
      </c>
      <c r="I120" s="2">
        <f t="shared" si="7"/>
        <v>9.9261163162389712E-3</v>
      </c>
      <c r="J120" s="2">
        <v>41.86</v>
      </c>
      <c r="K120" s="2">
        <v>52.53</v>
      </c>
      <c r="L120" s="2">
        <v>36.200000000000003</v>
      </c>
      <c r="M120" s="2">
        <v>42.39</v>
      </c>
      <c r="N120" s="2">
        <v>40.880000000000003</v>
      </c>
      <c r="O120" s="2">
        <v>45.75</v>
      </c>
      <c r="P120" s="2">
        <f t="shared" si="8"/>
        <v>1.7449703998578234E-2</v>
      </c>
      <c r="Q120" s="2">
        <f t="shared" si="9"/>
        <v>0.92166478386296058</v>
      </c>
      <c r="R120" s="2">
        <f t="shared" si="10"/>
        <v>1.5435856974418136</v>
      </c>
      <c r="S120">
        <f t="shared" si="11"/>
        <v>-1.1433911573770425E-2</v>
      </c>
      <c r="U120">
        <v>7.028900615734333</v>
      </c>
    </row>
    <row r="121" spans="1:21" ht="13.9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6"/>
        <v>#NUM!</v>
      </c>
      <c r="I121" s="2">
        <f t="shared" si="7"/>
        <v>4.4083624419355822E-6</v>
      </c>
      <c r="J121" s="2">
        <v>0</v>
      </c>
      <c r="K121" s="2">
        <v>0.21</v>
      </c>
      <c r="L121" s="2">
        <v>0</v>
      </c>
      <c r="M121" s="2">
        <v>0.41</v>
      </c>
      <c r="N121" s="2">
        <v>0</v>
      </c>
      <c r="O121" s="2">
        <v>2.2999999999999998</v>
      </c>
      <c r="P121" s="2">
        <f t="shared" si="8"/>
        <v>-3.6898316185751114</v>
      </c>
      <c r="Q121" s="2">
        <f t="shared" si="9"/>
        <v>0.30665651032988844</v>
      </c>
      <c r="R121" s="2" t="e">
        <f t="shared" si="10"/>
        <v>#NUM!</v>
      </c>
      <c r="S121" t="e">
        <f t="shared" si="11"/>
        <v>#NUM!</v>
      </c>
      <c r="U121">
        <v>-2.2515387669959646</v>
      </c>
    </row>
    <row r="122" spans="1:21" ht="13.9" x14ac:dyDescent="0.3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6"/>
        <v>0.2565388335426384</v>
      </c>
      <c r="I122" s="2">
        <f t="shared" si="7"/>
        <v>0.27487963231398543</v>
      </c>
      <c r="J122" s="2">
        <v>525.66999999999996</v>
      </c>
      <c r="K122" s="2">
        <v>616.33000000000004</v>
      </c>
      <c r="L122" s="2">
        <v>843.1</v>
      </c>
      <c r="M122" s="2">
        <v>468.35</v>
      </c>
      <c r="N122" s="2">
        <v>10832.24</v>
      </c>
      <c r="O122" s="2">
        <v>359.62</v>
      </c>
      <c r="P122" s="2">
        <f t="shared" si="8"/>
        <v>-2.5543101811616662</v>
      </c>
      <c r="Q122" s="2">
        <f t="shared" si="9"/>
        <v>0.4058023043233821</v>
      </c>
      <c r="R122" s="2">
        <f t="shared" si="10"/>
        <v>-2.8108490147043046</v>
      </c>
      <c r="S122">
        <f t="shared" si="11"/>
        <v>-9.9568168525921177</v>
      </c>
      <c r="U122">
        <v>10.954995970050582</v>
      </c>
    </row>
    <row r="123" spans="1:21" ht="13.9" x14ac:dyDescent="0.3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6"/>
        <v>-0.51233693822634441</v>
      </c>
      <c r="I123" s="2">
        <f t="shared" si="7"/>
        <v>0.22851693231553916</v>
      </c>
      <c r="J123" s="2">
        <v>229.78</v>
      </c>
      <c r="K123" s="2">
        <v>348.45</v>
      </c>
      <c r="L123" s="2">
        <v>358.46</v>
      </c>
      <c r="M123" s="2">
        <v>297.56</v>
      </c>
      <c r="N123" s="2">
        <v>42511.45</v>
      </c>
      <c r="O123" s="2">
        <v>255</v>
      </c>
      <c r="P123" s="2">
        <f t="shared" si="8"/>
        <v>-5.5227671920693719</v>
      </c>
      <c r="Q123" s="2">
        <f t="shared" si="9"/>
        <v>0.37500068654065061</v>
      </c>
      <c r="R123" s="2">
        <f t="shared" si="10"/>
        <v>-5.0104302538430279</v>
      </c>
      <c r="S123">
        <f t="shared" si="11"/>
        <v>10.779560831956799</v>
      </c>
      <c r="U123">
        <v>9.8714278529618724</v>
      </c>
    </row>
    <row r="124" spans="1:21" ht="13.9" x14ac:dyDescent="0.3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6"/>
        <v>-0.88202594138968982</v>
      </c>
      <c r="I124" s="2">
        <f t="shared" si="7"/>
        <v>2.7092978298347671E-3</v>
      </c>
      <c r="J124" s="2">
        <v>22950.22</v>
      </c>
      <c r="K124" s="2">
        <v>34979.019999999997</v>
      </c>
      <c r="L124" s="2">
        <v>31510.86</v>
      </c>
      <c r="M124" s="2">
        <v>36692.68</v>
      </c>
      <c r="N124" s="2">
        <v>26201.77</v>
      </c>
      <c r="O124" s="2">
        <v>38539.879999999997</v>
      </c>
      <c r="P124" s="2">
        <f t="shared" si="8"/>
        <v>-0.18155230241362844</v>
      </c>
      <c r="Q124" s="2">
        <f t="shared" si="9"/>
        <v>0.48858854688291076</v>
      </c>
      <c r="R124" s="2">
        <f t="shared" si="10"/>
        <v>0.70047363897606141</v>
      </c>
      <c r="S124">
        <f t="shared" si="11"/>
        <v>0.20583555867708478</v>
      </c>
      <c r="U124">
        <v>16.448634180760777</v>
      </c>
    </row>
    <row r="125" spans="1:21" ht="13.9" x14ac:dyDescent="0.3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6"/>
        <v>2.3534050473579899</v>
      </c>
      <c r="I125" s="2">
        <f t="shared" si="7"/>
        <v>8.0088845136886619E-3</v>
      </c>
      <c r="J125" s="2">
        <v>20.3</v>
      </c>
      <c r="K125" s="2">
        <v>31.39</v>
      </c>
      <c r="L125" s="2">
        <v>10.56</v>
      </c>
      <c r="M125" s="2">
        <v>3.4</v>
      </c>
      <c r="N125" s="2">
        <v>0</v>
      </c>
      <c r="O125" s="2">
        <v>0.68</v>
      </c>
      <c r="P125" s="2">
        <f t="shared" si="8"/>
        <v>3.9314327798713098</v>
      </c>
      <c r="Q125" s="2">
        <f t="shared" si="9"/>
        <v>3.3682949519537216E-2</v>
      </c>
      <c r="R125" s="2">
        <f t="shared" si="10"/>
        <v>1.5780277325133198</v>
      </c>
      <c r="S125">
        <f t="shared" si="11"/>
        <v>1.6705295946759635</v>
      </c>
      <c r="U125">
        <v>5.9600019320680806</v>
      </c>
    </row>
    <row r="126" spans="1:21" ht="13.9" x14ac:dyDescent="0.3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6"/>
        <v>1</v>
      </c>
      <c r="I126" s="2">
        <f t="shared" si="7"/>
        <v>0.67786882869924914</v>
      </c>
      <c r="J126" s="2">
        <v>0.18</v>
      </c>
      <c r="K126" s="2">
        <v>0.21</v>
      </c>
      <c r="L126" s="2">
        <v>0</v>
      </c>
      <c r="M126" s="2">
        <v>0.1</v>
      </c>
      <c r="N126" s="2">
        <v>0</v>
      </c>
      <c r="O126" s="2">
        <v>0.27</v>
      </c>
      <c r="P126" s="2">
        <f t="shared" si="8"/>
        <v>7.594885323329871E-2</v>
      </c>
      <c r="Q126" s="2">
        <f t="shared" si="9"/>
        <v>0.95127370660671695</v>
      </c>
      <c r="R126" s="2">
        <f t="shared" si="10"/>
        <v>-0.9240511467667013</v>
      </c>
      <c r="S126">
        <f t="shared" si="11"/>
        <v>7.594885323329871E-2</v>
      </c>
      <c r="U126">
        <v>-1.3584539709124763</v>
      </c>
    </row>
    <row r="127" spans="1:21" ht="13.9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6"/>
        <v>#NUM!</v>
      </c>
      <c r="I127" s="2">
        <f t="shared" si="7"/>
        <v>8.3047867091354907E-2</v>
      </c>
      <c r="J127" s="2">
        <v>0</v>
      </c>
      <c r="K127" s="2">
        <v>1.05</v>
      </c>
      <c r="L127" s="2">
        <v>1.51</v>
      </c>
      <c r="M127" s="2">
        <v>0.62</v>
      </c>
      <c r="N127" s="2">
        <v>0</v>
      </c>
      <c r="O127" s="2">
        <v>1.22</v>
      </c>
      <c r="P127" s="2">
        <f t="shared" si="8"/>
        <v>0.47643804394298733</v>
      </c>
      <c r="Q127" s="2">
        <f t="shared" si="9"/>
        <v>0.69484098685753182</v>
      </c>
      <c r="R127" s="2" t="e">
        <f t="shared" si="10"/>
        <v>#NUM!</v>
      </c>
      <c r="S127" t="e">
        <f t="shared" si="11"/>
        <v>#NUM!</v>
      </c>
      <c r="U127">
        <v>1.3561438102252754</v>
      </c>
    </row>
    <row r="128" spans="1:21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6"/>
        <v>#DIV/0!</v>
      </c>
      <c r="I128" s="2" t="e">
        <f t="shared" si="7"/>
        <v>#DIV/0!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0.81</v>
      </c>
      <c r="P128" s="2" t="e">
        <f t="shared" si="8"/>
        <v>#NUM!</v>
      </c>
      <c r="Q128" s="2">
        <f t="shared" si="9"/>
        <v>0.37390096630005903</v>
      </c>
      <c r="R128" s="2" t="e">
        <f t="shared" si="10"/>
        <v>#NUM!</v>
      </c>
      <c r="S128" t="e">
        <f t="shared" si="11"/>
        <v>#NUM!</v>
      </c>
      <c r="U128" t="e">
        <v>#NUM!</v>
      </c>
    </row>
    <row r="129" spans="1:21" ht="13.9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6"/>
        <v>#NUM!</v>
      </c>
      <c r="I129" s="2">
        <f t="shared" si="7"/>
        <v>0.37390096630005903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 t="e">
        <f t="shared" si="8"/>
        <v>#DIV/0!</v>
      </c>
      <c r="Q129" s="2" t="e">
        <f t="shared" si="9"/>
        <v>#DIV/0!</v>
      </c>
      <c r="R129" s="2" t="e">
        <f t="shared" si="10"/>
        <v>#DIV/0!</v>
      </c>
      <c r="S129" t="e">
        <f t="shared" si="11"/>
        <v>#DIV/0!</v>
      </c>
      <c r="U129" t="e">
        <v>#NUM!</v>
      </c>
    </row>
    <row r="130" spans="1:21" ht="13.9" x14ac:dyDescent="0.3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12">LOG(SUM(B130:D130)/SUM(E130:G130),2)</f>
        <v>-1.7820461772118583</v>
      </c>
      <c r="I130" s="2">
        <f t="shared" ref="I130:I193" si="13">_xlfn.T.TEST(B130:D130,E130:G130,2,2)</f>
        <v>1.3893500876329605E-3</v>
      </c>
      <c r="J130" s="2">
        <v>201.03</v>
      </c>
      <c r="K130" s="2">
        <v>279.18</v>
      </c>
      <c r="L130" s="2">
        <v>463.03</v>
      </c>
      <c r="M130" s="2">
        <v>488.11</v>
      </c>
      <c r="N130" s="2">
        <v>408.76</v>
      </c>
      <c r="O130" s="2">
        <v>856.62</v>
      </c>
      <c r="P130" s="2">
        <f t="shared" ref="P130:P193" si="14">LOG(SUM(J130:L130)/SUM(M130:O130),2)</f>
        <v>-0.89453239792183881</v>
      </c>
      <c r="Q130" s="2">
        <f t="shared" ref="Q130:Q193" si="15">_xlfn.T.TEST(J130:L130,M130:O130,2,2)</f>
        <v>0.16323548299553928</v>
      </c>
      <c r="R130" s="2">
        <f t="shared" si="10"/>
        <v>0.88751377929001951</v>
      </c>
      <c r="S130">
        <f t="shared" si="11"/>
        <v>0.50196925835075734</v>
      </c>
      <c r="U130">
        <v>9.8814810897908849</v>
      </c>
    </row>
    <row r="131" spans="1:21" ht="13.9" x14ac:dyDescent="0.3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12"/>
        <v>-0.54791866919420329</v>
      </c>
      <c r="I131" s="2">
        <f t="shared" si="13"/>
        <v>0.692115385912494</v>
      </c>
      <c r="J131" s="2">
        <v>0</v>
      </c>
      <c r="K131" s="2">
        <v>0</v>
      </c>
      <c r="L131" s="2">
        <v>30.16</v>
      </c>
      <c r="M131" s="2">
        <v>1.75</v>
      </c>
      <c r="N131" s="2">
        <v>0</v>
      </c>
      <c r="O131" s="2">
        <v>2.84</v>
      </c>
      <c r="P131" s="2">
        <f t="shared" si="14"/>
        <v>2.7160703698548563</v>
      </c>
      <c r="Q131" s="2">
        <f t="shared" si="15"/>
        <v>0.44571282770982967</v>
      </c>
      <c r="R131" s="2">
        <f t="shared" ref="R131:R194" si="16">P131-H131</f>
        <v>3.2639890390490596</v>
      </c>
      <c r="S131">
        <f t="shared" si="11"/>
        <v>-4.9570684894698802</v>
      </c>
      <c r="U131">
        <v>4.9145645234939392</v>
      </c>
    </row>
    <row r="132" spans="1:21" ht="13.9" x14ac:dyDescent="0.3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12"/>
        <v>-1.7319881511362623</v>
      </c>
      <c r="I132" s="2">
        <f t="shared" si="13"/>
        <v>1.5244871151542553E-4</v>
      </c>
      <c r="J132" s="2">
        <v>4694.3500000000004</v>
      </c>
      <c r="K132" s="2">
        <v>7137.32</v>
      </c>
      <c r="L132" s="2">
        <v>6295.84</v>
      </c>
      <c r="M132" s="2">
        <v>10571.28</v>
      </c>
      <c r="N132" s="2">
        <v>7439.5</v>
      </c>
      <c r="O132" s="2">
        <v>12405.17</v>
      </c>
      <c r="P132" s="2">
        <f t="shared" si="14"/>
        <v>-0.74664729580734457</v>
      </c>
      <c r="Q132" s="2">
        <f t="shared" si="15"/>
        <v>6.4456945291516854E-2</v>
      </c>
      <c r="R132" s="2">
        <f t="shared" si="16"/>
        <v>0.98534085532891769</v>
      </c>
      <c r="S132">
        <f t="shared" ref="S132:S195" si="17">P132/H132</f>
        <v>0.43109261187353409</v>
      </c>
      <c r="U132">
        <v>14.145893149233787</v>
      </c>
    </row>
    <row r="133" spans="1:21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12"/>
        <v>#DIV/0!</v>
      </c>
      <c r="I133" s="2" t="e">
        <f t="shared" si="13"/>
        <v>#DIV/0!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f t="shared" si="14"/>
        <v>#DIV/0!</v>
      </c>
      <c r="Q133" s="2" t="e">
        <f t="shared" si="15"/>
        <v>#DIV/0!</v>
      </c>
      <c r="R133" s="2" t="e">
        <f t="shared" si="16"/>
        <v>#DIV/0!</v>
      </c>
      <c r="S133" t="e">
        <f t="shared" si="17"/>
        <v>#DIV/0!</v>
      </c>
      <c r="U133" t="e">
        <v>#NUM!</v>
      </c>
    </row>
    <row r="134" spans="1:21" ht="13.9" x14ac:dyDescent="0.3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12"/>
        <v>-1.9039215141877794</v>
      </c>
      <c r="I134" s="2">
        <f t="shared" si="13"/>
        <v>1.0588411540386963E-3</v>
      </c>
      <c r="J134" s="2">
        <v>167017.59</v>
      </c>
      <c r="K134" s="2">
        <v>219498.55</v>
      </c>
      <c r="L134" s="2">
        <v>196217.17</v>
      </c>
      <c r="M134" s="2">
        <v>546281.47</v>
      </c>
      <c r="N134" s="2">
        <v>186478.09</v>
      </c>
      <c r="O134" s="2">
        <v>475505.43</v>
      </c>
      <c r="P134" s="2">
        <f t="shared" si="14"/>
        <v>-1.0520292082771188</v>
      </c>
      <c r="Q134" s="2">
        <f t="shared" si="15"/>
        <v>0.13376183828117807</v>
      </c>
      <c r="R134" s="2">
        <f t="shared" si="16"/>
        <v>0.85189230591066067</v>
      </c>
      <c r="S134">
        <f t="shared" si="17"/>
        <v>0.55255912622318293</v>
      </c>
      <c r="U134">
        <v>19.152476254314259</v>
      </c>
    </row>
    <row r="135" spans="1:21" ht="13.9" x14ac:dyDescent="0.3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12"/>
        <v>1.4884996612198649</v>
      </c>
      <c r="I135" s="2">
        <f t="shared" si="13"/>
        <v>0.56487200418789607</v>
      </c>
      <c r="J135" s="2">
        <v>0</v>
      </c>
      <c r="K135" s="2">
        <v>0</v>
      </c>
      <c r="L135" s="2">
        <v>12.57</v>
      </c>
      <c r="M135" s="2">
        <v>0.72</v>
      </c>
      <c r="N135" s="2">
        <v>0</v>
      </c>
      <c r="O135" s="2">
        <v>0</v>
      </c>
      <c r="P135" s="2">
        <f t="shared" si="14"/>
        <v>4.1258439329781957</v>
      </c>
      <c r="Q135" s="2">
        <f t="shared" si="15"/>
        <v>0.39990288398116736</v>
      </c>
      <c r="R135" s="2">
        <f t="shared" si="16"/>
        <v>2.6373442717583311</v>
      </c>
      <c r="S135">
        <f t="shared" si="17"/>
        <v>2.7718138206339646</v>
      </c>
      <c r="U135">
        <v>3.6519127446457831</v>
      </c>
    </row>
    <row r="136" spans="1:21" ht="13.9" x14ac:dyDescent="0.3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12"/>
        <v>-0.29196431029440006</v>
      </c>
      <c r="I136" s="2">
        <f t="shared" si="13"/>
        <v>0.52599427322725623</v>
      </c>
      <c r="J136" s="2">
        <v>894.32</v>
      </c>
      <c r="K136" s="2">
        <v>1642.86</v>
      </c>
      <c r="L136" s="2">
        <v>2201.5100000000002</v>
      </c>
      <c r="M136" s="2">
        <v>1373.47</v>
      </c>
      <c r="N136" s="2">
        <v>490.52</v>
      </c>
      <c r="O136" s="2">
        <v>1842.49</v>
      </c>
      <c r="P136" s="2">
        <f t="shared" si="14"/>
        <v>0.35443855780948397</v>
      </c>
      <c r="Q136" s="2">
        <f t="shared" si="15"/>
        <v>0.56426148138273435</v>
      </c>
      <c r="R136" s="2">
        <f t="shared" si="16"/>
        <v>0.64640286810388403</v>
      </c>
      <c r="S136">
        <f t="shared" si="17"/>
        <v>-1.213979056043146</v>
      </c>
      <c r="U136">
        <v>12.210272569162631</v>
      </c>
    </row>
    <row r="137" spans="1:21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12"/>
        <v>#DIV/0!</v>
      </c>
      <c r="I137" s="2" t="e">
        <f t="shared" si="13"/>
        <v>#DIV/0!</v>
      </c>
      <c r="J137" s="2">
        <v>0</v>
      </c>
      <c r="K137" s="2">
        <v>0</v>
      </c>
      <c r="L137" s="2">
        <v>0</v>
      </c>
      <c r="M137" s="2">
        <v>0.1</v>
      </c>
      <c r="N137" s="2">
        <v>0</v>
      </c>
      <c r="O137" s="2">
        <v>0</v>
      </c>
      <c r="P137" s="2" t="e">
        <f t="shared" si="14"/>
        <v>#NUM!</v>
      </c>
      <c r="Q137" s="2">
        <f t="shared" si="15"/>
        <v>0.37390096630005903</v>
      </c>
      <c r="R137" s="2" t="e">
        <f t="shared" si="16"/>
        <v>#NUM!</v>
      </c>
      <c r="S137" t="e">
        <f t="shared" si="17"/>
        <v>#NUM!</v>
      </c>
      <c r="U137" t="e">
        <v>#NUM!</v>
      </c>
    </row>
    <row r="138" spans="1:21" ht="13.9" x14ac:dyDescent="0.3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12"/>
        <v>-0.67144439205641859</v>
      </c>
      <c r="I138" s="2">
        <f t="shared" si="13"/>
        <v>1.4607114202482599E-2</v>
      </c>
      <c r="J138" s="2">
        <v>16.89</v>
      </c>
      <c r="K138" s="2">
        <v>51.27</v>
      </c>
      <c r="L138" s="2">
        <v>80.44</v>
      </c>
      <c r="M138" s="2">
        <v>49.9</v>
      </c>
      <c r="N138" s="2">
        <v>40.880000000000003</v>
      </c>
      <c r="O138" s="2">
        <v>88.52</v>
      </c>
      <c r="P138" s="2">
        <f t="shared" si="14"/>
        <v>-0.27094137232977883</v>
      </c>
      <c r="Q138" s="2">
        <f t="shared" si="15"/>
        <v>0.68530561675081736</v>
      </c>
      <c r="R138" s="2">
        <f t="shared" si="16"/>
        <v>0.40050301972663976</v>
      </c>
      <c r="S138">
        <f t="shared" si="17"/>
        <v>0.40352019546990692</v>
      </c>
      <c r="U138">
        <v>7.2152903056512336</v>
      </c>
    </row>
    <row r="139" spans="1:21" ht="13.9" x14ac:dyDescent="0.3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12"/>
        <v>2.0530416067897694</v>
      </c>
      <c r="I139" s="2">
        <f t="shared" si="13"/>
        <v>0.13584532654305193</v>
      </c>
      <c r="J139" s="2">
        <v>3477.38</v>
      </c>
      <c r="K139" s="2">
        <v>4315.37</v>
      </c>
      <c r="L139" s="2">
        <v>12846.57</v>
      </c>
      <c r="M139" s="2">
        <v>596.86</v>
      </c>
      <c r="N139" s="2">
        <v>981.03</v>
      </c>
      <c r="O139" s="2">
        <v>1669.65</v>
      </c>
      <c r="P139" s="2">
        <f t="shared" si="14"/>
        <v>2.6679762387354313</v>
      </c>
      <c r="Q139" s="2">
        <f t="shared" si="15"/>
        <v>0.12635802904097465</v>
      </c>
      <c r="R139" s="2">
        <f t="shared" si="16"/>
        <v>0.61493463194566189</v>
      </c>
      <c r="S139">
        <f t="shared" si="17"/>
        <v>1.2995237066370038</v>
      </c>
      <c r="U139">
        <v>14.333107818877062</v>
      </c>
    </row>
    <row r="140" spans="1:21" ht="13.9" x14ac:dyDescent="0.3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12"/>
        <v>-2.0292401482037969</v>
      </c>
      <c r="I140" s="2">
        <f t="shared" si="13"/>
        <v>5.2458201357452796E-3</v>
      </c>
      <c r="J140" s="2">
        <v>1604.13</v>
      </c>
      <c r="K140" s="2">
        <v>2463.2399999999998</v>
      </c>
      <c r="L140" s="2">
        <v>1629.89</v>
      </c>
      <c r="M140" s="2">
        <v>4177.32</v>
      </c>
      <c r="N140" s="2">
        <v>16841.07</v>
      </c>
      <c r="O140" s="2">
        <v>4539.97</v>
      </c>
      <c r="P140" s="2">
        <f t="shared" si="14"/>
        <v>-2.1654551144130538</v>
      </c>
      <c r="Q140" s="2">
        <f t="shared" si="15"/>
        <v>0.18770708300110342</v>
      </c>
      <c r="R140" s="2">
        <f t="shared" si="16"/>
        <v>-0.13621496620925688</v>
      </c>
      <c r="S140">
        <f t="shared" si="17"/>
        <v>1.0671260946270105</v>
      </c>
      <c r="U140">
        <v>12.476052531164045</v>
      </c>
    </row>
    <row r="141" spans="1:21" ht="13.9" x14ac:dyDescent="0.3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12"/>
        <v>-6.7523724143610381E-3</v>
      </c>
      <c r="I141" s="2">
        <f t="shared" si="13"/>
        <v>0.99075721233820446</v>
      </c>
      <c r="J141" s="2">
        <v>9.34</v>
      </c>
      <c r="K141" s="2">
        <v>9.84</v>
      </c>
      <c r="L141" s="2">
        <v>38.21</v>
      </c>
      <c r="M141" s="2">
        <v>10.08</v>
      </c>
      <c r="N141" s="2">
        <v>40.880000000000003</v>
      </c>
      <c r="O141" s="2">
        <v>13.4</v>
      </c>
      <c r="P141" s="2">
        <f t="shared" si="14"/>
        <v>-0.16536495165617773</v>
      </c>
      <c r="Q141" s="2">
        <f t="shared" si="15"/>
        <v>0.87310134562990804</v>
      </c>
      <c r="R141" s="2">
        <f t="shared" si="16"/>
        <v>-0.15861257924181671</v>
      </c>
      <c r="S141">
        <f t="shared" si="17"/>
        <v>24.489903919469445</v>
      </c>
      <c r="U141">
        <v>5.8427274692925435</v>
      </c>
    </row>
    <row r="142" spans="1:21" ht="13.9" x14ac:dyDescent="0.3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12"/>
        <v>-6.7523724143610381E-3</v>
      </c>
      <c r="I142" s="2">
        <f t="shared" si="13"/>
        <v>0.99075721233820446</v>
      </c>
      <c r="J142" s="2">
        <v>9.34</v>
      </c>
      <c r="K142" s="2">
        <v>9.84</v>
      </c>
      <c r="L142" s="2">
        <v>38.21</v>
      </c>
      <c r="M142" s="2">
        <v>9.67</v>
      </c>
      <c r="N142" s="2">
        <v>40.880000000000003</v>
      </c>
      <c r="O142" s="2">
        <v>13.4</v>
      </c>
      <c r="P142" s="2">
        <f t="shared" si="14"/>
        <v>-0.15614498470173094</v>
      </c>
      <c r="Q142" s="2">
        <f t="shared" si="15"/>
        <v>0.88098043985346741</v>
      </c>
      <c r="R142" s="2">
        <f t="shared" si="16"/>
        <v>-0.14939261228736989</v>
      </c>
      <c r="S142">
        <f t="shared" si="17"/>
        <v>23.124462799125187</v>
      </c>
      <c r="U142">
        <v>5.8427274692925435</v>
      </c>
    </row>
    <row r="143" spans="1:21" ht="13.9" x14ac:dyDescent="0.3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12"/>
        <v>-1.8545233532533243</v>
      </c>
      <c r="I143" s="2">
        <f t="shared" si="13"/>
        <v>1.9637121710870255E-3</v>
      </c>
      <c r="J143" s="2">
        <v>104.2</v>
      </c>
      <c r="K143" s="2">
        <v>169.52</v>
      </c>
      <c r="L143" s="2">
        <v>126.19</v>
      </c>
      <c r="M143" s="2">
        <v>180.98</v>
      </c>
      <c r="N143" s="2">
        <v>122.63</v>
      </c>
      <c r="O143" s="2">
        <v>225.35</v>
      </c>
      <c r="P143" s="2">
        <f t="shared" si="14"/>
        <v>-0.40348327265076145</v>
      </c>
      <c r="Q143" s="2">
        <f t="shared" si="15"/>
        <v>0.29108432765332359</v>
      </c>
      <c r="R143" s="2">
        <f t="shared" si="16"/>
        <v>1.4510400806025627</v>
      </c>
      <c r="S143">
        <f t="shared" si="17"/>
        <v>0.2175671025888917</v>
      </c>
      <c r="U143">
        <v>8.6435315468668286</v>
      </c>
    </row>
    <row r="144" spans="1:21" ht="13.9" x14ac:dyDescent="0.3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12"/>
        <v>3.4757334309663976</v>
      </c>
      <c r="I144" s="2">
        <f t="shared" si="13"/>
        <v>0.41539915258624599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 t="e">
        <f t="shared" si="14"/>
        <v>#DIV/0!</v>
      </c>
      <c r="Q144" s="2" t="e">
        <f t="shared" si="15"/>
        <v>#DIV/0!</v>
      </c>
      <c r="R144" s="2" t="e">
        <f t="shared" si="16"/>
        <v>#DIV/0!</v>
      </c>
      <c r="S144" t="e">
        <f t="shared" si="17"/>
        <v>#DIV/0!</v>
      </c>
      <c r="U144" t="e">
        <v>#NUM!</v>
      </c>
    </row>
    <row r="145" spans="1:21" ht="13.9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12"/>
        <v>#NUM!</v>
      </c>
      <c r="I145" s="2">
        <f t="shared" si="13"/>
        <v>0.37390096630005903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 t="e">
        <f t="shared" si="14"/>
        <v>#DIV/0!</v>
      </c>
      <c r="Q145" s="2" t="e">
        <f t="shared" si="15"/>
        <v>#DIV/0!</v>
      </c>
      <c r="R145" s="2" t="e">
        <f t="shared" si="16"/>
        <v>#DIV/0!</v>
      </c>
      <c r="S145" t="e">
        <f t="shared" si="17"/>
        <v>#DIV/0!</v>
      </c>
      <c r="U145" t="e">
        <v>#NUM!</v>
      </c>
    </row>
    <row r="146" spans="1:21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12"/>
        <v>#DIV/0!</v>
      </c>
      <c r="I146" s="2" t="e">
        <f t="shared" si="13"/>
        <v>#DIV/0!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f t="shared" si="14"/>
        <v>#DIV/0!</v>
      </c>
      <c r="Q146" s="2" t="e">
        <f t="shared" si="15"/>
        <v>#DIV/0!</v>
      </c>
      <c r="R146" s="2" t="e">
        <f t="shared" si="16"/>
        <v>#DIV/0!</v>
      </c>
      <c r="S146" t="e">
        <f t="shared" si="17"/>
        <v>#DIV/0!</v>
      </c>
      <c r="U146" t="e">
        <v>#NUM!</v>
      </c>
    </row>
    <row r="147" spans="1:21" ht="13.9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12"/>
        <v>#NUM!</v>
      </c>
      <c r="I147" s="2">
        <f t="shared" si="13"/>
        <v>0.24020962511427801</v>
      </c>
      <c r="J147" s="2">
        <v>0</v>
      </c>
      <c r="K147" s="2">
        <v>0</v>
      </c>
      <c r="L147" s="2">
        <v>0</v>
      </c>
      <c r="M147" s="2">
        <v>0.51</v>
      </c>
      <c r="N147" s="2">
        <v>0</v>
      </c>
      <c r="O147" s="2">
        <v>0</v>
      </c>
      <c r="P147" s="2" t="e">
        <f t="shared" si="14"/>
        <v>#NUM!</v>
      </c>
      <c r="Q147" s="2">
        <f t="shared" si="15"/>
        <v>0.37390096630005903</v>
      </c>
      <c r="R147" s="2" t="e">
        <f t="shared" si="16"/>
        <v>#NUM!</v>
      </c>
      <c r="S147" t="e">
        <f t="shared" si="17"/>
        <v>#NUM!</v>
      </c>
      <c r="U147" t="e">
        <v>#NUM!</v>
      </c>
    </row>
    <row r="148" spans="1:21" ht="13.9" x14ac:dyDescent="0.3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12"/>
        <v>-1.7441789830867167</v>
      </c>
      <c r="I148" s="2">
        <f t="shared" si="13"/>
        <v>9.5010241491624396E-3</v>
      </c>
      <c r="J148" s="2">
        <v>199.06</v>
      </c>
      <c r="K148" s="2">
        <v>230</v>
      </c>
      <c r="L148" s="2">
        <v>257.91000000000003</v>
      </c>
      <c r="M148" s="2">
        <v>584.72</v>
      </c>
      <c r="N148" s="2">
        <v>245.26</v>
      </c>
      <c r="O148" s="2">
        <v>1025.8</v>
      </c>
      <c r="P148" s="2">
        <f t="shared" si="14"/>
        <v>-1.4337066882220086</v>
      </c>
      <c r="Q148" s="2">
        <f t="shared" si="15"/>
        <v>0.1606682720030661</v>
      </c>
      <c r="R148" s="2">
        <f t="shared" si="16"/>
        <v>0.31047229486470806</v>
      </c>
      <c r="S148">
        <f t="shared" si="17"/>
        <v>0.82199516341192369</v>
      </c>
      <c r="U148">
        <v>9.424103287659074</v>
      </c>
    </row>
    <row r="149" spans="1:21" ht="13.9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12"/>
        <v>#NUM!</v>
      </c>
      <c r="I149" s="2">
        <f t="shared" si="13"/>
        <v>0.37390096630005903</v>
      </c>
      <c r="J149" s="2">
        <v>0</v>
      </c>
      <c r="K149" s="2">
        <v>0</v>
      </c>
      <c r="L149" s="2">
        <v>0</v>
      </c>
      <c r="M149" s="2">
        <v>0.1</v>
      </c>
      <c r="N149" s="2">
        <v>0</v>
      </c>
      <c r="O149" s="2">
        <v>0</v>
      </c>
      <c r="P149" s="2" t="e">
        <f t="shared" si="14"/>
        <v>#NUM!</v>
      </c>
      <c r="Q149" s="2">
        <f t="shared" si="15"/>
        <v>0.37390096630005903</v>
      </c>
      <c r="R149" s="2" t="e">
        <f t="shared" si="16"/>
        <v>#NUM!</v>
      </c>
      <c r="S149" t="e">
        <f t="shared" si="17"/>
        <v>#NUM!</v>
      </c>
      <c r="U149" t="e">
        <v>#NUM!</v>
      </c>
    </row>
    <row r="150" spans="1:21" ht="13.9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12"/>
        <v>#DIV/0!</v>
      </c>
      <c r="I150" s="2" t="e">
        <f t="shared" si="13"/>
        <v>#DIV/0!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 t="e">
        <f t="shared" si="14"/>
        <v>#DIV/0!</v>
      </c>
      <c r="Q150" s="2" t="e">
        <f t="shared" si="15"/>
        <v>#DIV/0!</v>
      </c>
      <c r="R150" s="2" t="e">
        <f t="shared" si="16"/>
        <v>#DIV/0!</v>
      </c>
      <c r="S150" t="e">
        <f t="shared" si="17"/>
        <v>#DIV/0!</v>
      </c>
      <c r="U150" t="e">
        <v>#NUM!</v>
      </c>
    </row>
    <row r="151" spans="1:21" ht="13.9" x14ac:dyDescent="0.3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12"/>
        <v>1.3680138638915293</v>
      </c>
      <c r="I151" s="2">
        <f t="shared" si="13"/>
        <v>0.17591186989064511</v>
      </c>
      <c r="J151" s="2">
        <v>9.16</v>
      </c>
      <c r="K151" s="2">
        <v>34.53</v>
      </c>
      <c r="L151" s="2">
        <v>105.07</v>
      </c>
      <c r="M151" s="2">
        <v>5.25</v>
      </c>
      <c r="N151" s="2">
        <v>0</v>
      </c>
      <c r="O151" s="2">
        <v>8.8000000000000007</v>
      </c>
      <c r="P151" s="2">
        <f t="shared" si="14"/>
        <v>3.4043446175036993</v>
      </c>
      <c r="Q151" s="2">
        <f t="shared" si="15"/>
        <v>0.19404141165173255</v>
      </c>
      <c r="R151" s="2">
        <f t="shared" si="16"/>
        <v>2.03633075361217</v>
      </c>
      <c r="S151">
        <f t="shared" si="17"/>
        <v>2.4885307871219293</v>
      </c>
      <c r="U151">
        <v>7.2168428428372637</v>
      </c>
    </row>
    <row r="152" spans="1:21" ht="13.9" x14ac:dyDescent="0.3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12"/>
        <v>-0.30691223444770227</v>
      </c>
      <c r="I152" s="2">
        <f t="shared" si="13"/>
        <v>0.83165035055938941</v>
      </c>
      <c r="J152" s="2">
        <v>1.44</v>
      </c>
      <c r="K152" s="2">
        <v>8.7899999999999991</v>
      </c>
      <c r="L152" s="2">
        <v>0</v>
      </c>
      <c r="M152" s="2">
        <v>2.57</v>
      </c>
      <c r="N152" s="2">
        <v>0</v>
      </c>
      <c r="O152" s="2">
        <v>2.71</v>
      </c>
      <c r="P152" s="2">
        <f t="shared" si="14"/>
        <v>0.95419631038687525</v>
      </c>
      <c r="Q152" s="2">
        <f t="shared" si="15"/>
        <v>0.59501995482854797</v>
      </c>
      <c r="R152" s="2">
        <f t="shared" si="16"/>
        <v>1.2611085448345776</v>
      </c>
      <c r="S152">
        <f t="shared" si="17"/>
        <v>-3.1090201148350438</v>
      </c>
      <c r="U152">
        <v>3.3547342399706039</v>
      </c>
    </row>
    <row r="153" spans="1:21" ht="13.9" x14ac:dyDescent="0.3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12"/>
        <v>2.6329647322131282</v>
      </c>
      <c r="I153" s="2">
        <f t="shared" si="13"/>
        <v>1.9924795338216322E-2</v>
      </c>
      <c r="J153" s="2">
        <v>21.38</v>
      </c>
      <c r="K153" s="2">
        <v>36.21</v>
      </c>
      <c r="L153" s="2">
        <v>0</v>
      </c>
      <c r="M153" s="2">
        <v>7.31</v>
      </c>
      <c r="N153" s="2">
        <v>0</v>
      </c>
      <c r="O153" s="2">
        <v>21.66</v>
      </c>
      <c r="P153" s="2">
        <f t="shared" si="14"/>
        <v>0.99125863742570741</v>
      </c>
      <c r="Q153" s="2">
        <f t="shared" si="15"/>
        <v>0.48079148107392261</v>
      </c>
      <c r="R153" s="2">
        <f t="shared" si="16"/>
        <v>-1.6417060947874207</v>
      </c>
      <c r="S153">
        <f t="shared" si="17"/>
        <v>0.37648002850099282</v>
      </c>
      <c r="U153">
        <v>5.8477464169213862</v>
      </c>
    </row>
    <row r="154" spans="1:21" ht="13.9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12"/>
        <v>#NUM!</v>
      </c>
      <c r="I154" s="2">
        <f t="shared" si="13"/>
        <v>0.37390096630005903</v>
      </c>
      <c r="J154" s="2">
        <v>0</v>
      </c>
      <c r="K154" s="2">
        <v>0</v>
      </c>
      <c r="L154" s="2">
        <v>0</v>
      </c>
      <c r="M154" s="2">
        <v>0.21</v>
      </c>
      <c r="N154" s="2">
        <v>0</v>
      </c>
      <c r="O154" s="2">
        <v>1.62</v>
      </c>
      <c r="P154" s="2" t="e">
        <f t="shared" si="14"/>
        <v>#NUM!</v>
      </c>
      <c r="Q154" s="2">
        <f t="shared" si="15"/>
        <v>0.29659124348046351</v>
      </c>
      <c r="R154" s="2" t="e">
        <f t="shared" si="16"/>
        <v>#NUM!</v>
      </c>
      <c r="S154" t="e">
        <f t="shared" si="17"/>
        <v>#NUM!</v>
      </c>
      <c r="U154" t="e">
        <v>#NUM!</v>
      </c>
    </row>
    <row r="155" spans="1:21" ht="13.9" x14ac:dyDescent="0.3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12"/>
        <v>-5.6147098441152083</v>
      </c>
      <c r="I155" s="2">
        <f t="shared" si="13"/>
        <v>7.5287131437507034E-3</v>
      </c>
      <c r="J155" s="2">
        <v>0.18</v>
      </c>
      <c r="K155" s="2">
        <v>1.05</v>
      </c>
      <c r="L155" s="2">
        <v>0</v>
      </c>
      <c r="M155" s="2">
        <v>2.68</v>
      </c>
      <c r="N155" s="2">
        <v>0</v>
      </c>
      <c r="O155" s="2">
        <v>2.44</v>
      </c>
      <c r="P155" s="2">
        <f t="shared" si="14"/>
        <v>-2.0574854946607601</v>
      </c>
      <c r="Q155" s="2">
        <f t="shared" si="15"/>
        <v>0.2296050988399698</v>
      </c>
      <c r="R155" s="2">
        <f t="shared" si="16"/>
        <v>3.5572243494544482</v>
      </c>
      <c r="S155">
        <f t="shared" si="17"/>
        <v>0.36644556028433345</v>
      </c>
      <c r="U155">
        <v>0.29865831556451516</v>
      </c>
    </row>
    <row r="156" spans="1:21" ht="13.9" x14ac:dyDescent="0.3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12"/>
        <v>1.0638764756259622</v>
      </c>
      <c r="I156" s="2">
        <f t="shared" si="13"/>
        <v>5.2688702084236878E-2</v>
      </c>
      <c r="J156" s="2">
        <v>194.21</v>
      </c>
      <c r="K156" s="2">
        <v>306.18</v>
      </c>
      <c r="L156" s="2">
        <v>540.45000000000005</v>
      </c>
      <c r="M156" s="2">
        <v>104.02</v>
      </c>
      <c r="N156" s="2">
        <v>40.880000000000003</v>
      </c>
      <c r="O156" s="2">
        <v>187.73</v>
      </c>
      <c r="P156" s="2">
        <f t="shared" si="14"/>
        <v>1.645758115016672</v>
      </c>
      <c r="Q156" s="2">
        <f t="shared" si="15"/>
        <v>9.9533130060959374E-2</v>
      </c>
      <c r="R156" s="2">
        <f t="shared" si="16"/>
        <v>0.5818816393907098</v>
      </c>
      <c r="S156">
        <f t="shared" si="17"/>
        <v>1.5469447372152327</v>
      </c>
      <c r="U156">
        <v>10.023532596385344</v>
      </c>
    </row>
    <row r="157" spans="1:21" ht="13.9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12"/>
        <v>#NUM!</v>
      </c>
      <c r="I157" s="2">
        <f t="shared" si="13"/>
        <v>0.37390096630005903</v>
      </c>
      <c r="J157" s="2">
        <v>0</v>
      </c>
      <c r="K157" s="2">
        <v>0</v>
      </c>
      <c r="L157" s="2">
        <v>30.67</v>
      </c>
      <c r="M157" s="2">
        <v>0</v>
      </c>
      <c r="N157" s="2">
        <v>0</v>
      </c>
      <c r="O157" s="2">
        <v>0</v>
      </c>
      <c r="P157" s="2" t="e">
        <f t="shared" si="14"/>
        <v>#DIV/0!</v>
      </c>
      <c r="Q157" s="2">
        <f t="shared" si="15"/>
        <v>0.37390096630005903</v>
      </c>
      <c r="R157" s="2" t="e">
        <f t="shared" si="16"/>
        <v>#DIV/0!</v>
      </c>
      <c r="S157" t="e">
        <f t="shared" si="17"/>
        <v>#DIV/0!</v>
      </c>
      <c r="U157">
        <v>4.9387562614922951</v>
      </c>
    </row>
    <row r="158" spans="1:21" ht="13.9" x14ac:dyDescent="0.3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12"/>
        <v>0.53133313707998375</v>
      </c>
      <c r="I158" s="2">
        <f t="shared" si="13"/>
        <v>0.11484471847111179</v>
      </c>
      <c r="J158" s="2">
        <v>17.25</v>
      </c>
      <c r="K158" s="2">
        <v>47.09</v>
      </c>
      <c r="L158" s="2">
        <v>56.31</v>
      </c>
      <c r="M158" s="2">
        <v>9.16</v>
      </c>
      <c r="N158" s="2">
        <v>0</v>
      </c>
      <c r="O158" s="2">
        <v>10.69</v>
      </c>
      <c r="P158" s="2">
        <f t="shared" si="14"/>
        <v>2.6036170030727939</v>
      </c>
      <c r="Q158" s="2">
        <f t="shared" si="15"/>
        <v>5.1767062843889579E-2</v>
      </c>
      <c r="R158" s="2">
        <f t="shared" si="16"/>
        <v>2.07228386599281</v>
      </c>
      <c r="S158">
        <f t="shared" si="17"/>
        <v>4.9001592812022574</v>
      </c>
      <c r="U158">
        <v>6.9146841053283898</v>
      </c>
    </row>
    <row r="159" spans="1:21" ht="13.9" x14ac:dyDescent="0.3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12"/>
        <v>-1.5640837710452404</v>
      </c>
      <c r="I159" s="2">
        <f t="shared" si="13"/>
        <v>0.17964648185590121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1.22</v>
      </c>
      <c r="P159" s="2" t="e">
        <f t="shared" si="14"/>
        <v>#NUM!</v>
      </c>
      <c r="Q159" s="2">
        <f t="shared" si="15"/>
        <v>0.37390096630005903</v>
      </c>
      <c r="R159" s="2" t="e">
        <f t="shared" si="16"/>
        <v>#NUM!</v>
      </c>
      <c r="S159" t="e">
        <f t="shared" si="17"/>
        <v>#NUM!</v>
      </c>
      <c r="U159" t="e">
        <v>#NUM!</v>
      </c>
    </row>
    <row r="160" spans="1:21" ht="13.9" x14ac:dyDescent="0.3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12"/>
        <v>2.3157095721522047</v>
      </c>
      <c r="I160" s="2">
        <f t="shared" si="13"/>
        <v>0.47125624754369622</v>
      </c>
      <c r="J160" s="2">
        <v>0</v>
      </c>
      <c r="K160" s="2">
        <v>1.67</v>
      </c>
      <c r="L160" s="2">
        <v>0</v>
      </c>
      <c r="M160" s="2">
        <v>0</v>
      </c>
      <c r="N160" s="2">
        <v>0</v>
      </c>
      <c r="O160" s="2">
        <v>0.68</v>
      </c>
      <c r="P160" s="2">
        <f t="shared" si="14"/>
        <v>1.2962414512237126</v>
      </c>
      <c r="Q160" s="2">
        <f t="shared" si="15"/>
        <v>0.61218468108132751</v>
      </c>
      <c r="R160" s="2">
        <f t="shared" si="16"/>
        <v>-1.0194681209284921</v>
      </c>
      <c r="S160">
        <f t="shared" si="17"/>
        <v>0.55975994002520557</v>
      </c>
      <c r="U160">
        <v>0.73984810269932755</v>
      </c>
    </row>
    <row r="161" spans="1:21" ht="13.9" x14ac:dyDescent="0.3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12"/>
        <v>-2.9930472393582335</v>
      </c>
      <c r="I161" s="2">
        <f t="shared" si="13"/>
        <v>0.17269133939210465</v>
      </c>
      <c r="J161" s="2">
        <v>0</v>
      </c>
      <c r="K161" s="2">
        <v>0</v>
      </c>
      <c r="L161" s="2">
        <v>1.01</v>
      </c>
      <c r="M161" s="2">
        <v>0.62</v>
      </c>
      <c r="N161" s="2">
        <v>0</v>
      </c>
      <c r="O161" s="2">
        <v>0.54</v>
      </c>
      <c r="P161" s="2">
        <f t="shared" si="14"/>
        <v>-0.19976951237577756</v>
      </c>
      <c r="Q161" s="2">
        <f t="shared" si="15"/>
        <v>0.90390870373680221</v>
      </c>
      <c r="R161" s="2">
        <f t="shared" si="16"/>
        <v>2.7932777269824558</v>
      </c>
      <c r="S161">
        <f t="shared" si="17"/>
        <v>6.6744523691050051E-2</v>
      </c>
      <c r="U161">
        <v>1.4355292977070055E-2</v>
      </c>
    </row>
    <row r="162" spans="1:21" ht="13.9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12"/>
        <v>#NUM!</v>
      </c>
      <c r="I162" s="2">
        <f t="shared" si="13"/>
        <v>0.37390096630005903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 t="e">
        <f t="shared" si="14"/>
        <v>#DIV/0!</v>
      </c>
      <c r="Q162" s="2" t="e">
        <f t="shared" si="15"/>
        <v>#DIV/0!</v>
      </c>
      <c r="R162" s="2" t="e">
        <f t="shared" si="16"/>
        <v>#DIV/0!</v>
      </c>
      <c r="S162" t="e">
        <f t="shared" si="17"/>
        <v>#DIV/0!</v>
      </c>
      <c r="U162" t="e">
        <v>#NUM!</v>
      </c>
    </row>
    <row r="163" spans="1:21" ht="13.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12"/>
        <v>#DIV/0!</v>
      </c>
      <c r="I163" s="2" t="e">
        <f t="shared" si="13"/>
        <v>#DIV/0!</v>
      </c>
      <c r="J163" s="2">
        <v>0</v>
      </c>
      <c r="K163" s="2">
        <v>5.44</v>
      </c>
      <c r="L163" s="2">
        <v>0</v>
      </c>
      <c r="M163" s="2">
        <v>0</v>
      </c>
      <c r="N163" s="2">
        <v>0</v>
      </c>
      <c r="O163" s="2">
        <v>0</v>
      </c>
      <c r="P163" s="2" t="e">
        <f t="shared" si="14"/>
        <v>#DIV/0!</v>
      </c>
      <c r="Q163" s="2">
        <f t="shared" si="15"/>
        <v>0.37390096630005903</v>
      </c>
      <c r="R163" s="2" t="e">
        <f t="shared" si="16"/>
        <v>#DIV/0!</v>
      </c>
      <c r="S163" t="e">
        <f t="shared" si="17"/>
        <v>#DIV/0!</v>
      </c>
      <c r="U163">
        <v>2.4436066514756147</v>
      </c>
    </row>
    <row r="164" spans="1:21" ht="13.9" x14ac:dyDescent="0.3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12"/>
        <v>-1.9984709113132553</v>
      </c>
      <c r="I164" s="2">
        <f t="shared" si="13"/>
        <v>0.19478786364971881</v>
      </c>
      <c r="J164" s="2">
        <v>0</v>
      </c>
      <c r="K164" s="2">
        <v>0</v>
      </c>
      <c r="L164" s="2">
        <v>5.03</v>
      </c>
      <c r="M164" s="2">
        <v>0.41</v>
      </c>
      <c r="N164" s="2">
        <v>0</v>
      </c>
      <c r="O164" s="2">
        <v>1.49</v>
      </c>
      <c r="P164" s="2">
        <f t="shared" si="14"/>
        <v>1.4045589814745796</v>
      </c>
      <c r="Q164" s="2">
        <f t="shared" si="15"/>
        <v>0.57993566528816043</v>
      </c>
      <c r="R164" s="2">
        <f t="shared" si="16"/>
        <v>3.4030298927878349</v>
      </c>
      <c r="S164">
        <f t="shared" si="17"/>
        <v>-0.7028168253655499</v>
      </c>
      <c r="U164">
        <v>2.3305584000308026</v>
      </c>
    </row>
    <row r="165" spans="1:21" ht="13.9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12"/>
        <v>#NUM!</v>
      </c>
      <c r="I165" s="2">
        <f t="shared" si="13"/>
        <v>0.37390096630005903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 t="e">
        <f t="shared" si="14"/>
        <v>#DIV/0!</v>
      </c>
      <c r="Q165" s="2" t="e">
        <f t="shared" si="15"/>
        <v>#DIV/0!</v>
      </c>
      <c r="R165" s="2" t="e">
        <f t="shared" si="16"/>
        <v>#DIV/0!</v>
      </c>
      <c r="S165" t="e">
        <f t="shared" si="17"/>
        <v>#DIV/0!</v>
      </c>
      <c r="U165" t="e">
        <v>#NUM!</v>
      </c>
    </row>
    <row r="166" spans="1:21" ht="13.9" x14ac:dyDescent="0.3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12"/>
        <v>-1.9176690725339225</v>
      </c>
      <c r="I166" s="2">
        <f t="shared" si="13"/>
        <v>1.7405981155387E-3</v>
      </c>
      <c r="J166" s="2">
        <v>416.26</v>
      </c>
      <c r="K166" s="2">
        <v>407.47</v>
      </c>
      <c r="L166" s="2">
        <v>387.61</v>
      </c>
      <c r="M166" s="2">
        <v>1544.78</v>
      </c>
      <c r="N166" s="2">
        <v>817.53</v>
      </c>
      <c r="O166" s="2">
        <v>1731.5</v>
      </c>
      <c r="P166" s="2">
        <f t="shared" si="14"/>
        <v>-1.7568402874131068</v>
      </c>
      <c r="Q166" s="2">
        <f t="shared" si="15"/>
        <v>2.6180238618999908E-2</v>
      </c>
      <c r="R166" s="2">
        <f t="shared" si="16"/>
        <v>0.16082878512081566</v>
      </c>
      <c r="S166">
        <f t="shared" si="17"/>
        <v>0.91613319137055083</v>
      </c>
      <c r="U166">
        <v>10.242388143474825</v>
      </c>
    </row>
    <row r="167" spans="1:21" ht="13.9" x14ac:dyDescent="0.3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12"/>
        <v>2.4551946257508264</v>
      </c>
      <c r="I167" s="2">
        <f t="shared" si="13"/>
        <v>1.3790265538858934E-4</v>
      </c>
      <c r="J167" s="2">
        <v>4.13</v>
      </c>
      <c r="K167" s="2">
        <v>3.77</v>
      </c>
      <c r="L167" s="2">
        <v>1.51</v>
      </c>
      <c r="M167" s="2">
        <v>0.62</v>
      </c>
      <c r="N167" s="2">
        <v>0</v>
      </c>
      <c r="O167" s="2">
        <v>1.62</v>
      </c>
      <c r="P167" s="2">
        <f t="shared" si="14"/>
        <v>2.0706959906709326</v>
      </c>
      <c r="Q167" s="2">
        <f t="shared" si="15"/>
        <v>6.4921338139876619E-2</v>
      </c>
      <c r="R167" s="2">
        <f t="shared" si="16"/>
        <v>-0.38449863507989379</v>
      </c>
      <c r="S167">
        <f t="shared" si="17"/>
        <v>0.84339382668601692</v>
      </c>
      <c r="U167">
        <v>3.2341947229538124</v>
      </c>
    </row>
    <row r="168" spans="1:21" ht="13.9" x14ac:dyDescent="0.3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12"/>
        <v>-1.8430273359041116</v>
      </c>
      <c r="I168" s="2">
        <f t="shared" si="13"/>
        <v>3.6766597652767625E-4</v>
      </c>
      <c r="J168" s="2">
        <v>149.11000000000001</v>
      </c>
      <c r="K168" s="2">
        <v>164.29</v>
      </c>
      <c r="L168" s="2">
        <v>348.9</v>
      </c>
      <c r="M168" s="2">
        <v>552.62</v>
      </c>
      <c r="N168" s="2">
        <v>204.38</v>
      </c>
      <c r="O168" s="2">
        <v>384.79</v>
      </c>
      <c r="P168" s="2">
        <f t="shared" si="14"/>
        <v>-0.78574056877740939</v>
      </c>
      <c r="Q168" s="2">
        <f t="shared" si="15"/>
        <v>0.25140346431787802</v>
      </c>
      <c r="R168" s="2">
        <f t="shared" si="16"/>
        <v>1.0572867671267021</v>
      </c>
      <c r="S168">
        <f t="shared" si="17"/>
        <v>0.42633147836190838</v>
      </c>
      <c r="U168">
        <v>9.3713410480058439</v>
      </c>
    </row>
    <row r="169" spans="1:21" ht="13.9" x14ac:dyDescent="0.3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12"/>
        <v>4.6619912057054433</v>
      </c>
      <c r="I169" s="2">
        <f t="shared" si="13"/>
        <v>0.2845188899430493</v>
      </c>
      <c r="J169" s="2">
        <v>301.45999999999998</v>
      </c>
      <c r="K169" s="2">
        <v>28.67</v>
      </c>
      <c r="L169" s="2">
        <v>29.66</v>
      </c>
      <c r="M169" s="2">
        <v>0.62</v>
      </c>
      <c r="N169" s="2">
        <v>0</v>
      </c>
      <c r="O169" s="2">
        <v>0</v>
      </c>
      <c r="P169" s="2">
        <f t="shared" si="14"/>
        <v>9.1806711580563096</v>
      </c>
      <c r="Q169" s="2">
        <f t="shared" si="15"/>
        <v>0.2575994508293698</v>
      </c>
      <c r="R169" s="2">
        <f t="shared" si="16"/>
        <v>4.5186799523508663</v>
      </c>
      <c r="S169">
        <f t="shared" si="17"/>
        <v>1.9692596474272217</v>
      </c>
      <c r="U169">
        <v>8.4910112786684611</v>
      </c>
    </row>
    <row r="170" spans="1:21" ht="13.9" x14ac:dyDescent="0.3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12"/>
        <v>-0.84046990269985888</v>
      </c>
      <c r="I170" s="2">
        <f t="shared" si="13"/>
        <v>0.36106262623373009</v>
      </c>
      <c r="J170" s="2">
        <v>15.09</v>
      </c>
      <c r="K170" s="2">
        <v>4.8099999999999996</v>
      </c>
      <c r="L170" s="2">
        <v>15.08</v>
      </c>
      <c r="M170" s="2">
        <v>44.14</v>
      </c>
      <c r="N170" s="2">
        <v>40.880000000000003</v>
      </c>
      <c r="O170" s="2">
        <v>57.39</v>
      </c>
      <c r="P170" s="2">
        <f t="shared" si="14"/>
        <v>-2.0254482612289362</v>
      </c>
      <c r="Q170" s="2">
        <f t="shared" si="15"/>
        <v>4.2068212877849984E-3</v>
      </c>
      <c r="R170" s="2">
        <f t="shared" si="16"/>
        <v>-1.1849783585290772</v>
      </c>
      <c r="S170">
        <f t="shared" si="17"/>
        <v>2.40989981285772</v>
      </c>
      <c r="U170">
        <v>5.1284583841469278</v>
      </c>
    </row>
    <row r="171" spans="1:21" ht="13.9" x14ac:dyDescent="0.3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12"/>
        <v>-2.1776963671258223</v>
      </c>
      <c r="I171" s="2">
        <f t="shared" si="13"/>
        <v>0.13281699172366712</v>
      </c>
      <c r="J171" s="2">
        <v>0</v>
      </c>
      <c r="K171" s="2">
        <v>4.5999999999999996</v>
      </c>
      <c r="L171" s="2">
        <v>0</v>
      </c>
      <c r="M171" s="2">
        <v>2.88</v>
      </c>
      <c r="N171" s="2">
        <v>286.13</v>
      </c>
      <c r="O171" s="2">
        <v>12.18</v>
      </c>
      <c r="P171" s="2">
        <f t="shared" si="14"/>
        <v>-6.0328961995780457</v>
      </c>
      <c r="Q171" s="2">
        <f t="shared" si="15"/>
        <v>0.34730211223576724</v>
      </c>
      <c r="R171" s="2">
        <f t="shared" si="16"/>
        <v>-3.8551998324522234</v>
      </c>
      <c r="S171">
        <f t="shared" si="17"/>
        <v>2.7703109995726409</v>
      </c>
      <c r="U171">
        <v>2.2016338611696504</v>
      </c>
    </row>
    <row r="172" spans="1:21" ht="13.9" x14ac:dyDescent="0.3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12"/>
        <v>-0.93517447653258889</v>
      </c>
      <c r="I172" s="2">
        <f t="shared" si="13"/>
        <v>1.9561272747574802E-2</v>
      </c>
      <c r="J172" s="2">
        <v>113.9</v>
      </c>
      <c r="K172" s="2">
        <v>162.61000000000001</v>
      </c>
      <c r="L172" s="2">
        <v>261.93</v>
      </c>
      <c r="M172" s="2">
        <v>175.94</v>
      </c>
      <c r="N172" s="2">
        <v>163.51</v>
      </c>
      <c r="O172" s="2">
        <v>295.87</v>
      </c>
      <c r="P172" s="2">
        <f t="shared" si="14"/>
        <v>-0.23869784633243998</v>
      </c>
      <c r="Q172" s="2">
        <f t="shared" si="15"/>
        <v>0.6226027502410264</v>
      </c>
      <c r="R172" s="2">
        <f t="shared" si="16"/>
        <v>0.69647663020014894</v>
      </c>
      <c r="S172">
        <f t="shared" si="17"/>
        <v>0.25524418418419254</v>
      </c>
      <c r="U172">
        <v>9.0726417796227778</v>
      </c>
    </row>
    <row r="173" spans="1:21" ht="13.9" x14ac:dyDescent="0.3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12"/>
        <v>-0.94964635347593263</v>
      </c>
      <c r="I173" s="2">
        <f t="shared" si="13"/>
        <v>2.0300270761593131E-2</v>
      </c>
      <c r="J173" s="2">
        <v>17.61</v>
      </c>
      <c r="K173" s="2">
        <v>36.619999999999997</v>
      </c>
      <c r="L173" s="2">
        <v>63.35</v>
      </c>
      <c r="M173" s="2">
        <v>61.84</v>
      </c>
      <c r="N173" s="2">
        <v>40.880000000000003</v>
      </c>
      <c r="O173" s="2">
        <v>59.15</v>
      </c>
      <c r="P173" s="2">
        <f t="shared" si="14"/>
        <v>-0.46119294709316644</v>
      </c>
      <c r="Q173" s="2">
        <f t="shared" si="15"/>
        <v>0.37527338638430813</v>
      </c>
      <c r="R173" s="2">
        <f t="shared" si="16"/>
        <v>0.48845340638276619</v>
      </c>
      <c r="S173">
        <f t="shared" si="17"/>
        <v>0.4856470468244205</v>
      </c>
      <c r="U173">
        <v>6.8774988727835344</v>
      </c>
    </row>
    <row r="174" spans="1:21" ht="13.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12"/>
        <v>#DIV/0!</v>
      </c>
      <c r="I174" s="2" t="e">
        <f t="shared" si="13"/>
        <v>#DIV/0!</v>
      </c>
      <c r="J174" s="2">
        <v>0</v>
      </c>
      <c r="K174" s="2">
        <v>2.09</v>
      </c>
      <c r="L174" s="2">
        <v>0</v>
      </c>
      <c r="M174" s="2">
        <v>0</v>
      </c>
      <c r="N174" s="2">
        <v>0</v>
      </c>
      <c r="O174" s="2">
        <v>0</v>
      </c>
      <c r="P174" s="2" t="e">
        <f t="shared" si="14"/>
        <v>#DIV/0!</v>
      </c>
      <c r="Q174" s="2">
        <f t="shared" si="15"/>
        <v>0.37390096630005903</v>
      </c>
      <c r="R174" s="2" t="e">
        <f t="shared" si="16"/>
        <v>#DIV/0!</v>
      </c>
      <c r="S174" t="e">
        <f t="shared" si="17"/>
        <v>#DIV/0!</v>
      </c>
      <c r="U174">
        <v>1.0635029423061579</v>
      </c>
    </row>
    <row r="175" spans="1:21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12"/>
        <v>#DIV/0!</v>
      </c>
      <c r="I175" s="2" t="e">
        <f t="shared" si="13"/>
        <v>#DIV/0!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0.14000000000000001</v>
      </c>
      <c r="P175" s="2" t="e">
        <f t="shared" si="14"/>
        <v>#NUM!</v>
      </c>
      <c r="Q175" s="2">
        <f t="shared" si="15"/>
        <v>0.37390096630005903</v>
      </c>
      <c r="R175" s="2" t="e">
        <f t="shared" si="16"/>
        <v>#NUM!</v>
      </c>
      <c r="S175" t="e">
        <f t="shared" si="17"/>
        <v>#NUM!</v>
      </c>
      <c r="U175" t="e">
        <v>#NUM!</v>
      </c>
    </row>
    <row r="176" spans="1:21" ht="13.9" x14ac:dyDescent="0.3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12"/>
        <v>-2.1133414730759448</v>
      </c>
      <c r="I176" s="2">
        <f t="shared" si="13"/>
        <v>0.33772488157736058</v>
      </c>
      <c r="J176" s="2">
        <v>0</v>
      </c>
      <c r="K176" s="2">
        <v>13.39</v>
      </c>
      <c r="L176" s="2">
        <v>15.59</v>
      </c>
      <c r="M176" s="2">
        <v>1.44</v>
      </c>
      <c r="N176" s="2">
        <v>0</v>
      </c>
      <c r="O176" s="2">
        <v>0.41</v>
      </c>
      <c r="P176" s="2">
        <f t="shared" si="14"/>
        <v>3.9694604190406171</v>
      </c>
      <c r="Q176" s="2">
        <f t="shared" si="15"/>
        <v>0.138115413925611</v>
      </c>
      <c r="R176" s="2">
        <f t="shared" si="16"/>
        <v>6.0828018921165619</v>
      </c>
      <c r="S176">
        <f t="shared" si="17"/>
        <v>-1.8782863392460245</v>
      </c>
      <c r="U176">
        <v>4.8569856897822046</v>
      </c>
    </row>
    <row r="177" spans="1:21" ht="13.9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12"/>
        <v>#DIV/0!</v>
      </c>
      <c r="I177" s="2" t="e">
        <f t="shared" si="13"/>
        <v>#DIV/0!</v>
      </c>
      <c r="J177" s="2">
        <v>0</v>
      </c>
      <c r="K177" s="2">
        <v>0</v>
      </c>
      <c r="L177" s="2">
        <v>0.5</v>
      </c>
      <c r="M177" s="2">
        <v>0</v>
      </c>
      <c r="N177" s="2">
        <v>0</v>
      </c>
      <c r="O177" s="2">
        <v>0</v>
      </c>
      <c r="P177" s="2" t="e">
        <f t="shared" si="14"/>
        <v>#DIV/0!</v>
      </c>
      <c r="Q177" s="2">
        <f t="shared" si="15"/>
        <v>0.37390096630005903</v>
      </c>
      <c r="R177" s="2" t="e">
        <f t="shared" si="16"/>
        <v>#DIV/0!</v>
      </c>
      <c r="S177" t="e">
        <f t="shared" si="17"/>
        <v>#DIV/0!</v>
      </c>
      <c r="U177">
        <v>-1</v>
      </c>
    </row>
    <row r="178" spans="1:21" ht="13.9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12"/>
        <v>#NUM!</v>
      </c>
      <c r="I178" s="2">
        <f t="shared" si="13"/>
        <v>3.5482524604482292E-2</v>
      </c>
      <c r="J178" s="2">
        <v>0</v>
      </c>
      <c r="K178" s="2">
        <v>0</v>
      </c>
      <c r="L178" s="2">
        <v>9.0500000000000007</v>
      </c>
      <c r="M178" s="2">
        <v>0.41</v>
      </c>
      <c r="N178" s="2">
        <v>0</v>
      </c>
      <c r="O178" s="2">
        <v>0.68</v>
      </c>
      <c r="P178" s="2">
        <f t="shared" si="14"/>
        <v>3.0535896571936414</v>
      </c>
      <c r="Q178" s="2">
        <f t="shared" si="15"/>
        <v>0.42967507284319584</v>
      </c>
      <c r="R178" s="2" t="e">
        <f t="shared" si="16"/>
        <v>#NUM!</v>
      </c>
      <c r="S178" t="e">
        <f t="shared" si="17"/>
        <v>#NUM!</v>
      </c>
      <c r="U178">
        <v>3.177917792195843</v>
      </c>
    </row>
    <row r="179" spans="1:21" ht="13.9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12"/>
        <v>#NUM!</v>
      </c>
      <c r="I179" s="2">
        <f t="shared" si="13"/>
        <v>0.37390096630005903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 t="e">
        <f t="shared" si="14"/>
        <v>#DIV/0!</v>
      </c>
      <c r="Q179" s="2" t="e">
        <f t="shared" si="15"/>
        <v>#DIV/0!</v>
      </c>
      <c r="R179" s="2" t="e">
        <f t="shared" si="16"/>
        <v>#DIV/0!</v>
      </c>
      <c r="S179" t="e">
        <f t="shared" si="17"/>
        <v>#DIV/0!</v>
      </c>
      <c r="U179" t="e">
        <v>#NUM!</v>
      </c>
    </row>
    <row r="180" spans="1:21" ht="13.9" x14ac:dyDescent="0.3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12"/>
        <v>-2.1129718129566095</v>
      </c>
      <c r="I180" s="2">
        <f t="shared" si="13"/>
        <v>7.3903255989607409E-3</v>
      </c>
      <c r="J180" s="2">
        <v>0</v>
      </c>
      <c r="K180" s="2">
        <v>5.65</v>
      </c>
      <c r="L180" s="2">
        <v>1.01</v>
      </c>
      <c r="M180" s="2">
        <v>40.85</v>
      </c>
      <c r="N180" s="2">
        <v>40.880000000000003</v>
      </c>
      <c r="O180" s="2">
        <v>31.67</v>
      </c>
      <c r="P180" s="2">
        <f t="shared" si="14"/>
        <v>-4.0897546527583293</v>
      </c>
      <c r="Q180" s="2">
        <f t="shared" si="15"/>
        <v>5.4165416743390986E-4</v>
      </c>
      <c r="R180" s="2">
        <f t="shared" si="16"/>
        <v>-1.9767828398017198</v>
      </c>
      <c r="S180">
        <f t="shared" si="17"/>
        <v>1.9355462423493832</v>
      </c>
      <c r="U180">
        <v>2.7355221772965375</v>
      </c>
    </row>
    <row r="181" spans="1:21" ht="13.9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12"/>
        <v>#NUM!</v>
      </c>
      <c r="I181" s="2">
        <f t="shared" si="13"/>
        <v>0.20196164992919252</v>
      </c>
      <c r="J181" s="2">
        <v>0</v>
      </c>
      <c r="K181" s="2">
        <v>2.2999999999999998</v>
      </c>
      <c r="L181" s="2">
        <v>0</v>
      </c>
      <c r="M181" s="2">
        <v>0</v>
      </c>
      <c r="N181" s="2">
        <v>0</v>
      </c>
      <c r="O181" s="2">
        <v>0</v>
      </c>
      <c r="P181" s="2" t="e">
        <f t="shared" si="14"/>
        <v>#DIV/0!</v>
      </c>
      <c r="Q181" s="2">
        <f t="shared" si="15"/>
        <v>0.37390096630005903</v>
      </c>
      <c r="R181" s="2" t="e">
        <f t="shared" si="16"/>
        <v>#DIV/0!</v>
      </c>
      <c r="S181" t="e">
        <f t="shared" si="17"/>
        <v>#DIV/0!</v>
      </c>
      <c r="U181">
        <v>1.2016338611696504</v>
      </c>
    </row>
    <row r="182" spans="1:21" ht="13.9" x14ac:dyDescent="0.3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12"/>
        <v>-1.0209023129797239</v>
      </c>
      <c r="I182" s="2">
        <f t="shared" si="13"/>
        <v>3.4583683997869853E-2</v>
      </c>
      <c r="J182" s="2">
        <v>167.44</v>
      </c>
      <c r="K182" s="2">
        <v>434.26</v>
      </c>
      <c r="L182" s="2">
        <v>582.17999999999995</v>
      </c>
      <c r="M182" s="2">
        <v>453.74</v>
      </c>
      <c r="N182" s="2">
        <v>817.53</v>
      </c>
      <c r="O182" s="2">
        <v>1048.95</v>
      </c>
      <c r="P182" s="2">
        <f t="shared" si="14"/>
        <v>-0.97073875169043644</v>
      </c>
      <c r="Q182" s="2">
        <f t="shared" si="15"/>
        <v>0.1478062868895654</v>
      </c>
      <c r="R182" s="2">
        <f t="shared" si="16"/>
        <v>5.0163561289287451E-2</v>
      </c>
      <c r="S182">
        <f t="shared" si="17"/>
        <v>0.95086350510571938</v>
      </c>
      <c r="U182">
        <v>10.209307139126716</v>
      </c>
    </row>
    <row r="183" spans="1:21" ht="13.9" x14ac:dyDescent="0.3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12"/>
        <v>-1.0083833167100453</v>
      </c>
      <c r="I183" s="2">
        <f t="shared" si="13"/>
        <v>5.6787697747520084E-3</v>
      </c>
      <c r="J183" s="2">
        <v>314.02999999999997</v>
      </c>
      <c r="K183" s="2">
        <v>483.86</v>
      </c>
      <c r="L183" s="2">
        <v>292.08999999999997</v>
      </c>
      <c r="M183" s="2">
        <v>703.56</v>
      </c>
      <c r="N183" s="2">
        <v>531.39</v>
      </c>
      <c r="O183" s="2">
        <v>632.89</v>
      </c>
      <c r="P183" s="2">
        <f t="shared" si="14"/>
        <v>-0.77706921515472605</v>
      </c>
      <c r="Q183" s="2">
        <f t="shared" si="15"/>
        <v>2.9898047172418604E-2</v>
      </c>
      <c r="R183" s="2">
        <f t="shared" si="16"/>
        <v>0.23131410155531928</v>
      </c>
      <c r="S183">
        <f t="shared" si="17"/>
        <v>0.77060895621517678</v>
      </c>
      <c r="U183">
        <v>10.090085947952788</v>
      </c>
    </row>
    <row r="184" spans="1:21" ht="13.9" x14ac:dyDescent="0.3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12"/>
        <v>-0.52983476144128261</v>
      </c>
      <c r="I184" s="2">
        <f t="shared" si="13"/>
        <v>0.55484535133765456</v>
      </c>
      <c r="J184" s="2">
        <v>1.26</v>
      </c>
      <c r="K184" s="2">
        <v>11.93</v>
      </c>
      <c r="L184" s="2">
        <v>65.36</v>
      </c>
      <c r="M184" s="2">
        <v>16.05</v>
      </c>
      <c r="N184" s="2">
        <v>613.15</v>
      </c>
      <c r="O184" s="2">
        <v>29.24</v>
      </c>
      <c r="P184" s="2">
        <f t="shared" si="14"/>
        <v>-3.0673688010094704</v>
      </c>
      <c r="Q184" s="2">
        <f t="shared" si="15"/>
        <v>0.38393433935987986</v>
      </c>
      <c r="R184" s="2">
        <f t="shared" si="16"/>
        <v>-2.5375340395681878</v>
      </c>
      <c r="S184">
        <f t="shared" si="17"/>
        <v>5.7892932367545358</v>
      </c>
      <c r="U184">
        <v>6.2955393704068339</v>
      </c>
    </row>
    <row r="185" spans="1:21" ht="13.9" x14ac:dyDescent="0.3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12"/>
        <v>4.9663916073571803</v>
      </c>
      <c r="I185" s="2">
        <f t="shared" si="13"/>
        <v>0.25480662815064431</v>
      </c>
      <c r="J185" s="2">
        <v>0</v>
      </c>
      <c r="K185" s="2">
        <v>6.28</v>
      </c>
      <c r="L185" s="2">
        <v>0</v>
      </c>
      <c r="M185" s="2">
        <v>0.21</v>
      </c>
      <c r="N185" s="2">
        <v>0</v>
      </c>
      <c r="O185" s="2">
        <v>0.14000000000000001</v>
      </c>
      <c r="P185" s="2">
        <f t="shared" si="14"/>
        <v>4.1653377319466607</v>
      </c>
      <c r="Q185" s="2">
        <f t="shared" si="15"/>
        <v>0.39868586814394236</v>
      </c>
      <c r="R185" s="2">
        <f t="shared" si="16"/>
        <v>-0.80105387541051964</v>
      </c>
      <c r="S185">
        <f t="shared" si="17"/>
        <v>0.83870505213003266</v>
      </c>
      <c r="U185">
        <v>2.6507645591169027</v>
      </c>
    </row>
    <row r="186" spans="1:21" ht="13.9" x14ac:dyDescent="0.3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12"/>
        <v>#NUM!</v>
      </c>
      <c r="I186" s="2">
        <f t="shared" si="13"/>
        <v>1.2325057595245815E-2</v>
      </c>
      <c r="J186" s="2">
        <v>0</v>
      </c>
      <c r="K186" s="2">
        <v>1.67</v>
      </c>
      <c r="L186" s="2">
        <v>0.5</v>
      </c>
      <c r="M186" s="2">
        <v>3.5</v>
      </c>
      <c r="N186" s="2">
        <v>163.51</v>
      </c>
      <c r="O186" s="2">
        <v>9.07</v>
      </c>
      <c r="P186" s="2">
        <f t="shared" si="14"/>
        <v>-6.3423921974470785</v>
      </c>
      <c r="Q186" s="2">
        <f t="shared" si="15"/>
        <v>0.33093918298579245</v>
      </c>
      <c r="R186" s="2" t="e">
        <f t="shared" si="16"/>
        <v>#NUM!</v>
      </c>
      <c r="S186" t="e">
        <f t="shared" si="17"/>
        <v>#NUM!</v>
      </c>
      <c r="U186">
        <v>1.1176950426697545</v>
      </c>
    </row>
    <row r="187" spans="1:21" ht="13.9" x14ac:dyDescent="0.3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12"/>
        <v>1.0750232053637305</v>
      </c>
      <c r="I187" s="2">
        <f t="shared" si="13"/>
        <v>0.24859071706412406</v>
      </c>
      <c r="J187" s="2">
        <v>0</v>
      </c>
      <c r="K187" s="2">
        <v>19.46</v>
      </c>
      <c r="L187" s="2">
        <v>28.15</v>
      </c>
      <c r="M187" s="2">
        <v>10.49</v>
      </c>
      <c r="N187" s="2">
        <v>0</v>
      </c>
      <c r="O187" s="2">
        <v>17.600000000000001</v>
      </c>
      <c r="P187" s="2">
        <f t="shared" si="14"/>
        <v>0.76120800442993963</v>
      </c>
      <c r="Q187" s="2">
        <f t="shared" si="15"/>
        <v>0.54173231644861497</v>
      </c>
      <c r="R187" s="2">
        <f t="shared" si="16"/>
        <v>-0.31381520093379089</v>
      </c>
      <c r="S187">
        <f t="shared" si="17"/>
        <v>0.70808518423784861</v>
      </c>
      <c r="U187">
        <v>5.5731927237816139</v>
      </c>
    </row>
    <row r="188" spans="1:21" ht="13.9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12"/>
        <v>#NUM!</v>
      </c>
      <c r="I188" s="2">
        <f t="shared" si="13"/>
        <v>0.17591959189449596</v>
      </c>
      <c r="J188" s="2">
        <v>0</v>
      </c>
      <c r="K188" s="2">
        <v>0</v>
      </c>
      <c r="L188" s="2">
        <v>0</v>
      </c>
      <c r="M188" s="2">
        <v>0.62</v>
      </c>
      <c r="N188" s="2">
        <v>0</v>
      </c>
      <c r="O188" s="2">
        <v>0</v>
      </c>
      <c r="P188" s="2" t="e">
        <f t="shared" si="14"/>
        <v>#NUM!</v>
      </c>
      <c r="Q188" s="2">
        <f t="shared" si="15"/>
        <v>0.37390096630005903</v>
      </c>
      <c r="R188" s="2" t="e">
        <f t="shared" si="16"/>
        <v>#NUM!</v>
      </c>
      <c r="S188" t="e">
        <f t="shared" si="17"/>
        <v>#NUM!</v>
      </c>
      <c r="U188" t="e">
        <v>#NUM!</v>
      </c>
    </row>
    <row r="189" spans="1:21" ht="13.9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12"/>
        <v>#NUM!</v>
      </c>
      <c r="I189" s="2">
        <f t="shared" si="13"/>
        <v>0.13581709535117098</v>
      </c>
      <c r="J189" s="2">
        <v>0</v>
      </c>
      <c r="K189" s="2">
        <v>0.21</v>
      </c>
      <c r="L189" s="2">
        <v>0</v>
      </c>
      <c r="M189" s="2">
        <v>0</v>
      </c>
      <c r="N189" s="2">
        <v>0</v>
      </c>
      <c r="O189" s="2">
        <v>0</v>
      </c>
      <c r="P189" s="2" t="e">
        <f t="shared" si="14"/>
        <v>#DIV/0!</v>
      </c>
      <c r="Q189" s="2">
        <f t="shared" si="15"/>
        <v>0.37390096630005903</v>
      </c>
      <c r="R189" s="2" t="e">
        <f t="shared" si="16"/>
        <v>#DIV/0!</v>
      </c>
      <c r="S189" t="e">
        <f t="shared" si="17"/>
        <v>#DIV/0!</v>
      </c>
      <c r="U189">
        <v>-2.2515387669959646</v>
      </c>
    </row>
    <row r="190" spans="1:21" ht="13.9" x14ac:dyDescent="0.3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12"/>
        <v>1.3792245192195731</v>
      </c>
      <c r="I190" s="2">
        <f t="shared" si="13"/>
        <v>0.35129163569391897</v>
      </c>
      <c r="J190" s="2">
        <v>46.89</v>
      </c>
      <c r="K190" s="2">
        <v>9.42</v>
      </c>
      <c r="L190" s="2">
        <v>20.11</v>
      </c>
      <c r="M190" s="2">
        <v>9.67</v>
      </c>
      <c r="N190" s="2">
        <v>0</v>
      </c>
      <c r="O190" s="2">
        <v>20.170000000000002</v>
      </c>
      <c r="P190" s="2">
        <f t="shared" si="14"/>
        <v>1.3567027221022734</v>
      </c>
      <c r="Q190" s="2">
        <f t="shared" si="15"/>
        <v>0.28448347526939693</v>
      </c>
      <c r="R190" s="2">
        <f t="shared" si="16"/>
        <v>-2.2521797117299736E-2</v>
      </c>
      <c r="S190">
        <f t="shared" si="17"/>
        <v>0.98367068102150357</v>
      </c>
      <c r="U190">
        <v>6.2558783525827861</v>
      </c>
    </row>
    <row r="191" spans="1:21" ht="13.9" x14ac:dyDescent="0.3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12"/>
        <v>-1.3403143459416129</v>
      </c>
      <c r="I191" s="2">
        <f t="shared" si="13"/>
        <v>1.2285375232619177E-2</v>
      </c>
      <c r="J191" s="2">
        <v>0.36</v>
      </c>
      <c r="K191" s="2">
        <v>24.07</v>
      </c>
      <c r="L191" s="2">
        <v>32.18</v>
      </c>
      <c r="M191" s="2">
        <v>18.62</v>
      </c>
      <c r="N191" s="2">
        <v>40.880000000000003</v>
      </c>
      <c r="O191" s="2">
        <v>23.01</v>
      </c>
      <c r="P191" s="2">
        <f t="shared" si="14"/>
        <v>-0.54351205722765306</v>
      </c>
      <c r="Q191" s="2">
        <f t="shared" si="15"/>
        <v>0.50238607247977773</v>
      </c>
      <c r="R191" s="2">
        <f t="shared" si="16"/>
        <v>0.79680228871395986</v>
      </c>
      <c r="S191">
        <f t="shared" si="17"/>
        <v>0.40551088546755709</v>
      </c>
      <c r="U191">
        <v>5.822985018546877</v>
      </c>
    </row>
    <row r="192" spans="1:21" ht="13.9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12"/>
        <v>#NUM!</v>
      </c>
      <c r="I192" s="2">
        <f t="shared" si="13"/>
        <v>0.37390096630005903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f t="shared" si="14"/>
        <v>#DIV/0!</v>
      </c>
      <c r="Q192" s="2" t="e">
        <f t="shared" si="15"/>
        <v>#DIV/0!</v>
      </c>
      <c r="R192" s="2" t="e">
        <f t="shared" si="16"/>
        <v>#DIV/0!</v>
      </c>
      <c r="S192" t="e">
        <f t="shared" si="17"/>
        <v>#DIV/0!</v>
      </c>
      <c r="U192" t="e">
        <v>#NUM!</v>
      </c>
    </row>
    <row r="193" spans="1:21" ht="13.9" x14ac:dyDescent="0.3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12"/>
        <v>2.2580729391169432</v>
      </c>
      <c r="I193" s="2">
        <f t="shared" si="13"/>
        <v>0.13430101108771386</v>
      </c>
      <c r="J193" s="2">
        <v>91.62</v>
      </c>
      <c r="K193" s="2">
        <v>141.26</v>
      </c>
      <c r="L193" s="2">
        <v>432.36</v>
      </c>
      <c r="M193" s="2">
        <v>35.39</v>
      </c>
      <c r="N193" s="2">
        <v>81.75</v>
      </c>
      <c r="O193" s="2">
        <v>74.58</v>
      </c>
      <c r="P193" s="2">
        <f t="shared" si="14"/>
        <v>1.7948740735055393</v>
      </c>
      <c r="Q193" s="2">
        <f t="shared" si="15"/>
        <v>0.21507154031377734</v>
      </c>
      <c r="R193" s="2">
        <f t="shared" si="16"/>
        <v>-0.46319886561140389</v>
      </c>
      <c r="S193">
        <f t="shared" si="17"/>
        <v>0.79486983897316199</v>
      </c>
      <c r="U193">
        <v>9.3777311083497779</v>
      </c>
    </row>
    <row r="194" spans="1:21" ht="13.9" x14ac:dyDescent="0.3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18">LOG(SUM(B194:D194)/SUM(E194:G194),2)</f>
        <v>#DIV/0!</v>
      </c>
      <c r="I194" s="2">
        <f t="shared" ref="I194:I257" si="19">_xlfn.T.TEST(B194:D194,E194:G194,2,2)</f>
        <v>0.37390096630005903</v>
      </c>
      <c r="J194" s="2">
        <v>6.65</v>
      </c>
      <c r="K194" s="2">
        <v>6.28</v>
      </c>
      <c r="L194" s="2">
        <v>0</v>
      </c>
      <c r="M194" s="2">
        <v>0</v>
      </c>
      <c r="N194" s="2">
        <v>204.38</v>
      </c>
      <c r="O194" s="2">
        <v>0</v>
      </c>
      <c r="P194" s="2">
        <f t="shared" ref="P194:P257" si="20">LOG(SUM(J194:L194)/SUM(M194:O194),2)</f>
        <v>-3.982459845209696</v>
      </c>
      <c r="Q194" s="2">
        <f t="shared" ref="Q194:Q257" si="21">_xlfn.T.TEST(J194:L194,M194:O194,2,2)</f>
        <v>0.40214240578194654</v>
      </c>
      <c r="R194" s="2" t="e">
        <f t="shared" si="16"/>
        <v>#DIV/0!</v>
      </c>
      <c r="S194" t="e">
        <f t="shared" si="17"/>
        <v>#DIV/0!</v>
      </c>
      <c r="U194">
        <v>3.6926503700355298</v>
      </c>
    </row>
    <row r="195" spans="1:21" ht="13.9" x14ac:dyDescent="0.3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18"/>
        <v>-1.1299210903917332</v>
      </c>
      <c r="I195" s="2">
        <f t="shared" si="19"/>
        <v>0.13494704145451841</v>
      </c>
      <c r="J195" s="2">
        <v>0</v>
      </c>
      <c r="K195" s="2">
        <v>8.58</v>
      </c>
      <c r="L195" s="2">
        <v>0</v>
      </c>
      <c r="M195" s="2">
        <v>20.48</v>
      </c>
      <c r="N195" s="2">
        <v>40.880000000000003</v>
      </c>
      <c r="O195" s="2">
        <v>33.299999999999997</v>
      </c>
      <c r="P195" s="2">
        <f t="shared" si="20"/>
        <v>-3.4637053692388178</v>
      </c>
      <c r="Q195" s="2">
        <f t="shared" si="21"/>
        <v>1.2210952772358671E-2</v>
      </c>
      <c r="R195" s="2">
        <f t="shared" ref="R195:R258" si="22">P195-H195</f>
        <v>-2.3337842788470846</v>
      </c>
      <c r="S195">
        <f t="shared" si="17"/>
        <v>3.065440054790006</v>
      </c>
      <c r="U195">
        <v>3.1009776477248212</v>
      </c>
    </row>
    <row r="196" spans="1:21" ht="13.9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18"/>
        <v>#NUM!</v>
      </c>
      <c r="I196" s="2">
        <f t="shared" si="19"/>
        <v>0.18536244939379634</v>
      </c>
      <c r="J196" s="2">
        <v>0</v>
      </c>
      <c r="K196" s="2">
        <v>0</v>
      </c>
      <c r="L196" s="2">
        <v>0</v>
      </c>
      <c r="M196" s="2">
        <v>0.1</v>
      </c>
      <c r="N196" s="2">
        <v>0</v>
      </c>
      <c r="O196" s="2">
        <v>0.27</v>
      </c>
      <c r="P196" s="2" t="e">
        <f t="shared" si="20"/>
        <v>#NUM!</v>
      </c>
      <c r="Q196" s="2">
        <f t="shared" si="21"/>
        <v>0.19265015532098587</v>
      </c>
      <c r="R196" s="2" t="e">
        <f t="shared" si="22"/>
        <v>#NUM!</v>
      </c>
      <c r="S196" t="e">
        <f t="shared" ref="S196:S259" si="23">P196/H196</f>
        <v>#NUM!</v>
      </c>
      <c r="U196" t="e">
        <v>#NUM!</v>
      </c>
    </row>
    <row r="197" spans="1:21" ht="13.9" x14ac:dyDescent="0.3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18"/>
        <v>-1.1299210903917332</v>
      </c>
      <c r="I197" s="2">
        <f t="shared" si="19"/>
        <v>0.13494704145451841</v>
      </c>
      <c r="J197" s="2">
        <v>0</v>
      </c>
      <c r="K197" s="2">
        <v>8.58</v>
      </c>
      <c r="L197" s="2">
        <v>0</v>
      </c>
      <c r="M197" s="2">
        <v>20.48</v>
      </c>
      <c r="N197" s="2">
        <v>40.880000000000003</v>
      </c>
      <c r="O197" s="2">
        <v>33.299999999999997</v>
      </c>
      <c r="P197" s="2">
        <f t="shared" si="20"/>
        <v>-3.4637053692388178</v>
      </c>
      <c r="Q197" s="2">
        <f t="shared" si="21"/>
        <v>1.2210952772358671E-2</v>
      </c>
      <c r="R197" s="2">
        <f t="shared" si="22"/>
        <v>-2.3337842788470846</v>
      </c>
      <c r="S197">
        <f t="shared" si="23"/>
        <v>3.065440054790006</v>
      </c>
      <c r="U197">
        <v>3.1009776477248212</v>
      </c>
    </row>
    <row r="198" spans="1:21" ht="13.9" x14ac:dyDescent="0.3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18"/>
        <v>-0.79316901581429322</v>
      </c>
      <c r="I198" s="2">
        <f t="shared" si="19"/>
        <v>0.50469920495601062</v>
      </c>
      <c r="J198" s="2">
        <v>0.18</v>
      </c>
      <c r="K198" s="2">
        <v>0.63</v>
      </c>
      <c r="L198" s="2">
        <v>0</v>
      </c>
      <c r="M198" s="2">
        <v>1.44</v>
      </c>
      <c r="N198" s="2">
        <v>0</v>
      </c>
      <c r="O198" s="2">
        <v>0.27</v>
      </c>
      <c r="P198" s="2">
        <f t="shared" si="20"/>
        <v>-1.0780025120012731</v>
      </c>
      <c r="Q198" s="2">
        <f t="shared" si="21"/>
        <v>0.56585597084483175</v>
      </c>
      <c r="R198" s="2">
        <f t="shared" si="22"/>
        <v>-0.28483349618697984</v>
      </c>
      <c r="S198">
        <f t="shared" si="23"/>
        <v>1.3591081982628386</v>
      </c>
      <c r="U198">
        <v>-0.30400618689009989</v>
      </c>
    </row>
    <row r="199" spans="1:21" ht="13.9" x14ac:dyDescent="0.3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18"/>
        <v>-0.45170252918734827</v>
      </c>
      <c r="I199" s="2">
        <f t="shared" si="19"/>
        <v>0.49730209806101011</v>
      </c>
      <c r="J199" s="2">
        <v>30.54</v>
      </c>
      <c r="K199" s="2">
        <v>27.42</v>
      </c>
      <c r="L199" s="2">
        <v>124.68</v>
      </c>
      <c r="M199" s="2">
        <v>23.66</v>
      </c>
      <c r="N199" s="2">
        <v>0</v>
      </c>
      <c r="O199" s="2">
        <v>14.62</v>
      </c>
      <c r="P199" s="2">
        <f t="shared" si="20"/>
        <v>2.254340029738676</v>
      </c>
      <c r="Q199" s="2">
        <f t="shared" si="21"/>
        <v>0.21452247901835059</v>
      </c>
      <c r="R199" s="2">
        <f t="shared" si="22"/>
        <v>2.7060425589260242</v>
      </c>
      <c r="S199">
        <f t="shared" si="23"/>
        <v>-4.9907624688186445</v>
      </c>
      <c r="U199">
        <v>7.5128589544499773</v>
      </c>
    </row>
    <row r="200" spans="1:21" ht="13.9" x14ac:dyDescent="0.3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18"/>
        <v>1.715886423225641</v>
      </c>
      <c r="I200" s="2">
        <f t="shared" si="19"/>
        <v>2.5527826185763675E-2</v>
      </c>
      <c r="J200" s="2">
        <v>68.989999999999995</v>
      </c>
      <c r="K200" s="2">
        <v>62.78</v>
      </c>
      <c r="L200" s="2">
        <v>130.21</v>
      </c>
      <c r="M200" s="2">
        <v>20.059999999999999</v>
      </c>
      <c r="N200" s="2">
        <v>40.880000000000003</v>
      </c>
      <c r="O200" s="2">
        <v>17.46</v>
      </c>
      <c r="P200" s="2">
        <f t="shared" si="20"/>
        <v>1.7405311187135442</v>
      </c>
      <c r="Q200" s="2">
        <f t="shared" si="21"/>
        <v>5.4716445573451615E-2</v>
      </c>
      <c r="R200" s="2">
        <f t="shared" si="22"/>
        <v>2.4644695487903157E-2</v>
      </c>
      <c r="S200">
        <f t="shared" si="23"/>
        <v>1.0143626612777636</v>
      </c>
      <c r="U200">
        <v>8.0333128679413903</v>
      </c>
    </row>
    <row r="201" spans="1:21" ht="13.9" x14ac:dyDescent="0.3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18"/>
        <v>-0.40843298641288855</v>
      </c>
      <c r="I201" s="2">
        <f t="shared" si="19"/>
        <v>0.65052562926826374</v>
      </c>
      <c r="J201" s="2">
        <v>9.52</v>
      </c>
      <c r="K201" s="2">
        <v>4.1900000000000004</v>
      </c>
      <c r="L201" s="2">
        <v>0</v>
      </c>
      <c r="M201" s="2">
        <v>9.67</v>
      </c>
      <c r="N201" s="2">
        <v>0</v>
      </c>
      <c r="O201" s="2">
        <v>16.239999999999998</v>
      </c>
      <c r="P201" s="2">
        <f t="shared" si="20"/>
        <v>-0.9182804444008682</v>
      </c>
      <c r="Q201" s="2">
        <f t="shared" si="21"/>
        <v>0.49791603678515989</v>
      </c>
      <c r="R201" s="2">
        <f t="shared" si="22"/>
        <v>-0.5098474579879797</v>
      </c>
      <c r="S201">
        <f t="shared" si="23"/>
        <v>2.2483013736617501</v>
      </c>
      <c r="U201">
        <v>3.7771566660045015</v>
      </c>
    </row>
    <row r="202" spans="1:21" ht="13.9" x14ac:dyDescent="0.3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18"/>
        <v>#NUM!</v>
      </c>
      <c r="I202" s="2">
        <f t="shared" si="19"/>
        <v>2.9338025079515145E-2</v>
      </c>
      <c r="J202" s="2">
        <v>0</v>
      </c>
      <c r="K202" s="2">
        <v>0.63</v>
      </c>
      <c r="L202" s="2">
        <v>0</v>
      </c>
      <c r="M202" s="2">
        <v>2.06</v>
      </c>
      <c r="N202" s="2">
        <v>0</v>
      </c>
      <c r="O202" s="2">
        <v>1.76</v>
      </c>
      <c r="P202" s="2">
        <f t="shared" si="20"/>
        <v>-2.6001489045358328</v>
      </c>
      <c r="Q202" s="2">
        <f t="shared" si="21"/>
        <v>0.19081870489211594</v>
      </c>
      <c r="R202" s="2" t="e">
        <f t="shared" si="22"/>
        <v>#NUM!</v>
      </c>
      <c r="S202" t="e">
        <f t="shared" si="23"/>
        <v>#NUM!</v>
      </c>
      <c r="U202">
        <v>-0.66657626627480826</v>
      </c>
    </row>
    <row r="203" spans="1:21" ht="13.9" x14ac:dyDescent="0.3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18"/>
        <v>-1.189859413742512</v>
      </c>
      <c r="I203" s="2">
        <f t="shared" si="19"/>
        <v>5.7239615447180633E-2</v>
      </c>
      <c r="J203" s="2">
        <v>37.909999999999997</v>
      </c>
      <c r="K203" s="2">
        <v>10.050000000000001</v>
      </c>
      <c r="L203" s="2">
        <v>50.78</v>
      </c>
      <c r="M203" s="2">
        <v>23.36</v>
      </c>
      <c r="N203" s="2">
        <v>0</v>
      </c>
      <c r="O203" s="2">
        <v>21.52</v>
      </c>
      <c r="P203" s="2">
        <f t="shared" si="20"/>
        <v>1.137561969132304</v>
      </c>
      <c r="Q203" s="2">
        <f t="shared" si="21"/>
        <v>0.27383159217870234</v>
      </c>
      <c r="R203" s="2">
        <f t="shared" si="22"/>
        <v>2.327421382874816</v>
      </c>
      <c r="S203">
        <f t="shared" si="23"/>
        <v>-0.95604737500398074</v>
      </c>
      <c r="U203">
        <v>6.6255627399663721</v>
      </c>
    </row>
    <row r="204" spans="1:21" ht="13.9" x14ac:dyDescent="0.3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18"/>
        <v>-0.67916776163391013</v>
      </c>
      <c r="I204" s="2">
        <f t="shared" si="19"/>
        <v>0.57220456837121536</v>
      </c>
      <c r="J204" s="2">
        <v>0.18</v>
      </c>
      <c r="K204" s="2">
        <v>15.7</v>
      </c>
      <c r="L204" s="2">
        <v>0</v>
      </c>
      <c r="M204" s="2">
        <v>8.44</v>
      </c>
      <c r="N204" s="2">
        <v>0</v>
      </c>
      <c r="O204" s="2">
        <v>14.21</v>
      </c>
      <c r="P204" s="2">
        <f t="shared" si="20"/>
        <v>-0.51230013779063976</v>
      </c>
      <c r="Q204" s="2">
        <f t="shared" si="21"/>
        <v>0.7510931493822508</v>
      </c>
      <c r="R204" s="2">
        <f t="shared" si="22"/>
        <v>0.16686762384327036</v>
      </c>
      <c r="S204">
        <f t="shared" si="23"/>
        <v>0.75430573524010025</v>
      </c>
      <c r="U204">
        <v>3.9891390073682333</v>
      </c>
    </row>
    <row r="205" spans="1:21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18"/>
        <v>#DIV/0!</v>
      </c>
      <c r="I205" s="2" t="e">
        <f t="shared" si="19"/>
        <v>#DIV/0!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 t="e">
        <f t="shared" si="20"/>
        <v>#DIV/0!</v>
      </c>
      <c r="Q205" s="2" t="e">
        <f t="shared" si="21"/>
        <v>#DIV/0!</v>
      </c>
      <c r="R205" s="2" t="e">
        <f t="shared" si="22"/>
        <v>#DIV/0!</v>
      </c>
      <c r="S205" t="e">
        <f t="shared" si="23"/>
        <v>#DIV/0!</v>
      </c>
      <c r="U205" t="e">
        <v>#NUM!</v>
      </c>
    </row>
    <row r="206" spans="1:21" ht="13.9" x14ac:dyDescent="0.3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18"/>
        <v>3.1902987916265948</v>
      </c>
      <c r="I206" s="2">
        <f t="shared" si="19"/>
        <v>0.42607768116051031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 t="e">
        <f t="shared" si="20"/>
        <v>#DIV/0!</v>
      </c>
      <c r="Q206" s="2" t="e">
        <f t="shared" si="21"/>
        <v>#DIV/0!</v>
      </c>
      <c r="R206" s="2" t="e">
        <f t="shared" si="22"/>
        <v>#DIV/0!</v>
      </c>
      <c r="S206" t="e">
        <f t="shared" si="23"/>
        <v>#DIV/0!</v>
      </c>
      <c r="U206" t="e">
        <v>#NUM!</v>
      </c>
    </row>
    <row r="207" spans="1:21" ht="13.9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18"/>
        <v>#NUM!</v>
      </c>
      <c r="I207" s="2">
        <f t="shared" si="19"/>
        <v>0.11734271318907021</v>
      </c>
      <c r="J207" s="2">
        <v>0</v>
      </c>
      <c r="K207" s="2">
        <v>5.86</v>
      </c>
      <c r="L207" s="2">
        <v>0</v>
      </c>
      <c r="M207" s="2">
        <v>0.82</v>
      </c>
      <c r="N207" s="2">
        <v>0</v>
      </c>
      <c r="O207" s="2">
        <v>0</v>
      </c>
      <c r="P207" s="2">
        <f t="shared" si="20"/>
        <v>2.8372048498041647</v>
      </c>
      <c r="Q207" s="2">
        <f t="shared" si="21"/>
        <v>0.44233398639705429</v>
      </c>
      <c r="R207" s="2" t="e">
        <f t="shared" si="22"/>
        <v>#NUM!</v>
      </c>
      <c r="S207" t="e">
        <f t="shared" si="23"/>
        <v>#NUM!</v>
      </c>
      <c r="U207">
        <v>2.5509006646475232</v>
      </c>
    </row>
    <row r="208" spans="1:21" ht="13.9" x14ac:dyDescent="0.3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18"/>
        <v>4.5160356109082445</v>
      </c>
      <c r="I208" s="2">
        <f t="shared" si="19"/>
        <v>1.6085598078910877E-2</v>
      </c>
      <c r="J208" s="2">
        <v>8.08</v>
      </c>
      <c r="K208" s="2">
        <v>0</v>
      </c>
      <c r="L208" s="2">
        <v>0</v>
      </c>
      <c r="M208" s="2">
        <v>2.37</v>
      </c>
      <c r="N208" s="2">
        <v>0</v>
      </c>
      <c r="O208" s="2">
        <v>1.35</v>
      </c>
      <c r="P208" s="2">
        <f t="shared" si="20"/>
        <v>1.1190526716437634</v>
      </c>
      <c r="Q208" s="2">
        <f t="shared" si="21"/>
        <v>0.62867579207802282</v>
      </c>
      <c r="R208" s="2">
        <f t="shared" si="22"/>
        <v>-3.3969829392644808</v>
      </c>
      <c r="S208">
        <f t="shared" si="23"/>
        <v>0.24779536036889324</v>
      </c>
      <c r="U208">
        <v>3.0143552929770703</v>
      </c>
    </row>
    <row r="209" spans="1:21" ht="13.9" x14ac:dyDescent="0.3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18"/>
        <v>1.1798615778642259</v>
      </c>
      <c r="I209" s="2">
        <f t="shared" si="19"/>
        <v>5.2909551889095081E-2</v>
      </c>
      <c r="J209" s="2">
        <v>82.64</v>
      </c>
      <c r="K209" s="2">
        <v>139.80000000000001</v>
      </c>
      <c r="L209" s="2">
        <v>158.36000000000001</v>
      </c>
      <c r="M209" s="2">
        <v>47.53</v>
      </c>
      <c r="N209" s="2">
        <v>0</v>
      </c>
      <c r="O209" s="2">
        <v>49.67</v>
      </c>
      <c r="P209" s="2">
        <f t="shared" si="20"/>
        <v>1.9700052597021627</v>
      </c>
      <c r="Q209" s="2">
        <f t="shared" si="21"/>
        <v>2.777263054979728E-2</v>
      </c>
      <c r="R209" s="2">
        <f t="shared" si="22"/>
        <v>0.79014368183793682</v>
      </c>
      <c r="S209">
        <f t="shared" si="23"/>
        <v>1.6696918491644142</v>
      </c>
      <c r="U209">
        <v>8.5728896684205829</v>
      </c>
    </row>
    <row r="210" spans="1:21" ht="13.9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18"/>
        <v>#NUM!</v>
      </c>
      <c r="I210" s="2">
        <f t="shared" si="19"/>
        <v>0.1412552101777402</v>
      </c>
      <c r="J210" s="2">
        <v>0</v>
      </c>
      <c r="K210" s="2">
        <v>0</v>
      </c>
      <c r="L210" s="2">
        <v>0</v>
      </c>
      <c r="M210" s="2">
        <v>0.41</v>
      </c>
      <c r="N210" s="2">
        <v>0</v>
      </c>
      <c r="O210" s="2">
        <v>0</v>
      </c>
      <c r="P210" s="2" t="e">
        <f t="shared" si="20"/>
        <v>#NUM!</v>
      </c>
      <c r="Q210" s="2">
        <f t="shared" si="21"/>
        <v>0.37390096630005903</v>
      </c>
      <c r="R210" s="2" t="e">
        <f t="shared" si="22"/>
        <v>#NUM!</v>
      </c>
      <c r="S210" t="e">
        <f t="shared" si="23"/>
        <v>#NUM!</v>
      </c>
      <c r="U210" t="e">
        <v>#NUM!</v>
      </c>
    </row>
    <row r="211" spans="1:21" ht="13.9" x14ac:dyDescent="0.3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18"/>
        <v>2.4522072918693847</v>
      </c>
      <c r="I211" s="2">
        <f t="shared" si="19"/>
        <v>0.46648285853832483</v>
      </c>
      <c r="J211" s="2">
        <v>6.29</v>
      </c>
      <c r="K211" s="2">
        <v>0</v>
      </c>
      <c r="L211" s="2">
        <v>0</v>
      </c>
      <c r="M211" s="2">
        <v>1.75</v>
      </c>
      <c r="N211" s="2">
        <v>0</v>
      </c>
      <c r="O211" s="2">
        <v>2.44</v>
      </c>
      <c r="P211" s="2">
        <f t="shared" si="20"/>
        <v>0.58610977317993784</v>
      </c>
      <c r="Q211" s="2">
        <f t="shared" si="21"/>
        <v>0.76817349260998535</v>
      </c>
      <c r="R211" s="2">
        <f t="shared" si="22"/>
        <v>-1.8660975186894468</v>
      </c>
      <c r="S211">
        <f t="shared" si="23"/>
        <v>0.23901314343337196</v>
      </c>
      <c r="U211">
        <v>2.6530600171045644</v>
      </c>
    </row>
    <row r="212" spans="1:21" ht="13.9" x14ac:dyDescent="0.3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18"/>
        <v>2.3801427088326581</v>
      </c>
      <c r="I212" s="2">
        <f t="shared" si="19"/>
        <v>0.4661413798332511</v>
      </c>
      <c r="J212" s="2">
        <v>0</v>
      </c>
      <c r="K212" s="2">
        <v>1.05</v>
      </c>
      <c r="L212" s="2">
        <v>5.03</v>
      </c>
      <c r="M212" s="2">
        <v>0</v>
      </c>
      <c r="N212" s="2">
        <v>0</v>
      </c>
      <c r="O212" s="2">
        <v>1.22</v>
      </c>
      <c r="P212" s="2">
        <f t="shared" si="20"/>
        <v>2.3171901758806994</v>
      </c>
      <c r="Q212" s="2">
        <f t="shared" si="21"/>
        <v>0.36452756980615481</v>
      </c>
      <c r="R212" s="2">
        <f t="shared" si="22"/>
        <v>-6.2952532951958684E-2</v>
      </c>
      <c r="S212">
        <f t="shared" si="23"/>
        <v>0.97355094183288116</v>
      </c>
      <c r="U212">
        <v>2.6040713236688608</v>
      </c>
    </row>
    <row r="213" spans="1:21" ht="13.9" x14ac:dyDescent="0.3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18"/>
        <v>-0.18225913946907107</v>
      </c>
      <c r="I213" s="2">
        <f t="shared" si="19"/>
        <v>0.81551578041259076</v>
      </c>
      <c r="J213" s="2">
        <v>12.58</v>
      </c>
      <c r="K213" s="2">
        <v>15.49</v>
      </c>
      <c r="L213" s="2">
        <v>11.56</v>
      </c>
      <c r="M213" s="2">
        <v>4.32</v>
      </c>
      <c r="N213" s="2">
        <v>204.38</v>
      </c>
      <c r="O213" s="2">
        <v>15.56</v>
      </c>
      <c r="P213" s="2">
        <f t="shared" si="20"/>
        <v>-2.500507445518632</v>
      </c>
      <c r="Q213" s="2">
        <f t="shared" si="21"/>
        <v>0.39671807878106169</v>
      </c>
      <c r="R213" s="2">
        <f t="shared" si="22"/>
        <v>-2.3182483060495609</v>
      </c>
      <c r="S213">
        <f t="shared" si="23"/>
        <v>13.719517456313691</v>
      </c>
      <c r="U213">
        <v>5.3085210621932593</v>
      </c>
    </row>
    <row r="214" spans="1:21" ht="13.9" x14ac:dyDescent="0.3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18"/>
        <v>-1.833990048561071</v>
      </c>
      <c r="I214" s="2">
        <f t="shared" si="19"/>
        <v>0.15623956813518</v>
      </c>
      <c r="J214" s="2">
        <v>0</v>
      </c>
      <c r="K214" s="2">
        <v>0</v>
      </c>
      <c r="L214" s="2">
        <v>2.5099999999999998</v>
      </c>
      <c r="M214" s="2">
        <v>1.44</v>
      </c>
      <c r="N214" s="2">
        <v>0</v>
      </c>
      <c r="O214" s="2">
        <v>1.22</v>
      </c>
      <c r="P214" s="2">
        <f t="shared" si="20"/>
        <v>-8.373888155041774E-2</v>
      </c>
      <c r="Q214" s="2">
        <f t="shared" si="21"/>
        <v>0.96050729125789192</v>
      </c>
      <c r="R214" s="2">
        <f t="shared" si="22"/>
        <v>1.7502511670106533</v>
      </c>
      <c r="S214">
        <f t="shared" si="23"/>
        <v>4.5659397997343754E-2</v>
      </c>
      <c r="U214">
        <v>1.3276873641760472</v>
      </c>
    </row>
    <row r="215" spans="1:21" ht="13.9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18"/>
        <v>#NUM!</v>
      </c>
      <c r="I215" s="2">
        <f t="shared" si="19"/>
        <v>0.11721716888134213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 t="e">
        <f t="shared" si="20"/>
        <v>#DIV/0!</v>
      </c>
      <c r="Q215" s="2" t="e">
        <f t="shared" si="21"/>
        <v>#DIV/0!</v>
      </c>
      <c r="R215" s="2" t="e">
        <f t="shared" si="22"/>
        <v>#DIV/0!</v>
      </c>
      <c r="S215" t="e">
        <f t="shared" si="23"/>
        <v>#DIV/0!</v>
      </c>
      <c r="U215" t="e">
        <v>#NUM!</v>
      </c>
    </row>
    <row r="216" spans="1:21" ht="13.9" x14ac:dyDescent="0.3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18"/>
        <v>3.6633963761703696</v>
      </c>
      <c r="I216" s="2">
        <f t="shared" si="19"/>
        <v>0.41046064995689163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f t="shared" si="20"/>
        <v>#DIV/0!</v>
      </c>
      <c r="Q216" s="2" t="e">
        <f t="shared" si="21"/>
        <v>#DIV/0!</v>
      </c>
      <c r="R216" s="2" t="e">
        <f t="shared" si="22"/>
        <v>#DIV/0!</v>
      </c>
      <c r="S216" t="e">
        <f t="shared" si="23"/>
        <v>#DIV/0!</v>
      </c>
      <c r="U216" t="e">
        <v>#NUM!</v>
      </c>
    </row>
    <row r="217" spans="1:21" ht="13.9" x14ac:dyDescent="0.3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18"/>
        <v>0.38900937842704214</v>
      </c>
      <c r="I217" s="2">
        <f t="shared" si="19"/>
        <v>0.58079117019477577</v>
      </c>
      <c r="J217" s="2">
        <v>0</v>
      </c>
      <c r="K217" s="2">
        <v>35.159999999999997</v>
      </c>
      <c r="L217" s="2">
        <v>20.11</v>
      </c>
      <c r="M217" s="2">
        <v>11.83</v>
      </c>
      <c r="N217" s="2">
        <v>0</v>
      </c>
      <c r="O217" s="2">
        <v>9.4700000000000006</v>
      </c>
      <c r="P217" s="2">
        <f t="shared" si="20"/>
        <v>1.3756431821009603</v>
      </c>
      <c r="Q217" s="2">
        <f t="shared" si="21"/>
        <v>0.35388545065804283</v>
      </c>
      <c r="R217" s="2">
        <f t="shared" si="22"/>
        <v>0.98663380367391817</v>
      </c>
      <c r="S217">
        <f t="shared" si="23"/>
        <v>3.5362725383726428</v>
      </c>
      <c r="U217">
        <v>5.7884247074394359</v>
      </c>
    </row>
    <row r="218" spans="1:21" ht="13.9" x14ac:dyDescent="0.3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18"/>
        <v>-4.5149714523230653</v>
      </c>
      <c r="I218" s="2">
        <f t="shared" si="19"/>
        <v>1.5671726935449184E-2</v>
      </c>
      <c r="J218" s="2">
        <v>0</v>
      </c>
      <c r="K218" s="2">
        <v>9.6300000000000008</v>
      </c>
      <c r="L218" s="2">
        <v>32.68</v>
      </c>
      <c r="M218" s="2">
        <v>13.58</v>
      </c>
      <c r="N218" s="2">
        <v>40.880000000000003</v>
      </c>
      <c r="O218" s="2">
        <v>16.38</v>
      </c>
      <c r="P218" s="2">
        <f t="shared" si="20"/>
        <v>-0.74356552639556384</v>
      </c>
      <c r="Q218" s="2">
        <f t="shared" si="21"/>
        <v>0.50522379537014861</v>
      </c>
      <c r="R218" s="2">
        <f t="shared" si="22"/>
        <v>3.7714059259275015</v>
      </c>
      <c r="S218">
        <f t="shared" si="23"/>
        <v>0.16468886553268922</v>
      </c>
      <c r="U218">
        <v>5.4029267805816259</v>
      </c>
    </row>
    <row r="219" spans="1:21" ht="13.9" x14ac:dyDescent="0.3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18"/>
        <v>-0.44366472722504741</v>
      </c>
      <c r="I219" s="2">
        <f t="shared" si="19"/>
        <v>1.3203432106720647E-2</v>
      </c>
      <c r="J219" s="2">
        <v>33394.21</v>
      </c>
      <c r="K219" s="2">
        <v>43786.82</v>
      </c>
      <c r="L219" s="2">
        <v>41758.75</v>
      </c>
      <c r="M219" s="2">
        <v>45426.25</v>
      </c>
      <c r="N219" s="2">
        <v>26406.15</v>
      </c>
      <c r="O219" s="2">
        <v>36749.1</v>
      </c>
      <c r="P219" s="2">
        <f t="shared" si="20"/>
        <v>0.13145299307183844</v>
      </c>
      <c r="Q219" s="2">
        <f t="shared" si="21"/>
        <v>0.61557978358426801</v>
      </c>
      <c r="R219" s="2">
        <f t="shared" si="22"/>
        <v>0.57511772029688579</v>
      </c>
      <c r="S219">
        <f t="shared" si="23"/>
        <v>-0.29628903314903232</v>
      </c>
      <c r="U219">
        <v>16.859871786748329</v>
      </c>
    </row>
    <row r="220" spans="1:21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18"/>
        <v>#DIV/0!</v>
      </c>
      <c r="I220" s="2" t="e">
        <f t="shared" si="19"/>
        <v>#DIV/0!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 t="e">
        <f t="shared" si="20"/>
        <v>#DIV/0!</v>
      </c>
      <c r="Q220" s="2" t="e">
        <f t="shared" si="21"/>
        <v>#DIV/0!</v>
      </c>
      <c r="R220" s="2" t="e">
        <f t="shared" si="22"/>
        <v>#DIV/0!</v>
      </c>
      <c r="S220" t="e">
        <f t="shared" si="23"/>
        <v>#DIV/0!</v>
      </c>
      <c r="U220" t="e">
        <v>#NUM!</v>
      </c>
    </row>
    <row r="221" spans="1:21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18"/>
        <v>#DIV/0!</v>
      </c>
      <c r="I221" s="2" t="e">
        <f t="shared" si="19"/>
        <v>#DIV/0!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 t="e">
        <f t="shared" si="20"/>
        <v>#DIV/0!</v>
      </c>
      <c r="Q221" s="2" t="e">
        <f t="shared" si="21"/>
        <v>#DIV/0!</v>
      </c>
      <c r="R221" s="2" t="e">
        <f t="shared" si="22"/>
        <v>#DIV/0!</v>
      </c>
      <c r="S221" t="e">
        <f t="shared" si="23"/>
        <v>#DIV/0!</v>
      </c>
      <c r="U221" t="e">
        <v>#NUM!</v>
      </c>
    </row>
    <row r="222" spans="1:21" ht="13.9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18"/>
        <v>#DIV/0!</v>
      </c>
      <c r="I222" s="2" t="e">
        <f t="shared" si="19"/>
        <v>#DIV/0!</v>
      </c>
      <c r="J222" s="2">
        <v>0</v>
      </c>
      <c r="K222" s="2">
        <v>0.21</v>
      </c>
      <c r="L222" s="2">
        <v>0</v>
      </c>
      <c r="M222" s="2">
        <v>0</v>
      </c>
      <c r="N222" s="2">
        <v>0</v>
      </c>
      <c r="O222" s="2">
        <v>0</v>
      </c>
      <c r="P222" s="2" t="e">
        <f t="shared" si="20"/>
        <v>#DIV/0!</v>
      </c>
      <c r="Q222" s="2">
        <f t="shared" si="21"/>
        <v>0.37390096630005903</v>
      </c>
      <c r="R222" s="2" t="e">
        <f t="shared" si="22"/>
        <v>#DIV/0!</v>
      </c>
      <c r="S222" t="e">
        <f t="shared" si="23"/>
        <v>#DIV/0!</v>
      </c>
      <c r="U222">
        <v>-2.2515387669959646</v>
      </c>
    </row>
    <row r="223" spans="1:21" ht="13.9" x14ac:dyDescent="0.3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18"/>
        <v>#NUM!</v>
      </c>
      <c r="I223" s="2">
        <f t="shared" si="19"/>
        <v>8.7426726265654973E-3</v>
      </c>
      <c r="J223" s="2">
        <v>9.34</v>
      </c>
      <c r="K223" s="2">
        <v>0</v>
      </c>
      <c r="L223" s="2">
        <v>0</v>
      </c>
      <c r="M223" s="2">
        <v>12.14</v>
      </c>
      <c r="N223" s="2">
        <v>0</v>
      </c>
      <c r="O223" s="2">
        <v>9.1999999999999993</v>
      </c>
      <c r="P223" s="2">
        <f t="shared" si="20"/>
        <v>-1.1920657211147629</v>
      </c>
      <c r="Q223" s="2">
        <f t="shared" si="21"/>
        <v>0.45173395715383763</v>
      </c>
      <c r="R223" s="2" t="e">
        <f t="shared" si="22"/>
        <v>#NUM!</v>
      </c>
      <c r="S223" t="e">
        <f t="shared" si="23"/>
        <v>#NUM!</v>
      </c>
      <c r="U223">
        <v>3.2234225499349369</v>
      </c>
    </row>
    <row r="224" spans="1:21" ht="13.9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18"/>
        <v>#NUM!</v>
      </c>
      <c r="I224" s="2">
        <f t="shared" si="19"/>
        <v>0.37390096630005903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 t="e">
        <f t="shared" si="20"/>
        <v>#DIV/0!</v>
      </c>
      <c r="Q224" s="2" t="e">
        <f t="shared" si="21"/>
        <v>#DIV/0!</v>
      </c>
      <c r="R224" s="2" t="e">
        <f t="shared" si="22"/>
        <v>#DIV/0!</v>
      </c>
      <c r="S224" t="e">
        <f t="shared" si="23"/>
        <v>#DIV/0!</v>
      </c>
      <c r="U224" t="e">
        <v>#NUM!</v>
      </c>
    </row>
    <row r="225" spans="1:21" ht="13.9" x14ac:dyDescent="0.3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18"/>
        <v>#NUM!</v>
      </c>
      <c r="I225" s="2">
        <f t="shared" si="19"/>
        <v>0.11617519568016452</v>
      </c>
      <c r="J225" s="2">
        <v>0</v>
      </c>
      <c r="K225" s="2">
        <v>0</v>
      </c>
      <c r="L225" s="2">
        <v>0</v>
      </c>
      <c r="M225" s="2">
        <v>0.93</v>
      </c>
      <c r="N225" s="2">
        <v>0</v>
      </c>
      <c r="O225" s="2">
        <v>1.49</v>
      </c>
      <c r="P225" s="2" t="e">
        <f t="shared" si="20"/>
        <v>#NUM!</v>
      </c>
      <c r="Q225" s="2">
        <f t="shared" si="21"/>
        <v>0.13696427071498948</v>
      </c>
      <c r="R225" s="2" t="e">
        <f t="shared" si="22"/>
        <v>#NUM!</v>
      </c>
      <c r="S225" t="e">
        <f t="shared" si="23"/>
        <v>#NUM!</v>
      </c>
      <c r="U225" t="e">
        <v>#NUM!</v>
      </c>
    </row>
    <row r="226" spans="1:21" ht="13.9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18"/>
        <v>#NUM!</v>
      </c>
      <c r="I226" s="2">
        <f t="shared" si="19"/>
        <v>0.37390096630005903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0.14000000000000001</v>
      </c>
      <c r="P226" s="2" t="e">
        <f t="shared" si="20"/>
        <v>#NUM!</v>
      </c>
      <c r="Q226" s="2">
        <f t="shared" si="21"/>
        <v>0.37390096630005903</v>
      </c>
      <c r="R226" s="2" t="e">
        <f t="shared" si="22"/>
        <v>#NUM!</v>
      </c>
      <c r="S226" t="e">
        <f t="shared" si="23"/>
        <v>#NUM!</v>
      </c>
      <c r="U226" t="e">
        <v>#NUM!</v>
      </c>
    </row>
    <row r="227" spans="1:21" ht="13.9" x14ac:dyDescent="0.3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18"/>
        <v>#NUM!</v>
      </c>
      <c r="I227" s="2">
        <f t="shared" si="19"/>
        <v>0.37390096630005903</v>
      </c>
      <c r="J227" s="2">
        <v>0</v>
      </c>
      <c r="K227" s="2">
        <v>0</v>
      </c>
      <c r="L227" s="2">
        <v>0</v>
      </c>
      <c r="M227" s="2">
        <v>1.75</v>
      </c>
      <c r="N227" s="2">
        <v>0</v>
      </c>
      <c r="O227" s="2">
        <v>0.54</v>
      </c>
      <c r="P227" s="2" t="e">
        <f t="shared" si="20"/>
        <v>#NUM!</v>
      </c>
      <c r="Q227" s="2">
        <f t="shared" si="21"/>
        <v>0.2141371439716821</v>
      </c>
      <c r="R227" s="2" t="e">
        <f t="shared" si="22"/>
        <v>#NUM!</v>
      </c>
      <c r="S227" t="e">
        <f t="shared" si="23"/>
        <v>#NUM!</v>
      </c>
      <c r="U227" t="e">
        <v>#NUM!</v>
      </c>
    </row>
    <row r="228" spans="1:21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18"/>
        <v>#DIV/0!</v>
      </c>
      <c r="I228" s="2" t="e">
        <f t="shared" si="19"/>
        <v>#DIV/0!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 t="e">
        <f t="shared" si="20"/>
        <v>#DIV/0!</v>
      </c>
      <c r="Q228" s="2" t="e">
        <f t="shared" si="21"/>
        <v>#DIV/0!</v>
      </c>
      <c r="R228" s="2" t="e">
        <f t="shared" si="22"/>
        <v>#DIV/0!</v>
      </c>
      <c r="S228" t="e">
        <f t="shared" si="23"/>
        <v>#DIV/0!</v>
      </c>
      <c r="U228" t="e">
        <v>#NUM!</v>
      </c>
    </row>
    <row r="229" spans="1:21" ht="13.9" x14ac:dyDescent="0.3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18"/>
        <v>1.8555004907079764</v>
      </c>
      <c r="I229" s="2">
        <f t="shared" si="19"/>
        <v>9.5252105945783684E-3</v>
      </c>
      <c r="J229" s="2">
        <v>1913.49</v>
      </c>
      <c r="K229" s="2">
        <v>3335.52</v>
      </c>
      <c r="L229" s="2">
        <v>7819.15</v>
      </c>
      <c r="M229" s="2">
        <v>655.1</v>
      </c>
      <c r="N229" s="2">
        <v>2329.9499999999998</v>
      </c>
      <c r="O229" s="2">
        <v>1980.82</v>
      </c>
      <c r="P229" s="2">
        <f t="shared" si="20"/>
        <v>1.3959376243844432</v>
      </c>
      <c r="Q229" s="2">
        <f t="shared" si="21"/>
        <v>0.21835130986515772</v>
      </c>
      <c r="R229" s="2">
        <f t="shared" si="22"/>
        <v>-0.45956286632353316</v>
      </c>
      <c r="S229">
        <f t="shared" si="23"/>
        <v>0.75232403945730864</v>
      </c>
      <c r="U229">
        <v>13.673768403181057</v>
      </c>
    </row>
    <row r="230" spans="1:21" ht="13.9" x14ac:dyDescent="0.3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18"/>
        <v>-0.76818577009353062</v>
      </c>
      <c r="I230" s="2">
        <f t="shared" si="19"/>
        <v>9.0737076656837293E-2</v>
      </c>
      <c r="J230" s="2">
        <v>207.86</v>
      </c>
      <c r="K230" s="2">
        <v>277.72000000000003</v>
      </c>
      <c r="L230" s="2">
        <v>179.48</v>
      </c>
      <c r="M230" s="2">
        <v>309.49</v>
      </c>
      <c r="N230" s="2">
        <v>3147.48</v>
      </c>
      <c r="O230" s="2">
        <v>283.82</v>
      </c>
      <c r="P230" s="2">
        <f t="shared" si="20"/>
        <v>-2.4917865705004396</v>
      </c>
      <c r="Q230" s="2">
        <f t="shared" si="21"/>
        <v>0.34156633694078486</v>
      </c>
      <c r="R230" s="2">
        <f t="shared" si="22"/>
        <v>-1.723600800406909</v>
      </c>
      <c r="S230">
        <f t="shared" si="23"/>
        <v>3.2437291440546363</v>
      </c>
      <c r="U230">
        <v>9.3773406924902805</v>
      </c>
    </row>
    <row r="231" spans="1:21" ht="13.9" x14ac:dyDescent="0.3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18"/>
        <v>3.8026773706962343E-2</v>
      </c>
      <c r="I231" s="2">
        <f t="shared" si="19"/>
        <v>0.81216620131704387</v>
      </c>
      <c r="J231" s="2">
        <v>123.06</v>
      </c>
      <c r="K231" s="2">
        <v>153.82</v>
      </c>
      <c r="L231" s="2">
        <v>137.25</v>
      </c>
      <c r="M231" s="2">
        <v>61.22</v>
      </c>
      <c r="N231" s="2">
        <v>613.15</v>
      </c>
      <c r="O231" s="2">
        <v>70.92</v>
      </c>
      <c r="P231" s="2">
        <f t="shared" si="20"/>
        <v>-0.84771818549520439</v>
      </c>
      <c r="Q231" s="2">
        <f t="shared" si="21"/>
        <v>0.57810404547919103</v>
      </c>
      <c r="R231" s="2">
        <f t="shared" si="22"/>
        <v>-0.88574495920216678</v>
      </c>
      <c r="S231">
        <f t="shared" si="23"/>
        <v>-22.292666530897286</v>
      </c>
      <c r="U231">
        <v>8.693939906569776</v>
      </c>
    </row>
    <row r="232" spans="1:21" ht="13.9" x14ac:dyDescent="0.3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18"/>
        <v>-1.3447588032682478</v>
      </c>
      <c r="I232" s="2">
        <f t="shared" si="19"/>
        <v>8.701923900004839E-2</v>
      </c>
      <c r="J232" s="2">
        <v>2.87</v>
      </c>
      <c r="K232" s="2">
        <v>2.09</v>
      </c>
      <c r="L232" s="2">
        <v>10.56</v>
      </c>
      <c r="M232" s="2">
        <v>12.04</v>
      </c>
      <c r="N232" s="2">
        <v>0</v>
      </c>
      <c r="O232" s="2">
        <v>8.39</v>
      </c>
      <c r="P232" s="2">
        <f t="shared" si="20"/>
        <v>-0.39656064654609979</v>
      </c>
      <c r="Q232" s="2">
        <f t="shared" si="21"/>
        <v>0.73297814905070036</v>
      </c>
      <c r="R232" s="2">
        <f t="shared" si="22"/>
        <v>0.94819815672214802</v>
      </c>
      <c r="S232">
        <f t="shared" si="23"/>
        <v>0.29489351219141657</v>
      </c>
      <c r="U232">
        <v>3.956056652412403</v>
      </c>
    </row>
    <row r="233" spans="1:21" ht="13.9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18"/>
        <v>#NUM!</v>
      </c>
      <c r="I233" s="2">
        <f t="shared" si="19"/>
        <v>0.37390096630005903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 t="e">
        <f t="shared" si="20"/>
        <v>#DIV/0!</v>
      </c>
      <c r="Q233" s="2" t="e">
        <f t="shared" si="21"/>
        <v>#DIV/0!</v>
      </c>
      <c r="R233" s="2" t="e">
        <f t="shared" si="22"/>
        <v>#DIV/0!</v>
      </c>
      <c r="S233" t="e">
        <f t="shared" si="23"/>
        <v>#DIV/0!</v>
      </c>
      <c r="U233" t="e">
        <v>#NUM!</v>
      </c>
    </row>
    <row r="234" spans="1:21" ht="13.9" x14ac:dyDescent="0.3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18"/>
        <v>#DIV/0!</v>
      </c>
      <c r="I234" s="2">
        <f t="shared" si="19"/>
        <v>0.37390096630005903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 t="e">
        <f t="shared" si="20"/>
        <v>#DIV/0!</v>
      </c>
      <c r="Q234" s="2" t="e">
        <f t="shared" si="21"/>
        <v>#DIV/0!</v>
      </c>
      <c r="R234" s="2" t="e">
        <f t="shared" si="22"/>
        <v>#DIV/0!</v>
      </c>
      <c r="S234" t="e">
        <f t="shared" si="23"/>
        <v>#DIV/0!</v>
      </c>
      <c r="U234" t="e">
        <v>#NUM!</v>
      </c>
    </row>
    <row r="235" spans="1:21" ht="13.9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18"/>
        <v>#DIV/0!</v>
      </c>
      <c r="I235" s="2" t="e">
        <f t="shared" si="19"/>
        <v>#DIV/0!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 t="e">
        <f t="shared" si="20"/>
        <v>#DIV/0!</v>
      </c>
      <c r="Q235" s="2" t="e">
        <f t="shared" si="21"/>
        <v>#DIV/0!</v>
      </c>
      <c r="R235" s="2" t="e">
        <f t="shared" si="22"/>
        <v>#DIV/0!</v>
      </c>
      <c r="S235" t="e">
        <f t="shared" si="23"/>
        <v>#DIV/0!</v>
      </c>
      <c r="U235" t="e">
        <v>#NUM!</v>
      </c>
    </row>
    <row r="236" spans="1:21" ht="13.9" x14ac:dyDescent="0.3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18"/>
        <v>3.283970872236976</v>
      </c>
      <c r="I236" s="2">
        <f t="shared" si="19"/>
        <v>0.42108570010183399</v>
      </c>
      <c r="J236" s="2">
        <v>10.42</v>
      </c>
      <c r="K236" s="2">
        <v>0</v>
      </c>
      <c r="L236" s="2">
        <v>0</v>
      </c>
      <c r="M236" s="2">
        <v>1.44</v>
      </c>
      <c r="N236" s="2">
        <v>0</v>
      </c>
      <c r="O236" s="2">
        <v>0.95</v>
      </c>
      <c r="P236" s="2">
        <f t="shared" si="20"/>
        <v>2.1242727542977602</v>
      </c>
      <c r="Q236" s="2">
        <f t="shared" si="21"/>
        <v>0.48691869150981276</v>
      </c>
      <c r="R236" s="2">
        <f t="shared" si="22"/>
        <v>-1.1596981179392158</v>
      </c>
      <c r="S236">
        <f t="shared" si="23"/>
        <v>0.64686102189778183</v>
      </c>
      <c r="U236">
        <v>3.3812833725037836</v>
      </c>
    </row>
    <row r="237" spans="1:21" ht="13.9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18"/>
        <v>#NUM!</v>
      </c>
      <c r="I237" s="2">
        <f t="shared" si="19"/>
        <v>0.37390096630005903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 t="e">
        <f t="shared" si="20"/>
        <v>#DIV/0!</v>
      </c>
      <c r="Q237" s="2" t="e">
        <f t="shared" si="21"/>
        <v>#DIV/0!</v>
      </c>
      <c r="R237" s="2" t="e">
        <f t="shared" si="22"/>
        <v>#DIV/0!</v>
      </c>
      <c r="S237" t="e">
        <f t="shared" si="23"/>
        <v>#DIV/0!</v>
      </c>
      <c r="U237" t="e">
        <v>#NUM!</v>
      </c>
    </row>
    <row r="238" spans="1:21" ht="13.9" x14ac:dyDescent="0.3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18"/>
        <v>0.42429630990923645</v>
      </c>
      <c r="I238" s="2">
        <f t="shared" si="19"/>
        <v>0.54988811403259263</v>
      </c>
      <c r="J238" s="2">
        <v>0.36</v>
      </c>
      <c r="K238" s="2">
        <v>18</v>
      </c>
      <c r="L238" s="2">
        <v>17.09</v>
      </c>
      <c r="M238" s="2">
        <v>9.0500000000000007</v>
      </c>
      <c r="N238" s="2">
        <v>408.76</v>
      </c>
      <c r="O238" s="2">
        <v>46.69</v>
      </c>
      <c r="P238" s="2">
        <f t="shared" si="20"/>
        <v>-3.7118210640304992</v>
      </c>
      <c r="Q238" s="2">
        <f t="shared" si="21"/>
        <v>0.32496181376593569</v>
      </c>
      <c r="R238" s="2">
        <f t="shared" si="22"/>
        <v>-4.1361173739397357</v>
      </c>
      <c r="S238">
        <f t="shared" si="23"/>
        <v>-8.7481813471922845</v>
      </c>
      <c r="U238">
        <v>5.1477137223521536</v>
      </c>
    </row>
    <row r="239" spans="1:21" ht="13.9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18"/>
        <v>#NUM!</v>
      </c>
      <c r="I239" s="2">
        <f t="shared" si="19"/>
        <v>0.37390096630005903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 t="e">
        <f t="shared" si="20"/>
        <v>#DIV/0!</v>
      </c>
      <c r="Q239" s="2" t="e">
        <f t="shared" si="21"/>
        <v>#DIV/0!</v>
      </c>
      <c r="R239" s="2" t="e">
        <f t="shared" si="22"/>
        <v>#DIV/0!</v>
      </c>
      <c r="S239" t="e">
        <f t="shared" si="23"/>
        <v>#DIV/0!</v>
      </c>
      <c r="U239" t="e">
        <v>#NUM!</v>
      </c>
    </row>
    <row r="240" spans="1:21" ht="13.9" x14ac:dyDescent="0.3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18"/>
        <v>1.753049317501282</v>
      </c>
      <c r="I240" s="2">
        <f t="shared" si="19"/>
        <v>0.39754656876458688</v>
      </c>
      <c r="J240" s="2">
        <v>0</v>
      </c>
      <c r="K240" s="2">
        <v>0</v>
      </c>
      <c r="L240" s="2">
        <v>0</v>
      </c>
      <c r="M240" s="2">
        <v>0.93</v>
      </c>
      <c r="N240" s="2">
        <v>0</v>
      </c>
      <c r="O240" s="2">
        <v>6.9</v>
      </c>
      <c r="P240" s="2" t="e">
        <f t="shared" si="20"/>
        <v>#NUM!</v>
      </c>
      <c r="Q240" s="2">
        <f t="shared" si="21"/>
        <v>0.29380149775312842</v>
      </c>
      <c r="R240" s="2" t="e">
        <f t="shared" si="22"/>
        <v>#NUM!</v>
      </c>
      <c r="S240" t="e">
        <f t="shared" si="23"/>
        <v>#NUM!</v>
      </c>
      <c r="U240" t="e">
        <v>#NUM!</v>
      </c>
    </row>
    <row r="241" spans="1:21" ht="13.9" x14ac:dyDescent="0.3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18"/>
        <v>#NUM!</v>
      </c>
      <c r="I241" s="2">
        <f t="shared" si="19"/>
        <v>1.1122606076481775E-3</v>
      </c>
      <c r="J241" s="2">
        <v>4.3099999999999996</v>
      </c>
      <c r="K241" s="2">
        <v>5.65</v>
      </c>
      <c r="L241" s="2">
        <v>0</v>
      </c>
      <c r="M241" s="2">
        <v>4.84</v>
      </c>
      <c r="N241" s="2">
        <v>0</v>
      </c>
      <c r="O241" s="2">
        <v>6.63</v>
      </c>
      <c r="P241" s="2">
        <f t="shared" si="20"/>
        <v>-0.20364774394774374</v>
      </c>
      <c r="Q241" s="2">
        <f t="shared" si="21"/>
        <v>0.85662511692521759</v>
      </c>
      <c r="R241" s="2" t="e">
        <f t="shared" si="22"/>
        <v>#NUM!</v>
      </c>
      <c r="S241" t="e">
        <f t="shared" si="23"/>
        <v>#NUM!</v>
      </c>
      <c r="U241">
        <v>3.3161457422933562</v>
      </c>
    </row>
    <row r="242" spans="1:21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18"/>
        <v>#DIV/0!</v>
      </c>
      <c r="I242" s="2" t="e">
        <f t="shared" si="19"/>
        <v>#DIV/0!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 t="e">
        <f t="shared" si="20"/>
        <v>#DIV/0!</v>
      </c>
      <c r="Q242" s="2" t="e">
        <f t="shared" si="21"/>
        <v>#DIV/0!</v>
      </c>
      <c r="R242" s="2" t="e">
        <f t="shared" si="22"/>
        <v>#DIV/0!</v>
      </c>
      <c r="S242" t="e">
        <f t="shared" si="23"/>
        <v>#DIV/0!</v>
      </c>
      <c r="U242" t="e">
        <v>#NUM!</v>
      </c>
    </row>
    <row r="243" spans="1:21" ht="13.9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18"/>
        <v>#DIV/0!</v>
      </c>
      <c r="I243" s="2" t="e">
        <f t="shared" si="19"/>
        <v>#DIV/0!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 t="e">
        <f t="shared" si="20"/>
        <v>#DIV/0!</v>
      </c>
      <c r="Q243" s="2" t="e">
        <f t="shared" si="21"/>
        <v>#DIV/0!</v>
      </c>
      <c r="R243" s="2" t="e">
        <f t="shared" si="22"/>
        <v>#DIV/0!</v>
      </c>
      <c r="S243" t="e">
        <f t="shared" si="23"/>
        <v>#DIV/0!</v>
      </c>
      <c r="U243" t="e">
        <v>#NUM!</v>
      </c>
    </row>
    <row r="244" spans="1:21" ht="13.9" x14ac:dyDescent="0.3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18"/>
        <v>#NUM!</v>
      </c>
      <c r="I244" s="2">
        <f t="shared" si="19"/>
        <v>5.5558572717991181E-2</v>
      </c>
      <c r="J244" s="2">
        <v>0</v>
      </c>
      <c r="K244" s="2">
        <v>2.72</v>
      </c>
      <c r="L244" s="2">
        <v>0</v>
      </c>
      <c r="M244" s="2">
        <v>0.72</v>
      </c>
      <c r="N244" s="2">
        <v>40.880000000000003</v>
      </c>
      <c r="O244" s="2">
        <v>4.47</v>
      </c>
      <c r="P244" s="2">
        <f t="shared" si="20"/>
        <v>-4.0821490413538717</v>
      </c>
      <c r="Q244" s="2">
        <f t="shared" si="21"/>
        <v>0.32336505986288888</v>
      </c>
      <c r="R244" s="2" t="e">
        <f t="shared" si="22"/>
        <v>#NUM!</v>
      </c>
      <c r="S244" t="e">
        <f t="shared" si="23"/>
        <v>#NUM!</v>
      </c>
      <c r="U244">
        <v>1.4436066514756147</v>
      </c>
    </row>
    <row r="245" spans="1:21" ht="13.9" x14ac:dyDescent="0.3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18"/>
        <v>0.56372791527287036</v>
      </c>
      <c r="I245" s="2">
        <f t="shared" si="19"/>
        <v>9.8157963174418369E-2</v>
      </c>
      <c r="J245" s="2">
        <v>872.4</v>
      </c>
      <c r="K245" s="2">
        <v>1009.36</v>
      </c>
      <c r="L245" s="2">
        <v>1280.48</v>
      </c>
      <c r="M245" s="2">
        <v>496.34</v>
      </c>
      <c r="N245" s="2">
        <v>1471.55</v>
      </c>
      <c r="O245" s="2">
        <v>568.33000000000004</v>
      </c>
      <c r="P245" s="2">
        <f t="shared" si="20"/>
        <v>0.31826697102914042</v>
      </c>
      <c r="Q245" s="2">
        <f t="shared" si="21"/>
        <v>0.56808578666005038</v>
      </c>
      <c r="R245" s="2">
        <f t="shared" si="22"/>
        <v>-0.24546094424372994</v>
      </c>
      <c r="S245">
        <f t="shared" si="23"/>
        <v>0.5645755024834711</v>
      </c>
      <c r="U245">
        <v>11.626731150672788</v>
      </c>
    </row>
    <row r="246" spans="1:21" ht="13.9" x14ac:dyDescent="0.3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18"/>
        <v>-2.6361197458039607</v>
      </c>
      <c r="I246" s="2">
        <f t="shared" si="19"/>
        <v>3.8369023197986227E-2</v>
      </c>
      <c r="J246" s="2">
        <v>1.08</v>
      </c>
      <c r="K246" s="2">
        <v>19.670000000000002</v>
      </c>
      <c r="L246" s="2">
        <v>2.5099999999999998</v>
      </c>
      <c r="M246" s="2">
        <v>36.11</v>
      </c>
      <c r="N246" s="2">
        <v>0</v>
      </c>
      <c r="O246" s="2">
        <v>33.700000000000003</v>
      </c>
      <c r="P246" s="2">
        <f t="shared" si="20"/>
        <v>-1.5855826146532865</v>
      </c>
      <c r="Q246" s="2">
        <f t="shared" si="21"/>
        <v>0.30169631617702136</v>
      </c>
      <c r="R246" s="2">
        <f t="shared" si="22"/>
        <v>1.0505371311506742</v>
      </c>
      <c r="S246">
        <f t="shared" si="23"/>
        <v>0.60148353168596957</v>
      </c>
      <c r="U246">
        <v>4.5397791916984938</v>
      </c>
    </row>
    <row r="247" spans="1:21" ht="13.9" x14ac:dyDescent="0.3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18"/>
        <v>1.5153452868652542</v>
      </c>
      <c r="I247" s="2">
        <f t="shared" si="19"/>
        <v>0.44811522562961581</v>
      </c>
      <c r="J247" s="2">
        <v>3.95</v>
      </c>
      <c r="K247" s="2">
        <v>3.14</v>
      </c>
      <c r="L247" s="2">
        <v>6.03</v>
      </c>
      <c r="M247" s="2">
        <v>1.23</v>
      </c>
      <c r="N247" s="2">
        <v>0</v>
      </c>
      <c r="O247" s="2">
        <v>6.09</v>
      </c>
      <c r="P247" s="2">
        <f t="shared" si="20"/>
        <v>0.84185216633404125</v>
      </c>
      <c r="Q247" s="2">
        <f t="shared" si="21"/>
        <v>0.39877999371988826</v>
      </c>
      <c r="R247" s="2">
        <f t="shared" si="22"/>
        <v>-0.67349312053121291</v>
      </c>
      <c r="S247">
        <f t="shared" si="23"/>
        <v>0.5555513806860175</v>
      </c>
      <c r="U247">
        <v>3.7136958148433594</v>
      </c>
    </row>
    <row r="248" spans="1:21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18"/>
        <v>#DIV/0!</v>
      </c>
      <c r="I248" s="2" t="e">
        <f t="shared" si="19"/>
        <v>#DIV/0!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0.27</v>
      </c>
      <c r="P248" s="2" t="e">
        <f t="shared" si="20"/>
        <v>#NUM!</v>
      </c>
      <c r="Q248" s="2">
        <f t="shared" si="21"/>
        <v>0.37390096630005903</v>
      </c>
      <c r="R248" s="2" t="e">
        <f t="shared" si="22"/>
        <v>#NUM!</v>
      </c>
      <c r="S248" t="e">
        <f t="shared" si="23"/>
        <v>#NUM!</v>
      </c>
      <c r="U248" t="e">
        <v>#NUM!</v>
      </c>
    </row>
    <row r="249" spans="1:21" ht="13.9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18"/>
        <v>#NUM!</v>
      </c>
      <c r="I249" s="2">
        <f t="shared" si="19"/>
        <v>0.37390096630005903</v>
      </c>
      <c r="J249" s="2">
        <v>0</v>
      </c>
      <c r="K249" s="2">
        <v>0</v>
      </c>
      <c r="L249" s="2">
        <v>0</v>
      </c>
      <c r="M249" s="2">
        <v>0.72</v>
      </c>
      <c r="N249" s="2">
        <v>0</v>
      </c>
      <c r="O249" s="2">
        <v>0</v>
      </c>
      <c r="P249" s="2" t="e">
        <f t="shared" si="20"/>
        <v>#NUM!</v>
      </c>
      <c r="Q249" s="2">
        <f t="shared" si="21"/>
        <v>0.37390096630005903</v>
      </c>
      <c r="R249" s="2" t="e">
        <f t="shared" si="22"/>
        <v>#NUM!</v>
      </c>
      <c r="S249" t="e">
        <f t="shared" si="23"/>
        <v>#NUM!</v>
      </c>
      <c r="U249" t="e">
        <v>#NUM!</v>
      </c>
    </row>
    <row r="250" spans="1:21" ht="13.9" x14ac:dyDescent="0.3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18"/>
        <v>-1.386928514642237</v>
      </c>
      <c r="I250" s="2">
        <f t="shared" si="19"/>
        <v>2.161233626520855E-3</v>
      </c>
      <c r="J250" s="2">
        <v>5927.14</v>
      </c>
      <c r="K250" s="2">
        <v>11937.81</v>
      </c>
      <c r="L250" s="2">
        <v>13177.37</v>
      </c>
      <c r="M250" s="2">
        <v>16512.330000000002</v>
      </c>
      <c r="N250" s="2">
        <v>10750.49</v>
      </c>
      <c r="O250" s="2">
        <v>22292.87</v>
      </c>
      <c r="P250" s="2">
        <f t="shared" si="20"/>
        <v>-0.67481433382848743</v>
      </c>
      <c r="Q250" s="2">
        <f t="shared" si="21"/>
        <v>0.1990439731133283</v>
      </c>
      <c r="R250" s="2">
        <f t="shared" si="22"/>
        <v>0.71211418081374955</v>
      </c>
      <c r="S250">
        <f t="shared" si="23"/>
        <v>0.48655307516159774</v>
      </c>
      <c r="U250">
        <v>14.921948763344398</v>
      </c>
    </row>
    <row r="251" spans="1:21" ht="13.9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18"/>
        <v>#NUM!</v>
      </c>
      <c r="I251" s="2">
        <f t="shared" si="19"/>
        <v>0.37390096630005903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 t="e">
        <f t="shared" si="20"/>
        <v>#DIV/0!</v>
      </c>
      <c r="Q251" s="2" t="e">
        <f t="shared" si="21"/>
        <v>#DIV/0!</v>
      </c>
      <c r="R251" s="2" t="e">
        <f t="shared" si="22"/>
        <v>#DIV/0!</v>
      </c>
      <c r="S251" t="e">
        <f t="shared" si="23"/>
        <v>#DIV/0!</v>
      </c>
      <c r="U251" t="e">
        <v>#NUM!</v>
      </c>
    </row>
    <row r="252" spans="1:21" ht="13.9" x14ac:dyDescent="0.3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18"/>
        <v>-1.4301953494814912</v>
      </c>
      <c r="I252" s="2">
        <f t="shared" si="19"/>
        <v>4.7816961235657718E-5</v>
      </c>
      <c r="J252" s="2">
        <v>598.79</v>
      </c>
      <c r="K252" s="2">
        <v>878.98</v>
      </c>
      <c r="L252" s="2">
        <v>1117.5999999999999</v>
      </c>
      <c r="M252" s="2">
        <v>1672.37</v>
      </c>
      <c r="N252" s="2">
        <v>1185.42</v>
      </c>
      <c r="O252" s="2">
        <v>2193.1799999999998</v>
      </c>
      <c r="P252" s="2">
        <f t="shared" si="20"/>
        <v>-0.96062024687192382</v>
      </c>
      <c r="Q252" s="2">
        <f t="shared" si="21"/>
        <v>6.6718589953598681E-2</v>
      </c>
      <c r="R252" s="2">
        <f t="shared" si="22"/>
        <v>0.46957510260956736</v>
      </c>
      <c r="S252">
        <f t="shared" si="23"/>
        <v>0.67167065479564803</v>
      </c>
      <c r="U252">
        <v>11.34172451076503</v>
      </c>
    </row>
    <row r="253" spans="1:21" ht="13.9" x14ac:dyDescent="0.3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18"/>
        <v>-0.96914450899787907</v>
      </c>
      <c r="I253" s="2">
        <f t="shared" si="19"/>
        <v>7.7550314564555365E-3</v>
      </c>
      <c r="J253" s="2">
        <v>723.82</v>
      </c>
      <c r="K253" s="2">
        <v>842.15</v>
      </c>
      <c r="L253" s="2">
        <v>1039.67</v>
      </c>
      <c r="M253" s="2">
        <v>1124.99</v>
      </c>
      <c r="N253" s="2">
        <v>1553.3</v>
      </c>
      <c r="O253" s="2">
        <v>1068.3</v>
      </c>
      <c r="P253" s="2">
        <f t="shared" si="20"/>
        <v>-0.52394033580095267</v>
      </c>
      <c r="Q253" s="2">
        <f t="shared" si="21"/>
        <v>0.1003769312258392</v>
      </c>
      <c r="R253" s="2">
        <f t="shared" si="22"/>
        <v>0.4452041731969264</v>
      </c>
      <c r="S253">
        <f t="shared" si="23"/>
        <v>0.54062147691753504</v>
      </c>
      <c r="U253">
        <v>11.347422056944328</v>
      </c>
    </row>
    <row r="254" spans="1:21" ht="13.9" x14ac:dyDescent="0.3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18"/>
        <v>-1.2279548932360211</v>
      </c>
      <c r="I254" s="2">
        <f t="shared" si="19"/>
        <v>2.4902431033459278E-3</v>
      </c>
      <c r="J254" s="2">
        <v>350.5</v>
      </c>
      <c r="K254" s="2">
        <v>533.46</v>
      </c>
      <c r="L254" s="2">
        <v>381.08</v>
      </c>
      <c r="M254" s="2">
        <v>646.25</v>
      </c>
      <c r="N254" s="2">
        <v>60864.94</v>
      </c>
      <c r="O254" s="2">
        <v>712.34</v>
      </c>
      <c r="P254" s="2">
        <f t="shared" si="20"/>
        <v>-5.6202053345283964</v>
      </c>
      <c r="Q254" s="2">
        <f t="shared" si="21"/>
        <v>0.36842523136575012</v>
      </c>
      <c r="R254" s="2">
        <f t="shared" si="22"/>
        <v>-4.3922504412923757</v>
      </c>
      <c r="S254">
        <f t="shared" si="23"/>
        <v>4.5768825593564824</v>
      </c>
      <c r="U254">
        <v>10.304967287675964</v>
      </c>
    </row>
    <row r="255" spans="1:21" ht="13.9" x14ac:dyDescent="0.3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18"/>
        <v>-1.4374870097167236</v>
      </c>
      <c r="I255" s="2">
        <f t="shared" si="19"/>
        <v>1.5592365074224013E-4</v>
      </c>
      <c r="J255" s="2">
        <v>254.93</v>
      </c>
      <c r="K255" s="2">
        <v>634.54</v>
      </c>
      <c r="L255" s="2">
        <v>459</v>
      </c>
      <c r="M255" s="2">
        <v>1187.1400000000001</v>
      </c>
      <c r="N255" s="2">
        <v>3433.62</v>
      </c>
      <c r="O255" s="2">
        <v>1111.3399999999999</v>
      </c>
      <c r="P255" s="2">
        <f t="shared" si="20"/>
        <v>-2.0877403528544214</v>
      </c>
      <c r="Q255" s="2">
        <f t="shared" si="21"/>
        <v>0.13045147077721397</v>
      </c>
      <c r="R255" s="2">
        <f t="shared" si="22"/>
        <v>-0.65025334313769778</v>
      </c>
      <c r="S255">
        <f t="shared" si="23"/>
        <v>1.4523542395460249</v>
      </c>
      <c r="U255">
        <v>10.397107710327063</v>
      </c>
    </row>
    <row r="256" spans="1:21" ht="13.9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18"/>
        <v>#NUM!</v>
      </c>
      <c r="I256" s="2">
        <f t="shared" si="19"/>
        <v>0.37390096630005903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 t="e">
        <f t="shared" si="20"/>
        <v>#DIV/0!</v>
      </c>
      <c r="Q256" s="2" t="e">
        <f t="shared" si="21"/>
        <v>#DIV/0!</v>
      </c>
      <c r="R256" s="2" t="e">
        <f t="shared" si="22"/>
        <v>#DIV/0!</v>
      </c>
      <c r="S256" t="e">
        <f t="shared" si="23"/>
        <v>#DIV/0!</v>
      </c>
      <c r="U256" t="e">
        <v>#NUM!</v>
      </c>
    </row>
    <row r="257" spans="1:21" ht="13.9" x14ac:dyDescent="0.3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18"/>
        <v>-1.5906247071570943</v>
      </c>
      <c r="I257" s="2">
        <f t="shared" si="19"/>
        <v>0.18488060882337512</v>
      </c>
      <c r="J257" s="2">
        <v>0.36</v>
      </c>
      <c r="K257" s="2">
        <v>6.7</v>
      </c>
      <c r="L257" s="2">
        <v>2.5099999999999998</v>
      </c>
      <c r="M257" s="2">
        <v>15.43</v>
      </c>
      <c r="N257" s="2">
        <v>163.51</v>
      </c>
      <c r="O257" s="2">
        <v>34.380000000000003</v>
      </c>
      <c r="P257" s="2">
        <f t="shared" si="20"/>
        <v>-4.4783564981969688</v>
      </c>
      <c r="Q257" s="2">
        <f t="shared" si="21"/>
        <v>0.21842027075448833</v>
      </c>
      <c r="R257" s="2">
        <f t="shared" si="22"/>
        <v>-2.8877317910398745</v>
      </c>
      <c r="S257">
        <f t="shared" si="23"/>
        <v>2.815470222514703</v>
      </c>
      <c r="U257">
        <v>3.2585189247113013</v>
      </c>
    </row>
    <row r="258" spans="1:21" ht="13.9" x14ac:dyDescent="0.3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24">LOG(SUM(B258:D258)/SUM(E258:G258),2)</f>
        <v>-0.64936151832572075</v>
      </c>
      <c r="I258" s="2">
        <f t="shared" ref="I258:I321" si="25">_xlfn.T.TEST(B258:D258,E258:G258,2,2)</f>
        <v>0.19315387438414822</v>
      </c>
      <c r="J258" s="2">
        <v>15.63</v>
      </c>
      <c r="K258" s="2">
        <v>22.6</v>
      </c>
      <c r="L258" s="2">
        <v>28.66</v>
      </c>
      <c r="M258" s="2">
        <v>15.12</v>
      </c>
      <c r="N258" s="2">
        <v>0</v>
      </c>
      <c r="O258" s="2">
        <v>29.51</v>
      </c>
      <c r="P258" s="2">
        <f t="shared" ref="P258:P321" si="26">LOG(SUM(J258:L258)/SUM(M258:O258),2)</f>
        <v>0.58377673867511815</v>
      </c>
      <c r="Q258" s="2">
        <f t="shared" ref="Q258:Q321" si="27">_xlfn.T.TEST(J258:L258,M258:O258,2,2)</f>
        <v>0.47027658867103944</v>
      </c>
      <c r="R258" s="2">
        <f t="shared" si="22"/>
        <v>1.2331382570008389</v>
      </c>
      <c r="S258">
        <f t="shared" si="23"/>
        <v>-0.89900112987954239</v>
      </c>
      <c r="U258">
        <v>6.0637186401522492</v>
      </c>
    </row>
    <row r="259" spans="1:21" ht="13.9" x14ac:dyDescent="0.3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24"/>
        <v>#NUM!</v>
      </c>
      <c r="I259" s="2">
        <f t="shared" si="25"/>
        <v>3.2919397905964327E-2</v>
      </c>
      <c r="J259" s="2">
        <v>0</v>
      </c>
      <c r="K259" s="2">
        <v>3.98</v>
      </c>
      <c r="L259" s="2">
        <v>0</v>
      </c>
      <c r="M259" s="2">
        <v>0.41</v>
      </c>
      <c r="N259" s="2">
        <v>0</v>
      </c>
      <c r="O259" s="2">
        <v>0.81</v>
      </c>
      <c r="P259" s="2">
        <f t="shared" si="26"/>
        <v>1.7058872829807625</v>
      </c>
      <c r="Q259" s="2">
        <f t="shared" si="27"/>
        <v>0.53214820038667587</v>
      </c>
      <c r="R259" s="2" t="e">
        <f t="shared" ref="R259:R322" si="28">P259-H259</f>
        <v>#NUM!</v>
      </c>
      <c r="S259" t="e">
        <f t="shared" si="23"/>
        <v>#NUM!</v>
      </c>
      <c r="U259">
        <v>1.9927684307689242</v>
      </c>
    </row>
    <row r="260" spans="1:21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24"/>
        <v>#DIV/0!</v>
      </c>
      <c r="I260" s="2" t="e">
        <f t="shared" si="25"/>
        <v>#DIV/0!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0.27</v>
      </c>
      <c r="P260" s="2" t="e">
        <f t="shared" si="26"/>
        <v>#NUM!</v>
      </c>
      <c r="Q260" s="2">
        <f t="shared" si="27"/>
        <v>0.37390096630005903</v>
      </c>
      <c r="R260" s="2" t="e">
        <f t="shared" si="28"/>
        <v>#NUM!</v>
      </c>
      <c r="S260" t="e">
        <f t="shared" ref="S260:S323" si="29">P260/H260</f>
        <v>#NUM!</v>
      </c>
      <c r="U260" t="e">
        <v>#NUM!</v>
      </c>
    </row>
    <row r="261" spans="1:21" ht="13.9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24"/>
        <v>#NUM!</v>
      </c>
      <c r="I261" s="2">
        <f t="shared" si="25"/>
        <v>0.37390096630005903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 t="e">
        <f t="shared" si="26"/>
        <v>#DIV/0!</v>
      </c>
      <c r="Q261" s="2" t="e">
        <f t="shared" si="27"/>
        <v>#DIV/0!</v>
      </c>
      <c r="R261" s="2" t="e">
        <f t="shared" si="28"/>
        <v>#DIV/0!</v>
      </c>
      <c r="S261" t="e">
        <f t="shared" si="29"/>
        <v>#DIV/0!</v>
      </c>
      <c r="U261" t="e">
        <v>#NUM!</v>
      </c>
    </row>
    <row r="262" spans="1:21" ht="13.9" x14ac:dyDescent="0.3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24"/>
        <v>0.71393499110409375</v>
      </c>
      <c r="I262" s="2">
        <f t="shared" si="25"/>
        <v>0.10743353852565017</v>
      </c>
      <c r="J262" s="2">
        <v>125.4</v>
      </c>
      <c r="K262" s="2">
        <v>228.53</v>
      </c>
      <c r="L262" s="2">
        <v>382.08</v>
      </c>
      <c r="M262" s="2">
        <v>92.81</v>
      </c>
      <c r="N262" s="2">
        <v>122.63</v>
      </c>
      <c r="O262" s="2">
        <v>126.69</v>
      </c>
      <c r="P262" s="2">
        <f t="shared" si="26"/>
        <v>1.1051807542212533</v>
      </c>
      <c r="Q262" s="2">
        <f t="shared" si="27"/>
        <v>0.15631919622006016</v>
      </c>
      <c r="R262" s="2">
        <f t="shared" si="28"/>
        <v>0.39124576311715953</v>
      </c>
      <c r="S262">
        <f t="shared" si="29"/>
        <v>1.5480131496456024</v>
      </c>
      <c r="U262">
        <v>9.5235815577586447</v>
      </c>
    </row>
    <row r="263" spans="1:21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24"/>
        <v>#DIV/0!</v>
      </c>
      <c r="I263" s="2" t="e">
        <f t="shared" si="25"/>
        <v>#DIV/0!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f t="shared" si="26"/>
        <v>#DIV/0!</v>
      </c>
      <c r="Q263" s="2" t="e">
        <f t="shared" si="27"/>
        <v>#DIV/0!</v>
      </c>
      <c r="R263" s="2" t="e">
        <f t="shared" si="28"/>
        <v>#DIV/0!</v>
      </c>
      <c r="S263" t="e">
        <f t="shared" si="29"/>
        <v>#DIV/0!</v>
      </c>
      <c r="U263" t="e">
        <v>#NUM!</v>
      </c>
    </row>
    <row r="264" spans="1:21" ht="13.9" x14ac:dyDescent="0.3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24"/>
        <v>#NUM!</v>
      </c>
      <c r="I264" s="2">
        <f t="shared" si="25"/>
        <v>0.37390096630005903</v>
      </c>
      <c r="J264" s="2">
        <v>0</v>
      </c>
      <c r="K264" s="2">
        <v>1.05</v>
      </c>
      <c r="L264" s="2">
        <v>0</v>
      </c>
      <c r="M264" s="2">
        <v>0</v>
      </c>
      <c r="N264" s="2">
        <v>0</v>
      </c>
      <c r="O264" s="2">
        <v>1.08</v>
      </c>
      <c r="P264" s="2">
        <f t="shared" si="26"/>
        <v>-4.0641984497345927E-2</v>
      </c>
      <c r="Q264" s="2">
        <f t="shared" si="27"/>
        <v>0.98506384014328829</v>
      </c>
      <c r="R264" s="2" t="e">
        <f t="shared" si="28"/>
        <v>#NUM!</v>
      </c>
      <c r="S264" t="e">
        <f t="shared" si="29"/>
        <v>#NUM!</v>
      </c>
      <c r="U264">
        <v>7.0389327891398012E-2</v>
      </c>
    </row>
    <row r="265" spans="1:21" ht="13.9" x14ac:dyDescent="0.3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24"/>
        <v>0.73402122063244069</v>
      </c>
      <c r="I265" s="2">
        <f t="shared" si="25"/>
        <v>0.13144050647057537</v>
      </c>
      <c r="J265" s="2">
        <v>24.79</v>
      </c>
      <c r="K265" s="2">
        <v>39.340000000000003</v>
      </c>
      <c r="L265" s="2">
        <v>156.86000000000001</v>
      </c>
      <c r="M265" s="2">
        <v>20.48</v>
      </c>
      <c r="N265" s="2">
        <v>0</v>
      </c>
      <c r="O265" s="2">
        <v>31.27</v>
      </c>
      <c r="P265" s="2">
        <f t="shared" si="26"/>
        <v>2.0943503200965394</v>
      </c>
      <c r="Q265" s="2">
        <f t="shared" si="27"/>
        <v>0.25792879310517408</v>
      </c>
      <c r="R265" s="2">
        <f t="shared" si="28"/>
        <v>1.3603290994640989</v>
      </c>
      <c r="S265">
        <f t="shared" si="29"/>
        <v>2.8532558204407557</v>
      </c>
      <c r="U265">
        <v>7.7878372775958651</v>
      </c>
    </row>
    <row r="266" spans="1:21" ht="13.9" x14ac:dyDescent="0.3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24"/>
        <v>0.57517705709530265</v>
      </c>
      <c r="I266" s="2">
        <f t="shared" si="25"/>
        <v>0.43380264963883836</v>
      </c>
      <c r="J266" s="2">
        <v>57.67</v>
      </c>
      <c r="K266" s="2">
        <v>38.93</v>
      </c>
      <c r="L266" s="2">
        <v>137.75</v>
      </c>
      <c r="M266" s="2">
        <v>1.65</v>
      </c>
      <c r="N266" s="2">
        <v>0</v>
      </c>
      <c r="O266" s="2">
        <v>2.84</v>
      </c>
      <c r="P266" s="2">
        <f t="shared" si="26"/>
        <v>5.7058055396252403</v>
      </c>
      <c r="Q266" s="2">
        <f t="shared" si="27"/>
        <v>6.4837458158012007E-2</v>
      </c>
      <c r="R266" s="2">
        <f t="shared" si="28"/>
        <v>5.1306284825299375</v>
      </c>
      <c r="S266">
        <f t="shared" si="29"/>
        <v>9.9200854228089099</v>
      </c>
      <c r="U266">
        <v>7.8725209845916622</v>
      </c>
    </row>
    <row r="267" spans="1:21" ht="13.9" x14ac:dyDescent="0.3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24"/>
        <v>-6.3949573046514638</v>
      </c>
      <c r="I267" s="5">
        <f t="shared" si="25"/>
        <v>0.19794414000147925</v>
      </c>
      <c r="J267" s="5">
        <v>0</v>
      </c>
      <c r="K267" s="5">
        <v>23.86</v>
      </c>
      <c r="L267" s="5">
        <v>0</v>
      </c>
      <c r="M267" s="5">
        <v>4.63</v>
      </c>
      <c r="N267" s="5">
        <v>0</v>
      </c>
      <c r="O267" s="5">
        <v>3.38</v>
      </c>
      <c r="P267" s="5">
        <f t="shared" si="26"/>
        <v>1.574719895286518</v>
      </c>
      <c r="Q267" s="5">
        <f t="shared" si="27"/>
        <v>0.54852997292041072</v>
      </c>
      <c r="R267" s="5">
        <f t="shared" si="28"/>
        <v>7.9696771999379816</v>
      </c>
      <c r="S267">
        <f t="shared" si="29"/>
        <v>-0.24624400449728145</v>
      </c>
      <c r="U267">
        <v>4.5765221379205032</v>
      </c>
    </row>
    <row r="268" spans="1:21" ht="13.9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24"/>
        <v>#NUM!</v>
      </c>
      <c r="I268" s="2">
        <f t="shared" si="25"/>
        <v>0.37390096630005903</v>
      </c>
      <c r="J268" s="2">
        <v>9.6999999999999993</v>
      </c>
      <c r="K268" s="2">
        <v>6.49</v>
      </c>
      <c r="L268" s="2">
        <v>0</v>
      </c>
      <c r="M268" s="2">
        <v>0</v>
      </c>
      <c r="N268" s="2">
        <v>0</v>
      </c>
      <c r="O268" s="2">
        <v>0</v>
      </c>
      <c r="P268" s="2" t="e">
        <f t="shared" si="26"/>
        <v>#DIV/0!</v>
      </c>
      <c r="Q268" s="2">
        <f t="shared" si="27"/>
        <v>0.13151224217957475</v>
      </c>
      <c r="R268" s="2" t="e">
        <f t="shared" si="28"/>
        <v>#DIV/0!</v>
      </c>
      <c r="S268" t="e">
        <f t="shared" si="29"/>
        <v>#DIV/0!</v>
      </c>
      <c r="U268">
        <v>4.0170310805278415</v>
      </c>
    </row>
    <row r="269" spans="1:21" ht="13.9" x14ac:dyDescent="0.3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24"/>
        <v>4.13489298528755</v>
      </c>
      <c r="I269" s="2">
        <f t="shared" si="25"/>
        <v>0.39973154755034135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 t="e">
        <f t="shared" si="26"/>
        <v>#DIV/0!</v>
      </c>
      <c r="Q269" s="2" t="e">
        <f t="shared" si="27"/>
        <v>#DIV/0!</v>
      </c>
      <c r="R269" s="2" t="e">
        <f t="shared" si="28"/>
        <v>#DIV/0!</v>
      </c>
      <c r="S269" t="e">
        <f t="shared" si="29"/>
        <v>#DIV/0!</v>
      </c>
      <c r="U269" t="e">
        <v>#NUM!</v>
      </c>
    </row>
    <row r="270" spans="1:21" ht="13.9" x14ac:dyDescent="0.3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24"/>
        <v>-1.581094683281443</v>
      </c>
      <c r="I270" s="2">
        <f t="shared" si="25"/>
        <v>0.1273977177493002</v>
      </c>
      <c r="J270" s="2">
        <v>0.18</v>
      </c>
      <c r="K270" s="2">
        <v>4.3899999999999997</v>
      </c>
      <c r="L270" s="2">
        <v>0</v>
      </c>
      <c r="M270" s="2">
        <v>2.06</v>
      </c>
      <c r="N270" s="2">
        <v>0</v>
      </c>
      <c r="O270" s="2">
        <v>5.01</v>
      </c>
      <c r="P270" s="2">
        <f t="shared" si="26"/>
        <v>-0.62951604975132947</v>
      </c>
      <c r="Q270" s="2">
        <f t="shared" si="27"/>
        <v>0.70413777518194998</v>
      </c>
      <c r="R270" s="2">
        <f t="shared" si="28"/>
        <v>0.95157863353011352</v>
      </c>
      <c r="S270">
        <f t="shared" si="29"/>
        <v>0.39815202492795454</v>
      </c>
      <c r="U270">
        <v>2.192194165283345</v>
      </c>
    </row>
    <row r="271" spans="1:21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24"/>
        <v>#DIV/0!</v>
      </c>
      <c r="I271" s="2" t="e">
        <f t="shared" si="25"/>
        <v>#DIV/0!</v>
      </c>
      <c r="J271" s="2">
        <v>0</v>
      </c>
      <c r="K271" s="2">
        <v>0</v>
      </c>
      <c r="L271" s="2">
        <v>0</v>
      </c>
      <c r="M271" s="2">
        <v>0</v>
      </c>
      <c r="N271" s="2">
        <v>163.51</v>
      </c>
      <c r="O271" s="2">
        <v>0</v>
      </c>
      <c r="P271" s="2" t="e">
        <f t="shared" si="26"/>
        <v>#NUM!</v>
      </c>
      <c r="Q271" s="2">
        <f t="shared" si="27"/>
        <v>0.37390096630005903</v>
      </c>
      <c r="R271" s="2" t="e">
        <f t="shared" si="28"/>
        <v>#NUM!</v>
      </c>
      <c r="S271" t="e">
        <f t="shared" si="29"/>
        <v>#NUM!</v>
      </c>
      <c r="U271" t="e">
        <v>#NUM!</v>
      </c>
    </row>
    <row r="272" spans="1:21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24"/>
        <v>#DIV/0!</v>
      </c>
      <c r="I272" s="2" t="e">
        <f t="shared" si="25"/>
        <v>#DIV/0!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 t="e">
        <f t="shared" si="26"/>
        <v>#DIV/0!</v>
      </c>
      <c r="Q272" s="2" t="e">
        <f t="shared" si="27"/>
        <v>#DIV/0!</v>
      </c>
      <c r="R272" s="2" t="e">
        <f t="shared" si="28"/>
        <v>#DIV/0!</v>
      </c>
      <c r="S272" t="e">
        <f t="shared" si="29"/>
        <v>#DIV/0!</v>
      </c>
      <c r="U272" t="e">
        <v>#NUM!</v>
      </c>
    </row>
    <row r="273" spans="1:21" ht="13.9" x14ac:dyDescent="0.3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24"/>
        <v>-3.2090946583514093</v>
      </c>
      <c r="I273" s="2">
        <f t="shared" si="25"/>
        <v>1.2439837296676468E-3</v>
      </c>
      <c r="J273" s="2">
        <v>10.42</v>
      </c>
      <c r="K273" s="2">
        <v>57.76</v>
      </c>
      <c r="L273" s="2">
        <v>13.07</v>
      </c>
      <c r="M273" s="2">
        <v>47.53</v>
      </c>
      <c r="N273" s="2">
        <v>40.880000000000003</v>
      </c>
      <c r="O273" s="2">
        <v>56.44</v>
      </c>
      <c r="P273" s="2">
        <f t="shared" si="26"/>
        <v>-0.83411996646722408</v>
      </c>
      <c r="Q273" s="2">
        <f t="shared" si="27"/>
        <v>0.25592368380222014</v>
      </c>
      <c r="R273" s="2">
        <f t="shared" si="28"/>
        <v>2.3749746918841854</v>
      </c>
      <c r="S273">
        <f t="shared" si="29"/>
        <v>0.25992376519542493</v>
      </c>
      <c r="U273">
        <v>6.344295907915817</v>
      </c>
    </row>
    <row r="274" spans="1:21" ht="13.9" x14ac:dyDescent="0.3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24"/>
        <v>0.42427331232575566</v>
      </c>
      <c r="I274" s="2">
        <f t="shared" si="25"/>
        <v>0.29621783216816427</v>
      </c>
      <c r="J274" s="2">
        <v>41.14</v>
      </c>
      <c r="K274" s="2">
        <v>26.58</v>
      </c>
      <c r="L274" s="2">
        <v>76.92</v>
      </c>
      <c r="M274" s="2">
        <v>62.25</v>
      </c>
      <c r="N274" s="2">
        <v>163.51</v>
      </c>
      <c r="O274" s="2">
        <v>61.18</v>
      </c>
      <c r="P274" s="2">
        <f t="shared" si="26"/>
        <v>-0.98828251378443677</v>
      </c>
      <c r="Q274" s="2">
        <f t="shared" si="27"/>
        <v>0.27001887428074778</v>
      </c>
      <c r="R274" s="2">
        <f t="shared" si="28"/>
        <v>-1.4125558261101925</v>
      </c>
      <c r="S274">
        <f t="shared" si="29"/>
        <v>-2.3293534735119912</v>
      </c>
      <c r="U274">
        <v>7.1763227726404626</v>
      </c>
    </row>
    <row r="275" spans="1:21" ht="13.9" x14ac:dyDescent="0.3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24"/>
        <v>1.0086329535075798</v>
      </c>
      <c r="I275" s="2">
        <f t="shared" si="25"/>
        <v>0.39317318072703367</v>
      </c>
      <c r="J275" s="2">
        <v>3.05</v>
      </c>
      <c r="K275" s="2">
        <v>0</v>
      </c>
      <c r="L275" s="2">
        <v>0</v>
      </c>
      <c r="M275" s="2">
        <v>2.98</v>
      </c>
      <c r="N275" s="2">
        <v>0</v>
      </c>
      <c r="O275" s="2">
        <v>4.0599999999999996</v>
      </c>
      <c r="P275" s="2">
        <f t="shared" si="26"/>
        <v>-1.2067661861870485</v>
      </c>
      <c r="Q275" s="2">
        <f t="shared" si="27"/>
        <v>0.4482321943881345</v>
      </c>
      <c r="R275" s="2">
        <f t="shared" si="28"/>
        <v>-2.215399139694628</v>
      </c>
      <c r="S275">
        <f t="shared" si="29"/>
        <v>-1.1964373977574785</v>
      </c>
      <c r="U275">
        <v>1.6088092426755241</v>
      </c>
    </row>
    <row r="276" spans="1:21" ht="13.9" x14ac:dyDescent="0.3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24"/>
        <v>2.2140650374488495</v>
      </c>
      <c r="I276" s="2">
        <f t="shared" si="25"/>
        <v>2.4821193527712676E-3</v>
      </c>
      <c r="J276" s="2">
        <v>22.1</v>
      </c>
      <c r="K276" s="2">
        <v>176.21</v>
      </c>
      <c r="L276" s="2">
        <v>173.95</v>
      </c>
      <c r="M276" s="2">
        <v>36.729999999999997</v>
      </c>
      <c r="N276" s="2">
        <v>613.15</v>
      </c>
      <c r="O276" s="2">
        <v>68.489999999999995</v>
      </c>
      <c r="P276" s="2">
        <f t="shared" si="26"/>
        <v>-0.94841649828152197</v>
      </c>
      <c r="Q276" s="2">
        <f t="shared" si="27"/>
        <v>0.5838676021506054</v>
      </c>
      <c r="R276" s="2">
        <f t="shared" si="28"/>
        <v>-3.1624815357303717</v>
      </c>
      <c r="S276">
        <f t="shared" si="29"/>
        <v>-0.42835981881288021</v>
      </c>
      <c r="U276">
        <v>8.5401667941405481</v>
      </c>
    </row>
    <row r="277" spans="1:21" ht="13.9" x14ac:dyDescent="0.3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24"/>
        <v>-3.3299366477507253E-2</v>
      </c>
      <c r="I277" s="2">
        <f t="shared" si="25"/>
        <v>0.96835737830194357</v>
      </c>
      <c r="J277" s="2">
        <v>3.23</v>
      </c>
      <c r="K277" s="2">
        <v>6.49</v>
      </c>
      <c r="L277" s="2">
        <v>0</v>
      </c>
      <c r="M277" s="2">
        <v>9.0500000000000007</v>
      </c>
      <c r="N277" s="2">
        <v>0</v>
      </c>
      <c r="O277" s="2">
        <v>7.31</v>
      </c>
      <c r="P277" s="2">
        <f t="shared" si="26"/>
        <v>-0.75114452933596787</v>
      </c>
      <c r="Q277" s="2">
        <f t="shared" si="27"/>
        <v>0.54448378382833584</v>
      </c>
      <c r="R277" s="2">
        <f t="shared" si="28"/>
        <v>-0.71784516285846056</v>
      </c>
      <c r="S277">
        <f t="shared" si="29"/>
        <v>22.557321919122515</v>
      </c>
      <c r="U277">
        <v>3.2809563138310565</v>
      </c>
    </row>
    <row r="278" spans="1:21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24"/>
        <v>#DIV/0!</v>
      </c>
      <c r="I278" s="2" t="e">
        <f t="shared" si="25"/>
        <v>#DIV/0!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0.27</v>
      </c>
      <c r="P278" s="2" t="e">
        <f t="shared" si="26"/>
        <v>#NUM!</v>
      </c>
      <c r="Q278" s="2">
        <f t="shared" si="27"/>
        <v>0.37390096630005903</v>
      </c>
      <c r="R278" s="2" t="e">
        <f t="shared" si="28"/>
        <v>#NUM!</v>
      </c>
      <c r="S278" t="e">
        <f t="shared" si="29"/>
        <v>#NUM!</v>
      </c>
      <c r="U278" t="e">
        <v>#NUM!</v>
      </c>
    </row>
    <row r="279" spans="1:21" ht="13.9" x14ac:dyDescent="0.3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24"/>
        <v>1.0714716518753986</v>
      </c>
      <c r="I279" s="2">
        <f t="shared" si="25"/>
        <v>0.14180770459125874</v>
      </c>
      <c r="J279" s="2">
        <v>567.71</v>
      </c>
      <c r="K279" s="2">
        <v>931.93</v>
      </c>
      <c r="L279" s="2">
        <v>2455.89</v>
      </c>
      <c r="M279" s="2">
        <v>346.53</v>
      </c>
      <c r="N279" s="2">
        <v>490.52</v>
      </c>
      <c r="O279" s="2">
        <v>698.8</v>
      </c>
      <c r="P279" s="2">
        <f t="shared" si="26"/>
        <v>1.3648336928323177</v>
      </c>
      <c r="Q279" s="2">
        <f t="shared" si="27"/>
        <v>0.24159533499851471</v>
      </c>
      <c r="R279" s="2">
        <f t="shared" si="28"/>
        <v>0.29336204095691909</v>
      </c>
      <c r="S279">
        <f t="shared" si="29"/>
        <v>1.2737935627540373</v>
      </c>
      <c r="U279">
        <v>11.949655298486134</v>
      </c>
    </row>
    <row r="280" spans="1:21" ht="13.9" x14ac:dyDescent="0.3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24"/>
        <v>#NUM!</v>
      </c>
      <c r="I280" s="2">
        <f t="shared" si="25"/>
        <v>0.37390096630005903</v>
      </c>
      <c r="J280" s="2">
        <v>0</v>
      </c>
      <c r="K280" s="2">
        <v>0</v>
      </c>
      <c r="L280" s="2">
        <v>0</v>
      </c>
      <c r="M280" s="2">
        <v>0.93</v>
      </c>
      <c r="N280" s="2">
        <v>0</v>
      </c>
      <c r="O280" s="2">
        <v>0.14000000000000001</v>
      </c>
      <c r="P280" s="2" t="e">
        <f t="shared" si="26"/>
        <v>#NUM!</v>
      </c>
      <c r="Q280" s="2">
        <f t="shared" si="27"/>
        <v>0.28541863874957513</v>
      </c>
      <c r="R280" s="2" t="e">
        <f t="shared" si="28"/>
        <v>#NUM!</v>
      </c>
      <c r="S280" t="e">
        <f t="shared" si="29"/>
        <v>#NUM!</v>
      </c>
      <c r="U280" t="e">
        <v>#NUM!</v>
      </c>
    </row>
    <row r="281" spans="1:21" ht="13.9" x14ac:dyDescent="0.3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24"/>
        <v>-1.0615767004065884</v>
      </c>
      <c r="I281" s="2">
        <f t="shared" si="25"/>
        <v>1.0499696310510835E-2</v>
      </c>
      <c r="J281" s="2">
        <v>1842.53</v>
      </c>
      <c r="K281" s="2">
        <v>3174.17</v>
      </c>
      <c r="L281" s="2">
        <v>4432.17</v>
      </c>
      <c r="M281" s="2">
        <v>3987.28</v>
      </c>
      <c r="N281" s="2">
        <v>9360.69</v>
      </c>
      <c r="O281" s="2">
        <v>6306.53</v>
      </c>
      <c r="P281" s="2">
        <f t="shared" si="26"/>
        <v>-1.0566459514453193</v>
      </c>
      <c r="Q281" s="2">
        <f t="shared" si="27"/>
        <v>0.12008559486178365</v>
      </c>
      <c r="R281" s="2">
        <f t="shared" si="28"/>
        <v>4.9307489612691047E-3</v>
      </c>
      <c r="S281">
        <f t="shared" si="29"/>
        <v>0.99535525887165699</v>
      </c>
      <c r="U281">
        <v>13.205926090940382</v>
      </c>
    </row>
    <row r="282" spans="1:21" ht="13.9" x14ac:dyDescent="0.3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24"/>
        <v>-1.7335337035524534</v>
      </c>
      <c r="I282" s="2">
        <f t="shared" si="25"/>
        <v>3.7798189299792978E-4</v>
      </c>
      <c r="J282" s="2">
        <v>134.02000000000001</v>
      </c>
      <c r="K282" s="2">
        <v>231.46</v>
      </c>
      <c r="L282" s="2">
        <v>117.64</v>
      </c>
      <c r="M282" s="2">
        <v>310.11</v>
      </c>
      <c r="N282" s="2">
        <v>8052.65</v>
      </c>
      <c r="O282" s="2">
        <v>348.11</v>
      </c>
      <c r="P282" s="2">
        <f t="shared" si="26"/>
        <v>-4.172363332289474</v>
      </c>
      <c r="Q282" s="2">
        <f t="shared" si="27"/>
        <v>0.34682464247921085</v>
      </c>
      <c r="R282" s="2">
        <f t="shared" si="28"/>
        <v>-2.4388296287370208</v>
      </c>
      <c r="S282">
        <f t="shared" si="29"/>
        <v>2.4068544636537701</v>
      </c>
      <c r="U282">
        <v>8.9162377678677718</v>
      </c>
    </row>
    <row r="283" spans="1:21" ht="13.9" x14ac:dyDescent="0.3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24"/>
        <v>0.53105374609559919</v>
      </c>
      <c r="I283" s="2">
        <f t="shared" si="25"/>
        <v>5.5856591810254423E-2</v>
      </c>
      <c r="J283" s="2">
        <v>1446.57</v>
      </c>
      <c r="K283" s="2">
        <v>1822.63</v>
      </c>
      <c r="L283" s="2">
        <v>2028.06</v>
      </c>
      <c r="M283" s="2">
        <v>952.55</v>
      </c>
      <c r="N283" s="2">
        <v>2697.84</v>
      </c>
      <c r="O283" s="2">
        <v>729.52</v>
      </c>
      <c r="P283" s="2">
        <f t="shared" si="26"/>
        <v>0.27434509559647074</v>
      </c>
      <c r="Q283" s="2">
        <f t="shared" si="27"/>
        <v>0.660229986531775</v>
      </c>
      <c r="R283" s="2">
        <f t="shared" si="28"/>
        <v>-0.25670865049912844</v>
      </c>
      <c r="S283">
        <f t="shared" si="29"/>
        <v>0.51660514140706904</v>
      </c>
      <c r="U283">
        <v>12.371030605361788</v>
      </c>
    </row>
    <row r="284" spans="1:21" ht="13.9" x14ac:dyDescent="0.3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24"/>
        <v>#NUM!</v>
      </c>
      <c r="I284" s="2">
        <f t="shared" si="25"/>
        <v>3.4095517725046924E-2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0.41</v>
      </c>
      <c r="P284" s="2" t="e">
        <f t="shared" si="26"/>
        <v>#NUM!</v>
      </c>
      <c r="Q284" s="2">
        <f t="shared" si="27"/>
        <v>0.37390096630005903</v>
      </c>
      <c r="R284" s="2" t="e">
        <f t="shared" si="28"/>
        <v>#NUM!</v>
      </c>
      <c r="S284" t="e">
        <f t="shared" si="29"/>
        <v>#NUM!</v>
      </c>
      <c r="U284" t="e">
        <v>#NUM!</v>
      </c>
    </row>
    <row r="285" spans="1:21" ht="13.9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24"/>
        <v>#NUM!</v>
      </c>
      <c r="I285" s="2">
        <f t="shared" si="25"/>
        <v>0.11620512105041363</v>
      </c>
      <c r="J285" s="2">
        <v>0</v>
      </c>
      <c r="K285" s="2">
        <v>0</v>
      </c>
      <c r="L285" s="2">
        <v>0</v>
      </c>
      <c r="M285" s="2">
        <v>2.2599999999999998</v>
      </c>
      <c r="N285" s="2">
        <v>0</v>
      </c>
      <c r="O285" s="2">
        <v>0.68</v>
      </c>
      <c r="P285" s="2" t="e">
        <f t="shared" si="26"/>
        <v>#NUM!</v>
      </c>
      <c r="Q285" s="2">
        <f t="shared" si="27"/>
        <v>0.21705690138286429</v>
      </c>
      <c r="R285" s="2" t="e">
        <f t="shared" si="28"/>
        <v>#NUM!</v>
      </c>
      <c r="S285" t="e">
        <f t="shared" si="29"/>
        <v>#NUM!</v>
      </c>
      <c r="U285" t="e">
        <v>#NUM!</v>
      </c>
    </row>
    <row r="286" spans="1:21" ht="13.9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24"/>
        <v>#NUM!</v>
      </c>
      <c r="I286" s="2">
        <f t="shared" si="25"/>
        <v>0.37390096630005903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 t="e">
        <f t="shared" si="26"/>
        <v>#DIV/0!</v>
      </c>
      <c r="Q286" s="2" t="e">
        <f t="shared" si="27"/>
        <v>#DIV/0!</v>
      </c>
      <c r="R286" s="2" t="e">
        <f t="shared" si="28"/>
        <v>#DIV/0!</v>
      </c>
      <c r="S286" t="e">
        <f t="shared" si="29"/>
        <v>#DIV/0!</v>
      </c>
      <c r="U286" t="e">
        <v>#NUM!</v>
      </c>
    </row>
    <row r="287" spans="1:21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24"/>
        <v>#DIV/0!</v>
      </c>
      <c r="I287" s="2" t="e">
        <f t="shared" si="25"/>
        <v>#DIV/0!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0.54</v>
      </c>
      <c r="P287" s="2" t="e">
        <f t="shared" si="26"/>
        <v>#NUM!</v>
      </c>
      <c r="Q287" s="2">
        <f t="shared" si="27"/>
        <v>0.37390096630005903</v>
      </c>
      <c r="R287" s="2" t="e">
        <f t="shared" si="28"/>
        <v>#NUM!</v>
      </c>
      <c r="S287" t="e">
        <f t="shared" si="29"/>
        <v>#NUM!</v>
      </c>
      <c r="U287" t="e">
        <v>#NUM!</v>
      </c>
    </row>
    <row r="288" spans="1:21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24"/>
        <v>#DIV/0!</v>
      </c>
      <c r="I288" s="2" t="e">
        <f t="shared" si="25"/>
        <v>#DIV/0!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 t="e">
        <f t="shared" si="26"/>
        <v>#DIV/0!</v>
      </c>
      <c r="Q288" s="2" t="e">
        <f t="shared" si="27"/>
        <v>#DIV/0!</v>
      </c>
      <c r="R288" s="2" t="e">
        <f t="shared" si="28"/>
        <v>#DIV/0!</v>
      </c>
      <c r="S288" t="e">
        <f t="shared" si="29"/>
        <v>#DIV/0!</v>
      </c>
      <c r="U288" t="e">
        <v>#NUM!</v>
      </c>
    </row>
    <row r="289" spans="1:21" ht="13.9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24"/>
        <v>#NUM!</v>
      </c>
      <c r="I289" s="2">
        <f t="shared" si="25"/>
        <v>0.37390096630005903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 t="e">
        <f t="shared" si="26"/>
        <v>#DIV/0!</v>
      </c>
      <c r="Q289" s="2" t="e">
        <f t="shared" si="27"/>
        <v>#DIV/0!</v>
      </c>
      <c r="R289" s="2" t="e">
        <f t="shared" si="28"/>
        <v>#DIV/0!</v>
      </c>
      <c r="S289" t="e">
        <f t="shared" si="29"/>
        <v>#DIV/0!</v>
      </c>
      <c r="U289" t="e">
        <v>#NUM!</v>
      </c>
    </row>
    <row r="290" spans="1:21" ht="13.9" x14ac:dyDescent="0.3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24"/>
        <v>#NUM!</v>
      </c>
      <c r="I290" s="2">
        <f t="shared" si="25"/>
        <v>3.7098673615462478E-2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2.17</v>
      </c>
      <c r="P290" s="2" t="e">
        <f t="shared" si="26"/>
        <v>#NUM!</v>
      </c>
      <c r="Q290" s="2">
        <f t="shared" si="27"/>
        <v>0.37390096630005903</v>
      </c>
      <c r="R290" s="2" t="e">
        <f t="shared" si="28"/>
        <v>#NUM!</v>
      </c>
      <c r="S290" t="e">
        <f t="shared" si="29"/>
        <v>#NUM!</v>
      </c>
      <c r="U290" t="e">
        <v>#NUM!</v>
      </c>
    </row>
    <row r="291" spans="1:21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24"/>
        <v>#DIV/0!</v>
      </c>
      <c r="I291" s="2" t="e">
        <f t="shared" si="25"/>
        <v>#DIV/0!</v>
      </c>
      <c r="J291" s="2">
        <v>0</v>
      </c>
      <c r="K291" s="2">
        <v>0</v>
      </c>
      <c r="L291" s="2">
        <v>0</v>
      </c>
      <c r="M291" s="2">
        <v>0.41</v>
      </c>
      <c r="N291" s="2">
        <v>0</v>
      </c>
      <c r="O291" s="2">
        <v>0</v>
      </c>
      <c r="P291" s="2" t="e">
        <f t="shared" si="26"/>
        <v>#NUM!</v>
      </c>
      <c r="Q291" s="2">
        <f t="shared" si="27"/>
        <v>0.37390096630005903</v>
      </c>
      <c r="R291" s="2" t="e">
        <f t="shared" si="28"/>
        <v>#NUM!</v>
      </c>
      <c r="S291" t="e">
        <f t="shared" si="29"/>
        <v>#NUM!</v>
      </c>
      <c r="U291" t="e">
        <v>#NUM!</v>
      </c>
    </row>
    <row r="292" spans="1:21" ht="13.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24"/>
        <v>#DIV/0!</v>
      </c>
      <c r="I292" s="2" t="e">
        <f t="shared" si="25"/>
        <v>#DIV/0!</v>
      </c>
      <c r="J292" s="2">
        <v>0</v>
      </c>
      <c r="K292" s="2">
        <v>0</v>
      </c>
      <c r="L292" s="2">
        <v>0.5</v>
      </c>
      <c r="M292" s="2">
        <v>0</v>
      </c>
      <c r="N292" s="2">
        <v>0</v>
      </c>
      <c r="O292" s="2">
        <v>0</v>
      </c>
      <c r="P292" s="2" t="e">
        <f t="shared" si="26"/>
        <v>#DIV/0!</v>
      </c>
      <c r="Q292" s="2">
        <f t="shared" si="27"/>
        <v>0.37390096630005903</v>
      </c>
      <c r="R292" s="2" t="e">
        <f t="shared" si="28"/>
        <v>#DIV/0!</v>
      </c>
      <c r="S292" t="e">
        <f t="shared" si="29"/>
        <v>#DIV/0!</v>
      </c>
      <c r="U292">
        <v>-1</v>
      </c>
    </row>
    <row r="293" spans="1:21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24"/>
        <v>#DIV/0!</v>
      </c>
      <c r="I293" s="2" t="e">
        <f t="shared" si="25"/>
        <v>#DIV/0!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 t="e">
        <f t="shared" si="26"/>
        <v>#DIV/0!</v>
      </c>
      <c r="Q293" s="2" t="e">
        <f t="shared" si="27"/>
        <v>#DIV/0!</v>
      </c>
      <c r="R293" s="2" t="e">
        <f t="shared" si="28"/>
        <v>#DIV/0!</v>
      </c>
      <c r="S293" t="e">
        <f t="shared" si="29"/>
        <v>#DIV/0!</v>
      </c>
      <c r="U293" t="e">
        <v>#NUM!</v>
      </c>
    </row>
    <row r="294" spans="1:21" ht="13.9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24"/>
        <v>#NUM!</v>
      </c>
      <c r="I294" s="2">
        <f t="shared" si="25"/>
        <v>0.37390096630005903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 t="e">
        <f t="shared" si="26"/>
        <v>#DIV/0!</v>
      </c>
      <c r="Q294" s="2" t="e">
        <f t="shared" si="27"/>
        <v>#DIV/0!</v>
      </c>
      <c r="R294" s="2" t="e">
        <f t="shared" si="28"/>
        <v>#DIV/0!</v>
      </c>
      <c r="S294" t="e">
        <f t="shared" si="29"/>
        <v>#DIV/0!</v>
      </c>
      <c r="U294" t="e">
        <v>#NUM!</v>
      </c>
    </row>
    <row r="295" spans="1:21" ht="13.9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24"/>
        <v>#NUM!</v>
      </c>
      <c r="I295" s="2">
        <f t="shared" si="25"/>
        <v>0.37390096630005903</v>
      </c>
      <c r="J295" s="2">
        <v>0</v>
      </c>
      <c r="K295" s="2">
        <v>0</v>
      </c>
      <c r="L295" s="2">
        <v>12.07</v>
      </c>
      <c r="M295" s="2">
        <v>0.51</v>
      </c>
      <c r="N295" s="2">
        <v>0</v>
      </c>
      <c r="O295" s="2">
        <v>0</v>
      </c>
      <c r="P295" s="2">
        <f t="shared" si="26"/>
        <v>4.5647846187835261</v>
      </c>
      <c r="Q295" s="2">
        <f t="shared" si="27"/>
        <v>0.39280910804390073</v>
      </c>
      <c r="R295" s="2" t="e">
        <f t="shared" si="28"/>
        <v>#NUM!</v>
      </c>
      <c r="S295" t="e">
        <f t="shared" si="29"/>
        <v>#NUM!</v>
      </c>
      <c r="U295">
        <v>3.593353770980297</v>
      </c>
    </row>
    <row r="296" spans="1:21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24"/>
        <v>#DIV/0!</v>
      </c>
      <c r="I296" s="2" t="e">
        <f t="shared" si="25"/>
        <v>#DIV/0!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 t="e">
        <f t="shared" si="26"/>
        <v>#DIV/0!</v>
      </c>
      <c r="Q296" s="2" t="e">
        <f t="shared" si="27"/>
        <v>#DIV/0!</v>
      </c>
      <c r="R296" s="2" t="e">
        <f t="shared" si="28"/>
        <v>#DIV/0!</v>
      </c>
      <c r="S296" t="e">
        <f t="shared" si="29"/>
        <v>#DIV/0!</v>
      </c>
      <c r="U296" t="e">
        <v>#NUM!</v>
      </c>
    </row>
    <row r="297" spans="1:21" ht="13.9" x14ac:dyDescent="0.3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24"/>
        <v>#NUM!</v>
      </c>
      <c r="I297" s="2">
        <f t="shared" si="25"/>
        <v>0.20861378603731132</v>
      </c>
      <c r="J297" s="2">
        <v>0</v>
      </c>
      <c r="K297" s="2">
        <v>0</v>
      </c>
      <c r="L297" s="2">
        <v>0</v>
      </c>
      <c r="M297" s="2">
        <v>0.31</v>
      </c>
      <c r="N297" s="2">
        <v>0</v>
      </c>
      <c r="O297" s="2">
        <v>1.22</v>
      </c>
      <c r="P297" s="2" t="e">
        <f t="shared" si="26"/>
        <v>#NUM!</v>
      </c>
      <c r="Q297" s="2">
        <f t="shared" si="27"/>
        <v>0.23603457154468926</v>
      </c>
      <c r="R297" s="2" t="e">
        <f t="shared" si="28"/>
        <v>#NUM!</v>
      </c>
      <c r="S297" t="e">
        <f t="shared" si="29"/>
        <v>#NUM!</v>
      </c>
      <c r="U297" t="e">
        <v>#NUM!</v>
      </c>
    </row>
    <row r="298" spans="1:21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24"/>
        <v>#DIV/0!</v>
      </c>
      <c r="I298" s="2" t="e">
        <f t="shared" si="25"/>
        <v>#DIV/0!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 t="e">
        <f t="shared" si="26"/>
        <v>#DIV/0!</v>
      </c>
      <c r="Q298" s="2" t="e">
        <f t="shared" si="27"/>
        <v>#DIV/0!</v>
      </c>
      <c r="R298" s="2" t="e">
        <f t="shared" si="28"/>
        <v>#DIV/0!</v>
      </c>
      <c r="S298" t="e">
        <f t="shared" si="29"/>
        <v>#DIV/0!</v>
      </c>
      <c r="U298" t="e">
        <v>#NUM!</v>
      </c>
    </row>
    <row r="299" spans="1:21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24"/>
        <v>#DIV/0!</v>
      </c>
      <c r="I299" s="2" t="e">
        <f t="shared" si="25"/>
        <v>#DIV/0!</v>
      </c>
      <c r="J299" s="2">
        <v>0</v>
      </c>
      <c r="K299" s="2">
        <v>0</v>
      </c>
      <c r="L299" s="2">
        <v>0</v>
      </c>
      <c r="M299" s="2">
        <v>0</v>
      </c>
      <c r="N299" s="2">
        <v>163.51</v>
      </c>
      <c r="O299" s="2">
        <v>0</v>
      </c>
      <c r="P299" s="2" t="e">
        <f t="shared" si="26"/>
        <v>#NUM!</v>
      </c>
      <c r="Q299" s="2">
        <f t="shared" si="27"/>
        <v>0.37390096630005903</v>
      </c>
      <c r="R299" s="2" t="e">
        <f t="shared" si="28"/>
        <v>#NUM!</v>
      </c>
      <c r="S299" t="e">
        <f t="shared" si="29"/>
        <v>#NUM!</v>
      </c>
      <c r="U299" t="e">
        <v>#NUM!</v>
      </c>
    </row>
    <row r="300" spans="1:21" ht="13.9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24"/>
        <v>#NUM!</v>
      </c>
      <c r="I300" s="2">
        <f t="shared" si="25"/>
        <v>0.37390096630005903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f t="shared" si="26"/>
        <v>#DIV/0!</v>
      </c>
      <c r="Q300" s="2" t="e">
        <f t="shared" si="27"/>
        <v>#DIV/0!</v>
      </c>
      <c r="R300" s="2" t="e">
        <f t="shared" si="28"/>
        <v>#DIV/0!</v>
      </c>
      <c r="S300" t="e">
        <f t="shared" si="29"/>
        <v>#DIV/0!</v>
      </c>
      <c r="U300" t="e">
        <v>#NUM!</v>
      </c>
    </row>
    <row r="301" spans="1:21" ht="13.9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24"/>
        <v>#NUM!</v>
      </c>
      <c r="I301" s="2">
        <f t="shared" si="25"/>
        <v>0.37390096630005903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 t="e">
        <f t="shared" si="26"/>
        <v>#DIV/0!</v>
      </c>
      <c r="Q301" s="2" t="e">
        <f t="shared" si="27"/>
        <v>#DIV/0!</v>
      </c>
      <c r="R301" s="2" t="e">
        <f t="shared" si="28"/>
        <v>#DIV/0!</v>
      </c>
      <c r="S301" t="e">
        <f t="shared" si="29"/>
        <v>#DIV/0!</v>
      </c>
      <c r="U301" t="e">
        <v>#NUM!</v>
      </c>
    </row>
    <row r="302" spans="1:21" ht="13.9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24"/>
        <v>#NUM!</v>
      </c>
      <c r="I302" s="2">
        <f t="shared" si="25"/>
        <v>0.37390096630005903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0.14000000000000001</v>
      </c>
      <c r="P302" s="2" t="e">
        <f t="shared" si="26"/>
        <v>#NUM!</v>
      </c>
      <c r="Q302" s="2">
        <f t="shared" si="27"/>
        <v>0.37390096630005903</v>
      </c>
      <c r="R302" s="2" t="e">
        <f t="shared" si="28"/>
        <v>#NUM!</v>
      </c>
      <c r="S302" t="e">
        <f t="shared" si="29"/>
        <v>#NUM!</v>
      </c>
      <c r="U302" t="e">
        <v>#NUM!</v>
      </c>
    </row>
    <row r="303" spans="1:21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24"/>
        <v>#DIV/0!</v>
      </c>
      <c r="I303" s="2" t="e">
        <f t="shared" si="25"/>
        <v>#DIV/0!</v>
      </c>
      <c r="J303" s="2">
        <v>0</v>
      </c>
      <c r="K303" s="2">
        <v>0</v>
      </c>
      <c r="L303" s="2">
        <v>0</v>
      </c>
      <c r="M303" s="2">
        <v>0.72</v>
      </c>
      <c r="N303" s="2">
        <v>0</v>
      </c>
      <c r="O303" s="2">
        <v>0</v>
      </c>
      <c r="P303" s="2" t="e">
        <f t="shared" si="26"/>
        <v>#NUM!</v>
      </c>
      <c r="Q303" s="2">
        <f t="shared" si="27"/>
        <v>0.37390096630005903</v>
      </c>
      <c r="R303" s="2" t="e">
        <f t="shared" si="28"/>
        <v>#NUM!</v>
      </c>
      <c r="S303" t="e">
        <f t="shared" si="29"/>
        <v>#NUM!</v>
      </c>
      <c r="U303" t="e">
        <v>#NUM!</v>
      </c>
    </row>
    <row r="304" spans="1:21" ht="13.9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24"/>
        <v>#NUM!</v>
      </c>
      <c r="I304" s="2">
        <f t="shared" si="25"/>
        <v>4.2108993988349851E-2</v>
      </c>
      <c r="J304" s="2">
        <v>0</v>
      </c>
      <c r="K304" s="2">
        <v>0</v>
      </c>
      <c r="L304" s="2">
        <v>19.100000000000001</v>
      </c>
      <c r="M304" s="2">
        <v>6.48</v>
      </c>
      <c r="N304" s="2">
        <v>0</v>
      </c>
      <c r="O304" s="2">
        <v>7.71</v>
      </c>
      <c r="P304" s="2">
        <f t="shared" si="26"/>
        <v>0.42869804886255974</v>
      </c>
      <c r="Q304" s="2">
        <f t="shared" si="27"/>
        <v>0.82165712930307255</v>
      </c>
      <c r="R304" s="2" t="e">
        <f t="shared" si="28"/>
        <v>#NUM!</v>
      </c>
      <c r="S304" t="e">
        <f t="shared" si="29"/>
        <v>#NUM!</v>
      </c>
      <c r="U304">
        <v>4.2555007331483869</v>
      </c>
    </row>
    <row r="305" spans="1:21" ht="13.9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24"/>
        <v>#NUM!</v>
      </c>
      <c r="I305" s="2">
        <f t="shared" si="25"/>
        <v>0.37390096630005903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 t="e">
        <f t="shared" si="26"/>
        <v>#DIV/0!</v>
      </c>
      <c r="Q305" s="2" t="e">
        <f t="shared" si="27"/>
        <v>#DIV/0!</v>
      </c>
      <c r="R305" s="2" t="e">
        <f t="shared" si="28"/>
        <v>#DIV/0!</v>
      </c>
      <c r="S305" t="e">
        <f t="shared" si="29"/>
        <v>#DIV/0!</v>
      </c>
      <c r="U305" t="e">
        <v>#NUM!</v>
      </c>
    </row>
    <row r="306" spans="1:21" ht="13.9" x14ac:dyDescent="0.3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24"/>
        <v>#DIV/0!</v>
      </c>
      <c r="I306" s="2">
        <f t="shared" si="25"/>
        <v>0.37390096630005903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0.14000000000000001</v>
      </c>
      <c r="P306" s="2" t="e">
        <f t="shared" si="26"/>
        <v>#NUM!</v>
      </c>
      <c r="Q306" s="2">
        <f t="shared" si="27"/>
        <v>0.37390096630005903</v>
      </c>
      <c r="R306" s="2" t="e">
        <f t="shared" si="28"/>
        <v>#NUM!</v>
      </c>
      <c r="S306" t="e">
        <f t="shared" si="29"/>
        <v>#NUM!</v>
      </c>
      <c r="U306" t="e">
        <v>#NUM!</v>
      </c>
    </row>
    <row r="307" spans="1:21" ht="13.9" x14ac:dyDescent="0.3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24"/>
        <v>-1.0833153210925841</v>
      </c>
      <c r="I307" s="2">
        <f t="shared" si="25"/>
        <v>0.37169748492468829</v>
      </c>
      <c r="J307" s="2">
        <v>0</v>
      </c>
      <c r="K307" s="2">
        <v>0</v>
      </c>
      <c r="L307" s="2">
        <v>0</v>
      </c>
      <c r="M307" s="2">
        <v>6.89</v>
      </c>
      <c r="N307" s="2">
        <v>81.75</v>
      </c>
      <c r="O307" s="2">
        <v>8.5299999999999994</v>
      </c>
      <c r="P307" s="2" t="e">
        <f t="shared" si="26"/>
        <v>#NUM!</v>
      </c>
      <c r="Q307" s="2">
        <f t="shared" si="27"/>
        <v>0.2596996907920901</v>
      </c>
      <c r="R307" s="2" t="e">
        <f t="shared" si="28"/>
        <v>#NUM!</v>
      </c>
      <c r="S307" t="e">
        <f t="shared" si="29"/>
        <v>#NUM!</v>
      </c>
      <c r="U307" t="e">
        <v>#NUM!</v>
      </c>
    </row>
    <row r="308" spans="1:21" ht="13.9" x14ac:dyDescent="0.3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24"/>
        <v>#DIV/0!</v>
      </c>
      <c r="I308" s="2">
        <f t="shared" si="25"/>
        <v>0.37390096630005903</v>
      </c>
      <c r="J308" s="2">
        <v>0</v>
      </c>
      <c r="K308" s="2">
        <v>0</v>
      </c>
      <c r="L308" s="2">
        <v>0</v>
      </c>
      <c r="M308" s="2">
        <v>0.21</v>
      </c>
      <c r="N308" s="2">
        <v>0</v>
      </c>
      <c r="O308" s="2">
        <v>0</v>
      </c>
      <c r="P308" s="2" t="e">
        <f t="shared" si="26"/>
        <v>#NUM!</v>
      </c>
      <c r="Q308" s="2">
        <f t="shared" si="27"/>
        <v>0.37390096630005903</v>
      </c>
      <c r="R308" s="2" t="e">
        <f t="shared" si="28"/>
        <v>#NUM!</v>
      </c>
      <c r="S308" t="e">
        <f t="shared" si="29"/>
        <v>#NUM!</v>
      </c>
      <c r="U308" t="e">
        <v>#NUM!</v>
      </c>
    </row>
    <row r="309" spans="1:21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24"/>
        <v>#DIV/0!</v>
      </c>
      <c r="I309" s="2" t="e">
        <f t="shared" si="25"/>
        <v>#DIV/0!</v>
      </c>
      <c r="J309" s="2">
        <v>0</v>
      </c>
      <c r="K309" s="2">
        <v>0</v>
      </c>
      <c r="L309" s="2">
        <v>0</v>
      </c>
      <c r="M309" s="2">
        <v>0.1</v>
      </c>
      <c r="N309" s="2">
        <v>0</v>
      </c>
      <c r="O309" s="2">
        <v>0</v>
      </c>
      <c r="P309" s="2" t="e">
        <f t="shared" si="26"/>
        <v>#NUM!</v>
      </c>
      <c r="Q309" s="2">
        <f t="shared" si="27"/>
        <v>0.37390096630005903</v>
      </c>
      <c r="R309" s="2" t="e">
        <f t="shared" si="28"/>
        <v>#NUM!</v>
      </c>
      <c r="S309" t="e">
        <f t="shared" si="29"/>
        <v>#NUM!</v>
      </c>
      <c r="U309" t="e">
        <v>#NUM!</v>
      </c>
    </row>
    <row r="310" spans="1:21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24"/>
        <v>#DIV/0!</v>
      </c>
      <c r="I310" s="2" t="e">
        <f t="shared" si="25"/>
        <v>#DIV/0!</v>
      </c>
      <c r="J310" s="2">
        <v>0</v>
      </c>
      <c r="K310" s="2">
        <v>0</v>
      </c>
      <c r="L310" s="2">
        <v>0</v>
      </c>
      <c r="M310" s="2">
        <v>0.1</v>
      </c>
      <c r="N310" s="2">
        <v>0</v>
      </c>
      <c r="O310" s="2">
        <v>0</v>
      </c>
      <c r="P310" s="2" t="e">
        <f t="shared" si="26"/>
        <v>#NUM!</v>
      </c>
      <c r="Q310" s="2">
        <f t="shared" si="27"/>
        <v>0.37390096630005903</v>
      </c>
      <c r="R310" s="2" t="e">
        <f t="shared" si="28"/>
        <v>#NUM!</v>
      </c>
      <c r="S310" t="e">
        <f t="shared" si="29"/>
        <v>#NUM!</v>
      </c>
      <c r="U310" t="e">
        <v>#NUM!</v>
      </c>
    </row>
    <row r="311" spans="1:21" ht="13.9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24"/>
        <v>#NUM!</v>
      </c>
      <c r="I311" s="2">
        <f t="shared" si="25"/>
        <v>0.37390096630005903</v>
      </c>
      <c r="J311" s="2">
        <v>0</v>
      </c>
      <c r="K311" s="2">
        <v>2.93</v>
      </c>
      <c r="L311" s="2">
        <v>0</v>
      </c>
      <c r="M311" s="2">
        <v>0.62</v>
      </c>
      <c r="N311" s="2">
        <v>0</v>
      </c>
      <c r="O311" s="2">
        <v>0.41</v>
      </c>
      <c r="P311" s="2">
        <f t="shared" si="26"/>
        <v>1.5082563272390297</v>
      </c>
      <c r="Q311" s="2">
        <f t="shared" si="27"/>
        <v>0.55847200177528578</v>
      </c>
      <c r="R311" s="2" t="e">
        <f t="shared" si="28"/>
        <v>#NUM!</v>
      </c>
      <c r="S311" t="e">
        <f t="shared" si="29"/>
        <v>#NUM!</v>
      </c>
      <c r="U311">
        <v>1.5509006646475234</v>
      </c>
    </row>
    <row r="312" spans="1:21" ht="13.9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24"/>
        <v>#NUM!</v>
      </c>
      <c r="I312" s="2">
        <f t="shared" si="25"/>
        <v>0.37390096630005903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 t="e">
        <f t="shared" si="26"/>
        <v>#DIV/0!</v>
      </c>
      <c r="Q312" s="2" t="e">
        <f t="shared" si="27"/>
        <v>#DIV/0!</v>
      </c>
      <c r="R312" s="2" t="e">
        <f t="shared" si="28"/>
        <v>#DIV/0!</v>
      </c>
      <c r="S312" t="e">
        <f t="shared" si="29"/>
        <v>#DIV/0!</v>
      </c>
      <c r="U312" t="e">
        <v>#NUM!</v>
      </c>
    </row>
    <row r="313" spans="1:21" ht="13.9" x14ac:dyDescent="0.3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24"/>
        <v>-5.4384138373682145</v>
      </c>
      <c r="I313" s="2">
        <f t="shared" si="25"/>
        <v>6.0399670733443031E-3</v>
      </c>
      <c r="J313" s="2">
        <v>0</v>
      </c>
      <c r="K313" s="2">
        <v>2.09</v>
      </c>
      <c r="L313" s="2">
        <v>5.03</v>
      </c>
      <c r="M313" s="2">
        <v>9.0500000000000007</v>
      </c>
      <c r="N313" s="2">
        <v>0</v>
      </c>
      <c r="O313" s="2">
        <v>6.63</v>
      </c>
      <c r="P313" s="2">
        <f t="shared" si="26"/>
        <v>-1.1389764131488105</v>
      </c>
      <c r="Q313" s="2">
        <f t="shared" si="27"/>
        <v>0.40575779197035916</v>
      </c>
      <c r="R313" s="2">
        <f t="shared" si="28"/>
        <v>4.2994374242194038</v>
      </c>
      <c r="S313">
        <f t="shared" si="29"/>
        <v>0.2094317290314909</v>
      </c>
      <c r="U313">
        <v>2.8318772411916733</v>
      </c>
    </row>
    <row r="314" spans="1:21" ht="13.9" x14ac:dyDescent="0.3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24"/>
        <v>2.7071587716832428</v>
      </c>
      <c r="I314" s="2">
        <f t="shared" si="25"/>
        <v>3.5293583297865369E-3</v>
      </c>
      <c r="J314" s="2">
        <v>0</v>
      </c>
      <c r="K314" s="2">
        <v>0.21</v>
      </c>
      <c r="L314" s="2">
        <v>0.5</v>
      </c>
      <c r="M314" s="2">
        <v>0.41</v>
      </c>
      <c r="N314" s="2">
        <v>0</v>
      </c>
      <c r="O314" s="2">
        <v>0</v>
      </c>
      <c r="P314" s="2">
        <f t="shared" si="26"/>
        <v>0.79219511488659844</v>
      </c>
      <c r="Q314" s="2">
        <f t="shared" si="27"/>
        <v>0.64207009002253856</v>
      </c>
      <c r="R314" s="2">
        <f t="shared" si="28"/>
        <v>-1.9149636567966444</v>
      </c>
      <c r="S314">
        <f t="shared" si="29"/>
        <v>0.29262972056641939</v>
      </c>
      <c r="U314">
        <v>-0.49410907027004275</v>
      </c>
    </row>
    <row r="315" spans="1:21" ht="13.9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24"/>
        <v>#NUM!</v>
      </c>
      <c r="I315" s="2">
        <f t="shared" si="25"/>
        <v>0.37390096630005903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 t="e">
        <f t="shared" si="26"/>
        <v>#DIV/0!</v>
      </c>
      <c r="Q315" s="2" t="e">
        <f t="shared" si="27"/>
        <v>#DIV/0!</v>
      </c>
      <c r="R315" s="2" t="e">
        <f t="shared" si="28"/>
        <v>#DIV/0!</v>
      </c>
      <c r="S315" t="e">
        <f t="shared" si="29"/>
        <v>#DIV/0!</v>
      </c>
      <c r="U315" t="e">
        <v>#NUM!</v>
      </c>
    </row>
    <row r="316" spans="1:21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24"/>
        <v>#DIV/0!</v>
      </c>
      <c r="I316" s="2" t="e">
        <f t="shared" si="25"/>
        <v>#DIV/0!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 t="e">
        <f t="shared" si="26"/>
        <v>#DIV/0!</v>
      </c>
      <c r="Q316" s="2" t="e">
        <f t="shared" si="27"/>
        <v>#DIV/0!</v>
      </c>
      <c r="R316" s="2" t="e">
        <f t="shared" si="28"/>
        <v>#DIV/0!</v>
      </c>
      <c r="S316" t="e">
        <f t="shared" si="29"/>
        <v>#DIV/0!</v>
      </c>
      <c r="U316" t="e">
        <v>#NUM!</v>
      </c>
    </row>
    <row r="317" spans="1:21" ht="13.9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24"/>
        <v>#NUM!</v>
      </c>
      <c r="I317" s="2">
        <f t="shared" si="25"/>
        <v>7.7704357656269762E-2</v>
      </c>
      <c r="J317" s="2">
        <v>0</v>
      </c>
      <c r="K317" s="2">
        <v>0</v>
      </c>
      <c r="L317" s="2">
        <v>0</v>
      </c>
      <c r="M317" s="2">
        <v>3.29</v>
      </c>
      <c r="N317" s="2">
        <v>0</v>
      </c>
      <c r="O317" s="2">
        <v>2.57</v>
      </c>
      <c r="P317" s="2" t="e">
        <f t="shared" si="26"/>
        <v>#NUM!</v>
      </c>
      <c r="Q317" s="2">
        <f t="shared" si="27"/>
        <v>0.12208643291038682</v>
      </c>
      <c r="R317" s="2" t="e">
        <f t="shared" si="28"/>
        <v>#NUM!</v>
      </c>
      <c r="S317" t="e">
        <f t="shared" si="29"/>
        <v>#NUM!</v>
      </c>
      <c r="U317" t="e">
        <v>#NUM!</v>
      </c>
    </row>
    <row r="318" spans="1:21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24"/>
        <v>#DIV/0!</v>
      </c>
      <c r="I318" s="2" t="e">
        <f t="shared" si="25"/>
        <v>#DIV/0!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 t="e">
        <f t="shared" si="26"/>
        <v>#DIV/0!</v>
      </c>
      <c r="Q318" s="2" t="e">
        <f t="shared" si="27"/>
        <v>#DIV/0!</v>
      </c>
      <c r="R318" s="2" t="e">
        <f t="shared" si="28"/>
        <v>#DIV/0!</v>
      </c>
      <c r="S318" t="e">
        <f t="shared" si="29"/>
        <v>#DIV/0!</v>
      </c>
      <c r="U318" t="e">
        <v>#NUM!</v>
      </c>
    </row>
    <row r="319" spans="1:21" ht="13.9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24"/>
        <v>#NUM!</v>
      </c>
      <c r="I319" s="2">
        <f t="shared" si="25"/>
        <v>0.37390096630005903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f t="shared" si="26"/>
        <v>#DIV/0!</v>
      </c>
      <c r="Q319" s="2" t="e">
        <f t="shared" si="27"/>
        <v>#DIV/0!</v>
      </c>
      <c r="R319" s="2" t="e">
        <f t="shared" si="28"/>
        <v>#DIV/0!</v>
      </c>
      <c r="S319" t="e">
        <f t="shared" si="29"/>
        <v>#DIV/0!</v>
      </c>
      <c r="U319" t="e">
        <v>#NUM!</v>
      </c>
    </row>
    <row r="320" spans="1:21" ht="13.9" x14ac:dyDescent="0.3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24"/>
        <v>#DIV/0!</v>
      </c>
      <c r="I320" s="2">
        <f t="shared" si="25"/>
        <v>0.1709108311721276</v>
      </c>
      <c r="J320" s="2">
        <v>0</v>
      </c>
      <c r="K320" s="2">
        <v>0.21</v>
      </c>
      <c r="L320" s="2">
        <v>0</v>
      </c>
      <c r="M320" s="2">
        <v>0</v>
      </c>
      <c r="N320" s="2">
        <v>0</v>
      </c>
      <c r="O320" s="2">
        <v>0</v>
      </c>
      <c r="P320" s="2" t="e">
        <f t="shared" si="26"/>
        <v>#DIV/0!</v>
      </c>
      <c r="Q320" s="2">
        <f t="shared" si="27"/>
        <v>0.37390096630005903</v>
      </c>
      <c r="R320" s="2" t="e">
        <f t="shared" si="28"/>
        <v>#DIV/0!</v>
      </c>
      <c r="S320" t="e">
        <f t="shared" si="29"/>
        <v>#DIV/0!</v>
      </c>
      <c r="U320">
        <v>-2.2515387669959646</v>
      </c>
    </row>
    <row r="321" spans="1:21" ht="13.9" x14ac:dyDescent="0.3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24"/>
        <v>#NUM!</v>
      </c>
      <c r="I321" s="2">
        <f t="shared" si="25"/>
        <v>0.21647733292724586</v>
      </c>
      <c r="J321" s="2">
        <v>0</v>
      </c>
      <c r="K321" s="2">
        <v>0</v>
      </c>
      <c r="L321" s="2">
        <v>16.09</v>
      </c>
      <c r="M321" s="2">
        <v>1.54</v>
      </c>
      <c r="N321" s="2">
        <v>0</v>
      </c>
      <c r="O321" s="2">
        <v>1.08</v>
      </c>
      <c r="P321" s="2">
        <f t="shared" si="26"/>
        <v>2.6185256091859959</v>
      </c>
      <c r="Q321" s="2">
        <f t="shared" si="27"/>
        <v>0.4511139505794417</v>
      </c>
      <c r="R321" s="2" t="e">
        <f t="shared" si="28"/>
        <v>#NUM!</v>
      </c>
      <c r="S321" t="e">
        <f t="shared" si="29"/>
        <v>#NUM!</v>
      </c>
      <c r="U321">
        <v>4.0080924209487216</v>
      </c>
    </row>
    <row r="322" spans="1:21" ht="13.9" x14ac:dyDescent="0.3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30">LOG(SUM(B322:D322)/SUM(E322:G322),2)</f>
        <v>0.58424776449603999</v>
      </c>
      <c r="I322" s="2">
        <f t="shared" ref="I322:I385" si="31">_xlfn.T.TEST(B322:D322,E322:G322,2,2)</f>
        <v>0.75739869366381773</v>
      </c>
      <c r="J322" s="2">
        <v>23.18</v>
      </c>
      <c r="K322" s="2">
        <v>0</v>
      </c>
      <c r="L322" s="2">
        <v>15.08</v>
      </c>
      <c r="M322" s="2">
        <v>5.86</v>
      </c>
      <c r="N322" s="2">
        <v>0</v>
      </c>
      <c r="O322" s="2">
        <v>5.96</v>
      </c>
      <c r="P322" s="2">
        <f t="shared" ref="P322:P385" si="32">LOG(SUM(J322:L322)/SUM(M322:O322),2)</f>
        <v>1.6946068381685799</v>
      </c>
      <c r="Q322" s="2">
        <f t="shared" ref="Q322:Q385" si="33">_xlfn.T.TEST(J322:L322,M322:O322,2,2)</f>
        <v>0.28067386011978523</v>
      </c>
      <c r="R322" s="2">
        <f t="shared" si="28"/>
        <v>1.1103590736725399</v>
      </c>
      <c r="S322">
        <f t="shared" si="29"/>
        <v>2.9004934911994273</v>
      </c>
      <c r="U322">
        <v>5.2577649685713874</v>
      </c>
    </row>
    <row r="323" spans="1:21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30"/>
        <v>#DIV/0!</v>
      </c>
      <c r="I323" s="2" t="e">
        <f t="shared" si="31"/>
        <v>#DIV/0!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f t="shared" si="32"/>
        <v>#DIV/0!</v>
      </c>
      <c r="Q323" s="2" t="e">
        <f t="shared" si="33"/>
        <v>#DIV/0!</v>
      </c>
      <c r="R323" s="2" t="e">
        <f t="shared" ref="R323:R386" si="34">P323-H323</f>
        <v>#DIV/0!</v>
      </c>
      <c r="S323" t="e">
        <f t="shared" si="29"/>
        <v>#DIV/0!</v>
      </c>
      <c r="U323" t="e">
        <v>#NUM!</v>
      </c>
    </row>
    <row r="324" spans="1:21" ht="13.9" x14ac:dyDescent="0.3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30"/>
        <v>#NUM!</v>
      </c>
      <c r="I324" s="2">
        <f t="shared" si="31"/>
        <v>4.6095077927927774E-2</v>
      </c>
      <c r="J324" s="2">
        <v>0.18</v>
      </c>
      <c r="K324" s="2">
        <v>6.91</v>
      </c>
      <c r="L324" s="2">
        <v>0</v>
      </c>
      <c r="M324" s="2">
        <v>3.29</v>
      </c>
      <c r="N324" s="2">
        <v>0</v>
      </c>
      <c r="O324" s="2">
        <v>4.33</v>
      </c>
      <c r="P324" s="2">
        <f t="shared" si="32"/>
        <v>-0.10400537025380602</v>
      </c>
      <c r="Q324" s="2">
        <f t="shared" si="33"/>
        <v>0.94950974029668322</v>
      </c>
      <c r="R324" s="2" t="e">
        <f t="shared" si="34"/>
        <v>#NUM!</v>
      </c>
      <c r="S324" t="e">
        <f t="shared" ref="S324:S387" si="35">P324/H324</f>
        <v>#NUM!</v>
      </c>
      <c r="U324">
        <v>2.8257856274647914</v>
      </c>
    </row>
    <row r="325" spans="1:21" ht="13.9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30"/>
        <v>#NUM!</v>
      </c>
      <c r="I325" s="2">
        <f t="shared" si="31"/>
        <v>0.37390096630005903</v>
      </c>
      <c r="J325" s="2">
        <v>0</v>
      </c>
      <c r="K325" s="2">
        <v>0</v>
      </c>
      <c r="L325" s="2">
        <v>0</v>
      </c>
      <c r="M325" s="2">
        <v>0.1</v>
      </c>
      <c r="N325" s="2">
        <v>0</v>
      </c>
      <c r="O325" s="2">
        <v>0</v>
      </c>
      <c r="P325" s="2" t="e">
        <f t="shared" si="32"/>
        <v>#NUM!</v>
      </c>
      <c r="Q325" s="2">
        <f t="shared" si="33"/>
        <v>0.37390096630005903</v>
      </c>
      <c r="R325" s="2" t="e">
        <f t="shared" si="34"/>
        <v>#NUM!</v>
      </c>
      <c r="S325" t="e">
        <f t="shared" si="35"/>
        <v>#NUM!</v>
      </c>
      <c r="U325" t="e">
        <v>#NUM!</v>
      </c>
    </row>
    <row r="326" spans="1:21" ht="13.9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30"/>
        <v>#NUM!</v>
      </c>
      <c r="I326" s="2">
        <f t="shared" si="31"/>
        <v>0.37390096630005903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 t="e">
        <f t="shared" si="32"/>
        <v>#DIV/0!</v>
      </c>
      <c r="Q326" s="2" t="e">
        <f t="shared" si="33"/>
        <v>#DIV/0!</v>
      </c>
      <c r="R326" s="2" t="e">
        <f t="shared" si="34"/>
        <v>#DIV/0!</v>
      </c>
      <c r="S326" t="e">
        <f t="shared" si="35"/>
        <v>#DIV/0!</v>
      </c>
      <c r="U326" t="e">
        <v>#NUM!</v>
      </c>
    </row>
    <row r="327" spans="1:21" ht="13.9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30"/>
        <v>#NUM!</v>
      </c>
      <c r="I327" s="2">
        <f t="shared" si="31"/>
        <v>0.37390096630005903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 t="e">
        <f t="shared" si="32"/>
        <v>#DIV/0!</v>
      </c>
      <c r="Q327" s="2" t="e">
        <f t="shared" si="33"/>
        <v>#DIV/0!</v>
      </c>
      <c r="R327" s="2" t="e">
        <f t="shared" si="34"/>
        <v>#DIV/0!</v>
      </c>
      <c r="S327" t="e">
        <f t="shared" si="35"/>
        <v>#DIV/0!</v>
      </c>
      <c r="U327" t="e">
        <v>#NUM!</v>
      </c>
    </row>
    <row r="328" spans="1:21" ht="13.9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30"/>
        <v>#DIV/0!</v>
      </c>
      <c r="I328" s="2" t="e">
        <f t="shared" si="31"/>
        <v>#DIV/0!</v>
      </c>
      <c r="J328" s="2">
        <v>0</v>
      </c>
      <c r="K328" s="2">
        <v>0</v>
      </c>
      <c r="L328" s="2">
        <v>0</v>
      </c>
      <c r="M328" s="2">
        <v>0.21</v>
      </c>
      <c r="N328" s="2">
        <v>0</v>
      </c>
      <c r="O328" s="2">
        <v>0</v>
      </c>
      <c r="P328" s="2" t="e">
        <f t="shared" si="32"/>
        <v>#NUM!</v>
      </c>
      <c r="Q328" s="2">
        <f t="shared" si="33"/>
        <v>0.37390096630005903</v>
      </c>
      <c r="R328" s="2" t="e">
        <f t="shared" si="34"/>
        <v>#NUM!</v>
      </c>
      <c r="S328" t="e">
        <f t="shared" si="35"/>
        <v>#NUM!</v>
      </c>
      <c r="U328" t="e">
        <v>#NUM!</v>
      </c>
    </row>
    <row r="329" spans="1:21" ht="13.9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30"/>
        <v>#NUM!</v>
      </c>
      <c r="I329" s="2">
        <f t="shared" si="31"/>
        <v>0.37390096630005903</v>
      </c>
      <c r="J329" s="2">
        <v>0</v>
      </c>
      <c r="K329" s="2">
        <v>0</v>
      </c>
      <c r="L329" s="2">
        <v>0</v>
      </c>
      <c r="M329" s="2">
        <v>0.72</v>
      </c>
      <c r="N329" s="2">
        <v>0</v>
      </c>
      <c r="O329" s="2">
        <v>0.81</v>
      </c>
      <c r="P329" s="2" t="e">
        <f t="shared" si="32"/>
        <v>#NUM!</v>
      </c>
      <c r="Q329" s="2">
        <f t="shared" si="33"/>
        <v>0.11749101920491983</v>
      </c>
      <c r="R329" s="2" t="e">
        <f t="shared" si="34"/>
        <v>#NUM!</v>
      </c>
      <c r="S329" t="e">
        <f t="shared" si="35"/>
        <v>#NUM!</v>
      </c>
      <c r="U329" t="e">
        <v>#NUM!</v>
      </c>
    </row>
    <row r="330" spans="1:21" ht="13.9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30"/>
        <v>#NUM!</v>
      </c>
      <c r="I330" s="2">
        <f t="shared" si="31"/>
        <v>0.37390096630005903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 t="e">
        <f t="shared" si="32"/>
        <v>#DIV/0!</v>
      </c>
      <c r="Q330" s="2" t="e">
        <f t="shared" si="33"/>
        <v>#DIV/0!</v>
      </c>
      <c r="R330" s="2" t="e">
        <f t="shared" si="34"/>
        <v>#DIV/0!</v>
      </c>
      <c r="S330" t="e">
        <f t="shared" si="35"/>
        <v>#DIV/0!</v>
      </c>
      <c r="U330" t="e">
        <v>#NUM!</v>
      </c>
    </row>
    <row r="331" spans="1:21" ht="13.9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30"/>
        <v>#NUM!</v>
      </c>
      <c r="I331" s="2">
        <f t="shared" si="31"/>
        <v>0.37390096630005903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 t="e">
        <f t="shared" si="32"/>
        <v>#DIV/0!</v>
      </c>
      <c r="Q331" s="2" t="e">
        <f t="shared" si="33"/>
        <v>#DIV/0!</v>
      </c>
      <c r="R331" s="2" t="e">
        <f t="shared" si="34"/>
        <v>#DIV/0!</v>
      </c>
      <c r="S331" t="e">
        <f t="shared" si="35"/>
        <v>#DIV/0!</v>
      </c>
      <c r="U331" t="e">
        <v>#NUM!</v>
      </c>
    </row>
    <row r="332" spans="1:21" ht="13.9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30"/>
        <v>#NUM!</v>
      </c>
      <c r="I332" s="2">
        <f t="shared" si="31"/>
        <v>0.37390096630005903</v>
      </c>
      <c r="J332" s="2">
        <v>0</v>
      </c>
      <c r="K332" s="2">
        <v>0</v>
      </c>
      <c r="L332" s="2">
        <v>0</v>
      </c>
      <c r="M332" s="2">
        <v>0.21</v>
      </c>
      <c r="N332" s="2">
        <v>0</v>
      </c>
      <c r="O332" s="2">
        <v>0</v>
      </c>
      <c r="P332" s="2" t="e">
        <f t="shared" si="32"/>
        <v>#NUM!</v>
      </c>
      <c r="Q332" s="2">
        <f t="shared" si="33"/>
        <v>0.37390096630005903</v>
      </c>
      <c r="R332" s="2" t="e">
        <f t="shared" si="34"/>
        <v>#NUM!</v>
      </c>
      <c r="S332" t="e">
        <f t="shared" si="35"/>
        <v>#NUM!</v>
      </c>
      <c r="U332" t="e">
        <v>#NUM!</v>
      </c>
    </row>
    <row r="333" spans="1:21" ht="13.9" x14ac:dyDescent="0.3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30"/>
        <v>0.90503264938793615</v>
      </c>
      <c r="I333" s="2">
        <f t="shared" si="31"/>
        <v>0.66700424454028129</v>
      </c>
      <c r="J333" s="2">
        <v>0</v>
      </c>
      <c r="K333" s="2">
        <v>0</v>
      </c>
      <c r="L333" s="2">
        <v>0</v>
      </c>
      <c r="M333" s="2">
        <v>0.82</v>
      </c>
      <c r="N333" s="2">
        <v>0</v>
      </c>
      <c r="O333" s="2">
        <v>0.54</v>
      </c>
      <c r="P333" s="2" t="e">
        <f t="shared" si="32"/>
        <v>#NUM!</v>
      </c>
      <c r="Q333" s="2">
        <f t="shared" si="33"/>
        <v>0.13269603943196495</v>
      </c>
      <c r="R333" s="2" t="e">
        <f t="shared" si="34"/>
        <v>#NUM!</v>
      </c>
      <c r="S333" t="e">
        <f t="shared" si="35"/>
        <v>#NUM!</v>
      </c>
      <c r="U333" t="e">
        <v>#NUM!</v>
      </c>
    </row>
    <row r="334" spans="1:21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30"/>
        <v>#DIV/0!</v>
      </c>
      <c r="I334" s="2" t="e">
        <f t="shared" si="31"/>
        <v>#DIV/0!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0.14000000000000001</v>
      </c>
      <c r="P334" s="2" t="e">
        <f t="shared" si="32"/>
        <v>#NUM!</v>
      </c>
      <c r="Q334" s="2">
        <f t="shared" si="33"/>
        <v>0.37390096630005903</v>
      </c>
      <c r="R334" s="2" t="e">
        <f t="shared" si="34"/>
        <v>#NUM!</v>
      </c>
      <c r="S334" t="e">
        <f t="shared" si="35"/>
        <v>#NUM!</v>
      </c>
      <c r="U334" t="e">
        <v>#NUM!</v>
      </c>
    </row>
    <row r="335" spans="1:21" ht="13.9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30"/>
        <v>#NUM!</v>
      </c>
      <c r="I335" s="2">
        <f t="shared" si="31"/>
        <v>1.4698864594548976E-3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2.17</v>
      </c>
      <c r="P335" s="2" t="e">
        <f t="shared" si="32"/>
        <v>#NUM!</v>
      </c>
      <c r="Q335" s="2">
        <f t="shared" si="33"/>
        <v>0.37390096630005903</v>
      </c>
      <c r="R335" s="2" t="e">
        <f t="shared" si="34"/>
        <v>#NUM!</v>
      </c>
      <c r="S335" t="e">
        <f t="shared" si="35"/>
        <v>#NUM!</v>
      </c>
      <c r="U335" t="e">
        <v>#NUM!</v>
      </c>
    </row>
    <row r="336" spans="1:21" ht="13.9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30"/>
        <v>#NUM!</v>
      </c>
      <c r="I336" s="2">
        <f t="shared" si="31"/>
        <v>0.37390096630005903</v>
      </c>
      <c r="J336" s="2">
        <v>7.01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f t="shared" si="32"/>
        <v>#DIV/0!</v>
      </c>
      <c r="Q336" s="2">
        <f t="shared" si="33"/>
        <v>0.37390096630005903</v>
      </c>
      <c r="R336" s="2" t="e">
        <f t="shared" si="34"/>
        <v>#DIV/0!</v>
      </c>
      <c r="S336" t="e">
        <f t="shared" si="35"/>
        <v>#DIV/0!</v>
      </c>
      <c r="U336">
        <v>2.8094144442358986</v>
      </c>
    </row>
    <row r="337" spans="1:21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30"/>
        <v>#DIV/0!</v>
      </c>
      <c r="I337" s="2" t="e">
        <f t="shared" si="31"/>
        <v>#DIV/0!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 t="e">
        <f t="shared" si="32"/>
        <v>#DIV/0!</v>
      </c>
      <c r="Q337" s="2" t="e">
        <f t="shared" si="33"/>
        <v>#DIV/0!</v>
      </c>
      <c r="R337" s="2" t="e">
        <f t="shared" si="34"/>
        <v>#DIV/0!</v>
      </c>
      <c r="S337" t="e">
        <f t="shared" si="35"/>
        <v>#DIV/0!</v>
      </c>
      <c r="U337" t="e">
        <v>#NUM!</v>
      </c>
    </row>
    <row r="338" spans="1:21" ht="13.9" x14ac:dyDescent="0.3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30"/>
        <v>0.95524342176948218</v>
      </c>
      <c r="I338" s="2">
        <f t="shared" si="31"/>
        <v>0.66184521303888411</v>
      </c>
      <c r="J338" s="2">
        <v>10.24</v>
      </c>
      <c r="K338" s="2">
        <v>0</v>
      </c>
      <c r="L338" s="2">
        <v>0</v>
      </c>
      <c r="M338" s="2">
        <v>1.54</v>
      </c>
      <c r="N338" s="2">
        <v>0</v>
      </c>
      <c r="O338" s="2">
        <v>2.44</v>
      </c>
      <c r="P338" s="2">
        <f t="shared" si="32"/>
        <v>1.3633753794563512</v>
      </c>
      <c r="Q338" s="2">
        <f t="shared" si="33"/>
        <v>0.58178903140539717</v>
      </c>
      <c r="R338" s="2">
        <f t="shared" si="34"/>
        <v>0.40813195768686905</v>
      </c>
      <c r="S338">
        <f t="shared" si="35"/>
        <v>1.4272544027896574</v>
      </c>
      <c r="U338">
        <v>3.3561438102252756</v>
      </c>
    </row>
    <row r="339" spans="1:21" ht="13.9" x14ac:dyDescent="0.3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30"/>
        <v>#NUM!</v>
      </c>
      <c r="I339" s="2">
        <f t="shared" si="31"/>
        <v>4.2024932043290962E-2</v>
      </c>
      <c r="J339" s="2">
        <v>1.08</v>
      </c>
      <c r="K339" s="2">
        <v>0</v>
      </c>
      <c r="L339" s="2">
        <v>0</v>
      </c>
      <c r="M339" s="2">
        <v>0.51</v>
      </c>
      <c r="N339" s="2">
        <v>0</v>
      </c>
      <c r="O339" s="2">
        <v>0.54</v>
      </c>
      <c r="P339" s="2">
        <f t="shared" si="32"/>
        <v>4.064198449734608E-2</v>
      </c>
      <c r="Q339" s="2">
        <f t="shared" si="33"/>
        <v>0.98126998760156148</v>
      </c>
      <c r="R339" s="2" t="e">
        <f t="shared" si="34"/>
        <v>#NUM!</v>
      </c>
      <c r="S339" t="e">
        <f t="shared" si="35"/>
        <v>#NUM!</v>
      </c>
      <c r="U339">
        <v>0.11103131238874395</v>
      </c>
    </row>
    <row r="340" spans="1:21" ht="13.9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30"/>
        <v>#NUM!</v>
      </c>
      <c r="I340" s="2">
        <f t="shared" si="31"/>
        <v>0.25117827857643138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 t="e">
        <f t="shared" si="32"/>
        <v>#DIV/0!</v>
      </c>
      <c r="Q340" s="2" t="e">
        <f t="shared" si="33"/>
        <v>#DIV/0!</v>
      </c>
      <c r="R340" s="2" t="e">
        <f t="shared" si="34"/>
        <v>#DIV/0!</v>
      </c>
      <c r="S340" t="e">
        <f t="shared" si="35"/>
        <v>#DIV/0!</v>
      </c>
      <c r="U340" t="e">
        <v>#NUM!</v>
      </c>
    </row>
    <row r="341" spans="1:21" ht="13.9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30"/>
        <v>#NUM!</v>
      </c>
      <c r="I341" s="2">
        <f t="shared" si="31"/>
        <v>0.22149416901086655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 t="e">
        <f t="shared" si="32"/>
        <v>#DIV/0!</v>
      </c>
      <c r="Q341" s="2" t="e">
        <f t="shared" si="33"/>
        <v>#DIV/0!</v>
      </c>
      <c r="R341" s="2" t="e">
        <f t="shared" si="34"/>
        <v>#DIV/0!</v>
      </c>
      <c r="S341" t="e">
        <f t="shared" si="35"/>
        <v>#DIV/0!</v>
      </c>
      <c r="U341" t="e">
        <v>#NUM!</v>
      </c>
    </row>
    <row r="342" spans="1:21" ht="13.9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30"/>
        <v>#NUM!</v>
      </c>
      <c r="I342" s="2">
        <f t="shared" si="31"/>
        <v>0.37390096630005903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 t="e">
        <f t="shared" si="32"/>
        <v>#DIV/0!</v>
      </c>
      <c r="Q342" s="2" t="e">
        <f t="shared" si="33"/>
        <v>#DIV/0!</v>
      </c>
      <c r="R342" s="2" t="e">
        <f t="shared" si="34"/>
        <v>#DIV/0!</v>
      </c>
      <c r="S342" t="e">
        <f t="shared" si="35"/>
        <v>#DIV/0!</v>
      </c>
      <c r="U342" t="e">
        <v>#NUM!</v>
      </c>
    </row>
    <row r="343" spans="1:21" ht="13.9" x14ac:dyDescent="0.3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30"/>
        <v>#NUM!</v>
      </c>
      <c r="I343" s="2">
        <f t="shared" si="31"/>
        <v>6.50762374985632E-2</v>
      </c>
      <c r="J343" s="2">
        <v>0</v>
      </c>
      <c r="K343" s="2">
        <v>0</v>
      </c>
      <c r="L343" s="2">
        <v>0</v>
      </c>
      <c r="M343" s="2">
        <v>0.72</v>
      </c>
      <c r="N343" s="2">
        <v>0</v>
      </c>
      <c r="O343" s="2">
        <v>1.89</v>
      </c>
      <c r="P343" s="2" t="e">
        <f t="shared" si="32"/>
        <v>#NUM!</v>
      </c>
      <c r="Q343" s="2">
        <f t="shared" si="33"/>
        <v>0.18931767648133244</v>
      </c>
      <c r="R343" s="2" t="e">
        <f t="shared" si="34"/>
        <v>#NUM!</v>
      </c>
      <c r="S343" t="e">
        <f t="shared" si="35"/>
        <v>#NUM!</v>
      </c>
      <c r="U343" t="e">
        <v>#NUM!</v>
      </c>
    </row>
    <row r="344" spans="1:21" ht="13.9" x14ac:dyDescent="0.3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30"/>
        <v>#NUM!</v>
      </c>
      <c r="I344" s="2">
        <f t="shared" si="31"/>
        <v>4.7850740397449965E-2</v>
      </c>
      <c r="J344" s="2">
        <v>0</v>
      </c>
      <c r="K344" s="2">
        <v>0</v>
      </c>
      <c r="L344" s="2">
        <v>0</v>
      </c>
      <c r="M344" s="2">
        <v>0.31</v>
      </c>
      <c r="N344" s="2">
        <v>0</v>
      </c>
      <c r="O344" s="2">
        <v>0.68</v>
      </c>
      <c r="P344" s="2" t="e">
        <f t="shared" si="32"/>
        <v>#NUM!</v>
      </c>
      <c r="Q344" s="2">
        <f t="shared" si="33"/>
        <v>0.16846605525595862</v>
      </c>
      <c r="R344" s="2" t="e">
        <f t="shared" si="34"/>
        <v>#NUM!</v>
      </c>
      <c r="S344" t="e">
        <f t="shared" si="35"/>
        <v>#NUM!</v>
      </c>
      <c r="U344" t="e">
        <v>#NUM!</v>
      </c>
    </row>
    <row r="345" spans="1:21" ht="13.9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30"/>
        <v>#NUM!</v>
      </c>
      <c r="I345" s="2">
        <f t="shared" si="31"/>
        <v>3.9193001592135165E-2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0.27</v>
      </c>
      <c r="P345" s="2" t="e">
        <f t="shared" si="32"/>
        <v>#NUM!</v>
      </c>
      <c r="Q345" s="2">
        <f t="shared" si="33"/>
        <v>0.37390096630005903</v>
      </c>
      <c r="R345" s="2" t="e">
        <f t="shared" si="34"/>
        <v>#NUM!</v>
      </c>
      <c r="S345" t="e">
        <f t="shared" si="35"/>
        <v>#NUM!</v>
      </c>
      <c r="U345" t="e">
        <v>#NUM!</v>
      </c>
    </row>
    <row r="346" spans="1:21" ht="13.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30"/>
        <v>#DIV/0!</v>
      </c>
      <c r="I346" s="2" t="e">
        <f t="shared" si="31"/>
        <v>#DIV/0!</v>
      </c>
      <c r="J346" s="2">
        <v>5.21</v>
      </c>
      <c r="K346" s="2">
        <v>0</v>
      </c>
      <c r="L346" s="2">
        <v>0</v>
      </c>
      <c r="M346" s="2">
        <v>0.51</v>
      </c>
      <c r="N346" s="2">
        <v>0</v>
      </c>
      <c r="O346" s="2">
        <v>0.81</v>
      </c>
      <c r="P346" s="2">
        <f t="shared" si="32"/>
        <v>1.9807454429200548</v>
      </c>
      <c r="Q346" s="2">
        <f t="shared" si="33"/>
        <v>0.50047910018303399</v>
      </c>
      <c r="R346" s="2" t="e">
        <f t="shared" si="34"/>
        <v>#DIV/0!</v>
      </c>
      <c r="S346" t="e">
        <f t="shared" si="35"/>
        <v>#DIV/0!</v>
      </c>
      <c r="U346">
        <v>2.3812833725037836</v>
      </c>
    </row>
    <row r="347" spans="1:21" ht="13.9" x14ac:dyDescent="0.3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30"/>
        <v>0.59111825390627293</v>
      </c>
      <c r="I347" s="2">
        <f t="shared" si="31"/>
        <v>0.32134546947909542</v>
      </c>
      <c r="J347" s="2">
        <v>11.14</v>
      </c>
      <c r="K347" s="2">
        <v>3.35</v>
      </c>
      <c r="L347" s="2">
        <v>25.64</v>
      </c>
      <c r="M347" s="2">
        <v>21.61</v>
      </c>
      <c r="N347" s="2">
        <v>0</v>
      </c>
      <c r="O347" s="2">
        <v>11.5</v>
      </c>
      <c r="P347" s="2">
        <f t="shared" si="32"/>
        <v>0.27741414538299614</v>
      </c>
      <c r="Q347" s="2">
        <f t="shared" si="33"/>
        <v>0.80841468053147225</v>
      </c>
      <c r="R347" s="2">
        <f t="shared" si="34"/>
        <v>-0.31370410852327679</v>
      </c>
      <c r="S347">
        <f t="shared" si="35"/>
        <v>0.46930397352774461</v>
      </c>
      <c r="U347">
        <v>5.3266092510052703</v>
      </c>
    </row>
    <row r="348" spans="1:21" ht="13.9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30"/>
        <v>#NUM!</v>
      </c>
      <c r="I348" s="2">
        <f t="shared" si="31"/>
        <v>0.37390096630005903</v>
      </c>
      <c r="J348" s="2">
        <v>0.9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 t="e">
        <f t="shared" si="32"/>
        <v>#DIV/0!</v>
      </c>
      <c r="Q348" s="2">
        <f t="shared" si="33"/>
        <v>0.37390096630005903</v>
      </c>
      <c r="R348" s="2" t="e">
        <f t="shared" si="34"/>
        <v>#DIV/0!</v>
      </c>
      <c r="S348" t="e">
        <f t="shared" si="35"/>
        <v>#DIV/0!</v>
      </c>
      <c r="U348">
        <v>-0.15200309344504997</v>
      </c>
    </row>
    <row r="349" spans="1:21" ht="13.9" x14ac:dyDescent="0.3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30"/>
        <v>-0.64806230074493576</v>
      </c>
      <c r="I349" s="2">
        <f t="shared" si="31"/>
        <v>0.51220815244014917</v>
      </c>
      <c r="J349" s="2">
        <v>7.19</v>
      </c>
      <c r="K349" s="2">
        <v>12.77</v>
      </c>
      <c r="L349" s="2">
        <v>24.63</v>
      </c>
      <c r="M349" s="2">
        <v>6.28</v>
      </c>
      <c r="N349" s="2">
        <v>0</v>
      </c>
      <c r="O349" s="2">
        <v>16.239999999999998</v>
      </c>
      <c r="P349" s="2">
        <f t="shared" si="32"/>
        <v>0.98551337223367519</v>
      </c>
      <c r="Q349" s="2">
        <f t="shared" si="33"/>
        <v>0.35168526836112268</v>
      </c>
      <c r="R349" s="2">
        <f t="shared" si="34"/>
        <v>1.6335756729786111</v>
      </c>
      <c r="S349">
        <f t="shared" si="35"/>
        <v>-1.52070776389993</v>
      </c>
      <c r="U349">
        <v>5.4786482945391803</v>
      </c>
    </row>
    <row r="350" spans="1:21" ht="13.9" x14ac:dyDescent="0.3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30"/>
        <v>0.51518487308945837</v>
      </c>
      <c r="I350" s="2">
        <f t="shared" si="31"/>
        <v>0.63596415847709675</v>
      </c>
      <c r="J350" s="2">
        <v>0</v>
      </c>
      <c r="K350" s="2">
        <v>7.74</v>
      </c>
      <c r="L350" s="2">
        <v>13.07</v>
      </c>
      <c r="M350" s="2">
        <v>2.57</v>
      </c>
      <c r="N350" s="2">
        <v>0</v>
      </c>
      <c r="O350" s="2">
        <v>6.36</v>
      </c>
      <c r="P350" s="2">
        <f t="shared" si="32"/>
        <v>1.2205448846141118</v>
      </c>
      <c r="Q350" s="2">
        <f t="shared" si="33"/>
        <v>0.40117924157544738</v>
      </c>
      <c r="R350" s="2">
        <f t="shared" si="34"/>
        <v>0.70536001152465344</v>
      </c>
      <c r="S350">
        <f t="shared" si="35"/>
        <v>2.3691396008868693</v>
      </c>
      <c r="U350">
        <v>4.3792050599606105</v>
      </c>
    </row>
    <row r="351" spans="1:21" ht="13.9" x14ac:dyDescent="0.3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30"/>
        <v>-7.110533501861072</v>
      </c>
      <c r="I351" s="2">
        <f t="shared" si="31"/>
        <v>5.8976411794679014E-4</v>
      </c>
      <c r="J351" s="2">
        <v>8.8000000000000007</v>
      </c>
      <c r="K351" s="2">
        <v>9.42</v>
      </c>
      <c r="L351" s="2">
        <v>25.64</v>
      </c>
      <c r="M351" s="2">
        <v>9.8800000000000008</v>
      </c>
      <c r="N351" s="2">
        <v>0</v>
      </c>
      <c r="O351" s="2">
        <v>9.61</v>
      </c>
      <c r="P351" s="2">
        <f t="shared" si="32"/>
        <v>1.1701717214157035</v>
      </c>
      <c r="Q351" s="2">
        <f t="shared" si="33"/>
        <v>0.27311966734436344</v>
      </c>
      <c r="R351" s="2">
        <f t="shared" si="34"/>
        <v>8.2807052232767759</v>
      </c>
      <c r="S351">
        <f t="shared" si="35"/>
        <v>-0.16456876563614098</v>
      </c>
      <c r="U351">
        <v>5.4548339068988687</v>
      </c>
    </row>
    <row r="352" spans="1:21" ht="13.9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30"/>
        <v>#NUM!</v>
      </c>
      <c r="I352" s="5">
        <f t="shared" si="31"/>
        <v>0.37390096630005903</v>
      </c>
      <c r="J352" s="5">
        <v>0</v>
      </c>
      <c r="K352" s="5">
        <v>4.8099999999999996</v>
      </c>
      <c r="L352" s="5">
        <v>0</v>
      </c>
      <c r="M352" s="5">
        <v>0.1</v>
      </c>
      <c r="N352" s="5">
        <v>0</v>
      </c>
      <c r="O352" s="5">
        <v>0</v>
      </c>
      <c r="P352" s="5">
        <f t="shared" si="32"/>
        <v>5.5879649888826792</v>
      </c>
      <c r="Q352" s="5">
        <f t="shared" si="33"/>
        <v>0.38301240670567549</v>
      </c>
      <c r="R352" s="5" t="e">
        <f t="shared" si="34"/>
        <v>#NUM!</v>
      </c>
      <c r="S352" t="e">
        <f t="shared" si="35"/>
        <v>#NUM!</v>
      </c>
      <c r="U352">
        <v>2.266036893995317</v>
      </c>
    </row>
    <row r="353" spans="1:21" ht="13.9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30"/>
        <v>#NUM!</v>
      </c>
      <c r="I353" s="2">
        <f t="shared" si="31"/>
        <v>0.12822231080077795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0.41</v>
      </c>
      <c r="P353" s="2" t="e">
        <f t="shared" si="32"/>
        <v>#NUM!</v>
      </c>
      <c r="Q353" s="2">
        <f t="shared" si="33"/>
        <v>0.37390096630005903</v>
      </c>
      <c r="R353" s="2" t="e">
        <f t="shared" si="34"/>
        <v>#NUM!</v>
      </c>
      <c r="S353" t="e">
        <f t="shared" si="35"/>
        <v>#NUM!</v>
      </c>
      <c r="U353" t="e">
        <v>#NUM!</v>
      </c>
    </row>
    <row r="354" spans="1:21" ht="13.9" x14ac:dyDescent="0.3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30"/>
        <v>-2.4406625545974898</v>
      </c>
      <c r="I354" s="2">
        <f t="shared" si="31"/>
        <v>1.2758855280292719E-2</v>
      </c>
      <c r="J354" s="2">
        <v>13.11</v>
      </c>
      <c r="K354" s="2">
        <v>28.25</v>
      </c>
      <c r="L354" s="2">
        <v>13.07</v>
      </c>
      <c r="M354" s="2">
        <v>55.35</v>
      </c>
      <c r="N354" s="2">
        <v>40.880000000000003</v>
      </c>
      <c r="O354" s="2">
        <v>46.97</v>
      </c>
      <c r="P354" s="2">
        <f t="shared" si="32"/>
        <v>-1.3955575514265248</v>
      </c>
      <c r="Q354" s="2">
        <f t="shared" si="33"/>
        <v>1.0776204729483884E-2</v>
      </c>
      <c r="R354" s="2">
        <f t="shared" si="34"/>
        <v>1.045105003170965</v>
      </c>
      <c r="S354">
        <f t="shared" si="35"/>
        <v>0.57179455176943872</v>
      </c>
      <c r="U354">
        <v>5.7663301309503687</v>
      </c>
    </row>
    <row r="355" spans="1:21" ht="13.9" x14ac:dyDescent="0.3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30"/>
        <v>1.9006238372061601</v>
      </c>
      <c r="I355" s="2">
        <f t="shared" si="31"/>
        <v>0.50817155935332814</v>
      </c>
      <c r="J355" s="2">
        <v>10.24</v>
      </c>
      <c r="K355" s="2">
        <v>4.8099999999999996</v>
      </c>
      <c r="L355" s="2">
        <v>0</v>
      </c>
      <c r="M355" s="2">
        <v>0.72</v>
      </c>
      <c r="N355" s="2">
        <v>0</v>
      </c>
      <c r="O355" s="2">
        <v>0</v>
      </c>
      <c r="P355" s="2">
        <f t="shared" si="32"/>
        <v>4.3856227702047521</v>
      </c>
      <c r="Q355" s="2">
        <f t="shared" si="33"/>
        <v>0.18276499298380758</v>
      </c>
      <c r="R355" s="2">
        <f t="shared" si="34"/>
        <v>2.4849989329985922</v>
      </c>
      <c r="S355">
        <f t="shared" si="35"/>
        <v>2.3074648882923827</v>
      </c>
      <c r="U355">
        <v>3.9116915818723403</v>
      </c>
    </row>
    <row r="356" spans="1:21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30"/>
        <v>#DIV/0!</v>
      </c>
      <c r="I356" s="2" t="e">
        <f t="shared" si="31"/>
        <v>#DIV/0!</v>
      </c>
      <c r="J356" s="2">
        <v>0</v>
      </c>
      <c r="K356" s="2">
        <v>0</v>
      </c>
      <c r="L356" s="2">
        <v>0</v>
      </c>
      <c r="M356" s="2">
        <v>0.62</v>
      </c>
      <c r="N356" s="2">
        <v>0</v>
      </c>
      <c r="O356" s="2">
        <v>0</v>
      </c>
      <c r="P356" s="2" t="e">
        <f t="shared" si="32"/>
        <v>#NUM!</v>
      </c>
      <c r="Q356" s="2">
        <f t="shared" si="33"/>
        <v>0.37390096630005903</v>
      </c>
      <c r="R356" s="2" t="e">
        <f t="shared" si="34"/>
        <v>#NUM!</v>
      </c>
      <c r="S356" t="e">
        <f t="shared" si="35"/>
        <v>#NUM!</v>
      </c>
      <c r="U356" t="e">
        <v>#NUM!</v>
      </c>
    </row>
    <row r="357" spans="1:21" ht="13.9" x14ac:dyDescent="0.3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30"/>
        <v>1.2230038623461892</v>
      </c>
      <c r="I357" s="2">
        <f t="shared" si="31"/>
        <v>0.60027355737712229</v>
      </c>
      <c r="J357" s="2">
        <v>11.14</v>
      </c>
      <c r="K357" s="2">
        <v>23.23</v>
      </c>
      <c r="L357" s="2">
        <v>5.03</v>
      </c>
      <c r="M357" s="2">
        <v>2.16</v>
      </c>
      <c r="N357" s="2">
        <v>0</v>
      </c>
      <c r="O357" s="2">
        <v>2.2999999999999998</v>
      </c>
      <c r="P357" s="2">
        <f t="shared" si="32"/>
        <v>3.1430800144234343</v>
      </c>
      <c r="Q357" s="2">
        <f t="shared" si="33"/>
        <v>9.720143008466231E-2</v>
      </c>
      <c r="R357" s="2">
        <f t="shared" si="34"/>
        <v>1.9200761520772451</v>
      </c>
      <c r="S357">
        <f t="shared" si="35"/>
        <v>2.5699673657561513</v>
      </c>
      <c r="U357">
        <v>5.3001237245690147</v>
      </c>
    </row>
    <row r="358" spans="1:21" ht="13.9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30"/>
        <v>#NUM!</v>
      </c>
      <c r="I358" s="2">
        <f t="shared" si="31"/>
        <v>0.37390096630005903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0.14000000000000001</v>
      </c>
      <c r="P358" s="2" t="e">
        <f t="shared" si="32"/>
        <v>#NUM!</v>
      </c>
      <c r="Q358" s="2">
        <f t="shared" si="33"/>
        <v>0.37390096630005903</v>
      </c>
      <c r="R358" s="2" t="e">
        <f t="shared" si="34"/>
        <v>#NUM!</v>
      </c>
      <c r="S358" t="e">
        <f t="shared" si="35"/>
        <v>#NUM!</v>
      </c>
      <c r="U358" t="e">
        <v>#NUM!</v>
      </c>
    </row>
    <row r="359" spans="1:21" ht="13.9" x14ac:dyDescent="0.3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30"/>
        <v>0.69464875947435489</v>
      </c>
      <c r="I359" s="2">
        <f t="shared" si="31"/>
        <v>0.54256732330199919</v>
      </c>
      <c r="J359" s="2">
        <v>11.32</v>
      </c>
      <c r="K359" s="2">
        <v>5.65</v>
      </c>
      <c r="L359" s="2">
        <v>0</v>
      </c>
      <c r="M359" s="2">
        <v>3.19</v>
      </c>
      <c r="N359" s="2">
        <v>40.880000000000003</v>
      </c>
      <c r="O359" s="2">
        <v>8.93</v>
      </c>
      <c r="P359" s="2">
        <f t="shared" si="32"/>
        <v>-1.6430057947952605</v>
      </c>
      <c r="Q359" s="2">
        <f t="shared" si="33"/>
        <v>0.37962596010743554</v>
      </c>
      <c r="R359" s="2">
        <f t="shared" si="34"/>
        <v>-2.3376545542696157</v>
      </c>
      <c r="S359">
        <f t="shared" si="35"/>
        <v>-2.3652324608461597</v>
      </c>
      <c r="U359">
        <v>4.0849146597679384</v>
      </c>
    </row>
    <row r="360" spans="1:21" ht="13.9" x14ac:dyDescent="0.3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30"/>
        <v>2.3849062436062014</v>
      </c>
      <c r="I360" s="2">
        <f t="shared" si="31"/>
        <v>9.4291688613752228E-3</v>
      </c>
      <c r="J360" s="2">
        <v>0.18</v>
      </c>
      <c r="K360" s="2">
        <v>4.8099999999999996</v>
      </c>
      <c r="L360" s="2">
        <v>27.65</v>
      </c>
      <c r="M360" s="2">
        <v>4.12</v>
      </c>
      <c r="N360" s="2">
        <v>286.13</v>
      </c>
      <c r="O360" s="2">
        <v>2.17</v>
      </c>
      <c r="P360" s="2">
        <f t="shared" si="32"/>
        <v>-3.1633290250450048</v>
      </c>
      <c r="Q360" s="2">
        <f t="shared" si="33"/>
        <v>0.41229333965147053</v>
      </c>
      <c r="R360" s="2">
        <f t="shared" si="34"/>
        <v>-5.5482352686512062</v>
      </c>
      <c r="S360">
        <f t="shared" si="35"/>
        <v>-1.3263955484731154</v>
      </c>
      <c r="U360">
        <v>5.0285691521967708</v>
      </c>
    </row>
    <row r="361" spans="1:21" ht="13.9" x14ac:dyDescent="0.3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30"/>
        <v>-1.6014885631448867</v>
      </c>
      <c r="I361" s="2">
        <f t="shared" si="31"/>
        <v>6.6780558083504799E-3</v>
      </c>
      <c r="J361" s="2">
        <v>90.73</v>
      </c>
      <c r="K361" s="2">
        <v>105.48</v>
      </c>
      <c r="L361" s="2">
        <v>198.58</v>
      </c>
      <c r="M361" s="2">
        <v>177.69</v>
      </c>
      <c r="N361" s="2">
        <v>245.26</v>
      </c>
      <c r="O361" s="2">
        <v>178.93</v>
      </c>
      <c r="P361" s="2">
        <f t="shared" si="32"/>
        <v>-0.60839043100792178</v>
      </c>
      <c r="Q361" s="2">
        <f t="shared" si="33"/>
        <v>0.1632756501198841</v>
      </c>
      <c r="R361" s="2">
        <f t="shared" si="34"/>
        <v>0.99309813213696496</v>
      </c>
      <c r="S361">
        <f t="shared" si="35"/>
        <v>0.37989058742524451</v>
      </c>
      <c r="U361">
        <v>8.6249416366786509</v>
      </c>
    </row>
    <row r="362" spans="1:21" ht="13.9" x14ac:dyDescent="0.3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30"/>
        <v>-0.50690404401559586</v>
      </c>
      <c r="I362" s="2">
        <f t="shared" si="31"/>
        <v>3.7256041440053247E-2</v>
      </c>
      <c r="J362" s="2">
        <v>407.63</v>
      </c>
      <c r="K362" s="2">
        <v>679.74</v>
      </c>
      <c r="L362" s="2">
        <v>454.98</v>
      </c>
      <c r="M362" s="2">
        <v>592.03</v>
      </c>
      <c r="N362" s="2">
        <v>81.75</v>
      </c>
      <c r="O362" s="2">
        <v>592.96</v>
      </c>
      <c r="P362" s="2">
        <f t="shared" si="32"/>
        <v>0.28400974819227631</v>
      </c>
      <c r="Q362" s="2">
        <f t="shared" si="33"/>
        <v>0.65368969359935936</v>
      </c>
      <c r="R362" s="2">
        <f t="shared" si="34"/>
        <v>0.79091379220787217</v>
      </c>
      <c r="S362">
        <f t="shared" si="35"/>
        <v>-0.56028305858916805</v>
      </c>
      <c r="U362">
        <v>10.590914472721446</v>
      </c>
    </row>
    <row r="363" spans="1:21" ht="13.9" x14ac:dyDescent="0.3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30"/>
        <v>2.1408330425034539</v>
      </c>
      <c r="I363" s="2">
        <f t="shared" si="31"/>
        <v>0.29829829693674442</v>
      </c>
      <c r="J363" s="2">
        <v>227.62</v>
      </c>
      <c r="K363" s="2">
        <v>391.36</v>
      </c>
      <c r="L363" s="2">
        <v>1056.76</v>
      </c>
      <c r="M363" s="2">
        <v>56.38</v>
      </c>
      <c r="N363" s="2">
        <v>40.880000000000003</v>
      </c>
      <c r="O363" s="2">
        <v>193.95</v>
      </c>
      <c r="P363" s="2">
        <f t="shared" si="32"/>
        <v>2.5246665216716209</v>
      </c>
      <c r="Q363" s="2">
        <f t="shared" si="33"/>
        <v>0.14834906119181837</v>
      </c>
      <c r="R363" s="2">
        <f t="shared" si="34"/>
        <v>0.38383347916816701</v>
      </c>
      <c r="S363">
        <f t="shared" si="35"/>
        <v>1.1792916456106819</v>
      </c>
      <c r="U363">
        <v>10.710582609231235</v>
      </c>
    </row>
    <row r="364" spans="1:21" ht="13.9" x14ac:dyDescent="0.3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30"/>
        <v>0.82818299783017546</v>
      </c>
      <c r="I364" s="2">
        <f t="shared" si="31"/>
        <v>1.3056714670193963E-2</v>
      </c>
      <c r="J364" s="2">
        <v>155.58000000000001</v>
      </c>
      <c r="K364" s="2">
        <v>106.52</v>
      </c>
      <c r="L364" s="2">
        <v>171.44</v>
      </c>
      <c r="M364" s="2">
        <v>91.88</v>
      </c>
      <c r="N364" s="2">
        <v>449.64</v>
      </c>
      <c r="O364" s="2">
        <v>108.68</v>
      </c>
      <c r="P364" s="2">
        <f t="shared" si="32"/>
        <v>-0.58471844807277018</v>
      </c>
      <c r="Q364" s="2">
        <f t="shared" si="33"/>
        <v>0.57415725891681979</v>
      </c>
      <c r="R364" s="2">
        <f t="shared" si="34"/>
        <v>-1.4129014459029456</v>
      </c>
      <c r="S364">
        <f t="shared" si="35"/>
        <v>-0.70602566051793136</v>
      </c>
      <c r="U364">
        <v>8.7600212977302228</v>
      </c>
    </row>
    <row r="365" spans="1:21" ht="13.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30"/>
        <v>#DIV/0!</v>
      </c>
      <c r="I365" s="2" t="e">
        <f t="shared" si="31"/>
        <v>#DIV/0!</v>
      </c>
      <c r="J365" s="2">
        <v>0</v>
      </c>
      <c r="K365" s="2">
        <v>0</v>
      </c>
      <c r="L365" s="2">
        <v>0.5</v>
      </c>
      <c r="M365" s="2">
        <v>0</v>
      </c>
      <c r="N365" s="2">
        <v>0</v>
      </c>
      <c r="O365" s="2">
        <v>0</v>
      </c>
      <c r="P365" s="2" t="e">
        <f t="shared" si="32"/>
        <v>#DIV/0!</v>
      </c>
      <c r="Q365" s="2">
        <f t="shared" si="33"/>
        <v>0.37390096630005903</v>
      </c>
      <c r="R365" s="2" t="e">
        <f t="shared" si="34"/>
        <v>#DIV/0!</v>
      </c>
      <c r="S365" t="e">
        <f t="shared" si="35"/>
        <v>#DIV/0!</v>
      </c>
      <c r="U365">
        <v>-1</v>
      </c>
    </row>
    <row r="366" spans="1:21" ht="13.9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30"/>
        <v>#NUM!</v>
      </c>
      <c r="I366" s="2">
        <f t="shared" si="31"/>
        <v>0.37390096630005903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2.17</v>
      </c>
      <c r="P366" s="2" t="e">
        <f t="shared" si="32"/>
        <v>#NUM!</v>
      </c>
      <c r="Q366" s="2">
        <f t="shared" si="33"/>
        <v>0.37390096630005903</v>
      </c>
      <c r="R366" s="2" t="e">
        <f t="shared" si="34"/>
        <v>#NUM!</v>
      </c>
      <c r="S366" t="e">
        <f t="shared" si="35"/>
        <v>#NUM!</v>
      </c>
      <c r="U366" t="e">
        <v>#NUM!</v>
      </c>
    </row>
    <row r="367" spans="1:21" ht="13.9" x14ac:dyDescent="0.3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30"/>
        <v>#NUM!</v>
      </c>
      <c r="I367" s="2">
        <f t="shared" si="31"/>
        <v>9.4368458112234575E-4</v>
      </c>
      <c r="J367" s="2">
        <v>0</v>
      </c>
      <c r="K367" s="2">
        <v>0</v>
      </c>
      <c r="L367" s="2">
        <v>17.600000000000001</v>
      </c>
      <c r="M367" s="2">
        <v>4.32</v>
      </c>
      <c r="N367" s="2">
        <v>40.880000000000003</v>
      </c>
      <c r="O367" s="2">
        <v>3.38</v>
      </c>
      <c r="P367" s="2">
        <f t="shared" si="32"/>
        <v>-1.4647870611112055</v>
      </c>
      <c r="Q367" s="2">
        <f t="shared" si="33"/>
        <v>0.49201616950164512</v>
      </c>
      <c r="R367" s="2" t="e">
        <f t="shared" si="34"/>
        <v>#NUM!</v>
      </c>
      <c r="S367" t="e">
        <f t="shared" si="35"/>
        <v>#NUM!</v>
      </c>
      <c r="U367">
        <v>4.1375035237499356</v>
      </c>
    </row>
    <row r="368" spans="1:21" ht="13.9" x14ac:dyDescent="0.3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30"/>
        <v>-2.590748166043944</v>
      </c>
      <c r="I368" s="2">
        <f t="shared" si="31"/>
        <v>4.1799338849886061E-3</v>
      </c>
      <c r="J368" s="2">
        <v>11.5</v>
      </c>
      <c r="K368" s="2">
        <v>15.49</v>
      </c>
      <c r="L368" s="2">
        <v>0</v>
      </c>
      <c r="M368" s="2">
        <v>42.6</v>
      </c>
      <c r="N368" s="2">
        <v>0</v>
      </c>
      <c r="O368" s="2">
        <v>31.54</v>
      </c>
      <c r="P368" s="2">
        <f t="shared" si="32"/>
        <v>-1.457827138352304</v>
      </c>
      <c r="Q368" s="2">
        <f t="shared" si="33"/>
        <v>0.31156718024672908</v>
      </c>
      <c r="R368" s="2">
        <f t="shared" si="34"/>
        <v>1.1329210276916399</v>
      </c>
      <c r="S368">
        <f t="shared" si="35"/>
        <v>0.56270507394718983</v>
      </c>
      <c r="U368">
        <v>4.754353071692127</v>
      </c>
    </row>
    <row r="369" spans="1:21" ht="13.9" x14ac:dyDescent="0.3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30"/>
        <v>2.0119330294959803</v>
      </c>
      <c r="I369" s="2">
        <f t="shared" si="31"/>
        <v>0.18824049316975808</v>
      </c>
      <c r="J369" s="2">
        <v>7.37</v>
      </c>
      <c r="K369" s="2">
        <v>14.23</v>
      </c>
      <c r="L369" s="2">
        <v>1.01</v>
      </c>
      <c r="M369" s="2">
        <v>2.06</v>
      </c>
      <c r="N369" s="2">
        <v>0</v>
      </c>
      <c r="O369" s="2">
        <v>6.09</v>
      </c>
      <c r="P369" s="2">
        <f t="shared" si="32"/>
        <v>1.4720890276330894</v>
      </c>
      <c r="Q369" s="2">
        <f t="shared" si="33"/>
        <v>0.31664253772273421</v>
      </c>
      <c r="R369" s="2">
        <f t="shared" si="34"/>
        <v>-0.53984400186289094</v>
      </c>
      <c r="S369">
        <f t="shared" si="35"/>
        <v>0.73167894062650285</v>
      </c>
      <c r="U369">
        <v>4.4988890869768046</v>
      </c>
    </row>
    <row r="370" spans="1:21" ht="13.9" x14ac:dyDescent="0.3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30"/>
        <v>-0.15410003428062979</v>
      </c>
      <c r="I370" s="2">
        <f t="shared" si="31"/>
        <v>0.93333224053786012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0.68</v>
      </c>
      <c r="P370" s="2" t="e">
        <f t="shared" si="32"/>
        <v>#NUM!</v>
      </c>
      <c r="Q370" s="2">
        <f t="shared" si="33"/>
        <v>0.37390096630005903</v>
      </c>
      <c r="R370" s="2" t="e">
        <f t="shared" si="34"/>
        <v>#NUM!</v>
      </c>
      <c r="S370" t="e">
        <f t="shared" si="35"/>
        <v>#NUM!</v>
      </c>
      <c r="U370" t="e">
        <v>#NUM!</v>
      </c>
    </row>
    <row r="371" spans="1:21" ht="13.9" x14ac:dyDescent="0.3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30"/>
        <v>-1.9744111712305641</v>
      </c>
      <c r="I371" s="2">
        <f t="shared" si="31"/>
        <v>4.4863050886835315E-2</v>
      </c>
      <c r="J371" s="2">
        <v>4.8499999999999996</v>
      </c>
      <c r="K371" s="2">
        <v>3.98</v>
      </c>
      <c r="L371" s="2">
        <v>25.14</v>
      </c>
      <c r="M371" s="2">
        <v>15.33</v>
      </c>
      <c r="N371" s="2">
        <v>0</v>
      </c>
      <c r="O371" s="2">
        <v>8.26</v>
      </c>
      <c r="P371" s="2">
        <f t="shared" si="32"/>
        <v>0.52608579963973823</v>
      </c>
      <c r="Q371" s="2">
        <f t="shared" si="33"/>
        <v>0.69511271963005361</v>
      </c>
      <c r="R371" s="2">
        <f t="shared" si="34"/>
        <v>2.5004969708703024</v>
      </c>
      <c r="S371">
        <f t="shared" si="35"/>
        <v>-0.26645199708420003</v>
      </c>
      <c r="U371">
        <v>5.0861893131044766</v>
      </c>
    </row>
    <row r="372" spans="1:21" ht="13.9" x14ac:dyDescent="0.3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30"/>
        <v>-1.3007897026248501</v>
      </c>
      <c r="I372" s="2">
        <f t="shared" si="31"/>
        <v>0.11367318573268639</v>
      </c>
      <c r="J372" s="2">
        <v>72.22</v>
      </c>
      <c r="K372" s="2">
        <v>137.71</v>
      </c>
      <c r="L372" s="2">
        <v>235.28</v>
      </c>
      <c r="M372" s="2">
        <v>178.41</v>
      </c>
      <c r="N372" s="2">
        <v>2043.82</v>
      </c>
      <c r="O372" s="2">
        <v>397.25</v>
      </c>
      <c r="P372" s="2">
        <f t="shared" si="32"/>
        <v>-2.5567225439460128</v>
      </c>
      <c r="Q372" s="2">
        <f t="shared" si="33"/>
        <v>0.28707308022788863</v>
      </c>
      <c r="R372" s="2">
        <f t="shared" si="34"/>
        <v>-1.2559328413211628</v>
      </c>
      <c r="S372">
        <f t="shared" si="35"/>
        <v>1.9655156700478402</v>
      </c>
      <c r="U372">
        <v>8.7983421876396459</v>
      </c>
    </row>
    <row r="373" spans="1:21" ht="13.9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30"/>
        <v>#NUM!</v>
      </c>
      <c r="I373" s="2">
        <f t="shared" si="31"/>
        <v>0.18399335596368105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f t="shared" si="32"/>
        <v>#DIV/0!</v>
      </c>
      <c r="Q373" s="2" t="e">
        <f t="shared" si="33"/>
        <v>#DIV/0!</v>
      </c>
      <c r="R373" s="2" t="e">
        <f t="shared" si="34"/>
        <v>#DIV/0!</v>
      </c>
      <c r="S373" t="e">
        <f t="shared" si="35"/>
        <v>#DIV/0!</v>
      </c>
      <c r="U373" t="e">
        <v>#NUM!</v>
      </c>
    </row>
    <row r="374" spans="1:21" ht="13.9" x14ac:dyDescent="0.3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30"/>
        <v>-2.0984898633993638</v>
      </c>
      <c r="I374" s="2">
        <f t="shared" si="31"/>
        <v>1.6769919398437499E-2</v>
      </c>
      <c r="J374" s="2">
        <v>1.62</v>
      </c>
      <c r="K374" s="2">
        <v>9</v>
      </c>
      <c r="L374" s="2">
        <v>4.0199999999999996</v>
      </c>
      <c r="M374" s="2">
        <v>10.49</v>
      </c>
      <c r="N374" s="2">
        <v>490.52</v>
      </c>
      <c r="O374" s="2">
        <v>24.23</v>
      </c>
      <c r="P374" s="2">
        <f t="shared" si="32"/>
        <v>-5.1649893310761614</v>
      </c>
      <c r="Q374" s="2">
        <f t="shared" si="33"/>
        <v>0.34143387252390678</v>
      </c>
      <c r="R374" s="2">
        <f t="shared" si="34"/>
        <v>-3.0664994676767976</v>
      </c>
      <c r="S374">
        <f t="shared" si="35"/>
        <v>2.4612886729456704</v>
      </c>
      <c r="U374">
        <v>3.8718436485093184</v>
      </c>
    </row>
    <row r="375" spans="1:21" ht="13.9" x14ac:dyDescent="0.3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30"/>
        <v>-1.1552424501182603</v>
      </c>
      <c r="I375" s="2">
        <f t="shared" si="31"/>
        <v>1.2283464177081604E-2</v>
      </c>
      <c r="J375" s="2">
        <v>48.87</v>
      </c>
      <c r="K375" s="2">
        <v>130.59</v>
      </c>
      <c r="L375" s="2">
        <v>164.9</v>
      </c>
      <c r="M375" s="2">
        <v>88.79</v>
      </c>
      <c r="N375" s="2">
        <v>40.880000000000003</v>
      </c>
      <c r="O375" s="2">
        <v>145.63</v>
      </c>
      <c r="P375" s="2">
        <f t="shared" si="32"/>
        <v>0.32291296267032171</v>
      </c>
      <c r="Q375" s="2">
        <f t="shared" si="33"/>
        <v>0.64189710436079417</v>
      </c>
      <c r="R375" s="2">
        <f t="shared" si="34"/>
        <v>1.4781554127885821</v>
      </c>
      <c r="S375">
        <f t="shared" si="35"/>
        <v>-0.27951964770448456</v>
      </c>
      <c r="U375">
        <v>8.4277737623785214</v>
      </c>
    </row>
    <row r="376" spans="1:21" ht="13.9" x14ac:dyDescent="0.3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30"/>
        <v>0.27762713284072865</v>
      </c>
      <c r="I376" s="2">
        <f t="shared" si="31"/>
        <v>0.80340146949294888</v>
      </c>
      <c r="J376" s="2">
        <v>6.29</v>
      </c>
      <c r="K376" s="2">
        <v>12.98</v>
      </c>
      <c r="L376" s="2">
        <v>31.17</v>
      </c>
      <c r="M376" s="2">
        <v>11.73</v>
      </c>
      <c r="N376" s="2">
        <v>0</v>
      </c>
      <c r="O376" s="2">
        <v>54.41</v>
      </c>
      <c r="P376" s="2">
        <f t="shared" si="32"/>
        <v>-0.39095476986289507</v>
      </c>
      <c r="Q376" s="2">
        <f t="shared" si="33"/>
        <v>0.78714611113977351</v>
      </c>
      <c r="R376" s="2">
        <f t="shared" si="34"/>
        <v>-0.66858190270362372</v>
      </c>
      <c r="S376">
        <f t="shared" si="35"/>
        <v>-1.4082008694992398</v>
      </c>
      <c r="U376">
        <v>5.6564963705534952</v>
      </c>
    </row>
    <row r="377" spans="1:21" ht="13.9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30"/>
        <v>#NUM!</v>
      </c>
      <c r="I377" s="2">
        <f t="shared" si="31"/>
        <v>1.7382565833248844E-2</v>
      </c>
      <c r="J377" s="2">
        <v>0</v>
      </c>
      <c r="K377" s="2">
        <v>2.72</v>
      </c>
      <c r="L377" s="2">
        <v>0</v>
      </c>
      <c r="M377" s="2">
        <v>1.44</v>
      </c>
      <c r="N377" s="2">
        <v>0</v>
      </c>
      <c r="O377" s="2">
        <v>0.95</v>
      </c>
      <c r="P377" s="2">
        <f t="shared" si="32"/>
        <v>0.18659603326959126</v>
      </c>
      <c r="Q377" s="2">
        <f t="shared" si="33"/>
        <v>0.91773686195203663</v>
      </c>
      <c r="R377" s="2" t="e">
        <f t="shared" si="34"/>
        <v>#NUM!</v>
      </c>
      <c r="S377" t="e">
        <f t="shared" si="35"/>
        <v>#NUM!</v>
      </c>
      <c r="U377">
        <v>1.4436066514756147</v>
      </c>
    </row>
    <row r="378" spans="1:21" ht="13.9" x14ac:dyDescent="0.3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30"/>
        <v>-1.3870231231092471</v>
      </c>
      <c r="I378" s="2">
        <f t="shared" si="31"/>
        <v>0.51229798941042815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 t="e">
        <f t="shared" si="32"/>
        <v>#DIV/0!</v>
      </c>
      <c r="Q378" s="2" t="e">
        <f t="shared" si="33"/>
        <v>#DIV/0!</v>
      </c>
      <c r="R378" s="2" t="e">
        <f t="shared" si="34"/>
        <v>#DIV/0!</v>
      </c>
      <c r="S378" t="e">
        <f t="shared" si="35"/>
        <v>#DIV/0!</v>
      </c>
      <c r="U378" t="e">
        <v>#NUM!</v>
      </c>
    </row>
    <row r="379" spans="1:21" ht="13.9" x14ac:dyDescent="0.3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30"/>
        <v>0.72111542951186491</v>
      </c>
      <c r="I379" s="2">
        <f t="shared" si="31"/>
        <v>0.72309298802823063</v>
      </c>
      <c r="J379" s="2">
        <v>0</v>
      </c>
      <c r="K379" s="2">
        <v>0</v>
      </c>
      <c r="L379" s="2">
        <v>0</v>
      </c>
      <c r="M379" s="2">
        <v>0</v>
      </c>
      <c r="N379" s="2">
        <v>408.76</v>
      </c>
      <c r="O379" s="2">
        <v>0.41</v>
      </c>
      <c r="P379" s="2" t="e">
        <f t="shared" si="32"/>
        <v>#NUM!</v>
      </c>
      <c r="Q379" s="2">
        <f t="shared" si="33"/>
        <v>0.3732553494844113</v>
      </c>
      <c r="R379" s="2" t="e">
        <f t="shared" si="34"/>
        <v>#NUM!</v>
      </c>
      <c r="S379" t="e">
        <f t="shared" si="35"/>
        <v>#NUM!</v>
      </c>
      <c r="U379" t="e">
        <v>#NUM!</v>
      </c>
    </row>
    <row r="380" spans="1:21" ht="13.9" x14ac:dyDescent="0.3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30"/>
        <v>#DIV/0!</v>
      </c>
      <c r="I380" s="2">
        <f t="shared" si="31"/>
        <v>0.37390096630005903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 t="e">
        <f t="shared" si="32"/>
        <v>#DIV/0!</v>
      </c>
      <c r="Q380" s="2" t="e">
        <f t="shared" si="33"/>
        <v>#DIV/0!</v>
      </c>
      <c r="R380" s="2" t="e">
        <f t="shared" si="34"/>
        <v>#DIV/0!</v>
      </c>
      <c r="S380" t="e">
        <f t="shared" si="35"/>
        <v>#DIV/0!</v>
      </c>
      <c r="U380" t="e">
        <v>#NUM!</v>
      </c>
    </row>
    <row r="381" spans="1:21" ht="13.9" x14ac:dyDescent="0.3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30"/>
        <v>1.443129806308197</v>
      </c>
      <c r="I381" s="2">
        <f t="shared" si="31"/>
        <v>0.56882844746197914</v>
      </c>
      <c r="J381" s="2">
        <v>0</v>
      </c>
      <c r="K381" s="2">
        <v>6.49</v>
      </c>
      <c r="L381" s="2">
        <v>0</v>
      </c>
      <c r="M381" s="2">
        <v>0</v>
      </c>
      <c r="N381" s="2">
        <v>0</v>
      </c>
      <c r="O381" s="2">
        <v>2.84</v>
      </c>
      <c r="P381" s="2">
        <f t="shared" si="32"/>
        <v>1.1923275484944567</v>
      </c>
      <c r="Q381" s="2">
        <f t="shared" si="33"/>
        <v>0.63355678613943223</v>
      </c>
      <c r="R381" s="2">
        <f t="shared" si="34"/>
        <v>-0.25080225781374033</v>
      </c>
      <c r="S381">
        <f t="shared" si="35"/>
        <v>0.82620949500354324</v>
      </c>
      <c r="U381">
        <v>2.6982184782244136</v>
      </c>
    </row>
    <row r="382" spans="1:21" ht="13.9" x14ac:dyDescent="0.3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30"/>
        <v>#NUM!</v>
      </c>
      <c r="I382" s="2">
        <f t="shared" si="31"/>
        <v>0.27304821573138199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 t="e">
        <f t="shared" si="32"/>
        <v>#DIV/0!</v>
      </c>
      <c r="Q382" s="2" t="e">
        <f t="shared" si="33"/>
        <v>#DIV/0!</v>
      </c>
      <c r="R382" s="2" t="e">
        <f t="shared" si="34"/>
        <v>#DIV/0!</v>
      </c>
      <c r="S382" t="e">
        <f t="shared" si="35"/>
        <v>#DIV/0!</v>
      </c>
      <c r="U382" t="e">
        <v>#NUM!</v>
      </c>
    </row>
    <row r="383" spans="1:21" ht="13.9" x14ac:dyDescent="0.3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30"/>
        <v>1.443129806308197</v>
      </c>
      <c r="I383" s="2">
        <f t="shared" si="31"/>
        <v>0.56882844746197914</v>
      </c>
      <c r="J383" s="2">
        <v>0</v>
      </c>
      <c r="K383" s="2">
        <v>6.49</v>
      </c>
      <c r="L383" s="2">
        <v>0</v>
      </c>
      <c r="M383" s="2">
        <v>0</v>
      </c>
      <c r="N383" s="2">
        <v>0</v>
      </c>
      <c r="O383" s="2">
        <v>2.84</v>
      </c>
      <c r="P383" s="2">
        <f t="shared" si="32"/>
        <v>1.1923275484944567</v>
      </c>
      <c r="Q383" s="2">
        <f t="shared" si="33"/>
        <v>0.63355678613943223</v>
      </c>
      <c r="R383" s="2">
        <f t="shared" si="34"/>
        <v>-0.25080225781374033</v>
      </c>
      <c r="S383">
        <f t="shared" si="35"/>
        <v>0.82620949500354324</v>
      </c>
      <c r="U383">
        <v>2.6982184782244136</v>
      </c>
    </row>
    <row r="384" spans="1:21" ht="13.9" x14ac:dyDescent="0.3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30"/>
        <v>#NUM!</v>
      </c>
      <c r="I384" s="2">
        <f t="shared" si="31"/>
        <v>0.14585533230362946</v>
      </c>
      <c r="J384" s="2">
        <v>2.16</v>
      </c>
      <c r="K384" s="2">
        <v>0.84</v>
      </c>
      <c r="L384" s="2">
        <v>0</v>
      </c>
      <c r="M384" s="2">
        <v>0.82</v>
      </c>
      <c r="N384" s="2">
        <v>0</v>
      </c>
      <c r="O384" s="2">
        <v>1.89</v>
      </c>
      <c r="P384" s="2">
        <f t="shared" si="32"/>
        <v>0.14666964914200947</v>
      </c>
      <c r="Q384" s="2">
        <f t="shared" si="33"/>
        <v>0.91325338248676702</v>
      </c>
      <c r="R384" s="2" t="e">
        <f t="shared" si="34"/>
        <v>#NUM!</v>
      </c>
      <c r="S384" t="e">
        <f t="shared" si="35"/>
        <v>#NUM!</v>
      </c>
      <c r="U384">
        <v>1.5849625007211563</v>
      </c>
    </row>
    <row r="385" spans="1:21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30"/>
        <v>#DIV/0!</v>
      </c>
      <c r="I385" s="2" t="e">
        <f t="shared" si="31"/>
        <v>#DIV/0!</v>
      </c>
      <c r="J385" s="2">
        <v>0</v>
      </c>
      <c r="K385" s="2">
        <v>0</v>
      </c>
      <c r="L385" s="2">
        <v>0</v>
      </c>
      <c r="M385" s="2">
        <v>0.31</v>
      </c>
      <c r="N385" s="2">
        <v>0</v>
      </c>
      <c r="O385" s="2">
        <v>0.54</v>
      </c>
      <c r="P385" s="2" t="e">
        <f t="shared" si="32"/>
        <v>#NUM!</v>
      </c>
      <c r="Q385" s="2">
        <f t="shared" si="33"/>
        <v>0.14438407235636969</v>
      </c>
      <c r="R385" s="2" t="e">
        <f t="shared" si="34"/>
        <v>#NUM!</v>
      </c>
      <c r="S385" t="e">
        <f t="shared" si="35"/>
        <v>#NUM!</v>
      </c>
      <c r="U385" t="e">
        <v>#NUM!</v>
      </c>
    </row>
    <row r="386" spans="1:21" ht="13.9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36">LOG(SUM(B386:D386)/SUM(E386:G386),2)</f>
        <v>#NUM!</v>
      </c>
      <c r="I386" s="2">
        <f t="shared" ref="I386:I449" si="37">_xlfn.T.TEST(B386:D386,E386:G386,2,2)</f>
        <v>0.13034320824229523</v>
      </c>
      <c r="J386" s="2">
        <v>0</v>
      </c>
      <c r="K386" s="2">
        <v>0</v>
      </c>
      <c r="L386" s="2">
        <v>0</v>
      </c>
      <c r="M386" s="2">
        <v>1.1299999999999999</v>
      </c>
      <c r="N386" s="2">
        <v>0</v>
      </c>
      <c r="O386" s="2">
        <v>0</v>
      </c>
      <c r="P386" s="2" t="e">
        <f t="shared" ref="P386:P449" si="38">LOG(SUM(J386:L386)/SUM(M386:O386),2)</f>
        <v>#NUM!</v>
      </c>
      <c r="Q386" s="2">
        <f t="shared" ref="Q386:Q449" si="39">_xlfn.T.TEST(J386:L386,M386:O386,2,2)</f>
        <v>0.37390096630005903</v>
      </c>
      <c r="R386" s="2" t="e">
        <f t="shared" si="34"/>
        <v>#NUM!</v>
      </c>
      <c r="S386" t="e">
        <f t="shared" si="35"/>
        <v>#NUM!</v>
      </c>
      <c r="U386" t="e">
        <v>#NUM!</v>
      </c>
    </row>
    <row r="387" spans="1:21" ht="13.9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36"/>
        <v>#NUM!</v>
      </c>
      <c r="I387" s="2">
        <f t="shared" si="37"/>
        <v>0.37390096630005903</v>
      </c>
      <c r="J387" s="2">
        <v>0</v>
      </c>
      <c r="K387" s="2">
        <v>0</v>
      </c>
      <c r="L387" s="2">
        <v>0</v>
      </c>
      <c r="M387" s="2">
        <v>1.75</v>
      </c>
      <c r="N387" s="2">
        <v>0</v>
      </c>
      <c r="O387" s="2">
        <v>2.84</v>
      </c>
      <c r="P387" s="2" t="e">
        <f t="shared" si="38"/>
        <v>#NUM!</v>
      </c>
      <c r="Q387" s="2">
        <f t="shared" si="39"/>
        <v>0.13804562066976742</v>
      </c>
      <c r="R387" s="2" t="e">
        <f t="shared" ref="R387:R450" si="40">P387-H387</f>
        <v>#NUM!</v>
      </c>
      <c r="S387" t="e">
        <f t="shared" si="35"/>
        <v>#NUM!</v>
      </c>
      <c r="U387" t="e">
        <v>#NUM!</v>
      </c>
    </row>
    <row r="388" spans="1:21" ht="13.9" x14ac:dyDescent="0.3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36"/>
        <v>#NUM!</v>
      </c>
      <c r="I388" s="2">
        <f t="shared" si="37"/>
        <v>0.11734271318907021</v>
      </c>
      <c r="J388" s="2">
        <v>4.13</v>
      </c>
      <c r="K388" s="2">
        <v>0.21</v>
      </c>
      <c r="L388" s="2">
        <v>2.0099999999999998</v>
      </c>
      <c r="M388" s="2">
        <v>1.95</v>
      </c>
      <c r="N388" s="2">
        <v>0</v>
      </c>
      <c r="O388" s="2">
        <v>0.54</v>
      </c>
      <c r="P388" s="2">
        <f t="shared" si="38"/>
        <v>1.3506108495914471</v>
      </c>
      <c r="Q388" s="2">
        <f t="shared" si="39"/>
        <v>0.36941568094888533</v>
      </c>
      <c r="R388" s="2" t="e">
        <f t="shared" si="40"/>
        <v>#NUM!</v>
      </c>
      <c r="S388" t="e">
        <f t="shared" ref="S388:S451" si="41">P388/H388</f>
        <v>#NUM!</v>
      </c>
      <c r="U388">
        <v>2.6667565918848033</v>
      </c>
    </row>
    <row r="389" spans="1:21" ht="13.9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36"/>
        <v>#NUM!</v>
      </c>
      <c r="I389" s="2">
        <f t="shared" si="37"/>
        <v>0.37390096630005903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 t="e">
        <f t="shared" si="38"/>
        <v>#DIV/0!</v>
      </c>
      <c r="Q389" s="2" t="e">
        <f t="shared" si="39"/>
        <v>#DIV/0!</v>
      </c>
      <c r="R389" s="2" t="e">
        <f t="shared" si="40"/>
        <v>#DIV/0!</v>
      </c>
      <c r="S389" t="e">
        <f t="shared" si="41"/>
        <v>#DIV/0!</v>
      </c>
      <c r="U389" t="e">
        <v>#NUM!</v>
      </c>
    </row>
    <row r="390" spans="1:21" ht="13.9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36"/>
        <v>#NUM!</v>
      </c>
      <c r="I390" s="2">
        <f t="shared" si="37"/>
        <v>0.12313947380468777</v>
      </c>
      <c r="J390" s="2">
        <v>0</v>
      </c>
      <c r="K390" s="2">
        <v>0</v>
      </c>
      <c r="L390" s="2">
        <v>0</v>
      </c>
      <c r="M390" s="2">
        <v>0.72</v>
      </c>
      <c r="N390" s="2">
        <v>0</v>
      </c>
      <c r="O390" s="2">
        <v>2.71</v>
      </c>
      <c r="P390" s="2" t="e">
        <f t="shared" si="38"/>
        <v>#NUM!</v>
      </c>
      <c r="Q390" s="2">
        <f t="shared" si="39"/>
        <v>0.23114195605244375</v>
      </c>
      <c r="R390" s="2" t="e">
        <f t="shared" si="40"/>
        <v>#NUM!</v>
      </c>
      <c r="S390" t="e">
        <f t="shared" si="41"/>
        <v>#NUM!</v>
      </c>
      <c r="U390" t="e">
        <v>#NUM!</v>
      </c>
    </row>
    <row r="391" spans="1:21" ht="13.9" x14ac:dyDescent="0.3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36"/>
        <v>#NUM!</v>
      </c>
      <c r="I391" s="2">
        <f t="shared" si="37"/>
        <v>0.37390096630005903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 t="e">
        <f t="shared" si="38"/>
        <v>#DIV/0!</v>
      </c>
      <c r="Q391" s="2" t="e">
        <f t="shared" si="39"/>
        <v>#DIV/0!</v>
      </c>
      <c r="R391" s="2" t="e">
        <f t="shared" si="40"/>
        <v>#DIV/0!</v>
      </c>
      <c r="S391" t="e">
        <f t="shared" si="41"/>
        <v>#DIV/0!</v>
      </c>
      <c r="U391" t="e">
        <v>#NUM!</v>
      </c>
    </row>
    <row r="392" spans="1:21" ht="13.9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36"/>
        <v>#NUM!</v>
      </c>
      <c r="I392" s="2">
        <f t="shared" si="37"/>
        <v>1.0779074407182297E-6</v>
      </c>
      <c r="J392" s="2">
        <v>0</v>
      </c>
      <c r="K392" s="2">
        <v>0</v>
      </c>
      <c r="L392" s="2">
        <v>0</v>
      </c>
      <c r="M392" s="2">
        <v>1.23</v>
      </c>
      <c r="N392" s="2">
        <v>0</v>
      </c>
      <c r="O392" s="2">
        <v>0.54</v>
      </c>
      <c r="P392" s="2" t="e">
        <f t="shared" si="38"/>
        <v>#NUM!</v>
      </c>
      <c r="Q392" s="2">
        <f t="shared" si="39"/>
        <v>0.17275077445252598</v>
      </c>
      <c r="R392" s="2" t="e">
        <f t="shared" si="40"/>
        <v>#NUM!</v>
      </c>
      <c r="S392" t="e">
        <f t="shared" si="41"/>
        <v>#NUM!</v>
      </c>
      <c r="U392" t="e">
        <v>#NUM!</v>
      </c>
    </row>
    <row r="393" spans="1:21" ht="13.9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36"/>
        <v>#NUM!</v>
      </c>
      <c r="I393" s="2">
        <f t="shared" si="37"/>
        <v>0.37390096630005903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 t="e">
        <f t="shared" si="38"/>
        <v>#DIV/0!</v>
      </c>
      <c r="Q393" s="2" t="e">
        <f t="shared" si="39"/>
        <v>#DIV/0!</v>
      </c>
      <c r="R393" s="2" t="e">
        <f t="shared" si="40"/>
        <v>#DIV/0!</v>
      </c>
      <c r="S393" t="e">
        <f t="shared" si="41"/>
        <v>#DIV/0!</v>
      </c>
      <c r="U393" t="e">
        <v>#NUM!</v>
      </c>
    </row>
    <row r="394" spans="1:21" ht="13.9" x14ac:dyDescent="0.3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36"/>
        <v>2.4838157772642564</v>
      </c>
      <c r="I394" s="2">
        <f t="shared" si="37"/>
        <v>0.45926410201325812</v>
      </c>
      <c r="J394" s="2">
        <v>0</v>
      </c>
      <c r="K394" s="2">
        <v>0</v>
      </c>
      <c r="L394" s="2">
        <v>0</v>
      </c>
      <c r="M394" s="2">
        <v>1.23</v>
      </c>
      <c r="N394" s="2">
        <v>0</v>
      </c>
      <c r="O394" s="2">
        <v>1.89</v>
      </c>
      <c r="P394" s="2" t="e">
        <f t="shared" si="38"/>
        <v>#NUM!</v>
      </c>
      <c r="Q394" s="2">
        <f t="shared" si="39"/>
        <v>0.13360242991684559</v>
      </c>
      <c r="R394" s="2" t="e">
        <f t="shared" si="40"/>
        <v>#NUM!</v>
      </c>
      <c r="S394" t="e">
        <f t="shared" si="41"/>
        <v>#NUM!</v>
      </c>
      <c r="U394" t="e">
        <v>#NUM!</v>
      </c>
    </row>
    <row r="395" spans="1:21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36"/>
        <v>#DIV/0!</v>
      </c>
      <c r="I395" s="2" t="e">
        <f t="shared" si="37"/>
        <v>#DIV/0!</v>
      </c>
      <c r="J395" s="2">
        <v>0</v>
      </c>
      <c r="K395" s="2">
        <v>0</v>
      </c>
      <c r="L395" s="2">
        <v>0</v>
      </c>
      <c r="M395" s="2">
        <v>0.41</v>
      </c>
      <c r="N395" s="2">
        <v>0</v>
      </c>
      <c r="O395" s="2">
        <v>0</v>
      </c>
      <c r="P395" s="2" t="e">
        <f t="shared" si="38"/>
        <v>#NUM!</v>
      </c>
      <c r="Q395" s="2">
        <f t="shared" si="39"/>
        <v>0.37390096630005903</v>
      </c>
      <c r="R395" s="2" t="e">
        <f t="shared" si="40"/>
        <v>#NUM!</v>
      </c>
      <c r="S395" t="e">
        <f t="shared" si="41"/>
        <v>#NUM!</v>
      </c>
      <c r="U395" t="e">
        <v>#NUM!</v>
      </c>
    </row>
    <row r="396" spans="1:21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36"/>
        <v>#DIV/0!</v>
      </c>
      <c r="I396" s="2" t="e">
        <f t="shared" si="37"/>
        <v>#DIV/0!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0.27</v>
      </c>
      <c r="P396" s="2" t="e">
        <f t="shared" si="38"/>
        <v>#NUM!</v>
      </c>
      <c r="Q396" s="2">
        <f t="shared" si="39"/>
        <v>0.37390096630005903</v>
      </c>
      <c r="R396" s="2" t="e">
        <f t="shared" si="40"/>
        <v>#NUM!</v>
      </c>
      <c r="S396" t="e">
        <f t="shared" si="41"/>
        <v>#NUM!</v>
      </c>
      <c r="U396" t="e">
        <v>#NUM!</v>
      </c>
    </row>
    <row r="397" spans="1:21" ht="13.9" x14ac:dyDescent="0.3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36"/>
        <v>#DIV/0!</v>
      </c>
      <c r="I397" s="2">
        <f t="shared" si="37"/>
        <v>0.37390096630005903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 t="e">
        <f t="shared" si="38"/>
        <v>#DIV/0!</v>
      </c>
      <c r="Q397" s="2" t="e">
        <f t="shared" si="39"/>
        <v>#DIV/0!</v>
      </c>
      <c r="R397" s="2" t="e">
        <f t="shared" si="40"/>
        <v>#DIV/0!</v>
      </c>
      <c r="S397" t="e">
        <f t="shared" si="41"/>
        <v>#DIV/0!</v>
      </c>
      <c r="U397" t="e">
        <v>#NUM!</v>
      </c>
    </row>
    <row r="398" spans="1:21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36"/>
        <v>#DIV/0!</v>
      </c>
      <c r="I398" s="2" t="e">
        <f t="shared" si="37"/>
        <v>#DIV/0!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f t="shared" si="38"/>
        <v>#DIV/0!</v>
      </c>
      <c r="Q398" s="2" t="e">
        <f t="shared" si="39"/>
        <v>#DIV/0!</v>
      </c>
      <c r="R398" s="2" t="e">
        <f t="shared" si="40"/>
        <v>#DIV/0!</v>
      </c>
      <c r="S398" t="e">
        <f t="shared" si="41"/>
        <v>#DIV/0!</v>
      </c>
      <c r="U398" t="e">
        <v>#NUM!</v>
      </c>
    </row>
    <row r="399" spans="1:21" ht="13.9" x14ac:dyDescent="0.3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36"/>
        <v>#NUM!</v>
      </c>
      <c r="I399" s="2">
        <f t="shared" si="37"/>
        <v>3.3983276216319462E-2</v>
      </c>
      <c r="J399" s="2">
        <v>3.41</v>
      </c>
      <c r="K399" s="2">
        <v>0</v>
      </c>
      <c r="L399" s="2">
        <v>0</v>
      </c>
      <c r="M399" s="2">
        <v>2.88</v>
      </c>
      <c r="N399" s="2">
        <v>0</v>
      </c>
      <c r="O399" s="2">
        <v>2.17</v>
      </c>
      <c r="P399" s="2">
        <f t="shared" si="38"/>
        <v>-0.56651164861498449</v>
      </c>
      <c r="Q399" s="2">
        <f t="shared" si="39"/>
        <v>0.72153482493209498</v>
      </c>
      <c r="R399" s="2" t="e">
        <f t="shared" si="40"/>
        <v>#NUM!</v>
      </c>
      <c r="S399" t="e">
        <f t="shared" si="41"/>
        <v>#NUM!</v>
      </c>
      <c r="U399">
        <v>1.7697717392494476</v>
      </c>
    </row>
    <row r="400" spans="1:21" ht="13.9" x14ac:dyDescent="0.3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36"/>
        <v>0.97299532832772728</v>
      </c>
      <c r="I400" s="2">
        <f t="shared" si="37"/>
        <v>0.17178580199589713</v>
      </c>
      <c r="J400" s="2">
        <v>35.93</v>
      </c>
      <c r="K400" s="2">
        <v>36.409999999999997</v>
      </c>
      <c r="L400" s="2">
        <v>69.88</v>
      </c>
      <c r="M400" s="2">
        <v>24.9</v>
      </c>
      <c r="N400" s="2">
        <v>0</v>
      </c>
      <c r="O400" s="2">
        <v>20.440000000000001</v>
      </c>
      <c r="P400" s="2">
        <f t="shared" si="38"/>
        <v>1.6492680651928628</v>
      </c>
      <c r="Q400" s="2">
        <f t="shared" si="39"/>
        <v>7.6488788007032141E-2</v>
      </c>
      <c r="R400" s="2">
        <f t="shared" si="40"/>
        <v>0.67627273686513556</v>
      </c>
      <c r="S400">
        <f t="shared" si="41"/>
        <v>1.6950421211450579</v>
      </c>
      <c r="U400">
        <v>7.1519805511589247</v>
      </c>
    </row>
    <row r="401" spans="1:21" ht="13.9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36"/>
        <v>#NUM!</v>
      </c>
      <c r="I401" s="2">
        <f t="shared" si="37"/>
        <v>0.20510645520407772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 t="e">
        <f t="shared" si="38"/>
        <v>#DIV/0!</v>
      </c>
      <c r="Q401" s="2" t="e">
        <f t="shared" si="39"/>
        <v>#DIV/0!</v>
      </c>
      <c r="R401" s="2" t="e">
        <f t="shared" si="40"/>
        <v>#DIV/0!</v>
      </c>
      <c r="S401" t="e">
        <f t="shared" si="41"/>
        <v>#DIV/0!</v>
      </c>
      <c r="U401" t="e">
        <v>#NUM!</v>
      </c>
    </row>
    <row r="402" spans="1:21" ht="13.9" x14ac:dyDescent="0.3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36"/>
        <v>3.0635029423061582</v>
      </c>
      <c r="I402" s="2">
        <f t="shared" si="37"/>
        <v>0.37333363424858534</v>
      </c>
      <c r="J402" s="2">
        <v>0.18</v>
      </c>
      <c r="K402" s="2">
        <v>0</v>
      </c>
      <c r="L402" s="2">
        <v>0</v>
      </c>
      <c r="M402" s="2">
        <v>0</v>
      </c>
      <c r="N402" s="2">
        <v>0</v>
      </c>
      <c r="O402" s="2">
        <v>0.14000000000000001</v>
      </c>
      <c r="P402" s="2">
        <f t="shared" si="38"/>
        <v>0.36257007938470814</v>
      </c>
      <c r="Q402" s="2">
        <f t="shared" si="39"/>
        <v>0.86927786633163096</v>
      </c>
      <c r="R402" s="2">
        <f t="shared" si="40"/>
        <v>-2.7009328629214502</v>
      </c>
      <c r="S402">
        <f t="shared" si="41"/>
        <v>0.11835147091837651</v>
      </c>
      <c r="U402">
        <v>-2.4739311883324122</v>
      </c>
    </row>
    <row r="403" spans="1:21" ht="13.9" x14ac:dyDescent="0.3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36"/>
        <v>4.0649554418407696</v>
      </c>
      <c r="I403" s="2">
        <f t="shared" si="37"/>
        <v>0.40108711485290022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f t="shared" si="38"/>
        <v>#DIV/0!</v>
      </c>
      <c r="Q403" s="2" t="e">
        <f t="shared" si="39"/>
        <v>#DIV/0!</v>
      </c>
      <c r="R403" s="2" t="e">
        <f t="shared" si="40"/>
        <v>#DIV/0!</v>
      </c>
      <c r="S403" t="e">
        <f t="shared" si="41"/>
        <v>#DIV/0!</v>
      </c>
      <c r="U403" t="e">
        <v>#NUM!</v>
      </c>
    </row>
    <row r="404" spans="1:21" ht="13.9" x14ac:dyDescent="0.3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36"/>
        <v>1.45091453560744</v>
      </c>
      <c r="I404" s="2">
        <f t="shared" si="37"/>
        <v>0.56076788015357304</v>
      </c>
      <c r="J404" s="2">
        <v>5.93</v>
      </c>
      <c r="K404" s="2">
        <v>4.3899999999999997</v>
      </c>
      <c r="L404" s="2">
        <v>0</v>
      </c>
      <c r="M404" s="2">
        <v>2.88</v>
      </c>
      <c r="N404" s="2">
        <v>0</v>
      </c>
      <c r="O404" s="2">
        <v>1.89</v>
      </c>
      <c r="P404" s="2">
        <f t="shared" si="38"/>
        <v>1.1133817994177428</v>
      </c>
      <c r="Q404" s="2">
        <f t="shared" si="39"/>
        <v>0.40023859874067264</v>
      </c>
      <c r="R404" s="2">
        <f t="shared" si="40"/>
        <v>-0.33753273618969715</v>
      </c>
      <c r="S404">
        <f t="shared" si="41"/>
        <v>0.76736552849518069</v>
      </c>
      <c r="U404">
        <v>3.3673710656485296</v>
      </c>
    </row>
    <row r="405" spans="1:21" ht="13.9" x14ac:dyDescent="0.3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36"/>
        <v>1.3201474607397414</v>
      </c>
      <c r="I405" s="2">
        <f t="shared" si="37"/>
        <v>0.17509506228017518</v>
      </c>
      <c r="J405" s="2">
        <v>25.51</v>
      </c>
      <c r="K405" s="2">
        <v>21.35</v>
      </c>
      <c r="L405" s="2">
        <v>22.62</v>
      </c>
      <c r="M405" s="2">
        <v>5.66</v>
      </c>
      <c r="N405" s="2">
        <v>204.38</v>
      </c>
      <c r="O405" s="2">
        <v>16.510000000000002</v>
      </c>
      <c r="P405" s="2">
        <f t="shared" si="38"/>
        <v>-1.7051598316903582</v>
      </c>
      <c r="Q405" s="2">
        <f t="shared" si="39"/>
        <v>0.46261246749850898</v>
      </c>
      <c r="R405" s="2">
        <f t="shared" si="40"/>
        <v>-3.0253072924300994</v>
      </c>
      <c r="S405">
        <f t="shared" si="41"/>
        <v>-1.2916434583261449</v>
      </c>
      <c r="U405">
        <v>6.1185258489356693</v>
      </c>
    </row>
    <row r="406" spans="1:21" ht="13.9" x14ac:dyDescent="0.3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36"/>
        <v>#DIV/0!</v>
      </c>
      <c r="I406" s="2">
        <f t="shared" si="37"/>
        <v>0.37390096630005903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f t="shared" si="38"/>
        <v>#DIV/0!</v>
      </c>
      <c r="Q406" s="2" t="e">
        <f t="shared" si="39"/>
        <v>#DIV/0!</v>
      </c>
      <c r="R406" s="2" t="e">
        <f t="shared" si="40"/>
        <v>#DIV/0!</v>
      </c>
      <c r="S406" t="e">
        <f t="shared" si="41"/>
        <v>#DIV/0!</v>
      </c>
      <c r="U406" t="e">
        <v>#NUM!</v>
      </c>
    </row>
    <row r="407" spans="1:21" ht="13.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36"/>
        <v>#DIV/0!</v>
      </c>
      <c r="I407" s="2" t="e">
        <f t="shared" si="37"/>
        <v>#DIV/0!</v>
      </c>
      <c r="J407" s="2">
        <v>0</v>
      </c>
      <c r="K407" s="2">
        <v>0.21</v>
      </c>
      <c r="L407" s="2">
        <v>0</v>
      </c>
      <c r="M407" s="2">
        <v>0</v>
      </c>
      <c r="N407" s="2">
        <v>0</v>
      </c>
      <c r="O407" s="2">
        <v>0</v>
      </c>
      <c r="P407" s="2" t="e">
        <f t="shared" si="38"/>
        <v>#DIV/0!</v>
      </c>
      <c r="Q407" s="2">
        <f t="shared" si="39"/>
        <v>0.37390096630005903</v>
      </c>
      <c r="R407" s="2" t="e">
        <f t="shared" si="40"/>
        <v>#DIV/0!</v>
      </c>
      <c r="S407" t="e">
        <f t="shared" si="41"/>
        <v>#DIV/0!</v>
      </c>
      <c r="U407">
        <v>-2.2515387669959646</v>
      </c>
    </row>
    <row r="408" spans="1:21" ht="13.9" x14ac:dyDescent="0.3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36"/>
        <v>3.7154940638633818</v>
      </c>
      <c r="I408" s="2">
        <f t="shared" si="37"/>
        <v>0.40907281656042765</v>
      </c>
      <c r="J408" s="2">
        <v>0</v>
      </c>
      <c r="K408" s="2">
        <v>0.21</v>
      </c>
      <c r="L408" s="2">
        <v>0</v>
      </c>
      <c r="M408" s="2">
        <v>0</v>
      </c>
      <c r="N408" s="2">
        <v>0</v>
      </c>
      <c r="O408" s="2">
        <v>0</v>
      </c>
      <c r="P408" s="2" t="e">
        <f t="shared" si="38"/>
        <v>#DIV/0!</v>
      </c>
      <c r="Q408" s="2">
        <f t="shared" si="39"/>
        <v>0.37390096630005903</v>
      </c>
      <c r="R408" s="2" t="e">
        <f t="shared" si="40"/>
        <v>#DIV/0!</v>
      </c>
      <c r="S408" t="e">
        <f t="shared" si="41"/>
        <v>#DIV/0!</v>
      </c>
      <c r="U408">
        <v>-2.2515387669959646</v>
      </c>
    </row>
    <row r="409" spans="1:21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36"/>
        <v>#DIV/0!</v>
      </c>
      <c r="I409" s="2" t="e">
        <f t="shared" si="37"/>
        <v>#DIV/0!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 t="e">
        <f t="shared" si="38"/>
        <v>#DIV/0!</v>
      </c>
      <c r="Q409" s="2" t="e">
        <f t="shared" si="39"/>
        <v>#DIV/0!</v>
      </c>
      <c r="R409" s="2" t="e">
        <f t="shared" si="40"/>
        <v>#DIV/0!</v>
      </c>
      <c r="S409" t="e">
        <f t="shared" si="41"/>
        <v>#DIV/0!</v>
      </c>
      <c r="U409" t="e">
        <v>#NUM!</v>
      </c>
    </row>
    <row r="410" spans="1:21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36"/>
        <v>#DIV/0!</v>
      </c>
      <c r="I410" s="2" t="e">
        <f t="shared" si="37"/>
        <v>#DIV/0!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f t="shared" si="38"/>
        <v>#DIV/0!</v>
      </c>
      <c r="Q410" s="2" t="e">
        <f t="shared" si="39"/>
        <v>#DIV/0!</v>
      </c>
      <c r="R410" s="2" t="e">
        <f t="shared" si="40"/>
        <v>#DIV/0!</v>
      </c>
      <c r="S410" t="e">
        <f t="shared" si="41"/>
        <v>#DIV/0!</v>
      </c>
      <c r="U410" t="e">
        <v>#NUM!</v>
      </c>
    </row>
    <row r="411" spans="1:21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36"/>
        <v>#DIV/0!</v>
      </c>
      <c r="I411" s="2" t="e">
        <f t="shared" si="37"/>
        <v>#DIV/0!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 t="e">
        <f t="shared" si="38"/>
        <v>#DIV/0!</v>
      </c>
      <c r="Q411" s="2" t="e">
        <f t="shared" si="39"/>
        <v>#DIV/0!</v>
      </c>
      <c r="R411" s="2" t="e">
        <f t="shared" si="40"/>
        <v>#DIV/0!</v>
      </c>
      <c r="S411" t="e">
        <f t="shared" si="41"/>
        <v>#DIV/0!</v>
      </c>
      <c r="U411" t="e">
        <v>#NUM!</v>
      </c>
    </row>
    <row r="412" spans="1:21" ht="13.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36"/>
        <v>#DIV/0!</v>
      </c>
      <c r="I412" s="2" t="e">
        <f t="shared" si="37"/>
        <v>#DIV/0!</v>
      </c>
      <c r="J412" s="2">
        <v>0.18</v>
      </c>
      <c r="K412" s="2">
        <v>0.21</v>
      </c>
      <c r="L412" s="2">
        <v>0</v>
      </c>
      <c r="M412" s="2">
        <v>0</v>
      </c>
      <c r="N412" s="2">
        <v>0</v>
      </c>
      <c r="O412" s="2">
        <v>0</v>
      </c>
      <c r="P412" s="2" t="e">
        <f t="shared" si="38"/>
        <v>#DIV/0!</v>
      </c>
      <c r="Q412" s="2">
        <f t="shared" si="39"/>
        <v>0.11846479931931941</v>
      </c>
      <c r="R412" s="2" t="e">
        <f t="shared" si="40"/>
        <v>#DIV/0!</v>
      </c>
      <c r="S412" t="e">
        <f t="shared" si="41"/>
        <v>#DIV/0!</v>
      </c>
      <c r="U412">
        <v>-1.3584539709124763</v>
      </c>
    </row>
    <row r="413" spans="1:21" ht="13.9" x14ac:dyDescent="0.3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36"/>
        <v>0.27301849440641585</v>
      </c>
      <c r="I413" s="2">
        <f t="shared" si="37"/>
        <v>0.8813213765215222</v>
      </c>
      <c r="J413" s="2">
        <v>0</v>
      </c>
      <c r="K413" s="2">
        <v>0</v>
      </c>
      <c r="L413" s="2">
        <v>0</v>
      </c>
      <c r="M413" s="2">
        <v>0.1</v>
      </c>
      <c r="N413" s="2">
        <v>0</v>
      </c>
      <c r="O413" s="2">
        <v>0.14000000000000001</v>
      </c>
      <c r="P413" s="2" t="e">
        <f t="shared" si="38"/>
        <v>#NUM!</v>
      </c>
      <c r="Q413" s="2">
        <f t="shared" si="39"/>
        <v>0.12704639298528589</v>
      </c>
      <c r="R413" s="2" t="e">
        <f t="shared" si="40"/>
        <v>#NUM!</v>
      </c>
      <c r="S413" t="e">
        <f t="shared" si="41"/>
        <v>#NUM!</v>
      </c>
      <c r="U413" t="e">
        <v>#NUM!</v>
      </c>
    </row>
    <row r="414" spans="1:21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36"/>
        <v>#DIV/0!</v>
      </c>
      <c r="I414" s="2" t="e">
        <f t="shared" si="37"/>
        <v>#DIV/0!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1.62</v>
      </c>
      <c r="P414" s="2" t="e">
        <f t="shared" si="38"/>
        <v>#NUM!</v>
      </c>
      <c r="Q414" s="2">
        <f t="shared" si="39"/>
        <v>0.37390096630005903</v>
      </c>
      <c r="R414" s="2" t="e">
        <f t="shared" si="40"/>
        <v>#NUM!</v>
      </c>
      <c r="S414" t="e">
        <f t="shared" si="41"/>
        <v>#NUM!</v>
      </c>
      <c r="U414" t="e">
        <v>#NUM!</v>
      </c>
    </row>
    <row r="415" spans="1:21" ht="13.9" x14ac:dyDescent="0.3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36"/>
        <v>-0.42228647794986429</v>
      </c>
      <c r="I415" s="2">
        <f t="shared" si="37"/>
        <v>2.9001804114242618E-2</v>
      </c>
      <c r="J415" s="2">
        <v>151.44999999999999</v>
      </c>
      <c r="K415" s="2">
        <v>109.87</v>
      </c>
      <c r="L415" s="2">
        <v>112.61</v>
      </c>
      <c r="M415" s="2">
        <v>162.57</v>
      </c>
      <c r="N415" s="2">
        <v>245.26</v>
      </c>
      <c r="O415" s="2">
        <v>137.51</v>
      </c>
      <c r="P415" s="2">
        <f t="shared" si="38"/>
        <v>-0.54438775749253598</v>
      </c>
      <c r="Q415" s="2">
        <f t="shared" si="39"/>
        <v>0.1800062185506173</v>
      </c>
      <c r="R415" s="2">
        <f t="shared" si="40"/>
        <v>-0.12210127954267169</v>
      </c>
      <c r="S415">
        <f t="shared" si="41"/>
        <v>1.2891432378688861</v>
      </c>
      <c r="U415">
        <v>8.5466244114789429</v>
      </c>
    </row>
    <row r="416" spans="1:21" ht="13.9" x14ac:dyDescent="0.3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36"/>
        <v>-1.618636416581682</v>
      </c>
      <c r="I416" s="2">
        <f t="shared" si="37"/>
        <v>3.1725588641011188E-2</v>
      </c>
      <c r="J416" s="2">
        <v>37.729999999999997</v>
      </c>
      <c r="K416" s="2">
        <v>10.46</v>
      </c>
      <c r="L416" s="2">
        <v>50.78</v>
      </c>
      <c r="M416" s="2">
        <v>39.200000000000003</v>
      </c>
      <c r="N416" s="2">
        <v>40.880000000000003</v>
      </c>
      <c r="O416" s="2">
        <v>27.07</v>
      </c>
      <c r="P416" s="2">
        <f t="shared" si="38"/>
        <v>-0.114568666277823</v>
      </c>
      <c r="Q416" s="2">
        <f t="shared" si="39"/>
        <v>0.83988386320741715</v>
      </c>
      <c r="R416" s="2">
        <f t="shared" si="40"/>
        <v>1.5040677503038591</v>
      </c>
      <c r="S416">
        <f t="shared" si="41"/>
        <v>7.0780976570250953E-2</v>
      </c>
      <c r="U416">
        <v>6.628919373511363</v>
      </c>
    </row>
    <row r="417" spans="1:21" ht="13.9" x14ac:dyDescent="0.3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36"/>
        <v>#NUM!</v>
      </c>
      <c r="I417" s="2">
        <f t="shared" si="37"/>
        <v>0.17249655926762433</v>
      </c>
      <c r="J417" s="2">
        <v>0</v>
      </c>
      <c r="K417" s="2">
        <v>0</v>
      </c>
      <c r="L417" s="2">
        <v>0</v>
      </c>
      <c r="M417" s="2">
        <v>0.1</v>
      </c>
      <c r="N417" s="2">
        <v>0</v>
      </c>
      <c r="O417" s="2">
        <v>1.35</v>
      </c>
      <c r="P417" s="2" t="e">
        <f t="shared" si="38"/>
        <v>#NUM!</v>
      </c>
      <c r="Q417" s="2">
        <f t="shared" si="39"/>
        <v>0.32811379819755454</v>
      </c>
      <c r="R417" s="2" t="e">
        <f t="shared" si="40"/>
        <v>#NUM!</v>
      </c>
      <c r="S417" t="e">
        <f t="shared" si="41"/>
        <v>#NUM!</v>
      </c>
      <c r="U417" t="e">
        <v>#NUM!</v>
      </c>
    </row>
    <row r="418" spans="1:21" ht="13.9" x14ac:dyDescent="0.3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36"/>
        <v>-0.71222468631398717</v>
      </c>
      <c r="I418" s="2">
        <f t="shared" si="37"/>
        <v>0.56059858238309523</v>
      </c>
      <c r="J418" s="2">
        <v>0</v>
      </c>
      <c r="K418" s="2">
        <v>6.49</v>
      </c>
      <c r="L418" s="2">
        <v>0</v>
      </c>
      <c r="M418" s="2">
        <v>4.22</v>
      </c>
      <c r="N418" s="2">
        <v>0</v>
      </c>
      <c r="O418" s="2">
        <v>7.85</v>
      </c>
      <c r="P418" s="2">
        <f t="shared" si="38"/>
        <v>-0.89513529275588288</v>
      </c>
      <c r="Q418" s="2">
        <f t="shared" si="39"/>
        <v>0.58483950185356492</v>
      </c>
      <c r="R418" s="2">
        <f t="shared" si="40"/>
        <v>-0.18291060644189572</v>
      </c>
      <c r="S418">
        <f t="shared" si="41"/>
        <v>1.2568158756031362</v>
      </c>
      <c r="U418">
        <v>2.6982184782244136</v>
      </c>
    </row>
    <row r="419" spans="1:21" ht="13.9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36"/>
        <v>#NUM!</v>
      </c>
      <c r="I419" s="2">
        <f t="shared" si="37"/>
        <v>0.37390096630005903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f t="shared" si="38"/>
        <v>#DIV/0!</v>
      </c>
      <c r="Q419" s="2" t="e">
        <f t="shared" si="39"/>
        <v>#DIV/0!</v>
      </c>
      <c r="R419" s="2" t="e">
        <f t="shared" si="40"/>
        <v>#DIV/0!</v>
      </c>
      <c r="S419" t="e">
        <f t="shared" si="41"/>
        <v>#DIV/0!</v>
      </c>
      <c r="U419" t="e">
        <v>#NUM!</v>
      </c>
    </row>
    <row r="420" spans="1:21" ht="13.9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36"/>
        <v>#NUM!</v>
      </c>
      <c r="I420" s="2">
        <f t="shared" si="37"/>
        <v>0.24589430559700179</v>
      </c>
      <c r="J420" s="2">
        <v>0</v>
      </c>
      <c r="K420" s="2">
        <v>0</v>
      </c>
      <c r="L420" s="2">
        <v>0</v>
      </c>
      <c r="M420" s="2">
        <v>0.51</v>
      </c>
      <c r="N420" s="2">
        <v>0</v>
      </c>
      <c r="O420" s="2">
        <v>1.22</v>
      </c>
      <c r="P420" s="2" t="e">
        <f t="shared" si="38"/>
        <v>#NUM!</v>
      </c>
      <c r="Q420" s="2">
        <f t="shared" si="39"/>
        <v>0.17841016846128757</v>
      </c>
      <c r="R420" s="2" t="e">
        <f t="shared" si="40"/>
        <v>#NUM!</v>
      </c>
      <c r="S420" t="e">
        <f t="shared" si="41"/>
        <v>#NUM!</v>
      </c>
      <c r="U420" t="e">
        <v>#NUM!</v>
      </c>
    </row>
    <row r="421" spans="1:21" ht="13.9" x14ac:dyDescent="0.3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36"/>
        <v>-0.97462935290232644</v>
      </c>
      <c r="I421" s="2">
        <f t="shared" si="37"/>
        <v>0.19900810070238403</v>
      </c>
      <c r="J421" s="2">
        <v>11.32</v>
      </c>
      <c r="K421" s="2">
        <v>5.44</v>
      </c>
      <c r="L421" s="2">
        <v>0</v>
      </c>
      <c r="M421" s="2">
        <v>17.7</v>
      </c>
      <c r="N421" s="2">
        <v>40.880000000000003</v>
      </c>
      <c r="O421" s="2">
        <v>12.18</v>
      </c>
      <c r="P421" s="2">
        <f t="shared" si="38"/>
        <v>-2.0779118989911067</v>
      </c>
      <c r="Q421" s="2">
        <f t="shared" si="39"/>
        <v>0.12742724870184469</v>
      </c>
      <c r="R421" s="2">
        <f t="shared" si="40"/>
        <v>-1.1032825460887803</v>
      </c>
      <c r="S421">
        <f t="shared" si="41"/>
        <v>2.1320021737528636</v>
      </c>
      <c r="U421">
        <v>4.0669502439246266</v>
      </c>
    </row>
    <row r="422" spans="1:21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36"/>
        <v>#DIV/0!</v>
      </c>
      <c r="I422" s="2" t="e">
        <f t="shared" si="37"/>
        <v>#DIV/0!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 t="e">
        <f t="shared" si="38"/>
        <v>#DIV/0!</v>
      </c>
      <c r="Q422" s="2" t="e">
        <f t="shared" si="39"/>
        <v>#DIV/0!</v>
      </c>
      <c r="R422" s="2" t="e">
        <f t="shared" si="40"/>
        <v>#DIV/0!</v>
      </c>
      <c r="S422" t="e">
        <f t="shared" si="41"/>
        <v>#DIV/0!</v>
      </c>
      <c r="U422" t="e">
        <v>#NUM!</v>
      </c>
    </row>
    <row r="423" spans="1:21" ht="13.9" x14ac:dyDescent="0.3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36"/>
        <v>#NUM!</v>
      </c>
      <c r="I423" s="2">
        <f t="shared" si="37"/>
        <v>0.37390096630005903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2.0299999999999998</v>
      </c>
      <c r="P423" s="2" t="e">
        <f t="shared" si="38"/>
        <v>#NUM!</v>
      </c>
      <c r="Q423" s="2">
        <f t="shared" si="39"/>
        <v>0.37390096630005903</v>
      </c>
      <c r="R423" s="2" t="e">
        <f t="shared" si="40"/>
        <v>#NUM!</v>
      </c>
      <c r="S423" t="e">
        <f t="shared" si="41"/>
        <v>#NUM!</v>
      </c>
      <c r="U423" t="e">
        <v>#NUM!</v>
      </c>
    </row>
    <row r="424" spans="1:21" ht="13.9" x14ac:dyDescent="0.3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36"/>
        <v>0.69239157642970461</v>
      </c>
      <c r="I424" s="2">
        <f t="shared" si="37"/>
        <v>0.74351085865579347</v>
      </c>
      <c r="J424" s="2">
        <v>0</v>
      </c>
      <c r="K424" s="2">
        <v>10.46</v>
      </c>
      <c r="L424" s="2">
        <v>1.01</v>
      </c>
      <c r="M424" s="2">
        <v>1.95</v>
      </c>
      <c r="N424" s="2">
        <v>0</v>
      </c>
      <c r="O424" s="2">
        <v>1.22</v>
      </c>
      <c r="P424" s="2">
        <f t="shared" si="38"/>
        <v>1.8553106458764179</v>
      </c>
      <c r="Q424" s="2">
        <f t="shared" si="39"/>
        <v>0.45892670773721561</v>
      </c>
      <c r="R424" s="2">
        <f t="shared" si="40"/>
        <v>1.1629190694467133</v>
      </c>
      <c r="S424">
        <f t="shared" si="41"/>
        <v>2.6795684826832655</v>
      </c>
      <c r="U424">
        <v>3.5197934862411002</v>
      </c>
    </row>
    <row r="425" spans="1:21" ht="13.9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36"/>
        <v>#DIV/0!</v>
      </c>
      <c r="I425" s="2" t="e">
        <f t="shared" si="37"/>
        <v>#DIV/0!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 t="e">
        <f t="shared" si="38"/>
        <v>#DIV/0!</v>
      </c>
      <c r="Q425" s="2" t="e">
        <f t="shared" si="39"/>
        <v>#DIV/0!</v>
      </c>
      <c r="R425" s="2" t="e">
        <f t="shared" si="40"/>
        <v>#DIV/0!</v>
      </c>
      <c r="S425" t="e">
        <f t="shared" si="41"/>
        <v>#DIV/0!</v>
      </c>
      <c r="U425" t="e">
        <v>#NUM!</v>
      </c>
    </row>
    <row r="426" spans="1:21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36"/>
        <v>#DIV/0!</v>
      </c>
      <c r="I426" s="2" t="e">
        <f t="shared" si="37"/>
        <v>#DIV/0!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0.41</v>
      </c>
      <c r="P426" s="2" t="e">
        <f t="shared" si="38"/>
        <v>#NUM!</v>
      </c>
      <c r="Q426" s="2">
        <f t="shared" si="39"/>
        <v>0.37390096630005903</v>
      </c>
      <c r="R426" s="2" t="e">
        <f t="shared" si="40"/>
        <v>#NUM!</v>
      </c>
      <c r="S426" t="e">
        <f t="shared" si="41"/>
        <v>#NUM!</v>
      </c>
      <c r="U426" t="e">
        <v>#NUM!</v>
      </c>
    </row>
    <row r="427" spans="1:21" ht="13.9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36"/>
        <v>#NUM!</v>
      </c>
      <c r="I427" s="2">
        <f t="shared" si="37"/>
        <v>0.37390096630005903</v>
      </c>
      <c r="J427" s="2">
        <v>0</v>
      </c>
      <c r="K427" s="2">
        <v>0</v>
      </c>
      <c r="L427" s="2">
        <v>0</v>
      </c>
      <c r="M427" s="2">
        <v>0.51</v>
      </c>
      <c r="N427" s="2">
        <v>0</v>
      </c>
      <c r="O427" s="2">
        <v>0.27</v>
      </c>
      <c r="P427" s="2" t="e">
        <f t="shared" si="38"/>
        <v>#NUM!</v>
      </c>
      <c r="Q427" s="2">
        <f t="shared" si="39"/>
        <v>0.15232633449782892</v>
      </c>
      <c r="R427" s="2" t="e">
        <f t="shared" si="40"/>
        <v>#NUM!</v>
      </c>
      <c r="S427" t="e">
        <f t="shared" si="41"/>
        <v>#NUM!</v>
      </c>
      <c r="U427" t="e">
        <v>#NUM!</v>
      </c>
    </row>
    <row r="428" spans="1:21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36"/>
        <v>#DIV/0!</v>
      </c>
      <c r="I428" s="2" t="e">
        <f t="shared" si="37"/>
        <v>#DIV/0!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 t="e">
        <f t="shared" si="38"/>
        <v>#DIV/0!</v>
      </c>
      <c r="Q428" s="2" t="e">
        <f t="shared" si="39"/>
        <v>#DIV/0!</v>
      </c>
      <c r="R428" s="2" t="e">
        <f t="shared" si="40"/>
        <v>#DIV/0!</v>
      </c>
      <c r="S428" t="e">
        <f t="shared" si="41"/>
        <v>#DIV/0!</v>
      </c>
      <c r="U428" t="e">
        <v>#NUM!</v>
      </c>
    </row>
    <row r="429" spans="1:21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36"/>
        <v>#DIV/0!</v>
      </c>
      <c r="I429" s="2" t="e">
        <f t="shared" si="37"/>
        <v>#DIV/0!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 t="e">
        <f t="shared" si="38"/>
        <v>#DIV/0!</v>
      </c>
      <c r="Q429" s="2" t="e">
        <f t="shared" si="39"/>
        <v>#DIV/0!</v>
      </c>
      <c r="R429" s="2" t="e">
        <f t="shared" si="40"/>
        <v>#DIV/0!</v>
      </c>
      <c r="S429" t="e">
        <f t="shared" si="41"/>
        <v>#DIV/0!</v>
      </c>
      <c r="U429" t="e">
        <v>#NUM!</v>
      </c>
    </row>
    <row r="430" spans="1:21" ht="13.9" x14ac:dyDescent="0.3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36"/>
        <v>4.2684888359259023</v>
      </c>
      <c r="I430" s="2">
        <f t="shared" si="37"/>
        <v>9.7547768078869515E-2</v>
      </c>
      <c r="J430" s="2">
        <v>0</v>
      </c>
      <c r="K430" s="2">
        <v>0</v>
      </c>
      <c r="L430" s="2">
        <v>6.03</v>
      </c>
      <c r="M430" s="2">
        <v>0.1</v>
      </c>
      <c r="N430" s="2">
        <v>204.38</v>
      </c>
      <c r="O430" s="2">
        <v>0</v>
      </c>
      <c r="P430" s="2">
        <f t="shared" si="38"/>
        <v>-5.0836579290469093</v>
      </c>
      <c r="Q430" s="2">
        <f t="shared" si="39"/>
        <v>0.38662085009528596</v>
      </c>
      <c r="R430" s="2">
        <f t="shared" si="40"/>
        <v>-9.3521467649728116</v>
      </c>
      <c r="S430">
        <f t="shared" si="41"/>
        <v>-1.1909736968877849</v>
      </c>
      <c r="U430">
        <v>2.5921580021253603</v>
      </c>
    </row>
    <row r="431" spans="1:21" ht="13.9" x14ac:dyDescent="0.3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36"/>
        <v>-2.1728178311959341</v>
      </c>
      <c r="I431" s="2">
        <f t="shared" si="37"/>
        <v>3.966389801681261E-2</v>
      </c>
      <c r="J431" s="2">
        <v>0</v>
      </c>
      <c r="K431" s="2">
        <v>3.77</v>
      </c>
      <c r="L431" s="2">
        <v>0.5</v>
      </c>
      <c r="M431" s="2">
        <v>12.66</v>
      </c>
      <c r="N431" s="2">
        <v>0</v>
      </c>
      <c r="O431" s="2">
        <v>17.05</v>
      </c>
      <c r="P431" s="2">
        <f t="shared" si="38"/>
        <v>-2.798640630214924</v>
      </c>
      <c r="Q431" s="2">
        <f t="shared" si="39"/>
        <v>0.1813115077607996</v>
      </c>
      <c r="R431" s="2">
        <f t="shared" si="40"/>
        <v>-0.62582279901898996</v>
      </c>
      <c r="S431">
        <f t="shared" si="41"/>
        <v>1.2880235931580757</v>
      </c>
      <c r="U431">
        <v>2.0942360698457656</v>
      </c>
    </row>
    <row r="432" spans="1:21" ht="13.9" x14ac:dyDescent="0.3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36"/>
        <v>-1.8002304876242228</v>
      </c>
      <c r="I432" s="2">
        <f t="shared" si="37"/>
        <v>0.53087077450163911</v>
      </c>
      <c r="J432" s="2">
        <v>0</v>
      </c>
      <c r="K432" s="2">
        <v>6.49</v>
      </c>
      <c r="L432" s="2">
        <v>0</v>
      </c>
      <c r="M432" s="2">
        <v>0</v>
      </c>
      <c r="N432" s="2">
        <v>0</v>
      </c>
      <c r="O432" s="2">
        <v>1.49</v>
      </c>
      <c r="P432" s="2">
        <f t="shared" si="38"/>
        <v>2.1229061475369773</v>
      </c>
      <c r="Q432" s="2">
        <f t="shared" si="39"/>
        <v>0.49448401244425316</v>
      </c>
      <c r="R432" s="2">
        <f t="shared" si="40"/>
        <v>3.9231366351612</v>
      </c>
      <c r="S432">
        <f t="shared" si="41"/>
        <v>-1.1792413038946985</v>
      </c>
      <c r="U432">
        <v>2.6982184782244136</v>
      </c>
    </row>
    <row r="433" spans="1:21" ht="13.9" x14ac:dyDescent="0.3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36"/>
        <v>-4.6789386489301705</v>
      </c>
      <c r="I433" s="2">
        <f t="shared" si="37"/>
        <v>0.34543375885874278</v>
      </c>
      <c r="J433" s="2">
        <v>0</v>
      </c>
      <c r="K433" s="2">
        <v>0</v>
      </c>
      <c r="L433" s="2">
        <v>10.56</v>
      </c>
      <c r="M433" s="2">
        <v>0.82</v>
      </c>
      <c r="N433" s="2">
        <v>0</v>
      </c>
      <c r="O433" s="2">
        <v>0</v>
      </c>
      <c r="P433" s="2">
        <f t="shared" si="38"/>
        <v>3.68684211474037</v>
      </c>
      <c r="Q433" s="2">
        <f t="shared" si="39"/>
        <v>0.40982904835264733</v>
      </c>
      <c r="R433" s="2">
        <f t="shared" si="40"/>
        <v>8.365780763670541</v>
      </c>
      <c r="S433">
        <f t="shared" si="41"/>
        <v>-0.78796547494448532</v>
      </c>
      <c r="U433">
        <v>3.400537929583729</v>
      </c>
    </row>
    <row r="434" spans="1:21" ht="13.9" x14ac:dyDescent="0.3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36"/>
        <v>-1.2738614363181497</v>
      </c>
      <c r="I434" s="2">
        <f t="shared" si="37"/>
        <v>0.51258386583211424</v>
      </c>
      <c r="J434" s="2">
        <v>0</v>
      </c>
      <c r="K434" s="2">
        <v>0</v>
      </c>
      <c r="L434" s="2">
        <v>0</v>
      </c>
      <c r="M434" s="2">
        <v>1.44</v>
      </c>
      <c r="N434" s="2">
        <v>0</v>
      </c>
      <c r="O434" s="2">
        <v>1.22</v>
      </c>
      <c r="P434" s="2" t="e">
        <f t="shared" si="38"/>
        <v>#NUM!</v>
      </c>
      <c r="Q434" s="2">
        <f t="shared" si="39"/>
        <v>0.11883024240352499</v>
      </c>
      <c r="R434" s="2" t="e">
        <f t="shared" si="40"/>
        <v>#NUM!</v>
      </c>
      <c r="S434" t="e">
        <f t="shared" si="41"/>
        <v>#NUM!</v>
      </c>
      <c r="U434" t="e">
        <v>#NUM!</v>
      </c>
    </row>
    <row r="435" spans="1:21" ht="13.9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36"/>
        <v>#NUM!</v>
      </c>
      <c r="I435" s="2">
        <f t="shared" si="37"/>
        <v>0.37390096630005903</v>
      </c>
      <c r="J435" s="2">
        <v>0</v>
      </c>
      <c r="K435" s="2">
        <v>7.53</v>
      </c>
      <c r="L435" s="2">
        <v>0</v>
      </c>
      <c r="M435" s="2">
        <v>0</v>
      </c>
      <c r="N435" s="2">
        <v>0</v>
      </c>
      <c r="O435" s="2">
        <v>0</v>
      </c>
      <c r="P435" s="2" t="e">
        <f t="shared" si="38"/>
        <v>#DIV/0!</v>
      </c>
      <c r="Q435" s="2">
        <f t="shared" si="39"/>
        <v>0.37390096630005903</v>
      </c>
      <c r="R435" s="2" t="e">
        <f t="shared" si="40"/>
        <v>#DIV/0!</v>
      </c>
      <c r="S435" t="e">
        <f t="shared" si="41"/>
        <v>#DIV/0!</v>
      </c>
      <c r="U435">
        <v>2.9126498648972032</v>
      </c>
    </row>
    <row r="436" spans="1:21" ht="13.9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36"/>
        <v>#NUM!</v>
      </c>
      <c r="I436" s="2">
        <f t="shared" si="37"/>
        <v>1.8346467139492572E-2</v>
      </c>
      <c r="J436" s="2">
        <v>0</v>
      </c>
      <c r="K436" s="2">
        <v>0</v>
      </c>
      <c r="L436" s="2">
        <v>0</v>
      </c>
      <c r="M436" s="2">
        <v>0.41</v>
      </c>
      <c r="N436" s="2">
        <v>0</v>
      </c>
      <c r="O436" s="2">
        <v>0</v>
      </c>
      <c r="P436" s="2" t="e">
        <f t="shared" si="38"/>
        <v>#NUM!</v>
      </c>
      <c r="Q436" s="2">
        <f t="shared" si="39"/>
        <v>0.37390096630005903</v>
      </c>
      <c r="R436" s="2" t="e">
        <f t="shared" si="40"/>
        <v>#NUM!</v>
      </c>
      <c r="S436" t="e">
        <f t="shared" si="41"/>
        <v>#NUM!</v>
      </c>
      <c r="U436" t="e">
        <v>#NUM!</v>
      </c>
    </row>
    <row r="437" spans="1:21" ht="13.9" x14ac:dyDescent="0.3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36"/>
        <v>-1.1263029514487839</v>
      </c>
      <c r="I437" s="2">
        <f t="shared" si="37"/>
        <v>4.8109690058510792E-3</v>
      </c>
      <c r="J437" s="2">
        <v>7.9</v>
      </c>
      <c r="K437" s="2">
        <v>44.37</v>
      </c>
      <c r="L437" s="2">
        <v>39.72</v>
      </c>
      <c r="M437" s="2">
        <v>15.54</v>
      </c>
      <c r="N437" s="2">
        <v>163.51</v>
      </c>
      <c r="O437" s="2">
        <v>33.43</v>
      </c>
      <c r="P437" s="2">
        <f t="shared" si="38"/>
        <v>-1.2077781087166992</v>
      </c>
      <c r="Q437" s="2">
        <f t="shared" si="39"/>
        <v>0.44995941939768958</v>
      </c>
      <c r="R437" s="2">
        <f t="shared" si="40"/>
        <v>-8.1475157267915321E-2</v>
      </c>
      <c r="S437">
        <f t="shared" si="41"/>
        <v>1.0723385809857928</v>
      </c>
      <c r="U437">
        <v>6.5234051328555012</v>
      </c>
    </row>
    <row r="438" spans="1:21" ht="13.9" x14ac:dyDescent="0.3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36"/>
        <v>0.4876994595159474</v>
      </c>
      <c r="I438" s="2">
        <f t="shared" si="37"/>
        <v>0.14028829502779649</v>
      </c>
      <c r="J438" s="2">
        <v>3613.73</v>
      </c>
      <c r="K438" s="2">
        <v>4070.1</v>
      </c>
      <c r="L438" s="2">
        <v>6064.58</v>
      </c>
      <c r="M438" s="2">
        <v>2060.5700000000002</v>
      </c>
      <c r="N438" s="2">
        <v>39568.35</v>
      </c>
      <c r="O438" s="2">
        <v>3370.84</v>
      </c>
      <c r="P438" s="2">
        <f t="shared" si="38"/>
        <v>-1.7106525260657455</v>
      </c>
      <c r="Q438" s="2">
        <f t="shared" si="39"/>
        <v>0.44518285900859528</v>
      </c>
      <c r="R438" s="2">
        <f t="shared" si="40"/>
        <v>-2.1983519855816929</v>
      </c>
      <c r="S438">
        <f t="shared" si="41"/>
        <v>-3.5075956978988789</v>
      </c>
      <c r="U438">
        <v>13.746977160531946</v>
      </c>
    </row>
    <row r="439" spans="1:21" ht="13.9" x14ac:dyDescent="0.3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36"/>
        <v>-1.4957749189473533</v>
      </c>
      <c r="I439" s="2">
        <f t="shared" si="37"/>
        <v>1.3110577291589843E-2</v>
      </c>
      <c r="J439" s="2">
        <v>14.37</v>
      </c>
      <c r="K439" s="2">
        <v>5.65</v>
      </c>
      <c r="L439" s="2">
        <v>11.56</v>
      </c>
      <c r="M439" s="2">
        <v>13.58</v>
      </c>
      <c r="N439" s="2">
        <v>0</v>
      </c>
      <c r="O439" s="2">
        <v>27.88</v>
      </c>
      <c r="P439" s="2">
        <f t="shared" si="38"/>
        <v>-0.39270894524917788</v>
      </c>
      <c r="Q439" s="2">
        <f t="shared" si="39"/>
        <v>0.7165693929890925</v>
      </c>
      <c r="R439" s="2">
        <f t="shared" si="40"/>
        <v>1.1030659736981754</v>
      </c>
      <c r="S439">
        <f t="shared" si="41"/>
        <v>0.26254548079034878</v>
      </c>
      <c r="U439">
        <v>4.9809392660855121</v>
      </c>
    </row>
    <row r="440" spans="1:21" ht="13.9" x14ac:dyDescent="0.3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36"/>
        <v>2.4661443289386664</v>
      </c>
      <c r="I440" s="2">
        <f t="shared" si="37"/>
        <v>0.18188577486415103</v>
      </c>
      <c r="J440" s="2">
        <v>1.98</v>
      </c>
      <c r="K440" s="2">
        <v>4.3899999999999997</v>
      </c>
      <c r="L440" s="2">
        <v>56.81</v>
      </c>
      <c r="M440" s="2">
        <v>2.57</v>
      </c>
      <c r="N440" s="2">
        <v>0</v>
      </c>
      <c r="O440" s="2">
        <v>2.57</v>
      </c>
      <c r="P440" s="2">
        <f t="shared" si="38"/>
        <v>3.619627672552995</v>
      </c>
      <c r="Q440" s="2">
        <f t="shared" si="39"/>
        <v>0.34080454920591313</v>
      </c>
      <c r="R440" s="2">
        <f t="shared" si="40"/>
        <v>1.1534833436143286</v>
      </c>
      <c r="S440">
        <f t="shared" si="41"/>
        <v>1.4677274278228247</v>
      </c>
      <c r="U440">
        <v>5.9813960319721486</v>
      </c>
    </row>
    <row r="441" spans="1:21" ht="13.9" x14ac:dyDescent="0.3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36"/>
        <v>-0.32999537615547719</v>
      </c>
      <c r="I441" s="2">
        <f t="shared" si="37"/>
        <v>0.82107215118594135</v>
      </c>
      <c r="J441" s="2">
        <v>0</v>
      </c>
      <c r="K441" s="2">
        <v>2.2999999999999998</v>
      </c>
      <c r="L441" s="2">
        <v>13.57</v>
      </c>
      <c r="M441" s="2">
        <v>2.37</v>
      </c>
      <c r="N441" s="2">
        <v>0</v>
      </c>
      <c r="O441" s="2">
        <v>6.9</v>
      </c>
      <c r="P441" s="2">
        <f t="shared" si="38"/>
        <v>0.7756608842096514</v>
      </c>
      <c r="Q441" s="2">
        <f t="shared" si="39"/>
        <v>0.66118478928899349</v>
      </c>
      <c r="R441" s="2">
        <f t="shared" si="40"/>
        <v>1.1056562603651285</v>
      </c>
      <c r="S441">
        <f t="shared" si="41"/>
        <v>-2.3505204625782365</v>
      </c>
      <c r="U441">
        <v>3.9882302230604569</v>
      </c>
    </row>
    <row r="442" spans="1:21" ht="13.9" x14ac:dyDescent="0.3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36"/>
        <v>2.447621708350435</v>
      </c>
      <c r="I442" s="2">
        <f t="shared" si="37"/>
        <v>0.37767431297334664</v>
      </c>
      <c r="J442" s="2">
        <v>2.16</v>
      </c>
      <c r="K442" s="2">
        <v>7.53</v>
      </c>
      <c r="L442" s="2">
        <v>33.68</v>
      </c>
      <c r="M442" s="2">
        <v>1.54</v>
      </c>
      <c r="N442" s="2">
        <v>0</v>
      </c>
      <c r="O442" s="2">
        <v>5.01</v>
      </c>
      <c r="P442" s="2">
        <f t="shared" si="38"/>
        <v>2.7271306314382904</v>
      </c>
      <c r="Q442" s="2">
        <f t="shared" si="39"/>
        <v>0.28066512115867109</v>
      </c>
      <c r="R442" s="2">
        <f t="shared" si="40"/>
        <v>0.27950892308785535</v>
      </c>
      <c r="S442">
        <f t="shared" si="41"/>
        <v>1.1141961284843438</v>
      </c>
      <c r="U442">
        <v>5.4386255380883792</v>
      </c>
    </row>
    <row r="443" spans="1:21" ht="13.9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36"/>
        <v>#NUM!</v>
      </c>
      <c r="I443" s="2">
        <f t="shared" si="37"/>
        <v>0.37390096630005903</v>
      </c>
      <c r="J443" s="2">
        <v>10.06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 t="e">
        <f t="shared" si="38"/>
        <v>#DIV/0!</v>
      </c>
      <c r="Q443" s="2">
        <f t="shared" si="39"/>
        <v>0.37390096630005903</v>
      </c>
      <c r="R443" s="2" t="e">
        <f t="shared" si="40"/>
        <v>#DIV/0!</v>
      </c>
      <c r="S443" t="e">
        <f t="shared" si="41"/>
        <v>#DIV/0!</v>
      </c>
      <c r="U443">
        <v>3.3305584000308026</v>
      </c>
    </row>
    <row r="444" spans="1:21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36"/>
        <v>#DIV/0!</v>
      </c>
      <c r="I444" s="2" t="e">
        <f t="shared" si="37"/>
        <v>#DIV/0!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 t="e">
        <f t="shared" si="38"/>
        <v>#DIV/0!</v>
      </c>
      <c r="Q444" s="2" t="e">
        <f t="shared" si="39"/>
        <v>#DIV/0!</v>
      </c>
      <c r="R444" s="2" t="e">
        <f t="shared" si="40"/>
        <v>#DIV/0!</v>
      </c>
      <c r="S444" t="e">
        <f t="shared" si="41"/>
        <v>#DIV/0!</v>
      </c>
      <c r="U444" t="e">
        <v>#NUM!</v>
      </c>
    </row>
    <row r="445" spans="1:21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36"/>
        <v>#DIV/0!</v>
      </c>
      <c r="I445" s="2" t="e">
        <f t="shared" si="37"/>
        <v>#DIV/0!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1.08</v>
      </c>
      <c r="P445" s="2" t="e">
        <f t="shared" si="38"/>
        <v>#NUM!</v>
      </c>
      <c r="Q445" s="2">
        <f t="shared" si="39"/>
        <v>0.37390096630005903</v>
      </c>
      <c r="R445" s="2" t="e">
        <f t="shared" si="40"/>
        <v>#NUM!</v>
      </c>
      <c r="S445" t="e">
        <f t="shared" si="41"/>
        <v>#NUM!</v>
      </c>
      <c r="U445" t="e">
        <v>#NUM!</v>
      </c>
    </row>
    <row r="446" spans="1:21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36"/>
        <v>#DIV/0!</v>
      </c>
      <c r="I446" s="2" t="e">
        <f t="shared" si="37"/>
        <v>#DIV/0!</v>
      </c>
      <c r="J446" s="2">
        <v>0</v>
      </c>
      <c r="K446" s="2">
        <v>0</v>
      </c>
      <c r="L446" s="2">
        <v>0</v>
      </c>
      <c r="M446" s="2">
        <v>0.21</v>
      </c>
      <c r="N446" s="2">
        <v>0</v>
      </c>
      <c r="O446" s="2">
        <v>0</v>
      </c>
      <c r="P446" s="2" t="e">
        <f t="shared" si="38"/>
        <v>#NUM!</v>
      </c>
      <c r="Q446" s="2">
        <f t="shared" si="39"/>
        <v>0.37390096630005903</v>
      </c>
      <c r="R446" s="2" t="e">
        <f t="shared" si="40"/>
        <v>#NUM!</v>
      </c>
      <c r="S446" t="e">
        <f t="shared" si="41"/>
        <v>#NUM!</v>
      </c>
      <c r="U446" t="e">
        <v>#NUM!</v>
      </c>
    </row>
    <row r="447" spans="1:21" ht="13.9" x14ac:dyDescent="0.3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36"/>
        <v>1.1575412769864797</v>
      </c>
      <c r="I447" s="2">
        <f t="shared" si="37"/>
        <v>0.64110641558133286</v>
      </c>
      <c r="J447" s="2">
        <v>0.18</v>
      </c>
      <c r="K447" s="2">
        <v>0</v>
      </c>
      <c r="L447" s="2">
        <v>0.5</v>
      </c>
      <c r="M447" s="2">
        <v>0</v>
      </c>
      <c r="N447" s="2">
        <v>0</v>
      </c>
      <c r="O447" s="2">
        <v>0.14000000000000001</v>
      </c>
      <c r="P447" s="2">
        <f t="shared" si="38"/>
        <v>2.2801079191927349</v>
      </c>
      <c r="Q447" s="2">
        <f t="shared" si="39"/>
        <v>0.30594999652180999</v>
      </c>
      <c r="R447" s="2">
        <f t="shared" si="40"/>
        <v>1.1225666422062552</v>
      </c>
      <c r="S447">
        <f t="shared" si="41"/>
        <v>1.9697854102695356</v>
      </c>
      <c r="U447">
        <v>-0.55639334852438549</v>
      </c>
    </row>
    <row r="448" spans="1:21" ht="13.9" x14ac:dyDescent="0.3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36"/>
        <v>1.1725563477943561</v>
      </c>
      <c r="I448" s="2">
        <f t="shared" si="37"/>
        <v>0.34047113087817349</v>
      </c>
      <c r="J448" s="2">
        <v>19.22</v>
      </c>
      <c r="K448" s="2">
        <v>24.49</v>
      </c>
      <c r="L448" s="2">
        <v>65.86</v>
      </c>
      <c r="M448" s="2">
        <v>14.4</v>
      </c>
      <c r="N448" s="2">
        <v>40.880000000000003</v>
      </c>
      <c r="O448" s="2">
        <v>21.52</v>
      </c>
      <c r="P448" s="2">
        <f t="shared" si="38"/>
        <v>0.51267462990559343</v>
      </c>
      <c r="Q448" s="2">
        <f t="shared" si="39"/>
        <v>0.54955291481842061</v>
      </c>
      <c r="R448" s="2">
        <f t="shared" si="40"/>
        <v>-0.65988171788876271</v>
      </c>
      <c r="S448">
        <f t="shared" si="41"/>
        <v>0.43722813907405217</v>
      </c>
      <c r="U448">
        <v>6.7757090357393874</v>
      </c>
    </row>
    <row r="449" spans="1:21" ht="13.9" x14ac:dyDescent="0.3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36"/>
        <v>#NUM!</v>
      </c>
      <c r="I449" s="2">
        <f t="shared" si="37"/>
        <v>4.0403640347624427E-2</v>
      </c>
      <c r="J449" s="2">
        <v>7.01</v>
      </c>
      <c r="K449" s="2">
        <v>11.09</v>
      </c>
      <c r="L449" s="2">
        <v>0</v>
      </c>
      <c r="M449" s="2">
        <v>9.4700000000000006</v>
      </c>
      <c r="N449" s="2">
        <v>0</v>
      </c>
      <c r="O449" s="2">
        <v>16.239999999999998</v>
      </c>
      <c r="P449" s="2">
        <f t="shared" si="38"/>
        <v>-0.50633991286308822</v>
      </c>
      <c r="Q449" s="2">
        <f t="shared" si="39"/>
        <v>0.68012751641410296</v>
      </c>
      <c r="R449" s="2" t="e">
        <f t="shared" si="40"/>
        <v>#NUM!</v>
      </c>
      <c r="S449" t="e">
        <f t="shared" si="41"/>
        <v>#NUM!</v>
      </c>
      <c r="U449">
        <v>4.177917792195843</v>
      </c>
    </row>
    <row r="450" spans="1:21" ht="13.9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42">LOG(SUM(B450:D450)/SUM(E450:G450),2)</f>
        <v>#NUM!</v>
      </c>
      <c r="I450" s="2">
        <f t="shared" ref="I450:I513" si="43">_xlfn.T.TEST(B450:D450,E450:G450,2,2)</f>
        <v>0.15987077134879107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 t="e">
        <f t="shared" ref="P450:P513" si="44">LOG(SUM(J450:L450)/SUM(M450:O450),2)</f>
        <v>#DIV/0!</v>
      </c>
      <c r="Q450" s="2" t="e">
        <f t="shared" ref="Q450:Q513" si="45">_xlfn.T.TEST(J450:L450,M450:O450,2,2)</f>
        <v>#DIV/0!</v>
      </c>
      <c r="R450" s="2" t="e">
        <f t="shared" si="40"/>
        <v>#DIV/0!</v>
      </c>
      <c r="S450" t="e">
        <f t="shared" si="41"/>
        <v>#DIV/0!</v>
      </c>
      <c r="U450" t="e">
        <v>#NUM!</v>
      </c>
    </row>
    <row r="451" spans="1:21" ht="13.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42"/>
        <v>#DIV/0!</v>
      </c>
      <c r="I451" s="2" t="e">
        <f t="shared" si="43"/>
        <v>#DIV/0!</v>
      </c>
      <c r="J451" s="2">
        <v>0.72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f t="shared" si="44"/>
        <v>#DIV/0!</v>
      </c>
      <c r="Q451" s="2">
        <f t="shared" si="45"/>
        <v>0.37390096630005903</v>
      </c>
      <c r="R451" s="2" t="e">
        <f t="shared" ref="R451:R514" si="46">P451-H451</f>
        <v>#DIV/0!</v>
      </c>
      <c r="S451" t="e">
        <f t="shared" si="41"/>
        <v>#DIV/0!</v>
      </c>
      <c r="U451">
        <v>-0.47393118833241243</v>
      </c>
    </row>
    <row r="452" spans="1:21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42"/>
        <v>#DIV/0!</v>
      </c>
      <c r="I452" s="2" t="e">
        <f t="shared" si="43"/>
        <v>#DIV/0!</v>
      </c>
      <c r="J452" s="2">
        <v>0</v>
      </c>
      <c r="K452" s="2">
        <v>0</v>
      </c>
      <c r="L452" s="2">
        <v>0</v>
      </c>
      <c r="M452" s="2">
        <v>0.82</v>
      </c>
      <c r="N452" s="2">
        <v>0</v>
      </c>
      <c r="O452" s="2">
        <v>0</v>
      </c>
      <c r="P452" s="2" t="e">
        <f t="shared" si="44"/>
        <v>#NUM!</v>
      </c>
      <c r="Q452" s="2">
        <f t="shared" si="45"/>
        <v>0.37390096630005903</v>
      </c>
      <c r="R452" s="2" t="e">
        <f t="shared" si="46"/>
        <v>#NUM!</v>
      </c>
      <c r="S452" t="e">
        <f t="shared" ref="S452:S515" si="47">P452/H452</f>
        <v>#NUM!</v>
      </c>
      <c r="U452" t="e">
        <v>#NUM!</v>
      </c>
    </row>
    <row r="453" spans="1:21" ht="13.9" x14ac:dyDescent="0.3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42"/>
        <v>0.24100809950379498</v>
      </c>
      <c r="I453" s="2">
        <f t="shared" si="43"/>
        <v>0.9121691661692114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0.54</v>
      </c>
      <c r="P453" s="2" t="e">
        <f t="shared" si="44"/>
        <v>#NUM!</v>
      </c>
      <c r="Q453" s="2">
        <f t="shared" si="45"/>
        <v>0.37390096630005903</v>
      </c>
      <c r="R453" s="2" t="e">
        <f t="shared" si="46"/>
        <v>#NUM!</v>
      </c>
      <c r="S453" t="e">
        <f t="shared" si="47"/>
        <v>#NUM!</v>
      </c>
      <c r="U453" t="e">
        <v>#NUM!</v>
      </c>
    </row>
    <row r="454" spans="1:21" ht="13.9" x14ac:dyDescent="0.3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42"/>
        <v>0.40553366313672068</v>
      </c>
      <c r="I454" s="2">
        <f t="shared" si="43"/>
        <v>0.46943099753633794</v>
      </c>
      <c r="J454" s="2">
        <v>11.68</v>
      </c>
      <c r="K454" s="2">
        <v>27.42</v>
      </c>
      <c r="L454" s="2">
        <v>31.67</v>
      </c>
      <c r="M454" s="2">
        <v>13.17</v>
      </c>
      <c r="N454" s="2">
        <v>204.38</v>
      </c>
      <c r="O454" s="2">
        <v>8.8000000000000007</v>
      </c>
      <c r="P454" s="2">
        <f t="shared" si="44"/>
        <v>-1.6773454821745828</v>
      </c>
      <c r="Q454" s="2">
        <f t="shared" si="45"/>
        <v>0.46813332769161325</v>
      </c>
      <c r="R454" s="2">
        <f t="shared" si="46"/>
        <v>-2.0828791453113036</v>
      </c>
      <c r="S454">
        <f t="shared" si="47"/>
        <v>-4.1361436414443515</v>
      </c>
      <c r="U454">
        <v>6.1450660141858942</v>
      </c>
    </row>
    <row r="455" spans="1:21" ht="13.9" x14ac:dyDescent="0.3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42"/>
        <v>3.3617020555406762</v>
      </c>
      <c r="I455" s="2">
        <f t="shared" si="43"/>
        <v>0.1765195672763242</v>
      </c>
      <c r="J455" s="2">
        <v>8.44</v>
      </c>
      <c r="K455" s="2">
        <v>20.09</v>
      </c>
      <c r="L455" s="2">
        <v>14.58</v>
      </c>
      <c r="M455" s="2">
        <v>1.95</v>
      </c>
      <c r="N455" s="2">
        <v>0</v>
      </c>
      <c r="O455" s="2">
        <v>0.27</v>
      </c>
      <c r="P455" s="2">
        <f t="shared" si="44"/>
        <v>4.2793909808283868</v>
      </c>
      <c r="Q455" s="2">
        <f t="shared" si="45"/>
        <v>1.6320565669332394E-2</v>
      </c>
      <c r="R455" s="2">
        <f t="shared" si="46"/>
        <v>0.91768892528771051</v>
      </c>
      <c r="S455">
        <f t="shared" si="47"/>
        <v>1.2729834203406569</v>
      </c>
      <c r="U455">
        <v>5.4299506574037677</v>
      </c>
    </row>
    <row r="456" spans="1:21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42"/>
        <v>#DIV/0!</v>
      </c>
      <c r="I456" s="2" t="e">
        <f t="shared" si="43"/>
        <v>#DIV/0!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0.27</v>
      </c>
      <c r="P456" s="2" t="e">
        <f t="shared" si="44"/>
        <v>#NUM!</v>
      </c>
      <c r="Q456" s="2">
        <f t="shared" si="45"/>
        <v>0.37390096630005903</v>
      </c>
      <c r="R456" s="2" t="e">
        <f t="shared" si="46"/>
        <v>#NUM!</v>
      </c>
      <c r="S456" t="e">
        <f t="shared" si="47"/>
        <v>#NUM!</v>
      </c>
      <c r="U456" t="e">
        <v>#NUM!</v>
      </c>
    </row>
    <row r="457" spans="1:21" ht="13.9" x14ac:dyDescent="0.3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42"/>
        <v>#NUM!</v>
      </c>
      <c r="I457" s="2">
        <f t="shared" si="43"/>
        <v>0.37390096630005903</v>
      </c>
      <c r="J457" s="2">
        <v>0</v>
      </c>
      <c r="K457" s="2">
        <v>0</v>
      </c>
      <c r="L457" s="2">
        <v>0</v>
      </c>
      <c r="M457" s="2">
        <v>0.82</v>
      </c>
      <c r="N457" s="2">
        <v>0</v>
      </c>
      <c r="O457" s="2">
        <v>0.68</v>
      </c>
      <c r="P457" s="2" t="e">
        <f t="shared" si="44"/>
        <v>#NUM!</v>
      </c>
      <c r="Q457" s="2">
        <f t="shared" si="45"/>
        <v>0.11956990922285785</v>
      </c>
      <c r="R457" s="2" t="e">
        <f t="shared" si="46"/>
        <v>#NUM!</v>
      </c>
      <c r="S457" t="e">
        <f t="shared" si="47"/>
        <v>#NUM!</v>
      </c>
      <c r="U457" t="e">
        <v>#NUM!</v>
      </c>
    </row>
    <row r="458" spans="1:21" ht="13.9" x14ac:dyDescent="0.3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42"/>
        <v>#NUM!</v>
      </c>
      <c r="I458" s="2">
        <f t="shared" si="43"/>
        <v>0.37390096630005903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0.95</v>
      </c>
      <c r="P458" s="2" t="e">
        <f t="shared" si="44"/>
        <v>#NUM!</v>
      </c>
      <c r="Q458" s="2">
        <f t="shared" si="45"/>
        <v>0.37390096630005903</v>
      </c>
      <c r="R458" s="2" t="e">
        <f t="shared" si="46"/>
        <v>#NUM!</v>
      </c>
      <c r="S458" t="e">
        <f t="shared" si="47"/>
        <v>#NUM!</v>
      </c>
      <c r="U458" t="e">
        <v>#NUM!</v>
      </c>
    </row>
    <row r="459" spans="1:21" ht="13.9" x14ac:dyDescent="0.3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42"/>
        <v>1.2554326831004556</v>
      </c>
      <c r="I459" s="2">
        <f t="shared" si="43"/>
        <v>0.46506155743296879</v>
      </c>
      <c r="J459" s="2">
        <v>7.01</v>
      </c>
      <c r="K459" s="2">
        <v>20.93</v>
      </c>
      <c r="L459" s="2">
        <v>1.01</v>
      </c>
      <c r="M459" s="2">
        <v>1.75</v>
      </c>
      <c r="N459" s="2">
        <v>327.01</v>
      </c>
      <c r="O459" s="2">
        <v>1.35</v>
      </c>
      <c r="P459" s="2">
        <f t="shared" si="44"/>
        <v>-3.5113115893589866</v>
      </c>
      <c r="Q459" s="2">
        <f t="shared" si="45"/>
        <v>0.40779469401161578</v>
      </c>
      <c r="R459" s="2">
        <f t="shared" si="46"/>
        <v>-4.7667442724594427</v>
      </c>
      <c r="S459">
        <f t="shared" si="47"/>
        <v>-2.7968935623751183</v>
      </c>
      <c r="U459">
        <v>4.8554914431018741</v>
      </c>
    </row>
    <row r="460" spans="1:21" ht="13.9" x14ac:dyDescent="0.3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42"/>
        <v>-0.26013657113880295</v>
      </c>
      <c r="I460" s="2">
        <f t="shared" si="43"/>
        <v>0.74939736102206256</v>
      </c>
      <c r="J460" s="2">
        <v>0</v>
      </c>
      <c r="K460" s="2">
        <v>2.2999999999999998</v>
      </c>
      <c r="L460" s="2">
        <v>8.5500000000000007</v>
      </c>
      <c r="M460" s="2">
        <v>2.98</v>
      </c>
      <c r="N460" s="2">
        <v>0</v>
      </c>
      <c r="O460" s="2">
        <v>5.55</v>
      </c>
      <c r="P460" s="2">
        <f t="shared" si="44"/>
        <v>0.34707739601355175</v>
      </c>
      <c r="Q460" s="2">
        <f t="shared" si="45"/>
        <v>0.81028744411067888</v>
      </c>
      <c r="R460" s="2">
        <f t="shared" si="46"/>
        <v>0.60721396715235465</v>
      </c>
      <c r="S460">
        <f t="shared" si="47"/>
        <v>-1.3342122351122987</v>
      </c>
      <c r="U460">
        <v>3.4396231375571173</v>
      </c>
    </row>
    <row r="461" spans="1:21" ht="13.9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42"/>
        <v>#NUM!</v>
      </c>
      <c r="I461" s="2">
        <f t="shared" si="43"/>
        <v>0.37390096630005903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 t="e">
        <f t="shared" si="44"/>
        <v>#DIV/0!</v>
      </c>
      <c r="Q461" s="2" t="e">
        <f t="shared" si="45"/>
        <v>#DIV/0!</v>
      </c>
      <c r="R461" s="2" t="e">
        <f t="shared" si="46"/>
        <v>#DIV/0!</v>
      </c>
      <c r="S461" t="e">
        <f t="shared" si="47"/>
        <v>#DIV/0!</v>
      </c>
      <c r="U461" t="e">
        <v>#NUM!</v>
      </c>
    </row>
    <row r="462" spans="1:21" ht="13.9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42"/>
        <v>#DIV/0!</v>
      </c>
      <c r="I462" s="2" t="e">
        <f t="shared" si="43"/>
        <v>#DIV/0!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f t="shared" si="44"/>
        <v>#DIV/0!</v>
      </c>
      <c r="Q462" s="2" t="e">
        <f t="shared" si="45"/>
        <v>#DIV/0!</v>
      </c>
      <c r="R462" s="2" t="e">
        <f t="shared" si="46"/>
        <v>#DIV/0!</v>
      </c>
      <c r="S462" t="e">
        <f t="shared" si="47"/>
        <v>#DIV/0!</v>
      </c>
      <c r="U462" t="e">
        <v>#NUM!</v>
      </c>
    </row>
    <row r="463" spans="1:21" ht="13.9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42"/>
        <v>#NUM!</v>
      </c>
      <c r="I463" s="2">
        <f t="shared" si="43"/>
        <v>0.37390096630005903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1.76</v>
      </c>
      <c r="P463" s="2" t="e">
        <f t="shared" si="44"/>
        <v>#NUM!</v>
      </c>
      <c r="Q463" s="2">
        <f t="shared" si="45"/>
        <v>0.37390096630005903</v>
      </c>
      <c r="R463" s="2" t="e">
        <f t="shared" si="46"/>
        <v>#NUM!</v>
      </c>
      <c r="S463" t="e">
        <f t="shared" si="47"/>
        <v>#NUM!</v>
      </c>
      <c r="U463" t="e">
        <v>#NUM!</v>
      </c>
    </row>
    <row r="464" spans="1:21" ht="13.9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42"/>
        <v>#NUM!</v>
      </c>
      <c r="I464" s="2">
        <f t="shared" si="43"/>
        <v>0.37390096630005903</v>
      </c>
      <c r="J464" s="2">
        <v>0</v>
      </c>
      <c r="K464" s="2">
        <v>0</v>
      </c>
      <c r="L464" s="2">
        <v>0</v>
      </c>
      <c r="M464" s="2">
        <v>0.62</v>
      </c>
      <c r="N464" s="2">
        <v>0</v>
      </c>
      <c r="O464" s="2">
        <v>0</v>
      </c>
      <c r="P464" s="2" t="e">
        <f t="shared" si="44"/>
        <v>#NUM!</v>
      </c>
      <c r="Q464" s="2">
        <f t="shared" si="45"/>
        <v>0.37390096630005903</v>
      </c>
      <c r="R464" s="2" t="e">
        <f t="shared" si="46"/>
        <v>#NUM!</v>
      </c>
      <c r="S464" t="e">
        <f t="shared" si="47"/>
        <v>#NUM!</v>
      </c>
      <c r="U464" t="e">
        <v>#NUM!</v>
      </c>
    </row>
    <row r="465" spans="1:21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42"/>
        <v>#DIV/0!</v>
      </c>
      <c r="I465" s="2" t="e">
        <f t="shared" si="43"/>
        <v>#DIV/0!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 t="e">
        <f t="shared" si="44"/>
        <v>#DIV/0!</v>
      </c>
      <c r="Q465" s="2" t="e">
        <f t="shared" si="45"/>
        <v>#DIV/0!</v>
      </c>
      <c r="R465" s="2" t="e">
        <f t="shared" si="46"/>
        <v>#DIV/0!</v>
      </c>
      <c r="S465" t="e">
        <f t="shared" si="47"/>
        <v>#DIV/0!</v>
      </c>
      <c r="U465" t="e">
        <v>#NUM!</v>
      </c>
    </row>
    <row r="466" spans="1:21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42"/>
        <v>#DIV/0!</v>
      </c>
      <c r="I466" s="2" t="e">
        <f t="shared" si="43"/>
        <v>#DIV/0!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0.41</v>
      </c>
      <c r="P466" s="2" t="e">
        <f t="shared" si="44"/>
        <v>#NUM!</v>
      </c>
      <c r="Q466" s="2">
        <f t="shared" si="45"/>
        <v>0.37390096630005903</v>
      </c>
      <c r="R466" s="2" t="e">
        <f t="shared" si="46"/>
        <v>#NUM!</v>
      </c>
      <c r="S466" t="e">
        <f t="shared" si="47"/>
        <v>#NUM!</v>
      </c>
      <c r="U466" t="e">
        <v>#NUM!</v>
      </c>
    </row>
    <row r="467" spans="1:21" ht="13.9" x14ac:dyDescent="0.3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42"/>
        <v>#DIV/0!</v>
      </c>
      <c r="I467" s="2">
        <f t="shared" si="43"/>
        <v>0.37390096630005903</v>
      </c>
      <c r="J467" s="2">
        <v>0.36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 t="e">
        <f t="shared" si="44"/>
        <v>#DIV/0!</v>
      </c>
      <c r="Q467" s="2">
        <f t="shared" si="45"/>
        <v>0.37390096630005903</v>
      </c>
      <c r="R467" s="2" t="e">
        <f t="shared" si="46"/>
        <v>#DIV/0!</v>
      </c>
      <c r="S467" t="e">
        <f t="shared" si="47"/>
        <v>#DIV/0!</v>
      </c>
      <c r="U467">
        <v>-1.4739311883324124</v>
      </c>
    </row>
    <row r="468" spans="1:21" ht="13.9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42"/>
        <v>#NUM!</v>
      </c>
      <c r="I468" s="2">
        <f t="shared" si="43"/>
        <v>0.37390096630005903</v>
      </c>
      <c r="J468" s="2">
        <v>0</v>
      </c>
      <c r="K468" s="2">
        <v>0</v>
      </c>
      <c r="L468" s="2">
        <v>0</v>
      </c>
      <c r="M468" s="2">
        <v>0.51</v>
      </c>
      <c r="N468" s="2">
        <v>0</v>
      </c>
      <c r="O468" s="2">
        <v>0</v>
      </c>
      <c r="P468" s="2" t="e">
        <f t="shared" si="44"/>
        <v>#NUM!</v>
      </c>
      <c r="Q468" s="2">
        <f t="shared" si="45"/>
        <v>0.37390096630005903</v>
      </c>
      <c r="R468" s="2" t="e">
        <f t="shared" si="46"/>
        <v>#NUM!</v>
      </c>
      <c r="S468" t="e">
        <f t="shared" si="47"/>
        <v>#NUM!</v>
      </c>
      <c r="U468" t="e">
        <v>#NUM!</v>
      </c>
    </row>
    <row r="469" spans="1:21" ht="13.9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42"/>
        <v>#NUM!</v>
      </c>
      <c r="I469" s="2">
        <f t="shared" si="43"/>
        <v>0.23161458206334515</v>
      </c>
      <c r="J469" s="2">
        <v>0</v>
      </c>
      <c r="K469" s="2">
        <v>0</v>
      </c>
      <c r="L469" s="2">
        <v>0</v>
      </c>
      <c r="M469" s="2">
        <v>0.82</v>
      </c>
      <c r="N469" s="2">
        <v>0</v>
      </c>
      <c r="O469" s="2">
        <v>0.27</v>
      </c>
      <c r="P469" s="2" t="e">
        <f t="shared" si="44"/>
        <v>#NUM!</v>
      </c>
      <c r="Q469" s="2">
        <f t="shared" si="45"/>
        <v>0.20654992188403973</v>
      </c>
      <c r="R469" s="2" t="e">
        <f t="shared" si="46"/>
        <v>#NUM!</v>
      </c>
      <c r="S469" t="e">
        <f t="shared" si="47"/>
        <v>#NUM!</v>
      </c>
      <c r="U469" t="e">
        <v>#NUM!</v>
      </c>
    </row>
    <row r="470" spans="1:21" ht="13.9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42"/>
        <v>#NUM!</v>
      </c>
      <c r="I470" s="2">
        <f t="shared" si="43"/>
        <v>0.37390096630005903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 t="e">
        <f t="shared" si="44"/>
        <v>#DIV/0!</v>
      </c>
      <c r="Q470" s="2" t="e">
        <f t="shared" si="45"/>
        <v>#DIV/0!</v>
      </c>
      <c r="R470" s="2" t="e">
        <f t="shared" si="46"/>
        <v>#DIV/0!</v>
      </c>
      <c r="S470" t="e">
        <f t="shared" si="47"/>
        <v>#DIV/0!</v>
      </c>
      <c r="U470" t="e">
        <v>#NUM!</v>
      </c>
    </row>
    <row r="471" spans="1:21" ht="13.9" x14ac:dyDescent="0.3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42"/>
        <v>-2.093976148209014</v>
      </c>
      <c r="I471" s="2">
        <f t="shared" si="43"/>
        <v>0.49734662487038073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 t="e">
        <f t="shared" si="44"/>
        <v>#DIV/0!</v>
      </c>
      <c r="Q471" s="2" t="e">
        <f t="shared" si="45"/>
        <v>#DIV/0!</v>
      </c>
      <c r="R471" s="2" t="e">
        <f t="shared" si="46"/>
        <v>#DIV/0!</v>
      </c>
      <c r="S471" t="e">
        <f t="shared" si="47"/>
        <v>#DIV/0!</v>
      </c>
      <c r="U471" t="e">
        <v>#NUM!</v>
      </c>
    </row>
    <row r="472" spans="1:21" ht="13.9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42"/>
        <v>#NUM!</v>
      </c>
      <c r="I472" s="2">
        <f t="shared" si="43"/>
        <v>0.37390096630005903</v>
      </c>
      <c r="J472" s="2">
        <v>0</v>
      </c>
      <c r="K472" s="2">
        <v>0</v>
      </c>
      <c r="L472" s="2">
        <v>0</v>
      </c>
      <c r="M472" s="2">
        <v>2.88</v>
      </c>
      <c r="N472" s="2">
        <v>0</v>
      </c>
      <c r="O472" s="2">
        <v>0</v>
      </c>
      <c r="P472" s="2" t="e">
        <f t="shared" si="44"/>
        <v>#NUM!</v>
      </c>
      <c r="Q472" s="2">
        <f t="shared" si="45"/>
        <v>0.37390096630005903</v>
      </c>
      <c r="R472" s="2" t="e">
        <f t="shared" si="46"/>
        <v>#NUM!</v>
      </c>
      <c r="S472" t="e">
        <f t="shared" si="47"/>
        <v>#NUM!</v>
      </c>
      <c r="U472" t="e">
        <v>#NUM!</v>
      </c>
    </row>
    <row r="473" spans="1:21" ht="13.9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42"/>
        <v>#NUM!</v>
      </c>
      <c r="I473" s="2">
        <f t="shared" si="43"/>
        <v>0.37390096630005903</v>
      </c>
      <c r="J473" s="2">
        <v>0</v>
      </c>
      <c r="K473" s="2">
        <v>0</v>
      </c>
      <c r="L473" s="2">
        <v>3.52</v>
      </c>
      <c r="M473" s="2">
        <v>0</v>
      </c>
      <c r="N473" s="2">
        <v>0</v>
      </c>
      <c r="O473" s="2">
        <v>0</v>
      </c>
      <c r="P473" s="2" t="e">
        <f t="shared" si="44"/>
        <v>#DIV/0!</v>
      </c>
      <c r="Q473" s="2">
        <f t="shared" si="45"/>
        <v>0.37390096630005903</v>
      </c>
      <c r="R473" s="2" t="e">
        <f t="shared" si="46"/>
        <v>#DIV/0!</v>
      </c>
      <c r="S473" t="e">
        <f t="shared" si="47"/>
        <v>#DIV/0!</v>
      </c>
      <c r="U473">
        <v>1.8155754288625725</v>
      </c>
    </row>
    <row r="474" spans="1:21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42"/>
        <v>#DIV/0!</v>
      </c>
      <c r="I474" s="2" t="e">
        <f t="shared" si="43"/>
        <v>#DIV/0!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 t="e">
        <f t="shared" si="44"/>
        <v>#DIV/0!</v>
      </c>
      <c r="Q474" s="2" t="e">
        <f t="shared" si="45"/>
        <v>#DIV/0!</v>
      </c>
      <c r="R474" s="2" t="e">
        <f t="shared" si="46"/>
        <v>#DIV/0!</v>
      </c>
      <c r="S474" t="e">
        <f t="shared" si="47"/>
        <v>#DIV/0!</v>
      </c>
      <c r="U474" t="e">
        <v>#NUM!</v>
      </c>
    </row>
    <row r="475" spans="1:21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42"/>
        <v>#DIV/0!</v>
      </c>
      <c r="I475" s="2" t="e">
        <f t="shared" si="43"/>
        <v>#DIV/0!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0.68</v>
      </c>
      <c r="P475" s="2" t="e">
        <f t="shared" si="44"/>
        <v>#NUM!</v>
      </c>
      <c r="Q475" s="2">
        <f t="shared" si="45"/>
        <v>0.37390096630005903</v>
      </c>
      <c r="R475" s="2" t="e">
        <f t="shared" si="46"/>
        <v>#NUM!</v>
      </c>
      <c r="S475" t="e">
        <f t="shared" si="47"/>
        <v>#NUM!</v>
      </c>
      <c r="U475" t="e">
        <v>#NUM!</v>
      </c>
    </row>
    <row r="476" spans="1:21" ht="13.9" x14ac:dyDescent="0.3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42"/>
        <v>#NUM!</v>
      </c>
      <c r="I476" s="2">
        <f t="shared" si="43"/>
        <v>0.11618106542193525</v>
      </c>
      <c r="J476" s="2">
        <v>0.18</v>
      </c>
      <c r="K476" s="2">
        <v>0</v>
      </c>
      <c r="L476" s="2">
        <v>0</v>
      </c>
      <c r="M476" s="2">
        <v>0.21</v>
      </c>
      <c r="N476" s="2">
        <v>0</v>
      </c>
      <c r="O476" s="2">
        <v>0</v>
      </c>
      <c r="P476" s="2">
        <f t="shared" si="44"/>
        <v>-0.22239242133644802</v>
      </c>
      <c r="Q476" s="2">
        <f t="shared" si="45"/>
        <v>0.91884984911766754</v>
      </c>
      <c r="R476" s="2" t="e">
        <f t="shared" si="46"/>
        <v>#NUM!</v>
      </c>
      <c r="S476" t="e">
        <f t="shared" si="47"/>
        <v>#NUM!</v>
      </c>
      <c r="U476">
        <v>-2.4739311883324122</v>
      </c>
    </row>
    <row r="477" spans="1:21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42"/>
        <v>#DIV/0!</v>
      </c>
      <c r="I477" s="2" t="e">
        <f t="shared" si="43"/>
        <v>#DIV/0!</v>
      </c>
      <c r="J477" s="2">
        <v>0</v>
      </c>
      <c r="K477" s="2">
        <v>0</v>
      </c>
      <c r="L477" s="2">
        <v>0</v>
      </c>
      <c r="M477" s="2">
        <v>0.1</v>
      </c>
      <c r="N477" s="2">
        <v>0</v>
      </c>
      <c r="O477" s="2">
        <v>0</v>
      </c>
      <c r="P477" s="2" t="e">
        <f t="shared" si="44"/>
        <v>#NUM!</v>
      </c>
      <c r="Q477" s="2">
        <f t="shared" si="45"/>
        <v>0.37390096630005903</v>
      </c>
      <c r="R477" s="2" t="e">
        <f t="shared" si="46"/>
        <v>#NUM!</v>
      </c>
      <c r="S477" t="e">
        <f t="shared" si="47"/>
        <v>#NUM!</v>
      </c>
      <c r="U477" t="e">
        <v>#NUM!</v>
      </c>
    </row>
    <row r="478" spans="1:21" ht="13.9" x14ac:dyDescent="0.3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42"/>
        <v>3.7382087610168382</v>
      </c>
      <c r="I478" s="2">
        <f t="shared" si="43"/>
        <v>9.8675515331829153E-2</v>
      </c>
      <c r="J478" s="2">
        <v>3.23</v>
      </c>
      <c r="K478" s="2">
        <v>1.26</v>
      </c>
      <c r="L478" s="2">
        <v>3.52</v>
      </c>
      <c r="M478" s="2">
        <v>1.1299999999999999</v>
      </c>
      <c r="N478" s="2">
        <v>899.28</v>
      </c>
      <c r="O478" s="2">
        <v>0.68</v>
      </c>
      <c r="P478" s="2">
        <f t="shared" si="44"/>
        <v>-6.8137251553651135</v>
      </c>
      <c r="Q478" s="2">
        <f t="shared" si="45"/>
        <v>0.37644010739418665</v>
      </c>
      <c r="R478" s="2">
        <f t="shared" si="46"/>
        <v>-10.551933916381952</v>
      </c>
      <c r="S478">
        <f t="shared" si="47"/>
        <v>-1.8227246231994003</v>
      </c>
      <c r="U478">
        <v>3.0018022426339854</v>
      </c>
    </row>
    <row r="479" spans="1:21" ht="13.9" x14ac:dyDescent="0.3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42"/>
        <v>-1.3656494723166803</v>
      </c>
      <c r="I479" s="2">
        <f t="shared" si="43"/>
        <v>0.59886332390904873</v>
      </c>
      <c r="J479" s="2">
        <v>0</v>
      </c>
      <c r="K479" s="2">
        <v>0</v>
      </c>
      <c r="L479" s="2">
        <v>0</v>
      </c>
      <c r="M479" s="2">
        <v>0.31</v>
      </c>
      <c r="N479" s="2">
        <v>204.38</v>
      </c>
      <c r="O479" s="2">
        <v>0.41</v>
      </c>
      <c r="P479" s="2" t="e">
        <f t="shared" si="44"/>
        <v>#NUM!</v>
      </c>
      <c r="Q479" s="2">
        <f t="shared" si="45"/>
        <v>0.37163434150090968</v>
      </c>
      <c r="R479" s="2" t="e">
        <f t="shared" si="46"/>
        <v>#NUM!</v>
      </c>
      <c r="S479" t="e">
        <f t="shared" si="47"/>
        <v>#NUM!</v>
      </c>
      <c r="U479" t="e">
        <v>#NUM!</v>
      </c>
    </row>
    <row r="480" spans="1:21" ht="13.9" x14ac:dyDescent="0.3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42"/>
        <v>#NUM!</v>
      </c>
      <c r="I480" s="2">
        <f t="shared" si="43"/>
        <v>3.418853321005807E-4</v>
      </c>
      <c r="J480" s="2">
        <v>0</v>
      </c>
      <c r="K480" s="2">
        <v>0</v>
      </c>
      <c r="L480" s="2">
        <v>0.5</v>
      </c>
      <c r="M480" s="2">
        <v>0</v>
      </c>
      <c r="N480" s="2">
        <v>0</v>
      </c>
      <c r="O480" s="2">
        <v>0.14000000000000001</v>
      </c>
      <c r="P480" s="2">
        <f t="shared" si="44"/>
        <v>1.8365012677171204</v>
      </c>
      <c r="Q480" s="2">
        <f t="shared" si="45"/>
        <v>0.5262549116472891</v>
      </c>
      <c r="R480" s="2" t="e">
        <f t="shared" si="46"/>
        <v>#NUM!</v>
      </c>
      <c r="S480" t="e">
        <f t="shared" si="47"/>
        <v>#NUM!</v>
      </c>
      <c r="U480">
        <v>-1</v>
      </c>
    </row>
    <row r="481" spans="1:21" ht="13.9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42"/>
        <v>#NUM!</v>
      </c>
      <c r="I481" s="2">
        <f t="shared" si="43"/>
        <v>0.37390096630005903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 t="e">
        <f t="shared" si="44"/>
        <v>#DIV/0!</v>
      </c>
      <c r="Q481" s="2" t="e">
        <f t="shared" si="45"/>
        <v>#DIV/0!</v>
      </c>
      <c r="R481" s="2" t="e">
        <f t="shared" si="46"/>
        <v>#DIV/0!</v>
      </c>
      <c r="S481" t="e">
        <f t="shared" si="47"/>
        <v>#DIV/0!</v>
      </c>
      <c r="U481" t="e">
        <v>#NUM!</v>
      </c>
    </row>
    <row r="482" spans="1:21" ht="13.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42"/>
        <v>#DIV/0!</v>
      </c>
      <c r="I482" s="2" t="e">
        <f t="shared" si="43"/>
        <v>#DIV/0!</v>
      </c>
      <c r="J482" s="2">
        <v>0</v>
      </c>
      <c r="K482" s="2">
        <v>0.21</v>
      </c>
      <c r="L482" s="2">
        <v>0</v>
      </c>
      <c r="M482" s="2">
        <v>0</v>
      </c>
      <c r="N482" s="2">
        <v>0</v>
      </c>
      <c r="O482" s="2">
        <v>0</v>
      </c>
      <c r="P482" s="2" t="e">
        <f t="shared" si="44"/>
        <v>#DIV/0!</v>
      </c>
      <c r="Q482" s="2">
        <f t="shared" si="45"/>
        <v>0.37390096630005903</v>
      </c>
      <c r="R482" s="2" t="e">
        <f t="shared" si="46"/>
        <v>#DIV/0!</v>
      </c>
      <c r="S482" t="e">
        <f t="shared" si="47"/>
        <v>#DIV/0!</v>
      </c>
      <c r="U482">
        <v>-2.2515387669959646</v>
      </c>
    </row>
    <row r="483" spans="1:21" ht="13.9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42"/>
        <v>#NUM!</v>
      </c>
      <c r="I483" s="2">
        <f t="shared" si="43"/>
        <v>0.37390096630005903</v>
      </c>
      <c r="J483" s="2">
        <v>0</v>
      </c>
      <c r="K483" s="2">
        <v>0</v>
      </c>
      <c r="L483" s="2">
        <v>0</v>
      </c>
      <c r="M483" s="2">
        <v>0.62</v>
      </c>
      <c r="N483" s="2">
        <v>0</v>
      </c>
      <c r="O483" s="2">
        <v>0</v>
      </c>
      <c r="P483" s="2" t="e">
        <f t="shared" si="44"/>
        <v>#NUM!</v>
      </c>
      <c r="Q483" s="2">
        <f t="shared" si="45"/>
        <v>0.37390096630005903</v>
      </c>
      <c r="R483" s="2" t="e">
        <f t="shared" si="46"/>
        <v>#NUM!</v>
      </c>
      <c r="S483" t="e">
        <f t="shared" si="47"/>
        <v>#NUM!</v>
      </c>
      <c r="U483" t="e">
        <v>#NUM!</v>
      </c>
    </row>
    <row r="484" spans="1:21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42"/>
        <v>#DIV/0!</v>
      </c>
      <c r="I484" s="2" t="e">
        <f t="shared" si="43"/>
        <v>#DIV/0!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f t="shared" si="44"/>
        <v>#DIV/0!</v>
      </c>
      <c r="Q484" s="2" t="e">
        <f t="shared" si="45"/>
        <v>#DIV/0!</v>
      </c>
      <c r="R484" s="2" t="e">
        <f t="shared" si="46"/>
        <v>#DIV/0!</v>
      </c>
      <c r="S484" t="e">
        <f t="shared" si="47"/>
        <v>#DIV/0!</v>
      </c>
      <c r="U484" t="e">
        <v>#NUM!</v>
      </c>
    </row>
    <row r="485" spans="1:21" ht="13.9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42"/>
        <v>#NUM!</v>
      </c>
      <c r="I485" s="2">
        <f t="shared" si="43"/>
        <v>0.37390096630005903</v>
      </c>
      <c r="J485" s="2">
        <v>10.24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 t="e">
        <f t="shared" si="44"/>
        <v>#DIV/0!</v>
      </c>
      <c r="Q485" s="2">
        <f t="shared" si="45"/>
        <v>0.37390096630005903</v>
      </c>
      <c r="R485" s="2" t="e">
        <f t="shared" si="46"/>
        <v>#DIV/0!</v>
      </c>
      <c r="S485" t="e">
        <f t="shared" si="47"/>
        <v>#DIV/0!</v>
      </c>
      <c r="U485">
        <v>3.3561438102252756</v>
      </c>
    </row>
    <row r="486" spans="1:21" ht="13.9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42"/>
        <v>#NUM!</v>
      </c>
      <c r="I486" s="2">
        <f t="shared" si="43"/>
        <v>0.37390096630005903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 t="e">
        <f t="shared" si="44"/>
        <v>#DIV/0!</v>
      </c>
      <c r="Q486" s="2" t="e">
        <f t="shared" si="45"/>
        <v>#DIV/0!</v>
      </c>
      <c r="R486" s="2" t="e">
        <f t="shared" si="46"/>
        <v>#DIV/0!</v>
      </c>
      <c r="S486" t="e">
        <f t="shared" si="47"/>
        <v>#DIV/0!</v>
      </c>
      <c r="U486" t="e">
        <v>#NUM!</v>
      </c>
    </row>
    <row r="487" spans="1:21" ht="13.9" x14ac:dyDescent="0.3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42"/>
        <v>-0.20353339408513199</v>
      </c>
      <c r="I487" s="2">
        <f t="shared" si="43"/>
        <v>0.89024581860213714</v>
      </c>
      <c r="J487" s="2">
        <v>3.41</v>
      </c>
      <c r="K487" s="2">
        <v>0</v>
      </c>
      <c r="L487" s="2">
        <v>0</v>
      </c>
      <c r="M487" s="2">
        <v>2.88</v>
      </c>
      <c r="N487" s="2">
        <v>0</v>
      </c>
      <c r="O487" s="2">
        <v>5.82</v>
      </c>
      <c r="P487" s="2">
        <f t="shared" si="44"/>
        <v>-1.3512436617119181</v>
      </c>
      <c r="Q487" s="2">
        <f t="shared" si="45"/>
        <v>0.43374506226376397</v>
      </c>
      <c r="R487" s="2">
        <f t="shared" si="46"/>
        <v>-1.1477102676267861</v>
      </c>
      <c r="S487">
        <f t="shared" si="47"/>
        <v>6.6389285541356076</v>
      </c>
      <c r="U487">
        <v>1.7697717392494476</v>
      </c>
    </row>
    <row r="488" spans="1:21" ht="13.9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42"/>
        <v>#NUM!</v>
      </c>
      <c r="I488" s="2">
        <f t="shared" si="43"/>
        <v>7.4929771093532382E-2</v>
      </c>
      <c r="J488" s="2">
        <v>0</v>
      </c>
      <c r="K488" s="2">
        <v>0</v>
      </c>
      <c r="L488" s="2">
        <v>0</v>
      </c>
      <c r="M488" s="2">
        <v>0.51</v>
      </c>
      <c r="N488" s="2">
        <v>0</v>
      </c>
      <c r="O488" s="2">
        <v>0.54</v>
      </c>
      <c r="P488" s="2" t="e">
        <f t="shared" si="44"/>
        <v>#NUM!</v>
      </c>
      <c r="Q488" s="2">
        <f t="shared" si="45"/>
        <v>0.11644111590956105</v>
      </c>
      <c r="R488" s="2" t="e">
        <f t="shared" si="46"/>
        <v>#NUM!</v>
      </c>
      <c r="S488" t="e">
        <f t="shared" si="47"/>
        <v>#NUM!</v>
      </c>
      <c r="U488" t="e">
        <v>#NUM!</v>
      </c>
    </row>
    <row r="489" spans="1:21" ht="13.9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42"/>
        <v>#NUM!</v>
      </c>
      <c r="I489" s="2">
        <f t="shared" si="43"/>
        <v>0.37390096630005903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f t="shared" si="44"/>
        <v>#DIV/0!</v>
      </c>
      <c r="Q489" s="2" t="e">
        <f t="shared" si="45"/>
        <v>#DIV/0!</v>
      </c>
      <c r="R489" s="2" t="e">
        <f t="shared" si="46"/>
        <v>#DIV/0!</v>
      </c>
      <c r="S489" t="e">
        <f t="shared" si="47"/>
        <v>#DIV/0!</v>
      </c>
      <c r="U489" t="e">
        <v>#NUM!</v>
      </c>
    </row>
    <row r="490" spans="1:21" ht="13.9" x14ac:dyDescent="0.3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42"/>
        <v>-0.78849589480628823</v>
      </c>
      <c r="I490" s="2">
        <f t="shared" si="43"/>
        <v>0.52395549906329764</v>
      </c>
      <c r="J490" s="2">
        <v>0</v>
      </c>
      <c r="K490" s="2">
        <v>0</v>
      </c>
      <c r="L490" s="2">
        <v>0</v>
      </c>
      <c r="M490" s="2">
        <v>0.31</v>
      </c>
      <c r="N490" s="2">
        <v>0</v>
      </c>
      <c r="O490" s="2">
        <v>0.41</v>
      </c>
      <c r="P490" s="2" t="e">
        <f t="shared" si="44"/>
        <v>#NUM!</v>
      </c>
      <c r="Q490" s="2">
        <f t="shared" si="45"/>
        <v>0.12373238021215915</v>
      </c>
      <c r="R490" s="2" t="e">
        <f t="shared" si="46"/>
        <v>#NUM!</v>
      </c>
      <c r="S490" t="e">
        <f t="shared" si="47"/>
        <v>#NUM!</v>
      </c>
      <c r="U490" t="e">
        <v>#NUM!</v>
      </c>
    </row>
    <row r="491" spans="1:21" ht="13.9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42"/>
        <v>#NUM!</v>
      </c>
      <c r="I491" s="2">
        <f t="shared" si="43"/>
        <v>0.37390096630005903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 t="e">
        <f t="shared" si="44"/>
        <v>#DIV/0!</v>
      </c>
      <c r="Q491" s="2" t="e">
        <f t="shared" si="45"/>
        <v>#DIV/0!</v>
      </c>
      <c r="R491" s="2" t="e">
        <f t="shared" si="46"/>
        <v>#DIV/0!</v>
      </c>
      <c r="S491" t="e">
        <f t="shared" si="47"/>
        <v>#DIV/0!</v>
      </c>
      <c r="U491" t="e">
        <v>#NUM!</v>
      </c>
    </row>
    <row r="492" spans="1:21" ht="13.9" x14ac:dyDescent="0.3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42"/>
        <v>2.335603031784439</v>
      </c>
      <c r="I492" s="2">
        <f t="shared" si="43"/>
        <v>0.46966510169923892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 t="e">
        <f t="shared" si="44"/>
        <v>#DIV/0!</v>
      </c>
      <c r="Q492" s="2" t="e">
        <f t="shared" si="45"/>
        <v>#DIV/0!</v>
      </c>
      <c r="R492" s="2" t="e">
        <f t="shared" si="46"/>
        <v>#DIV/0!</v>
      </c>
      <c r="S492" t="e">
        <f t="shared" si="47"/>
        <v>#DIV/0!</v>
      </c>
      <c r="U492" t="e">
        <v>#NUM!</v>
      </c>
    </row>
    <row r="493" spans="1:21" ht="13.9" x14ac:dyDescent="0.3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42"/>
        <v>-0.45828409730344877</v>
      </c>
      <c r="I493" s="2">
        <f t="shared" si="43"/>
        <v>5.2639517317655253E-2</v>
      </c>
      <c r="J493" s="2">
        <v>11.5</v>
      </c>
      <c r="K493" s="2">
        <v>43.32</v>
      </c>
      <c r="L493" s="2">
        <v>41.73</v>
      </c>
      <c r="M493" s="2">
        <v>50.52</v>
      </c>
      <c r="N493" s="2">
        <v>0</v>
      </c>
      <c r="O493" s="2">
        <v>64.56</v>
      </c>
      <c r="P493" s="2">
        <f t="shared" si="44"/>
        <v>-0.25328896190127453</v>
      </c>
      <c r="Q493" s="2">
        <f t="shared" si="45"/>
        <v>0.79434807334707258</v>
      </c>
      <c r="R493" s="2">
        <f t="shared" si="46"/>
        <v>0.20499513540217423</v>
      </c>
      <c r="S493">
        <f t="shared" si="47"/>
        <v>0.55268983451887377</v>
      </c>
      <c r="U493">
        <v>6.5932043540632881</v>
      </c>
    </row>
    <row r="494" spans="1:21" ht="13.9" x14ac:dyDescent="0.3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42"/>
        <v>-0.31373798620348253</v>
      </c>
      <c r="I494" s="2">
        <f t="shared" si="43"/>
        <v>0.4681983335593044</v>
      </c>
      <c r="J494" s="2">
        <v>129.71</v>
      </c>
      <c r="K494" s="2">
        <v>328.57</v>
      </c>
      <c r="L494" s="2">
        <v>268.45999999999998</v>
      </c>
      <c r="M494" s="2">
        <v>266.38</v>
      </c>
      <c r="N494" s="2">
        <v>163.51</v>
      </c>
      <c r="O494" s="2">
        <v>304.13</v>
      </c>
      <c r="P494" s="2">
        <f t="shared" si="44"/>
        <v>-1.438005812452663E-2</v>
      </c>
      <c r="Q494" s="2">
        <f t="shared" si="45"/>
        <v>0.9748463906701097</v>
      </c>
      <c r="R494" s="2">
        <f t="shared" si="46"/>
        <v>0.29935792807895589</v>
      </c>
      <c r="S494">
        <f t="shared" si="47"/>
        <v>4.5834609632510639E-2</v>
      </c>
      <c r="U494">
        <v>9.5052955046747094</v>
      </c>
    </row>
    <row r="495" spans="1:21" ht="13.9" x14ac:dyDescent="0.3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42"/>
        <v>0.76184026280523554</v>
      </c>
      <c r="I495" s="2">
        <f t="shared" si="43"/>
        <v>0.6452033777986752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 t="e">
        <f t="shared" si="44"/>
        <v>#DIV/0!</v>
      </c>
      <c r="Q495" s="2" t="e">
        <f t="shared" si="45"/>
        <v>#DIV/0!</v>
      </c>
      <c r="R495" s="2" t="e">
        <f t="shared" si="46"/>
        <v>#DIV/0!</v>
      </c>
      <c r="S495" t="e">
        <f t="shared" si="47"/>
        <v>#DIV/0!</v>
      </c>
      <c r="U495" t="e">
        <v>#NUM!</v>
      </c>
    </row>
    <row r="496" spans="1:21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42"/>
        <v>#DIV/0!</v>
      </c>
      <c r="I496" s="2" t="e">
        <f t="shared" si="43"/>
        <v>#DIV/0!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 t="e">
        <f t="shared" si="44"/>
        <v>#DIV/0!</v>
      </c>
      <c r="Q496" s="2" t="e">
        <f t="shared" si="45"/>
        <v>#DIV/0!</v>
      </c>
      <c r="R496" s="2" t="e">
        <f t="shared" si="46"/>
        <v>#DIV/0!</v>
      </c>
      <c r="S496" t="e">
        <f t="shared" si="47"/>
        <v>#DIV/0!</v>
      </c>
      <c r="U496" t="e">
        <v>#NUM!</v>
      </c>
    </row>
    <row r="497" spans="1:21" ht="13.9" x14ac:dyDescent="0.3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42"/>
        <v>0.89308479608348801</v>
      </c>
      <c r="I497" s="2">
        <f t="shared" si="43"/>
        <v>0.68026444900413718</v>
      </c>
      <c r="J497" s="2">
        <v>0</v>
      </c>
      <c r="K497" s="2">
        <v>0</v>
      </c>
      <c r="L497" s="2">
        <v>0</v>
      </c>
      <c r="M497" s="2">
        <v>0</v>
      </c>
      <c r="N497" s="2">
        <v>204.38</v>
      </c>
      <c r="O497" s="2">
        <v>0</v>
      </c>
      <c r="P497" s="2" t="e">
        <f t="shared" si="44"/>
        <v>#NUM!</v>
      </c>
      <c r="Q497" s="2">
        <f t="shared" si="45"/>
        <v>0.37390096630005903</v>
      </c>
      <c r="R497" s="2" t="e">
        <f t="shared" si="46"/>
        <v>#NUM!</v>
      </c>
      <c r="S497" t="e">
        <f t="shared" si="47"/>
        <v>#NUM!</v>
      </c>
      <c r="U497" t="e">
        <v>#NUM!</v>
      </c>
    </row>
    <row r="498" spans="1:21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42"/>
        <v>#DIV/0!</v>
      </c>
      <c r="I498" s="2" t="e">
        <f t="shared" si="43"/>
        <v>#DIV/0!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 t="e">
        <f t="shared" si="44"/>
        <v>#DIV/0!</v>
      </c>
      <c r="Q498" s="2" t="e">
        <f t="shared" si="45"/>
        <v>#DIV/0!</v>
      </c>
      <c r="R498" s="2" t="e">
        <f t="shared" si="46"/>
        <v>#DIV/0!</v>
      </c>
      <c r="S498" t="e">
        <f t="shared" si="47"/>
        <v>#DIV/0!</v>
      </c>
      <c r="U498" t="e">
        <v>#NUM!</v>
      </c>
    </row>
    <row r="499" spans="1:21" ht="13.9" x14ac:dyDescent="0.3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42"/>
        <v>1.9402601116813927</v>
      </c>
      <c r="I499" s="2">
        <f t="shared" si="43"/>
        <v>0.24687682142932413</v>
      </c>
      <c r="J499" s="2">
        <v>0.18</v>
      </c>
      <c r="K499" s="2">
        <v>7.53</v>
      </c>
      <c r="L499" s="2">
        <v>1.01</v>
      </c>
      <c r="M499" s="2">
        <v>1.65</v>
      </c>
      <c r="N499" s="2">
        <v>0</v>
      </c>
      <c r="O499" s="2">
        <v>0.27</v>
      </c>
      <c r="P499" s="2">
        <f t="shared" si="44"/>
        <v>2.1832218240557704</v>
      </c>
      <c r="Q499" s="2">
        <f t="shared" si="45"/>
        <v>0.39475568117069526</v>
      </c>
      <c r="R499" s="2">
        <f t="shared" si="46"/>
        <v>0.24296171237437769</v>
      </c>
      <c r="S499">
        <f t="shared" si="47"/>
        <v>1.1252212066369967</v>
      </c>
      <c r="U499">
        <v>3.1243281350022016</v>
      </c>
    </row>
    <row r="500" spans="1:21" ht="13.9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42"/>
        <v>#NUM!</v>
      </c>
      <c r="I500" s="2">
        <f t="shared" si="43"/>
        <v>0.37390096630005903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f t="shared" si="44"/>
        <v>#DIV/0!</v>
      </c>
      <c r="Q500" s="2" t="e">
        <f t="shared" si="45"/>
        <v>#DIV/0!</v>
      </c>
      <c r="R500" s="2" t="e">
        <f t="shared" si="46"/>
        <v>#DIV/0!</v>
      </c>
      <c r="S500" t="e">
        <f t="shared" si="47"/>
        <v>#DIV/0!</v>
      </c>
      <c r="U500" t="e">
        <v>#NUM!</v>
      </c>
    </row>
    <row r="501" spans="1:21" ht="13.9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42"/>
        <v>#NUM!</v>
      </c>
      <c r="I501" s="2">
        <f t="shared" si="43"/>
        <v>0.37390096630005903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f t="shared" si="44"/>
        <v>#DIV/0!</v>
      </c>
      <c r="Q501" s="2" t="e">
        <f t="shared" si="45"/>
        <v>#DIV/0!</v>
      </c>
      <c r="R501" s="2" t="e">
        <f t="shared" si="46"/>
        <v>#DIV/0!</v>
      </c>
      <c r="S501" t="e">
        <f t="shared" si="47"/>
        <v>#DIV/0!</v>
      </c>
      <c r="U501" t="e">
        <v>#NUM!</v>
      </c>
    </row>
    <row r="502" spans="1:21" ht="13.9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42"/>
        <v>#NUM!</v>
      </c>
      <c r="I502" s="2">
        <f t="shared" si="43"/>
        <v>0.37390096630005903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f t="shared" si="44"/>
        <v>#DIV/0!</v>
      </c>
      <c r="Q502" s="2" t="e">
        <f t="shared" si="45"/>
        <v>#DIV/0!</v>
      </c>
      <c r="R502" s="2" t="e">
        <f t="shared" si="46"/>
        <v>#DIV/0!</v>
      </c>
      <c r="S502" t="e">
        <f t="shared" si="47"/>
        <v>#DIV/0!</v>
      </c>
      <c r="U502" t="e">
        <v>#NUM!</v>
      </c>
    </row>
    <row r="503" spans="1:21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42"/>
        <v>#DIV/0!</v>
      </c>
      <c r="I503" s="2" t="e">
        <f t="shared" si="43"/>
        <v>#DIV/0!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f t="shared" si="44"/>
        <v>#DIV/0!</v>
      </c>
      <c r="Q503" s="2" t="e">
        <f t="shared" si="45"/>
        <v>#DIV/0!</v>
      </c>
      <c r="R503" s="2" t="e">
        <f t="shared" si="46"/>
        <v>#DIV/0!</v>
      </c>
      <c r="S503" t="e">
        <f t="shared" si="47"/>
        <v>#DIV/0!</v>
      </c>
      <c r="U503" t="e">
        <v>#NUM!</v>
      </c>
    </row>
    <row r="504" spans="1:21" ht="13.9" x14ac:dyDescent="0.3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42"/>
        <v>#NUM!</v>
      </c>
      <c r="I504" s="2">
        <f t="shared" si="43"/>
        <v>0.37390096630005903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 t="e">
        <f t="shared" si="44"/>
        <v>#DIV/0!</v>
      </c>
      <c r="Q504" s="2" t="e">
        <f t="shared" si="45"/>
        <v>#DIV/0!</v>
      </c>
      <c r="R504" s="2" t="e">
        <f t="shared" si="46"/>
        <v>#DIV/0!</v>
      </c>
      <c r="S504" t="e">
        <f t="shared" si="47"/>
        <v>#DIV/0!</v>
      </c>
      <c r="U504" t="e">
        <v>#NUM!</v>
      </c>
    </row>
    <row r="505" spans="1:21" ht="13.9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42"/>
        <v>#NUM!</v>
      </c>
      <c r="I505" s="2">
        <f t="shared" si="43"/>
        <v>0.37390096630005903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0.81</v>
      </c>
      <c r="P505" s="2" t="e">
        <f t="shared" si="44"/>
        <v>#NUM!</v>
      </c>
      <c r="Q505" s="2">
        <f t="shared" si="45"/>
        <v>0.37390096630005903</v>
      </c>
      <c r="R505" s="2" t="e">
        <f t="shared" si="46"/>
        <v>#NUM!</v>
      </c>
      <c r="S505" t="e">
        <f t="shared" si="47"/>
        <v>#NUM!</v>
      </c>
      <c r="U505" t="e">
        <v>#NUM!</v>
      </c>
    </row>
    <row r="506" spans="1:21" ht="13.9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42"/>
        <v>#NUM!</v>
      </c>
      <c r="I506" s="2">
        <f t="shared" si="43"/>
        <v>0.37390096630005903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1.08</v>
      </c>
      <c r="P506" s="2" t="e">
        <f t="shared" si="44"/>
        <v>#NUM!</v>
      </c>
      <c r="Q506" s="2">
        <f t="shared" si="45"/>
        <v>0.37390096630005903</v>
      </c>
      <c r="R506" s="2" t="e">
        <f t="shared" si="46"/>
        <v>#NUM!</v>
      </c>
      <c r="S506" t="e">
        <f t="shared" si="47"/>
        <v>#NUM!</v>
      </c>
      <c r="U506" t="e">
        <v>#NUM!</v>
      </c>
    </row>
    <row r="507" spans="1:21" ht="13.9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42"/>
        <v>#NUM!</v>
      </c>
      <c r="I507" s="2">
        <f t="shared" si="43"/>
        <v>0.37390096630005903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 t="e">
        <f t="shared" si="44"/>
        <v>#DIV/0!</v>
      </c>
      <c r="Q507" s="2" t="e">
        <f t="shared" si="45"/>
        <v>#DIV/0!</v>
      </c>
      <c r="R507" s="2" t="e">
        <f t="shared" si="46"/>
        <v>#DIV/0!</v>
      </c>
      <c r="S507" t="e">
        <f t="shared" si="47"/>
        <v>#DIV/0!</v>
      </c>
      <c r="U507" t="e">
        <v>#NUM!</v>
      </c>
    </row>
    <row r="508" spans="1:21" ht="13.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42"/>
        <v>#DIV/0!</v>
      </c>
      <c r="I508" s="2" t="e">
        <f t="shared" si="43"/>
        <v>#DIV/0!</v>
      </c>
      <c r="J508" s="2">
        <v>0</v>
      </c>
      <c r="K508" s="2">
        <v>0</v>
      </c>
      <c r="L508" s="2">
        <v>24.13</v>
      </c>
      <c r="M508" s="2">
        <v>0</v>
      </c>
      <c r="N508" s="2">
        <v>0</v>
      </c>
      <c r="O508" s="2">
        <v>0</v>
      </c>
      <c r="P508" s="2" t="e">
        <f t="shared" si="44"/>
        <v>#DIV/0!</v>
      </c>
      <c r="Q508" s="2">
        <f t="shared" si="45"/>
        <v>0.37390096630005903</v>
      </c>
      <c r="R508" s="2" t="e">
        <f t="shared" si="46"/>
        <v>#DIV/0!</v>
      </c>
      <c r="S508" t="e">
        <f t="shared" si="47"/>
        <v>#DIV/0!</v>
      </c>
      <c r="U508">
        <v>4.5927560104410272</v>
      </c>
    </row>
    <row r="509" spans="1:21" ht="13.9" x14ac:dyDescent="0.3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42"/>
        <v>-1.2901735743706049</v>
      </c>
      <c r="I509" s="2">
        <f t="shared" si="43"/>
        <v>0.27105885481126196</v>
      </c>
      <c r="J509" s="2">
        <v>0.18</v>
      </c>
      <c r="K509" s="2">
        <v>3.77</v>
      </c>
      <c r="L509" s="2">
        <v>0</v>
      </c>
      <c r="M509" s="2">
        <v>6.07</v>
      </c>
      <c r="N509" s="2">
        <v>0</v>
      </c>
      <c r="O509" s="2">
        <v>6.5</v>
      </c>
      <c r="P509" s="2">
        <f t="shared" si="44"/>
        <v>-1.6700600913560424</v>
      </c>
      <c r="Q509" s="2">
        <f t="shared" si="45"/>
        <v>0.30276225463032741</v>
      </c>
      <c r="R509" s="2">
        <f t="shared" si="46"/>
        <v>-0.37988651698543752</v>
      </c>
      <c r="S509">
        <f t="shared" si="47"/>
        <v>1.2944460532535402</v>
      </c>
      <c r="U509">
        <v>1.9818526532897409</v>
      </c>
    </row>
    <row r="510" spans="1:21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42"/>
        <v>#DIV/0!</v>
      </c>
      <c r="I510" s="2" t="e">
        <f t="shared" si="43"/>
        <v>#DIV/0!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 t="e">
        <f t="shared" si="44"/>
        <v>#DIV/0!</v>
      </c>
      <c r="Q510" s="2" t="e">
        <f t="shared" si="45"/>
        <v>#DIV/0!</v>
      </c>
      <c r="R510" s="2" t="e">
        <f t="shared" si="46"/>
        <v>#DIV/0!</v>
      </c>
      <c r="S510" t="e">
        <f t="shared" si="47"/>
        <v>#DIV/0!</v>
      </c>
      <c r="U510" t="e">
        <v>#NUM!</v>
      </c>
    </row>
    <row r="511" spans="1:21" ht="13.9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42"/>
        <v>#NUM!</v>
      </c>
      <c r="I511" s="2">
        <f t="shared" si="43"/>
        <v>0.37390096630005903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 t="e">
        <f t="shared" si="44"/>
        <v>#DIV/0!</v>
      </c>
      <c r="Q511" s="2" t="e">
        <f t="shared" si="45"/>
        <v>#DIV/0!</v>
      </c>
      <c r="R511" s="2" t="e">
        <f t="shared" si="46"/>
        <v>#DIV/0!</v>
      </c>
      <c r="S511" t="e">
        <f t="shared" si="47"/>
        <v>#DIV/0!</v>
      </c>
      <c r="U511" t="e">
        <v>#NUM!</v>
      </c>
    </row>
    <row r="512" spans="1:21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42"/>
        <v>#DIV/0!</v>
      </c>
      <c r="I512" s="2" t="e">
        <f t="shared" si="43"/>
        <v>#DIV/0!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 t="e">
        <f t="shared" si="44"/>
        <v>#DIV/0!</v>
      </c>
      <c r="Q512" s="2" t="e">
        <f t="shared" si="45"/>
        <v>#DIV/0!</v>
      </c>
      <c r="R512" s="2" t="e">
        <f t="shared" si="46"/>
        <v>#DIV/0!</v>
      </c>
      <c r="S512" t="e">
        <f t="shared" si="47"/>
        <v>#DIV/0!</v>
      </c>
      <c r="U512" t="e">
        <v>#NUM!</v>
      </c>
    </row>
    <row r="513" spans="1:21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42"/>
        <v>#DIV/0!</v>
      </c>
      <c r="I513" s="2" t="e">
        <f t="shared" si="43"/>
        <v>#DIV/0!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0.14000000000000001</v>
      </c>
      <c r="P513" s="2" t="e">
        <f t="shared" si="44"/>
        <v>#NUM!</v>
      </c>
      <c r="Q513" s="2">
        <f t="shared" si="45"/>
        <v>0.37390096630005903</v>
      </c>
      <c r="R513" s="2" t="e">
        <f t="shared" si="46"/>
        <v>#NUM!</v>
      </c>
      <c r="S513" t="e">
        <f t="shared" si="47"/>
        <v>#NUM!</v>
      </c>
      <c r="U513" t="e">
        <v>#NUM!</v>
      </c>
    </row>
    <row r="514" spans="1:21" ht="13.9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48">LOG(SUM(B514:D514)/SUM(E514:G514),2)</f>
        <v>#NUM!</v>
      </c>
      <c r="I514" s="2">
        <f t="shared" ref="I514:I577" si="49">_xlfn.T.TEST(B514:D514,E514:G514,2,2)</f>
        <v>0.12350156134849666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0.95</v>
      </c>
      <c r="P514" s="2" t="e">
        <f t="shared" ref="P514:P577" si="50">LOG(SUM(J514:L514)/SUM(M514:O514),2)</f>
        <v>#NUM!</v>
      </c>
      <c r="Q514" s="2">
        <f t="shared" ref="Q514:Q577" si="51">_xlfn.T.TEST(J514:L514,M514:O514,2,2)</f>
        <v>0.37390096630005903</v>
      </c>
      <c r="R514" s="2" t="e">
        <f t="shared" si="46"/>
        <v>#NUM!</v>
      </c>
      <c r="S514" t="e">
        <f t="shared" si="47"/>
        <v>#NUM!</v>
      </c>
      <c r="U514" t="e">
        <v>#NUM!</v>
      </c>
    </row>
    <row r="515" spans="1:21" ht="13.9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48"/>
        <v>#NUM!</v>
      </c>
      <c r="I515" s="2">
        <f t="shared" si="49"/>
        <v>0.37390096630005903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f t="shared" si="50"/>
        <v>#DIV/0!</v>
      </c>
      <c r="Q515" s="2" t="e">
        <f t="shared" si="51"/>
        <v>#DIV/0!</v>
      </c>
      <c r="R515" s="2" t="e">
        <f t="shared" ref="R515:R578" si="52">P515-H515</f>
        <v>#DIV/0!</v>
      </c>
      <c r="S515" t="e">
        <f t="shared" si="47"/>
        <v>#DIV/0!</v>
      </c>
      <c r="U515" t="e">
        <v>#NUM!</v>
      </c>
    </row>
    <row r="516" spans="1:21" ht="13.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48"/>
        <v>#DIV/0!</v>
      </c>
      <c r="I516" s="2" t="e">
        <f t="shared" si="49"/>
        <v>#DIV/0!</v>
      </c>
      <c r="J516" s="2">
        <v>4.49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 t="e">
        <f t="shared" si="50"/>
        <v>#DIV/0!</v>
      </c>
      <c r="Q516" s="2">
        <f t="shared" si="51"/>
        <v>0.37390096630005903</v>
      </c>
      <c r="R516" s="2" t="e">
        <f t="shared" si="52"/>
        <v>#DIV/0!</v>
      </c>
      <c r="S516" t="e">
        <f t="shared" ref="S516:S579" si="53">P516/H516</f>
        <v>#DIV/0!</v>
      </c>
      <c r="U516">
        <v>2.1667154449664223</v>
      </c>
    </row>
    <row r="517" spans="1:21" ht="13.9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48"/>
        <v>#NUM!</v>
      </c>
      <c r="I517" s="2">
        <f t="shared" si="49"/>
        <v>0.14478343417203191</v>
      </c>
      <c r="J517" s="2">
        <v>0</v>
      </c>
      <c r="K517" s="2">
        <v>0</v>
      </c>
      <c r="L517" s="2">
        <v>0</v>
      </c>
      <c r="M517" s="2">
        <v>0.41</v>
      </c>
      <c r="N517" s="2">
        <v>0</v>
      </c>
      <c r="O517" s="2">
        <v>0.81</v>
      </c>
      <c r="P517" s="2" t="e">
        <f t="shared" si="50"/>
        <v>#NUM!</v>
      </c>
      <c r="Q517" s="2">
        <f t="shared" si="51"/>
        <v>0.15699679863226787</v>
      </c>
      <c r="R517" s="2" t="e">
        <f t="shared" si="52"/>
        <v>#NUM!</v>
      </c>
      <c r="S517" t="e">
        <f t="shared" si="53"/>
        <v>#NUM!</v>
      </c>
      <c r="U517" t="e">
        <v>#NUM!</v>
      </c>
    </row>
    <row r="518" spans="1:21" ht="13.9" x14ac:dyDescent="0.3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48"/>
        <v>3.7474705418662962E-2</v>
      </c>
      <c r="I518" s="2">
        <f t="shared" si="49"/>
        <v>0.98622732178258854</v>
      </c>
      <c r="J518" s="2">
        <v>0</v>
      </c>
      <c r="K518" s="2">
        <v>0</v>
      </c>
      <c r="L518" s="2">
        <v>0</v>
      </c>
      <c r="M518" s="2">
        <v>0.93</v>
      </c>
      <c r="N518" s="2">
        <v>0</v>
      </c>
      <c r="O518" s="2">
        <v>0</v>
      </c>
      <c r="P518" s="2" t="e">
        <f t="shared" si="50"/>
        <v>#NUM!</v>
      </c>
      <c r="Q518" s="2">
        <f t="shared" si="51"/>
        <v>0.37390096630005903</v>
      </c>
      <c r="R518" s="2" t="e">
        <f t="shared" si="52"/>
        <v>#NUM!</v>
      </c>
      <c r="S518" t="e">
        <f t="shared" si="53"/>
        <v>#NUM!</v>
      </c>
      <c r="U518" t="e">
        <v>#NUM!</v>
      </c>
    </row>
    <row r="519" spans="1:21" ht="13.9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48"/>
        <v>#NUM!</v>
      </c>
      <c r="I519" s="2">
        <f t="shared" si="49"/>
        <v>0.37390096630005903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 t="e">
        <f t="shared" si="50"/>
        <v>#DIV/0!</v>
      </c>
      <c r="Q519" s="2" t="e">
        <f t="shared" si="51"/>
        <v>#DIV/0!</v>
      </c>
      <c r="R519" s="2" t="e">
        <f t="shared" si="52"/>
        <v>#DIV/0!</v>
      </c>
      <c r="S519" t="e">
        <f t="shared" si="53"/>
        <v>#DIV/0!</v>
      </c>
      <c r="U519" t="e">
        <v>#NUM!</v>
      </c>
    </row>
    <row r="520" spans="1:21" ht="13.9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48"/>
        <v>#DIV/0!</v>
      </c>
      <c r="I520" s="2" t="e">
        <f t="shared" si="49"/>
        <v>#DIV/0!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 t="e">
        <f t="shared" si="50"/>
        <v>#DIV/0!</v>
      </c>
      <c r="Q520" s="2" t="e">
        <f t="shared" si="51"/>
        <v>#DIV/0!</v>
      </c>
      <c r="R520" s="2" t="e">
        <f t="shared" si="52"/>
        <v>#DIV/0!</v>
      </c>
      <c r="S520" t="e">
        <f t="shared" si="53"/>
        <v>#DIV/0!</v>
      </c>
      <c r="U520" t="e">
        <v>#NUM!</v>
      </c>
    </row>
    <row r="521" spans="1:21" ht="13.9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48"/>
        <v>#NUM!</v>
      </c>
      <c r="I521" s="2">
        <f t="shared" si="49"/>
        <v>0.37390096630005903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0.14000000000000001</v>
      </c>
      <c r="P521" s="2" t="e">
        <f t="shared" si="50"/>
        <v>#NUM!</v>
      </c>
      <c r="Q521" s="2">
        <f t="shared" si="51"/>
        <v>0.37390096630005903</v>
      </c>
      <c r="R521" s="2" t="e">
        <f t="shared" si="52"/>
        <v>#NUM!</v>
      </c>
      <c r="S521" t="e">
        <f t="shared" si="53"/>
        <v>#NUM!</v>
      </c>
      <c r="U521" t="e">
        <v>#NUM!</v>
      </c>
    </row>
    <row r="522" spans="1:21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48"/>
        <v>#DIV/0!</v>
      </c>
      <c r="I522" s="2" t="e">
        <f t="shared" si="49"/>
        <v>#DIV/0!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1.89</v>
      </c>
      <c r="P522" s="2" t="e">
        <f t="shared" si="50"/>
        <v>#NUM!</v>
      </c>
      <c r="Q522" s="2">
        <f t="shared" si="51"/>
        <v>0.37390096630005903</v>
      </c>
      <c r="R522" s="2" t="e">
        <f t="shared" si="52"/>
        <v>#NUM!</v>
      </c>
      <c r="S522" t="e">
        <f t="shared" si="53"/>
        <v>#NUM!</v>
      </c>
      <c r="U522" t="e">
        <v>#NUM!</v>
      </c>
    </row>
    <row r="523" spans="1:21" ht="13.9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48"/>
        <v>#NUM!</v>
      </c>
      <c r="I523" s="2">
        <f t="shared" si="49"/>
        <v>0.37390096630005903</v>
      </c>
      <c r="J523" s="2">
        <v>0</v>
      </c>
      <c r="K523" s="2">
        <v>0</v>
      </c>
      <c r="L523" s="2">
        <v>0</v>
      </c>
      <c r="M523" s="2">
        <v>0.41</v>
      </c>
      <c r="N523" s="2">
        <v>0</v>
      </c>
      <c r="O523" s="2">
        <v>0</v>
      </c>
      <c r="P523" s="2" t="e">
        <f t="shared" si="50"/>
        <v>#NUM!</v>
      </c>
      <c r="Q523" s="2">
        <f t="shared" si="51"/>
        <v>0.37390096630005903</v>
      </c>
      <c r="R523" s="2" t="e">
        <f t="shared" si="52"/>
        <v>#NUM!</v>
      </c>
      <c r="S523" t="e">
        <f t="shared" si="53"/>
        <v>#NUM!</v>
      </c>
      <c r="U523" t="e">
        <v>#NUM!</v>
      </c>
    </row>
    <row r="524" spans="1:21" ht="13.9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48"/>
        <v>#NUM!</v>
      </c>
      <c r="I524" s="2">
        <f t="shared" si="49"/>
        <v>0.37390096630005903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 t="e">
        <f t="shared" si="50"/>
        <v>#DIV/0!</v>
      </c>
      <c r="Q524" s="2" t="e">
        <f t="shared" si="51"/>
        <v>#DIV/0!</v>
      </c>
      <c r="R524" s="2" t="e">
        <f t="shared" si="52"/>
        <v>#DIV/0!</v>
      </c>
      <c r="S524" t="e">
        <f t="shared" si="53"/>
        <v>#DIV/0!</v>
      </c>
      <c r="U524" t="e">
        <v>#NUM!</v>
      </c>
    </row>
    <row r="525" spans="1:21" ht="13.9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48"/>
        <v>#NUM!</v>
      </c>
      <c r="I525" s="2">
        <f t="shared" si="49"/>
        <v>0.37390096630005903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f t="shared" si="50"/>
        <v>#DIV/0!</v>
      </c>
      <c r="Q525" s="2" t="e">
        <f t="shared" si="51"/>
        <v>#DIV/0!</v>
      </c>
      <c r="R525" s="2" t="e">
        <f t="shared" si="52"/>
        <v>#DIV/0!</v>
      </c>
      <c r="S525" t="e">
        <f t="shared" si="53"/>
        <v>#DIV/0!</v>
      </c>
      <c r="U525" t="e">
        <v>#NUM!</v>
      </c>
    </row>
    <row r="526" spans="1:21" ht="13.9" x14ac:dyDescent="0.3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48"/>
        <v>#NUM!</v>
      </c>
      <c r="I526" s="2">
        <f t="shared" si="49"/>
        <v>3.9263743402019269E-2</v>
      </c>
      <c r="J526" s="2">
        <v>10.24</v>
      </c>
      <c r="K526" s="2">
        <v>0</v>
      </c>
      <c r="L526" s="2">
        <v>0</v>
      </c>
      <c r="M526" s="2">
        <v>1.34</v>
      </c>
      <c r="N526" s="2">
        <v>0</v>
      </c>
      <c r="O526" s="2">
        <v>4.47</v>
      </c>
      <c r="P526" s="2">
        <f t="shared" si="50"/>
        <v>0.81760564659547119</v>
      </c>
      <c r="Q526" s="2">
        <f t="shared" si="51"/>
        <v>0.70734127239009736</v>
      </c>
      <c r="R526" s="2" t="e">
        <f t="shared" si="52"/>
        <v>#NUM!</v>
      </c>
      <c r="S526" t="e">
        <f t="shared" si="53"/>
        <v>#NUM!</v>
      </c>
      <c r="U526">
        <v>3.3561438102252756</v>
      </c>
    </row>
    <row r="527" spans="1:21" ht="13.9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48"/>
        <v>#NUM!</v>
      </c>
      <c r="I527" s="2">
        <f t="shared" si="49"/>
        <v>0.32037492858293415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1.76</v>
      </c>
      <c r="P527" s="2" t="e">
        <f t="shared" si="50"/>
        <v>#NUM!</v>
      </c>
      <c r="Q527" s="2">
        <f t="shared" si="51"/>
        <v>0.37390096630005903</v>
      </c>
      <c r="R527" s="2" t="e">
        <f t="shared" si="52"/>
        <v>#NUM!</v>
      </c>
      <c r="S527" t="e">
        <f t="shared" si="53"/>
        <v>#NUM!</v>
      </c>
      <c r="U527" t="e">
        <v>#NUM!</v>
      </c>
    </row>
    <row r="528" spans="1:21" ht="13.9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48"/>
        <v>#NUM!</v>
      </c>
      <c r="I528" s="2">
        <f t="shared" si="49"/>
        <v>0.25714492104278447</v>
      </c>
      <c r="J528" s="2">
        <v>0</v>
      </c>
      <c r="K528" s="2">
        <v>0</v>
      </c>
      <c r="L528" s="2">
        <v>0</v>
      </c>
      <c r="M528" s="2">
        <v>0.72</v>
      </c>
      <c r="N528" s="2">
        <v>0</v>
      </c>
      <c r="O528" s="2">
        <v>0</v>
      </c>
      <c r="P528" s="2" t="e">
        <f t="shared" si="50"/>
        <v>#NUM!</v>
      </c>
      <c r="Q528" s="2">
        <f t="shared" si="51"/>
        <v>0.37390096630005903</v>
      </c>
      <c r="R528" s="2" t="e">
        <f t="shared" si="52"/>
        <v>#NUM!</v>
      </c>
      <c r="S528" t="e">
        <f t="shared" si="53"/>
        <v>#NUM!</v>
      </c>
      <c r="U528" t="e">
        <v>#NUM!</v>
      </c>
    </row>
    <row r="529" spans="1:21" ht="13.9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48"/>
        <v>#NUM!</v>
      </c>
      <c r="I529" s="2">
        <f t="shared" si="49"/>
        <v>0.14535733135441484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1.35</v>
      </c>
      <c r="P529" s="2" t="e">
        <f t="shared" si="50"/>
        <v>#NUM!</v>
      </c>
      <c r="Q529" s="2">
        <f t="shared" si="51"/>
        <v>0.37390096630005903</v>
      </c>
      <c r="R529" s="2" t="e">
        <f t="shared" si="52"/>
        <v>#NUM!</v>
      </c>
      <c r="S529" t="e">
        <f t="shared" si="53"/>
        <v>#NUM!</v>
      </c>
      <c r="U529" t="e">
        <v>#NUM!</v>
      </c>
    </row>
    <row r="530" spans="1:21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48"/>
        <v>#DIV/0!</v>
      </c>
      <c r="I530" s="2" t="e">
        <f t="shared" si="49"/>
        <v>#DIV/0!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0.27</v>
      </c>
      <c r="P530" s="2" t="e">
        <f t="shared" si="50"/>
        <v>#NUM!</v>
      </c>
      <c r="Q530" s="2">
        <f t="shared" si="51"/>
        <v>0.37390096630005903</v>
      </c>
      <c r="R530" s="2" t="e">
        <f t="shared" si="52"/>
        <v>#NUM!</v>
      </c>
      <c r="S530" t="e">
        <f t="shared" si="53"/>
        <v>#NUM!</v>
      </c>
      <c r="U530" t="e">
        <v>#NUM!</v>
      </c>
    </row>
    <row r="531" spans="1:21" ht="13.9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48"/>
        <v>#NUM!</v>
      </c>
      <c r="I531" s="2">
        <f t="shared" si="49"/>
        <v>0.37390096630005903</v>
      </c>
      <c r="J531" s="2">
        <v>0</v>
      </c>
      <c r="K531" s="2">
        <v>0</v>
      </c>
      <c r="L531" s="2">
        <v>0</v>
      </c>
      <c r="M531" s="2">
        <v>0.72</v>
      </c>
      <c r="N531" s="2">
        <v>0</v>
      </c>
      <c r="O531" s="2">
        <v>0</v>
      </c>
      <c r="P531" s="2" t="e">
        <f t="shared" si="50"/>
        <v>#NUM!</v>
      </c>
      <c r="Q531" s="2">
        <f t="shared" si="51"/>
        <v>0.37390096630005903</v>
      </c>
      <c r="R531" s="2" t="e">
        <f t="shared" si="52"/>
        <v>#NUM!</v>
      </c>
      <c r="S531" t="e">
        <f t="shared" si="53"/>
        <v>#NUM!</v>
      </c>
      <c r="U531" t="e">
        <v>#NUM!</v>
      </c>
    </row>
    <row r="532" spans="1:21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48"/>
        <v>#DIV/0!</v>
      </c>
      <c r="I532" s="2" t="e">
        <f t="shared" si="49"/>
        <v>#DIV/0!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 t="e">
        <f t="shared" si="50"/>
        <v>#DIV/0!</v>
      </c>
      <c r="Q532" s="2" t="e">
        <f t="shared" si="51"/>
        <v>#DIV/0!</v>
      </c>
      <c r="R532" s="2" t="e">
        <f t="shared" si="52"/>
        <v>#DIV/0!</v>
      </c>
      <c r="S532" t="e">
        <f t="shared" si="53"/>
        <v>#DIV/0!</v>
      </c>
      <c r="U532" t="e">
        <v>#NUM!</v>
      </c>
    </row>
    <row r="533" spans="1:21" ht="13.9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48"/>
        <v>#NUM!</v>
      </c>
      <c r="I533" s="2">
        <f t="shared" si="49"/>
        <v>0.17836869823871432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1.22</v>
      </c>
      <c r="P533" s="2" t="e">
        <f t="shared" si="50"/>
        <v>#NUM!</v>
      </c>
      <c r="Q533" s="2">
        <f t="shared" si="51"/>
        <v>0.37390096630005903</v>
      </c>
      <c r="R533" s="2" t="e">
        <f t="shared" si="52"/>
        <v>#NUM!</v>
      </c>
      <c r="S533" t="e">
        <f t="shared" si="53"/>
        <v>#NUM!</v>
      </c>
      <c r="U533" t="e">
        <v>#NUM!</v>
      </c>
    </row>
    <row r="534" spans="1:21" ht="13.9" x14ac:dyDescent="0.3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48"/>
        <v>-0.47778300078825597</v>
      </c>
      <c r="I534" s="2">
        <f t="shared" si="49"/>
        <v>0.49028762453345737</v>
      </c>
      <c r="J534" s="2">
        <v>10.24</v>
      </c>
      <c r="K534" s="2">
        <v>12.56</v>
      </c>
      <c r="L534" s="2">
        <v>9.0500000000000007</v>
      </c>
      <c r="M534" s="2">
        <v>27.78</v>
      </c>
      <c r="N534" s="2">
        <v>0</v>
      </c>
      <c r="O534" s="2">
        <v>46.97</v>
      </c>
      <c r="P534" s="2">
        <f t="shared" si="50"/>
        <v>-1.2307802068291669</v>
      </c>
      <c r="Q534" s="2">
        <f t="shared" si="51"/>
        <v>0.35467266036473144</v>
      </c>
      <c r="R534" s="2">
        <f t="shared" si="52"/>
        <v>-0.75299720604091092</v>
      </c>
      <c r="S534">
        <f t="shared" si="53"/>
        <v>2.5760234349037137</v>
      </c>
      <c r="U534">
        <v>4.9932214673689383</v>
      </c>
    </row>
    <row r="535" spans="1:21" ht="13.9" x14ac:dyDescent="0.3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48"/>
        <v>#NUM!</v>
      </c>
      <c r="I535" s="2">
        <f t="shared" si="49"/>
        <v>0.13594178198946269</v>
      </c>
      <c r="J535" s="2">
        <v>0</v>
      </c>
      <c r="K535" s="2">
        <v>0</v>
      </c>
      <c r="L535" s="2">
        <v>0</v>
      </c>
      <c r="M535" s="2">
        <v>0.72</v>
      </c>
      <c r="N535" s="2">
        <v>0</v>
      </c>
      <c r="O535" s="2">
        <v>0.27</v>
      </c>
      <c r="P535" s="2" t="e">
        <f t="shared" si="50"/>
        <v>#NUM!</v>
      </c>
      <c r="Q535" s="2">
        <f t="shared" si="51"/>
        <v>0.19117998721848575</v>
      </c>
      <c r="R535" s="2" t="e">
        <f t="shared" si="52"/>
        <v>#NUM!</v>
      </c>
      <c r="S535" t="e">
        <f t="shared" si="53"/>
        <v>#NUM!</v>
      </c>
      <c r="U535" t="e">
        <v>#NUM!</v>
      </c>
    </row>
    <row r="536" spans="1:21" ht="13.9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48"/>
        <v>#NUM!</v>
      </c>
      <c r="I536" s="2">
        <f t="shared" si="49"/>
        <v>0.37390096630005903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 t="e">
        <f t="shared" si="50"/>
        <v>#DIV/0!</v>
      </c>
      <c r="Q536" s="2" t="e">
        <f t="shared" si="51"/>
        <v>#DIV/0!</v>
      </c>
      <c r="R536" s="2" t="e">
        <f t="shared" si="52"/>
        <v>#DIV/0!</v>
      </c>
      <c r="S536" t="e">
        <f t="shared" si="53"/>
        <v>#DIV/0!</v>
      </c>
      <c r="U536" t="e">
        <v>#NUM!</v>
      </c>
    </row>
    <row r="537" spans="1:21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48"/>
        <v>#DIV/0!</v>
      </c>
      <c r="I537" s="2" t="e">
        <f t="shared" si="49"/>
        <v>#DIV/0!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1.08</v>
      </c>
      <c r="P537" s="2" t="e">
        <f t="shared" si="50"/>
        <v>#NUM!</v>
      </c>
      <c r="Q537" s="2">
        <f t="shared" si="51"/>
        <v>0.37390096630005903</v>
      </c>
      <c r="R537" s="2" t="e">
        <f t="shared" si="52"/>
        <v>#NUM!</v>
      </c>
      <c r="S537" t="e">
        <f t="shared" si="53"/>
        <v>#NUM!</v>
      </c>
      <c r="U537" t="e">
        <v>#NUM!</v>
      </c>
    </row>
    <row r="538" spans="1:21" ht="13.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48"/>
        <v>#DIV/0!</v>
      </c>
      <c r="I538" s="2" t="e">
        <f t="shared" si="49"/>
        <v>#DIV/0!</v>
      </c>
      <c r="J538" s="2">
        <v>0</v>
      </c>
      <c r="K538" s="2">
        <v>0</v>
      </c>
      <c r="L538" s="2">
        <v>6.03</v>
      </c>
      <c r="M538" s="2">
        <v>0</v>
      </c>
      <c r="N538" s="2">
        <v>0</v>
      </c>
      <c r="O538" s="2">
        <v>0</v>
      </c>
      <c r="P538" s="2" t="e">
        <f t="shared" si="50"/>
        <v>#DIV/0!</v>
      </c>
      <c r="Q538" s="2">
        <f t="shared" si="51"/>
        <v>0.37390096630005903</v>
      </c>
      <c r="R538" s="2" t="e">
        <f t="shared" si="52"/>
        <v>#DIV/0!</v>
      </c>
      <c r="S538" t="e">
        <f t="shared" si="53"/>
        <v>#DIV/0!</v>
      </c>
      <c r="U538">
        <v>2.5921580021253603</v>
      </c>
    </row>
    <row r="539" spans="1:21" ht="13.9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48"/>
        <v>#NUM!</v>
      </c>
      <c r="I539" s="2">
        <f t="shared" si="49"/>
        <v>0.37390096630005903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f t="shared" si="50"/>
        <v>#DIV/0!</v>
      </c>
      <c r="Q539" s="2" t="e">
        <f t="shared" si="51"/>
        <v>#DIV/0!</v>
      </c>
      <c r="R539" s="2" t="e">
        <f t="shared" si="52"/>
        <v>#DIV/0!</v>
      </c>
      <c r="S539" t="e">
        <f t="shared" si="53"/>
        <v>#DIV/0!</v>
      </c>
      <c r="U539" t="e">
        <v>#NUM!</v>
      </c>
    </row>
    <row r="540" spans="1:21" ht="13.9" x14ac:dyDescent="0.3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48"/>
        <v>2.7884958948062879</v>
      </c>
      <c r="I540" s="2">
        <f t="shared" si="49"/>
        <v>0.44497371456842177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1.08</v>
      </c>
      <c r="P540" s="2" t="e">
        <f t="shared" si="50"/>
        <v>#NUM!</v>
      </c>
      <c r="Q540" s="2">
        <f t="shared" si="51"/>
        <v>0.37390096630005903</v>
      </c>
      <c r="R540" s="2" t="e">
        <f t="shared" si="52"/>
        <v>#NUM!</v>
      </c>
      <c r="S540" t="e">
        <f t="shared" si="53"/>
        <v>#NUM!</v>
      </c>
      <c r="U540" t="e">
        <v>#NUM!</v>
      </c>
    </row>
    <row r="541" spans="1:21" ht="13.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48"/>
        <v>#DIV/0!</v>
      </c>
      <c r="I541" s="2" t="e">
        <f t="shared" si="49"/>
        <v>#DIV/0!</v>
      </c>
      <c r="J541" s="2">
        <v>1.62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 t="e">
        <f t="shared" si="50"/>
        <v>#DIV/0!</v>
      </c>
      <c r="Q541" s="2">
        <f t="shared" si="51"/>
        <v>0.37390096630005903</v>
      </c>
      <c r="R541" s="2" t="e">
        <f t="shared" si="52"/>
        <v>#DIV/0!</v>
      </c>
      <c r="S541" t="e">
        <f t="shared" si="53"/>
        <v>#DIV/0!</v>
      </c>
      <c r="U541">
        <v>0.69599381310990016</v>
      </c>
    </row>
    <row r="542" spans="1:21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48"/>
        <v>#DIV/0!</v>
      </c>
      <c r="I542" s="2" t="e">
        <f t="shared" si="49"/>
        <v>#DIV/0!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 t="e">
        <f t="shared" si="50"/>
        <v>#DIV/0!</v>
      </c>
      <c r="Q542" s="2" t="e">
        <f t="shared" si="51"/>
        <v>#DIV/0!</v>
      </c>
      <c r="R542" s="2" t="e">
        <f t="shared" si="52"/>
        <v>#DIV/0!</v>
      </c>
      <c r="S542" t="e">
        <f t="shared" si="53"/>
        <v>#DIV/0!</v>
      </c>
      <c r="U542" t="e">
        <v>#NUM!</v>
      </c>
    </row>
    <row r="543" spans="1:21" ht="13.9" x14ac:dyDescent="0.3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48"/>
        <v>1.0654230749980482</v>
      </c>
      <c r="I543" s="2">
        <f t="shared" si="49"/>
        <v>0.63394441214569874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 t="e">
        <f t="shared" si="50"/>
        <v>#DIV/0!</v>
      </c>
      <c r="Q543" s="2" t="e">
        <f t="shared" si="51"/>
        <v>#DIV/0!</v>
      </c>
      <c r="R543" s="2" t="e">
        <f t="shared" si="52"/>
        <v>#DIV/0!</v>
      </c>
      <c r="S543" t="e">
        <f t="shared" si="53"/>
        <v>#DIV/0!</v>
      </c>
      <c r="U543" t="e">
        <v>#NUM!</v>
      </c>
    </row>
    <row r="544" spans="1:21" ht="13.9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48"/>
        <v>#NUM!</v>
      </c>
      <c r="I544" s="2">
        <f t="shared" si="49"/>
        <v>0.37390096630005903</v>
      </c>
      <c r="J544" s="2">
        <v>0</v>
      </c>
      <c r="K544" s="2">
        <v>0</v>
      </c>
      <c r="L544" s="2">
        <v>0</v>
      </c>
      <c r="M544" s="2">
        <v>0.21</v>
      </c>
      <c r="N544" s="2">
        <v>0</v>
      </c>
      <c r="O544" s="2">
        <v>0</v>
      </c>
      <c r="P544" s="2" t="e">
        <f t="shared" si="50"/>
        <v>#NUM!</v>
      </c>
      <c r="Q544" s="2">
        <f t="shared" si="51"/>
        <v>0.37390096630005903</v>
      </c>
      <c r="R544" s="2" t="e">
        <f t="shared" si="52"/>
        <v>#NUM!</v>
      </c>
      <c r="S544" t="e">
        <f t="shared" si="53"/>
        <v>#NUM!</v>
      </c>
      <c r="U544" t="e">
        <v>#NUM!</v>
      </c>
    </row>
    <row r="545" spans="1:21" ht="13.9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48"/>
        <v>#NUM!</v>
      </c>
      <c r="I545" s="2">
        <f t="shared" si="49"/>
        <v>0.37390096630005903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0.95</v>
      </c>
      <c r="P545" s="2" t="e">
        <f t="shared" si="50"/>
        <v>#NUM!</v>
      </c>
      <c r="Q545" s="2">
        <f t="shared" si="51"/>
        <v>0.37390096630005903</v>
      </c>
      <c r="R545" s="2" t="e">
        <f t="shared" si="52"/>
        <v>#NUM!</v>
      </c>
      <c r="S545" t="e">
        <f t="shared" si="53"/>
        <v>#NUM!</v>
      </c>
      <c r="U545" t="e">
        <v>#NUM!</v>
      </c>
    </row>
    <row r="546" spans="1:21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48"/>
        <v>#DIV/0!</v>
      </c>
      <c r="I546" s="2" t="e">
        <f t="shared" si="49"/>
        <v>#DIV/0!</v>
      </c>
      <c r="J546" s="2">
        <v>0</v>
      </c>
      <c r="K546" s="2">
        <v>0</v>
      </c>
      <c r="L546" s="2">
        <v>0</v>
      </c>
      <c r="M546" s="2">
        <v>0.1</v>
      </c>
      <c r="N546" s="2">
        <v>0</v>
      </c>
      <c r="O546" s="2">
        <v>0</v>
      </c>
      <c r="P546" s="2" t="e">
        <f t="shared" si="50"/>
        <v>#NUM!</v>
      </c>
      <c r="Q546" s="2">
        <f t="shared" si="51"/>
        <v>0.37390096630005903</v>
      </c>
      <c r="R546" s="2" t="e">
        <f t="shared" si="52"/>
        <v>#NUM!</v>
      </c>
      <c r="S546" t="e">
        <f t="shared" si="53"/>
        <v>#NUM!</v>
      </c>
      <c r="U546" t="e">
        <v>#NUM!</v>
      </c>
    </row>
    <row r="547" spans="1:21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48"/>
        <v>#DIV/0!</v>
      </c>
      <c r="I547" s="2" t="e">
        <f t="shared" si="49"/>
        <v>#DIV/0!</v>
      </c>
      <c r="J547" s="2">
        <v>0</v>
      </c>
      <c r="K547" s="2">
        <v>0</v>
      </c>
      <c r="L547" s="2">
        <v>0</v>
      </c>
      <c r="M547" s="2">
        <v>0.1</v>
      </c>
      <c r="N547" s="2">
        <v>0</v>
      </c>
      <c r="O547" s="2">
        <v>0</v>
      </c>
      <c r="P547" s="2" t="e">
        <f t="shared" si="50"/>
        <v>#NUM!</v>
      </c>
      <c r="Q547" s="2">
        <f t="shared" si="51"/>
        <v>0.37390096630005903</v>
      </c>
      <c r="R547" s="2" t="e">
        <f t="shared" si="52"/>
        <v>#NUM!</v>
      </c>
      <c r="S547" t="e">
        <f t="shared" si="53"/>
        <v>#NUM!</v>
      </c>
      <c r="U547" t="e">
        <v>#NUM!</v>
      </c>
    </row>
    <row r="548" spans="1:21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48"/>
        <v>#DIV/0!</v>
      </c>
      <c r="I548" s="2" t="e">
        <f t="shared" si="49"/>
        <v>#DIV/0!</v>
      </c>
      <c r="J548" s="2">
        <v>0</v>
      </c>
      <c r="K548" s="2">
        <v>0</v>
      </c>
      <c r="L548" s="2">
        <v>0</v>
      </c>
      <c r="M548" s="2">
        <v>0.31</v>
      </c>
      <c r="N548" s="2">
        <v>0</v>
      </c>
      <c r="O548" s="2">
        <v>0</v>
      </c>
      <c r="P548" s="2" t="e">
        <f t="shared" si="50"/>
        <v>#NUM!</v>
      </c>
      <c r="Q548" s="2">
        <f t="shared" si="51"/>
        <v>0.37390096630005903</v>
      </c>
      <c r="R548" s="2" t="e">
        <f t="shared" si="52"/>
        <v>#NUM!</v>
      </c>
      <c r="S548" t="e">
        <f t="shared" si="53"/>
        <v>#NUM!</v>
      </c>
      <c r="U548" t="e">
        <v>#NUM!</v>
      </c>
    </row>
    <row r="549" spans="1:21" ht="13.9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48"/>
        <v>#NUM!</v>
      </c>
      <c r="I549" s="2">
        <f t="shared" si="49"/>
        <v>0.37390096630005903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 t="e">
        <f t="shared" si="50"/>
        <v>#DIV/0!</v>
      </c>
      <c r="Q549" s="2" t="e">
        <f t="shared" si="51"/>
        <v>#DIV/0!</v>
      </c>
      <c r="R549" s="2" t="e">
        <f t="shared" si="52"/>
        <v>#DIV/0!</v>
      </c>
      <c r="S549" t="e">
        <f t="shared" si="53"/>
        <v>#DIV/0!</v>
      </c>
      <c r="U549" t="e">
        <v>#NUM!</v>
      </c>
    </row>
    <row r="550" spans="1:21" ht="13.9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48"/>
        <v>#NUM!</v>
      </c>
      <c r="I550" s="2">
        <f t="shared" si="49"/>
        <v>0.37390096630005903</v>
      </c>
      <c r="J550" s="2">
        <v>0</v>
      </c>
      <c r="K550" s="2">
        <v>0</v>
      </c>
      <c r="L550" s="2">
        <v>0</v>
      </c>
      <c r="M550" s="2">
        <v>1.23</v>
      </c>
      <c r="N550" s="2">
        <v>0</v>
      </c>
      <c r="O550" s="2">
        <v>0</v>
      </c>
      <c r="P550" s="2" t="e">
        <f t="shared" si="50"/>
        <v>#NUM!</v>
      </c>
      <c r="Q550" s="2">
        <f t="shared" si="51"/>
        <v>0.37390096630005903</v>
      </c>
      <c r="R550" s="2" t="e">
        <f t="shared" si="52"/>
        <v>#NUM!</v>
      </c>
      <c r="S550" t="e">
        <f t="shared" si="53"/>
        <v>#NUM!</v>
      </c>
      <c r="U550" t="e">
        <v>#NUM!</v>
      </c>
    </row>
    <row r="551" spans="1:21" ht="13.9" x14ac:dyDescent="0.3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48"/>
        <v>4.7274428200476999</v>
      </c>
      <c r="I551" s="2">
        <f t="shared" si="49"/>
        <v>0.12963485118571624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 t="e">
        <f t="shared" si="50"/>
        <v>#DIV/0!</v>
      </c>
      <c r="Q551" s="2" t="e">
        <f t="shared" si="51"/>
        <v>#DIV/0!</v>
      </c>
      <c r="R551" s="2" t="e">
        <f t="shared" si="52"/>
        <v>#DIV/0!</v>
      </c>
      <c r="S551" t="e">
        <f t="shared" si="53"/>
        <v>#DIV/0!</v>
      </c>
      <c r="U551" t="e">
        <v>#NUM!</v>
      </c>
    </row>
    <row r="552" spans="1:21" ht="13.9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48"/>
        <v>#NUM!</v>
      </c>
      <c r="I552" s="2">
        <f t="shared" si="49"/>
        <v>0.37390096630005903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f t="shared" si="50"/>
        <v>#DIV/0!</v>
      </c>
      <c r="Q552" s="2" t="e">
        <f t="shared" si="51"/>
        <v>#DIV/0!</v>
      </c>
      <c r="R552" s="2" t="e">
        <f t="shared" si="52"/>
        <v>#DIV/0!</v>
      </c>
      <c r="S552" t="e">
        <f t="shared" si="53"/>
        <v>#DIV/0!</v>
      </c>
      <c r="U552" t="e">
        <v>#NUM!</v>
      </c>
    </row>
    <row r="553" spans="1:21" ht="13.9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48"/>
        <v>#NUM!</v>
      </c>
      <c r="I553" s="2">
        <f t="shared" si="49"/>
        <v>0.37390096630005903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 t="e">
        <f t="shared" si="50"/>
        <v>#DIV/0!</v>
      </c>
      <c r="Q553" s="2" t="e">
        <f t="shared" si="51"/>
        <v>#DIV/0!</v>
      </c>
      <c r="R553" s="2" t="e">
        <f t="shared" si="52"/>
        <v>#DIV/0!</v>
      </c>
      <c r="S553" t="e">
        <f t="shared" si="53"/>
        <v>#DIV/0!</v>
      </c>
      <c r="U553" t="e">
        <v>#NUM!</v>
      </c>
    </row>
    <row r="554" spans="1:21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48"/>
        <v>#DIV/0!</v>
      </c>
      <c r="I554" s="2" t="e">
        <f t="shared" si="49"/>
        <v>#DIV/0!</v>
      </c>
      <c r="J554" s="2">
        <v>0</v>
      </c>
      <c r="K554" s="2">
        <v>0</v>
      </c>
      <c r="L554" s="2">
        <v>0</v>
      </c>
      <c r="M554" s="2">
        <v>0.31</v>
      </c>
      <c r="N554" s="2">
        <v>0</v>
      </c>
      <c r="O554" s="2">
        <v>0</v>
      </c>
      <c r="P554" s="2" t="e">
        <f t="shared" si="50"/>
        <v>#NUM!</v>
      </c>
      <c r="Q554" s="2">
        <f t="shared" si="51"/>
        <v>0.37390096630005903</v>
      </c>
      <c r="R554" s="2" t="e">
        <f t="shared" si="52"/>
        <v>#NUM!</v>
      </c>
      <c r="S554" t="e">
        <f t="shared" si="53"/>
        <v>#NUM!</v>
      </c>
      <c r="U554" t="e">
        <v>#NUM!</v>
      </c>
    </row>
    <row r="555" spans="1:21" ht="13.9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48"/>
        <v>#NUM!</v>
      </c>
      <c r="I555" s="2">
        <f t="shared" si="49"/>
        <v>8.4028709352591477E-2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0.81</v>
      </c>
      <c r="P555" s="2" t="e">
        <f t="shared" si="50"/>
        <v>#NUM!</v>
      </c>
      <c r="Q555" s="2">
        <f t="shared" si="51"/>
        <v>0.37390096630005903</v>
      </c>
      <c r="R555" s="2" t="e">
        <f t="shared" si="52"/>
        <v>#NUM!</v>
      </c>
      <c r="S555" t="e">
        <f t="shared" si="53"/>
        <v>#NUM!</v>
      </c>
      <c r="U555" t="e">
        <v>#NUM!</v>
      </c>
    </row>
    <row r="556" spans="1:21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48"/>
        <v>#DIV/0!</v>
      </c>
      <c r="I556" s="2" t="e">
        <f t="shared" si="49"/>
        <v>#DIV/0!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0.27</v>
      </c>
      <c r="P556" s="2" t="e">
        <f t="shared" si="50"/>
        <v>#NUM!</v>
      </c>
      <c r="Q556" s="2">
        <f t="shared" si="51"/>
        <v>0.37390096630005903</v>
      </c>
      <c r="R556" s="2" t="e">
        <f t="shared" si="52"/>
        <v>#NUM!</v>
      </c>
      <c r="S556" t="e">
        <f t="shared" si="53"/>
        <v>#NUM!</v>
      </c>
      <c r="U556" t="e">
        <v>#NUM!</v>
      </c>
    </row>
    <row r="557" spans="1:21" ht="13.9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48"/>
        <v>#NUM!</v>
      </c>
      <c r="I557" s="2">
        <f t="shared" si="49"/>
        <v>0.13288934191892254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f t="shared" si="50"/>
        <v>#DIV/0!</v>
      </c>
      <c r="Q557" s="2" t="e">
        <f t="shared" si="51"/>
        <v>#DIV/0!</v>
      </c>
      <c r="R557" s="2" t="e">
        <f t="shared" si="52"/>
        <v>#DIV/0!</v>
      </c>
      <c r="S557" t="e">
        <f t="shared" si="53"/>
        <v>#DIV/0!</v>
      </c>
      <c r="U557" t="e">
        <v>#NUM!</v>
      </c>
    </row>
    <row r="558" spans="1:21" ht="13.9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48"/>
        <v>#NUM!</v>
      </c>
      <c r="I558" s="2">
        <f t="shared" si="49"/>
        <v>0.37390096630005903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 t="e">
        <f t="shared" si="50"/>
        <v>#DIV/0!</v>
      </c>
      <c r="Q558" s="2" t="e">
        <f t="shared" si="51"/>
        <v>#DIV/0!</v>
      </c>
      <c r="R558" s="2" t="e">
        <f t="shared" si="52"/>
        <v>#DIV/0!</v>
      </c>
      <c r="S558" t="e">
        <f t="shared" si="53"/>
        <v>#DIV/0!</v>
      </c>
      <c r="U558" t="e">
        <v>#NUM!</v>
      </c>
    </row>
    <row r="559" spans="1:21" ht="13.9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48"/>
        <v>#NUM!</v>
      </c>
      <c r="I559" s="2">
        <f t="shared" si="49"/>
        <v>7.0178480621611568E-4</v>
      </c>
      <c r="J559" s="2">
        <v>0</v>
      </c>
      <c r="K559" s="2">
        <v>3.56</v>
      </c>
      <c r="L559" s="2">
        <v>12.07</v>
      </c>
      <c r="M559" s="2">
        <v>5.25</v>
      </c>
      <c r="N559" s="2">
        <v>0</v>
      </c>
      <c r="O559" s="2">
        <v>5.14</v>
      </c>
      <c r="P559" s="2">
        <f t="shared" si="50"/>
        <v>0.58912212409545262</v>
      </c>
      <c r="Q559" s="2">
        <f t="shared" si="51"/>
        <v>0.68324420236307737</v>
      </c>
      <c r="R559" s="2" t="e">
        <f t="shared" si="52"/>
        <v>#NUM!</v>
      </c>
      <c r="S559" t="e">
        <f t="shared" si="53"/>
        <v>#NUM!</v>
      </c>
      <c r="U559">
        <v>3.9662458732249397</v>
      </c>
    </row>
    <row r="560" spans="1:21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48"/>
        <v>#DIV/0!</v>
      </c>
      <c r="I560" s="2" t="e">
        <f t="shared" si="49"/>
        <v>#DIV/0!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 t="e">
        <f t="shared" si="50"/>
        <v>#DIV/0!</v>
      </c>
      <c r="Q560" s="2" t="e">
        <f t="shared" si="51"/>
        <v>#DIV/0!</v>
      </c>
      <c r="R560" s="2" t="e">
        <f t="shared" si="52"/>
        <v>#DIV/0!</v>
      </c>
      <c r="S560" t="e">
        <f t="shared" si="53"/>
        <v>#DIV/0!</v>
      </c>
      <c r="U560" t="e">
        <v>#NUM!</v>
      </c>
    </row>
    <row r="561" spans="1:21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48"/>
        <v>#DIV/0!</v>
      </c>
      <c r="I561" s="2" t="e">
        <f t="shared" si="49"/>
        <v>#DIV/0!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 t="e">
        <f t="shared" si="50"/>
        <v>#DIV/0!</v>
      </c>
      <c r="Q561" s="2" t="e">
        <f t="shared" si="51"/>
        <v>#DIV/0!</v>
      </c>
      <c r="R561" s="2" t="e">
        <f t="shared" si="52"/>
        <v>#DIV/0!</v>
      </c>
      <c r="S561" t="e">
        <f t="shared" si="53"/>
        <v>#DIV/0!</v>
      </c>
      <c r="U561" t="e">
        <v>#NUM!</v>
      </c>
    </row>
    <row r="562" spans="1:21" ht="13.9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48"/>
        <v>#NUM!</v>
      </c>
      <c r="I562" s="2">
        <f t="shared" si="49"/>
        <v>0.37390096630005903</v>
      </c>
      <c r="J562" s="2">
        <v>3.23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f t="shared" si="50"/>
        <v>#DIV/0!</v>
      </c>
      <c r="Q562" s="2">
        <f t="shared" si="51"/>
        <v>0.37390096630005903</v>
      </c>
      <c r="R562" s="2" t="e">
        <f t="shared" si="52"/>
        <v>#DIV/0!</v>
      </c>
      <c r="S562" t="e">
        <f t="shared" si="53"/>
        <v>#DIV/0!</v>
      </c>
      <c r="U562">
        <v>1.6915341649192002</v>
      </c>
    </row>
    <row r="563" spans="1:21" ht="13.9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48"/>
        <v>#NUM!</v>
      </c>
      <c r="I563" s="2">
        <f t="shared" si="49"/>
        <v>0.37390096630005903</v>
      </c>
      <c r="J563" s="2">
        <v>0</v>
      </c>
      <c r="K563" s="2">
        <v>0</v>
      </c>
      <c r="L563" s="2">
        <v>0</v>
      </c>
      <c r="M563" s="2">
        <v>1.1299999999999999</v>
      </c>
      <c r="N563" s="2">
        <v>0</v>
      </c>
      <c r="O563" s="2">
        <v>0</v>
      </c>
      <c r="P563" s="2" t="e">
        <f t="shared" si="50"/>
        <v>#NUM!</v>
      </c>
      <c r="Q563" s="2">
        <f t="shared" si="51"/>
        <v>0.37390096630005903</v>
      </c>
      <c r="R563" s="2" t="e">
        <f t="shared" si="52"/>
        <v>#NUM!</v>
      </c>
      <c r="S563" t="e">
        <f t="shared" si="53"/>
        <v>#NUM!</v>
      </c>
      <c r="U563" t="e">
        <v>#NUM!</v>
      </c>
    </row>
    <row r="564" spans="1:21" ht="13.9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48"/>
        <v>#NUM!</v>
      </c>
      <c r="I564" s="2">
        <f t="shared" si="49"/>
        <v>0.37390096630005903</v>
      </c>
      <c r="J564" s="2">
        <v>0</v>
      </c>
      <c r="K564" s="2">
        <v>0</v>
      </c>
      <c r="L564" s="2">
        <v>0</v>
      </c>
      <c r="M564" s="2">
        <v>0.31</v>
      </c>
      <c r="N564" s="2">
        <v>0</v>
      </c>
      <c r="O564" s="2">
        <v>0</v>
      </c>
      <c r="P564" s="2" t="e">
        <f t="shared" si="50"/>
        <v>#NUM!</v>
      </c>
      <c r="Q564" s="2">
        <f t="shared" si="51"/>
        <v>0.37390096630005903</v>
      </c>
      <c r="R564" s="2" t="e">
        <f t="shared" si="52"/>
        <v>#NUM!</v>
      </c>
      <c r="S564" t="e">
        <f t="shared" si="53"/>
        <v>#NUM!</v>
      </c>
      <c r="U564" t="e">
        <v>#NUM!</v>
      </c>
    </row>
    <row r="565" spans="1:21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48"/>
        <v>#DIV/0!</v>
      </c>
      <c r="I565" s="2" t="e">
        <f t="shared" si="49"/>
        <v>#DIV/0!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 t="e">
        <f t="shared" si="50"/>
        <v>#DIV/0!</v>
      </c>
      <c r="Q565" s="2" t="e">
        <f t="shared" si="51"/>
        <v>#DIV/0!</v>
      </c>
      <c r="R565" s="2" t="e">
        <f t="shared" si="52"/>
        <v>#DIV/0!</v>
      </c>
      <c r="S565" t="e">
        <f t="shared" si="53"/>
        <v>#DIV/0!</v>
      </c>
      <c r="U565" t="e">
        <v>#NUM!</v>
      </c>
    </row>
    <row r="566" spans="1:21" ht="13.9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48"/>
        <v>#NUM!</v>
      </c>
      <c r="I566" s="2">
        <f t="shared" si="49"/>
        <v>0.37390096630005903</v>
      </c>
      <c r="J566" s="2">
        <v>3.05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 t="e">
        <f t="shared" si="50"/>
        <v>#DIV/0!</v>
      </c>
      <c r="Q566" s="2">
        <f t="shared" si="51"/>
        <v>0.37390096630005903</v>
      </c>
      <c r="R566" s="2" t="e">
        <f t="shared" si="52"/>
        <v>#DIV/0!</v>
      </c>
      <c r="S566" t="e">
        <f t="shared" si="53"/>
        <v>#DIV/0!</v>
      </c>
      <c r="U566">
        <v>1.6088092426755241</v>
      </c>
    </row>
    <row r="567" spans="1:21" ht="13.9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48"/>
        <v>#NUM!</v>
      </c>
      <c r="I567" s="2">
        <f t="shared" si="49"/>
        <v>3.6586579779243344E-2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f t="shared" si="50"/>
        <v>#DIV/0!</v>
      </c>
      <c r="Q567" s="2" t="e">
        <f t="shared" si="51"/>
        <v>#DIV/0!</v>
      </c>
      <c r="R567" s="2" t="e">
        <f t="shared" si="52"/>
        <v>#DIV/0!</v>
      </c>
      <c r="S567" t="e">
        <f t="shared" si="53"/>
        <v>#DIV/0!</v>
      </c>
      <c r="U567" t="e">
        <v>#NUM!</v>
      </c>
    </row>
    <row r="568" spans="1:21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48"/>
        <v>#DIV/0!</v>
      </c>
      <c r="I568" s="2" t="e">
        <f t="shared" si="49"/>
        <v>#DIV/0!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 t="e">
        <f t="shared" si="50"/>
        <v>#DIV/0!</v>
      </c>
      <c r="Q568" s="2" t="e">
        <f t="shared" si="51"/>
        <v>#DIV/0!</v>
      </c>
      <c r="R568" s="2" t="e">
        <f t="shared" si="52"/>
        <v>#DIV/0!</v>
      </c>
      <c r="S568" t="e">
        <f t="shared" si="53"/>
        <v>#DIV/0!</v>
      </c>
      <c r="U568" t="e">
        <v>#NUM!</v>
      </c>
    </row>
    <row r="569" spans="1:21" ht="13.9" x14ac:dyDescent="0.3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48"/>
        <v>-0.24631104824266739</v>
      </c>
      <c r="I569" s="2">
        <f t="shared" si="49"/>
        <v>0.86587487691424825</v>
      </c>
      <c r="J569" s="2">
        <v>0</v>
      </c>
      <c r="K569" s="2">
        <v>0</v>
      </c>
      <c r="L569" s="2">
        <v>0</v>
      </c>
      <c r="M569" s="2">
        <v>1.34</v>
      </c>
      <c r="N569" s="2">
        <v>0</v>
      </c>
      <c r="O569" s="2">
        <v>4.47</v>
      </c>
      <c r="P569" s="2" t="e">
        <f t="shared" si="50"/>
        <v>#NUM!</v>
      </c>
      <c r="Q569" s="2">
        <f t="shared" si="51"/>
        <v>0.2174826207600479</v>
      </c>
      <c r="R569" s="2" t="e">
        <f t="shared" si="52"/>
        <v>#NUM!</v>
      </c>
      <c r="S569" t="e">
        <f t="shared" si="53"/>
        <v>#NUM!</v>
      </c>
      <c r="U569" t="e">
        <v>#NUM!</v>
      </c>
    </row>
    <row r="570" spans="1:21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48"/>
        <v>#DIV/0!</v>
      </c>
      <c r="I570" s="2" t="e">
        <f t="shared" si="49"/>
        <v>#DIV/0!</v>
      </c>
      <c r="J570" s="2">
        <v>0</v>
      </c>
      <c r="K570" s="2">
        <v>0</v>
      </c>
      <c r="L570" s="2">
        <v>0</v>
      </c>
      <c r="M570" s="2">
        <v>0.21</v>
      </c>
      <c r="N570" s="2">
        <v>0</v>
      </c>
      <c r="O570" s="2">
        <v>1.89</v>
      </c>
      <c r="P570" s="2" t="e">
        <f t="shared" si="50"/>
        <v>#NUM!</v>
      </c>
      <c r="Q570" s="2">
        <f t="shared" si="51"/>
        <v>0.30680858549861045</v>
      </c>
      <c r="R570" s="2" t="e">
        <f t="shared" si="52"/>
        <v>#NUM!</v>
      </c>
      <c r="S570" t="e">
        <f t="shared" si="53"/>
        <v>#NUM!</v>
      </c>
      <c r="U570" t="e">
        <v>#NUM!</v>
      </c>
    </row>
    <row r="571" spans="1:21" ht="13.9" x14ac:dyDescent="0.3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48"/>
        <v>0.46506837656459965</v>
      </c>
      <c r="I571" s="2">
        <f t="shared" si="49"/>
        <v>0.81660763314848794</v>
      </c>
      <c r="J571" s="2">
        <v>0</v>
      </c>
      <c r="K571" s="2">
        <v>6.28</v>
      </c>
      <c r="L571" s="2">
        <v>0</v>
      </c>
      <c r="M571" s="2">
        <v>1.1299999999999999</v>
      </c>
      <c r="N571" s="2">
        <v>0</v>
      </c>
      <c r="O571" s="2">
        <v>0</v>
      </c>
      <c r="P571" s="2">
        <f t="shared" si="50"/>
        <v>2.4744417864764392</v>
      </c>
      <c r="Q571" s="2">
        <f t="shared" si="51"/>
        <v>0.46486306570601693</v>
      </c>
      <c r="R571" s="2">
        <f t="shared" si="52"/>
        <v>2.0093734099118397</v>
      </c>
      <c r="S571">
        <f t="shared" si="53"/>
        <v>5.3205978113472749</v>
      </c>
      <c r="U571">
        <v>2.6507645591169027</v>
      </c>
    </row>
    <row r="572" spans="1:21" ht="13.9" x14ac:dyDescent="0.3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48"/>
        <v>#NUM!</v>
      </c>
      <c r="I572" s="2">
        <f t="shared" si="49"/>
        <v>0.12929816474734934</v>
      </c>
      <c r="J572" s="2">
        <v>0</v>
      </c>
      <c r="K572" s="2">
        <v>0</v>
      </c>
      <c r="L572" s="2">
        <v>0</v>
      </c>
      <c r="M572" s="2">
        <v>2.4700000000000002</v>
      </c>
      <c r="N572" s="2">
        <v>0</v>
      </c>
      <c r="O572" s="2">
        <v>0.68</v>
      </c>
      <c r="P572" s="2" t="e">
        <f t="shared" si="50"/>
        <v>#NUM!</v>
      </c>
      <c r="Q572" s="2">
        <f t="shared" si="51"/>
        <v>0.22717568453362202</v>
      </c>
      <c r="R572" s="2" t="e">
        <f t="shared" si="52"/>
        <v>#NUM!</v>
      </c>
      <c r="S572" t="e">
        <f t="shared" si="53"/>
        <v>#NUM!</v>
      </c>
      <c r="U572" t="e">
        <v>#NUM!</v>
      </c>
    </row>
    <row r="573" spans="1:21" ht="13.9" x14ac:dyDescent="0.3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48"/>
        <v>#NUM!</v>
      </c>
      <c r="I573" s="2">
        <f t="shared" si="49"/>
        <v>0.12411551493311354</v>
      </c>
      <c r="J573" s="2">
        <v>1.26</v>
      </c>
      <c r="K573" s="2">
        <v>4.8099999999999996</v>
      </c>
      <c r="L573" s="2">
        <v>0</v>
      </c>
      <c r="M573" s="2">
        <v>0</v>
      </c>
      <c r="N573" s="2">
        <v>0</v>
      </c>
      <c r="O573" s="2">
        <v>0</v>
      </c>
      <c r="P573" s="2" t="e">
        <f t="shared" si="50"/>
        <v>#DIV/0!</v>
      </c>
      <c r="Q573" s="2">
        <f t="shared" si="51"/>
        <v>0.23270268411330711</v>
      </c>
      <c r="R573" s="2" t="e">
        <f t="shared" si="52"/>
        <v>#DIV/0!</v>
      </c>
      <c r="S573" t="e">
        <f t="shared" si="53"/>
        <v>#DIV/0!</v>
      </c>
      <c r="U573">
        <v>2.6016965164809571</v>
      </c>
    </row>
    <row r="574" spans="1:21" ht="13.9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48"/>
        <v>#NUM!</v>
      </c>
      <c r="I574" s="2">
        <f t="shared" si="49"/>
        <v>0.37390096630005903</v>
      </c>
      <c r="J574" s="2">
        <v>0</v>
      </c>
      <c r="K574" s="2">
        <v>0</v>
      </c>
      <c r="L574" s="2">
        <v>0</v>
      </c>
      <c r="M574" s="2">
        <v>0.51</v>
      </c>
      <c r="N574" s="2">
        <v>0</v>
      </c>
      <c r="O574" s="2">
        <v>0.54</v>
      </c>
      <c r="P574" s="2" t="e">
        <f t="shared" si="50"/>
        <v>#NUM!</v>
      </c>
      <c r="Q574" s="2">
        <f t="shared" si="51"/>
        <v>0.11644111590956105</v>
      </c>
      <c r="R574" s="2" t="e">
        <f t="shared" si="52"/>
        <v>#NUM!</v>
      </c>
      <c r="S574" t="e">
        <f t="shared" si="53"/>
        <v>#NUM!</v>
      </c>
      <c r="U574" t="e">
        <v>#NUM!</v>
      </c>
    </row>
    <row r="575" spans="1:21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48"/>
        <v>#DIV/0!</v>
      </c>
      <c r="I575" s="2" t="e">
        <f t="shared" si="49"/>
        <v>#DIV/0!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f t="shared" si="50"/>
        <v>#DIV/0!</v>
      </c>
      <c r="Q575" s="2" t="e">
        <f t="shared" si="51"/>
        <v>#DIV/0!</v>
      </c>
      <c r="R575" s="2" t="e">
        <f t="shared" si="52"/>
        <v>#DIV/0!</v>
      </c>
      <c r="S575" t="e">
        <f t="shared" si="53"/>
        <v>#DIV/0!</v>
      </c>
      <c r="U575" t="e">
        <v>#NUM!</v>
      </c>
    </row>
    <row r="576" spans="1:21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48"/>
        <v>#DIV/0!</v>
      </c>
      <c r="I576" s="2" t="e">
        <f t="shared" si="49"/>
        <v>#DIV/0!</v>
      </c>
      <c r="J576" s="2">
        <v>0</v>
      </c>
      <c r="K576" s="2">
        <v>0</v>
      </c>
      <c r="L576" s="2">
        <v>0</v>
      </c>
      <c r="M576" s="2">
        <v>0</v>
      </c>
      <c r="N576" s="2">
        <v>122.63</v>
      </c>
      <c r="O576" s="2">
        <v>0</v>
      </c>
      <c r="P576" s="2" t="e">
        <f t="shared" si="50"/>
        <v>#NUM!</v>
      </c>
      <c r="Q576" s="2">
        <f t="shared" si="51"/>
        <v>0.37390096630005903</v>
      </c>
      <c r="R576" s="2" t="e">
        <f t="shared" si="52"/>
        <v>#NUM!</v>
      </c>
      <c r="S576" t="e">
        <f t="shared" si="53"/>
        <v>#NUM!</v>
      </c>
      <c r="U576" t="e">
        <v>#NUM!</v>
      </c>
    </row>
    <row r="577" spans="1:21" ht="13.9" x14ac:dyDescent="0.3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48"/>
        <v>-4.9076220673786892</v>
      </c>
      <c r="I577" s="2">
        <f t="shared" si="49"/>
        <v>3.2340330343622376E-5</v>
      </c>
      <c r="J577" s="2">
        <v>0.18</v>
      </c>
      <c r="K577" s="2">
        <v>9.84</v>
      </c>
      <c r="L577" s="2">
        <v>1.01</v>
      </c>
      <c r="M577" s="2">
        <v>95.17</v>
      </c>
      <c r="N577" s="2">
        <v>0</v>
      </c>
      <c r="O577" s="2">
        <v>64.56</v>
      </c>
      <c r="P577" s="2">
        <f t="shared" si="50"/>
        <v>-3.8561306047255828</v>
      </c>
      <c r="Q577" s="2">
        <f t="shared" si="51"/>
        <v>0.15385129429623917</v>
      </c>
      <c r="R577" s="2">
        <f t="shared" si="52"/>
        <v>1.0514914626531064</v>
      </c>
      <c r="S577">
        <f t="shared" si="53"/>
        <v>0.78574318718581759</v>
      </c>
      <c r="U577">
        <v>3.463360885816658</v>
      </c>
    </row>
    <row r="578" spans="1:21" ht="13.9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54">LOG(SUM(B578:D578)/SUM(E578:G578),2)</f>
        <v>#NUM!</v>
      </c>
      <c r="I578" s="2">
        <f t="shared" ref="I578:I641" si="55">_xlfn.T.TEST(B578:D578,E578:G578,2,2)</f>
        <v>0.37390096630005903</v>
      </c>
      <c r="J578" s="2">
        <v>0</v>
      </c>
      <c r="K578" s="2">
        <v>0</v>
      </c>
      <c r="L578" s="2">
        <v>0</v>
      </c>
      <c r="M578" s="2">
        <v>1.03</v>
      </c>
      <c r="N578" s="2">
        <v>0</v>
      </c>
      <c r="O578" s="2">
        <v>0</v>
      </c>
      <c r="P578" s="2" t="e">
        <f t="shared" ref="P578:P641" si="56">LOG(SUM(J578:L578)/SUM(M578:O578),2)</f>
        <v>#NUM!</v>
      </c>
      <c r="Q578" s="2">
        <f t="shared" ref="Q578:Q641" si="57">_xlfn.T.TEST(J578:L578,M578:O578,2,2)</f>
        <v>0.37390096630005903</v>
      </c>
      <c r="R578" s="2" t="e">
        <f t="shared" si="52"/>
        <v>#NUM!</v>
      </c>
      <c r="S578" t="e">
        <f t="shared" si="53"/>
        <v>#NUM!</v>
      </c>
      <c r="U578" t="e">
        <v>#NUM!</v>
      </c>
    </row>
    <row r="579" spans="1:21" ht="13.9" x14ac:dyDescent="0.3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54"/>
        <v>-1.2715266357118056</v>
      </c>
      <c r="I579" s="2">
        <f t="shared" si="55"/>
        <v>0.26876753898061834</v>
      </c>
      <c r="J579" s="2">
        <v>0</v>
      </c>
      <c r="K579" s="2">
        <v>0.21</v>
      </c>
      <c r="L579" s="2">
        <v>25.64</v>
      </c>
      <c r="M579" s="2">
        <v>0.82</v>
      </c>
      <c r="N579" s="2">
        <v>0</v>
      </c>
      <c r="O579" s="2">
        <v>5.01</v>
      </c>
      <c r="P579" s="2">
        <f t="shared" si="56"/>
        <v>2.1485964920018006</v>
      </c>
      <c r="Q579" s="2">
        <f t="shared" si="57"/>
        <v>0.48356638003337654</v>
      </c>
      <c r="R579" s="2">
        <f t="shared" ref="R579:R642" si="58">P579-H579</f>
        <v>3.4201231277136062</v>
      </c>
      <c r="S579">
        <f t="shared" si="53"/>
        <v>-1.6897770220904635</v>
      </c>
      <c r="U579">
        <v>4.6920923754275723</v>
      </c>
    </row>
    <row r="580" spans="1:21" ht="13.9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54"/>
        <v>#NUM!</v>
      </c>
      <c r="I580" s="2">
        <f t="shared" si="55"/>
        <v>0.11857976240507194</v>
      </c>
      <c r="J580" s="2">
        <v>0</v>
      </c>
      <c r="K580" s="2">
        <v>0</v>
      </c>
      <c r="L580" s="2">
        <v>0</v>
      </c>
      <c r="M580" s="2">
        <v>0.93</v>
      </c>
      <c r="N580" s="2">
        <v>0</v>
      </c>
      <c r="O580" s="2">
        <v>0</v>
      </c>
      <c r="P580" s="2" t="e">
        <f t="shared" si="56"/>
        <v>#NUM!</v>
      </c>
      <c r="Q580" s="2">
        <f t="shared" si="57"/>
        <v>0.37390096630005903</v>
      </c>
      <c r="R580" s="2" t="e">
        <f t="shared" si="58"/>
        <v>#NUM!</v>
      </c>
      <c r="S580" t="e">
        <f t="shared" ref="S580:S643" si="59">P580/H580</f>
        <v>#NUM!</v>
      </c>
      <c r="U580" t="e">
        <v>#NUM!</v>
      </c>
    </row>
    <row r="581" spans="1:21" ht="13.9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54"/>
        <v>#NUM!</v>
      </c>
      <c r="I581" s="2">
        <f t="shared" si="55"/>
        <v>0.37390096630005903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 t="e">
        <f t="shared" si="56"/>
        <v>#DIV/0!</v>
      </c>
      <c r="Q581" s="2" t="e">
        <f t="shared" si="57"/>
        <v>#DIV/0!</v>
      </c>
      <c r="R581" s="2" t="e">
        <f t="shared" si="58"/>
        <v>#DIV/0!</v>
      </c>
      <c r="S581" t="e">
        <f t="shared" si="59"/>
        <v>#DIV/0!</v>
      </c>
      <c r="U581" t="e">
        <v>#NUM!</v>
      </c>
    </row>
    <row r="582" spans="1:21" ht="13.9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54"/>
        <v>#NUM!</v>
      </c>
      <c r="I582" s="2">
        <f t="shared" si="55"/>
        <v>0.17401649187759899</v>
      </c>
      <c r="J582" s="2">
        <v>0</v>
      </c>
      <c r="K582" s="2">
        <v>0</v>
      </c>
      <c r="L582" s="2">
        <v>0</v>
      </c>
      <c r="M582" s="2">
        <v>0.1</v>
      </c>
      <c r="N582" s="2">
        <v>0</v>
      </c>
      <c r="O582" s="2">
        <v>0</v>
      </c>
      <c r="P582" s="2" t="e">
        <f t="shared" si="56"/>
        <v>#NUM!</v>
      </c>
      <c r="Q582" s="2">
        <f t="shared" si="57"/>
        <v>0.37390096630005903</v>
      </c>
      <c r="R582" s="2" t="e">
        <f t="shared" si="58"/>
        <v>#NUM!</v>
      </c>
      <c r="S582" t="e">
        <f t="shared" si="59"/>
        <v>#NUM!</v>
      </c>
      <c r="U582" t="e">
        <v>#NUM!</v>
      </c>
    </row>
    <row r="583" spans="1:21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54"/>
        <v>#DIV/0!</v>
      </c>
      <c r="I583" s="2" t="e">
        <f t="shared" si="55"/>
        <v>#DIV/0!</v>
      </c>
      <c r="J583" s="2">
        <v>0</v>
      </c>
      <c r="K583" s="2">
        <v>0</v>
      </c>
      <c r="L583" s="2">
        <v>0</v>
      </c>
      <c r="M583" s="2">
        <v>0.41</v>
      </c>
      <c r="N583" s="2">
        <v>0</v>
      </c>
      <c r="O583" s="2">
        <v>0</v>
      </c>
      <c r="P583" s="2" t="e">
        <f t="shared" si="56"/>
        <v>#NUM!</v>
      </c>
      <c r="Q583" s="2">
        <f t="shared" si="57"/>
        <v>0.37390096630005903</v>
      </c>
      <c r="R583" s="2" t="e">
        <f t="shared" si="58"/>
        <v>#NUM!</v>
      </c>
      <c r="S583" t="e">
        <f t="shared" si="59"/>
        <v>#NUM!</v>
      </c>
      <c r="U583" t="e">
        <v>#NUM!</v>
      </c>
    </row>
    <row r="584" spans="1:21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54"/>
        <v>#DIV/0!</v>
      </c>
      <c r="I584" s="2" t="e">
        <f t="shared" si="55"/>
        <v>#DIV/0!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 t="e">
        <f t="shared" si="56"/>
        <v>#DIV/0!</v>
      </c>
      <c r="Q584" s="2" t="e">
        <f t="shared" si="57"/>
        <v>#DIV/0!</v>
      </c>
      <c r="R584" s="2" t="e">
        <f t="shared" si="58"/>
        <v>#DIV/0!</v>
      </c>
      <c r="S584" t="e">
        <f t="shared" si="59"/>
        <v>#DIV/0!</v>
      </c>
      <c r="U584" t="e">
        <v>#NUM!</v>
      </c>
    </row>
    <row r="585" spans="1:21" ht="13.9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54"/>
        <v>#DIV/0!</v>
      </c>
      <c r="I585" s="2" t="e">
        <f t="shared" si="55"/>
        <v>#DIV/0!</v>
      </c>
      <c r="J585" s="2">
        <v>0</v>
      </c>
      <c r="K585" s="2">
        <v>11.51</v>
      </c>
      <c r="L585" s="2">
        <v>0</v>
      </c>
      <c r="M585" s="2">
        <v>0</v>
      </c>
      <c r="N585" s="2">
        <v>0</v>
      </c>
      <c r="O585" s="2">
        <v>0.14000000000000001</v>
      </c>
      <c r="P585" s="2">
        <f t="shared" si="56"/>
        <v>6.3613171960746264</v>
      </c>
      <c r="Q585" s="2">
        <f t="shared" si="57"/>
        <v>0.37918655318526179</v>
      </c>
      <c r="R585" s="2" t="e">
        <f t="shared" si="58"/>
        <v>#DIV/0!</v>
      </c>
      <c r="S585" t="e">
        <f t="shared" si="59"/>
        <v>#DIV/0!</v>
      </c>
      <c r="U585">
        <v>3.5248159283575062</v>
      </c>
    </row>
    <row r="586" spans="1:21" ht="13.9" x14ac:dyDescent="0.3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54"/>
        <v>1.882622126681311</v>
      </c>
      <c r="I586" s="2">
        <f t="shared" si="55"/>
        <v>1.9833876481801515E-4</v>
      </c>
      <c r="J586" s="2">
        <v>64.14</v>
      </c>
      <c r="K586" s="2">
        <v>130.16999999999999</v>
      </c>
      <c r="L586" s="2">
        <v>289.08</v>
      </c>
      <c r="M586" s="2">
        <v>28.19</v>
      </c>
      <c r="N586" s="2">
        <v>81.75</v>
      </c>
      <c r="O586" s="2">
        <v>28.42</v>
      </c>
      <c r="P586" s="2">
        <f t="shared" si="56"/>
        <v>1.804760709224918</v>
      </c>
      <c r="Q586" s="2">
        <f t="shared" si="57"/>
        <v>0.17131872067548923</v>
      </c>
      <c r="R586" s="2">
        <f t="shared" si="58"/>
        <v>-7.7861417456392967E-2</v>
      </c>
      <c r="S586">
        <f t="shared" si="59"/>
        <v>0.95864203636358658</v>
      </c>
      <c r="U586">
        <v>8.9170438178231226</v>
      </c>
    </row>
    <row r="587" spans="1:21" ht="13.9" x14ac:dyDescent="0.3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54"/>
        <v>-0.39583072482785009</v>
      </c>
      <c r="I587" s="2">
        <f t="shared" si="55"/>
        <v>0.63203164469386097</v>
      </c>
      <c r="J587" s="2">
        <v>0.18</v>
      </c>
      <c r="K587" s="2">
        <v>16.95</v>
      </c>
      <c r="L587" s="2">
        <v>11.06</v>
      </c>
      <c r="M587" s="2">
        <v>17.59</v>
      </c>
      <c r="N587" s="2">
        <v>0</v>
      </c>
      <c r="O587" s="2">
        <v>9.75</v>
      </c>
      <c r="P587" s="2">
        <f t="shared" si="56"/>
        <v>4.4170234964361808E-2</v>
      </c>
      <c r="Q587" s="2">
        <f t="shared" si="57"/>
        <v>0.96996193845606871</v>
      </c>
      <c r="R587" s="2">
        <f t="shared" si="58"/>
        <v>0.44000095979221188</v>
      </c>
      <c r="S587">
        <f t="shared" si="59"/>
        <v>-0.11158869737454512</v>
      </c>
      <c r="U587">
        <v>4.8171115727956968</v>
      </c>
    </row>
    <row r="588" spans="1:21" ht="13.9" x14ac:dyDescent="0.3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54"/>
        <v>-0.65763880612559833</v>
      </c>
      <c r="I588" s="2">
        <f t="shared" si="55"/>
        <v>0.13379318481560259</v>
      </c>
      <c r="J588" s="2">
        <v>851.74</v>
      </c>
      <c r="K588" s="2">
        <v>801.34</v>
      </c>
      <c r="L588" s="2">
        <v>1492.64</v>
      </c>
      <c r="M588" s="2">
        <v>1316.68</v>
      </c>
      <c r="N588" s="2">
        <v>2616.09</v>
      </c>
      <c r="O588" s="2">
        <v>1300.1500000000001</v>
      </c>
      <c r="P588" s="2">
        <f t="shared" si="56"/>
        <v>-0.73422594101321159</v>
      </c>
      <c r="Q588" s="2">
        <f t="shared" si="57"/>
        <v>0.22821473682506224</v>
      </c>
      <c r="R588" s="2">
        <f t="shared" si="58"/>
        <v>-7.6587134887613262E-2</v>
      </c>
      <c r="S588">
        <f t="shared" si="59"/>
        <v>1.1164577488041154</v>
      </c>
      <c r="U588">
        <v>11.619174547091184</v>
      </c>
    </row>
    <row r="589" spans="1:21" ht="13.9" x14ac:dyDescent="0.3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54"/>
        <v>-3.5618788876081156</v>
      </c>
      <c r="I589" s="2">
        <f t="shared" si="55"/>
        <v>1.167464060561834E-2</v>
      </c>
      <c r="J589" s="2">
        <v>0</v>
      </c>
      <c r="K589" s="2">
        <v>3.56</v>
      </c>
      <c r="L589" s="2">
        <v>0</v>
      </c>
      <c r="M589" s="2">
        <v>6.79</v>
      </c>
      <c r="N589" s="2">
        <v>408.76</v>
      </c>
      <c r="O589" s="2">
        <v>7.44</v>
      </c>
      <c r="P589" s="2">
        <f t="shared" si="56"/>
        <v>-6.8926025052593811</v>
      </c>
      <c r="Q589" s="2">
        <f t="shared" si="57"/>
        <v>0.35532584465594758</v>
      </c>
      <c r="R589" s="2">
        <f t="shared" si="58"/>
        <v>-3.3307236176512656</v>
      </c>
      <c r="S589">
        <f t="shared" si="59"/>
        <v>1.9351029955675791</v>
      </c>
      <c r="U589">
        <v>1.8318772411916731</v>
      </c>
    </row>
    <row r="590" spans="1:21" ht="13.9" x14ac:dyDescent="0.3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54"/>
        <v>-2.8434368830047934</v>
      </c>
      <c r="I590" s="2">
        <f t="shared" si="55"/>
        <v>1.9195513461081044E-3</v>
      </c>
      <c r="J590" s="2">
        <v>9.16</v>
      </c>
      <c r="K590" s="2">
        <v>11.93</v>
      </c>
      <c r="L590" s="2">
        <v>39.72</v>
      </c>
      <c r="M590" s="2">
        <v>51.24</v>
      </c>
      <c r="N590" s="2">
        <v>0</v>
      </c>
      <c r="O590" s="2">
        <v>70.25</v>
      </c>
      <c r="P590" s="2">
        <f t="shared" si="56"/>
        <v>-0.99845707397316541</v>
      </c>
      <c r="Q590" s="2">
        <f t="shared" si="57"/>
        <v>0.43135145637662364</v>
      </c>
      <c r="R590" s="2">
        <f t="shared" si="58"/>
        <v>1.8449798090316278</v>
      </c>
      <c r="S590">
        <f t="shared" si="59"/>
        <v>0.35114444774242676</v>
      </c>
      <c r="U590">
        <v>5.9262366844133298</v>
      </c>
    </row>
    <row r="591" spans="1:21" ht="13.9" x14ac:dyDescent="0.3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54"/>
        <v>1.2875765900965854</v>
      </c>
      <c r="I591" s="2">
        <f t="shared" si="55"/>
        <v>0.59520693768048039</v>
      </c>
      <c r="J591" s="2">
        <v>0</v>
      </c>
      <c r="K591" s="2">
        <v>0</v>
      </c>
      <c r="L591" s="2">
        <v>0</v>
      </c>
      <c r="M591" s="2">
        <v>2.2599999999999998</v>
      </c>
      <c r="N591" s="2">
        <v>0</v>
      </c>
      <c r="O591" s="2">
        <v>0.41</v>
      </c>
      <c r="P591" s="2" t="e">
        <f t="shared" si="56"/>
        <v>#NUM!</v>
      </c>
      <c r="Q591" s="2">
        <f t="shared" si="57"/>
        <v>0.26964307605782228</v>
      </c>
      <c r="R591" s="2" t="e">
        <f t="shared" si="58"/>
        <v>#NUM!</v>
      </c>
      <c r="S591" t="e">
        <f t="shared" si="59"/>
        <v>#NUM!</v>
      </c>
      <c r="U591" t="e">
        <v>#NUM!</v>
      </c>
    </row>
    <row r="592" spans="1:21" ht="13.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54"/>
        <v>#DIV/0!</v>
      </c>
      <c r="I592" s="2" t="e">
        <f t="shared" si="55"/>
        <v>#DIV/0!</v>
      </c>
      <c r="J592" s="2">
        <v>0</v>
      </c>
      <c r="K592" s="2">
        <v>7.53</v>
      </c>
      <c r="L592" s="2">
        <v>0</v>
      </c>
      <c r="M592" s="2">
        <v>0</v>
      </c>
      <c r="N592" s="2">
        <v>0</v>
      </c>
      <c r="O592" s="2">
        <v>0</v>
      </c>
      <c r="P592" s="2" t="e">
        <f t="shared" si="56"/>
        <v>#DIV/0!</v>
      </c>
      <c r="Q592" s="2">
        <f t="shared" si="57"/>
        <v>0.37390096630005903</v>
      </c>
      <c r="R592" s="2" t="e">
        <f t="shared" si="58"/>
        <v>#DIV/0!</v>
      </c>
      <c r="S592" t="e">
        <f t="shared" si="59"/>
        <v>#DIV/0!</v>
      </c>
      <c r="U592">
        <v>2.9126498648972032</v>
      </c>
    </row>
    <row r="593" spans="1:21" ht="13.9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54"/>
        <v>#NUM!</v>
      </c>
      <c r="I593" s="2">
        <f t="shared" si="55"/>
        <v>0.11678653102211486</v>
      </c>
      <c r="J593" s="2">
        <v>0</v>
      </c>
      <c r="K593" s="2">
        <v>0</v>
      </c>
      <c r="L593" s="2">
        <v>10.56</v>
      </c>
      <c r="M593" s="2">
        <v>1.85</v>
      </c>
      <c r="N593" s="2">
        <v>0</v>
      </c>
      <c r="O593" s="2">
        <v>1.22</v>
      </c>
      <c r="P593" s="2">
        <f t="shared" si="56"/>
        <v>1.7822992739882739</v>
      </c>
      <c r="Q593" s="2">
        <f t="shared" si="57"/>
        <v>0.52194531378936682</v>
      </c>
      <c r="R593" s="2" t="e">
        <f t="shared" si="58"/>
        <v>#NUM!</v>
      </c>
      <c r="S593" t="e">
        <f t="shared" si="59"/>
        <v>#NUM!</v>
      </c>
      <c r="U593">
        <v>3.400537929583729</v>
      </c>
    </row>
    <row r="594" spans="1:21" ht="13.9" x14ac:dyDescent="0.3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54"/>
        <v>#NUM!</v>
      </c>
      <c r="I594" s="2">
        <f t="shared" si="55"/>
        <v>1.0918923596839315E-2</v>
      </c>
      <c r="J594" s="2">
        <v>0</v>
      </c>
      <c r="K594" s="2">
        <v>0</v>
      </c>
      <c r="L594" s="2">
        <v>0</v>
      </c>
      <c r="M594" s="2">
        <v>2.2599999999999998</v>
      </c>
      <c r="N594" s="2">
        <v>0</v>
      </c>
      <c r="O594" s="2">
        <v>3.25</v>
      </c>
      <c r="P594" s="2" t="e">
        <f t="shared" si="56"/>
        <v>#NUM!</v>
      </c>
      <c r="Q594" s="2">
        <f t="shared" si="57"/>
        <v>0.12879583666271874</v>
      </c>
      <c r="R594" s="2" t="e">
        <f t="shared" si="58"/>
        <v>#NUM!</v>
      </c>
      <c r="S594" t="e">
        <f t="shared" si="59"/>
        <v>#NUM!</v>
      </c>
      <c r="U594" t="e">
        <v>#NUM!</v>
      </c>
    </row>
    <row r="595" spans="1:21" ht="13.9" x14ac:dyDescent="0.3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54"/>
        <v>#NUM!</v>
      </c>
      <c r="I595" s="2">
        <f t="shared" si="55"/>
        <v>1.2215182652662847E-4</v>
      </c>
      <c r="J595" s="2">
        <v>0</v>
      </c>
      <c r="K595" s="2">
        <v>8.7899999999999991</v>
      </c>
      <c r="L595" s="2">
        <v>0</v>
      </c>
      <c r="M595" s="2">
        <v>0.93</v>
      </c>
      <c r="N595" s="2">
        <v>0</v>
      </c>
      <c r="O595" s="2">
        <v>2.17</v>
      </c>
      <c r="P595" s="2">
        <f t="shared" si="56"/>
        <v>1.5035949498691663</v>
      </c>
      <c r="Q595" s="2">
        <f t="shared" si="57"/>
        <v>0.56115966726734912</v>
      </c>
      <c r="R595" s="2" t="e">
        <f t="shared" si="58"/>
        <v>#NUM!</v>
      </c>
      <c r="S595" t="e">
        <f t="shared" si="59"/>
        <v>#NUM!</v>
      </c>
      <c r="U595">
        <v>3.1358631653686793</v>
      </c>
    </row>
    <row r="596" spans="1:21" ht="13.9" x14ac:dyDescent="0.3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54"/>
        <v>#DIV/0!</v>
      </c>
      <c r="I596" s="2">
        <f t="shared" si="55"/>
        <v>0.37390096630005903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 t="e">
        <f t="shared" si="56"/>
        <v>#DIV/0!</v>
      </c>
      <c r="Q596" s="2" t="e">
        <f t="shared" si="57"/>
        <v>#DIV/0!</v>
      </c>
      <c r="R596" s="2" t="e">
        <f t="shared" si="58"/>
        <v>#DIV/0!</v>
      </c>
      <c r="S596" t="e">
        <f t="shared" si="59"/>
        <v>#DIV/0!</v>
      </c>
      <c r="U596" t="e">
        <v>#NUM!</v>
      </c>
    </row>
    <row r="597" spans="1:21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54"/>
        <v>#DIV/0!</v>
      </c>
      <c r="I597" s="2" t="e">
        <f t="shared" si="55"/>
        <v>#DIV/0!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0.27</v>
      </c>
      <c r="P597" s="2" t="e">
        <f t="shared" si="56"/>
        <v>#NUM!</v>
      </c>
      <c r="Q597" s="2">
        <f t="shared" si="57"/>
        <v>0.37390096630005903</v>
      </c>
      <c r="R597" s="2" t="e">
        <f t="shared" si="58"/>
        <v>#NUM!</v>
      </c>
      <c r="S597" t="e">
        <f t="shared" si="59"/>
        <v>#NUM!</v>
      </c>
      <c r="U597" t="e">
        <v>#NUM!</v>
      </c>
    </row>
    <row r="598" spans="1:21" ht="13.9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54"/>
        <v>#NUM!</v>
      </c>
      <c r="I598" s="2">
        <f t="shared" si="55"/>
        <v>0.37390096630005903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 t="e">
        <f t="shared" si="56"/>
        <v>#DIV/0!</v>
      </c>
      <c r="Q598" s="2" t="e">
        <f t="shared" si="57"/>
        <v>#DIV/0!</v>
      </c>
      <c r="R598" s="2" t="e">
        <f t="shared" si="58"/>
        <v>#DIV/0!</v>
      </c>
      <c r="S598" t="e">
        <f t="shared" si="59"/>
        <v>#DIV/0!</v>
      </c>
      <c r="U598" t="e">
        <v>#NUM!</v>
      </c>
    </row>
    <row r="599" spans="1:21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54"/>
        <v>#DIV/0!</v>
      </c>
      <c r="I599" s="2" t="e">
        <f t="shared" si="55"/>
        <v>#DIV/0!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0.41</v>
      </c>
      <c r="P599" s="2" t="e">
        <f t="shared" si="56"/>
        <v>#NUM!</v>
      </c>
      <c r="Q599" s="2">
        <f t="shared" si="57"/>
        <v>0.37390096630005903</v>
      </c>
      <c r="R599" s="2" t="e">
        <f t="shared" si="58"/>
        <v>#NUM!</v>
      </c>
      <c r="S599" t="e">
        <f t="shared" si="59"/>
        <v>#NUM!</v>
      </c>
      <c r="U599" t="e">
        <v>#NUM!</v>
      </c>
    </row>
    <row r="600" spans="1:21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54"/>
        <v>#DIV/0!</v>
      </c>
      <c r="I600" s="2" t="e">
        <f t="shared" si="55"/>
        <v>#DIV/0!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 t="e">
        <f t="shared" si="56"/>
        <v>#DIV/0!</v>
      </c>
      <c r="Q600" s="2" t="e">
        <f t="shared" si="57"/>
        <v>#DIV/0!</v>
      </c>
      <c r="R600" s="2" t="e">
        <f t="shared" si="58"/>
        <v>#DIV/0!</v>
      </c>
      <c r="S600" t="e">
        <f t="shared" si="59"/>
        <v>#DIV/0!</v>
      </c>
      <c r="U600" t="e">
        <v>#NUM!</v>
      </c>
    </row>
    <row r="601" spans="1:21" ht="13.9" x14ac:dyDescent="0.3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54"/>
        <v>#NUM!</v>
      </c>
      <c r="I601" s="2">
        <f t="shared" si="55"/>
        <v>2.3397511733590476E-2</v>
      </c>
      <c r="J601" s="2">
        <v>5.21</v>
      </c>
      <c r="K601" s="2">
        <v>9.6300000000000008</v>
      </c>
      <c r="L601" s="2">
        <v>5.53</v>
      </c>
      <c r="M601" s="2">
        <v>19.45</v>
      </c>
      <c r="N601" s="2">
        <v>0</v>
      </c>
      <c r="O601" s="2">
        <v>27.75</v>
      </c>
      <c r="P601" s="2">
        <f t="shared" si="56"/>
        <v>-1.2123408792833157</v>
      </c>
      <c r="Q601" s="2">
        <f t="shared" si="57"/>
        <v>0.34424510279821185</v>
      </c>
      <c r="R601" s="2" t="e">
        <f t="shared" si="58"/>
        <v>#NUM!</v>
      </c>
      <c r="S601" t="e">
        <f t="shared" si="59"/>
        <v>#NUM!</v>
      </c>
      <c r="U601">
        <v>4.3483740751911633</v>
      </c>
    </row>
    <row r="602" spans="1:21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54"/>
        <v>#DIV/0!</v>
      </c>
      <c r="I602" s="2" t="e">
        <f t="shared" si="55"/>
        <v>#DIV/0!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 t="e">
        <f t="shared" si="56"/>
        <v>#DIV/0!</v>
      </c>
      <c r="Q602" s="2" t="e">
        <f t="shared" si="57"/>
        <v>#DIV/0!</v>
      </c>
      <c r="R602" s="2" t="e">
        <f t="shared" si="58"/>
        <v>#DIV/0!</v>
      </c>
      <c r="S602" t="e">
        <f t="shared" si="59"/>
        <v>#DIV/0!</v>
      </c>
      <c r="U602" t="e">
        <v>#NUM!</v>
      </c>
    </row>
    <row r="603" spans="1:21" ht="13.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54"/>
        <v>#DIV/0!</v>
      </c>
      <c r="I603" s="2" t="e">
        <f t="shared" si="55"/>
        <v>#DIV/0!</v>
      </c>
      <c r="J603" s="2">
        <v>0</v>
      </c>
      <c r="K603" s="2">
        <v>4.1900000000000004</v>
      </c>
      <c r="L603" s="2">
        <v>0</v>
      </c>
      <c r="M603" s="2">
        <v>0</v>
      </c>
      <c r="N603" s="2">
        <v>0</v>
      </c>
      <c r="O603" s="2">
        <v>0</v>
      </c>
      <c r="P603" s="2" t="e">
        <f t="shared" si="56"/>
        <v>#DIV/0!</v>
      </c>
      <c r="Q603" s="2">
        <f t="shared" si="57"/>
        <v>0.37390096630005903</v>
      </c>
      <c r="R603" s="2" t="e">
        <f t="shared" si="58"/>
        <v>#DIV/0!</v>
      </c>
      <c r="S603" t="e">
        <f t="shared" si="59"/>
        <v>#DIV/0!</v>
      </c>
      <c r="U603">
        <v>2.066950243924627</v>
      </c>
    </row>
    <row r="604" spans="1:21" ht="13.9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54"/>
        <v>#DIV/0!</v>
      </c>
      <c r="I604" s="2" t="e">
        <f t="shared" si="55"/>
        <v>#DIV/0!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 t="e">
        <f t="shared" si="56"/>
        <v>#DIV/0!</v>
      </c>
      <c r="Q604" s="2" t="e">
        <f t="shared" si="57"/>
        <v>#DIV/0!</v>
      </c>
      <c r="R604" s="2" t="e">
        <f t="shared" si="58"/>
        <v>#DIV/0!</v>
      </c>
      <c r="S604" t="e">
        <f t="shared" si="59"/>
        <v>#DIV/0!</v>
      </c>
      <c r="U604" t="e">
        <v>#NUM!</v>
      </c>
    </row>
    <row r="605" spans="1:21" ht="13.9" x14ac:dyDescent="0.3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54"/>
        <v>#NUM!</v>
      </c>
      <c r="I605" s="2">
        <f t="shared" si="55"/>
        <v>0.20928943449897661</v>
      </c>
      <c r="J605" s="2">
        <v>0</v>
      </c>
      <c r="K605" s="2">
        <v>0</v>
      </c>
      <c r="L605" s="2">
        <v>0</v>
      </c>
      <c r="M605" s="2">
        <v>2.2599999999999998</v>
      </c>
      <c r="N605" s="2">
        <v>0</v>
      </c>
      <c r="O605" s="2">
        <v>4.74</v>
      </c>
      <c r="P605" s="2" t="e">
        <f t="shared" si="56"/>
        <v>#NUM!</v>
      </c>
      <c r="Q605" s="2">
        <f t="shared" si="57"/>
        <v>0.16346342524754634</v>
      </c>
      <c r="R605" s="2" t="e">
        <f t="shared" si="58"/>
        <v>#NUM!</v>
      </c>
      <c r="S605" t="e">
        <f t="shared" si="59"/>
        <v>#NUM!</v>
      </c>
      <c r="U605" t="e">
        <v>#NUM!</v>
      </c>
    </row>
    <row r="606" spans="1:21" ht="13.9" x14ac:dyDescent="0.3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54"/>
        <v>3.563588849928589</v>
      </c>
      <c r="I606" s="2">
        <f t="shared" si="55"/>
        <v>0.41328379255005571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f t="shared" si="56"/>
        <v>#DIV/0!</v>
      </c>
      <c r="Q606" s="2" t="e">
        <f t="shared" si="57"/>
        <v>#DIV/0!</v>
      </c>
      <c r="R606" s="2" t="e">
        <f t="shared" si="58"/>
        <v>#DIV/0!</v>
      </c>
      <c r="S606" t="e">
        <f t="shared" si="59"/>
        <v>#DIV/0!</v>
      </c>
      <c r="U606" t="e">
        <v>#NUM!</v>
      </c>
    </row>
    <row r="607" spans="1:21" ht="13.9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54"/>
        <v>#NUM!</v>
      </c>
      <c r="I607" s="2">
        <f t="shared" si="55"/>
        <v>0.14172271511995713</v>
      </c>
      <c r="J607" s="2">
        <v>0</v>
      </c>
      <c r="K607" s="2">
        <v>0</v>
      </c>
      <c r="L607" s="2">
        <v>0</v>
      </c>
      <c r="M607" s="2">
        <v>0.1</v>
      </c>
      <c r="N607" s="2">
        <v>0</v>
      </c>
      <c r="O607" s="2">
        <v>1.49</v>
      </c>
      <c r="P607" s="2" t="e">
        <f t="shared" si="56"/>
        <v>#NUM!</v>
      </c>
      <c r="Q607" s="2">
        <f t="shared" si="57"/>
        <v>0.33224201222489275</v>
      </c>
      <c r="R607" s="2" t="e">
        <f t="shared" si="58"/>
        <v>#NUM!</v>
      </c>
      <c r="S607" t="e">
        <f t="shared" si="59"/>
        <v>#NUM!</v>
      </c>
      <c r="U607" t="e">
        <v>#NUM!</v>
      </c>
    </row>
    <row r="608" spans="1:21" ht="13.9" x14ac:dyDescent="0.3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54"/>
        <v>-2.3238485792037111</v>
      </c>
      <c r="I608" s="2">
        <f t="shared" si="55"/>
        <v>4.2930756073757653E-2</v>
      </c>
      <c r="J608" s="2">
        <v>3.95</v>
      </c>
      <c r="K608" s="2">
        <v>8.16</v>
      </c>
      <c r="L608" s="2">
        <v>0</v>
      </c>
      <c r="M608" s="2">
        <v>14.92</v>
      </c>
      <c r="N608" s="2">
        <v>0</v>
      </c>
      <c r="O608" s="2">
        <v>25.99</v>
      </c>
      <c r="P608" s="2">
        <f t="shared" si="56"/>
        <v>-1.7562546721937176</v>
      </c>
      <c r="Q608" s="2">
        <f t="shared" si="57"/>
        <v>0.2905887654438189</v>
      </c>
      <c r="R608" s="2">
        <f t="shared" si="58"/>
        <v>0.56759390700999357</v>
      </c>
      <c r="S608">
        <f t="shared" si="59"/>
        <v>0.75575262859661663</v>
      </c>
      <c r="U608">
        <v>3.5981269599196044</v>
      </c>
    </row>
    <row r="609" spans="1:21" ht="13.9" x14ac:dyDescent="0.3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54"/>
        <v>#NUM!</v>
      </c>
      <c r="I609" s="2">
        <f t="shared" si="55"/>
        <v>1.0473893808899661E-2</v>
      </c>
      <c r="J609" s="2">
        <v>0</v>
      </c>
      <c r="K609" s="2">
        <v>0</v>
      </c>
      <c r="L609" s="2">
        <v>2.5099999999999998</v>
      </c>
      <c r="M609" s="2">
        <v>0.1</v>
      </c>
      <c r="N609" s="2">
        <v>0</v>
      </c>
      <c r="O609" s="2">
        <v>0.41</v>
      </c>
      <c r="P609" s="2">
        <f t="shared" si="56"/>
        <v>2.2991182119792763</v>
      </c>
      <c r="Q609" s="2">
        <f t="shared" si="57"/>
        <v>0.47462201605889431</v>
      </c>
      <c r="R609" s="2" t="e">
        <f t="shared" si="58"/>
        <v>#NUM!</v>
      </c>
      <c r="S609" t="e">
        <f t="shared" si="59"/>
        <v>#NUM!</v>
      </c>
      <c r="U609">
        <v>1.3276873641760472</v>
      </c>
    </row>
    <row r="610" spans="1:21" ht="13.9" x14ac:dyDescent="0.3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54"/>
        <v>0.91894219603776395</v>
      </c>
      <c r="I610" s="2">
        <f t="shared" si="55"/>
        <v>0.53902896687007529</v>
      </c>
      <c r="J610" s="2">
        <v>0</v>
      </c>
      <c r="K610" s="2">
        <v>10.88</v>
      </c>
      <c r="L610" s="2">
        <v>2.5099999999999998</v>
      </c>
      <c r="M610" s="2">
        <v>1.23</v>
      </c>
      <c r="N610" s="2">
        <v>0</v>
      </c>
      <c r="O610" s="2">
        <v>5.01</v>
      </c>
      <c r="P610" s="2">
        <f t="shared" si="56"/>
        <v>1.1015380264620624</v>
      </c>
      <c r="Q610" s="2">
        <f t="shared" si="57"/>
        <v>0.5460611959227859</v>
      </c>
      <c r="R610" s="2">
        <f t="shared" si="58"/>
        <v>0.1825958304242985</v>
      </c>
      <c r="S610">
        <f t="shared" si="59"/>
        <v>1.1987021939046911</v>
      </c>
      <c r="U610">
        <v>3.7430840555495859</v>
      </c>
    </row>
    <row r="611" spans="1:21" ht="13.9" x14ac:dyDescent="0.3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54"/>
        <v>1.2940613014544184</v>
      </c>
      <c r="I611" s="2">
        <f t="shared" si="55"/>
        <v>0.58671586200790871</v>
      </c>
      <c r="J611" s="2">
        <v>0</v>
      </c>
      <c r="K611" s="2">
        <v>0</v>
      </c>
      <c r="L611" s="2">
        <v>20.61</v>
      </c>
      <c r="M611" s="2">
        <v>1.75</v>
      </c>
      <c r="N611" s="2">
        <v>0</v>
      </c>
      <c r="O611" s="2">
        <v>1.76</v>
      </c>
      <c r="P611" s="2">
        <f t="shared" si="56"/>
        <v>2.5538015692346958</v>
      </c>
      <c r="Q611" s="2">
        <f t="shared" si="57"/>
        <v>0.45486751291604094</v>
      </c>
      <c r="R611" s="2">
        <f t="shared" si="58"/>
        <v>1.2597402677802774</v>
      </c>
      <c r="S611">
        <f t="shared" si="59"/>
        <v>1.9734780464916406</v>
      </c>
      <c r="U611">
        <v>4.3652725997645314</v>
      </c>
    </row>
    <row r="612" spans="1:21" ht="13.9" x14ac:dyDescent="0.3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54"/>
        <v>-4.1448340204794825</v>
      </c>
      <c r="I612" s="2">
        <f t="shared" si="55"/>
        <v>3.3387259514477394E-2</v>
      </c>
      <c r="J612" s="2">
        <v>0</v>
      </c>
      <c r="K612" s="2">
        <v>4.8099999999999996</v>
      </c>
      <c r="L612" s="2">
        <v>0</v>
      </c>
      <c r="M612" s="2">
        <v>1.85</v>
      </c>
      <c r="N612" s="2">
        <v>0</v>
      </c>
      <c r="O612" s="2">
        <v>1.35</v>
      </c>
      <c r="P612" s="2">
        <f t="shared" si="56"/>
        <v>0.58796498888267945</v>
      </c>
      <c r="Q612" s="2">
        <f t="shared" si="57"/>
        <v>0.767482890500916</v>
      </c>
      <c r="R612" s="2">
        <f t="shared" si="58"/>
        <v>4.7327990093621617</v>
      </c>
      <c r="S612">
        <f t="shared" si="59"/>
        <v>-0.14185489358019276</v>
      </c>
      <c r="U612">
        <v>2.266036893995317</v>
      </c>
    </row>
    <row r="613" spans="1:21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54"/>
        <v>#DIV/0!</v>
      </c>
      <c r="I613" s="2" t="e">
        <f t="shared" si="55"/>
        <v>#DIV/0!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 t="e">
        <f t="shared" si="56"/>
        <v>#DIV/0!</v>
      </c>
      <c r="Q613" s="2" t="e">
        <f t="shared" si="57"/>
        <v>#DIV/0!</v>
      </c>
      <c r="R613" s="2" t="e">
        <f t="shared" si="58"/>
        <v>#DIV/0!</v>
      </c>
      <c r="S613" t="e">
        <f t="shared" si="59"/>
        <v>#DIV/0!</v>
      </c>
      <c r="U613" t="e">
        <v>#NUM!</v>
      </c>
    </row>
    <row r="614" spans="1:21" ht="13.9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54"/>
        <v>#NUM!</v>
      </c>
      <c r="I614" s="2">
        <f t="shared" si="55"/>
        <v>0.37390096630005903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 t="e">
        <f t="shared" si="56"/>
        <v>#DIV/0!</v>
      </c>
      <c r="Q614" s="2" t="e">
        <f t="shared" si="57"/>
        <v>#DIV/0!</v>
      </c>
      <c r="R614" s="2" t="e">
        <f t="shared" si="58"/>
        <v>#DIV/0!</v>
      </c>
      <c r="S614" t="e">
        <f t="shared" si="59"/>
        <v>#DIV/0!</v>
      </c>
      <c r="U614" t="e">
        <v>#NUM!</v>
      </c>
    </row>
    <row r="615" spans="1:21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54"/>
        <v>#DIV/0!</v>
      </c>
      <c r="I615" s="2" t="e">
        <f t="shared" si="55"/>
        <v>#DIV/0!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 t="e">
        <f t="shared" si="56"/>
        <v>#DIV/0!</v>
      </c>
      <c r="Q615" s="2" t="e">
        <f t="shared" si="57"/>
        <v>#DIV/0!</v>
      </c>
      <c r="R615" s="2" t="e">
        <f t="shared" si="58"/>
        <v>#DIV/0!</v>
      </c>
      <c r="S615" t="e">
        <f t="shared" si="59"/>
        <v>#DIV/0!</v>
      </c>
      <c r="U615" t="e">
        <v>#NUM!</v>
      </c>
    </row>
    <row r="616" spans="1:21" ht="13.9" x14ac:dyDescent="0.3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54"/>
        <v>1.0550875601042087</v>
      </c>
      <c r="I616" s="2">
        <f t="shared" si="55"/>
        <v>0.63573413955061953</v>
      </c>
      <c r="J616" s="2">
        <v>3.05</v>
      </c>
      <c r="K616" s="2">
        <v>9</v>
      </c>
      <c r="L616" s="2">
        <v>0</v>
      </c>
      <c r="M616" s="2">
        <v>0.62</v>
      </c>
      <c r="N616" s="2">
        <v>0</v>
      </c>
      <c r="O616" s="2">
        <v>0.41</v>
      </c>
      <c r="P616" s="2">
        <f t="shared" si="56"/>
        <v>3.5483169039341056</v>
      </c>
      <c r="Q616" s="2">
        <f t="shared" si="57"/>
        <v>0.23780167513625353</v>
      </c>
      <c r="R616" s="2">
        <f t="shared" si="58"/>
        <v>2.4932293438298969</v>
      </c>
      <c r="S616">
        <f t="shared" si="59"/>
        <v>3.3630544403192908</v>
      </c>
      <c r="U616">
        <v>3.5909612413425993</v>
      </c>
    </row>
    <row r="617" spans="1:21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54"/>
        <v>#DIV/0!</v>
      </c>
      <c r="I617" s="2" t="e">
        <f t="shared" si="55"/>
        <v>#DIV/0!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 t="e">
        <f t="shared" si="56"/>
        <v>#DIV/0!</v>
      </c>
      <c r="Q617" s="2" t="e">
        <f t="shared" si="57"/>
        <v>#DIV/0!</v>
      </c>
      <c r="R617" s="2" t="e">
        <f t="shared" si="58"/>
        <v>#DIV/0!</v>
      </c>
      <c r="S617" t="e">
        <f t="shared" si="59"/>
        <v>#DIV/0!</v>
      </c>
      <c r="U617" t="e">
        <v>#NUM!</v>
      </c>
    </row>
    <row r="618" spans="1:21" ht="13.9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54"/>
        <v>#NUM!</v>
      </c>
      <c r="I618" s="2">
        <f t="shared" si="55"/>
        <v>0.2016373839675579</v>
      </c>
      <c r="J618" s="2">
        <v>0</v>
      </c>
      <c r="K618" s="2">
        <v>0</v>
      </c>
      <c r="L618" s="2">
        <v>9.0500000000000007</v>
      </c>
      <c r="M618" s="2">
        <v>1.23</v>
      </c>
      <c r="N618" s="2">
        <v>0</v>
      </c>
      <c r="O618" s="2">
        <v>1.62</v>
      </c>
      <c r="P618" s="2">
        <f t="shared" si="56"/>
        <v>1.6669558729184637</v>
      </c>
      <c r="Q618" s="2">
        <f t="shared" si="57"/>
        <v>0.53594619859309356</v>
      </c>
      <c r="R618" s="2" t="e">
        <f t="shared" si="58"/>
        <v>#NUM!</v>
      </c>
      <c r="S618" t="e">
        <f t="shared" si="59"/>
        <v>#NUM!</v>
      </c>
      <c r="U618">
        <v>3.177917792195843</v>
      </c>
    </row>
    <row r="619" spans="1:21" ht="13.9" x14ac:dyDescent="0.3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54"/>
        <v>0.79512239972326304</v>
      </c>
      <c r="I619" s="2">
        <f t="shared" si="55"/>
        <v>0.69517394513127972</v>
      </c>
      <c r="J619" s="2">
        <v>0</v>
      </c>
      <c r="K619" s="2">
        <v>1.88</v>
      </c>
      <c r="L619" s="2">
        <v>0</v>
      </c>
      <c r="M619" s="2">
        <v>0.72</v>
      </c>
      <c r="N619" s="2">
        <v>0</v>
      </c>
      <c r="O619" s="2">
        <v>3.93</v>
      </c>
      <c r="P619" s="2">
        <f t="shared" si="56"/>
        <v>-1.3064980543177567</v>
      </c>
      <c r="Q619" s="2">
        <f t="shared" si="57"/>
        <v>0.53469192617445249</v>
      </c>
      <c r="R619" s="2">
        <f t="shared" si="58"/>
        <v>-2.1016204540410195</v>
      </c>
      <c r="S619">
        <f t="shared" si="59"/>
        <v>-1.6431407979104531</v>
      </c>
      <c r="U619">
        <v>0.91073266190291258</v>
      </c>
    </row>
    <row r="620" spans="1:21" ht="13.9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54"/>
        <v>#NUM!</v>
      </c>
      <c r="I620" s="2">
        <f t="shared" si="55"/>
        <v>0.11612921919185448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0.68</v>
      </c>
      <c r="P620" s="2" t="e">
        <f t="shared" si="56"/>
        <v>#NUM!</v>
      </c>
      <c r="Q620" s="2">
        <f t="shared" si="57"/>
        <v>0.37390096630005903</v>
      </c>
      <c r="R620" s="2" t="e">
        <f t="shared" si="58"/>
        <v>#NUM!</v>
      </c>
      <c r="S620" t="e">
        <f t="shared" si="59"/>
        <v>#NUM!</v>
      </c>
      <c r="U620" t="e">
        <v>#NUM!</v>
      </c>
    </row>
    <row r="621" spans="1:21" ht="13.9" x14ac:dyDescent="0.3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54"/>
        <v>1.6397608533650154</v>
      </c>
      <c r="I621" s="2">
        <f t="shared" si="55"/>
        <v>0.35837850953244221</v>
      </c>
      <c r="J621" s="2">
        <v>11.32</v>
      </c>
      <c r="K621" s="2">
        <v>2.72</v>
      </c>
      <c r="L621" s="2">
        <v>0</v>
      </c>
      <c r="M621" s="2">
        <v>2.06</v>
      </c>
      <c r="N621" s="2">
        <v>286.13</v>
      </c>
      <c r="O621" s="2">
        <v>0.27</v>
      </c>
      <c r="P621" s="2">
        <f t="shared" si="56"/>
        <v>-4.3607564372056071</v>
      </c>
      <c r="Q621" s="2">
        <f t="shared" si="57"/>
        <v>0.3903660290759865</v>
      </c>
      <c r="R621" s="2">
        <f t="shared" si="58"/>
        <v>-6.0005172905706221</v>
      </c>
      <c r="S621">
        <f t="shared" si="59"/>
        <v>-2.659385622151385</v>
      </c>
      <c r="U621">
        <v>3.8114710305298365</v>
      </c>
    </row>
    <row r="622" spans="1:21" ht="13.9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54"/>
        <v>#NUM!</v>
      </c>
      <c r="I622" s="2">
        <f t="shared" si="55"/>
        <v>0.37390096630005903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 t="e">
        <f t="shared" si="56"/>
        <v>#DIV/0!</v>
      </c>
      <c r="Q622" s="2" t="e">
        <f t="shared" si="57"/>
        <v>#DIV/0!</v>
      </c>
      <c r="R622" s="2" t="e">
        <f t="shared" si="58"/>
        <v>#DIV/0!</v>
      </c>
      <c r="S622" t="e">
        <f t="shared" si="59"/>
        <v>#DIV/0!</v>
      </c>
      <c r="U622" t="e">
        <v>#NUM!</v>
      </c>
    </row>
    <row r="623" spans="1:21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54"/>
        <v>#DIV/0!</v>
      </c>
      <c r="I623" s="2" t="e">
        <f t="shared" si="55"/>
        <v>#DIV/0!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 t="e">
        <f t="shared" si="56"/>
        <v>#DIV/0!</v>
      </c>
      <c r="Q623" s="2" t="e">
        <f t="shared" si="57"/>
        <v>#DIV/0!</v>
      </c>
      <c r="R623" s="2" t="e">
        <f t="shared" si="58"/>
        <v>#DIV/0!</v>
      </c>
      <c r="S623" t="e">
        <f t="shared" si="59"/>
        <v>#DIV/0!</v>
      </c>
      <c r="U623" t="e">
        <v>#NUM!</v>
      </c>
    </row>
    <row r="624" spans="1:21" ht="13.9" x14ac:dyDescent="0.3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54"/>
        <v>#NUM!</v>
      </c>
      <c r="I624" s="2">
        <f t="shared" si="55"/>
        <v>6.6785754882468573E-2</v>
      </c>
      <c r="J624" s="2">
        <v>0</v>
      </c>
      <c r="K624" s="2">
        <v>0</v>
      </c>
      <c r="L624" s="2">
        <v>0</v>
      </c>
      <c r="M624" s="2">
        <v>0.41</v>
      </c>
      <c r="N624" s="2">
        <v>163.51</v>
      </c>
      <c r="O624" s="2">
        <v>0.68</v>
      </c>
      <c r="P624" s="2" t="e">
        <f t="shared" si="56"/>
        <v>#NUM!</v>
      </c>
      <c r="Q624" s="2">
        <f t="shared" si="57"/>
        <v>0.36961564153084114</v>
      </c>
      <c r="R624" s="2" t="e">
        <f t="shared" si="58"/>
        <v>#NUM!</v>
      </c>
      <c r="S624" t="e">
        <f t="shared" si="59"/>
        <v>#NUM!</v>
      </c>
      <c r="U624" t="e">
        <v>#NUM!</v>
      </c>
    </row>
    <row r="625" spans="1:21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54"/>
        <v>#DIV/0!</v>
      </c>
      <c r="I625" s="2" t="e">
        <f t="shared" si="55"/>
        <v>#DIV/0!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 t="e">
        <f t="shared" si="56"/>
        <v>#DIV/0!</v>
      </c>
      <c r="Q625" s="2" t="e">
        <f t="shared" si="57"/>
        <v>#DIV/0!</v>
      </c>
      <c r="R625" s="2" t="e">
        <f t="shared" si="58"/>
        <v>#DIV/0!</v>
      </c>
      <c r="S625" t="e">
        <f t="shared" si="59"/>
        <v>#DIV/0!</v>
      </c>
      <c r="U625" t="e">
        <v>#NUM!</v>
      </c>
    </row>
    <row r="626" spans="1:21" ht="13.9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54"/>
        <v>#NUM!</v>
      </c>
      <c r="I626" s="2">
        <f t="shared" si="55"/>
        <v>0.16072314099275151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f t="shared" si="56"/>
        <v>#DIV/0!</v>
      </c>
      <c r="Q626" s="2" t="e">
        <f t="shared" si="57"/>
        <v>#DIV/0!</v>
      </c>
      <c r="R626" s="2" t="e">
        <f t="shared" si="58"/>
        <v>#DIV/0!</v>
      </c>
      <c r="S626" t="e">
        <f t="shared" si="59"/>
        <v>#DIV/0!</v>
      </c>
      <c r="U626" t="e">
        <v>#NUM!</v>
      </c>
    </row>
    <row r="627" spans="1:21" ht="13.9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54"/>
        <v>#NUM!</v>
      </c>
      <c r="I627" s="2">
        <f t="shared" si="55"/>
        <v>0.22741163115956636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 t="e">
        <f t="shared" si="56"/>
        <v>#DIV/0!</v>
      </c>
      <c r="Q627" s="2" t="e">
        <f t="shared" si="57"/>
        <v>#DIV/0!</v>
      </c>
      <c r="R627" s="2" t="e">
        <f t="shared" si="58"/>
        <v>#DIV/0!</v>
      </c>
      <c r="S627" t="e">
        <f t="shared" si="59"/>
        <v>#DIV/0!</v>
      </c>
      <c r="U627" t="e">
        <v>#NUM!</v>
      </c>
    </row>
    <row r="628" spans="1:21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54"/>
        <v>#DIV/0!</v>
      </c>
      <c r="I628" s="2" t="e">
        <f t="shared" si="55"/>
        <v>#DIV/0!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 t="e">
        <f t="shared" si="56"/>
        <v>#DIV/0!</v>
      </c>
      <c r="Q628" s="2" t="e">
        <f t="shared" si="57"/>
        <v>#DIV/0!</v>
      </c>
      <c r="R628" s="2" t="e">
        <f t="shared" si="58"/>
        <v>#DIV/0!</v>
      </c>
      <c r="S628" t="e">
        <f t="shared" si="59"/>
        <v>#DIV/0!</v>
      </c>
      <c r="U628" t="e">
        <v>#NUM!</v>
      </c>
    </row>
    <row r="629" spans="1:21" ht="13.9" x14ac:dyDescent="0.3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54"/>
        <v>#NUM!</v>
      </c>
      <c r="I629" s="2">
        <f t="shared" si="55"/>
        <v>0.12336620055097519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 t="e">
        <f t="shared" si="56"/>
        <v>#DIV/0!</v>
      </c>
      <c r="Q629" s="2" t="e">
        <f t="shared" si="57"/>
        <v>#DIV/0!</v>
      </c>
      <c r="R629" s="2" t="e">
        <f t="shared" si="58"/>
        <v>#DIV/0!</v>
      </c>
      <c r="S629" t="e">
        <f t="shared" si="59"/>
        <v>#DIV/0!</v>
      </c>
      <c r="U629" t="e">
        <v>#NUM!</v>
      </c>
    </row>
    <row r="630" spans="1:21" ht="13.9" x14ac:dyDescent="0.3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54"/>
        <v>3.3101828872142631</v>
      </c>
      <c r="I630" s="2">
        <f t="shared" si="55"/>
        <v>0.42154357224869016</v>
      </c>
      <c r="J630" s="2">
        <v>0</v>
      </c>
      <c r="K630" s="2">
        <v>0</v>
      </c>
      <c r="L630" s="2">
        <v>0</v>
      </c>
      <c r="M630" s="2">
        <v>0.93</v>
      </c>
      <c r="N630" s="2">
        <v>0</v>
      </c>
      <c r="O630" s="2">
        <v>0</v>
      </c>
      <c r="P630" s="2" t="e">
        <f t="shared" si="56"/>
        <v>#NUM!</v>
      </c>
      <c r="Q630" s="2">
        <f t="shared" si="57"/>
        <v>0.37390096630005903</v>
      </c>
      <c r="R630" s="2" t="e">
        <f t="shared" si="58"/>
        <v>#NUM!</v>
      </c>
      <c r="S630" t="e">
        <f t="shared" si="59"/>
        <v>#NUM!</v>
      </c>
      <c r="U630" t="e">
        <v>#NUM!</v>
      </c>
    </row>
    <row r="631" spans="1:21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54"/>
        <v>#DIV/0!</v>
      </c>
      <c r="I631" s="2" t="e">
        <f t="shared" si="55"/>
        <v>#DIV/0!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 t="e">
        <f t="shared" si="56"/>
        <v>#DIV/0!</v>
      </c>
      <c r="Q631" s="2" t="e">
        <f t="shared" si="57"/>
        <v>#DIV/0!</v>
      </c>
      <c r="R631" s="2" t="e">
        <f t="shared" si="58"/>
        <v>#DIV/0!</v>
      </c>
      <c r="S631" t="e">
        <f t="shared" si="59"/>
        <v>#DIV/0!</v>
      </c>
      <c r="U631" t="e">
        <v>#NUM!</v>
      </c>
    </row>
    <row r="632" spans="1:21" ht="13.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54"/>
        <v>#DIV/0!</v>
      </c>
      <c r="I632" s="2" t="e">
        <f t="shared" si="55"/>
        <v>#DIV/0!</v>
      </c>
      <c r="J632" s="2">
        <v>0.72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 t="e">
        <f t="shared" si="56"/>
        <v>#DIV/0!</v>
      </c>
      <c r="Q632" s="2">
        <f t="shared" si="57"/>
        <v>0.37390096630005903</v>
      </c>
      <c r="R632" s="2" t="e">
        <f t="shared" si="58"/>
        <v>#DIV/0!</v>
      </c>
      <c r="S632" t="e">
        <f t="shared" si="59"/>
        <v>#DIV/0!</v>
      </c>
      <c r="U632">
        <v>-0.47393118833241243</v>
      </c>
    </row>
    <row r="633" spans="1:21" ht="13.9" x14ac:dyDescent="0.3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54"/>
        <v>-1.484430273233132</v>
      </c>
      <c r="I633" s="2">
        <f t="shared" si="55"/>
        <v>8.4184108965204962E-3</v>
      </c>
      <c r="J633" s="2">
        <v>283.49</v>
      </c>
      <c r="K633" s="2">
        <v>579.91999999999996</v>
      </c>
      <c r="L633" s="2">
        <v>525.37</v>
      </c>
      <c r="M633" s="2">
        <v>534.51</v>
      </c>
      <c r="N633" s="2">
        <v>327.01</v>
      </c>
      <c r="O633" s="2">
        <v>764.17</v>
      </c>
      <c r="P633" s="2">
        <f t="shared" si="56"/>
        <v>-0.22723410202272007</v>
      </c>
      <c r="Q633" s="2">
        <f t="shared" si="57"/>
        <v>0.6386648844039875</v>
      </c>
      <c r="R633" s="2">
        <f t="shared" si="58"/>
        <v>1.2571961712104121</v>
      </c>
      <c r="S633">
        <f t="shared" si="59"/>
        <v>0.15307832649343484</v>
      </c>
      <c r="U633">
        <v>10.439602361269257</v>
      </c>
    </row>
    <row r="634" spans="1:21" ht="13.9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54"/>
        <v>#NUM!</v>
      </c>
      <c r="I634" s="2">
        <f t="shared" si="55"/>
        <v>0.17849684364246426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 t="e">
        <f t="shared" si="56"/>
        <v>#DIV/0!</v>
      </c>
      <c r="Q634" s="2" t="e">
        <f t="shared" si="57"/>
        <v>#DIV/0!</v>
      </c>
      <c r="R634" s="2" t="e">
        <f t="shared" si="58"/>
        <v>#DIV/0!</v>
      </c>
      <c r="S634" t="e">
        <f t="shared" si="59"/>
        <v>#DIV/0!</v>
      </c>
      <c r="U634" t="e">
        <v>#NUM!</v>
      </c>
    </row>
    <row r="635" spans="1:21" ht="13.9" x14ac:dyDescent="0.3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54"/>
        <v>-0.15964855405590839</v>
      </c>
      <c r="I635" s="2">
        <f t="shared" si="55"/>
        <v>0.67945906171936876</v>
      </c>
      <c r="J635" s="2">
        <v>107.43</v>
      </c>
      <c r="K635" s="2">
        <v>159.68</v>
      </c>
      <c r="L635" s="2">
        <v>130.21</v>
      </c>
      <c r="M635" s="2">
        <v>123.78</v>
      </c>
      <c r="N635" s="2">
        <v>81.75</v>
      </c>
      <c r="O635" s="2">
        <v>117.75</v>
      </c>
      <c r="P635" s="2">
        <f t="shared" si="56"/>
        <v>0.29751715993469657</v>
      </c>
      <c r="Q635" s="2">
        <f t="shared" si="57"/>
        <v>0.28521800208406456</v>
      </c>
      <c r="R635" s="2">
        <f t="shared" si="58"/>
        <v>0.45716571399060496</v>
      </c>
      <c r="S635">
        <f t="shared" si="59"/>
        <v>-1.8635756627680264</v>
      </c>
      <c r="U635">
        <v>8.6341576063434307</v>
      </c>
    </row>
    <row r="636" spans="1:21" ht="13.9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54"/>
        <v>#NUM!</v>
      </c>
      <c r="I636" s="2">
        <f t="shared" si="55"/>
        <v>0.37390096630005903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 t="e">
        <f t="shared" si="56"/>
        <v>#DIV/0!</v>
      </c>
      <c r="Q636" s="2" t="e">
        <f t="shared" si="57"/>
        <v>#DIV/0!</v>
      </c>
      <c r="R636" s="2" t="e">
        <f t="shared" si="58"/>
        <v>#DIV/0!</v>
      </c>
      <c r="S636" t="e">
        <f t="shared" si="59"/>
        <v>#DIV/0!</v>
      </c>
      <c r="U636" t="e">
        <v>#NUM!</v>
      </c>
    </row>
    <row r="637" spans="1:21" ht="13.9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54"/>
        <v>#NUM!</v>
      </c>
      <c r="I637" s="2">
        <f t="shared" si="55"/>
        <v>0.37390096630005903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 t="e">
        <f t="shared" si="56"/>
        <v>#DIV/0!</v>
      </c>
      <c r="Q637" s="2" t="e">
        <f t="shared" si="57"/>
        <v>#DIV/0!</v>
      </c>
      <c r="R637" s="2" t="e">
        <f t="shared" si="58"/>
        <v>#DIV/0!</v>
      </c>
      <c r="S637" t="e">
        <f t="shared" si="59"/>
        <v>#DIV/0!</v>
      </c>
      <c r="U637" t="e">
        <v>#NUM!</v>
      </c>
    </row>
    <row r="638" spans="1:21" ht="13.9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54"/>
        <v>#DIV/0!</v>
      </c>
      <c r="I638" s="2" t="e">
        <f t="shared" si="55"/>
        <v>#DIV/0!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 t="e">
        <f t="shared" si="56"/>
        <v>#DIV/0!</v>
      </c>
      <c r="Q638" s="2" t="e">
        <f t="shared" si="57"/>
        <v>#DIV/0!</v>
      </c>
      <c r="R638" s="2" t="e">
        <f t="shared" si="58"/>
        <v>#DIV/0!</v>
      </c>
      <c r="S638" t="e">
        <f t="shared" si="59"/>
        <v>#DIV/0!</v>
      </c>
      <c r="U638" t="e">
        <v>#NUM!</v>
      </c>
    </row>
    <row r="639" spans="1:21" ht="13.9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54"/>
        <v>#NUM!</v>
      </c>
      <c r="I639" s="2">
        <f t="shared" si="55"/>
        <v>0.37390096630005903</v>
      </c>
      <c r="J639" s="2">
        <v>0</v>
      </c>
      <c r="K639" s="2">
        <v>0</v>
      </c>
      <c r="L639" s="2">
        <v>0</v>
      </c>
      <c r="M639" s="2">
        <v>0.1</v>
      </c>
      <c r="N639" s="2">
        <v>0</v>
      </c>
      <c r="O639" s="2">
        <v>0.95</v>
      </c>
      <c r="P639" s="2" t="e">
        <f t="shared" si="56"/>
        <v>#NUM!</v>
      </c>
      <c r="Q639" s="2">
        <f t="shared" si="57"/>
        <v>0.31009649504930942</v>
      </c>
      <c r="R639" s="2" t="e">
        <f t="shared" si="58"/>
        <v>#NUM!</v>
      </c>
      <c r="S639" t="e">
        <f t="shared" si="59"/>
        <v>#NUM!</v>
      </c>
      <c r="U639" t="e">
        <v>#NUM!</v>
      </c>
    </row>
    <row r="640" spans="1:21" ht="13.9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54"/>
        <v>#NUM!</v>
      </c>
      <c r="I640" s="2">
        <f t="shared" si="55"/>
        <v>0.11611652351681555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 t="e">
        <f t="shared" si="56"/>
        <v>#DIV/0!</v>
      </c>
      <c r="Q640" s="2" t="e">
        <f t="shared" si="57"/>
        <v>#DIV/0!</v>
      </c>
      <c r="R640" s="2" t="e">
        <f t="shared" si="58"/>
        <v>#DIV/0!</v>
      </c>
      <c r="S640" t="e">
        <f t="shared" si="59"/>
        <v>#DIV/0!</v>
      </c>
      <c r="U640" t="e">
        <v>#NUM!</v>
      </c>
    </row>
    <row r="641" spans="1:21" ht="13.9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54"/>
        <v>#NUM!</v>
      </c>
      <c r="I641" s="2">
        <f t="shared" si="55"/>
        <v>0.37390096630005903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 t="e">
        <f t="shared" si="56"/>
        <v>#DIV/0!</v>
      </c>
      <c r="Q641" s="2" t="e">
        <f t="shared" si="57"/>
        <v>#DIV/0!</v>
      </c>
      <c r="R641" s="2" t="e">
        <f t="shared" si="58"/>
        <v>#DIV/0!</v>
      </c>
      <c r="S641" t="e">
        <f t="shared" si="59"/>
        <v>#DIV/0!</v>
      </c>
      <c r="U641" t="e">
        <v>#NUM!</v>
      </c>
    </row>
    <row r="642" spans="1:21" ht="13.9" x14ac:dyDescent="0.3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60">LOG(SUM(B642:D642)/SUM(E642:G642),2)</f>
        <v>#NUM!</v>
      </c>
      <c r="I642" s="2">
        <f t="shared" ref="I642:I705" si="61">_xlfn.T.TEST(B642:D642,E642:G642,2,2)</f>
        <v>5.8474052497124368E-2</v>
      </c>
      <c r="J642" s="2">
        <v>0</v>
      </c>
      <c r="K642" s="2">
        <v>0</v>
      </c>
      <c r="L642" s="2">
        <v>0</v>
      </c>
      <c r="M642" s="2">
        <v>0.72</v>
      </c>
      <c r="N642" s="2">
        <v>0</v>
      </c>
      <c r="O642" s="2">
        <v>0.68</v>
      </c>
      <c r="P642" s="2" t="e">
        <f t="shared" ref="P642:P705" si="62">LOG(SUM(J642:L642)/SUM(M642:O642),2)</f>
        <v>#NUM!</v>
      </c>
      <c r="Q642" s="2">
        <f t="shared" ref="Q642:Q705" si="63">_xlfn.T.TEST(J642:L642,M642:O642,2,2)</f>
        <v>0.1164411159095611</v>
      </c>
      <c r="R642" s="2" t="e">
        <f t="shared" si="58"/>
        <v>#NUM!</v>
      </c>
      <c r="S642" t="e">
        <f t="shared" si="59"/>
        <v>#NUM!</v>
      </c>
      <c r="U642" t="e">
        <v>#NUM!</v>
      </c>
    </row>
    <row r="643" spans="1:21" ht="13.9" x14ac:dyDescent="0.3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60"/>
        <v>#NUM!</v>
      </c>
      <c r="I643" s="2">
        <f t="shared" si="61"/>
        <v>5.8474052497124368E-2</v>
      </c>
      <c r="J643" s="2">
        <v>0</v>
      </c>
      <c r="K643" s="2">
        <v>0</v>
      </c>
      <c r="L643" s="2">
        <v>0</v>
      </c>
      <c r="M643" s="2">
        <v>0.72</v>
      </c>
      <c r="N643" s="2">
        <v>0</v>
      </c>
      <c r="O643" s="2">
        <v>0.68</v>
      </c>
      <c r="P643" s="2" t="e">
        <f t="shared" si="62"/>
        <v>#NUM!</v>
      </c>
      <c r="Q643" s="2">
        <f t="shared" si="63"/>
        <v>0.1164411159095611</v>
      </c>
      <c r="R643" s="2" t="e">
        <f t="shared" ref="R643:R706" si="64">P643-H643</f>
        <v>#NUM!</v>
      </c>
      <c r="S643" t="e">
        <f t="shared" si="59"/>
        <v>#NUM!</v>
      </c>
      <c r="U643" t="e">
        <v>#NUM!</v>
      </c>
    </row>
    <row r="644" spans="1:21" ht="13.9" x14ac:dyDescent="0.3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60"/>
        <v>0.47062982524216118</v>
      </c>
      <c r="I644" s="2">
        <f t="shared" si="61"/>
        <v>0.65802567873628204</v>
      </c>
      <c r="J644" s="2">
        <v>0.18</v>
      </c>
      <c r="K644" s="2">
        <v>0</v>
      </c>
      <c r="L644" s="2">
        <v>7.04</v>
      </c>
      <c r="M644" s="2">
        <v>2.57</v>
      </c>
      <c r="N644" s="2">
        <v>0</v>
      </c>
      <c r="O644" s="2">
        <v>2.44</v>
      </c>
      <c r="P644" s="2">
        <f t="shared" si="62"/>
        <v>0.52718823369196277</v>
      </c>
      <c r="Q644" s="2">
        <f t="shared" si="63"/>
        <v>0.77979818840065651</v>
      </c>
      <c r="R644" s="2">
        <f t="shared" si="64"/>
        <v>5.6558408449801589E-2</v>
      </c>
      <c r="S644">
        <f t="shared" ref="S644:S707" si="65">P644/H644</f>
        <v>1.1201759969647049</v>
      </c>
      <c r="U644">
        <v>2.8519988371124461</v>
      </c>
    </row>
    <row r="645" spans="1:21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60"/>
        <v>#DIV/0!</v>
      </c>
      <c r="I645" s="2" t="e">
        <f t="shared" si="61"/>
        <v>#DIV/0!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f t="shared" si="62"/>
        <v>#DIV/0!</v>
      </c>
      <c r="Q645" s="2" t="e">
        <f t="shared" si="63"/>
        <v>#DIV/0!</v>
      </c>
      <c r="R645" s="2" t="e">
        <f t="shared" si="64"/>
        <v>#DIV/0!</v>
      </c>
      <c r="S645" t="e">
        <f t="shared" si="65"/>
        <v>#DIV/0!</v>
      </c>
      <c r="U645" t="e">
        <v>#NUM!</v>
      </c>
    </row>
    <row r="646" spans="1:21" ht="13.9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60"/>
        <v>#NUM!</v>
      </c>
      <c r="I646" s="2">
        <f t="shared" si="61"/>
        <v>7.4315190282351562E-2</v>
      </c>
      <c r="J646" s="2">
        <v>0</v>
      </c>
      <c r="K646" s="2">
        <v>0</v>
      </c>
      <c r="L646" s="2">
        <v>0</v>
      </c>
      <c r="M646" s="2">
        <v>0.21</v>
      </c>
      <c r="N646" s="2">
        <v>0</v>
      </c>
      <c r="O646" s="2">
        <v>2.0299999999999998</v>
      </c>
      <c r="P646" s="2" t="e">
        <f t="shared" si="62"/>
        <v>#NUM!</v>
      </c>
      <c r="Q646" s="2">
        <f t="shared" si="63"/>
        <v>0.31112278603169208</v>
      </c>
      <c r="R646" s="2" t="e">
        <f t="shared" si="64"/>
        <v>#NUM!</v>
      </c>
      <c r="S646" t="e">
        <f t="shared" si="65"/>
        <v>#NUM!</v>
      </c>
      <c r="U646" t="e">
        <v>#NUM!</v>
      </c>
    </row>
    <row r="647" spans="1:21" ht="13.9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60"/>
        <v>#DIV/0!</v>
      </c>
      <c r="I647" s="2" t="e">
        <f t="shared" si="61"/>
        <v>#DIV/0!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 t="e">
        <f t="shared" si="62"/>
        <v>#DIV/0!</v>
      </c>
      <c r="Q647" s="2" t="e">
        <f t="shared" si="63"/>
        <v>#DIV/0!</v>
      </c>
      <c r="R647" s="2" t="e">
        <f t="shared" si="64"/>
        <v>#DIV/0!</v>
      </c>
      <c r="S647" t="e">
        <f t="shared" si="65"/>
        <v>#DIV/0!</v>
      </c>
      <c r="U647" t="e">
        <v>#NUM!</v>
      </c>
    </row>
    <row r="648" spans="1:21" ht="13.9" x14ac:dyDescent="0.3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60"/>
        <v>-4.4907471591035053</v>
      </c>
      <c r="I648" s="2">
        <f t="shared" si="61"/>
        <v>3.4750596827020391E-2</v>
      </c>
      <c r="J648" s="2">
        <v>0</v>
      </c>
      <c r="K648" s="2">
        <v>0</v>
      </c>
      <c r="L648" s="2">
        <v>0</v>
      </c>
      <c r="M648" s="2">
        <v>0.62</v>
      </c>
      <c r="N648" s="2">
        <v>0</v>
      </c>
      <c r="O648" s="2">
        <v>0.14000000000000001</v>
      </c>
      <c r="P648" s="2" t="e">
        <f t="shared" si="62"/>
        <v>#NUM!</v>
      </c>
      <c r="Q648" s="2">
        <f t="shared" si="63"/>
        <v>0.24852132960146875</v>
      </c>
      <c r="R648" s="2" t="e">
        <f t="shared" si="64"/>
        <v>#NUM!</v>
      </c>
      <c r="S648" t="e">
        <f t="shared" si="65"/>
        <v>#NUM!</v>
      </c>
      <c r="U648" t="e">
        <v>#NUM!</v>
      </c>
    </row>
    <row r="649" spans="1:21" ht="13.9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60"/>
        <v>#NUM!</v>
      </c>
      <c r="I649" s="2">
        <f t="shared" si="61"/>
        <v>0.15038225218985554</v>
      </c>
      <c r="J649" s="2">
        <v>0</v>
      </c>
      <c r="K649" s="2">
        <v>7.95</v>
      </c>
      <c r="L649" s="2">
        <v>0</v>
      </c>
      <c r="M649" s="2">
        <v>0.72</v>
      </c>
      <c r="N649" s="2">
        <v>0</v>
      </c>
      <c r="O649" s="2">
        <v>1.89</v>
      </c>
      <c r="P649" s="2">
        <f t="shared" si="62"/>
        <v>1.6069050536018334</v>
      </c>
      <c r="Q649" s="2">
        <f t="shared" si="63"/>
        <v>0.54668588294932463</v>
      </c>
      <c r="R649" s="2" t="e">
        <f t="shared" si="64"/>
        <v>#NUM!</v>
      </c>
      <c r="S649" t="e">
        <f t="shared" si="65"/>
        <v>#NUM!</v>
      </c>
      <c r="U649">
        <v>2.9909548603969931</v>
      </c>
    </row>
    <row r="650" spans="1:21" ht="13.9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60"/>
        <v>#NUM!</v>
      </c>
      <c r="I650" s="2">
        <f t="shared" si="61"/>
        <v>2.962996550405032E-2</v>
      </c>
      <c r="J650" s="2">
        <v>0.36</v>
      </c>
      <c r="K650" s="2">
        <v>0</v>
      </c>
      <c r="L650" s="2">
        <v>0</v>
      </c>
      <c r="M650" s="2">
        <v>0.31</v>
      </c>
      <c r="N650" s="2">
        <v>0</v>
      </c>
      <c r="O650" s="2">
        <v>0.81</v>
      </c>
      <c r="P650" s="2">
        <f t="shared" si="62"/>
        <v>-1.637429920615292</v>
      </c>
      <c r="Q650" s="2">
        <f t="shared" si="63"/>
        <v>0.39277065922797194</v>
      </c>
      <c r="R650" s="2" t="e">
        <f t="shared" si="64"/>
        <v>#NUM!</v>
      </c>
      <c r="S650" t="e">
        <f t="shared" si="65"/>
        <v>#NUM!</v>
      </c>
      <c r="U650">
        <v>-1.4739311883324124</v>
      </c>
    </row>
    <row r="651" spans="1:21" ht="13.9" x14ac:dyDescent="0.3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60"/>
        <v>-2.6299099067751306</v>
      </c>
      <c r="I651" s="2">
        <f t="shared" si="61"/>
        <v>0.10220476934338167</v>
      </c>
      <c r="J651" s="2">
        <v>0</v>
      </c>
      <c r="K651" s="2">
        <v>0</v>
      </c>
      <c r="L651" s="2">
        <v>0.5</v>
      </c>
      <c r="M651" s="2">
        <v>0.51</v>
      </c>
      <c r="N651" s="2">
        <v>40.880000000000003</v>
      </c>
      <c r="O651" s="2">
        <v>1.49</v>
      </c>
      <c r="P651" s="2">
        <f t="shared" si="62"/>
        <v>-6.4222330006830477</v>
      </c>
      <c r="Q651" s="2">
        <f t="shared" si="63"/>
        <v>0.34795402272128773</v>
      </c>
      <c r="R651" s="2">
        <f t="shared" si="64"/>
        <v>-3.7923230939079171</v>
      </c>
      <c r="S651">
        <f t="shared" si="65"/>
        <v>2.4419973414823817</v>
      </c>
      <c r="U651">
        <v>-1</v>
      </c>
    </row>
    <row r="652" spans="1:21" ht="13.9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60"/>
        <v>#NUM!</v>
      </c>
      <c r="I652" s="2">
        <f t="shared" si="61"/>
        <v>0.37390096630005903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 t="e">
        <f t="shared" si="62"/>
        <v>#DIV/0!</v>
      </c>
      <c r="Q652" s="2" t="e">
        <f t="shared" si="63"/>
        <v>#DIV/0!</v>
      </c>
      <c r="R652" s="2" t="e">
        <f t="shared" si="64"/>
        <v>#DIV/0!</v>
      </c>
      <c r="S652" t="e">
        <f t="shared" si="65"/>
        <v>#DIV/0!</v>
      </c>
      <c r="U652" t="e">
        <v>#NUM!</v>
      </c>
    </row>
    <row r="653" spans="1:21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60"/>
        <v>#DIV/0!</v>
      </c>
      <c r="I653" s="2" t="e">
        <f t="shared" si="61"/>
        <v>#DIV/0!</v>
      </c>
      <c r="J653" s="2">
        <v>0</v>
      </c>
      <c r="K653" s="2">
        <v>0</v>
      </c>
      <c r="L653" s="2">
        <v>0</v>
      </c>
      <c r="M653" s="2">
        <v>0.1</v>
      </c>
      <c r="N653" s="2">
        <v>0</v>
      </c>
      <c r="O653" s="2">
        <v>0.14000000000000001</v>
      </c>
      <c r="P653" s="2" t="e">
        <f t="shared" si="62"/>
        <v>#NUM!</v>
      </c>
      <c r="Q653" s="2">
        <f t="shared" si="63"/>
        <v>0.12704639298528589</v>
      </c>
      <c r="R653" s="2" t="e">
        <f t="shared" si="64"/>
        <v>#NUM!</v>
      </c>
      <c r="S653" t="e">
        <f t="shared" si="65"/>
        <v>#NUM!</v>
      </c>
      <c r="U653" t="e">
        <v>#NUM!</v>
      </c>
    </row>
    <row r="654" spans="1:21" ht="13.9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60"/>
        <v>#DIV/0!</v>
      </c>
      <c r="I654" s="2" t="e">
        <f t="shared" si="61"/>
        <v>#DIV/0!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 t="e">
        <f t="shared" si="62"/>
        <v>#DIV/0!</v>
      </c>
      <c r="Q654" s="2" t="e">
        <f t="shared" si="63"/>
        <v>#DIV/0!</v>
      </c>
      <c r="R654" s="2" t="e">
        <f t="shared" si="64"/>
        <v>#DIV/0!</v>
      </c>
      <c r="S654" t="e">
        <f t="shared" si="65"/>
        <v>#DIV/0!</v>
      </c>
      <c r="U654" t="e">
        <v>#NUM!</v>
      </c>
    </row>
    <row r="655" spans="1:21" ht="13.9" x14ac:dyDescent="0.3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60"/>
        <v>-3.4805687349621374E-3</v>
      </c>
      <c r="I655" s="2">
        <f t="shared" si="61"/>
        <v>0.99635112272299176</v>
      </c>
      <c r="J655" s="2">
        <v>0.18</v>
      </c>
      <c r="K655" s="2">
        <v>4.1900000000000004</v>
      </c>
      <c r="L655" s="2">
        <v>7.04</v>
      </c>
      <c r="M655" s="2">
        <v>4.84</v>
      </c>
      <c r="N655" s="2">
        <v>0</v>
      </c>
      <c r="O655" s="2">
        <v>4.74</v>
      </c>
      <c r="P655" s="2">
        <f t="shared" si="62"/>
        <v>0.25220123055250149</v>
      </c>
      <c r="Q655" s="2">
        <f t="shared" si="63"/>
        <v>0.82278447474637839</v>
      </c>
      <c r="R655" s="2">
        <f t="shared" si="64"/>
        <v>0.25568179928746365</v>
      </c>
      <c r="S655">
        <f t="shared" si="65"/>
        <v>-72.459775903619672</v>
      </c>
      <c r="U655">
        <v>3.5122268865139574</v>
      </c>
    </row>
    <row r="656" spans="1:21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60"/>
        <v>#DIV/0!</v>
      </c>
      <c r="I656" s="2" t="e">
        <f t="shared" si="61"/>
        <v>#DIV/0!</v>
      </c>
      <c r="J656" s="2">
        <v>0</v>
      </c>
      <c r="K656" s="2">
        <v>0</v>
      </c>
      <c r="L656" s="2">
        <v>0</v>
      </c>
      <c r="M656" s="2">
        <v>0.62</v>
      </c>
      <c r="N656" s="2">
        <v>0</v>
      </c>
      <c r="O656" s="2">
        <v>0</v>
      </c>
      <c r="P656" s="2" t="e">
        <f t="shared" si="62"/>
        <v>#NUM!</v>
      </c>
      <c r="Q656" s="2">
        <f t="shared" si="63"/>
        <v>0.37390096630005903</v>
      </c>
      <c r="R656" s="2" t="e">
        <f t="shared" si="64"/>
        <v>#NUM!</v>
      </c>
      <c r="S656" t="e">
        <f t="shared" si="65"/>
        <v>#NUM!</v>
      </c>
      <c r="U656" t="e">
        <v>#NUM!</v>
      </c>
    </row>
    <row r="657" spans="1:21" ht="13.9" x14ac:dyDescent="0.3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60"/>
        <v>#NUM!</v>
      </c>
      <c r="I657" s="2">
        <f t="shared" si="61"/>
        <v>5.8474052497124368E-2</v>
      </c>
      <c r="J657" s="2">
        <v>0</v>
      </c>
      <c r="K657" s="2">
        <v>0</v>
      </c>
      <c r="L657" s="2">
        <v>0</v>
      </c>
      <c r="M657" s="2">
        <v>0.72</v>
      </c>
      <c r="N657" s="2">
        <v>0</v>
      </c>
      <c r="O657" s="2">
        <v>0.68</v>
      </c>
      <c r="P657" s="2" t="e">
        <f t="shared" si="62"/>
        <v>#NUM!</v>
      </c>
      <c r="Q657" s="2">
        <f t="shared" si="63"/>
        <v>0.1164411159095611</v>
      </c>
      <c r="R657" s="2" t="e">
        <f t="shared" si="64"/>
        <v>#NUM!</v>
      </c>
      <c r="S657" t="e">
        <f t="shared" si="65"/>
        <v>#NUM!</v>
      </c>
      <c r="U657" t="e">
        <v>#NUM!</v>
      </c>
    </row>
    <row r="658" spans="1:21" ht="13.9" x14ac:dyDescent="0.3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60"/>
        <v>#NUM!</v>
      </c>
      <c r="I658" s="2">
        <f t="shared" si="61"/>
        <v>0.14022476377267643</v>
      </c>
      <c r="J658" s="2">
        <v>0</v>
      </c>
      <c r="K658" s="2">
        <v>0</v>
      </c>
      <c r="L658" s="2">
        <v>0</v>
      </c>
      <c r="M658" s="2">
        <v>0.72</v>
      </c>
      <c r="N658" s="2">
        <v>0</v>
      </c>
      <c r="O658" s="2">
        <v>0.41</v>
      </c>
      <c r="P658" s="2" t="e">
        <f t="shared" si="62"/>
        <v>#NUM!</v>
      </c>
      <c r="Q658" s="2">
        <f t="shared" si="63"/>
        <v>0.14514692278909413</v>
      </c>
      <c r="R658" s="2" t="e">
        <f t="shared" si="64"/>
        <v>#NUM!</v>
      </c>
      <c r="S658" t="e">
        <f t="shared" si="65"/>
        <v>#NUM!</v>
      </c>
      <c r="U658" t="e">
        <v>#NUM!</v>
      </c>
    </row>
    <row r="659" spans="1:21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60"/>
        <v>#DIV/0!</v>
      </c>
      <c r="I659" s="2" t="e">
        <f t="shared" si="61"/>
        <v>#DIV/0!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0.27</v>
      </c>
      <c r="P659" s="2" t="e">
        <f t="shared" si="62"/>
        <v>#NUM!</v>
      </c>
      <c r="Q659" s="2">
        <f t="shared" si="63"/>
        <v>0.37390096630005903</v>
      </c>
      <c r="R659" s="2" t="e">
        <f t="shared" si="64"/>
        <v>#NUM!</v>
      </c>
      <c r="S659" t="e">
        <f t="shared" si="65"/>
        <v>#NUM!</v>
      </c>
      <c r="U659" t="e">
        <v>#NUM!</v>
      </c>
    </row>
    <row r="660" spans="1:21" ht="13.9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60"/>
        <v>#NUM!</v>
      </c>
      <c r="I660" s="2">
        <f t="shared" si="61"/>
        <v>0.37390096630005903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 t="e">
        <f t="shared" si="62"/>
        <v>#DIV/0!</v>
      </c>
      <c r="Q660" s="2" t="e">
        <f t="shared" si="63"/>
        <v>#DIV/0!</v>
      </c>
      <c r="R660" s="2" t="e">
        <f t="shared" si="64"/>
        <v>#DIV/0!</v>
      </c>
      <c r="S660" t="e">
        <f t="shared" si="65"/>
        <v>#DIV/0!</v>
      </c>
      <c r="U660" t="e">
        <v>#NUM!</v>
      </c>
    </row>
    <row r="661" spans="1:21" ht="13.9" x14ac:dyDescent="0.3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60"/>
        <v>#NUM!</v>
      </c>
      <c r="I661" s="2">
        <f t="shared" si="61"/>
        <v>3.9702229204604906E-3</v>
      </c>
      <c r="J661" s="2">
        <v>0</v>
      </c>
      <c r="K661" s="2">
        <v>0</v>
      </c>
      <c r="L661" s="2">
        <v>9.0500000000000007</v>
      </c>
      <c r="M661" s="2">
        <v>1.44</v>
      </c>
      <c r="N661" s="2">
        <v>0</v>
      </c>
      <c r="O661" s="2">
        <v>0.54</v>
      </c>
      <c r="P661" s="2">
        <f t="shared" si="62"/>
        <v>2.1924173618909584</v>
      </c>
      <c r="Q661" s="2">
        <f t="shared" si="63"/>
        <v>0.4822641301737548</v>
      </c>
      <c r="R661" s="2" t="e">
        <f t="shared" si="64"/>
        <v>#NUM!</v>
      </c>
      <c r="S661" t="e">
        <f t="shared" si="65"/>
        <v>#NUM!</v>
      </c>
      <c r="U661">
        <v>3.177917792195843</v>
      </c>
    </row>
    <row r="662" spans="1:21" ht="13.9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60"/>
        <v>#DIV/0!</v>
      </c>
      <c r="I662" s="2" t="e">
        <f t="shared" si="61"/>
        <v>#DIV/0!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 t="e">
        <f t="shared" si="62"/>
        <v>#DIV/0!</v>
      </c>
      <c r="Q662" s="2" t="e">
        <f t="shared" si="63"/>
        <v>#DIV/0!</v>
      </c>
      <c r="R662" s="2" t="e">
        <f t="shared" si="64"/>
        <v>#DIV/0!</v>
      </c>
      <c r="S662" t="e">
        <f t="shared" si="65"/>
        <v>#DIV/0!</v>
      </c>
      <c r="U662" t="e">
        <v>#NUM!</v>
      </c>
    </row>
    <row r="663" spans="1:21" ht="13.9" x14ac:dyDescent="0.3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60"/>
        <v>#NUM!</v>
      </c>
      <c r="I663" s="2">
        <f t="shared" si="61"/>
        <v>5.8474052497124368E-2</v>
      </c>
      <c r="J663" s="2">
        <v>0</v>
      </c>
      <c r="K663" s="2">
        <v>0</v>
      </c>
      <c r="L663" s="2">
        <v>0</v>
      </c>
      <c r="M663" s="2">
        <v>0.72</v>
      </c>
      <c r="N663" s="2">
        <v>0</v>
      </c>
      <c r="O663" s="2">
        <v>0.68</v>
      </c>
      <c r="P663" s="2" t="e">
        <f t="shared" si="62"/>
        <v>#NUM!</v>
      </c>
      <c r="Q663" s="2">
        <f t="shared" si="63"/>
        <v>0.1164411159095611</v>
      </c>
      <c r="R663" s="2" t="e">
        <f t="shared" si="64"/>
        <v>#NUM!</v>
      </c>
      <c r="S663" t="e">
        <f t="shared" si="65"/>
        <v>#NUM!</v>
      </c>
      <c r="U663" t="e">
        <v>#NUM!</v>
      </c>
    </row>
    <row r="664" spans="1:21" ht="13.9" x14ac:dyDescent="0.3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60"/>
        <v>#NUM!</v>
      </c>
      <c r="I664" s="2">
        <f t="shared" si="61"/>
        <v>0.10198326116235049</v>
      </c>
      <c r="J664" s="2">
        <v>0.54</v>
      </c>
      <c r="K664" s="2">
        <v>0</v>
      </c>
      <c r="L664" s="2">
        <v>7.04</v>
      </c>
      <c r="M664" s="2">
        <v>1.75</v>
      </c>
      <c r="N664" s="2">
        <v>0</v>
      </c>
      <c r="O664" s="2">
        <v>0.27</v>
      </c>
      <c r="P664" s="2">
        <f t="shared" si="62"/>
        <v>1.907842555419297</v>
      </c>
      <c r="Q664" s="2">
        <f t="shared" si="63"/>
        <v>0.47028413069166208</v>
      </c>
      <c r="R664" s="2" t="e">
        <f t="shared" si="64"/>
        <v>#NUM!</v>
      </c>
      <c r="S664" t="e">
        <f t="shared" si="65"/>
        <v>#NUM!</v>
      </c>
      <c r="U664">
        <v>2.9221978483963671</v>
      </c>
    </row>
    <row r="665" spans="1:21" ht="13.9" x14ac:dyDescent="0.3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60"/>
        <v>-2.1736042649433625</v>
      </c>
      <c r="I665" s="2">
        <f t="shared" si="61"/>
        <v>7.5818285404704736E-3</v>
      </c>
      <c r="J665" s="2">
        <v>10.6</v>
      </c>
      <c r="K665" s="2">
        <v>18.21</v>
      </c>
      <c r="L665" s="2">
        <v>12.07</v>
      </c>
      <c r="M665" s="2">
        <v>27.16</v>
      </c>
      <c r="N665" s="2">
        <v>0</v>
      </c>
      <c r="O665" s="2">
        <v>14.89</v>
      </c>
      <c r="P665" s="2">
        <f t="shared" si="62"/>
        <v>-4.0710604204885023E-2</v>
      </c>
      <c r="Q665" s="2">
        <f t="shared" si="63"/>
        <v>0.96430749910270941</v>
      </c>
      <c r="R665" s="2">
        <f t="shared" si="64"/>
        <v>2.1328936607384774</v>
      </c>
      <c r="S665">
        <f t="shared" si="65"/>
        <v>1.8729538242760954E-2</v>
      </c>
      <c r="U665">
        <v>5.353323291162897</v>
      </c>
    </row>
    <row r="666" spans="1:21" ht="13.9" x14ac:dyDescent="0.3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60"/>
        <v>#NUM!</v>
      </c>
      <c r="I666" s="2">
        <f t="shared" si="61"/>
        <v>0.19019337479910545</v>
      </c>
      <c r="J666" s="2">
        <v>0</v>
      </c>
      <c r="K666" s="2">
        <v>0</v>
      </c>
      <c r="L666" s="2">
        <v>0</v>
      </c>
      <c r="M666" s="2">
        <v>0.82</v>
      </c>
      <c r="N666" s="2">
        <v>0</v>
      </c>
      <c r="O666" s="2">
        <v>1.22</v>
      </c>
      <c r="P666" s="2" t="e">
        <f t="shared" si="62"/>
        <v>#NUM!</v>
      </c>
      <c r="Q666" s="2">
        <f t="shared" si="63"/>
        <v>0.13117903003554612</v>
      </c>
      <c r="R666" s="2" t="e">
        <f t="shared" si="64"/>
        <v>#NUM!</v>
      </c>
      <c r="S666" t="e">
        <f t="shared" si="65"/>
        <v>#NUM!</v>
      </c>
      <c r="U666" t="e">
        <v>#NUM!</v>
      </c>
    </row>
    <row r="667" spans="1:21" ht="13.9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60"/>
        <v>#NUM!</v>
      </c>
      <c r="I667" s="2">
        <f t="shared" si="61"/>
        <v>0.37390096630005903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 t="e">
        <f t="shared" si="62"/>
        <v>#DIV/0!</v>
      </c>
      <c r="Q667" s="2" t="e">
        <f t="shared" si="63"/>
        <v>#DIV/0!</v>
      </c>
      <c r="R667" s="2" t="e">
        <f t="shared" si="64"/>
        <v>#DIV/0!</v>
      </c>
      <c r="S667" t="e">
        <f t="shared" si="65"/>
        <v>#DIV/0!</v>
      </c>
      <c r="U667" t="e">
        <v>#NUM!</v>
      </c>
    </row>
    <row r="668" spans="1:21" ht="13.9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60"/>
        <v>#NUM!</v>
      </c>
      <c r="I668" s="2">
        <f t="shared" si="61"/>
        <v>0.15890920722581581</v>
      </c>
      <c r="J668" s="2">
        <v>0</v>
      </c>
      <c r="K668" s="2">
        <v>0</v>
      </c>
      <c r="L668" s="2">
        <v>0</v>
      </c>
      <c r="M668" s="2">
        <v>1.54</v>
      </c>
      <c r="N668" s="2">
        <v>0</v>
      </c>
      <c r="O668" s="2">
        <v>0.81</v>
      </c>
      <c r="P668" s="2" t="e">
        <f t="shared" si="62"/>
        <v>#NUM!</v>
      </c>
      <c r="Q668" s="2">
        <f t="shared" si="63"/>
        <v>0.15299326590166459</v>
      </c>
      <c r="R668" s="2" t="e">
        <f t="shared" si="64"/>
        <v>#NUM!</v>
      </c>
      <c r="S668" t="e">
        <f t="shared" si="65"/>
        <v>#NUM!</v>
      </c>
      <c r="U668" t="e">
        <v>#NUM!</v>
      </c>
    </row>
    <row r="669" spans="1:21" ht="13.9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60"/>
        <v>#NUM!</v>
      </c>
      <c r="I669" s="2">
        <f t="shared" si="61"/>
        <v>0.15038225218985554</v>
      </c>
      <c r="J669" s="2">
        <v>0</v>
      </c>
      <c r="K669" s="2">
        <v>7.95</v>
      </c>
      <c r="L669" s="2">
        <v>0</v>
      </c>
      <c r="M669" s="2">
        <v>0.72</v>
      </c>
      <c r="N669" s="2">
        <v>0</v>
      </c>
      <c r="O669" s="2">
        <v>1.89</v>
      </c>
      <c r="P669" s="2">
        <f t="shared" si="62"/>
        <v>1.6069050536018334</v>
      </c>
      <c r="Q669" s="2">
        <f t="shared" si="63"/>
        <v>0.54668588294932463</v>
      </c>
      <c r="R669" s="2" t="e">
        <f t="shared" si="64"/>
        <v>#NUM!</v>
      </c>
      <c r="S669" t="e">
        <f t="shared" si="65"/>
        <v>#NUM!</v>
      </c>
      <c r="U669">
        <v>2.9909548603969931</v>
      </c>
    </row>
    <row r="670" spans="1:21" ht="13.9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60"/>
        <v>#DIV/0!</v>
      </c>
      <c r="I670" s="2" t="e">
        <f t="shared" si="61"/>
        <v>#DIV/0!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0.54</v>
      </c>
      <c r="P670" s="2" t="e">
        <f t="shared" si="62"/>
        <v>#NUM!</v>
      </c>
      <c r="Q670" s="2">
        <f t="shared" si="63"/>
        <v>0.37390096630005903</v>
      </c>
      <c r="R670" s="2" t="e">
        <f t="shared" si="64"/>
        <v>#NUM!</v>
      </c>
      <c r="S670" t="e">
        <f t="shared" si="65"/>
        <v>#NUM!</v>
      </c>
      <c r="U670" t="e">
        <v>#NUM!</v>
      </c>
    </row>
    <row r="671" spans="1:21" ht="13.9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60"/>
        <v>#NUM!</v>
      </c>
      <c r="I671" s="2">
        <f t="shared" si="61"/>
        <v>0.11611652351681555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 t="e">
        <f t="shared" si="62"/>
        <v>#DIV/0!</v>
      </c>
      <c r="Q671" s="2" t="e">
        <f t="shared" si="63"/>
        <v>#DIV/0!</v>
      </c>
      <c r="R671" s="2" t="e">
        <f t="shared" si="64"/>
        <v>#DIV/0!</v>
      </c>
      <c r="S671" t="e">
        <f t="shared" si="65"/>
        <v>#DIV/0!</v>
      </c>
      <c r="U671" t="e">
        <v>#NUM!</v>
      </c>
    </row>
    <row r="672" spans="1:21" ht="13.9" x14ac:dyDescent="0.3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60"/>
        <v>-6.1249405903239559E-2</v>
      </c>
      <c r="I672" s="2">
        <f t="shared" si="61"/>
        <v>0.93770765283684376</v>
      </c>
      <c r="J672" s="2">
        <v>0.18</v>
      </c>
      <c r="K672" s="2">
        <v>4.1900000000000004</v>
      </c>
      <c r="L672" s="2">
        <v>1.51</v>
      </c>
      <c r="M672" s="2">
        <v>4.84</v>
      </c>
      <c r="N672" s="2">
        <v>0</v>
      </c>
      <c r="O672" s="2">
        <v>4.74</v>
      </c>
      <c r="P672" s="2">
        <f t="shared" si="62"/>
        <v>-0.70420950089981593</v>
      </c>
      <c r="Q672" s="2">
        <f t="shared" si="63"/>
        <v>0.5680688846738825</v>
      </c>
      <c r="R672" s="2">
        <f t="shared" si="64"/>
        <v>-0.64296009499657636</v>
      </c>
      <c r="S672">
        <f t="shared" si="65"/>
        <v>11.497409493445705</v>
      </c>
      <c r="U672">
        <v>2.5558161550616396</v>
      </c>
    </row>
    <row r="673" spans="1:21" ht="13.9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60"/>
        <v>#DIV/0!</v>
      </c>
      <c r="I673" s="2" t="e">
        <f t="shared" si="61"/>
        <v>#DIV/0!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 t="e">
        <f t="shared" si="62"/>
        <v>#DIV/0!</v>
      </c>
      <c r="Q673" s="2" t="e">
        <f t="shared" si="63"/>
        <v>#DIV/0!</v>
      </c>
      <c r="R673" s="2" t="e">
        <f t="shared" si="64"/>
        <v>#DIV/0!</v>
      </c>
      <c r="S673" t="e">
        <f t="shared" si="65"/>
        <v>#DIV/0!</v>
      </c>
      <c r="U673" t="e">
        <v>#NUM!</v>
      </c>
    </row>
    <row r="674" spans="1:21" ht="13.9" x14ac:dyDescent="0.3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60"/>
        <v>0.47062982524216118</v>
      </c>
      <c r="I674" s="2">
        <f t="shared" si="61"/>
        <v>0.65802567873628204</v>
      </c>
      <c r="J674" s="2">
        <v>0.18</v>
      </c>
      <c r="K674" s="2">
        <v>0</v>
      </c>
      <c r="L674" s="2">
        <v>7.04</v>
      </c>
      <c r="M674" s="2">
        <v>2.57</v>
      </c>
      <c r="N674" s="2">
        <v>0</v>
      </c>
      <c r="O674" s="2">
        <v>2.44</v>
      </c>
      <c r="P674" s="2">
        <f t="shared" si="62"/>
        <v>0.52718823369196277</v>
      </c>
      <c r="Q674" s="2">
        <f t="shared" si="63"/>
        <v>0.77979818840065651</v>
      </c>
      <c r="R674" s="2">
        <f t="shared" si="64"/>
        <v>5.6558408449801589E-2</v>
      </c>
      <c r="S674">
        <f t="shared" si="65"/>
        <v>1.1201759969647049</v>
      </c>
      <c r="U674">
        <v>2.8519988371124461</v>
      </c>
    </row>
    <row r="675" spans="1:21" ht="13.9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60"/>
        <v>#DIV/0!</v>
      </c>
      <c r="I675" s="2" t="e">
        <f t="shared" si="61"/>
        <v>#DIV/0!</v>
      </c>
      <c r="J675" s="2">
        <v>0</v>
      </c>
      <c r="K675" s="2">
        <v>0</v>
      </c>
      <c r="L675" s="2">
        <v>0</v>
      </c>
      <c r="M675" s="2">
        <v>0.41</v>
      </c>
      <c r="N675" s="2">
        <v>0</v>
      </c>
      <c r="O675" s="2">
        <v>0.68</v>
      </c>
      <c r="P675" s="2" t="e">
        <f t="shared" si="62"/>
        <v>#NUM!</v>
      </c>
      <c r="Q675" s="2">
        <f t="shared" si="63"/>
        <v>0.13992620896169952</v>
      </c>
      <c r="R675" s="2" t="e">
        <f t="shared" si="64"/>
        <v>#NUM!</v>
      </c>
      <c r="S675" t="e">
        <f t="shared" si="65"/>
        <v>#NUM!</v>
      </c>
      <c r="U675" t="e">
        <v>#NUM!</v>
      </c>
    </row>
    <row r="676" spans="1:21" ht="13.9" x14ac:dyDescent="0.3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60"/>
        <v>#NUM!</v>
      </c>
      <c r="I676" s="2">
        <f t="shared" si="61"/>
        <v>5.6989080753757838E-2</v>
      </c>
      <c r="J676" s="2">
        <v>0</v>
      </c>
      <c r="K676" s="2">
        <v>0</v>
      </c>
      <c r="L676" s="2">
        <v>0</v>
      </c>
      <c r="M676" s="2">
        <v>0.31</v>
      </c>
      <c r="N676" s="2">
        <v>40.880000000000003</v>
      </c>
      <c r="O676" s="2">
        <v>2.2999999999999998</v>
      </c>
      <c r="P676" s="2" t="e">
        <f t="shared" si="62"/>
        <v>#NUM!</v>
      </c>
      <c r="Q676" s="2">
        <f t="shared" si="63"/>
        <v>0.33390361053730538</v>
      </c>
      <c r="R676" s="2" t="e">
        <f t="shared" si="64"/>
        <v>#NUM!</v>
      </c>
      <c r="S676" t="e">
        <f t="shared" si="65"/>
        <v>#NUM!</v>
      </c>
      <c r="U676" t="e">
        <v>#NUM!</v>
      </c>
    </row>
    <row r="677" spans="1:21" ht="13.9" x14ac:dyDescent="0.3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60"/>
        <v>#NUM!</v>
      </c>
      <c r="I677" s="2">
        <f t="shared" si="61"/>
        <v>0.23779614445826563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0.81</v>
      </c>
      <c r="P677" s="2" t="e">
        <f t="shared" si="62"/>
        <v>#NUM!</v>
      </c>
      <c r="Q677" s="2">
        <f t="shared" si="63"/>
        <v>0.37390096630005903</v>
      </c>
      <c r="R677" s="2" t="e">
        <f t="shared" si="64"/>
        <v>#NUM!</v>
      </c>
      <c r="S677" t="e">
        <f t="shared" si="65"/>
        <v>#NUM!</v>
      </c>
      <c r="U677" t="e">
        <v>#NUM!</v>
      </c>
    </row>
    <row r="678" spans="1:21" ht="13.9" x14ac:dyDescent="0.3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60"/>
        <v>#NUM!</v>
      </c>
      <c r="I678" s="2">
        <f t="shared" si="61"/>
        <v>2.1887602369510026E-2</v>
      </c>
      <c r="J678" s="2">
        <v>0</v>
      </c>
      <c r="K678" s="2">
        <v>0</v>
      </c>
      <c r="L678" s="2">
        <v>0</v>
      </c>
      <c r="M678" s="2">
        <v>1.65</v>
      </c>
      <c r="N678" s="2">
        <v>0</v>
      </c>
      <c r="O678" s="2">
        <v>2.2999999999999998</v>
      </c>
      <c r="P678" s="2" t="e">
        <f t="shared" si="62"/>
        <v>#NUM!</v>
      </c>
      <c r="Q678" s="2">
        <f t="shared" si="63"/>
        <v>0.12677442570073946</v>
      </c>
      <c r="R678" s="2" t="e">
        <f t="shared" si="64"/>
        <v>#NUM!</v>
      </c>
      <c r="S678" t="e">
        <f t="shared" si="65"/>
        <v>#NUM!</v>
      </c>
      <c r="U678" t="e">
        <v>#NUM!</v>
      </c>
    </row>
    <row r="679" spans="1:21" ht="13.9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60"/>
        <v>#NUM!</v>
      </c>
      <c r="I679" s="2">
        <f t="shared" si="61"/>
        <v>0.37390096630005903</v>
      </c>
      <c r="J679" s="2">
        <v>0</v>
      </c>
      <c r="K679" s="2">
        <v>0</v>
      </c>
      <c r="L679" s="2">
        <v>0</v>
      </c>
      <c r="M679" s="2">
        <v>0.21</v>
      </c>
      <c r="N679" s="2">
        <v>0</v>
      </c>
      <c r="O679" s="2">
        <v>0</v>
      </c>
      <c r="P679" s="2" t="e">
        <f t="shared" si="62"/>
        <v>#NUM!</v>
      </c>
      <c r="Q679" s="2">
        <f t="shared" si="63"/>
        <v>0.37390096630005903</v>
      </c>
      <c r="R679" s="2" t="e">
        <f t="shared" si="64"/>
        <v>#NUM!</v>
      </c>
      <c r="S679" t="e">
        <f t="shared" si="65"/>
        <v>#NUM!</v>
      </c>
      <c r="U679" t="e">
        <v>#NUM!</v>
      </c>
    </row>
    <row r="680" spans="1:21" ht="13.9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60"/>
        <v>#NUM!</v>
      </c>
      <c r="I680" s="2">
        <f t="shared" si="61"/>
        <v>0.37390096630005903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0.27</v>
      </c>
      <c r="P680" s="2" t="e">
        <f t="shared" si="62"/>
        <v>#NUM!</v>
      </c>
      <c r="Q680" s="2">
        <f t="shared" si="63"/>
        <v>0.37390096630005903</v>
      </c>
      <c r="R680" s="2" t="e">
        <f t="shared" si="64"/>
        <v>#NUM!</v>
      </c>
      <c r="S680" t="e">
        <f t="shared" si="65"/>
        <v>#NUM!</v>
      </c>
      <c r="U680" t="e">
        <v>#NUM!</v>
      </c>
    </row>
    <row r="681" spans="1:21" ht="13.9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60"/>
        <v>#NUM!</v>
      </c>
      <c r="I681" s="2">
        <f t="shared" si="61"/>
        <v>0.37390096630005903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f t="shared" si="62"/>
        <v>#DIV/0!</v>
      </c>
      <c r="Q681" s="2" t="e">
        <f t="shared" si="63"/>
        <v>#DIV/0!</v>
      </c>
      <c r="R681" s="2" t="e">
        <f t="shared" si="64"/>
        <v>#DIV/0!</v>
      </c>
      <c r="S681" t="e">
        <f t="shared" si="65"/>
        <v>#DIV/0!</v>
      </c>
      <c r="U681" t="e">
        <v>#NUM!</v>
      </c>
    </row>
    <row r="682" spans="1:21" ht="13.9" x14ac:dyDescent="0.3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60"/>
        <v>#NUM!</v>
      </c>
      <c r="I682" s="2">
        <f t="shared" si="61"/>
        <v>0.11712670774331806</v>
      </c>
      <c r="J682" s="2">
        <v>0</v>
      </c>
      <c r="K682" s="2">
        <v>0.21</v>
      </c>
      <c r="L682" s="2">
        <v>0</v>
      </c>
      <c r="M682" s="2">
        <v>0.1</v>
      </c>
      <c r="N682" s="2">
        <v>0</v>
      </c>
      <c r="O682" s="2">
        <v>0.27</v>
      </c>
      <c r="P682" s="2">
        <f t="shared" si="62"/>
        <v>-0.81713594285018953</v>
      </c>
      <c r="Q682" s="2">
        <f t="shared" si="63"/>
        <v>0.63949250866372687</v>
      </c>
      <c r="R682" s="2" t="e">
        <f t="shared" si="64"/>
        <v>#NUM!</v>
      </c>
      <c r="S682" t="e">
        <f t="shared" si="65"/>
        <v>#NUM!</v>
      </c>
      <c r="U682">
        <v>-2.2515387669959646</v>
      </c>
    </row>
    <row r="683" spans="1:21" ht="13.9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60"/>
        <v>#DIV/0!</v>
      </c>
      <c r="I683" s="2" t="e">
        <f t="shared" si="61"/>
        <v>#DIV/0!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f t="shared" si="62"/>
        <v>#DIV/0!</v>
      </c>
      <c r="Q683" s="2" t="e">
        <f t="shared" si="63"/>
        <v>#DIV/0!</v>
      </c>
      <c r="R683" s="2" t="e">
        <f t="shared" si="64"/>
        <v>#DIV/0!</v>
      </c>
      <c r="S683" t="e">
        <f t="shared" si="65"/>
        <v>#DIV/0!</v>
      </c>
      <c r="U683" t="e">
        <v>#NUM!</v>
      </c>
    </row>
    <row r="684" spans="1:21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60"/>
        <v>#DIV/0!</v>
      </c>
      <c r="I684" s="2" t="e">
        <f t="shared" si="61"/>
        <v>#DIV/0!</v>
      </c>
      <c r="J684" s="2">
        <v>0</v>
      </c>
      <c r="K684" s="2">
        <v>0</v>
      </c>
      <c r="L684" s="2">
        <v>0</v>
      </c>
      <c r="M684" s="2">
        <v>0.1</v>
      </c>
      <c r="N684" s="2">
        <v>0</v>
      </c>
      <c r="O684" s="2">
        <v>0</v>
      </c>
      <c r="P684" s="2" t="e">
        <f t="shared" si="62"/>
        <v>#NUM!</v>
      </c>
      <c r="Q684" s="2">
        <f t="shared" si="63"/>
        <v>0.37390096630005903</v>
      </c>
      <c r="R684" s="2" t="e">
        <f t="shared" si="64"/>
        <v>#NUM!</v>
      </c>
      <c r="S684" t="e">
        <f t="shared" si="65"/>
        <v>#NUM!</v>
      </c>
      <c r="U684" t="e">
        <v>#NUM!</v>
      </c>
    </row>
    <row r="685" spans="1:21" ht="13.9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60"/>
        <v>#NUM!</v>
      </c>
      <c r="I685" s="2">
        <f t="shared" si="61"/>
        <v>0.37390096630005903</v>
      </c>
      <c r="J685" s="2">
        <v>0</v>
      </c>
      <c r="K685" s="2">
        <v>0.21</v>
      </c>
      <c r="L685" s="2">
        <v>0</v>
      </c>
      <c r="M685" s="2">
        <v>0</v>
      </c>
      <c r="N685" s="2">
        <v>0</v>
      </c>
      <c r="O685" s="2">
        <v>0</v>
      </c>
      <c r="P685" s="2" t="e">
        <f t="shared" si="62"/>
        <v>#DIV/0!</v>
      </c>
      <c r="Q685" s="2">
        <f t="shared" si="63"/>
        <v>0.37390096630005903</v>
      </c>
      <c r="R685" s="2" t="e">
        <f t="shared" si="64"/>
        <v>#DIV/0!</v>
      </c>
      <c r="S685" t="e">
        <f t="shared" si="65"/>
        <v>#DIV/0!</v>
      </c>
      <c r="U685">
        <v>-2.2515387669959646</v>
      </c>
    </row>
    <row r="686" spans="1:21" ht="13.9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60"/>
        <v>#NUM!</v>
      </c>
      <c r="I686" s="2">
        <f t="shared" si="61"/>
        <v>0.15363070430658815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0.27</v>
      </c>
      <c r="P686" s="2" t="e">
        <f t="shared" si="62"/>
        <v>#NUM!</v>
      </c>
      <c r="Q686" s="2">
        <f t="shared" si="63"/>
        <v>0.37390096630005903</v>
      </c>
      <c r="R686" s="2" t="e">
        <f t="shared" si="64"/>
        <v>#NUM!</v>
      </c>
      <c r="S686" t="e">
        <f t="shared" si="65"/>
        <v>#NUM!</v>
      </c>
      <c r="U686" t="e">
        <v>#NUM!</v>
      </c>
    </row>
    <row r="687" spans="1:21" ht="13.9" x14ac:dyDescent="0.3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60"/>
        <v>#DIV/0!</v>
      </c>
      <c r="I687" s="2">
        <f t="shared" si="61"/>
        <v>0.37390096630005903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 t="e">
        <f t="shared" si="62"/>
        <v>#DIV/0!</v>
      </c>
      <c r="Q687" s="2" t="e">
        <f t="shared" si="63"/>
        <v>#DIV/0!</v>
      </c>
      <c r="R687" s="2" t="e">
        <f t="shared" si="64"/>
        <v>#DIV/0!</v>
      </c>
      <c r="S687" t="e">
        <f t="shared" si="65"/>
        <v>#DIV/0!</v>
      </c>
      <c r="U687" t="e">
        <v>#NUM!</v>
      </c>
    </row>
    <row r="688" spans="1:21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60"/>
        <v>#DIV/0!</v>
      </c>
      <c r="I688" s="2" t="e">
        <f t="shared" si="61"/>
        <v>#DIV/0!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 t="e">
        <f t="shared" si="62"/>
        <v>#DIV/0!</v>
      </c>
      <c r="Q688" s="2" t="e">
        <f t="shared" si="63"/>
        <v>#DIV/0!</v>
      </c>
      <c r="R688" s="2" t="e">
        <f t="shared" si="64"/>
        <v>#DIV/0!</v>
      </c>
      <c r="S688" t="e">
        <f t="shared" si="65"/>
        <v>#DIV/0!</v>
      </c>
      <c r="U688" t="e">
        <v>#NUM!</v>
      </c>
    </row>
    <row r="689" spans="1:21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60"/>
        <v>#DIV/0!</v>
      </c>
      <c r="I689" s="2" t="e">
        <f t="shared" si="61"/>
        <v>#DIV/0!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f t="shared" si="62"/>
        <v>#DIV/0!</v>
      </c>
      <c r="Q689" s="2" t="e">
        <f t="shared" si="63"/>
        <v>#DIV/0!</v>
      </c>
      <c r="R689" s="2" t="e">
        <f t="shared" si="64"/>
        <v>#DIV/0!</v>
      </c>
      <c r="S689" t="e">
        <f t="shared" si="65"/>
        <v>#DIV/0!</v>
      </c>
      <c r="U689" t="e">
        <v>#NUM!</v>
      </c>
    </row>
    <row r="690" spans="1:21" ht="13.9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60"/>
        <v>#NUM!</v>
      </c>
      <c r="I690" s="2">
        <f t="shared" si="61"/>
        <v>0.23295113855790722</v>
      </c>
      <c r="J690" s="2">
        <v>0</v>
      </c>
      <c r="K690" s="2">
        <v>0</v>
      </c>
      <c r="L690" s="2">
        <v>0</v>
      </c>
      <c r="M690" s="2">
        <v>0.31</v>
      </c>
      <c r="N690" s="2">
        <v>0</v>
      </c>
      <c r="O690" s="2">
        <v>2.71</v>
      </c>
      <c r="P690" s="2" t="e">
        <f t="shared" si="62"/>
        <v>#NUM!</v>
      </c>
      <c r="Q690" s="2">
        <f t="shared" si="63"/>
        <v>0.3049772363913329</v>
      </c>
      <c r="R690" s="2" t="e">
        <f t="shared" si="64"/>
        <v>#NUM!</v>
      </c>
      <c r="S690" t="e">
        <f t="shared" si="65"/>
        <v>#NUM!</v>
      </c>
      <c r="U690" t="e">
        <v>#NUM!</v>
      </c>
    </row>
    <row r="691" spans="1:21" ht="13.9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60"/>
        <v>#NUM!</v>
      </c>
      <c r="I691" s="2">
        <f t="shared" si="61"/>
        <v>0.37390096630005903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0.14000000000000001</v>
      </c>
      <c r="P691" s="2" t="e">
        <f t="shared" si="62"/>
        <v>#NUM!</v>
      </c>
      <c r="Q691" s="2">
        <f t="shared" si="63"/>
        <v>0.37390096630005903</v>
      </c>
      <c r="R691" s="2" t="e">
        <f t="shared" si="64"/>
        <v>#NUM!</v>
      </c>
      <c r="S691" t="e">
        <f t="shared" si="65"/>
        <v>#NUM!</v>
      </c>
      <c r="U691" t="e">
        <v>#NUM!</v>
      </c>
    </row>
    <row r="692" spans="1:21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60"/>
        <v>#DIV/0!</v>
      </c>
      <c r="I692" s="2" t="e">
        <f t="shared" si="61"/>
        <v>#DIV/0!</v>
      </c>
      <c r="J692" s="2">
        <v>0</v>
      </c>
      <c r="K692" s="2">
        <v>0</v>
      </c>
      <c r="L692" s="2">
        <v>0</v>
      </c>
      <c r="M692" s="2">
        <v>0.51</v>
      </c>
      <c r="N692" s="2">
        <v>0</v>
      </c>
      <c r="O692" s="2">
        <v>0</v>
      </c>
      <c r="P692" s="2" t="e">
        <f t="shared" si="62"/>
        <v>#NUM!</v>
      </c>
      <c r="Q692" s="2">
        <f t="shared" si="63"/>
        <v>0.37390096630005903</v>
      </c>
      <c r="R692" s="2" t="e">
        <f t="shared" si="64"/>
        <v>#NUM!</v>
      </c>
      <c r="S692" t="e">
        <f t="shared" si="65"/>
        <v>#NUM!</v>
      </c>
      <c r="U692" t="e">
        <v>#NUM!</v>
      </c>
    </row>
    <row r="693" spans="1:21" ht="13.9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60"/>
        <v>#DIV/0!</v>
      </c>
      <c r="I693" s="2" t="e">
        <f t="shared" si="61"/>
        <v>#DIV/0!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 t="e">
        <f t="shared" si="62"/>
        <v>#DIV/0!</v>
      </c>
      <c r="Q693" s="2" t="e">
        <f t="shared" si="63"/>
        <v>#DIV/0!</v>
      </c>
      <c r="R693" s="2" t="e">
        <f t="shared" si="64"/>
        <v>#DIV/0!</v>
      </c>
      <c r="S693" t="e">
        <f t="shared" si="65"/>
        <v>#DIV/0!</v>
      </c>
      <c r="U693" t="e">
        <v>#NUM!</v>
      </c>
    </row>
    <row r="694" spans="1:21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60"/>
        <v>#DIV/0!</v>
      </c>
      <c r="I694" s="2" t="e">
        <f t="shared" si="61"/>
        <v>#DIV/0!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 t="e">
        <f t="shared" si="62"/>
        <v>#DIV/0!</v>
      </c>
      <c r="Q694" s="2" t="e">
        <f t="shared" si="63"/>
        <v>#DIV/0!</v>
      </c>
      <c r="R694" s="2" t="e">
        <f t="shared" si="64"/>
        <v>#DIV/0!</v>
      </c>
      <c r="S694" t="e">
        <f t="shared" si="65"/>
        <v>#DIV/0!</v>
      </c>
      <c r="U694" t="e">
        <v>#NUM!</v>
      </c>
    </row>
    <row r="695" spans="1:21" ht="13.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60"/>
        <v>#DIV/0!</v>
      </c>
      <c r="I695" s="2" t="e">
        <f t="shared" si="61"/>
        <v>#DIV/0!</v>
      </c>
      <c r="J695" s="2">
        <v>9.52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 t="e">
        <f t="shared" si="62"/>
        <v>#DIV/0!</v>
      </c>
      <c r="Q695" s="2">
        <f t="shared" si="63"/>
        <v>0.37390096630005903</v>
      </c>
      <c r="R695" s="2" t="e">
        <f t="shared" si="64"/>
        <v>#DIV/0!</v>
      </c>
      <c r="S695" t="e">
        <f t="shared" si="65"/>
        <v>#DIV/0!</v>
      </c>
      <c r="U695">
        <v>3.2509615735332189</v>
      </c>
    </row>
    <row r="696" spans="1:21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60"/>
        <v>#DIV/0!</v>
      </c>
      <c r="I696" s="2" t="e">
        <f t="shared" si="61"/>
        <v>#DIV/0!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 t="e">
        <f t="shared" si="62"/>
        <v>#DIV/0!</v>
      </c>
      <c r="Q696" s="2" t="e">
        <f t="shared" si="63"/>
        <v>#DIV/0!</v>
      </c>
      <c r="R696" s="2" t="e">
        <f t="shared" si="64"/>
        <v>#DIV/0!</v>
      </c>
      <c r="S696" t="e">
        <f t="shared" si="65"/>
        <v>#DIV/0!</v>
      </c>
      <c r="U696" t="e">
        <v>#NUM!</v>
      </c>
    </row>
    <row r="697" spans="1:21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60"/>
        <v>#DIV/0!</v>
      </c>
      <c r="I697" s="2" t="e">
        <f t="shared" si="61"/>
        <v>#DIV/0!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f t="shared" si="62"/>
        <v>#DIV/0!</v>
      </c>
      <c r="Q697" s="2" t="e">
        <f t="shared" si="63"/>
        <v>#DIV/0!</v>
      </c>
      <c r="R697" s="2" t="e">
        <f t="shared" si="64"/>
        <v>#DIV/0!</v>
      </c>
      <c r="S697" t="e">
        <f t="shared" si="65"/>
        <v>#DIV/0!</v>
      </c>
      <c r="U697" t="e">
        <v>#NUM!</v>
      </c>
    </row>
    <row r="698" spans="1:21" ht="13.9" x14ac:dyDescent="0.3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60"/>
        <v>-0.68658589161668504</v>
      </c>
      <c r="I698" s="2">
        <f t="shared" si="61"/>
        <v>0.44430580149313942</v>
      </c>
      <c r="J698" s="2">
        <v>6.47</v>
      </c>
      <c r="K698" s="2">
        <v>20.3</v>
      </c>
      <c r="L698" s="2">
        <v>34.19</v>
      </c>
      <c r="M698" s="2">
        <v>6.69</v>
      </c>
      <c r="N698" s="2">
        <v>81.75</v>
      </c>
      <c r="O698" s="2">
        <v>18.14</v>
      </c>
      <c r="P698" s="2">
        <f t="shared" si="62"/>
        <v>-0.80600193026671252</v>
      </c>
      <c r="Q698" s="2">
        <f t="shared" si="63"/>
        <v>0.5711302551266183</v>
      </c>
      <c r="R698" s="2">
        <f t="shared" si="64"/>
        <v>-0.11941603865002748</v>
      </c>
      <c r="S698">
        <f t="shared" si="65"/>
        <v>1.1739273120932354</v>
      </c>
      <c r="U698">
        <v>5.9297909977185981</v>
      </c>
    </row>
    <row r="699" spans="1:21" ht="13.9" x14ac:dyDescent="0.3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60"/>
        <v>3.7148427832680664</v>
      </c>
      <c r="I699" s="2">
        <f t="shared" si="61"/>
        <v>0.40908981823545232</v>
      </c>
      <c r="J699" s="2">
        <v>1.62</v>
      </c>
      <c r="K699" s="2">
        <v>0</v>
      </c>
      <c r="L699" s="2">
        <v>7.04</v>
      </c>
      <c r="M699" s="2">
        <v>1.34</v>
      </c>
      <c r="N699" s="2">
        <v>0</v>
      </c>
      <c r="O699" s="2">
        <v>1.08</v>
      </c>
      <c r="P699" s="2">
        <f t="shared" si="62"/>
        <v>1.8393599774521305</v>
      </c>
      <c r="Q699" s="2">
        <f t="shared" si="63"/>
        <v>0.391652459367127</v>
      </c>
      <c r="R699" s="2">
        <f t="shared" si="64"/>
        <v>-1.8754828058159358</v>
      </c>
      <c r="S699">
        <f t="shared" si="65"/>
        <v>0.49513804076359497</v>
      </c>
      <c r="U699">
        <v>3.1143670249520001</v>
      </c>
    </row>
    <row r="700" spans="1:21" ht="13.9" x14ac:dyDescent="0.3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60"/>
        <v>2.8693702850738902</v>
      </c>
      <c r="I700" s="2">
        <f t="shared" si="61"/>
        <v>1.362126924401098E-2</v>
      </c>
      <c r="J700" s="2">
        <v>204.45</v>
      </c>
      <c r="K700" s="2">
        <v>114.06</v>
      </c>
      <c r="L700" s="2">
        <v>280.52999999999997</v>
      </c>
      <c r="M700" s="2">
        <v>31.38</v>
      </c>
      <c r="N700" s="2">
        <v>1185.42</v>
      </c>
      <c r="O700" s="2">
        <v>55.9</v>
      </c>
      <c r="P700" s="2">
        <f t="shared" si="62"/>
        <v>-1.0871681430487454</v>
      </c>
      <c r="Q700" s="2">
        <f t="shared" si="63"/>
        <v>0.58980470539143703</v>
      </c>
      <c r="R700" s="2">
        <f t="shared" si="64"/>
        <v>-3.9565384281226357</v>
      </c>
      <c r="S700">
        <f t="shared" si="65"/>
        <v>-0.37888736378990884</v>
      </c>
      <c r="U700">
        <v>9.2265085298086795</v>
      </c>
    </row>
    <row r="701" spans="1:21" ht="13.9" x14ac:dyDescent="0.3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60"/>
        <v>-0.96721382854097526</v>
      </c>
      <c r="I701" s="2">
        <f t="shared" si="61"/>
        <v>0.10333459998272577</v>
      </c>
      <c r="J701" s="2">
        <v>4.8499999999999996</v>
      </c>
      <c r="K701" s="2">
        <v>14.23</v>
      </c>
      <c r="L701" s="2">
        <v>8.5500000000000007</v>
      </c>
      <c r="M701" s="2">
        <v>12.14</v>
      </c>
      <c r="N701" s="2">
        <v>0</v>
      </c>
      <c r="O701" s="2">
        <v>19.350000000000001</v>
      </c>
      <c r="P701" s="2">
        <f t="shared" si="62"/>
        <v>-0.18865819532291814</v>
      </c>
      <c r="Q701" s="2">
        <f t="shared" si="63"/>
        <v>0.84743761703469311</v>
      </c>
      <c r="R701" s="2">
        <f t="shared" si="64"/>
        <v>0.7785556332180571</v>
      </c>
      <c r="S701">
        <f t="shared" si="65"/>
        <v>0.19505324443872524</v>
      </c>
      <c r="U701">
        <v>4.7881636570377673</v>
      </c>
    </row>
    <row r="702" spans="1:21" ht="13.9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60"/>
        <v>#NUM!</v>
      </c>
      <c r="I702" s="2">
        <f t="shared" si="61"/>
        <v>0.37390096630005903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1.62</v>
      </c>
      <c r="P702" s="2" t="e">
        <f t="shared" si="62"/>
        <v>#NUM!</v>
      </c>
      <c r="Q702" s="2">
        <f t="shared" si="63"/>
        <v>0.37390096630005903</v>
      </c>
      <c r="R702" s="2" t="e">
        <f t="shared" si="64"/>
        <v>#NUM!</v>
      </c>
      <c r="S702" t="e">
        <f t="shared" si="65"/>
        <v>#NUM!</v>
      </c>
      <c r="U702" t="e">
        <v>#NUM!</v>
      </c>
    </row>
    <row r="703" spans="1:21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60"/>
        <v>#DIV/0!</v>
      </c>
      <c r="I703" s="2" t="e">
        <f t="shared" si="61"/>
        <v>#DIV/0!</v>
      </c>
      <c r="J703" s="2">
        <v>0</v>
      </c>
      <c r="K703" s="2">
        <v>0</v>
      </c>
      <c r="L703" s="2">
        <v>0</v>
      </c>
      <c r="M703" s="2">
        <v>0.51</v>
      </c>
      <c r="N703" s="2">
        <v>0</v>
      </c>
      <c r="O703" s="2">
        <v>0</v>
      </c>
      <c r="P703" s="2" t="e">
        <f t="shared" si="62"/>
        <v>#NUM!</v>
      </c>
      <c r="Q703" s="2">
        <f t="shared" si="63"/>
        <v>0.37390096630005903</v>
      </c>
      <c r="R703" s="2" t="e">
        <f t="shared" si="64"/>
        <v>#NUM!</v>
      </c>
      <c r="S703" t="e">
        <f t="shared" si="65"/>
        <v>#NUM!</v>
      </c>
      <c r="U703" t="e">
        <v>#NUM!</v>
      </c>
    </row>
    <row r="704" spans="1:21" ht="13.9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60"/>
        <v>#NUM!</v>
      </c>
      <c r="I704" s="2">
        <f t="shared" si="61"/>
        <v>8.1356341394483455E-5</v>
      </c>
      <c r="J704" s="2">
        <v>0</v>
      </c>
      <c r="K704" s="2">
        <v>0</v>
      </c>
      <c r="L704" s="2">
        <v>0</v>
      </c>
      <c r="M704" s="2">
        <v>4.22</v>
      </c>
      <c r="N704" s="2">
        <v>0</v>
      </c>
      <c r="O704" s="2">
        <v>1.62</v>
      </c>
      <c r="P704" s="2" t="e">
        <f t="shared" si="62"/>
        <v>#NUM!</v>
      </c>
      <c r="Q704" s="2">
        <f t="shared" si="63"/>
        <v>0.18841125213317594</v>
      </c>
      <c r="R704" s="2" t="e">
        <f t="shared" si="64"/>
        <v>#NUM!</v>
      </c>
      <c r="S704" t="e">
        <f t="shared" si="65"/>
        <v>#NUM!</v>
      </c>
      <c r="U704" t="e">
        <v>#NUM!</v>
      </c>
    </row>
    <row r="705" spans="1:21" ht="13.9" x14ac:dyDescent="0.3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60"/>
        <v>-1.0513713650409209</v>
      </c>
      <c r="I705" s="2">
        <f t="shared" si="61"/>
        <v>2.1617859208402975E-2</v>
      </c>
      <c r="J705" s="2">
        <v>473.39</v>
      </c>
      <c r="K705" s="2">
        <v>674.51</v>
      </c>
      <c r="L705" s="2">
        <v>627.91999999999996</v>
      </c>
      <c r="M705" s="2">
        <v>1306.5899999999999</v>
      </c>
      <c r="N705" s="2">
        <v>1062.79</v>
      </c>
      <c r="O705" s="2">
        <v>959.21</v>
      </c>
      <c r="P705" s="2">
        <f t="shared" si="62"/>
        <v>-0.90642582187254628</v>
      </c>
      <c r="Q705" s="2">
        <f t="shared" si="63"/>
        <v>1.2361254266423391E-2</v>
      </c>
      <c r="R705" s="2">
        <f t="shared" si="64"/>
        <v>0.1449455431683746</v>
      </c>
      <c r="S705">
        <f t="shared" si="65"/>
        <v>0.86213668358493567</v>
      </c>
      <c r="U705">
        <v>10.794269639847872</v>
      </c>
    </row>
    <row r="706" spans="1:21" ht="13.9" x14ac:dyDescent="0.3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4" si="66">LOG(SUM(B706:D706)/SUM(E706:G706),2)</f>
        <v>2.2767651216959024</v>
      </c>
      <c r="I706" s="2">
        <f t="shared" ref="I706:I764" si="67">_xlfn.T.TEST(B706:D706,E706:G706,2,2)</f>
        <v>0.47225241240358101</v>
      </c>
      <c r="J706" s="2">
        <v>9.8800000000000008</v>
      </c>
      <c r="K706" s="2">
        <v>0</v>
      </c>
      <c r="L706" s="2">
        <v>58.32</v>
      </c>
      <c r="M706" s="2">
        <v>2.2599999999999998</v>
      </c>
      <c r="N706" s="2">
        <v>0</v>
      </c>
      <c r="O706" s="2">
        <v>1.22</v>
      </c>
      <c r="P706" s="2">
        <f t="shared" ref="P706:P764" si="68">LOG(SUM(J706:L706)/SUM(M706:O706),2)</f>
        <v>4.2926125280628069</v>
      </c>
      <c r="Q706" s="2">
        <f t="shared" ref="Q706:Q764" si="69">_xlfn.T.TEST(J706:L706,M706:O706,2,2)</f>
        <v>0.29761546605266603</v>
      </c>
      <c r="R706" s="2">
        <f t="shared" si="64"/>
        <v>2.0158474063669045</v>
      </c>
      <c r="S706">
        <f t="shared" si="65"/>
        <v>1.885399810089041</v>
      </c>
      <c r="U706">
        <v>6.0916998341368105</v>
      </c>
    </row>
    <row r="707" spans="1:21" ht="13.9" x14ac:dyDescent="0.3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66"/>
        <v>-0.72131602733597933</v>
      </c>
      <c r="I707" s="2">
        <f t="shared" si="67"/>
        <v>0.18428790601942108</v>
      </c>
      <c r="J707" s="2">
        <v>88.21</v>
      </c>
      <c r="K707" s="2">
        <v>157.59</v>
      </c>
      <c r="L707" s="2">
        <v>240.31</v>
      </c>
      <c r="M707" s="2">
        <v>231.91</v>
      </c>
      <c r="N707" s="2">
        <v>286.13</v>
      </c>
      <c r="O707" s="2">
        <v>293.43</v>
      </c>
      <c r="P707" s="2">
        <f t="shared" si="68"/>
        <v>-0.73925494660750368</v>
      </c>
      <c r="Q707" s="2">
        <f t="shared" si="69"/>
        <v>8.6985657444950973E-2</v>
      </c>
      <c r="R707" s="2">
        <f t="shared" ref="R707:R764" si="70">P707-H707</f>
        <v>-1.7938919271524356E-2</v>
      </c>
      <c r="S707">
        <f t="shared" si="65"/>
        <v>1.0248697084103036</v>
      </c>
      <c r="U707">
        <v>8.9251390025723083</v>
      </c>
    </row>
    <row r="708" spans="1:21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66"/>
        <v>#DIV/0!</v>
      </c>
      <c r="I708" s="2" t="e">
        <f t="shared" si="67"/>
        <v>#DIV/0!</v>
      </c>
      <c r="J708" s="2">
        <v>0</v>
      </c>
      <c r="K708" s="2">
        <v>0</v>
      </c>
      <c r="L708" s="2">
        <v>0</v>
      </c>
      <c r="M708" s="2">
        <v>0.72</v>
      </c>
      <c r="N708" s="2">
        <v>0</v>
      </c>
      <c r="O708" s="2">
        <v>0</v>
      </c>
      <c r="P708" s="2" t="e">
        <f t="shared" si="68"/>
        <v>#NUM!</v>
      </c>
      <c r="Q708" s="2">
        <f t="shared" si="69"/>
        <v>0.37390096630005903</v>
      </c>
      <c r="R708" s="2" t="e">
        <f t="shared" si="70"/>
        <v>#NUM!</v>
      </c>
      <c r="S708" t="e">
        <f t="shared" ref="S708:S771" si="71">P708/H708</f>
        <v>#NUM!</v>
      </c>
      <c r="U708" t="e">
        <v>#NUM!</v>
      </c>
    </row>
    <row r="709" spans="1:21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66"/>
        <v>#DIV/0!</v>
      </c>
      <c r="I709" s="2" t="e">
        <f t="shared" si="67"/>
        <v>#DIV/0!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f t="shared" si="68"/>
        <v>#DIV/0!</v>
      </c>
      <c r="Q709" s="2" t="e">
        <f t="shared" si="69"/>
        <v>#DIV/0!</v>
      </c>
      <c r="R709" s="2" t="e">
        <f t="shared" si="70"/>
        <v>#DIV/0!</v>
      </c>
      <c r="S709" t="e">
        <f t="shared" si="71"/>
        <v>#DIV/0!</v>
      </c>
      <c r="U709" t="e">
        <v>#NUM!</v>
      </c>
    </row>
    <row r="710" spans="1:21" ht="13.9" x14ac:dyDescent="0.3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66"/>
        <v>-3.0038741335116299</v>
      </c>
      <c r="I710" s="2">
        <f t="shared" si="67"/>
        <v>2.0905331532228042E-2</v>
      </c>
      <c r="J710" s="2">
        <v>20.66</v>
      </c>
      <c r="K710" s="2">
        <v>32.44</v>
      </c>
      <c r="L710" s="2">
        <v>81.44</v>
      </c>
      <c r="M710" s="2">
        <v>37.549999999999997</v>
      </c>
      <c r="N710" s="2">
        <v>327.01</v>
      </c>
      <c r="O710" s="2">
        <v>87.71</v>
      </c>
      <c r="P710" s="2">
        <f t="shared" si="68"/>
        <v>-1.7491491389296281</v>
      </c>
      <c r="Q710" s="2">
        <f t="shared" si="69"/>
        <v>0.31022298728018427</v>
      </c>
      <c r="R710" s="2">
        <f t="shared" si="70"/>
        <v>1.2547249945820018</v>
      </c>
      <c r="S710">
        <f t="shared" si="71"/>
        <v>0.58229774657196232</v>
      </c>
      <c r="U710">
        <v>7.0718913530566301</v>
      </c>
    </row>
    <row r="711" spans="1:21" ht="13.9" x14ac:dyDescent="0.3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66"/>
        <v>0.86828392069993598</v>
      </c>
      <c r="I711" s="2">
        <f t="shared" si="67"/>
        <v>0.67958110957240458</v>
      </c>
      <c r="J711" s="2">
        <v>0</v>
      </c>
      <c r="K711" s="2">
        <v>0</v>
      </c>
      <c r="L711" s="2">
        <v>0</v>
      </c>
      <c r="M711" s="2">
        <v>2.98</v>
      </c>
      <c r="N711" s="2">
        <v>0</v>
      </c>
      <c r="O711" s="2">
        <v>2.2999999999999998</v>
      </c>
      <c r="P711" s="2" t="e">
        <f t="shared" si="68"/>
        <v>#NUM!</v>
      </c>
      <c r="Q711" s="2">
        <f t="shared" si="69"/>
        <v>0.12267186028321368</v>
      </c>
      <c r="R711" s="2" t="e">
        <f t="shared" si="70"/>
        <v>#NUM!</v>
      </c>
      <c r="S711" t="e">
        <f t="shared" si="71"/>
        <v>#NUM!</v>
      </c>
      <c r="U711" t="e">
        <v>#NUM!</v>
      </c>
    </row>
    <row r="712" spans="1:21" ht="13.9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66"/>
        <v>#NUM!</v>
      </c>
      <c r="I712" s="2">
        <f t="shared" si="67"/>
        <v>0.37390096630005903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 t="e">
        <f t="shared" si="68"/>
        <v>#DIV/0!</v>
      </c>
      <c r="Q712" s="2" t="e">
        <f t="shared" si="69"/>
        <v>#DIV/0!</v>
      </c>
      <c r="R712" s="2" t="e">
        <f t="shared" si="70"/>
        <v>#DIV/0!</v>
      </c>
      <c r="S712" t="e">
        <f t="shared" si="71"/>
        <v>#DIV/0!</v>
      </c>
      <c r="U712" t="e">
        <v>#NUM!</v>
      </c>
    </row>
    <row r="713" spans="1:21" ht="13.9" x14ac:dyDescent="0.3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66"/>
        <v>#NUM!</v>
      </c>
      <c r="I713" s="2">
        <f t="shared" si="67"/>
        <v>5.923133771277924E-2</v>
      </c>
      <c r="J713" s="2">
        <v>11.32</v>
      </c>
      <c r="K713" s="2">
        <v>0</v>
      </c>
      <c r="L713" s="2">
        <v>0</v>
      </c>
      <c r="M713" s="2">
        <v>4.22</v>
      </c>
      <c r="N713" s="2">
        <v>0</v>
      </c>
      <c r="O713" s="2">
        <v>0.68</v>
      </c>
      <c r="P713" s="2">
        <f t="shared" si="68"/>
        <v>1.2080203038293118</v>
      </c>
      <c r="Q713" s="2">
        <f t="shared" si="69"/>
        <v>0.62047083684639537</v>
      </c>
      <c r="R713" s="2" t="e">
        <f t="shared" si="70"/>
        <v>#NUM!</v>
      </c>
      <c r="S713" t="e">
        <f t="shared" si="71"/>
        <v>#NUM!</v>
      </c>
      <c r="U713">
        <v>3.5008020530571575</v>
      </c>
    </row>
    <row r="714" spans="1:21" ht="13.9" x14ac:dyDescent="0.3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66"/>
        <v>#NUM!</v>
      </c>
      <c r="I714" s="2">
        <f t="shared" si="67"/>
        <v>0.11887140555991681</v>
      </c>
      <c r="J714" s="2">
        <v>0</v>
      </c>
      <c r="K714" s="2">
        <v>0</v>
      </c>
      <c r="L714" s="2">
        <v>0</v>
      </c>
      <c r="M714" s="2">
        <v>0.1</v>
      </c>
      <c r="N714" s="2">
        <v>0</v>
      </c>
      <c r="O714" s="2">
        <v>0</v>
      </c>
      <c r="P714" s="2" t="e">
        <f t="shared" si="68"/>
        <v>#NUM!</v>
      </c>
      <c r="Q714" s="2">
        <f t="shared" si="69"/>
        <v>0.37390096630005903</v>
      </c>
      <c r="R714" s="2" t="e">
        <f t="shared" si="70"/>
        <v>#NUM!</v>
      </c>
      <c r="S714" t="e">
        <f t="shared" si="71"/>
        <v>#NUM!</v>
      </c>
      <c r="U714" t="e">
        <v>#NUM!</v>
      </c>
    </row>
    <row r="715" spans="1:21" ht="13.9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66"/>
        <v>#NUM!</v>
      </c>
      <c r="I715" s="2">
        <f t="shared" si="67"/>
        <v>0.37390096630005903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 t="e">
        <f t="shared" si="68"/>
        <v>#DIV/0!</v>
      </c>
      <c r="Q715" s="2" t="e">
        <f t="shared" si="69"/>
        <v>#DIV/0!</v>
      </c>
      <c r="R715" s="2" t="e">
        <f t="shared" si="70"/>
        <v>#DIV/0!</v>
      </c>
      <c r="S715" t="e">
        <f t="shared" si="71"/>
        <v>#DIV/0!</v>
      </c>
      <c r="U715" t="e">
        <v>#NUM!</v>
      </c>
    </row>
    <row r="716" spans="1:21" ht="13.9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66"/>
        <v>#NUM!</v>
      </c>
      <c r="I716" s="2">
        <f t="shared" si="67"/>
        <v>0.37390096630005903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 t="e">
        <f t="shared" si="68"/>
        <v>#DIV/0!</v>
      </c>
      <c r="Q716" s="2" t="e">
        <f t="shared" si="69"/>
        <v>#DIV/0!</v>
      </c>
      <c r="R716" s="2" t="e">
        <f t="shared" si="70"/>
        <v>#DIV/0!</v>
      </c>
      <c r="S716" t="e">
        <f t="shared" si="71"/>
        <v>#DIV/0!</v>
      </c>
      <c r="U716" t="e">
        <v>#NUM!</v>
      </c>
    </row>
    <row r="717" spans="1:21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66"/>
        <v>#DIV/0!</v>
      </c>
      <c r="I717" s="2" t="e">
        <f t="shared" si="67"/>
        <v>#DIV/0!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0.68</v>
      </c>
      <c r="P717" s="2" t="e">
        <f t="shared" si="68"/>
        <v>#NUM!</v>
      </c>
      <c r="Q717" s="2">
        <f t="shared" si="69"/>
        <v>0.37390096630005903</v>
      </c>
      <c r="R717" s="2" t="e">
        <f t="shared" si="70"/>
        <v>#NUM!</v>
      </c>
      <c r="S717" t="e">
        <f t="shared" si="71"/>
        <v>#NUM!</v>
      </c>
      <c r="U717" t="e">
        <v>#NUM!</v>
      </c>
    </row>
    <row r="718" spans="1:21" ht="13.9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66"/>
        <v>#DIV/0!</v>
      </c>
      <c r="I718" s="2" t="e">
        <f t="shared" si="67"/>
        <v>#DIV/0!</v>
      </c>
      <c r="J718" s="2">
        <v>0</v>
      </c>
      <c r="K718" s="2">
        <v>1.88</v>
      </c>
      <c r="L718" s="2">
        <v>0</v>
      </c>
      <c r="M718" s="2">
        <v>0</v>
      </c>
      <c r="N718" s="2">
        <v>0</v>
      </c>
      <c r="O718" s="2">
        <v>0</v>
      </c>
      <c r="P718" s="2" t="e">
        <f t="shared" si="68"/>
        <v>#DIV/0!</v>
      </c>
      <c r="Q718" s="2">
        <f t="shared" si="69"/>
        <v>0.37390096630005903</v>
      </c>
      <c r="R718" s="2" t="e">
        <f t="shared" si="70"/>
        <v>#DIV/0!</v>
      </c>
      <c r="S718" t="e">
        <f t="shared" si="71"/>
        <v>#DIV/0!</v>
      </c>
      <c r="U718">
        <v>0.91073266190291258</v>
      </c>
    </row>
    <row r="719" spans="1:21" ht="13.9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66"/>
        <v>#NUM!</v>
      </c>
      <c r="I719" s="2">
        <f t="shared" si="67"/>
        <v>0.37390096630005903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 t="e">
        <f t="shared" si="68"/>
        <v>#DIV/0!</v>
      </c>
      <c r="Q719" s="2" t="e">
        <f t="shared" si="69"/>
        <v>#DIV/0!</v>
      </c>
      <c r="R719" s="2" t="e">
        <f t="shared" si="70"/>
        <v>#DIV/0!</v>
      </c>
      <c r="S719" t="e">
        <f t="shared" si="71"/>
        <v>#DIV/0!</v>
      </c>
      <c r="U719" t="e">
        <v>#NUM!</v>
      </c>
    </row>
    <row r="720" spans="1:21" ht="13.9" x14ac:dyDescent="0.3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66"/>
        <v>-8.6156643749714601E-2</v>
      </c>
      <c r="I720" s="2">
        <f t="shared" si="67"/>
        <v>0.92408517272451451</v>
      </c>
      <c r="J720" s="2">
        <v>0.18</v>
      </c>
      <c r="K720" s="2">
        <v>1.05</v>
      </c>
      <c r="L720" s="2">
        <v>0</v>
      </c>
      <c r="M720" s="2">
        <v>0.1</v>
      </c>
      <c r="N720" s="2">
        <v>0</v>
      </c>
      <c r="O720" s="2">
        <v>0</v>
      </c>
      <c r="P720" s="2">
        <f t="shared" si="68"/>
        <v>3.6205864104518772</v>
      </c>
      <c r="Q720" s="2">
        <f t="shared" si="69"/>
        <v>0.31210872120506128</v>
      </c>
      <c r="R720" s="2">
        <f t="shared" si="70"/>
        <v>3.706743054201592</v>
      </c>
      <c r="S720">
        <f t="shared" si="71"/>
        <v>-42.023299108188283</v>
      </c>
      <c r="U720">
        <v>0.29865831556451516</v>
      </c>
    </row>
    <row r="721" spans="1:21" ht="13.9" x14ac:dyDescent="0.3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66"/>
        <v>#DIV/0!</v>
      </c>
      <c r="I721" s="2">
        <f t="shared" si="67"/>
        <v>0.37390096630005903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 t="e">
        <f t="shared" si="68"/>
        <v>#DIV/0!</v>
      </c>
      <c r="Q721" s="2" t="e">
        <f t="shared" si="69"/>
        <v>#DIV/0!</v>
      </c>
      <c r="R721" s="2" t="e">
        <f t="shared" si="70"/>
        <v>#DIV/0!</v>
      </c>
      <c r="S721" t="e">
        <f t="shared" si="71"/>
        <v>#DIV/0!</v>
      </c>
      <c r="U721" t="e">
        <v>#NUM!</v>
      </c>
    </row>
    <row r="722" spans="1:21" ht="13.9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66"/>
        <v>#NUM!</v>
      </c>
      <c r="I722" s="2">
        <f t="shared" si="67"/>
        <v>0.26483987402829778</v>
      </c>
      <c r="J722" s="2">
        <v>0</v>
      </c>
      <c r="K722" s="2">
        <v>5.86</v>
      </c>
      <c r="L722" s="2">
        <v>0</v>
      </c>
      <c r="M722" s="2">
        <v>0.31</v>
      </c>
      <c r="N722" s="2">
        <v>0</v>
      </c>
      <c r="O722" s="2">
        <v>0</v>
      </c>
      <c r="P722" s="2">
        <f t="shared" si="68"/>
        <v>4.2405605440353726</v>
      </c>
      <c r="Q722" s="2">
        <f t="shared" si="69"/>
        <v>0.39781590918103021</v>
      </c>
      <c r="R722" s="2" t="e">
        <f t="shared" si="70"/>
        <v>#NUM!</v>
      </c>
      <c r="S722" t="e">
        <f t="shared" si="71"/>
        <v>#NUM!</v>
      </c>
      <c r="U722">
        <v>2.5509006646475232</v>
      </c>
    </row>
    <row r="723" spans="1:21" ht="13.9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66"/>
        <v>#NUM!</v>
      </c>
      <c r="I723" s="2">
        <f t="shared" si="67"/>
        <v>0.12444561188824621</v>
      </c>
      <c r="J723" s="2">
        <v>0</v>
      </c>
      <c r="K723" s="2">
        <v>0</v>
      </c>
      <c r="L723" s="2">
        <v>0</v>
      </c>
      <c r="M723" s="2">
        <v>1.03</v>
      </c>
      <c r="N723" s="2">
        <v>0</v>
      </c>
      <c r="O723" s="2">
        <v>0.27</v>
      </c>
      <c r="P723" s="2" t="e">
        <f t="shared" si="68"/>
        <v>#NUM!</v>
      </c>
      <c r="Q723" s="2">
        <f t="shared" si="69"/>
        <v>0.23262633311758715</v>
      </c>
      <c r="R723" s="2" t="e">
        <f t="shared" si="70"/>
        <v>#NUM!</v>
      </c>
      <c r="S723" t="e">
        <f t="shared" si="71"/>
        <v>#NUM!</v>
      </c>
      <c r="U723" t="e">
        <v>#NUM!</v>
      </c>
    </row>
    <row r="724" spans="1:21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66"/>
        <v>#DIV/0!</v>
      </c>
      <c r="I724" s="2" t="e">
        <f t="shared" si="67"/>
        <v>#DIV/0!</v>
      </c>
      <c r="J724" s="2">
        <v>0</v>
      </c>
      <c r="K724" s="2">
        <v>0</v>
      </c>
      <c r="L724" s="2">
        <v>0</v>
      </c>
      <c r="M724" s="2">
        <v>0.82</v>
      </c>
      <c r="N724" s="2">
        <v>0</v>
      </c>
      <c r="O724" s="2">
        <v>0</v>
      </c>
      <c r="P724" s="2" t="e">
        <f t="shared" si="68"/>
        <v>#NUM!</v>
      </c>
      <c r="Q724" s="2">
        <f t="shared" si="69"/>
        <v>0.37390096630005903</v>
      </c>
      <c r="R724" s="2" t="e">
        <f t="shared" si="70"/>
        <v>#NUM!</v>
      </c>
      <c r="S724" t="e">
        <f t="shared" si="71"/>
        <v>#NUM!</v>
      </c>
      <c r="U724" t="e">
        <v>#NUM!</v>
      </c>
    </row>
    <row r="725" spans="1:21" ht="13.9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66"/>
        <v>#NUM!</v>
      </c>
      <c r="I725" s="2">
        <f t="shared" si="67"/>
        <v>0.37390096630005903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 t="e">
        <f t="shared" si="68"/>
        <v>#DIV/0!</v>
      </c>
      <c r="Q725" s="2" t="e">
        <f t="shared" si="69"/>
        <v>#DIV/0!</v>
      </c>
      <c r="R725" s="2" t="e">
        <f t="shared" si="70"/>
        <v>#DIV/0!</v>
      </c>
      <c r="S725" t="e">
        <f t="shared" si="71"/>
        <v>#DIV/0!</v>
      </c>
      <c r="U725" t="e">
        <v>#NUM!</v>
      </c>
    </row>
    <row r="726" spans="1:21" ht="13.9" x14ac:dyDescent="0.3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66"/>
        <v>-0.76324316237533629</v>
      </c>
      <c r="I726" s="2">
        <f t="shared" si="67"/>
        <v>0.53566380905534661</v>
      </c>
      <c r="J726" s="2">
        <v>3.23</v>
      </c>
      <c r="K726" s="2">
        <v>5.23</v>
      </c>
      <c r="L726" s="2">
        <v>0</v>
      </c>
      <c r="M726" s="2">
        <v>6.07</v>
      </c>
      <c r="N726" s="2">
        <v>2534.34</v>
      </c>
      <c r="O726" s="2">
        <v>9.75</v>
      </c>
      <c r="P726" s="2">
        <f t="shared" si="68"/>
        <v>-8.2357143876029877</v>
      </c>
      <c r="Q726" s="2">
        <f t="shared" si="69"/>
        <v>0.37131496171814832</v>
      </c>
      <c r="R726" s="2">
        <f t="shared" si="70"/>
        <v>-7.4724712252276513</v>
      </c>
      <c r="S726">
        <f t="shared" si="71"/>
        <v>10.790420135533362</v>
      </c>
      <c r="U726">
        <v>3.0806576633452254</v>
      </c>
    </row>
    <row r="727" spans="1:21" ht="13.9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66"/>
        <v>#NUM!</v>
      </c>
      <c r="I727" s="2">
        <f t="shared" si="67"/>
        <v>0.37390096630005903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 t="e">
        <f t="shared" si="68"/>
        <v>#DIV/0!</v>
      </c>
      <c r="Q727" s="2" t="e">
        <f t="shared" si="69"/>
        <v>#DIV/0!</v>
      </c>
      <c r="R727" s="2" t="e">
        <f t="shared" si="70"/>
        <v>#DIV/0!</v>
      </c>
      <c r="S727" t="e">
        <f t="shared" si="71"/>
        <v>#DIV/0!</v>
      </c>
      <c r="U727" t="e">
        <v>#NUM!</v>
      </c>
    </row>
    <row r="728" spans="1:21" ht="13.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66"/>
        <v>#DIV/0!</v>
      </c>
      <c r="I728" s="2" t="e">
        <f t="shared" si="67"/>
        <v>#DIV/0!</v>
      </c>
      <c r="J728" s="2">
        <v>0.18</v>
      </c>
      <c r="K728" s="2">
        <v>0</v>
      </c>
      <c r="L728" s="2">
        <v>0</v>
      </c>
      <c r="M728" s="2">
        <v>0.31</v>
      </c>
      <c r="N728" s="2">
        <v>0</v>
      </c>
      <c r="O728" s="2">
        <v>0</v>
      </c>
      <c r="P728" s="2">
        <f t="shared" si="68"/>
        <v>-0.78427130894456298</v>
      </c>
      <c r="Q728" s="2">
        <f t="shared" si="69"/>
        <v>0.73521378916689417</v>
      </c>
      <c r="R728" s="2" t="e">
        <f t="shared" si="70"/>
        <v>#DIV/0!</v>
      </c>
      <c r="S728" t="e">
        <f t="shared" si="71"/>
        <v>#DIV/0!</v>
      </c>
      <c r="U728">
        <v>-2.4739311883324122</v>
      </c>
    </row>
    <row r="729" spans="1:21" ht="13.9" x14ac:dyDescent="0.3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66"/>
        <v>#NUM!</v>
      </c>
      <c r="I729" s="2">
        <f t="shared" si="67"/>
        <v>0.24881301806546591</v>
      </c>
      <c r="J729" s="2">
        <v>0</v>
      </c>
      <c r="K729" s="2">
        <v>5.86</v>
      </c>
      <c r="L729" s="2">
        <v>0</v>
      </c>
      <c r="M729" s="2">
        <v>1.23</v>
      </c>
      <c r="N729" s="2">
        <v>0</v>
      </c>
      <c r="O729" s="2">
        <v>0.27</v>
      </c>
      <c r="P729" s="2">
        <f t="shared" si="68"/>
        <v>1.9659381639263671</v>
      </c>
      <c r="Q729" s="2">
        <f t="shared" si="69"/>
        <v>0.50540104734822122</v>
      </c>
      <c r="R729" s="2" t="e">
        <f t="shared" si="70"/>
        <v>#NUM!</v>
      </c>
      <c r="S729" t="e">
        <f t="shared" si="71"/>
        <v>#NUM!</v>
      </c>
      <c r="U729">
        <v>2.5509006646475232</v>
      </c>
    </row>
    <row r="730" spans="1:21" ht="13.9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66"/>
        <v>#NUM!</v>
      </c>
      <c r="I730" s="2">
        <f t="shared" si="67"/>
        <v>0.12340079847556613</v>
      </c>
      <c r="J730" s="2">
        <v>0</v>
      </c>
      <c r="K730" s="2">
        <v>0</v>
      </c>
      <c r="L730" s="2">
        <v>0</v>
      </c>
      <c r="M730" s="2">
        <v>0.72</v>
      </c>
      <c r="N730" s="2">
        <v>0</v>
      </c>
      <c r="O730" s="2">
        <v>0</v>
      </c>
      <c r="P730" s="2" t="e">
        <f t="shared" si="68"/>
        <v>#NUM!</v>
      </c>
      <c r="Q730" s="2">
        <f t="shared" si="69"/>
        <v>0.37390096630005903</v>
      </c>
      <c r="R730" s="2" t="e">
        <f t="shared" si="70"/>
        <v>#NUM!</v>
      </c>
      <c r="S730" t="e">
        <f t="shared" si="71"/>
        <v>#NUM!</v>
      </c>
      <c r="U730" t="e">
        <v>#NUM!</v>
      </c>
    </row>
    <row r="731" spans="1:21" ht="13.9" x14ac:dyDescent="0.3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66"/>
        <v>-1.0422557227120532</v>
      </c>
      <c r="I731" s="2">
        <f t="shared" si="67"/>
        <v>0.37311233314534425</v>
      </c>
      <c r="J731" s="2">
        <v>31.26</v>
      </c>
      <c r="K731" s="2">
        <v>19.88</v>
      </c>
      <c r="L731" s="2">
        <v>31.17</v>
      </c>
      <c r="M731" s="2">
        <v>16.670000000000002</v>
      </c>
      <c r="N731" s="2">
        <v>0</v>
      </c>
      <c r="O731" s="2">
        <v>28.42</v>
      </c>
      <c r="P731" s="2">
        <f t="shared" si="68"/>
        <v>0.86826020711125373</v>
      </c>
      <c r="Q731" s="2">
        <f t="shared" si="69"/>
        <v>0.24314041411056822</v>
      </c>
      <c r="R731" s="2">
        <f t="shared" si="70"/>
        <v>1.910515929823307</v>
      </c>
      <c r="S731">
        <f t="shared" si="71"/>
        <v>-0.83305870928868986</v>
      </c>
      <c r="U731">
        <v>6.3629958119740504</v>
      </c>
    </row>
    <row r="732" spans="1:21" ht="13.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66"/>
        <v>#DIV/0!</v>
      </c>
      <c r="I732" s="2" t="e">
        <f t="shared" si="67"/>
        <v>#DIV/0!</v>
      </c>
      <c r="J732" s="2">
        <v>9.6999999999999993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 t="e">
        <f t="shared" si="68"/>
        <v>#DIV/0!</v>
      </c>
      <c r="Q732" s="2">
        <f t="shared" si="69"/>
        <v>0.37390096630005903</v>
      </c>
      <c r="R732" s="2" t="e">
        <f t="shared" si="70"/>
        <v>#DIV/0!</v>
      </c>
      <c r="S732" t="e">
        <f t="shared" si="71"/>
        <v>#DIV/0!</v>
      </c>
      <c r="U732">
        <v>3.2779847472997652</v>
      </c>
    </row>
    <row r="733" spans="1:21" ht="13.9" x14ac:dyDescent="0.3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66"/>
        <v>2.1398229696528936</v>
      </c>
      <c r="I733" s="2">
        <f t="shared" si="67"/>
        <v>0.49284308790885684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 t="e">
        <f t="shared" si="68"/>
        <v>#DIV/0!</v>
      </c>
      <c r="Q733" s="2" t="e">
        <f t="shared" si="69"/>
        <v>#DIV/0!</v>
      </c>
      <c r="R733" s="2" t="e">
        <f t="shared" si="70"/>
        <v>#DIV/0!</v>
      </c>
      <c r="S733" t="e">
        <f t="shared" si="71"/>
        <v>#DIV/0!</v>
      </c>
      <c r="U733" t="e">
        <v>#NUM!</v>
      </c>
    </row>
    <row r="734" spans="1:21" ht="13.9" x14ac:dyDescent="0.3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66"/>
        <v>-1.040322314619438</v>
      </c>
      <c r="I734" s="2">
        <f t="shared" si="67"/>
        <v>5.5245543781967481E-4</v>
      </c>
      <c r="J734" s="2">
        <v>238.94</v>
      </c>
      <c r="K734" s="2">
        <v>229.58</v>
      </c>
      <c r="L734" s="2">
        <v>282.04000000000002</v>
      </c>
      <c r="M734" s="2">
        <v>353.53</v>
      </c>
      <c r="N734" s="2">
        <v>613.15</v>
      </c>
      <c r="O734" s="2">
        <v>435.28</v>
      </c>
      <c r="P734" s="2">
        <f t="shared" si="68"/>
        <v>-0.90140587664537775</v>
      </c>
      <c r="Q734" s="2">
        <f t="shared" si="69"/>
        <v>5.0213430554006462E-2</v>
      </c>
      <c r="R734" s="2">
        <f t="shared" si="70"/>
        <v>0.13891643797406028</v>
      </c>
      <c r="S734">
        <f t="shared" si="71"/>
        <v>0.86646788594083213</v>
      </c>
      <c r="U734">
        <v>9.5518235957212561</v>
      </c>
    </row>
    <row r="735" spans="1:21" ht="13.9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66"/>
        <v>#NUM!</v>
      </c>
      <c r="I735" s="2">
        <f t="shared" si="67"/>
        <v>4.4284288233334655E-2</v>
      </c>
      <c r="J735" s="2">
        <v>0</v>
      </c>
      <c r="K735" s="2">
        <v>5.0199999999999996</v>
      </c>
      <c r="L735" s="2">
        <v>0</v>
      </c>
      <c r="M735" s="2">
        <v>0.51</v>
      </c>
      <c r="N735" s="2">
        <v>0</v>
      </c>
      <c r="O735" s="2">
        <v>0</v>
      </c>
      <c r="P735" s="2">
        <f t="shared" si="68"/>
        <v>3.2991182119792759</v>
      </c>
      <c r="Q735" s="2">
        <f t="shared" si="69"/>
        <v>0.4219438721311744</v>
      </c>
      <c r="R735" s="2" t="e">
        <f t="shared" si="70"/>
        <v>#NUM!</v>
      </c>
      <c r="S735" t="e">
        <f t="shared" si="71"/>
        <v>#NUM!</v>
      </c>
      <c r="U735">
        <v>2.3276873641760472</v>
      </c>
    </row>
    <row r="736" spans="1:21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66"/>
        <v>#DIV/0!</v>
      </c>
      <c r="I736" s="2" t="e">
        <f t="shared" si="67"/>
        <v>#DIV/0!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 t="e">
        <f t="shared" si="68"/>
        <v>#DIV/0!</v>
      </c>
      <c r="Q736" s="2" t="e">
        <f t="shared" si="69"/>
        <v>#DIV/0!</v>
      </c>
      <c r="R736" s="2" t="e">
        <f t="shared" si="70"/>
        <v>#DIV/0!</v>
      </c>
      <c r="S736" t="e">
        <f t="shared" si="71"/>
        <v>#DIV/0!</v>
      </c>
      <c r="U736" t="e">
        <v>#NUM!</v>
      </c>
    </row>
    <row r="737" spans="1:21" ht="13.9" x14ac:dyDescent="0.3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66"/>
        <v>1.7578747137835981E-2</v>
      </c>
      <c r="I737" s="2">
        <f t="shared" si="67"/>
        <v>0.99094266601979997</v>
      </c>
      <c r="J737" s="2">
        <v>0</v>
      </c>
      <c r="K737" s="2">
        <v>0</v>
      </c>
      <c r="L737" s="2">
        <v>0</v>
      </c>
      <c r="M737" s="2">
        <v>1.23</v>
      </c>
      <c r="N737" s="2">
        <v>0</v>
      </c>
      <c r="O737" s="2">
        <v>2.98</v>
      </c>
      <c r="P737" s="2" t="e">
        <f t="shared" si="68"/>
        <v>#NUM!</v>
      </c>
      <c r="Q737" s="2">
        <f t="shared" si="69"/>
        <v>0.17989178632712399</v>
      </c>
      <c r="R737" s="2" t="e">
        <f t="shared" si="70"/>
        <v>#NUM!</v>
      </c>
      <c r="S737" t="e">
        <f t="shared" si="71"/>
        <v>#NUM!</v>
      </c>
      <c r="U737" t="e">
        <v>#NUM!</v>
      </c>
    </row>
    <row r="738" spans="1:21" ht="13.9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66"/>
        <v>#NUM!</v>
      </c>
      <c r="I738" s="2">
        <f t="shared" si="67"/>
        <v>0.13712629385431957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 t="e">
        <f t="shared" si="68"/>
        <v>#DIV/0!</v>
      </c>
      <c r="Q738" s="2" t="e">
        <f t="shared" si="69"/>
        <v>#DIV/0!</v>
      </c>
      <c r="R738" s="2" t="e">
        <f t="shared" si="70"/>
        <v>#DIV/0!</v>
      </c>
      <c r="S738" t="e">
        <f t="shared" si="71"/>
        <v>#DIV/0!</v>
      </c>
      <c r="U738" t="e">
        <v>#NUM!</v>
      </c>
    </row>
    <row r="739" spans="1:21" ht="13.9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66"/>
        <v>#NUM!</v>
      </c>
      <c r="I739" s="2">
        <f t="shared" si="67"/>
        <v>0.37390096630005903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 t="e">
        <f t="shared" si="68"/>
        <v>#DIV/0!</v>
      </c>
      <c r="Q739" s="2" t="e">
        <f t="shared" si="69"/>
        <v>#DIV/0!</v>
      </c>
      <c r="R739" s="2" t="e">
        <f t="shared" si="70"/>
        <v>#DIV/0!</v>
      </c>
      <c r="S739" t="e">
        <f t="shared" si="71"/>
        <v>#DIV/0!</v>
      </c>
      <c r="U739" t="e">
        <v>#NUM!</v>
      </c>
    </row>
    <row r="740" spans="1:21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66"/>
        <v>#DIV/0!</v>
      </c>
      <c r="I740" s="2" t="e">
        <f t="shared" si="67"/>
        <v>#DIV/0!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0.68</v>
      </c>
      <c r="P740" s="2" t="e">
        <f t="shared" si="68"/>
        <v>#NUM!</v>
      </c>
      <c r="Q740" s="2">
        <f t="shared" si="69"/>
        <v>0.37390096630005903</v>
      </c>
      <c r="R740" s="2" t="e">
        <f t="shared" si="70"/>
        <v>#NUM!</v>
      </c>
      <c r="S740" t="e">
        <f t="shared" si="71"/>
        <v>#NUM!</v>
      </c>
      <c r="U740" t="e">
        <v>#NUM!</v>
      </c>
    </row>
    <row r="741" spans="1:21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66"/>
        <v>#DIV/0!</v>
      </c>
      <c r="I741" s="2" t="e">
        <f t="shared" si="67"/>
        <v>#DIV/0!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f t="shared" si="68"/>
        <v>#DIV/0!</v>
      </c>
      <c r="Q741" s="2" t="e">
        <f t="shared" si="69"/>
        <v>#DIV/0!</v>
      </c>
      <c r="R741" s="2" t="e">
        <f t="shared" si="70"/>
        <v>#DIV/0!</v>
      </c>
      <c r="S741" t="e">
        <f t="shared" si="71"/>
        <v>#DIV/0!</v>
      </c>
      <c r="U741" t="e">
        <v>#NUM!</v>
      </c>
    </row>
    <row r="742" spans="1:21" ht="13.9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66"/>
        <v>#NUM!</v>
      </c>
      <c r="I742" s="2">
        <f t="shared" si="67"/>
        <v>0.37390096630005903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 t="e">
        <f t="shared" si="68"/>
        <v>#DIV/0!</v>
      </c>
      <c r="Q742" s="2" t="e">
        <f t="shared" si="69"/>
        <v>#DIV/0!</v>
      </c>
      <c r="R742" s="2" t="e">
        <f t="shared" si="70"/>
        <v>#DIV/0!</v>
      </c>
      <c r="S742" t="e">
        <f t="shared" si="71"/>
        <v>#DIV/0!</v>
      </c>
      <c r="U742" t="e">
        <v>#NUM!</v>
      </c>
    </row>
    <row r="743" spans="1:21" ht="13.9" x14ac:dyDescent="0.3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66"/>
        <v>#NUM!</v>
      </c>
      <c r="I743" s="2">
        <f t="shared" si="67"/>
        <v>0.37390096630005903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 t="e">
        <f t="shared" si="68"/>
        <v>#DIV/0!</v>
      </c>
      <c r="Q743" s="2" t="e">
        <f t="shared" si="69"/>
        <v>#DIV/0!</v>
      </c>
      <c r="R743" s="2" t="e">
        <f t="shared" si="70"/>
        <v>#DIV/0!</v>
      </c>
      <c r="S743" t="e">
        <f t="shared" si="71"/>
        <v>#DIV/0!</v>
      </c>
      <c r="U743" t="e">
        <v>#NUM!</v>
      </c>
    </row>
    <row r="744" spans="1:21" ht="13.9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66"/>
        <v>#NUM!</v>
      </c>
      <c r="I744" s="2">
        <f t="shared" si="67"/>
        <v>0.12362848074299966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 t="e">
        <f t="shared" si="68"/>
        <v>#DIV/0!</v>
      </c>
      <c r="Q744" s="2" t="e">
        <f t="shared" si="69"/>
        <v>#DIV/0!</v>
      </c>
      <c r="R744" s="2" t="e">
        <f t="shared" si="70"/>
        <v>#DIV/0!</v>
      </c>
      <c r="S744" t="e">
        <f t="shared" si="71"/>
        <v>#DIV/0!</v>
      </c>
      <c r="U744" t="e">
        <v>#NUM!</v>
      </c>
    </row>
    <row r="745" spans="1:21" ht="13.9" x14ac:dyDescent="0.3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66"/>
        <v>#NUM!</v>
      </c>
      <c r="I745" s="2">
        <f t="shared" si="67"/>
        <v>0.37390096630005903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f t="shared" si="68"/>
        <v>#DIV/0!</v>
      </c>
      <c r="Q745" s="2" t="e">
        <f t="shared" si="69"/>
        <v>#DIV/0!</v>
      </c>
      <c r="R745" s="2" t="e">
        <f t="shared" si="70"/>
        <v>#DIV/0!</v>
      </c>
      <c r="S745" t="e">
        <f t="shared" si="71"/>
        <v>#DIV/0!</v>
      </c>
      <c r="U745" t="e">
        <v>#NUM!</v>
      </c>
    </row>
    <row r="746" spans="1:21" ht="13.9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66"/>
        <v>#NUM!</v>
      </c>
      <c r="I746" s="2">
        <f t="shared" si="67"/>
        <v>0.10112616662393135</v>
      </c>
      <c r="J746" s="2">
        <v>0</v>
      </c>
      <c r="K746" s="2">
        <v>0</v>
      </c>
      <c r="L746" s="2">
        <v>0</v>
      </c>
      <c r="M746" s="2">
        <v>0.31</v>
      </c>
      <c r="N746" s="2">
        <v>0</v>
      </c>
      <c r="O746" s="2">
        <v>0</v>
      </c>
      <c r="P746" s="2" t="e">
        <f t="shared" si="68"/>
        <v>#NUM!</v>
      </c>
      <c r="Q746" s="2">
        <f t="shared" si="69"/>
        <v>0.37390096630005903</v>
      </c>
      <c r="R746" s="2" t="e">
        <f t="shared" si="70"/>
        <v>#NUM!</v>
      </c>
      <c r="S746" t="e">
        <f t="shared" si="71"/>
        <v>#NUM!</v>
      </c>
      <c r="U746" t="e">
        <v>#NUM!</v>
      </c>
    </row>
    <row r="747" spans="1:21" ht="13.9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66"/>
        <v>#NUM!</v>
      </c>
      <c r="I747" s="2">
        <f t="shared" si="67"/>
        <v>2.5485629905377765E-2</v>
      </c>
      <c r="J747" s="2">
        <v>0</v>
      </c>
      <c r="K747" s="2">
        <v>0</v>
      </c>
      <c r="L747" s="2">
        <v>0</v>
      </c>
      <c r="M747" s="2">
        <v>2.68</v>
      </c>
      <c r="N747" s="2">
        <v>0</v>
      </c>
      <c r="O747" s="2">
        <v>2.98</v>
      </c>
      <c r="P747" s="2" t="e">
        <f t="shared" si="68"/>
        <v>#NUM!</v>
      </c>
      <c r="Q747" s="2">
        <f t="shared" si="69"/>
        <v>0.11723276410001338</v>
      </c>
      <c r="R747" s="2" t="e">
        <f t="shared" si="70"/>
        <v>#NUM!</v>
      </c>
      <c r="S747" t="e">
        <f t="shared" si="71"/>
        <v>#NUM!</v>
      </c>
      <c r="U747" t="e">
        <v>#NUM!</v>
      </c>
    </row>
    <row r="748" spans="1:21" ht="13.9" x14ac:dyDescent="0.3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66"/>
        <v>3.565098401622214</v>
      </c>
      <c r="I748" s="2">
        <f t="shared" si="67"/>
        <v>1.7484917737720897E-2</v>
      </c>
      <c r="J748" s="2">
        <v>8.98</v>
      </c>
      <c r="K748" s="2">
        <v>28.25</v>
      </c>
      <c r="L748" s="2">
        <v>11.56</v>
      </c>
      <c r="M748" s="2">
        <v>1.03</v>
      </c>
      <c r="N748" s="2">
        <v>0</v>
      </c>
      <c r="O748" s="2">
        <v>2.0299999999999998</v>
      </c>
      <c r="P748" s="2">
        <f t="shared" si="68"/>
        <v>3.9949819252333758</v>
      </c>
      <c r="Q748" s="2">
        <f t="shared" si="69"/>
        <v>6.5904700739158453E-2</v>
      </c>
      <c r="R748" s="2">
        <f t="shared" si="70"/>
        <v>0.42988352361116178</v>
      </c>
      <c r="S748">
        <f t="shared" si="71"/>
        <v>1.1205811103041514</v>
      </c>
      <c r="U748">
        <v>5.6085135781513022</v>
      </c>
    </row>
    <row r="749" spans="1:21" ht="13.9" x14ac:dyDescent="0.3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66"/>
        <v>-0.92475288501372077</v>
      </c>
      <c r="I749" s="2">
        <f t="shared" si="67"/>
        <v>0.10516615429152804</v>
      </c>
      <c r="J749" s="2">
        <v>0.54</v>
      </c>
      <c r="K749" s="2">
        <v>8.58</v>
      </c>
      <c r="L749" s="2">
        <v>17.600000000000001</v>
      </c>
      <c r="M749" s="2">
        <v>20.48</v>
      </c>
      <c r="N749" s="2">
        <v>0</v>
      </c>
      <c r="O749" s="2">
        <v>31.13</v>
      </c>
      <c r="P749" s="2">
        <f t="shared" si="68"/>
        <v>-0.94973062280999754</v>
      </c>
      <c r="Q749" s="2">
        <f t="shared" si="69"/>
        <v>0.46884763101838212</v>
      </c>
      <c r="R749" s="2">
        <f t="shared" si="70"/>
        <v>-2.4977737796276767E-2</v>
      </c>
      <c r="S749">
        <f t="shared" si="71"/>
        <v>1.0270101755842655</v>
      </c>
      <c r="U749">
        <v>4.7398481026993284</v>
      </c>
    </row>
    <row r="750" spans="1:21" ht="13.9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66"/>
        <v>#DIV/0!</v>
      </c>
      <c r="I750" s="2" t="e">
        <f t="shared" si="67"/>
        <v>#DIV/0!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 t="e">
        <f t="shared" si="68"/>
        <v>#DIV/0!</v>
      </c>
      <c r="Q750" s="2" t="e">
        <f t="shared" si="69"/>
        <v>#DIV/0!</v>
      </c>
      <c r="R750" s="2" t="e">
        <f t="shared" si="70"/>
        <v>#DIV/0!</v>
      </c>
      <c r="S750" t="e">
        <f t="shared" si="71"/>
        <v>#DIV/0!</v>
      </c>
      <c r="U750" t="e">
        <v>#NUM!</v>
      </c>
    </row>
    <row r="751" spans="1:21" ht="13.9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66"/>
        <v>#NUM!</v>
      </c>
      <c r="I751" s="2">
        <f t="shared" si="67"/>
        <v>3.9193001592135165E-2</v>
      </c>
      <c r="J751" s="2">
        <v>0.36</v>
      </c>
      <c r="K751" s="2">
        <v>0.21</v>
      </c>
      <c r="L751" s="2">
        <v>1.01</v>
      </c>
      <c r="M751" s="2">
        <v>0</v>
      </c>
      <c r="N751" s="2">
        <v>0</v>
      </c>
      <c r="O751" s="2">
        <v>0.41</v>
      </c>
      <c r="P751" s="2">
        <f t="shared" si="68"/>
        <v>1.9462287435590195</v>
      </c>
      <c r="Q751" s="2">
        <f t="shared" si="69"/>
        <v>0.23745971629479487</v>
      </c>
      <c r="R751" s="2" t="e">
        <f t="shared" si="70"/>
        <v>#NUM!</v>
      </c>
      <c r="S751" t="e">
        <f t="shared" si="71"/>
        <v>#NUM!</v>
      </c>
      <c r="U751">
        <v>0.65992455840237829</v>
      </c>
    </row>
    <row r="752" spans="1:21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66"/>
        <v>#DIV/0!</v>
      </c>
      <c r="I752" s="2" t="e">
        <f t="shared" si="67"/>
        <v>#DIV/0!</v>
      </c>
      <c r="J752" s="2">
        <v>0</v>
      </c>
      <c r="K752" s="2">
        <v>0</v>
      </c>
      <c r="L752" s="2">
        <v>0</v>
      </c>
      <c r="M752" s="2">
        <v>0.1</v>
      </c>
      <c r="N752" s="2">
        <v>0</v>
      </c>
      <c r="O752" s="2">
        <v>0</v>
      </c>
      <c r="P752" s="2" t="e">
        <f t="shared" si="68"/>
        <v>#NUM!</v>
      </c>
      <c r="Q752" s="2">
        <f t="shared" si="69"/>
        <v>0.37390096630005903</v>
      </c>
      <c r="R752" s="2" t="e">
        <f t="shared" si="70"/>
        <v>#NUM!</v>
      </c>
      <c r="S752" t="e">
        <f t="shared" si="71"/>
        <v>#NUM!</v>
      </c>
      <c r="U752" t="e">
        <v>#NUM!</v>
      </c>
    </row>
    <row r="753" spans="1:21" ht="13.9" x14ac:dyDescent="0.3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66"/>
        <v>#DIV/0!</v>
      </c>
      <c r="I753" s="2">
        <f t="shared" si="67"/>
        <v>0.37390096630005903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 t="e">
        <f t="shared" si="68"/>
        <v>#DIV/0!</v>
      </c>
      <c r="Q753" s="2" t="e">
        <f t="shared" si="69"/>
        <v>#DIV/0!</v>
      </c>
      <c r="R753" s="2" t="e">
        <f t="shared" si="70"/>
        <v>#DIV/0!</v>
      </c>
      <c r="S753" t="e">
        <f t="shared" si="71"/>
        <v>#DIV/0!</v>
      </c>
      <c r="U753" t="e">
        <v>#NUM!</v>
      </c>
    </row>
    <row r="754" spans="1:21" ht="13.9" x14ac:dyDescent="0.3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66"/>
        <v>-0.52581071679267144</v>
      </c>
      <c r="I754" s="2">
        <f t="shared" si="67"/>
        <v>0.50328498956389933</v>
      </c>
      <c r="J754" s="2">
        <v>0</v>
      </c>
      <c r="K754" s="2">
        <v>0</v>
      </c>
      <c r="L754" s="2">
        <v>0</v>
      </c>
      <c r="M754" s="2">
        <v>4.9400000000000004</v>
      </c>
      <c r="N754" s="2">
        <v>0</v>
      </c>
      <c r="O754" s="2">
        <v>2.98</v>
      </c>
      <c r="P754" s="2" t="e">
        <f t="shared" si="68"/>
        <v>#NUM!</v>
      </c>
      <c r="Q754" s="2">
        <f t="shared" si="69"/>
        <v>0.13988285211681975</v>
      </c>
      <c r="R754" s="2" t="e">
        <f t="shared" si="70"/>
        <v>#NUM!</v>
      </c>
      <c r="S754" t="e">
        <f t="shared" si="71"/>
        <v>#NUM!</v>
      </c>
      <c r="U754" t="e">
        <v>#NUM!</v>
      </c>
    </row>
    <row r="755" spans="1:21" ht="13.9" x14ac:dyDescent="0.3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66"/>
        <v>-3.8321867750375396</v>
      </c>
      <c r="I755" s="2">
        <f t="shared" si="67"/>
        <v>4.7269040001168973E-2</v>
      </c>
      <c r="J755" s="2">
        <v>8.98</v>
      </c>
      <c r="K755" s="2">
        <v>8.58</v>
      </c>
      <c r="L755" s="2">
        <v>0</v>
      </c>
      <c r="M755" s="2">
        <v>7</v>
      </c>
      <c r="N755" s="2">
        <v>40.880000000000003</v>
      </c>
      <c r="O755" s="2">
        <v>4.47</v>
      </c>
      <c r="P755" s="2">
        <f t="shared" si="68"/>
        <v>-1.5758966922828126</v>
      </c>
      <c r="Q755" s="2">
        <f t="shared" si="69"/>
        <v>0.39205039145521242</v>
      </c>
      <c r="R755" s="2">
        <f t="shared" si="70"/>
        <v>2.256290082754727</v>
      </c>
      <c r="S755">
        <f t="shared" si="71"/>
        <v>0.411226483674553</v>
      </c>
      <c r="U755">
        <v>4.1342209397606338</v>
      </c>
    </row>
    <row r="756" spans="1:21" ht="13.9" x14ac:dyDescent="0.3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66"/>
        <v>#DIV/0!</v>
      </c>
      <c r="I756" s="2">
        <f t="shared" si="67"/>
        <v>0.37390096630005903</v>
      </c>
      <c r="J756" s="2">
        <v>0</v>
      </c>
      <c r="K756" s="2">
        <v>3.98</v>
      </c>
      <c r="L756" s="2">
        <v>0</v>
      </c>
      <c r="M756" s="2">
        <v>0</v>
      </c>
      <c r="N756" s="2">
        <v>0</v>
      </c>
      <c r="O756" s="2">
        <v>0</v>
      </c>
      <c r="P756" s="2" t="e">
        <f t="shared" si="68"/>
        <v>#DIV/0!</v>
      </c>
      <c r="Q756" s="2">
        <f t="shared" si="69"/>
        <v>0.37390096630005903</v>
      </c>
      <c r="R756" s="2" t="e">
        <f t="shared" si="70"/>
        <v>#DIV/0!</v>
      </c>
      <c r="S756" t="e">
        <f t="shared" si="71"/>
        <v>#DIV/0!</v>
      </c>
      <c r="U756">
        <v>1.9927684307689242</v>
      </c>
    </row>
    <row r="757" spans="1:21" ht="13.9" x14ac:dyDescent="0.3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66"/>
        <v>#NUM!</v>
      </c>
      <c r="I757" s="2">
        <f t="shared" si="67"/>
        <v>6.1262747010218032E-3</v>
      </c>
      <c r="J757" s="2">
        <v>0</v>
      </c>
      <c r="K757" s="2">
        <v>0</v>
      </c>
      <c r="L757" s="2">
        <v>0</v>
      </c>
      <c r="M757" s="2">
        <v>11.11</v>
      </c>
      <c r="N757" s="2">
        <v>0</v>
      </c>
      <c r="O757" s="2">
        <v>15.56</v>
      </c>
      <c r="P757" s="2" t="e">
        <f t="shared" si="68"/>
        <v>#NUM!</v>
      </c>
      <c r="Q757" s="2">
        <f t="shared" si="69"/>
        <v>0.12707072098279371</v>
      </c>
      <c r="R757" s="2" t="e">
        <f t="shared" si="70"/>
        <v>#NUM!</v>
      </c>
      <c r="S757" t="e">
        <f t="shared" si="71"/>
        <v>#NUM!</v>
      </c>
      <c r="U757" t="e">
        <v>#NUM!</v>
      </c>
    </row>
    <row r="758" spans="1:21" ht="13.9" x14ac:dyDescent="0.3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66"/>
        <v>-0.34091188829350827</v>
      </c>
      <c r="I758" s="2">
        <f t="shared" si="67"/>
        <v>0.23325077999425958</v>
      </c>
      <c r="J758" s="2">
        <v>31.08</v>
      </c>
      <c r="K758" s="2">
        <v>47.72</v>
      </c>
      <c r="L758" s="2">
        <v>0.5</v>
      </c>
      <c r="M758" s="2">
        <v>20.48</v>
      </c>
      <c r="N758" s="2">
        <v>0</v>
      </c>
      <c r="O758" s="2">
        <v>15.84</v>
      </c>
      <c r="P758" s="2">
        <f t="shared" si="68"/>
        <v>1.1265566633004256</v>
      </c>
      <c r="Q758" s="2">
        <f t="shared" si="69"/>
        <v>0.39798591110721776</v>
      </c>
      <c r="R758" s="2">
        <f t="shared" si="70"/>
        <v>1.4674685515939339</v>
      </c>
      <c r="S758">
        <f t="shared" si="71"/>
        <v>-3.3045390964204686</v>
      </c>
      <c r="U758">
        <v>6.3092489608166167</v>
      </c>
    </row>
    <row r="759" spans="1:21" ht="13.9" x14ac:dyDescent="0.3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66"/>
        <v>1.1707075862409371</v>
      </c>
      <c r="I759" s="2">
        <f t="shared" si="67"/>
        <v>0.41167869936054463</v>
      </c>
      <c r="J759" s="2">
        <v>8.98</v>
      </c>
      <c r="K759" s="2">
        <v>27.42</v>
      </c>
      <c r="L759" s="2">
        <v>53.29</v>
      </c>
      <c r="M759" s="2">
        <v>4.42</v>
      </c>
      <c r="N759" s="2">
        <v>0</v>
      </c>
      <c r="O759" s="2">
        <v>14.62</v>
      </c>
      <c r="P759" s="2">
        <f t="shared" si="68"/>
        <v>2.2359136619652742</v>
      </c>
      <c r="Q759" s="2">
        <f t="shared" si="69"/>
        <v>0.15745216759394998</v>
      </c>
      <c r="R759" s="2">
        <f t="shared" si="70"/>
        <v>1.0652060757243371</v>
      </c>
      <c r="S759">
        <f t="shared" si="71"/>
        <v>1.9098822697003628</v>
      </c>
      <c r="U759">
        <v>6.4868752354984922</v>
      </c>
    </row>
    <row r="760" spans="1:21" ht="13.9" x14ac:dyDescent="0.3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66"/>
        <v>-2.9843305437341163</v>
      </c>
      <c r="I760" s="2">
        <f t="shared" si="67"/>
        <v>9.307029961099977E-3</v>
      </c>
      <c r="J760" s="2">
        <v>10.6</v>
      </c>
      <c r="K760" s="2">
        <v>7.53</v>
      </c>
      <c r="L760" s="2">
        <v>0</v>
      </c>
      <c r="M760" s="2">
        <v>15.84</v>
      </c>
      <c r="N760" s="2">
        <v>0</v>
      </c>
      <c r="O760" s="2">
        <v>23.01</v>
      </c>
      <c r="P760" s="2">
        <f t="shared" si="68"/>
        <v>-1.0995356735509145</v>
      </c>
      <c r="Q760" s="2">
        <f t="shared" si="69"/>
        <v>0.40874887234669804</v>
      </c>
      <c r="R760" s="2">
        <f t="shared" si="70"/>
        <v>1.8847948701832018</v>
      </c>
      <c r="S760">
        <f t="shared" si="71"/>
        <v>0.36843628996107469</v>
      </c>
      <c r="U760">
        <v>4.1803070199694332</v>
      </c>
    </row>
    <row r="761" spans="1:21" ht="13.9" x14ac:dyDescent="0.3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66"/>
        <v>#NUM!</v>
      </c>
      <c r="I761" s="2">
        <f t="shared" si="67"/>
        <v>0.37390096630005903</v>
      </c>
      <c r="J761" s="2">
        <v>0</v>
      </c>
      <c r="K761" s="2">
        <v>8.3699999999999992</v>
      </c>
      <c r="L761" s="2">
        <v>28.66</v>
      </c>
      <c r="M761" s="2">
        <v>0</v>
      </c>
      <c r="N761" s="2">
        <v>0</v>
      </c>
      <c r="O761" s="2">
        <v>0</v>
      </c>
      <c r="P761" s="2" t="e">
        <f t="shared" si="68"/>
        <v>#DIV/0!</v>
      </c>
      <c r="Q761" s="2">
        <f t="shared" si="69"/>
        <v>0.22048371573700468</v>
      </c>
      <c r="R761" s="2" t="e">
        <f t="shared" si="70"/>
        <v>#DIV/0!</v>
      </c>
      <c r="S761" t="e">
        <f t="shared" si="71"/>
        <v>#DIV/0!</v>
      </c>
      <c r="U761">
        <v>5.2106226443969055</v>
      </c>
    </row>
    <row r="762" spans="1:21" ht="13.9" x14ac:dyDescent="0.3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66"/>
        <v>1.5627757374564946</v>
      </c>
      <c r="I762" s="2">
        <f t="shared" si="67"/>
        <v>0.45001795662234856</v>
      </c>
      <c r="J762" s="2">
        <v>6.47</v>
      </c>
      <c r="K762" s="2">
        <v>2.5099999999999998</v>
      </c>
      <c r="L762" s="2">
        <v>8.5500000000000007</v>
      </c>
      <c r="M762" s="2">
        <v>0.21</v>
      </c>
      <c r="N762" s="2">
        <v>0</v>
      </c>
      <c r="O762" s="2">
        <v>1.22</v>
      </c>
      <c r="P762" s="2">
        <f t="shared" si="68"/>
        <v>3.6157389439811491</v>
      </c>
      <c r="Q762" s="2">
        <f t="shared" si="69"/>
        <v>4.1423052852190043E-2</v>
      </c>
      <c r="R762" s="2">
        <f t="shared" si="70"/>
        <v>2.0529632065246544</v>
      </c>
      <c r="S762">
        <f t="shared" si="71"/>
        <v>2.3136646271882668</v>
      </c>
      <c r="U762">
        <v>4.1317540909848134</v>
      </c>
    </row>
    <row r="763" spans="1:21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66"/>
        <v>#DIV/0!</v>
      </c>
      <c r="I763" s="2" t="e">
        <f t="shared" si="67"/>
        <v>#DIV/0!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 t="e">
        <f t="shared" si="68"/>
        <v>#DIV/0!</v>
      </c>
      <c r="Q763" s="2" t="e">
        <f t="shared" si="69"/>
        <v>#DIV/0!</v>
      </c>
      <c r="R763" s="2" t="e">
        <f t="shared" si="70"/>
        <v>#DIV/0!</v>
      </c>
      <c r="S763" t="e">
        <f t="shared" si="71"/>
        <v>#DIV/0!</v>
      </c>
      <c r="U763" t="e">
        <v>#NUM!</v>
      </c>
    </row>
    <row r="764" spans="1:21" ht="13.9" x14ac:dyDescent="0.3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66"/>
        <v>-0.80623415647911967</v>
      </c>
      <c r="I764" s="2">
        <f t="shared" si="67"/>
        <v>0.41218127125316428</v>
      </c>
      <c r="J764" s="2">
        <v>11.68</v>
      </c>
      <c r="K764" s="2">
        <v>31.18</v>
      </c>
      <c r="L764" s="2">
        <v>45.25</v>
      </c>
      <c r="M764" s="2">
        <v>52.06</v>
      </c>
      <c r="N764" s="2">
        <v>1185.42</v>
      </c>
      <c r="O764" s="2">
        <v>88.65</v>
      </c>
      <c r="P764" s="2">
        <f t="shared" si="68"/>
        <v>-3.9117726325986748</v>
      </c>
      <c r="Q764" s="2">
        <f t="shared" si="69"/>
        <v>0.32944549668196982</v>
      </c>
      <c r="R764" s="2">
        <f t="shared" si="70"/>
        <v>-3.105538476119555</v>
      </c>
      <c r="S764">
        <f t="shared" si="71"/>
        <v>4.8519063613995916</v>
      </c>
      <c r="U764">
        <v>6.4612338612712827</v>
      </c>
    </row>
    <row r="765" spans="1:21" ht="13.9" x14ac:dyDescent="0.3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ref="H765:H828" si="72">LOG(SUM(B765:D765)/SUM(E765:G765),2)</f>
        <v>3.0136318655877665</v>
      </c>
      <c r="I765" s="2">
        <f t="shared" ref="I765:I828" si="73">_xlfn.T.TEST(B765:D765,E765:G765,2,2)</f>
        <v>0.17905821504412833</v>
      </c>
      <c r="J765" s="2">
        <v>2.87</v>
      </c>
      <c r="K765" s="2">
        <v>13.81</v>
      </c>
      <c r="L765" s="2">
        <v>6.03</v>
      </c>
      <c r="M765" s="2">
        <v>0.41</v>
      </c>
      <c r="N765" s="2">
        <v>0</v>
      </c>
      <c r="O765" s="2">
        <v>0.54</v>
      </c>
      <c r="P765" s="2">
        <f t="shared" ref="P765:P828" si="74">LOG(SUM(J765:L765)/SUM(M765:O765),2)</f>
        <v>4.5792563823759407</v>
      </c>
      <c r="Q765" s="2">
        <f t="shared" ref="Q765:Q828" si="75">_xlfn.T.TEST(J765:L765,M765:O765,2,2)</f>
        <v>8.9752503308364207E-2</v>
      </c>
      <c r="R765" s="2">
        <f t="shared" ref="R765:R828" si="76">P765-H765</f>
        <v>1.5656245167881742</v>
      </c>
      <c r="S765">
        <f t="shared" si="71"/>
        <v>1.5195141897276232</v>
      </c>
      <c r="U765">
        <v>4.5052558009321633</v>
      </c>
    </row>
    <row r="766" spans="1:21" ht="13.9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72"/>
        <v>#NUM!</v>
      </c>
      <c r="I766" s="2">
        <f t="shared" si="73"/>
        <v>0.25184998479277187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 t="e">
        <f t="shared" si="74"/>
        <v>#DIV/0!</v>
      </c>
      <c r="Q766" s="2" t="e">
        <f t="shared" si="75"/>
        <v>#DIV/0!</v>
      </c>
      <c r="R766" s="2" t="e">
        <f t="shared" si="76"/>
        <v>#DIV/0!</v>
      </c>
      <c r="S766" t="e">
        <f t="shared" si="71"/>
        <v>#DIV/0!</v>
      </c>
      <c r="U766" t="e">
        <v>#NUM!</v>
      </c>
    </row>
    <row r="767" spans="1:21" ht="13.9" x14ac:dyDescent="0.3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72"/>
        <v>1.7254365495571735</v>
      </c>
      <c r="I767" s="2">
        <f t="shared" si="73"/>
        <v>0.52542103604518053</v>
      </c>
      <c r="J767" s="2">
        <v>0</v>
      </c>
      <c r="K767" s="2">
        <v>0</v>
      </c>
      <c r="L767" s="2">
        <v>0</v>
      </c>
      <c r="M767" s="2">
        <v>3.4</v>
      </c>
      <c r="N767" s="2">
        <v>0</v>
      </c>
      <c r="O767" s="2">
        <v>1.22</v>
      </c>
      <c r="P767" s="2" t="e">
        <f t="shared" si="74"/>
        <v>#NUM!</v>
      </c>
      <c r="Q767" s="2">
        <f t="shared" si="75"/>
        <v>0.19640033947247904</v>
      </c>
      <c r="R767" s="2" t="e">
        <f t="shared" si="76"/>
        <v>#NUM!</v>
      </c>
      <c r="S767" t="e">
        <f t="shared" si="71"/>
        <v>#NUM!</v>
      </c>
      <c r="U767" t="e">
        <v>#NUM!</v>
      </c>
    </row>
    <row r="768" spans="1:21" ht="13.9" x14ac:dyDescent="0.3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72"/>
        <v>0.88769703037520775</v>
      </c>
      <c r="I768" s="2">
        <f t="shared" si="73"/>
        <v>0.67842373767466846</v>
      </c>
      <c r="J768" s="2">
        <v>0</v>
      </c>
      <c r="K768" s="2">
        <v>0</v>
      </c>
      <c r="L768" s="2">
        <v>0</v>
      </c>
      <c r="M768" s="2">
        <v>0.41</v>
      </c>
      <c r="N768" s="2">
        <v>0</v>
      </c>
      <c r="O768" s="2">
        <v>0</v>
      </c>
      <c r="P768" s="2" t="e">
        <f t="shared" si="74"/>
        <v>#NUM!</v>
      </c>
      <c r="Q768" s="2">
        <f t="shared" si="75"/>
        <v>0.37390096630005903</v>
      </c>
      <c r="R768" s="2" t="e">
        <f t="shared" si="76"/>
        <v>#NUM!</v>
      </c>
      <c r="S768" t="e">
        <f t="shared" si="71"/>
        <v>#NUM!</v>
      </c>
      <c r="U768" t="e">
        <v>#NUM!</v>
      </c>
    </row>
    <row r="769" spans="1:21" ht="13.9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72"/>
        <v>#NUM!</v>
      </c>
      <c r="I769" s="2">
        <f t="shared" si="73"/>
        <v>0.37390096630005903</v>
      </c>
      <c r="J769" s="2">
        <v>0</v>
      </c>
      <c r="K769" s="2">
        <v>0</v>
      </c>
      <c r="L769" s="2">
        <v>0</v>
      </c>
      <c r="M769" s="2">
        <v>0.1</v>
      </c>
      <c r="N769" s="2">
        <v>0</v>
      </c>
      <c r="O769" s="2">
        <v>0</v>
      </c>
      <c r="P769" s="2" t="e">
        <f t="shared" si="74"/>
        <v>#NUM!</v>
      </c>
      <c r="Q769" s="2">
        <f t="shared" si="75"/>
        <v>0.37390096630005903</v>
      </c>
      <c r="R769" s="2" t="e">
        <f t="shared" si="76"/>
        <v>#NUM!</v>
      </c>
      <c r="S769" t="e">
        <f t="shared" si="71"/>
        <v>#NUM!</v>
      </c>
      <c r="U769" t="e">
        <v>#NUM!</v>
      </c>
    </row>
    <row r="770" spans="1:21" ht="13.9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si="72"/>
        <v>#NUM!</v>
      </c>
      <c r="I770" s="2">
        <f t="shared" si="73"/>
        <v>0.37390096630005903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 t="e">
        <f t="shared" si="74"/>
        <v>#DIV/0!</v>
      </c>
      <c r="Q770" s="2" t="e">
        <f t="shared" si="75"/>
        <v>#DIV/0!</v>
      </c>
      <c r="R770" s="2" t="e">
        <f t="shared" si="76"/>
        <v>#DIV/0!</v>
      </c>
      <c r="S770" t="e">
        <f t="shared" si="71"/>
        <v>#DIV/0!</v>
      </c>
      <c r="U770" t="e">
        <v>#NUM!</v>
      </c>
    </row>
    <row r="771" spans="1:21" ht="13.9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72"/>
        <v>#NUM!</v>
      </c>
      <c r="I771" s="2">
        <f t="shared" si="73"/>
        <v>0.37390096630005903</v>
      </c>
      <c r="J771" s="2">
        <v>0</v>
      </c>
      <c r="K771" s="2">
        <v>1.67</v>
      </c>
      <c r="L771" s="2">
        <v>0</v>
      </c>
      <c r="M771" s="2">
        <v>0</v>
      </c>
      <c r="N771" s="2">
        <v>0</v>
      </c>
      <c r="O771" s="2">
        <v>0</v>
      </c>
      <c r="P771" s="2" t="e">
        <f t="shared" si="74"/>
        <v>#DIV/0!</v>
      </c>
      <c r="Q771" s="2">
        <f t="shared" si="75"/>
        <v>0.37390096630005903</v>
      </c>
      <c r="R771" s="2" t="e">
        <f t="shared" si="76"/>
        <v>#DIV/0!</v>
      </c>
      <c r="S771" t="e">
        <f t="shared" si="71"/>
        <v>#DIV/0!</v>
      </c>
      <c r="U771">
        <v>0.73984810269932755</v>
      </c>
    </row>
    <row r="772" spans="1:21" ht="13.9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72"/>
        <v>#NUM!</v>
      </c>
      <c r="I772" s="2">
        <f t="shared" si="73"/>
        <v>0.11781607687077444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 t="e">
        <f t="shared" si="74"/>
        <v>#DIV/0!</v>
      </c>
      <c r="Q772" s="2" t="e">
        <f t="shared" si="75"/>
        <v>#DIV/0!</v>
      </c>
      <c r="R772" s="2" t="e">
        <f t="shared" si="76"/>
        <v>#DIV/0!</v>
      </c>
      <c r="S772" t="e">
        <f t="shared" ref="S772:S835" si="77">P772/H772</f>
        <v>#DIV/0!</v>
      </c>
      <c r="U772" t="e">
        <v>#NUM!</v>
      </c>
    </row>
    <row r="773" spans="1:21" ht="13.9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72"/>
        <v>#NUM!</v>
      </c>
      <c r="I773" s="2">
        <f t="shared" si="73"/>
        <v>0.25117827857643138</v>
      </c>
      <c r="J773" s="2">
        <v>0</v>
      </c>
      <c r="K773" s="2">
        <v>0</v>
      </c>
      <c r="L773" s="2">
        <v>0</v>
      </c>
      <c r="M773" s="2">
        <v>0.51</v>
      </c>
      <c r="N773" s="2">
        <v>0</v>
      </c>
      <c r="O773" s="2">
        <v>1.49</v>
      </c>
      <c r="P773" s="2" t="e">
        <f t="shared" si="74"/>
        <v>#NUM!</v>
      </c>
      <c r="Q773" s="2">
        <f t="shared" si="75"/>
        <v>0.20198250776465046</v>
      </c>
      <c r="R773" s="2" t="e">
        <f t="shared" si="76"/>
        <v>#NUM!</v>
      </c>
      <c r="S773" t="e">
        <f t="shared" si="77"/>
        <v>#NUM!</v>
      </c>
      <c r="U773" t="e">
        <v>#NUM!</v>
      </c>
    </row>
    <row r="774" spans="1:21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72"/>
        <v>#DIV/0!</v>
      </c>
      <c r="I774" s="2" t="e">
        <f t="shared" si="73"/>
        <v>#DIV/0!</v>
      </c>
      <c r="J774" s="2">
        <v>0</v>
      </c>
      <c r="K774" s="2">
        <v>0</v>
      </c>
      <c r="L774" s="2">
        <v>0</v>
      </c>
      <c r="M774" s="2">
        <v>0.31</v>
      </c>
      <c r="N774" s="2">
        <v>0</v>
      </c>
      <c r="O774" s="2">
        <v>0</v>
      </c>
      <c r="P774" s="2" t="e">
        <f t="shared" si="74"/>
        <v>#NUM!</v>
      </c>
      <c r="Q774" s="2">
        <f t="shared" si="75"/>
        <v>0.37390096630005903</v>
      </c>
      <c r="R774" s="2" t="e">
        <f t="shared" si="76"/>
        <v>#NUM!</v>
      </c>
      <c r="S774" t="e">
        <f t="shared" si="77"/>
        <v>#NUM!</v>
      </c>
      <c r="U774" t="e">
        <v>#NUM!</v>
      </c>
    </row>
    <row r="775" spans="1:21" ht="13.9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72"/>
        <v>#NUM!</v>
      </c>
      <c r="I775" s="2">
        <f t="shared" si="73"/>
        <v>0.37390096630005903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0.95</v>
      </c>
      <c r="P775" s="2" t="e">
        <f t="shared" si="74"/>
        <v>#NUM!</v>
      </c>
      <c r="Q775" s="2">
        <f t="shared" si="75"/>
        <v>0.37390096630005903</v>
      </c>
      <c r="R775" s="2" t="e">
        <f t="shared" si="76"/>
        <v>#NUM!</v>
      </c>
      <c r="S775" t="e">
        <f t="shared" si="77"/>
        <v>#NUM!</v>
      </c>
      <c r="U775" t="e">
        <v>#NUM!</v>
      </c>
    </row>
    <row r="776" spans="1:21" ht="13.9" x14ac:dyDescent="0.3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72"/>
        <v>#DIV/0!</v>
      </c>
      <c r="I776" s="2">
        <f t="shared" si="73"/>
        <v>0.37390096630005903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 t="e">
        <f t="shared" si="74"/>
        <v>#DIV/0!</v>
      </c>
      <c r="Q776" s="2" t="e">
        <f t="shared" si="75"/>
        <v>#DIV/0!</v>
      </c>
      <c r="R776" s="2" t="e">
        <f t="shared" si="76"/>
        <v>#DIV/0!</v>
      </c>
      <c r="S776" t="e">
        <f t="shared" si="77"/>
        <v>#DIV/0!</v>
      </c>
      <c r="U776" t="e">
        <v>#NUM!</v>
      </c>
    </row>
    <row r="777" spans="1:21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72"/>
        <v>#DIV/0!</v>
      </c>
      <c r="I777" s="2" t="e">
        <f t="shared" si="73"/>
        <v>#DIV/0!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0.27</v>
      </c>
      <c r="P777" s="2" t="e">
        <f t="shared" si="74"/>
        <v>#NUM!</v>
      </c>
      <c r="Q777" s="2">
        <f t="shared" si="75"/>
        <v>0.37390096630005903</v>
      </c>
      <c r="R777" s="2" t="e">
        <f t="shared" si="76"/>
        <v>#NUM!</v>
      </c>
      <c r="S777" t="e">
        <f t="shared" si="77"/>
        <v>#NUM!</v>
      </c>
      <c r="U777" t="e">
        <v>#NUM!</v>
      </c>
    </row>
    <row r="778" spans="1:21" ht="13.9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72"/>
        <v>#NUM!</v>
      </c>
      <c r="I778" s="2">
        <f t="shared" si="73"/>
        <v>0.37390096630005903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 t="e">
        <f t="shared" si="74"/>
        <v>#DIV/0!</v>
      </c>
      <c r="Q778" s="2" t="e">
        <f t="shared" si="75"/>
        <v>#DIV/0!</v>
      </c>
      <c r="R778" s="2" t="e">
        <f t="shared" si="76"/>
        <v>#DIV/0!</v>
      </c>
      <c r="S778" t="e">
        <f t="shared" si="77"/>
        <v>#DIV/0!</v>
      </c>
      <c r="U778" t="e">
        <v>#NUM!</v>
      </c>
    </row>
    <row r="779" spans="1:21" ht="13.9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72"/>
        <v>#NUM!</v>
      </c>
      <c r="I779" s="2">
        <f t="shared" si="73"/>
        <v>0.37390096630005903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 t="e">
        <f t="shared" si="74"/>
        <v>#DIV/0!</v>
      </c>
      <c r="Q779" s="2" t="e">
        <f t="shared" si="75"/>
        <v>#DIV/0!</v>
      </c>
      <c r="R779" s="2" t="e">
        <f t="shared" si="76"/>
        <v>#DIV/0!</v>
      </c>
      <c r="S779" t="e">
        <f t="shared" si="77"/>
        <v>#DIV/0!</v>
      </c>
      <c r="U779" t="e">
        <v>#NUM!</v>
      </c>
    </row>
    <row r="780" spans="1:21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72"/>
        <v>#DIV/0!</v>
      </c>
      <c r="I780" s="2" t="e">
        <f t="shared" si="73"/>
        <v>#DIV/0!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 t="e">
        <f t="shared" si="74"/>
        <v>#DIV/0!</v>
      </c>
      <c r="Q780" s="2" t="e">
        <f t="shared" si="75"/>
        <v>#DIV/0!</v>
      </c>
      <c r="R780" s="2" t="e">
        <f t="shared" si="76"/>
        <v>#DIV/0!</v>
      </c>
      <c r="S780" t="e">
        <f t="shared" si="77"/>
        <v>#DIV/0!</v>
      </c>
      <c r="U780" t="e">
        <v>#NUM!</v>
      </c>
    </row>
    <row r="781" spans="1:21" ht="13.9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72"/>
        <v>#NUM!</v>
      </c>
      <c r="I781" s="2">
        <f t="shared" si="73"/>
        <v>0.37390096630005903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0.81</v>
      </c>
      <c r="P781" s="2" t="e">
        <f t="shared" si="74"/>
        <v>#NUM!</v>
      </c>
      <c r="Q781" s="2">
        <f t="shared" si="75"/>
        <v>0.37390096630005903</v>
      </c>
      <c r="R781" s="2" t="e">
        <f t="shared" si="76"/>
        <v>#NUM!</v>
      </c>
      <c r="S781" t="e">
        <f t="shared" si="77"/>
        <v>#NUM!</v>
      </c>
      <c r="U781" t="e">
        <v>#NUM!</v>
      </c>
    </row>
    <row r="782" spans="1:21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72"/>
        <v>#DIV/0!</v>
      </c>
      <c r="I782" s="2" t="e">
        <f t="shared" si="73"/>
        <v>#DIV/0!</v>
      </c>
      <c r="J782" s="2">
        <v>0</v>
      </c>
      <c r="K782" s="2">
        <v>0</v>
      </c>
      <c r="L782" s="2">
        <v>0</v>
      </c>
      <c r="M782" s="2">
        <v>0.62</v>
      </c>
      <c r="N782" s="2">
        <v>0</v>
      </c>
      <c r="O782" s="2">
        <v>0</v>
      </c>
      <c r="P782" s="2" t="e">
        <f t="shared" si="74"/>
        <v>#NUM!</v>
      </c>
      <c r="Q782" s="2">
        <f t="shared" si="75"/>
        <v>0.37390096630005903</v>
      </c>
      <c r="R782" s="2" t="e">
        <f t="shared" si="76"/>
        <v>#NUM!</v>
      </c>
      <c r="S782" t="e">
        <f t="shared" si="77"/>
        <v>#NUM!</v>
      </c>
      <c r="U782" t="e">
        <v>#NUM!</v>
      </c>
    </row>
    <row r="783" spans="1:21" ht="13.9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72"/>
        <v>#DIV/0!</v>
      </c>
      <c r="I783" s="2" t="e">
        <f t="shared" si="73"/>
        <v>#DIV/0!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 t="e">
        <f t="shared" si="74"/>
        <v>#DIV/0!</v>
      </c>
      <c r="Q783" s="2" t="e">
        <f t="shared" si="75"/>
        <v>#DIV/0!</v>
      </c>
      <c r="R783" s="2" t="e">
        <f t="shared" si="76"/>
        <v>#DIV/0!</v>
      </c>
      <c r="S783" t="e">
        <f t="shared" si="77"/>
        <v>#DIV/0!</v>
      </c>
      <c r="U783" t="e">
        <v>#NUM!</v>
      </c>
    </row>
    <row r="784" spans="1:21" ht="13.9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72"/>
        <v>#NUM!</v>
      </c>
      <c r="I784" s="2">
        <f t="shared" si="73"/>
        <v>0.37390096630005903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 t="e">
        <f t="shared" si="74"/>
        <v>#DIV/0!</v>
      </c>
      <c r="Q784" s="2" t="e">
        <f t="shared" si="75"/>
        <v>#DIV/0!</v>
      </c>
      <c r="R784" s="2" t="e">
        <f t="shared" si="76"/>
        <v>#DIV/0!</v>
      </c>
      <c r="S784" t="e">
        <f t="shared" si="77"/>
        <v>#DIV/0!</v>
      </c>
      <c r="U784" t="e">
        <v>#NUM!</v>
      </c>
    </row>
    <row r="785" spans="1:21" ht="13.9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72"/>
        <v>#NUM!</v>
      </c>
      <c r="I785" s="2">
        <f t="shared" si="73"/>
        <v>0.37390096630005903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 t="e">
        <f t="shared" si="74"/>
        <v>#DIV/0!</v>
      </c>
      <c r="Q785" s="2" t="e">
        <f t="shared" si="75"/>
        <v>#DIV/0!</v>
      </c>
      <c r="R785" s="2" t="e">
        <f t="shared" si="76"/>
        <v>#DIV/0!</v>
      </c>
      <c r="S785" t="e">
        <f t="shared" si="77"/>
        <v>#DIV/0!</v>
      </c>
      <c r="U785" t="e">
        <v>#NUM!</v>
      </c>
    </row>
    <row r="786" spans="1:21" ht="13.9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72"/>
        <v>#NUM!</v>
      </c>
      <c r="I786" s="2">
        <f t="shared" si="73"/>
        <v>0.16147812905921274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0.95</v>
      </c>
      <c r="P786" s="2" t="e">
        <f t="shared" si="74"/>
        <v>#NUM!</v>
      </c>
      <c r="Q786" s="2">
        <f t="shared" si="75"/>
        <v>0.37390096630005903</v>
      </c>
      <c r="R786" s="2" t="e">
        <f t="shared" si="76"/>
        <v>#NUM!</v>
      </c>
      <c r="S786" t="e">
        <f t="shared" si="77"/>
        <v>#NUM!</v>
      </c>
      <c r="U786" t="e">
        <v>#NUM!</v>
      </c>
    </row>
    <row r="787" spans="1:21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72"/>
        <v>#DIV/0!</v>
      </c>
      <c r="I787" s="2" t="e">
        <f t="shared" si="73"/>
        <v>#DIV/0!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 t="e">
        <f t="shared" si="74"/>
        <v>#DIV/0!</v>
      </c>
      <c r="Q787" s="2" t="e">
        <f t="shared" si="75"/>
        <v>#DIV/0!</v>
      </c>
      <c r="R787" s="2" t="e">
        <f t="shared" si="76"/>
        <v>#DIV/0!</v>
      </c>
      <c r="S787" t="e">
        <f t="shared" si="77"/>
        <v>#DIV/0!</v>
      </c>
      <c r="U787" t="e">
        <v>#NUM!</v>
      </c>
    </row>
    <row r="788" spans="1:21" ht="13.9" x14ac:dyDescent="0.3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72"/>
        <v>-0.20516600722585143</v>
      </c>
      <c r="I788" s="2">
        <f t="shared" si="73"/>
        <v>0.88950614838957109</v>
      </c>
      <c r="J788" s="2">
        <v>0</v>
      </c>
      <c r="K788" s="2">
        <v>7.53</v>
      </c>
      <c r="L788" s="2">
        <v>0.5</v>
      </c>
      <c r="M788" s="2">
        <v>1.1299999999999999</v>
      </c>
      <c r="N788" s="2">
        <v>0</v>
      </c>
      <c r="O788" s="2">
        <v>2.71</v>
      </c>
      <c r="P788" s="2">
        <f t="shared" si="74"/>
        <v>1.0642936767961586</v>
      </c>
      <c r="Q788" s="2">
        <f t="shared" si="75"/>
        <v>0.61366639379253218</v>
      </c>
      <c r="R788" s="2">
        <f t="shared" si="76"/>
        <v>1.26945968402201</v>
      </c>
      <c r="S788">
        <f t="shared" si="77"/>
        <v>-5.1874756992495339</v>
      </c>
      <c r="U788">
        <v>3.0053999877425897</v>
      </c>
    </row>
    <row r="789" spans="1:21" ht="13.9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72"/>
        <v>#NUM!</v>
      </c>
      <c r="I789" s="2">
        <f t="shared" si="73"/>
        <v>0.23779614445826563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 t="e">
        <f t="shared" si="74"/>
        <v>#DIV/0!</v>
      </c>
      <c r="Q789" s="2" t="e">
        <f t="shared" si="75"/>
        <v>#DIV/0!</v>
      </c>
      <c r="R789" s="2" t="e">
        <f t="shared" si="76"/>
        <v>#DIV/0!</v>
      </c>
      <c r="S789" t="e">
        <f t="shared" si="77"/>
        <v>#DIV/0!</v>
      </c>
      <c r="U789" t="e">
        <v>#NUM!</v>
      </c>
    </row>
    <row r="790" spans="1:21" ht="13.9" x14ac:dyDescent="0.3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72"/>
        <v>#NUM!</v>
      </c>
      <c r="I790" s="2">
        <f t="shared" si="73"/>
        <v>0.37390096630005903</v>
      </c>
      <c r="J790" s="2">
        <v>0</v>
      </c>
      <c r="K790" s="2">
        <v>0</v>
      </c>
      <c r="L790" s="2">
        <v>0</v>
      </c>
      <c r="M790" s="2">
        <v>0.1</v>
      </c>
      <c r="N790" s="2">
        <v>0</v>
      </c>
      <c r="O790" s="2">
        <v>0</v>
      </c>
      <c r="P790" s="2" t="e">
        <f t="shared" si="74"/>
        <v>#NUM!</v>
      </c>
      <c r="Q790" s="2">
        <f t="shared" si="75"/>
        <v>0.37390096630005903</v>
      </c>
      <c r="R790" s="2" t="e">
        <f t="shared" si="76"/>
        <v>#NUM!</v>
      </c>
      <c r="S790" t="e">
        <f t="shared" si="77"/>
        <v>#NUM!</v>
      </c>
      <c r="U790" t="e">
        <v>#NUM!</v>
      </c>
    </row>
    <row r="791" spans="1:21" ht="13.9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72"/>
        <v>#NUM!</v>
      </c>
      <c r="I791" s="2">
        <f t="shared" si="73"/>
        <v>0.37390096630005903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0.14000000000000001</v>
      </c>
      <c r="P791" s="2" t="e">
        <f t="shared" si="74"/>
        <v>#NUM!</v>
      </c>
      <c r="Q791" s="2">
        <f t="shared" si="75"/>
        <v>0.37390096630005903</v>
      </c>
      <c r="R791" s="2" t="e">
        <f t="shared" si="76"/>
        <v>#NUM!</v>
      </c>
      <c r="S791" t="e">
        <f t="shared" si="77"/>
        <v>#NUM!</v>
      </c>
      <c r="U791" t="e">
        <v>#NUM!</v>
      </c>
    </row>
    <row r="792" spans="1:21" ht="13.9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72"/>
        <v>#DIV/0!</v>
      </c>
      <c r="I792" s="2" t="e">
        <f t="shared" si="73"/>
        <v>#DIV/0!</v>
      </c>
      <c r="J792" s="2">
        <v>0</v>
      </c>
      <c r="K792" s="2">
        <v>0</v>
      </c>
      <c r="L792" s="2">
        <v>0</v>
      </c>
      <c r="M792" s="2">
        <v>0.62</v>
      </c>
      <c r="N792" s="2">
        <v>0</v>
      </c>
      <c r="O792" s="2">
        <v>0.54</v>
      </c>
      <c r="P792" s="2" t="e">
        <f t="shared" si="74"/>
        <v>#NUM!</v>
      </c>
      <c r="Q792" s="2">
        <f t="shared" si="75"/>
        <v>0.11800491355674664</v>
      </c>
      <c r="R792" s="2" t="e">
        <f t="shared" si="76"/>
        <v>#NUM!</v>
      </c>
      <c r="S792" t="e">
        <f t="shared" si="77"/>
        <v>#NUM!</v>
      </c>
      <c r="U792" t="e">
        <v>#NUM!</v>
      </c>
    </row>
    <row r="793" spans="1:21" ht="13.9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72"/>
        <v>#NUM!</v>
      </c>
      <c r="I793" s="2">
        <f t="shared" si="73"/>
        <v>0.37390096630005903</v>
      </c>
      <c r="J793" s="2">
        <v>0</v>
      </c>
      <c r="K793" s="2">
        <v>0</v>
      </c>
      <c r="L793" s="2">
        <v>0</v>
      </c>
      <c r="M793" s="2">
        <v>0.31</v>
      </c>
      <c r="N793" s="2">
        <v>0</v>
      </c>
      <c r="O793" s="2">
        <v>1.89</v>
      </c>
      <c r="P793" s="2" t="e">
        <f t="shared" si="74"/>
        <v>#NUM!</v>
      </c>
      <c r="Q793" s="2">
        <f t="shared" si="75"/>
        <v>0.27842236753211863</v>
      </c>
      <c r="R793" s="2" t="e">
        <f t="shared" si="76"/>
        <v>#NUM!</v>
      </c>
      <c r="S793" t="e">
        <f t="shared" si="77"/>
        <v>#NUM!</v>
      </c>
      <c r="U793" t="e">
        <v>#NUM!</v>
      </c>
    </row>
    <row r="794" spans="1:21" ht="13.9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72"/>
        <v>#NUM!</v>
      </c>
      <c r="I794" s="2">
        <f t="shared" si="73"/>
        <v>4.6068850482169299E-2</v>
      </c>
      <c r="J794" s="2">
        <v>0</v>
      </c>
      <c r="K794" s="2">
        <v>0</v>
      </c>
      <c r="L794" s="2">
        <v>0</v>
      </c>
      <c r="M794" s="2">
        <v>1.44</v>
      </c>
      <c r="N794" s="2">
        <v>0</v>
      </c>
      <c r="O794" s="2">
        <v>0</v>
      </c>
      <c r="P794" s="2" t="e">
        <f t="shared" si="74"/>
        <v>#NUM!</v>
      </c>
      <c r="Q794" s="2">
        <f t="shared" si="75"/>
        <v>0.37390096630005903</v>
      </c>
      <c r="R794" s="2" t="e">
        <f t="shared" si="76"/>
        <v>#NUM!</v>
      </c>
      <c r="S794" t="e">
        <f t="shared" si="77"/>
        <v>#NUM!</v>
      </c>
      <c r="U794" t="e">
        <v>#NUM!</v>
      </c>
    </row>
    <row r="795" spans="1:21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72"/>
        <v>#DIV/0!</v>
      </c>
      <c r="I795" s="2" t="e">
        <f t="shared" si="73"/>
        <v>#DIV/0!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0.14000000000000001</v>
      </c>
      <c r="P795" s="2" t="e">
        <f t="shared" si="74"/>
        <v>#NUM!</v>
      </c>
      <c r="Q795" s="2">
        <f t="shared" si="75"/>
        <v>0.37390096630005903</v>
      </c>
      <c r="R795" s="2" t="e">
        <f t="shared" si="76"/>
        <v>#NUM!</v>
      </c>
      <c r="S795" t="e">
        <f t="shared" si="77"/>
        <v>#NUM!</v>
      </c>
      <c r="U795" t="e">
        <v>#NUM!</v>
      </c>
    </row>
    <row r="796" spans="1:21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72"/>
        <v>#DIV/0!</v>
      </c>
      <c r="I796" s="2" t="e">
        <f t="shared" si="73"/>
        <v>#DIV/0!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 t="e">
        <f t="shared" si="74"/>
        <v>#DIV/0!</v>
      </c>
      <c r="Q796" s="2" t="e">
        <f t="shared" si="75"/>
        <v>#DIV/0!</v>
      </c>
      <c r="R796" s="2" t="e">
        <f t="shared" si="76"/>
        <v>#DIV/0!</v>
      </c>
      <c r="S796" t="e">
        <f t="shared" si="77"/>
        <v>#DIV/0!</v>
      </c>
      <c r="U796" t="e">
        <v>#NUM!</v>
      </c>
    </row>
    <row r="797" spans="1:21" ht="13.9" x14ac:dyDescent="0.3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72"/>
        <v>#DIV/0!</v>
      </c>
      <c r="I797" s="2">
        <f t="shared" si="73"/>
        <v>0.37390096630005903</v>
      </c>
      <c r="J797" s="2">
        <v>0</v>
      </c>
      <c r="K797" s="2">
        <v>0</v>
      </c>
      <c r="L797" s="2">
        <v>0</v>
      </c>
      <c r="M797" s="2">
        <v>0.72</v>
      </c>
      <c r="N797" s="2">
        <v>0</v>
      </c>
      <c r="O797" s="2">
        <v>0.81</v>
      </c>
      <c r="P797" s="2" t="e">
        <f t="shared" si="74"/>
        <v>#NUM!</v>
      </c>
      <c r="Q797" s="2">
        <f t="shared" si="75"/>
        <v>0.11749101920491983</v>
      </c>
      <c r="R797" s="2" t="e">
        <f t="shared" si="76"/>
        <v>#NUM!</v>
      </c>
      <c r="S797" t="e">
        <f t="shared" si="77"/>
        <v>#NUM!</v>
      </c>
      <c r="U797" t="e">
        <v>#NUM!</v>
      </c>
    </row>
    <row r="798" spans="1:21" ht="13.9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72"/>
        <v>#NUM!</v>
      </c>
      <c r="I798" s="2">
        <f t="shared" si="73"/>
        <v>0.37390096630005903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0.41</v>
      </c>
      <c r="P798" s="2" t="e">
        <f t="shared" si="74"/>
        <v>#NUM!</v>
      </c>
      <c r="Q798" s="2">
        <f t="shared" si="75"/>
        <v>0.37390096630005903</v>
      </c>
      <c r="R798" s="2" t="e">
        <f t="shared" si="76"/>
        <v>#NUM!</v>
      </c>
      <c r="S798" t="e">
        <f t="shared" si="77"/>
        <v>#NUM!</v>
      </c>
      <c r="U798" t="e">
        <v>#NUM!</v>
      </c>
    </row>
    <row r="799" spans="1:21" ht="13.9" x14ac:dyDescent="0.3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72"/>
        <v>#DIV/0!</v>
      </c>
      <c r="I799" s="2">
        <f t="shared" si="73"/>
        <v>0.37390096630005903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 t="e">
        <f t="shared" si="74"/>
        <v>#DIV/0!</v>
      </c>
      <c r="Q799" s="2" t="e">
        <f t="shared" si="75"/>
        <v>#DIV/0!</v>
      </c>
      <c r="R799" s="2" t="e">
        <f t="shared" si="76"/>
        <v>#DIV/0!</v>
      </c>
      <c r="S799" t="e">
        <f t="shared" si="77"/>
        <v>#DIV/0!</v>
      </c>
      <c r="U799" t="e">
        <v>#NUM!</v>
      </c>
    </row>
    <row r="800" spans="1:21" ht="13.9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72"/>
        <v>#NUM!</v>
      </c>
      <c r="I800" s="2">
        <f t="shared" si="73"/>
        <v>0.37390096630005903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 t="e">
        <f t="shared" si="74"/>
        <v>#DIV/0!</v>
      </c>
      <c r="Q800" s="2" t="e">
        <f t="shared" si="75"/>
        <v>#DIV/0!</v>
      </c>
      <c r="R800" s="2" t="e">
        <f t="shared" si="76"/>
        <v>#DIV/0!</v>
      </c>
      <c r="S800" t="e">
        <f t="shared" si="77"/>
        <v>#DIV/0!</v>
      </c>
      <c r="U800" t="e">
        <v>#NUM!</v>
      </c>
    </row>
    <row r="801" spans="1:21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72"/>
        <v>#DIV/0!</v>
      </c>
      <c r="I801" s="2" t="e">
        <f t="shared" si="73"/>
        <v>#DIV/0!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 t="e">
        <f t="shared" si="74"/>
        <v>#DIV/0!</v>
      </c>
      <c r="Q801" s="2" t="e">
        <f t="shared" si="75"/>
        <v>#DIV/0!</v>
      </c>
      <c r="R801" s="2" t="e">
        <f t="shared" si="76"/>
        <v>#DIV/0!</v>
      </c>
      <c r="S801" t="e">
        <f t="shared" si="77"/>
        <v>#DIV/0!</v>
      </c>
      <c r="U801" t="e">
        <v>#NUM!</v>
      </c>
    </row>
    <row r="802" spans="1:21" ht="13.9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72"/>
        <v>#NUM!</v>
      </c>
      <c r="I802" s="2">
        <f t="shared" si="73"/>
        <v>0.34170019006569902</v>
      </c>
      <c r="J802" s="2">
        <v>0.18</v>
      </c>
      <c r="K802" s="2">
        <v>0</v>
      </c>
      <c r="L802" s="2">
        <v>0</v>
      </c>
      <c r="M802" s="2">
        <v>0.51</v>
      </c>
      <c r="N802" s="2">
        <v>0</v>
      </c>
      <c r="O802" s="2">
        <v>1.35</v>
      </c>
      <c r="P802" s="2">
        <f t="shared" si="74"/>
        <v>-3.3692338096657193</v>
      </c>
      <c r="Q802" s="2">
        <f t="shared" si="75"/>
        <v>0.23227863569881238</v>
      </c>
      <c r="R802" s="2" t="e">
        <f t="shared" si="76"/>
        <v>#NUM!</v>
      </c>
      <c r="S802" t="e">
        <f t="shared" si="77"/>
        <v>#NUM!</v>
      </c>
      <c r="U802">
        <v>-2.4739311883324122</v>
      </c>
    </row>
    <row r="803" spans="1:21" ht="13.9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72"/>
        <v>#NUM!</v>
      </c>
      <c r="I803" s="2">
        <f t="shared" si="73"/>
        <v>0.37390096630005903</v>
      </c>
      <c r="J803" s="2">
        <v>0</v>
      </c>
      <c r="K803" s="2">
        <v>0</v>
      </c>
      <c r="L803" s="2">
        <v>0</v>
      </c>
      <c r="M803" s="2">
        <v>0.31</v>
      </c>
      <c r="N803" s="2">
        <v>0</v>
      </c>
      <c r="O803" s="2">
        <v>0</v>
      </c>
      <c r="P803" s="2" t="e">
        <f t="shared" si="74"/>
        <v>#NUM!</v>
      </c>
      <c r="Q803" s="2">
        <f t="shared" si="75"/>
        <v>0.37390096630005903</v>
      </c>
      <c r="R803" s="2" t="e">
        <f t="shared" si="76"/>
        <v>#NUM!</v>
      </c>
      <c r="S803" t="e">
        <f t="shared" si="77"/>
        <v>#NUM!</v>
      </c>
      <c r="U803" t="e">
        <v>#NUM!</v>
      </c>
    </row>
    <row r="804" spans="1:21" ht="13.9" x14ac:dyDescent="0.3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72"/>
        <v>#NUM!</v>
      </c>
      <c r="I804" s="2">
        <f t="shared" si="73"/>
        <v>0.11887140555991681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 t="e">
        <f t="shared" si="74"/>
        <v>#DIV/0!</v>
      </c>
      <c r="Q804" s="2" t="e">
        <f t="shared" si="75"/>
        <v>#DIV/0!</v>
      </c>
      <c r="R804" s="2" t="e">
        <f t="shared" si="76"/>
        <v>#DIV/0!</v>
      </c>
      <c r="S804" t="e">
        <f t="shared" si="77"/>
        <v>#DIV/0!</v>
      </c>
      <c r="U804" t="e">
        <v>#NUM!</v>
      </c>
    </row>
    <row r="805" spans="1:21" ht="13.9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72"/>
        <v>#NUM!</v>
      </c>
      <c r="I805" s="2">
        <f t="shared" si="73"/>
        <v>0.37390096630005903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 t="e">
        <f t="shared" si="74"/>
        <v>#DIV/0!</v>
      </c>
      <c r="Q805" s="2" t="e">
        <f t="shared" si="75"/>
        <v>#DIV/0!</v>
      </c>
      <c r="R805" s="2" t="e">
        <f t="shared" si="76"/>
        <v>#DIV/0!</v>
      </c>
      <c r="S805" t="e">
        <f t="shared" si="77"/>
        <v>#DIV/0!</v>
      </c>
      <c r="U805" t="e">
        <v>#NUM!</v>
      </c>
    </row>
    <row r="806" spans="1:21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72"/>
        <v>#DIV/0!</v>
      </c>
      <c r="I806" s="2" t="e">
        <f t="shared" si="73"/>
        <v>#DIV/0!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 t="e">
        <f t="shared" si="74"/>
        <v>#DIV/0!</v>
      </c>
      <c r="Q806" s="2" t="e">
        <f t="shared" si="75"/>
        <v>#DIV/0!</v>
      </c>
      <c r="R806" s="2" t="e">
        <f t="shared" si="76"/>
        <v>#DIV/0!</v>
      </c>
      <c r="S806" t="e">
        <f t="shared" si="77"/>
        <v>#DIV/0!</v>
      </c>
      <c r="U806" t="e">
        <v>#NUM!</v>
      </c>
    </row>
    <row r="807" spans="1:21" ht="13.9" x14ac:dyDescent="0.3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72"/>
        <v>#DIV/0!</v>
      </c>
      <c r="I807" s="2">
        <f t="shared" si="73"/>
        <v>0.36265146126275422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 t="e">
        <f t="shared" si="74"/>
        <v>#DIV/0!</v>
      </c>
      <c r="Q807" s="2" t="e">
        <f t="shared" si="75"/>
        <v>#DIV/0!</v>
      </c>
      <c r="R807" s="2" t="e">
        <f t="shared" si="76"/>
        <v>#DIV/0!</v>
      </c>
      <c r="S807" t="e">
        <f t="shared" si="77"/>
        <v>#DIV/0!</v>
      </c>
      <c r="U807" t="e">
        <v>#NUM!</v>
      </c>
    </row>
    <row r="808" spans="1:21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72"/>
        <v>#DIV/0!</v>
      </c>
      <c r="I808" s="2" t="e">
        <f t="shared" si="73"/>
        <v>#DIV/0!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 t="e">
        <f t="shared" si="74"/>
        <v>#DIV/0!</v>
      </c>
      <c r="Q808" s="2" t="e">
        <f t="shared" si="75"/>
        <v>#DIV/0!</v>
      </c>
      <c r="R808" s="2" t="e">
        <f t="shared" si="76"/>
        <v>#DIV/0!</v>
      </c>
      <c r="S808" t="e">
        <f t="shared" si="77"/>
        <v>#DIV/0!</v>
      </c>
      <c r="U808" t="e">
        <v>#NUM!</v>
      </c>
    </row>
    <row r="809" spans="1:21" ht="13.9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72"/>
        <v>#NUM!</v>
      </c>
      <c r="I809" s="2">
        <f t="shared" si="73"/>
        <v>0.37390096630005903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 t="e">
        <f t="shared" si="74"/>
        <v>#DIV/0!</v>
      </c>
      <c r="Q809" s="2" t="e">
        <f t="shared" si="75"/>
        <v>#DIV/0!</v>
      </c>
      <c r="R809" s="2" t="e">
        <f t="shared" si="76"/>
        <v>#DIV/0!</v>
      </c>
      <c r="S809" t="e">
        <f t="shared" si="77"/>
        <v>#DIV/0!</v>
      </c>
      <c r="U809" t="e">
        <v>#NUM!</v>
      </c>
    </row>
    <row r="810" spans="1:21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72"/>
        <v>#DIV/0!</v>
      </c>
      <c r="I810" s="2" t="e">
        <f t="shared" si="73"/>
        <v>#DIV/0!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 t="e">
        <f t="shared" si="74"/>
        <v>#DIV/0!</v>
      </c>
      <c r="Q810" s="2" t="e">
        <f t="shared" si="75"/>
        <v>#DIV/0!</v>
      </c>
      <c r="R810" s="2" t="e">
        <f t="shared" si="76"/>
        <v>#DIV/0!</v>
      </c>
      <c r="S810" t="e">
        <f t="shared" si="77"/>
        <v>#DIV/0!</v>
      </c>
      <c r="U810" t="e">
        <v>#NUM!</v>
      </c>
    </row>
    <row r="811" spans="1:21" ht="13.9" x14ac:dyDescent="0.3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72"/>
        <v>0.89027963276360311</v>
      </c>
      <c r="I811" s="2">
        <f t="shared" si="73"/>
        <v>0.6758913065438199</v>
      </c>
      <c r="J811" s="2">
        <v>12.04</v>
      </c>
      <c r="K811" s="2">
        <v>3.98</v>
      </c>
      <c r="L811" s="2">
        <v>0</v>
      </c>
      <c r="M811" s="2">
        <v>0.51</v>
      </c>
      <c r="N811" s="2">
        <v>0</v>
      </c>
      <c r="O811" s="2">
        <v>0</v>
      </c>
      <c r="P811" s="2">
        <f t="shared" si="74"/>
        <v>4.9732330904372146</v>
      </c>
      <c r="Q811" s="2">
        <f t="shared" si="75"/>
        <v>0.21855049341514293</v>
      </c>
      <c r="R811" s="2">
        <f t="shared" si="76"/>
        <v>4.0829534576736117</v>
      </c>
      <c r="S811">
        <f t="shared" si="77"/>
        <v>5.5861472142177631</v>
      </c>
      <c r="U811">
        <v>4.0018022426339854</v>
      </c>
    </row>
    <row r="812" spans="1:21" ht="13.9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72"/>
        <v>#NUM!</v>
      </c>
      <c r="I812" s="2">
        <f t="shared" si="73"/>
        <v>0.37390096630005903</v>
      </c>
      <c r="J812" s="2">
        <v>0</v>
      </c>
      <c r="K812" s="2">
        <v>0</v>
      </c>
      <c r="L812" s="2">
        <v>0</v>
      </c>
      <c r="M812" s="2">
        <v>1.85</v>
      </c>
      <c r="N812" s="2">
        <v>0</v>
      </c>
      <c r="O812" s="2">
        <v>0.54</v>
      </c>
      <c r="P812" s="2" t="e">
        <f t="shared" si="74"/>
        <v>#NUM!</v>
      </c>
      <c r="Q812" s="2">
        <f t="shared" si="75"/>
        <v>0.22054358309891101</v>
      </c>
      <c r="R812" s="2" t="e">
        <f t="shared" si="76"/>
        <v>#NUM!</v>
      </c>
      <c r="S812" t="e">
        <f t="shared" si="77"/>
        <v>#NUM!</v>
      </c>
      <c r="U812" t="e">
        <v>#NUM!</v>
      </c>
    </row>
    <row r="813" spans="1:21" ht="13.9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72"/>
        <v>#DIV/0!</v>
      </c>
      <c r="I813" s="2" t="e">
        <f t="shared" si="73"/>
        <v>#DIV/0!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 t="e">
        <f t="shared" si="74"/>
        <v>#DIV/0!</v>
      </c>
      <c r="Q813" s="2" t="e">
        <f t="shared" si="75"/>
        <v>#DIV/0!</v>
      </c>
      <c r="R813" s="2" t="e">
        <f t="shared" si="76"/>
        <v>#DIV/0!</v>
      </c>
      <c r="S813" t="e">
        <f t="shared" si="77"/>
        <v>#DIV/0!</v>
      </c>
      <c r="U813" t="e">
        <v>#NUM!</v>
      </c>
    </row>
    <row r="814" spans="1:21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72"/>
        <v>#DIV/0!</v>
      </c>
      <c r="I814" s="2" t="e">
        <f t="shared" si="73"/>
        <v>#DIV/0!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 t="e">
        <f t="shared" si="74"/>
        <v>#DIV/0!</v>
      </c>
      <c r="Q814" s="2" t="e">
        <f t="shared" si="75"/>
        <v>#DIV/0!</v>
      </c>
      <c r="R814" s="2" t="e">
        <f t="shared" si="76"/>
        <v>#DIV/0!</v>
      </c>
      <c r="S814" t="e">
        <f t="shared" si="77"/>
        <v>#DIV/0!</v>
      </c>
      <c r="U814" t="e">
        <v>#NUM!</v>
      </c>
    </row>
    <row r="815" spans="1:21" ht="13.9" x14ac:dyDescent="0.3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72"/>
        <v>#NUM!</v>
      </c>
      <c r="I815" s="2">
        <f t="shared" si="73"/>
        <v>0.11915399920779023</v>
      </c>
      <c r="J815" s="2">
        <v>0</v>
      </c>
      <c r="K815" s="2">
        <v>0</v>
      </c>
      <c r="L815" s="2">
        <v>0</v>
      </c>
      <c r="M815" s="2">
        <v>0.1</v>
      </c>
      <c r="N815" s="2">
        <v>0</v>
      </c>
      <c r="O815" s="2">
        <v>1.22</v>
      </c>
      <c r="P815" s="2" t="e">
        <f t="shared" si="74"/>
        <v>#NUM!</v>
      </c>
      <c r="Q815" s="2">
        <f t="shared" si="75"/>
        <v>0.32347882207091694</v>
      </c>
      <c r="R815" s="2" t="e">
        <f t="shared" si="76"/>
        <v>#NUM!</v>
      </c>
      <c r="S815" t="e">
        <f t="shared" si="77"/>
        <v>#NUM!</v>
      </c>
      <c r="U815" t="e">
        <v>#NUM!</v>
      </c>
    </row>
    <row r="816" spans="1:21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72"/>
        <v>#DIV/0!</v>
      </c>
      <c r="I816" s="2" t="e">
        <f t="shared" si="73"/>
        <v>#DIV/0!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 t="e">
        <f t="shared" si="74"/>
        <v>#DIV/0!</v>
      </c>
      <c r="Q816" s="2" t="e">
        <f t="shared" si="75"/>
        <v>#DIV/0!</v>
      </c>
      <c r="R816" s="2" t="e">
        <f t="shared" si="76"/>
        <v>#DIV/0!</v>
      </c>
      <c r="S816" t="e">
        <f t="shared" si="77"/>
        <v>#DIV/0!</v>
      </c>
      <c r="U816" t="e">
        <v>#NUM!</v>
      </c>
    </row>
    <row r="817" spans="1:21" ht="13.9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72"/>
        <v>#NUM!</v>
      </c>
      <c r="I817" s="2">
        <f t="shared" si="73"/>
        <v>8.7422592499105486E-2</v>
      </c>
      <c r="J817" s="2">
        <v>0</v>
      </c>
      <c r="K817" s="2">
        <v>4.3899999999999997</v>
      </c>
      <c r="L817" s="2">
        <v>19.61</v>
      </c>
      <c r="M817" s="2">
        <v>4.63</v>
      </c>
      <c r="N817" s="2">
        <v>0</v>
      </c>
      <c r="O817" s="2">
        <v>2.84</v>
      </c>
      <c r="P817" s="2">
        <f t="shared" si="74"/>
        <v>1.683854257706644</v>
      </c>
      <c r="Q817" s="2">
        <f t="shared" si="75"/>
        <v>0.41694747411107663</v>
      </c>
      <c r="R817" s="2" t="e">
        <f t="shared" si="76"/>
        <v>#NUM!</v>
      </c>
      <c r="S817" t="e">
        <f t="shared" si="77"/>
        <v>#NUM!</v>
      </c>
      <c r="U817">
        <v>4.584962500721157</v>
      </c>
    </row>
    <row r="818" spans="1:21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72"/>
        <v>#DIV/0!</v>
      </c>
      <c r="I818" s="2" t="e">
        <f t="shared" si="73"/>
        <v>#DIV/0!</v>
      </c>
      <c r="J818" s="2">
        <v>0</v>
      </c>
      <c r="K818" s="2">
        <v>0</v>
      </c>
      <c r="L818" s="2">
        <v>0</v>
      </c>
      <c r="M818" s="2">
        <v>0.1</v>
      </c>
      <c r="N818" s="2">
        <v>0</v>
      </c>
      <c r="O818" s="2">
        <v>0</v>
      </c>
      <c r="P818" s="2" t="e">
        <f t="shared" si="74"/>
        <v>#NUM!</v>
      </c>
      <c r="Q818" s="2">
        <f t="shared" si="75"/>
        <v>0.37390096630005903</v>
      </c>
      <c r="R818" s="2" t="e">
        <f t="shared" si="76"/>
        <v>#NUM!</v>
      </c>
      <c r="S818" t="e">
        <f t="shared" si="77"/>
        <v>#NUM!</v>
      </c>
      <c r="U818" t="e">
        <v>#NUM!</v>
      </c>
    </row>
    <row r="819" spans="1:21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72"/>
        <v>#DIV/0!</v>
      </c>
      <c r="I819" s="2" t="e">
        <f t="shared" si="73"/>
        <v>#DIV/0!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 t="e">
        <f t="shared" si="74"/>
        <v>#DIV/0!</v>
      </c>
      <c r="Q819" s="2" t="e">
        <f t="shared" si="75"/>
        <v>#DIV/0!</v>
      </c>
      <c r="R819" s="2" t="e">
        <f t="shared" si="76"/>
        <v>#DIV/0!</v>
      </c>
      <c r="S819" t="e">
        <f t="shared" si="77"/>
        <v>#DIV/0!</v>
      </c>
      <c r="U819" t="e">
        <v>#NUM!</v>
      </c>
    </row>
    <row r="820" spans="1:21" ht="13.9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72"/>
        <v>#NUM!</v>
      </c>
      <c r="I820" s="2">
        <f t="shared" si="73"/>
        <v>0.37390096630005903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 t="e">
        <f t="shared" si="74"/>
        <v>#DIV/0!</v>
      </c>
      <c r="Q820" s="2" t="e">
        <f t="shared" si="75"/>
        <v>#DIV/0!</v>
      </c>
      <c r="R820" s="2" t="e">
        <f t="shared" si="76"/>
        <v>#DIV/0!</v>
      </c>
      <c r="S820" t="e">
        <f t="shared" si="77"/>
        <v>#DIV/0!</v>
      </c>
      <c r="U820" t="e">
        <v>#NUM!</v>
      </c>
    </row>
    <row r="821" spans="1:21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72"/>
        <v>#DIV/0!</v>
      </c>
      <c r="I821" s="2" t="e">
        <f t="shared" si="73"/>
        <v>#DIV/0!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 t="e">
        <f t="shared" si="74"/>
        <v>#DIV/0!</v>
      </c>
      <c r="Q821" s="2" t="e">
        <f t="shared" si="75"/>
        <v>#DIV/0!</v>
      </c>
      <c r="R821" s="2" t="e">
        <f t="shared" si="76"/>
        <v>#DIV/0!</v>
      </c>
      <c r="S821" t="e">
        <f t="shared" si="77"/>
        <v>#DIV/0!</v>
      </c>
      <c r="U821" t="e">
        <v>#NUM!</v>
      </c>
    </row>
    <row r="822" spans="1:21" ht="13.9" x14ac:dyDescent="0.3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72"/>
        <v>3.9890288821789968</v>
      </c>
      <c r="I822" s="2">
        <f t="shared" si="73"/>
        <v>0.40264345683909303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 t="e">
        <f t="shared" si="74"/>
        <v>#DIV/0!</v>
      </c>
      <c r="Q822" s="2" t="e">
        <f t="shared" si="75"/>
        <v>#DIV/0!</v>
      </c>
      <c r="R822" s="2" t="e">
        <f t="shared" si="76"/>
        <v>#DIV/0!</v>
      </c>
      <c r="S822" t="e">
        <f t="shared" si="77"/>
        <v>#DIV/0!</v>
      </c>
      <c r="U822" t="e">
        <v>#NUM!</v>
      </c>
    </row>
    <row r="823" spans="1:21" ht="13.9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72"/>
        <v>#NUM!</v>
      </c>
      <c r="I823" s="2">
        <f t="shared" si="73"/>
        <v>0.37390096630005903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 t="e">
        <f t="shared" si="74"/>
        <v>#DIV/0!</v>
      </c>
      <c r="Q823" s="2" t="e">
        <f t="shared" si="75"/>
        <v>#DIV/0!</v>
      </c>
      <c r="R823" s="2" t="e">
        <f t="shared" si="76"/>
        <v>#DIV/0!</v>
      </c>
      <c r="S823" t="e">
        <f t="shared" si="77"/>
        <v>#DIV/0!</v>
      </c>
      <c r="U823" t="e">
        <v>#NUM!</v>
      </c>
    </row>
    <row r="824" spans="1:21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72"/>
        <v>#DIV/0!</v>
      </c>
      <c r="I824" s="2" t="e">
        <f t="shared" si="73"/>
        <v>#DIV/0!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 t="e">
        <f t="shared" si="74"/>
        <v>#DIV/0!</v>
      </c>
      <c r="Q824" s="2" t="e">
        <f t="shared" si="75"/>
        <v>#DIV/0!</v>
      </c>
      <c r="R824" s="2" t="e">
        <f t="shared" si="76"/>
        <v>#DIV/0!</v>
      </c>
      <c r="S824" t="e">
        <f t="shared" si="77"/>
        <v>#DIV/0!</v>
      </c>
      <c r="U824" t="e">
        <v>#NUM!</v>
      </c>
    </row>
    <row r="825" spans="1:21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72"/>
        <v>#DIV/0!</v>
      </c>
      <c r="I825" s="2" t="e">
        <f t="shared" si="73"/>
        <v>#DIV/0!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 t="e">
        <f t="shared" si="74"/>
        <v>#DIV/0!</v>
      </c>
      <c r="Q825" s="2" t="e">
        <f t="shared" si="75"/>
        <v>#DIV/0!</v>
      </c>
      <c r="R825" s="2" t="e">
        <f t="shared" si="76"/>
        <v>#DIV/0!</v>
      </c>
      <c r="S825" t="e">
        <f t="shared" si="77"/>
        <v>#DIV/0!</v>
      </c>
      <c r="U825" t="e">
        <v>#NUM!</v>
      </c>
    </row>
    <row r="826" spans="1:21" ht="13.9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72"/>
        <v>#DIV/0!</v>
      </c>
      <c r="I826" s="2" t="e">
        <f t="shared" si="73"/>
        <v>#DIV/0!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 t="e">
        <f t="shared" si="74"/>
        <v>#DIV/0!</v>
      </c>
      <c r="Q826" s="2" t="e">
        <f t="shared" si="75"/>
        <v>#DIV/0!</v>
      </c>
      <c r="R826" s="2" t="e">
        <f t="shared" si="76"/>
        <v>#DIV/0!</v>
      </c>
      <c r="S826" t="e">
        <f t="shared" si="77"/>
        <v>#DIV/0!</v>
      </c>
      <c r="U826" t="e">
        <v>#NUM!</v>
      </c>
    </row>
    <row r="827" spans="1:21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72"/>
        <v>#DIV/0!</v>
      </c>
      <c r="I827" s="2" t="e">
        <f t="shared" si="73"/>
        <v>#DIV/0!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0.68</v>
      </c>
      <c r="P827" s="2" t="e">
        <f t="shared" si="74"/>
        <v>#NUM!</v>
      </c>
      <c r="Q827" s="2">
        <f t="shared" si="75"/>
        <v>0.37390096630005903</v>
      </c>
      <c r="R827" s="2" t="e">
        <f t="shared" si="76"/>
        <v>#NUM!</v>
      </c>
      <c r="S827" t="e">
        <f t="shared" si="77"/>
        <v>#NUM!</v>
      </c>
      <c r="U827" t="e">
        <v>#NUM!</v>
      </c>
    </row>
    <row r="828" spans="1:21" ht="13.9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72"/>
        <v>#DIV/0!</v>
      </c>
      <c r="I828" s="2" t="e">
        <f t="shared" si="73"/>
        <v>#DIV/0!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 t="e">
        <f t="shared" si="74"/>
        <v>#DIV/0!</v>
      </c>
      <c r="Q828" s="2" t="e">
        <f t="shared" si="75"/>
        <v>#DIV/0!</v>
      </c>
      <c r="R828" s="2" t="e">
        <f t="shared" si="76"/>
        <v>#DIV/0!</v>
      </c>
      <c r="S828" t="e">
        <f t="shared" si="77"/>
        <v>#DIV/0!</v>
      </c>
      <c r="U828" t="e">
        <v>#NUM!</v>
      </c>
    </row>
    <row r="829" spans="1:21" ht="13.9" x14ac:dyDescent="0.3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ref="H829:H892" si="78">LOG(SUM(B829:D829)/SUM(E829:G829),2)</f>
        <v>-3.3046501034555269</v>
      </c>
      <c r="I829" s="2">
        <f t="shared" ref="I829:I892" si="79">_xlfn.T.TEST(B829:D829,E829:G829,2,2)</f>
        <v>0.21807601113585751</v>
      </c>
      <c r="J829" s="2">
        <v>0</v>
      </c>
      <c r="K829" s="2">
        <v>0</v>
      </c>
      <c r="L829" s="2">
        <v>0</v>
      </c>
      <c r="M829" s="2">
        <v>1.1299999999999999</v>
      </c>
      <c r="N829" s="2">
        <v>0</v>
      </c>
      <c r="O829" s="2">
        <v>1.22</v>
      </c>
      <c r="P829" s="2" t="e">
        <f t="shared" ref="P829:P892" si="80">LOG(SUM(J829:L829)/SUM(M829:O829),2)</f>
        <v>#NUM!</v>
      </c>
      <c r="Q829" s="2">
        <f t="shared" ref="Q829:Q892" si="81">_xlfn.T.TEST(J829:L829,M829:O829,2,2)</f>
        <v>0.11669958915797259</v>
      </c>
      <c r="R829" s="2" t="e">
        <f t="shared" ref="R829:R892" si="82">P829-H829</f>
        <v>#NUM!</v>
      </c>
      <c r="S829" t="e">
        <f t="shared" si="77"/>
        <v>#NUM!</v>
      </c>
      <c r="U829" t="e">
        <v>#NUM!</v>
      </c>
    </row>
    <row r="830" spans="1:21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78"/>
        <v>#DIV/0!</v>
      </c>
      <c r="I830" s="2" t="e">
        <f t="shared" si="79"/>
        <v>#DIV/0!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 t="e">
        <f t="shared" si="80"/>
        <v>#DIV/0!</v>
      </c>
      <c r="Q830" s="2" t="e">
        <f t="shared" si="81"/>
        <v>#DIV/0!</v>
      </c>
      <c r="R830" s="2" t="e">
        <f t="shared" si="82"/>
        <v>#DIV/0!</v>
      </c>
      <c r="S830" t="e">
        <f t="shared" si="77"/>
        <v>#DIV/0!</v>
      </c>
      <c r="U830" t="e">
        <v>#NUM!</v>
      </c>
    </row>
    <row r="831" spans="1:21" ht="13.9" x14ac:dyDescent="0.3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78"/>
        <v>-1.4119656718089837</v>
      </c>
      <c r="I831" s="2">
        <f t="shared" si="79"/>
        <v>8.1018889004284042E-2</v>
      </c>
      <c r="J831" s="2">
        <v>15.45</v>
      </c>
      <c r="K831" s="2">
        <v>11.72</v>
      </c>
      <c r="L831" s="2">
        <v>58.82</v>
      </c>
      <c r="M831" s="2">
        <v>40.74</v>
      </c>
      <c r="N831" s="2">
        <v>0</v>
      </c>
      <c r="O831" s="2">
        <v>66.59</v>
      </c>
      <c r="P831" s="2">
        <f t="shared" si="80"/>
        <v>-0.31981258279309505</v>
      </c>
      <c r="Q831" s="2">
        <f t="shared" si="81"/>
        <v>0.78666204996590039</v>
      </c>
      <c r="R831" s="2">
        <f t="shared" si="82"/>
        <v>1.0921530890158886</v>
      </c>
      <c r="S831">
        <f t="shared" si="77"/>
        <v>0.2265016701031812</v>
      </c>
      <c r="U831">
        <v>6.4260969897108176</v>
      </c>
    </row>
    <row r="832" spans="1:21" ht="13.9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78"/>
        <v>#NUM!</v>
      </c>
      <c r="I832" s="2">
        <f t="shared" si="79"/>
        <v>1.8726829414411176E-2</v>
      </c>
      <c r="J832" s="2">
        <v>0</v>
      </c>
      <c r="K832" s="2">
        <v>0</v>
      </c>
      <c r="L832" s="2">
        <v>0</v>
      </c>
      <c r="M832" s="2">
        <v>0.82</v>
      </c>
      <c r="N832" s="2">
        <v>0</v>
      </c>
      <c r="O832" s="2">
        <v>0.81</v>
      </c>
      <c r="P832" s="2" t="e">
        <f t="shared" si="80"/>
        <v>#NUM!</v>
      </c>
      <c r="Q832" s="2">
        <f t="shared" si="81"/>
        <v>0.11613149366812972</v>
      </c>
      <c r="R832" s="2" t="e">
        <f t="shared" si="82"/>
        <v>#NUM!</v>
      </c>
      <c r="S832" t="e">
        <f t="shared" si="77"/>
        <v>#NUM!</v>
      </c>
      <c r="U832" t="e">
        <v>#NUM!</v>
      </c>
    </row>
    <row r="833" spans="1:21" ht="13.9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78"/>
        <v>#NUM!</v>
      </c>
      <c r="I833" s="2">
        <f t="shared" si="79"/>
        <v>0.37390096630005903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 t="e">
        <f t="shared" si="80"/>
        <v>#DIV/0!</v>
      </c>
      <c r="Q833" s="2" t="e">
        <f t="shared" si="81"/>
        <v>#DIV/0!</v>
      </c>
      <c r="R833" s="2" t="e">
        <f t="shared" si="82"/>
        <v>#DIV/0!</v>
      </c>
      <c r="S833" t="e">
        <f t="shared" si="77"/>
        <v>#DIV/0!</v>
      </c>
      <c r="U833" t="e">
        <v>#NUM!</v>
      </c>
    </row>
    <row r="834" spans="1:21" ht="13.9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si="78"/>
        <v>#NUM!</v>
      </c>
      <c r="I834" s="2">
        <f t="shared" si="79"/>
        <v>0.37390096630005903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 t="e">
        <f t="shared" si="80"/>
        <v>#DIV/0!</v>
      </c>
      <c r="Q834" s="2" t="e">
        <f t="shared" si="81"/>
        <v>#DIV/0!</v>
      </c>
      <c r="R834" s="2" t="e">
        <f t="shared" si="82"/>
        <v>#DIV/0!</v>
      </c>
      <c r="S834" t="e">
        <f t="shared" si="77"/>
        <v>#DIV/0!</v>
      </c>
      <c r="U834" t="e">
        <v>#NUM!</v>
      </c>
    </row>
    <row r="835" spans="1:21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78"/>
        <v>#DIV/0!</v>
      </c>
      <c r="I835" s="2" t="e">
        <f t="shared" si="79"/>
        <v>#DIV/0!</v>
      </c>
      <c r="J835" s="2">
        <v>0</v>
      </c>
      <c r="K835" s="2">
        <v>0</v>
      </c>
      <c r="L835" s="2">
        <v>0</v>
      </c>
      <c r="M835" s="2">
        <v>0.82</v>
      </c>
      <c r="N835" s="2">
        <v>0</v>
      </c>
      <c r="O835" s="2">
        <v>0</v>
      </c>
      <c r="P835" s="2" t="e">
        <f t="shared" si="80"/>
        <v>#NUM!</v>
      </c>
      <c r="Q835" s="2">
        <f t="shared" si="81"/>
        <v>0.37390096630005903</v>
      </c>
      <c r="R835" s="2" t="e">
        <f t="shared" si="82"/>
        <v>#NUM!</v>
      </c>
      <c r="S835" t="e">
        <f t="shared" si="77"/>
        <v>#NUM!</v>
      </c>
      <c r="U835" t="e">
        <v>#NUM!</v>
      </c>
    </row>
    <row r="836" spans="1:21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78"/>
        <v>#DIV/0!</v>
      </c>
      <c r="I836" s="2" t="e">
        <f t="shared" si="79"/>
        <v>#DIV/0!</v>
      </c>
      <c r="J836" s="2">
        <v>0</v>
      </c>
      <c r="K836" s="2">
        <v>0</v>
      </c>
      <c r="L836" s="2">
        <v>0</v>
      </c>
      <c r="M836" s="2">
        <v>0.1</v>
      </c>
      <c r="N836" s="2">
        <v>0</v>
      </c>
      <c r="O836" s="2">
        <v>0</v>
      </c>
      <c r="P836" s="2" t="e">
        <f t="shared" si="80"/>
        <v>#NUM!</v>
      </c>
      <c r="Q836" s="2">
        <f t="shared" si="81"/>
        <v>0.37390096630005903</v>
      </c>
      <c r="R836" s="2" t="e">
        <f t="shared" si="82"/>
        <v>#NUM!</v>
      </c>
      <c r="S836" t="e">
        <f t="shared" ref="S836:S899" si="83">P836/H836</f>
        <v>#NUM!</v>
      </c>
      <c r="U836" t="e">
        <v>#NUM!</v>
      </c>
    </row>
    <row r="837" spans="1:21" ht="13.9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78"/>
        <v>#NUM!</v>
      </c>
      <c r="I837" s="2">
        <f t="shared" si="79"/>
        <v>0.37390096630005903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 t="e">
        <f t="shared" si="80"/>
        <v>#DIV/0!</v>
      </c>
      <c r="Q837" s="2" t="e">
        <f t="shared" si="81"/>
        <v>#DIV/0!</v>
      </c>
      <c r="R837" s="2" t="e">
        <f t="shared" si="82"/>
        <v>#DIV/0!</v>
      </c>
      <c r="S837" t="e">
        <f t="shared" si="83"/>
        <v>#DIV/0!</v>
      </c>
      <c r="U837" t="e">
        <v>#NUM!</v>
      </c>
    </row>
    <row r="838" spans="1:21" ht="13.9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78"/>
        <v>#NUM!</v>
      </c>
      <c r="I838" s="2">
        <f t="shared" si="79"/>
        <v>0.13252822088813548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0.68</v>
      </c>
      <c r="P838" s="2" t="e">
        <f t="shared" si="80"/>
        <v>#NUM!</v>
      </c>
      <c r="Q838" s="2">
        <f t="shared" si="81"/>
        <v>0.37390096630005903</v>
      </c>
      <c r="R838" s="2" t="e">
        <f t="shared" si="82"/>
        <v>#NUM!</v>
      </c>
      <c r="S838" t="e">
        <f t="shared" si="83"/>
        <v>#NUM!</v>
      </c>
      <c r="U838" t="e">
        <v>#NUM!</v>
      </c>
    </row>
    <row r="839" spans="1:21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78"/>
        <v>#DIV/0!</v>
      </c>
      <c r="I839" s="2" t="e">
        <f t="shared" si="79"/>
        <v>#DIV/0!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 t="e">
        <f t="shared" si="80"/>
        <v>#DIV/0!</v>
      </c>
      <c r="Q839" s="2" t="e">
        <f t="shared" si="81"/>
        <v>#DIV/0!</v>
      </c>
      <c r="R839" s="2" t="e">
        <f t="shared" si="82"/>
        <v>#DIV/0!</v>
      </c>
      <c r="S839" t="e">
        <f t="shared" si="83"/>
        <v>#DIV/0!</v>
      </c>
      <c r="U839" t="e">
        <v>#NUM!</v>
      </c>
    </row>
    <row r="840" spans="1:21" ht="13.9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78"/>
        <v>#NUM!</v>
      </c>
      <c r="I840" s="2">
        <f t="shared" si="79"/>
        <v>0.37390096630005903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 t="e">
        <f t="shared" si="80"/>
        <v>#DIV/0!</v>
      </c>
      <c r="Q840" s="2" t="e">
        <f t="shared" si="81"/>
        <v>#DIV/0!</v>
      </c>
      <c r="R840" s="2" t="e">
        <f t="shared" si="82"/>
        <v>#DIV/0!</v>
      </c>
      <c r="S840" t="e">
        <f t="shared" si="83"/>
        <v>#DIV/0!</v>
      </c>
      <c r="U840" t="e">
        <v>#NUM!</v>
      </c>
    </row>
    <row r="841" spans="1:21" ht="13.9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78"/>
        <v>#NUM!</v>
      </c>
      <c r="I841" s="2">
        <f t="shared" si="79"/>
        <v>0.13015427583421335</v>
      </c>
      <c r="J841" s="2">
        <v>0</v>
      </c>
      <c r="K841" s="2">
        <v>0</v>
      </c>
      <c r="L841" s="2">
        <v>14.08</v>
      </c>
      <c r="M841" s="2">
        <v>0.1</v>
      </c>
      <c r="N841" s="2">
        <v>0</v>
      </c>
      <c r="O841" s="2">
        <v>2.98</v>
      </c>
      <c r="P841" s="2">
        <f t="shared" si="80"/>
        <v>2.1926450779423958</v>
      </c>
      <c r="Q841" s="2">
        <f t="shared" si="81"/>
        <v>0.48699250920817627</v>
      </c>
      <c r="R841" s="2" t="e">
        <f t="shared" si="82"/>
        <v>#NUM!</v>
      </c>
      <c r="S841" t="e">
        <f t="shared" si="83"/>
        <v>#NUM!</v>
      </c>
      <c r="U841">
        <v>3.8155754288625725</v>
      </c>
    </row>
    <row r="842" spans="1:21" ht="13.9" x14ac:dyDescent="0.3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78"/>
        <v>#DIV/0!</v>
      </c>
      <c r="I842" s="2">
        <f t="shared" si="79"/>
        <v>0.37390096630005903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 t="e">
        <f t="shared" si="80"/>
        <v>#DIV/0!</v>
      </c>
      <c r="Q842" s="2" t="e">
        <f t="shared" si="81"/>
        <v>#DIV/0!</v>
      </c>
      <c r="R842" s="2" t="e">
        <f t="shared" si="82"/>
        <v>#DIV/0!</v>
      </c>
      <c r="S842" t="e">
        <f t="shared" si="83"/>
        <v>#DIV/0!</v>
      </c>
      <c r="U842" t="e">
        <v>#NUM!</v>
      </c>
    </row>
    <row r="843" spans="1:21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78"/>
        <v>#DIV/0!</v>
      </c>
      <c r="I843" s="2" t="e">
        <f t="shared" si="79"/>
        <v>#DIV/0!</v>
      </c>
      <c r="J843" s="2">
        <v>0</v>
      </c>
      <c r="K843" s="2">
        <v>0</v>
      </c>
      <c r="L843" s="2">
        <v>0</v>
      </c>
      <c r="M843" s="2">
        <v>0.72</v>
      </c>
      <c r="N843" s="2">
        <v>0</v>
      </c>
      <c r="O843" s="2">
        <v>1.49</v>
      </c>
      <c r="P843" s="2" t="e">
        <f t="shared" si="80"/>
        <v>#NUM!</v>
      </c>
      <c r="Q843" s="2">
        <f t="shared" si="81"/>
        <v>0.1619933248132697</v>
      </c>
      <c r="R843" s="2" t="e">
        <f t="shared" si="82"/>
        <v>#NUM!</v>
      </c>
      <c r="S843" t="e">
        <f t="shared" si="83"/>
        <v>#NUM!</v>
      </c>
      <c r="U843" t="e">
        <v>#NUM!</v>
      </c>
    </row>
    <row r="844" spans="1:21" ht="13.9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78"/>
        <v>#NUM!</v>
      </c>
      <c r="I844" s="2">
        <f t="shared" si="79"/>
        <v>0.37390096630005903</v>
      </c>
      <c r="J844" s="2">
        <v>0</v>
      </c>
      <c r="K844" s="2">
        <v>0</v>
      </c>
      <c r="L844" s="2">
        <v>0</v>
      </c>
      <c r="M844" s="2">
        <v>0.21</v>
      </c>
      <c r="N844" s="2">
        <v>0</v>
      </c>
      <c r="O844" s="2">
        <v>0</v>
      </c>
      <c r="P844" s="2" t="e">
        <f t="shared" si="80"/>
        <v>#NUM!</v>
      </c>
      <c r="Q844" s="2">
        <f t="shared" si="81"/>
        <v>0.37390096630005903</v>
      </c>
      <c r="R844" s="2" t="e">
        <f t="shared" si="82"/>
        <v>#NUM!</v>
      </c>
      <c r="S844" t="e">
        <f t="shared" si="83"/>
        <v>#NUM!</v>
      </c>
      <c r="U844" t="e">
        <v>#NUM!</v>
      </c>
    </row>
    <row r="845" spans="1:21" ht="13.9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78"/>
        <v>#NUM!</v>
      </c>
      <c r="I845" s="2">
        <f t="shared" si="79"/>
        <v>0.37390096630005903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 t="e">
        <f t="shared" si="80"/>
        <v>#DIV/0!</v>
      </c>
      <c r="Q845" s="2" t="e">
        <f t="shared" si="81"/>
        <v>#DIV/0!</v>
      </c>
      <c r="R845" s="2" t="e">
        <f t="shared" si="82"/>
        <v>#DIV/0!</v>
      </c>
      <c r="S845" t="e">
        <f t="shared" si="83"/>
        <v>#DIV/0!</v>
      </c>
      <c r="U845" t="e">
        <v>#NUM!</v>
      </c>
    </row>
    <row r="846" spans="1:21" ht="13.9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78"/>
        <v>#NUM!</v>
      </c>
      <c r="I846" s="2">
        <f t="shared" si="79"/>
        <v>0.37390096630005903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 t="e">
        <f t="shared" si="80"/>
        <v>#DIV/0!</v>
      </c>
      <c r="Q846" s="2" t="e">
        <f t="shared" si="81"/>
        <v>#DIV/0!</v>
      </c>
      <c r="R846" s="2" t="e">
        <f t="shared" si="82"/>
        <v>#DIV/0!</v>
      </c>
      <c r="S846" t="e">
        <f t="shared" si="83"/>
        <v>#DIV/0!</v>
      </c>
      <c r="U846" t="e">
        <v>#NUM!</v>
      </c>
    </row>
    <row r="847" spans="1:21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78"/>
        <v>#DIV/0!</v>
      </c>
      <c r="I847" s="2" t="e">
        <f t="shared" si="79"/>
        <v>#DIV/0!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 t="e">
        <f t="shared" si="80"/>
        <v>#DIV/0!</v>
      </c>
      <c r="Q847" s="2" t="e">
        <f t="shared" si="81"/>
        <v>#DIV/0!</v>
      </c>
      <c r="R847" s="2" t="e">
        <f t="shared" si="82"/>
        <v>#DIV/0!</v>
      </c>
      <c r="S847" t="e">
        <f t="shared" si="83"/>
        <v>#DIV/0!</v>
      </c>
      <c r="U847" t="e">
        <v>#NUM!</v>
      </c>
    </row>
    <row r="848" spans="1:21" ht="13.9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78"/>
        <v>#DIV/0!</v>
      </c>
      <c r="I848" s="2" t="e">
        <f t="shared" si="79"/>
        <v>#DIV/0!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 t="e">
        <f t="shared" si="80"/>
        <v>#DIV/0!</v>
      </c>
      <c r="Q848" s="2" t="e">
        <f t="shared" si="81"/>
        <v>#DIV/0!</v>
      </c>
      <c r="R848" s="2" t="e">
        <f t="shared" si="82"/>
        <v>#DIV/0!</v>
      </c>
      <c r="S848" t="e">
        <f t="shared" si="83"/>
        <v>#DIV/0!</v>
      </c>
      <c r="U848" t="e">
        <v>#NUM!</v>
      </c>
    </row>
    <row r="849" spans="1:21" ht="13.9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78"/>
        <v>#DIV/0!</v>
      </c>
      <c r="I849" s="2" t="e">
        <f t="shared" si="79"/>
        <v>#DIV/0!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 t="e">
        <f t="shared" si="80"/>
        <v>#DIV/0!</v>
      </c>
      <c r="Q849" s="2" t="e">
        <f t="shared" si="81"/>
        <v>#DIV/0!</v>
      </c>
      <c r="R849" s="2" t="e">
        <f t="shared" si="82"/>
        <v>#DIV/0!</v>
      </c>
      <c r="S849" t="e">
        <f t="shared" si="83"/>
        <v>#DIV/0!</v>
      </c>
      <c r="U849" t="e">
        <v>#NUM!</v>
      </c>
    </row>
    <row r="850" spans="1:21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78"/>
        <v>#DIV/0!</v>
      </c>
      <c r="I850" s="2" t="e">
        <f t="shared" si="79"/>
        <v>#DIV/0!</v>
      </c>
      <c r="J850" s="2">
        <v>0</v>
      </c>
      <c r="K850" s="2">
        <v>0</v>
      </c>
      <c r="L850" s="2">
        <v>0</v>
      </c>
      <c r="M850" s="2">
        <v>0.31</v>
      </c>
      <c r="N850" s="2">
        <v>0</v>
      </c>
      <c r="O850" s="2">
        <v>0</v>
      </c>
      <c r="P850" s="2" t="e">
        <f t="shared" si="80"/>
        <v>#NUM!</v>
      </c>
      <c r="Q850" s="2">
        <f t="shared" si="81"/>
        <v>0.37390096630005903</v>
      </c>
      <c r="R850" s="2" t="e">
        <f t="shared" si="82"/>
        <v>#NUM!</v>
      </c>
      <c r="S850" t="e">
        <f t="shared" si="83"/>
        <v>#NUM!</v>
      </c>
      <c r="U850" t="e">
        <v>#NUM!</v>
      </c>
    </row>
    <row r="851" spans="1:21" ht="13.9" x14ac:dyDescent="0.3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78"/>
        <v>-6.8639726176738138</v>
      </c>
      <c r="I851" s="2">
        <f t="shared" si="79"/>
        <v>6.8503716658813128E-3</v>
      </c>
      <c r="J851" s="2">
        <v>0</v>
      </c>
      <c r="K851" s="2">
        <v>0</v>
      </c>
      <c r="L851" s="2">
        <v>28.15</v>
      </c>
      <c r="M851" s="2">
        <v>4.01</v>
      </c>
      <c r="N851" s="2">
        <v>0</v>
      </c>
      <c r="O851" s="2">
        <v>10.02</v>
      </c>
      <c r="P851" s="2">
        <f t="shared" si="80"/>
        <v>1.0046199133476927</v>
      </c>
      <c r="Q851" s="2">
        <f t="shared" si="81"/>
        <v>0.65690571128459285</v>
      </c>
      <c r="R851" s="2">
        <f t="shared" si="82"/>
        <v>7.8685925310215064</v>
      </c>
      <c r="S851">
        <f t="shared" si="83"/>
        <v>-0.14636129386077831</v>
      </c>
      <c r="U851">
        <v>4.815063017192867</v>
      </c>
    </row>
    <row r="852" spans="1:21" ht="13.9" x14ac:dyDescent="0.3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78"/>
        <v>-0.16296745072987162</v>
      </c>
      <c r="I852" s="2">
        <f t="shared" si="79"/>
        <v>0.91286739063094702</v>
      </c>
      <c r="J852" s="2">
        <v>0</v>
      </c>
      <c r="K852" s="2">
        <v>0.21</v>
      </c>
      <c r="L852" s="2">
        <v>0</v>
      </c>
      <c r="M852" s="2">
        <v>3.19</v>
      </c>
      <c r="N852" s="2">
        <v>0</v>
      </c>
      <c r="O852" s="2">
        <v>0.54</v>
      </c>
      <c r="P852" s="2">
        <f t="shared" si="80"/>
        <v>-4.1507143974764773</v>
      </c>
      <c r="Q852" s="2">
        <f t="shared" si="81"/>
        <v>0.30079104702015669</v>
      </c>
      <c r="R852" s="2">
        <f t="shared" si="82"/>
        <v>-3.9877469467466056</v>
      </c>
      <c r="S852">
        <f t="shared" si="83"/>
        <v>25.469591497485819</v>
      </c>
      <c r="U852">
        <v>-2.2515387669959646</v>
      </c>
    </row>
    <row r="853" spans="1:21" ht="13.9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78"/>
        <v>#NUM!</v>
      </c>
      <c r="I853" s="2">
        <f t="shared" si="79"/>
        <v>0.12017535872484601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 t="e">
        <f t="shared" si="80"/>
        <v>#DIV/0!</v>
      </c>
      <c r="Q853" s="2" t="e">
        <f t="shared" si="81"/>
        <v>#DIV/0!</v>
      </c>
      <c r="R853" s="2" t="e">
        <f t="shared" si="82"/>
        <v>#DIV/0!</v>
      </c>
      <c r="S853" t="e">
        <f t="shared" si="83"/>
        <v>#DIV/0!</v>
      </c>
      <c r="U853" t="e">
        <v>#NUM!</v>
      </c>
    </row>
    <row r="854" spans="1:21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78"/>
        <v>#DIV/0!</v>
      </c>
      <c r="I854" s="2" t="e">
        <f t="shared" si="79"/>
        <v>#DIV/0!</v>
      </c>
      <c r="J854" s="2">
        <v>0</v>
      </c>
      <c r="K854" s="2">
        <v>0</v>
      </c>
      <c r="L854" s="2">
        <v>0</v>
      </c>
      <c r="M854" s="2">
        <v>0.62</v>
      </c>
      <c r="N854" s="2">
        <v>0</v>
      </c>
      <c r="O854" s="2">
        <v>0</v>
      </c>
      <c r="P854" s="2" t="e">
        <f t="shared" si="80"/>
        <v>#NUM!</v>
      </c>
      <c r="Q854" s="2">
        <f t="shared" si="81"/>
        <v>0.37390096630005903</v>
      </c>
      <c r="R854" s="2" t="e">
        <f t="shared" si="82"/>
        <v>#NUM!</v>
      </c>
      <c r="S854" t="e">
        <f t="shared" si="83"/>
        <v>#NUM!</v>
      </c>
      <c r="U854" t="e">
        <v>#NUM!</v>
      </c>
    </row>
    <row r="855" spans="1:21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78"/>
        <v>#DIV/0!</v>
      </c>
      <c r="I855" s="2" t="e">
        <f t="shared" si="79"/>
        <v>#DIV/0!</v>
      </c>
      <c r="J855" s="2">
        <v>0</v>
      </c>
      <c r="K855" s="2">
        <v>0</v>
      </c>
      <c r="L855" s="2">
        <v>0</v>
      </c>
      <c r="M855" s="2">
        <v>0.1</v>
      </c>
      <c r="N855" s="2">
        <v>0</v>
      </c>
      <c r="O855" s="2">
        <v>0</v>
      </c>
      <c r="P855" s="2" t="e">
        <f t="shared" si="80"/>
        <v>#NUM!</v>
      </c>
      <c r="Q855" s="2">
        <f t="shared" si="81"/>
        <v>0.37390096630005903</v>
      </c>
      <c r="R855" s="2" t="e">
        <f t="shared" si="82"/>
        <v>#NUM!</v>
      </c>
      <c r="S855" t="e">
        <f t="shared" si="83"/>
        <v>#NUM!</v>
      </c>
      <c r="U855" t="e">
        <v>#NUM!</v>
      </c>
    </row>
    <row r="856" spans="1:21" ht="13.9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78"/>
        <v>#NUM!</v>
      </c>
      <c r="I856" s="2">
        <f t="shared" si="79"/>
        <v>0.37390096630005903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 t="e">
        <f t="shared" si="80"/>
        <v>#DIV/0!</v>
      </c>
      <c r="Q856" s="2" t="e">
        <f t="shared" si="81"/>
        <v>#DIV/0!</v>
      </c>
      <c r="R856" s="2" t="e">
        <f t="shared" si="82"/>
        <v>#DIV/0!</v>
      </c>
      <c r="S856" t="e">
        <f t="shared" si="83"/>
        <v>#DIV/0!</v>
      </c>
      <c r="U856" t="e">
        <v>#NUM!</v>
      </c>
    </row>
    <row r="857" spans="1:21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78"/>
        <v>#DIV/0!</v>
      </c>
      <c r="I857" s="2" t="e">
        <f t="shared" si="79"/>
        <v>#DIV/0!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 t="e">
        <f t="shared" si="80"/>
        <v>#DIV/0!</v>
      </c>
      <c r="Q857" s="2" t="e">
        <f t="shared" si="81"/>
        <v>#DIV/0!</v>
      </c>
      <c r="R857" s="2" t="e">
        <f t="shared" si="82"/>
        <v>#DIV/0!</v>
      </c>
      <c r="S857" t="e">
        <f t="shared" si="83"/>
        <v>#DIV/0!</v>
      </c>
      <c r="U857" t="e">
        <v>#NUM!</v>
      </c>
    </row>
    <row r="858" spans="1:21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78"/>
        <v>#DIV/0!</v>
      </c>
      <c r="I858" s="2" t="e">
        <f t="shared" si="79"/>
        <v>#DIV/0!</v>
      </c>
      <c r="J858" s="2">
        <v>0</v>
      </c>
      <c r="K858" s="2">
        <v>0</v>
      </c>
      <c r="L858" s="2">
        <v>0</v>
      </c>
      <c r="M858" s="2">
        <v>0.31</v>
      </c>
      <c r="N858" s="2">
        <v>0</v>
      </c>
      <c r="O858" s="2">
        <v>0</v>
      </c>
      <c r="P858" s="2" t="e">
        <f t="shared" si="80"/>
        <v>#NUM!</v>
      </c>
      <c r="Q858" s="2">
        <f t="shared" si="81"/>
        <v>0.37390096630005903</v>
      </c>
      <c r="R858" s="2" t="e">
        <f t="shared" si="82"/>
        <v>#NUM!</v>
      </c>
      <c r="S858" t="e">
        <f t="shared" si="83"/>
        <v>#NUM!</v>
      </c>
      <c r="U858" t="e">
        <v>#NUM!</v>
      </c>
    </row>
    <row r="859" spans="1:21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78"/>
        <v>#DIV/0!</v>
      </c>
      <c r="I859" s="2" t="e">
        <f t="shared" si="79"/>
        <v>#DIV/0!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 t="e">
        <f t="shared" si="80"/>
        <v>#DIV/0!</v>
      </c>
      <c r="Q859" s="2" t="e">
        <f t="shared" si="81"/>
        <v>#DIV/0!</v>
      </c>
      <c r="R859" s="2" t="e">
        <f t="shared" si="82"/>
        <v>#DIV/0!</v>
      </c>
      <c r="S859" t="e">
        <f t="shared" si="83"/>
        <v>#DIV/0!</v>
      </c>
      <c r="U859" t="e">
        <v>#NUM!</v>
      </c>
    </row>
    <row r="860" spans="1:21" ht="13.9" x14ac:dyDescent="0.3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78"/>
        <v>#NUM!</v>
      </c>
      <c r="I860" s="2">
        <f t="shared" si="79"/>
        <v>5.5451234321560973E-3</v>
      </c>
      <c r="J860" s="2">
        <v>6.29</v>
      </c>
      <c r="K860" s="2">
        <v>0</v>
      </c>
      <c r="L860" s="2">
        <v>0</v>
      </c>
      <c r="M860" s="2">
        <v>6.69</v>
      </c>
      <c r="N860" s="2">
        <v>0</v>
      </c>
      <c r="O860" s="2">
        <v>4.74</v>
      </c>
      <c r="P860" s="2">
        <f t="shared" si="80"/>
        <v>-0.86169348133518908</v>
      </c>
      <c r="Q860" s="2">
        <f t="shared" si="81"/>
        <v>0.58495570488955695</v>
      </c>
      <c r="R860" s="2" t="e">
        <f t="shared" si="82"/>
        <v>#NUM!</v>
      </c>
      <c r="S860" t="e">
        <f t="shared" si="83"/>
        <v>#NUM!</v>
      </c>
      <c r="U860">
        <v>2.6530600171045644</v>
      </c>
    </row>
    <row r="861" spans="1:21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78"/>
        <v>#DIV/0!</v>
      </c>
      <c r="I861" s="2" t="e">
        <f t="shared" si="79"/>
        <v>#DIV/0!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 t="e">
        <f t="shared" si="80"/>
        <v>#DIV/0!</v>
      </c>
      <c r="Q861" s="2" t="e">
        <f t="shared" si="81"/>
        <v>#DIV/0!</v>
      </c>
      <c r="R861" s="2" t="e">
        <f t="shared" si="82"/>
        <v>#DIV/0!</v>
      </c>
      <c r="S861" t="e">
        <f t="shared" si="83"/>
        <v>#DIV/0!</v>
      </c>
      <c r="U861" t="e">
        <v>#NUM!</v>
      </c>
    </row>
    <row r="862" spans="1:21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78"/>
        <v>#DIV/0!</v>
      </c>
      <c r="I862" s="2" t="e">
        <f t="shared" si="79"/>
        <v>#DIV/0!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 t="e">
        <f t="shared" si="80"/>
        <v>#DIV/0!</v>
      </c>
      <c r="Q862" s="2" t="e">
        <f t="shared" si="81"/>
        <v>#DIV/0!</v>
      </c>
      <c r="R862" s="2" t="e">
        <f t="shared" si="82"/>
        <v>#DIV/0!</v>
      </c>
      <c r="S862" t="e">
        <f t="shared" si="83"/>
        <v>#DIV/0!</v>
      </c>
      <c r="U862" t="e">
        <v>#NUM!</v>
      </c>
    </row>
    <row r="863" spans="1:21" ht="13.9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78"/>
        <v>#NUM!</v>
      </c>
      <c r="I863" s="2">
        <f t="shared" si="79"/>
        <v>0.37390096630005903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 t="e">
        <f t="shared" si="80"/>
        <v>#DIV/0!</v>
      </c>
      <c r="Q863" s="2" t="e">
        <f t="shared" si="81"/>
        <v>#DIV/0!</v>
      </c>
      <c r="R863" s="2" t="e">
        <f t="shared" si="82"/>
        <v>#DIV/0!</v>
      </c>
      <c r="S863" t="e">
        <f t="shared" si="83"/>
        <v>#DIV/0!</v>
      </c>
      <c r="U863" t="e">
        <v>#NUM!</v>
      </c>
    </row>
    <row r="864" spans="1:21" ht="13.9" x14ac:dyDescent="0.3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78"/>
        <v>#DIV/0!</v>
      </c>
      <c r="I864" s="2">
        <f t="shared" si="79"/>
        <v>0.37390096630005903</v>
      </c>
      <c r="J864" s="2">
        <v>0.18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 t="e">
        <f t="shared" si="80"/>
        <v>#DIV/0!</v>
      </c>
      <c r="Q864" s="2">
        <f t="shared" si="81"/>
        <v>0.37390096630005903</v>
      </c>
      <c r="R864" s="2" t="e">
        <f t="shared" si="82"/>
        <v>#DIV/0!</v>
      </c>
      <c r="S864" t="e">
        <f t="shared" si="83"/>
        <v>#DIV/0!</v>
      </c>
      <c r="U864">
        <v>-2.4739311883324122</v>
      </c>
    </row>
    <row r="865" spans="1:21" ht="13.9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78"/>
        <v>#NUM!</v>
      </c>
      <c r="I865" s="2">
        <f t="shared" si="79"/>
        <v>0.37390096630005903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0.81</v>
      </c>
      <c r="P865" s="2" t="e">
        <f t="shared" si="80"/>
        <v>#NUM!</v>
      </c>
      <c r="Q865" s="2">
        <f t="shared" si="81"/>
        <v>0.37390096630005903</v>
      </c>
      <c r="R865" s="2" t="e">
        <f t="shared" si="82"/>
        <v>#NUM!</v>
      </c>
      <c r="S865" t="e">
        <f t="shared" si="83"/>
        <v>#NUM!</v>
      </c>
      <c r="U865" t="e">
        <v>#NUM!</v>
      </c>
    </row>
    <row r="866" spans="1:21" ht="13.9" x14ac:dyDescent="0.3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78"/>
        <v>0.59724083049959298</v>
      </c>
      <c r="I866" s="2">
        <f t="shared" si="79"/>
        <v>0.76653333618039743</v>
      </c>
      <c r="J866" s="2">
        <v>0</v>
      </c>
      <c r="K866" s="2">
        <v>0</v>
      </c>
      <c r="L866" s="2">
        <v>0</v>
      </c>
      <c r="M866" s="2">
        <v>0.62</v>
      </c>
      <c r="N866" s="2">
        <v>0</v>
      </c>
      <c r="O866" s="2">
        <v>2.84</v>
      </c>
      <c r="P866" s="2" t="e">
        <f t="shared" si="80"/>
        <v>#NUM!</v>
      </c>
      <c r="Q866" s="2">
        <f t="shared" si="81"/>
        <v>0.2519576791984951</v>
      </c>
      <c r="R866" s="2" t="e">
        <f t="shared" si="82"/>
        <v>#NUM!</v>
      </c>
      <c r="S866" t="e">
        <f t="shared" si="83"/>
        <v>#NUM!</v>
      </c>
      <c r="U866" t="e">
        <v>#NUM!</v>
      </c>
    </row>
    <row r="867" spans="1:21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78"/>
        <v>#DIV/0!</v>
      </c>
      <c r="I867" s="2" t="e">
        <f t="shared" si="79"/>
        <v>#DIV/0!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 t="e">
        <f t="shared" si="80"/>
        <v>#DIV/0!</v>
      </c>
      <c r="Q867" s="2" t="e">
        <f t="shared" si="81"/>
        <v>#DIV/0!</v>
      </c>
      <c r="R867" s="2" t="e">
        <f t="shared" si="82"/>
        <v>#DIV/0!</v>
      </c>
      <c r="S867" t="e">
        <f t="shared" si="83"/>
        <v>#DIV/0!</v>
      </c>
      <c r="U867" t="e">
        <v>#NUM!</v>
      </c>
    </row>
    <row r="868" spans="1:21" ht="13.9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78"/>
        <v>#NUM!</v>
      </c>
      <c r="I868" s="2">
        <f t="shared" si="79"/>
        <v>0.20510645520407783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 t="e">
        <f t="shared" si="80"/>
        <v>#DIV/0!</v>
      </c>
      <c r="Q868" s="2" t="e">
        <f t="shared" si="81"/>
        <v>#DIV/0!</v>
      </c>
      <c r="R868" s="2" t="e">
        <f t="shared" si="82"/>
        <v>#DIV/0!</v>
      </c>
      <c r="S868" t="e">
        <f t="shared" si="83"/>
        <v>#DIV/0!</v>
      </c>
      <c r="U868" t="e">
        <v>#NUM!</v>
      </c>
    </row>
    <row r="869" spans="1:21" ht="13.9" x14ac:dyDescent="0.3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78"/>
        <v>3.8999104060152098E-2</v>
      </c>
      <c r="I869" s="2">
        <f t="shared" si="79"/>
        <v>0.93914631631798473</v>
      </c>
      <c r="J869" s="2">
        <v>72.58</v>
      </c>
      <c r="K869" s="2">
        <v>108.83</v>
      </c>
      <c r="L869" s="2">
        <v>213.16</v>
      </c>
      <c r="M869" s="2">
        <v>104.54</v>
      </c>
      <c r="N869" s="2">
        <v>81.75</v>
      </c>
      <c r="O869" s="2">
        <v>182.85</v>
      </c>
      <c r="P869" s="2">
        <f t="shared" si="80"/>
        <v>9.6113192597275646E-2</v>
      </c>
      <c r="Q869" s="2">
        <f t="shared" si="81"/>
        <v>0.87861290229443356</v>
      </c>
      <c r="R869" s="2">
        <f t="shared" si="82"/>
        <v>5.7114088537123547E-2</v>
      </c>
      <c r="S869">
        <f t="shared" si="83"/>
        <v>2.4644974522755945</v>
      </c>
      <c r="U869">
        <v>8.6241374588200976</v>
      </c>
    </row>
    <row r="870" spans="1:21" ht="13.9" x14ac:dyDescent="0.3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78"/>
        <v>2.6411055787586903</v>
      </c>
      <c r="I870" s="2">
        <f t="shared" si="79"/>
        <v>0.45365202971264035</v>
      </c>
      <c r="J870" s="2">
        <v>0</v>
      </c>
      <c r="K870" s="2">
        <v>0</v>
      </c>
      <c r="L870" s="2">
        <v>7.54</v>
      </c>
      <c r="M870" s="2">
        <v>0.31</v>
      </c>
      <c r="N870" s="2">
        <v>0</v>
      </c>
      <c r="O870" s="2">
        <v>1.22</v>
      </c>
      <c r="P870" s="2">
        <f t="shared" si="80"/>
        <v>2.3010328705760128</v>
      </c>
      <c r="Q870" s="2">
        <f t="shared" si="81"/>
        <v>0.474373104383563</v>
      </c>
      <c r="R870" s="2">
        <f t="shared" si="82"/>
        <v>-0.34007270818267754</v>
      </c>
      <c r="S870">
        <f t="shared" si="83"/>
        <v>0.87123850295204386</v>
      </c>
      <c r="U870">
        <v>2.9145645234939401</v>
      </c>
    </row>
    <row r="871" spans="1:21" ht="13.9" x14ac:dyDescent="0.3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78"/>
        <v>-2.1425493902352808</v>
      </c>
      <c r="I871" s="2">
        <f t="shared" si="79"/>
        <v>1.0480774471324813E-4</v>
      </c>
      <c r="J871" s="2">
        <v>1335.37</v>
      </c>
      <c r="K871" s="2">
        <v>1104.79</v>
      </c>
      <c r="L871" s="2">
        <v>915.49</v>
      </c>
      <c r="M871" s="2">
        <v>3854.04</v>
      </c>
      <c r="N871" s="2">
        <v>4496.3999999999996</v>
      </c>
      <c r="O871" s="2">
        <v>3388.57</v>
      </c>
      <c r="P871" s="2">
        <f t="shared" si="80"/>
        <v>-1.8066465918563352</v>
      </c>
      <c r="Q871" s="2">
        <f t="shared" si="81"/>
        <v>1.2398504802061169E-3</v>
      </c>
      <c r="R871" s="2">
        <f t="shared" si="82"/>
        <v>0.33590279837894554</v>
      </c>
      <c r="S871">
        <f t="shared" si="83"/>
        <v>0.84322284475222342</v>
      </c>
      <c r="U871">
        <v>11.712376532741189</v>
      </c>
    </row>
    <row r="872" spans="1:21" ht="13.9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78"/>
        <v>#NUM!</v>
      </c>
      <c r="I872" s="2">
        <f t="shared" si="79"/>
        <v>1.7942956129714409E-4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2.71</v>
      </c>
      <c r="P872" s="2" t="e">
        <f t="shared" si="80"/>
        <v>#NUM!</v>
      </c>
      <c r="Q872" s="2">
        <f t="shared" si="81"/>
        <v>0.37390096630005903</v>
      </c>
      <c r="R872" s="2" t="e">
        <f t="shared" si="82"/>
        <v>#NUM!</v>
      </c>
      <c r="S872" t="e">
        <f t="shared" si="83"/>
        <v>#NUM!</v>
      </c>
      <c r="U872" t="e">
        <v>#NUM!</v>
      </c>
    </row>
    <row r="873" spans="1:21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78"/>
        <v>#DIV/0!</v>
      </c>
      <c r="I873" s="2" t="e">
        <f t="shared" si="79"/>
        <v>#DIV/0!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 t="e">
        <f t="shared" si="80"/>
        <v>#DIV/0!</v>
      </c>
      <c r="Q873" s="2" t="e">
        <f t="shared" si="81"/>
        <v>#DIV/0!</v>
      </c>
      <c r="R873" s="2" t="e">
        <f t="shared" si="82"/>
        <v>#DIV/0!</v>
      </c>
      <c r="S873" t="e">
        <f t="shared" si="83"/>
        <v>#DIV/0!</v>
      </c>
      <c r="U873" t="e">
        <v>#NUM!</v>
      </c>
    </row>
    <row r="874" spans="1:21" ht="13.9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78"/>
        <v>#NUM!</v>
      </c>
      <c r="I874" s="2">
        <f t="shared" si="79"/>
        <v>0.16879754609057537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2.44</v>
      </c>
      <c r="P874" s="2" t="e">
        <f t="shared" si="80"/>
        <v>#NUM!</v>
      </c>
      <c r="Q874" s="2">
        <f t="shared" si="81"/>
        <v>0.37390096630005903</v>
      </c>
      <c r="R874" s="2" t="e">
        <f t="shared" si="82"/>
        <v>#NUM!</v>
      </c>
      <c r="S874" t="e">
        <f t="shared" si="83"/>
        <v>#NUM!</v>
      </c>
      <c r="U874" t="e">
        <v>#NUM!</v>
      </c>
    </row>
    <row r="875" spans="1:21" ht="13.9" x14ac:dyDescent="0.3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78"/>
        <v>-0.20126600357306401</v>
      </c>
      <c r="I875" s="2">
        <f t="shared" si="79"/>
        <v>0.60755794902705018</v>
      </c>
      <c r="J875" s="2">
        <v>84.8</v>
      </c>
      <c r="K875" s="2">
        <v>202.58</v>
      </c>
      <c r="L875" s="2">
        <v>256.89999999999998</v>
      </c>
      <c r="M875" s="2">
        <v>146.62</v>
      </c>
      <c r="N875" s="2">
        <v>0</v>
      </c>
      <c r="O875" s="2">
        <v>232.66</v>
      </c>
      <c r="P875" s="2">
        <f t="shared" si="80"/>
        <v>0.52108572588727164</v>
      </c>
      <c r="Q875" s="2">
        <f t="shared" si="81"/>
        <v>0.55201013626092155</v>
      </c>
      <c r="R875" s="2">
        <f t="shared" si="82"/>
        <v>0.72235172946033566</v>
      </c>
      <c r="S875">
        <f t="shared" si="83"/>
        <v>-2.5890399602340493</v>
      </c>
      <c r="U875">
        <v>9.0882052138389433</v>
      </c>
    </row>
    <row r="876" spans="1:21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78"/>
        <v>#DIV/0!</v>
      </c>
      <c r="I876" s="2" t="e">
        <f t="shared" si="79"/>
        <v>#DIV/0!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 t="e">
        <f t="shared" si="80"/>
        <v>#DIV/0!</v>
      </c>
      <c r="Q876" s="2" t="e">
        <f t="shared" si="81"/>
        <v>#DIV/0!</v>
      </c>
      <c r="R876" s="2" t="e">
        <f t="shared" si="82"/>
        <v>#DIV/0!</v>
      </c>
      <c r="S876" t="e">
        <f t="shared" si="83"/>
        <v>#DIV/0!</v>
      </c>
      <c r="U876" t="e">
        <v>#NUM!</v>
      </c>
    </row>
    <row r="877" spans="1:21" ht="13.9" x14ac:dyDescent="0.3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78"/>
        <v>1.6675190626825651</v>
      </c>
      <c r="I877" s="2">
        <f t="shared" si="79"/>
        <v>0.26412352055772292</v>
      </c>
      <c r="J877" s="2">
        <v>0</v>
      </c>
      <c r="K877" s="2">
        <v>0</v>
      </c>
      <c r="L877" s="2">
        <v>6.54</v>
      </c>
      <c r="M877" s="2">
        <v>1.23</v>
      </c>
      <c r="N877" s="2">
        <v>0</v>
      </c>
      <c r="O877" s="2">
        <v>2.57</v>
      </c>
      <c r="P877" s="2">
        <f t="shared" si="80"/>
        <v>0.78329121716713479</v>
      </c>
      <c r="Q877" s="2">
        <f t="shared" si="81"/>
        <v>0.71190484327805326</v>
      </c>
      <c r="R877" s="2">
        <f t="shared" si="82"/>
        <v>-0.88422784551543032</v>
      </c>
      <c r="S877">
        <f t="shared" si="83"/>
        <v>0.46973449041538479</v>
      </c>
      <c r="U877">
        <v>2.7092906357233577</v>
      </c>
    </row>
    <row r="878" spans="1:21" ht="13.9" x14ac:dyDescent="0.3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78"/>
        <v>#NUM!</v>
      </c>
      <c r="I878" s="2">
        <f t="shared" si="79"/>
        <v>0.12380015289281761</v>
      </c>
      <c r="J878" s="2">
        <v>3.41</v>
      </c>
      <c r="K878" s="2">
        <v>1.46</v>
      </c>
      <c r="L878" s="2">
        <v>0.5</v>
      </c>
      <c r="M878" s="2">
        <v>1.54</v>
      </c>
      <c r="N878" s="2">
        <v>0</v>
      </c>
      <c r="O878" s="2">
        <v>1.76</v>
      </c>
      <c r="P878" s="2">
        <f t="shared" si="80"/>
        <v>0.70245606373959701</v>
      </c>
      <c r="Q878" s="2">
        <f t="shared" si="81"/>
        <v>0.53566040831382156</v>
      </c>
      <c r="R878" s="2" t="e">
        <f t="shared" si="82"/>
        <v>#NUM!</v>
      </c>
      <c r="S878" t="e">
        <f t="shared" si="83"/>
        <v>#NUM!</v>
      </c>
      <c r="U878">
        <v>2.4249220882106881</v>
      </c>
    </row>
    <row r="879" spans="1:21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78"/>
        <v>#DIV/0!</v>
      </c>
      <c r="I879" s="2" t="e">
        <f t="shared" si="79"/>
        <v>#DIV/0!</v>
      </c>
      <c r="J879" s="2">
        <v>0</v>
      </c>
      <c r="K879" s="2">
        <v>0</v>
      </c>
      <c r="L879" s="2">
        <v>0</v>
      </c>
      <c r="M879" s="2">
        <v>0</v>
      </c>
      <c r="N879" s="2">
        <v>122.63</v>
      </c>
      <c r="O879" s="2">
        <v>0.68</v>
      </c>
      <c r="P879" s="2" t="e">
        <f t="shared" si="80"/>
        <v>#NUM!</v>
      </c>
      <c r="Q879" s="2">
        <f t="shared" si="81"/>
        <v>0.37033993423004985</v>
      </c>
      <c r="R879" s="2" t="e">
        <f t="shared" si="82"/>
        <v>#NUM!</v>
      </c>
      <c r="S879" t="e">
        <f t="shared" si="83"/>
        <v>#NUM!</v>
      </c>
      <c r="U879" t="e">
        <v>#NUM!</v>
      </c>
    </row>
    <row r="880" spans="1:21" ht="13.9" x14ac:dyDescent="0.3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78"/>
        <v>#NUM!</v>
      </c>
      <c r="I880" s="2">
        <f t="shared" si="79"/>
        <v>0.37390096630005903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0.95</v>
      </c>
      <c r="P880" s="2" t="e">
        <f t="shared" si="80"/>
        <v>#NUM!</v>
      </c>
      <c r="Q880" s="2">
        <f t="shared" si="81"/>
        <v>0.37390096630005903</v>
      </c>
      <c r="R880" s="2" t="e">
        <f t="shared" si="82"/>
        <v>#NUM!</v>
      </c>
      <c r="S880" t="e">
        <f t="shared" si="83"/>
        <v>#NUM!</v>
      </c>
      <c r="U880" t="e">
        <v>#NUM!</v>
      </c>
    </row>
    <row r="881" spans="1:21" ht="13.9" x14ac:dyDescent="0.3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78"/>
        <v>#NUM!</v>
      </c>
      <c r="I881" s="2">
        <f t="shared" si="79"/>
        <v>1.7757400350843507E-2</v>
      </c>
      <c r="J881" s="2">
        <v>1.26</v>
      </c>
      <c r="K881" s="2">
        <v>0</v>
      </c>
      <c r="L881" s="2">
        <v>0</v>
      </c>
      <c r="M881" s="2">
        <v>0</v>
      </c>
      <c r="N881" s="2">
        <v>0</v>
      </c>
      <c r="O881" s="2">
        <v>0.68</v>
      </c>
      <c r="P881" s="2">
        <f t="shared" si="80"/>
        <v>0.88981708224957701</v>
      </c>
      <c r="Q881" s="2">
        <f t="shared" si="81"/>
        <v>0.7061408468350745</v>
      </c>
      <c r="R881" s="2" t="e">
        <f t="shared" si="82"/>
        <v>#NUM!</v>
      </c>
      <c r="S881" t="e">
        <f t="shared" si="83"/>
        <v>#NUM!</v>
      </c>
      <c r="U881">
        <v>0.3334237337251918</v>
      </c>
    </row>
    <row r="882" spans="1:21" ht="13.9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78"/>
        <v>#NUM!</v>
      </c>
      <c r="I882" s="2">
        <f t="shared" si="79"/>
        <v>0.37390096630005903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0.81</v>
      </c>
      <c r="P882" s="2" t="e">
        <f t="shared" si="80"/>
        <v>#NUM!</v>
      </c>
      <c r="Q882" s="2">
        <f t="shared" si="81"/>
        <v>0.37390096630005903</v>
      </c>
      <c r="R882" s="2" t="e">
        <f t="shared" si="82"/>
        <v>#NUM!</v>
      </c>
      <c r="S882" t="e">
        <f t="shared" si="83"/>
        <v>#NUM!</v>
      </c>
      <c r="U882" t="e">
        <v>#NUM!</v>
      </c>
    </row>
    <row r="883" spans="1:21" ht="13.9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78"/>
        <v>#NUM!</v>
      </c>
      <c r="I883" s="2">
        <f t="shared" si="79"/>
        <v>0.37390096630005903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 t="e">
        <f t="shared" si="80"/>
        <v>#DIV/0!</v>
      </c>
      <c r="Q883" s="2" t="e">
        <f t="shared" si="81"/>
        <v>#DIV/0!</v>
      </c>
      <c r="R883" s="2" t="e">
        <f t="shared" si="82"/>
        <v>#DIV/0!</v>
      </c>
      <c r="S883" t="e">
        <f t="shared" si="83"/>
        <v>#DIV/0!</v>
      </c>
      <c r="U883" t="e">
        <v>#NUM!</v>
      </c>
    </row>
    <row r="884" spans="1:21" ht="13.9" x14ac:dyDescent="0.3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78"/>
        <v>8.7462841250339401E-2</v>
      </c>
      <c r="I884" s="2">
        <f t="shared" si="79"/>
        <v>0.96094223997988926</v>
      </c>
      <c r="J884" s="2">
        <v>0</v>
      </c>
      <c r="K884" s="2">
        <v>4.5999999999999996</v>
      </c>
      <c r="L884" s="2">
        <v>0</v>
      </c>
      <c r="M884" s="2">
        <v>1.44</v>
      </c>
      <c r="N884" s="2">
        <v>0</v>
      </c>
      <c r="O884" s="2">
        <v>2.0299999999999998</v>
      </c>
      <c r="P884" s="2">
        <f t="shared" si="80"/>
        <v>0.40669819836611426</v>
      </c>
      <c r="Q884" s="2">
        <f t="shared" si="81"/>
        <v>0.83038028086068039</v>
      </c>
      <c r="R884" s="2">
        <f t="shared" si="82"/>
        <v>0.31923535711577489</v>
      </c>
      <c r="S884">
        <f t="shared" si="83"/>
        <v>4.6499541125361743</v>
      </c>
      <c r="U884">
        <v>2.2016338611696504</v>
      </c>
    </row>
    <row r="885" spans="1:21" ht="13.9" x14ac:dyDescent="0.3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78"/>
        <v>#DIV/0!</v>
      </c>
      <c r="I885" s="2">
        <f t="shared" si="79"/>
        <v>0.37390096630005903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 t="e">
        <f t="shared" si="80"/>
        <v>#DIV/0!</v>
      </c>
      <c r="Q885" s="2" t="e">
        <f t="shared" si="81"/>
        <v>#DIV/0!</v>
      </c>
      <c r="R885" s="2" t="e">
        <f t="shared" si="82"/>
        <v>#DIV/0!</v>
      </c>
      <c r="S885" t="e">
        <f t="shared" si="83"/>
        <v>#DIV/0!</v>
      </c>
      <c r="U885" t="e">
        <v>#NUM!</v>
      </c>
    </row>
    <row r="886" spans="1:21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78"/>
        <v>#DIV/0!</v>
      </c>
      <c r="I886" s="2" t="e">
        <f t="shared" si="79"/>
        <v>#DIV/0!</v>
      </c>
      <c r="J886" s="2">
        <v>0</v>
      </c>
      <c r="K886" s="2">
        <v>0</v>
      </c>
      <c r="L886" s="2">
        <v>0</v>
      </c>
      <c r="M886" s="2">
        <v>0.21</v>
      </c>
      <c r="N886" s="2">
        <v>0</v>
      </c>
      <c r="O886" s="2">
        <v>0</v>
      </c>
      <c r="P886" s="2" t="e">
        <f t="shared" si="80"/>
        <v>#NUM!</v>
      </c>
      <c r="Q886" s="2">
        <f t="shared" si="81"/>
        <v>0.37390096630005903</v>
      </c>
      <c r="R886" s="2" t="e">
        <f t="shared" si="82"/>
        <v>#NUM!</v>
      </c>
      <c r="S886" t="e">
        <f t="shared" si="83"/>
        <v>#NUM!</v>
      </c>
      <c r="U886" t="e">
        <v>#NUM!</v>
      </c>
    </row>
    <row r="887" spans="1:21" ht="13.9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78"/>
        <v>#NUM!</v>
      </c>
      <c r="I887" s="2">
        <f t="shared" si="79"/>
        <v>0.11809710147660149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0.95</v>
      </c>
      <c r="P887" s="2" t="e">
        <f t="shared" si="80"/>
        <v>#NUM!</v>
      </c>
      <c r="Q887" s="2">
        <f t="shared" si="81"/>
        <v>0.37390096630005903</v>
      </c>
      <c r="R887" s="2" t="e">
        <f t="shared" si="82"/>
        <v>#NUM!</v>
      </c>
      <c r="S887" t="e">
        <f t="shared" si="83"/>
        <v>#NUM!</v>
      </c>
      <c r="U887" t="e">
        <v>#NUM!</v>
      </c>
    </row>
    <row r="888" spans="1:21" ht="13.9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78"/>
        <v>#NUM!</v>
      </c>
      <c r="I888" s="2">
        <f t="shared" si="79"/>
        <v>0.37390096630005903</v>
      </c>
      <c r="J888" s="2">
        <v>0</v>
      </c>
      <c r="K888" s="2">
        <v>0</v>
      </c>
      <c r="L888" s="2">
        <v>0</v>
      </c>
      <c r="M888" s="2">
        <v>0.41</v>
      </c>
      <c r="N888" s="2">
        <v>0</v>
      </c>
      <c r="O888" s="2">
        <v>0</v>
      </c>
      <c r="P888" s="2" t="e">
        <f t="shared" si="80"/>
        <v>#NUM!</v>
      </c>
      <c r="Q888" s="2">
        <f t="shared" si="81"/>
        <v>0.37390096630005903</v>
      </c>
      <c r="R888" s="2" t="e">
        <f t="shared" si="82"/>
        <v>#NUM!</v>
      </c>
      <c r="S888" t="e">
        <f t="shared" si="83"/>
        <v>#NUM!</v>
      </c>
      <c r="U888" t="e">
        <v>#NUM!</v>
      </c>
    </row>
    <row r="889" spans="1:21" ht="13.9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78"/>
        <v>#NUM!</v>
      </c>
      <c r="I889" s="2">
        <f t="shared" si="79"/>
        <v>0.37390096630005903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0.14000000000000001</v>
      </c>
      <c r="P889" s="2" t="e">
        <f t="shared" si="80"/>
        <v>#NUM!</v>
      </c>
      <c r="Q889" s="2">
        <f t="shared" si="81"/>
        <v>0.37390096630005903</v>
      </c>
      <c r="R889" s="2" t="e">
        <f t="shared" si="82"/>
        <v>#NUM!</v>
      </c>
      <c r="S889" t="e">
        <f t="shared" si="83"/>
        <v>#NUM!</v>
      </c>
      <c r="U889" t="e">
        <v>#NUM!</v>
      </c>
    </row>
    <row r="890" spans="1:21" ht="13.9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78"/>
        <v>#NUM!</v>
      </c>
      <c r="I890" s="2">
        <f t="shared" si="79"/>
        <v>0.27487439760315191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4.0599999999999996</v>
      </c>
      <c r="P890" s="2" t="e">
        <f t="shared" si="80"/>
        <v>#NUM!</v>
      </c>
      <c r="Q890" s="2">
        <f t="shared" si="81"/>
        <v>0.37390096630005903</v>
      </c>
      <c r="R890" s="2" t="e">
        <f t="shared" si="82"/>
        <v>#NUM!</v>
      </c>
      <c r="S890" t="e">
        <f t="shared" si="83"/>
        <v>#NUM!</v>
      </c>
      <c r="U890" t="e">
        <v>#NUM!</v>
      </c>
    </row>
    <row r="891" spans="1:21" ht="13.9" x14ac:dyDescent="0.3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78"/>
        <v>3.1469685372334988</v>
      </c>
      <c r="I891" s="2">
        <f t="shared" si="79"/>
        <v>0.42099458977280946</v>
      </c>
      <c r="J891" s="2">
        <v>4.8499999999999996</v>
      </c>
      <c r="K891" s="2">
        <v>0.21</v>
      </c>
      <c r="L891" s="2">
        <v>23.63</v>
      </c>
      <c r="M891" s="2">
        <v>1.1299999999999999</v>
      </c>
      <c r="N891" s="2">
        <v>0</v>
      </c>
      <c r="O891" s="2">
        <v>0.81</v>
      </c>
      <c r="P891" s="2">
        <f t="shared" si="80"/>
        <v>3.8864194105815368</v>
      </c>
      <c r="Q891" s="2">
        <f t="shared" si="81"/>
        <v>0.28141362252671959</v>
      </c>
      <c r="R891" s="2">
        <f t="shared" si="82"/>
        <v>0.73945087334803805</v>
      </c>
      <c r="S891">
        <f t="shared" si="83"/>
        <v>1.2349724392218073</v>
      </c>
      <c r="U891">
        <v>4.8424760629939394</v>
      </c>
    </row>
    <row r="892" spans="1:21" ht="13.9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78"/>
        <v>#NUM!</v>
      </c>
      <c r="I892" s="2">
        <f t="shared" si="79"/>
        <v>0.1996154985400517</v>
      </c>
      <c r="J892" s="2">
        <v>0</v>
      </c>
      <c r="K892" s="2">
        <v>0</v>
      </c>
      <c r="L892" s="2">
        <v>0</v>
      </c>
      <c r="M892" s="2">
        <v>0.21</v>
      </c>
      <c r="N892" s="2">
        <v>0</v>
      </c>
      <c r="O892" s="2">
        <v>0</v>
      </c>
      <c r="P892" s="2" t="e">
        <f t="shared" si="80"/>
        <v>#NUM!</v>
      </c>
      <c r="Q892" s="2">
        <f t="shared" si="81"/>
        <v>0.37390096630005903</v>
      </c>
      <c r="R892" s="2" t="e">
        <f t="shared" si="82"/>
        <v>#NUM!</v>
      </c>
      <c r="S892" t="e">
        <f t="shared" si="83"/>
        <v>#NUM!</v>
      </c>
      <c r="U892" t="e">
        <v>#NUM!</v>
      </c>
    </row>
    <row r="893" spans="1:21" ht="13.9" x14ac:dyDescent="0.3">
      <c r="A893" s="2" t="s">
        <v>910</v>
      </c>
      <c r="B893" s="2">
        <v>33.43</v>
      </c>
      <c r="C893" s="2">
        <v>8.1</v>
      </c>
      <c r="D893" s="2">
        <v>28.53</v>
      </c>
      <c r="E893" s="2">
        <v>0</v>
      </c>
      <c r="F893" s="2">
        <v>0.44</v>
      </c>
      <c r="G893" s="2">
        <v>0</v>
      </c>
      <c r="H893" s="2">
        <f t="shared" ref="H893:H926" si="84">LOG(SUM(B893:D893)/SUM(E893:G893),2)</f>
        <v>7.3149436541647663</v>
      </c>
      <c r="I893" s="2">
        <f t="shared" ref="I893:I926" si="85">_xlfn.T.TEST(B893:D893,E893:G893,2,2)</f>
        <v>4.0287338441343155E-2</v>
      </c>
      <c r="J893" s="2">
        <v>42.58</v>
      </c>
      <c r="K893" s="2">
        <v>42.27</v>
      </c>
      <c r="L893" s="2">
        <v>125.18</v>
      </c>
      <c r="M893" s="2">
        <v>0</v>
      </c>
      <c r="N893" s="2">
        <v>0</v>
      </c>
      <c r="O893" s="2">
        <v>0</v>
      </c>
      <c r="P893" s="2" t="e">
        <f t="shared" ref="P893:P926" si="86">LOG(SUM(J893:L893)/SUM(M893:O893),2)</f>
        <v>#DIV/0!</v>
      </c>
      <c r="Q893" s="2">
        <f t="shared" ref="Q893:Q926" si="87">_xlfn.T.TEST(J893:L893,M893:O893,2,2)</f>
        <v>6.4119706422422124E-2</v>
      </c>
      <c r="R893" s="2" t="e">
        <f t="shared" ref="R893:R926" si="88">P893-H893</f>
        <v>#DIV/0!</v>
      </c>
      <c r="S893" t="e">
        <f t="shared" si="83"/>
        <v>#DIV/0!</v>
      </c>
      <c r="U893">
        <v>7.7144516022377019</v>
      </c>
    </row>
    <row r="894" spans="1:21" ht="13.9" x14ac:dyDescent="0.3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84"/>
        <v>#NUM!</v>
      </c>
      <c r="I894" s="2">
        <f t="shared" si="85"/>
        <v>4.049519518170943E-2</v>
      </c>
      <c r="J894" s="2">
        <v>0</v>
      </c>
      <c r="K894" s="2">
        <v>0</v>
      </c>
      <c r="L894" s="2">
        <v>0</v>
      </c>
      <c r="M894" s="2">
        <v>0.31</v>
      </c>
      <c r="N894" s="2">
        <v>0</v>
      </c>
      <c r="O894" s="2">
        <v>1.22</v>
      </c>
      <c r="P894" s="2" t="e">
        <f t="shared" si="86"/>
        <v>#NUM!</v>
      </c>
      <c r="Q894" s="2">
        <f t="shared" si="87"/>
        <v>0.23603457154468926</v>
      </c>
      <c r="R894" s="2" t="e">
        <f t="shared" si="88"/>
        <v>#NUM!</v>
      </c>
      <c r="S894" t="e">
        <f t="shared" si="83"/>
        <v>#NUM!</v>
      </c>
      <c r="U894" t="e">
        <v>#NUM!</v>
      </c>
    </row>
    <row r="895" spans="1:21" ht="13.9" x14ac:dyDescent="0.3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84"/>
        <v>-1.0810480837669227</v>
      </c>
      <c r="I895" s="2">
        <f t="shared" si="85"/>
        <v>0.30865407798302696</v>
      </c>
      <c r="J895" s="2">
        <v>0.18</v>
      </c>
      <c r="K895" s="2">
        <v>7.12</v>
      </c>
      <c r="L895" s="2">
        <v>0.5</v>
      </c>
      <c r="M895" s="2">
        <v>22.22</v>
      </c>
      <c r="N895" s="2">
        <v>81.75</v>
      </c>
      <c r="O895" s="2">
        <v>15.7</v>
      </c>
      <c r="P895" s="2">
        <f t="shared" si="86"/>
        <v>-3.9394435950587088</v>
      </c>
      <c r="Q895" s="2">
        <f t="shared" si="87"/>
        <v>0.15244953229162092</v>
      </c>
      <c r="R895" s="2">
        <f t="shared" si="88"/>
        <v>-2.858395511291786</v>
      </c>
      <c r="S895">
        <f t="shared" si="83"/>
        <v>3.6440965524231621</v>
      </c>
      <c r="U895">
        <v>2.9634741239748865</v>
      </c>
    </row>
    <row r="896" spans="1:21" ht="13.9" x14ac:dyDescent="0.3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84"/>
        <v>#NUM!</v>
      </c>
      <c r="I896" s="2">
        <f t="shared" si="85"/>
        <v>0.11808539554779858</v>
      </c>
      <c r="J896" s="2">
        <v>0</v>
      </c>
      <c r="K896" s="2">
        <v>0</v>
      </c>
      <c r="L896" s="2">
        <v>4.5199999999999996</v>
      </c>
      <c r="M896" s="2">
        <v>0</v>
      </c>
      <c r="N896" s="2">
        <v>0</v>
      </c>
      <c r="O896" s="2">
        <v>1.22</v>
      </c>
      <c r="P896" s="2">
        <f t="shared" si="86"/>
        <v>1.8894416248523016</v>
      </c>
      <c r="Q896" s="2">
        <f t="shared" si="87"/>
        <v>0.51977246542006394</v>
      </c>
      <c r="R896" s="2" t="e">
        <f t="shared" si="88"/>
        <v>#NUM!</v>
      </c>
      <c r="S896" t="e">
        <f t="shared" si="83"/>
        <v>#NUM!</v>
      </c>
      <c r="U896">
        <v>2.176322772640463</v>
      </c>
    </row>
    <row r="897" spans="1:21" ht="13.9" x14ac:dyDescent="0.3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84"/>
        <v>2.4711541036618385</v>
      </c>
      <c r="I897" s="2">
        <f t="shared" si="85"/>
        <v>0.46056776880674916</v>
      </c>
      <c r="J897" s="2">
        <v>2.34</v>
      </c>
      <c r="K897" s="2">
        <v>0</v>
      </c>
      <c r="L897" s="2">
        <v>17.09</v>
      </c>
      <c r="M897" s="2">
        <v>0.51</v>
      </c>
      <c r="N897" s="2">
        <v>0</v>
      </c>
      <c r="O897" s="2">
        <v>0</v>
      </c>
      <c r="P897" s="2">
        <f t="shared" si="86"/>
        <v>5.2516448436138488</v>
      </c>
      <c r="Q897" s="2">
        <f t="shared" si="87"/>
        <v>0.30397514946033127</v>
      </c>
      <c r="R897" s="2">
        <f t="shared" si="88"/>
        <v>2.7804907399520102</v>
      </c>
      <c r="S897">
        <f t="shared" si="83"/>
        <v>2.1251790148707386</v>
      </c>
      <c r="U897">
        <v>4.2802139958106196</v>
      </c>
    </row>
    <row r="898" spans="1:21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si="84"/>
        <v>#DIV/0!</v>
      </c>
      <c r="I898" s="2" t="e">
        <f t="shared" si="85"/>
        <v>#DIV/0!</v>
      </c>
      <c r="J898" s="2">
        <v>0</v>
      </c>
      <c r="K898" s="2">
        <v>0</v>
      </c>
      <c r="L898" s="2">
        <v>0</v>
      </c>
      <c r="M898" s="2">
        <v>0.31</v>
      </c>
      <c r="N898" s="2">
        <v>0</v>
      </c>
      <c r="O898" s="2">
        <v>0</v>
      </c>
      <c r="P898" s="2" t="e">
        <f t="shared" si="86"/>
        <v>#NUM!</v>
      </c>
      <c r="Q898" s="2">
        <f t="shared" si="87"/>
        <v>0.37390096630005903</v>
      </c>
      <c r="R898" s="2" t="e">
        <f t="shared" si="88"/>
        <v>#NUM!</v>
      </c>
      <c r="S898" t="e">
        <f t="shared" si="83"/>
        <v>#NUM!</v>
      </c>
      <c r="U898" t="e">
        <v>#NUM!</v>
      </c>
    </row>
    <row r="899" spans="1:21" ht="13.9" x14ac:dyDescent="0.3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84"/>
        <v>-2.9946862001035321</v>
      </c>
      <c r="I899" s="2">
        <f t="shared" si="85"/>
        <v>6.9969505312228652E-3</v>
      </c>
      <c r="J899" s="2">
        <v>9.8800000000000008</v>
      </c>
      <c r="K899" s="2">
        <v>9.2100000000000009</v>
      </c>
      <c r="L899" s="2">
        <v>0</v>
      </c>
      <c r="M899" s="2">
        <v>21.09</v>
      </c>
      <c r="N899" s="2">
        <v>0</v>
      </c>
      <c r="O899" s="2">
        <v>12.86</v>
      </c>
      <c r="P899" s="2">
        <f t="shared" si="86"/>
        <v>-0.83059447172815648</v>
      </c>
      <c r="Q899" s="2">
        <f t="shared" si="87"/>
        <v>0.51340927705975059</v>
      </c>
      <c r="R899" s="2">
        <f t="shared" si="88"/>
        <v>2.1640917283753756</v>
      </c>
      <c r="S899">
        <f t="shared" si="83"/>
        <v>0.27735609550658136</v>
      </c>
      <c r="U899">
        <v>4.2547451976292132</v>
      </c>
    </row>
    <row r="900" spans="1:21" ht="13.9" x14ac:dyDescent="0.3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84"/>
        <v>2.9819660771697385</v>
      </c>
      <c r="I900" s="2">
        <f t="shared" si="85"/>
        <v>0.43251004382403968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 t="e">
        <f t="shared" si="86"/>
        <v>#DIV/0!</v>
      </c>
      <c r="Q900" s="2" t="e">
        <f t="shared" si="87"/>
        <v>#DIV/0!</v>
      </c>
      <c r="R900" s="2" t="e">
        <f t="shared" si="88"/>
        <v>#DIV/0!</v>
      </c>
      <c r="S900" t="e">
        <f t="shared" ref="S900:S926" si="89">P900/H900</f>
        <v>#DIV/0!</v>
      </c>
      <c r="U900" t="e">
        <v>#NUM!</v>
      </c>
    </row>
    <row r="901" spans="1:21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84"/>
        <v>#DIV/0!</v>
      </c>
      <c r="I901" s="2" t="e">
        <f t="shared" si="85"/>
        <v>#DIV/0!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 t="e">
        <f t="shared" si="86"/>
        <v>#DIV/0!</v>
      </c>
      <c r="Q901" s="2" t="e">
        <f t="shared" si="87"/>
        <v>#DIV/0!</v>
      </c>
      <c r="R901" s="2" t="e">
        <f t="shared" si="88"/>
        <v>#DIV/0!</v>
      </c>
      <c r="S901" t="e">
        <f t="shared" si="89"/>
        <v>#DIV/0!</v>
      </c>
      <c r="U901" t="e">
        <v>#NUM!</v>
      </c>
    </row>
    <row r="902" spans="1:21" ht="13.9" x14ac:dyDescent="0.3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84"/>
        <v>-1.2641393107792682</v>
      </c>
      <c r="I902" s="2">
        <f t="shared" si="85"/>
        <v>4.3092266947983831E-3</v>
      </c>
      <c r="J902" s="2">
        <v>3747.76</v>
      </c>
      <c r="K902" s="2">
        <v>6779.66</v>
      </c>
      <c r="L902" s="2">
        <v>9669.24</v>
      </c>
      <c r="M902" s="2">
        <v>11314.25</v>
      </c>
      <c r="N902" s="2">
        <v>6662.85</v>
      </c>
      <c r="O902" s="2">
        <v>15917.31</v>
      </c>
      <c r="P902" s="2">
        <f t="shared" si="86"/>
        <v>-0.74693062938635491</v>
      </c>
      <c r="Q902" s="2">
        <f t="shared" si="87"/>
        <v>0.22339857434913044</v>
      </c>
      <c r="R902" s="2">
        <f t="shared" si="88"/>
        <v>0.51720868139291332</v>
      </c>
      <c r="S902">
        <f t="shared" si="89"/>
        <v>0.59086100955591336</v>
      </c>
      <c r="U902">
        <v>14.301829108177511</v>
      </c>
    </row>
    <row r="903" spans="1:21" ht="13.9" x14ac:dyDescent="0.3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84"/>
        <v>-4.5182762772896341</v>
      </c>
      <c r="I903" s="2">
        <f t="shared" si="85"/>
        <v>1.4114756939392506E-2</v>
      </c>
      <c r="J903" s="2">
        <v>14.01</v>
      </c>
      <c r="K903" s="2">
        <v>7.95</v>
      </c>
      <c r="L903" s="2">
        <v>12.57</v>
      </c>
      <c r="M903" s="2">
        <v>5.14</v>
      </c>
      <c r="N903" s="2">
        <v>40.880000000000003</v>
      </c>
      <c r="O903" s="2">
        <v>8.66</v>
      </c>
      <c r="P903" s="2">
        <f t="shared" si="86"/>
        <v>-0.66316290875267359</v>
      </c>
      <c r="Q903" s="2">
        <f t="shared" si="87"/>
        <v>0.59109478931411252</v>
      </c>
      <c r="R903" s="2">
        <f t="shared" si="88"/>
        <v>3.8551133685369603</v>
      </c>
      <c r="S903">
        <f t="shared" si="89"/>
        <v>0.14677343040883797</v>
      </c>
      <c r="U903">
        <v>5.1097784290786619</v>
      </c>
    </row>
    <row r="904" spans="1:21" ht="13.9" x14ac:dyDescent="0.3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84"/>
        <v>-0.87639091790844592</v>
      </c>
      <c r="I904" s="2">
        <f t="shared" si="85"/>
        <v>0.55166625033418226</v>
      </c>
      <c r="J904" s="2">
        <v>6.11</v>
      </c>
      <c r="K904" s="2">
        <v>0</v>
      </c>
      <c r="L904" s="2">
        <v>8.5500000000000007</v>
      </c>
      <c r="M904" s="2">
        <v>2.88</v>
      </c>
      <c r="N904" s="2">
        <v>0</v>
      </c>
      <c r="O904" s="2">
        <v>0.54</v>
      </c>
      <c r="P904" s="2">
        <f t="shared" si="86"/>
        <v>2.0998168732479141</v>
      </c>
      <c r="Q904" s="2">
        <f t="shared" si="87"/>
        <v>0.23639640620828056</v>
      </c>
      <c r="R904" s="2">
        <f t="shared" si="88"/>
        <v>2.97620779115636</v>
      </c>
      <c r="S904">
        <f t="shared" si="89"/>
        <v>-2.3959820102417768</v>
      </c>
      <c r="U904">
        <v>3.8738131983590871</v>
      </c>
    </row>
    <row r="905" spans="1:21" ht="13.9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84"/>
        <v>#NUM!</v>
      </c>
      <c r="I905" s="2">
        <f t="shared" si="85"/>
        <v>0.37390096630005903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3.25</v>
      </c>
      <c r="P905" s="2" t="e">
        <f t="shared" si="86"/>
        <v>#NUM!</v>
      </c>
      <c r="Q905" s="2">
        <f t="shared" si="87"/>
        <v>0.37390096630005903</v>
      </c>
      <c r="R905" s="2" t="e">
        <f t="shared" si="88"/>
        <v>#NUM!</v>
      </c>
      <c r="S905" t="e">
        <f t="shared" si="89"/>
        <v>#NUM!</v>
      </c>
      <c r="U905" t="e">
        <v>#NUM!</v>
      </c>
    </row>
    <row r="906" spans="1:21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84"/>
        <v>#DIV/0!</v>
      </c>
      <c r="I906" s="2" t="e">
        <f t="shared" si="85"/>
        <v>#DIV/0!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 t="e">
        <f t="shared" si="86"/>
        <v>#DIV/0!</v>
      </c>
      <c r="Q906" s="2" t="e">
        <f t="shared" si="87"/>
        <v>#DIV/0!</v>
      </c>
      <c r="R906" s="2" t="e">
        <f t="shared" si="88"/>
        <v>#DIV/0!</v>
      </c>
      <c r="S906" t="e">
        <f t="shared" si="89"/>
        <v>#DIV/0!</v>
      </c>
      <c r="U906" t="e">
        <v>#NUM!</v>
      </c>
    </row>
    <row r="907" spans="1:21" ht="13.9" x14ac:dyDescent="0.3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84"/>
        <v>#DIV/0!</v>
      </c>
      <c r="I907" s="2">
        <f t="shared" si="85"/>
        <v>0.37390096630005903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 t="e">
        <f t="shared" si="86"/>
        <v>#DIV/0!</v>
      </c>
      <c r="Q907" s="2" t="e">
        <f t="shared" si="87"/>
        <v>#DIV/0!</v>
      </c>
      <c r="R907" s="2" t="e">
        <f t="shared" si="88"/>
        <v>#DIV/0!</v>
      </c>
      <c r="S907" t="e">
        <f t="shared" si="89"/>
        <v>#DIV/0!</v>
      </c>
      <c r="U907" t="e">
        <v>#NUM!</v>
      </c>
    </row>
    <row r="908" spans="1:21" ht="13.9" x14ac:dyDescent="0.3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84"/>
        <v>0.17760632197385146</v>
      </c>
      <c r="I908" s="2">
        <f t="shared" si="85"/>
        <v>0.58461704214038379</v>
      </c>
      <c r="J908" s="2">
        <v>84.08</v>
      </c>
      <c r="K908" s="2">
        <v>125.57</v>
      </c>
      <c r="L908" s="2">
        <v>225.23</v>
      </c>
      <c r="M908" s="2">
        <v>62.35</v>
      </c>
      <c r="N908" s="2">
        <v>81.75</v>
      </c>
      <c r="O908" s="2">
        <v>109.5</v>
      </c>
      <c r="P908" s="2">
        <f t="shared" si="86"/>
        <v>0.77806261574062185</v>
      </c>
      <c r="Q908" s="2">
        <f t="shared" si="87"/>
        <v>0.24215038720913507</v>
      </c>
      <c r="R908" s="2">
        <f t="shared" si="88"/>
        <v>0.60045629376677034</v>
      </c>
      <c r="S908">
        <f t="shared" si="89"/>
        <v>4.380827253745923</v>
      </c>
      <c r="U908">
        <v>8.7644735509926672</v>
      </c>
    </row>
    <row r="909" spans="1:21" ht="13.9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84"/>
        <v>#NUM!</v>
      </c>
      <c r="I909" s="2">
        <f t="shared" si="85"/>
        <v>0.2884792214302897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 t="e">
        <f t="shared" si="86"/>
        <v>#DIV/0!</v>
      </c>
      <c r="Q909" s="2" t="e">
        <f t="shared" si="87"/>
        <v>#DIV/0!</v>
      </c>
      <c r="R909" s="2" t="e">
        <f t="shared" si="88"/>
        <v>#DIV/0!</v>
      </c>
      <c r="S909" t="e">
        <f t="shared" si="89"/>
        <v>#DIV/0!</v>
      </c>
      <c r="U909" t="e">
        <v>#NUM!</v>
      </c>
    </row>
    <row r="910" spans="1:21" ht="13.9" x14ac:dyDescent="0.3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84"/>
        <v>1.7529071380352277</v>
      </c>
      <c r="I910" s="2">
        <f t="shared" si="85"/>
        <v>0.36463470081800076</v>
      </c>
      <c r="J910" s="2">
        <v>0</v>
      </c>
      <c r="K910" s="2">
        <v>3.77</v>
      </c>
      <c r="L910" s="2">
        <v>0</v>
      </c>
      <c r="M910" s="2">
        <v>1.34</v>
      </c>
      <c r="N910" s="2">
        <v>0</v>
      </c>
      <c r="O910" s="2">
        <v>1.22</v>
      </c>
      <c r="P910" s="2">
        <f t="shared" si="86"/>
        <v>0.55842071326866438</v>
      </c>
      <c r="Q910" s="2">
        <f t="shared" si="87"/>
        <v>0.77641896722672232</v>
      </c>
      <c r="R910" s="2">
        <f t="shared" si="88"/>
        <v>-1.1944864247665632</v>
      </c>
      <c r="S910">
        <f t="shared" si="89"/>
        <v>0.31856833779259902</v>
      </c>
      <c r="U910">
        <v>1.9145645234939395</v>
      </c>
    </row>
    <row r="911" spans="1:21" ht="13.9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84"/>
        <v>#NUM!</v>
      </c>
      <c r="I911" s="2">
        <f t="shared" si="85"/>
        <v>0.37390096630005903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0.27</v>
      </c>
      <c r="P911" s="2" t="e">
        <f t="shared" si="86"/>
        <v>#NUM!</v>
      </c>
      <c r="Q911" s="2">
        <f t="shared" si="87"/>
        <v>0.37390096630005903</v>
      </c>
      <c r="R911" s="2" t="e">
        <f t="shared" si="88"/>
        <v>#NUM!</v>
      </c>
      <c r="S911" t="e">
        <f t="shared" si="89"/>
        <v>#NUM!</v>
      </c>
      <c r="U911" t="e">
        <v>#NUM!</v>
      </c>
    </row>
    <row r="912" spans="1:21" ht="13.9" x14ac:dyDescent="0.3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84"/>
        <v>-1.4848620250548199</v>
      </c>
      <c r="I912" s="2">
        <f t="shared" si="85"/>
        <v>1.741458986516943E-2</v>
      </c>
      <c r="J912" s="2">
        <v>63.96</v>
      </c>
      <c r="K912" s="2">
        <v>135.61000000000001</v>
      </c>
      <c r="L912" s="2">
        <v>249.86</v>
      </c>
      <c r="M912" s="2">
        <v>196.52</v>
      </c>
      <c r="N912" s="2">
        <v>163.51</v>
      </c>
      <c r="O912" s="2">
        <v>482.92</v>
      </c>
      <c r="P912" s="2">
        <f t="shared" si="86"/>
        <v>-0.90735063014516371</v>
      </c>
      <c r="Q912" s="2">
        <f t="shared" si="87"/>
        <v>0.31752866296151849</v>
      </c>
      <c r="R912" s="2">
        <f t="shared" si="88"/>
        <v>0.57751139490965619</v>
      </c>
      <c r="S912">
        <f t="shared" si="89"/>
        <v>0.61106730109261498</v>
      </c>
      <c r="U912">
        <v>8.8119526191582995</v>
      </c>
    </row>
    <row r="913" spans="1:21" ht="13.9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84"/>
        <v>#NUM!</v>
      </c>
      <c r="I913" s="2">
        <f t="shared" si="85"/>
        <v>0.37390096630005903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 t="e">
        <f t="shared" si="86"/>
        <v>#DIV/0!</v>
      </c>
      <c r="Q913" s="2" t="e">
        <f t="shared" si="87"/>
        <v>#DIV/0!</v>
      </c>
      <c r="R913" s="2" t="e">
        <f t="shared" si="88"/>
        <v>#DIV/0!</v>
      </c>
      <c r="S913" t="e">
        <f t="shared" si="89"/>
        <v>#DIV/0!</v>
      </c>
      <c r="U913" t="e">
        <v>#NUM!</v>
      </c>
    </row>
    <row r="914" spans="1:21" ht="13.9" x14ac:dyDescent="0.3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84"/>
        <v>-1.011232895191599</v>
      </c>
      <c r="I914" s="2">
        <f t="shared" si="85"/>
        <v>0.10844161500323465</v>
      </c>
      <c r="J914" s="2">
        <v>8.6199999999999992</v>
      </c>
      <c r="K914" s="2">
        <v>0</v>
      </c>
      <c r="L914" s="2">
        <v>0</v>
      </c>
      <c r="M914" s="2">
        <v>13.68</v>
      </c>
      <c r="N914" s="2">
        <v>0</v>
      </c>
      <c r="O914" s="2">
        <v>12.99</v>
      </c>
      <c r="P914" s="2">
        <f t="shared" si="86"/>
        <v>-1.6294580504618283</v>
      </c>
      <c r="Q914" s="2">
        <f t="shared" si="87"/>
        <v>0.31941911535730849</v>
      </c>
      <c r="R914" s="2">
        <f t="shared" si="88"/>
        <v>-0.61822515527022937</v>
      </c>
      <c r="S914">
        <f t="shared" si="89"/>
        <v>1.6113578367652823</v>
      </c>
      <c r="U914">
        <v>3.1076878693143732</v>
      </c>
    </row>
    <row r="915" spans="1:21" ht="13.9" x14ac:dyDescent="0.3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84"/>
        <v>#DIV/0!</v>
      </c>
      <c r="I915" s="2">
        <f t="shared" si="85"/>
        <v>0.37390096630005903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 t="e">
        <f t="shared" si="86"/>
        <v>#DIV/0!</v>
      </c>
      <c r="Q915" s="2" t="e">
        <f t="shared" si="87"/>
        <v>#DIV/0!</v>
      </c>
      <c r="R915" s="2" t="e">
        <f t="shared" si="88"/>
        <v>#DIV/0!</v>
      </c>
      <c r="S915" t="e">
        <f t="shared" si="89"/>
        <v>#DIV/0!</v>
      </c>
      <c r="U915" t="e">
        <v>#NUM!</v>
      </c>
    </row>
    <row r="916" spans="1:21" ht="13.9" x14ac:dyDescent="0.3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84"/>
        <v>-1.9517666164713139</v>
      </c>
      <c r="I916" s="2">
        <f t="shared" si="85"/>
        <v>9.5786977641947463E-2</v>
      </c>
      <c r="J916" s="2">
        <v>0.18</v>
      </c>
      <c r="K916" s="2">
        <v>14.23</v>
      </c>
      <c r="L916" s="2">
        <v>25.14</v>
      </c>
      <c r="M916" s="2">
        <v>16.670000000000002</v>
      </c>
      <c r="N916" s="2">
        <v>0</v>
      </c>
      <c r="O916" s="2">
        <v>17.32</v>
      </c>
      <c r="P916" s="2">
        <f t="shared" si="86"/>
        <v>0.21856733281848215</v>
      </c>
      <c r="Q916" s="2">
        <f t="shared" si="87"/>
        <v>0.84989603041893735</v>
      </c>
      <c r="R916" s="2">
        <f t="shared" si="88"/>
        <v>2.1703339492897959</v>
      </c>
      <c r="S916">
        <f t="shared" si="89"/>
        <v>-0.11198435866970601</v>
      </c>
      <c r="U916">
        <v>5.3056057895854298</v>
      </c>
    </row>
    <row r="917" spans="1:21" ht="13.9" x14ac:dyDescent="0.3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84"/>
        <v>-1.8052490687926988</v>
      </c>
      <c r="I917" s="2">
        <f t="shared" si="85"/>
        <v>5.6713849474500887E-2</v>
      </c>
      <c r="J917" s="2">
        <v>39.340000000000003</v>
      </c>
      <c r="K917" s="2">
        <v>21.35</v>
      </c>
      <c r="L917" s="2">
        <v>0</v>
      </c>
      <c r="M917" s="2">
        <v>34.159999999999997</v>
      </c>
      <c r="N917" s="2">
        <v>81.75</v>
      </c>
      <c r="O917" s="2">
        <v>40.06</v>
      </c>
      <c r="P917" s="2">
        <f t="shared" si="86"/>
        <v>-1.3617378353230429</v>
      </c>
      <c r="Q917" s="2">
        <f t="shared" si="87"/>
        <v>0.16649130750073521</v>
      </c>
      <c r="R917" s="2">
        <f t="shared" si="88"/>
        <v>0.44351123346965582</v>
      </c>
      <c r="S917">
        <f t="shared" si="89"/>
        <v>0.75432130605320624</v>
      </c>
      <c r="U917">
        <v>5.9233869155047145</v>
      </c>
    </row>
    <row r="918" spans="1:21" ht="13.9" x14ac:dyDescent="0.3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84"/>
        <v>#NUM!</v>
      </c>
      <c r="I918" s="2">
        <f t="shared" si="85"/>
        <v>0.16094890290174124</v>
      </c>
      <c r="J918" s="2">
        <v>0.18</v>
      </c>
      <c r="K918" s="2">
        <v>8.3699999999999992</v>
      </c>
      <c r="L918" s="2">
        <v>0</v>
      </c>
      <c r="M918" s="2">
        <v>1.54</v>
      </c>
      <c r="N918" s="2">
        <v>0</v>
      </c>
      <c r="O918" s="2">
        <v>1.35</v>
      </c>
      <c r="P918" s="2">
        <f t="shared" si="86"/>
        <v>1.5648549272725811</v>
      </c>
      <c r="Q918" s="2">
        <f t="shared" si="87"/>
        <v>0.53774087447562358</v>
      </c>
      <c r="R918" s="2" t="e">
        <f t="shared" si="88"/>
        <v>#NUM!</v>
      </c>
      <c r="S918" t="e">
        <f t="shared" si="89"/>
        <v>#NUM!</v>
      </c>
      <c r="U918">
        <v>3.0959244199985352</v>
      </c>
    </row>
    <row r="919" spans="1:21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84"/>
        <v>#DIV/0!</v>
      </c>
      <c r="I919" s="2" t="e">
        <f t="shared" si="85"/>
        <v>#DIV/0!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1.35</v>
      </c>
      <c r="P919" s="2" t="e">
        <f t="shared" si="86"/>
        <v>#NUM!</v>
      </c>
      <c r="Q919" s="2">
        <f t="shared" si="87"/>
        <v>0.37390096630005903</v>
      </c>
      <c r="R919" s="2" t="e">
        <f t="shared" si="88"/>
        <v>#NUM!</v>
      </c>
      <c r="S919" t="e">
        <f t="shared" si="89"/>
        <v>#NUM!</v>
      </c>
      <c r="U919" t="e">
        <v>#NUM!</v>
      </c>
    </row>
    <row r="920" spans="1:21" ht="13.9" x14ac:dyDescent="0.3">
      <c r="A920" s="2" t="s">
        <v>937</v>
      </c>
      <c r="B920" s="2">
        <v>810.57</v>
      </c>
      <c r="C920" s="2">
        <v>475.12</v>
      </c>
      <c r="D920" s="2">
        <v>709.26</v>
      </c>
      <c r="E920" s="2">
        <v>386.07</v>
      </c>
      <c r="F920" s="2">
        <v>407.72</v>
      </c>
      <c r="G920" s="2">
        <v>385.27</v>
      </c>
      <c r="H920" s="2">
        <f t="shared" si="84"/>
        <v>0.75871545217954828</v>
      </c>
      <c r="I920" s="2">
        <f t="shared" si="85"/>
        <v>5.2422215251804266E-2</v>
      </c>
      <c r="J920" s="2">
        <v>676.4</v>
      </c>
      <c r="K920" s="2">
        <v>549.15</v>
      </c>
      <c r="L920" s="2">
        <v>536.42999999999995</v>
      </c>
      <c r="M920" s="2">
        <v>376.37</v>
      </c>
      <c r="N920" s="2">
        <v>204.38</v>
      </c>
      <c r="O920" s="2">
        <v>382.49</v>
      </c>
      <c r="P920" s="2">
        <f t="shared" si="86"/>
        <v>0.87123033996124688</v>
      </c>
      <c r="Q920" s="2">
        <f t="shared" si="87"/>
        <v>2.2326774858584607E-2</v>
      </c>
      <c r="R920" s="2">
        <f t="shared" si="88"/>
        <v>0.1125148877816986</v>
      </c>
      <c r="S920">
        <f t="shared" si="89"/>
        <v>1.1482965549976334</v>
      </c>
      <c r="U920">
        <v>10.782981833174345</v>
      </c>
    </row>
    <row r="921" spans="1:21" ht="13.9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84"/>
        <v>#NUM!</v>
      </c>
      <c r="I921" s="2">
        <f t="shared" si="85"/>
        <v>0.11629655068051944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 t="e">
        <f t="shared" si="86"/>
        <v>#DIV/0!</v>
      </c>
      <c r="Q921" s="2" t="e">
        <f t="shared" si="87"/>
        <v>#DIV/0!</v>
      </c>
      <c r="R921" s="2" t="e">
        <f t="shared" si="88"/>
        <v>#DIV/0!</v>
      </c>
      <c r="S921" t="e">
        <f t="shared" si="89"/>
        <v>#DIV/0!</v>
      </c>
      <c r="U921" t="e">
        <v>#NUM!</v>
      </c>
    </row>
    <row r="922" spans="1:21" ht="13.9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84"/>
        <v>#NUM!</v>
      </c>
      <c r="I922" s="2">
        <f t="shared" si="85"/>
        <v>0.37390096630005903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 t="e">
        <f t="shared" si="86"/>
        <v>#DIV/0!</v>
      </c>
      <c r="Q922" s="2" t="e">
        <f t="shared" si="87"/>
        <v>#DIV/0!</v>
      </c>
      <c r="R922" s="2" t="e">
        <f t="shared" si="88"/>
        <v>#DIV/0!</v>
      </c>
      <c r="S922" t="e">
        <f t="shared" si="89"/>
        <v>#DIV/0!</v>
      </c>
      <c r="U922" t="e">
        <v>#NUM!</v>
      </c>
    </row>
    <row r="923" spans="1:21" ht="13.9" x14ac:dyDescent="0.3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84"/>
        <v>-3.5145731728297589</v>
      </c>
      <c r="I923" s="2">
        <f t="shared" si="85"/>
        <v>4.0378178247889626E-2</v>
      </c>
      <c r="J923" s="2">
        <v>0</v>
      </c>
      <c r="K923" s="2">
        <v>0.21</v>
      </c>
      <c r="L923" s="2">
        <v>0</v>
      </c>
      <c r="M923" s="2">
        <v>4.12</v>
      </c>
      <c r="N923" s="2">
        <v>0</v>
      </c>
      <c r="O923" s="2">
        <v>4.2</v>
      </c>
      <c r="P923" s="2">
        <f t="shared" si="86"/>
        <v>-5.3081222953623319</v>
      </c>
      <c r="Q923" s="2">
        <f t="shared" si="87"/>
        <v>0.12341386205590338</v>
      </c>
      <c r="R923" s="2">
        <f t="shared" si="88"/>
        <v>-1.793549122532573</v>
      </c>
      <c r="S923">
        <f t="shared" si="89"/>
        <v>1.5103177638747229</v>
      </c>
      <c r="U923">
        <v>-2.2515387669959646</v>
      </c>
    </row>
    <row r="924" spans="1:21" ht="13.9" x14ac:dyDescent="0.3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84"/>
        <v>-1.5468973162145914</v>
      </c>
      <c r="I924" s="2">
        <f t="shared" si="85"/>
        <v>3.265764637883925E-2</v>
      </c>
      <c r="J924" s="2">
        <v>7.19</v>
      </c>
      <c r="K924" s="2">
        <v>8.3699999999999992</v>
      </c>
      <c r="L924" s="2">
        <v>33.68</v>
      </c>
      <c r="M924" s="2">
        <v>16.98</v>
      </c>
      <c r="N924" s="2">
        <v>0</v>
      </c>
      <c r="O924" s="2">
        <v>21.52</v>
      </c>
      <c r="P924" s="2">
        <f t="shared" si="86"/>
        <v>0.3549723160148312</v>
      </c>
      <c r="Q924" s="2">
        <f t="shared" si="87"/>
        <v>0.75781364161661102</v>
      </c>
      <c r="R924" s="2">
        <f t="shared" si="88"/>
        <v>1.9018696322294226</v>
      </c>
      <c r="S924">
        <f t="shared" si="89"/>
        <v>-0.2294737422413293</v>
      </c>
      <c r="U924">
        <v>5.6217588567097332</v>
      </c>
    </row>
    <row r="925" spans="1:21" ht="13.9" x14ac:dyDescent="0.3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84"/>
        <v>#NUM!</v>
      </c>
      <c r="I925" s="2">
        <f t="shared" si="85"/>
        <v>2.080997959167322E-2</v>
      </c>
      <c r="J925" s="2">
        <v>1.44</v>
      </c>
      <c r="K925" s="2">
        <v>0.42</v>
      </c>
      <c r="L925" s="2">
        <v>1.51</v>
      </c>
      <c r="M925" s="2">
        <v>1.75</v>
      </c>
      <c r="N925" s="2">
        <v>0</v>
      </c>
      <c r="O925" s="2">
        <v>3.25</v>
      </c>
      <c r="P925" s="2">
        <f t="shared" si="86"/>
        <v>-0.5691795034802285</v>
      </c>
      <c r="Q925" s="2">
        <f t="shared" si="87"/>
        <v>0.61678523233976557</v>
      </c>
      <c r="R925" s="2" t="e">
        <f t="shared" si="88"/>
        <v>#NUM!</v>
      </c>
      <c r="S925" t="e">
        <f t="shared" si="89"/>
        <v>#NUM!</v>
      </c>
      <c r="U925">
        <v>1.7527485914071339</v>
      </c>
    </row>
    <row r="926" spans="1:21" ht="13.9" x14ac:dyDescent="0.3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84"/>
        <v>-2.0469380306863996</v>
      </c>
      <c r="I926" s="2">
        <f t="shared" si="85"/>
        <v>1.7524003339743754E-2</v>
      </c>
      <c r="J926" s="2">
        <v>28.56</v>
      </c>
      <c r="K926" s="2">
        <v>51.9</v>
      </c>
      <c r="L926" s="2">
        <v>30.67</v>
      </c>
      <c r="M926" s="2">
        <v>64.72</v>
      </c>
      <c r="N926" s="2">
        <v>0</v>
      </c>
      <c r="O926" s="2">
        <v>129.38999999999999</v>
      </c>
      <c r="P926" s="2">
        <f t="shared" si="86"/>
        <v>-0.80462611279021323</v>
      </c>
      <c r="Q926" s="2">
        <f t="shared" si="87"/>
        <v>0.50792455937723735</v>
      </c>
      <c r="R926" s="2">
        <f t="shared" si="88"/>
        <v>1.2423119178961863</v>
      </c>
      <c r="S926">
        <f t="shared" si="89"/>
        <v>0.3930876757028145</v>
      </c>
      <c r="U926">
        <v>6.7961045205321451</v>
      </c>
    </row>
  </sheetData>
  <phoneticPr fontId="1" type="noConversion"/>
  <conditionalFormatting sqref="I1:I1048576">
    <cfRule type="cellIs" dxfId="4" priority="2" operator="lessThan">
      <formula>0.05</formula>
    </cfRule>
  </conditionalFormatting>
  <conditionalFormatting sqref="Q1:Q1048576">
    <cfRule type="cellIs" dxfId="3" priority="1" operator="less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48DE-177B-47DE-92BF-782FF6E6FA2A}">
  <dimension ref="A1:K926"/>
  <sheetViews>
    <sheetView topLeftCell="A899" workbookViewId="0">
      <selection activeCell="K1" sqref="K1:K1048576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1" max="11" width="16.1328125" style="1" bestFit="1" customWidth="1"/>
  </cols>
  <sheetData>
    <row r="1" spans="1:11" ht="13.9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1</v>
      </c>
      <c r="F1" s="2" t="s">
        <v>2</v>
      </c>
      <c r="G1" s="2" t="s">
        <v>3</v>
      </c>
      <c r="H1" s="3" t="s">
        <v>944</v>
      </c>
      <c r="I1" s="3" t="s">
        <v>945</v>
      </c>
      <c r="J1" s="2"/>
      <c r="K1" s="3" t="s">
        <v>957</v>
      </c>
    </row>
    <row r="2" spans="1:11" ht="13.9" x14ac:dyDescent="0.3">
      <c r="A2" s="2" t="s">
        <v>19</v>
      </c>
      <c r="B2" s="2">
        <v>0</v>
      </c>
      <c r="C2" s="2">
        <v>0</v>
      </c>
      <c r="D2" s="2">
        <v>0</v>
      </c>
      <c r="E2" s="2">
        <v>0</v>
      </c>
      <c r="F2" s="2">
        <v>0.55000000000000004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J2" s="2"/>
      <c r="K2" s="2" t="e">
        <f>LOG(SUM(B2:D2),2)</f>
        <v>#NUM!</v>
      </c>
    </row>
    <row r="3" spans="1:11" ht="13.9" x14ac:dyDescent="0.3">
      <c r="A3" s="2" t="s">
        <v>20</v>
      </c>
      <c r="B3" s="2">
        <v>75351.350000000006</v>
      </c>
      <c r="C3" s="2">
        <v>74818.929999999993</v>
      </c>
      <c r="D3" s="2">
        <v>80016.44</v>
      </c>
      <c r="E3" s="2">
        <v>24363.23</v>
      </c>
      <c r="F3" s="2">
        <v>31575.95</v>
      </c>
      <c r="G3" s="2">
        <v>20276.96</v>
      </c>
      <c r="H3" s="2">
        <f>LOG(SUM(B3:D3)/SUM(E3:G3),2)</f>
        <v>1.5946361542973451</v>
      </c>
      <c r="I3" s="2">
        <f t="shared" si="1"/>
        <v>1.5538908316059833E-4</v>
      </c>
      <c r="J3" s="2"/>
      <c r="K3" s="2">
        <f t="shared" ref="K3:K66" si="2">LOG(SUM(B3:D3),2)</f>
        <v>17.812445077920874</v>
      </c>
    </row>
    <row r="4" spans="1:11" ht="13.9" x14ac:dyDescent="0.3">
      <c r="A4" s="2" t="s">
        <v>21</v>
      </c>
      <c r="B4" s="2">
        <v>70626.649999999994</v>
      </c>
      <c r="C4" s="2">
        <v>47335.75</v>
      </c>
      <c r="D4" s="2">
        <v>37702.160000000003</v>
      </c>
      <c r="E4" s="2">
        <v>8085.41</v>
      </c>
      <c r="F4" s="2">
        <v>7679.96</v>
      </c>
      <c r="G4" s="2">
        <v>5728.57</v>
      </c>
      <c r="H4" s="2">
        <f t="shared" si="0"/>
        <v>2.8564386559010617</v>
      </c>
      <c r="I4" s="2">
        <f t="shared" si="1"/>
        <v>1.0311494898501007E-2</v>
      </c>
      <c r="J4" s="2"/>
      <c r="K4" s="2">
        <f t="shared" si="2"/>
        <v>17.248080999251545</v>
      </c>
    </row>
    <row r="5" spans="1:11" ht="13.9" x14ac:dyDescent="0.3">
      <c r="A5" s="2" t="s">
        <v>22</v>
      </c>
      <c r="B5" s="2">
        <v>1758.66</v>
      </c>
      <c r="C5" s="2">
        <v>1466.44</v>
      </c>
      <c r="D5" s="2">
        <v>1752.27</v>
      </c>
      <c r="E5" s="2">
        <v>301.23</v>
      </c>
      <c r="F5" s="2">
        <v>383.88</v>
      </c>
      <c r="G5" s="2">
        <v>243.12</v>
      </c>
      <c r="H5" s="2">
        <f t="shared" si="0"/>
        <v>2.4228294051581076</v>
      </c>
      <c r="I5" s="2">
        <f t="shared" si="1"/>
        <v>2.084673662143643E-4</v>
      </c>
      <c r="J5" s="2"/>
      <c r="K5" s="2">
        <f t="shared" si="2"/>
        <v>12.281167920486412</v>
      </c>
    </row>
    <row r="6" spans="1:11" ht="13.9" x14ac:dyDescent="0.3">
      <c r="A6" s="2" t="s">
        <v>23</v>
      </c>
      <c r="B6" s="2">
        <v>6.55</v>
      </c>
      <c r="C6" s="2">
        <v>0.87</v>
      </c>
      <c r="D6" s="2">
        <v>0</v>
      </c>
      <c r="E6" s="2">
        <v>4.28</v>
      </c>
      <c r="F6" s="2">
        <v>4.32</v>
      </c>
      <c r="G6" s="2">
        <v>2.95</v>
      </c>
      <c r="H6" s="2">
        <f t="shared" si="0"/>
        <v>-0.63840175968261681</v>
      </c>
      <c r="I6" s="2">
        <f t="shared" si="1"/>
        <v>0.54835330461735632</v>
      </c>
      <c r="J6" s="2"/>
      <c r="K6" s="2">
        <f t="shared" si="2"/>
        <v>2.8914191868460786</v>
      </c>
    </row>
    <row r="7" spans="1:11" ht="13.9" x14ac:dyDescent="0.3">
      <c r="A7" s="2" t="s">
        <v>24</v>
      </c>
      <c r="B7" s="2">
        <v>147.61000000000001</v>
      </c>
      <c r="C7" s="2">
        <v>150.37</v>
      </c>
      <c r="D7" s="2">
        <v>170.12</v>
      </c>
      <c r="E7" s="2">
        <v>57.78</v>
      </c>
      <c r="F7" s="2">
        <v>63.09</v>
      </c>
      <c r="G7" s="2">
        <v>56.5</v>
      </c>
      <c r="H7" s="2">
        <f t="shared" si="0"/>
        <v>1.4000547492735609</v>
      </c>
      <c r="I7" s="2">
        <f t="shared" si="1"/>
        <v>1.9316611737983609E-4</v>
      </c>
      <c r="J7" s="2"/>
      <c r="K7" s="2">
        <f t="shared" si="2"/>
        <v>8.8706729548245917</v>
      </c>
    </row>
    <row r="8" spans="1:11" ht="13.9" x14ac:dyDescent="0.3">
      <c r="A8" s="2" t="s">
        <v>25</v>
      </c>
      <c r="B8" s="2">
        <v>1466.84</v>
      </c>
      <c r="C8" s="2">
        <v>1228.1500000000001</v>
      </c>
      <c r="D8" s="2">
        <v>1173.71</v>
      </c>
      <c r="E8" s="2">
        <v>241.69</v>
      </c>
      <c r="F8" s="2">
        <v>278.76</v>
      </c>
      <c r="G8" s="2">
        <v>181.97</v>
      </c>
      <c r="H8" s="2">
        <f t="shared" si="0"/>
        <v>2.4614430302961021</v>
      </c>
      <c r="I8" s="2">
        <f t="shared" si="1"/>
        <v>3.6331139451666554E-4</v>
      </c>
      <c r="J8" s="2"/>
      <c r="K8" s="2">
        <f t="shared" si="2"/>
        <v>11.917633143375243</v>
      </c>
    </row>
    <row r="9" spans="1:11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J9" s="2"/>
      <c r="K9" s="2" t="e">
        <f t="shared" si="2"/>
        <v>#NUM!</v>
      </c>
    </row>
    <row r="10" spans="1:11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J10" s="2"/>
      <c r="K10" s="2" t="e">
        <f t="shared" si="2"/>
        <v>#NUM!</v>
      </c>
    </row>
    <row r="11" spans="1:11" ht="13.9" x14ac:dyDescent="0.3">
      <c r="A11" s="2" t="s">
        <v>28</v>
      </c>
      <c r="B11" s="2">
        <v>214660.62</v>
      </c>
      <c r="C11" s="2">
        <v>151975.01999999999</v>
      </c>
      <c r="D11" s="2">
        <v>234067.7</v>
      </c>
      <c r="E11" s="2">
        <v>81530.460000000006</v>
      </c>
      <c r="F11" s="2">
        <v>70948.06</v>
      </c>
      <c r="G11" s="2">
        <v>71650.12</v>
      </c>
      <c r="H11" s="2">
        <f t="shared" si="0"/>
        <v>1.422325671863272</v>
      </c>
      <c r="I11" s="2">
        <f t="shared" si="1"/>
        <v>7.386475805737187E-3</v>
      </c>
      <c r="J11" s="2"/>
      <c r="K11" s="2">
        <f t="shared" si="2"/>
        <v>19.196293159922703</v>
      </c>
    </row>
    <row r="12" spans="1:11" ht="13.9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0.11</v>
      </c>
      <c r="G12" s="2">
        <v>0</v>
      </c>
      <c r="H12" s="2" t="e">
        <f t="shared" si="0"/>
        <v>#NUM!</v>
      </c>
      <c r="I12" s="2">
        <f t="shared" si="1"/>
        <v>0.37390096630005903</v>
      </c>
      <c r="J12" s="2"/>
      <c r="K12" s="2" t="e">
        <f t="shared" si="2"/>
        <v>#NUM!</v>
      </c>
    </row>
    <row r="13" spans="1:11" ht="13.9" x14ac:dyDescent="0.3">
      <c r="A13" s="2" t="s">
        <v>30</v>
      </c>
      <c r="B13" s="2">
        <v>11170.84</v>
      </c>
      <c r="C13" s="2">
        <v>8576.82</v>
      </c>
      <c r="D13" s="2">
        <v>11900.75</v>
      </c>
      <c r="E13" s="2">
        <v>7263.55</v>
      </c>
      <c r="F13" s="2">
        <v>7652.79</v>
      </c>
      <c r="G13" s="2">
        <v>5470.93</v>
      </c>
      <c r="H13" s="2">
        <f t="shared" si="0"/>
        <v>0.63446442001700165</v>
      </c>
      <c r="I13" s="2">
        <f t="shared" si="1"/>
        <v>3.6311445850948358E-2</v>
      </c>
      <c r="J13" s="2"/>
      <c r="K13" s="2">
        <f t="shared" si="2"/>
        <v>14.949845400759596</v>
      </c>
    </row>
    <row r="14" spans="1:11" ht="13.9" x14ac:dyDescent="0.3">
      <c r="A14" s="2" t="s">
        <v>31</v>
      </c>
      <c r="B14" s="2">
        <v>3.02</v>
      </c>
      <c r="C14" s="2">
        <v>4.34</v>
      </c>
      <c r="D14" s="2">
        <v>0</v>
      </c>
      <c r="E14" s="2">
        <v>1.1299999999999999</v>
      </c>
      <c r="F14" s="2">
        <v>0.22</v>
      </c>
      <c r="G14" s="2">
        <v>0.23</v>
      </c>
      <c r="H14" s="2">
        <f t="shared" si="0"/>
        <v>2.21978120787991</v>
      </c>
      <c r="I14" s="2">
        <f t="shared" si="1"/>
        <v>0.21801402460217259</v>
      </c>
      <c r="J14" s="2"/>
      <c r="K14" s="2">
        <f t="shared" si="2"/>
        <v>2.8797057662822882</v>
      </c>
    </row>
    <row r="15" spans="1:11" ht="13.9" x14ac:dyDescent="0.3">
      <c r="A15" s="2" t="s">
        <v>32</v>
      </c>
      <c r="B15" s="2">
        <v>17527.04</v>
      </c>
      <c r="C15" s="2">
        <v>14995.48</v>
      </c>
      <c r="D15" s="2">
        <v>9801.76</v>
      </c>
      <c r="E15" s="2">
        <v>27582.44</v>
      </c>
      <c r="F15" s="2">
        <v>27355.98</v>
      </c>
      <c r="G15" s="2">
        <v>23936.58</v>
      </c>
      <c r="H15" s="2">
        <f t="shared" si="0"/>
        <v>-0.89808257418961912</v>
      </c>
      <c r="I15" s="2">
        <f t="shared" si="1"/>
        <v>8.9281504372874902E-3</v>
      </c>
      <c r="J15" s="2"/>
      <c r="K15" s="2">
        <f t="shared" si="2"/>
        <v>15.369197905455017</v>
      </c>
    </row>
    <row r="16" spans="1:11" ht="13.9" x14ac:dyDescent="0.3">
      <c r="A16" s="2" t="s">
        <v>33</v>
      </c>
      <c r="B16" s="2">
        <v>5.1100000000000003</v>
      </c>
      <c r="C16" s="2">
        <v>10.119999999999999</v>
      </c>
      <c r="D16" s="2">
        <v>3.11</v>
      </c>
      <c r="E16" s="2">
        <v>14.98</v>
      </c>
      <c r="F16" s="2">
        <v>15.75</v>
      </c>
      <c r="G16" s="2">
        <v>8.17</v>
      </c>
      <c r="H16" s="2">
        <f t="shared" si="0"/>
        <v>-1.0847765162784999</v>
      </c>
      <c r="I16" s="2">
        <f t="shared" si="1"/>
        <v>9.7834050530099068E-2</v>
      </c>
      <c r="J16" s="2"/>
      <c r="K16" s="2">
        <f t="shared" si="2"/>
        <v>4.1969217338203295</v>
      </c>
    </row>
    <row r="17" spans="1:11" ht="13.9" x14ac:dyDescent="0.3">
      <c r="A17" s="2" t="s">
        <v>34</v>
      </c>
      <c r="B17" s="2">
        <v>15793.03</v>
      </c>
      <c r="C17" s="2">
        <v>31048.5</v>
      </c>
      <c r="D17" s="2">
        <v>33802.67</v>
      </c>
      <c r="E17" s="2">
        <v>23919.759999999998</v>
      </c>
      <c r="F17" s="2">
        <v>19157.759999999998</v>
      </c>
      <c r="G17" s="2">
        <v>24993.58</v>
      </c>
      <c r="H17" s="2">
        <f t="shared" si="0"/>
        <v>0.24452835399030939</v>
      </c>
      <c r="I17" s="2">
        <f t="shared" si="1"/>
        <v>0.51543329036163166</v>
      </c>
      <c r="J17" s="2"/>
      <c r="K17" s="2">
        <f t="shared" si="2"/>
        <v>16.29928315679728</v>
      </c>
    </row>
    <row r="18" spans="1:11" ht="13.9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0.78</v>
      </c>
      <c r="G18" s="2">
        <v>0</v>
      </c>
      <c r="H18" s="2" t="e">
        <f t="shared" si="0"/>
        <v>#NUM!</v>
      </c>
      <c r="I18" s="2">
        <f t="shared" si="1"/>
        <v>0.37390096630005903</v>
      </c>
      <c r="J18" s="2"/>
      <c r="K18" s="2" t="e">
        <f t="shared" si="2"/>
        <v>#NUM!</v>
      </c>
    </row>
    <row r="19" spans="1:11" ht="13.9" x14ac:dyDescent="0.3">
      <c r="A19" s="2" t="s">
        <v>36</v>
      </c>
      <c r="B19" s="2">
        <v>3.67</v>
      </c>
      <c r="C19" s="2">
        <v>0</v>
      </c>
      <c r="D19" s="2">
        <v>0</v>
      </c>
      <c r="E19" s="2">
        <v>0.63</v>
      </c>
      <c r="F19" s="2">
        <v>0.67</v>
      </c>
      <c r="G19" s="2">
        <v>1.1299999999999999</v>
      </c>
      <c r="H19" s="2">
        <f t="shared" si="0"/>
        <v>0.59482374923743198</v>
      </c>
      <c r="I19" s="2">
        <f t="shared" si="1"/>
        <v>0.7544515966329739</v>
      </c>
      <c r="J19" s="2"/>
      <c r="K19" s="2">
        <f t="shared" si="2"/>
        <v>1.875780063068488</v>
      </c>
    </row>
    <row r="20" spans="1:11" ht="13.9" x14ac:dyDescent="0.3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0.67</v>
      </c>
      <c r="G20" s="2">
        <v>0</v>
      </c>
      <c r="H20" s="2" t="e">
        <f t="shared" si="0"/>
        <v>#NUM!</v>
      </c>
      <c r="I20" s="2">
        <f t="shared" si="1"/>
        <v>0.37390096630005903</v>
      </c>
      <c r="J20" s="2"/>
      <c r="K20" s="2" t="e">
        <f t="shared" si="2"/>
        <v>#NUM!</v>
      </c>
    </row>
    <row r="21" spans="1:11" ht="13.9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0.22</v>
      </c>
      <c r="G21" s="2">
        <v>0</v>
      </c>
      <c r="H21" s="2" t="e">
        <f t="shared" si="0"/>
        <v>#NUM!</v>
      </c>
      <c r="I21" s="2">
        <f t="shared" si="1"/>
        <v>0.37390096630005903</v>
      </c>
      <c r="J21" s="2"/>
      <c r="K21" s="2" t="e">
        <f t="shared" si="2"/>
        <v>#NUM!</v>
      </c>
    </row>
    <row r="22" spans="1:11" ht="13.9" x14ac:dyDescent="0.3">
      <c r="A22" s="2" t="s">
        <v>39</v>
      </c>
      <c r="B22" s="2">
        <v>0</v>
      </c>
      <c r="C22" s="2">
        <v>0</v>
      </c>
      <c r="D22" s="2">
        <v>0</v>
      </c>
      <c r="E22" s="2">
        <v>0.63</v>
      </c>
      <c r="F22" s="2">
        <v>1.55</v>
      </c>
      <c r="G22" s="2">
        <v>0</v>
      </c>
      <c r="H22" s="2" t="e">
        <f t="shared" si="0"/>
        <v>#NUM!</v>
      </c>
      <c r="I22" s="2">
        <f t="shared" si="1"/>
        <v>0.18169014596251815</v>
      </c>
      <c r="J22" s="2"/>
      <c r="K22" s="2" t="e">
        <f t="shared" si="2"/>
        <v>#NUM!</v>
      </c>
    </row>
    <row r="23" spans="1:11" ht="13.9" x14ac:dyDescent="0.3">
      <c r="A23" s="2" t="s">
        <v>40</v>
      </c>
      <c r="B23" s="2">
        <v>0</v>
      </c>
      <c r="C23" s="2">
        <v>0</v>
      </c>
      <c r="D23" s="2">
        <v>0</v>
      </c>
      <c r="E23" s="2">
        <v>4.91</v>
      </c>
      <c r="F23" s="2">
        <v>5.43</v>
      </c>
      <c r="G23" s="2">
        <v>4.54</v>
      </c>
      <c r="H23" s="2" t="e">
        <f t="shared" si="0"/>
        <v>#NUM!</v>
      </c>
      <c r="I23" s="2">
        <f t="shared" si="1"/>
        <v>4.3232081658567565E-5</v>
      </c>
      <c r="J23" s="2"/>
      <c r="K23" s="2" t="e">
        <f t="shared" si="2"/>
        <v>#NUM!</v>
      </c>
    </row>
    <row r="24" spans="1:11" ht="13.9" x14ac:dyDescent="0.3">
      <c r="A24" s="2" t="s">
        <v>41</v>
      </c>
      <c r="B24" s="2">
        <v>4.0599999999999996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>
        <f t="shared" si="1"/>
        <v>0.37390096630005903</v>
      </c>
      <c r="J24" s="2"/>
      <c r="K24" s="2">
        <f t="shared" si="2"/>
        <v>2.0214797274104517</v>
      </c>
    </row>
    <row r="25" spans="1:11" ht="13.9" x14ac:dyDescent="0.3">
      <c r="A25" s="2" t="s">
        <v>42</v>
      </c>
      <c r="B25" s="2">
        <v>56.24</v>
      </c>
      <c r="C25" s="2">
        <v>51.76</v>
      </c>
      <c r="D25" s="2">
        <v>9.34</v>
      </c>
      <c r="E25" s="2">
        <v>83.21</v>
      </c>
      <c r="F25" s="2">
        <v>91.26</v>
      </c>
      <c r="G25" s="2">
        <v>67.73</v>
      </c>
      <c r="H25" s="2">
        <f t="shared" si="0"/>
        <v>-1.045503967910326</v>
      </c>
      <c r="I25" s="2">
        <f t="shared" si="1"/>
        <v>6.4772461732425887E-2</v>
      </c>
      <c r="J25" s="2"/>
      <c r="K25" s="2">
        <f t="shared" si="2"/>
        <v>6.8745510868966404</v>
      </c>
    </row>
    <row r="26" spans="1:11" ht="13.9" x14ac:dyDescent="0.3">
      <c r="A26" s="2" t="s">
        <v>43</v>
      </c>
      <c r="B26" s="2">
        <v>0</v>
      </c>
      <c r="C26" s="2">
        <v>0</v>
      </c>
      <c r="D26" s="2">
        <v>0</v>
      </c>
      <c r="E26" s="2">
        <v>2.0099999999999998</v>
      </c>
      <c r="F26" s="2">
        <v>2.88</v>
      </c>
      <c r="G26" s="2">
        <v>3.86</v>
      </c>
      <c r="H26" s="2" t="e">
        <f t="shared" si="0"/>
        <v>#NUM!</v>
      </c>
      <c r="I26" s="2">
        <f t="shared" si="1"/>
        <v>5.4767195392989715E-3</v>
      </c>
      <c r="J26" s="2"/>
      <c r="K26" s="2" t="e">
        <f t="shared" si="2"/>
        <v>#NUM!</v>
      </c>
    </row>
    <row r="27" spans="1:11" ht="13.9" x14ac:dyDescent="0.3">
      <c r="A27" s="2" t="s">
        <v>44</v>
      </c>
      <c r="B27" s="2">
        <v>7.08</v>
      </c>
      <c r="C27" s="2">
        <v>0.28999999999999998</v>
      </c>
      <c r="D27" s="2">
        <v>4.93</v>
      </c>
      <c r="E27" s="2">
        <v>10.45</v>
      </c>
      <c r="F27" s="2">
        <v>6.87</v>
      </c>
      <c r="G27" s="2">
        <v>9.3000000000000007</v>
      </c>
      <c r="H27" s="2">
        <f t="shared" si="0"/>
        <v>-1.1138522556852897</v>
      </c>
      <c r="I27" s="2">
        <f t="shared" si="1"/>
        <v>0.10272942728039158</v>
      </c>
      <c r="J27" s="2"/>
      <c r="K27" s="2">
        <f t="shared" si="2"/>
        <v>3.6205864104518781</v>
      </c>
    </row>
    <row r="28" spans="1:11" ht="13.9" x14ac:dyDescent="0.3">
      <c r="A28" s="2" t="s">
        <v>45</v>
      </c>
      <c r="B28" s="2">
        <v>2.23</v>
      </c>
      <c r="C28" s="2">
        <v>0</v>
      </c>
      <c r="D28" s="2">
        <v>0</v>
      </c>
      <c r="E28" s="2">
        <v>0</v>
      </c>
      <c r="F28" s="2">
        <v>0.11</v>
      </c>
      <c r="G28" s="2">
        <v>0</v>
      </c>
      <c r="H28" s="2">
        <f t="shared" si="0"/>
        <v>4.3414682812830074</v>
      </c>
      <c r="I28" s="2">
        <f t="shared" si="1"/>
        <v>0.3961246106516213</v>
      </c>
      <c r="J28" s="2"/>
      <c r="K28" s="2">
        <f t="shared" si="2"/>
        <v>1.1570437101455802</v>
      </c>
    </row>
    <row r="29" spans="1:11" ht="13.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J29" s="2"/>
      <c r="K29" s="2" t="e">
        <f t="shared" si="2"/>
        <v>#NUM!</v>
      </c>
    </row>
    <row r="30" spans="1:11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e">
        <f t="shared" si="0"/>
        <v>#DIV/0!</v>
      </c>
      <c r="I30" s="2" t="e">
        <f t="shared" si="1"/>
        <v>#DIV/0!</v>
      </c>
      <c r="J30" s="2"/>
      <c r="K30" s="2" t="e">
        <f t="shared" si="2"/>
        <v>#NUM!</v>
      </c>
    </row>
    <row r="31" spans="1:11" ht="13.9" x14ac:dyDescent="0.3">
      <c r="A31" s="2" t="s">
        <v>48</v>
      </c>
      <c r="B31" s="2">
        <v>12.06</v>
      </c>
      <c r="C31" s="2">
        <v>17.059999999999999</v>
      </c>
      <c r="D31" s="2">
        <v>18.149999999999999</v>
      </c>
      <c r="E31" s="2">
        <v>9.94</v>
      </c>
      <c r="F31" s="2">
        <v>11.98</v>
      </c>
      <c r="G31" s="2">
        <v>7.26</v>
      </c>
      <c r="H31" s="2">
        <f t="shared" si="0"/>
        <v>0.69594498144075878</v>
      </c>
      <c r="I31" s="2">
        <f t="shared" si="1"/>
        <v>6.0115706372218067E-2</v>
      </c>
      <c r="J31" s="2"/>
      <c r="K31" s="2">
        <f t="shared" si="2"/>
        <v>5.5628529595839256</v>
      </c>
    </row>
    <row r="32" spans="1:11" ht="13.9" x14ac:dyDescent="0.3">
      <c r="A32" s="2" t="s">
        <v>49</v>
      </c>
      <c r="B32" s="2">
        <v>136.21</v>
      </c>
      <c r="C32" s="2">
        <v>243.2</v>
      </c>
      <c r="D32" s="2">
        <v>114.36</v>
      </c>
      <c r="E32" s="2">
        <v>312.81</v>
      </c>
      <c r="F32" s="2">
        <v>326.66000000000003</v>
      </c>
      <c r="G32" s="2">
        <v>253.67</v>
      </c>
      <c r="H32" s="2">
        <f t="shared" si="0"/>
        <v>-0.85504715073895798</v>
      </c>
      <c r="I32" s="2">
        <f t="shared" si="1"/>
        <v>4.3460364361847539E-2</v>
      </c>
      <c r="J32" s="2"/>
      <c r="K32" s="2">
        <f t="shared" si="2"/>
        <v>8.9476953750484363</v>
      </c>
    </row>
    <row r="33" spans="1:11" ht="13.9" x14ac:dyDescent="0.3">
      <c r="A33" s="2" t="s">
        <v>50</v>
      </c>
      <c r="B33" s="2">
        <v>57.68</v>
      </c>
      <c r="C33" s="2">
        <v>58.99</v>
      </c>
      <c r="D33" s="2">
        <v>66.91</v>
      </c>
      <c r="E33" s="2">
        <v>61.81</v>
      </c>
      <c r="F33" s="2">
        <v>43.58</v>
      </c>
      <c r="G33" s="2">
        <v>45.72</v>
      </c>
      <c r="H33" s="2">
        <f t="shared" si="0"/>
        <v>0.28080975703895628</v>
      </c>
      <c r="I33" s="2">
        <f t="shared" si="1"/>
        <v>0.16788639829871357</v>
      </c>
      <c r="J33" s="2"/>
      <c r="K33" s="2">
        <f t="shared" si="2"/>
        <v>7.520265083643574</v>
      </c>
    </row>
    <row r="34" spans="1:11" ht="13.9" x14ac:dyDescent="0.3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J34" s="2"/>
      <c r="K34" s="2" t="e">
        <f t="shared" si="2"/>
        <v>#NUM!</v>
      </c>
    </row>
    <row r="35" spans="1:11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J35" s="2"/>
      <c r="K35" s="2" t="e">
        <f t="shared" si="2"/>
        <v>#NUM!</v>
      </c>
    </row>
    <row r="36" spans="1:11" ht="13.9" x14ac:dyDescent="0.3">
      <c r="A36" s="2" t="s">
        <v>53</v>
      </c>
      <c r="B36" s="2">
        <v>544.97</v>
      </c>
      <c r="C36" s="2">
        <v>620.58000000000004</v>
      </c>
      <c r="D36" s="2">
        <v>449.15</v>
      </c>
      <c r="E36" s="2">
        <v>2440.65</v>
      </c>
      <c r="F36" s="2">
        <v>2314.23</v>
      </c>
      <c r="G36" s="2">
        <v>2153.48</v>
      </c>
      <c r="H36" s="2">
        <f t="shared" si="0"/>
        <v>-2.0970771176454739</v>
      </c>
      <c r="I36" s="2">
        <f t="shared" si="1"/>
        <v>5.3210664366568873E-5</v>
      </c>
      <c r="J36" s="2"/>
      <c r="K36" s="2">
        <f t="shared" si="2"/>
        <v>10.657050431800371</v>
      </c>
    </row>
    <row r="37" spans="1:11" ht="13.9" x14ac:dyDescent="0.3">
      <c r="A37" s="2" t="s">
        <v>54</v>
      </c>
      <c r="B37" s="2">
        <v>0</v>
      </c>
      <c r="C37" s="2">
        <v>0.28999999999999998</v>
      </c>
      <c r="D37" s="2">
        <v>0</v>
      </c>
      <c r="E37" s="2">
        <v>19.89</v>
      </c>
      <c r="F37" s="2">
        <v>24.39</v>
      </c>
      <c r="G37" s="2">
        <v>20.309999999999999</v>
      </c>
      <c r="H37" s="2">
        <f t="shared" si="0"/>
        <v>-7.7991141097608185</v>
      </c>
      <c r="I37" s="2">
        <f t="shared" si="1"/>
        <v>1.1813041786252097E-4</v>
      </c>
      <c r="J37" s="2"/>
      <c r="K37" s="2">
        <f t="shared" si="2"/>
        <v>-1.7858751946471527</v>
      </c>
    </row>
    <row r="38" spans="1:11" ht="13.9" x14ac:dyDescent="0.3">
      <c r="A38" s="2" t="s">
        <v>55</v>
      </c>
      <c r="B38" s="2">
        <v>45.23</v>
      </c>
      <c r="C38" s="2">
        <v>0</v>
      </c>
      <c r="D38" s="2">
        <v>0</v>
      </c>
      <c r="E38" s="2">
        <v>45.95</v>
      </c>
      <c r="F38" s="2">
        <v>32.049999999999997</v>
      </c>
      <c r="G38" s="2">
        <v>27.57</v>
      </c>
      <c r="H38" s="2">
        <f t="shared" si="0"/>
        <v>-1.2228480188394095</v>
      </c>
      <c r="I38" s="2">
        <f t="shared" si="1"/>
        <v>0.27865507153783681</v>
      </c>
      <c r="J38" s="2"/>
      <c r="K38" s="2">
        <f t="shared" si="2"/>
        <v>5.499208090856686</v>
      </c>
    </row>
    <row r="39" spans="1:11" ht="13.9" x14ac:dyDescent="0.3">
      <c r="A39" s="2" t="s">
        <v>56</v>
      </c>
      <c r="B39" s="2">
        <v>8.26</v>
      </c>
      <c r="C39" s="2">
        <v>0</v>
      </c>
      <c r="D39" s="2">
        <v>0.26</v>
      </c>
      <c r="E39" s="2">
        <v>5.92</v>
      </c>
      <c r="F39" s="2">
        <v>2</v>
      </c>
      <c r="G39" s="2">
        <v>2.72</v>
      </c>
      <c r="H39" s="2">
        <f t="shared" si="0"/>
        <v>-0.32057281527535159</v>
      </c>
      <c r="I39" s="2">
        <f t="shared" si="1"/>
        <v>0.82342915467226896</v>
      </c>
      <c r="J39" s="2"/>
      <c r="K39" s="2">
        <f t="shared" si="2"/>
        <v>3.0908534304511139</v>
      </c>
    </row>
    <row r="40" spans="1:11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J40" s="2"/>
      <c r="K40" s="2" t="e">
        <f t="shared" si="2"/>
        <v>#NUM!</v>
      </c>
    </row>
    <row r="41" spans="1:11" ht="13.9" x14ac:dyDescent="0.3">
      <c r="A41" s="2" t="s">
        <v>58</v>
      </c>
      <c r="B41" s="2">
        <v>0</v>
      </c>
      <c r="C41" s="2">
        <v>0</v>
      </c>
      <c r="D41" s="2">
        <v>0</v>
      </c>
      <c r="E41" s="2">
        <v>0.63</v>
      </c>
      <c r="F41" s="2">
        <v>0.33</v>
      </c>
      <c r="G41" s="2">
        <v>0.68</v>
      </c>
      <c r="H41" s="2" t="e">
        <f t="shared" si="0"/>
        <v>#NUM!</v>
      </c>
      <c r="I41" s="2">
        <f t="shared" si="1"/>
        <v>7.4800925432142685E-3</v>
      </c>
      <c r="J41" s="2"/>
      <c r="K41" s="2" t="e">
        <f t="shared" si="2"/>
        <v>#NUM!</v>
      </c>
    </row>
    <row r="42" spans="1:11" ht="13.9" x14ac:dyDescent="0.3">
      <c r="A42" s="2" t="s">
        <v>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 t="e">
        <f t="shared" si="1"/>
        <v>#DIV/0!</v>
      </c>
      <c r="J42" s="2"/>
      <c r="K42" s="2" t="e">
        <f t="shared" si="2"/>
        <v>#NUM!</v>
      </c>
    </row>
    <row r="43" spans="1:11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J43" s="2"/>
      <c r="K43" s="2" t="e">
        <f t="shared" si="2"/>
        <v>#NUM!</v>
      </c>
    </row>
    <row r="44" spans="1:11" ht="13.9" x14ac:dyDescent="0.3">
      <c r="A44" s="2" t="s">
        <v>61</v>
      </c>
      <c r="B44" s="2">
        <v>0.13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>
        <f t="shared" si="1"/>
        <v>0.37390096630005903</v>
      </c>
      <c r="J44" s="2"/>
      <c r="K44" s="2">
        <f t="shared" si="2"/>
        <v>-2.9434164716336326</v>
      </c>
    </row>
    <row r="45" spans="1:11" ht="13.9" x14ac:dyDescent="0.3">
      <c r="A45" s="2" t="s">
        <v>62</v>
      </c>
      <c r="B45" s="2">
        <v>467.1</v>
      </c>
      <c r="C45" s="2">
        <v>1141.1099999999999</v>
      </c>
      <c r="D45" s="2">
        <v>968.58</v>
      </c>
      <c r="E45" s="2">
        <v>8.56</v>
      </c>
      <c r="F45" s="2">
        <v>8.65</v>
      </c>
      <c r="G45" s="2">
        <v>8.51</v>
      </c>
      <c r="H45" s="2">
        <f t="shared" si="0"/>
        <v>6.6465405141458929</v>
      </c>
      <c r="I45" s="2">
        <f t="shared" si="1"/>
        <v>1.3622957468639996E-2</v>
      </c>
      <c r="J45" s="2"/>
      <c r="K45" s="2">
        <f t="shared" si="2"/>
        <v>11.331359251699116</v>
      </c>
    </row>
    <row r="46" spans="1:11" ht="13.9" x14ac:dyDescent="0.3">
      <c r="A46" s="2" t="s">
        <v>63</v>
      </c>
      <c r="B46" s="2">
        <v>4.59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J46" s="2"/>
      <c r="K46" s="2">
        <f t="shared" si="2"/>
        <v>2.1984941536390834</v>
      </c>
    </row>
    <row r="47" spans="1:11" ht="13.9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0.11</v>
      </c>
      <c r="G47" s="2">
        <v>0</v>
      </c>
      <c r="H47" s="2" t="e">
        <f t="shared" si="0"/>
        <v>#NUM!</v>
      </c>
      <c r="I47" s="2">
        <f t="shared" si="1"/>
        <v>0.37390096630005903</v>
      </c>
      <c r="J47" s="2"/>
      <c r="K47" s="2" t="e">
        <f t="shared" si="2"/>
        <v>#NUM!</v>
      </c>
    </row>
    <row r="48" spans="1:11" ht="13.9" x14ac:dyDescent="0.3">
      <c r="A48" s="2" t="s">
        <v>65</v>
      </c>
      <c r="B48" s="2">
        <v>0</v>
      </c>
      <c r="C48" s="2">
        <v>0</v>
      </c>
      <c r="D48" s="2">
        <v>16.079999999999998</v>
      </c>
      <c r="E48" s="2">
        <v>0</v>
      </c>
      <c r="F48" s="2">
        <v>0</v>
      </c>
      <c r="G48" s="2">
        <v>0.56999999999999995</v>
      </c>
      <c r="H48" s="2">
        <f t="shared" si="0"/>
        <v>4.8181616770141868</v>
      </c>
      <c r="I48" s="2">
        <f t="shared" si="1"/>
        <v>0.38965981941535227</v>
      </c>
      <c r="J48" s="2"/>
      <c r="K48" s="2">
        <f t="shared" si="2"/>
        <v>4.0071955014042038</v>
      </c>
    </row>
    <row r="49" spans="1:11" ht="13.9" x14ac:dyDescent="0.3">
      <c r="A49" s="2" t="s">
        <v>66</v>
      </c>
      <c r="B49" s="2">
        <v>20.32</v>
      </c>
      <c r="C49" s="2">
        <v>0.57999999999999996</v>
      </c>
      <c r="D49" s="2">
        <v>4.41</v>
      </c>
      <c r="E49" s="2">
        <v>23.41</v>
      </c>
      <c r="F49" s="2">
        <v>38.369999999999997</v>
      </c>
      <c r="G49" s="2">
        <v>22.46</v>
      </c>
      <c r="H49" s="2">
        <f t="shared" si="0"/>
        <v>-1.734797928915033</v>
      </c>
      <c r="I49" s="2">
        <f t="shared" si="1"/>
        <v>6.8694634460387108E-2</v>
      </c>
      <c r="J49" s="2"/>
      <c r="K49" s="2">
        <f t="shared" si="2"/>
        <v>4.6616356023359593</v>
      </c>
    </row>
    <row r="50" spans="1:11" ht="13.9" x14ac:dyDescent="0.3">
      <c r="A50" s="2" t="s">
        <v>67</v>
      </c>
      <c r="B50" s="2">
        <v>0</v>
      </c>
      <c r="C50" s="2">
        <v>0</v>
      </c>
      <c r="D50" s="2">
        <v>0</v>
      </c>
      <c r="E50" s="2">
        <v>1.76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J50" s="2"/>
      <c r="K50" s="2" t="e">
        <f t="shared" si="2"/>
        <v>#NUM!</v>
      </c>
    </row>
    <row r="51" spans="1:11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 t="e">
        <f t="shared" si="0"/>
        <v>#DIV/0!</v>
      </c>
      <c r="I51" s="2" t="e">
        <f t="shared" si="1"/>
        <v>#DIV/0!</v>
      </c>
      <c r="J51" s="2"/>
      <c r="K51" s="2" t="e">
        <f t="shared" si="2"/>
        <v>#NUM!</v>
      </c>
    </row>
    <row r="52" spans="1:11" ht="13.9" x14ac:dyDescent="0.3">
      <c r="A52" s="2" t="s">
        <v>69</v>
      </c>
      <c r="B52" s="2">
        <v>24.38</v>
      </c>
      <c r="C52" s="2">
        <v>0</v>
      </c>
      <c r="D52" s="2">
        <v>61.72</v>
      </c>
      <c r="E52" s="2">
        <v>28.7</v>
      </c>
      <c r="F52" s="2">
        <v>51.34</v>
      </c>
      <c r="G52" s="2">
        <v>40.5</v>
      </c>
      <c r="H52" s="2">
        <f t="shared" si="0"/>
        <v>-0.48542682717024194</v>
      </c>
      <c r="I52" s="2">
        <f t="shared" si="1"/>
        <v>0.58022909444980264</v>
      </c>
      <c r="J52" s="2"/>
      <c r="K52" s="2">
        <f t="shared" si="2"/>
        <v>6.427941332509481</v>
      </c>
    </row>
    <row r="53" spans="1:11" ht="13.9" x14ac:dyDescent="0.3">
      <c r="A53" s="2" t="s">
        <v>70</v>
      </c>
      <c r="B53" s="2">
        <v>9.57</v>
      </c>
      <c r="C53" s="2">
        <v>0</v>
      </c>
      <c r="D53" s="2">
        <v>0</v>
      </c>
      <c r="E53" s="2">
        <v>1.38</v>
      </c>
      <c r="F53" s="2">
        <v>2</v>
      </c>
      <c r="G53" s="2">
        <v>0</v>
      </c>
      <c r="H53" s="2">
        <f t="shared" si="0"/>
        <v>1.5014956782038413</v>
      </c>
      <c r="I53" s="2">
        <f t="shared" si="1"/>
        <v>0.55935342233215279</v>
      </c>
      <c r="J53" s="2"/>
      <c r="K53" s="2">
        <f t="shared" si="2"/>
        <v>3.2585189247113013</v>
      </c>
    </row>
    <row r="54" spans="1:11" ht="13.9" x14ac:dyDescent="0.3">
      <c r="A54" s="2" t="s">
        <v>71</v>
      </c>
      <c r="B54" s="2">
        <v>0</v>
      </c>
      <c r="C54" s="2">
        <v>0</v>
      </c>
      <c r="D54" s="2">
        <v>0</v>
      </c>
      <c r="E54" s="2">
        <v>0.5</v>
      </c>
      <c r="F54" s="2">
        <v>0</v>
      </c>
      <c r="G54" s="2">
        <v>0</v>
      </c>
      <c r="H54" s="2" t="e">
        <f t="shared" si="0"/>
        <v>#NUM!</v>
      </c>
      <c r="I54" s="2">
        <f t="shared" si="1"/>
        <v>0.37390096630005903</v>
      </c>
      <c r="J54" s="2"/>
      <c r="K54" s="2" t="e">
        <f t="shared" si="2"/>
        <v>#NUM!</v>
      </c>
    </row>
    <row r="55" spans="1:11" ht="13.9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1.1100000000000001</v>
      </c>
      <c r="G55" s="2">
        <v>0</v>
      </c>
      <c r="H55" s="2" t="e">
        <f t="shared" si="0"/>
        <v>#NUM!</v>
      </c>
      <c r="I55" s="2">
        <f t="shared" si="1"/>
        <v>0.37390096630005903</v>
      </c>
      <c r="J55" s="2"/>
      <c r="K55" s="2" t="e">
        <f t="shared" si="2"/>
        <v>#NUM!</v>
      </c>
    </row>
    <row r="56" spans="1:11" ht="13.9" x14ac:dyDescent="0.3">
      <c r="A56" s="2" t="s">
        <v>73</v>
      </c>
      <c r="B56" s="2">
        <v>27.01</v>
      </c>
      <c r="C56" s="2">
        <v>32.1</v>
      </c>
      <c r="D56" s="2">
        <v>0.52</v>
      </c>
      <c r="E56" s="2">
        <v>68.599999999999994</v>
      </c>
      <c r="F56" s="2">
        <v>66.2</v>
      </c>
      <c r="G56" s="2">
        <v>43.45</v>
      </c>
      <c r="H56" s="2">
        <f t="shared" si="0"/>
        <v>-1.5797918347944424</v>
      </c>
      <c r="I56" s="2">
        <f t="shared" si="1"/>
        <v>3.5338600805865476E-2</v>
      </c>
      <c r="J56" s="2"/>
      <c r="K56" s="2">
        <f t="shared" si="2"/>
        <v>5.8979664316494453</v>
      </c>
    </row>
    <row r="57" spans="1:11" ht="13.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J57" s="2"/>
      <c r="K57" s="2" t="e">
        <f t="shared" si="2"/>
        <v>#NUM!</v>
      </c>
    </row>
    <row r="58" spans="1:11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J58" s="2"/>
      <c r="K58" s="2" t="e">
        <f t="shared" si="2"/>
        <v>#NUM!</v>
      </c>
    </row>
    <row r="59" spans="1:11" ht="13.9" x14ac:dyDescent="0.3">
      <c r="A59" s="2" t="s">
        <v>76</v>
      </c>
      <c r="B59" s="2">
        <v>0</v>
      </c>
      <c r="C59" s="2">
        <v>0.57999999999999996</v>
      </c>
      <c r="D59" s="2">
        <v>0</v>
      </c>
      <c r="E59" s="2">
        <v>3.78</v>
      </c>
      <c r="F59" s="2">
        <v>2</v>
      </c>
      <c r="G59" s="2">
        <v>0.79</v>
      </c>
      <c r="H59" s="2">
        <f t="shared" si="0"/>
        <v>-3.5017685651947579</v>
      </c>
      <c r="I59" s="2">
        <f t="shared" si="1"/>
        <v>8.8188530443802898E-2</v>
      </c>
      <c r="J59" s="2"/>
      <c r="K59" s="2">
        <f t="shared" si="2"/>
        <v>-0.78587519464715272</v>
      </c>
    </row>
    <row r="60" spans="1:11" ht="13.9" x14ac:dyDescent="0.3">
      <c r="A60" s="2" t="s">
        <v>77</v>
      </c>
      <c r="B60" s="2">
        <v>13.24</v>
      </c>
      <c r="C60" s="2">
        <v>0.28999999999999998</v>
      </c>
      <c r="D60" s="2">
        <v>1.82</v>
      </c>
      <c r="E60" s="2">
        <v>0.5</v>
      </c>
      <c r="F60" s="2">
        <v>0</v>
      </c>
      <c r="G60" s="2">
        <v>0.68</v>
      </c>
      <c r="H60" s="2">
        <f t="shared" si="0"/>
        <v>3.7013798908957005</v>
      </c>
      <c r="I60" s="2">
        <f t="shared" si="1"/>
        <v>0.31251488224205215</v>
      </c>
      <c r="J60" s="2"/>
      <c r="K60" s="2">
        <f t="shared" si="2"/>
        <v>3.9401667504828168</v>
      </c>
    </row>
    <row r="61" spans="1:11" ht="13.9" x14ac:dyDescent="0.3">
      <c r="A61" s="2" t="s">
        <v>78</v>
      </c>
      <c r="B61" s="2">
        <v>13.24</v>
      </c>
      <c r="C61" s="2">
        <v>0.28999999999999998</v>
      </c>
      <c r="D61" s="2">
        <v>1.82</v>
      </c>
      <c r="E61" s="2">
        <v>1.01</v>
      </c>
      <c r="F61" s="2">
        <v>0</v>
      </c>
      <c r="G61" s="2">
        <v>0.68</v>
      </c>
      <c r="H61" s="2">
        <f t="shared" si="0"/>
        <v>3.1831435039753573</v>
      </c>
      <c r="I61" s="2">
        <f t="shared" si="1"/>
        <v>0.32864034944406112</v>
      </c>
      <c r="J61" s="2"/>
      <c r="K61" s="2">
        <f t="shared" si="2"/>
        <v>3.9401667504828168</v>
      </c>
    </row>
    <row r="62" spans="1:11" ht="13.9" x14ac:dyDescent="0.3">
      <c r="A62" s="2" t="s">
        <v>79</v>
      </c>
      <c r="B62" s="2">
        <v>0</v>
      </c>
      <c r="C62" s="2">
        <v>0</v>
      </c>
      <c r="D62" s="2">
        <v>0</v>
      </c>
      <c r="E62" s="2">
        <v>0.13</v>
      </c>
      <c r="F62" s="2">
        <v>0</v>
      </c>
      <c r="G62" s="2">
        <v>0</v>
      </c>
      <c r="H62" s="2" t="e">
        <f t="shared" si="0"/>
        <v>#NUM!</v>
      </c>
      <c r="I62" s="2">
        <f t="shared" si="1"/>
        <v>0.37390096630005903</v>
      </c>
      <c r="J62" s="2"/>
      <c r="K62" s="2" t="e">
        <f t="shared" si="2"/>
        <v>#NUM!</v>
      </c>
    </row>
    <row r="63" spans="1:11" ht="13.9" x14ac:dyDescent="0.3">
      <c r="A63" s="2" t="s">
        <v>80</v>
      </c>
      <c r="B63" s="2">
        <v>50.08</v>
      </c>
      <c r="C63" s="2">
        <v>46.85</v>
      </c>
      <c r="D63" s="2">
        <v>29.3</v>
      </c>
      <c r="E63" s="2">
        <v>4.1500000000000004</v>
      </c>
      <c r="F63" s="2">
        <v>11.09</v>
      </c>
      <c r="G63" s="2">
        <v>2.61</v>
      </c>
      <c r="H63" s="2">
        <f t="shared" si="0"/>
        <v>2.8220588446438226</v>
      </c>
      <c r="I63" s="2">
        <f t="shared" si="1"/>
        <v>6.5682172845136092E-3</v>
      </c>
      <c r="J63" s="2"/>
      <c r="K63" s="2">
        <f t="shared" si="2"/>
        <v>6.9799110137855607</v>
      </c>
    </row>
    <row r="64" spans="1:11" ht="13.9" x14ac:dyDescent="0.3">
      <c r="A64" s="2" t="s">
        <v>81</v>
      </c>
      <c r="B64" s="2">
        <v>287.89</v>
      </c>
      <c r="C64" s="2">
        <v>350.2</v>
      </c>
      <c r="D64" s="2">
        <v>197.35</v>
      </c>
      <c r="E64" s="2">
        <v>923.44</v>
      </c>
      <c r="F64" s="2">
        <v>700.45</v>
      </c>
      <c r="G64" s="2">
        <v>699.64</v>
      </c>
      <c r="H64" s="2">
        <f t="shared" si="0"/>
        <v>-1.4757101471579417</v>
      </c>
      <c r="I64" s="2">
        <f t="shared" si="1"/>
        <v>4.6158817828852519E-3</v>
      </c>
      <c r="J64" s="2"/>
      <c r="K64" s="2">
        <f t="shared" si="2"/>
        <v>9.706392409670114</v>
      </c>
    </row>
    <row r="65" spans="1:11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J65" s="2"/>
      <c r="K65" s="2" t="e">
        <f t="shared" si="2"/>
        <v>#NUM!</v>
      </c>
    </row>
    <row r="66" spans="1:11" ht="13.9" x14ac:dyDescent="0.3">
      <c r="A66" s="2" t="s">
        <v>83</v>
      </c>
      <c r="B66" s="2">
        <v>0</v>
      </c>
      <c r="C66" s="2">
        <v>0</v>
      </c>
      <c r="D66" s="2">
        <v>0.26</v>
      </c>
      <c r="E66" s="2">
        <v>0.63</v>
      </c>
      <c r="F66" s="2">
        <v>5.77</v>
      </c>
      <c r="G66" s="2">
        <v>2.16</v>
      </c>
      <c r="H66" s="2">
        <f t="shared" ref="H66:H129" si="3">LOG(SUM(B66:D66)/SUM(E66:G66),2)</f>
        <v>-5.0410272682600548</v>
      </c>
      <c r="I66" s="2">
        <f t="shared" ref="I66:I129" si="4">_xlfn.T.TEST(B66:D66,E66:G66,2,2)</f>
        <v>0.14408301800446266</v>
      </c>
      <c r="J66" s="2"/>
      <c r="K66" s="2">
        <f t="shared" si="2"/>
        <v>-1.9434164716336324</v>
      </c>
    </row>
    <row r="67" spans="1:11" ht="13.9" x14ac:dyDescent="0.3">
      <c r="A67" s="2" t="s">
        <v>84</v>
      </c>
      <c r="B67" s="2">
        <v>0</v>
      </c>
      <c r="C67" s="2">
        <v>0</v>
      </c>
      <c r="D67" s="2">
        <v>0.26</v>
      </c>
      <c r="E67" s="2">
        <v>0.63</v>
      </c>
      <c r="F67" s="2">
        <v>5.77</v>
      </c>
      <c r="G67" s="2">
        <v>2.16</v>
      </c>
      <c r="H67" s="2">
        <f t="shared" si="3"/>
        <v>-5.0410272682600548</v>
      </c>
      <c r="I67" s="2">
        <f t="shared" si="4"/>
        <v>0.14408301800446266</v>
      </c>
      <c r="J67" s="2"/>
      <c r="K67" s="2">
        <f t="shared" ref="K67:K130" si="5">LOG(SUM(B67:D67),2)</f>
        <v>-1.9434164716336324</v>
      </c>
    </row>
    <row r="68" spans="1:11" ht="13.9" x14ac:dyDescent="0.3">
      <c r="A68" s="2" t="s">
        <v>85</v>
      </c>
      <c r="B68" s="2">
        <v>0.39</v>
      </c>
      <c r="C68" s="2">
        <v>0</v>
      </c>
      <c r="D68" s="2">
        <v>0</v>
      </c>
      <c r="E68" s="2">
        <v>0.5</v>
      </c>
      <c r="F68" s="2">
        <v>0</v>
      </c>
      <c r="G68" s="2">
        <v>0.23</v>
      </c>
      <c r="H68" s="2">
        <f t="shared" si="3"/>
        <v>-0.90442234001776889</v>
      </c>
      <c r="I68" s="2">
        <f t="shared" si="4"/>
        <v>0.59112164364653408</v>
      </c>
      <c r="J68" s="2"/>
      <c r="K68" s="2">
        <f t="shared" si="5"/>
        <v>-1.3584539709124763</v>
      </c>
    </row>
    <row r="69" spans="1:11" ht="13.9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0.44</v>
      </c>
      <c r="G69" s="2">
        <v>0</v>
      </c>
      <c r="H69" s="2" t="e">
        <f t="shared" si="3"/>
        <v>#NUM!</v>
      </c>
      <c r="I69" s="2">
        <f t="shared" si="4"/>
        <v>0.37390096630005903</v>
      </c>
      <c r="J69" s="2"/>
      <c r="K69" s="2" t="e">
        <f t="shared" si="5"/>
        <v>#NUM!</v>
      </c>
    </row>
    <row r="70" spans="1:11" ht="13.9" x14ac:dyDescent="0.3">
      <c r="A70" s="2" t="s">
        <v>87</v>
      </c>
      <c r="B70" s="2">
        <v>0</v>
      </c>
      <c r="C70" s="2">
        <v>11.57</v>
      </c>
      <c r="D70" s="2">
        <v>0</v>
      </c>
      <c r="E70" s="2">
        <v>11.33</v>
      </c>
      <c r="F70" s="2">
        <v>11.42</v>
      </c>
      <c r="G70" s="2">
        <v>9.3000000000000007</v>
      </c>
      <c r="H70" s="2">
        <f t="shared" si="3"/>
        <v>-1.4699354923986134</v>
      </c>
      <c r="I70" s="2">
        <f t="shared" si="4"/>
        <v>0.15642452505446808</v>
      </c>
      <c r="J70" s="2"/>
      <c r="K70" s="2">
        <f t="shared" si="5"/>
        <v>3.532316959332765</v>
      </c>
    </row>
    <row r="71" spans="1:11" ht="13.9" x14ac:dyDescent="0.3">
      <c r="A71" s="2" t="s">
        <v>88</v>
      </c>
      <c r="B71" s="2">
        <v>4.8499999999999996</v>
      </c>
      <c r="C71" s="2">
        <v>0</v>
      </c>
      <c r="D71" s="2">
        <v>8.82</v>
      </c>
      <c r="E71" s="2">
        <v>2.77</v>
      </c>
      <c r="F71" s="2">
        <v>2.5499999999999998</v>
      </c>
      <c r="G71" s="2">
        <v>1.02</v>
      </c>
      <c r="H71" s="2">
        <f t="shared" si="3"/>
        <v>1.1084584974666527</v>
      </c>
      <c r="I71" s="2">
        <f t="shared" si="4"/>
        <v>0.40204118748993639</v>
      </c>
      <c r="J71" s="2"/>
      <c r="K71" s="2">
        <f t="shared" si="5"/>
        <v>3.7729413378313357</v>
      </c>
    </row>
    <row r="72" spans="1:11" ht="13.9" x14ac:dyDescent="0.3">
      <c r="A72" s="2" t="s">
        <v>89</v>
      </c>
      <c r="B72" s="2">
        <v>23.47</v>
      </c>
      <c r="C72" s="2">
        <v>67.67</v>
      </c>
      <c r="D72" s="2">
        <v>1.56</v>
      </c>
      <c r="E72" s="2">
        <v>50.6</v>
      </c>
      <c r="F72" s="2">
        <v>47.24</v>
      </c>
      <c r="G72" s="2">
        <v>27.79</v>
      </c>
      <c r="H72" s="2">
        <f t="shared" si="3"/>
        <v>-0.43853977188359711</v>
      </c>
      <c r="I72" s="2">
        <f t="shared" si="4"/>
        <v>0.62402158293181198</v>
      </c>
      <c r="J72" s="2"/>
      <c r="K72" s="2">
        <f t="shared" si="5"/>
        <v>6.534497433738168</v>
      </c>
    </row>
    <row r="73" spans="1:11" ht="13.9" x14ac:dyDescent="0.3">
      <c r="A73" s="2" t="s">
        <v>90</v>
      </c>
      <c r="B73" s="2">
        <v>0.26</v>
      </c>
      <c r="C73" s="2">
        <v>0.28999999999999998</v>
      </c>
      <c r="D73" s="2">
        <v>0</v>
      </c>
      <c r="E73" s="2">
        <v>0</v>
      </c>
      <c r="F73" s="2">
        <v>0.22</v>
      </c>
      <c r="G73" s="2">
        <v>0.11</v>
      </c>
      <c r="H73" s="2">
        <f t="shared" si="3"/>
        <v>0.73696559416620622</v>
      </c>
      <c r="I73" s="2">
        <f t="shared" si="4"/>
        <v>0.5478614056410982</v>
      </c>
      <c r="J73" s="2"/>
      <c r="K73" s="2">
        <f t="shared" si="5"/>
        <v>-0.86249647625006509</v>
      </c>
    </row>
    <row r="74" spans="1:11" ht="13.9" x14ac:dyDescent="0.3">
      <c r="A74" s="2" t="s">
        <v>91</v>
      </c>
      <c r="B74" s="2">
        <v>0</v>
      </c>
      <c r="C74" s="2">
        <v>0</v>
      </c>
      <c r="D74" s="2">
        <v>0</v>
      </c>
      <c r="E74" s="2">
        <v>2.39</v>
      </c>
      <c r="F74" s="2">
        <v>0</v>
      </c>
      <c r="G74" s="2">
        <v>0</v>
      </c>
      <c r="H74" s="2" t="e">
        <f t="shared" si="3"/>
        <v>#NUM!</v>
      </c>
      <c r="I74" s="2">
        <f t="shared" si="4"/>
        <v>0.37390096630005903</v>
      </c>
      <c r="J74" s="2"/>
      <c r="K74" s="2" t="e">
        <f t="shared" si="5"/>
        <v>#NUM!</v>
      </c>
    </row>
    <row r="75" spans="1:11" ht="13.9" x14ac:dyDescent="0.3">
      <c r="A75" s="2" t="s">
        <v>92</v>
      </c>
      <c r="B75" s="2">
        <v>0</v>
      </c>
      <c r="C75" s="2">
        <v>0</v>
      </c>
      <c r="D75" s="2">
        <v>0</v>
      </c>
      <c r="E75" s="2">
        <v>1.26</v>
      </c>
      <c r="F75" s="2">
        <v>0</v>
      </c>
      <c r="G75" s="2">
        <v>0.91</v>
      </c>
      <c r="H75" s="2" t="e">
        <f t="shared" si="3"/>
        <v>#NUM!</v>
      </c>
      <c r="I75" s="2">
        <f t="shared" si="4"/>
        <v>0.1263598476466152</v>
      </c>
      <c r="J75" s="2"/>
      <c r="K75" s="2" t="e">
        <f t="shared" si="5"/>
        <v>#NUM!</v>
      </c>
    </row>
    <row r="76" spans="1:11" ht="13.9" x14ac:dyDescent="0.3">
      <c r="A76" s="2" t="s">
        <v>93</v>
      </c>
      <c r="B76" s="2">
        <v>8.52</v>
      </c>
      <c r="C76" s="2">
        <v>0</v>
      </c>
      <c r="D76" s="2">
        <v>4.67</v>
      </c>
      <c r="E76" s="2">
        <v>1.51</v>
      </c>
      <c r="F76" s="2">
        <v>0.44</v>
      </c>
      <c r="G76" s="2">
        <v>0</v>
      </c>
      <c r="H76" s="2">
        <f t="shared" si="3"/>
        <v>2.7578985355019339</v>
      </c>
      <c r="I76" s="2">
        <f t="shared" si="4"/>
        <v>0.20888554287763123</v>
      </c>
      <c r="J76" s="2"/>
      <c r="K76" s="2">
        <f t="shared" si="5"/>
        <v>3.7213726594768199</v>
      </c>
    </row>
    <row r="77" spans="1:11" ht="13.9" x14ac:dyDescent="0.3">
      <c r="A77" s="2" t="s">
        <v>94</v>
      </c>
      <c r="B77" s="2">
        <v>0</v>
      </c>
      <c r="C77" s="2">
        <v>0</v>
      </c>
      <c r="D77" s="2">
        <v>0</v>
      </c>
      <c r="E77" s="2">
        <v>4.41</v>
      </c>
      <c r="F77" s="2">
        <v>3.77</v>
      </c>
      <c r="G77" s="2">
        <v>9.08</v>
      </c>
      <c r="H77" s="2" t="e">
        <f t="shared" si="3"/>
        <v>#NUM!</v>
      </c>
      <c r="I77" s="2">
        <f t="shared" si="4"/>
        <v>2.6347304928499616E-2</v>
      </c>
      <c r="J77" s="2"/>
      <c r="K77" s="2" t="e">
        <f t="shared" si="5"/>
        <v>#NUM!</v>
      </c>
    </row>
    <row r="78" spans="1:11" ht="13.9" x14ac:dyDescent="0.3">
      <c r="A78" s="2" t="s">
        <v>95</v>
      </c>
      <c r="B78" s="2">
        <v>0</v>
      </c>
      <c r="C78" s="2">
        <v>0</v>
      </c>
      <c r="D78" s="2">
        <v>0</v>
      </c>
      <c r="E78" s="2">
        <v>1.51</v>
      </c>
      <c r="F78" s="2">
        <v>0.55000000000000004</v>
      </c>
      <c r="G78" s="2">
        <v>0.11</v>
      </c>
      <c r="H78" s="2" t="e">
        <f t="shared" si="3"/>
        <v>#NUM!</v>
      </c>
      <c r="I78" s="2">
        <f t="shared" si="4"/>
        <v>0.1550162111421669</v>
      </c>
      <c r="J78" s="2"/>
      <c r="K78" s="2" t="e">
        <f t="shared" si="5"/>
        <v>#NUM!</v>
      </c>
    </row>
    <row r="79" spans="1:11" ht="13.9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0.33</v>
      </c>
      <c r="G79" s="2">
        <v>0</v>
      </c>
      <c r="H79" s="2" t="e">
        <f t="shared" si="3"/>
        <v>#NUM!</v>
      </c>
      <c r="I79" s="2">
        <f t="shared" si="4"/>
        <v>0.37390096630005903</v>
      </c>
      <c r="J79" s="2"/>
      <c r="K79" s="2" t="e">
        <f t="shared" si="5"/>
        <v>#NUM!</v>
      </c>
    </row>
    <row r="80" spans="1:11" ht="13.9" x14ac:dyDescent="0.3">
      <c r="A80" s="2" t="s">
        <v>97</v>
      </c>
      <c r="B80" s="2">
        <v>543.39</v>
      </c>
      <c r="C80" s="2">
        <v>603.52</v>
      </c>
      <c r="D80" s="2">
        <v>459.01</v>
      </c>
      <c r="E80" s="2">
        <v>1246.57</v>
      </c>
      <c r="F80" s="2">
        <v>1122.1300000000001</v>
      </c>
      <c r="G80" s="2">
        <v>1494.68</v>
      </c>
      <c r="H80" s="2">
        <f t="shared" si="3"/>
        <v>-1.2664635614572752</v>
      </c>
      <c r="I80" s="2">
        <f t="shared" si="4"/>
        <v>3.0296341968782513E-3</v>
      </c>
      <c r="J80" s="2"/>
      <c r="K80" s="2">
        <f t="shared" si="5"/>
        <v>10.649184310470005</v>
      </c>
    </row>
    <row r="81" spans="1:11" ht="13.9" x14ac:dyDescent="0.3">
      <c r="A81" s="2" t="s">
        <v>98</v>
      </c>
      <c r="B81" s="2">
        <v>0</v>
      </c>
      <c r="C81" s="2">
        <v>0</v>
      </c>
      <c r="D81" s="2">
        <v>0</v>
      </c>
      <c r="E81" s="2">
        <v>0</v>
      </c>
      <c r="F81" s="2">
        <v>1.77</v>
      </c>
      <c r="G81" s="2">
        <v>2.38</v>
      </c>
      <c r="H81" s="2" t="e">
        <f t="shared" si="3"/>
        <v>#NUM!</v>
      </c>
      <c r="I81" s="2">
        <f t="shared" si="4"/>
        <v>0.12463868886538043</v>
      </c>
      <c r="J81" s="2"/>
      <c r="K81" s="2" t="e">
        <f t="shared" si="5"/>
        <v>#NUM!</v>
      </c>
    </row>
    <row r="82" spans="1:11" ht="13.9" x14ac:dyDescent="0.3">
      <c r="A82" s="8" t="s">
        <v>99</v>
      </c>
      <c r="B82" s="2">
        <v>0</v>
      </c>
      <c r="C82" s="2">
        <v>0</v>
      </c>
      <c r="D82" s="2">
        <v>0</v>
      </c>
      <c r="E82" s="2">
        <v>4.03</v>
      </c>
      <c r="F82" s="2">
        <v>3.1</v>
      </c>
      <c r="G82" s="2">
        <v>9.64</v>
      </c>
      <c r="H82" s="2" t="e">
        <f t="shared" si="3"/>
        <v>#NUM!</v>
      </c>
      <c r="I82" s="2">
        <f t="shared" si="4"/>
        <v>5.2090272011093029E-2</v>
      </c>
      <c r="J82" s="2"/>
      <c r="K82" s="2" t="e">
        <f t="shared" si="5"/>
        <v>#NUM!</v>
      </c>
    </row>
    <row r="83" spans="1:11" ht="13.9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0.33</v>
      </c>
      <c r="G83" s="2">
        <v>0</v>
      </c>
      <c r="H83" s="2" t="e">
        <f t="shared" si="3"/>
        <v>#NUM!</v>
      </c>
      <c r="I83" s="2">
        <f t="shared" si="4"/>
        <v>0.37390096630005903</v>
      </c>
      <c r="J83" s="2"/>
      <c r="K83" s="2" t="e">
        <f t="shared" si="5"/>
        <v>#NUM!</v>
      </c>
    </row>
    <row r="84" spans="1:11" ht="13.9" x14ac:dyDescent="0.3">
      <c r="A84" s="2" t="s">
        <v>101</v>
      </c>
      <c r="B84" s="2">
        <v>0</v>
      </c>
      <c r="C84" s="2">
        <v>0</v>
      </c>
      <c r="D84" s="2">
        <v>0</v>
      </c>
      <c r="E84" s="2">
        <v>1.01</v>
      </c>
      <c r="F84" s="2">
        <v>2.66</v>
      </c>
      <c r="G84" s="2">
        <v>0</v>
      </c>
      <c r="H84" s="2" t="e">
        <f t="shared" si="3"/>
        <v>#NUM!</v>
      </c>
      <c r="I84" s="2">
        <f t="shared" si="4"/>
        <v>0.18970714206208195</v>
      </c>
      <c r="J84" s="2"/>
      <c r="K84" s="2" t="e">
        <f t="shared" si="5"/>
        <v>#NUM!</v>
      </c>
    </row>
    <row r="85" spans="1:11" ht="13.9" x14ac:dyDescent="0.3">
      <c r="A85" s="2" t="s">
        <v>102</v>
      </c>
      <c r="B85" s="2">
        <v>0</v>
      </c>
      <c r="C85" s="2">
        <v>0</v>
      </c>
      <c r="D85" s="2">
        <v>0</v>
      </c>
      <c r="E85" s="2">
        <v>2.0099999999999998</v>
      </c>
      <c r="F85" s="2">
        <v>2.44</v>
      </c>
      <c r="G85" s="2">
        <v>1.25</v>
      </c>
      <c r="H85" s="2" t="e">
        <f t="shared" si="3"/>
        <v>#NUM!</v>
      </c>
      <c r="I85" s="2">
        <f t="shared" si="4"/>
        <v>5.4653178450128634E-3</v>
      </c>
      <c r="J85" s="2"/>
      <c r="K85" s="2" t="e">
        <f t="shared" si="5"/>
        <v>#NUM!</v>
      </c>
    </row>
    <row r="86" spans="1:11" ht="13.9" x14ac:dyDescent="0.3">
      <c r="A86" s="2" t="s">
        <v>103</v>
      </c>
      <c r="B86" s="2">
        <v>0</v>
      </c>
      <c r="C86" s="2">
        <v>0</v>
      </c>
      <c r="D86" s="2">
        <v>0</v>
      </c>
      <c r="E86" s="2">
        <v>0.25</v>
      </c>
      <c r="F86" s="2">
        <v>0</v>
      </c>
      <c r="G86" s="2">
        <v>0.68</v>
      </c>
      <c r="H86" s="2" t="e">
        <f t="shared" si="3"/>
        <v>#NUM!</v>
      </c>
      <c r="I86" s="2">
        <f t="shared" si="4"/>
        <v>0.19352387452356762</v>
      </c>
      <c r="J86" s="2"/>
      <c r="K86" s="2" t="e">
        <f t="shared" si="5"/>
        <v>#NUM!</v>
      </c>
    </row>
    <row r="87" spans="1:11" ht="13.9" x14ac:dyDescent="0.3">
      <c r="A87" s="2" t="s">
        <v>104</v>
      </c>
      <c r="B87" s="2">
        <v>30.68</v>
      </c>
      <c r="C87" s="2">
        <v>0</v>
      </c>
      <c r="D87" s="2">
        <v>4.1500000000000004</v>
      </c>
      <c r="E87" s="2">
        <v>8.69</v>
      </c>
      <c r="F87" s="2">
        <v>8.5399999999999991</v>
      </c>
      <c r="G87" s="2">
        <v>6.92</v>
      </c>
      <c r="H87" s="2">
        <f t="shared" si="3"/>
        <v>0.52830728386358727</v>
      </c>
      <c r="I87" s="2">
        <f t="shared" si="4"/>
        <v>0.73027362988775213</v>
      </c>
      <c r="J87" s="2"/>
      <c r="K87" s="2">
        <f t="shared" si="5"/>
        <v>5.1222585678119978</v>
      </c>
    </row>
    <row r="88" spans="1:11" ht="13.9" x14ac:dyDescent="0.3">
      <c r="A88" s="2" t="s">
        <v>105</v>
      </c>
      <c r="B88" s="2">
        <v>6.16</v>
      </c>
      <c r="C88" s="2">
        <v>0</v>
      </c>
      <c r="D88" s="2">
        <v>0</v>
      </c>
      <c r="E88" s="2">
        <v>2.9</v>
      </c>
      <c r="F88" s="2">
        <v>1.89</v>
      </c>
      <c r="G88" s="2">
        <v>1.02</v>
      </c>
      <c r="H88" s="2">
        <f t="shared" si="3"/>
        <v>8.4392187290372317E-2</v>
      </c>
      <c r="I88" s="2">
        <f t="shared" si="4"/>
        <v>0.95882946760140619</v>
      </c>
      <c r="J88" s="2"/>
      <c r="K88" s="2">
        <f t="shared" si="5"/>
        <v>2.6229303509201771</v>
      </c>
    </row>
    <row r="89" spans="1:11" ht="13.9" x14ac:dyDescent="0.3">
      <c r="A89" s="2" t="s">
        <v>106</v>
      </c>
      <c r="B89" s="2">
        <v>0</v>
      </c>
      <c r="C89" s="2">
        <v>13.59</v>
      </c>
      <c r="D89" s="2">
        <v>0</v>
      </c>
      <c r="E89" s="2">
        <v>0.5</v>
      </c>
      <c r="F89" s="2">
        <v>0.67</v>
      </c>
      <c r="G89" s="2">
        <v>0</v>
      </c>
      <c r="H89" s="2">
        <f t="shared" si="3"/>
        <v>3.5379650211839868</v>
      </c>
      <c r="I89" s="2">
        <f t="shared" si="4"/>
        <v>0.41289019857059323</v>
      </c>
      <c r="J89" s="2"/>
      <c r="K89" s="2">
        <f t="shared" si="5"/>
        <v>3.7644735509926668</v>
      </c>
    </row>
    <row r="90" spans="1:11" ht="13.9" x14ac:dyDescent="0.3">
      <c r="A90" s="2" t="s">
        <v>107</v>
      </c>
      <c r="B90" s="2">
        <v>3.02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3"/>
        <v>#DIV/0!</v>
      </c>
      <c r="I90" s="2">
        <f t="shared" si="4"/>
        <v>0.37390096630005903</v>
      </c>
      <c r="J90" s="2"/>
      <c r="K90" s="2">
        <f t="shared" si="5"/>
        <v>1.5945485495503544</v>
      </c>
    </row>
    <row r="91" spans="1:11" ht="13.9" x14ac:dyDescent="0.3">
      <c r="A91" s="2" t="s">
        <v>108</v>
      </c>
      <c r="B91" s="2">
        <v>12.19</v>
      </c>
      <c r="C91" s="2">
        <v>6.94</v>
      </c>
      <c r="D91" s="2">
        <v>0</v>
      </c>
      <c r="E91" s="2">
        <v>10.7</v>
      </c>
      <c r="F91" s="2">
        <v>8.76</v>
      </c>
      <c r="G91" s="2">
        <v>11.69</v>
      </c>
      <c r="H91" s="2">
        <f t="shared" si="3"/>
        <v>-0.70339528956525199</v>
      </c>
      <c r="I91" s="2">
        <f t="shared" si="4"/>
        <v>0.3320466660413211</v>
      </c>
      <c r="J91" s="2"/>
      <c r="K91" s="2">
        <f t="shared" si="5"/>
        <v>4.2577649685713874</v>
      </c>
    </row>
    <row r="92" spans="1:11" ht="13.9" x14ac:dyDescent="0.3">
      <c r="A92" s="2" t="s">
        <v>109</v>
      </c>
      <c r="B92" s="2">
        <v>0</v>
      </c>
      <c r="C92" s="2">
        <v>0</v>
      </c>
      <c r="D92" s="2">
        <v>0</v>
      </c>
      <c r="E92" s="2">
        <v>1.64</v>
      </c>
      <c r="F92" s="2">
        <v>0</v>
      </c>
      <c r="G92" s="2">
        <v>0</v>
      </c>
      <c r="H92" s="2" t="e">
        <f t="shared" si="3"/>
        <v>#NUM!</v>
      </c>
      <c r="I92" s="2">
        <f t="shared" si="4"/>
        <v>0.37390096630005903</v>
      </c>
      <c r="J92" s="2"/>
      <c r="K92" s="2" t="e">
        <f t="shared" si="5"/>
        <v>#NUM!</v>
      </c>
    </row>
    <row r="93" spans="1:11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3"/>
        <v>#DIV/0!</v>
      </c>
      <c r="I93" s="2" t="e">
        <f t="shared" si="4"/>
        <v>#DIV/0!</v>
      </c>
      <c r="J93" s="2"/>
      <c r="K93" s="2" t="e">
        <f t="shared" si="5"/>
        <v>#NUM!</v>
      </c>
    </row>
    <row r="94" spans="1:11" ht="13.9" x14ac:dyDescent="0.3">
      <c r="A94" s="2" t="s">
        <v>111</v>
      </c>
      <c r="B94" s="2">
        <v>0</v>
      </c>
      <c r="C94" s="2">
        <v>0</v>
      </c>
      <c r="D94" s="2">
        <v>9.85</v>
      </c>
      <c r="E94" s="2">
        <v>0.5</v>
      </c>
      <c r="F94" s="2">
        <v>0.78</v>
      </c>
      <c r="G94" s="2">
        <v>0</v>
      </c>
      <c r="H94" s="2">
        <f t="shared" si="3"/>
        <v>2.9439799143437386</v>
      </c>
      <c r="I94" s="2">
        <f t="shared" si="4"/>
        <v>0.43438847193267061</v>
      </c>
      <c r="J94" s="2"/>
      <c r="K94" s="2">
        <f t="shared" si="5"/>
        <v>3.3001237245690143</v>
      </c>
    </row>
    <row r="95" spans="1:11" ht="13.9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0.11</v>
      </c>
      <c r="G95" s="2">
        <v>0</v>
      </c>
      <c r="H95" s="2" t="e">
        <f t="shared" si="3"/>
        <v>#NUM!</v>
      </c>
      <c r="I95" s="2">
        <f t="shared" si="4"/>
        <v>0.37390096630005903</v>
      </c>
      <c r="J95" s="2"/>
      <c r="K95" s="2" t="e">
        <f t="shared" si="5"/>
        <v>#NUM!</v>
      </c>
    </row>
    <row r="96" spans="1:11" ht="13.9" x14ac:dyDescent="0.3">
      <c r="A96" s="2" t="s">
        <v>113</v>
      </c>
      <c r="B96" s="2">
        <v>0</v>
      </c>
      <c r="C96" s="2">
        <v>0</v>
      </c>
      <c r="D96" s="2">
        <v>0</v>
      </c>
      <c r="E96" s="2">
        <v>2.77</v>
      </c>
      <c r="F96" s="2">
        <v>0</v>
      </c>
      <c r="G96" s="2">
        <v>0</v>
      </c>
      <c r="H96" s="2" t="e">
        <f t="shared" si="3"/>
        <v>#NUM!</v>
      </c>
      <c r="I96" s="2">
        <f t="shared" si="4"/>
        <v>0.37390096630005903</v>
      </c>
      <c r="J96" s="2"/>
      <c r="K96" s="2" t="e">
        <f t="shared" si="5"/>
        <v>#NUM!</v>
      </c>
    </row>
    <row r="97" spans="1:11" ht="13.9" x14ac:dyDescent="0.3">
      <c r="A97" s="2" t="s">
        <v>114</v>
      </c>
      <c r="B97" s="2">
        <v>9.44</v>
      </c>
      <c r="C97" s="2">
        <v>7.81</v>
      </c>
      <c r="D97" s="2">
        <v>0</v>
      </c>
      <c r="E97" s="2">
        <v>46.07</v>
      </c>
      <c r="F97" s="2">
        <v>26.5</v>
      </c>
      <c r="G97" s="2">
        <v>25.75</v>
      </c>
      <c r="H97" s="2">
        <f t="shared" si="3"/>
        <v>-2.5108885538197678</v>
      </c>
      <c r="I97" s="2">
        <f t="shared" si="4"/>
        <v>2.0451651253833244E-2</v>
      </c>
      <c r="J97" s="2"/>
      <c r="K97" s="2">
        <f t="shared" si="5"/>
        <v>4.1085244567781691</v>
      </c>
    </row>
    <row r="98" spans="1:11" ht="13.9" x14ac:dyDescent="0.3">
      <c r="A98" s="2" t="s">
        <v>115</v>
      </c>
      <c r="B98" s="2">
        <v>16.91</v>
      </c>
      <c r="C98" s="2">
        <v>25.74</v>
      </c>
      <c r="D98" s="2">
        <v>14</v>
      </c>
      <c r="E98" s="2">
        <v>22.41</v>
      </c>
      <c r="F98" s="2">
        <v>23.29</v>
      </c>
      <c r="G98" s="2">
        <v>13.05</v>
      </c>
      <c r="H98" s="2">
        <f t="shared" si="3"/>
        <v>-5.2512895631846475E-2</v>
      </c>
      <c r="I98" s="2">
        <f t="shared" si="4"/>
        <v>0.8914676837373311</v>
      </c>
      <c r="J98" s="2"/>
      <c r="K98" s="2">
        <f t="shared" si="5"/>
        <v>5.8240040509331532</v>
      </c>
    </row>
    <row r="99" spans="1:11" ht="13.9" x14ac:dyDescent="0.3">
      <c r="A99" s="2" t="s">
        <v>116</v>
      </c>
      <c r="B99" s="2">
        <v>8.65</v>
      </c>
      <c r="C99" s="2">
        <v>0</v>
      </c>
      <c r="D99" s="2">
        <v>0</v>
      </c>
      <c r="E99" s="2">
        <v>3.02</v>
      </c>
      <c r="F99" s="2">
        <v>0.55000000000000004</v>
      </c>
      <c r="G99" s="2">
        <v>1.1299999999999999</v>
      </c>
      <c r="H99" s="2">
        <f t="shared" si="3"/>
        <v>0.88003937595908743</v>
      </c>
      <c r="I99" s="2">
        <f t="shared" si="4"/>
        <v>0.68126747206795046</v>
      </c>
      <c r="J99" s="2"/>
      <c r="K99" s="2">
        <f t="shared" si="5"/>
        <v>3.1127001327493624</v>
      </c>
    </row>
    <row r="100" spans="1:11" ht="13.9" x14ac:dyDescent="0.3">
      <c r="A100" s="2" t="s">
        <v>117</v>
      </c>
      <c r="B100" s="2">
        <v>26.61</v>
      </c>
      <c r="C100" s="2">
        <v>26.6</v>
      </c>
      <c r="D100" s="2">
        <v>12.19</v>
      </c>
      <c r="E100" s="2">
        <v>48.34</v>
      </c>
      <c r="F100" s="2">
        <v>49.45</v>
      </c>
      <c r="G100" s="2">
        <v>55.25</v>
      </c>
      <c r="H100" s="2">
        <f t="shared" si="3"/>
        <v>-1.2265462379606678</v>
      </c>
      <c r="I100" s="2">
        <f t="shared" si="4"/>
        <v>5.147334024236689E-3</v>
      </c>
      <c r="J100" s="2"/>
      <c r="K100" s="2">
        <f t="shared" si="5"/>
        <v>6.0312187306107203</v>
      </c>
    </row>
    <row r="101" spans="1:11" ht="13.9" x14ac:dyDescent="0.3">
      <c r="A101" s="2" t="s">
        <v>118</v>
      </c>
      <c r="B101" s="2">
        <v>0</v>
      </c>
      <c r="C101" s="2">
        <v>0</v>
      </c>
      <c r="D101" s="2">
        <v>0</v>
      </c>
      <c r="E101" s="2">
        <v>2.64</v>
      </c>
      <c r="F101" s="2">
        <v>9.65</v>
      </c>
      <c r="G101" s="2">
        <v>8.85</v>
      </c>
      <c r="H101" s="2" t="e">
        <f t="shared" si="3"/>
        <v>#NUM!</v>
      </c>
      <c r="I101" s="2">
        <f t="shared" si="4"/>
        <v>3.3510822715860568E-2</v>
      </c>
      <c r="J101" s="2"/>
      <c r="K101" s="2" t="e">
        <f t="shared" si="5"/>
        <v>#NUM!</v>
      </c>
    </row>
    <row r="102" spans="1:11" ht="13.9" x14ac:dyDescent="0.3">
      <c r="A102" s="2" t="s">
        <v>119</v>
      </c>
      <c r="B102" s="2">
        <v>0.13</v>
      </c>
      <c r="C102" s="2">
        <v>0</v>
      </c>
      <c r="D102" s="2">
        <v>0</v>
      </c>
      <c r="E102" s="2">
        <v>0.25</v>
      </c>
      <c r="F102" s="2">
        <v>0</v>
      </c>
      <c r="G102" s="2">
        <v>0</v>
      </c>
      <c r="H102" s="2">
        <f t="shared" si="3"/>
        <v>-0.9434164716336324</v>
      </c>
      <c r="I102" s="2">
        <f t="shared" si="4"/>
        <v>0.69212198733773511</v>
      </c>
      <c r="J102" s="2"/>
      <c r="K102" s="2">
        <f t="shared" si="5"/>
        <v>-2.9434164716336326</v>
      </c>
    </row>
    <row r="103" spans="1:11" ht="13.9" x14ac:dyDescent="0.3">
      <c r="A103" s="2" t="s">
        <v>120</v>
      </c>
      <c r="B103" s="2">
        <v>0</v>
      </c>
      <c r="C103" s="2">
        <v>2.89</v>
      </c>
      <c r="D103" s="2">
        <v>2.0699999999999998</v>
      </c>
      <c r="E103" s="2">
        <v>0.25</v>
      </c>
      <c r="F103" s="2">
        <v>0</v>
      </c>
      <c r="G103" s="2">
        <v>0</v>
      </c>
      <c r="H103" s="2">
        <f t="shared" si="3"/>
        <v>4.3103401206121505</v>
      </c>
      <c r="I103" s="2">
        <f t="shared" si="4"/>
        <v>0.14332590388260497</v>
      </c>
      <c r="J103" s="2"/>
      <c r="K103" s="2">
        <f t="shared" si="5"/>
        <v>2.3103401206121505</v>
      </c>
    </row>
    <row r="104" spans="1:11" ht="13.9" x14ac:dyDescent="0.3">
      <c r="A104" s="2" t="s">
        <v>121</v>
      </c>
      <c r="B104" s="2">
        <v>0</v>
      </c>
      <c r="C104" s="2">
        <v>0</v>
      </c>
      <c r="D104" s="2">
        <v>0</v>
      </c>
      <c r="E104" s="2">
        <v>0.13</v>
      </c>
      <c r="F104" s="2">
        <v>0.11</v>
      </c>
      <c r="G104" s="2">
        <v>0</v>
      </c>
      <c r="H104" s="2" t="e">
        <f t="shared" si="3"/>
        <v>#NUM!</v>
      </c>
      <c r="I104" s="2">
        <f t="shared" si="4"/>
        <v>0.11887140555991681</v>
      </c>
      <c r="J104" s="2"/>
      <c r="K104" s="2" t="e">
        <f t="shared" si="5"/>
        <v>#NUM!</v>
      </c>
    </row>
    <row r="105" spans="1:11" ht="13.9" x14ac:dyDescent="0.3">
      <c r="A105" s="2" t="s">
        <v>122</v>
      </c>
      <c r="B105" s="2">
        <v>0</v>
      </c>
      <c r="C105" s="2">
        <v>9.83</v>
      </c>
      <c r="D105" s="2">
        <v>0</v>
      </c>
      <c r="E105" s="2">
        <v>3.15</v>
      </c>
      <c r="F105" s="2">
        <v>2.77</v>
      </c>
      <c r="G105" s="2">
        <v>3.74</v>
      </c>
      <c r="H105" s="2">
        <f t="shared" si="3"/>
        <v>2.5168227504807475E-2</v>
      </c>
      <c r="I105" s="2">
        <f t="shared" si="4"/>
        <v>0.9870781361227372</v>
      </c>
      <c r="J105" s="2"/>
      <c r="K105" s="2">
        <f t="shared" si="5"/>
        <v>3.2971914165658558</v>
      </c>
    </row>
    <row r="106" spans="1:11" ht="13.9" x14ac:dyDescent="0.3">
      <c r="A106" s="2" t="s">
        <v>123</v>
      </c>
      <c r="B106" s="2">
        <v>0</v>
      </c>
      <c r="C106" s="2">
        <v>0</v>
      </c>
      <c r="D106" s="2">
        <v>14</v>
      </c>
      <c r="E106" s="2">
        <v>0.76</v>
      </c>
      <c r="F106" s="2">
        <v>0.89</v>
      </c>
      <c r="G106" s="2">
        <v>0</v>
      </c>
      <c r="H106" s="2">
        <f t="shared" si="3"/>
        <v>3.0848888975865134</v>
      </c>
      <c r="I106" s="2">
        <f t="shared" si="4"/>
        <v>0.42827117855830987</v>
      </c>
      <c r="J106" s="2"/>
      <c r="K106" s="2">
        <f t="shared" si="5"/>
        <v>3.8073549220576037</v>
      </c>
    </row>
    <row r="107" spans="1:11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3"/>
        <v>#DIV/0!</v>
      </c>
      <c r="I107" s="2" t="e">
        <f t="shared" si="4"/>
        <v>#DIV/0!</v>
      </c>
      <c r="J107" s="2"/>
      <c r="K107" s="2" t="e">
        <f t="shared" si="5"/>
        <v>#NUM!</v>
      </c>
    </row>
    <row r="108" spans="1:11" ht="13.9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0.78</v>
      </c>
      <c r="G108" s="2">
        <v>0</v>
      </c>
      <c r="H108" s="2" t="e">
        <f t="shared" si="3"/>
        <v>#NUM!</v>
      </c>
      <c r="I108" s="2">
        <f t="shared" si="4"/>
        <v>0.37390096630005903</v>
      </c>
      <c r="J108" s="2"/>
      <c r="K108" s="2" t="e">
        <f t="shared" si="5"/>
        <v>#NUM!</v>
      </c>
    </row>
    <row r="109" spans="1:11" ht="13.9" x14ac:dyDescent="0.3">
      <c r="A109" s="2" t="s">
        <v>126</v>
      </c>
      <c r="B109" s="2">
        <v>0</v>
      </c>
      <c r="C109" s="2">
        <v>0</v>
      </c>
      <c r="D109" s="2">
        <v>0</v>
      </c>
      <c r="E109" s="2">
        <v>4.1500000000000004</v>
      </c>
      <c r="F109" s="2">
        <v>5.54</v>
      </c>
      <c r="G109" s="2">
        <v>3.29</v>
      </c>
      <c r="H109" s="2" t="e">
        <f t="shared" si="3"/>
        <v>#NUM!</v>
      </c>
      <c r="I109" s="2">
        <f t="shared" si="4"/>
        <v>2.7297772245895077E-3</v>
      </c>
      <c r="J109" s="2"/>
      <c r="K109" s="2" t="e">
        <f t="shared" si="5"/>
        <v>#NUM!</v>
      </c>
    </row>
    <row r="110" spans="1:11" ht="13.9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0.23</v>
      </c>
      <c r="H110" s="2" t="e">
        <f t="shared" si="3"/>
        <v>#NUM!</v>
      </c>
      <c r="I110" s="2">
        <f t="shared" si="4"/>
        <v>0.37390096630005903</v>
      </c>
      <c r="J110" s="2"/>
      <c r="K110" s="2" t="e">
        <f t="shared" si="5"/>
        <v>#NUM!</v>
      </c>
    </row>
    <row r="111" spans="1:11" ht="13.9" x14ac:dyDescent="0.3">
      <c r="A111" s="2" t="s">
        <v>128</v>
      </c>
      <c r="B111" s="2">
        <v>20.84</v>
      </c>
      <c r="C111" s="2">
        <v>0</v>
      </c>
      <c r="D111" s="2">
        <v>0</v>
      </c>
      <c r="E111" s="2">
        <v>9.94</v>
      </c>
      <c r="F111" s="2">
        <v>9.98</v>
      </c>
      <c r="G111" s="2">
        <v>6.81</v>
      </c>
      <c r="H111" s="2">
        <f t="shared" si="3"/>
        <v>-0.35910455996456997</v>
      </c>
      <c r="I111" s="2">
        <f t="shared" si="4"/>
        <v>0.79375037467825227</v>
      </c>
      <c r="J111" s="2"/>
      <c r="K111" s="2">
        <f t="shared" si="5"/>
        <v>4.3812833725037841</v>
      </c>
    </row>
    <row r="112" spans="1:11" ht="13.9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0.63</v>
      </c>
      <c r="F112" s="2">
        <v>0.78</v>
      </c>
      <c r="G112" s="2">
        <v>1.25</v>
      </c>
      <c r="H112" s="2" t="e">
        <f t="shared" si="3"/>
        <v>#NUM!</v>
      </c>
      <c r="I112" s="2">
        <f t="shared" si="4"/>
        <v>8.9859020115631034E-3</v>
      </c>
      <c r="J112" s="2"/>
      <c r="K112" s="2" t="e">
        <f t="shared" si="5"/>
        <v>#NUM!</v>
      </c>
    </row>
    <row r="113" spans="1:11" ht="13.9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0.89</v>
      </c>
      <c r="G113" s="2">
        <v>0</v>
      </c>
      <c r="H113" s="2" t="e">
        <f t="shared" si="3"/>
        <v>#NUM!</v>
      </c>
      <c r="I113" s="2">
        <f t="shared" si="4"/>
        <v>0.37390096630005903</v>
      </c>
      <c r="J113" s="2"/>
      <c r="K113" s="2" t="e">
        <f t="shared" si="5"/>
        <v>#NUM!</v>
      </c>
    </row>
    <row r="114" spans="1:11" ht="13.9" x14ac:dyDescent="0.3">
      <c r="A114" s="2" t="s">
        <v>131</v>
      </c>
      <c r="B114" s="2">
        <v>0</v>
      </c>
      <c r="C114" s="2">
        <v>0</v>
      </c>
      <c r="D114" s="2">
        <v>0</v>
      </c>
      <c r="E114" s="2">
        <v>0.13</v>
      </c>
      <c r="F114" s="2">
        <v>0.55000000000000004</v>
      </c>
      <c r="G114" s="2">
        <v>0</v>
      </c>
      <c r="H114" s="2" t="e">
        <f t="shared" si="3"/>
        <v>#NUM!</v>
      </c>
      <c r="I114" s="2">
        <f t="shared" si="4"/>
        <v>0.24377266948579343</v>
      </c>
      <c r="J114" s="2"/>
      <c r="K114" s="2" t="e">
        <f t="shared" si="5"/>
        <v>#NUM!</v>
      </c>
    </row>
    <row r="115" spans="1:11" ht="13.9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0.63</v>
      </c>
      <c r="F115" s="2">
        <v>0.44</v>
      </c>
      <c r="G115" s="2">
        <v>0</v>
      </c>
      <c r="H115" s="2" t="e">
        <f t="shared" si="3"/>
        <v>#NUM!</v>
      </c>
      <c r="I115" s="2">
        <f t="shared" si="4"/>
        <v>0.1285044971232609</v>
      </c>
      <c r="J115" s="2"/>
      <c r="K115" s="2" t="e">
        <f t="shared" si="5"/>
        <v>#NUM!</v>
      </c>
    </row>
    <row r="116" spans="1:11" ht="13.9" x14ac:dyDescent="0.3">
      <c r="A116" s="2" t="s">
        <v>133</v>
      </c>
      <c r="B116" s="2">
        <v>12.06</v>
      </c>
      <c r="C116" s="2">
        <v>22.27</v>
      </c>
      <c r="D116" s="2">
        <v>4.67</v>
      </c>
      <c r="E116" s="2">
        <v>7.93</v>
      </c>
      <c r="F116" s="2">
        <v>6.65</v>
      </c>
      <c r="G116" s="2">
        <v>2.61</v>
      </c>
      <c r="H116" s="2">
        <f t="shared" si="3"/>
        <v>1.1819045791589118</v>
      </c>
      <c r="I116" s="2">
        <f t="shared" si="4"/>
        <v>0.24563451436141778</v>
      </c>
      <c r="J116" s="2"/>
      <c r="K116" s="2">
        <f t="shared" si="5"/>
        <v>5.2854022188622487</v>
      </c>
    </row>
    <row r="117" spans="1:11" ht="13.9" x14ac:dyDescent="0.3">
      <c r="A117" s="2" t="s">
        <v>134</v>
      </c>
      <c r="B117" s="2">
        <v>4.33</v>
      </c>
      <c r="C117" s="2">
        <v>0.87</v>
      </c>
      <c r="D117" s="2">
        <v>0</v>
      </c>
      <c r="E117" s="2">
        <v>12.59</v>
      </c>
      <c r="F117" s="2">
        <v>5.88</v>
      </c>
      <c r="G117" s="2">
        <v>5.79</v>
      </c>
      <c r="H117" s="2">
        <f t="shared" si="3"/>
        <v>-2.2219960220920556</v>
      </c>
      <c r="I117" s="2">
        <f t="shared" si="4"/>
        <v>7.175439487582444E-2</v>
      </c>
      <c r="J117" s="2"/>
      <c r="K117" s="2">
        <f t="shared" si="5"/>
        <v>2.37851162325373</v>
      </c>
    </row>
    <row r="118" spans="1:11" ht="13.9" x14ac:dyDescent="0.3">
      <c r="A118" s="2" t="s">
        <v>135</v>
      </c>
      <c r="B118" s="2">
        <v>39.07</v>
      </c>
      <c r="C118" s="2">
        <v>63.62</v>
      </c>
      <c r="D118" s="2">
        <v>28.27</v>
      </c>
      <c r="E118" s="2">
        <v>122.23</v>
      </c>
      <c r="F118" s="2">
        <v>63.42</v>
      </c>
      <c r="G118" s="2">
        <v>65.69</v>
      </c>
      <c r="H118" s="2">
        <f t="shared" si="3"/>
        <v>-0.94051406311352614</v>
      </c>
      <c r="I118" s="2">
        <f t="shared" si="4"/>
        <v>0.14079603952936393</v>
      </c>
      <c r="J118" s="2"/>
      <c r="K118" s="2">
        <f t="shared" si="5"/>
        <v>7.0329824166994284</v>
      </c>
    </row>
    <row r="119" spans="1:11" ht="13.9" x14ac:dyDescent="0.3">
      <c r="A119" s="2" t="s">
        <v>136</v>
      </c>
      <c r="B119" s="2">
        <v>906.79</v>
      </c>
      <c r="C119" s="2">
        <v>2020.22</v>
      </c>
      <c r="D119" s="2">
        <v>1235.95</v>
      </c>
      <c r="E119" s="2">
        <v>1551.2</v>
      </c>
      <c r="F119" s="2">
        <v>1842.54</v>
      </c>
      <c r="G119" s="2">
        <v>1395.19</v>
      </c>
      <c r="H119" s="2">
        <f t="shared" si="3"/>
        <v>-0.20209365145078143</v>
      </c>
      <c r="I119" s="2">
        <f t="shared" si="4"/>
        <v>0.58858870899221127</v>
      </c>
      <c r="J119" s="2"/>
      <c r="K119" s="2">
        <f t="shared" si="5"/>
        <v>12.023393981002608</v>
      </c>
    </row>
    <row r="120" spans="1:11" ht="13.9" x14ac:dyDescent="0.3">
      <c r="A120" s="2" t="s">
        <v>137</v>
      </c>
      <c r="B120" s="2">
        <v>9.44</v>
      </c>
      <c r="C120" s="2">
        <v>11.57</v>
      </c>
      <c r="D120" s="2">
        <v>26.71</v>
      </c>
      <c r="E120" s="2">
        <v>52.37</v>
      </c>
      <c r="F120" s="2">
        <v>44.8</v>
      </c>
      <c r="G120" s="2">
        <v>40.270000000000003</v>
      </c>
      <c r="H120" s="2">
        <f t="shared" si="3"/>
        <v>-1.5261359934432355</v>
      </c>
      <c r="I120" s="2">
        <f t="shared" si="4"/>
        <v>9.9261163162389712E-3</v>
      </c>
      <c r="J120" s="2"/>
      <c r="K120" s="2">
        <f t="shared" si="5"/>
        <v>5.5765221379205032</v>
      </c>
    </row>
    <row r="121" spans="1:11" ht="13.9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2.0099999999999998</v>
      </c>
      <c r="F121" s="2">
        <v>2.2200000000000002</v>
      </c>
      <c r="G121" s="2">
        <v>2.16</v>
      </c>
      <c r="H121" s="2" t="e">
        <f t="shared" si="3"/>
        <v>#NUM!</v>
      </c>
      <c r="I121" s="2">
        <f t="shared" si="4"/>
        <v>4.4083624419355822E-6</v>
      </c>
      <c r="J121" s="2"/>
      <c r="K121" s="2" t="e">
        <f t="shared" si="5"/>
        <v>#NUM!</v>
      </c>
    </row>
    <row r="122" spans="1:11" ht="13.9" x14ac:dyDescent="0.3">
      <c r="A122" s="2" t="s">
        <v>139</v>
      </c>
      <c r="B122" s="2">
        <v>488.2</v>
      </c>
      <c r="C122" s="2">
        <v>586.16999999999996</v>
      </c>
      <c r="D122" s="2">
        <v>548.22</v>
      </c>
      <c r="E122" s="2">
        <v>481.36</v>
      </c>
      <c r="F122" s="2">
        <v>331.1</v>
      </c>
      <c r="G122" s="2">
        <v>545.79999999999995</v>
      </c>
      <c r="H122" s="2">
        <f t="shared" si="3"/>
        <v>0.2565388335426384</v>
      </c>
      <c r="I122" s="2">
        <f t="shared" si="4"/>
        <v>0.27487963231398543</v>
      </c>
      <c r="J122" s="2"/>
      <c r="K122" s="2">
        <f t="shared" si="5"/>
        <v>10.664082786894287</v>
      </c>
    </row>
    <row r="123" spans="1:11" ht="13.9" x14ac:dyDescent="0.3">
      <c r="A123" s="2" t="s">
        <v>140</v>
      </c>
      <c r="B123" s="2">
        <v>180.52</v>
      </c>
      <c r="C123" s="2">
        <v>252.74</v>
      </c>
      <c r="D123" s="2">
        <v>337.64</v>
      </c>
      <c r="E123" s="2">
        <v>449.39</v>
      </c>
      <c r="F123" s="2">
        <v>244.39</v>
      </c>
      <c r="G123" s="2">
        <v>405.8</v>
      </c>
      <c r="H123" s="2">
        <f t="shared" si="3"/>
        <v>-0.51233693822634441</v>
      </c>
      <c r="I123" s="2">
        <f t="shared" si="4"/>
        <v>0.22851693231553916</v>
      </c>
      <c r="J123" s="2"/>
      <c r="K123" s="2">
        <f t="shared" si="5"/>
        <v>9.5903999177997328</v>
      </c>
    </row>
    <row r="124" spans="1:11" ht="13.9" x14ac:dyDescent="0.3">
      <c r="A124" s="2" t="s">
        <v>141</v>
      </c>
      <c r="B124" s="2">
        <v>17685.14</v>
      </c>
      <c r="C124" s="2">
        <v>21037.05</v>
      </c>
      <c r="D124" s="2">
        <v>19080.2</v>
      </c>
      <c r="E124" s="2">
        <v>37289.800000000003</v>
      </c>
      <c r="F124" s="2">
        <v>31030.3</v>
      </c>
      <c r="G124" s="2">
        <v>38207.480000000003</v>
      </c>
      <c r="H124" s="2">
        <f t="shared" si="3"/>
        <v>-0.88202594138968982</v>
      </c>
      <c r="I124" s="2">
        <f t="shared" si="4"/>
        <v>2.7092978298347671E-3</v>
      </c>
      <c r="J124" s="2"/>
      <c r="K124" s="2">
        <f t="shared" si="5"/>
        <v>15.81884152573323</v>
      </c>
    </row>
    <row r="125" spans="1:11" ht="13.9" x14ac:dyDescent="0.3">
      <c r="A125" s="2" t="s">
        <v>142</v>
      </c>
      <c r="B125" s="2">
        <v>31.07</v>
      </c>
      <c r="C125" s="2">
        <v>32.68</v>
      </c>
      <c r="D125" s="2">
        <v>19.190000000000001</v>
      </c>
      <c r="E125" s="2">
        <v>7.43</v>
      </c>
      <c r="F125" s="2">
        <v>2.33</v>
      </c>
      <c r="G125" s="2">
        <v>6.47</v>
      </c>
      <c r="H125" s="2">
        <f t="shared" si="3"/>
        <v>2.3534050473579899</v>
      </c>
      <c r="I125" s="2">
        <f t="shared" si="4"/>
        <v>8.0088845136886619E-3</v>
      </c>
      <c r="J125" s="2"/>
      <c r="K125" s="2">
        <f t="shared" si="5"/>
        <v>6.3739961421312366</v>
      </c>
    </row>
    <row r="126" spans="1:11" ht="13.9" x14ac:dyDescent="0.3">
      <c r="A126" s="2" t="s">
        <v>143</v>
      </c>
      <c r="B126" s="2">
        <v>0</v>
      </c>
      <c r="C126" s="2">
        <v>0</v>
      </c>
      <c r="D126" s="2">
        <v>0.26</v>
      </c>
      <c r="E126" s="2">
        <v>0.13</v>
      </c>
      <c r="F126" s="2">
        <v>0</v>
      </c>
      <c r="G126" s="2">
        <v>0</v>
      </c>
      <c r="H126" s="2">
        <f t="shared" si="3"/>
        <v>1</v>
      </c>
      <c r="I126" s="2">
        <f t="shared" si="4"/>
        <v>0.67786882869924914</v>
      </c>
      <c r="J126" s="2"/>
      <c r="K126" s="2">
        <f t="shared" si="5"/>
        <v>-1.9434164716336324</v>
      </c>
    </row>
    <row r="127" spans="1:11" ht="13.9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0.38</v>
      </c>
      <c r="F127" s="2">
        <v>1.55</v>
      </c>
      <c r="G127" s="2">
        <v>0.56999999999999995</v>
      </c>
      <c r="H127" s="2" t="e">
        <f t="shared" si="3"/>
        <v>#NUM!</v>
      </c>
      <c r="I127" s="2">
        <f t="shared" si="4"/>
        <v>8.3047867091354907E-2</v>
      </c>
      <c r="J127" s="2"/>
      <c r="K127" s="2" t="e">
        <f t="shared" si="5"/>
        <v>#NUM!</v>
      </c>
    </row>
    <row r="128" spans="1:11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3"/>
        <v>#DIV/0!</v>
      </c>
      <c r="I128" s="2" t="e">
        <f t="shared" si="4"/>
        <v>#DIV/0!</v>
      </c>
      <c r="J128" s="2"/>
      <c r="K128" s="2" t="e">
        <f t="shared" si="5"/>
        <v>#NUM!</v>
      </c>
    </row>
    <row r="129" spans="1:11" ht="13.9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0.88</v>
      </c>
      <c r="F129" s="2">
        <v>0</v>
      </c>
      <c r="G129" s="2">
        <v>0</v>
      </c>
      <c r="H129" s="2" t="e">
        <f t="shared" si="3"/>
        <v>#NUM!</v>
      </c>
      <c r="I129" s="2">
        <f t="shared" si="4"/>
        <v>0.37390096630005903</v>
      </c>
      <c r="J129" s="2"/>
      <c r="K129" s="2" t="e">
        <f t="shared" si="5"/>
        <v>#NUM!</v>
      </c>
    </row>
    <row r="130" spans="1:11" ht="13.9" x14ac:dyDescent="0.3">
      <c r="A130" s="2" t="s">
        <v>147</v>
      </c>
      <c r="B130" s="2">
        <v>302.95999999999998</v>
      </c>
      <c r="C130" s="2">
        <v>240.02</v>
      </c>
      <c r="D130" s="2">
        <v>149.63</v>
      </c>
      <c r="E130" s="2">
        <v>817.83</v>
      </c>
      <c r="F130" s="2">
        <v>876.31</v>
      </c>
      <c r="G130" s="2">
        <v>687.84</v>
      </c>
      <c r="H130" s="2">
        <f t="shared" ref="H130:H193" si="6">LOG(SUM(B130:D130)/SUM(E130:G130),2)</f>
        <v>-1.7820461772118583</v>
      </c>
      <c r="I130" s="2">
        <f t="shared" ref="I130:I193" si="7">_xlfn.T.TEST(B130:D130,E130:G130,2,2)</f>
        <v>1.3893500876329605E-3</v>
      </c>
      <c r="J130" s="2"/>
      <c r="K130" s="2">
        <f t="shared" si="5"/>
        <v>9.4358994072929132</v>
      </c>
    </row>
    <row r="131" spans="1:11" ht="13.9" x14ac:dyDescent="0.3">
      <c r="A131" s="2" t="s">
        <v>148</v>
      </c>
      <c r="B131" s="2">
        <v>0.13</v>
      </c>
      <c r="C131" s="2">
        <v>8.68</v>
      </c>
      <c r="D131" s="2">
        <v>0</v>
      </c>
      <c r="E131" s="2">
        <v>7.05</v>
      </c>
      <c r="F131" s="2">
        <v>2.88</v>
      </c>
      <c r="G131" s="2">
        <v>2.95</v>
      </c>
      <c r="H131" s="2">
        <f t="shared" si="6"/>
        <v>-0.54791866919420329</v>
      </c>
      <c r="I131" s="2">
        <f t="shared" si="7"/>
        <v>0.692115385912494</v>
      </c>
      <c r="J131" s="2"/>
      <c r="K131" s="2">
        <f t="shared" ref="K131:K194" si="8">LOG(SUM(B131:D131),2)</f>
        <v>3.1391420191456891</v>
      </c>
    </row>
    <row r="132" spans="1:11" ht="13.9" x14ac:dyDescent="0.3">
      <c r="A132" s="2" t="s">
        <v>149</v>
      </c>
      <c r="B132" s="2">
        <v>4968.68</v>
      </c>
      <c r="C132" s="2">
        <v>5582.06</v>
      </c>
      <c r="D132" s="2">
        <v>3309.26</v>
      </c>
      <c r="E132" s="2">
        <v>15658.25</v>
      </c>
      <c r="F132" s="2">
        <v>15752.1</v>
      </c>
      <c r="G132" s="2">
        <v>14630.53</v>
      </c>
      <c r="H132" s="2">
        <f t="shared" si="6"/>
        <v>-1.7319881511362623</v>
      </c>
      <c r="I132" s="2">
        <f t="shared" si="7"/>
        <v>1.5244871151542553E-4</v>
      </c>
      <c r="J132" s="2"/>
      <c r="K132" s="2">
        <f t="shared" si="8"/>
        <v>13.758639637024578</v>
      </c>
    </row>
    <row r="133" spans="1:11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6"/>
        <v>#DIV/0!</v>
      </c>
      <c r="I133" s="2" t="e">
        <f t="shared" si="7"/>
        <v>#DIV/0!</v>
      </c>
      <c r="J133" s="2"/>
      <c r="K133" s="2" t="e">
        <f t="shared" si="8"/>
        <v>#NUM!</v>
      </c>
    </row>
    <row r="134" spans="1:11" ht="13.9" x14ac:dyDescent="0.3">
      <c r="A134" s="2" t="s">
        <v>151</v>
      </c>
      <c r="B134" s="2">
        <v>111493.66</v>
      </c>
      <c r="C134" s="2">
        <v>203233.22</v>
      </c>
      <c r="D134" s="2">
        <v>71595.86</v>
      </c>
      <c r="E134" s="2">
        <v>460161.67</v>
      </c>
      <c r="F134" s="2">
        <v>475799.58</v>
      </c>
      <c r="G134" s="2">
        <v>509770.63</v>
      </c>
      <c r="H134" s="2">
        <f t="shared" si="6"/>
        <v>-1.9039215141877794</v>
      </c>
      <c r="I134" s="2">
        <f t="shared" si="7"/>
        <v>1.0588411540386963E-3</v>
      </c>
      <c r="J134" s="2"/>
      <c r="K134" s="2">
        <f t="shared" si="8"/>
        <v>18.559447075433162</v>
      </c>
    </row>
    <row r="135" spans="1:11" ht="13.9" x14ac:dyDescent="0.3">
      <c r="A135" s="2" t="s">
        <v>152</v>
      </c>
      <c r="B135" s="2">
        <v>0</v>
      </c>
      <c r="C135" s="2">
        <v>3.76</v>
      </c>
      <c r="D135" s="2">
        <v>0</v>
      </c>
      <c r="E135" s="2">
        <v>0</v>
      </c>
      <c r="F135" s="2">
        <v>1</v>
      </c>
      <c r="G135" s="2">
        <v>0.34</v>
      </c>
      <c r="H135" s="2">
        <f t="shared" si="6"/>
        <v>1.4884996612198649</v>
      </c>
      <c r="I135" s="2">
        <f t="shared" si="7"/>
        <v>0.56487200418789607</v>
      </c>
      <c r="J135" s="2"/>
      <c r="K135" s="2">
        <f t="shared" si="8"/>
        <v>1.9107326619029126</v>
      </c>
    </row>
    <row r="136" spans="1:11" ht="13.9" x14ac:dyDescent="0.3">
      <c r="A136" s="2" t="s">
        <v>153</v>
      </c>
      <c r="B136" s="2">
        <v>850.29</v>
      </c>
      <c r="C136" s="2">
        <v>2011.25</v>
      </c>
      <c r="D136" s="2">
        <v>842.55</v>
      </c>
      <c r="E136" s="2">
        <v>1582.04</v>
      </c>
      <c r="F136" s="2">
        <v>1624.87</v>
      </c>
      <c r="G136" s="2">
        <v>1328.03</v>
      </c>
      <c r="H136" s="2">
        <f t="shared" si="6"/>
        <v>-0.29196431029440006</v>
      </c>
      <c r="I136" s="2">
        <f t="shared" si="7"/>
        <v>0.52599427322725623</v>
      </c>
      <c r="J136" s="2"/>
      <c r="K136" s="2">
        <f t="shared" si="8"/>
        <v>11.854903437519482</v>
      </c>
    </row>
    <row r="137" spans="1:11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 t="e">
        <f t="shared" si="6"/>
        <v>#DIV/0!</v>
      </c>
      <c r="I137" s="2" t="e">
        <f t="shared" si="7"/>
        <v>#DIV/0!</v>
      </c>
      <c r="J137" s="2"/>
      <c r="K137" s="2" t="e">
        <f t="shared" si="8"/>
        <v>#NUM!</v>
      </c>
    </row>
    <row r="138" spans="1:11" ht="13.9" x14ac:dyDescent="0.3">
      <c r="A138" s="2" t="s">
        <v>155</v>
      </c>
      <c r="B138" s="2">
        <v>49.16</v>
      </c>
      <c r="C138" s="2">
        <v>57.26</v>
      </c>
      <c r="D138" s="2">
        <v>48.49</v>
      </c>
      <c r="E138" s="2">
        <v>91.26</v>
      </c>
      <c r="F138" s="2">
        <v>86.71</v>
      </c>
      <c r="G138" s="2">
        <v>68.75</v>
      </c>
      <c r="H138" s="2">
        <f t="shared" si="6"/>
        <v>-0.67144439205641859</v>
      </c>
      <c r="I138" s="2">
        <f t="shared" si="7"/>
        <v>1.4607114202482599E-2</v>
      </c>
      <c r="J138" s="2"/>
      <c r="K138" s="2">
        <f t="shared" si="8"/>
        <v>7.2752864680838911</v>
      </c>
    </row>
    <row r="139" spans="1:11" ht="13.9" x14ac:dyDescent="0.3">
      <c r="A139" s="2" t="s">
        <v>156</v>
      </c>
      <c r="B139" s="2">
        <v>3179.48</v>
      </c>
      <c r="C139" s="2">
        <v>8459.41</v>
      </c>
      <c r="D139" s="2">
        <v>2419.5100000000002</v>
      </c>
      <c r="E139" s="2">
        <v>1159.3399999999999</v>
      </c>
      <c r="F139" s="2">
        <v>1439.81</v>
      </c>
      <c r="G139" s="2">
        <v>788.58</v>
      </c>
      <c r="H139" s="2">
        <f t="shared" si="6"/>
        <v>2.0530416067897694</v>
      </c>
      <c r="I139" s="2">
        <f t="shared" si="7"/>
        <v>0.13584532654305193</v>
      </c>
      <c r="J139" s="2"/>
      <c r="K139" s="2">
        <f t="shared" si="8"/>
        <v>13.779144788795172</v>
      </c>
    </row>
    <row r="140" spans="1:11" ht="13.9" x14ac:dyDescent="0.3">
      <c r="A140" s="2" t="s">
        <v>157</v>
      </c>
      <c r="B140" s="2">
        <v>1186.95</v>
      </c>
      <c r="C140" s="2">
        <v>1923.34</v>
      </c>
      <c r="D140" s="2">
        <v>641.57000000000005</v>
      </c>
      <c r="E140" s="2">
        <v>5972.17</v>
      </c>
      <c r="F140" s="2">
        <v>5366.06</v>
      </c>
      <c r="G140" s="2">
        <v>3976.48</v>
      </c>
      <c r="H140" s="2">
        <f t="shared" si="6"/>
        <v>-2.0292401482037969</v>
      </c>
      <c r="I140" s="2">
        <f t="shared" si="7"/>
        <v>5.2458201357452796E-3</v>
      </c>
      <c r="J140" s="2"/>
      <c r="K140" s="2">
        <f t="shared" si="8"/>
        <v>11.873390279606514</v>
      </c>
    </row>
    <row r="141" spans="1:11" ht="13.9" x14ac:dyDescent="0.3">
      <c r="A141" s="2" t="s">
        <v>158</v>
      </c>
      <c r="B141" s="2">
        <v>11.54</v>
      </c>
      <c r="C141" s="2">
        <v>9.25</v>
      </c>
      <c r="D141" s="2">
        <v>19.71</v>
      </c>
      <c r="E141" s="2">
        <v>21.53</v>
      </c>
      <c r="F141" s="2">
        <v>10.76</v>
      </c>
      <c r="G141" s="2">
        <v>8.4</v>
      </c>
      <c r="H141" s="2">
        <f t="shared" si="6"/>
        <v>-6.7523724143610381E-3</v>
      </c>
      <c r="I141" s="2">
        <f t="shared" si="7"/>
        <v>0.99075721233820446</v>
      </c>
      <c r="J141" s="2"/>
      <c r="K141" s="2">
        <f t="shared" si="8"/>
        <v>5.3398500028846243</v>
      </c>
    </row>
    <row r="142" spans="1:11" ht="13.9" x14ac:dyDescent="0.3">
      <c r="A142" s="2" t="s">
        <v>159</v>
      </c>
      <c r="B142" s="2">
        <v>11.54</v>
      </c>
      <c r="C142" s="2">
        <v>9.25</v>
      </c>
      <c r="D142" s="2">
        <v>19.71</v>
      </c>
      <c r="E142" s="2">
        <v>21.53</v>
      </c>
      <c r="F142" s="2">
        <v>10.76</v>
      </c>
      <c r="G142" s="2">
        <v>8.4</v>
      </c>
      <c r="H142" s="2">
        <f t="shared" si="6"/>
        <v>-6.7523724143610381E-3</v>
      </c>
      <c r="I142" s="2">
        <f t="shared" si="7"/>
        <v>0.99075721233820446</v>
      </c>
      <c r="J142" s="2"/>
      <c r="K142" s="2">
        <f t="shared" si="8"/>
        <v>5.3398500028846243</v>
      </c>
    </row>
    <row r="143" spans="1:11" ht="13.9" x14ac:dyDescent="0.3">
      <c r="A143" s="2" t="s">
        <v>160</v>
      </c>
      <c r="B143" s="2">
        <v>62.53</v>
      </c>
      <c r="C143" s="2">
        <v>65.930000000000007</v>
      </c>
      <c r="D143" s="2">
        <v>34.75</v>
      </c>
      <c r="E143" s="2">
        <v>211.1</v>
      </c>
      <c r="F143" s="2">
        <v>216.44</v>
      </c>
      <c r="G143" s="2">
        <v>162.68</v>
      </c>
      <c r="H143" s="2">
        <f t="shared" si="6"/>
        <v>-1.8545233532533243</v>
      </c>
      <c r="I143" s="2">
        <f t="shared" si="7"/>
        <v>1.9637121710870255E-3</v>
      </c>
      <c r="J143" s="2"/>
      <c r="K143" s="2">
        <f t="shared" si="8"/>
        <v>7.3505856448073246</v>
      </c>
    </row>
    <row r="144" spans="1:11" ht="13.9" x14ac:dyDescent="0.3">
      <c r="A144" s="2" t="s">
        <v>161</v>
      </c>
      <c r="B144" s="2">
        <v>0</v>
      </c>
      <c r="C144" s="2">
        <v>11.57</v>
      </c>
      <c r="D144" s="2">
        <v>0</v>
      </c>
      <c r="E144" s="2">
        <v>0.13</v>
      </c>
      <c r="F144" s="2">
        <v>0</v>
      </c>
      <c r="G144" s="2">
        <v>0.91</v>
      </c>
      <c r="H144" s="2">
        <f t="shared" si="6"/>
        <v>3.4757334309663976</v>
      </c>
      <c r="I144" s="2">
        <f t="shared" si="7"/>
        <v>0.41539915258624599</v>
      </c>
      <c r="J144" s="2"/>
      <c r="K144" s="2">
        <f t="shared" si="8"/>
        <v>3.532316959332765</v>
      </c>
    </row>
    <row r="145" spans="1:11" ht="13.9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0.89</v>
      </c>
      <c r="G145" s="2">
        <v>0</v>
      </c>
      <c r="H145" s="2" t="e">
        <f t="shared" si="6"/>
        <v>#NUM!</v>
      </c>
      <c r="I145" s="2">
        <f t="shared" si="7"/>
        <v>0.37390096630005903</v>
      </c>
      <c r="J145" s="2"/>
      <c r="K145" s="2" t="e">
        <f t="shared" si="8"/>
        <v>#NUM!</v>
      </c>
    </row>
    <row r="146" spans="1:11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6"/>
        <v>#DIV/0!</v>
      </c>
      <c r="I146" s="2" t="e">
        <f t="shared" si="7"/>
        <v>#DIV/0!</v>
      </c>
      <c r="J146" s="2"/>
      <c r="K146" s="2" t="e">
        <f t="shared" si="8"/>
        <v>#NUM!</v>
      </c>
    </row>
    <row r="147" spans="1:11" ht="13.9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0.11</v>
      </c>
      <c r="G147" s="2">
        <v>0.45</v>
      </c>
      <c r="H147" s="2" t="e">
        <f t="shared" si="6"/>
        <v>#NUM!</v>
      </c>
      <c r="I147" s="2">
        <f t="shared" si="7"/>
        <v>0.24020962511427801</v>
      </c>
      <c r="J147" s="2"/>
      <c r="K147" s="2" t="e">
        <f t="shared" si="8"/>
        <v>#NUM!</v>
      </c>
    </row>
    <row r="148" spans="1:11" ht="13.9" x14ac:dyDescent="0.3">
      <c r="A148" s="2" t="s">
        <v>165</v>
      </c>
      <c r="B148" s="2">
        <v>233.88</v>
      </c>
      <c r="C148" s="2">
        <v>296.12</v>
      </c>
      <c r="D148" s="2">
        <v>180.23</v>
      </c>
      <c r="E148" s="2">
        <v>775.91</v>
      </c>
      <c r="F148" s="2">
        <v>999.05</v>
      </c>
      <c r="G148" s="2">
        <v>604.34</v>
      </c>
      <c r="H148" s="2">
        <f t="shared" si="6"/>
        <v>-1.7441789830867167</v>
      </c>
      <c r="I148" s="2">
        <f t="shared" si="7"/>
        <v>9.5010241491624396E-3</v>
      </c>
      <c r="J148" s="2"/>
      <c r="K148" s="2">
        <f t="shared" si="8"/>
        <v>9.4721424906251972</v>
      </c>
    </row>
    <row r="149" spans="1:11" ht="13.9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0.13</v>
      </c>
      <c r="F149" s="2">
        <v>0</v>
      </c>
      <c r="G149" s="2">
        <v>0</v>
      </c>
      <c r="H149" s="2" t="e">
        <f t="shared" si="6"/>
        <v>#NUM!</v>
      </c>
      <c r="I149" s="2">
        <f t="shared" si="7"/>
        <v>0.37390096630005903</v>
      </c>
      <c r="J149" s="2"/>
      <c r="K149" s="2" t="e">
        <f t="shared" si="8"/>
        <v>#NUM!</v>
      </c>
    </row>
    <row r="150" spans="1:11" ht="13.9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6"/>
        <v>#DIV/0!</v>
      </c>
      <c r="I150" s="2" t="e">
        <f t="shared" si="7"/>
        <v>#DIV/0!</v>
      </c>
      <c r="J150" s="2"/>
      <c r="K150" s="2" t="e">
        <f t="shared" si="8"/>
        <v>#NUM!</v>
      </c>
    </row>
    <row r="151" spans="1:11" ht="13.9" x14ac:dyDescent="0.3">
      <c r="A151" s="2" t="s">
        <v>168</v>
      </c>
      <c r="B151" s="2">
        <v>7.34</v>
      </c>
      <c r="C151" s="2">
        <v>23.13</v>
      </c>
      <c r="D151" s="2">
        <v>35.53</v>
      </c>
      <c r="E151" s="2">
        <v>7.43</v>
      </c>
      <c r="F151" s="2">
        <v>10.31</v>
      </c>
      <c r="G151" s="2">
        <v>7.83</v>
      </c>
      <c r="H151" s="2">
        <f t="shared" si="6"/>
        <v>1.3680138638915293</v>
      </c>
      <c r="I151" s="2">
        <f t="shared" si="7"/>
        <v>0.17591186989064511</v>
      </c>
      <c r="J151" s="2"/>
      <c r="K151" s="2">
        <f t="shared" si="8"/>
        <v>6.0443941193584534</v>
      </c>
    </row>
    <row r="152" spans="1:11" ht="13.9" x14ac:dyDescent="0.3">
      <c r="A152" s="2" t="s">
        <v>169</v>
      </c>
      <c r="B152" s="2">
        <v>7.34</v>
      </c>
      <c r="C152" s="2">
        <v>0</v>
      </c>
      <c r="D152" s="2">
        <v>0</v>
      </c>
      <c r="E152" s="2">
        <v>1.89</v>
      </c>
      <c r="F152" s="2">
        <v>2.77</v>
      </c>
      <c r="G152" s="2">
        <v>4.42</v>
      </c>
      <c r="H152" s="2">
        <f t="shared" si="6"/>
        <v>-0.30691223444770227</v>
      </c>
      <c r="I152" s="2">
        <f t="shared" si="7"/>
        <v>0.83165035055938941</v>
      </c>
      <c r="J152" s="2"/>
      <c r="K152" s="2">
        <f t="shared" si="8"/>
        <v>2.8757800630684884</v>
      </c>
    </row>
    <row r="153" spans="1:11" ht="13.9" x14ac:dyDescent="0.3">
      <c r="A153" s="2" t="s">
        <v>170</v>
      </c>
      <c r="B153" s="2">
        <v>25.17</v>
      </c>
      <c r="C153" s="2">
        <v>28.63</v>
      </c>
      <c r="D153" s="2">
        <v>49.79</v>
      </c>
      <c r="E153" s="2">
        <v>6.29</v>
      </c>
      <c r="F153" s="2">
        <v>6.1</v>
      </c>
      <c r="G153" s="2">
        <v>4.3099999999999996</v>
      </c>
      <c r="H153" s="2">
        <f t="shared" si="6"/>
        <v>2.6329647322131282</v>
      </c>
      <c r="I153" s="2">
        <f t="shared" si="7"/>
        <v>1.9924795338216322E-2</v>
      </c>
      <c r="J153" s="2"/>
      <c r="K153" s="2">
        <f t="shared" si="8"/>
        <v>6.6947409297998188</v>
      </c>
    </row>
    <row r="154" spans="1:11" ht="13.9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0.13</v>
      </c>
      <c r="F154" s="2">
        <v>0</v>
      </c>
      <c r="G154" s="2">
        <v>0</v>
      </c>
      <c r="H154" s="2" t="e">
        <f t="shared" si="6"/>
        <v>#NUM!</v>
      </c>
      <c r="I154" s="2">
        <f t="shared" si="7"/>
        <v>0.37390096630005903</v>
      </c>
      <c r="J154" s="2"/>
      <c r="K154" s="2" t="e">
        <f t="shared" si="8"/>
        <v>#NUM!</v>
      </c>
    </row>
    <row r="155" spans="1:11" ht="13.9" x14ac:dyDescent="0.3">
      <c r="A155" s="2" t="s">
        <v>172</v>
      </c>
      <c r="B155" s="2">
        <v>0.13</v>
      </c>
      <c r="C155" s="2">
        <v>0</v>
      </c>
      <c r="D155" s="2">
        <v>0</v>
      </c>
      <c r="E155" s="2">
        <v>1.76</v>
      </c>
      <c r="F155" s="2">
        <v>1.66</v>
      </c>
      <c r="G155" s="2">
        <v>2.95</v>
      </c>
      <c r="H155" s="2">
        <f t="shared" si="6"/>
        <v>-5.6147098441152083</v>
      </c>
      <c r="I155" s="2">
        <f t="shared" si="7"/>
        <v>7.5287131437507034E-3</v>
      </c>
      <c r="J155" s="2"/>
      <c r="K155" s="2">
        <f t="shared" si="8"/>
        <v>-2.9434164716336326</v>
      </c>
    </row>
    <row r="156" spans="1:11" ht="13.9" x14ac:dyDescent="0.3">
      <c r="A156" s="2" t="s">
        <v>173</v>
      </c>
      <c r="B156" s="2">
        <v>195.6</v>
      </c>
      <c r="C156" s="2">
        <v>383.16</v>
      </c>
      <c r="D156" s="2">
        <v>278.77999999999997</v>
      </c>
      <c r="E156" s="2">
        <v>145.52000000000001</v>
      </c>
      <c r="F156" s="2">
        <v>141.82</v>
      </c>
      <c r="G156" s="2">
        <v>122.86</v>
      </c>
      <c r="H156" s="2">
        <f t="shared" si="6"/>
        <v>1.0638764756259622</v>
      </c>
      <c r="I156" s="2">
        <f t="shared" si="7"/>
        <v>5.2688702084236878E-2</v>
      </c>
      <c r="J156" s="2"/>
      <c r="K156" s="2">
        <f t="shared" si="8"/>
        <v>9.7440601572184526</v>
      </c>
    </row>
    <row r="157" spans="1:11" ht="13.9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</v>
      </c>
      <c r="F157" s="2">
        <v>0.55000000000000004</v>
      </c>
      <c r="G157" s="2">
        <v>0</v>
      </c>
      <c r="H157" s="2" t="e">
        <f t="shared" si="6"/>
        <v>#NUM!</v>
      </c>
      <c r="I157" s="2">
        <f t="shared" si="7"/>
        <v>0.37390096630005903</v>
      </c>
      <c r="J157" s="2"/>
      <c r="K157" s="2" t="e">
        <f t="shared" si="8"/>
        <v>#NUM!</v>
      </c>
    </row>
    <row r="158" spans="1:11" ht="13.9" x14ac:dyDescent="0.3">
      <c r="A158" s="2" t="s">
        <v>175</v>
      </c>
      <c r="B158" s="2">
        <v>14.03</v>
      </c>
      <c r="C158" s="2">
        <v>17.059999999999999</v>
      </c>
      <c r="D158" s="2">
        <v>17.89</v>
      </c>
      <c r="E158" s="2">
        <v>10.32</v>
      </c>
      <c r="F158" s="2">
        <v>15.52</v>
      </c>
      <c r="G158" s="2">
        <v>8.0500000000000007</v>
      </c>
      <c r="H158" s="2">
        <f t="shared" si="6"/>
        <v>0.53133313707998375</v>
      </c>
      <c r="I158" s="2">
        <f t="shared" si="7"/>
        <v>0.11484471847111179</v>
      </c>
      <c r="J158" s="2"/>
      <c r="K158" s="2">
        <f t="shared" si="8"/>
        <v>5.6141208687892536</v>
      </c>
    </row>
    <row r="159" spans="1:11" ht="13.9" x14ac:dyDescent="0.3">
      <c r="A159" s="2" t="s">
        <v>176</v>
      </c>
      <c r="B159" s="2">
        <v>0</v>
      </c>
      <c r="C159" s="2">
        <v>1.1599999999999999</v>
      </c>
      <c r="D159" s="2">
        <v>0</v>
      </c>
      <c r="E159" s="2">
        <v>0.63</v>
      </c>
      <c r="F159" s="2">
        <v>1.33</v>
      </c>
      <c r="G159" s="2">
        <v>1.47</v>
      </c>
      <c r="H159" s="2">
        <f t="shared" si="6"/>
        <v>-1.5640837710452404</v>
      </c>
      <c r="I159" s="2">
        <f t="shared" si="7"/>
        <v>0.17964648185590121</v>
      </c>
      <c r="J159" s="2"/>
      <c r="K159" s="2">
        <f t="shared" si="8"/>
        <v>0.21412480535284734</v>
      </c>
    </row>
    <row r="160" spans="1:11" ht="13.9" x14ac:dyDescent="0.3">
      <c r="A160" s="2" t="s">
        <v>177</v>
      </c>
      <c r="B160" s="2">
        <v>0</v>
      </c>
      <c r="C160" s="2">
        <v>4.63</v>
      </c>
      <c r="D160" s="2">
        <v>0</v>
      </c>
      <c r="E160" s="2">
        <v>0.38</v>
      </c>
      <c r="F160" s="2">
        <v>0.55000000000000004</v>
      </c>
      <c r="G160" s="2">
        <v>0</v>
      </c>
      <c r="H160" s="2">
        <f t="shared" si="6"/>
        <v>2.3157095721522047</v>
      </c>
      <c r="I160" s="2">
        <f t="shared" si="7"/>
        <v>0.47125624754369622</v>
      </c>
      <c r="J160" s="2"/>
      <c r="K160" s="2">
        <f t="shared" si="8"/>
        <v>2.2110121934855118</v>
      </c>
    </row>
    <row r="161" spans="1:11" ht="13.9" x14ac:dyDescent="0.3">
      <c r="A161" s="2" t="s">
        <v>178</v>
      </c>
      <c r="B161" s="2">
        <v>0.26</v>
      </c>
      <c r="C161" s="2">
        <v>0</v>
      </c>
      <c r="D161" s="2">
        <v>0</v>
      </c>
      <c r="E161" s="2">
        <v>0.63</v>
      </c>
      <c r="F161" s="2">
        <v>1.33</v>
      </c>
      <c r="G161" s="2">
        <v>0.11</v>
      </c>
      <c r="H161" s="2">
        <f t="shared" si="6"/>
        <v>-2.9930472393582335</v>
      </c>
      <c r="I161" s="2">
        <f t="shared" si="7"/>
        <v>0.17269133939210465</v>
      </c>
      <c r="J161" s="2"/>
      <c r="K161" s="2">
        <f t="shared" si="8"/>
        <v>-1.9434164716336324</v>
      </c>
    </row>
    <row r="162" spans="1:11" ht="13.9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0.63</v>
      </c>
      <c r="F162" s="2">
        <v>0</v>
      </c>
      <c r="G162" s="2">
        <v>0</v>
      </c>
      <c r="H162" s="2" t="e">
        <f t="shared" si="6"/>
        <v>#NUM!</v>
      </c>
      <c r="I162" s="2">
        <f t="shared" si="7"/>
        <v>0.37390096630005903</v>
      </c>
      <c r="J162" s="2"/>
      <c r="K162" s="2" t="e">
        <f t="shared" si="8"/>
        <v>#NUM!</v>
      </c>
    </row>
    <row r="163" spans="1:11" ht="13.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6"/>
        <v>#DIV/0!</v>
      </c>
      <c r="I163" s="2" t="e">
        <f t="shared" si="7"/>
        <v>#DIV/0!</v>
      </c>
      <c r="J163" s="2"/>
      <c r="K163" s="2" t="e">
        <f t="shared" si="8"/>
        <v>#NUM!</v>
      </c>
    </row>
    <row r="164" spans="1:11" ht="13.9" x14ac:dyDescent="0.3">
      <c r="A164" s="2" t="s">
        <v>181</v>
      </c>
      <c r="B164" s="2">
        <v>2.1</v>
      </c>
      <c r="C164" s="2">
        <v>0</v>
      </c>
      <c r="D164" s="2">
        <v>0.26</v>
      </c>
      <c r="E164" s="2">
        <v>3.65</v>
      </c>
      <c r="F164" s="2">
        <v>5.21</v>
      </c>
      <c r="G164" s="2">
        <v>0.56999999999999995</v>
      </c>
      <c r="H164" s="2">
        <f t="shared" si="6"/>
        <v>-1.9984709113132553</v>
      </c>
      <c r="I164" s="2">
        <f t="shared" si="7"/>
        <v>0.19478786364971881</v>
      </c>
      <c r="J164" s="2"/>
      <c r="K164" s="2">
        <f t="shared" si="8"/>
        <v>1.2387868595871168</v>
      </c>
    </row>
    <row r="165" spans="1:11" ht="13.9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0.11</v>
      </c>
      <c r="H165" s="2" t="e">
        <f t="shared" si="6"/>
        <v>#NUM!</v>
      </c>
      <c r="I165" s="2">
        <f t="shared" si="7"/>
        <v>0.37390096630005903</v>
      </c>
      <c r="J165" s="2"/>
      <c r="K165" s="2" t="e">
        <f t="shared" si="8"/>
        <v>#NUM!</v>
      </c>
    </row>
    <row r="166" spans="1:11" ht="13.9" x14ac:dyDescent="0.3">
      <c r="A166" s="2" t="s">
        <v>183</v>
      </c>
      <c r="B166" s="2">
        <v>453.72</v>
      </c>
      <c r="C166" s="2">
        <v>447.94</v>
      </c>
      <c r="D166" s="2">
        <v>307.56</v>
      </c>
      <c r="E166" s="2">
        <v>1791.75</v>
      </c>
      <c r="F166" s="2">
        <v>1305.75</v>
      </c>
      <c r="G166" s="2">
        <v>1471.08</v>
      </c>
      <c r="H166" s="2">
        <f t="shared" si="6"/>
        <v>-1.9176690725339225</v>
      </c>
      <c r="I166" s="2">
        <f t="shared" si="7"/>
        <v>1.7405981155387E-3</v>
      </c>
      <c r="J166" s="2"/>
      <c r="K166" s="2">
        <f t="shared" si="8"/>
        <v>10.239861030518547</v>
      </c>
    </row>
    <row r="167" spans="1:11" ht="13.9" x14ac:dyDescent="0.3">
      <c r="A167" s="2" t="s">
        <v>184</v>
      </c>
      <c r="B167" s="2">
        <v>5.77</v>
      </c>
      <c r="C167" s="2">
        <v>5.78</v>
      </c>
      <c r="D167" s="2">
        <v>5.45</v>
      </c>
      <c r="E167" s="2">
        <v>1.64</v>
      </c>
      <c r="F167" s="2">
        <v>0.78</v>
      </c>
      <c r="G167" s="2">
        <v>0.68</v>
      </c>
      <c r="H167" s="2">
        <f t="shared" si="6"/>
        <v>2.4551946257508264</v>
      </c>
      <c r="I167" s="2">
        <f t="shared" si="7"/>
        <v>1.3790265538858934E-4</v>
      </c>
      <c r="J167" s="2"/>
      <c r="K167" s="2">
        <f t="shared" si="8"/>
        <v>4.08746284125034</v>
      </c>
    </row>
    <row r="168" spans="1:11" ht="13.9" x14ac:dyDescent="0.3">
      <c r="A168" s="2" t="s">
        <v>185</v>
      </c>
      <c r="B168" s="2">
        <v>194.55</v>
      </c>
      <c r="C168" s="2">
        <v>103.53</v>
      </c>
      <c r="D168" s="2">
        <v>139.26</v>
      </c>
      <c r="E168" s="2">
        <v>556</v>
      </c>
      <c r="F168" s="2">
        <v>483.89</v>
      </c>
      <c r="G168" s="2">
        <v>529.12</v>
      </c>
      <c r="H168" s="2">
        <f t="shared" si="6"/>
        <v>-1.8430273359041116</v>
      </c>
      <c r="I168" s="2">
        <f t="shared" si="7"/>
        <v>3.6766597652767625E-4</v>
      </c>
      <c r="J168" s="2"/>
      <c r="K168" s="2">
        <f t="shared" si="8"/>
        <v>8.7726114960317574</v>
      </c>
    </row>
    <row r="169" spans="1:11" ht="13.9" x14ac:dyDescent="0.3">
      <c r="A169" s="2" t="s">
        <v>186</v>
      </c>
      <c r="B169" s="2">
        <v>0.13</v>
      </c>
      <c r="C169" s="2">
        <v>50.03</v>
      </c>
      <c r="D169" s="2">
        <v>9.08</v>
      </c>
      <c r="E169" s="2">
        <v>0.88</v>
      </c>
      <c r="F169" s="2">
        <v>0.44</v>
      </c>
      <c r="G169" s="2">
        <v>1.02</v>
      </c>
      <c r="H169" s="2">
        <f t="shared" si="6"/>
        <v>4.6619912057054433</v>
      </c>
      <c r="I169" s="2">
        <f t="shared" si="7"/>
        <v>0.2845188899430493</v>
      </c>
      <c r="J169" s="2"/>
      <c r="K169" s="2">
        <f t="shared" si="8"/>
        <v>5.8884997355141229</v>
      </c>
    </row>
    <row r="170" spans="1:11" ht="13.9" x14ac:dyDescent="0.3">
      <c r="A170" s="2" t="s">
        <v>187</v>
      </c>
      <c r="B170" s="2">
        <v>0.26</v>
      </c>
      <c r="C170" s="2">
        <v>68.540000000000006</v>
      </c>
      <c r="D170" s="2">
        <v>14.26</v>
      </c>
      <c r="E170" s="2">
        <v>47.96</v>
      </c>
      <c r="F170" s="2">
        <v>57.55</v>
      </c>
      <c r="G170" s="2">
        <v>43.22</v>
      </c>
      <c r="H170" s="2">
        <f t="shared" si="6"/>
        <v>-0.84046990269985888</v>
      </c>
      <c r="I170" s="2">
        <f t="shared" si="7"/>
        <v>0.36106262623373009</v>
      </c>
      <c r="J170" s="2"/>
      <c r="K170" s="2">
        <f t="shared" si="8"/>
        <v>6.3760819666500712</v>
      </c>
    </row>
    <row r="171" spans="1:11" ht="13.9" x14ac:dyDescent="0.3">
      <c r="A171" s="2" t="s">
        <v>188</v>
      </c>
      <c r="B171" s="2">
        <v>2.88</v>
      </c>
      <c r="C171" s="2">
        <v>0</v>
      </c>
      <c r="D171" s="2">
        <v>0</v>
      </c>
      <c r="E171" s="2">
        <v>3.78</v>
      </c>
      <c r="F171" s="2">
        <v>7.21</v>
      </c>
      <c r="G171" s="2">
        <v>2.04</v>
      </c>
      <c r="H171" s="2">
        <f t="shared" si="6"/>
        <v>-2.1776963671258223</v>
      </c>
      <c r="I171" s="2">
        <f t="shared" si="7"/>
        <v>0.13281699172366712</v>
      </c>
      <c r="J171" s="2"/>
      <c r="K171" s="2">
        <f t="shared" si="8"/>
        <v>1.5260688116675876</v>
      </c>
    </row>
    <row r="172" spans="1:11" ht="13.9" x14ac:dyDescent="0.3">
      <c r="A172" s="2" t="s">
        <v>189</v>
      </c>
      <c r="B172" s="2">
        <v>85.34</v>
      </c>
      <c r="C172" s="2">
        <v>141.99</v>
      </c>
      <c r="D172" s="2">
        <v>141.59</v>
      </c>
      <c r="E172" s="2">
        <v>251.5</v>
      </c>
      <c r="F172" s="2">
        <v>264.23</v>
      </c>
      <c r="G172" s="2">
        <v>189.69</v>
      </c>
      <c r="H172" s="2">
        <f t="shared" si="6"/>
        <v>-0.93517447653258889</v>
      </c>
      <c r="I172" s="2">
        <f t="shared" si="7"/>
        <v>1.9561272747574802E-2</v>
      </c>
      <c r="J172" s="2"/>
      <c r="K172" s="2">
        <f t="shared" si="8"/>
        <v>8.5271641927372084</v>
      </c>
    </row>
    <row r="173" spans="1:11" ht="13.9" x14ac:dyDescent="0.3">
      <c r="A173" s="2" t="s">
        <v>190</v>
      </c>
      <c r="B173" s="2">
        <v>32.119999999999997</v>
      </c>
      <c r="C173" s="2">
        <v>50.61</v>
      </c>
      <c r="D173" s="2">
        <v>24.12</v>
      </c>
      <c r="E173" s="2">
        <v>67.47</v>
      </c>
      <c r="F173" s="2">
        <v>76.62</v>
      </c>
      <c r="G173" s="2">
        <v>62.28</v>
      </c>
      <c r="H173" s="2">
        <f t="shared" si="6"/>
        <v>-0.94964635347593263</v>
      </c>
      <c r="I173" s="2">
        <f t="shared" si="7"/>
        <v>2.0300270761593131E-2</v>
      </c>
      <c r="J173" s="2"/>
      <c r="K173" s="2">
        <f t="shared" si="8"/>
        <v>6.7394430977724484</v>
      </c>
    </row>
    <row r="174" spans="1:11" ht="13.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6"/>
        <v>#DIV/0!</v>
      </c>
      <c r="I174" s="2" t="e">
        <f t="shared" si="7"/>
        <v>#DIV/0!</v>
      </c>
      <c r="J174" s="2"/>
      <c r="K174" s="2" t="e">
        <f t="shared" si="8"/>
        <v>#NUM!</v>
      </c>
    </row>
    <row r="175" spans="1:11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 t="e">
        <f t="shared" si="6"/>
        <v>#DIV/0!</v>
      </c>
      <c r="I175" s="2" t="e">
        <f t="shared" si="7"/>
        <v>#DIV/0!</v>
      </c>
      <c r="J175" s="2"/>
      <c r="K175" s="2" t="e">
        <f t="shared" si="8"/>
        <v>#NUM!</v>
      </c>
    </row>
    <row r="176" spans="1:11" ht="13.9" x14ac:dyDescent="0.3">
      <c r="A176" s="2" t="s">
        <v>193</v>
      </c>
      <c r="B176" s="2">
        <v>0</v>
      </c>
      <c r="C176" s="2">
        <v>0</v>
      </c>
      <c r="D176" s="2">
        <v>0.52</v>
      </c>
      <c r="E176" s="2">
        <v>0</v>
      </c>
      <c r="F176" s="2">
        <v>0.55000000000000004</v>
      </c>
      <c r="G176" s="2">
        <v>1.7</v>
      </c>
      <c r="H176" s="2">
        <f t="shared" si="6"/>
        <v>-2.1133414730759448</v>
      </c>
      <c r="I176" s="2">
        <f t="shared" si="7"/>
        <v>0.33772488157736058</v>
      </c>
      <c r="J176" s="2"/>
      <c r="K176" s="2">
        <f t="shared" si="8"/>
        <v>-0.9434164716336324</v>
      </c>
    </row>
    <row r="177" spans="1:11" ht="13.9" x14ac:dyDescent="0.3">
      <c r="A177" s="2" t="s">
        <v>194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 t="e">
        <f t="shared" si="6"/>
        <v>#DIV/0!</v>
      </c>
      <c r="I177" s="2" t="e">
        <f t="shared" si="7"/>
        <v>#DIV/0!</v>
      </c>
      <c r="J177" s="2"/>
      <c r="K177" s="2" t="e">
        <f t="shared" si="8"/>
        <v>#NUM!</v>
      </c>
    </row>
    <row r="178" spans="1:11" ht="13.9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1.64</v>
      </c>
      <c r="F178" s="2">
        <v>0.44</v>
      </c>
      <c r="G178" s="2">
        <v>1.59</v>
      </c>
      <c r="H178" s="2" t="e">
        <f t="shared" si="6"/>
        <v>#NUM!</v>
      </c>
      <c r="I178" s="2">
        <f t="shared" si="7"/>
        <v>3.5482524604482292E-2</v>
      </c>
      <c r="J178" s="2"/>
      <c r="K178" s="2" t="e">
        <f t="shared" si="8"/>
        <v>#NUM!</v>
      </c>
    </row>
    <row r="179" spans="1:11" ht="13.9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1.1100000000000001</v>
      </c>
      <c r="G179" s="2">
        <v>0</v>
      </c>
      <c r="H179" s="2" t="e">
        <f t="shared" si="6"/>
        <v>#NUM!</v>
      </c>
      <c r="I179" s="2">
        <f t="shared" si="7"/>
        <v>0.37390096630005903</v>
      </c>
      <c r="J179" s="2"/>
      <c r="K179" s="2" t="e">
        <f t="shared" si="8"/>
        <v>#NUM!</v>
      </c>
    </row>
    <row r="180" spans="1:11" ht="13.9" x14ac:dyDescent="0.3">
      <c r="A180" s="2" t="s">
        <v>197</v>
      </c>
      <c r="B180" s="2">
        <v>0</v>
      </c>
      <c r="C180" s="2">
        <v>15.9</v>
      </c>
      <c r="D180" s="2">
        <v>8.0399999999999991</v>
      </c>
      <c r="E180" s="2">
        <v>29.83</v>
      </c>
      <c r="F180" s="2">
        <v>34.82</v>
      </c>
      <c r="G180" s="2">
        <v>38.909999999999997</v>
      </c>
      <c r="H180" s="2">
        <f t="shared" si="6"/>
        <v>-2.1129718129566095</v>
      </c>
      <c r="I180" s="2">
        <f t="shared" si="7"/>
        <v>7.3903255989607409E-3</v>
      </c>
      <c r="J180" s="2"/>
      <c r="K180" s="2">
        <f t="shared" si="8"/>
        <v>4.5813512471687767</v>
      </c>
    </row>
    <row r="181" spans="1:11" ht="13.9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0.38</v>
      </c>
      <c r="F181" s="2">
        <v>1.1100000000000001</v>
      </c>
      <c r="G181" s="2">
        <v>0</v>
      </c>
      <c r="H181" s="2" t="e">
        <f t="shared" si="6"/>
        <v>#NUM!</v>
      </c>
      <c r="I181" s="2">
        <f t="shared" si="7"/>
        <v>0.20196164992919252</v>
      </c>
      <c r="J181" s="2"/>
      <c r="K181" s="2" t="e">
        <f t="shared" si="8"/>
        <v>#NUM!</v>
      </c>
    </row>
    <row r="182" spans="1:11" ht="13.9" x14ac:dyDescent="0.3">
      <c r="A182" s="2" t="s">
        <v>199</v>
      </c>
      <c r="B182" s="2">
        <v>255.24</v>
      </c>
      <c r="C182" s="2">
        <v>353.96</v>
      </c>
      <c r="D182" s="2">
        <v>183.6</v>
      </c>
      <c r="E182" s="2">
        <v>560.66</v>
      </c>
      <c r="F182" s="2">
        <v>645</v>
      </c>
      <c r="G182" s="2">
        <v>403.08</v>
      </c>
      <c r="H182" s="2">
        <f t="shared" si="6"/>
        <v>-1.0209023129797239</v>
      </c>
      <c r="I182" s="2">
        <f t="shared" si="7"/>
        <v>3.4583683997869853E-2</v>
      </c>
      <c r="J182" s="2"/>
      <c r="K182" s="2">
        <f t="shared" si="8"/>
        <v>9.630813152299126</v>
      </c>
    </row>
    <row r="183" spans="1:11" ht="13.9" x14ac:dyDescent="0.3">
      <c r="A183" s="2" t="s">
        <v>200</v>
      </c>
      <c r="B183" s="2">
        <v>286.18</v>
      </c>
      <c r="C183" s="2">
        <v>497.1</v>
      </c>
      <c r="D183" s="2">
        <v>372.39</v>
      </c>
      <c r="E183" s="2">
        <v>799.7</v>
      </c>
      <c r="F183" s="2">
        <v>700.11</v>
      </c>
      <c r="G183" s="2">
        <v>825</v>
      </c>
      <c r="H183" s="2">
        <f t="shared" si="6"/>
        <v>-1.0083833167100453</v>
      </c>
      <c r="I183" s="2">
        <f t="shared" si="7"/>
        <v>5.6787697747520084E-3</v>
      </c>
      <c r="J183" s="2"/>
      <c r="K183" s="2">
        <f t="shared" si="8"/>
        <v>10.17451378169587</v>
      </c>
    </row>
    <row r="184" spans="1:11" ht="13.9" x14ac:dyDescent="0.3">
      <c r="A184" s="2" t="s">
        <v>201</v>
      </c>
      <c r="B184" s="2">
        <v>6.69</v>
      </c>
      <c r="C184" s="2">
        <v>44.82</v>
      </c>
      <c r="D184" s="2">
        <v>7.26</v>
      </c>
      <c r="E184" s="2">
        <v>23.79</v>
      </c>
      <c r="F184" s="2">
        <v>37.92</v>
      </c>
      <c r="G184" s="2">
        <v>23.14</v>
      </c>
      <c r="H184" s="2">
        <f t="shared" si="6"/>
        <v>-0.52983476144128261</v>
      </c>
      <c r="I184" s="2">
        <f t="shared" si="7"/>
        <v>0.55484535133765456</v>
      </c>
      <c r="J184" s="2"/>
      <c r="K184" s="2">
        <f t="shared" si="8"/>
        <v>5.8770079932140185</v>
      </c>
    </row>
    <row r="185" spans="1:11" ht="13.9" x14ac:dyDescent="0.3">
      <c r="A185" s="2" t="s">
        <v>202</v>
      </c>
      <c r="B185" s="2">
        <v>9.57</v>
      </c>
      <c r="C185" s="2">
        <v>2.31</v>
      </c>
      <c r="D185" s="2">
        <v>0</v>
      </c>
      <c r="E185" s="2">
        <v>0.38</v>
      </c>
      <c r="F185" s="2">
        <v>0</v>
      </c>
      <c r="G185" s="2">
        <v>0</v>
      </c>
      <c r="H185" s="2">
        <f t="shared" si="6"/>
        <v>4.9663916073571803</v>
      </c>
      <c r="I185" s="2">
        <f t="shared" si="7"/>
        <v>0.25480662815064431</v>
      </c>
      <c r="J185" s="2"/>
      <c r="K185" s="2">
        <f t="shared" si="8"/>
        <v>3.5704629310260412</v>
      </c>
    </row>
    <row r="186" spans="1:11" ht="13.9" x14ac:dyDescent="0.3">
      <c r="A186" s="2" t="s">
        <v>203</v>
      </c>
      <c r="B186" s="2">
        <v>0</v>
      </c>
      <c r="C186" s="2">
        <v>0</v>
      </c>
      <c r="D186" s="2">
        <v>0</v>
      </c>
      <c r="E186" s="2">
        <v>5.54</v>
      </c>
      <c r="F186" s="2">
        <v>5.32</v>
      </c>
      <c r="G186" s="2">
        <v>2.38</v>
      </c>
      <c r="H186" s="2" t="e">
        <f t="shared" si="6"/>
        <v>#NUM!</v>
      </c>
      <c r="I186" s="2">
        <f t="shared" si="7"/>
        <v>1.2325057595245815E-2</v>
      </c>
      <c r="J186" s="2"/>
      <c r="K186" s="2" t="e">
        <f t="shared" si="8"/>
        <v>#NUM!</v>
      </c>
    </row>
    <row r="187" spans="1:11" ht="13.9" x14ac:dyDescent="0.3">
      <c r="A187" s="2" t="s">
        <v>204</v>
      </c>
      <c r="B187" s="2">
        <v>16.260000000000002</v>
      </c>
      <c r="C187" s="2">
        <v>29.5</v>
      </c>
      <c r="D187" s="2">
        <v>61.2</v>
      </c>
      <c r="E187" s="2">
        <v>21.15</v>
      </c>
      <c r="F187" s="2">
        <v>9.1999999999999993</v>
      </c>
      <c r="G187" s="2">
        <v>20.420000000000002</v>
      </c>
      <c r="H187" s="2">
        <f t="shared" si="6"/>
        <v>1.0750232053637305</v>
      </c>
      <c r="I187" s="2">
        <f t="shared" si="7"/>
        <v>0.24859071706412406</v>
      </c>
      <c r="J187" s="2"/>
      <c r="K187" s="2">
        <f t="shared" si="8"/>
        <v>6.7409275603186281</v>
      </c>
    </row>
    <row r="188" spans="1:11" ht="13.9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0.13</v>
      </c>
      <c r="F188" s="2">
        <v>0.11</v>
      </c>
      <c r="G188" s="2">
        <v>0.68</v>
      </c>
      <c r="H188" s="2" t="e">
        <f t="shared" si="6"/>
        <v>#NUM!</v>
      </c>
      <c r="I188" s="2">
        <f t="shared" si="7"/>
        <v>0.17591959189449596</v>
      </c>
      <c r="J188" s="2"/>
      <c r="K188" s="2" t="e">
        <f t="shared" si="8"/>
        <v>#NUM!</v>
      </c>
    </row>
    <row r="189" spans="1:11" ht="13.9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0.5</v>
      </c>
      <c r="F189" s="2">
        <v>0</v>
      </c>
      <c r="G189" s="2">
        <v>0.79</v>
      </c>
      <c r="H189" s="2" t="e">
        <f t="shared" si="6"/>
        <v>#NUM!</v>
      </c>
      <c r="I189" s="2">
        <f t="shared" si="7"/>
        <v>0.13581709535117098</v>
      </c>
      <c r="J189" s="2"/>
      <c r="K189" s="2" t="e">
        <f t="shared" si="8"/>
        <v>#NUM!</v>
      </c>
    </row>
    <row r="190" spans="1:11" ht="13.9" x14ac:dyDescent="0.3">
      <c r="A190" s="2" t="s">
        <v>207</v>
      </c>
      <c r="B190" s="2">
        <v>24.51</v>
      </c>
      <c r="C190" s="2">
        <v>0.28999999999999998</v>
      </c>
      <c r="D190" s="2">
        <v>52.12</v>
      </c>
      <c r="E190" s="2">
        <v>9.94</v>
      </c>
      <c r="F190" s="2">
        <v>9.65</v>
      </c>
      <c r="G190" s="2">
        <v>9.98</v>
      </c>
      <c r="H190" s="2">
        <f t="shared" si="6"/>
        <v>1.3792245192195731</v>
      </c>
      <c r="I190" s="2">
        <f t="shared" si="7"/>
        <v>0.35129163569391897</v>
      </c>
      <c r="J190" s="2"/>
      <c r="K190" s="2">
        <f t="shared" si="8"/>
        <v>6.2652868575651723</v>
      </c>
    </row>
    <row r="191" spans="1:11" ht="13.9" x14ac:dyDescent="0.3">
      <c r="A191" s="2" t="s">
        <v>208</v>
      </c>
      <c r="B191" s="2">
        <v>3.15</v>
      </c>
      <c r="C191" s="2">
        <v>13.3</v>
      </c>
      <c r="D191" s="2">
        <v>11.93</v>
      </c>
      <c r="E191" s="2">
        <v>25.68</v>
      </c>
      <c r="F191" s="2">
        <v>24.06</v>
      </c>
      <c r="G191" s="2">
        <v>22.12</v>
      </c>
      <c r="H191" s="2">
        <f t="shared" si="6"/>
        <v>-1.3403143459416129</v>
      </c>
      <c r="I191" s="2">
        <f t="shared" si="7"/>
        <v>1.2285375232619177E-2</v>
      </c>
      <c r="J191" s="2"/>
      <c r="K191" s="2">
        <f t="shared" si="8"/>
        <v>4.8268026842858269</v>
      </c>
    </row>
    <row r="192" spans="1:11" ht="13.9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0.68</v>
      </c>
      <c r="H192" s="2" t="e">
        <f t="shared" si="6"/>
        <v>#NUM!</v>
      </c>
      <c r="I192" s="2">
        <f t="shared" si="7"/>
        <v>0.37390096630005903</v>
      </c>
      <c r="J192" s="2"/>
      <c r="K192" s="2" t="e">
        <f t="shared" si="8"/>
        <v>#NUM!</v>
      </c>
    </row>
    <row r="193" spans="1:11" ht="13.9" x14ac:dyDescent="0.3">
      <c r="A193" s="2" t="s">
        <v>210</v>
      </c>
      <c r="B193" s="2">
        <v>90.85</v>
      </c>
      <c r="C193" s="2">
        <v>360.32</v>
      </c>
      <c r="D193" s="2">
        <v>139.26</v>
      </c>
      <c r="E193" s="2">
        <v>50.6</v>
      </c>
      <c r="F193" s="2">
        <v>39.36</v>
      </c>
      <c r="G193" s="2">
        <v>33.47</v>
      </c>
      <c r="H193" s="2">
        <f t="shared" si="6"/>
        <v>2.2580729391169432</v>
      </c>
      <c r="I193" s="2">
        <f t="shared" si="7"/>
        <v>0.13430101108771386</v>
      </c>
      <c r="J193" s="2"/>
      <c r="K193" s="2">
        <f t="shared" si="8"/>
        <v>9.2056222169854465</v>
      </c>
    </row>
    <row r="194" spans="1:11" ht="13.9" x14ac:dyDescent="0.3">
      <c r="A194" s="2" t="s">
        <v>211</v>
      </c>
      <c r="B194" s="2">
        <v>2.4900000000000002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 t="e">
        <f t="shared" ref="H194:H257" si="9">LOG(SUM(B194:D194)/SUM(E194:G194),2)</f>
        <v>#DIV/0!</v>
      </c>
      <c r="I194" s="2">
        <f t="shared" ref="I194:I257" si="10">_xlfn.T.TEST(B194:D194,E194:G194,2,2)</f>
        <v>0.37390096630005903</v>
      </c>
      <c r="J194" s="2"/>
      <c r="K194" s="2">
        <f t="shared" si="8"/>
        <v>1.3161457422933565</v>
      </c>
    </row>
    <row r="195" spans="1:11" ht="13.9" x14ac:dyDescent="0.3">
      <c r="A195" s="2" t="s">
        <v>212</v>
      </c>
      <c r="B195" s="2">
        <v>22.42</v>
      </c>
      <c r="C195" s="2">
        <v>0</v>
      </c>
      <c r="D195" s="2">
        <v>15.04</v>
      </c>
      <c r="E195" s="2">
        <v>18.5</v>
      </c>
      <c r="F195" s="2">
        <v>32.049999999999997</v>
      </c>
      <c r="G195" s="2">
        <v>31.43</v>
      </c>
      <c r="H195" s="2">
        <f t="shared" si="9"/>
        <v>-1.1299210903917332</v>
      </c>
      <c r="I195" s="2">
        <f t="shared" si="10"/>
        <v>0.13494704145451841</v>
      </c>
      <c r="J195" s="2"/>
      <c r="K195" s="2">
        <f t="shared" ref="K195:K258" si="11">LOG(SUM(B195:D195),2)</f>
        <v>5.2272789944683211</v>
      </c>
    </row>
    <row r="196" spans="1:11" ht="13.9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0.13</v>
      </c>
      <c r="F196" s="2">
        <v>0.33</v>
      </c>
      <c r="G196" s="2">
        <v>0</v>
      </c>
      <c r="H196" s="2" t="e">
        <f t="shared" si="9"/>
        <v>#NUM!</v>
      </c>
      <c r="I196" s="2">
        <f t="shared" si="10"/>
        <v>0.18536244939379634</v>
      </c>
      <c r="J196" s="2"/>
      <c r="K196" s="2" t="e">
        <f t="shared" si="11"/>
        <v>#NUM!</v>
      </c>
    </row>
    <row r="197" spans="1:11" ht="13.9" x14ac:dyDescent="0.3">
      <c r="A197" s="2" t="s">
        <v>214</v>
      </c>
      <c r="B197" s="2">
        <v>22.42</v>
      </c>
      <c r="C197" s="2">
        <v>0</v>
      </c>
      <c r="D197" s="2">
        <v>15.04</v>
      </c>
      <c r="E197" s="2">
        <v>18.5</v>
      </c>
      <c r="F197" s="2">
        <v>32.049999999999997</v>
      </c>
      <c r="G197" s="2">
        <v>31.43</v>
      </c>
      <c r="H197" s="2">
        <f t="shared" si="9"/>
        <v>-1.1299210903917332</v>
      </c>
      <c r="I197" s="2">
        <f t="shared" si="10"/>
        <v>0.13494704145451841</v>
      </c>
      <c r="J197" s="2"/>
      <c r="K197" s="2">
        <f t="shared" si="11"/>
        <v>5.2272789944683211</v>
      </c>
    </row>
    <row r="198" spans="1:11" ht="13.9" x14ac:dyDescent="0.3">
      <c r="A198" s="2" t="s">
        <v>215</v>
      </c>
      <c r="B198" s="2">
        <v>0.13</v>
      </c>
      <c r="C198" s="2">
        <v>0.28999999999999998</v>
      </c>
      <c r="D198" s="2">
        <v>1.04</v>
      </c>
      <c r="E198" s="2">
        <v>1.64</v>
      </c>
      <c r="F198" s="2">
        <v>0.44</v>
      </c>
      <c r="G198" s="2">
        <v>0.45</v>
      </c>
      <c r="H198" s="2">
        <f t="shared" si="9"/>
        <v>-0.79316901581429322</v>
      </c>
      <c r="I198" s="2">
        <f t="shared" si="10"/>
        <v>0.50469920495601062</v>
      </c>
      <c r="J198" s="2"/>
      <c r="K198" s="2">
        <f t="shared" si="11"/>
        <v>0.54596836910529256</v>
      </c>
    </row>
    <row r="199" spans="1:11" ht="13.9" x14ac:dyDescent="0.3">
      <c r="A199" s="2" t="s">
        <v>216</v>
      </c>
      <c r="B199" s="2">
        <v>12.85</v>
      </c>
      <c r="C199" s="2">
        <v>4.63</v>
      </c>
      <c r="D199" s="2">
        <v>29.82</v>
      </c>
      <c r="E199" s="2">
        <v>20.64</v>
      </c>
      <c r="F199" s="2">
        <v>18.07</v>
      </c>
      <c r="G199" s="2">
        <v>25.98</v>
      </c>
      <c r="H199" s="2">
        <f t="shared" si="9"/>
        <v>-0.45170252918734827</v>
      </c>
      <c r="I199" s="2">
        <f t="shared" si="10"/>
        <v>0.49730209806101011</v>
      </c>
      <c r="J199" s="2"/>
      <c r="K199" s="2">
        <f t="shared" si="11"/>
        <v>5.5637682784520326</v>
      </c>
    </row>
    <row r="200" spans="1:11" ht="13.9" x14ac:dyDescent="0.3">
      <c r="A200" s="2" t="s">
        <v>217</v>
      </c>
      <c r="B200" s="2">
        <v>57.03</v>
      </c>
      <c r="C200" s="2">
        <v>118.28</v>
      </c>
      <c r="D200" s="2">
        <v>94.65</v>
      </c>
      <c r="E200" s="2">
        <v>23.67</v>
      </c>
      <c r="F200" s="2">
        <v>26.06</v>
      </c>
      <c r="G200" s="2">
        <v>32.450000000000003</v>
      </c>
      <c r="H200" s="2">
        <f t="shared" si="9"/>
        <v>1.715886423225641</v>
      </c>
      <c r="I200" s="2">
        <f t="shared" si="10"/>
        <v>2.5527826185763675E-2</v>
      </c>
      <c r="J200" s="2"/>
      <c r="K200" s="2">
        <f t="shared" si="11"/>
        <v>8.0766018486185729</v>
      </c>
    </row>
    <row r="201" spans="1:11" ht="13.9" x14ac:dyDescent="0.3">
      <c r="A201" s="2" t="s">
        <v>218</v>
      </c>
      <c r="B201" s="2">
        <v>12.06</v>
      </c>
      <c r="C201" s="2">
        <v>25.16</v>
      </c>
      <c r="D201" s="2">
        <v>0</v>
      </c>
      <c r="E201" s="2">
        <v>22.03</v>
      </c>
      <c r="F201" s="2">
        <v>8.65</v>
      </c>
      <c r="G201" s="2">
        <v>18.72</v>
      </c>
      <c r="H201" s="2">
        <f t="shared" si="9"/>
        <v>-0.40843298641288855</v>
      </c>
      <c r="I201" s="2">
        <f t="shared" si="10"/>
        <v>0.65052562926826374</v>
      </c>
      <c r="J201" s="2"/>
      <c r="K201" s="2">
        <f t="shared" si="11"/>
        <v>5.2180061502844275</v>
      </c>
    </row>
    <row r="202" spans="1:11" ht="13.9" x14ac:dyDescent="0.3">
      <c r="A202" s="2" t="s">
        <v>219</v>
      </c>
      <c r="B202" s="2">
        <v>0</v>
      </c>
      <c r="C202" s="2">
        <v>0</v>
      </c>
      <c r="D202" s="2">
        <v>0</v>
      </c>
      <c r="E202" s="2">
        <v>0.63</v>
      </c>
      <c r="F202" s="2">
        <v>1.89</v>
      </c>
      <c r="G202" s="2">
        <v>1.1299999999999999</v>
      </c>
      <c r="H202" s="2" t="e">
        <f t="shared" si="9"/>
        <v>#NUM!</v>
      </c>
      <c r="I202" s="2">
        <f t="shared" si="10"/>
        <v>2.9338025079515145E-2</v>
      </c>
      <c r="J202" s="2"/>
      <c r="K202" s="2" t="e">
        <f t="shared" si="11"/>
        <v>#NUM!</v>
      </c>
    </row>
    <row r="203" spans="1:11" ht="13.9" x14ac:dyDescent="0.3">
      <c r="A203" s="2" t="s">
        <v>220</v>
      </c>
      <c r="B203" s="2">
        <v>19.8</v>
      </c>
      <c r="C203" s="2">
        <v>12.15</v>
      </c>
      <c r="D203" s="2">
        <v>2.0699999999999998</v>
      </c>
      <c r="E203" s="2">
        <v>27.32</v>
      </c>
      <c r="F203" s="2">
        <v>28.28</v>
      </c>
      <c r="G203" s="2">
        <v>22.01</v>
      </c>
      <c r="H203" s="2">
        <f t="shared" si="9"/>
        <v>-1.189859413742512</v>
      </c>
      <c r="I203" s="2">
        <f t="shared" si="10"/>
        <v>5.7239615447180633E-2</v>
      </c>
      <c r="J203" s="2"/>
      <c r="K203" s="2">
        <f t="shared" si="11"/>
        <v>5.0883112358886606</v>
      </c>
    </row>
    <row r="204" spans="1:11" ht="13.9" x14ac:dyDescent="0.3">
      <c r="A204" s="2" t="s">
        <v>221</v>
      </c>
      <c r="B204" s="2">
        <v>0</v>
      </c>
      <c r="C204" s="2">
        <v>16.190000000000001</v>
      </c>
      <c r="D204" s="2">
        <v>0.26</v>
      </c>
      <c r="E204" s="2">
        <v>8.06</v>
      </c>
      <c r="F204" s="2">
        <v>9.1999999999999993</v>
      </c>
      <c r="G204" s="2">
        <v>9.08</v>
      </c>
      <c r="H204" s="2">
        <f t="shared" si="9"/>
        <v>-0.67916776163391013</v>
      </c>
      <c r="I204" s="2">
        <f t="shared" si="10"/>
        <v>0.57220456837121536</v>
      </c>
      <c r="J204" s="2"/>
      <c r="K204" s="2">
        <f t="shared" si="11"/>
        <v>4.0400156788478796</v>
      </c>
    </row>
    <row r="205" spans="1:11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9"/>
        <v>#DIV/0!</v>
      </c>
      <c r="I205" s="2" t="e">
        <f t="shared" si="10"/>
        <v>#DIV/0!</v>
      </c>
      <c r="J205" s="2"/>
      <c r="K205" s="2" t="e">
        <f t="shared" si="11"/>
        <v>#NUM!</v>
      </c>
    </row>
    <row r="206" spans="1:11" ht="13.9" x14ac:dyDescent="0.3">
      <c r="A206" s="2" t="s">
        <v>223</v>
      </c>
      <c r="B206" s="2">
        <v>0</v>
      </c>
      <c r="C206" s="2">
        <v>0</v>
      </c>
      <c r="D206" s="2">
        <v>11.41</v>
      </c>
      <c r="E206" s="2">
        <v>0</v>
      </c>
      <c r="F206" s="2">
        <v>0</v>
      </c>
      <c r="G206" s="2">
        <v>1.25</v>
      </c>
      <c r="H206" s="2">
        <f t="shared" si="9"/>
        <v>3.1902987916265948</v>
      </c>
      <c r="I206" s="2">
        <f t="shared" si="10"/>
        <v>0.42607768116051031</v>
      </c>
      <c r="J206" s="2"/>
      <c r="K206" s="2">
        <f t="shared" si="11"/>
        <v>3.5122268865139574</v>
      </c>
    </row>
    <row r="207" spans="1:11" ht="13.9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0.38</v>
      </c>
      <c r="F207" s="2">
        <v>0</v>
      </c>
      <c r="G207" s="2">
        <v>0.34</v>
      </c>
      <c r="H207" s="2" t="e">
        <f t="shared" si="9"/>
        <v>#NUM!</v>
      </c>
      <c r="I207" s="2">
        <f t="shared" si="10"/>
        <v>0.11734271318907021</v>
      </c>
      <c r="J207" s="2"/>
      <c r="K207" s="2" t="e">
        <f t="shared" si="11"/>
        <v>#NUM!</v>
      </c>
    </row>
    <row r="208" spans="1:11" ht="13.9" x14ac:dyDescent="0.3">
      <c r="A208" s="2" t="s">
        <v>225</v>
      </c>
      <c r="B208" s="2">
        <v>38.94</v>
      </c>
      <c r="C208" s="2">
        <v>52.34</v>
      </c>
      <c r="D208" s="2">
        <v>21.52</v>
      </c>
      <c r="E208" s="2">
        <v>0.25</v>
      </c>
      <c r="F208" s="2">
        <v>3.66</v>
      </c>
      <c r="G208" s="2">
        <v>1.02</v>
      </c>
      <c r="H208" s="2">
        <f t="shared" si="9"/>
        <v>4.5160356109082445</v>
      </c>
      <c r="I208" s="2">
        <f t="shared" si="10"/>
        <v>1.6085598078910877E-2</v>
      </c>
      <c r="J208" s="2"/>
      <c r="K208" s="2">
        <f t="shared" si="11"/>
        <v>6.8176232575114319</v>
      </c>
    </row>
    <row r="209" spans="1:11" ht="13.9" x14ac:dyDescent="0.3">
      <c r="A209" s="2" t="s">
        <v>226</v>
      </c>
      <c r="B209" s="2">
        <v>74.2</v>
      </c>
      <c r="C209" s="2">
        <v>154.71</v>
      </c>
      <c r="D209" s="2">
        <v>136.41</v>
      </c>
      <c r="E209" s="2">
        <v>50.23</v>
      </c>
      <c r="F209" s="2">
        <v>46.35</v>
      </c>
      <c r="G209" s="2">
        <v>64.67</v>
      </c>
      <c r="H209" s="2">
        <f t="shared" si="9"/>
        <v>1.1798615778642259</v>
      </c>
      <c r="I209" s="2">
        <f t="shared" si="10"/>
        <v>5.2909551889095081E-2</v>
      </c>
      <c r="J209" s="2"/>
      <c r="K209" s="2">
        <f t="shared" si="11"/>
        <v>8.5130169281748422</v>
      </c>
    </row>
    <row r="210" spans="1:11" ht="13.9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</v>
      </c>
      <c r="F210" s="2">
        <v>1.33</v>
      </c>
      <c r="G210" s="2">
        <v>0.79</v>
      </c>
      <c r="H210" s="2" t="e">
        <f t="shared" si="9"/>
        <v>#NUM!</v>
      </c>
      <c r="I210" s="2">
        <f t="shared" si="10"/>
        <v>0.1412552101777402</v>
      </c>
      <c r="J210" s="2"/>
      <c r="K210" s="2" t="e">
        <f t="shared" si="11"/>
        <v>#NUM!</v>
      </c>
    </row>
    <row r="211" spans="1:11" ht="13.9" x14ac:dyDescent="0.3">
      <c r="A211" s="2" t="s">
        <v>228</v>
      </c>
      <c r="B211" s="2">
        <v>4.9800000000000004</v>
      </c>
      <c r="C211" s="2">
        <v>0</v>
      </c>
      <c r="D211" s="2">
        <v>0</v>
      </c>
      <c r="E211" s="2">
        <v>0</v>
      </c>
      <c r="F211" s="2">
        <v>0</v>
      </c>
      <c r="G211" s="2">
        <v>0.91</v>
      </c>
      <c r="H211" s="2">
        <f t="shared" si="9"/>
        <v>2.4522072918693847</v>
      </c>
      <c r="I211" s="2">
        <f t="shared" si="10"/>
        <v>0.46648285853832483</v>
      </c>
      <c r="J211" s="2"/>
      <c r="K211" s="2">
        <f t="shared" si="11"/>
        <v>2.3161457422933562</v>
      </c>
    </row>
    <row r="212" spans="1:11" ht="13.9" x14ac:dyDescent="0.3">
      <c r="A212" s="2" t="s">
        <v>229</v>
      </c>
      <c r="B212" s="2">
        <v>3.54</v>
      </c>
      <c r="C212" s="2">
        <v>0</v>
      </c>
      <c r="D212" s="2">
        <v>0</v>
      </c>
      <c r="E212" s="2">
        <v>0.13</v>
      </c>
      <c r="F212" s="2">
        <v>0.44</v>
      </c>
      <c r="G212" s="2">
        <v>0.11</v>
      </c>
      <c r="H212" s="2">
        <f t="shared" si="9"/>
        <v>2.3801427088326581</v>
      </c>
      <c r="I212" s="2">
        <f t="shared" si="10"/>
        <v>0.4661413798332511</v>
      </c>
      <c r="J212" s="2"/>
      <c r="K212" s="2">
        <f t="shared" si="11"/>
        <v>1.8237493603082728</v>
      </c>
    </row>
    <row r="213" spans="1:11" ht="13.9" x14ac:dyDescent="0.3">
      <c r="A213" s="2" t="s">
        <v>230</v>
      </c>
      <c r="B213" s="2">
        <v>18.22</v>
      </c>
      <c r="C213" s="2">
        <v>0</v>
      </c>
      <c r="D213" s="2">
        <v>12.45</v>
      </c>
      <c r="E213" s="2">
        <v>12.08</v>
      </c>
      <c r="F213" s="2">
        <v>13.53</v>
      </c>
      <c r="G213" s="2">
        <v>9.19</v>
      </c>
      <c r="H213" s="2">
        <f t="shared" si="9"/>
        <v>-0.18225913946907107</v>
      </c>
      <c r="I213" s="2">
        <f t="shared" si="10"/>
        <v>0.81551578041259076</v>
      </c>
      <c r="J213" s="2"/>
      <c r="K213" s="2">
        <f t="shared" si="11"/>
        <v>4.9387562614922951</v>
      </c>
    </row>
    <row r="214" spans="1:11" ht="13.9" x14ac:dyDescent="0.3">
      <c r="A214" s="2" t="s">
        <v>231</v>
      </c>
      <c r="B214" s="2">
        <v>0</v>
      </c>
      <c r="C214" s="2">
        <v>0</v>
      </c>
      <c r="D214" s="2">
        <v>2.0699999999999998</v>
      </c>
      <c r="E214" s="2">
        <v>2.14</v>
      </c>
      <c r="F214" s="2">
        <v>3.88</v>
      </c>
      <c r="G214" s="2">
        <v>1.36</v>
      </c>
      <c r="H214" s="2">
        <f t="shared" si="9"/>
        <v>-1.833990048561071</v>
      </c>
      <c r="I214" s="2">
        <f t="shared" si="10"/>
        <v>0.15623956813518</v>
      </c>
      <c r="J214" s="2"/>
      <c r="K214" s="2">
        <f t="shared" si="11"/>
        <v>1.0496307677246004</v>
      </c>
    </row>
    <row r="215" spans="1:11" ht="13.9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0.5</v>
      </c>
      <c r="F215" s="2">
        <v>0</v>
      </c>
      <c r="G215" s="2">
        <v>0.45</v>
      </c>
      <c r="H215" s="2" t="e">
        <f t="shared" si="9"/>
        <v>#NUM!</v>
      </c>
      <c r="I215" s="2">
        <f t="shared" si="10"/>
        <v>0.11721716888134213</v>
      </c>
      <c r="J215" s="2"/>
      <c r="K215" s="2" t="e">
        <f t="shared" si="11"/>
        <v>#NUM!</v>
      </c>
    </row>
    <row r="216" spans="1:11" ht="13.9" x14ac:dyDescent="0.3">
      <c r="A216" s="2" t="s">
        <v>233</v>
      </c>
      <c r="B216" s="2">
        <v>0</v>
      </c>
      <c r="C216" s="2">
        <v>0</v>
      </c>
      <c r="D216" s="2">
        <v>11.15</v>
      </c>
      <c r="E216" s="2">
        <v>0.88</v>
      </c>
      <c r="F216" s="2">
        <v>0</v>
      </c>
      <c r="G216" s="2">
        <v>0</v>
      </c>
      <c r="H216" s="2">
        <f t="shared" si="9"/>
        <v>3.6633963761703696</v>
      </c>
      <c r="I216" s="2">
        <f t="shared" si="10"/>
        <v>0.41046064995689163</v>
      </c>
      <c r="J216" s="2"/>
      <c r="K216" s="2">
        <f t="shared" si="11"/>
        <v>3.478971805032943</v>
      </c>
    </row>
    <row r="217" spans="1:11" ht="13.9" x14ac:dyDescent="0.3">
      <c r="A217" s="2" t="s">
        <v>234</v>
      </c>
      <c r="B217" s="2">
        <v>4.9800000000000004</v>
      </c>
      <c r="C217" s="2">
        <v>16.48</v>
      </c>
      <c r="D217" s="2">
        <v>9.85</v>
      </c>
      <c r="E217" s="2">
        <v>12.71</v>
      </c>
      <c r="F217" s="2">
        <v>6.32</v>
      </c>
      <c r="G217" s="2">
        <v>4.88</v>
      </c>
      <c r="H217" s="2">
        <f t="shared" si="9"/>
        <v>0.38900937842704214</v>
      </c>
      <c r="I217" s="2">
        <f t="shared" si="10"/>
        <v>0.58079117019477577</v>
      </c>
      <c r="J217" s="2"/>
      <c r="K217" s="2">
        <f t="shared" si="11"/>
        <v>4.9685516033639461</v>
      </c>
    </row>
    <row r="218" spans="1:11" ht="13.9" x14ac:dyDescent="0.3">
      <c r="A218" s="2" t="s">
        <v>235</v>
      </c>
      <c r="B218" s="2">
        <v>2.4900000000000002</v>
      </c>
      <c r="C218" s="2">
        <v>0</v>
      </c>
      <c r="D218" s="2">
        <v>0</v>
      </c>
      <c r="E218" s="2">
        <v>25.18</v>
      </c>
      <c r="F218" s="2">
        <v>10.42</v>
      </c>
      <c r="G218" s="2">
        <v>21.33</v>
      </c>
      <c r="H218" s="2">
        <f t="shared" si="9"/>
        <v>-4.5149714523230653</v>
      </c>
      <c r="I218" s="2">
        <f t="shared" si="10"/>
        <v>1.5671726935449184E-2</v>
      </c>
      <c r="J218" s="2"/>
      <c r="K218" s="2">
        <f t="shared" si="11"/>
        <v>1.3161457422933565</v>
      </c>
    </row>
    <row r="219" spans="1:11" ht="13.9" x14ac:dyDescent="0.3">
      <c r="A219" s="2" t="s">
        <v>236</v>
      </c>
      <c r="B219" s="2">
        <v>28541.61</v>
      </c>
      <c r="C219" s="2">
        <v>32223.73</v>
      </c>
      <c r="D219" s="2">
        <v>29320.21</v>
      </c>
      <c r="E219" s="2">
        <v>41586.269999999997</v>
      </c>
      <c r="F219" s="2">
        <v>36559.57</v>
      </c>
      <c r="G219" s="2">
        <v>44375.44</v>
      </c>
      <c r="H219" s="2">
        <f t="shared" si="9"/>
        <v>-0.44366472722504741</v>
      </c>
      <c r="I219" s="2">
        <f t="shared" si="10"/>
        <v>1.3203432106720647E-2</v>
      </c>
      <c r="J219" s="2"/>
      <c r="K219" s="2">
        <f t="shared" si="11"/>
        <v>16.459008091412809</v>
      </c>
    </row>
    <row r="220" spans="1:11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9"/>
        <v>#DIV/0!</v>
      </c>
      <c r="I220" s="2" t="e">
        <f t="shared" si="10"/>
        <v>#DIV/0!</v>
      </c>
      <c r="J220" s="2"/>
      <c r="K220" s="2" t="e">
        <f t="shared" si="11"/>
        <v>#NUM!</v>
      </c>
    </row>
    <row r="221" spans="1:11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9"/>
        <v>#DIV/0!</v>
      </c>
      <c r="I221" s="2" t="e">
        <f t="shared" si="10"/>
        <v>#DIV/0!</v>
      </c>
      <c r="J221" s="2"/>
      <c r="K221" s="2" t="e">
        <f t="shared" si="11"/>
        <v>#NUM!</v>
      </c>
    </row>
    <row r="222" spans="1:11" ht="13.9" x14ac:dyDescent="0.3">
      <c r="A222" s="2" t="s">
        <v>239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9"/>
        <v>#DIV/0!</v>
      </c>
      <c r="I222" s="2" t="e">
        <f t="shared" si="10"/>
        <v>#DIV/0!</v>
      </c>
      <c r="J222" s="2"/>
      <c r="K222" s="2" t="e">
        <f t="shared" si="11"/>
        <v>#NUM!</v>
      </c>
    </row>
    <row r="223" spans="1:11" ht="13.9" x14ac:dyDescent="0.3">
      <c r="A223" s="2" t="s">
        <v>240</v>
      </c>
      <c r="B223" s="2">
        <v>0</v>
      </c>
      <c r="C223" s="2">
        <v>0</v>
      </c>
      <c r="D223" s="2">
        <v>0</v>
      </c>
      <c r="E223" s="2">
        <v>12.84</v>
      </c>
      <c r="F223" s="2">
        <v>7.43</v>
      </c>
      <c r="G223" s="2">
        <v>6.92</v>
      </c>
      <c r="H223" s="2" t="e">
        <f t="shared" si="9"/>
        <v>#NUM!</v>
      </c>
      <c r="I223" s="2">
        <f t="shared" si="10"/>
        <v>8.7426726265654973E-3</v>
      </c>
      <c r="J223" s="2"/>
      <c r="K223" s="2" t="e">
        <f t="shared" si="11"/>
        <v>#NUM!</v>
      </c>
    </row>
    <row r="224" spans="1:11" ht="13.9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1.1299999999999999</v>
      </c>
      <c r="F224" s="2">
        <v>0</v>
      </c>
      <c r="G224" s="2">
        <v>0</v>
      </c>
      <c r="H224" s="2" t="e">
        <f t="shared" si="9"/>
        <v>#NUM!</v>
      </c>
      <c r="I224" s="2">
        <f t="shared" si="10"/>
        <v>0.37390096630005903</v>
      </c>
      <c r="J224" s="2"/>
      <c r="K224" s="2" t="e">
        <f t="shared" si="11"/>
        <v>#NUM!</v>
      </c>
    </row>
    <row r="225" spans="1:11" ht="13.9" x14ac:dyDescent="0.3">
      <c r="A225" s="2" t="s">
        <v>242</v>
      </c>
      <c r="B225" s="2">
        <v>0</v>
      </c>
      <c r="C225" s="2">
        <v>0</v>
      </c>
      <c r="D225" s="2">
        <v>0</v>
      </c>
      <c r="E225" s="2">
        <v>0</v>
      </c>
      <c r="F225" s="2">
        <v>1.22</v>
      </c>
      <c r="G225" s="2">
        <v>1.25</v>
      </c>
      <c r="H225" s="2" t="e">
        <f t="shared" si="9"/>
        <v>#NUM!</v>
      </c>
      <c r="I225" s="2">
        <f t="shared" si="10"/>
        <v>0.11617519568016452</v>
      </c>
      <c r="J225" s="2"/>
      <c r="K225" s="2" t="e">
        <f t="shared" si="11"/>
        <v>#NUM!</v>
      </c>
    </row>
    <row r="226" spans="1:11" ht="13.9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0.56999999999999995</v>
      </c>
      <c r="H226" s="2" t="e">
        <f t="shared" si="9"/>
        <v>#NUM!</v>
      </c>
      <c r="I226" s="2">
        <f t="shared" si="10"/>
        <v>0.37390096630005903</v>
      </c>
      <c r="J226" s="2"/>
      <c r="K226" s="2" t="e">
        <f t="shared" si="11"/>
        <v>#NUM!</v>
      </c>
    </row>
    <row r="227" spans="1:11" ht="13.9" x14ac:dyDescent="0.3">
      <c r="A227" s="2" t="s">
        <v>244</v>
      </c>
      <c r="B227" s="2">
        <v>0</v>
      </c>
      <c r="C227" s="2">
        <v>0</v>
      </c>
      <c r="D227" s="2">
        <v>0</v>
      </c>
      <c r="E227" s="2">
        <v>0.13</v>
      </c>
      <c r="F227" s="2">
        <v>0</v>
      </c>
      <c r="G227" s="2">
        <v>0</v>
      </c>
      <c r="H227" s="2" t="e">
        <f t="shared" si="9"/>
        <v>#NUM!</v>
      </c>
      <c r="I227" s="2">
        <f t="shared" si="10"/>
        <v>0.37390096630005903</v>
      </c>
      <c r="J227" s="2"/>
      <c r="K227" s="2" t="e">
        <f t="shared" si="11"/>
        <v>#NUM!</v>
      </c>
    </row>
    <row r="228" spans="1:11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9"/>
        <v>#DIV/0!</v>
      </c>
      <c r="I228" s="2" t="e">
        <f t="shared" si="10"/>
        <v>#DIV/0!</v>
      </c>
      <c r="J228" s="2"/>
      <c r="K228" s="2" t="e">
        <f t="shared" si="11"/>
        <v>#NUM!</v>
      </c>
    </row>
    <row r="229" spans="1:11" ht="13.9" x14ac:dyDescent="0.3">
      <c r="A229" s="2" t="s">
        <v>246</v>
      </c>
      <c r="B229" s="2">
        <v>1963.43</v>
      </c>
      <c r="C229" s="2">
        <v>3034.09</v>
      </c>
      <c r="D229" s="2">
        <v>3363.98</v>
      </c>
      <c r="E229" s="2">
        <v>786.49</v>
      </c>
      <c r="F229" s="2">
        <v>915.45</v>
      </c>
      <c r="G229" s="2">
        <v>608.65</v>
      </c>
      <c r="H229" s="2">
        <f t="shared" si="9"/>
        <v>1.8555004907079764</v>
      </c>
      <c r="I229" s="2">
        <f t="shared" si="10"/>
        <v>9.5252105945783684E-3</v>
      </c>
      <c r="J229" s="2"/>
      <c r="K229" s="2">
        <f t="shared" si="11"/>
        <v>13.029546060513937</v>
      </c>
    </row>
    <row r="230" spans="1:11" ht="13.9" x14ac:dyDescent="0.3">
      <c r="A230" s="2" t="s">
        <v>247</v>
      </c>
      <c r="B230" s="2">
        <v>210.41</v>
      </c>
      <c r="C230" s="2">
        <v>126.66</v>
      </c>
      <c r="D230" s="2">
        <v>212.39</v>
      </c>
      <c r="E230" s="2">
        <v>409.61</v>
      </c>
      <c r="F230" s="2">
        <v>239.51</v>
      </c>
      <c r="G230" s="2">
        <v>286.68</v>
      </c>
      <c r="H230" s="2">
        <f t="shared" si="9"/>
        <v>-0.76818577009353062</v>
      </c>
      <c r="I230" s="2">
        <f t="shared" si="10"/>
        <v>9.0737076656837293E-2</v>
      </c>
      <c r="J230" s="2"/>
      <c r="K230" s="2">
        <f t="shared" si="11"/>
        <v>9.1018706483794176</v>
      </c>
    </row>
    <row r="231" spans="1:11" ht="13.9" x14ac:dyDescent="0.3">
      <c r="A231" s="2" t="s">
        <v>248</v>
      </c>
      <c r="B231" s="2">
        <v>80.23</v>
      </c>
      <c r="C231" s="2">
        <v>78.08</v>
      </c>
      <c r="D231" s="2">
        <v>60.42</v>
      </c>
      <c r="E231" s="2">
        <v>77.92</v>
      </c>
      <c r="F231" s="2">
        <v>63.87</v>
      </c>
      <c r="G231" s="2">
        <v>71.25</v>
      </c>
      <c r="H231" s="2">
        <f t="shared" si="9"/>
        <v>3.8026773706962343E-2</v>
      </c>
      <c r="I231" s="2">
        <f t="shared" si="10"/>
        <v>0.81216620131704387</v>
      </c>
      <c r="J231" s="2"/>
      <c r="K231" s="2">
        <f t="shared" si="11"/>
        <v>7.7730072971428523</v>
      </c>
    </row>
    <row r="232" spans="1:11" ht="13.9" x14ac:dyDescent="0.3">
      <c r="A232" s="2" t="s">
        <v>249</v>
      </c>
      <c r="B232" s="2">
        <v>10.62</v>
      </c>
      <c r="C232" s="2">
        <v>4.05</v>
      </c>
      <c r="D232" s="2">
        <v>0</v>
      </c>
      <c r="E232" s="2">
        <v>14.73</v>
      </c>
      <c r="F232" s="2">
        <v>12.09</v>
      </c>
      <c r="G232" s="2">
        <v>10.44</v>
      </c>
      <c r="H232" s="2">
        <f t="shared" si="9"/>
        <v>-1.3447588032682478</v>
      </c>
      <c r="I232" s="2">
        <f t="shared" si="10"/>
        <v>8.701923900004839E-2</v>
      </c>
      <c r="J232" s="2"/>
      <c r="K232" s="2">
        <f t="shared" si="11"/>
        <v>3.874796965898665</v>
      </c>
    </row>
    <row r="233" spans="1:11" ht="13.9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0.11</v>
      </c>
      <c r="H233" s="2" t="e">
        <f t="shared" si="9"/>
        <v>#NUM!</v>
      </c>
      <c r="I233" s="2">
        <f t="shared" si="10"/>
        <v>0.37390096630005903</v>
      </c>
      <c r="J233" s="2"/>
      <c r="K233" s="2" t="e">
        <f t="shared" si="11"/>
        <v>#NUM!</v>
      </c>
    </row>
    <row r="234" spans="1:11" ht="13.9" x14ac:dyDescent="0.3">
      <c r="A234" s="2" t="s">
        <v>251</v>
      </c>
      <c r="B234" s="2">
        <v>0</v>
      </c>
      <c r="C234" s="2">
        <v>2.6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9"/>
        <v>#DIV/0!</v>
      </c>
      <c r="I234" s="2">
        <f t="shared" si="10"/>
        <v>0.37390096630005903</v>
      </c>
      <c r="J234" s="2"/>
      <c r="K234" s="2">
        <f t="shared" si="11"/>
        <v>1.3785116232537298</v>
      </c>
    </row>
    <row r="235" spans="1:11" ht="13.9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9"/>
        <v>#DIV/0!</v>
      </c>
      <c r="I235" s="2" t="e">
        <f t="shared" si="10"/>
        <v>#DIV/0!</v>
      </c>
      <c r="J235" s="2"/>
      <c r="K235" s="2" t="e">
        <f t="shared" si="11"/>
        <v>#NUM!</v>
      </c>
    </row>
    <row r="236" spans="1:11" ht="13.9" x14ac:dyDescent="0.3">
      <c r="A236" s="2" t="s">
        <v>253</v>
      </c>
      <c r="B236" s="2">
        <v>0</v>
      </c>
      <c r="C236" s="2">
        <v>0</v>
      </c>
      <c r="D236" s="2">
        <v>17.63</v>
      </c>
      <c r="E236" s="2">
        <v>1.26</v>
      </c>
      <c r="F236" s="2">
        <v>0.55000000000000004</v>
      </c>
      <c r="G236" s="2">
        <v>0</v>
      </c>
      <c r="H236" s="2">
        <f t="shared" si="9"/>
        <v>3.283970872236976</v>
      </c>
      <c r="I236" s="2">
        <f t="shared" si="10"/>
        <v>0.42108570010183399</v>
      </c>
      <c r="J236" s="2"/>
      <c r="K236" s="2">
        <f t="shared" si="11"/>
        <v>4.1399605695454573</v>
      </c>
    </row>
    <row r="237" spans="1:11" ht="13.9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0.34</v>
      </c>
      <c r="H237" s="2" t="e">
        <f t="shared" si="9"/>
        <v>#NUM!</v>
      </c>
      <c r="I237" s="2">
        <f t="shared" si="10"/>
        <v>0.37390096630005903</v>
      </c>
      <c r="J237" s="2"/>
      <c r="K237" s="2" t="e">
        <f t="shared" si="11"/>
        <v>#NUM!</v>
      </c>
    </row>
    <row r="238" spans="1:11" ht="13.9" x14ac:dyDescent="0.3">
      <c r="A238" s="2" t="s">
        <v>255</v>
      </c>
      <c r="B238" s="2">
        <v>13.5</v>
      </c>
      <c r="C238" s="2">
        <v>27.18</v>
      </c>
      <c r="D238" s="2">
        <v>8.3000000000000007</v>
      </c>
      <c r="E238" s="2">
        <v>11.83</v>
      </c>
      <c r="F238" s="2">
        <v>17.52</v>
      </c>
      <c r="G238" s="2">
        <v>7.15</v>
      </c>
      <c r="H238" s="2">
        <f t="shared" si="9"/>
        <v>0.42429630990923645</v>
      </c>
      <c r="I238" s="2">
        <f t="shared" si="10"/>
        <v>0.54988811403259263</v>
      </c>
      <c r="J238" s="2"/>
      <c r="K238" s="2">
        <f t="shared" si="11"/>
        <v>5.6141208687892536</v>
      </c>
    </row>
    <row r="239" spans="1:11" ht="13.9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0.67</v>
      </c>
      <c r="G239" s="2">
        <v>0</v>
      </c>
      <c r="H239" s="2" t="e">
        <f t="shared" si="9"/>
        <v>#NUM!</v>
      </c>
      <c r="I239" s="2">
        <f t="shared" si="10"/>
        <v>0.37390096630005903</v>
      </c>
      <c r="J239" s="2"/>
      <c r="K239" s="2" t="e">
        <f t="shared" si="11"/>
        <v>#NUM!</v>
      </c>
    </row>
    <row r="240" spans="1:11" ht="13.9" x14ac:dyDescent="0.3">
      <c r="A240" s="2" t="s">
        <v>257</v>
      </c>
      <c r="B240" s="2">
        <v>4.33</v>
      </c>
      <c r="C240" s="2">
        <v>18.22</v>
      </c>
      <c r="D240" s="2">
        <v>0</v>
      </c>
      <c r="E240" s="2">
        <v>0.5</v>
      </c>
      <c r="F240" s="2">
        <v>2.2200000000000002</v>
      </c>
      <c r="G240" s="2">
        <v>3.97</v>
      </c>
      <c r="H240" s="2">
        <f t="shared" si="9"/>
        <v>1.753049317501282</v>
      </c>
      <c r="I240" s="2">
        <f t="shared" si="10"/>
        <v>0.39754656876458688</v>
      </c>
      <c r="J240" s="2"/>
      <c r="K240" s="2">
        <f t="shared" si="11"/>
        <v>4.4950555283680185</v>
      </c>
    </row>
    <row r="241" spans="1:11" ht="13.9" x14ac:dyDescent="0.3">
      <c r="A241" s="2" t="s">
        <v>258</v>
      </c>
      <c r="B241" s="2">
        <v>0</v>
      </c>
      <c r="C241" s="2">
        <v>0</v>
      </c>
      <c r="D241" s="2">
        <v>0</v>
      </c>
      <c r="E241" s="2">
        <v>7.93</v>
      </c>
      <c r="F241" s="2">
        <v>7.21</v>
      </c>
      <c r="G241" s="2">
        <v>5.22</v>
      </c>
      <c r="H241" s="2" t="e">
        <f t="shared" si="9"/>
        <v>#NUM!</v>
      </c>
      <c r="I241" s="2">
        <f t="shared" si="10"/>
        <v>1.1122606076481775E-3</v>
      </c>
      <c r="J241" s="2"/>
      <c r="K241" s="2" t="e">
        <f t="shared" si="11"/>
        <v>#NUM!</v>
      </c>
    </row>
    <row r="242" spans="1:11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9"/>
        <v>#DIV/0!</v>
      </c>
      <c r="I242" s="2" t="e">
        <f t="shared" si="10"/>
        <v>#DIV/0!</v>
      </c>
      <c r="J242" s="2"/>
      <c r="K242" s="2" t="e">
        <f t="shared" si="11"/>
        <v>#NUM!</v>
      </c>
    </row>
    <row r="243" spans="1:11" ht="13.9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9"/>
        <v>#DIV/0!</v>
      </c>
      <c r="I243" s="2" t="e">
        <f t="shared" si="10"/>
        <v>#DIV/0!</v>
      </c>
      <c r="J243" s="2"/>
      <c r="K243" s="2" t="e">
        <f t="shared" si="11"/>
        <v>#NUM!</v>
      </c>
    </row>
    <row r="244" spans="1:11" ht="13.9" x14ac:dyDescent="0.3">
      <c r="A244" s="2" t="s">
        <v>261</v>
      </c>
      <c r="B244" s="2">
        <v>0</v>
      </c>
      <c r="C244" s="2">
        <v>0</v>
      </c>
      <c r="D244" s="2">
        <v>0</v>
      </c>
      <c r="E244" s="2">
        <v>1.01</v>
      </c>
      <c r="F244" s="2">
        <v>4.7699999999999996</v>
      </c>
      <c r="G244" s="2">
        <v>5.67</v>
      </c>
      <c r="H244" s="2" t="e">
        <f t="shared" si="9"/>
        <v>#NUM!</v>
      </c>
      <c r="I244" s="2">
        <f t="shared" si="10"/>
        <v>5.5558572717991181E-2</v>
      </c>
      <c r="J244" s="2"/>
      <c r="K244" s="2" t="e">
        <f t="shared" si="11"/>
        <v>#NUM!</v>
      </c>
    </row>
    <row r="245" spans="1:11" ht="13.9" x14ac:dyDescent="0.3">
      <c r="A245" s="2" t="s">
        <v>262</v>
      </c>
      <c r="B245" s="2">
        <v>548.24</v>
      </c>
      <c r="C245" s="2">
        <v>896.75</v>
      </c>
      <c r="D245" s="2">
        <v>893.9</v>
      </c>
      <c r="E245" s="2">
        <v>540.77</v>
      </c>
      <c r="F245" s="2">
        <v>488.55</v>
      </c>
      <c r="G245" s="2">
        <v>553.05999999999995</v>
      </c>
      <c r="H245" s="2">
        <f t="shared" si="9"/>
        <v>0.56372791527287036</v>
      </c>
      <c r="I245" s="2">
        <f t="shared" si="10"/>
        <v>9.8157963174418369E-2</v>
      </c>
      <c r="J245" s="2"/>
      <c r="K245" s="2">
        <f t="shared" si="11"/>
        <v>11.191608296764461</v>
      </c>
    </row>
    <row r="246" spans="1:11" ht="13.9" x14ac:dyDescent="0.3">
      <c r="A246" s="2" t="s">
        <v>263</v>
      </c>
      <c r="B246" s="2">
        <v>2.1</v>
      </c>
      <c r="C246" s="2">
        <v>20.53</v>
      </c>
      <c r="D246" s="2">
        <v>0.78</v>
      </c>
      <c r="E246" s="2">
        <v>41.79</v>
      </c>
      <c r="F246" s="2">
        <v>71.41</v>
      </c>
      <c r="G246" s="2">
        <v>32.33</v>
      </c>
      <c r="H246" s="2">
        <f t="shared" si="9"/>
        <v>-2.6361197458039607</v>
      </c>
      <c r="I246" s="2">
        <f t="shared" si="10"/>
        <v>3.8369023197986227E-2</v>
      </c>
      <c r="J246" s="2"/>
      <c r="K246" s="2">
        <f t="shared" si="11"/>
        <v>4.5490530293372879</v>
      </c>
    </row>
    <row r="247" spans="1:11" ht="13.9" x14ac:dyDescent="0.3">
      <c r="A247" s="2" t="s">
        <v>264</v>
      </c>
      <c r="B247" s="2">
        <v>4.72</v>
      </c>
      <c r="C247" s="2">
        <v>21.98</v>
      </c>
      <c r="D247" s="2">
        <v>0</v>
      </c>
      <c r="E247" s="2">
        <v>1.89</v>
      </c>
      <c r="F247" s="2">
        <v>6.43</v>
      </c>
      <c r="G247" s="2">
        <v>1.02</v>
      </c>
      <c r="H247" s="2">
        <f t="shared" si="9"/>
        <v>1.5153452868652542</v>
      </c>
      <c r="I247" s="2">
        <f t="shared" si="10"/>
        <v>0.44811522562961581</v>
      </c>
      <c r="J247" s="2"/>
      <c r="K247" s="2">
        <f t="shared" si="11"/>
        <v>4.738767836800192</v>
      </c>
    </row>
    <row r="248" spans="1:11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9"/>
        <v>#DIV/0!</v>
      </c>
      <c r="I248" s="2" t="e">
        <f t="shared" si="10"/>
        <v>#DIV/0!</v>
      </c>
      <c r="J248" s="2"/>
      <c r="K248" s="2" t="e">
        <f t="shared" si="11"/>
        <v>#NUM!</v>
      </c>
    </row>
    <row r="249" spans="1:11" ht="13.9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0</v>
      </c>
      <c r="F249" s="2">
        <v>0.78</v>
      </c>
      <c r="G249" s="2">
        <v>0</v>
      </c>
      <c r="H249" s="2" t="e">
        <f t="shared" si="9"/>
        <v>#NUM!</v>
      </c>
      <c r="I249" s="2">
        <f t="shared" si="10"/>
        <v>0.37390096630005903</v>
      </c>
      <c r="J249" s="2"/>
      <c r="K249" s="2" t="e">
        <f t="shared" si="11"/>
        <v>#NUM!</v>
      </c>
    </row>
    <row r="250" spans="1:11" ht="13.9" x14ac:dyDescent="0.3">
      <c r="A250" s="2" t="s">
        <v>267</v>
      </c>
      <c r="B250" s="2">
        <v>7852.53</v>
      </c>
      <c r="C250" s="2">
        <v>10454.469999999999</v>
      </c>
      <c r="D250" s="2">
        <v>5392.69</v>
      </c>
      <c r="E250" s="2">
        <v>20250.41</v>
      </c>
      <c r="F250" s="2">
        <v>22697.8</v>
      </c>
      <c r="G250" s="2">
        <v>19031.53</v>
      </c>
      <c r="H250" s="2">
        <f t="shared" si="9"/>
        <v>-1.386928514642237</v>
      </c>
      <c r="I250" s="2">
        <f t="shared" si="10"/>
        <v>2.161233626520855E-3</v>
      </c>
      <c r="J250" s="2"/>
      <c r="K250" s="2">
        <f t="shared" si="11"/>
        <v>14.532580567854939</v>
      </c>
    </row>
    <row r="251" spans="1:11" ht="13.9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1.36</v>
      </c>
      <c r="H251" s="2" t="e">
        <f t="shared" si="9"/>
        <v>#NUM!</v>
      </c>
      <c r="I251" s="2">
        <f t="shared" si="10"/>
        <v>0.37390096630005903</v>
      </c>
      <c r="J251" s="2"/>
      <c r="K251" s="2" t="e">
        <f t="shared" si="11"/>
        <v>#NUM!</v>
      </c>
    </row>
    <row r="252" spans="1:11" ht="13.9" x14ac:dyDescent="0.3">
      <c r="A252" s="2" t="s">
        <v>269</v>
      </c>
      <c r="B252" s="2">
        <v>632.15</v>
      </c>
      <c r="C252" s="2">
        <v>645.74</v>
      </c>
      <c r="D252" s="2">
        <v>815.58</v>
      </c>
      <c r="E252" s="2">
        <v>1908.19</v>
      </c>
      <c r="F252" s="2">
        <v>1897.31</v>
      </c>
      <c r="G252" s="2">
        <v>1836.05</v>
      </c>
      <c r="H252" s="2">
        <f t="shared" si="9"/>
        <v>-1.4301953494814912</v>
      </c>
      <c r="I252" s="2">
        <f t="shared" si="10"/>
        <v>4.7816961235657718E-5</v>
      </c>
      <c r="J252" s="2"/>
      <c r="K252" s="2">
        <f t="shared" si="11"/>
        <v>11.031680528672313</v>
      </c>
    </row>
    <row r="253" spans="1:11" ht="13.9" x14ac:dyDescent="0.3">
      <c r="A253" s="2" t="s">
        <v>270</v>
      </c>
      <c r="B253" s="2">
        <v>468.67</v>
      </c>
      <c r="C253" s="2">
        <v>844.7</v>
      </c>
      <c r="D253" s="2">
        <v>603.19000000000005</v>
      </c>
      <c r="E253" s="2">
        <v>1209.82</v>
      </c>
      <c r="F253" s="2">
        <v>1180.24</v>
      </c>
      <c r="G253" s="2">
        <v>1361.95</v>
      </c>
      <c r="H253" s="2">
        <f t="shared" si="9"/>
        <v>-0.96914450899787907</v>
      </c>
      <c r="I253" s="2">
        <f t="shared" si="10"/>
        <v>7.7550314564555365E-3</v>
      </c>
      <c r="J253" s="2"/>
      <c r="K253" s="2">
        <f t="shared" si="11"/>
        <v>10.90430344864841</v>
      </c>
    </row>
    <row r="254" spans="1:11" ht="13.9" x14ac:dyDescent="0.3">
      <c r="A254" s="2" t="s">
        <v>271</v>
      </c>
      <c r="B254" s="2">
        <v>267.7</v>
      </c>
      <c r="C254" s="2">
        <v>288.31</v>
      </c>
      <c r="D254" s="2">
        <v>178.42</v>
      </c>
      <c r="E254" s="2">
        <v>642.99</v>
      </c>
      <c r="F254" s="2">
        <v>544.77</v>
      </c>
      <c r="G254" s="2">
        <v>532.53</v>
      </c>
      <c r="H254" s="2">
        <f t="shared" si="9"/>
        <v>-1.2279548932360211</v>
      </c>
      <c r="I254" s="2">
        <f t="shared" si="10"/>
        <v>2.4902431033459278E-3</v>
      </c>
      <c r="J254" s="2"/>
      <c r="K254" s="2">
        <f t="shared" si="11"/>
        <v>9.5204811809437206</v>
      </c>
    </row>
    <row r="255" spans="1:11" ht="13.9" x14ac:dyDescent="0.3">
      <c r="A255" s="2" t="s">
        <v>272</v>
      </c>
      <c r="B255" s="2">
        <v>428.03</v>
      </c>
      <c r="C255" s="2">
        <v>493.34</v>
      </c>
      <c r="D255" s="2">
        <v>442.41</v>
      </c>
      <c r="E255" s="2">
        <v>1132.02</v>
      </c>
      <c r="F255" s="2">
        <v>1309.52</v>
      </c>
      <c r="G255" s="2">
        <v>1252.24</v>
      </c>
      <c r="H255" s="2">
        <f t="shared" si="9"/>
        <v>-1.4374870097167236</v>
      </c>
      <c r="I255" s="2">
        <f t="shared" si="10"/>
        <v>1.5592365074224013E-4</v>
      </c>
      <c r="J255" s="2"/>
      <c r="K255" s="2">
        <f t="shared" si="11"/>
        <v>10.41339521750808</v>
      </c>
    </row>
    <row r="256" spans="1:11" ht="13.9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0.11</v>
      </c>
      <c r="G256" s="2">
        <v>0</v>
      </c>
      <c r="H256" s="2" t="e">
        <f t="shared" si="9"/>
        <v>#NUM!</v>
      </c>
      <c r="I256" s="2">
        <f t="shared" si="10"/>
        <v>0.37390096630005903</v>
      </c>
      <c r="J256" s="2"/>
      <c r="K256" s="2" t="e">
        <f t="shared" si="11"/>
        <v>#NUM!</v>
      </c>
    </row>
    <row r="257" spans="1:11" ht="13.9" x14ac:dyDescent="0.3">
      <c r="A257" s="2" t="s">
        <v>274</v>
      </c>
      <c r="B257" s="2">
        <v>4.2</v>
      </c>
      <c r="C257" s="2">
        <v>8.39</v>
      </c>
      <c r="D257" s="2">
        <v>1.82</v>
      </c>
      <c r="E257" s="2">
        <v>3.02</v>
      </c>
      <c r="F257" s="2">
        <v>19.850000000000001</v>
      </c>
      <c r="G257" s="2">
        <v>20.53</v>
      </c>
      <c r="H257" s="2">
        <f t="shared" si="9"/>
        <v>-1.5906247071570943</v>
      </c>
      <c r="I257" s="2">
        <f t="shared" si="10"/>
        <v>0.18488060882337512</v>
      </c>
      <c r="J257" s="2"/>
      <c r="K257" s="2">
        <f t="shared" si="11"/>
        <v>3.8489984304000231</v>
      </c>
    </row>
    <row r="258" spans="1:11" ht="13.9" x14ac:dyDescent="0.3">
      <c r="A258" s="2" t="s">
        <v>275</v>
      </c>
      <c r="B258" s="2">
        <v>26.87</v>
      </c>
      <c r="C258" s="2">
        <v>16.190000000000001</v>
      </c>
      <c r="D258" s="2">
        <v>6.74</v>
      </c>
      <c r="E258" s="2">
        <v>23.67</v>
      </c>
      <c r="F258" s="2">
        <v>25.28</v>
      </c>
      <c r="G258" s="2">
        <v>29.16</v>
      </c>
      <c r="H258" s="2">
        <f t="shared" ref="H258:H321" si="12">LOG(SUM(B258:D258)/SUM(E258:G258),2)</f>
        <v>-0.64936151832572075</v>
      </c>
      <c r="I258" s="2">
        <f t="shared" ref="I258:I321" si="13">_xlfn.T.TEST(B258:D258,E258:G258,2,2)</f>
        <v>0.19315387438414822</v>
      </c>
      <c r="J258" s="2"/>
      <c r="K258" s="2">
        <f t="shared" si="11"/>
        <v>5.6380738371807189</v>
      </c>
    </row>
    <row r="259" spans="1:11" ht="13.9" x14ac:dyDescent="0.3">
      <c r="A259" s="2" t="s">
        <v>276</v>
      </c>
      <c r="B259" s="2">
        <v>0</v>
      </c>
      <c r="C259" s="2">
        <v>0</v>
      </c>
      <c r="D259" s="2">
        <v>0</v>
      </c>
      <c r="E259" s="2">
        <v>0.76</v>
      </c>
      <c r="F259" s="2">
        <v>1.55</v>
      </c>
      <c r="G259" s="2">
        <v>0.56999999999999995</v>
      </c>
      <c r="H259" s="2" t="e">
        <f t="shared" si="12"/>
        <v>#NUM!</v>
      </c>
      <c r="I259" s="2">
        <f t="shared" si="13"/>
        <v>3.2919397905964327E-2</v>
      </c>
      <c r="J259" s="2"/>
      <c r="K259" s="2" t="e">
        <f t="shared" ref="K259:K322" si="14">LOG(SUM(B259:D259),2)</f>
        <v>#NUM!</v>
      </c>
    </row>
    <row r="260" spans="1:11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12"/>
        <v>#DIV/0!</v>
      </c>
      <c r="I260" s="2" t="e">
        <f t="shared" si="13"/>
        <v>#DIV/0!</v>
      </c>
      <c r="J260" s="2"/>
      <c r="K260" s="2" t="e">
        <f t="shared" si="14"/>
        <v>#NUM!</v>
      </c>
    </row>
    <row r="261" spans="1:11" ht="13.9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0.91</v>
      </c>
      <c r="H261" s="2" t="e">
        <f t="shared" si="12"/>
        <v>#NUM!</v>
      </c>
      <c r="I261" s="2">
        <f t="shared" si="13"/>
        <v>0.37390096630005903</v>
      </c>
      <c r="J261" s="2"/>
      <c r="K261" s="2" t="e">
        <f t="shared" si="14"/>
        <v>#NUM!</v>
      </c>
    </row>
    <row r="262" spans="1:11" ht="13.9" x14ac:dyDescent="0.3">
      <c r="A262" s="2" t="s">
        <v>279</v>
      </c>
      <c r="B262" s="2">
        <v>133.72</v>
      </c>
      <c r="C262" s="2">
        <v>229.32</v>
      </c>
      <c r="D262" s="2">
        <v>261.92</v>
      </c>
      <c r="E262" s="2">
        <v>136.33000000000001</v>
      </c>
      <c r="F262" s="2">
        <v>133.84</v>
      </c>
      <c r="G262" s="2">
        <v>110.84</v>
      </c>
      <c r="H262" s="2">
        <f t="shared" si="12"/>
        <v>0.71393499110409375</v>
      </c>
      <c r="I262" s="2">
        <f t="shared" si="13"/>
        <v>0.10743353852565017</v>
      </c>
      <c r="J262" s="2"/>
      <c r="K262" s="2">
        <f t="shared" si="14"/>
        <v>9.2876200441120673</v>
      </c>
    </row>
    <row r="263" spans="1:11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12"/>
        <v>#DIV/0!</v>
      </c>
      <c r="I263" s="2" t="e">
        <f t="shared" si="13"/>
        <v>#DIV/0!</v>
      </c>
      <c r="J263" s="2"/>
      <c r="K263" s="2" t="e">
        <f t="shared" si="14"/>
        <v>#NUM!</v>
      </c>
    </row>
    <row r="264" spans="1:11" ht="13.9" x14ac:dyDescent="0.3">
      <c r="A264" s="2" t="s">
        <v>281</v>
      </c>
      <c r="B264" s="2">
        <v>0</v>
      </c>
      <c r="C264" s="2">
        <v>0</v>
      </c>
      <c r="D264" s="2">
        <v>0</v>
      </c>
      <c r="E264" s="2">
        <v>0.38</v>
      </c>
      <c r="F264" s="2">
        <v>0</v>
      </c>
      <c r="G264" s="2">
        <v>0</v>
      </c>
      <c r="H264" s="2" t="e">
        <f t="shared" si="12"/>
        <v>#NUM!</v>
      </c>
      <c r="I264" s="2">
        <f t="shared" si="13"/>
        <v>0.37390096630005903</v>
      </c>
      <c r="J264" s="2"/>
      <c r="K264" s="2" t="e">
        <f t="shared" si="14"/>
        <v>#NUM!</v>
      </c>
    </row>
    <row r="265" spans="1:11" ht="13.9" x14ac:dyDescent="0.3">
      <c r="A265" s="2" t="s">
        <v>282</v>
      </c>
      <c r="B265" s="2">
        <v>23.6</v>
      </c>
      <c r="C265" s="2">
        <v>45.4</v>
      </c>
      <c r="D265" s="2">
        <v>32.159999999999997</v>
      </c>
      <c r="E265" s="2">
        <v>24.8</v>
      </c>
      <c r="F265" s="2">
        <v>21.95</v>
      </c>
      <c r="G265" s="2">
        <v>14.07</v>
      </c>
      <c r="H265" s="2">
        <f t="shared" si="12"/>
        <v>0.73402122063244069</v>
      </c>
      <c r="I265" s="2">
        <f t="shared" si="13"/>
        <v>0.13144050647057537</v>
      </c>
      <c r="J265" s="2"/>
      <c r="K265" s="2">
        <f t="shared" si="14"/>
        <v>6.6604951318885144</v>
      </c>
    </row>
    <row r="266" spans="1:11" ht="13.9" x14ac:dyDescent="0.3">
      <c r="A266" s="2" t="s">
        <v>283</v>
      </c>
      <c r="B266" s="2">
        <v>8.52</v>
      </c>
      <c r="C266" s="2">
        <v>19.09</v>
      </c>
      <c r="D266" s="2">
        <v>5.45</v>
      </c>
      <c r="E266" s="2">
        <v>6.92</v>
      </c>
      <c r="F266" s="2">
        <v>6.76</v>
      </c>
      <c r="G266" s="2">
        <v>8.51</v>
      </c>
      <c r="H266" s="2">
        <f t="shared" si="12"/>
        <v>0.57517705709530265</v>
      </c>
      <c r="I266" s="2">
        <f t="shared" si="13"/>
        <v>0.43380264963883836</v>
      </c>
      <c r="J266" s="2"/>
      <c r="K266" s="2">
        <f t="shared" si="14"/>
        <v>5.0470148195175888</v>
      </c>
    </row>
    <row r="267" spans="1:11" ht="13.9" x14ac:dyDescent="0.3">
      <c r="A267" s="2" t="s">
        <v>284</v>
      </c>
      <c r="B267" s="2">
        <v>0.13</v>
      </c>
      <c r="C267" s="2">
        <v>0</v>
      </c>
      <c r="D267" s="2">
        <v>0</v>
      </c>
      <c r="E267" s="2">
        <v>8.06</v>
      </c>
      <c r="F267" s="2">
        <v>2.77</v>
      </c>
      <c r="G267" s="2">
        <v>0.11</v>
      </c>
      <c r="H267" s="5">
        <f t="shared" si="12"/>
        <v>-6.3949573046514638</v>
      </c>
      <c r="I267" s="5">
        <f t="shared" si="13"/>
        <v>0.19794414000147925</v>
      </c>
      <c r="J267" s="2"/>
      <c r="K267" s="2">
        <f t="shared" si="14"/>
        <v>-2.9434164716336326</v>
      </c>
    </row>
    <row r="268" spans="1:11" ht="13.9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0.78</v>
      </c>
      <c r="G268" s="2">
        <v>0</v>
      </c>
      <c r="H268" s="2" t="e">
        <f t="shared" si="12"/>
        <v>#NUM!</v>
      </c>
      <c r="I268" s="2">
        <f t="shared" si="13"/>
        <v>0.37390096630005903</v>
      </c>
      <c r="J268" s="2"/>
      <c r="K268" s="2" t="e">
        <f t="shared" si="14"/>
        <v>#NUM!</v>
      </c>
    </row>
    <row r="269" spans="1:11" ht="13.9" x14ac:dyDescent="0.3">
      <c r="A269" s="2" t="s">
        <v>286</v>
      </c>
      <c r="B269" s="2">
        <v>7.73</v>
      </c>
      <c r="C269" s="2">
        <v>0</v>
      </c>
      <c r="D269" s="2">
        <v>0</v>
      </c>
      <c r="E269" s="2">
        <v>0</v>
      </c>
      <c r="F269" s="2">
        <v>0.44</v>
      </c>
      <c r="G269" s="2">
        <v>0</v>
      </c>
      <c r="H269" s="2">
        <f t="shared" si="12"/>
        <v>4.13489298528755</v>
      </c>
      <c r="I269" s="2">
        <f t="shared" si="13"/>
        <v>0.39973154755034135</v>
      </c>
      <c r="J269" s="2"/>
      <c r="K269" s="2">
        <f t="shared" si="14"/>
        <v>2.950468414150123</v>
      </c>
    </row>
    <row r="270" spans="1:11" ht="13.9" x14ac:dyDescent="0.3">
      <c r="A270" s="2" t="s">
        <v>287</v>
      </c>
      <c r="B270" s="2">
        <v>4.72</v>
      </c>
      <c r="C270" s="2">
        <v>0</v>
      </c>
      <c r="D270" s="2">
        <v>0.26</v>
      </c>
      <c r="E270" s="2">
        <v>4.28</v>
      </c>
      <c r="F270" s="2">
        <v>6.54</v>
      </c>
      <c r="G270" s="2">
        <v>4.08</v>
      </c>
      <c r="H270" s="2">
        <f t="shared" si="12"/>
        <v>-1.581094683281443</v>
      </c>
      <c r="I270" s="2">
        <f t="shared" si="13"/>
        <v>0.1273977177493002</v>
      </c>
      <c r="J270" s="2"/>
      <c r="K270" s="2">
        <f t="shared" si="14"/>
        <v>2.3161457422933562</v>
      </c>
    </row>
    <row r="271" spans="1:11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 t="e">
        <f t="shared" si="12"/>
        <v>#DIV/0!</v>
      </c>
      <c r="I271" s="2" t="e">
        <f t="shared" si="13"/>
        <v>#DIV/0!</v>
      </c>
      <c r="J271" s="2"/>
      <c r="K271" s="2" t="e">
        <f t="shared" si="14"/>
        <v>#NUM!</v>
      </c>
    </row>
    <row r="272" spans="1:11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12"/>
        <v>#DIV/0!</v>
      </c>
      <c r="I272" s="2" t="e">
        <f t="shared" si="13"/>
        <v>#DIV/0!</v>
      </c>
      <c r="J272" s="2"/>
      <c r="K272" s="2" t="e">
        <f t="shared" si="14"/>
        <v>#NUM!</v>
      </c>
    </row>
    <row r="273" spans="1:11" ht="13.9" x14ac:dyDescent="0.3">
      <c r="A273" s="2" t="s">
        <v>290</v>
      </c>
      <c r="B273" s="2">
        <v>13.63</v>
      </c>
      <c r="C273" s="2">
        <v>0.28999999999999998</v>
      </c>
      <c r="D273" s="2">
        <v>1.3</v>
      </c>
      <c r="E273" s="2">
        <v>41.29</v>
      </c>
      <c r="F273" s="2">
        <v>50.45</v>
      </c>
      <c r="G273" s="2">
        <v>49.01</v>
      </c>
      <c r="H273" s="2">
        <f t="shared" si="12"/>
        <v>-3.2090946583514093</v>
      </c>
      <c r="I273" s="2">
        <f t="shared" si="13"/>
        <v>1.2439837296676468E-3</v>
      </c>
      <c r="J273" s="2"/>
      <c r="K273" s="2">
        <f t="shared" si="14"/>
        <v>3.9278964537288208</v>
      </c>
    </row>
    <row r="274" spans="1:11" ht="13.9" x14ac:dyDescent="0.3">
      <c r="A274" s="2" t="s">
        <v>291</v>
      </c>
      <c r="B274" s="2">
        <v>65.55</v>
      </c>
      <c r="C274" s="2">
        <v>128.69</v>
      </c>
      <c r="D274" s="2">
        <v>98.28</v>
      </c>
      <c r="E274" s="2">
        <v>86.6</v>
      </c>
      <c r="F274" s="2">
        <v>77.62</v>
      </c>
      <c r="G274" s="2">
        <v>53.77</v>
      </c>
      <c r="H274" s="2">
        <f t="shared" si="12"/>
        <v>0.42427331232575566</v>
      </c>
      <c r="I274" s="2">
        <f t="shared" si="13"/>
        <v>0.29621783216816427</v>
      </c>
      <c r="J274" s="2"/>
      <c r="K274" s="2">
        <f t="shared" si="14"/>
        <v>8.1923914569131764</v>
      </c>
    </row>
    <row r="275" spans="1:11" ht="13.9" x14ac:dyDescent="0.3">
      <c r="A275" s="2" t="s">
        <v>292</v>
      </c>
      <c r="B275" s="2">
        <v>0</v>
      </c>
      <c r="C275" s="2">
        <v>10.119999999999999</v>
      </c>
      <c r="D275" s="2">
        <v>11.67</v>
      </c>
      <c r="E275" s="2">
        <v>2.9</v>
      </c>
      <c r="F275" s="2">
        <v>5.77</v>
      </c>
      <c r="G275" s="2">
        <v>2.16</v>
      </c>
      <c r="H275" s="2">
        <f t="shared" si="12"/>
        <v>1.0086329535075798</v>
      </c>
      <c r="I275" s="2">
        <f t="shared" si="13"/>
        <v>0.39317318072703367</v>
      </c>
      <c r="J275" s="2"/>
      <c r="K275" s="2">
        <f t="shared" si="14"/>
        <v>4.4455942913411821</v>
      </c>
    </row>
    <row r="276" spans="1:11" ht="13.9" x14ac:dyDescent="0.3">
      <c r="A276" s="2" t="s">
        <v>293</v>
      </c>
      <c r="B276" s="2">
        <v>163.47999999999999</v>
      </c>
      <c r="C276" s="2">
        <v>141.99</v>
      </c>
      <c r="D276" s="2">
        <v>109.7</v>
      </c>
      <c r="E276" s="2">
        <v>30.97</v>
      </c>
      <c r="F276" s="2">
        <v>35.369999999999997</v>
      </c>
      <c r="G276" s="2">
        <v>23.14</v>
      </c>
      <c r="H276" s="2">
        <f t="shared" si="12"/>
        <v>2.2140650374488495</v>
      </c>
      <c r="I276" s="2">
        <f t="shared" si="13"/>
        <v>2.4821193527712676E-3</v>
      </c>
      <c r="J276" s="2"/>
      <c r="K276" s="2">
        <f t="shared" si="14"/>
        <v>8.6975583887332437</v>
      </c>
    </row>
    <row r="277" spans="1:11" ht="13.9" x14ac:dyDescent="0.3">
      <c r="A277" s="2" t="s">
        <v>294</v>
      </c>
      <c r="B277" s="2">
        <v>8.39</v>
      </c>
      <c r="C277" s="2">
        <v>13.88</v>
      </c>
      <c r="D277" s="2">
        <v>0</v>
      </c>
      <c r="E277" s="2">
        <v>7.68</v>
      </c>
      <c r="F277" s="2">
        <v>8.8699999999999992</v>
      </c>
      <c r="G277" s="2">
        <v>6.24</v>
      </c>
      <c r="H277" s="2">
        <f t="shared" si="12"/>
        <v>-3.3299366477507253E-2</v>
      </c>
      <c r="I277" s="2">
        <f t="shared" si="13"/>
        <v>0.96835737830194357</v>
      </c>
      <c r="J277" s="2"/>
      <c r="K277" s="2">
        <f t="shared" si="14"/>
        <v>4.4770296530130658</v>
      </c>
    </row>
    <row r="278" spans="1:11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 t="e">
        <f t="shared" si="12"/>
        <v>#DIV/0!</v>
      </c>
      <c r="I278" s="2" t="e">
        <f t="shared" si="13"/>
        <v>#DIV/0!</v>
      </c>
      <c r="J278" s="2"/>
      <c r="K278" s="2" t="e">
        <f t="shared" si="14"/>
        <v>#NUM!</v>
      </c>
    </row>
    <row r="279" spans="1:11" ht="13.9" x14ac:dyDescent="0.3">
      <c r="A279" s="2" t="s">
        <v>296</v>
      </c>
      <c r="B279" s="2">
        <v>731.25</v>
      </c>
      <c r="C279" s="2">
        <v>1529.48</v>
      </c>
      <c r="D279" s="2">
        <v>675.55</v>
      </c>
      <c r="E279" s="2">
        <v>459.46</v>
      </c>
      <c r="F279" s="2">
        <v>560.62</v>
      </c>
      <c r="G279" s="2">
        <v>377.1</v>
      </c>
      <c r="H279" s="2">
        <f t="shared" si="12"/>
        <v>1.0714716518753986</v>
      </c>
      <c r="I279" s="2">
        <f t="shared" si="13"/>
        <v>0.14180770459125874</v>
      </c>
      <c r="J279" s="2"/>
      <c r="K279" s="2">
        <f t="shared" si="14"/>
        <v>11.519773833003475</v>
      </c>
    </row>
    <row r="280" spans="1:11" ht="13.9" x14ac:dyDescent="0.3">
      <c r="A280" s="2" t="s">
        <v>297</v>
      </c>
      <c r="B280" s="2">
        <v>0</v>
      </c>
      <c r="C280" s="2">
        <v>0</v>
      </c>
      <c r="D280" s="2">
        <v>0</v>
      </c>
      <c r="E280" s="2">
        <v>1.01</v>
      </c>
      <c r="F280" s="2">
        <v>0</v>
      </c>
      <c r="G280" s="2">
        <v>0</v>
      </c>
      <c r="H280" s="2" t="e">
        <f t="shared" si="12"/>
        <v>#NUM!</v>
      </c>
      <c r="I280" s="2">
        <f t="shared" si="13"/>
        <v>0.37390096630005903</v>
      </c>
      <c r="J280" s="2"/>
      <c r="K280" s="2" t="e">
        <f t="shared" si="14"/>
        <v>#NUM!</v>
      </c>
    </row>
    <row r="281" spans="1:11" ht="13.9" x14ac:dyDescent="0.3">
      <c r="A281" s="2" t="s">
        <v>298</v>
      </c>
      <c r="B281" s="2">
        <v>2152.08</v>
      </c>
      <c r="C281" s="2">
        <v>3143.69</v>
      </c>
      <c r="D281" s="2">
        <v>2112.21</v>
      </c>
      <c r="E281" s="2">
        <v>5653.44</v>
      </c>
      <c r="F281" s="2">
        <v>5625.85</v>
      </c>
      <c r="G281" s="2">
        <v>4182.7299999999996</v>
      </c>
      <c r="H281" s="2">
        <f t="shared" si="12"/>
        <v>-1.0615767004065884</v>
      </c>
      <c r="I281" s="2">
        <f t="shared" si="13"/>
        <v>1.0499696310510835E-2</v>
      </c>
      <c r="J281" s="2"/>
      <c r="K281" s="2">
        <f t="shared" si="14"/>
        <v>12.854864488289964</v>
      </c>
    </row>
    <row r="282" spans="1:11" ht="13.9" x14ac:dyDescent="0.3">
      <c r="A282" s="2" t="s">
        <v>299</v>
      </c>
      <c r="B282" s="2">
        <v>67.78</v>
      </c>
      <c r="C282" s="2">
        <v>117.12</v>
      </c>
      <c r="D282" s="2">
        <v>97.51</v>
      </c>
      <c r="E282" s="2">
        <v>286.62</v>
      </c>
      <c r="F282" s="2">
        <v>320.67</v>
      </c>
      <c r="G282" s="2">
        <v>331.84</v>
      </c>
      <c r="H282" s="2">
        <f t="shared" si="12"/>
        <v>-1.7335337035524534</v>
      </c>
      <c r="I282" s="2">
        <f t="shared" si="13"/>
        <v>3.7798189299792978E-4</v>
      </c>
      <c r="J282" s="2"/>
      <c r="K282" s="2">
        <f t="shared" si="14"/>
        <v>8.1416473644142027</v>
      </c>
    </row>
    <row r="283" spans="1:11" ht="13.9" x14ac:dyDescent="0.3">
      <c r="A283" s="2" t="s">
        <v>300</v>
      </c>
      <c r="B283" s="2">
        <v>1234.8</v>
      </c>
      <c r="C283" s="2">
        <v>1659.9</v>
      </c>
      <c r="D283" s="2">
        <v>1787.02</v>
      </c>
      <c r="E283" s="2">
        <v>1149.9000000000001</v>
      </c>
      <c r="F283" s="2">
        <v>945.27</v>
      </c>
      <c r="G283" s="2">
        <v>1144.81</v>
      </c>
      <c r="H283" s="2">
        <f t="shared" si="12"/>
        <v>0.53105374609559919</v>
      </c>
      <c r="I283" s="2">
        <f t="shared" si="13"/>
        <v>5.5856591810254423E-2</v>
      </c>
      <c r="J283" s="2"/>
      <c r="K283" s="2">
        <f t="shared" si="14"/>
        <v>12.192822938315157</v>
      </c>
    </row>
    <row r="284" spans="1:11" ht="13.9" x14ac:dyDescent="0.3">
      <c r="A284" s="2" t="s">
        <v>301</v>
      </c>
      <c r="B284" s="2">
        <v>0</v>
      </c>
      <c r="C284" s="2">
        <v>0</v>
      </c>
      <c r="D284" s="2">
        <v>0</v>
      </c>
      <c r="E284" s="2">
        <v>0.25</v>
      </c>
      <c r="F284" s="2">
        <v>0.67</v>
      </c>
      <c r="G284" s="2">
        <v>0.91</v>
      </c>
      <c r="H284" s="2" t="e">
        <f t="shared" si="12"/>
        <v>#NUM!</v>
      </c>
      <c r="I284" s="2">
        <f t="shared" si="13"/>
        <v>3.4095517725046924E-2</v>
      </c>
      <c r="J284" s="2"/>
      <c r="K284" s="2" t="e">
        <f t="shared" si="14"/>
        <v>#NUM!</v>
      </c>
    </row>
    <row r="285" spans="1:11" ht="13.9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0</v>
      </c>
      <c r="F285" s="2">
        <v>0.33</v>
      </c>
      <c r="G285" s="2">
        <v>0.34</v>
      </c>
      <c r="H285" s="2" t="e">
        <f t="shared" si="12"/>
        <v>#NUM!</v>
      </c>
      <c r="I285" s="2">
        <f t="shared" si="13"/>
        <v>0.11620512105041363</v>
      </c>
      <c r="J285" s="2"/>
      <c r="K285" s="2" t="e">
        <f t="shared" si="14"/>
        <v>#NUM!</v>
      </c>
    </row>
    <row r="286" spans="1:11" ht="13.9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0.22</v>
      </c>
      <c r="G286" s="2">
        <v>0</v>
      </c>
      <c r="H286" s="2" t="e">
        <f t="shared" si="12"/>
        <v>#NUM!</v>
      </c>
      <c r="I286" s="2">
        <f t="shared" si="13"/>
        <v>0.37390096630005903</v>
      </c>
      <c r="J286" s="2"/>
      <c r="K286" s="2" t="e">
        <f t="shared" si="14"/>
        <v>#NUM!</v>
      </c>
    </row>
    <row r="287" spans="1:11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 t="e">
        <f t="shared" si="12"/>
        <v>#DIV/0!</v>
      </c>
      <c r="I287" s="2" t="e">
        <f t="shared" si="13"/>
        <v>#DIV/0!</v>
      </c>
      <c r="J287" s="2"/>
      <c r="K287" s="2" t="e">
        <f t="shared" si="14"/>
        <v>#NUM!</v>
      </c>
    </row>
    <row r="288" spans="1:11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12"/>
        <v>#DIV/0!</v>
      </c>
      <c r="I288" s="2" t="e">
        <f t="shared" si="13"/>
        <v>#DIV/0!</v>
      </c>
      <c r="J288" s="2"/>
      <c r="K288" s="2" t="e">
        <f t="shared" si="14"/>
        <v>#NUM!</v>
      </c>
    </row>
    <row r="289" spans="1:11" ht="13.9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0.22</v>
      </c>
      <c r="G289" s="2">
        <v>0</v>
      </c>
      <c r="H289" s="2" t="e">
        <f t="shared" si="12"/>
        <v>#NUM!</v>
      </c>
      <c r="I289" s="2">
        <f t="shared" si="13"/>
        <v>0.37390096630005903</v>
      </c>
      <c r="J289" s="2"/>
      <c r="K289" s="2" t="e">
        <f t="shared" si="14"/>
        <v>#NUM!</v>
      </c>
    </row>
    <row r="290" spans="1:11" ht="13.9" x14ac:dyDescent="0.3">
      <c r="A290" s="2" t="s">
        <v>307</v>
      </c>
      <c r="B290" s="2">
        <v>0</v>
      </c>
      <c r="C290" s="2">
        <v>0</v>
      </c>
      <c r="D290" s="2">
        <v>0</v>
      </c>
      <c r="E290" s="2">
        <v>1.51</v>
      </c>
      <c r="F290" s="2">
        <v>0.67</v>
      </c>
      <c r="G290" s="2">
        <v>0.56999999999999995</v>
      </c>
      <c r="H290" s="2" t="e">
        <f t="shared" si="12"/>
        <v>#NUM!</v>
      </c>
      <c r="I290" s="2">
        <f t="shared" si="13"/>
        <v>3.7098673615462478E-2</v>
      </c>
      <c r="J290" s="2"/>
      <c r="K290" s="2" t="e">
        <f t="shared" si="14"/>
        <v>#NUM!</v>
      </c>
    </row>
    <row r="291" spans="1:11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12"/>
        <v>#DIV/0!</v>
      </c>
      <c r="I291" s="2" t="e">
        <f t="shared" si="13"/>
        <v>#DIV/0!</v>
      </c>
      <c r="J291" s="2"/>
      <c r="K291" s="2" t="e">
        <f t="shared" si="14"/>
        <v>#NUM!</v>
      </c>
    </row>
    <row r="292" spans="1:11" ht="13.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12"/>
        <v>#DIV/0!</v>
      </c>
      <c r="I292" s="2" t="e">
        <f t="shared" si="13"/>
        <v>#DIV/0!</v>
      </c>
      <c r="J292" s="2"/>
      <c r="K292" s="2" t="e">
        <f t="shared" si="14"/>
        <v>#NUM!</v>
      </c>
    </row>
    <row r="293" spans="1:11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12"/>
        <v>#DIV/0!</v>
      </c>
      <c r="I293" s="2" t="e">
        <f t="shared" si="13"/>
        <v>#DIV/0!</v>
      </c>
      <c r="J293" s="2"/>
      <c r="K293" s="2" t="e">
        <f t="shared" si="14"/>
        <v>#NUM!</v>
      </c>
    </row>
    <row r="294" spans="1:11" ht="13.9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2.04</v>
      </c>
      <c r="H294" s="2" t="e">
        <f t="shared" si="12"/>
        <v>#NUM!</v>
      </c>
      <c r="I294" s="2">
        <f t="shared" si="13"/>
        <v>0.37390096630005903</v>
      </c>
      <c r="J294" s="2"/>
      <c r="K294" s="2" t="e">
        <f t="shared" si="14"/>
        <v>#NUM!</v>
      </c>
    </row>
    <row r="295" spans="1:11" ht="13.9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1.38</v>
      </c>
      <c r="F295" s="2">
        <v>0</v>
      </c>
      <c r="G295" s="2">
        <v>0</v>
      </c>
      <c r="H295" s="2" t="e">
        <f t="shared" si="12"/>
        <v>#NUM!</v>
      </c>
      <c r="I295" s="2">
        <f t="shared" si="13"/>
        <v>0.37390096630005903</v>
      </c>
      <c r="J295" s="2"/>
      <c r="K295" s="2" t="e">
        <f t="shared" si="14"/>
        <v>#NUM!</v>
      </c>
    </row>
    <row r="296" spans="1:11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12"/>
        <v>#DIV/0!</v>
      </c>
      <c r="I296" s="2" t="e">
        <f t="shared" si="13"/>
        <v>#DIV/0!</v>
      </c>
      <c r="J296" s="2"/>
      <c r="K296" s="2" t="e">
        <f t="shared" si="14"/>
        <v>#NUM!</v>
      </c>
    </row>
    <row r="297" spans="1:11" ht="13.9" x14ac:dyDescent="0.3">
      <c r="A297" s="2" t="s">
        <v>314</v>
      </c>
      <c r="B297" s="2">
        <v>0</v>
      </c>
      <c r="C297" s="2">
        <v>0</v>
      </c>
      <c r="D297" s="2">
        <v>0</v>
      </c>
      <c r="E297" s="2">
        <v>0</v>
      </c>
      <c r="F297" s="2">
        <v>0.11</v>
      </c>
      <c r="G297" s="2">
        <v>0.34</v>
      </c>
      <c r="H297" s="2" t="e">
        <f t="shared" si="12"/>
        <v>#NUM!</v>
      </c>
      <c r="I297" s="2">
        <f t="shared" si="13"/>
        <v>0.20861378603731132</v>
      </c>
      <c r="J297" s="2"/>
      <c r="K297" s="2" t="e">
        <f t="shared" si="14"/>
        <v>#NUM!</v>
      </c>
    </row>
    <row r="298" spans="1:11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12"/>
        <v>#DIV/0!</v>
      </c>
      <c r="I298" s="2" t="e">
        <f t="shared" si="13"/>
        <v>#DIV/0!</v>
      </c>
      <c r="J298" s="2"/>
      <c r="K298" s="2" t="e">
        <f t="shared" si="14"/>
        <v>#NUM!</v>
      </c>
    </row>
    <row r="299" spans="1:11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12"/>
        <v>#DIV/0!</v>
      </c>
      <c r="I299" s="2" t="e">
        <f t="shared" si="13"/>
        <v>#DIV/0!</v>
      </c>
      <c r="J299" s="2"/>
      <c r="K299" s="2" t="e">
        <f t="shared" si="14"/>
        <v>#NUM!</v>
      </c>
    </row>
    <row r="300" spans="1:11" ht="13.9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0.11</v>
      </c>
      <c r="G300" s="2">
        <v>0</v>
      </c>
      <c r="H300" s="2" t="e">
        <f t="shared" si="12"/>
        <v>#NUM!</v>
      </c>
      <c r="I300" s="2">
        <f t="shared" si="13"/>
        <v>0.37390096630005903</v>
      </c>
      <c r="J300" s="2"/>
      <c r="K300" s="2" t="e">
        <f t="shared" si="14"/>
        <v>#NUM!</v>
      </c>
    </row>
    <row r="301" spans="1:11" ht="13.9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0.22</v>
      </c>
      <c r="G301" s="2">
        <v>0</v>
      </c>
      <c r="H301" s="2" t="e">
        <f t="shared" si="12"/>
        <v>#NUM!</v>
      </c>
      <c r="I301" s="2">
        <f t="shared" si="13"/>
        <v>0.37390096630005903</v>
      </c>
      <c r="J301" s="2"/>
      <c r="K301" s="2" t="e">
        <f t="shared" si="14"/>
        <v>#NUM!</v>
      </c>
    </row>
    <row r="302" spans="1:11" ht="13.9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0.11</v>
      </c>
      <c r="G302" s="2">
        <v>0</v>
      </c>
      <c r="H302" s="2" t="e">
        <f t="shared" si="12"/>
        <v>#NUM!</v>
      </c>
      <c r="I302" s="2">
        <f t="shared" si="13"/>
        <v>0.37390096630005903</v>
      </c>
      <c r="J302" s="2"/>
      <c r="K302" s="2" t="e">
        <f t="shared" si="14"/>
        <v>#NUM!</v>
      </c>
    </row>
    <row r="303" spans="1:11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 t="e">
        <f t="shared" si="12"/>
        <v>#DIV/0!</v>
      </c>
      <c r="I303" s="2" t="e">
        <f t="shared" si="13"/>
        <v>#DIV/0!</v>
      </c>
      <c r="J303" s="2"/>
      <c r="K303" s="2" t="e">
        <f t="shared" si="14"/>
        <v>#NUM!</v>
      </c>
    </row>
    <row r="304" spans="1:11" ht="13.9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1.76</v>
      </c>
      <c r="F304" s="2">
        <v>6.21</v>
      </c>
      <c r="G304" s="2">
        <v>7.6</v>
      </c>
      <c r="H304" s="2" t="e">
        <f t="shared" si="12"/>
        <v>#NUM!</v>
      </c>
      <c r="I304" s="2">
        <f t="shared" si="13"/>
        <v>4.2108993988349851E-2</v>
      </c>
      <c r="J304" s="2"/>
      <c r="K304" s="2" t="e">
        <f t="shared" si="14"/>
        <v>#NUM!</v>
      </c>
    </row>
    <row r="305" spans="1:11" ht="13.9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1.51</v>
      </c>
      <c r="F305" s="2">
        <v>0</v>
      </c>
      <c r="G305" s="2">
        <v>0</v>
      </c>
      <c r="H305" s="2" t="e">
        <f t="shared" si="12"/>
        <v>#NUM!</v>
      </c>
      <c r="I305" s="2">
        <f t="shared" si="13"/>
        <v>0.37390096630005903</v>
      </c>
      <c r="J305" s="2"/>
      <c r="K305" s="2" t="e">
        <f t="shared" si="14"/>
        <v>#NUM!</v>
      </c>
    </row>
    <row r="306" spans="1:11" ht="13.9" x14ac:dyDescent="0.3">
      <c r="A306" s="2" t="s">
        <v>323</v>
      </c>
      <c r="B306" s="2">
        <v>0</v>
      </c>
      <c r="C306" s="2">
        <v>0.57999999999999996</v>
      </c>
      <c r="D306" s="2">
        <v>0</v>
      </c>
      <c r="E306" s="2">
        <v>0</v>
      </c>
      <c r="F306" s="2">
        <v>0</v>
      </c>
      <c r="G306" s="2">
        <v>0</v>
      </c>
      <c r="H306" s="2" t="e">
        <f t="shared" si="12"/>
        <v>#DIV/0!</v>
      </c>
      <c r="I306" s="2">
        <f t="shared" si="13"/>
        <v>0.37390096630005903</v>
      </c>
      <c r="J306" s="2"/>
      <c r="K306" s="2">
        <f t="shared" si="14"/>
        <v>-0.78587519464715272</v>
      </c>
    </row>
    <row r="307" spans="1:11" ht="13.9" x14ac:dyDescent="0.3">
      <c r="A307" s="2" t="s">
        <v>324</v>
      </c>
      <c r="B307" s="2">
        <v>11.27</v>
      </c>
      <c r="C307" s="2">
        <v>0</v>
      </c>
      <c r="D307" s="2">
        <v>0</v>
      </c>
      <c r="E307" s="2">
        <v>11.45</v>
      </c>
      <c r="F307" s="2">
        <v>7.21</v>
      </c>
      <c r="G307" s="2">
        <v>5.22</v>
      </c>
      <c r="H307" s="2">
        <f t="shared" si="12"/>
        <v>-1.0833153210925841</v>
      </c>
      <c r="I307" s="2">
        <f t="shared" si="13"/>
        <v>0.37169748492468829</v>
      </c>
      <c r="J307" s="2"/>
      <c r="K307" s="2">
        <f t="shared" si="14"/>
        <v>3.4944156103974962</v>
      </c>
    </row>
    <row r="308" spans="1:11" ht="13.9" x14ac:dyDescent="0.3">
      <c r="A308" s="2" t="s">
        <v>325</v>
      </c>
      <c r="B308" s="2">
        <v>0</v>
      </c>
      <c r="C308" s="2">
        <v>0</v>
      </c>
      <c r="D308" s="2">
        <v>7.52</v>
      </c>
      <c r="E308" s="2">
        <v>0</v>
      </c>
      <c r="F308" s="2">
        <v>0</v>
      </c>
      <c r="G308" s="2">
        <v>0</v>
      </c>
      <c r="H308" s="2" t="e">
        <f t="shared" si="12"/>
        <v>#DIV/0!</v>
      </c>
      <c r="I308" s="2">
        <f t="shared" si="13"/>
        <v>0.37390096630005903</v>
      </c>
      <c r="J308" s="2"/>
      <c r="K308" s="2">
        <f t="shared" si="14"/>
        <v>2.9107326619029124</v>
      </c>
    </row>
    <row r="309" spans="1:11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 t="e">
        <f t="shared" si="12"/>
        <v>#DIV/0!</v>
      </c>
      <c r="I309" s="2" t="e">
        <f t="shared" si="13"/>
        <v>#DIV/0!</v>
      </c>
      <c r="J309" s="2"/>
      <c r="K309" s="2" t="e">
        <f t="shared" si="14"/>
        <v>#NUM!</v>
      </c>
    </row>
    <row r="310" spans="1:11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 t="e">
        <f t="shared" si="12"/>
        <v>#DIV/0!</v>
      </c>
      <c r="I310" s="2" t="e">
        <f t="shared" si="13"/>
        <v>#DIV/0!</v>
      </c>
      <c r="J310" s="2"/>
      <c r="K310" s="2" t="e">
        <f t="shared" si="14"/>
        <v>#NUM!</v>
      </c>
    </row>
    <row r="311" spans="1:11" ht="13.9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0.11</v>
      </c>
      <c r="G311" s="2">
        <v>0</v>
      </c>
      <c r="H311" s="2" t="e">
        <f t="shared" si="12"/>
        <v>#NUM!</v>
      </c>
      <c r="I311" s="2">
        <f t="shared" si="13"/>
        <v>0.37390096630005903</v>
      </c>
      <c r="J311" s="2"/>
      <c r="K311" s="2" t="e">
        <f t="shared" si="14"/>
        <v>#NUM!</v>
      </c>
    </row>
    <row r="312" spans="1:11" ht="13.9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0.33</v>
      </c>
      <c r="G312" s="2">
        <v>0</v>
      </c>
      <c r="H312" s="2" t="e">
        <f t="shared" si="12"/>
        <v>#NUM!</v>
      </c>
      <c r="I312" s="2">
        <f t="shared" si="13"/>
        <v>0.37390096630005903</v>
      </c>
      <c r="J312" s="2"/>
      <c r="K312" s="2" t="e">
        <f t="shared" si="14"/>
        <v>#NUM!</v>
      </c>
    </row>
    <row r="313" spans="1:11" ht="13.9" x14ac:dyDescent="0.3">
      <c r="A313" s="2" t="s">
        <v>330</v>
      </c>
      <c r="B313" s="2">
        <v>0</v>
      </c>
      <c r="C313" s="2">
        <v>0.28999999999999998</v>
      </c>
      <c r="D313" s="2">
        <v>0.26</v>
      </c>
      <c r="E313" s="2">
        <v>10.83</v>
      </c>
      <c r="F313" s="2">
        <v>6.1</v>
      </c>
      <c r="G313" s="2">
        <v>6.92</v>
      </c>
      <c r="H313" s="2">
        <f t="shared" si="12"/>
        <v>-5.4384138373682145</v>
      </c>
      <c r="I313" s="2">
        <f t="shared" si="13"/>
        <v>6.0399670733443031E-3</v>
      </c>
      <c r="J313" s="2"/>
      <c r="K313" s="2">
        <f t="shared" si="14"/>
        <v>-0.86249647625006509</v>
      </c>
    </row>
    <row r="314" spans="1:11" ht="13.9" x14ac:dyDescent="0.3">
      <c r="A314" s="2" t="s">
        <v>331</v>
      </c>
      <c r="B314" s="2">
        <v>6.82</v>
      </c>
      <c r="C314" s="2">
        <v>10.41</v>
      </c>
      <c r="D314" s="2">
        <v>7.52</v>
      </c>
      <c r="E314" s="2">
        <v>1.76</v>
      </c>
      <c r="F314" s="2">
        <v>0.78</v>
      </c>
      <c r="G314" s="2">
        <v>1.25</v>
      </c>
      <c r="H314" s="2">
        <f t="shared" si="12"/>
        <v>2.7071587716832428</v>
      </c>
      <c r="I314" s="2">
        <f t="shared" si="13"/>
        <v>3.5293583297865369E-3</v>
      </c>
      <c r="J314" s="2"/>
      <c r="K314" s="2">
        <f t="shared" si="14"/>
        <v>4.6293566200796104</v>
      </c>
    </row>
    <row r="315" spans="1:11" ht="13.9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0.68</v>
      </c>
      <c r="H315" s="2" t="e">
        <f t="shared" si="12"/>
        <v>#NUM!</v>
      </c>
      <c r="I315" s="2">
        <f t="shared" si="13"/>
        <v>0.37390096630005903</v>
      </c>
      <c r="J315" s="2"/>
      <c r="K315" s="2" t="e">
        <f t="shared" si="14"/>
        <v>#NUM!</v>
      </c>
    </row>
    <row r="316" spans="1:11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12"/>
        <v>#DIV/0!</v>
      </c>
      <c r="I316" s="2" t="e">
        <f t="shared" si="13"/>
        <v>#DIV/0!</v>
      </c>
      <c r="J316" s="2"/>
      <c r="K316" s="2" t="e">
        <f t="shared" si="14"/>
        <v>#NUM!</v>
      </c>
    </row>
    <row r="317" spans="1:11" ht="13.9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2.27</v>
      </c>
      <c r="F317" s="2">
        <v>2.99</v>
      </c>
      <c r="G317" s="2">
        <v>0.34</v>
      </c>
      <c r="H317" s="2" t="e">
        <f t="shared" si="12"/>
        <v>#NUM!</v>
      </c>
      <c r="I317" s="2">
        <f t="shared" si="13"/>
        <v>7.7704357656269762E-2</v>
      </c>
      <c r="J317" s="2"/>
      <c r="K317" s="2" t="e">
        <f t="shared" si="14"/>
        <v>#NUM!</v>
      </c>
    </row>
    <row r="318" spans="1:11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12"/>
        <v>#DIV/0!</v>
      </c>
      <c r="I318" s="2" t="e">
        <f t="shared" si="13"/>
        <v>#DIV/0!</v>
      </c>
      <c r="J318" s="2"/>
      <c r="K318" s="2" t="e">
        <f t="shared" si="14"/>
        <v>#NUM!</v>
      </c>
    </row>
    <row r="319" spans="1:11" ht="13.9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0.67</v>
      </c>
      <c r="G319" s="2">
        <v>0</v>
      </c>
      <c r="H319" s="2" t="e">
        <f t="shared" si="12"/>
        <v>#NUM!</v>
      </c>
      <c r="I319" s="2">
        <f t="shared" si="13"/>
        <v>0.37390096630005903</v>
      </c>
      <c r="J319" s="2"/>
      <c r="K319" s="2" t="e">
        <f t="shared" si="14"/>
        <v>#NUM!</v>
      </c>
    </row>
    <row r="320" spans="1:11" ht="13.9" x14ac:dyDescent="0.3">
      <c r="A320" s="2" t="s">
        <v>337</v>
      </c>
      <c r="B320" s="2">
        <v>0</v>
      </c>
      <c r="C320" s="2">
        <v>0.57999999999999996</v>
      </c>
      <c r="D320" s="2">
        <v>1.3</v>
      </c>
      <c r="E320" s="2">
        <v>0</v>
      </c>
      <c r="F320" s="2">
        <v>0</v>
      </c>
      <c r="G320" s="2">
        <v>0</v>
      </c>
      <c r="H320" s="2" t="e">
        <f t="shared" si="12"/>
        <v>#DIV/0!</v>
      </c>
      <c r="I320" s="2">
        <f t="shared" si="13"/>
        <v>0.1709108311721276</v>
      </c>
      <c r="J320" s="2"/>
      <c r="K320" s="2">
        <f t="shared" si="14"/>
        <v>0.91073266190291258</v>
      </c>
    </row>
    <row r="321" spans="1:11" ht="13.9" x14ac:dyDescent="0.3">
      <c r="A321" s="2" t="s">
        <v>338</v>
      </c>
      <c r="B321" s="2">
        <v>0</v>
      </c>
      <c r="C321" s="2">
        <v>0</v>
      </c>
      <c r="D321" s="2">
        <v>0</v>
      </c>
      <c r="E321" s="2">
        <v>0.63</v>
      </c>
      <c r="F321" s="2">
        <v>0.11</v>
      </c>
      <c r="G321" s="2">
        <v>2.61</v>
      </c>
      <c r="H321" s="2" t="e">
        <f t="shared" si="12"/>
        <v>#NUM!</v>
      </c>
      <c r="I321" s="2">
        <f t="shared" si="13"/>
        <v>0.21647733292724586</v>
      </c>
      <c r="J321" s="2"/>
      <c r="K321" s="2" t="e">
        <f t="shared" si="14"/>
        <v>#NUM!</v>
      </c>
    </row>
    <row r="322" spans="1:11" ht="13.9" x14ac:dyDescent="0.3">
      <c r="A322" s="2" t="s">
        <v>339</v>
      </c>
      <c r="B322" s="2">
        <v>10.09</v>
      </c>
      <c r="C322" s="2">
        <v>0</v>
      </c>
      <c r="D322" s="2">
        <v>0</v>
      </c>
      <c r="E322" s="2">
        <v>3.02</v>
      </c>
      <c r="F322" s="2">
        <v>1.89</v>
      </c>
      <c r="G322" s="2">
        <v>1.82</v>
      </c>
      <c r="H322" s="2">
        <f t="shared" ref="H322:H385" si="15">LOG(SUM(B322:D322)/SUM(E322:G322),2)</f>
        <v>0.58424776449603999</v>
      </c>
      <c r="I322" s="2">
        <f t="shared" ref="I322:I385" si="16">_xlfn.T.TEST(B322:D322,E322:G322,2,2)</f>
        <v>0.75739869366381773</v>
      </c>
      <c r="J322" s="2"/>
      <c r="K322" s="2">
        <f t="shared" si="14"/>
        <v>3.3348542693316325</v>
      </c>
    </row>
    <row r="323" spans="1:11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15"/>
        <v>#DIV/0!</v>
      </c>
      <c r="I323" s="2" t="e">
        <f t="shared" si="16"/>
        <v>#DIV/0!</v>
      </c>
      <c r="J323" s="2"/>
      <c r="K323" s="2" t="e">
        <f t="shared" ref="K323:K386" si="17">LOG(SUM(B323:D323),2)</f>
        <v>#NUM!</v>
      </c>
    </row>
    <row r="324" spans="1:11" ht="13.9" x14ac:dyDescent="0.3">
      <c r="A324" s="2" t="s">
        <v>341</v>
      </c>
      <c r="B324" s="2">
        <v>0</v>
      </c>
      <c r="C324" s="2">
        <v>0</v>
      </c>
      <c r="D324" s="2">
        <v>0</v>
      </c>
      <c r="E324" s="2">
        <v>4.66</v>
      </c>
      <c r="F324" s="2">
        <v>3.55</v>
      </c>
      <c r="G324" s="2">
        <v>1.02</v>
      </c>
      <c r="H324" s="2" t="e">
        <f t="shared" si="15"/>
        <v>#NUM!</v>
      </c>
      <c r="I324" s="2">
        <f t="shared" si="16"/>
        <v>4.6095077927927774E-2</v>
      </c>
      <c r="J324" s="2"/>
      <c r="K324" s="2" t="e">
        <f t="shared" si="17"/>
        <v>#NUM!</v>
      </c>
    </row>
    <row r="325" spans="1:11" ht="13.9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0.67</v>
      </c>
      <c r="G325" s="2">
        <v>0</v>
      </c>
      <c r="H325" s="2" t="e">
        <f t="shared" si="15"/>
        <v>#NUM!</v>
      </c>
      <c r="I325" s="2">
        <f t="shared" si="16"/>
        <v>0.37390096630005903</v>
      </c>
      <c r="J325" s="2"/>
      <c r="K325" s="2" t="e">
        <f t="shared" si="17"/>
        <v>#NUM!</v>
      </c>
    </row>
    <row r="326" spans="1:11" ht="13.9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0.63</v>
      </c>
      <c r="F326" s="2">
        <v>0</v>
      </c>
      <c r="G326" s="2">
        <v>0</v>
      </c>
      <c r="H326" s="2" t="e">
        <f t="shared" si="15"/>
        <v>#NUM!</v>
      </c>
      <c r="I326" s="2">
        <f t="shared" si="16"/>
        <v>0.37390096630005903</v>
      </c>
      <c r="J326" s="2"/>
      <c r="K326" s="2" t="e">
        <f t="shared" si="17"/>
        <v>#NUM!</v>
      </c>
    </row>
    <row r="327" spans="1:11" ht="13.9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0.63</v>
      </c>
      <c r="F327" s="2">
        <v>0</v>
      </c>
      <c r="G327" s="2">
        <v>0</v>
      </c>
      <c r="H327" s="2" t="e">
        <f t="shared" si="15"/>
        <v>#NUM!</v>
      </c>
      <c r="I327" s="2">
        <f t="shared" si="16"/>
        <v>0.37390096630005903</v>
      </c>
      <c r="J327" s="2"/>
      <c r="K327" s="2" t="e">
        <f t="shared" si="17"/>
        <v>#NUM!</v>
      </c>
    </row>
    <row r="328" spans="1:11" ht="13.9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15"/>
        <v>#DIV/0!</v>
      </c>
      <c r="I328" s="2" t="e">
        <f t="shared" si="16"/>
        <v>#DIV/0!</v>
      </c>
      <c r="J328" s="2"/>
      <c r="K328" s="2" t="e">
        <f t="shared" si="17"/>
        <v>#NUM!</v>
      </c>
    </row>
    <row r="329" spans="1:11" ht="13.9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0</v>
      </c>
      <c r="F329" s="2">
        <v>1.1100000000000001</v>
      </c>
      <c r="G329" s="2">
        <v>0</v>
      </c>
      <c r="H329" s="2" t="e">
        <f t="shared" si="15"/>
        <v>#NUM!</v>
      </c>
      <c r="I329" s="2">
        <f t="shared" si="16"/>
        <v>0.37390096630005903</v>
      </c>
      <c r="J329" s="2"/>
      <c r="K329" s="2" t="e">
        <f t="shared" si="17"/>
        <v>#NUM!</v>
      </c>
    </row>
    <row r="330" spans="1:11" ht="13.9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0.45</v>
      </c>
      <c r="H330" s="2" t="e">
        <f t="shared" si="15"/>
        <v>#NUM!</v>
      </c>
      <c r="I330" s="2">
        <f t="shared" si="16"/>
        <v>0.37390096630005903</v>
      </c>
      <c r="J330" s="2"/>
      <c r="K330" s="2" t="e">
        <f t="shared" si="17"/>
        <v>#NUM!</v>
      </c>
    </row>
    <row r="331" spans="1:11" ht="13.9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0.25</v>
      </c>
      <c r="F331" s="2">
        <v>0</v>
      </c>
      <c r="G331" s="2">
        <v>0</v>
      </c>
      <c r="H331" s="2" t="e">
        <f t="shared" si="15"/>
        <v>#NUM!</v>
      </c>
      <c r="I331" s="2">
        <f t="shared" si="16"/>
        <v>0.37390096630005903</v>
      </c>
      <c r="J331" s="2"/>
      <c r="K331" s="2" t="e">
        <f t="shared" si="17"/>
        <v>#NUM!</v>
      </c>
    </row>
    <row r="332" spans="1:11" ht="13.9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0.11</v>
      </c>
      <c r="H332" s="2" t="e">
        <f t="shared" si="15"/>
        <v>#NUM!</v>
      </c>
      <c r="I332" s="2">
        <f t="shared" si="16"/>
        <v>0.37390096630005903</v>
      </c>
      <c r="J332" s="2"/>
      <c r="K332" s="2" t="e">
        <f t="shared" si="17"/>
        <v>#NUM!</v>
      </c>
    </row>
    <row r="333" spans="1:11" ht="13.9" x14ac:dyDescent="0.3">
      <c r="A333" s="2" t="s">
        <v>350</v>
      </c>
      <c r="B333" s="2">
        <v>4.8499999999999996</v>
      </c>
      <c r="C333" s="2">
        <v>0</v>
      </c>
      <c r="D333" s="2">
        <v>0</v>
      </c>
      <c r="E333" s="2">
        <v>1.1299999999999999</v>
      </c>
      <c r="F333" s="2">
        <v>0.89</v>
      </c>
      <c r="G333" s="2">
        <v>0.56999999999999995</v>
      </c>
      <c r="H333" s="2">
        <f t="shared" si="15"/>
        <v>0.90503264938793615</v>
      </c>
      <c r="I333" s="2">
        <f t="shared" si="16"/>
        <v>0.66700424454028129</v>
      </c>
      <c r="J333" s="2"/>
      <c r="K333" s="2">
        <f t="shared" si="17"/>
        <v>2.2779847472997652</v>
      </c>
    </row>
    <row r="334" spans="1:11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15"/>
        <v>#DIV/0!</v>
      </c>
      <c r="I334" s="2" t="e">
        <f t="shared" si="16"/>
        <v>#DIV/0!</v>
      </c>
      <c r="J334" s="2"/>
      <c r="K334" s="2" t="e">
        <f t="shared" si="17"/>
        <v>#NUM!</v>
      </c>
    </row>
    <row r="335" spans="1:11" ht="13.9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0.76</v>
      </c>
      <c r="F335" s="2">
        <v>0.67</v>
      </c>
      <c r="G335" s="2">
        <v>1.02</v>
      </c>
      <c r="H335" s="2" t="e">
        <f t="shared" si="15"/>
        <v>#NUM!</v>
      </c>
      <c r="I335" s="2">
        <f t="shared" si="16"/>
        <v>1.4698864594548976E-3</v>
      </c>
      <c r="J335" s="2"/>
      <c r="K335" s="2" t="e">
        <f t="shared" si="17"/>
        <v>#NUM!</v>
      </c>
    </row>
    <row r="336" spans="1:11" ht="13.9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0.33</v>
      </c>
      <c r="G336" s="2">
        <v>0</v>
      </c>
      <c r="H336" s="2" t="e">
        <f t="shared" si="15"/>
        <v>#NUM!</v>
      </c>
      <c r="I336" s="2">
        <f t="shared" si="16"/>
        <v>0.37390096630005903</v>
      </c>
      <c r="J336" s="2"/>
      <c r="K336" s="2" t="e">
        <f t="shared" si="17"/>
        <v>#NUM!</v>
      </c>
    </row>
    <row r="337" spans="1:11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15"/>
        <v>#DIV/0!</v>
      </c>
      <c r="I337" s="2" t="e">
        <f t="shared" si="16"/>
        <v>#DIV/0!</v>
      </c>
      <c r="J337" s="2"/>
      <c r="K337" s="2" t="e">
        <f t="shared" si="17"/>
        <v>#NUM!</v>
      </c>
    </row>
    <row r="338" spans="1:11" ht="13.9" x14ac:dyDescent="0.3">
      <c r="A338" s="2" t="s">
        <v>355</v>
      </c>
      <c r="B338" s="2">
        <v>6.03</v>
      </c>
      <c r="C338" s="2">
        <v>0</v>
      </c>
      <c r="D338" s="2">
        <v>0</v>
      </c>
      <c r="E338" s="2">
        <v>1.64</v>
      </c>
      <c r="F338" s="2">
        <v>0.11</v>
      </c>
      <c r="G338" s="2">
        <v>1.36</v>
      </c>
      <c r="H338" s="2">
        <f t="shared" si="15"/>
        <v>0.95524342176948218</v>
      </c>
      <c r="I338" s="2">
        <f t="shared" si="16"/>
        <v>0.66184521303888411</v>
      </c>
      <c r="J338" s="2"/>
      <c r="K338" s="2">
        <f t="shared" si="17"/>
        <v>2.5921580021253603</v>
      </c>
    </row>
    <row r="339" spans="1:11" ht="13.9" x14ac:dyDescent="0.3">
      <c r="A339" s="2" t="s">
        <v>356</v>
      </c>
      <c r="B339" s="2">
        <v>0</v>
      </c>
      <c r="C339" s="2">
        <v>0</v>
      </c>
      <c r="D339" s="2">
        <v>0</v>
      </c>
      <c r="E339" s="2">
        <v>1.1299999999999999</v>
      </c>
      <c r="F339" s="2">
        <v>0.44</v>
      </c>
      <c r="G339" s="2">
        <v>0.45</v>
      </c>
      <c r="H339" s="2" t="e">
        <f t="shared" si="15"/>
        <v>#NUM!</v>
      </c>
      <c r="I339" s="2">
        <f t="shared" si="16"/>
        <v>4.2024932043290962E-2</v>
      </c>
      <c r="J339" s="2"/>
      <c r="K339" s="2" t="e">
        <f t="shared" si="17"/>
        <v>#NUM!</v>
      </c>
    </row>
    <row r="340" spans="1:11" ht="13.9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0.5</v>
      </c>
      <c r="F340" s="2">
        <v>0</v>
      </c>
      <c r="G340" s="2">
        <v>0.11</v>
      </c>
      <c r="H340" s="2" t="e">
        <f t="shared" si="15"/>
        <v>#NUM!</v>
      </c>
      <c r="I340" s="2">
        <f t="shared" si="16"/>
        <v>0.25117827857643138</v>
      </c>
      <c r="J340" s="2"/>
      <c r="K340" s="2" t="e">
        <f t="shared" si="17"/>
        <v>#NUM!</v>
      </c>
    </row>
    <row r="341" spans="1:11" ht="13.9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0.38</v>
      </c>
      <c r="F341" s="2">
        <v>0</v>
      </c>
      <c r="G341" s="2">
        <v>0.11</v>
      </c>
      <c r="H341" s="2" t="e">
        <f t="shared" si="15"/>
        <v>#NUM!</v>
      </c>
      <c r="I341" s="2">
        <f t="shared" si="16"/>
        <v>0.22149416901086655</v>
      </c>
      <c r="J341" s="2"/>
      <c r="K341" s="2" t="e">
        <f t="shared" si="17"/>
        <v>#NUM!</v>
      </c>
    </row>
    <row r="342" spans="1:11" ht="13.9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0.13</v>
      </c>
      <c r="F342" s="2">
        <v>0</v>
      </c>
      <c r="G342" s="2">
        <v>0</v>
      </c>
      <c r="H342" s="2" t="e">
        <f t="shared" si="15"/>
        <v>#NUM!</v>
      </c>
      <c r="I342" s="2">
        <f t="shared" si="16"/>
        <v>0.37390096630005903</v>
      </c>
      <c r="J342" s="2"/>
      <c r="K342" s="2" t="e">
        <f t="shared" si="17"/>
        <v>#NUM!</v>
      </c>
    </row>
    <row r="343" spans="1:11" ht="13.9" x14ac:dyDescent="0.3">
      <c r="A343" s="2" t="s">
        <v>360</v>
      </c>
      <c r="B343" s="2">
        <v>0</v>
      </c>
      <c r="C343" s="2">
        <v>0</v>
      </c>
      <c r="D343" s="2">
        <v>0</v>
      </c>
      <c r="E343" s="2">
        <v>3.65</v>
      </c>
      <c r="F343" s="2">
        <v>1.1100000000000001</v>
      </c>
      <c r="G343" s="2">
        <v>1.36</v>
      </c>
      <c r="H343" s="2" t="e">
        <f t="shared" si="15"/>
        <v>#NUM!</v>
      </c>
      <c r="I343" s="2">
        <f t="shared" si="16"/>
        <v>6.50762374985632E-2</v>
      </c>
      <c r="J343" s="2"/>
      <c r="K343" s="2" t="e">
        <f t="shared" si="17"/>
        <v>#NUM!</v>
      </c>
    </row>
    <row r="344" spans="1:11" ht="13.9" x14ac:dyDescent="0.3">
      <c r="A344" s="2" t="s">
        <v>361</v>
      </c>
      <c r="B344" s="2">
        <v>0</v>
      </c>
      <c r="C344" s="2">
        <v>0</v>
      </c>
      <c r="D344" s="2">
        <v>0</v>
      </c>
      <c r="E344" s="2">
        <v>0.63</v>
      </c>
      <c r="F344" s="2">
        <v>1.22</v>
      </c>
      <c r="G344" s="2">
        <v>0.34</v>
      </c>
      <c r="H344" s="2" t="e">
        <f t="shared" si="15"/>
        <v>#NUM!</v>
      </c>
      <c r="I344" s="2">
        <f t="shared" si="16"/>
        <v>4.7850740397449965E-2</v>
      </c>
      <c r="J344" s="2"/>
      <c r="K344" s="2" t="e">
        <f t="shared" si="17"/>
        <v>#NUM!</v>
      </c>
    </row>
    <row r="345" spans="1:11" ht="13.9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0.38</v>
      </c>
      <c r="F345" s="2">
        <v>0.22</v>
      </c>
      <c r="G345" s="2">
        <v>0.11</v>
      </c>
      <c r="H345" s="2" t="e">
        <f t="shared" si="15"/>
        <v>#NUM!</v>
      </c>
      <c r="I345" s="2">
        <f t="shared" si="16"/>
        <v>3.9193001592135165E-2</v>
      </c>
      <c r="J345" s="2"/>
      <c r="K345" s="2" t="e">
        <f t="shared" si="17"/>
        <v>#NUM!</v>
      </c>
    </row>
    <row r="346" spans="1:11" ht="13.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15"/>
        <v>#DIV/0!</v>
      </c>
      <c r="I346" s="2" t="e">
        <f t="shared" si="16"/>
        <v>#DIV/0!</v>
      </c>
      <c r="J346" s="2"/>
      <c r="K346" s="2" t="e">
        <f t="shared" si="17"/>
        <v>#NUM!</v>
      </c>
    </row>
    <row r="347" spans="1:11" ht="13.9" x14ac:dyDescent="0.3">
      <c r="A347" s="2" t="s">
        <v>364</v>
      </c>
      <c r="B347" s="2">
        <v>19.14</v>
      </c>
      <c r="C347" s="2">
        <v>19.09</v>
      </c>
      <c r="D347" s="2">
        <v>40.450000000000003</v>
      </c>
      <c r="E347" s="2">
        <v>16.11</v>
      </c>
      <c r="F347" s="2">
        <v>12.64</v>
      </c>
      <c r="G347" s="2">
        <v>23.48</v>
      </c>
      <c r="H347" s="2">
        <f t="shared" si="15"/>
        <v>0.59111825390627293</v>
      </c>
      <c r="I347" s="2">
        <f t="shared" si="16"/>
        <v>0.32134546947909542</v>
      </c>
      <c r="J347" s="2"/>
      <c r="K347" s="2">
        <f t="shared" si="17"/>
        <v>6.297925052503806</v>
      </c>
    </row>
    <row r="348" spans="1:11" ht="13.9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0.13</v>
      </c>
      <c r="F348" s="2">
        <v>0</v>
      </c>
      <c r="G348" s="2">
        <v>0</v>
      </c>
      <c r="H348" s="2" t="e">
        <f t="shared" si="15"/>
        <v>#NUM!</v>
      </c>
      <c r="I348" s="2">
        <f t="shared" si="16"/>
        <v>0.37390096630005903</v>
      </c>
      <c r="J348" s="2"/>
      <c r="K348" s="2" t="e">
        <f t="shared" si="17"/>
        <v>#NUM!</v>
      </c>
    </row>
    <row r="349" spans="1:11" ht="13.9" x14ac:dyDescent="0.3">
      <c r="A349" s="2" t="s">
        <v>366</v>
      </c>
      <c r="B349" s="2">
        <v>3.41</v>
      </c>
      <c r="C349" s="2">
        <v>18.510000000000002</v>
      </c>
      <c r="D349" s="2">
        <v>0</v>
      </c>
      <c r="E349" s="2">
        <v>9.69</v>
      </c>
      <c r="F349" s="2">
        <v>12.97</v>
      </c>
      <c r="G349" s="2">
        <v>11.69</v>
      </c>
      <c r="H349" s="2">
        <f t="shared" si="15"/>
        <v>-0.64806230074493576</v>
      </c>
      <c r="I349" s="2">
        <f t="shared" si="16"/>
        <v>0.51220815244014917</v>
      </c>
      <c r="J349" s="2"/>
      <c r="K349" s="2">
        <f t="shared" si="17"/>
        <v>4.454175893185802</v>
      </c>
    </row>
    <row r="350" spans="1:11" ht="13.9" x14ac:dyDescent="0.3">
      <c r="A350" s="2" t="s">
        <v>367</v>
      </c>
      <c r="B350" s="2">
        <v>2.88</v>
      </c>
      <c r="C350" s="2">
        <v>12.15</v>
      </c>
      <c r="D350" s="2">
        <v>1.82</v>
      </c>
      <c r="E350" s="2">
        <v>3.27</v>
      </c>
      <c r="F350" s="2">
        <v>4.32</v>
      </c>
      <c r="G350" s="2">
        <v>4.2</v>
      </c>
      <c r="H350" s="2">
        <f t="shared" si="15"/>
        <v>0.51518487308945837</v>
      </c>
      <c r="I350" s="2">
        <f t="shared" si="16"/>
        <v>0.63596415847709675</v>
      </c>
      <c r="J350" s="2"/>
      <c r="K350" s="2">
        <f t="shared" si="17"/>
        <v>4.0746766862944961</v>
      </c>
    </row>
    <row r="351" spans="1:11" ht="13.9" x14ac:dyDescent="0.3">
      <c r="A351" s="2" t="s">
        <v>368</v>
      </c>
      <c r="B351" s="2">
        <v>0</v>
      </c>
      <c r="C351" s="2">
        <v>0</v>
      </c>
      <c r="D351" s="2">
        <v>0.26</v>
      </c>
      <c r="E351" s="2">
        <v>9.82</v>
      </c>
      <c r="F351" s="2">
        <v>13.97</v>
      </c>
      <c r="G351" s="2">
        <v>12.14</v>
      </c>
      <c r="H351" s="2">
        <f t="shared" si="15"/>
        <v>-7.110533501861072</v>
      </c>
      <c r="I351" s="2">
        <f t="shared" si="16"/>
        <v>5.8976411794679014E-4</v>
      </c>
      <c r="J351" s="2"/>
      <c r="K351" s="2">
        <f t="shared" si="17"/>
        <v>-1.9434164716336324</v>
      </c>
    </row>
    <row r="352" spans="1:11" ht="13.9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0.13</v>
      </c>
      <c r="F352" s="2">
        <v>0</v>
      </c>
      <c r="G352" s="2">
        <v>0</v>
      </c>
      <c r="H352" s="5" t="e">
        <f t="shared" si="15"/>
        <v>#NUM!</v>
      </c>
      <c r="I352" s="5">
        <f t="shared" si="16"/>
        <v>0.37390096630005903</v>
      </c>
      <c r="J352" s="2"/>
      <c r="K352" s="2" t="e">
        <f t="shared" si="17"/>
        <v>#NUM!</v>
      </c>
    </row>
    <row r="353" spans="1:11" ht="13.9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1.01</v>
      </c>
      <c r="F353" s="2">
        <v>1.44</v>
      </c>
      <c r="G353" s="2">
        <v>0</v>
      </c>
      <c r="H353" s="2" t="e">
        <f t="shared" si="15"/>
        <v>#NUM!</v>
      </c>
      <c r="I353" s="2">
        <f t="shared" si="16"/>
        <v>0.12822231080077795</v>
      </c>
      <c r="J353" s="2"/>
      <c r="K353" s="2" t="e">
        <f t="shared" si="17"/>
        <v>#NUM!</v>
      </c>
    </row>
    <row r="354" spans="1:11" ht="13.9" x14ac:dyDescent="0.3">
      <c r="A354" s="2" t="s">
        <v>371</v>
      </c>
      <c r="B354" s="2">
        <v>19.010000000000002</v>
      </c>
      <c r="C354" s="2">
        <v>14.75</v>
      </c>
      <c r="D354" s="2">
        <v>0</v>
      </c>
      <c r="E354" s="2">
        <v>80.31</v>
      </c>
      <c r="F354" s="2">
        <v>46.13</v>
      </c>
      <c r="G354" s="2">
        <v>56.84</v>
      </c>
      <c r="H354" s="2">
        <f t="shared" si="15"/>
        <v>-2.4406625545974898</v>
      </c>
      <c r="I354" s="2">
        <f t="shared" si="16"/>
        <v>1.2758855280292719E-2</v>
      </c>
      <c r="J354" s="2"/>
      <c r="K354" s="2">
        <f t="shared" si="17"/>
        <v>5.0772429989324603</v>
      </c>
    </row>
    <row r="355" spans="1:11" ht="13.9" x14ac:dyDescent="0.3">
      <c r="A355" s="2" t="s">
        <v>372</v>
      </c>
      <c r="B355" s="2">
        <v>0</v>
      </c>
      <c r="C355" s="2">
        <v>0</v>
      </c>
      <c r="D355" s="2">
        <v>24.12</v>
      </c>
      <c r="E355" s="2">
        <v>0.38</v>
      </c>
      <c r="F355" s="2">
        <v>2</v>
      </c>
      <c r="G355" s="2">
        <v>4.08</v>
      </c>
      <c r="H355" s="2">
        <f t="shared" si="15"/>
        <v>1.9006238372061601</v>
      </c>
      <c r="I355" s="2">
        <f t="shared" si="16"/>
        <v>0.50817155935332814</v>
      </c>
      <c r="J355" s="2"/>
      <c r="K355" s="2">
        <f t="shared" si="17"/>
        <v>4.5921580021253607</v>
      </c>
    </row>
    <row r="356" spans="1:11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15"/>
        <v>#DIV/0!</v>
      </c>
      <c r="I356" s="2" t="e">
        <f t="shared" si="16"/>
        <v>#DIV/0!</v>
      </c>
      <c r="J356" s="2"/>
      <c r="K356" s="2" t="e">
        <f t="shared" si="17"/>
        <v>#NUM!</v>
      </c>
    </row>
    <row r="357" spans="1:11" ht="13.9" x14ac:dyDescent="0.3">
      <c r="A357" s="2" t="s">
        <v>374</v>
      </c>
      <c r="B357" s="2">
        <v>0</v>
      </c>
      <c r="C357" s="2">
        <v>0</v>
      </c>
      <c r="D357" s="2">
        <v>23.6</v>
      </c>
      <c r="E357" s="2">
        <v>4.03</v>
      </c>
      <c r="F357" s="2">
        <v>1.66</v>
      </c>
      <c r="G357" s="2">
        <v>4.42</v>
      </c>
      <c r="H357" s="2">
        <f t="shared" si="15"/>
        <v>1.2230038623461892</v>
      </c>
      <c r="I357" s="2">
        <f t="shared" si="16"/>
        <v>0.60027355737712229</v>
      </c>
      <c r="J357" s="2"/>
      <c r="K357" s="2">
        <f t="shared" si="17"/>
        <v>4.5607149544744789</v>
      </c>
    </row>
    <row r="358" spans="1:11" ht="13.9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0.11</v>
      </c>
      <c r="H358" s="2" t="e">
        <f t="shared" si="15"/>
        <v>#NUM!</v>
      </c>
      <c r="I358" s="2">
        <f t="shared" si="16"/>
        <v>0.37390096630005903</v>
      </c>
      <c r="J358" s="2"/>
      <c r="K358" s="2" t="e">
        <f t="shared" si="17"/>
        <v>#NUM!</v>
      </c>
    </row>
    <row r="359" spans="1:11" ht="13.9" x14ac:dyDescent="0.3">
      <c r="A359" s="2" t="s">
        <v>376</v>
      </c>
      <c r="B359" s="2">
        <v>9.18</v>
      </c>
      <c r="C359" s="2">
        <v>18.22</v>
      </c>
      <c r="D359" s="2">
        <v>0.26</v>
      </c>
      <c r="E359" s="2">
        <v>4.91</v>
      </c>
      <c r="F359" s="2">
        <v>7.87</v>
      </c>
      <c r="G359" s="2">
        <v>4.3099999999999996</v>
      </c>
      <c r="H359" s="2">
        <f t="shared" si="15"/>
        <v>0.69464875947435489</v>
      </c>
      <c r="I359" s="2">
        <f t="shared" si="16"/>
        <v>0.54256732330199919</v>
      </c>
      <c r="J359" s="2"/>
      <c r="K359" s="2">
        <f t="shared" si="17"/>
        <v>4.7897292513757694</v>
      </c>
    </row>
    <row r="360" spans="1:11" ht="13.9" x14ac:dyDescent="0.3">
      <c r="A360" s="2" t="s">
        <v>377</v>
      </c>
      <c r="B360" s="2">
        <v>21.37</v>
      </c>
      <c r="C360" s="2">
        <v>19.09</v>
      </c>
      <c r="D360" s="2">
        <v>12.45</v>
      </c>
      <c r="E360" s="2">
        <v>2.9</v>
      </c>
      <c r="F360" s="2">
        <v>6.1</v>
      </c>
      <c r="G360" s="2">
        <v>1.1299999999999999</v>
      </c>
      <c r="H360" s="2">
        <f t="shared" si="15"/>
        <v>2.3849062436062014</v>
      </c>
      <c r="I360" s="2">
        <f t="shared" si="16"/>
        <v>9.4291688613752228E-3</v>
      </c>
      <c r="J360" s="2"/>
      <c r="K360" s="2">
        <f t="shared" si="17"/>
        <v>5.7254685126326148</v>
      </c>
    </row>
    <row r="361" spans="1:11" ht="13.9" x14ac:dyDescent="0.3">
      <c r="A361" s="2" t="s">
        <v>378</v>
      </c>
      <c r="B361" s="2">
        <v>105.79</v>
      </c>
      <c r="C361" s="2">
        <v>24</v>
      </c>
      <c r="D361" s="2">
        <v>68.98</v>
      </c>
      <c r="E361" s="2">
        <v>213.99</v>
      </c>
      <c r="F361" s="2">
        <v>179.08</v>
      </c>
      <c r="G361" s="2">
        <v>210.11</v>
      </c>
      <c r="H361" s="2">
        <f t="shared" si="15"/>
        <v>-1.6014885631448867</v>
      </c>
      <c r="I361" s="2">
        <f t="shared" si="16"/>
        <v>6.6780558083504799E-3</v>
      </c>
      <c r="J361" s="2"/>
      <c r="K361" s="2">
        <f t="shared" si="17"/>
        <v>7.6349562197271723</v>
      </c>
    </row>
    <row r="362" spans="1:11" ht="13.9" x14ac:dyDescent="0.3">
      <c r="A362" s="2" t="s">
        <v>379</v>
      </c>
      <c r="B362" s="2">
        <v>370.61</v>
      </c>
      <c r="C362" s="2">
        <v>550.6</v>
      </c>
      <c r="D362" s="2">
        <v>530.58000000000004</v>
      </c>
      <c r="E362" s="2">
        <v>621.84</v>
      </c>
      <c r="F362" s="2">
        <v>705.66</v>
      </c>
      <c r="G362" s="2">
        <v>735.49</v>
      </c>
      <c r="H362" s="2">
        <f t="shared" si="15"/>
        <v>-0.50690404401559586</v>
      </c>
      <c r="I362" s="2">
        <f t="shared" si="16"/>
        <v>3.7256041440053247E-2</v>
      </c>
      <c r="J362" s="2"/>
      <c r="K362" s="2">
        <f t="shared" si="17"/>
        <v>10.503617068664212</v>
      </c>
    </row>
    <row r="363" spans="1:11" ht="13.9" x14ac:dyDescent="0.3">
      <c r="A363" s="2" t="s">
        <v>380</v>
      </c>
      <c r="B363" s="2">
        <v>241.74</v>
      </c>
      <c r="C363" s="2">
        <v>978.3</v>
      </c>
      <c r="D363" s="2">
        <v>71.83</v>
      </c>
      <c r="E363" s="2">
        <v>81.95</v>
      </c>
      <c r="F363" s="2">
        <v>133.61000000000001</v>
      </c>
      <c r="G363" s="2">
        <v>77.37</v>
      </c>
      <c r="H363" s="2">
        <f t="shared" si="15"/>
        <v>2.1408330425034539</v>
      </c>
      <c r="I363" s="2">
        <f t="shared" si="16"/>
        <v>0.29829829693674442</v>
      </c>
      <c r="J363" s="2"/>
      <c r="K363" s="2">
        <f t="shared" si="17"/>
        <v>10.335245184576641</v>
      </c>
    </row>
    <row r="364" spans="1:11" ht="13.9" x14ac:dyDescent="0.3">
      <c r="A364" s="2" t="s">
        <v>381</v>
      </c>
      <c r="B364" s="2">
        <v>290.12</v>
      </c>
      <c r="C364" s="2">
        <v>330.24</v>
      </c>
      <c r="D364" s="2">
        <v>239.88</v>
      </c>
      <c r="E364" s="2">
        <v>186.93</v>
      </c>
      <c r="F364" s="2">
        <v>156.46</v>
      </c>
      <c r="G364" s="2">
        <v>141.13</v>
      </c>
      <c r="H364" s="2">
        <f t="shared" si="15"/>
        <v>0.82818299783017546</v>
      </c>
      <c r="I364" s="2">
        <f t="shared" si="16"/>
        <v>1.3056714670193963E-2</v>
      </c>
      <c r="J364" s="2"/>
      <c r="K364" s="2">
        <f t="shared" si="17"/>
        <v>9.7485954059909634</v>
      </c>
    </row>
    <row r="365" spans="1:11" ht="13.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15"/>
        <v>#DIV/0!</v>
      </c>
      <c r="I365" s="2" t="e">
        <f t="shared" si="16"/>
        <v>#DIV/0!</v>
      </c>
      <c r="J365" s="2"/>
      <c r="K365" s="2" t="e">
        <f t="shared" si="17"/>
        <v>#NUM!</v>
      </c>
    </row>
    <row r="366" spans="1:11" ht="13.9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0.63</v>
      </c>
      <c r="F366" s="2">
        <v>0</v>
      </c>
      <c r="G366" s="2">
        <v>0</v>
      </c>
      <c r="H366" s="2" t="e">
        <f t="shared" si="15"/>
        <v>#NUM!</v>
      </c>
      <c r="I366" s="2">
        <f t="shared" si="16"/>
        <v>0.37390096630005903</v>
      </c>
      <c r="J366" s="2"/>
      <c r="K366" s="2" t="e">
        <f t="shared" si="17"/>
        <v>#NUM!</v>
      </c>
    </row>
    <row r="367" spans="1:11" ht="13.9" x14ac:dyDescent="0.3">
      <c r="A367" s="2" t="s">
        <v>384</v>
      </c>
      <c r="B367" s="2">
        <v>0</v>
      </c>
      <c r="C367" s="2">
        <v>0</v>
      </c>
      <c r="D367" s="2">
        <v>0</v>
      </c>
      <c r="E367" s="2">
        <v>3.52</v>
      </c>
      <c r="F367" s="2">
        <v>4.88</v>
      </c>
      <c r="G367" s="2">
        <v>5.22</v>
      </c>
      <c r="H367" s="2" t="e">
        <f t="shared" si="15"/>
        <v>#NUM!</v>
      </c>
      <c r="I367" s="2">
        <f t="shared" si="16"/>
        <v>9.4368458112234575E-4</v>
      </c>
      <c r="J367" s="2"/>
      <c r="K367" s="2" t="e">
        <f t="shared" si="17"/>
        <v>#NUM!</v>
      </c>
    </row>
    <row r="368" spans="1:11" ht="13.9" x14ac:dyDescent="0.3">
      <c r="A368" s="2" t="s">
        <v>385</v>
      </c>
      <c r="B368" s="2">
        <v>1.57</v>
      </c>
      <c r="C368" s="2">
        <v>0.28999999999999998</v>
      </c>
      <c r="D368" s="2">
        <v>15.56</v>
      </c>
      <c r="E368" s="2">
        <v>35.369999999999997</v>
      </c>
      <c r="F368" s="2">
        <v>33.380000000000003</v>
      </c>
      <c r="G368" s="2">
        <v>36.19</v>
      </c>
      <c r="H368" s="2">
        <f t="shared" si="15"/>
        <v>-2.590748166043944</v>
      </c>
      <c r="I368" s="2">
        <f t="shared" si="16"/>
        <v>4.1799338849886061E-3</v>
      </c>
      <c r="J368" s="2"/>
      <c r="K368" s="2">
        <f t="shared" si="17"/>
        <v>4.1226727188241403</v>
      </c>
    </row>
    <row r="369" spans="1:11" ht="13.9" x14ac:dyDescent="0.3">
      <c r="A369" s="2" t="s">
        <v>386</v>
      </c>
      <c r="B369" s="2">
        <v>1.57</v>
      </c>
      <c r="C369" s="2">
        <v>21.11</v>
      </c>
      <c r="D369" s="2">
        <v>13.74</v>
      </c>
      <c r="E369" s="2">
        <v>1.76</v>
      </c>
      <c r="F369" s="2">
        <v>4.66</v>
      </c>
      <c r="G369" s="2">
        <v>2.61</v>
      </c>
      <c r="H369" s="2">
        <f t="shared" si="15"/>
        <v>2.0119330294959803</v>
      </c>
      <c r="I369" s="2">
        <f t="shared" si="16"/>
        <v>0.18824049316975808</v>
      </c>
      <c r="J369" s="2"/>
      <c r="K369" s="2">
        <f t="shared" si="17"/>
        <v>5.1866590172021141</v>
      </c>
    </row>
    <row r="370" spans="1:11" ht="13.9" x14ac:dyDescent="0.3">
      <c r="A370" s="2" t="s">
        <v>387</v>
      </c>
      <c r="B370" s="2">
        <v>2.75</v>
      </c>
      <c r="C370" s="2">
        <v>0</v>
      </c>
      <c r="D370" s="2">
        <v>0</v>
      </c>
      <c r="E370" s="2">
        <v>2.39</v>
      </c>
      <c r="F370" s="2">
        <v>0.67</v>
      </c>
      <c r="G370" s="2">
        <v>0</v>
      </c>
      <c r="H370" s="2">
        <f t="shared" si="15"/>
        <v>-0.15410003428062979</v>
      </c>
      <c r="I370" s="2">
        <f t="shared" si="16"/>
        <v>0.93333224053786012</v>
      </c>
      <c r="J370" s="2"/>
      <c r="K370" s="2">
        <f t="shared" si="17"/>
        <v>1.4594316186372973</v>
      </c>
    </row>
    <row r="371" spans="1:11" ht="13.9" x14ac:dyDescent="0.3">
      <c r="A371" s="2" t="s">
        <v>388</v>
      </c>
      <c r="B371" s="2">
        <v>16.78</v>
      </c>
      <c r="C371" s="2">
        <v>0</v>
      </c>
      <c r="D371" s="2">
        <v>0</v>
      </c>
      <c r="E371" s="2">
        <v>23.79</v>
      </c>
      <c r="F371" s="2">
        <v>21.84</v>
      </c>
      <c r="G371" s="2">
        <v>20.309999999999999</v>
      </c>
      <c r="H371" s="2">
        <f t="shared" si="15"/>
        <v>-1.9744111712305641</v>
      </c>
      <c r="I371" s="2">
        <f t="shared" si="16"/>
        <v>4.4863050886835315E-2</v>
      </c>
      <c r="J371" s="2"/>
      <c r="K371" s="2">
        <f t="shared" si="17"/>
        <v>4.0686708106650986</v>
      </c>
    </row>
    <row r="372" spans="1:11" ht="13.9" x14ac:dyDescent="0.3">
      <c r="A372" s="2" t="s">
        <v>389</v>
      </c>
      <c r="B372" s="2">
        <v>36.840000000000003</v>
      </c>
      <c r="C372" s="2">
        <v>189.41</v>
      </c>
      <c r="D372" s="2">
        <v>57.83</v>
      </c>
      <c r="E372" s="2">
        <v>235.39</v>
      </c>
      <c r="F372" s="2">
        <v>317.68</v>
      </c>
      <c r="G372" s="2">
        <v>146.80000000000001</v>
      </c>
      <c r="H372" s="2">
        <f t="shared" si="15"/>
        <v>-1.3007897026248501</v>
      </c>
      <c r="I372" s="2">
        <f t="shared" si="16"/>
        <v>0.11367318573268639</v>
      </c>
      <c r="J372" s="2"/>
      <c r="K372" s="2">
        <f t="shared" si="17"/>
        <v>8.1501534552462473</v>
      </c>
    </row>
    <row r="373" spans="1:11" ht="13.9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1.38</v>
      </c>
      <c r="F373" s="2">
        <v>0.55000000000000004</v>
      </c>
      <c r="G373" s="2">
        <v>0</v>
      </c>
      <c r="H373" s="2" t="e">
        <f t="shared" si="15"/>
        <v>#NUM!</v>
      </c>
      <c r="I373" s="2">
        <f t="shared" si="16"/>
        <v>0.18399335596368105</v>
      </c>
      <c r="J373" s="2"/>
      <c r="K373" s="2" t="e">
        <f t="shared" si="17"/>
        <v>#NUM!</v>
      </c>
    </row>
    <row r="374" spans="1:11" ht="13.9" x14ac:dyDescent="0.3">
      <c r="A374" s="2" t="s">
        <v>391</v>
      </c>
      <c r="B374" s="2">
        <v>6.55</v>
      </c>
      <c r="C374" s="2">
        <v>0.57999999999999996</v>
      </c>
      <c r="D374" s="2">
        <v>2.0699999999999998</v>
      </c>
      <c r="E374" s="2">
        <v>16.11</v>
      </c>
      <c r="F374" s="2">
        <v>13.42</v>
      </c>
      <c r="G374" s="2">
        <v>9.8699999999999992</v>
      </c>
      <c r="H374" s="2">
        <f t="shared" si="15"/>
        <v>-2.0984898633993638</v>
      </c>
      <c r="I374" s="2">
        <f t="shared" si="16"/>
        <v>1.6769919398437499E-2</v>
      </c>
      <c r="J374" s="2"/>
      <c r="K374" s="2">
        <f t="shared" si="17"/>
        <v>3.2016338611696504</v>
      </c>
    </row>
    <row r="375" spans="1:11" ht="13.9" x14ac:dyDescent="0.3">
      <c r="A375" s="2" t="s">
        <v>392</v>
      </c>
      <c r="B375" s="2">
        <v>36.049999999999997</v>
      </c>
      <c r="C375" s="2">
        <v>46.56</v>
      </c>
      <c r="D375" s="2">
        <v>24.38</v>
      </c>
      <c r="E375" s="2">
        <v>73.260000000000005</v>
      </c>
      <c r="F375" s="2">
        <v>94.92</v>
      </c>
      <c r="G375" s="2">
        <v>70.11</v>
      </c>
      <c r="H375" s="2">
        <f t="shared" si="15"/>
        <v>-1.1552424501182603</v>
      </c>
      <c r="I375" s="2">
        <f t="shared" si="16"/>
        <v>1.2283464177081604E-2</v>
      </c>
      <c r="J375" s="2"/>
      <c r="K375" s="2">
        <f t="shared" si="17"/>
        <v>6.7413321487879934</v>
      </c>
    </row>
    <row r="376" spans="1:11" ht="13.9" x14ac:dyDescent="0.3">
      <c r="A376" s="2" t="s">
        <v>393</v>
      </c>
      <c r="B376" s="2">
        <v>18.48</v>
      </c>
      <c r="C376" s="2">
        <v>0</v>
      </c>
      <c r="D376" s="2">
        <v>42.53</v>
      </c>
      <c r="E376" s="2">
        <v>13.97</v>
      </c>
      <c r="F376" s="2">
        <v>26.94</v>
      </c>
      <c r="G376" s="2">
        <v>9.42</v>
      </c>
      <c r="H376" s="2">
        <f t="shared" si="15"/>
        <v>0.27762713284072865</v>
      </c>
      <c r="I376" s="2">
        <f t="shared" si="16"/>
        <v>0.80340146949294888</v>
      </c>
      <c r="J376" s="2"/>
      <c r="K376" s="2">
        <f t="shared" si="17"/>
        <v>5.9309738255629059</v>
      </c>
    </row>
    <row r="377" spans="1:11" ht="13.9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3.27</v>
      </c>
      <c r="F377" s="2">
        <v>1.33</v>
      </c>
      <c r="G377" s="2">
        <v>3.52</v>
      </c>
      <c r="H377" s="2" t="e">
        <f t="shared" si="15"/>
        <v>#NUM!</v>
      </c>
      <c r="I377" s="2">
        <f t="shared" si="16"/>
        <v>1.7382565833248844E-2</v>
      </c>
      <c r="J377" s="2"/>
      <c r="K377" s="2" t="e">
        <f t="shared" si="17"/>
        <v>#NUM!</v>
      </c>
    </row>
    <row r="378" spans="1:11" ht="13.9" x14ac:dyDescent="0.3">
      <c r="A378" s="2" t="s">
        <v>395</v>
      </c>
      <c r="B378" s="2">
        <v>0</v>
      </c>
      <c r="C378" s="2">
        <v>0</v>
      </c>
      <c r="D378" s="2">
        <v>0.26</v>
      </c>
      <c r="E378" s="2">
        <v>0</v>
      </c>
      <c r="F378" s="2">
        <v>0.11</v>
      </c>
      <c r="G378" s="2">
        <v>0.56999999999999995</v>
      </c>
      <c r="H378" s="2">
        <f t="shared" si="15"/>
        <v>-1.3870231231092471</v>
      </c>
      <c r="I378" s="2">
        <f t="shared" si="16"/>
        <v>0.51229798941042815</v>
      </c>
      <c r="J378" s="2"/>
      <c r="K378" s="2">
        <f t="shared" si="17"/>
        <v>-1.9434164716336324</v>
      </c>
    </row>
    <row r="379" spans="1:11" ht="13.9" x14ac:dyDescent="0.3">
      <c r="A379" s="2" t="s">
        <v>396</v>
      </c>
      <c r="B379" s="2">
        <v>0</v>
      </c>
      <c r="C379" s="2">
        <v>6.94</v>
      </c>
      <c r="D379" s="2">
        <v>0</v>
      </c>
      <c r="E379" s="2">
        <v>0.38</v>
      </c>
      <c r="F379" s="2">
        <v>1.33</v>
      </c>
      <c r="G379" s="2">
        <v>2.5</v>
      </c>
      <c r="H379" s="2">
        <f t="shared" si="15"/>
        <v>0.72111542951186491</v>
      </c>
      <c r="I379" s="2">
        <f t="shared" si="16"/>
        <v>0.72309298802823063</v>
      </c>
      <c r="J379" s="2"/>
      <c r="K379" s="2">
        <f t="shared" si="17"/>
        <v>2.7949356628035362</v>
      </c>
    </row>
    <row r="380" spans="1:11" ht="13.9" x14ac:dyDescent="0.3">
      <c r="A380" s="2" t="s">
        <v>397</v>
      </c>
      <c r="B380" s="2">
        <v>0.66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15"/>
        <v>#DIV/0!</v>
      </c>
      <c r="I380" s="2">
        <f t="shared" si="16"/>
        <v>0.37390096630005903</v>
      </c>
      <c r="J380" s="2"/>
      <c r="K380" s="2">
        <f t="shared" si="17"/>
        <v>-0.5994620704162712</v>
      </c>
    </row>
    <row r="381" spans="1:11" ht="13.9" x14ac:dyDescent="0.3">
      <c r="A381" s="2" t="s">
        <v>398</v>
      </c>
      <c r="B381" s="2">
        <v>0</v>
      </c>
      <c r="C381" s="2">
        <v>0</v>
      </c>
      <c r="D381" s="2">
        <v>7.26</v>
      </c>
      <c r="E381" s="2">
        <v>1.01</v>
      </c>
      <c r="F381" s="2">
        <v>1.66</v>
      </c>
      <c r="G381" s="2">
        <v>0</v>
      </c>
      <c r="H381" s="2">
        <f t="shared" si="15"/>
        <v>1.443129806308197</v>
      </c>
      <c r="I381" s="2">
        <f t="shared" si="16"/>
        <v>0.56882844746197914</v>
      </c>
      <c r="J381" s="2"/>
      <c r="K381" s="2">
        <f t="shared" si="17"/>
        <v>2.8599695482210259</v>
      </c>
    </row>
    <row r="382" spans="1:11" ht="13.9" x14ac:dyDescent="0.3">
      <c r="A382" s="2" t="s">
        <v>399</v>
      </c>
      <c r="B382" s="2">
        <v>0</v>
      </c>
      <c r="C382" s="2">
        <v>0</v>
      </c>
      <c r="D382" s="2">
        <v>0</v>
      </c>
      <c r="E382" s="2">
        <v>0.63</v>
      </c>
      <c r="F382" s="2">
        <v>0.11</v>
      </c>
      <c r="G382" s="2">
        <v>0</v>
      </c>
      <c r="H382" s="2" t="e">
        <f t="shared" si="15"/>
        <v>#NUM!</v>
      </c>
      <c r="I382" s="2">
        <f t="shared" si="16"/>
        <v>0.27304821573138199</v>
      </c>
      <c r="J382" s="2"/>
      <c r="K382" s="2" t="e">
        <f t="shared" si="17"/>
        <v>#NUM!</v>
      </c>
    </row>
    <row r="383" spans="1:11" ht="13.9" x14ac:dyDescent="0.3">
      <c r="A383" s="2" t="s">
        <v>400</v>
      </c>
      <c r="B383" s="2">
        <v>0</v>
      </c>
      <c r="C383" s="2">
        <v>0</v>
      </c>
      <c r="D383" s="2">
        <v>7.26</v>
      </c>
      <c r="E383" s="2">
        <v>1.01</v>
      </c>
      <c r="F383" s="2">
        <v>1.66</v>
      </c>
      <c r="G383" s="2">
        <v>0</v>
      </c>
      <c r="H383" s="2">
        <f t="shared" si="15"/>
        <v>1.443129806308197</v>
      </c>
      <c r="I383" s="2">
        <f t="shared" si="16"/>
        <v>0.56882844746197914</v>
      </c>
      <c r="J383" s="2"/>
      <c r="K383" s="2">
        <f t="shared" si="17"/>
        <v>2.8599695482210259</v>
      </c>
    </row>
    <row r="384" spans="1:11" ht="13.9" x14ac:dyDescent="0.3">
      <c r="A384" s="2" t="s">
        <v>401</v>
      </c>
      <c r="B384" s="2">
        <v>0</v>
      </c>
      <c r="C384" s="2">
        <v>0</v>
      </c>
      <c r="D384" s="2">
        <v>0</v>
      </c>
      <c r="E384" s="2">
        <v>0.13</v>
      </c>
      <c r="F384" s="2">
        <v>0</v>
      </c>
      <c r="G384" s="2">
        <v>0.23</v>
      </c>
      <c r="H384" s="2" t="e">
        <f t="shared" si="15"/>
        <v>#NUM!</v>
      </c>
      <c r="I384" s="2">
        <f t="shared" si="16"/>
        <v>0.14585533230362946</v>
      </c>
      <c r="J384" s="2"/>
      <c r="K384" s="2" t="e">
        <f t="shared" si="17"/>
        <v>#NUM!</v>
      </c>
    </row>
    <row r="385" spans="1:11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 t="e">
        <f t="shared" si="15"/>
        <v>#DIV/0!</v>
      </c>
      <c r="I385" s="2" t="e">
        <f t="shared" si="16"/>
        <v>#DIV/0!</v>
      </c>
      <c r="J385" s="2"/>
      <c r="K385" s="2" t="e">
        <f t="shared" si="17"/>
        <v>#NUM!</v>
      </c>
    </row>
    <row r="386" spans="1:11" ht="13.9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0.5</v>
      </c>
      <c r="F386" s="2">
        <v>0</v>
      </c>
      <c r="G386" s="2">
        <v>0.34</v>
      </c>
      <c r="H386" s="2" t="e">
        <f t="shared" ref="H386:H449" si="18">LOG(SUM(B386:D386)/SUM(E386:G386),2)</f>
        <v>#NUM!</v>
      </c>
      <c r="I386" s="2">
        <f t="shared" ref="I386:I449" si="19">_xlfn.T.TEST(B386:D386,E386:G386,2,2)</f>
        <v>0.13034320824229523</v>
      </c>
      <c r="J386" s="2"/>
      <c r="K386" s="2" t="e">
        <f t="shared" si="17"/>
        <v>#NUM!</v>
      </c>
    </row>
    <row r="387" spans="1:11" ht="13.9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</v>
      </c>
      <c r="F387" s="2">
        <v>0.67</v>
      </c>
      <c r="G387" s="2">
        <v>0</v>
      </c>
      <c r="H387" s="2" t="e">
        <f t="shared" si="18"/>
        <v>#NUM!</v>
      </c>
      <c r="I387" s="2">
        <f t="shared" si="19"/>
        <v>0.37390096630005903</v>
      </c>
      <c r="J387" s="2"/>
      <c r="K387" s="2" t="e">
        <f t="shared" ref="K387:K450" si="20">LOG(SUM(B387:D387),2)</f>
        <v>#NUM!</v>
      </c>
    </row>
    <row r="388" spans="1:11" ht="13.9" x14ac:dyDescent="0.3">
      <c r="A388" s="2" t="s">
        <v>405</v>
      </c>
      <c r="B388" s="2">
        <v>0</v>
      </c>
      <c r="C388" s="2">
        <v>0</v>
      </c>
      <c r="D388" s="2">
        <v>0</v>
      </c>
      <c r="E388" s="2">
        <v>0.76</v>
      </c>
      <c r="F388" s="2">
        <v>0</v>
      </c>
      <c r="G388" s="2">
        <v>0.68</v>
      </c>
      <c r="H388" s="2" t="e">
        <f t="shared" si="18"/>
        <v>#NUM!</v>
      </c>
      <c r="I388" s="2">
        <f t="shared" si="19"/>
        <v>0.11734271318907021</v>
      </c>
      <c r="J388" s="2"/>
      <c r="K388" s="2" t="e">
        <f t="shared" si="20"/>
        <v>#NUM!</v>
      </c>
    </row>
    <row r="389" spans="1:11" ht="13.9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1</v>
      </c>
      <c r="G389" s="2">
        <v>0</v>
      </c>
      <c r="H389" s="2" t="e">
        <f t="shared" si="18"/>
        <v>#NUM!</v>
      </c>
      <c r="I389" s="2">
        <f t="shared" si="19"/>
        <v>0.37390096630005903</v>
      </c>
      <c r="J389" s="2"/>
      <c r="K389" s="2" t="e">
        <f t="shared" si="20"/>
        <v>#NUM!</v>
      </c>
    </row>
    <row r="390" spans="1:11" ht="13.9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0</v>
      </c>
      <c r="F390" s="2">
        <v>0.78</v>
      </c>
      <c r="G390" s="2">
        <v>1.02</v>
      </c>
      <c r="H390" s="2" t="e">
        <f t="shared" si="18"/>
        <v>#NUM!</v>
      </c>
      <c r="I390" s="2">
        <f t="shared" si="19"/>
        <v>0.12313947380468777</v>
      </c>
      <c r="J390" s="2"/>
      <c r="K390" s="2" t="e">
        <f t="shared" si="20"/>
        <v>#NUM!</v>
      </c>
    </row>
    <row r="391" spans="1:11" ht="13.9" x14ac:dyDescent="0.3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0.11</v>
      </c>
      <c r="G391" s="2">
        <v>0</v>
      </c>
      <c r="H391" s="2" t="e">
        <f t="shared" si="18"/>
        <v>#NUM!</v>
      </c>
      <c r="I391" s="2">
        <f t="shared" si="19"/>
        <v>0.37390096630005903</v>
      </c>
      <c r="J391" s="2"/>
      <c r="K391" s="2" t="e">
        <f t="shared" si="20"/>
        <v>#NUM!</v>
      </c>
    </row>
    <row r="392" spans="1:11" ht="13.9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1.76</v>
      </c>
      <c r="F392" s="2">
        <v>1.89</v>
      </c>
      <c r="G392" s="2">
        <v>1.82</v>
      </c>
      <c r="H392" s="2" t="e">
        <f t="shared" si="18"/>
        <v>#NUM!</v>
      </c>
      <c r="I392" s="2">
        <f t="shared" si="19"/>
        <v>1.0779074407182297E-6</v>
      </c>
      <c r="J392" s="2"/>
      <c r="K392" s="2" t="e">
        <f t="shared" si="20"/>
        <v>#NUM!</v>
      </c>
    </row>
    <row r="393" spans="1:11" ht="13.9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0.22</v>
      </c>
      <c r="G393" s="2">
        <v>0</v>
      </c>
      <c r="H393" s="2" t="e">
        <f t="shared" si="18"/>
        <v>#NUM!</v>
      </c>
      <c r="I393" s="2">
        <f t="shared" si="19"/>
        <v>0.37390096630005903</v>
      </c>
      <c r="J393" s="2"/>
      <c r="K393" s="2" t="e">
        <f t="shared" si="20"/>
        <v>#NUM!</v>
      </c>
    </row>
    <row r="394" spans="1:11" ht="13.9" x14ac:dyDescent="0.3">
      <c r="A394" s="2" t="s">
        <v>411</v>
      </c>
      <c r="B394" s="2">
        <v>5.37</v>
      </c>
      <c r="C394" s="2">
        <v>0</v>
      </c>
      <c r="D394" s="2">
        <v>0</v>
      </c>
      <c r="E394" s="2">
        <v>0.63</v>
      </c>
      <c r="F394" s="2">
        <v>0.22</v>
      </c>
      <c r="G394" s="2">
        <v>0.11</v>
      </c>
      <c r="H394" s="2">
        <f t="shared" si="18"/>
        <v>2.4838157772642564</v>
      </c>
      <c r="I394" s="2">
        <f t="shared" si="19"/>
        <v>0.45926410201325812</v>
      </c>
      <c r="J394" s="2"/>
      <c r="K394" s="2">
        <f t="shared" si="20"/>
        <v>2.4249220882106881</v>
      </c>
    </row>
    <row r="395" spans="1:11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18"/>
        <v>#DIV/0!</v>
      </c>
      <c r="I395" s="2" t="e">
        <f t="shared" si="19"/>
        <v>#DIV/0!</v>
      </c>
      <c r="J395" s="2"/>
      <c r="K395" s="2" t="e">
        <f t="shared" si="20"/>
        <v>#NUM!</v>
      </c>
    </row>
    <row r="396" spans="1:11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 t="e">
        <f t="shared" si="18"/>
        <v>#DIV/0!</v>
      </c>
      <c r="I396" s="2" t="e">
        <f t="shared" si="19"/>
        <v>#DIV/0!</v>
      </c>
      <c r="J396" s="2"/>
      <c r="K396" s="2" t="e">
        <f t="shared" si="20"/>
        <v>#NUM!</v>
      </c>
    </row>
    <row r="397" spans="1:11" ht="13.9" x14ac:dyDescent="0.3">
      <c r="A397" s="2" t="s">
        <v>414</v>
      </c>
      <c r="B397" s="2">
        <v>2.88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18"/>
        <v>#DIV/0!</v>
      </c>
      <c r="I397" s="2">
        <f t="shared" si="19"/>
        <v>0.37390096630005903</v>
      </c>
      <c r="J397" s="2"/>
      <c r="K397" s="2">
        <f t="shared" si="20"/>
        <v>1.5260688116675876</v>
      </c>
    </row>
    <row r="398" spans="1:11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18"/>
        <v>#DIV/0!</v>
      </c>
      <c r="I398" s="2" t="e">
        <f t="shared" si="19"/>
        <v>#DIV/0!</v>
      </c>
      <c r="J398" s="2"/>
      <c r="K398" s="2" t="e">
        <f t="shared" si="20"/>
        <v>#NUM!</v>
      </c>
    </row>
    <row r="399" spans="1:11" ht="13.9" x14ac:dyDescent="0.3">
      <c r="A399" s="2" t="s">
        <v>416</v>
      </c>
      <c r="B399" s="2">
        <v>0</v>
      </c>
      <c r="C399" s="2">
        <v>0</v>
      </c>
      <c r="D399" s="2">
        <v>0</v>
      </c>
      <c r="E399" s="2">
        <v>1.89</v>
      </c>
      <c r="F399" s="2">
        <v>2.2200000000000002</v>
      </c>
      <c r="G399" s="2">
        <v>4.88</v>
      </c>
      <c r="H399" s="2" t="e">
        <f t="shared" si="18"/>
        <v>#NUM!</v>
      </c>
      <c r="I399" s="2">
        <f t="shared" si="19"/>
        <v>3.3983276216319462E-2</v>
      </c>
      <c r="J399" s="2"/>
      <c r="K399" s="2" t="e">
        <f t="shared" si="20"/>
        <v>#NUM!</v>
      </c>
    </row>
    <row r="400" spans="1:11" ht="13.9" x14ac:dyDescent="0.3">
      <c r="A400" s="2" t="s">
        <v>417</v>
      </c>
      <c r="B400" s="2">
        <v>52.7</v>
      </c>
      <c r="C400" s="2">
        <v>34.99</v>
      </c>
      <c r="D400" s="2">
        <v>82.73</v>
      </c>
      <c r="E400" s="2">
        <v>46.32</v>
      </c>
      <c r="F400" s="2">
        <v>14.41</v>
      </c>
      <c r="G400" s="2">
        <v>26.09</v>
      </c>
      <c r="H400" s="2">
        <f t="shared" si="18"/>
        <v>0.97299532832772728</v>
      </c>
      <c r="I400" s="2">
        <f t="shared" si="19"/>
        <v>0.17178580199589713</v>
      </c>
      <c r="J400" s="2"/>
      <c r="K400" s="2">
        <f t="shared" si="20"/>
        <v>7.4129508458058835</v>
      </c>
    </row>
    <row r="401" spans="1:11" ht="13.9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0.63</v>
      </c>
      <c r="F401" s="2">
        <v>1.89</v>
      </c>
      <c r="G401" s="2">
        <v>0</v>
      </c>
      <c r="H401" s="2" t="e">
        <f t="shared" si="18"/>
        <v>#NUM!</v>
      </c>
      <c r="I401" s="2">
        <f t="shared" si="19"/>
        <v>0.20510645520407772</v>
      </c>
      <c r="J401" s="2"/>
      <c r="K401" s="2" t="e">
        <f t="shared" si="20"/>
        <v>#NUM!</v>
      </c>
    </row>
    <row r="402" spans="1:11" ht="13.9" x14ac:dyDescent="0.3">
      <c r="A402" s="2" t="s">
        <v>419</v>
      </c>
      <c r="B402" s="2">
        <v>0.13</v>
      </c>
      <c r="C402" s="2">
        <v>9.5399999999999991</v>
      </c>
      <c r="D402" s="2">
        <v>0.78</v>
      </c>
      <c r="E402" s="2">
        <v>0</v>
      </c>
      <c r="F402" s="2">
        <v>0</v>
      </c>
      <c r="G402" s="2">
        <v>1.25</v>
      </c>
      <c r="H402" s="2">
        <f t="shared" si="18"/>
        <v>3.0635029423061582</v>
      </c>
      <c r="I402" s="2">
        <f t="shared" si="19"/>
        <v>0.37333363424858534</v>
      </c>
      <c r="J402" s="2"/>
      <c r="K402" s="2">
        <f t="shared" si="20"/>
        <v>3.3854310371935208</v>
      </c>
    </row>
    <row r="403" spans="1:11" ht="13.9" x14ac:dyDescent="0.3">
      <c r="A403" s="2" t="s">
        <v>420</v>
      </c>
      <c r="B403" s="2">
        <v>0</v>
      </c>
      <c r="C403" s="2">
        <v>9.5399999999999991</v>
      </c>
      <c r="D403" s="2">
        <v>0</v>
      </c>
      <c r="E403" s="2">
        <v>0</v>
      </c>
      <c r="F403" s="2">
        <v>0</v>
      </c>
      <c r="G403" s="2">
        <v>0.56999999999999995</v>
      </c>
      <c r="H403" s="2">
        <f t="shared" si="18"/>
        <v>4.0649554418407696</v>
      </c>
      <c r="I403" s="2">
        <f t="shared" si="19"/>
        <v>0.40108711485290022</v>
      </c>
      <c r="J403" s="2"/>
      <c r="K403" s="2">
        <f t="shared" si="20"/>
        <v>3.253989266230787</v>
      </c>
    </row>
    <row r="404" spans="1:11" ht="13.9" x14ac:dyDescent="0.3">
      <c r="A404" s="2" t="s">
        <v>421</v>
      </c>
      <c r="B404" s="2">
        <v>3.8</v>
      </c>
      <c r="C404" s="2">
        <v>0</v>
      </c>
      <c r="D404" s="2">
        <v>0</v>
      </c>
      <c r="E404" s="2">
        <v>0.38</v>
      </c>
      <c r="F404" s="2">
        <v>0.44</v>
      </c>
      <c r="G404" s="2">
        <v>0.56999999999999995</v>
      </c>
      <c r="H404" s="2">
        <f t="shared" si="18"/>
        <v>1.45091453560744</v>
      </c>
      <c r="I404" s="2">
        <f t="shared" si="19"/>
        <v>0.56076788015357304</v>
      </c>
      <c r="J404" s="2"/>
      <c r="K404" s="2">
        <f t="shared" si="20"/>
        <v>1.925999418556223</v>
      </c>
    </row>
    <row r="405" spans="1:11" ht="13.9" x14ac:dyDescent="0.3">
      <c r="A405" s="2" t="s">
        <v>422</v>
      </c>
      <c r="B405" s="2">
        <v>10.09</v>
      </c>
      <c r="C405" s="2">
        <v>31.81</v>
      </c>
      <c r="D405" s="2">
        <v>14.78</v>
      </c>
      <c r="E405" s="2">
        <v>6.17</v>
      </c>
      <c r="F405" s="2">
        <v>11.42</v>
      </c>
      <c r="G405" s="2">
        <v>5.1100000000000003</v>
      </c>
      <c r="H405" s="2">
        <f t="shared" si="18"/>
        <v>1.3201474607397414</v>
      </c>
      <c r="I405" s="2">
        <f t="shared" si="19"/>
        <v>0.17509506228017518</v>
      </c>
      <c r="J405" s="2"/>
      <c r="K405" s="2">
        <f t="shared" si="20"/>
        <v>5.8247678531432943</v>
      </c>
    </row>
    <row r="406" spans="1:11" ht="13.9" x14ac:dyDescent="0.3">
      <c r="A406" s="2" t="s">
        <v>423</v>
      </c>
      <c r="B406" s="2">
        <v>0</v>
      </c>
      <c r="C406" s="2">
        <v>8.1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18"/>
        <v>#DIV/0!</v>
      </c>
      <c r="I406" s="2">
        <f t="shared" si="19"/>
        <v>0.37390096630005903</v>
      </c>
      <c r="J406" s="2"/>
      <c r="K406" s="2">
        <f t="shared" si="20"/>
        <v>3.0179219079972626</v>
      </c>
    </row>
    <row r="407" spans="1:11" ht="13.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18"/>
        <v>#DIV/0!</v>
      </c>
      <c r="I407" s="2" t="e">
        <f t="shared" si="19"/>
        <v>#DIV/0!</v>
      </c>
      <c r="J407" s="2"/>
      <c r="K407" s="2" t="e">
        <f t="shared" si="20"/>
        <v>#NUM!</v>
      </c>
    </row>
    <row r="408" spans="1:11" ht="13.9" x14ac:dyDescent="0.3">
      <c r="A408" s="2" t="s">
        <v>425</v>
      </c>
      <c r="B408" s="2">
        <v>0</v>
      </c>
      <c r="C408" s="2">
        <v>2.89</v>
      </c>
      <c r="D408" s="2">
        <v>0</v>
      </c>
      <c r="E408" s="2">
        <v>0</v>
      </c>
      <c r="F408" s="2">
        <v>0.22</v>
      </c>
      <c r="G408" s="2">
        <v>0</v>
      </c>
      <c r="H408" s="2">
        <f t="shared" si="18"/>
        <v>3.7154940638633818</v>
      </c>
      <c r="I408" s="2">
        <f t="shared" si="19"/>
        <v>0.40907281656042765</v>
      </c>
      <c r="J408" s="2"/>
      <c r="K408" s="2">
        <f t="shared" si="20"/>
        <v>1.5310694927259541</v>
      </c>
    </row>
    <row r="409" spans="1:11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18"/>
        <v>#DIV/0!</v>
      </c>
      <c r="I409" s="2" t="e">
        <f t="shared" si="19"/>
        <v>#DIV/0!</v>
      </c>
      <c r="J409" s="2"/>
      <c r="K409" s="2" t="e">
        <f t="shared" si="20"/>
        <v>#NUM!</v>
      </c>
    </row>
    <row r="410" spans="1:11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18"/>
        <v>#DIV/0!</v>
      </c>
      <c r="I410" s="2" t="e">
        <f t="shared" si="19"/>
        <v>#DIV/0!</v>
      </c>
      <c r="J410" s="2"/>
      <c r="K410" s="2" t="e">
        <f t="shared" si="20"/>
        <v>#NUM!</v>
      </c>
    </row>
    <row r="411" spans="1:11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18"/>
        <v>#DIV/0!</v>
      </c>
      <c r="I411" s="2" t="e">
        <f t="shared" si="19"/>
        <v>#DIV/0!</v>
      </c>
      <c r="J411" s="2"/>
      <c r="K411" s="2" t="e">
        <f t="shared" si="20"/>
        <v>#NUM!</v>
      </c>
    </row>
    <row r="412" spans="1:11" ht="13.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18"/>
        <v>#DIV/0!</v>
      </c>
      <c r="I412" s="2" t="e">
        <f t="shared" si="19"/>
        <v>#DIV/0!</v>
      </c>
      <c r="J412" s="2"/>
      <c r="K412" s="2" t="e">
        <f t="shared" si="20"/>
        <v>#NUM!</v>
      </c>
    </row>
    <row r="413" spans="1:11" ht="13.9" x14ac:dyDescent="0.3">
      <c r="A413" s="2" t="s">
        <v>430</v>
      </c>
      <c r="B413" s="2">
        <v>0</v>
      </c>
      <c r="C413" s="2">
        <v>0.28999999999999998</v>
      </c>
      <c r="D413" s="2">
        <v>0</v>
      </c>
      <c r="E413" s="2">
        <v>0.13</v>
      </c>
      <c r="F413" s="2">
        <v>0</v>
      </c>
      <c r="G413" s="2">
        <v>0.11</v>
      </c>
      <c r="H413" s="2">
        <f t="shared" si="18"/>
        <v>0.27301849440641585</v>
      </c>
      <c r="I413" s="2">
        <f t="shared" si="19"/>
        <v>0.8813213765215222</v>
      </c>
      <c r="J413" s="2"/>
      <c r="K413" s="2">
        <f t="shared" si="20"/>
        <v>-1.7858751946471527</v>
      </c>
    </row>
    <row r="414" spans="1:11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 t="e">
        <f t="shared" si="18"/>
        <v>#DIV/0!</v>
      </c>
      <c r="I414" s="2" t="e">
        <f t="shared" si="19"/>
        <v>#DIV/0!</v>
      </c>
      <c r="J414" s="2"/>
      <c r="K414" s="2" t="e">
        <f t="shared" si="20"/>
        <v>#NUM!</v>
      </c>
    </row>
    <row r="415" spans="1:11" ht="13.9" x14ac:dyDescent="0.3">
      <c r="A415" s="2" t="s">
        <v>432</v>
      </c>
      <c r="B415" s="2">
        <v>182.62</v>
      </c>
      <c r="C415" s="2">
        <v>183.63</v>
      </c>
      <c r="D415" s="2">
        <v>133.03</v>
      </c>
      <c r="E415" s="2">
        <v>229.1</v>
      </c>
      <c r="F415" s="2">
        <v>220.1</v>
      </c>
      <c r="G415" s="2">
        <v>219.86</v>
      </c>
      <c r="H415" s="2">
        <f t="shared" si="18"/>
        <v>-0.42228647794986429</v>
      </c>
      <c r="I415" s="2">
        <f t="shared" si="19"/>
        <v>2.9001804114242618E-2</v>
      </c>
      <c r="J415" s="2"/>
      <c r="K415" s="2">
        <f t="shared" si="20"/>
        <v>8.9637053065794809</v>
      </c>
    </row>
    <row r="416" spans="1:11" ht="13.9" x14ac:dyDescent="0.3">
      <c r="A416" s="2" t="s">
        <v>433</v>
      </c>
      <c r="B416" s="2">
        <v>13.24</v>
      </c>
      <c r="C416" s="2">
        <v>30.94</v>
      </c>
      <c r="D416" s="2">
        <v>0</v>
      </c>
      <c r="E416" s="2">
        <v>41.16</v>
      </c>
      <c r="F416" s="2">
        <v>43.69</v>
      </c>
      <c r="G416" s="2">
        <v>50.82</v>
      </c>
      <c r="H416" s="2">
        <f t="shared" si="18"/>
        <v>-1.618636416581682</v>
      </c>
      <c r="I416" s="2">
        <f t="shared" si="19"/>
        <v>3.1725588641011188E-2</v>
      </c>
      <c r="J416" s="2"/>
      <c r="K416" s="2">
        <f t="shared" si="20"/>
        <v>5.46532151358055</v>
      </c>
    </row>
    <row r="417" spans="1:11" ht="13.9" x14ac:dyDescent="0.3">
      <c r="A417" s="2" t="s">
        <v>434</v>
      </c>
      <c r="B417" s="2">
        <v>0</v>
      </c>
      <c r="C417" s="2">
        <v>0</v>
      </c>
      <c r="D417" s="2">
        <v>0</v>
      </c>
      <c r="E417" s="2">
        <v>0.25</v>
      </c>
      <c r="F417" s="2">
        <v>0.11</v>
      </c>
      <c r="G417" s="2">
        <v>0</v>
      </c>
      <c r="H417" s="2" t="e">
        <f t="shared" si="18"/>
        <v>#NUM!</v>
      </c>
      <c r="I417" s="2">
        <f t="shared" si="19"/>
        <v>0.17249655926762433</v>
      </c>
      <c r="J417" s="2"/>
      <c r="K417" s="2" t="e">
        <f t="shared" si="20"/>
        <v>#NUM!</v>
      </c>
    </row>
    <row r="418" spans="1:11" ht="13.9" x14ac:dyDescent="0.3">
      <c r="A418" s="2" t="s">
        <v>435</v>
      </c>
      <c r="B418" s="2">
        <v>0</v>
      </c>
      <c r="C418" s="2">
        <v>6.94</v>
      </c>
      <c r="D418" s="2">
        <v>0</v>
      </c>
      <c r="E418" s="2">
        <v>3.65</v>
      </c>
      <c r="F418" s="2">
        <v>4.32</v>
      </c>
      <c r="G418" s="2">
        <v>3.4</v>
      </c>
      <c r="H418" s="2">
        <f t="shared" si="18"/>
        <v>-0.71222468631398717</v>
      </c>
      <c r="I418" s="2">
        <f t="shared" si="19"/>
        <v>0.56059858238309523</v>
      </c>
      <c r="J418" s="2"/>
      <c r="K418" s="2">
        <f t="shared" si="20"/>
        <v>2.7949356628035362</v>
      </c>
    </row>
    <row r="419" spans="1:11" ht="13.9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0.68</v>
      </c>
      <c r="H419" s="2" t="e">
        <f t="shared" si="18"/>
        <v>#NUM!</v>
      </c>
      <c r="I419" s="2">
        <f t="shared" si="19"/>
        <v>0.37390096630005903</v>
      </c>
      <c r="J419" s="2"/>
      <c r="K419" s="2" t="e">
        <f t="shared" si="20"/>
        <v>#NUM!</v>
      </c>
    </row>
    <row r="420" spans="1:11" ht="13.9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0.63</v>
      </c>
      <c r="F420" s="2">
        <v>0</v>
      </c>
      <c r="G420" s="2">
        <v>2.72</v>
      </c>
      <c r="H420" s="2" t="e">
        <f t="shared" si="18"/>
        <v>#NUM!</v>
      </c>
      <c r="I420" s="2">
        <f t="shared" si="19"/>
        <v>0.24589430559700179</v>
      </c>
      <c r="J420" s="2"/>
      <c r="K420" s="2" t="e">
        <f t="shared" si="20"/>
        <v>#NUM!</v>
      </c>
    </row>
    <row r="421" spans="1:11" ht="13.9" x14ac:dyDescent="0.3">
      <c r="A421" s="2" t="s">
        <v>438</v>
      </c>
      <c r="B421" s="2">
        <v>0</v>
      </c>
      <c r="C421" s="2">
        <v>27.76</v>
      </c>
      <c r="D421" s="2">
        <v>12.97</v>
      </c>
      <c r="E421" s="2">
        <v>23.04</v>
      </c>
      <c r="F421" s="2">
        <v>32.380000000000003</v>
      </c>
      <c r="G421" s="2">
        <v>24.62</v>
      </c>
      <c r="H421" s="2">
        <f t="shared" si="18"/>
        <v>-0.97462935290232644</v>
      </c>
      <c r="I421" s="2">
        <f t="shared" si="19"/>
        <v>0.19900810070238403</v>
      </c>
      <c r="J421" s="2"/>
      <c r="K421" s="2">
        <f t="shared" si="20"/>
        <v>5.3480199092286904</v>
      </c>
    </row>
    <row r="422" spans="1:11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18"/>
        <v>#DIV/0!</v>
      </c>
      <c r="I422" s="2" t="e">
        <f t="shared" si="19"/>
        <v>#DIV/0!</v>
      </c>
      <c r="J422" s="2"/>
      <c r="K422" s="2" t="e">
        <f t="shared" si="20"/>
        <v>#NUM!</v>
      </c>
    </row>
    <row r="423" spans="1:11" ht="13.9" x14ac:dyDescent="0.3">
      <c r="A423" s="2" t="s">
        <v>440</v>
      </c>
      <c r="B423" s="2">
        <v>0</v>
      </c>
      <c r="C423" s="2">
        <v>0</v>
      </c>
      <c r="D423" s="2">
        <v>0</v>
      </c>
      <c r="E423" s="2">
        <v>0.76</v>
      </c>
      <c r="F423" s="2">
        <v>0</v>
      </c>
      <c r="G423" s="2">
        <v>0</v>
      </c>
      <c r="H423" s="2" t="e">
        <f t="shared" si="18"/>
        <v>#NUM!</v>
      </c>
      <c r="I423" s="2">
        <f t="shared" si="19"/>
        <v>0.37390096630005903</v>
      </c>
      <c r="J423" s="2"/>
      <c r="K423" s="2" t="e">
        <f t="shared" si="20"/>
        <v>#NUM!</v>
      </c>
    </row>
    <row r="424" spans="1:11" ht="13.9" x14ac:dyDescent="0.3">
      <c r="A424" s="2" t="s">
        <v>441</v>
      </c>
      <c r="B424" s="2">
        <v>0</v>
      </c>
      <c r="C424" s="2">
        <v>0</v>
      </c>
      <c r="D424" s="2">
        <v>6.48</v>
      </c>
      <c r="E424" s="2">
        <v>0</v>
      </c>
      <c r="F424" s="2">
        <v>3.1</v>
      </c>
      <c r="G424" s="2">
        <v>0.91</v>
      </c>
      <c r="H424" s="2">
        <f t="shared" si="18"/>
        <v>0.69239157642970461</v>
      </c>
      <c r="I424" s="2">
        <f t="shared" si="19"/>
        <v>0.74351085865579347</v>
      </c>
      <c r="J424" s="2"/>
      <c r="K424" s="2">
        <f t="shared" si="20"/>
        <v>2.6959938131098999</v>
      </c>
    </row>
    <row r="425" spans="1:11" ht="13.9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18"/>
        <v>#DIV/0!</v>
      </c>
      <c r="I425" s="2" t="e">
        <f t="shared" si="19"/>
        <v>#DIV/0!</v>
      </c>
      <c r="J425" s="2"/>
      <c r="K425" s="2" t="e">
        <f t="shared" si="20"/>
        <v>#NUM!</v>
      </c>
    </row>
    <row r="426" spans="1:11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 t="e">
        <f t="shared" si="18"/>
        <v>#DIV/0!</v>
      </c>
      <c r="I426" s="2" t="e">
        <f t="shared" si="19"/>
        <v>#DIV/0!</v>
      </c>
      <c r="J426" s="2"/>
      <c r="K426" s="2" t="e">
        <f t="shared" si="20"/>
        <v>#NUM!</v>
      </c>
    </row>
    <row r="427" spans="1:11" ht="13.9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0.38</v>
      </c>
      <c r="F427" s="2">
        <v>0</v>
      </c>
      <c r="G427" s="2">
        <v>0</v>
      </c>
      <c r="H427" s="2" t="e">
        <f t="shared" si="18"/>
        <v>#NUM!</v>
      </c>
      <c r="I427" s="2">
        <f t="shared" si="19"/>
        <v>0.37390096630005903</v>
      </c>
      <c r="J427" s="2"/>
      <c r="K427" s="2" t="e">
        <f t="shared" si="20"/>
        <v>#NUM!</v>
      </c>
    </row>
    <row r="428" spans="1:11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18"/>
        <v>#DIV/0!</v>
      </c>
      <c r="I428" s="2" t="e">
        <f t="shared" si="19"/>
        <v>#DIV/0!</v>
      </c>
      <c r="J428" s="2"/>
      <c r="K428" s="2" t="e">
        <f t="shared" si="20"/>
        <v>#NUM!</v>
      </c>
    </row>
    <row r="429" spans="1:11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18"/>
        <v>#DIV/0!</v>
      </c>
      <c r="I429" s="2" t="e">
        <f t="shared" si="19"/>
        <v>#DIV/0!</v>
      </c>
      <c r="J429" s="2"/>
      <c r="K429" s="2" t="e">
        <f t="shared" si="20"/>
        <v>#NUM!</v>
      </c>
    </row>
    <row r="430" spans="1:11" ht="13.9" x14ac:dyDescent="0.3">
      <c r="A430" s="2" t="s">
        <v>447</v>
      </c>
      <c r="B430" s="2">
        <v>1.31</v>
      </c>
      <c r="C430" s="2">
        <v>0.28999999999999998</v>
      </c>
      <c r="D430" s="2">
        <v>0.52</v>
      </c>
      <c r="E430" s="2">
        <v>0</v>
      </c>
      <c r="F430" s="2">
        <v>0</v>
      </c>
      <c r="G430" s="2">
        <v>0.11</v>
      </c>
      <c r="H430" s="2">
        <f t="shared" si="18"/>
        <v>4.2684888359259023</v>
      </c>
      <c r="I430" s="2">
        <f t="shared" si="19"/>
        <v>9.7547768078869515E-2</v>
      </c>
      <c r="J430" s="2"/>
      <c r="K430" s="2">
        <f t="shared" si="20"/>
        <v>1.0840642647884746</v>
      </c>
    </row>
    <row r="431" spans="1:11" ht="13.9" x14ac:dyDescent="0.3">
      <c r="A431" s="2" t="s">
        <v>448</v>
      </c>
      <c r="B431" s="2">
        <v>2.4900000000000002</v>
      </c>
      <c r="C431" s="2">
        <v>13.01</v>
      </c>
      <c r="D431" s="2">
        <v>0</v>
      </c>
      <c r="E431" s="2">
        <v>29.2</v>
      </c>
      <c r="F431" s="2">
        <v>26.28</v>
      </c>
      <c r="G431" s="2">
        <v>14.41</v>
      </c>
      <c r="H431" s="2">
        <f t="shared" si="18"/>
        <v>-2.1728178311959341</v>
      </c>
      <c r="I431" s="2">
        <f t="shared" si="19"/>
        <v>3.966389801681261E-2</v>
      </c>
      <c r="J431" s="2"/>
      <c r="K431" s="2">
        <f t="shared" si="20"/>
        <v>3.9541963103868754</v>
      </c>
    </row>
    <row r="432" spans="1:11" ht="13.9" x14ac:dyDescent="0.3">
      <c r="A432" s="2" t="s">
        <v>449</v>
      </c>
      <c r="B432" s="2">
        <v>0</v>
      </c>
      <c r="C432" s="2">
        <v>0.28999999999999998</v>
      </c>
      <c r="D432" s="2">
        <v>0</v>
      </c>
      <c r="E432" s="2">
        <v>1.01</v>
      </c>
      <c r="F432" s="2">
        <v>0</v>
      </c>
      <c r="G432" s="2">
        <v>0</v>
      </c>
      <c r="H432" s="2">
        <f t="shared" si="18"/>
        <v>-1.8002304876242228</v>
      </c>
      <c r="I432" s="2">
        <f t="shared" si="19"/>
        <v>0.53087077450163911</v>
      </c>
      <c r="J432" s="2"/>
      <c r="K432" s="2">
        <f t="shared" si="20"/>
        <v>-1.7858751946471527</v>
      </c>
    </row>
    <row r="433" spans="1:11" ht="13.9" x14ac:dyDescent="0.3">
      <c r="A433" s="2" t="s">
        <v>450</v>
      </c>
      <c r="B433" s="2">
        <v>0.13</v>
      </c>
      <c r="C433" s="2">
        <v>0</v>
      </c>
      <c r="D433" s="2">
        <v>0</v>
      </c>
      <c r="E433" s="2">
        <v>0</v>
      </c>
      <c r="F433" s="2">
        <v>3.1</v>
      </c>
      <c r="G433" s="2">
        <v>0.23</v>
      </c>
      <c r="H433" s="2">
        <f t="shared" si="18"/>
        <v>-4.6789386489301705</v>
      </c>
      <c r="I433" s="2">
        <f t="shared" si="19"/>
        <v>0.34543375885874278</v>
      </c>
      <c r="J433" s="2"/>
      <c r="K433" s="2">
        <f t="shared" si="20"/>
        <v>-2.9434164716336326</v>
      </c>
    </row>
    <row r="434" spans="1:11" ht="13.9" x14ac:dyDescent="0.3">
      <c r="A434" s="2" t="s">
        <v>451</v>
      </c>
      <c r="B434" s="2">
        <v>3.54</v>
      </c>
      <c r="C434" s="2">
        <v>0</v>
      </c>
      <c r="D434" s="2">
        <v>0</v>
      </c>
      <c r="E434" s="2">
        <v>1.01</v>
      </c>
      <c r="F434" s="2">
        <v>6.87</v>
      </c>
      <c r="G434" s="2">
        <v>0.68</v>
      </c>
      <c r="H434" s="2">
        <f t="shared" si="18"/>
        <v>-1.2738614363181497</v>
      </c>
      <c r="I434" s="2">
        <f t="shared" si="19"/>
        <v>0.51258386583211424</v>
      </c>
      <c r="J434" s="2"/>
      <c r="K434" s="2">
        <f t="shared" si="20"/>
        <v>1.8237493603082728</v>
      </c>
    </row>
    <row r="435" spans="1:11" ht="13.9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0</v>
      </c>
      <c r="F435" s="2">
        <v>0.55000000000000004</v>
      </c>
      <c r="G435" s="2">
        <v>0</v>
      </c>
      <c r="H435" s="2" t="e">
        <f t="shared" si="18"/>
        <v>#NUM!</v>
      </c>
      <c r="I435" s="2">
        <f t="shared" si="19"/>
        <v>0.37390096630005903</v>
      </c>
      <c r="J435" s="2"/>
      <c r="K435" s="2" t="e">
        <f t="shared" si="20"/>
        <v>#NUM!</v>
      </c>
    </row>
    <row r="436" spans="1:11" ht="13.9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1.51</v>
      </c>
      <c r="F436" s="2">
        <v>2.33</v>
      </c>
      <c r="G436" s="2">
        <v>0.91</v>
      </c>
      <c r="H436" s="2" t="e">
        <f t="shared" si="18"/>
        <v>#NUM!</v>
      </c>
      <c r="I436" s="2">
        <f t="shared" si="19"/>
        <v>1.8346467139492572E-2</v>
      </c>
      <c r="J436" s="2"/>
      <c r="K436" s="2" t="e">
        <f t="shared" si="20"/>
        <v>#NUM!</v>
      </c>
    </row>
    <row r="437" spans="1:11" ht="13.9" x14ac:dyDescent="0.3">
      <c r="A437" s="2" t="s">
        <v>454</v>
      </c>
      <c r="B437" s="2">
        <v>6.29</v>
      </c>
      <c r="C437" s="2">
        <v>9.5399999999999991</v>
      </c>
      <c r="D437" s="2">
        <v>12.97</v>
      </c>
      <c r="E437" s="2">
        <v>21.4</v>
      </c>
      <c r="F437" s="2">
        <v>21.62</v>
      </c>
      <c r="G437" s="2">
        <v>19.850000000000001</v>
      </c>
      <c r="H437" s="2">
        <f t="shared" si="18"/>
        <v>-1.1263029514487839</v>
      </c>
      <c r="I437" s="2">
        <f t="shared" si="19"/>
        <v>4.8109690058510792E-3</v>
      </c>
      <c r="J437" s="2"/>
      <c r="K437" s="2">
        <f t="shared" si="20"/>
        <v>4.8479969065549504</v>
      </c>
    </row>
    <row r="438" spans="1:11" ht="13.9" x14ac:dyDescent="0.3">
      <c r="A438" s="2" t="s">
        <v>455</v>
      </c>
      <c r="B438" s="2">
        <v>4133.7299999999996</v>
      </c>
      <c r="C438" s="2">
        <v>4278.72</v>
      </c>
      <c r="D438" s="2">
        <v>2628.01</v>
      </c>
      <c r="E438" s="2">
        <v>2929.69</v>
      </c>
      <c r="F438" s="2">
        <v>2766.3</v>
      </c>
      <c r="G438" s="2">
        <v>2177.64</v>
      </c>
      <c r="H438" s="2">
        <f t="shared" si="18"/>
        <v>0.4876994595159474</v>
      </c>
      <c r="I438" s="2">
        <f t="shared" si="19"/>
        <v>0.14028829502779649</v>
      </c>
      <c r="J438" s="2"/>
      <c r="K438" s="2">
        <f t="shared" si="20"/>
        <v>13.430512662706599</v>
      </c>
    </row>
    <row r="439" spans="1:11" ht="13.9" x14ac:dyDescent="0.3">
      <c r="A439" s="2" t="s">
        <v>456</v>
      </c>
      <c r="B439" s="2">
        <v>2.75</v>
      </c>
      <c r="C439" s="2">
        <v>9.25</v>
      </c>
      <c r="D439" s="2">
        <v>5.96</v>
      </c>
      <c r="E439" s="2">
        <v>16.489999999999998</v>
      </c>
      <c r="F439" s="2">
        <v>14.08</v>
      </c>
      <c r="G439" s="2">
        <v>20.079999999999998</v>
      </c>
      <c r="H439" s="2">
        <f t="shared" si="18"/>
        <v>-1.4957749189473533</v>
      </c>
      <c r="I439" s="2">
        <f t="shared" si="19"/>
        <v>1.3110577291589843E-2</v>
      </c>
      <c r="J439" s="2"/>
      <c r="K439" s="2">
        <f t="shared" si="20"/>
        <v>4.1667154449664228</v>
      </c>
    </row>
    <row r="440" spans="1:11" ht="13.9" x14ac:dyDescent="0.3">
      <c r="A440" s="2" t="s">
        <v>457</v>
      </c>
      <c r="B440" s="2">
        <v>0</v>
      </c>
      <c r="C440" s="2">
        <v>34.119999999999997</v>
      </c>
      <c r="D440" s="2">
        <v>40.200000000000003</v>
      </c>
      <c r="E440" s="2">
        <v>3.4</v>
      </c>
      <c r="F440" s="2">
        <v>6.99</v>
      </c>
      <c r="G440" s="2">
        <v>3.06</v>
      </c>
      <c r="H440" s="2">
        <f t="shared" si="18"/>
        <v>2.4661443289386664</v>
      </c>
      <c r="I440" s="2">
        <f t="shared" si="19"/>
        <v>0.18188577486415103</v>
      </c>
      <c r="J440" s="2"/>
      <c r="K440" s="2">
        <f t="shared" si="20"/>
        <v>6.215678596607928</v>
      </c>
    </row>
    <row r="441" spans="1:11" ht="13.9" x14ac:dyDescent="0.3">
      <c r="A441" s="2" t="s">
        <v>458</v>
      </c>
      <c r="B441" s="2">
        <v>0</v>
      </c>
      <c r="C441" s="2">
        <v>0</v>
      </c>
      <c r="D441" s="2">
        <v>8.56</v>
      </c>
      <c r="E441" s="2">
        <v>5.29</v>
      </c>
      <c r="F441" s="2">
        <v>3.77</v>
      </c>
      <c r="G441" s="2">
        <v>1.7</v>
      </c>
      <c r="H441" s="2">
        <f t="shared" si="18"/>
        <v>-0.32999537615547719</v>
      </c>
      <c r="I441" s="2">
        <f t="shared" si="19"/>
        <v>0.82107215118594135</v>
      </c>
      <c r="J441" s="2"/>
      <c r="K441" s="2">
        <f t="shared" si="20"/>
        <v>3.0976107966264221</v>
      </c>
    </row>
    <row r="442" spans="1:11" ht="13.9" x14ac:dyDescent="0.3">
      <c r="A442" s="2" t="s">
        <v>459</v>
      </c>
      <c r="B442" s="2">
        <v>1.57</v>
      </c>
      <c r="C442" s="2">
        <v>28.34</v>
      </c>
      <c r="D442" s="2">
        <v>2.33</v>
      </c>
      <c r="E442" s="2">
        <v>3.9</v>
      </c>
      <c r="F442" s="2">
        <v>1.33</v>
      </c>
      <c r="G442" s="2">
        <v>0.68</v>
      </c>
      <c r="H442" s="2">
        <f t="shared" si="18"/>
        <v>2.447621708350435</v>
      </c>
      <c r="I442" s="2">
        <f t="shared" si="19"/>
        <v>0.37767431297334664</v>
      </c>
      <c r="J442" s="2"/>
      <c r="K442" s="2">
        <f t="shared" si="20"/>
        <v>5.0107798387532423</v>
      </c>
    </row>
    <row r="443" spans="1:11" ht="13.9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2.9</v>
      </c>
      <c r="F443" s="2">
        <v>0</v>
      </c>
      <c r="G443" s="2">
        <v>0</v>
      </c>
      <c r="H443" s="2" t="e">
        <f t="shared" si="18"/>
        <v>#NUM!</v>
      </c>
      <c r="I443" s="2">
        <f t="shared" si="19"/>
        <v>0.37390096630005903</v>
      </c>
      <c r="J443" s="2"/>
      <c r="K443" s="2" t="e">
        <f t="shared" si="20"/>
        <v>#NUM!</v>
      </c>
    </row>
    <row r="444" spans="1:11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18"/>
        <v>#DIV/0!</v>
      </c>
      <c r="I444" s="2" t="e">
        <f t="shared" si="19"/>
        <v>#DIV/0!</v>
      </c>
      <c r="J444" s="2"/>
      <c r="K444" s="2" t="e">
        <f t="shared" si="20"/>
        <v>#NUM!</v>
      </c>
    </row>
    <row r="445" spans="1:11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18"/>
        <v>#DIV/0!</v>
      </c>
      <c r="I445" s="2" t="e">
        <f t="shared" si="19"/>
        <v>#DIV/0!</v>
      </c>
      <c r="J445" s="2"/>
      <c r="K445" s="2" t="e">
        <f t="shared" si="20"/>
        <v>#NUM!</v>
      </c>
    </row>
    <row r="446" spans="1:11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 t="e">
        <f t="shared" si="18"/>
        <v>#DIV/0!</v>
      </c>
      <c r="I446" s="2" t="e">
        <f t="shared" si="19"/>
        <v>#DIV/0!</v>
      </c>
      <c r="J446" s="2"/>
      <c r="K446" s="2" t="e">
        <f t="shared" si="20"/>
        <v>#NUM!</v>
      </c>
    </row>
    <row r="447" spans="1:11" ht="13.9" x14ac:dyDescent="0.3">
      <c r="A447" s="2" t="s">
        <v>464</v>
      </c>
      <c r="B447" s="2">
        <v>0</v>
      </c>
      <c r="C447" s="2">
        <v>0.28999999999999998</v>
      </c>
      <c r="D447" s="2">
        <v>0</v>
      </c>
      <c r="E447" s="2">
        <v>0.13</v>
      </c>
      <c r="F447" s="2">
        <v>0</v>
      </c>
      <c r="G447" s="2">
        <v>0</v>
      </c>
      <c r="H447" s="2">
        <f t="shared" si="18"/>
        <v>1.1575412769864797</v>
      </c>
      <c r="I447" s="2">
        <f t="shared" si="19"/>
        <v>0.64110641558133286</v>
      </c>
      <c r="J447" s="2"/>
      <c r="K447" s="2">
        <f t="shared" si="20"/>
        <v>-1.7858751946471527</v>
      </c>
    </row>
    <row r="448" spans="1:11" ht="13.9" x14ac:dyDescent="0.3">
      <c r="A448" s="2" t="s">
        <v>465</v>
      </c>
      <c r="B448" s="2">
        <v>69.349999999999994</v>
      </c>
      <c r="C448" s="2">
        <v>0.28999999999999998</v>
      </c>
      <c r="D448" s="2">
        <v>51.09</v>
      </c>
      <c r="E448" s="2">
        <v>20.39</v>
      </c>
      <c r="F448" s="2">
        <v>17.739999999999998</v>
      </c>
      <c r="G448" s="2">
        <v>15.43</v>
      </c>
      <c r="H448" s="2">
        <f t="shared" si="18"/>
        <v>1.1725563477943561</v>
      </c>
      <c r="I448" s="2">
        <f t="shared" si="19"/>
        <v>0.34047113087817349</v>
      </c>
      <c r="J448" s="2"/>
      <c r="K448" s="2">
        <f t="shared" si="20"/>
        <v>6.915640403343942</v>
      </c>
    </row>
    <row r="449" spans="1:11" ht="13.9" x14ac:dyDescent="0.3">
      <c r="A449" s="2" t="s">
        <v>466</v>
      </c>
      <c r="B449" s="2">
        <v>0</v>
      </c>
      <c r="C449" s="2">
        <v>0</v>
      </c>
      <c r="D449" s="2">
        <v>0</v>
      </c>
      <c r="E449" s="2">
        <v>8.94</v>
      </c>
      <c r="F449" s="2">
        <v>14.08</v>
      </c>
      <c r="G449" s="2">
        <v>3.74</v>
      </c>
      <c r="H449" s="2" t="e">
        <f t="shared" si="18"/>
        <v>#NUM!</v>
      </c>
      <c r="I449" s="2">
        <f t="shared" si="19"/>
        <v>4.0403640347624427E-2</v>
      </c>
      <c r="J449" s="2"/>
      <c r="K449" s="2" t="e">
        <f t="shared" si="20"/>
        <v>#NUM!</v>
      </c>
    </row>
    <row r="450" spans="1:11" ht="13.9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1.38</v>
      </c>
      <c r="F450" s="2">
        <v>0</v>
      </c>
      <c r="G450" s="2">
        <v>0.68</v>
      </c>
      <c r="H450" s="2" t="e">
        <f t="shared" ref="H450:H513" si="21">LOG(SUM(B450:D450)/SUM(E450:G450),2)</f>
        <v>#NUM!</v>
      </c>
      <c r="I450" s="2">
        <f t="shared" ref="I450:I513" si="22">_xlfn.T.TEST(B450:D450,E450:G450,2,2)</f>
        <v>0.15987077134879107</v>
      </c>
      <c r="J450" s="2"/>
      <c r="K450" s="2" t="e">
        <f t="shared" si="20"/>
        <v>#NUM!</v>
      </c>
    </row>
    <row r="451" spans="1:11" ht="13.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1"/>
        <v>#DIV/0!</v>
      </c>
      <c r="I451" s="2" t="e">
        <f t="shared" si="22"/>
        <v>#DIV/0!</v>
      </c>
      <c r="J451" s="2"/>
      <c r="K451" s="2" t="e">
        <f t="shared" ref="K451:K514" si="23">LOG(SUM(B451:D451),2)</f>
        <v>#NUM!</v>
      </c>
    </row>
    <row r="452" spans="1:11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1"/>
        <v>#DIV/0!</v>
      </c>
      <c r="I452" s="2" t="e">
        <f t="shared" si="22"/>
        <v>#DIV/0!</v>
      </c>
      <c r="J452" s="2"/>
      <c r="K452" s="2" t="e">
        <f t="shared" si="23"/>
        <v>#NUM!</v>
      </c>
    </row>
    <row r="453" spans="1:11" ht="13.9" x14ac:dyDescent="0.3">
      <c r="A453" s="2" t="s">
        <v>470</v>
      </c>
      <c r="B453" s="2">
        <v>0.13</v>
      </c>
      <c r="C453" s="2">
        <v>0</v>
      </c>
      <c r="D453" s="2">
        <v>0</v>
      </c>
      <c r="E453" s="2">
        <v>0</v>
      </c>
      <c r="F453" s="2">
        <v>0.11</v>
      </c>
      <c r="G453" s="2">
        <v>0</v>
      </c>
      <c r="H453" s="2">
        <f t="shared" si="21"/>
        <v>0.24100809950379498</v>
      </c>
      <c r="I453" s="2">
        <f t="shared" si="22"/>
        <v>0.9121691661692114</v>
      </c>
      <c r="J453" s="2"/>
      <c r="K453" s="2">
        <f t="shared" si="23"/>
        <v>-2.9434164716336326</v>
      </c>
    </row>
    <row r="454" spans="1:11" ht="13.9" x14ac:dyDescent="0.3">
      <c r="A454" s="2" t="s">
        <v>471</v>
      </c>
      <c r="B454" s="2">
        <v>34.090000000000003</v>
      </c>
      <c r="C454" s="2">
        <v>24.58</v>
      </c>
      <c r="D454" s="2">
        <v>21.52</v>
      </c>
      <c r="E454" s="2">
        <v>34.74</v>
      </c>
      <c r="F454" s="2">
        <v>12.75</v>
      </c>
      <c r="G454" s="2">
        <v>13.05</v>
      </c>
      <c r="H454" s="2">
        <f t="shared" si="21"/>
        <v>0.40553366313672068</v>
      </c>
      <c r="I454" s="2">
        <f t="shared" si="22"/>
        <v>0.46943099753633794</v>
      </c>
      <c r="J454" s="2"/>
      <c r="K454" s="2">
        <f t="shared" si="23"/>
        <v>6.3253504331895094</v>
      </c>
    </row>
    <row r="455" spans="1:11" ht="13.9" x14ac:dyDescent="0.3">
      <c r="A455" s="2" t="s">
        <v>472</v>
      </c>
      <c r="B455" s="2">
        <v>11.14</v>
      </c>
      <c r="C455" s="2">
        <v>36.15</v>
      </c>
      <c r="D455" s="2">
        <v>4.93</v>
      </c>
      <c r="E455" s="2">
        <v>1.01</v>
      </c>
      <c r="F455" s="2">
        <v>0.55000000000000004</v>
      </c>
      <c r="G455" s="2">
        <v>3.52</v>
      </c>
      <c r="H455" s="2">
        <f t="shared" si="21"/>
        <v>3.3617020555406762</v>
      </c>
      <c r="I455" s="2">
        <f t="shared" si="22"/>
        <v>0.1765195672763242</v>
      </c>
      <c r="J455" s="2"/>
      <c r="K455" s="2">
        <f t="shared" si="23"/>
        <v>5.7065305525381174</v>
      </c>
    </row>
    <row r="456" spans="1:11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1"/>
        <v>#DIV/0!</v>
      </c>
      <c r="I456" s="2" t="e">
        <f t="shared" si="22"/>
        <v>#DIV/0!</v>
      </c>
      <c r="J456" s="2"/>
      <c r="K456" s="2" t="e">
        <f t="shared" si="23"/>
        <v>#NUM!</v>
      </c>
    </row>
    <row r="457" spans="1:11" ht="13.9" x14ac:dyDescent="0.3">
      <c r="A457" s="2" t="s">
        <v>474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0.23</v>
      </c>
      <c r="H457" s="2" t="e">
        <f t="shared" si="21"/>
        <v>#NUM!</v>
      </c>
      <c r="I457" s="2">
        <f t="shared" si="22"/>
        <v>0.37390096630005903</v>
      </c>
      <c r="J457" s="2"/>
      <c r="K457" s="2" t="e">
        <f t="shared" si="23"/>
        <v>#NUM!</v>
      </c>
    </row>
    <row r="458" spans="1:11" ht="13.9" x14ac:dyDescent="0.3">
      <c r="A458" s="2" t="s">
        <v>475</v>
      </c>
      <c r="B458" s="2">
        <v>0</v>
      </c>
      <c r="C458" s="2">
        <v>0</v>
      </c>
      <c r="D458" s="2">
        <v>0</v>
      </c>
      <c r="E458" s="2">
        <v>0.88</v>
      </c>
      <c r="F458" s="2">
        <v>0</v>
      </c>
      <c r="G458" s="2">
        <v>0</v>
      </c>
      <c r="H458" s="2" t="e">
        <f t="shared" si="21"/>
        <v>#NUM!</v>
      </c>
      <c r="I458" s="2">
        <f t="shared" si="22"/>
        <v>0.37390096630005903</v>
      </c>
      <c r="J458" s="2"/>
      <c r="K458" s="2" t="e">
        <f t="shared" si="23"/>
        <v>#NUM!</v>
      </c>
    </row>
    <row r="459" spans="1:11" ht="13.9" x14ac:dyDescent="0.3">
      <c r="A459" s="2" t="s">
        <v>476</v>
      </c>
      <c r="B459" s="2">
        <v>4.72</v>
      </c>
      <c r="C459" s="2">
        <v>16.48</v>
      </c>
      <c r="D459" s="2">
        <v>0</v>
      </c>
      <c r="E459" s="2">
        <v>0.38</v>
      </c>
      <c r="F459" s="2">
        <v>5.0999999999999996</v>
      </c>
      <c r="G459" s="2">
        <v>3.4</v>
      </c>
      <c r="H459" s="2">
        <f t="shared" si="21"/>
        <v>1.2554326831004556</v>
      </c>
      <c r="I459" s="2">
        <f t="shared" si="22"/>
        <v>0.46506155743296879</v>
      </c>
      <c r="J459" s="2"/>
      <c r="K459" s="2">
        <f t="shared" si="23"/>
        <v>4.405992359675837</v>
      </c>
    </row>
    <row r="460" spans="1:11" ht="13.9" x14ac:dyDescent="0.3">
      <c r="A460" s="2" t="s">
        <v>477</v>
      </c>
      <c r="B460" s="2">
        <v>8.91</v>
      </c>
      <c r="C460" s="2">
        <v>5.21</v>
      </c>
      <c r="D460" s="2">
        <v>0</v>
      </c>
      <c r="E460" s="2">
        <v>6.29</v>
      </c>
      <c r="F460" s="2">
        <v>6.65</v>
      </c>
      <c r="G460" s="2">
        <v>3.97</v>
      </c>
      <c r="H460" s="2">
        <f t="shared" si="21"/>
        <v>-0.26013657113880295</v>
      </c>
      <c r="I460" s="2">
        <f t="shared" si="22"/>
        <v>0.74939736102206256</v>
      </c>
      <c r="J460" s="2"/>
      <c r="K460" s="2">
        <f t="shared" si="23"/>
        <v>3.8196681834964559</v>
      </c>
    </row>
    <row r="461" spans="1:11" ht="13.9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0.11</v>
      </c>
      <c r="G461" s="2">
        <v>0</v>
      </c>
      <c r="H461" s="2" t="e">
        <f t="shared" si="21"/>
        <v>#NUM!</v>
      </c>
      <c r="I461" s="2">
        <f t="shared" si="22"/>
        <v>0.37390096630005903</v>
      </c>
      <c r="J461" s="2"/>
      <c r="K461" s="2" t="e">
        <f t="shared" si="23"/>
        <v>#NUM!</v>
      </c>
    </row>
    <row r="462" spans="1:11" ht="13.9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1"/>
        <v>#DIV/0!</v>
      </c>
      <c r="I462" s="2" t="e">
        <f t="shared" si="22"/>
        <v>#DIV/0!</v>
      </c>
      <c r="J462" s="2"/>
      <c r="K462" s="2" t="e">
        <f t="shared" si="23"/>
        <v>#NUM!</v>
      </c>
    </row>
    <row r="463" spans="1:11" ht="13.9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0.78</v>
      </c>
      <c r="G463" s="2">
        <v>0</v>
      </c>
      <c r="H463" s="2" t="e">
        <f t="shared" si="21"/>
        <v>#NUM!</v>
      </c>
      <c r="I463" s="2">
        <f t="shared" si="22"/>
        <v>0.37390096630005903</v>
      </c>
      <c r="J463" s="2"/>
      <c r="K463" s="2" t="e">
        <f t="shared" si="23"/>
        <v>#NUM!</v>
      </c>
    </row>
    <row r="464" spans="1:11" ht="13.9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0</v>
      </c>
      <c r="F464" s="2">
        <v>1.55</v>
      </c>
      <c r="G464" s="2">
        <v>0</v>
      </c>
      <c r="H464" s="2" t="e">
        <f t="shared" si="21"/>
        <v>#NUM!</v>
      </c>
      <c r="I464" s="2">
        <f t="shared" si="22"/>
        <v>0.37390096630005903</v>
      </c>
      <c r="J464" s="2"/>
      <c r="K464" s="2" t="e">
        <f t="shared" si="23"/>
        <v>#NUM!</v>
      </c>
    </row>
    <row r="465" spans="1:11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1"/>
        <v>#DIV/0!</v>
      </c>
      <c r="I465" s="2" t="e">
        <f t="shared" si="22"/>
        <v>#DIV/0!</v>
      </c>
      <c r="J465" s="2"/>
      <c r="K465" s="2" t="e">
        <f t="shared" si="23"/>
        <v>#NUM!</v>
      </c>
    </row>
    <row r="466" spans="1:11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1"/>
        <v>#DIV/0!</v>
      </c>
      <c r="I466" s="2" t="e">
        <f t="shared" si="22"/>
        <v>#DIV/0!</v>
      </c>
      <c r="J466" s="2"/>
      <c r="K466" s="2" t="e">
        <f t="shared" si="23"/>
        <v>#NUM!</v>
      </c>
    </row>
    <row r="467" spans="1:11" ht="13.9" x14ac:dyDescent="0.3">
      <c r="A467" s="2" t="s">
        <v>484</v>
      </c>
      <c r="B467" s="2">
        <v>0</v>
      </c>
      <c r="C467" s="2">
        <v>4.34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1"/>
        <v>#DIV/0!</v>
      </c>
      <c r="I467" s="2">
        <f t="shared" si="22"/>
        <v>0.37390096630005903</v>
      </c>
      <c r="J467" s="2"/>
      <c r="K467" s="2">
        <f t="shared" si="23"/>
        <v>2.1176950426697547</v>
      </c>
    </row>
    <row r="468" spans="1:11" ht="13.9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0.5</v>
      </c>
      <c r="F468" s="2">
        <v>0</v>
      </c>
      <c r="G468" s="2">
        <v>0</v>
      </c>
      <c r="H468" s="2" t="e">
        <f t="shared" si="21"/>
        <v>#NUM!</v>
      </c>
      <c r="I468" s="2">
        <f t="shared" si="22"/>
        <v>0.37390096630005903</v>
      </c>
      <c r="J468" s="2"/>
      <c r="K468" s="2" t="e">
        <f t="shared" si="23"/>
        <v>#NUM!</v>
      </c>
    </row>
    <row r="469" spans="1:11" ht="13.9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0.5</v>
      </c>
      <c r="F469" s="2">
        <v>1.89</v>
      </c>
      <c r="G469" s="2">
        <v>0</v>
      </c>
      <c r="H469" s="2" t="e">
        <f t="shared" si="21"/>
        <v>#NUM!</v>
      </c>
      <c r="I469" s="2">
        <f t="shared" si="22"/>
        <v>0.23161458206334515</v>
      </c>
      <c r="J469" s="2"/>
      <c r="K469" s="2" t="e">
        <f t="shared" si="23"/>
        <v>#NUM!</v>
      </c>
    </row>
    <row r="470" spans="1:11" ht="13.9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0.63</v>
      </c>
      <c r="F470" s="2">
        <v>0</v>
      </c>
      <c r="G470" s="2">
        <v>0</v>
      </c>
      <c r="H470" s="2" t="e">
        <f t="shared" si="21"/>
        <v>#NUM!</v>
      </c>
      <c r="I470" s="2">
        <f t="shared" si="22"/>
        <v>0.37390096630005903</v>
      </c>
      <c r="J470" s="2"/>
      <c r="K470" s="2" t="e">
        <f t="shared" si="23"/>
        <v>#NUM!</v>
      </c>
    </row>
    <row r="471" spans="1:11" ht="13.9" x14ac:dyDescent="0.3">
      <c r="A471" s="2" t="s">
        <v>488</v>
      </c>
      <c r="B471" s="2">
        <v>0</v>
      </c>
      <c r="C471" s="2">
        <v>0</v>
      </c>
      <c r="D471" s="2">
        <v>0.26</v>
      </c>
      <c r="E471" s="2">
        <v>0</v>
      </c>
      <c r="F471" s="2">
        <v>1.1100000000000001</v>
      </c>
      <c r="G471" s="2">
        <v>0</v>
      </c>
      <c r="H471" s="2">
        <f t="shared" si="21"/>
        <v>-2.093976148209014</v>
      </c>
      <c r="I471" s="2">
        <f t="shared" si="22"/>
        <v>0.49734662487038073</v>
      </c>
      <c r="J471" s="2"/>
      <c r="K471" s="2">
        <f t="shared" si="23"/>
        <v>-1.9434164716336324</v>
      </c>
    </row>
    <row r="472" spans="1:11" ht="13.9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0.91</v>
      </c>
      <c r="H472" s="2" t="e">
        <f t="shared" si="21"/>
        <v>#NUM!</v>
      </c>
      <c r="I472" s="2">
        <f t="shared" si="22"/>
        <v>0.37390096630005903</v>
      </c>
      <c r="J472" s="2"/>
      <c r="K472" s="2" t="e">
        <f t="shared" si="23"/>
        <v>#NUM!</v>
      </c>
    </row>
    <row r="473" spans="1:11" ht="13.9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0.11</v>
      </c>
      <c r="H473" s="2" t="e">
        <f t="shared" si="21"/>
        <v>#NUM!</v>
      </c>
      <c r="I473" s="2">
        <f t="shared" si="22"/>
        <v>0.37390096630005903</v>
      </c>
      <c r="J473" s="2"/>
      <c r="K473" s="2" t="e">
        <f t="shared" si="23"/>
        <v>#NUM!</v>
      </c>
    </row>
    <row r="474" spans="1:11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1"/>
        <v>#DIV/0!</v>
      </c>
      <c r="I474" s="2" t="e">
        <f t="shared" si="22"/>
        <v>#DIV/0!</v>
      </c>
      <c r="J474" s="2"/>
      <c r="K474" s="2" t="e">
        <f t="shared" si="23"/>
        <v>#NUM!</v>
      </c>
    </row>
    <row r="475" spans="1:11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 t="e">
        <f t="shared" si="21"/>
        <v>#DIV/0!</v>
      </c>
      <c r="I475" s="2" t="e">
        <f t="shared" si="22"/>
        <v>#DIV/0!</v>
      </c>
      <c r="J475" s="2"/>
      <c r="K475" s="2" t="e">
        <f t="shared" si="23"/>
        <v>#NUM!</v>
      </c>
    </row>
    <row r="476" spans="1:11" ht="13.9" x14ac:dyDescent="0.3">
      <c r="A476" s="2" t="s">
        <v>493</v>
      </c>
      <c r="B476" s="2">
        <v>0</v>
      </c>
      <c r="C476" s="2">
        <v>0</v>
      </c>
      <c r="D476" s="2">
        <v>0</v>
      </c>
      <c r="E476" s="2">
        <v>0</v>
      </c>
      <c r="F476" s="2">
        <v>1.55</v>
      </c>
      <c r="G476" s="2">
        <v>1.59</v>
      </c>
      <c r="H476" s="2" t="e">
        <f t="shared" si="21"/>
        <v>#NUM!</v>
      </c>
      <c r="I476" s="2">
        <f t="shared" si="22"/>
        <v>0.11618106542193525</v>
      </c>
      <c r="J476" s="2"/>
      <c r="K476" s="2" t="e">
        <f t="shared" si="23"/>
        <v>#NUM!</v>
      </c>
    </row>
    <row r="477" spans="1:11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 t="e">
        <f t="shared" si="21"/>
        <v>#DIV/0!</v>
      </c>
      <c r="I477" s="2" t="e">
        <f t="shared" si="22"/>
        <v>#DIV/0!</v>
      </c>
      <c r="J477" s="2"/>
      <c r="K477" s="2" t="e">
        <f t="shared" si="23"/>
        <v>#NUM!</v>
      </c>
    </row>
    <row r="478" spans="1:11" ht="13.9" x14ac:dyDescent="0.3">
      <c r="A478" s="2" t="s">
        <v>495</v>
      </c>
      <c r="B478" s="2">
        <v>2.75</v>
      </c>
      <c r="C478" s="2">
        <v>0.57999999999999996</v>
      </c>
      <c r="D478" s="2">
        <v>4.41</v>
      </c>
      <c r="E478" s="2">
        <v>0.25</v>
      </c>
      <c r="F478" s="2">
        <v>0.33</v>
      </c>
      <c r="G478" s="2">
        <v>0</v>
      </c>
      <c r="H478" s="2">
        <f t="shared" si="21"/>
        <v>3.7382087610168382</v>
      </c>
      <c r="I478" s="2">
        <f t="shared" si="22"/>
        <v>9.8675515331829153E-2</v>
      </c>
      <c r="J478" s="2"/>
      <c r="K478" s="2">
        <f t="shared" si="23"/>
        <v>2.9523335663696861</v>
      </c>
    </row>
    <row r="479" spans="1:11" ht="13.9" x14ac:dyDescent="0.3">
      <c r="A479" s="2" t="s">
        <v>496</v>
      </c>
      <c r="B479" s="2">
        <v>0</v>
      </c>
      <c r="C479" s="2">
        <v>0</v>
      </c>
      <c r="D479" s="2">
        <v>0.26</v>
      </c>
      <c r="E479" s="2">
        <v>0</v>
      </c>
      <c r="F479" s="2">
        <v>0.67</v>
      </c>
      <c r="G479" s="2">
        <v>0</v>
      </c>
      <c r="H479" s="2">
        <f t="shared" si="21"/>
        <v>-1.3656494723166803</v>
      </c>
      <c r="I479" s="2">
        <f t="shared" si="22"/>
        <v>0.59886332390904873</v>
      </c>
      <c r="J479" s="2"/>
      <c r="K479" s="2">
        <f t="shared" si="23"/>
        <v>-1.9434164716336324</v>
      </c>
    </row>
    <row r="480" spans="1:11" ht="13.9" x14ac:dyDescent="0.3">
      <c r="A480" s="2" t="s">
        <v>497</v>
      </c>
      <c r="B480" s="2">
        <v>0</v>
      </c>
      <c r="C480" s="2">
        <v>0</v>
      </c>
      <c r="D480" s="2">
        <v>0</v>
      </c>
      <c r="E480" s="2">
        <v>1.64</v>
      </c>
      <c r="F480" s="2">
        <v>1.66</v>
      </c>
      <c r="G480" s="2">
        <v>1.25</v>
      </c>
      <c r="H480" s="2" t="e">
        <f t="shared" si="21"/>
        <v>#NUM!</v>
      </c>
      <c r="I480" s="2">
        <f t="shared" si="22"/>
        <v>3.418853321005807E-4</v>
      </c>
      <c r="J480" s="2"/>
      <c r="K480" s="2" t="e">
        <f t="shared" si="23"/>
        <v>#NUM!</v>
      </c>
    </row>
    <row r="481" spans="1:11" ht="13.9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0.63</v>
      </c>
      <c r="F481" s="2">
        <v>0</v>
      </c>
      <c r="G481" s="2">
        <v>0</v>
      </c>
      <c r="H481" s="2" t="e">
        <f t="shared" si="21"/>
        <v>#NUM!</v>
      </c>
      <c r="I481" s="2">
        <f t="shared" si="22"/>
        <v>0.37390096630005903</v>
      </c>
      <c r="J481" s="2"/>
      <c r="K481" s="2" t="e">
        <f t="shared" si="23"/>
        <v>#NUM!</v>
      </c>
    </row>
    <row r="482" spans="1:11" ht="13.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1"/>
        <v>#DIV/0!</v>
      </c>
      <c r="I482" s="2" t="e">
        <f t="shared" si="22"/>
        <v>#DIV/0!</v>
      </c>
      <c r="J482" s="2"/>
      <c r="K482" s="2" t="e">
        <f t="shared" si="23"/>
        <v>#NUM!</v>
      </c>
    </row>
    <row r="483" spans="1:11" ht="13.9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0.33</v>
      </c>
      <c r="G483" s="2">
        <v>0</v>
      </c>
      <c r="H483" s="2" t="e">
        <f t="shared" si="21"/>
        <v>#NUM!</v>
      </c>
      <c r="I483" s="2">
        <f t="shared" si="22"/>
        <v>0.37390096630005903</v>
      </c>
      <c r="J483" s="2"/>
      <c r="K483" s="2" t="e">
        <f t="shared" si="23"/>
        <v>#NUM!</v>
      </c>
    </row>
    <row r="484" spans="1:11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1"/>
        <v>#DIV/0!</v>
      </c>
      <c r="I484" s="2" t="e">
        <f t="shared" si="22"/>
        <v>#DIV/0!</v>
      </c>
      <c r="J484" s="2"/>
      <c r="K484" s="2" t="e">
        <f t="shared" si="23"/>
        <v>#NUM!</v>
      </c>
    </row>
    <row r="485" spans="1:11" ht="13.9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0.88</v>
      </c>
      <c r="F485" s="2">
        <v>0</v>
      </c>
      <c r="G485" s="2">
        <v>0</v>
      </c>
      <c r="H485" s="2" t="e">
        <f t="shared" si="21"/>
        <v>#NUM!</v>
      </c>
      <c r="I485" s="2">
        <f t="shared" si="22"/>
        <v>0.37390096630005903</v>
      </c>
      <c r="J485" s="2"/>
      <c r="K485" s="2" t="e">
        <f t="shared" si="23"/>
        <v>#NUM!</v>
      </c>
    </row>
    <row r="486" spans="1:11" ht="13.9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0.76</v>
      </c>
      <c r="F486" s="2">
        <v>0</v>
      </c>
      <c r="G486" s="2">
        <v>0</v>
      </c>
      <c r="H486" s="2" t="e">
        <f t="shared" si="21"/>
        <v>#NUM!</v>
      </c>
      <c r="I486" s="2">
        <f t="shared" si="22"/>
        <v>0.37390096630005903</v>
      </c>
      <c r="J486" s="2"/>
      <c r="K486" s="2" t="e">
        <f t="shared" si="23"/>
        <v>#NUM!</v>
      </c>
    </row>
    <row r="487" spans="1:11" ht="13.9" x14ac:dyDescent="0.3">
      <c r="A487" s="2" t="s">
        <v>504</v>
      </c>
      <c r="B487" s="2">
        <v>10.23</v>
      </c>
      <c r="C487" s="2">
        <v>0</v>
      </c>
      <c r="D487" s="2">
        <v>0</v>
      </c>
      <c r="E487" s="2">
        <v>4.41</v>
      </c>
      <c r="F487" s="2">
        <v>5.0999999999999996</v>
      </c>
      <c r="G487" s="2">
        <v>2.27</v>
      </c>
      <c r="H487" s="2">
        <f t="shared" si="21"/>
        <v>-0.20353339408513199</v>
      </c>
      <c r="I487" s="2">
        <f t="shared" si="22"/>
        <v>0.89024581860213714</v>
      </c>
      <c r="J487" s="2"/>
      <c r="K487" s="2">
        <f t="shared" si="23"/>
        <v>3.3547342399706039</v>
      </c>
    </row>
    <row r="488" spans="1:11" ht="13.9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0.63</v>
      </c>
      <c r="F488" s="2">
        <v>0.11</v>
      </c>
      <c r="G488" s="2">
        <v>0.34</v>
      </c>
      <c r="H488" s="2" t="e">
        <f t="shared" si="21"/>
        <v>#NUM!</v>
      </c>
      <c r="I488" s="2">
        <f t="shared" si="22"/>
        <v>7.4929771093532382E-2</v>
      </c>
      <c r="J488" s="2"/>
      <c r="K488" s="2" t="e">
        <f t="shared" si="23"/>
        <v>#NUM!</v>
      </c>
    </row>
    <row r="489" spans="1:11" ht="13.9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0.56999999999999995</v>
      </c>
      <c r="H489" s="2" t="e">
        <f t="shared" si="21"/>
        <v>#NUM!</v>
      </c>
      <c r="I489" s="2">
        <f t="shared" si="22"/>
        <v>0.37390096630005903</v>
      </c>
      <c r="J489" s="2"/>
      <c r="K489" s="2" t="e">
        <f t="shared" si="23"/>
        <v>#NUM!</v>
      </c>
    </row>
    <row r="490" spans="1:11" ht="13.9" x14ac:dyDescent="0.3">
      <c r="A490" s="2" t="s">
        <v>507</v>
      </c>
      <c r="B490" s="2">
        <v>0.66</v>
      </c>
      <c r="C490" s="2">
        <v>0</v>
      </c>
      <c r="D490" s="2">
        <v>0</v>
      </c>
      <c r="E490" s="2">
        <v>0.25</v>
      </c>
      <c r="F490" s="2">
        <v>0.44</v>
      </c>
      <c r="G490" s="2">
        <v>0.45</v>
      </c>
      <c r="H490" s="2">
        <f t="shared" si="21"/>
        <v>-0.78849589480628823</v>
      </c>
      <c r="I490" s="2">
        <f t="shared" si="22"/>
        <v>0.52395549906329764</v>
      </c>
      <c r="J490" s="2"/>
      <c r="K490" s="2">
        <f t="shared" si="23"/>
        <v>-0.5994620704162712</v>
      </c>
    </row>
    <row r="491" spans="1:11" ht="13.9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0.25</v>
      </c>
      <c r="F491" s="2">
        <v>0</v>
      </c>
      <c r="G491" s="2">
        <v>0</v>
      </c>
      <c r="H491" s="2" t="e">
        <f t="shared" si="21"/>
        <v>#NUM!</v>
      </c>
      <c r="I491" s="2">
        <f t="shared" si="22"/>
        <v>0.37390096630005903</v>
      </c>
      <c r="J491" s="2"/>
      <c r="K491" s="2" t="e">
        <f t="shared" si="23"/>
        <v>#NUM!</v>
      </c>
    </row>
    <row r="492" spans="1:11" ht="13.9" x14ac:dyDescent="0.3">
      <c r="A492" s="2" t="s">
        <v>509</v>
      </c>
      <c r="B492" s="2">
        <v>0</v>
      </c>
      <c r="C492" s="2">
        <v>15.9</v>
      </c>
      <c r="D492" s="2">
        <v>0</v>
      </c>
      <c r="E492" s="2">
        <v>1.38</v>
      </c>
      <c r="F492" s="2">
        <v>1.77</v>
      </c>
      <c r="G492" s="2">
        <v>0</v>
      </c>
      <c r="H492" s="2">
        <f t="shared" si="21"/>
        <v>2.335603031784439</v>
      </c>
      <c r="I492" s="2">
        <f t="shared" si="22"/>
        <v>0.46966510169923892</v>
      </c>
      <c r="J492" s="2"/>
      <c r="K492" s="2">
        <f t="shared" si="23"/>
        <v>3.9909548603969935</v>
      </c>
    </row>
    <row r="493" spans="1:11" ht="13.9" x14ac:dyDescent="0.3">
      <c r="A493" s="2" t="s">
        <v>510</v>
      </c>
      <c r="B493" s="2">
        <v>39.07</v>
      </c>
      <c r="C493" s="2">
        <v>52.34</v>
      </c>
      <c r="D493" s="2">
        <v>46.94</v>
      </c>
      <c r="E493" s="2">
        <v>68.23</v>
      </c>
      <c r="F493" s="2">
        <v>53.33</v>
      </c>
      <c r="G493" s="2">
        <v>68.52</v>
      </c>
      <c r="H493" s="2">
        <f t="shared" si="21"/>
        <v>-0.45828409730344877</v>
      </c>
      <c r="I493" s="2">
        <f t="shared" si="22"/>
        <v>5.2639517317655253E-2</v>
      </c>
      <c r="J493" s="2"/>
      <c r="K493" s="2">
        <f t="shared" si="23"/>
        <v>7.1121788337225933</v>
      </c>
    </row>
    <row r="494" spans="1:11" ht="13.9" x14ac:dyDescent="0.3">
      <c r="A494" s="2" t="s">
        <v>511</v>
      </c>
      <c r="B494" s="2">
        <v>113.79</v>
      </c>
      <c r="C494" s="2">
        <v>246.67</v>
      </c>
      <c r="D494" s="2">
        <v>332.72</v>
      </c>
      <c r="E494" s="2">
        <v>303.74</v>
      </c>
      <c r="F494" s="2">
        <v>230.19</v>
      </c>
      <c r="G494" s="2">
        <v>327.64</v>
      </c>
      <c r="H494" s="2">
        <f t="shared" si="21"/>
        <v>-0.31373798620348253</v>
      </c>
      <c r="I494" s="2">
        <f t="shared" si="22"/>
        <v>0.4681983335593044</v>
      </c>
      <c r="J494" s="2"/>
      <c r="K494" s="2">
        <f t="shared" si="23"/>
        <v>9.4370862194645735</v>
      </c>
    </row>
    <row r="495" spans="1:11" ht="13.9" x14ac:dyDescent="0.3">
      <c r="A495" s="2" t="s">
        <v>512</v>
      </c>
      <c r="B495" s="2">
        <v>0.13</v>
      </c>
      <c r="C495" s="2">
        <v>0</v>
      </c>
      <c r="D495" s="2">
        <v>0.26</v>
      </c>
      <c r="E495" s="2">
        <v>0</v>
      </c>
      <c r="F495" s="2">
        <v>0</v>
      </c>
      <c r="G495" s="2">
        <v>0.23</v>
      </c>
      <c r="H495" s="2">
        <f t="shared" si="21"/>
        <v>0.76184026280523554</v>
      </c>
      <c r="I495" s="2">
        <f t="shared" si="22"/>
        <v>0.6452033777986752</v>
      </c>
      <c r="J495" s="2"/>
      <c r="K495" s="2">
        <f t="shared" si="23"/>
        <v>-1.3584539709124763</v>
      </c>
    </row>
    <row r="496" spans="1:11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1"/>
        <v>#DIV/0!</v>
      </c>
      <c r="I496" s="2" t="e">
        <f t="shared" si="22"/>
        <v>#DIV/0!</v>
      </c>
      <c r="J496" s="2"/>
      <c r="K496" s="2" t="e">
        <f t="shared" si="23"/>
        <v>#NUM!</v>
      </c>
    </row>
    <row r="497" spans="1:11" ht="13.9" x14ac:dyDescent="0.3">
      <c r="A497" s="2" t="s">
        <v>514</v>
      </c>
      <c r="B497" s="2">
        <v>0</v>
      </c>
      <c r="C497" s="2">
        <v>0</v>
      </c>
      <c r="D497" s="2">
        <v>1.04</v>
      </c>
      <c r="E497" s="2">
        <v>0</v>
      </c>
      <c r="F497" s="2">
        <v>0.22</v>
      </c>
      <c r="G497" s="2">
        <v>0.34</v>
      </c>
      <c r="H497" s="2">
        <f t="shared" si="21"/>
        <v>0.89308479608348801</v>
      </c>
      <c r="I497" s="2">
        <f t="shared" si="22"/>
        <v>0.68026444900413718</v>
      </c>
      <c r="J497" s="2"/>
      <c r="K497" s="2">
        <f t="shared" si="23"/>
        <v>5.6583528366367514E-2</v>
      </c>
    </row>
    <row r="498" spans="1:11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1"/>
        <v>#DIV/0!</v>
      </c>
      <c r="I498" s="2" t="e">
        <f t="shared" si="22"/>
        <v>#DIV/0!</v>
      </c>
      <c r="J498" s="2"/>
      <c r="K498" s="2" t="e">
        <f t="shared" si="23"/>
        <v>#NUM!</v>
      </c>
    </row>
    <row r="499" spans="1:11" ht="13.9" x14ac:dyDescent="0.3">
      <c r="A499" s="2" t="s">
        <v>516</v>
      </c>
      <c r="B499" s="2">
        <v>7.6</v>
      </c>
      <c r="C499" s="2">
        <v>3.47</v>
      </c>
      <c r="D499" s="2">
        <v>0.52</v>
      </c>
      <c r="E499" s="2">
        <v>0.76</v>
      </c>
      <c r="F499" s="2">
        <v>0.33</v>
      </c>
      <c r="G499" s="2">
        <v>1.93</v>
      </c>
      <c r="H499" s="2">
        <f t="shared" si="21"/>
        <v>1.9402601116813927</v>
      </c>
      <c r="I499" s="2">
        <f t="shared" si="22"/>
        <v>0.24687682142932413</v>
      </c>
      <c r="J499" s="2"/>
      <c r="K499" s="2">
        <f t="shared" si="23"/>
        <v>3.5348086612317471</v>
      </c>
    </row>
    <row r="500" spans="1:11" ht="13.9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0.33</v>
      </c>
      <c r="G500" s="2">
        <v>0</v>
      </c>
      <c r="H500" s="2" t="e">
        <f t="shared" si="21"/>
        <v>#NUM!</v>
      </c>
      <c r="I500" s="2">
        <f t="shared" si="22"/>
        <v>0.37390096630005903</v>
      </c>
      <c r="J500" s="2"/>
      <c r="K500" s="2" t="e">
        <f t="shared" si="23"/>
        <v>#NUM!</v>
      </c>
    </row>
    <row r="501" spans="1:11" ht="13.9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0.33</v>
      </c>
      <c r="G501" s="2">
        <v>0</v>
      </c>
      <c r="H501" s="2" t="e">
        <f t="shared" si="21"/>
        <v>#NUM!</v>
      </c>
      <c r="I501" s="2">
        <f t="shared" si="22"/>
        <v>0.37390096630005903</v>
      </c>
      <c r="J501" s="2"/>
      <c r="K501" s="2" t="e">
        <f t="shared" si="23"/>
        <v>#NUM!</v>
      </c>
    </row>
    <row r="502" spans="1:11" ht="13.9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0.45</v>
      </c>
      <c r="H502" s="2" t="e">
        <f t="shared" si="21"/>
        <v>#NUM!</v>
      </c>
      <c r="I502" s="2">
        <f t="shared" si="22"/>
        <v>0.37390096630005903</v>
      </c>
      <c r="J502" s="2"/>
      <c r="K502" s="2" t="e">
        <f t="shared" si="23"/>
        <v>#NUM!</v>
      </c>
    </row>
    <row r="503" spans="1:11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1"/>
        <v>#DIV/0!</v>
      </c>
      <c r="I503" s="2" t="e">
        <f t="shared" si="22"/>
        <v>#DIV/0!</v>
      </c>
      <c r="J503" s="2"/>
      <c r="K503" s="2" t="e">
        <f t="shared" si="23"/>
        <v>#NUM!</v>
      </c>
    </row>
    <row r="504" spans="1:11" ht="13.9" x14ac:dyDescent="0.3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1.66</v>
      </c>
      <c r="G504" s="2">
        <v>0</v>
      </c>
      <c r="H504" s="2" t="e">
        <f t="shared" si="21"/>
        <v>#NUM!</v>
      </c>
      <c r="I504" s="2">
        <f t="shared" si="22"/>
        <v>0.37390096630005903</v>
      </c>
      <c r="J504" s="2"/>
      <c r="K504" s="2" t="e">
        <f t="shared" si="23"/>
        <v>#NUM!</v>
      </c>
    </row>
    <row r="505" spans="1:11" ht="13.9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0.11</v>
      </c>
      <c r="G505" s="2">
        <v>0</v>
      </c>
      <c r="H505" s="2" t="e">
        <f t="shared" si="21"/>
        <v>#NUM!</v>
      </c>
      <c r="I505" s="2">
        <f t="shared" si="22"/>
        <v>0.37390096630005903</v>
      </c>
      <c r="J505" s="2"/>
      <c r="K505" s="2" t="e">
        <f t="shared" si="23"/>
        <v>#NUM!</v>
      </c>
    </row>
    <row r="506" spans="1:11" ht="13.9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1.22</v>
      </c>
      <c r="G506" s="2">
        <v>0</v>
      </c>
      <c r="H506" s="2" t="e">
        <f t="shared" si="21"/>
        <v>#NUM!</v>
      </c>
      <c r="I506" s="2">
        <f t="shared" si="22"/>
        <v>0.37390096630005903</v>
      </c>
      <c r="J506" s="2"/>
      <c r="K506" s="2" t="e">
        <f t="shared" si="23"/>
        <v>#NUM!</v>
      </c>
    </row>
    <row r="507" spans="1:11" ht="13.9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0.56999999999999995</v>
      </c>
      <c r="H507" s="2" t="e">
        <f t="shared" si="21"/>
        <v>#NUM!</v>
      </c>
      <c r="I507" s="2">
        <f t="shared" si="22"/>
        <v>0.37390096630005903</v>
      </c>
      <c r="J507" s="2"/>
      <c r="K507" s="2" t="e">
        <f t="shared" si="23"/>
        <v>#NUM!</v>
      </c>
    </row>
    <row r="508" spans="1:11" ht="13.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1"/>
        <v>#DIV/0!</v>
      </c>
      <c r="I508" s="2" t="e">
        <f t="shared" si="22"/>
        <v>#DIV/0!</v>
      </c>
      <c r="J508" s="2"/>
      <c r="K508" s="2" t="e">
        <f t="shared" si="23"/>
        <v>#NUM!</v>
      </c>
    </row>
    <row r="509" spans="1:11" ht="13.9" x14ac:dyDescent="0.3">
      <c r="A509" s="2" t="s">
        <v>526</v>
      </c>
      <c r="B509" s="2">
        <v>9.83</v>
      </c>
      <c r="C509" s="2">
        <v>0</v>
      </c>
      <c r="D509" s="2">
        <v>0</v>
      </c>
      <c r="E509" s="2">
        <v>4.66</v>
      </c>
      <c r="F509" s="2">
        <v>10.53</v>
      </c>
      <c r="G509" s="2">
        <v>8.85</v>
      </c>
      <c r="H509" s="2">
        <f t="shared" si="21"/>
        <v>-1.2901735743706049</v>
      </c>
      <c r="I509" s="2">
        <f t="shared" si="22"/>
        <v>0.27105885481126196</v>
      </c>
      <c r="J509" s="2"/>
      <c r="K509" s="2">
        <f t="shared" si="23"/>
        <v>3.2971914165658558</v>
      </c>
    </row>
    <row r="510" spans="1:11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1"/>
        <v>#DIV/0!</v>
      </c>
      <c r="I510" s="2" t="e">
        <f t="shared" si="22"/>
        <v>#DIV/0!</v>
      </c>
      <c r="J510" s="2"/>
      <c r="K510" s="2" t="e">
        <f t="shared" si="23"/>
        <v>#NUM!</v>
      </c>
    </row>
    <row r="511" spans="1:11" ht="13.9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0.11</v>
      </c>
      <c r="G511" s="2">
        <v>0</v>
      </c>
      <c r="H511" s="2" t="e">
        <f t="shared" si="21"/>
        <v>#NUM!</v>
      </c>
      <c r="I511" s="2">
        <f t="shared" si="22"/>
        <v>0.37390096630005903</v>
      </c>
      <c r="J511" s="2"/>
      <c r="K511" s="2" t="e">
        <f t="shared" si="23"/>
        <v>#NUM!</v>
      </c>
    </row>
    <row r="512" spans="1:11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1"/>
        <v>#DIV/0!</v>
      </c>
      <c r="I512" s="2" t="e">
        <f t="shared" si="22"/>
        <v>#DIV/0!</v>
      </c>
      <c r="J512" s="2"/>
      <c r="K512" s="2" t="e">
        <f t="shared" si="23"/>
        <v>#NUM!</v>
      </c>
    </row>
    <row r="513" spans="1:11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1"/>
        <v>#DIV/0!</v>
      </c>
      <c r="I513" s="2" t="e">
        <f t="shared" si="22"/>
        <v>#DIV/0!</v>
      </c>
      <c r="J513" s="2"/>
      <c r="K513" s="2" t="e">
        <f t="shared" si="23"/>
        <v>#NUM!</v>
      </c>
    </row>
    <row r="514" spans="1:11" ht="13.9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1.01</v>
      </c>
      <c r="F514" s="2">
        <v>1.33</v>
      </c>
      <c r="G514" s="2">
        <v>0</v>
      </c>
      <c r="H514" s="2" t="e">
        <f t="shared" ref="H514:H577" si="24">LOG(SUM(B514:D514)/SUM(E514:G514),2)</f>
        <v>#NUM!</v>
      </c>
      <c r="I514" s="2">
        <f t="shared" ref="I514:I577" si="25">_xlfn.T.TEST(B514:D514,E514:G514,2,2)</f>
        <v>0.12350156134849666</v>
      </c>
      <c r="J514" s="2"/>
      <c r="K514" s="2" t="e">
        <f t="shared" si="23"/>
        <v>#NUM!</v>
      </c>
    </row>
    <row r="515" spans="1:11" ht="13.9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0.11</v>
      </c>
      <c r="G515" s="2">
        <v>0</v>
      </c>
      <c r="H515" s="2" t="e">
        <f t="shared" si="24"/>
        <v>#NUM!</v>
      </c>
      <c r="I515" s="2">
        <f t="shared" si="25"/>
        <v>0.37390096630005903</v>
      </c>
      <c r="J515" s="2"/>
      <c r="K515" s="2" t="e">
        <f t="shared" ref="K515:K578" si="26">LOG(SUM(B515:D515),2)</f>
        <v>#NUM!</v>
      </c>
    </row>
    <row r="516" spans="1:11" ht="13.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24"/>
        <v>#DIV/0!</v>
      </c>
      <c r="I516" s="2" t="e">
        <f t="shared" si="25"/>
        <v>#DIV/0!</v>
      </c>
      <c r="J516" s="2"/>
      <c r="K516" s="2" t="e">
        <f t="shared" si="26"/>
        <v>#NUM!</v>
      </c>
    </row>
    <row r="517" spans="1:11" ht="13.9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0.38</v>
      </c>
      <c r="F517" s="2">
        <v>2.2200000000000002</v>
      </c>
      <c r="G517" s="2">
        <v>0.56999999999999995</v>
      </c>
      <c r="H517" s="2" t="e">
        <f t="shared" si="24"/>
        <v>#NUM!</v>
      </c>
      <c r="I517" s="2">
        <f t="shared" si="25"/>
        <v>0.14478343417203191</v>
      </c>
      <c r="J517" s="2"/>
      <c r="K517" s="2" t="e">
        <f t="shared" si="26"/>
        <v>#NUM!</v>
      </c>
    </row>
    <row r="518" spans="1:11" ht="13.9" x14ac:dyDescent="0.3">
      <c r="A518" s="2" t="s">
        <v>535</v>
      </c>
      <c r="B518" s="2">
        <v>0.39</v>
      </c>
      <c r="C518" s="2">
        <v>0</v>
      </c>
      <c r="D518" s="2">
        <v>0</v>
      </c>
      <c r="E518" s="2">
        <v>0.38</v>
      </c>
      <c r="F518" s="2">
        <v>0</v>
      </c>
      <c r="G518" s="2">
        <v>0</v>
      </c>
      <c r="H518" s="2">
        <f t="shared" si="24"/>
        <v>3.7474705418662962E-2</v>
      </c>
      <c r="I518" s="2">
        <f t="shared" si="25"/>
        <v>0.98622732178258854</v>
      </c>
      <c r="J518" s="2"/>
      <c r="K518" s="2">
        <f t="shared" si="26"/>
        <v>-1.3584539709124763</v>
      </c>
    </row>
    <row r="519" spans="1:11" ht="13.9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1.22</v>
      </c>
      <c r="G519" s="2">
        <v>0</v>
      </c>
      <c r="H519" s="2" t="e">
        <f t="shared" si="24"/>
        <v>#NUM!</v>
      </c>
      <c r="I519" s="2">
        <f t="shared" si="25"/>
        <v>0.37390096630005903</v>
      </c>
      <c r="J519" s="2"/>
      <c r="K519" s="2" t="e">
        <f t="shared" si="26"/>
        <v>#NUM!</v>
      </c>
    </row>
    <row r="520" spans="1:11" ht="13.9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24"/>
        <v>#DIV/0!</v>
      </c>
      <c r="I520" s="2" t="e">
        <f t="shared" si="25"/>
        <v>#DIV/0!</v>
      </c>
      <c r="J520" s="2"/>
      <c r="K520" s="2" t="e">
        <f t="shared" si="26"/>
        <v>#NUM!</v>
      </c>
    </row>
    <row r="521" spans="1:11" ht="13.9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0.68</v>
      </c>
      <c r="H521" s="2" t="e">
        <f t="shared" si="24"/>
        <v>#NUM!</v>
      </c>
      <c r="I521" s="2">
        <f t="shared" si="25"/>
        <v>0.37390096630005903</v>
      </c>
      <c r="J521" s="2"/>
      <c r="K521" s="2" t="e">
        <f t="shared" si="26"/>
        <v>#NUM!</v>
      </c>
    </row>
    <row r="522" spans="1:11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 t="e">
        <f t="shared" si="24"/>
        <v>#DIV/0!</v>
      </c>
      <c r="I522" s="2" t="e">
        <f t="shared" si="25"/>
        <v>#DIV/0!</v>
      </c>
      <c r="J522" s="2"/>
      <c r="K522" s="2" t="e">
        <f t="shared" si="26"/>
        <v>#NUM!</v>
      </c>
    </row>
    <row r="523" spans="1:11" ht="13.9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1.22</v>
      </c>
      <c r="G523" s="2">
        <v>0</v>
      </c>
      <c r="H523" s="2" t="e">
        <f t="shared" si="24"/>
        <v>#NUM!</v>
      </c>
      <c r="I523" s="2">
        <f t="shared" si="25"/>
        <v>0.37390096630005903</v>
      </c>
      <c r="J523" s="2"/>
      <c r="K523" s="2" t="e">
        <f t="shared" si="26"/>
        <v>#NUM!</v>
      </c>
    </row>
    <row r="524" spans="1:11" ht="13.9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1.1299999999999999</v>
      </c>
      <c r="F524" s="2">
        <v>0</v>
      </c>
      <c r="G524" s="2">
        <v>0</v>
      </c>
      <c r="H524" s="2" t="e">
        <f t="shared" si="24"/>
        <v>#NUM!</v>
      </c>
      <c r="I524" s="2">
        <f t="shared" si="25"/>
        <v>0.37390096630005903</v>
      </c>
      <c r="J524" s="2"/>
      <c r="K524" s="2" t="e">
        <f t="shared" si="26"/>
        <v>#NUM!</v>
      </c>
    </row>
    <row r="525" spans="1:11" ht="13.9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0.55000000000000004</v>
      </c>
      <c r="G525" s="2">
        <v>0</v>
      </c>
      <c r="H525" s="2" t="e">
        <f t="shared" si="24"/>
        <v>#NUM!</v>
      </c>
      <c r="I525" s="2">
        <f t="shared" si="25"/>
        <v>0.37390096630005903</v>
      </c>
      <c r="J525" s="2"/>
      <c r="K525" s="2" t="e">
        <f t="shared" si="26"/>
        <v>#NUM!</v>
      </c>
    </row>
    <row r="526" spans="1:11" ht="13.9" x14ac:dyDescent="0.3">
      <c r="A526" s="2" t="s">
        <v>543</v>
      </c>
      <c r="B526" s="2">
        <v>0</v>
      </c>
      <c r="C526" s="2">
        <v>0</v>
      </c>
      <c r="D526" s="2">
        <v>0</v>
      </c>
      <c r="E526" s="2">
        <v>3.02</v>
      </c>
      <c r="F526" s="2">
        <v>1.66</v>
      </c>
      <c r="G526" s="2">
        <v>0.91</v>
      </c>
      <c r="H526" s="2" t="e">
        <f t="shared" si="24"/>
        <v>#NUM!</v>
      </c>
      <c r="I526" s="2">
        <f t="shared" si="25"/>
        <v>3.9263743402019269E-2</v>
      </c>
      <c r="J526" s="2"/>
      <c r="K526" s="2" t="e">
        <f t="shared" si="26"/>
        <v>#NUM!</v>
      </c>
    </row>
    <row r="527" spans="1:11" ht="13.9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1.26</v>
      </c>
      <c r="F527" s="2">
        <v>0</v>
      </c>
      <c r="G527" s="2">
        <v>0.11</v>
      </c>
      <c r="H527" s="2" t="e">
        <f t="shared" si="24"/>
        <v>#NUM!</v>
      </c>
      <c r="I527" s="2">
        <f t="shared" si="25"/>
        <v>0.32037492858293415</v>
      </c>
      <c r="J527" s="2"/>
      <c r="K527" s="2" t="e">
        <f t="shared" si="26"/>
        <v>#NUM!</v>
      </c>
    </row>
    <row r="528" spans="1:11" ht="13.9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0</v>
      </c>
      <c r="F528" s="2">
        <v>1.1100000000000001</v>
      </c>
      <c r="G528" s="2">
        <v>0.23</v>
      </c>
      <c r="H528" s="2" t="e">
        <f t="shared" si="24"/>
        <v>#NUM!</v>
      </c>
      <c r="I528" s="2">
        <f t="shared" si="25"/>
        <v>0.25714492104278447</v>
      </c>
      <c r="J528" s="2"/>
      <c r="K528" s="2" t="e">
        <f t="shared" si="26"/>
        <v>#NUM!</v>
      </c>
    </row>
    <row r="529" spans="1:11" ht="13.9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0.25</v>
      </c>
      <c r="F529" s="2">
        <v>0.44</v>
      </c>
      <c r="G529" s="2">
        <v>0</v>
      </c>
      <c r="H529" s="2" t="e">
        <f t="shared" si="24"/>
        <v>#NUM!</v>
      </c>
      <c r="I529" s="2">
        <f t="shared" si="25"/>
        <v>0.14535733135441484</v>
      </c>
      <c r="J529" s="2"/>
      <c r="K529" s="2" t="e">
        <f t="shared" si="26"/>
        <v>#NUM!</v>
      </c>
    </row>
    <row r="530" spans="1:11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24"/>
        <v>#DIV/0!</v>
      </c>
      <c r="I530" s="2" t="e">
        <f t="shared" si="25"/>
        <v>#DIV/0!</v>
      </c>
      <c r="J530" s="2"/>
      <c r="K530" s="2" t="e">
        <f t="shared" si="26"/>
        <v>#NUM!</v>
      </c>
    </row>
    <row r="531" spans="1:11" ht="13.9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0.56999999999999995</v>
      </c>
      <c r="H531" s="2" t="e">
        <f t="shared" si="24"/>
        <v>#NUM!</v>
      </c>
      <c r="I531" s="2">
        <f t="shared" si="25"/>
        <v>0.37390096630005903</v>
      </c>
      <c r="J531" s="2"/>
      <c r="K531" s="2" t="e">
        <f t="shared" si="26"/>
        <v>#NUM!</v>
      </c>
    </row>
    <row r="532" spans="1:11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24"/>
        <v>#DIV/0!</v>
      </c>
      <c r="I532" s="2" t="e">
        <f t="shared" si="25"/>
        <v>#DIV/0!</v>
      </c>
      <c r="J532" s="2"/>
      <c r="K532" s="2" t="e">
        <f t="shared" si="26"/>
        <v>#NUM!</v>
      </c>
    </row>
    <row r="533" spans="1:11" ht="13.9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0.55000000000000004</v>
      </c>
      <c r="G533" s="2">
        <v>0.23</v>
      </c>
      <c r="H533" s="2" t="e">
        <f t="shared" si="24"/>
        <v>#NUM!</v>
      </c>
      <c r="I533" s="2">
        <f t="shared" si="25"/>
        <v>0.17836869823871432</v>
      </c>
      <c r="J533" s="2"/>
      <c r="K533" s="2" t="e">
        <f t="shared" si="26"/>
        <v>#NUM!</v>
      </c>
    </row>
    <row r="534" spans="1:11" ht="13.9" x14ac:dyDescent="0.3">
      <c r="A534" s="2" t="s">
        <v>551</v>
      </c>
      <c r="B534" s="2">
        <v>0</v>
      </c>
      <c r="C534" s="2">
        <v>32.39</v>
      </c>
      <c r="D534" s="2">
        <v>30.6</v>
      </c>
      <c r="E534" s="2">
        <v>26.94</v>
      </c>
      <c r="F534" s="2">
        <v>26.06</v>
      </c>
      <c r="G534" s="2">
        <v>34.72</v>
      </c>
      <c r="H534" s="2">
        <f t="shared" si="24"/>
        <v>-0.47778300078825597</v>
      </c>
      <c r="I534" s="2">
        <f t="shared" si="25"/>
        <v>0.49028762453345737</v>
      </c>
      <c r="J534" s="2"/>
      <c r="K534" s="2">
        <f t="shared" si="26"/>
        <v>5.9770509061106125</v>
      </c>
    </row>
    <row r="535" spans="1:11" ht="13.9" x14ac:dyDescent="0.3">
      <c r="A535" s="2" t="s">
        <v>552</v>
      </c>
      <c r="B535" s="2">
        <v>0</v>
      </c>
      <c r="C535" s="2">
        <v>0</v>
      </c>
      <c r="D535" s="2">
        <v>0</v>
      </c>
      <c r="E535" s="2">
        <v>0</v>
      </c>
      <c r="F535" s="2">
        <v>1.44</v>
      </c>
      <c r="G535" s="2">
        <v>0.91</v>
      </c>
      <c r="H535" s="2" t="e">
        <f t="shared" si="24"/>
        <v>#NUM!</v>
      </c>
      <c r="I535" s="2">
        <f t="shared" si="25"/>
        <v>0.13594178198946269</v>
      </c>
      <c r="J535" s="2"/>
      <c r="K535" s="2" t="e">
        <f t="shared" si="26"/>
        <v>#NUM!</v>
      </c>
    </row>
    <row r="536" spans="1:11" ht="13.9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0.63</v>
      </c>
      <c r="F536" s="2">
        <v>0</v>
      </c>
      <c r="G536" s="2">
        <v>0</v>
      </c>
      <c r="H536" s="2" t="e">
        <f t="shared" si="24"/>
        <v>#NUM!</v>
      </c>
      <c r="I536" s="2">
        <f t="shared" si="25"/>
        <v>0.37390096630005903</v>
      </c>
      <c r="J536" s="2"/>
      <c r="K536" s="2" t="e">
        <f t="shared" si="26"/>
        <v>#NUM!</v>
      </c>
    </row>
    <row r="537" spans="1:11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 t="e">
        <f t="shared" si="24"/>
        <v>#DIV/0!</v>
      </c>
      <c r="I537" s="2" t="e">
        <f t="shared" si="25"/>
        <v>#DIV/0!</v>
      </c>
      <c r="J537" s="2"/>
      <c r="K537" s="2" t="e">
        <f t="shared" si="26"/>
        <v>#NUM!</v>
      </c>
    </row>
    <row r="538" spans="1:11" ht="13.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24"/>
        <v>#DIV/0!</v>
      </c>
      <c r="I538" s="2" t="e">
        <f t="shared" si="25"/>
        <v>#DIV/0!</v>
      </c>
      <c r="J538" s="2"/>
      <c r="K538" s="2" t="e">
        <f t="shared" si="26"/>
        <v>#NUM!</v>
      </c>
    </row>
    <row r="539" spans="1:11" ht="13.9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0.13</v>
      </c>
      <c r="F539" s="2">
        <v>0</v>
      </c>
      <c r="G539" s="2">
        <v>0</v>
      </c>
      <c r="H539" s="2" t="e">
        <f t="shared" si="24"/>
        <v>#NUM!</v>
      </c>
      <c r="I539" s="2">
        <f t="shared" si="25"/>
        <v>0.37390096630005903</v>
      </c>
      <c r="J539" s="2"/>
      <c r="K539" s="2" t="e">
        <f t="shared" si="26"/>
        <v>#NUM!</v>
      </c>
    </row>
    <row r="540" spans="1:11" ht="13.9" x14ac:dyDescent="0.3">
      <c r="A540" s="2" t="s">
        <v>557</v>
      </c>
      <c r="B540" s="2">
        <v>3.8</v>
      </c>
      <c r="C540" s="2">
        <v>0</v>
      </c>
      <c r="D540" s="2">
        <v>0</v>
      </c>
      <c r="E540" s="2">
        <v>0</v>
      </c>
      <c r="F540" s="2">
        <v>0.55000000000000004</v>
      </c>
      <c r="G540" s="2">
        <v>0</v>
      </c>
      <c r="H540" s="2">
        <f t="shared" si="24"/>
        <v>2.7884958948062879</v>
      </c>
      <c r="I540" s="2">
        <f t="shared" si="25"/>
        <v>0.44497371456842177</v>
      </c>
      <c r="J540" s="2"/>
      <c r="K540" s="2">
        <f t="shared" si="26"/>
        <v>1.925999418556223</v>
      </c>
    </row>
    <row r="541" spans="1:11" ht="13.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24"/>
        <v>#DIV/0!</v>
      </c>
      <c r="I541" s="2" t="e">
        <f t="shared" si="25"/>
        <v>#DIV/0!</v>
      </c>
      <c r="J541" s="2"/>
      <c r="K541" s="2" t="e">
        <f t="shared" si="26"/>
        <v>#NUM!</v>
      </c>
    </row>
    <row r="542" spans="1:11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24"/>
        <v>#DIV/0!</v>
      </c>
      <c r="I542" s="2" t="e">
        <f t="shared" si="25"/>
        <v>#DIV/0!</v>
      </c>
      <c r="J542" s="2"/>
      <c r="K542" s="2" t="e">
        <f t="shared" si="26"/>
        <v>#NUM!</v>
      </c>
    </row>
    <row r="543" spans="1:11" ht="13.9" x14ac:dyDescent="0.3">
      <c r="A543" s="2" t="s">
        <v>560</v>
      </c>
      <c r="B543" s="2">
        <v>4.0599999999999996</v>
      </c>
      <c r="C543" s="2">
        <v>0</v>
      </c>
      <c r="D543" s="2">
        <v>0</v>
      </c>
      <c r="E543" s="2">
        <v>0.38</v>
      </c>
      <c r="F543" s="2">
        <v>1.1100000000000001</v>
      </c>
      <c r="G543" s="2">
        <v>0.45</v>
      </c>
      <c r="H543" s="2">
        <f t="shared" si="24"/>
        <v>1.0654230749980482</v>
      </c>
      <c r="I543" s="2">
        <f t="shared" si="25"/>
        <v>0.63394441214569874</v>
      </c>
      <c r="J543" s="2"/>
      <c r="K543" s="2">
        <f t="shared" si="26"/>
        <v>2.0214797274104517</v>
      </c>
    </row>
    <row r="544" spans="1:11" ht="13.9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</v>
      </c>
      <c r="F544" s="2">
        <v>0.67</v>
      </c>
      <c r="G544" s="2">
        <v>0</v>
      </c>
      <c r="H544" s="2" t="e">
        <f t="shared" si="24"/>
        <v>#NUM!</v>
      </c>
      <c r="I544" s="2">
        <f t="shared" si="25"/>
        <v>0.37390096630005903</v>
      </c>
      <c r="J544" s="2"/>
      <c r="K544" s="2" t="e">
        <f t="shared" si="26"/>
        <v>#NUM!</v>
      </c>
    </row>
    <row r="545" spans="1:11" ht="13.9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0.22</v>
      </c>
      <c r="G545" s="2">
        <v>0</v>
      </c>
      <c r="H545" s="2" t="e">
        <f t="shared" si="24"/>
        <v>#NUM!</v>
      </c>
      <c r="I545" s="2">
        <f t="shared" si="25"/>
        <v>0.37390096630005903</v>
      </c>
      <c r="J545" s="2"/>
      <c r="K545" s="2" t="e">
        <f t="shared" si="26"/>
        <v>#NUM!</v>
      </c>
    </row>
    <row r="546" spans="1:11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 t="e">
        <f t="shared" si="24"/>
        <v>#DIV/0!</v>
      </c>
      <c r="I546" s="2" t="e">
        <f t="shared" si="25"/>
        <v>#DIV/0!</v>
      </c>
      <c r="J546" s="2"/>
      <c r="K546" s="2" t="e">
        <f t="shared" si="26"/>
        <v>#NUM!</v>
      </c>
    </row>
    <row r="547" spans="1:11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24"/>
        <v>#DIV/0!</v>
      </c>
      <c r="I547" s="2" t="e">
        <f t="shared" si="25"/>
        <v>#DIV/0!</v>
      </c>
      <c r="J547" s="2"/>
      <c r="K547" s="2" t="e">
        <f t="shared" si="26"/>
        <v>#NUM!</v>
      </c>
    </row>
    <row r="548" spans="1:11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24"/>
        <v>#DIV/0!</v>
      </c>
      <c r="I548" s="2" t="e">
        <f t="shared" si="25"/>
        <v>#DIV/0!</v>
      </c>
      <c r="J548" s="2"/>
      <c r="K548" s="2" t="e">
        <f t="shared" si="26"/>
        <v>#NUM!</v>
      </c>
    </row>
    <row r="549" spans="1:11" ht="13.9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1.77</v>
      </c>
      <c r="G549" s="2">
        <v>0</v>
      </c>
      <c r="H549" s="2" t="e">
        <f t="shared" si="24"/>
        <v>#NUM!</v>
      </c>
      <c r="I549" s="2">
        <f t="shared" si="25"/>
        <v>0.37390096630005903</v>
      </c>
      <c r="J549" s="2"/>
      <c r="K549" s="2" t="e">
        <f t="shared" si="26"/>
        <v>#NUM!</v>
      </c>
    </row>
    <row r="550" spans="1:11" ht="13.9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1.1299999999999999</v>
      </c>
      <c r="H550" s="2" t="e">
        <f t="shared" si="24"/>
        <v>#NUM!</v>
      </c>
      <c r="I550" s="2">
        <f t="shared" si="25"/>
        <v>0.37390096630005903</v>
      </c>
      <c r="J550" s="2"/>
      <c r="K550" s="2" t="e">
        <f t="shared" si="26"/>
        <v>#NUM!</v>
      </c>
    </row>
    <row r="551" spans="1:11" ht="13.9" x14ac:dyDescent="0.3">
      <c r="A551" s="2" t="s">
        <v>568</v>
      </c>
      <c r="B551" s="2">
        <v>0</v>
      </c>
      <c r="C551" s="2">
        <v>8.1</v>
      </c>
      <c r="D551" s="2">
        <v>7</v>
      </c>
      <c r="E551" s="2">
        <v>0</v>
      </c>
      <c r="F551" s="2">
        <v>0</v>
      </c>
      <c r="G551" s="2">
        <v>0.56999999999999995</v>
      </c>
      <c r="H551" s="2">
        <f t="shared" si="24"/>
        <v>4.7274428200476999</v>
      </c>
      <c r="I551" s="2">
        <f t="shared" si="25"/>
        <v>0.12963485118571624</v>
      </c>
      <c r="J551" s="2"/>
      <c r="K551" s="2">
        <f t="shared" si="26"/>
        <v>3.9164766444377168</v>
      </c>
    </row>
    <row r="552" spans="1:11" ht="13.9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0.44</v>
      </c>
      <c r="G552" s="2">
        <v>0</v>
      </c>
      <c r="H552" s="2" t="e">
        <f t="shared" si="24"/>
        <v>#NUM!</v>
      </c>
      <c r="I552" s="2">
        <f t="shared" si="25"/>
        <v>0.37390096630005903</v>
      </c>
      <c r="J552" s="2"/>
      <c r="K552" s="2" t="e">
        <f t="shared" si="26"/>
        <v>#NUM!</v>
      </c>
    </row>
    <row r="553" spans="1:11" ht="13.9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0.63</v>
      </c>
      <c r="F553" s="2">
        <v>0</v>
      </c>
      <c r="G553" s="2">
        <v>0</v>
      </c>
      <c r="H553" s="2" t="e">
        <f t="shared" si="24"/>
        <v>#NUM!</v>
      </c>
      <c r="I553" s="2">
        <f t="shared" si="25"/>
        <v>0.37390096630005903</v>
      </c>
      <c r="J553" s="2"/>
      <c r="K553" s="2" t="e">
        <f t="shared" si="26"/>
        <v>#NUM!</v>
      </c>
    </row>
    <row r="554" spans="1:11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 t="e">
        <f t="shared" si="24"/>
        <v>#DIV/0!</v>
      </c>
      <c r="I554" s="2" t="e">
        <f t="shared" si="25"/>
        <v>#DIV/0!</v>
      </c>
      <c r="J554" s="2"/>
      <c r="K554" s="2" t="e">
        <f t="shared" si="26"/>
        <v>#NUM!</v>
      </c>
    </row>
    <row r="555" spans="1:11" ht="13.9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1.26</v>
      </c>
      <c r="F555" s="2">
        <v>0.11</v>
      </c>
      <c r="G555" s="2">
        <v>1.25</v>
      </c>
      <c r="H555" s="2" t="e">
        <f t="shared" si="24"/>
        <v>#NUM!</v>
      </c>
      <c r="I555" s="2">
        <f t="shared" si="25"/>
        <v>8.4028709352591477E-2</v>
      </c>
      <c r="J555" s="2"/>
      <c r="K555" s="2" t="e">
        <f t="shared" si="26"/>
        <v>#NUM!</v>
      </c>
    </row>
    <row r="556" spans="1:11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 t="e">
        <f t="shared" si="24"/>
        <v>#DIV/0!</v>
      </c>
      <c r="I556" s="2" t="e">
        <f t="shared" si="25"/>
        <v>#DIV/0!</v>
      </c>
      <c r="J556" s="2"/>
      <c r="K556" s="2" t="e">
        <f t="shared" si="26"/>
        <v>#NUM!</v>
      </c>
    </row>
    <row r="557" spans="1:11" ht="13.9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0.67</v>
      </c>
      <c r="G557" s="2">
        <v>1.02</v>
      </c>
      <c r="H557" s="2" t="e">
        <f t="shared" si="24"/>
        <v>#NUM!</v>
      </c>
      <c r="I557" s="2">
        <f t="shared" si="25"/>
        <v>0.13288934191892254</v>
      </c>
      <c r="J557" s="2"/>
      <c r="K557" s="2" t="e">
        <f t="shared" si="26"/>
        <v>#NUM!</v>
      </c>
    </row>
    <row r="558" spans="1:11" ht="13.9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0.11</v>
      </c>
      <c r="H558" s="2" t="e">
        <f t="shared" si="24"/>
        <v>#NUM!</v>
      </c>
      <c r="I558" s="2">
        <f t="shared" si="25"/>
        <v>0.37390096630005903</v>
      </c>
      <c r="J558" s="2"/>
      <c r="K558" s="2" t="e">
        <f t="shared" si="26"/>
        <v>#NUM!</v>
      </c>
    </row>
    <row r="559" spans="1:11" ht="13.9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2.14</v>
      </c>
      <c r="F559" s="2">
        <v>3.1</v>
      </c>
      <c r="G559" s="2">
        <v>2.61</v>
      </c>
      <c r="H559" s="2" t="e">
        <f t="shared" si="24"/>
        <v>#NUM!</v>
      </c>
      <c r="I559" s="2">
        <f t="shared" si="25"/>
        <v>7.0178480621611568E-4</v>
      </c>
      <c r="J559" s="2"/>
      <c r="K559" s="2" t="e">
        <f t="shared" si="26"/>
        <v>#NUM!</v>
      </c>
    </row>
    <row r="560" spans="1:11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24"/>
        <v>#DIV/0!</v>
      </c>
      <c r="I560" s="2" t="e">
        <f t="shared" si="25"/>
        <v>#DIV/0!</v>
      </c>
      <c r="J560" s="2"/>
      <c r="K560" s="2" t="e">
        <f t="shared" si="26"/>
        <v>#NUM!</v>
      </c>
    </row>
    <row r="561" spans="1:11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24"/>
        <v>#DIV/0!</v>
      </c>
      <c r="I561" s="2" t="e">
        <f t="shared" si="25"/>
        <v>#DIV/0!</v>
      </c>
      <c r="J561" s="2"/>
      <c r="K561" s="2" t="e">
        <f t="shared" si="26"/>
        <v>#NUM!</v>
      </c>
    </row>
    <row r="562" spans="1:11" ht="13.9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0.56999999999999995</v>
      </c>
      <c r="H562" s="2" t="e">
        <f t="shared" si="24"/>
        <v>#NUM!</v>
      </c>
      <c r="I562" s="2">
        <f t="shared" si="25"/>
        <v>0.37390096630005903</v>
      </c>
      <c r="J562" s="2"/>
      <c r="K562" s="2" t="e">
        <f t="shared" si="26"/>
        <v>#NUM!</v>
      </c>
    </row>
    <row r="563" spans="1:11" ht="13.9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0.22</v>
      </c>
      <c r="G563" s="2">
        <v>0</v>
      </c>
      <c r="H563" s="2" t="e">
        <f t="shared" si="24"/>
        <v>#NUM!</v>
      </c>
      <c r="I563" s="2">
        <f t="shared" si="25"/>
        <v>0.37390096630005903</v>
      </c>
      <c r="J563" s="2"/>
      <c r="K563" s="2" t="e">
        <f t="shared" si="26"/>
        <v>#NUM!</v>
      </c>
    </row>
    <row r="564" spans="1:11" ht="13.9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0.76</v>
      </c>
      <c r="F564" s="2">
        <v>0</v>
      </c>
      <c r="G564" s="2">
        <v>0</v>
      </c>
      <c r="H564" s="2" t="e">
        <f t="shared" si="24"/>
        <v>#NUM!</v>
      </c>
      <c r="I564" s="2">
        <f t="shared" si="25"/>
        <v>0.37390096630005903</v>
      </c>
      <c r="J564" s="2"/>
      <c r="K564" s="2" t="e">
        <f t="shared" si="26"/>
        <v>#NUM!</v>
      </c>
    </row>
    <row r="565" spans="1:11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24"/>
        <v>#DIV/0!</v>
      </c>
      <c r="I565" s="2" t="e">
        <f t="shared" si="25"/>
        <v>#DIV/0!</v>
      </c>
      <c r="J565" s="2"/>
      <c r="K565" s="2" t="e">
        <f t="shared" si="26"/>
        <v>#NUM!</v>
      </c>
    </row>
    <row r="566" spans="1:11" ht="13.9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0.11</v>
      </c>
      <c r="H566" s="2" t="e">
        <f t="shared" si="24"/>
        <v>#NUM!</v>
      </c>
      <c r="I566" s="2">
        <f t="shared" si="25"/>
        <v>0.37390096630005903</v>
      </c>
      <c r="J566" s="2"/>
      <c r="K566" s="2" t="e">
        <f t="shared" si="26"/>
        <v>#NUM!</v>
      </c>
    </row>
    <row r="567" spans="1:11" ht="13.9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1.89</v>
      </c>
      <c r="F567" s="2">
        <v>0.89</v>
      </c>
      <c r="G567" s="2">
        <v>0.68</v>
      </c>
      <c r="H567" s="2" t="e">
        <f t="shared" si="24"/>
        <v>#NUM!</v>
      </c>
      <c r="I567" s="2">
        <f t="shared" si="25"/>
        <v>3.6586579779243344E-2</v>
      </c>
      <c r="J567" s="2"/>
      <c r="K567" s="2" t="e">
        <f t="shared" si="26"/>
        <v>#NUM!</v>
      </c>
    </row>
    <row r="568" spans="1:11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24"/>
        <v>#DIV/0!</v>
      </c>
      <c r="I568" s="2" t="e">
        <f t="shared" si="25"/>
        <v>#DIV/0!</v>
      </c>
      <c r="J568" s="2"/>
      <c r="K568" s="2" t="e">
        <f t="shared" si="26"/>
        <v>#NUM!</v>
      </c>
    </row>
    <row r="569" spans="1:11" ht="13.9" x14ac:dyDescent="0.3">
      <c r="A569" s="2" t="s">
        <v>586</v>
      </c>
      <c r="B569" s="2">
        <v>0</v>
      </c>
      <c r="C569" s="2">
        <v>0</v>
      </c>
      <c r="D569" s="2">
        <v>7.52</v>
      </c>
      <c r="E569" s="2">
        <v>3.52</v>
      </c>
      <c r="F569" s="2">
        <v>1.66</v>
      </c>
      <c r="G569" s="2">
        <v>3.74</v>
      </c>
      <c r="H569" s="2">
        <f t="shared" si="24"/>
        <v>-0.24631104824266739</v>
      </c>
      <c r="I569" s="2">
        <f t="shared" si="25"/>
        <v>0.86587487691424825</v>
      </c>
      <c r="J569" s="2"/>
      <c r="K569" s="2">
        <f t="shared" si="26"/>
        <v>2.9107326619029124</v>
      </c>
    </row>
    <row r="570" spans="1:11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24"/>
        <v>#DIV/0!</v>
      </c>
      <c r="I570" s="2" t="e">
        <f t="shared" si="25"/>
        <v>#DIV/0!</v>
      </c>
      <c r="J570" s="2"/>
      <c r="K570" s="2" t="e">
        <f t="shared" si="26"/>
        <v>#NUM!</v>
      </c>
    </row>
    <row r="571" spans="1:11" ht="13.9" x14ac:dyDescent="0.3">
      <c r="A571" s="2" t="s">
        <v>588</v>
      </c>
      <c r="B571" s="2">
        <v>5.77</v>
      </c>
      <c r="C571" s="2">
        <v>0</v>
      </c>
      <c r="D571" s="2">
        <v>0</v>
      </c>
      <c r="E571" s="2">
        <v>0</v>
      </c>
      <c r="F571" s="2">
        <v>1</v>
      </c>
      <c r="G571" s="2">
        <v>3.18</v>
      </c>
      <c r="H571" s="2">
        <f t="shared" si="24"/>
        <v>0.46506837656459965</v>
      </c>
      <c r="I571" s="2">
        <f t="shared" si="25"/>
        <v>0.81660763314848794</v>
      </c>
      <c r="J571" s="2"/>
      <c r="K571" s="2">
        <f t="shared" si="26"/>
        <v>2.5285713188707577</v>
      </c>
    </row>
    <row r="572" spans="1:11" ht="13.9" x14ac:dyDescent="0.3">
      <c r="A572" s="2" t="s">
        <v>589</v>
      </c>
      <c r="B572" s="2">
        <v>0</v>
      </c>
      <c r="C572" s="2">
        <v>0</v>
      </c>
      <c r="D572" s="2">
        <v>0</v>
      </c>
      <c r="E572" s="2">
        <v>0</v>
      </c>
      <c r="F572" s="2">
        <v>0.78</v>
      </c>
      <c r="G572" s="2">
        <v>1.1299999999999999</v>
      </c>
      <c r="H572" s="2" t="e">
        <f t="shared" si="24"/>
        <v>#NUM!</v>
      </c>
      <c r="I572" s="2">
        <f t="shared" si="25"/>
        <v>0.12929816474734934</v>
      </c>
      <c r="J572" s="2"/>
      <c r="K572" s="2" t="e">
        <f t="shared" si="26"/>
        <v>#NUM!</v>
      </c>
    </row>
    <row r="573" spans="1:11" ht="13.9" x14ac:dyDescent="0.3">
      <c r="A573" s="2" t="s">
        <v>590</v>
      </c>
      <c r="B573" s="2">
        <v>0</v>
      </c>
      <c r="C573" s="2">
        <v>0</v>
      </c>
      <c r="D573" s="2">
        <v>0</v>
      </c>
      <c r="E573" s="2">
        <v>0</v>
      </c>
      <c r="F573" s="2">
        <v>3.33</v>
      </c>
      <c r="G573" s="2">
        <v>2.5</v>
      </c>
      <c r="H573" s="2" t="e">
        <f t="shared" si="24"/>
        <v>#NUM!</v>
      </c>
      <c r="I573" s="2">
        <f t="shared" si="25"/>
        <v>0.12411551493311354</v>
      </c>
      <c r="J573" s="2"/>
      <c r="K573" s="2" t="e">
        <f t="shared" si="26"/>
        <v>#NUM!</v>
      </c>
    </row>
    <row r="574" spans="1:11" ht="13.9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0.25</v>
      </c>
      <c r="F574" s="2">
        <v>0</v>
      </c>
      <c r="G574" s="2">
        <v>0</v>
      </c>
      <c r="H574" s="2" t="e">
        <f t="shared" si="24"/>
        <v>#NUM!</v>
      </c>
      <c r="I574" s="2">
        <f t="shared" si="25"/>
        <v>0.37390096630005903</v>
      </c>
      <c r="J574" s="2"/>
      <c r="K574" s="2" t="e">
        <f t="shared" si="26"/>
        <v>#NUM!</v>
      </c>
    </row>
    <row r="575" spans="1:11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24"/>
        <v>#DIV/0!</v>
      </c>
      <c r="I575" s="2" t="e">
        <f t="shared" si="25"/>
        <v>#DIV/0!</v>
      </c>
      <c r="J575" s="2"/>
      <c r="K575" s="2" t="e">
        <f t="shared" si="26"/>
        <v>#NUM!</v>
      </c>
    </row>
    <row r="576" spans="1:11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24"/>
        <v>#DIV/0!</v>
      </c>
      <c r="I576" s="2" t="e">
        <f t="shared" si="25"/>
        <v>#DIV/0!</v>
      </c>
      <c r="J576" s="2"/>
      <c r="K576" s="2" t="e">
        <f t="shared" si="26"/>
        <v>#NUM!</v>
      </c>
    </row>
    <row r="577" spans="1:11" ht="13.9" x14ac:dyDescent="0.3">
      <c r="A577" s="2" t="s">
        <v>594</v>
      </c>
      <c r="B577" s="2">
        <v>5.9</v>
      </c>
      <c r="C577" s="2">
        <v>0.28999999999999998</v>
      </c>
      <c r="D577" s="2">
        <v>1.04</v>
      </c>
      <c r="E577" s="2">
        <v>76.41</v>
      </c>
      <c r="F577" s="2">
        <v>66.75</v>
      </c>
      <c r="G577" s="2">
        <v>73.849999999999994</v>
      </c>
      <c r="H577" s="2">
        <f t="shared" si="24"/>
        <v>-4.9076220673786892</v>
      </c>
      <c r="I577" s="2">
        <f t="shared" si="25"/>
        <v>3.2340330343622376E-5</v>
      </c>
      <c r="J577" s="2"/>
      <c r="K577" s="2">
        <f t="shared" si="26"/>
        <v>2.8539956471763932</v>
      </c>
    </row>
    <row r="578" spans="1:11" ht="13.9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0.91</v>
      </c>
      <c r="H578" s="2" t="e">
        <f t="shared" ref="H578:H641" si="27">LOG(SUM(B578:D578)/SUM(E578:G578),2)</f>
        <v>#NUM!</v>
      </c>
      <c r="I578" s="2">
        <f t="shared" ref="I578:I641" si="28">_xlfn.T.TEST(B578:D578,E578:G578,2,2)</f>
        <v>0.37390096630005903</v>
      </c>
      <c r="J578" s="2"/>
      <c r="K578" s="2" t="e">
        <f t="shared" si="26"/>
        <v>#NUM!</v>
      </c>
    </row>
    <row r="579" spans="1:11" ht="13.9" x14ac:dyDescent="0.3">
      <c r="A579" s="2" t="s">
        <v>596</v>
      </c>
      <c r="B579" s="2">
        <v>3.67</v>
      </c>
      <c r="C579" s="2">
        <v>0</v>
      </c>
      <c r="D579" s="2">
        <v>0</v>
      </c>
      <c r="E579" s="2">
        <v>2.0099999999999998</v>
      </c>
      <c r="F579" s="2">
        <v>2.88</v>
      </c>
      <c r="G579" s="2">
        <v>3.97</v>
      </c>
      <c r="H579" s="2">
        <f t="shared" si="27"/>
        <v>-1.2715266357118056</v>
      </c>
      <c r="I579" s="2">
        <f t="shared" si="28"/>
        <v>0.26876753898061834</v>
      </c>
      <c r="J579" s="2"/>
      <c r="K579" s="2">
        <f t="shared" ref="K579:K642" si="29">LOG(SUM(B579:D579),2)</f>
        <v>1.875780063068488</v>
      </c>
    </row>
    <row r="580" spans="1:11" ht="13.9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0.76</v>
      </c>
      <c r="F580" s="2">
        <v>0.89</v>
      </c>
      <c r="G580" s="2">
        <v>0</v>
      </c>
      <c r="H580" s="2" t="e">
        <f t="shared" si="27"/>
        <v>#NUM!</v>
      </c>
      <c r="I580" s="2">
        <f t="shared" si="28"/>
        <v>0.11857976240507194</v>
      </c>
      <c r="J580" s="2"/>
      <c r="K580" s="2" t="e">
        <f t="shared" si="29"/>
        <v>#NUM!</v>
      </c>
    </row>
    <row r="581" spans="1:11" ht="13.9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0.22</v>
      </c>
      <c r="G581" s="2">
        <v>0</v>
      </c>
      <c r="H581" s="2" t="e">
        <f t="shared" si="27"/>
        <v>#NUM!</v>
      </c>
      <c r="I581" s="2">
        <f t="shared" si="28"/>
        <v>0.37390096630005903</v>
      </c>
      <c r="J581" s="2"/>
      <c r="K581" s="2" t="e">
        <f t="shared" si="29"/>
        <v>#NUM!</v>
      </c>
    </row>
    <row r="582" spans="1:11" ht="13.9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0.76</v>
      </c>
      <c r="F582" s="2">
        <v>0.33</v>
      </c>
      <c r="G582" s="2">
        <v>0</v>
      </c>
      <c r="H582" s="2" t="e">
        <f t="shared" si="27"/>
        <v>#NUM!</v>
      </c>
      <c r="I582" s="2">
        <f t="shared" si="28"/>
        <v>0.17401649187759899</v>
      </c>
      <c r="J582" s="2"/>
      <c r="K582" s="2" t="e">
        <f t="shared" si="29"/>
        <v>#NUM!</v>
      </c>
    </row>
    <row r="583" spans="1:11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27"/>
        <v>#DIV/0!</v>
      </c>
      <c r="I583" s="2" t="e">
        <f t="shared" si="28"/>
        <v>#DIV/0!</v>
      </c>
      <c r="J583" s="2"/>
      <c r="K583" s="2" t="e">
        <f t="shared" si="29"/>
        <v>#NUM!</v>
      </c>
    </row>
    <row r="584" spans="1:11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27"/>
        <v>#DIV/0!</v>
      </c>
      <c r="I584" s="2" t="e">
        <f t="shared" si="28"/>
        <v>#DIV/0!</v>
      </c>
      <c r="J584" s="2"/>
      <c r="K584" s="2" t="e">
        <f t="shared" si="29"/>
        <v>#NUM!</v>
      </c>
    </row>
    <row r="585" spans="1:11" ht="13.9" x14ac:dyDescent="0.3">
      <c r="A585" s="2" t="s">
        <v>602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 t="e">
        <f t="shared" si="27"/>
        <v>#DIV/0!</v>
      </c>
      <c r="I585" s="2" t="e">
        <f t="shared" si="28"/>
        <v>#DIV/0!</v>
      </c>
      <c r="J585" s="2"/>
      <c r="K585" s="2" t="e">
        <f t="shared" si="29"/>
        <v>#NUM!</v>
      </c>
    </row>
    <row r="586" spans="1:11" ht="13.9" x14ac:dyDescent="0.3">
      <c r="A586" s="2" t="s">
        <v>603</v>
      </c>
      <c r="B586" s="2">
        <v>101.34</v>
      </c>
      <c r="C586" s="2">
        <v>106.71</v>
      </c>
      <c r="D586" s="2">
        <v>93.62</v>
      </c>
      <c r="E586" s="2">
        <v>34.99</v>
      </c>
      <c r="F586" s="2">
        <v>25.95</v>
      </c>
      <c r="G586" s="2">
        <v>20.87</v>
      </c>
      <c r="H586" s="2">
        <f t="shared" si="27"/>
        <v>1.882622126681311</v>
      </c>
      <c r="I586" s="2">
        <f t="shared" si="28"/>
        <v>1.9833876481801515E-4</v>
      </c>
      <c r="J586" s="2"/>
      <c r="K586" s="2">
        <f t="shared" si="29"/>
        <v>8.2368274225430067</v>
      </c>
    </row>
    <row r="587" spans="1:11" ht="13.9" x14ac:dyDescent="0.3">
      <c r="A587" s="2" t="s">
        <v>604</v>
      </c>
      <c r="B587" s="2">
        <v>22.94</v>
      </c>
      <c r="C587" s="2">
        <v>12.15</v>
      </c>
      <c r="D587" s="2">
        <v>0.26</v>
      </c>
      <c r="E587" s="2">
        <v>21.4</v>
      </c>
      <c r="F587" s="2">
        <v>12.97</v>
      </c>
      <c r="G587" s="2">
        <v>12.14</v>
      </c>
      <c r="H587" s="2">
        <f t="shared" si="27"/>
        <v>-0.39583072482785009</v>
      </c>
      <c r="I587" s="2">
        <f t="shared" si="28"/>
        <v>0.63203164469386097</v>
      </c>
      <c r="J587" s="2"/>
      <c r="K587" s="2">
        <f t="shared" si="29"/>
        <v>5.1436383099220366</v>
      </c>
    </row>
    <row r="588" spans="1:11" ht="13.9" x14ac:dyDescent="0.3">
      <c r="A588" s="2" t="s">
        <v>605</v>
      </c>
      <c r="B588" s="2">
        <v>1025.3</v>
      </c>
      <c r="C588" s="2">
        <v>1275.8699999999999</v>
      </c>
      <c r="D588" s="2">
        <v>578.04</v>
      </c>
      <c r="E588" s="2">
        <v>1762.55</v>
      </c>
      <c r="F588" s="2">
        <v>1690.3</v>
      </c>
      <c r="G588" s="2">
        <v>1089.0999999999999</v>
      </c>
      <c r="H588" s="2">
        <f t="shared" si="27"/>
        <v>-0.65763880612559833</v>
      </c>
      <c r="I588" s="2">
        <f t="shared" si="28"/>
        <v>0.13379318481560259</v>
      </c>
      <c r="J588" s="2"/>
      <c r="K588" s="2">
        <f t="shared" si="29"/>
        <v>11.491457302778318</v>
      </c>
    </row>
    <row r="589" spans="1:11" ht="13.9" x14ac:dyDescent="0.3">
      <c r="A589" s="2" t="s">
        <v>606</v>
      </c>
      <c r="B589" s="2">
        <v>0</v>
      </c>
      <c r="C589" s="2">
        <v>2.31</v>
      </c>
      <c r="D589" s="2">
        <v>0</v>
      </c>
      <c r="E589" s="2">
        <v>9.94</v>
      </c>
      <c r="F589" s="2">
        <v>5.77</v>
      </c>
      <c r="G589" s="2">
        <v>11.57</v>
      </c>
      <c r="H589" s="2">
        <f t="shared" si="27"/>
        <v>-3.5618788876081156</v>
      </c>
      <c r="I589" s="2">
        <f t="shared" si="28"/>
        <v>1.167464060561834E-2</v>
      </c>
      <c r="J589" s="2"/>
      <c r="K589" s="2">
        <f t="shared" si="29"/>
        <v>1.207892851641333</v>
      </c>
    </row>
    <row r="590" spans="1:11" ht="13.9" x14ac:dyDescent="0.3">
      <c r="A590" s="2" t="s">
        <v>607</v>
      </c>
      <c r="B590" s="2">
        <v>24.78</v>
      </c>
      <c r="C590" s="2">
        <v>0</v>
      </c>
      <c r="D590" s="2">
        <v>7.26</v>
      </c>
      <c r="E590" s="2">
        <v>75.400000000000006</v>
      </c>
      <c r="F590" s="2">
        <v>86.49</v>
      </c>
      <c r="G590" s="2">
        <v>68.069999999999993</v>
      </c>
      <c r="H590" s="2">
        <f t="shared" si="27"/>
        <v>-2.8434368830047934</v>
      </c>
      <c r="I590" s="2">
        <f t="shared" si="28"/>
        <v>1.9195513461081044E-3</v>
      </c>
      <c r="J590" s="2"/>
      <c r="K590" s="2">
        <f t="shared" si="29"/>
        <v>5.0018022426339854</v>
      </c>
    </row>
    <row r="591" spans="1:11" ht="13.9" x14ac:dyDescent="0.3">
      <c r="A591" s="2" t="s">
        <v>608</v>
      </c>
      <c r="B591" s="2">
        <v>4.9800000000000004</v>
      </c>
      <c r="C591" s="2">
        <v>0</v>
      </c>
      <c r="D591" s="2">
        <v>0</v>
      </c>
      <c r="E591" s="2">
        <v>1.26</v>
      </c>
      <c r="F591" s="2">
        <v>0.78</v>
      </c>
      <c r="G591" s="2">
        <v>0</v>
      </c>
      <c r="H591" s="2">
        <f t="shared" si="27"/>
        <v>1.2875765900965854</v>
      </c>
      <c r="I591" s="2">
        <f t="shared" si="28"/>
        <v>0.59520693768048039</v>
      </c>
      <c r="J591" s="2"/>
      <c r="K591" s="2">
        <f t="shared" si="29"/>
        <v>2.3161457422933562</v>
      </c>
    </row>
    <row r="592" spans="1:11" ht="13.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27"/>
        <v>#DIV/0!</v>
      </c>
      <c r="I592" s="2" t="e">
        <f t="shared" si="28"/>
        <v>#DIV/0!</v>
      </c>
      <c r="J592" s="2"/>
      <c r="K592" s="2" t="e">
        <f t="shared" si="29"/>
        <v>#NUM!</v>
      </c>
    </row>
    <row r="593" spans="1:11" ht="13.9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3.27</v>
      </c>
      <c r="F593" s="2">
        <v>3.55</v>
      </c>
      <c r="G593" s="2">
        <v>0</v>
      </c>
      <c r="H593" s="2" t="e">
        <f t="shared" si="27"/>
        <v>#NUM!</v>
      </c>
      <c r="I593" s="2">
        <f t="shared" si="28"/>
        <v>0.11678653102211486</v>
      </c>
      <c r="J593" s="2"/>
      <c r="K593" s="2" t="e">
        <f t="shared" si="29"/>
        <v>#NUM!</v>
      </c>
    </row>
    <row r="594" spans="1:11" ht="13.9" x14ac:dyDescent="0.3">
      <c r="A594" s="2" t="s">
        <v>611</v>
      </c>
      <c r="B594" s="2">
        <v>0</v>
      </c>
      <c r="C594" s="2">
        <v>0</v>
      </c>
      <c r="D594" s="2">
        <v>0</v>
      </c>
      <c r="E594" s="2">
        <v>7.68</v>
      </c>
      <c r="F594" s="2">
        <v>3.33</v>
      </c>
      <c r="G594" s="2">
        <v>6.13</v>
      </c>
      <c r="H594" s="2" t="e">
        <f t="shared" si="27"/>
        <v>#NUM!</v>
      </c>
      <c r="I594" s="2">
        <f t="shared" si="28"/>
        <v>1.0918923596839315E-2</v>
      </c>
      <c r="J594" s="2"/>
      <c r="K594" s="2" t="e">
        <f t="shared" si="29"/>
        <v>#NUM!</v>
      </c>
    </row>
    <row r="595" spans="1:11" ht="13.9" x14ac:dyDescent="0.3">
      <c r="A595" s="2" t="s">
        <v>612</v>
      </c>
      <c r="B595" s="2">
        <v>0</v>
      </c>
      <c r="C595" s="2">
        <v>0</v>
      </c>
      <c r="D595" s="2">
        <v>0</v>
      </c>
      <c r="E595" s="2">
        <v>1.38</v>
      </c>
      <c r="F595" s="2">
        <v>1.1100000000000001</v>
      </c>
      <c r="G595" s="2">
        <v>1.36</v>
      </c>
      <c r="H595" s="2" t="e">
        <f t="shared" si="27"/>
        <v>#NUM!</v>
      </c>
      <c r="I595" s="2">
        <f t="shared" si="28"/>
        <v>1.2215182652662847E-4</v>
      </c>
      <c r="J595" s="2"/>
      <c r="K595" s="2" t="e">
        <f t="shared" si="29"/>
        <v>#NUM!</v>
      </c>
    </row>
    <row r="596" spans="1:11" ht="13.9" x14ac:dyDescent="0.3">
      <c r="A596" s="2" t="s">
        <v>613</v>
      </c>
      <c r="B596" s="2">
        <v>9.18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27"/>
        <v>#DIV/0!</v>
      </c>
      <c r="I596" s="2">
        <f t="shared" si="28"/>
        <v>0.37390096630005903</v>
      </c>
      <c r="J596" s="2"/>
      <c r="K596" s="2">
        <f t="shared" si="29"/>
        <v>3.198494153639083</v>
      </c>
    </row>
    <row r="597" spans="1:11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 t="e">
        <f t="shared" si="27"/>
        <v>#DIV/0!</v>
      </c>
      <c r="I597" s="2" t="e">
        <f t="shared" si="28"/>
        <v>#DIV/0!</v>
      </c>
      <c r="J597" s="2"/>
      <c r="K597" s="2" t="e">
        <f t="shared" si="29"/>
        <v>#NUM!</v>
      </c>
    </row>
    <row r="598" spans="1:11" ht="13.9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0.55000000000000004</v>
      </c>
      <c r="G598" s="2">
        <v>0</v>
      </c>
      <c r="H598" s="2" t="e">
        <f t="shared" si="27"/>
        <v>#NUM!</v>
      </c>
      <c r="I598" s="2">
        <f t="shared" si="28"/>
        <v>0.37390096630005903</v>
      </c>
      <c r="J598" s="2"/>
      <c r="K598" s="2" t="e">
        <f t="shared" si="29"/>
        <v>#NUM!</v>
      </c>
    </row>
    <row r="599" spans="1:11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27"/>
        <v>#DIV/0!</v>
      </c>
      <c r="I599" s="2" t="e">
        <f t="shared" si="28"/>
        <v>#DIV/0!</v>
      </c>
      <c r="J599" s="2"/>
      <c r="K599" s="2" t="e">
        <f t="shared" si="29"/>
        <v>#NUM!</v>
      </c>
    </row>
    <row r="600" spans="1:11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27"/>
        <v>#DIV/0!</v>
      </c>
      <c r="I600" s="2" t="e">
        <f t="shared" si="28"/>
        <v>#DIV/0!</v>
      </c>
      <c r="J600" s="2"/>
      <c r="K600" s="2" t="e">
        <f t="shared" si="29"/>
        <v>#NUM!</v>
      </c>
    </row>
    <row r="601" spans="1:11" ht="13.9" x14ac:dyDescent="0.3">
      <c r="A601" s="2" t="s">
        <v>618</v>
      </c>
      <c r="B601" s="2">
        <v>0</v>
      </c>
      <c r="C601" s="2">
        <v>0</v>
      </c>
      <c r="D601" s="2">
        <v>0</v>
      </c>
      <c r="E601" s="2">
        <v>11.33</v>
      </c>
      <c r="F601" s="2">
        <v>7.1</v>
      </c>
      <c r="G601" s="2">
        <v>19.059999999999999</v>
      </c>
      <c r="H601" s="2" t="e">
        <f t="shared" si="27"/>
        <v>#NUM!</v>
      </c>
      <c r="I601" s="2">
        <f t="shared" si="28"/>
        <v>2.3397511733590476E-2</v>
      </c>
      <c r="J601" s="2"/>
      <c r="K601" s="2" t="e">
        <f t="shared" si="29"/>
        <v>#NUM!</v>
      </c>
    </row>
    <row r="602" spans="1:11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27"/>
        <v>#DIV/0!</v>
      </c>
      <c r="I602" s="2" t="e">
        <f t="shared" si="28"/>
        <v>#DIV/0!</v>
      </c>
      <c r="J602" s="2"/>
      <c r="K602" s="2" t="e">
        <f t="shared" si="29"/>
        <v>#NUM!</v>
      </c>
    </row>
    <row r="603" spans="1:11" ht="13.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27"/>
        <v>#DIV/0!</v>
      </c>
      <c r="I603" s="2" t="e">
        <f t="shared" si="28"/>
        <v>#DIV/0!</v>
      </c>
      <c r="J603" s="2"/>
      <c r="K603" s="2" t="e">
        <f t="shared" si="29"/>
        <v>#NUM!</v>
      </c>
    </row>
    <row r="604" spans="1:11" ht="13.9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27"/>
        <v>#DIV/0!</v>
      </c>
      <c r="I604" s="2" t="e">
        <f t="shared" si="28"/>
        <v>#DIV/0!</v>
      </c>
      <c r="J604" s="2"/>
      <c r="K604" s="2" t="e">
        <f t="shared" si="29"/>
        <v>#NUM!</v>
      </c>
    </row>
    <row r="605" spans="1:11" ht="13.9" x14ac:dyDescent="0.3">
      <c r="A605" s="2" t="s">
        <v>622</v>
      </c>
      <c r="B605" s="2">
        <v>0</v>
      </c>
      <c r="C605" s="2">
        <v>0</v>
      </c>
      <c r="D605" s="2">
        <v>0</v>
      </c>
      <c r="E605" s="2">
        <v>2.39</v>
      </c>
      <c r="F605" s="2">
        <v>7.43</v>
      </c>
      <c r="G605" s="2">
        <v>0</v>
      </c>
      <c r="H605" s="2" t="e">
        <f t="shared" si="27"/>
        <v>#NUM!</v>
      </c>
      <c r="I605" s="2">
        <f t="shared" si="28"/>
        <v>0.20928943449897661</v>
      </c>
      <c r="J605" s="2"/>
      <c r="K605" s="2" t="e">
        <f t="shared" si="29"/>
        <v>#NUM!</v>
      </c>
    </row>
    <row r="606" spans="1:11" ht="13.9" x14ac:dyDescent="0.3">
      <c r="A606" s="2" t="s">
        <v>623</v>
      </c>
      <c r="B606" s="2">
        <v>0</v>
      </c>
      <c r="C606" s="2">
        <v>0</v>
      </c>
      <c r="D606" s="2">
        <v>8.0399999999999991</v>
      </c>
      <c r="E606" s="2">
        <v>0</v>
      </c>
      <c r="F606" s="2">
        <v>0</v>
      </c>
      <c r="G606" s="2">
        <v>0.68</v>
      </c>
      <c r="H606" s="2">
        <f t="shared" si="27"/>
        <v>3.563588849928589</v>
      </c>
      <c r="I606" s="2">
        <f t="shared" si="28"/>
        <v>0.41328379255005571</v>
      </c>
      <c r="J606" s="2"/>
      <c r="K606" s="2">
        <f t="shared" si="29"/>
        <v>3.0071955014042038</v>
      </c>
    </row>
    <row r="607" spans="1:11" ht="13.9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0.13</v>
      </c>
      <c r="F607" s="2">
        <v>0.22</v>
      </c>
      <c r="G607" s="2">
        <v>0</v>
      </c>
      <c r="H607" s="2" t="e">
        <f t="shared" si="27"/>
        <v>#NUM!</v>
      </c>
      <c r="I607" s="2">
        <f t="shared" si="28"/>
        <v>0.14172271511995713</v>
      </c>
      <c r="J607" s="2"/>
      <c r="K607" s="2" t="e">
        <f t="shared" si="29"/>
        <v>#NUM!</v>
      </c>
    </row>
    <row r="608" spans="1:11" ht="13.9" x14ac:dyDescent="0.3">
      <c r="A608" s="2" t="s">
        <v>625</v>
      </c>
      <c r="B608" s="2">
        <v>0.13</v>
      </c>
      <c r="C608" s="2">
        <v>10.119999999999999</v>
      </c>
      <c r="D608" s="2">
        <v>0.26</v>
      </c>
      <c r="E608" s="2">
        <v>21.78</v>
      </c>
      <c r="F608" s="2">
        <v>20.18</v>
      </c>
      <c r="G608" s="2">
        <v>10.66</v>
      </c>
      <c r="H608" s="2">
        <f t="shared" si="27"/>
        <v>-2.3238485792037111</v>
      </c>
      <c r="I608" s="2">
        <f t="shared" si="28"/>
        <v>4.2930756073757653E-2</v>
      </c>
      <c r="J608" s="2"/>
      <c r="K608" s="2">
        <f t="shared" si="29"/>
        <v>3.3936907641874536</v>
      </c>
    </row>
    <row r="609" spans="1:11" ht="13.9" x14ac:dyDescent="0.3">
      <c r="A609" s="2" t="s">
        <v>626</v>
      </c>
      <c r="B609" s="2">
        <v>0</v>
      </c>
      <c r="C609" s="2">
        <v>0</v>
      </c>
      <c r="D609" s="2">
        <v>0</v>
      </c>
      <c r="E609" s="2">
        <v>0.25</v>
      </c>
      <c r="F609" s="2">
        <v>0.22</v>
      </c>
      <c r="G609" s="2">
        <v>0.11</v>
      </c>
      <c r="H609" s="2" t="e">
        <f t="shared" si="27"/>
        <v>#NUM!</v>
      </c>
      <c r="I609" s="2">
        <f t="shared" si="28"/>
        <v>1.0473893808899661E-2</v>
      </c>
      <c r="J609" s="2"/>
      <c r="K609" s="2" t="e">
        <f t="shared" si="29"/>
        <v>#NUM!</v>
      </c>
    </row>
    <row r="610" spans="1:11" ht="13.9" x14ac:dyDescent="0.3">
      <c r="A610" s="2" t="s">
        <v>627</v>
      </c>
      <c r="B610" s="2">
        <v>0</v>
      </c>
      <c r="C610" s="2">
        <v>2.6</v>
      </c>
      <c r="D610" s="2">
        <v>8.82</v>
      </c>
      <c r="E610" s="2">
        <v>1.76</v>
      </c>
      <c r="F610" s="2">
        <v>1.22</v>
      </c>
      <c r="G610" s="2">
        <v>3.06</v>
      </c>
      <c r="H610" s="2">
        <f t="shared" si="27"/>
        <v>0.91894219603776395</v>
      </c>
      <c r="I610" s="2">
        <f t="shared" si="28"/>
        <v>0.53902896687007529</v>
      </c>
      <c r="J610" s="2"/>
      <c r="K610" s="2">
        <f t="shared" si="29"/>
        <v>3.5134907455881179</v>
      </c>
    </row>
    <row r="611" spans="1:11" ht="13.9" x14ac:dyDescent="0.3">
      <c r="A611" s="2" t="s">
        <v>628</v>
      </c>
      <c r="B611" s="2">
        <v>5.64</v>
      </c>
      <c r="C611" s="2">
        <v>0</v>
      </c>
      <c r="D611" s="2">
        <v>0</v>
      </c>
      <c r="E611" s="2">
        <v>0.5</v>
      </c>
      <c r="F611" s="2">
        <v>0.78</v>
      </c>
      <c r="G611" s="2">
        <v>1.02</v>
      </c>
      <c r="H611" s="2">
        <f t="shared" si="27"/>
        <v>1.2940613014544184</v>
      </c>
      <c r="I611" s="2">
        <f t="shared" si="28"/>
        <v>0.58671586200790871</v>
      </c>
      <c r="J611" s="2"/>
      <c r="K611" s="2">
        <f t="shared" si="29"/>
        <v>2.4956951626240689</v>
      </c>
    </row>
    <row r="612" spans="1:11" ht="13.9" x14ac:dyDescent="0.3">
      <c r="A612" s="2" t="s">
        <v>629</v>
      </c>
      <c r="B612" s="2">
        <v>0</v>
      </c>
      <c r="C612" s="2">
        <v>0.28999999999999998</v>
      </c>
      <c r="D612" s="2">
        <v>0</v>
      </c>
      <c r="E612" s="2">
        <v>0.76</v>
      </c>
      <c r="F612" s="2">
        <v>2.44</v>
      </c>
      <c r="G612" s="2">
        <v>1.93</v>
      </c>
      <c r="H612" s="2">
        <f t="shared" si="27"/>
        <v>-4.1448340204794825</v>
      </c>
      <c r="I612" s="2">
        <f t="shared" si="28"/>
        <v>3.3387259514477394E-2</v>
      </c>
      <c r="J612" s="2"/>
      <c r="K612" s="2">
        <f t="shared" si="29"/>
        <v>-1.7858751946471527</v>
      </c>
    </row>
    <row r="613" spans="1:11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27"/>
        <v>#DIV/0!</v>
      </c>
      <c r="I613" s="2" t="e">
        <f t="shared" si="28"/>
        <v>#DIV/0!</v>
      </c>
      <c r="J613" s="2"/>
      <c r="K613" s="2" t="e">
        <f t="shared" si="29"/>
        <v>#NUM!</v>
      </c>
    </row>
    <row r="614" spans="1:11" ht="13.9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0.55000000000000004</v>
      </c>
      <c r="G614" s="2">
        <v>0</v>
      </c>
      <c r="H614" s="2" t="e">
        <f t="shared" si="27"/>
        <v>#NUM!</v>
      </c>
      <c r="I614" s="2">
        <f t="shared" si="28"/>
        <v>0.37390096630005903</v>
      </c>
      <c r="J614" s="2"/>
      <c r="K614" s="2" t="e">
        <f t="shared" si="29"/>
        <v>#NUM!</v>
      </c>
    </row>
    <row r="615" spans="1:11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27"/>
        <v>#DIV/0!</v>
      </c>
      <c r="I615" s="2" t="e">
        <f t="shared" si="28"/>
        <v>#DIV/0!</v>
      </c>
      <c r="J615" s="2"/>
      <c r="K615" s="2" t="e">
        <f t="shared" si="29"/>
        <v>#NUM!</v>
      </c>
    </row>
    <row r="616" spans="1:11" ht="13.9" x14ac:dyDescent="0.3">
      <c r="A616" s="2" t="s">
        <v>633</v>
      </c>
      <c r="B616" s="2">
        <v>0</v>
      </c>
      <c r="C616" s="2">
        <v>3.47</v>
      </c>
      <c r="D616" s="2">
        <v>0</v>
      </c>
      <c r="E616" s="2">
        <v>0.88</v>
      </c>
      <c r="F616" s="2">
        <v>0.22</v>
      </c>
      <c r="G616" s="2">
        <v>0.56999999999999995</v>
      </c>
      <c r="H616" s="2">
        <f t="shared" si="27"/>
        <v>1.0550875601042087</v>
      </c>
      <c r="I616" s="2">
        <f t="shared" si="28"/>
        <v>0.63573413955061953</v>
      </c>
      <c r="J616" s="2"/>
      <c r="K616" s="2">
        <f t="shared" si="29"/>
        <v>1.7949356628035364</v>
      </c>
    </row>
    <row r="617" spans="1:11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27"/>
        <v>#DIV/0!</v>
      </c>
      <c r="I617" s="2" t="e">
        <f t="shared" si="28"/>
        <v>#DIV/0!</v>
      </c>
      <c r="J617" s="2"/>
      <c r="K617" s="2" t="e">
        <f t="shared" si="29"/>
        <v>#NUM!</v>
      </c>
    </row>
    <row r="618" spans="1:11" ht="13.9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0</v>
      </c>
      <c r="F618" s="2">
        <v>0.67</v>
      </c>
      <c r="G618" s="2">
        <v>0.23</v>
      </c>
      <c r="H618" s="2" t="e">
        <f t="shared" si="27"/>
        <v>#NUM!</v>
      </c>
      <c r="I618" s="2">
        <f t="shared" si="28"/>
        <v>0.2016373839675579</v>
      </c>
      <c r="J618" s="2"/>
      <c r="K618" s="2" t="e">
        <f t="shared" si="29"/>
        <v>#NUM!</v>
      </c>
    </row>
    <row r="619" spans="1:11" ht="13.9" x14ac:dyDescent="0.3">
      <c r="A619" s="2" t="s">
        <v>636</v>
      </c>
      <c r="B619" s="2">
        <v>7.34</v>
      </c>
      <c r="C619" s="2">
        <v>0</v>
      </c>
      <c r="D619" s="2">
        <v>0</v>
      </c>
      <c r="E619" s="2">
        <v>1.64</v>
      </c>
      <c r="F619" s="2">
        <v>0.89</v>
      </c>
      <c r="G619" s="2">
        <v>1.7</v>
      </c>
      <c r="H619" s="2">
        <f t="shared" si="27"/>
        <v>0.79512239972326304</v>
      </c>
      <c r="I619" s="2">
        <f t="shared" si="28"/>
        <v>0.69517394513127972</v>
      </c>
      <c r="J619" s="2"/>
      <c r="K619" s="2">
        <f t="shared" si="29"/>
        <v>2.8757800630684884</v>
      </c>
    </row>
    <row r="620" spans="1:11" ht="13.9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0.88</v>
      </c>
      <c r="F620" s="2">
        <v>0.89</v>
      </c>
      <c r="G620" s="2">
        <v>0</v>
      </c>
      <c r="H620" s="2" t="e">
        <f t="shared" si="27"/>
        <v>#NUM!</v>
      </c>
      <c r="I620" s="2">
        <f t="shared" si="28"/>
        <v>0.11612921919185448</v>
      </c>
      <c r="J620" s="2"/>
      <c r="K620" s="2" t="e">
        <f t="shared" si="29"/>
        <v>#NUM!</v>
      </c>
    </row>
    <row r="621" spans="1:11" ht="13.9" x14ac:dyDescent="0.3">
      <c r="A621" s="2" t="s">
        <v>638</v>
      </c>
      <c r="B621" s="2">
        <v>11.93</v>
      </c>
      <c r="C621" s="2">
        <v>2.6</v>
      </c>
      <c r="D621" s="2">
        <v>1.3</v>
      </c>
      <c r="E621" s="2">
        <v>3.4</v>
      </c>
      <c r="F621" s="2">
        <v>1</v>
      </c>
      <c r="G621" s="2">
        <v>0.68</v>
      </c>
      <c r="H621" s="2">
        <f t="shared" si="27"/>
        <v>1.6397608533650154</v>
      </c>
      <c r="I621" s="2">
        <f t="shared" si="28"/>
        <v>0.35837850953244221</v>
      </c>
      <c r="J621" s="2"/>
      <c r="K621" s="2">
        <f t="shared" si="29"/>
        <v>3.9845893503624565</v>
      </c>
    </row>
    <row r="622" spans="1:11" ht="13.9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0.11</v>
      </c>
      <c r="G622" s="2">
        <v>0</v>
      </c>
      <c r="H622" s="2" t="e">
        <f t="shared" si="27"/>
        <v>#NUM!</v>
      </c>
      <c r="I622" s="2">
        <f t="shared" si="28"/>
        <v>0.37390096630005903</v>
      </c>
      <c r="J622" s="2"/>
      <c r="K622" s="2" t="e">
        <f t="shared" si="29"/>
        <v>#NUM!</v>
      </c>
    </row>
    <row r="623" spans="1:11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27"/>
        <v>#DIV/0!</v>
      </c>
      <c r="I623" s="2" t="e">
        <f t="shared" si="28"/>
        <v>#DIV/0!</v>
      </c>
      <c r="J623" s="2"/>
      <c r="K623" s="2" t="e">
        <f t="shared" si="29"/>
        <v>#NUM!</v>
      </c>
    </row>
    <row r="624" spans="1:11" ht="13.9" x14ac:dyDescent="0.3">
      <c r="A624" s="2" t="s">
        <v>641</v>
      </c>
      <c r="B624" s="2">
        <v>0</v>
      </c>
      <c r="C624" s="2">
        <v>0</v>
      </c>
      <c r="D624" s="2">
        <v>0</v>
      </c>
      <c r="E624" s="2">
        <v>0.38</v>
      </c>
      <c r="F624" s="2">
        <v>1.66</v>
      </c>
      <c r="G624" s="2">
        <v>0.79</v>
      </c>
      <c r="H624" s="2" t="e">
        <f t="shared" si="27"/>
        <v>#NUM!</v>
      </c>
      <c r="I624" s="2">
        <f t="shared" si="28"/>
        <v>6.6785754882468573E-2</v>
      </c>
      <c r="J624" s="2"/>
      <c r="K624" s="2" t="e">
        <f t="shared" si="29"/>
        <v>#NUM!</v>
      </c>
    </row>
    <row r="625" spans="1:11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27"/>
        <v>#DIV/0!</v>
      </c>
      <c r="I625" s="2" t="e">
        <f t="shared" si="28"/>
        <v>#DIV/0!</v>
      </c>
      <c r="J625" s="2"/>
      <c r="K625" s="2" t="e">
        <f t="shared" si="29"/>
        <v>#NUM!</v>
      </c>
    </row>
    <row r="626" spans="1:11" ht="13.9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0.22</v>
      </c>
      <c r="G626" s="2">
        <v>0.45</v>
      </c>
      <c r="H626" s="2" t="e">
        <f t="shared" si="27"/>
        <v>#NUM!</v>
      </c>
      <c r="I626" s="2">
        <f t="shared" si="28"/>
        <v>0.16072314099275151</v>
      </c>
      <c r="J626" s="2"/>
      <c r="K626" s="2" t="e">
        <f t="shared" si="29"/>
        <v>#NUM!</v>
      </c>
    </row>
    <row r="627" spans="1:11" ht="13.9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0.25</v>
      </c>
      <c r="F627" s="2">
        <v>0</v>
      </c>
      <c r="G627" s="2">
        <v>0.91</v>
      </c>
      <c r="H627" s="2" t="e">
        <f t="shared" si="27"/>
        <v>#NUM!</v>
      </c>
      <c r="I627" s="2">
        <f t="shared" si="28"/>
        <v>0.22741163115956636</v>
      </c>
      <c r="J627" s="2"/>
      <c r="K627" s="2" t="e">
        <f t="shared" si="29"/>
        <v>#NUM!</v>
      </c>
    </row>
    <row r="628" spans="1:11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27"/>
        <v>#DIV/0!</v>
      </c>
      <c r="I628" s="2" t="e">
        <f t="shared" si="28"/>
        <v>#DIV/0!</v>
      </c>
      <c r="J628" s="2"/>
      <c r="K628" s="2" t="e">
        <f t="shared" si="29"/>
        <v>#NUM!</v>
      </c>
    </row>
    <row r="629" spans="1:11" ht="13.9" x14ac:dyDescent="0.3">
      <c r="A629" s="2" t="s">
        <v>646</v>
      </c>
      <c r="B629" s="2">
        <v>0</v>
      </c>
      <c r="C629" s="2">
        <v>0</v>
      </c>
      <c r="D629" s="2">
        <v>0</v>
      </c>
      <c r="E629" s="2">
        <v>0.88</v>
      </c>
      <c r="F629" s="2">
        <v>0.67</v>
      </c>
      <c r="G629" s="2">
        <v>0</v>
      </c>
      <c r="H629" s="2" t="e">
        <f t="shared" si="27"/>
        <v>#NUM!</v>
      </c>
      <c r="I629" s="2">
        <f t="shared" si="28"/>
        <v>0.12336620055097519</v>
      </c>
      <c r="J629" s="2"/>
      <c r="K629" s="2" t="e">
        <f t="shared" si="29"/>
        <v>#NUM!</v>
      </c>
    </row>
    <row r="630" spans="1:11" ht="13.9" x14ac:dyDescent="0.3">
      <c r="A630" s="2" t="s">
        <v>647</v>
      </c>
      <c r="B630" s="2">
        <v>11.01</v>
      </c>
      <c r="C630" s="2">
        <v>0</v>
      </c>
      <c r="D630" s="2">
        <v>0</v>
      </c>
      <c r="E630" s="2">
        <v>0</v>
      </c>
      <c r="F630" s="2">
        <v>1.1100000000000001</v>
      </c>
      <c r="G630" s="2">
        <v>0</v>
      </c>
      <c r="H630" s="2">
        <f t="shared" si="27"/>
        <v>3.3101828872142631</v>
      </c>
      <c r="I630" s="2">
        <f t="shared" si="28"/>
        <v>0.42154357224869016</v>
      </c>
      <c r="J630" s="2"/>
      <c r="K630" s="2">
        <f t="shared" si="29"/>
        <v>3.4607425637896441</v>
      </c>
    </row>
    <row r="631" spans="1:11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27"/>
        <v>#DIV/0!</v>
      </c>
      <c r="I631" s="2" t="e">
        <f t="shared" si="28"/>
        <v>#DIV/0!</v>
      </c>
      <c r="J631" s="2"/>
      <c r="K631" s="2" t="e">
        <f t="shared" si="29"/>
        <v>#NUM!</v>
      </c>
    </row>
    <row r="632" spans="1:11" ht="13.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27"/>
        <v>#DIV/0!</v>
      </c>
      <c r="I632" s="2" t="e">
        <f t="shared" si="28"/>
        <v>#DIV/0!</v>
      </c>
      <c r="J632" s="2"/>
      <c r="K632" s="2" t="e">
        <f t="shared" si="29"/>
        <v>#NUM!</v>
      </c>
    </row>
    <row r="633" spans="1:11" ht="13.9" x14ac:dyDescent="0.3">
      <c r="A633" s="2" t="s">
        <v>650</v>
      </c>
      <c r="B633" s="2">
        <v>234.01</v>
      </c>
      <c r="C633" s="2">
        <v>286</v>
      </c>
      <c r="D633" s="2">
        <v>109.95</v>
      </c>
      <c r="E633" s="2">
        <v>622.72</v>
      </c>
      <c r="F633" s="2">
        <v>665.74</v>
      </c>
      <c r="G633" s="2">
        <v>474.21</v>
      </c>
      <c r="H633" s="2">
        <f t="shared" si="27"/>
        <v>-1.484430273233132</v>
      </c>
      <c r="I633" s="2">
        <f t="shared" si="28"/>
        <v>8.4184108965204962E-3</v>
      </c>
      <c r="J633" s="2"/>
      <c r="K633" s="2">
        <f t="shared" si="29"/>
        <v>9.299116415794094</v>
      </c>
    </row>
    <row r="634" spans="1:11" ht="13.9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0.33</v>
      </c>
      <c r="G634" s="2">
        <v>0.79</v>
      </c>
      <c r="H634" s="2" t="e">
        <f t="shared" si="27"/>
        <v>#NUM!</v>
      </c>
      <c r="I634" s="2">
        <f t="shared" si="28"/>
        <v>0.17849684364246426</v>
      </c>
      <c r="J634" s="2"/>
      <c r="K634" s="2" t="e">
        <f t="shared" si="29"/>
        <v>#NUM!</v>
      </c>
    </row>
    <row r="635" spans="1:11" ht="13.9" x14ac:dyDescent="0.3">
      <c r="A635" s="2" t="s">
        <v>652</v>
      </c>
      <c r="B635" s="2">
        <v>71.97</v>
      </c>
      <c r="C635" s="2">
        <v>130.13</v>
      </c>
      <c r="D635" s="2">
        <v>136.66</v>
      </c>
      <c r="E635" s="2">
        <v>135.32</v>
      </c>
      <c r="F635" s="2">
        <v>85.27</v>
      </c>
      <c r="G635" s="2">
        <v>157.81</v>
      </c>
      <c r="H635" s="2">
        <f t="shared" si="27"/>
        <v>-0.15964855405590839</v>
      </c>
      <c r="I635" s="2">
        <f t="shared" si="28"/>
        <v>0.67945906171936876</v>
      </c>
      <c r="J635" s="2"/>
      <c r="K635" s="2">
        <f t="shared" si="29"/>
        <v>8.404119724396125</v>
      </c>
    </row>
    <row r="636" spans="1:11" ht="13.9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1.55</v>
      </c>
      <c r="G636" s="2">
        <v>0</v>
      </c>
      <c r="H636" s="2" t="e">
        <f t="shared" si="27"/>
        <v>#NUM!</v>
      </c>
      <c r="I636" s="2">
        <f t="shared" si="28"/>
        <v>0.37390096630005903</v>
      </c>
      <c r="J636" s="2"/>
      <c r="K636" s="2" t="e">
        <f t="shared" si="29"/>
        <v>#NUM!</v>
      </c>
    </row>
    <row r="637" spans="1:11" ht="13.9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0.13</v>
      </c>
      <c r="F637" s="2">
        <v>0</v>
      </c>
      <c r="G637" s="2">
        <v>0</v>
      </c>
      <c r="H637" s="2" t="e">
        <f t="shared" si="27"/>
        <v>#NUM!</v>
      </c>
      <c r="I637" s="2">
        <f t="shared" si="28"/>
        <v>0.37390096630005903</v>
      </c>
      <c r="J637" s="2"/>
      <c r="K637" s="2" t="e">
        <f t="shared" si="29"/>
        <v>#NUM!</v>
      </c>
    </row>
    <row r="638" spans="1:11" ht="13.9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27"/>
        <v>#DIV/0!</v>
      </c>
      <c r="I638" s="2" t="e">
        <f t="shared" si="28"/>
        <v>#DIV/0!</v>
      </c>
      <c r="J638" s="2"/>
      <c r="K638" s="2" t="e">
        <f t="shared" si="29"/>
        <v>#NUM!</v>
      </c>
    </row>
    <row r="639" spans="1:11" ht="13.9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</v>
      </c>
      <c r="F639" s="2">
        <v>0.33</v>
      </c>
      <c r="G639" s="2">
        <v>0</v>
      </c>
      <c r="H639" s="2" t="e">
        <f t="shared" si="27"/>
        <v>#NUM!</v>
      </c>
      <c r="I639" s="2">
        <f t="shared" si="28"/>
        <v>0.37390096630005903</v>
      </c>
      <c r="J639" s="2"/>
      <c r="K639" s="2" t="e">
        <f t="shared" si="29"/>
        <v>#NUM!</v>
      </c>
    </row>
    <row r="640" spans="1:11" ht="13.9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0.11</v>
      </c>
      <c r="G640" s="2">
        <v>0.11</v>
      </c>
      <c r="H640" s="2" t="e">
        <f t="shared" si="27"/>
        <v>#NUM!</v>
      </c>
      <c r="I640" s="2">
        <f t="shared" si="28"/>
        <v>0.11611652351681555</v>
      </c>
      <c r="J640" s="2"/>
      <c r="K640" s="2" t="e">
        <f t="shared" si="29"/>
        <v>#NUM!</v>
      </c>
    </row>
    <row r="641" spans="1:11" ht="13.9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0.45</v>
      </c>
      <c r="H641" s="2" t="e">
        <f t="shared" si="27"/>
        <v>#NUM!</v>
      </c>
      <c r="I641" s="2">
        <f t="shared" si="28"/>
        <v>0.37390096630005903</v>
      </c>
      <c r="J641" s="2"/>
      <c r="K641" s="2" t="e">
        <f t="shared" si="29"/>
        <v>#NUM!</v>
      </c>
    </row>
    <row r="642" spans="1:11" ht="13.9" x14ac:dyDescent="0.3">
      <c r="A642" s="2" t="s">
        <v>659</v>
      </c>
      <c r="B642" s="2">
        <v>0</v>
      </c>
      <c r="C642" s="2">
        <v>0</v>
      </c>
      <c r="D642" s="2">
        <v>0</v>
      </c>
      <c r="E642" s="2">
        <v>1.01</v>
      </c>
      <c r="F642" s="2">
        <v>0.22</v>
      </c>
      <c r="G642" s="2">
        <v>0.56999999999999995</v>
      </c>
      <c r="H642" s="2" t="e">
        <f t="shared" ref="H642:H705" si="30">LOG(SUM(B642:D642)/SUM(E642:G642),2)</f>
        <v>#NUM!</v>
      </c>
      <c r="I642" s="2">
        <f t="shared" ref="I642:I705" si="31">_xlfn.T.TEST(B642:D642,E642:G642,2,2)</f>
        <v>5.8474052497124368E-2</v>
      </c>
      <c r="J642" s="2"/>
      <c r="K642" s="2" t="e">
        <f t="shared" si="29"/>
        <v>#NUM!</v>
      </c>
    </row>
    <row r="643" spans="1:11" ht="13.9" x14ac:dyDescent="0.3">
      <c r="A643" s="2" t="s">
        <v>660</v>
      </c>
      <c r="B643" s="2">
        <v>0</v>
      </c>
      <c r="C643" s="2">
        <v>0</v>
      </c>
      <c r="D643" s="2">
        <v>0</v>
      </c>
      <c r="E643" s="2">
        <v>1.01</v>
      </c>
      <c r="F643" s="2">
        <v>0.22</v>
      </c>
      <c r="G643" s="2">
        <v>0.56999999999999995</v>
      </c>
      <c r="H643" s="2" t="e">
        <f t="shared" si="30"/>
        <v>#NUM!</v>
      </c>
      <c r="I643" s="2">
        <f t="shared" si="31"/>
        <v>5.8474052497124368E-2</v>
      </c>
      <c r="J643" s="2"/>
      <c r="K643" s="2" t="e">
        <f t="shared" ref="K643:K706" si="32">LOG(SUM(B643:D643),2)</f>
        <v>#NUM!</v>
      </c>
    </row>
    <row r="644" spans="1:11" ht="13.9" x14ac:dyDescent="0.3">
      <c r="A644" s="2" t="s">
        <v>661</v>
      </c>
      <c r="B644" s="2">
        <v>5.1100000000000003</v>
      </c>
      <c r="C644" s="2">
        <v>10.41</v>
      </c>
      <c r="D644" s="2">
        <v>0</v>
      </c>
      <c r="E644" s="2">
        <v>3.9</v>
      </c>
      <c r="F644" s="2">
        <v>3.22</v>
      </c>
      <c r="G644" s="2">
        <v>4.08</v>
      </c>
      <c r="H644" s="2">
        <f t="shared" si="30"/>
        <v>0.47062982524216118</v>
      </c>
      <c r="I644" s="2">
        <f t="shared" si="31"/>
        <v>0.65802567873628204</v>
      </c>
      <c r="J644" s="2"/>
      <c r="K644" s="2">
        <f t="shared" si="32"/>
        <v>3.956056652412403</v>
      </c>
    </row>
    <row r="645" spans="1:11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30"/>
        <v>#DIV/0!</v>
      </c>
      <c r="I645" s="2" t="e">
        <f t="shared" si="31"/>
        <v>#DIV/0!</v>
      </c>
      <c r="J645" s="2"/>
      <c r="K645" s="2" t="e">
        <f t="shared" si="32"/>
        <v>#NUM!</v>
      </c>
    </row>
    <row r="646" spans="1:11" ht="13.9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0.63</v>
      </c>
      <c r="F646" s="2">
        <v>2.2200000000000002</v>
      </c>
      <c r="G646" s="2">
        <v>0.79</v>
      </c>
      <c r="H646" s="2" t="e">
        <f t="shared" si="30"/>
        <v>#NUM!</v>
      </c>
      <c r="I646" s="2">
        <f t="shared" si="31"/>
        <v>7.4315190282351562E-2</v>
      </c>
      <c r="J646" s="2"/>
      <c r="K646" s="2" t="e">
        <f t="shared" si="32"/>
        <v>#NUM!</v>
      </c>
    </row>
    <row r="647" spans="1:11" ht="13.9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30"/>
        <v>#DIV/0!</v>
      </c>
      <c r="I647" s="2" t="e">
        <f t="shared" si="31"/>
        <v>#DIV/0!</v>
      </c>
      <c r="J647" s="2"/>
      <c r="K647" s="2" t="e">
        <f t="shared" si="32"/>
        <v>#NUM!</v>
      </c>
    </row>
    <row r="648" spans="1:11" ht="13.9" x14ac:dyDescent="0.3">
      <c r="A648" s="2" t="s">
        <v>665</v>
      </c>
      <c r="B648" s="2">
        <v>0</v>
      </c>
      <c r="C648" s="2">
        <v>0.28999999999999998</v>
      </c>
      <c r="D648" s="2">
        <v>0</v>
      </c>
      <c r="E648" s="2">
        <v>1.26</v>
      </c>
      <c r="F648" s="2">
        <v>3.44</v>
      </c>
      <c r="G648" s="2">
        <v>1.82</v>
      </c>
      <c r="H648" s="2">
        <f t="shared" si="30"/>
        <v>-4.4907471591035053</v>
      </c>
      <c r="I648" s="2">
        <f t="shared" si="31"/>
        <v>3.4750596827020391E-2</v>
      </c>
      <c r="J648" s="2"/>
      <c r="K648" s="2">
        <f t="shared" si="32"/>
        <v>-1.7858751946471527</v>
      </c>
    </row>
    <row r="649" spans="1:11" ht="13.9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1.89</v>
      </c>
      <c r="F649" s="2">
        <v>0</v>
      </c>
      <c r="G649" s="2">
        <v>1.02</v>
      </c>
      <c r="H649" s="2" t="e">
        <f t="shared" si="30"/>
        <v>#NUM!</v>
      </c>
      <c r="I649" s="2">
        <f t="shared" si="31"/>
        <v>0.15038225218985554</v>
      </c>
      <c r="J649" s="2"/>
      <c r="K649" s="2" t="e">
        <f t="shared" si="32"/>
        <v>#NUM!</v>
      </c>
    </row>
    <row r="650" spans="1:11" ht="13.9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1.1299999999999999</v>
      </c>
      <c r="F650" s="2">
        <v>0.33</v>
      </c>
      <c r="G650" s="2">
        <v>0.91</v>
      </c>
      <c r="H650" s="2" t="e">
        <f t="shared" si="30"/>
        <v>#NUM!</v>
      </c>
      <c r="I650" s="2">
        <f t="shared" si="31"/>
        <v>2.962996550405032E-2</v>
      </c>
      <c r="J650" s="2"/>
      <c r="K650" s="2" t="e">
        <f t="shared" si="32"/>
        <v>#NUM!</v>
      </c>
    </row>
    <row r="651" spans="1:11" ht="13.9" x14ac:dyDescent="0.3">
      <c r="A651" s="2" t="s">
        <v>668</v>
      </c>
      <c r="B651" s="2">
        <v>0.79</v>
      </c>
      <c r="C651" s="2">
        <v>0</v>
      </c>
      <c r="D651" s="2">
        <v>0</v>
      </c>
      <c r="E651" s="2">
        <v>2.77</v>
      </c>
      <c r="F651" s="2">
        <v>1.33</v>
      </c>
      <c r="G651" s="2">
        <v>0.79</v>
      </c>
      <c r="H651" s="2">
        <f t="shared" si="30"/>
        <v>-2.6299099067751306</v>
      </c>
      <c r="I651" s="2">
        <f t="shared" si="31"/>
        <v>0.10220476934338167</v>
      </c>
      <c r="J651" s="2"/>
      <c r="K651" s="2">
        <f t="shared" si="32"/>
        <v>-0.34007544159762171</v>
      </c>
    </row>
    <row r="652" spans="1:11" ht="13.9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0.68</v>
      </c>
      <c r="H652" s="2" t="e">
        <f t="shared" si="30"/>
        <v>#NUM!</v>
      </c>
      <c r="I652" s="2">
        <f t="shared" si="31"/>
        <v>0.37390096630005903</v>
      </c>
      <c r="J652" s="2"/>
      <c r="K652" s="2" t="e">
        <f t="shared" si="32"/>
        <v>#NUM!</v>
      </c>
    </row>
    <row r="653" spans="1:11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30"/>
        <v>#DIV/0!</v>
      </c>
      <c r="I653" s="2" t="e">
        <f t="shared" si="31"/>
        <v>#DIV/0!</v>
      </c>
      <c r="J653" s="2"/>
      <c r="K653" s="2" t="e">
        <f t="shared" si="32"/>
        <v>#NUM!</v>
      </c>
    </row>
    <row r="654" spans="1:11" ht="13.9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30"/>
        <v>#DIV/0!</v>
      </c>
      <c r="I654" s="2" t="e">
        <f t="shared" si="31"/>
        <v>#DIV/0!</v>
      </c>
      <c r="J654" s="2"/>
      <c r="K654" s="2" t="e">
        <f t="shared" si="32"/>
        <v>#NUM!</v>
      </c>
    </row>
    <row r="655" spans="1:11" ht="13.9" x14ac:dyDescent="0.3">
      <c r="A655" s="2" t="s">
        <v>672</v>
      </c>
      <c r="B655" s="2">
        <v>5.1100000000000003</v>
      </c>
      <c r="C655" s="2">
        <v>10.41</v>
      </c>
      <c r="D655" s="2">
        <v>1.04</v>
      </c>
      <c r="E655" s="2">
        <v>6.29</v>
      </c>
      <c r="F655" s="2">
        <v>5.32</v>
      </c>
      <c r="G655" s="2">
        <v>4.99</v>
      </c>
      <c r="H655" s="2">
        <f t="shared" si="30"/>
        <v>-3.4805687349621374E-3</v>
      </c>
      <c r="I655" s="2">
        <f t="shared" si="31"/>
        <v>0.99635112272299176</v>
      </c>
      <c r="J655" s="2"/>
      <c r="K655" s="2">
        <f t="shared" si="32"/>
        <v>4.0496307677246008</v>
      </c>
    </row>
    <row r="656" spans="1:11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 t="e">
        <f t="shared" si="30"/>
        <v>#DIV/0!</v>
      </c>
      <c r="I656" s="2" t="e">
        <f t="shared" si="31"/>
        <v>#DIV/0!</v>
      </c>
      <c r="J656" s="2"/>
      <c r="K656" s="2" t="e">
        <f t="shared" si="32"/>
        <v>#NUM!</v>
      </c>
    </row>
    <row r="657" spans="1:11" ht="13.9" x14ac:dyDescent="0.3">
      <c r="A657" s="2" t="s">
        <v>674</v>
      </c>
      <c r="B657" s="2">
        <v>0</v>
      </c>
      <c r="C657" s="2">
        <v>0</v>
      </c>
      <c r="D657" s="2">
        <v>0</v>
      </c>
      <c r="E657" s="2">
        <v>1.01</v>
      </c>
      <c r="F657" s="2">
        <v>0.22</v>
      </c>
      <c r="G657" s="2">
        <v>0.56999999999999995</v>
      </c>
      <c r="H657" s="2" t="e">
        <f t="shared" si="30"/>
        <v>#NUM!</v>
      </c>
      <c r="I657" s="2">
        <f t="shared" si="31"/>
        <v>5.8474052497124368E-2</v>
      </c>
      <c r="J657" s="2"/>
      <c r="K657" s="2" t="e">
        <f t="shared" si="32"/>
        <v>#NUM!</v>
      </c>
    </row>
    <row r="658" spans="1:11" ht="13.9" x14ac:dyDescent="0.3">
      <c r="A658" s="2" t="s">
        <v>675</v>
      </c>
      <c r="B658" s="2">
        <v>0</v>
      </c>
      <c r="C658" s="2">
        <v>0</v>
      </c>
      <c r="D658" s="2">
        <v>0</v>
      </c>
      <c r="E658" s="2">
        <v>0.76</v>
      </c>
      <c r="F658" s="2">
        <v>0.11</v>
      </c>
      <c r="G658" s="2">
        <v>0.23</v>
      </c>
      <c r="H658" s="2" t="e">
        <f t="shared" si="30"/>
        <v>#NUM!</v>
      </c>
      <c r="I658" s="2">
        <f t="shared" si="31"/>
        <v>0.14022476377267643</v>
      </c>
      <c r="J658" s="2"/>
      <c r="K658" s="2" t="e">
        <f t="shared" si="32"/>
        <v>#NUM!</v>
      </c>
    </row>
    <row r="659" spans="1:11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30"/>
        <v>#DIV/0!</v>
      </c>
      <c r="I659" s="2" t="e">
        <f t="shared" si="31"/>
        <v>#DIV/0!</v>
      </c>
      <c r="J659" s="2"/>
      <c r="K659" s="2" t="e">
        <f t="shared" si="32"/>
        <v>#NUM!</v>
      </c>
    </row>
    <row r="660" spans="1:11" ht="13.9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0.34</v>
      </c>
      <c r="H660" s="2" t="e">
        <f t="shared" si="30"/>
        <v>#NUM!</v>
      </c>
      <c r="I660" s="2">
        <f t="shared" si="31"/>
        <v>0.37390096630005903</v>
      </c>
      <c r="J660" s="2"/>
      <c r="K660" s="2" t="e">
        <f t="shared" si="32"/>
        <v>#NUM!</v>
      </c>
    </row>
    <row r="661" spans="1:11" ht="13.9" x14ac:dyDescent="0.3">
      <c r="A661" s="2" t="s">
        <v>678</v>
      </c>
      <c r="B661" s="2">
        <v>0</v>
      </c>
      <c r="C661" s="2">
        <v>0</v>
      </c>
      <c r="D661" s="2">
        <v>0</v>
      </c>
      <c r="E661" s="2">
        <v>1.38</v>
      </c>
      <c r="F661" s="2">
        <v>0.78</v>
      </c>
      <c r="G661" s="2">
        <v>1.36</v>
      </c>
      <c r="H661" s="2" t="e">
        <f t="shared" si="30"/>
        <v>#NUM!</v>
      </c>
      <c r="I661" s="2">
        <f t="shared" si="31"/>
        <v>3.9702229204604906E-3</v>
      </c>
      <c r="J661" s="2"/>
      <c r="K661" s="2" t="e">
        <f t="shared" si="32"/>
        <v>#NUM!</v>
      </c>
    </row>
    <row r="662" spans="1:11" ht="13.9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30"/>
        <v>#DIV/0!</v>
      </c>
      <c r="I662" s="2" t="e">
        <f t="shared" si="31"/>
        <v>#DIV/0!</v>
      </c>
      <c r="J662" s="2"/>
      <c r="K662" s="2" t="e">
        <f t="shared" si="32"/>
        <v>#NUM!</v>
      </c>
    </row>
    <row r="663" spans="1:11" ht="13.9" x14ac:dyDescent="0.3">
      <c r="A663" s="2" t="s">
        <v>680</v>
      </c>
      <c r="B663" s="2">
        <v>0</v>
      </c>
      <c r="C663" s="2">
        <v>0</v>
      </c>
      <c r="D663" s="2">
        <v>0</v>
      </c>
      <c r="E663" s="2">
        <v>1.01</v>
      </c>
      <c r="F663" s="2">
        <v>0.22</v>
      </c>
      <c r="G663" s="2">
        <v>0.56999999999999995</v>
      </c>
      <c r="H663" s="2" t="e">
        <f t="shared" si="30"/>
        <v>#NUM!</v>
      </c>
      <c r="I663" s="2">
        <f t="shared" si="31"/>
        <v>5.8474052497124368E-2</v>
      </c>
      <c r="J663" s="2"/>
      <c r="K663" s="2" t="e">
        <f t="shared" si="32"/>
        <v>#NUM!</v>
      </c>
    </row>
    <row r="664" spans="1:11" ht="13.9" x14ac:dyDescent="0.3">
      <c r="A664" s="2" t="s">
        <v>681</v>
      </c>
      <c r="B664" s="2">
        <v>0</v>
      </c>
      <c r="C664" s="2">
        <v>0</v>
      </c>
      <c r="D664" s="2">
        <v>0</v>
      </c>
      <c r="E664" s="2">
        <v>0.25</v>
      </c>
      <c r="F664" s="2">
        <v>0.67</v>
      </c>
      <c r="G664" s="2">
        <v>1.59</v>
      </c>
      <c r="H664" s="2" t="e">
        <f t="shared" si="30"/>
        <v>#NUM!</v>
      </c>
      <c r="I664" s="2">
        <f t="shared" si="31"/>
        <v>0.10198326116235049</v>
      </c>
      <c r="J664" s="2"/>
      <c r="K664" s="2" t="e">
        <f t="shared" si="32"/>
        <v>#NUM!</v>
      </c>
    </row>
    <row r="665" spans="1:11" ht="13.9" x14ac:dyDescent="0.3">
      <c r="A665" s="2" t="s">
        <v>682</v>
      </c>
      <c r="B665" s="2">
        <v>4.46</v>
      </c>
      <c r="C665" s="2">
        <v>8.1</v>
      </c>
      <c r="D665" s="2">
        <v>4.41</v>
      </c>
      <c r="E665" s="2">
        <v>31.72</v>
      </c>
      <c r="F665" s="2">
        <v>18.63</v>
      </c>
      <c r="G665" s="2">
        <v>26.21</v>
      </c>
      <c r="H665" s="2">
        <f t="shared" si="30"/>
        <v>-2.1736042649433625</v>
      </c>
      <c r="I665" s="2">
        <f t="shared" si="31"/>
        <v>7.5818285404704736E-3</v>
      </c>
      <c r="J665" s="2"/>
      <c r="K665" s="2">
        <f t="shared" si="32"/>
        <v>4.0849146597679384</v>
      </c>
    </row>
    <row r="666" spans="1:11" ht="13.9" x14ac:dyDescent="0.3">
      <c r="A666" s="2" t="s">
        <v>683</v>
      </c>
      <c r="B666" s="2">
        <v>0</v>
      </c>
      <c r="C666" s="2">
        <v>0</v>
      </c>
      <c r="D666" s="2">
        <v>0</v>
      </c>
      <c r="E666" s="2">
        <v>1.01</v>
      </c>
      <c r="F666" s="2">
        <v>0.22</v>
      </c>
      <c r="G666" s="2">
        <v>0.11</v>
      </c>
      <c r="H666" s="2" t="e">
        <f t="shared" si="30"/>
        <v>#NUM!</v>
      </c>
      <c r="I666" s="2">
        <f t="shared" si="31"/>
        <v>0.19019337479910545</v>
      </c>
      <c r="J666" s="2"/>
      <c r="K666" s="2" t="e">
        <f t="shared" si="32"/>
        <v>#NUM!</v>
      </c>
    </row>
    <row r="667" spans="1:11" ht="13.9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0.22</v>
      </c>
      <c r="G667" s="2">
        <v>0</v>
      </c>
      <c r="H667" s="2" t="e">
        <f t="shared" si="30"/>
        <v>#NUM!</v>
      </c>
      <c r="I667" s="2">
        <f t="shared" si="31"/>
        <v>0.37390096630005903</v>
      </c>
      <c r="J667" s="2"/>
      <c r="K667" s="2" t="e">
        <f t="shared" si="32"/>
        <v>#NUM!</v>
      </c>
    </row>
    <row r="668" spans="1:11" ht="13.9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0.88</v>
      </c>
      <c r="F668" s="2">
        <v>1.77</v>
      </c>
      <c r="G668" s="2">
        <v>0</v>
      </c>
      <c r="H668" s="2" t="e">
        <f t="shared" si="30"/>
        <v>#NUM!</v>
      </c>
      <c r="I668" s="2">
        <f t="shared" si="31"/>
        <v>0.15890920722581581</v>
      </c>
      <c r="J668" s="2"/>
      <c r="K668" s="2" t="e">
        <f t="shared" si="32"/>
        <v>#NUM!</v>
      </c>
    </row>
    <row r="669" spans="1:11" ht="13.9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1.89</v>
      </c>
      <c r="F669" s="2">
        <v>0</v>
      </c>
      <c r="G669" s="2">
        <v>1.02</v>
      </c>
      <c r="H669" s="2" t="e">
        <f t="shared" si="30"/>
        <v>#NUM!</v>
      </c>
      <c r="I669" s="2">
        <f t="shared" si="31"/>
        <v>0.15038225218985554</v>
      </c>
      <c r="J669" s="2"/>
      <c r="K669" s="2" t="e">
        <f t="shared" si="32"/>
        <v>#NUM!</v>
      </c>
    </row>
    <row r="670" spans="1:11" ht="13.9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 t="e">
        <f t="shared" si="30"/>
        <v>#DIV/0!</v>
      </c>
      <c r="I670" s="2" t="e">
        <f t="shared" si="31"/>
        <v>#DIV/0!</v>
      </c>
      <c r="J670" s="2"/>
      <c r="K670" s="2" t="e">
        <f t="shared" si="32"/>
        <v>#NUM!</v>
      </c>
    </row>
    <row r="671" spans="1:11" ht="13.9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0.11</v>
      </c>
      <c r="G671" s="2">
        <v>0.11</v>
      </c>
      <c r="H671" s="2" t="e">
        <f t="shared" si="30"/>
        <v>#NUM!</v>
      </c>
      <c r="I671" s="2">
        <f t="shared" si="31"/>
        <v>0.11611652351681555</v>
      </c>
      <c r="J671" s="2"/>
      <c r="K671" s="2" t="e">
        <f t="shared" si="32"/>
        <v>#NUM!</v>
      </c>
    </row>
    <row r="672" spans="1:11" ht="13.9" x14ac:dyDescent="0.3">
      <c r="A672" s="2" t="s">
        <v>689</v>
      </c>
      <c r="B672" s="2">
        <v>4.46</v>
      </c>
      <c r="C672" s="2">
        <v>10.41</v>
      </c>
      <c r="D672" s="2">
        <v>1.04</v>
      </c>
      <c r="E672" s="2">
        <v>6.29</v>
      </c>
      <c r="F672" s="2">
        <v>5.32</v>
      </c>
      <c r="G672" s="2">
        <v>4.99</v>
      </c>
      <c r="H672" s="2">
        <f t="shared" si="30"/>
        <v>-6.1249405903239559E-2</v>
      </c>
      <c r="I672" s="2">
        <f t="shared" si="31"/>
        <v>0.93770765283684376</v>
      </c>
      <c r="J672" s="2"/>
      <c r="K672" s="2">
        <f t="shared" si="32"/>
        <v>3.9918619305563228</v>
      </c>
    </row>
    <row r="673" spans="1:11" ht="13.9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30"/>
        <v>#DIV/0!</v>
      </c>
      <c r="I673" s="2" t="e">
        <f t="shared" si="31"/>
        <v>#DIV/0!</v>
      </c>
      <c r="J673" s="2"/>
      <c r="K673" s="2" t="e">
        <f t="shared" si="32"/>
        <v>#NUM!</v>
      </c>
    </row>
    <row r="674" spans="1:11" ht="13.9" x14ac:dyDescent="0.3">
      <c r="A674" s="2" t="s">
        <v>691</v>
      </c>
      <c r="B674" s="2">
        <v>5.1100000000000003</v>
      </c>
      <c r="C674" s="2">
        <v>10.41</v>
      </c>
      <c r="D674" s="2">
        <v>0</v>
      </c>
      <c r="E674" s="2">
        <v>3.9</v>
      </c>
      <c r="F674" s="2">
        <v>3.22</v>
      </c>
      <c r="G674" s="2">
        <v>4.08</v>
      </c>
      <c r="H674" s="2">
        <f t="shared" si="30"/>
        <v>0.47062982524216118</v>
      </c>
      <c r="I674" s="2">
        <f t="shared" si="31"/>
        <v>0.65802567873628204</v>
      </c>
      <c r="J674" s="2"/>
      <c r="K674" s="2">
        <f t="shared" si="32"/>
        <v>3.956056652412403</v>
      </c>
    </row>
    <row r="675" spans="1:11" ht="13.9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 t="e">
        <f t="shared" si="30"/>
        <v>#DIV/0!</v>
      </c>
      <c r="I675" s="2" t="e">
        <f t="shared" si="31"/>
        <v>#DIV/0!</v>
      </c>
      <c r="J675" s="2"/>
      <c r="K675" s="2" t="e">
        <f t="shared" si="32"/>
        <v>#NUM!</v>
      </c>
    </row>
    <row r="676" spans="1:11" ht="13.9" x14ac:dyDescent="0.3">
      <c r="A676" s="2" t="s">
        <v>693</v>
      </c>
      <c r="B676" s="2">
        <v>0</v>
      </c>
      <c r="C676" s="2">
        <v>0</v>
      </c>
      <c r="D676" s="2">
        <v>0</v>
      </c>
      <c r="E676" s="2">
        <v>2.77</v>
      </c>
      <c r="F676" s="2">
        <v>1.22</v>
      </c>
      <c r="G676" s="2">
        <v>0.79</v>
      </c>
      <c r="H676" s="2" t="e">
        <f t="shared" si="30"/>
        <v>#NUM!</v>
      </c>
      <c r="I676" s="2">
        <f t="shared" si="31"/>
        <v>5.6989080753757838E-2</v>
      </c>
      <c r="J676" s="2"/>
      <c r="K676" s="2" t="e">
        <f t="shared" si="32"/>
        <v>#NUM!</v>
      </c>
    </row>
    <row r="677" spans="1:11" ht="13.9" x14ac:dyDescent="0.3">
      <c r="A677" s="2" t="s">
        <v>694</v>
      </c>
      <c r="B677" s="2">
        <v>0</v>
      </c>
      <c r="C677" s="2">
        <v>0</v>
      </c>
      <c r="D677" s="2">
        <v>0</v>
      </c>
      <c r="E677" s="2">
        <v>1.76</v>
      </c>
      <c r="F677" s="2">
        <v>0.44</v>
      </c>
      <c r="G677" s="2">
        <v>0</v>
      </c>
      <c r="H677" s="2" t="e">
        <f t="shared" si="30"/>
        <v>#NUM!</v>
      </c>
      <c r="I677" s="2">
        <f t="shared" si="31"/>
        <v>0.23779614445826563</v>
      </c>
      <c r="J677" s="2"/>
      <c r="K677" s="2" t="e">
        <f t="shared" si="32"/>
        <v>#NUM!</v>
      </c>
    </row>
    <row r="678" spans="1:11" ht="13.9" x14ac:dyDescent="0.3">
      <c r="A678" s="2" t="s">
        <v>695</v>
      </c>
      <c r="B678" s="2">
        <v>0</v>
      </c>
      <c r="C678" s="2">
        <v>0</v>
      </c>
      <c r="D678" s="2">
        <v>0</v>
      </c>
      <c r="E678" s="2">
        <v>2.0099999999999998</v>
      </c>
      <c r="F678" s="2">
        <v>0.89</v>
      </c>
      <c r="G678" s="2">
        <v>2.61</v>
      </c>
      <c r="H678" s="2" t="e">
        <f t="shared" si="30"/>
        <v>#NUM!</v>
      </c>
      <c r="I678" s="2">
        <f t="shared" si="31"/>
        <v>2.1887602369510026E-2</v>
      </c>
      <c r="J678" s="2"/>
      <c r="K678" s="2" t="e">
        <f t="shared" si="32"/>
        <v>#NUM!</v>
      </c>
    </row>
    <row r="679" spans="1:11" ht="13.9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0.34</v>
      </c>
      <c r="H679" s="2" t="e">
        <f t="shared" si="30"/>
        <v>#NUM!</v>
      </c>
      <c r="I679" s="2">
        <f t="shared" si="31"/>
        <v>0.37390096630005903</v>
      </c>
      <c r="J679" s="2"/>
      <c r="K679" s="2" t="e">
        <f t="shared" si="32"/>
        <v>#NUM!</v>
      </c>
    </row>
    <row r="680" spans="1:11" ht="13.9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0.63</v>
      </c>
      <c r="F680" s="2">
        <v>0</v>
      </c>
      <c r="G680" s="2">
        <v>0</v>
      </c>
      <c r="H680" s="2" t="e">
        <f t="shared" si="30"/>
        <v>#NUM!</v>
      </c>
      <c r="I680" s="2">
        <f t="shared" si="31"/>
        <v>0.37390096630005903</v>
      </c>
      <c r="J680" s="2"/>
      <c r="K680" s="2" t="e">
        <f t="shared" si="32"/>
        <v>#NUM!</v>
      </c>
    </row>
    <row r="681" spans="1:11" ht="13.9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0.22</v>
      </c>
      <c r="G681" s="2">
        <v>0</v>
      </c>
      <c r="H681" s="2" t="e">
        <f t="shared" si="30"/>
        <v>#NUM!</v>
      </c>
      <c r="I681" s="2">
        <f t="shared" si="31"/>
        <v>0.37390096630005903</v>
      </c>
      <c r="J681" s="2"/>
      <c r="K681" s="2" t="e">
        <f t="shared" si="32"/>
        <v>#NUM!</v>
      </c>
    </row>
    <row r="682" spans="1:11" ht="13.9" x14ac:dyDescent="0.3">
      <c r="A682" s="2" t="s">
        <v>699</v>
      </c>
      <c r="B682" s="2">
        <v>0</v>
      </c>
      <c r="C682" s="2">
        <v>0</v>
      </c>
      <c r="D682" s="2">
        <v>0</v>
      </c>
      <c r="E682" s="2">
        <v>1.1299999999999999</v>
      </c>
      <c r="F682" s="2">
        <v>0</v>
      </c>
      <c r="G682" s="2">
        <v>1.25</v>
      </c>
      <c r="H682" s="2" t="e">
        <f t="shared" si="30"/>
        <v>#NUM!</v>
      </c>
      <c r="I682" s="2">
        <f t="shared" si="31"/>
        <v>0.11712670774331806</v>
      </c>
      <c r="J682" s="2"/>
      <c r="K682" s="2" t="e">
        <f t="shared" si="32"/>
        <v>#NUM!</v>
      </c>
    </row>
    <row r="683" spans="1:11" ht="13.9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30"/>
        <v>#DIV/0!</v>
      </c>
      <c r="I683" s="2" t="e">
        <f t="shared" si="31"/>
        <v>#DIV/0!</v>
      </c>
      <c r="J683" s="2"/>
      <c r="K683" s="2" t="e">
        <f t="shared" si="32"/>
        <v>#NUM!</v>
      </c>
    </row>
    <row r="684" spans="1:11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30"/>
        <v>#DIV/0!</v>
      </c>
      <c r="I684" s="2" t="e">
        <f t="shared" si="31"/>
        <v>#DIV/0!</v>
      </c>
      <c r="J684" s="2"/>
      <c r="K684" s="2" t="e">
        <f t="shared" si="32"/>
        <v>#NUM!</v>
      </c>
    </row>
    <row r="685" spans="1:11" ht="13.9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1.1299999999999999</v>
      </c>
      <c r="F685" s="2">
        <v>0</v>
      </c>
      <c r="G685" s="2">
        <v>0</v>
      </c>
      <c r="H685" s="2" t="e">
        <f t="shared" si="30"/>
        <v>#NUM!</v>
      </c>
      <c r="I685" s="2">
        <f t="shared" si="31"/>
        <v>0.37390096630005903</v>
      </c>
      <c r="J685" s="2"/>
      <c r="K685" s="2" t="e">
        <f t="shared" si="32"/>
        <v>#NUM!</v>
      </c>
    </row>
    <row r="686" spans="1:11" ht="13.9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0.44</v>
      </c>
      <c r="G686" s="2">
        <v>0.23</v>
      </c>
      <c r="H686" s="2" t="e">
        <f t="shared" si="30"/>
        <v>#NUM!</v>
      </c>
      <c r="I686" s="2">
        <f t="shared" si="31"/>
        <v>0.15363070430658815</v>
      </c>
      <c r="J686" s="2"/>
      <c r="K686" s="2" t="e">
        <f t="shared" si="32"/>
        <v>#NUM!</v>
      </c>
    </row>
    <row r="687" spans="1:11" ht="13.9" x14ac:dyDescent="0.3">
      <c r="A687" s="2" t="s">
        <v>704</v>
      </c>
      <c r="B687" s="2">
        <v>0</v>
      </c>
      <c r="C687" s="2">
        <v>2.02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30"/>
        <v>#DIV/0!</v>
      </c>
      <c r="I687" s="2">
        <f t="shared" si="31"/>
        <v>0.37390096630005903</v>
      </c>
      <c r="J687" s="2"/>
      <c r="K687" s="2">
        <f t="shared" si="32"/>
        <v>1.0143552929770701</v>
      </c>
    </row>
    <row r="688" spans="1:11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30"/>
        <v>#DIV/0!</v>
      </c>
      <c r="I688" s="2" t="e">
        <f t="shared" si="31"/>
        <v>#DIV/0!</v>
      </c>
      <c r="J688" s="2"/>
      <c r="K688" s="2" t="e">
        <f t="shared" si="32"/>
        <v>#NUM!</v>
      </c>
    </row>
    <row r="689" spans="1:11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30"/>
        <v>#DIV/0!</v>
      </c>
      <c r="I689" s="2" t="e">
        <f t="shared" si="31"/>
        <v>#DIV/0!</v>
      </c>
      <c r="J689" s="2"/>
      <c r="K689" s="2" t="e">
        <f t="shared" si="32"/>
        <v>#NUM!</v>
      </c>
    </row>
    <row r="690" spans="1:11" ht="13.9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0.88</v>
      </c>
      <c r="F690" s="2">
        <v>0</v>
      </c>
      <c r="G690" s="2">
        <v>0.23</v>
      </c>
      <c r="H690" s="2" t="e">
        <f t="shared" si="30"/>
        <v>#NUM!</v>
      </c>
      <c r="I690" s="2">
        <f t="shared" si="31"/>
        <v>0.23295113855790722</v>
      </c>
      <c r="J690" s="2"/>
      <c r="K690" s="2" t="e">
        <f t="shared" si="32"/>
        <v>#NUM!</v>
      </c>
    </row>
    <row r="691" spans="1:11" ht="13.9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0.13</v>
      </c>
      <c r="F691" s="2">
        <v>0</v>
      </c>
      <c r="G691" s="2">
        <v>0</v>
      </c>
      <c r="H691" s="2" t="e">
        <f t="shared" si="30"/>
        <v>#NUM!</v>
      </c>
      <c r="I691" s="2">
        <f t="shared" si="31"/>
        <v>0.37390096630005903</v>
      </c>
      <c r="J691" s="2"/>
      <c r="K691" s="2" t="e">
        <f t="shared" si="32"/>
        <v>#NUM!</v>
      </c>
    </row>
    <row r="692" spans="1:11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30"/>
        <v>#DIV/0!</v>
      </c>
      <c r="I692" s="2" t="e">
        <f t="shared" si="31"/>
        <v>#DIV/0!</v>
      </c>
      <c r="J692" s="2"/>
      <c r="K692" s="2" t="e">
        <f t="shared" si="32"/>
        <v>#NUM!</v>
      </c>
    </row>
    <row r="693" spans="1:11" ht="13.9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30"/>
        <v>#DIV/0!</v>
      </c>
      <c r="I693" s="2" t="e">
        <f t="shared" si="31"/>
        <v>#DIV/0!</v>
      </c>
      <c r="J693" s="2"/>
      <c r="K693" s="2" t="e">
        <f t="shared" si="32"/>
        <v>#NUM!</v>
      </c>
    </row>
    <row r="694" spans="1:11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30"/>
        <v>#DIV/0!</v>
      </c>
      <c r="I694" s="2" t="e">
        <f t="shared" si="31"/>
        <v>#DIV/0!</v>
      </c>
      <c r="J694" s="2"/>
      <c r="K694" s="2" t="e">
        <f t="shared" si="32"/>
        <v>#NUM!</v>
      </c>
    </row>
    <row r="695" spans="1:11" ht="13.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30"/>
        <v>#DIV/0!</v>
      </c>
      <c r="I695" s="2" t="e">
        <f t="shared" si="31"/>
        <v>#DIV/0!</v>
      </c>
      <c r="J695" s="2"/>
      <c r="K695" s="2" t="e">
        <f t="shared" si="32"/>
        <v>#NUM!</v>
      </c>
    </row>
    <row r="696" spans="1:11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30"/>
        <v>#DIV/0!</v>
      </c>
      <c r="I696" s="2" t="e">
        <f t="shared" si="31"/>
        <v>#DIV/0!</v>
      </c>
      <c r="J696" s="2"/>
      <c r="K696" s="2" t="e">
        <f t="shared" si="32"/>
        <v>#NUM!</v>
      </c>
    </row>
    <row r="697" spans="1:11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30"/>
        <v>#DIV/0!</v>
      </c>
      <c r="I697" s="2" t="e">
        <f t="shared" si="31"/>
        <v>#DIV/0!</v>
      </c>
      <c r="J697" s="2"/>
      <c r="K697" s="2" t="e">
        <f t="shared" si="32"/>
        <v>#NUM!</v>
      </c>
    </row>
    <row r="698" spans="1:11" ht="13.9" x14ac:dyDescent="0.3">
      <c r="A698" s="2" t="s">
        <v>715</v>
      </c>
      <c r="B698" s="2">
        <v>0.13</v>
      </c>
      <c r="C698" s="2">
        <v>4.34</v>
      </c>
      <c r="D698" s="2">
        <v>16.86</v>
      </c>
      <c r="E698" s="2">
        <v>10.7</v>
      </c>
      <c r="F698" s="2">
        <v>13.31</v>
      </c>
      <c r="G698" s="2">
        <v>10.32</v>
      </c>
      <c r="H698" s="2">
        <f t="shared" si="30"/>
        <v>-0.68658589161668504</v>
      </c>
      <c r="I698" s="2">
        <f t="shared" si="31"/>
        <v>0.44430580149313942</v>
      </c>
      <c r="J698" s="2"/>
      <c r="K698" s="2">
        <f t="shared" si="32"/>
        <v>4.414812060565847</v>
      </c>
    </row>
    <row r="699" spans="1:11" ht="13.9" x14ac:dyDescent="0.3">
      <c r="A699" s="2" t="s">
        <v>716</v>
      </c>
      <c r="B699" s="2">
        <v>3.02</v>
      </c>
      <c r="C699" s="2">
        <v>0</v>
      </c>
      <c r="D699" s="2">
        <v>0</v>
      </c>
      <c r="E699" s="2">
        <v>0</v>
      </c>
      <c r="F699" s="2">
        <v>0</v>
      </c>
      <c r="G699" s="2">
        <v>0.23</v>
      </c>
      <c r="H699" s="2">
        <f t="shared" si="30"/>
        <v>3.7148427832680664</v>
      </c>
      <c r="I699" s="2">
        <f t="shared" si="31"/>
        <v>0.40908981823545232</v>
      </c>
      <c r="J699" s="2"/>
      <c r="K699" s="2">
        <f t="shared" si="32"/>
        <v>1.5945485495503544</v>
      </c>
    </row>
    <row r="700" spans="1:11" ht="13.9" x14ac:dyDescent="0.3">
      <c r="A700" s="2" t="s">
        <v>717</v>
      </c>
      <c r="B700" s="2">
        <v>405.61</v>
      </c>
      <c r="C700" s="2">
        <v>192.02</v>
      </c>
      <c r="D700" s="2">
        <v>351.39</v>
      </c>
      <c r="E700" s="2">
        <v>51.11</v>
      </c>
      <c r="F700" s="2">
        <v>23.06</v>
      </c>
      <c r="G700" s="2">
        <v>55.7</v>
      </c>
      <c r="H700" s="2">
        <f t="shared" si="30"/>
        <v>2.8693702850738902</v>
      </c>
      <c r="I700" s="2">
        <f t="shared" si="31"/>
        <v>1.362126924401098E-2</v>
      </c>
      <c r="J700" s="2"/>
      <c r="K700" s="2">
        <f t="shared" si="32"/>
        <v>9.8902946812326764</v>
      </c>
    </row>
    <row r="701" spans="1:11" ht="13.9" x14ac:dyDescent="0.3">
      <c r="A701" s="2" t="s">
        <v>718</v>
      </c>
      <c r="B701" s="2">
        <v>4.46</v>
      </c>
      <c r="C701" s="2">
        <v>6.94</v>
      </c>
      <c r="D701" s="2">
        <v>10.63</v>
      </c>
      <c r="E701" s="2">
        <v>8.94</v>
      </c>
      <c r="F701" s="2">
        <v>15.75</v>
      </c>
      <c r="G701" s="2">
        <v>18.38</v>
      </c>
      <c r="H701" s="2">
        <f t="shared" si="30"/>
        <v>-0.96721382854097526</v>
      </c>
      <c r="I701" s="2">
        <f t="shared" si="31"/>
        <v>0.10333459998272577</v>
      </c>
      <c r="J701" s="2"/>
      <c r="K701" s="2">
        <f t="shared" si="32"/>
        <v>4.4613975899261593</v>
      </c>
    </row>
    <row r="702" spans="1:11" ht="13.9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0.5</v>
      </c>
      <c r="F702" s="2">
        <v>0</v>
      </c>
      <c r="G702" s="2">
        <v>0</v>
      </c>
      <c r="H702" s="2" t="e">
        <f t="shared" si="30"/>
        <v>#NUM!</v>
      </c>
      <c r="I702" s="2">
        <f t="shared" si="31"/>
        <v>0.37390096630005903</v>
      </c>
      <c r="J702" s="2"/>
      <c r="K702" s="2" t="e">
        <f t="shared" si="32"/>
        <v>#NUM!</v>
      </c>
    </row>
    <row r="703" spans="1:11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 t="e">
        <f t="shared" si="30"/>
        <v>#DIV/0!</v>
      </c>
      <c r="I703" s="2" t="e">
        <f t="shared" si="31"/>
        <v>#DIV/0!</v>
      </c>
      <c r="J703" s="2"/>
      <c r="K703" s="2" t="e">
        <f t="shared" si="32"/>
        <v>#NUM!</v>
      </c>
    </row>
    <row r="704" spans="1:11" ht="13.9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2.39</v>
      </c>
      <c r="F704" s="2">
        <v>2.77</v>
      </c>
      <c r="G704" s="2">
        <v>2.95</v>
      </c>
      <c r="H704" s="2" t="e">
        <f t="shared" si="30"/>
        <v>#NUM!</v>
      </c>
      <c r="I704" s="2">
        <f t="shared" si="31"/>
        <v>8.1356341394483455E-5</v>
      </c>
      <c r="J704" s="2"/>
      <c r="K704" s="2" t="e">
        <f t="shared" si="32"/>
        <v>#NUM!</v>
      </c>
    </row>
    <row r="705" spans="1:11" ht="13.9" x14ac:dyDescent="0.3">
      <c r="A705" s="2" t="s">
        <v>722</v>
      </c>
      <c r="B705" s="2">
        <v>304.54000000000002</v>
      </c>
      <c r="C705" s="2">
        <v>721.8</v>
      </c>
      <c r="D705" s="2">
        <v>391.06</v>
      </c>
      <c r="E705" s="2">
        <v>916.39</v>
      </c>
      <c r="F705" s="2">
        <v>932.41</v>
      </c>
      <c r="G705" s="2">
        <v>1088.76</v>
      </c>
      <c r="H705" s="2">
        <f t="shared" si="30"/>
        <v>-1.0513713650409209</v>
      </c>
      <c r="I705" s="2">
        <f t="shared" si="31"/>
        <v>2.1617859208402975E-2</v>
      </c>
      <c r="J705" s="2"/>
      <c r="K705" s="2">
        <f t="shared" si="32"/>
        <v>10.469031238811461</v>
      </c>
    </row>
    <row r="706" spans="1:11" ht="13.9" x14ac:dyDescent="0.3">
      <c r="A706" s="2" t="s">
        <v>723</v>
      </c>
      <c r="B706" s="2">
        <v>0</v>
      </c>
      <c r="C706" s="2">
        <v>0</v>
      </c>
      <c r="D706" s="2">
        <v>14.78</v>
      </c>
      <c r="E706" s="2">
        <v>1.26</v>
      </c>
      <c r="F706" s="2">
        <v>1.22</v>
      </c>
      <c r="G706" s="2">
        <v>0.56999999999999995</v>
      </c>
      <c r="H706" s="2">
        <f t="shared" ref="H706:H769" si="33">LOG(SUM(B706:D706)/SUM(E706:G706),2)</f>
        <v>2.2767651216959024</v>
      </c>
      <c r="I706" s="2">
        <f t="shared" ref="I706:I769" si="34">_xlfn.T.TEST(B706:D706,E706:G706,2,2)</f>
        <v>0.47225241240358101</v>
      </c>
      <c r="J706" s="2"/>
      <c r="K706" s="2">
        <f t="shared" si="32"/>
        <v>3.885574364371426</v>
      </c>
    </row>
    <row r="707" spans="1:11" ht="13.9" x14ac:dyDescent="0.3">
      <c r="A707" s="2" t="s">
        <v>724</v>
      </c>
      <c r="B707" s="2">
        <v>187.73</v>
      </c>
      <c r="C707" s="2">
        <v>314.33999999999997</v>
      </c>
      <c r="D707" s="2">
        <v>88.17</v>
      </c>
      <c r="E707" s="2">
        <v>407.59</v>
      </c>
      <c r="F707" s="2">
        <v>314.13</v>
      </c>
      <c r="G707" s="2">
        <v>251.4</v>
      </c>
      <c r="H707" s="2">
        <f t="shared" si="33"/>
        <v>-0.72131602733597933</v>
      </c>
      <c r="I707" s="2">
        <f t="shared" si="34"/>
        <v>0.18428790601942108</v>
      </c>
      <c r="J707" s="2"/>
      <c r="K707" s="2">
        <f t="shared" ref="K707:K770" si="35">LOG(SUM(B707:D707),2)</f>
        <v>9.2051578839200943</v>
      </c>
    </row>
    <row r="708" spans="1:11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33"/>
        <v>#DIV/0!</v>
      </c>
      <c r="I708" s="2" t="e">
        <f t="shared" si="34"/>
        <v>#DIV/0!</v>
      </c>
      <c r="J708" s="2"/>
      <c r="K708" s="2" t="e">
        <f t="shared" si="35"/>
        <v>#NUM!</v>
      </c>
    </row>
    <row r="709" spans="1:11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33"/>
        <v>#DIV/0!</v>
      </c>
      <c r="I709" s="2" t="e">
        <f t="shared" si="34"/>
        <v>#DIV/0!</v>
      </c>
      <c r="J709" s="2"/>
      <c r="K709" s="2" t="e">
        <f t="shared" si="35"/>
        <v>#NUM!</v>
      </c>
    </row>
    <row r="710" spans="1:11" ht="13.9" x14ac:dyDescent="0.3">
      <c r="A710" s="2" t="s">
        <v>727</v>
      </c>
      <c r="B710" s="2">
        <v>16.649999999999999</v>
      </c>
      <c r="C710" s="2">
        <v>0.28999999999999998</v>
      </c>
      <c r="D710" s="2">
        <v>0.26</v>
      </c>
      <c r="E710" s="2">
        <v>64.83</v>
      </c>
      <c r="F710" s="2">
        <v>36.04</v>
      </c>
      <c r="G710" s="2">
        <v>37.1</v>
      </c>
      <c r="H710" s="2">
        <f t="shared" si="33"/>
        <v>-3.0038741335116299</v>
      </c>
      <c r="I710" s="2">
        <f t="shared" si="34"/>
        <v>2.0905331532228042E-2</v>
      </c>
      <c r="J710" s="2"/>
      <c r="K710" s="2">
        <f t="shared" si="35"/>
        <v>4.1043366598147353</v>
      </c>
    </row>
    <row r="711" spans="1:11" ht="13.9" x14ac:dyDescent="0.3">
      <c r="A711" s="2" t="s">
        <v>728</v>
      </c>
      <c r="B711" s="2">
        <v>9.31</v>
      </c>
      <c r="C711" s="2">
        <v>0</v>
      </c>
      <c r="D711" s="2">
        <v>0</v>
      </c>
      <c r="E711" s="2">
        <v>1.26</v>
      </c>
      <c r="F711" s="2">
        <v>1</v>
      </c>
      <c r="G711" s="2">
        <v>2.84</v>
      </c>
      <c r="H711" s="2">
        <f t="shared" si="33"/>
        <v>0.86828392069993598</v>
      </c>
      <c r="I711" s="2">
        <f t="shared" si="34"/>
        <v>0.67958110957240458</v>
      </c>
      <c r="J711" s="2"/>
      <c r="K711" s="2">
        <f t="shared" si="35"/>
        <v>3.2187811677840692</v>
      </c>
    </row>
    <row r="712" spans="1:11" ht="13.9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0.13</v>
      </c>
      <c r="F712" s="2">
        <v>0</v>
      </c>
      <c r="G712" s="2">
        <v>0</v>
      </c>
      <c r="H712" s="2" t="e">
        <f t="shared" si="33"/>
        <v>#NUM!</v>
      </c>
      <c r="I712" s="2">
        <f t="shared" si="34"/>
        <v>0.37390096630005903</v>
      </c>
      <c r="J712" s="2"/>
      <c r="K712" s="2" t="e">
        <f t="shared" si="35"/>
        <v>#NUM!</v>
      </c>
    </row>
    <row r="713" spans="1:11" ht="13.9" x14ac:dyDescent="0.3">
      <c r="A713" s="2" t="s">
        <v>730</v>
      </c>
      <c r="B713" s="2">
        <v>0</v>
      </c>
      <c r="C713" s="2">
        <v>0</v>
      </c>
      <c r="D713" s="2">
        <v>0</v>
      </c>
      <c r="E713" s="2">
        <v>1.89</v>
      </c>
      <c r="F713" s="2">
        <v>4.7699999999999996</v>
      </c>
      <c r="G713" s="2">
        <v>1.47</v>
      </c>
      <c r="H713" s="2" t="e">
        <f t="shared" si="33"/>
        <v>#NUM!</v>
      </c>
      <c r="I713" s="2">
        <f t="shared" si="34"/>
        <v>5.923133771277924E-2</v>
      </c>
      <c r="J713" s="2"/>
      <c r="K713" s="2" t="e">
        <f t="shared" si="35"/>
        <v>#NUM!</v>
      </c>
    </row>
    <row r="714" spans="1:11" ht="13.9" x14ac:dyDescent="0.3">
      <c r="A714" s="2" t="s">
        <v>731</v>
      </c>
      <c r="B714" s="2">
        <v>0</v>
      </c>
      <c r="C714" s="2">
        <v>0</v>
      </c>
      <c r="D714" s="2">
        <v>0</v>
      </c>
      <c r="E714" s="2">
        <v>0.13</v>
      </c>
      <c r="F714" s="2">
        <v>0</v>
      </c>
      <c r="G714" s="2">
        <v>0.11</v>
      </c>
      <c r="H714" s="2" t="e">
        <f t="shared" si="33"/>
        <v>#NUM!</v>
      </c>
      <c r="I714" s="2">
        <f t="shared" si="34"/>
        <v>0.11887140555991681</v>
      </c>
      <c r="J714" s="2"/>
      <c r="K714" s="2" t="e">
        <f t="shared" si="35"/>
        <v>#NUM!</v>
      </c>
    </row>
    <row r="715" spans="1:11" ht="13.9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0.56999999999999995</v>
      </c>
      <c r="H715" s="2" t="e">
        <f t="shared" si="33"/>
        <v>#NUM!</v>
      </c>
      <c r="I715" s="2">
        <f t="shared" si="34"/>
        <v>0.37390096630005903</v>
      </c>
      <c r="J715" s="2"/>
      <c r="K715" s="2" t="e">
        <f t="shared" si="35"/>
        <v>#NUM!</v>
      </c>
    </row>
    <row r="716" spans="1:11" ht="13.9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0.11</v>
      </c>
      <c r="H716" s="2" t="e">
        <f t="shared" si="33"/>
        <v>#NUM!</v>
      </c>
      <c r="I716" s="2">
        <f t="shared" si="34"/>
        <v>0.37390096630005903</v>
      </c>
      <c r="J716" s="2"/>
      <c r="K716" s="2" t="e">
        <f t="shared" si="35"/>
        <v>#NUM!</v>
      </c>
    </row>
    <row r="717" spans="1:11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 t="e">
        <f t="shared" si="33"/>
        <v>#DIV/0!</v>
      </c>
      <c r="I717" s="2" t="e">
        <f t="shared" si="34"/>
        <v>#DIV/0!</v>
      </c>
      <c r="J717" s="2"/>
      <c r="K717" s="2" t="e">
        <f t="shared" si="35"/>
        <v>#NUM!</v>
      </c>
    </row>
    <row r="718" spans="1:11" ht="13.9" x14ac:dyDescent="0.3">
      <c r="A718" s="2" t="s">
        <v>735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33"/>
        <v>#DIV/0!</v>
      </c>
      <c r="I718" s="2" t="e">
        <f t="shared" si="34"/>
        <v>#DIV/0!</v>
      </c>
      <c r="J718" s="2"/>
      <c r="K718" s="2" t="e">
        <f t="shared" si="35"/>
        <v>#NUM!</v>
      </c>
    </row>
    <row r="719" spans="1:11" ht="13.9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0.13</v>
      </c>
      <c r="F719" s="2">
        <v>0</v>
      </c>
      <c r="G719" s="2">
        <v>0</v>
      </c>
      <c r="H719" s="2" t="e">
        <f t="shared" si="33"/>
        <v>#NUM!</v>
      </c>
      <c r="I719" s="2">
        <f t="shared" si="34"/>
        <v>0.37390096630005903</v>
      </c>
      <c r="J719" s="2"/>
      <c r="K719" s="2" t="e">
        <f t="shared" si="35"/>
        <v>#NUM!</v>
      </c>
    </row>
    <row r="720" spans="1:11" ht="13.9" x14ac:dyDescent="0.3">
      <c r="A720" s="2" t="s">
        <v>737</v>
      </c>
      <c r="B720" s="2">
        <v>0.39</v>
      </c>
      <c r="C720" s="2">
        <v>0</v>
      </c>
      <c r="D720" s="2">
        <v>0.26</v>
      </c>
      <c r="E720" s="2">
        <v>0.25</v>
      </c>
      <c r="F720" s="2">
        <v>0.33</v>
      </c>
      <c r="G720" s="2">
        <v>0.11</v>
      </c>
      <c r="H720" s="2">
        <f t="shared" si="33"/>
        <v>-8.6156643749714601E-2</v>
      </c>
      <c r="I720" s="2">
        <f t="shared" si="34"/>
        <v>0.92408517272451451</v>
      </c>
      <c r="J720" s="2"/>
      <c r="K720" s="2">
        <f t="shared" si="35"/>
        <v>-0.62148837674627011</v>
      </c>
    </row>
    <row r="721" spans="1:11" ht="13.9" x14ac:dyDescent="0.3">
      <c r="A721" s="2" t="s">
        <v>738</v>
      </c>
      <c r="B721" s="2">
        <v>0.13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33"/>
        <v>#DIV/0!</v>
      </c>
      <c r="I721" s="2">
        <f t="shared" si="34"/>
        <v>0.37390096630005903</v>
      </c>
      <c r="J721" s="2"/>
      <c r="K721" s="2">
        <f t="shared" si="35"/>
        <v>-2.9434164716336326</v>
      </c>
    </row>
    <row r="722" spans="1:11" ht="13.9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0.13</v>
      </c>
      <c r="F722" s="2">
        <v>0</v>
      </c>
      <c r="G722" s="2">
        <v>0.68</v>
      </c>
      <c r="H722" s="2" t="e">
        <f t="shared" si="33"/>
        <v>#NUM!</v>
      </c>
      <c r="I722" s="2">
        <f t="shared" si="34"/>
        <v>0.26483987402829778</v>
      </c>
      <c r="J722" s="2"/>
      <c r="K722" s="2" t="e">
        <f t="shared" si="35"/>
        <v>#NUM!</v>
      </c>
    </row>
    <row r="723" spans="1:11" ht="13.9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0.5</v>
      </c>
      <c r="F723" s="2">
        <v>0.67</v>
      </c>
      <c r="G723" s="2">
        <v>0</v>
      </c>
      <c r="H723" s="2" t="e">
        <f t="shared" si="33"/>
        <v>#NUM!</v>
      </c>
      <c r="I723" s="2">
        <f t="shared" si="34"/>
        <v>0.12444561188824621</v>
      </c>
      <c r="J723" s="2"/>
      <c r="K723" s="2" t="e">
        <f t="shared" si="35"/>
        <v>#NUM!</v>
      </c>
    </row>
    <row r="724" spans="1:11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33"/>
        <v>#DIV/0!</v>
      </c>
      <c r="I724" s="2" t="e">
        <f t="shared" si="34"/>
        <v>#DIV/0!</v>
      </c>
      <c r="J724" s="2"/>
      <c r="K724" s="2" t="e">
        <f t="shared" si="35"/>
        <v>#NUM!</v>
      </c>
    </row>
    <row r="725" spans="1:11" ht="13.9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0.23</v>
      </c>
      <c r="H725" s="2" t="e">
        <f t="shared" si="33"/>
        <v>#NUM!</v>
      </c>
      <c r="I725" s="2">
        <f t="shared" si="34"/>
        <v>0.37390096630005903</v>
      </c>
      <c r="J725" s="2"/>
      <c r="K725" s="2" t="e">
        <f t="shared" si="35"/>
        <v>#NUM!</v>
      </c>
    </row>
    <row r="726" spans="1:11" ht="13.9" x14ac:dyDescent="0.3">
      <c r="A726" s="2" t="s">
        <v>743</v>
      </c>
      <c r="B726" s="2">
        <v>0</v>
      </c>
      <c r="C726" s="2">
        <v>11.86</v>
      </c>
      <c r="D726" s="2">
        <v>0</v>
      </c>
      <c r="E726" s="2">
        <v>4.78</v>
      </c>
      <c r="F726" s="2">
        <v>7.98</v>
      </c>
      <c r="G726" s="2">
        <v>7.37</v>
      </c>
      <c r="H726" s="2">
        <f t="shared" si="33"/>
        <v>-0.76324316237533629</v>
      </c>
      <c r="I726" s="2">
        <f t="shared" si="34"/>
        <v>0.53566380905534661</v>
      </c>
      <c r="J726" s="2"/>
      <c r="K726" s="2">
        <f t="shared" si="35"/>
        <v>3.5680321047712789</v>
      </c>
    </row>
    <row r="727" spans="1:11" ht="13.9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1.51</v>
      </c>
      <c r="F727" s="2">
        <v>0</v>
      </c>
      <c r="G727" s="2">
        <v>0</v>
      </c>
      <c r="H727" s="2" t="e">
        <f t="shared" si="33"/>
        <v>#NUM!</v>
      </c>
      <c r="I727" s="2">
        <f t="shared" si="34"/>
        <v>0.37390096630005903</v>
      </c>
      <c r="J727" s="2"/>
      <c r="K727" s="2" t="e">
        <f t="shared" si="35"/>
        <v>#NUM!</v>
      </c>
    </row>
    <row r="728" spans="1:11" ht="13.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33"/>
        <v>#DIV/0!</v>
      </c>
      <c r="I728" s="2" t="e">
        <f t="shared" si="34"/>
        <v>#DIV/0!</v>
      </c>
      <c r="J728" s="2"/>
      <c r="K728" s="2" t="e">
        <f t="shared" si="35"/>
        <v>#NUM!</v>
      </c>
    </row>
    <row r="729" spans="1:11" ht="13.9" x14ac:dyDescent="0.3">
      <c r="A729" s="2" t="s">
        <v>746</v>
      </c>
      <c r="B729" s="2">
        <v>0</v>
      </c>
      <c r="C729" s="2">
        <v>0</v>
      </c>
      <c r="D729" s="2">
        <v>0</v>
      </c>
      <c r="E729" s="2">
        <v>1.51</v>
      </c>
      <c r="F729" s="2">
        <v>0</v>
      </c>
      <c r="G729" s="2">
        <v>0.34</v>
      </c>
      <c r="H729" s="2" t="e">
        <f t="shared" si="33"/>
        <v>#NUM!</v>
      </c>
      <c r="I729" s="2">
        <f t="shared" si="34"/>
        <v>0.24881301806546591</v>
      </c>
      <c r="J729" s="2"/>
      <c r="K729" s="2" t="e">
        <f t="shared" si="35"/>
        <v>#NUM!</v>
      </c>
    </row>
    <row r="730" spans="1:11" ht="13.9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0.25</v>
      </c>
      <c r="F730" s="2">
        <v>1</v>
      </c>
      <c r="G730" s="2">
        <v>0.23</v>
      </c>
      <c r="H730" s="2" t="e">
        <f t="shared" si="33"/>
        <v>#NUM!</v>
      </c>
      <c r="I730" s="2">
        <f t="shared" si="34"/>
        <v>0.12340079847556613</v>
      </c>
      <c r="J730" s="2"/>
      <c r="K730" s="2" t="e">
        <f t="shared" si="35"/>
        <v>#NUM!</v>
      </c>
    </row>
    <row r="731" spans="1:11" ht="13.9" x14ac:dyDescent="0.3">
      <c r="A731" s="2" t="s">
        <v>748</v>
      </c>
      <c r="B731" s="2">
        <v>30.28</v>
      </c>
      <c r="C731" s="2">
        <v>0</v>
      </c>
      <c r="D731" s="2">
        <v>0</v>
      </c>
      <c r="E731" s="2">
        <v>14.1</v>
      </c>
      <c r="F731" s="2">
        <v>22.51</v>
      </c>
      <c r="G731" s="2">
        <v>25.75</v>
      </c>
      <c r="H731" s="2">
        <f t="shared" si="33"/>
        <v>-1.0422557227120532</v>
      </c>
      <c r="I731" s="2">
        <f t="shared" si="34"/>
        <v>0.37311233314534425</v>
      </c>
      <c r="J731" s="2"/>
      <c r="K731" s="2">
        <f t="shared" si="35"/>
        <v>4.9202933002110072</v>
      </c>
    </row>
    <row r="732" spans="1:11" ht="13.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33"/>
        <v>#DIV/0!</v>
      </c>
      <c r="I732" s="2" t="e">
        <f t="shared" si="34"/>
        <v>#DIV/0!</v>
      </c>
      <c r="J732" s="2"/>
      <c r="K732" s="2" t="e">
        <f t="shared" si="35"/>
        <v>#NUM!</v>
      </c>
    </row>
    <row r="733" spans="1:11" ht="13.9" x14ac:dyDescent="0.3">
      <c r="A733" s="2" t="s">
        <v>750</v>
      </c>
      <c r="B733" s="2">
        <v>4.9800000000000004</v>
      </c>
      <c r="C733" s="2">
        <v>0</v>
      </c>
      <c r="D733" s="2">
        <v>0</v>
      </c>
      <c r="E733" s="2">
        <v>1.1299999999999999</v>
      </c>
      <c r="F733" s="2">
        <v>0</v>
      </c>
      <c r="G733" s="2">
        <v>0</v>
      </c>
      <c r="H733" s="2">
        <f t="shared" si="33"/>
        <v>2.1398229696528936</v>
      </c>
      <c r="I733" s="2">
        <f t="shared" si="34"/>
        <v>0.49284308790885684</v>
      </c>
      <c r="J733" s="2"/>
      <c r="K733" s="2">
        <f t="shared" si="35"/>
        <v>2.3161457422933562</v>
      </c>
    </row>
    <row r="734" spans="1:11" ht="13.9" x14ac:dyDescent="0.3">
      <c r="A734" s="2" t="s">
        <v>751</v>
      </c>
      <c r="B734" s="2">
        <v>188.12</v>
      </c>
      <c r="C734" s="2">
        <v>199.53</v>
      </c>
      <c r="D734" s="2">
        <v>155.86000000000001</v>
      </c>
      <c r="E734" s="2">
        <v>386.19</v>
      </c>
      <c r="F734" s="2">
        <v>386.76</v>
      </c>
      <c r="G734" s="2">
        <v>344.88</v>
      </c>
      <c r="H734" s="2">
        <f t="shared" si="33"/>
        <v>-1.040322314619438</v>
      </c>
      <c r="I734" s="2">
        <f t="shared" si="34"/>
        <v>5.5245543781967481E-4</v>
      </c>
      <c r="J734" s="2"/>
      <c r="K734" s="2">
        <f t="shared" si="35"/>
        <v>9.0861627693100839</v>
      </c>
    </row>
    <row r="735" spans="1:11" ht="13.9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1.38</v>
      </c>
      <c r="F735" s="2">
        <v>0.89</v>
      </c>
      <c r="G735" s="2">
        <v>0.34</v>
      </c>
      <c r="H735" s="2" t="e">
        <f t="shared" si="33"/>
        <v>#NUM!</v>
      </c>
      <c r="I735" s="2">
        <f t="shared" si="34"/>
        <v>4.4284288233334655E-2</v>
      </c>
      <c r="J735" s="2"/>
      <c r="K735" s="2" t="e">
        <f t="shared" si="35"/>
        <v>#NUM!</v>
      </c>
    </row>
    <row r="736" spans="1:11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33"/>
        <v>#DIV/0!</v>
      </c>
      <c r="I736" s="2" t="e">
        <f t="shared" si="34"/>
        <v>#DIV/0!</v>
      </c>
      <c r="J736" s="2"/>
      <c r="K736" s="2" t="e">
        <f t="shared" si="35"/>
        <v>#NUM!</v>
      </c>
    </row>
    <row r="737" spans="1:11" ht="13.9" x14ac:dyDescent="0.3">
      <c r="A737" s="2" t="s">
        <v>754</v>
      </c>
      <c r="B737" s="2">
        <v>0</v>
      </c>
      <c r="C737" s="2">
        <v>5.78</v>
      </c>
      <c r="D737" s="2">
        <v>0</v>
      </c>
      <c r="E737" s="2">
        <v>1.89</v>
      </c>
      <c r="F737" s="2">
        <v>1.66</v>
      </c>
      <c r="G737" s="2">
        <v>2.16</v>
      </c>
      <c r="H737" s="2">
        <f t="shared" si="33"/>
        <v>1.7578747137835981E-2</v>
      </c>
      <c r="I737" s="2">
        <f t="shared" si="34"/>
        <v>0.99094266601979997</v>
      </c>
      <c r="J737" s="2"/>
      <c r="K737" s="2">
        <f t="shared" si="35"/>
        <v>2.5310694927259543</v>
      </c>
    </row>
    <row r="738" spans="1:11" ht="13.9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0.76</v>
      </c>
      <c r="F738" s="2">
        <v>1.22</v>
      </c>
      <c r="G738" s="2">
        <v>0</v>
      </c>
      <c r="H738" s="2" t="e">
        <f t="shared" si="33"/>
        <v>#NUM!</v>
      </c>
      <c r="I738" s="2">
        <f t="shared" si="34"/>
        <v>0.13712629385431957</v>
      </c>
      <c r="J738" s="2"/>
      <c r="K738" s="2" t="e">
        <f t="shared" si="35"/>
        <v>#NUM!</v>
      </c>
    </row>
    <row r="739" spans="1:11" ht="13.9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0.91</v>
      </c>
      <c r="H739" s="2" t="e">
        <f t="shared" si="33"/>
        <v>#NUM!</v>
      </c>
      <c r="I739" s="2">
        <f t="shared" si="34"/>
        <v>0.37390096630005903</v>
      </c>
      <c r="J739" s="2"/>
      <c r="K739" s="2" t="e">
        <f t="shared" si="35"/>
        <v>#NUM!</v>
      </c>
    </row>
    <row r="740" spans="1:11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 t="e">
        <f t="shared" si="33"/>
        <v>#DIV/0!</v>
      </c>
      <c r="I740" s="2" t="e">
        <f t="shared" si="34"/>
        <v>#DIV/0!</v>
      </c>
      <c r="J740" s="2"/>
      <c r="K740" s="2" t="e">
        <f t="shared" si="35"/>
        <v>#NUM!</v>
      </c>
    </row>
    <row r="741" spans="1:11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33"/>
        <v>#DIV/0!</v>
      </c>
      <c r="I741" s="2" t="e">
        <f t="shared" si="34"/>
        <v>#DIV/0!</v>
      </c>
      <c r="J741" s="2"/>
      <c r="K741" s="2" t="e">
        <f t="shared" si="35"/>
        <v>#NUM!</v>
      </c>
    </row>
    <row r="742" spans="1:11" ht="13.9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0.34</v>
      </c>
      <c r="H742" s="2" t="e">
        <f t="shared" si="33"/>
        <v>#NUM!</v>
      </c>
      <c r="I742" s="2">
        <f t="shared" si="34"/>
        <v>0.37390096630005903</v>
      </c>
      <c r="J742" s="2"/>
      <c r="K742" s="2" t="e">
        <f t="shared" si="35"/>
        <v>#NUM!</v>
      </c>
    </row>
    <row r="743" spans="1:11" ht="13.9" x14ac:dyDescent="0.3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0.45</v>
      </c>
      <c r="H743" s="2" t="e">
        <f t="shared" si="33"/>
        <v>#NUM!</v>
      </c>
      <c r="I743" s="2">
        <f t="shared" si="34"/>
        <v>0.37390096630005903</v>
      </c>
      <c r="J743" s="2"/>
      <c r="K743" s="2" t="e">
        <f t="shared" si="35"/>
        <v>#NUM!</v>
      </c>
    </row>
    <row r="744" spans="1:11" ht="13.9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0.25</v>
      </c>
      <c r="F744" s="2">
        <v>0.33</v>
      </c>
      <c r="G744" s="2">
        <v>0</v>
      </c>
      <c r="H744" s="2" t="e">
        <f t="shared" si="33"/>
        <v>#NUM!</v>
      </c>
      <c r="I744" s="2">
        <f t="shared" si="34"/>
        <v>0.12362848074299966</v>
      </c>
      <c r="J744" s="2"/>
      <c r="K744" s="2" t="e">
        <f t="shared" si="35"/>
        <v>#NUM!</v>
      </c>
    </row>
    <row r="745" spans="1:11" ht="13.9" x14ac:dyDescent="0.3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0.45</v>
      </c>
      <c r="H745" s="2" t="e">
        <f t="shared" si="33"/>
        <v>#NUM!</v>
      </c>
      <c r="I745" s="2">
        <f t="shared" si="34"/>
        <v>0.37390096630005903</v>
      </c>
      <c r="J745" s="2"/>
      <c r="K745" s="2" t="e">
        <f t="shared" si="35"/>
        <v>#NUM!</v>
      </c>
    </row>
    <row r="746" spans="1:11" ht="13.9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0.13</v>
      </c>
      <c r="F746" s="2">
        <v>0.44</v>
      </c>
      <c r="G746" s="2">
        <v>0.11</v>
      </c>
      <c r="H746" s="2" t="e">
        <f t="shared" si="33"/>
        <v>#NUM!</v>
      </c>
      <c r="I746" s="2">
        <f t="shared" si="34"/>
        <v>0.10112616662393135</v>
      </c>
      <c r="J746" s="2"/>
      <c r="K746" s="2" t="e">
        <f t="shared" si="35"/>
        <v>#NUM!</v>
      </c>
    </row>
    <row r="747" spans="1:11" ht="13.9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6.42</v>
      </c>
      <c r="F747" s="2">
        <v>2.66</v>
      </c>
      <c r="G747" s="2">
        <v>3.18</v>
      </c>
      <c r="H747" s="2" t="e">
        <f t="shared" si="33"/>
        <v>#NUM!</v>
      </c>
      <c r="I747" s="2">
        <f t="shared" si="34"/>
        <v>2.5485629905377765E-2</v>
      </c>
      <c r="J747" s="2"/>
      <c r="K747" s="2" t="e">
        <f t="shared" si="35"/>
        <v>#NUM!</v>
      </c>
    </row>
    <row r="748" spans="1:11" ht="13.9" x14ac:dyDescent="0.3">
      <c r="A748" s="2" t="s">
        <v>765</v>
      </c>
      <c r="B748" s="2">
        <v>29.37</v>
      </c>
      <c r="C748" s="2">
        <v>13.01</v>
      </c>
      <c r="D748" s="2">
        <v>18.93</v>
      </c>
      <c r="E748" s="2">
        <v>2.14</v>
      </c>
      <c r="F748" s="2">
        <v>1.1100000000000001</v>
      </c>
      <c r="G748" s="2">
        <v>1.93</v>
      </c>
      <c r="H748" s="2">
        <f t="shared" si="33"/>
        <v>3.565098401622214</v>
      </c>
      <c r="I748" s="2">
        <f t="shared" si="34"/>
        <v>1.7484917737720897E-2</v>
      </c>
      <c r="J748" s="2"/>
      <c r="K748" s="2">
        <f t="shared" si="35"/>
        <v>5.9380504995340431</v>
      </c>
    </row>
    <row r="749" spans="1:11" ht="13.9" x14ac:dyDescent="0.3">
      <c r="A749" s="2" t="s">
        <v>766</v>
      </c>
      <c r="B749" s="2">
        <v>10.09</v>
      </c>
      <c r="C749" s="2">
        <v>6.36</v>
      </c>
      <c r="D749" s="2">
        <v>24.38</v>
      </c>
      <c r="E749" s="2">
        <v>23.16</v>
      </c>
      <c r="F749" s="2">
        <v>24.51</v>
      </c>
      <c r="G749" s="2">
        <v>29.84</v>
      </c>
      <c r="H749" s="2">
        <f t="shared" si="33"/>
        <v>-0.92475288501372077</v>
      </c>
      <c r="I749" s="2">
        <f t="shared" si="34"/>
        <v>0.10516615429152804</v>
      </c>
      <c r="J749" s="2"/>
      <c r="K749" s="2">
        <f t="shared" si="35"/>
        <v>5.3515576624504257</v>
      </c>
    </row>
    <row r="750" spans="1:11" ht="13.9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33"/>
        <v>#DIV/0!</v>
      </c>
      <c r="I750" s="2" t="e">
        <f t="shared" si="34"/>
        <v>#DIV/0!</v>
      </c>
      <c r="J750" s="2"/>
      <c r="K750" s="2" t="e">
        <f t="shared" si="35"/>
        <v>#NUM!</v>
      </c>
    </row>
    <row r="751" spans="1:11" ht="13.9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0.38</v>
      </c>
      <c r="F751" s="2">
        <v>0.22</v>
      </c>
      <c r="G751" s="2">
        <v>0.11</v>
      </c>
      <c r="H751" s="2" t="e">
        <f t="shared" si="33"/>
        <v>#NUM!</v>
      </c>
      <c r="I751" s="2">
        <f t="shared" si="34"/>
        <v>3.9193001592135165E-2</v>
      </c>
      <c r="J751" s="2"/>
      <c r="K751" s="2" t="e">
        <f t="shared" si="35"/>
        <v>#NUM!</v>
      </c>
    </row>
    <row r="752" spans="1:11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33"/>
        <v>#DIV/0!</v>
      </c>
      <c r="I752" s="2" t="e">
        <f t="shared" si="34"/>
        <v>#DIV/0!</v>
      </c>
      <c r="J752" s="2"/>
      <c r="K752" s="2" t="e">
        <f t="shared" si="35"/>
        <v>#NUM!</v>
      </c>
    </row>
    <row r="753" spans="1:11" ht="13.9" x14ac:dyDescent="0.3">
      <c r="A753" s="2" t="s">
        <v>770</v>
      </c>
      <c r="B753" s="2">
        <v>10.36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33"/>
        <v>#DIV/0!</v>
      </c>
      <c r="I753" s="2">
        <f t="shared" si="34"/>
        <v>0.37390096630005903</v>
      </c>
      <c r="J753" s="2"/>
      <c r="K753" s="2">
        <f t="shared" si="35"/>
        <v>3.372952097911829</v>
      </c>
    </row>
    <row r="754" spans="1:11" ht="13.9" x14ac:dyDescent="0.3">
      <c r="A754" s="2" t="s">
        <v>771</v>
      </c>
      <c r="B754" s="2">
        <v>3.93</v>
      </c>
      <c r="C754" s="2">
        <v>6.94</v>
      </c>
      <c r="D754" s="2">
        <v>0</v>
      </c>
      <c r="E754" s="2">
        <v>6.8</v>
      </c>
      <c r="F754" s="2">
        <v>4.7699999999999996</v>
      </c>
      <c r="G754" s="2">
        <v>4.08</v>
      </c>
      <c r="H754" s="2">
        <f t="shared" si="33"/>
        <v>-0.52581071679267144</v>
      </c>
      <c r="I754" s="2">
        <f t="shared" si="34"/>
        <v>0.50328498956389933</v>
      </c>
      <c r="J754" s="2"/>
      <c r="K754" s="2">
        <f t="shared" si="35"/>
        <v>3.4422800352525851</v>
      </c>
    </row>
    <row r="755" spans="1:11" ht="13.9" x14ac:dyDescent="0.3">
      <c r="A755" s="2" t="s">
        <v>772</v>
      </c>
      <c r="B755" s="2">
        <v>1.18</v>
      </c>
      <c r="C755" s="2">
        <v>0</v>
      </c>
      <c r="D755" s="2">
        <v>0.26</v>
      </c>
      <c r="E755" s="2">
        <v>5.79</v>
      </c>
      <c r="F755" s="2">
        <v>11.09</v>
      </c>
      <c r="G755" s="2">
        <v>3.63</v>
      </c>
      <c r="H755" s="2">
        <f t="shared" si="33"/>
        <v>-3.8321867750375396</v>
      </c>
      <c r="I755" s="2">
        <f t="shared" si="34"/>
        <v>4.7269040001168973E-2</v>
      </c>
      <c r="J755" s="2"/>
      <c r="K755" s="2">
        <f t="shared" si="35"/>
        <v>0.52606881166758768</v>
      </c>
    </row>
    <row r="756" spans="1:11" ht="13.9" x14ac:dyDescent="0.3">
      <c r="A756" s="2" t="s">
        <v>773</v>
      </c>
      <c r="B756" s="2">
        <v>0</v>
      </c>
      <c r="C756" s="2">
        <v>0.28999999999999998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33"/>
        <v>#DIV/0!</v>
      </c>
      <c r="I756" s="2">
        <f t="shared" si="34"/>
        <v>0.37390096630005903</v>
      </c>
      <c r="J756" s="2"/>
      <c r="K756" s="2">
        <f t="shared" si="35"/>
        <v>-1.7858751946471527</v>
      </c>
    </row>
    <row r="757" spans="1:11" ht="13.9" x14ac:dyDescent="0.3">
      <c r="A757" s="2" t="s">
        <v>774</v>
      </c>
      <c r="B757" s="2">
        <v>0</v>
      </c>
      <c r="C757" s="2">
        <v>0</v>
      </c>
      <c r="D757" s="2">
        <v>0</v>
      </c>
      <c r="E757" s="2">
        <v>14.48</v>
      </c>
      <c r="F757" s="2">
        <v>12.64</v>
      </c>
      <c r="G757" s="2">
        <v>7.26</v>
      </c>
      <c r="H757" s="2" t="e">
        <f t="shared" si="33"/>
        <v>#NUM!</v>
      </c>
      <c r="I757" s="2">
        <f t="shared" si="34"/>
        <v>6.1262747010218032E-3</v>
      </c>
      <c r="J757" s="2"/>
      <c r="K757" s="2" t="e">
        <f t="shared" si="35"/>
        <v>#NUM!</v>
      </c>
    </row>
    <row r="758" spans="1:11" ht="13.9" x14ac:dyDescent="0.3">
      <c r="A758" s="2" t="s">
        <v>775</v>
      </c>
      <c r="B758" s="2">
        <v>20.98</v>
      </c>
      <c r="C758" s="2">
        <v>22.27</v>
      </c>
      <c r="D758" s="2">
        <v>11.41</v>
      </c>
      <c r="E758" s="2">
        <v>22.78</v>
      </c>
      <c r="F758" s="2">
        <v>22.4</v>
      </c>
      <c r="G758" s="2">
        <v>24.05</v>
      </c>
      <c r="H758" s="2">
        <f t="shared" si="33"/>
        <v>-0.34091188829350827</v>
      </c>
      <c r="I758" s="2">
        <f t="shared" si="34"/>
        <v>0.23325077999425958</v>
      </c>
      <c r="J758" s="2"/>
      <c r="K758" s="2">
        <f t="shared" si="35"/>
        <v>5.7724135547484821</v>
      </c>
    </row>
    <row r="759" spans="1:11" ht="13.9" x14ac:dyDescent="0.3">
      <c r="A759" s="2" t="s">
        <v>776</v>
      </c>
      <c r="B759" s="2">
        <v>26.74</v>
      </c>
      <c r="C759" s="2">
        <v>14.75</v>
      </c>
      <c r="D759" s="2">
        <v>0</v>
      </c>
      <c r="E759" s="2">
        <v>2.27</v>
      </c>
      <c r="F759" s="2">
        <v>12.64</v>
      </c>
      <c r="G759" s="2">
        <v>3.52</v>
      </c>
      <c r="H759" s="2">
        <f t="shared" si="33"/>
        <v>1.1707075862409371</v>
      </c>
      <c r="I759" s="2">
        <f t="shared" si="34"/>
        <v>0.41167869936054463</v>
      </c>
      <c r="J759" s="2"/>
      <c r="K759" s="2">
        <f t="shared" si="35"/>
        <v>5.3746917520969255</v>
      </c>
    </row>
    <row r="760" spans="1:11" ht="13.9" x14ac:dyDescent="0.3">
      <c r="A760" s="2" t="s">
        <v>777</v>
      </c>
      <c r="B760" s="2">
        <v>0</v>
      </c>
      <c r="C760" s="2">
        <v>0</v>
      </c>
      <c r="D760" s="2">
        <v>6.48</v>
      </c>
      <c r="E760" s="2">
        <v>21.65</v>
      </c>
      <c r="F760" s="2">
        <v>13.97</v>
      </c>
      <c r="G760" s="2">
        <v>15.66</v>
      </c>
      <c r="H760" s="2">
        <f t="shared" si="33"/>
        <v>-2.9843305437341163</v>
      </c>
      <c r="I760" s="2">
        <f t="shared" si="34"/>
        <v>9.307029961099977E-3</v>
      </c>
      <c r="J760" s="2"/>
      <c r="K760" s="2">
        <f t="shared" si="35"/>
        <v>2.6959938131098999</v>
      </c>
    </row>
    <row r="761" spans="1:11" ht="13.9" x14ac:dyDescent="0.3">
      <c r="A761" s="2" t="s">
        <v>778</v>
      </c>
      <c r="B761" s="2">
        <v>0</v>
      </c>
      <c r="C761" s="2">
        <v>0</v>
      </c>
      <c r="D761" s="2">
        <v>0</v>
      </c>
      <c r="E761" s="2">
        <v>0</v>
      </c>
      <c r="F761" s="2">
        <v>0.11</v>
      </c>
      <c r="G761" s="2">
        <v>0</v>
      </c>
      <c r="H761" s="2" t="e">
        <f t="shared" si="33"/>
        <v>#NUM!</v>
      </c>
      <c r="I761" s="2">
        <f t="shared" si="34"/>
        <v>0.37390096630005903</v>
      </c>
      <c r="J761" s="2"/>
      <c r="K761" s="2" t="e">
        <f t="shared" si="35"/>
        <v>#NUM!</v>
      </c>
    </row>
    <row r="762" spans="1:11" ht="13.9" x14ac:dyDescent="0.3">
      <c r="A762" s="2" t="s">
        <v>779</v>
      </c>
      <c r="B762" s="2">
        <v>31.07</v>
      </c>
      <c r="C762" s="2">
        <v>0</v>
      </c>
      <c r="D762" s="2">
        <v>5.71</v>
      </c>
      <c r="E762" s="2">
        <v>1.64</v>
      </c>
      <c r="F762" s="2">
        <v>3.44</v>
      </c>
      <c r="G762" s="2">
        <v>7.37</v>
      </c>
      <c r="H762" s="2">
        <f t="shared" si="33"/>
        <v>1.5627757374564946</v>
      </c>
      <c r="I762" s="2">
        <f t="shared" si="34"/>
        <v>0.45001795662234856</v>
      </c>
      <c r="J762" s="2"/>
      <c r="K762" s="2">
        <f t="shared" si="35"/>
        <v>5.2008495746372132</v>
      </c>
    </row>
    <row r="763" spans="1:11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33"/>
        <v>#DIV/0!</v>
      </c>
      <c r="I763" s="2" t="e">
        <f t="shared" si="34"/>
        <v>#DIV/0!</v>
      </c>
      <c r="J763" s="2"/>
      <c r="K763" s="2" t="e">
        <f t="shared" si="35"/>
        <v>#NUM!</v>
      </c>
    </row>
    <row r="764" spans="1:11" ht="13.9" x14ac:dyDescent="0.3">
      <c r="A764" s="2" t="s">
        <v>781</v>
      </c>
      <c r="B764" s="2">
        <v>8.65</v>
      </c>
      <c r="C764" s="2">
        <v>84.73</v>
      </c>
      <c r="D764" s="2">
        <v>5.96</v>
      </c>
      <c r="E764" s="2">
        <v>73.010000000000005</v>
      </c>
      <c r="F764" s="2">
        <v>56.11</v>
      </c>
      <c r="G764" s="2">
        <v>44.59</v>
      </c>
      <c r="H764" s="2">
        <f t="shared" si="33"/>
        <v>-0.80623415647911967</v>
      </c>
      <c r="I764" s="2">
        <f t="shared" si="34"/>
        <v>0.41218127125316428</v>
      </c>
      <c r="J764" s="2"/>
      <c r="K764" s="2">
        <f t="shared" si="35"/>
        <v>6.6343028416625129</v>
      </c>
    </row>
    <row r="765" spans="1:11" ht="13.9" x14ac:dyDescent="0.3">
      <c r="A765" s="2" t="s">
        <v>782</v>
      </c>
      <c r="B765" s="2">
        <v>7.47</v>
      </c>
      <c r="C765" s="2">
        <v>0</v>
      </c>
      <c r="D765" s="2">
        <v>11.67</v>
      </c>
      <c r="E765" s="2">
        <v>1.26</v>
      </c>
      <c r="F765" s="2">
        <v>1.1100000000000001</v>
      </c>
      <c r="G765" s="2">
        <v>0</v>
      </c>
      <c r="H765" s="2">
        <f t="shared" si="33"/>
        <v>3.0136318655877665</v>
      </c>
      <c r="I765" s="2">
        <f t="shared" si="34"/>
        <v>0.17905821504412833</v>
      </c>
      <c r="J765" s="2"/>
      <c r="K765" s="2">
        <f t="shared" si="35"/>
        <v>4.2585189247113009</v>
      </c>
    </row>
    <row r="766" spans="1:11" ht="13.9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1.51</v>
      </c>
      <c r="F766" s="2">
        <v>0.33</v>
      </c>
      <c r="G766" s="2">
        <v>0</v>
      </c>
      <c r="H766" s="2" t="e">
        <f t="shared" si="33"/>
        <v>#NUM!</v>
      </c>
      <c r="I766" s="2">
        <f t="shared" si="34"/>
        <v>0.25184998479277187</v>
      </c>
      <c r="J766" s="2"/>
      <c r="K766" s="2" t="e">
        <f t="shared" si="35"/>
        <v>#NUM!</v>
      </c>
    </row>
    <row r="767" spans="1:11" ht="13.9" x14ac:dyDescent="0.3">
      <c r="A767" s="2" t="s">
        <v>784</v>
      </c>
      <c r="B767" s="2">
        <v>0</v>
      </c>
      <c r="C767" s="2">
        <v>22.85</v>
      </c>
      <c r="D767" s="2">
        <v>0</v>
      </c>
      <c r="E767" s="2">
        <v>3.65</v>
      </c>
      <c r="F767" s="2">
        <v>1.44</v>
      </c>
      <c r="G767" s="2">
        <v>1.82</v>
      </c>
      <c r="H767" s="2">
        <f t="shared" si="33"/>
        <v>1.7254365495571735</v>
      </c>
      <c r="I767" s="2">
        <f t="shared" si="34"/>
        <v>0.52542103604518053</v>
      </c>
      <c r="J767" s="2"/>
      <c r="K767" s="2">
        <f t="shared" si="35"/>
        <v>4.5141222601707076</v>
      </c>
    </row>
    <row r="768" spans="1:11" ht="13.9" x14ac:dyDescent="0.3">
      <c r="A768" s="2" t="s">
        <v>785</v>
      </c>
      <c r="B768" s="2">
        <v>4.2</v>
      </c>
      <c r="C768" s="2">
        <v>0</v>
      </c>
      <c r="D768" s="2">
        <v>0</v>
      </c>
      <c r="E768" s="2">
        <v>0.38</v>
      </c>
      <c r="F768" s="2">
        <v>1.44</v>
      </c>
      <c r="G768" s="2">
        <v>0.45</v>
      </c>
      <c r="H768" s="2">
        <f t="shared" si="33"/>
        <v>0.88769703037520775</v>
      </c>
      <c r="I768" s="2">
        <f t="shared" si="34"/>
        <v>0.67842373767466846</v>
      </c>
      <c r="J768" s="2"/>
      <c r="K768" s="2">
        <f t="shared" si="35"/>
        <v>2.0703893278913981</v>
      </c>
    </row>
    <row r="769" spans="1:11" ht="13.9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0.38</v>
      </c>
      <c r="F769" s="2">
        <v>0</v>
      </c>
      <c r="G769" s="2">
        <v>0</v>
      </c>
      <c r="H769" s="2" t="e">
        <f t="shared" si="33"/>
        <v>#NUM!</v>
      </c>
      <c r="I769" s="2">
        <f t="shared" si="34"/>
        <v>0.37390096630005903</v>
      </c>
      <c r="J769" s="2"/>
      <c r="K769" s="2" t="e">
        <f t="shared" si="35"/>
        <v>#NUM!</v>
      </c>
    </row>
    <row r="770" spans="1:11" ht="13.9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0.11</v>
      </c>
      <c r="H770" s="2" t="e">
        <f t="shared" ref="H770:H833" si="36">LOG(SUM(B770:D770)/SUM(E770:G770),2)</f>
        <v>#NUM!</v>
      </c>
      <c r="I770" s="2">
        <f t="shared" ref="I770:I833" si="37">_xlfn.T.TEST(B770:D770,E770:G770,2,2)</f>
        <v>0.37390096630005903</v>
      </c>
      <c r="J770" s="2"/>
      <c r="K770" s="2" t="e">
        <f t="shared" si="35"/>
        <v>#NUM!</v>
      </c>
    </row>
    <row r="771" spans="1:11" ht="13.9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</v>
      </c>
      <c r="F771" s="2">
        <v>0.22</v>
      </c>
      <c r="G771" s="2">
        <v>0</v>
      </c>
      <c r="H771" s="2" t="e">
        <f t="shared" si="36"/>
        <v>#NUM!</v>
      </c>
      <c r="I771" s="2">
        <f t="shared" si="37"/>
        <v>0.37390096630005903</v>
      </c>
      <c r="J771" s="2"/>
      <c r="K771" s="2" t="e">
        <f t="shared" ref="K771:K834" si="38">LOG(SUM(B771:D771),2)</f>
        <v>#NUM!</v>
      </c>
    </row>
    <row r="772" spans="1:11" ht="13.9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0.5</v>
      </c>
      <c r="F772" s="2">
        <v>0</v>
      </c>
      <c r="G772" s="2">
        <v>0.56999999999999995</v>
      </c>
      <c r="H772" s="2" t="e">
        <f t="shared" si="36"/>
        <v>#NUM!</v>
      </c>
      <c r="I772" s="2">
        <f t="shared" si="37"/>
        <v>0.11781607687077444</v>
      </c>
      <c r="J772" s="2"/>
      <c r="K772" s="2" t="e">
        <f t="shared" si="38"/>
        <v>#NUM!</v>
      </c>
    </row>
    <row r="773" spans="1:11" ht="13.9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0.5</v>
      </c>
      <c r="F773" s="2">
        <v>0.11</v>
      </c>
      <c r="G773" s="2">
        <v>0</v>
      </c>
      <c r="H773" s="2" t="e">
        <f t="shared" si="36"/>
        <v>#NUM!</v>
      </c>
      <c r="I773" s="2">
        <f t="shared" si="37"/>
        <v>0.25117827857643138</v>
      </c>
      <c r="J773" s="2"/>
      <c r="K773" s="2" t="e">
        <f t="shared" si="38"/>
        <v>#NUM!</v>
      </c>
    </row>
    <row r="774" spans="1:11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36"/>
        <v>#DIV/0!</v>
      </c>
      <c r="I774" s="2" t="e">
        <f t="shared" si="37"/>
        <v>#DIV/0!</v>
      </c>
      <c r="J774" s="2"/>
      <c r="K774" s="2" t="e">
        <f t="shared" si="38"/>
        <v>#NUM!</v>
      </c>
    </row>
    <row r="775" spans="1:11" ht="13.9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1.66</v>
      </c>
      <c r="G775" s="2">
        <v>0</v>
      </c>
      <c r="H775" s="2" t="e">
        <f t="shared" si="36"/>
        <v>#NUM!</v>
      </c>
      <c r="I775" s="2">
        <f t="shared" si="37"/>
        <v>0.37390096630005903</v>
      </c>
      <c r="J775" s="2"/>
      <c r="K775" s="2" t="e">
        <f t="shared" si="38"/>
        <v>#NUM!</v>
      </c>
    </row>
    <row r="776" spans="1:11" ht="13.9" x14ac:dyDescent="0.3">
      <c r="A776" s="2" t="s">
        <v>793</v>
      </c>
      <c r="B776" s="2">
        <v>2.88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36"/>
        <v>#DIV/0!</v>
      </c>
      <c r="I776" s="2">
        <f t="shared" si="37"/>
        <v>0.37390096630005903</v>
      </c>
      <c r="J776" s="2"/>
      <c r="K776" s="2">
        <f t="shared" si="38"/>
        <v>1.5260688116675876</v>
      </c>
    </row>
    <row r="777" spans="1:11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36"/>
        <v>#DIV/0!</v>
      </c>
      <c r="I777" s="2" t="e">
        <f t="shared" si="37"/>
        <v>#DIV/0!</v>
      </c>
      <c r="J777" s="2"/>
      <c r="K777" s="2" t="e">
        <f t="shared" si="38"/>
        <v>#NUM!</v>
      </c>
    </row>
    <row r="778" spans="1:11" ht="13.9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0.34</v>
      </c>
      <c r="H778" s="2" t="e">
        <f t="shared" si="36"/>
        <v>#NUM!</v>
      </c>
      <c r="I778" s="2">
        <f t="shared" si="37"/>
        <v>0.37390096630005903</v>
      </c>
      <c r="J778" s="2"/>
      <c r="K778" s="2" t="e">
        <f t="shared" si="38"/>
        <v>#NUM!</v>
      </c>
    </row>
    <row r="779" spans="1:11" ht="13.9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0.25</v>
      </c>
      <c r="F779" s="2">
        <v>0</v>
      </c>
      <c r="G779" s="2">
        <v>0</v>
      </c>
      <c r="H779" s="2" t="e">
        <f t="shared" si="36"/>
        <v>#NUM!</v>
      </c>
      <c r="I779" s="2">
        <f t="shared" si="37"/>
        <v>0.37390096630005903</v>
      </c>
      <c r="J779" s="2"/>
      <c r="K779" s="2" t="e">
        <f t="shared" si="38"/>
        <v>#NUM!</v>
      </c>
    </row>
    <row r="780" spans="1:11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36"/>
        <v>#DIV/0!</v>
      </c>
      <c r="I780" s="2" t="e">
        <f t="shared" si="37"/>
        <v>#DIV/0!</v>
      </c>
      <c r="J780" s="2"/>
      <c r="K780" s="2" t="e">
        <f t="shared" si="38"/>
        <v>#NUM!</v>
      </c>
    </row>
    <row r="781" spans="1:11" ht="13.9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0.22</v>
      </c>
      <c r="G781" s="2">
        <v>0</v>
      </c>
      <c r="H781" s="2" t="e">
        <f t="shared" si="36"/>
        <v>#NUM!</v>
      </c>
      <c r="I781" s="2">
        <f t="shared" si="37"/>
        <v>0.37390096630005903</v>
      </c>
      <c r="J781" s="2"/>
      <c r="K781" s="2" t="e">
        <f t="shared" si="38"/>
        <v>#NUM!</v>
      </c>
    </row>
    <row r="782" spans="1:11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36"/>
        <v>#DIV/0!</v>
      </c>
      <c r="I782" s="2" t="e">
        <f t="shared" si="37"/>
        <v>#DIV/0!</v>
      </c>
      <c r="J782" s="2"/>
      <c r="K782" s="2" t="e">
        <f t="shared" si="38"/>
        <v>#NUM!</v>
      </c>
    </row>
    <row r="783" spans="1:11" ht="13.9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36"/>
        <v>#DIV/0!</v>
      </c>
      <c r="I783" s="2" t="e">
        <f t="shared" si="37"/>
        <v>#DIV/0!</v>
      </c>
      <c r="J783" s="2"/>
      <c r="K783" s="2" t="e">
        <f t="shared" si="38"/>
        <v>#NUM!</v>
      </c>
    </row>
    <row r="784" spans="1:11" ht="13.9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0.23</v>
      </c>
      <c r="H784" s="2" t="e">
        <f t="shared" si="36"/>
        <v>#NUM!</v>
      </c>
      <c r="I784" s="2">
        <f t="shared" si="37"/>
        <v>0.37390096630005903</v>
      </c>
      <c r="J784" s="2"/>
      <c r="K784" s="2" t="e">
        <f t="shared" si="38"/>
        <v>#NUM!</v>
      </c>
    </row>
    <row r="785" spans="1:11" ht="13.9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0.38</v>
      </c>
      <c r="F785" s="2">
        <v>0</v>
      </c>
      <c r="G785" s="2">
        <v>0</v>
      </c>
      <c r="H785" s="2" t="e">
        <f t="shared" si="36"/>
        <v>#NUM!</v>
      </c>
      <c r="I785" s="2">
        <f t="shared" si="37"/>
        <v>0.37390096630005903</v>
      </c>
      <c r="J785" s="2"/>
      <c r="K785" s="2" t="e">
        <f t="shared" si="38"/>
        <v>#NUM!</v>
      </c>
    </row>
    <row r="786" spans="1:11" ht="13.9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1.38</v>
      </c>
      <c r="F786" s="2">
        <v>0.67</v>
      </c>
      <c r="G786" s="2">
        <v>0</v>
      </c>
      <c r="H786" s="2" t="e">
        <f t="shared" si="36"/>
        <v>#NUM!</v>
      </c>
      <c r="I786" s="2">
        <f t="shared" si="37"/>
        <v>0.16147812905921274</v>
      </c>
      <c r="J786" s="2"/>
      <c r="K786" s="2" t="e">
        <f t="shared" si="38"/>
        <v>#NUM!</v>
      </c>
    </row>
    <row r="787" spans="1:11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36"/>
        <v>#DIV/0!</v>
      </c>
      <c r="I787" s="2" t="e">
        <f t="shared" si="37"/>
        <v>#DIV/0!</v>
      </c>
      <c r="J787" s="2"/>
      <c r="K787" s="2" t="e">
        <f t="shared" si="38"/>
        <v>#NUM!</v>
      </c>
    </row>
    <row r="788" spans="1:11" ht="13.9" x14ac:dyDescent="0.3">
      <c r="A788" s="2" t="s">
        <v>805</v>
      </c>
      <c r="B788" s="2">
        <v>0</v>
      </c>
      <c r="C788" s="2">
        <v>0</v>
      </c>
      <c r="D788" s="2">
        <v>6.74</v>
      </c>
      <c r="E788" s="2">
        <v>3.27</v>
      </c>
      <c r="F788" s="2">
        <v>1.44</v>
      </c>
      <c r="G788" s="2">
        <v>3.06</v>
      </c>
      <c r="H788" s="2">
        <f t="shared" si="36"/>
        <v>-0.20516600722585143</v>
      </c>
      <c r="I788" s="2">
        <f t="shared" si="37"/>
        <v>0.88950614838957109</v>
      </c>
      <c r="J788" s="2"/>
      <c r="K788" s="2">
        <f t="shared" si="38"/>
        <v>2.7527485914071339</v>
      </c>
    </row>
    <row r="789" spans="1:11" ht="13.9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0.44</v>
      </c>
      <c r="G789" s="2">
        <v>0.11</v>
      </c>
      <c r="H789" s="2" t="e">
        <f t="shared" si="36"/>
        <v>#NUM!</v>
      </c>
      <c r="I789" s="2">
        <f t="shared" si="37"/>
        <v>0.23779614445826563</v>
      </c>
      <c r="J789" s="2"/>
      <c r="K789" s="2" t="e">
        <f t="shared" si="38"/>
        <v>#NUM!</v>
      </c>
    </row>
    <row r="790" spans="1:11" ht="13.9" x14ac:dyDescent="0.3">
      <c r="A790" s="2" t="s">
        <v>807</v>
      </c>
      <c r="B790" s="2">
        <v>0</v>
      </c>
      <c r="C790" s="2">
        <v>0</v>
      </c>
      <c r="D790" s="2">
        <v>0</v>
      </c>
      <c r="E790" s="2">
        <v>0</v>
      </c>
      <c r="F790" s="2">
        <v>0.11</v>
      </c>
      <c r="G790" s="2">
        <v>0</v>
      </c>
      <c r="H790" s="2" t="e">
        <f t="shared" si="36"/>
        <v>#NUM!</v>
      </c>
      <c r="I790" s="2">
        <f t="shared" si="37"/>
        <v>0.37390096630005903</v>
      </c>
      <c r="J790" s="2"/>
      <c r="K790" s="2" t="e">
        <f t="shared" si="38"/>
        <v>#NUM!</v>
      </c>
    </row>
    <row r="791" spans="1:11" ht="13.9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0.25</v>
      </c>
      <c r="F791" s="2">
        <v>0</v>
      </c>
      <c r="G791" s="2">
        <v>0</v>
      </c>
      <c r="H791" s="2" t="e">
        <f t="shared" si="36"/>
        <v>#NUM!</v>
      </c>
      <c r="I791" s="2">
        <f t="shared" si="37"/>
        <v>0.37390096630005903</v>
      </c>
      <c r="J791" s="2"/>
      <c r="K791" s="2" t="e">
        <f t="shared" si="38"/>
        <v>#NUM!</v>
      </c>
    </row>
    <row r="792" spans="1:11" ht="13.9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 t="e">
        <f t="shared" si="36"/>
        <v>#DIV/0!</v>
      </c>
      <c r="I792" s="2" t="e">
        <f t="shared" si="37"/>
        <v>#DIV/0!</v>
      </c>
      <c r="J792" s="2"/>
      <c r="K792" s="2" t="e">
        <f t="shared" si="38"/>
        <v>#NUM!</v>
      </c>
    </row>
    <row r="793" spans="1:11" ht="13.9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0.63</v>
      </c>
      <c r="F793" s="2">
        <v>0</v>
      </c>
      <c r="G793" s="2">
        <v>0</v>
      </c>
      <c r="H793" s="2" t="e">
        <f t="shared" si="36"/>
        <v>#NUM!</v>
      </c>
      <c r="I793" s="2">
        <f t="shared" si="37"/>
        <v>0.37390096630005903</v>
      </c>
      <c r="J793" s="2"/>
      <c r="K793" s="2" t="e">
        <f t="shared" si="38"/>
        <v>#NUM!</v>
      </c>
    </row>
    <row r="794" spans="1:11" ht="13.9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2.64</v>
      </c>
      <c r="F794" s="2">
        <v>2.44</v>
      </c>
      <c r="G794" s="2">
        <v>0.56999999999999995</v>
      </c>
      <c r="H794" s="2" t="e">
        <f t="shared" si="36"/>
        <v>#NUM!</v>
      </c>
      <c r="I794" s="2">
        <f t="shared" si="37"/>
        <v>4.6068850482169299E-2</v>
      </c>
      <c r="J794" s="2"/>
      <c r="K794" s="2" t="e">
        <f t="shared" si="38"/>
        <v>#NUM!</v>
      </c>
    </row>
    <row r="795" spans="1:11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36"/>
        <v>#DIV/0!</v>
      </c>
      <c r="I795" s="2" t="e">
        <f t="shared" si="37"/>
        <v>#DIV/0!</v>
      </c>
      <c r="J795" s="2"/>
      <c r="K795" s="2" t="e">
        <f t="shared" si="38"/>
        <v>#NUM!</v>
      </c>
    </row>
    <row r="796" spans="1:11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36"/>
        <v>#DIV/0!</v>
      </c>
      <c r="I796" s="2" t="e">
        <f t="shared" si="37"/>
        <v>#DIV/0!</v>
      </c>
      <c r="J796" s="2"/>
      <c r="K796" s="2" t="e">
        <f t="shared" si="38"/>
        <v>#NUM!</v>
      </c>
    </row>
    <row r="797" spans="1:11" ht="13.9" x14ac:dyDescent="0.3">
      <c r="A797" s="2" t="s">
        <v>814</v>
      </c>
      <c r="B797" s="2">
        <v>3.15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 t="e">
        <f t="shared" si="36"/>
        <v>#DIV/0!</v>
      </c>
      <c r="I797" s="2">
        <f t="shared" si="37"/>
        <v>0.37390096630005903</v>
      </c>
      <c r="J797" s="2"/>
      <c r="K797" s="2">
        <f t="shared" si="38"/>
        <v>1.6553518286125541</v>
      </c>
    </row>
    <row r="798" spans="1:11" ht="13.9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1.01</v>
      </c>
      <c r="F798" s="2">
        <v>0</v>
      </c>
      <c r="G798" s="2">
        <v>0</v>
      </c>
      <c r="H798" s="2" t="e">
        <f t="shared" si="36"/>
        <v>#NUM!</v>
      </c>
      <c r="I798" s="2">
        <f t="shared" si="37"/>
        <v>0.37390096630005903</v>
      </c>
      <c r="J798" s="2"/>
      <c r="K798" s="2" t="e">
        <f t="shared" si="38"/>
        <v>#NUM!</v>
      </c>
    </row>
    <row r="799" spans="1:11" ht="13.9" x14ac:dyDescent="0.3">
      <c r="A799" s="2" t="s">
        <v>816</v>
      </c>
      <c r="B799" s="2">
        <v>2.75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36"/>
        <v>#DIV/0!</v>
      </c>
      <c r="I799" s="2">
        <f t="shared" si="37"/>
        <v>0.37390096630005903</v>
      </c>
      <c r="J799" s="2"/>
      <c r="K799" s="2">
        <f t="shared" si="38"/>
        <v>1.4594316186372973</v>
      </c>
    </row>
    <row r="800" spans="1:11" ht="13.9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0.23</v>
      </c>
      <c r="H800" s="2" t="e">
        <f t="shared" si="36"/>
        <v>#NUM!</v>
      </c>
      <c r="I800" s="2">
        <f t="shared" si="37"/>
        <v>0.37390096630005903</v>
      </c>
      <c r="J800" s="2"/>
      <c r="K800" s="2" t="e">
        <f t="shared" si="38"/>
        <v>#NUM!</v>
      </c>
    </row>
    <row r="801" spans="1:11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36"/>
        <v>#DIV/0!</v>
      </c>
      <c r="I801" s="2" t="e">
        <f t="shared" si="37"/>
        <v>#DIV/0!</v>
      </c>
      <c r="J801" s="2"/>
      <c r="K801" s="2" t="e">
        <f t="shared" si="38"/>
        <v>#NUM!</v>
      </c>
    </row>
    <row r="802" spans="1:11" ht="13.9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2.14</v>
      </c>
      <c r="F802" s="2">
        <v>0</v>
      </c>
      <c r="G802" s="2">
        <v>0.11</v>
      </c>
      <c r="H802" s="2" t="e">
        <f t="shared" si="36"/>
        <v>#NUM!</v>
      </c>
      <c r="I802" s="2">
        <f t="shared" si="37"/>
        <v>0.34170019006569902</v>
      </c>
      <c r="J802" s="2"/>
      <c r="K802" s="2" t="e">
        <f t="shared" si="38"/>
        <v>#NUM!</v>
      </c>
    </row>
    <row r="803" spans="1:11" ht="13.9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0.55000000000000004</v>
      </c>
      <c r="G803" s="2">
        <v>0</v>
      </c>
      <c r="H803" s="2" t="e">
        <f t="shared" si="36"/>
        <v>#NUM!</v>
      </c>
      <c r="I803" s="2">
        <f t="shared" si="37"/>
        <v>0.37390096630005903</v>
      </c>
      <c r="J803" s="2"/>
      <c r="K803" s="2" t="e">
        <f t="shared" si="38"/>
        <v>#NUM!</v>
      </c>
    </row>
    <row r="804" spans="1:11" ht="13.9" x14ac:dyDescent="0.3">
      <c r="A804" s="2" t="s">
        <v>821</v>
      </c>
      <c r="B804" s="2">
        <v>0</v>
      </c>
      <c r="C804" s="2">
        <v>0</v>
      </c>
      <c r="D804" s="2">
        <v>0</v>
      </c>
      <c r="E804" s="2">
        <v>0.13</v>
      </c>
      <c r="F804" s="2">
        <v>0</v>
      </c>
      <c r="G804" s="2">
        <v>0.11</v>
      </c>
      <c r="H804" s="2" t="e">
        <f t="shared" si="36"/>
        <v>#NUM!</v>
      </c>
      <c r="I804" s="2">
        <f t="shared" si="37"/>
        <v>0.11887140555991681</v>
      </c>
      <c r="J804" s="2"/>
      <c r="K804" s="2" t="e">
        <f t="shared" si="38"/>
        <v>#NUM!</v>
      </c>
    </row>
    <row r="805" spans="1:11" ht="13.9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0.5</v>
      </c>
      <c r="F805" s="2">
        <v>0</v>
      </c>
      <c r="G805" s="2">
        <v>0</v>
      </c>
      <c r="H805" s="2" t="e">
        <f t="shared" si="36"/>
        <v>#NUM!</v>
      </c>
      <c r="I805" s="2">
        <f t="shared" si="37"/>
        <v>0.37390096630005903</v>
      </c>
      <c r="J805" s="2"/>
      <c r="K805" s="2" t="e">
        <f t="shared" si="38"/>
        <v>#NUM!</v>
      </c>
    </row>
    <row r="806" spans="1:11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36"/>
        <v>#DIV/0!</v>
      </c>
      <c r="I806" s="2" t="e">
        <f t="shared" si="37"/>
        <v>#DIV/0!</v>
      </c>
      <c r="J806" s="2"/>
      <c r="K806" s="2" t="e">
        <f t="shared" si="38"/>
        <v>#NUM!</v>
      </c>
    </row>
    <row r="807" spans="1:11" ht="13.9" x14ac:dyDescent="0.3">
      <c r="A807" s="2" t="s">
        <v>824</v>
      </c>
      <c r="B807" s="2">
        <v>0</v>
      </c>
      <c r="C807" s="2">
        <v>14.75</v>
      </c>
      <c r="D807" s="2">
        <v>0.26</v>
      </c>
      <c r="E807" s="2">
        <v>0</v>
      </c>
      <c r="F807" s="2">
        <v>0</v>
      </c>
      <c r="G807" s="2">
        <v>0</v>
      </c>
      <c r="H807" s="2" t="e">
        <f t="shared" si="36"/>
        <v>#DIV/0!</v>
      </c>
      <c r="I807" s="2">
        <f t="shared" si="37"/>
        <v>0.36265146126275422</v>
      </c>
      <c r="J807" s="2"/>
      <c r="K807" s="2">
        <f t="shared" si="38"/>
        <v>3.9078520718459635</v>
      </c>
    </row>
    <row r="808" spans="1:11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36"/>
        <v>#DIV/0!</v>
      </c>
      <c r="I808" s="2" t="e">
        <f t="shared" si="37"/>
        <v>#DIV/0!</v>
      </c>
      <c r="J808" s="2"/>
      <c r="K808" s="2" t="e">
        <f t="shared" si="38"/>
        <v>#NUM!</v>
      </c>
    </row>
    <row r="809" spans="1:11" ht="13.9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0.11</v>
      </c>
      <c r="G809" s="2">
        <v>0</v>
      </c>
      <c r="H809" s="2" t="e">
        <f t="shared" si="36"/>
        <v>#NUM!</v>
      </c>
      <c r="I809" s="2">
        <f t="shared" si="37"/>
        <v>0.37390096630005903</v>
      </c>
      <c r="J809" s="2"/>
      <c r="K809" s="2" t="e">
        <f t="shared" si="38"/>
        <v>#NUM!</v>
      </c>
    </row>
    <row r="810" spans="1:11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36"/>
        <v>#DIV/0!</v>
      </c>
      <c r="I810" s="2" t="e">
        <f t="shared" si="37"/>
        <v>#DIV/0!</v>
      </c>
      <c r="J810" s="2"/>
      <c r="K810" s="2" t="e">
        <f t="shared" si="38"/>
        <v>#NUM!</v>
      </c>
    </row>
    <row r="811" spans="1:11" ht="13.9" x14ac:dyDescent="0.3">
      <c r="A811" s="2" t="s">
        <v>828</v>
      </c>
      <c r="B811" s="2">
        <v>3.67</v>
      </c>
      <c r="C811" s="2">
        <v>0</v>
      </c>
      <c r="D811" s="2">
        <v>0</v>
      </c>
      <c r="E811" s="2">
        <v>0.63</v>
      </c>
      <c r="F811" s="2">
        <v>0.22</v>
      </c>
      <c r="G811" s="2">
        <v>1.1299999999999999</v>
      </c>
      <c r="H811" s="2">
        <f t="shared" si="36"/>
        <v>0.89027963276360311</v>
      </c>
      <c r="I811" s="2">
        <f t="shared" si="37"/>
        <v>0.6758913065438199</v>
      </c>
      <c r="J811" s="2"/>
      <c r="K811" s="2">
        <f t="shared" si="38"/>
        <v>1.875780063068488</v>
      </c>
    </row>
    <row r="812" spans="1:11" ht="13.9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1.01</v>
      </c>
      <c r="F812" s="2">
        <v>0</v>
      </c>
      <c r="G812" s="2">
        <v>0</v>
      </c>
      <c r="H812" s="2" t="e">
        <f t="shared" si="36"/>
        <v>#NUM!</v>
      </c>
      <c r="I812" s="2">
        <f t="shared" si="37"/>
        <v>0.37390096630005903</v>
      </c>
      <c r="J812" s="2"/>
      <c r="K812" s="2" t="e">
        <f t="shared" si="38"/>
        <v>#NUM!</v>
      </c>
    </row>
    <row r="813" spans="1:11" ht="13.9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36"/>
        <v>#DIV/0!</v>
      </c>
      <c r="I813" s="2" t="e">
        <f t="shared" si="37"/>
        <v>#DIV/0!</v>
      </c>
      <c r="J813" s="2"/>
      <c r="K813" s="2" t="e">
        <f t="shared" si="38"/>
        <v>#NUM!</v>
      </c>
    </row>
    <row r="814" spans="1:11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36"/>
        <v>#DIV/0!</v>
      </c>
      <c r="I814" s="2" t="e">
        <f t="shared" si="37"/>
        <v>#DIV/0!</v>
      </c>
      <c r="J814" s="2"/>
      <c r="K814" s="2" t="e">
        <f t="shared" si="38"/>
        <v>#NUM!</v>
      </c>
    </row>
    <row r="815" spans="1:11" ht="13.9" x14ac:dyDescent="0.3">
      <c r="A815" s="2" t="s">
        <v>832</v>
      </c>
      <c r="B815" s="2">
        <v>0</v>
      </c>
      <c r="C815" s="2">
        <v>0</v>
      </c>
      <c r="D815" s="2">
        <v>0</v>
      </c>
      <c r="E815" s="2">
        <v>1.1299999999999999</v>
      </c>
      <c r="F815" s="2">
        <v>2</v>
      </c>
      <c r="G815" s="2">
        <v>0.11</v>
      </c>
      <c r="H815" s="2" t="e">
        <f t="shared" si="36"/>
        <v>#NUM!</v>
      </c>
      <c r="I815" s="2">
        <f t="shared" si="37"/>
        <v>0.11915399920779023</v>
      </c>
      <c r="J815" s="2"/>
      <c r="K815" s="2" t="e">
        <f t="shared" si="38"/>
        <v>#NUM!</v>
      </c>
    </row>
    <row r="816" spans="1:11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36"/>
        <v>#DIV/0!</v>
      </c>
      <c r="I816" s="2" t="e">
        <f t="shared" si="37"/>
        <v>#DIV/0!</v>
      </c>
      <c r="J816" s="2"/>
      <c r="K816" s="2" t="e">
        <f t="shared" si="38"/>
        <v>#NUM!</v>
      </c>
    </row>
    <row r="817" spans="1:11" ht="13.9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0.88</v>
      </c>
      <c r="F817" s="2">
        <v>3.22</v>
      </c>
      <c r="G817" s="2">
        <v>1.02</v>
      </c>
      <c r="H817" s="2" t="e">
        <f t="shared" si="36"/>
        <v>#NUM!</v>
      </c>
      <c r="I817" s="2">
        <f t="shared" si="37"/>
        <v>8.7422592499105486E-2</v>
      </c>
      <c r="J817" s="2"/>
      <c r="K817" s="2" t="e">
        <f t="shared" si="38"/>
        <v>#NUM!</v>
      </c>
    </row>
    <row r="818" spans="1:11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36"/>
        <v>#DIV/0!</v>
      </c>
      <c r="I818" s="2" t="e">
        <f t="shared" si="37"/>
        <v>#DIV/0!</v>
      </c>
      <c r="J818" s="2"/>
      <c r="K818" s="2" t="e">
        <f t="shared" si="38"/>
        <v>#NUM!</v>
      </c>
    </row>
    <row r="819" spans="1:11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36"/>
        <v>#DIV/0!</v>
      </c>
      <c r="I819" s="2" t="e">
        <f t="shared" si="37"/>
        <v>#DIV/0!</v>
      </c>
      <c r="J819" s="2"/>
      <c r="K819" s="2" t="e">
        <f t="shared" si="38"/>
        <v>#NUM!</v>
      </c>
    </row>
    <row r="820" spans="1:11" ht="13.9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0.5</v>
      </c>
      <c r="F820" s="2">
        <v>0</v>
      </c>
      <c r="G820" s="2">
        <v>0</v>
      </c>
      <c r="H820" s="2" t="e">
        <f t="shared" si="36"/>
        <v>#NUM!</v>
      </c>
      <c r="I820" s="2">
        <f t="shared" si="37"/>
        <v>0.37390096630005903</v>
      </c>
      <c r="J820" s="2"/>
      <c r="K820" s="2" t="e">
        <f t="shared" si="38"/>
        <v>#NUM!</v>
      </c>
    </row>
    <row r="821" spans="1:11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36"/>
        <v>#DIV/0!</v>
      </c>
      <c r="I821" s="2" t="e">
        <f t="shared" si="37"/>
        <v>#DIV/0!</v>
      </c>
      <c r="J821" s="2"/>
      <c r="K821" s="2" t="e">
        <f t="shared" si="38"/>
        <v>#NUM!</v>
      </c>
    </row>
    <row r="822" spans="1:11" ht="13.9" x14ac:dyDescent="0.3">
      <c r="A822" s="2" t="s">
        <v>839</v>
      </c>
      <c r="B822" s="2">
        <v>5.24</v>
      </c>
      <c r="C822" s="2">
        <v>0</v>
      </c>
      <c r="D822" s="2">
        <v>0</v>
      </c>
      <c r="E822" s="2">
        <v>0</v>
      </c>
      <c r="F822" s="2">
        <v>0.33</v>
      </c>
      <c r="G822" s="2">
        <v>0</v>
      </c>
      <c r="H822" s="2">
        <f t="shared" si="36"/>
        <v>3.9890288821789968</v>
      </c>
      <c r="I822" s="2">
        <f t="shared" si="37"/>
        <v>0.40264345683909303</v>
      </c>
      <c r="J822" s="2"/>
      <c r="K822" s="2">
        <f t="shared" si="38"/>
        <v>2.3895668117627258</v>
      </c>
    </row>
    <row r="823" spans="1:11" ht="13.9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0.63</v>
      </c>
      <c r="F823" s="2">
        <v>0</v>
      </c>
      <c r="G823" s="2">
        <v>0</v>
      </c>
      <c r="H823" s="2" t="e">
        <f t="shared" si="36"/>
        <v>#NUM!</v>
      </c>
      <c r="I823" s="2">
        <f t="shared" si="37"/>
        <v>0.37390096630005903</v>
      </c>
      <c r="J823" s="2"/>
      <c r="K823" s="2" t="e">
        <f t="shared" si="38"/>
        <v>#NUM!</v>
      </c>
    </row>
    <row r="824" spans="1:11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36"/>
        <v>#DIV/0!</v>
      </c>
      <c r="I824" s="2" t="e">
        <f t="shared" si="37"/>
        <v>#DIV/0!</v>
      </c>
      <c r="J824" s="2"/>
      <c r="K824" s="2" t="e">
        <f t="shared" si="38"/>
        <v>#NUM!</v>
      </c>
    </row>
    <row r="825" spans="1:11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36"/>
        <v>#DIV/0!</v>
      </c>
      <c r="I825" s="2" t="e">
        <f t="shared" si="37"/>
        <v>#DIV/0!</v>
      </c>
      <c r="J825" s="2"/>
      <c r="K825" s="2" t="e">
        <f t="shared" si="38"/>
        <v>#NUM!</v>
      </c>
    </row>
    <row r="826" spans="1:11" ht="13.9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36"/>
        <v>#DIV/0!</v>
      </c>
      <c r="I826" s="2" t="e">
        <f t="shared" si="37"/>
        <v>#DIV/0!</v>
      </c>
      <c r="J826" s="2"/>
      <c r="K826" s="2" t="e">
        <f t="shared" si="38"/>
        <v>#NUM!</v>
      </c>
    </row>
    <row r="827" spans="1:11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 t="e">
        <f t="shared" si="36"/>
        <v>#DIV/0!</v>
      </c>
      <c r="I827" s="2" t="e">
        <f t="shared" si="37"/>
        <v>#DIV/0!</v>
      </c>
      <c r="J827" s="2"/>
      <c r="K827" s="2" t="e">
        <f t="shared" si="38"/>
        <v>#NUM!</v>
      </c>
    </row>
    <row r="828" spans="1:11" ht="13.9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36"/>
        <v>#DIV/0!</v>
      </c>
      <c r="I828" s="2" t="e">
        <f t="shared" si="37"/>
        <v>#DIV/0!</v>
      </c>
      <c r="J828" s="2"/>
      <c r="K828" s="2" t="e">
        <f t="shared" si="38"/>
        <v>#NUM!</v>
      </c>
    </row>
    <row r="829" spans="1:11" ht="13.9" x14ac:dyDescent="0.3">
      <c r="A829" s="2" t="s">
        <v>846</v>
      </c>
      <c r="B829" s="2">
        <v>0.13</v>
      </c>
      <c r="C829" s="2">
        <v>0.28999999999999998</v>
      </c>
      <c r="D829" s="2">
        <v>0</v>
      </c>
      <c r="E829" s="2">
        <v>0.76</v>
      </c>
      <c r="F829" s="2">
        <v>0.33</v>
      </c>
      <c r="G829" s="2">
        <v>3.06</v>
      </c>
      <c r="H829" s="2">
        <f t="shared" si="36"/>
        <v>-3.3046501034555269</v>
      </c>
      <c r="I829" s="2">
        <f t="shared" si="37"/>
        <v>0.21807601113585751</v>
      </c>
      <c r="J829" s="2"/>
      <c r="K829" s="2">
        <f t="shared" si="38"/>
        <v>-1.2515387669959643</v>
      </c>
    </row>
    <row r="830" spans="1:11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36"/>
        <v>#DIV/0!</v>
      </c>
      <c r="I830" s="2" t="e">
        <f t="shared" si="37"/>
        <v>#DIV/0!</v>
      </c>
      <c r="J830" s="2"/>
      <c r="K830" s="2" t="e">
        <f t="shared" si="38"/>
        <v>#NUM!</v>
      </c>
    </row>
    <row r="831" spans="1:11" ht="13.9" x14ac:dyDescent="0.3">
      <c r="A831" s="2" t="s">
        <v>848</v>
      </c>
      <c r="B831" s="2">
        <v>8.1300000000000008</v>
      </c>
      <c r="C831" s="2">
        <v>30.07</v>
      </c>
      <c r="D831" s="2">
        <v>0</v>
      </c>
      <c r="E831" s="2">
        <v>31.6</v>
      </c>
      <c r="F831" s="2">
        <v>36.81</v>
      </c>
      <c r="G831" s="2">
        <v>33.24</v>
      </c>
      <c r="H831" s="2">
        <f t="shared" si="36"/>
        <v>-1.4119656718089837</v>
      </c>
      <c r="I831" s="2">
        <f t="shared" si="37"/>
        <v>8.1018889004284042E-2</v>
      </c>
      <c r="J831" s="2"/>
      <c r="K831" s="2">
        <f t="shared" si="38"/>
        <v>5.2555007331483861</v>
      </c>
    </row>
    <row r="832" spans="1:11" ht="13.9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0.5</v>
      </c>
      <c r="F832" s="2">
        <v>1</v>
      </c>
      <c r="G832" s="2">
        <v>1.36</v>
      </c>
      <c r="H832" s="2" t="e">
        <f t="shared" si="36"/>
        <v>#NUM!</v>
      </c>
      <c r="I832" s="2">
        <f t="shared" si="37"/>
        <v>1.8726829414411176E-2</v>
      </c>
      <c r="J832" s="2"/>
      <c r="K832" s="2" t="e">
        <f t="shared" si="38"/>
        <v>#NUM!</v>
      </c>
    </row>
    <row r="833" spans="1:11" ht="13.9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1.26</v>
      </c>
      <c r="F833" s="2">
        <v>0</v>
      </c>
      <c r="G833" s="2">
        <v>0</v>
      </c>
      <c r="H833" s="2" t="e">
        <f t="shared" si="36"/>
        <v>#NUM!</v>
      </c>
      <c r="I833" s="2">
        <f t="shared" si="37"/>
        <v>0.37390096630005903</v>
      </c>
      <c r="J833" s="2"/>
      <c r="K833" s="2" t="e">
        <f t="shared" si="38"/>
        <v>#NUM!</v>
      </c>
    </row>
    <row r="834" spans="1:11" ht="13.9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0.45</v>
      </c>
      <c r="H834" s="2" t="e">
        <f t="shared" ref="H834:H897" si="39">LOG(SUM(B834:D834)/SUM(E834:G834),2)</f>
        <v>#NUM!</v>
      </c>
      <c r="I834" s="2">
        <f t="shared" ref="I834:I897" si="40">_xlfn.T.TEST(B834:D834,E834:G834,2,2)</f>
        <v>0.37390096630005903</v>
      </c>
      <c r="J834" s="2"/>
      <c r="K834" s="2" t="e">
        <f t="shared" si="38"/>
        <v>#NUM!</v>
      </c>
    </row>
    <row r="835" spans="1:11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 t="e">
        <f t="shared" si="39"/>
        <v>#DIV/0!</v>
      </c>
      <c r="I835" s="2" t="e">
        <f t="shared" si="40"/>
        <v>#DIV/0!</v>
      </c>
      <c r="J835" s="2"/>
      <c r="K835" s="2" t="e">
        <f t="shared" ref="K835:K898" si="41">LOG(SUM(B835:D835),2)</f>
        <v>#NUM!</v>
      </c>
    </row>
    <row r="836" spans="1:11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39"/>
        <v>#DIV/0!</v>
      </c>
      <c r="I836" s="2" t="e">
        <f t="shared" si="40"/>
        <v>#DIV/0!</v>
      </c>
      <c r="J836" s="2"/>
      <c r="K836" s="2" t="e">
        <f t="shared" si="41"/>
        <v>#NUM!</v>
      </c>
    </row>
    <row r="837" spans="1:11" ht="13.9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1.02</v>
      </c>
      <c r="H837" s="2" t="e">
        <f t="shared" si="39"/>
        <v>#NUM!</v>
      </c>
      <c r="I837" s="2">
        <f t="shared" si="40"/>
        <v>0.37390096630005903</v>
      </c>
      <c r="J837" s="2"/>
      <c r="K837" s="2" t="e">
        <f t="shared" si="41"/>
        <v>#NUM!</v>
      </c>
    </row>
    <row r="838" spans="1:11" ht="13.9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0.5</v>
      </c>
      <c r="F838" s="2">
        <v>0.33</v>
      </c>
      <c r="G838" s="2">
        <v>0</v>
      </c>
      <c r="H838" s="2" t="e">
        <f t="shared" si="39"/>
        <v>#NUM!</v>
      </c>
      <c r="I838" s="2">
        <f t="shared" si="40"/>
        <v>0.13252822088813548</v>
      </c>
      <c r="J838" s="2"/>
      <c r="K838" s="2" t="e">
        <f t="shared" si="41"/>
        <v>#NUM!</v>
      </c>
    </row>
    <row r="839" spans="1:11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39"/>
        <v>#DIV/0!</v>
      </c>
      <c r="I839" s="2" t="e">
        <f t="shared" si="40"/>
        <v>#DIV/0!</v>
      </c>
      <c r="J839" s="2"/>
      <c r="K839" s="2" t="e">
        <f t="shared" si="41"/>
        <v>#NUM!</v>
      </c>
    </row>
    <row r="840" spans="1:11" ht="13.9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0.55000000000000004</v>
      </c>
      <c r="G840" s="2">
        <v>0</v>
      </c>
      <c r="H840" s="2" t="e">
        <f t="shared" si="39"/>
        <v>#NUM!</v>
      </c>
      <c r="I840" s="2">
        <f t="shared" si="40"/>
        <v>0.37390096630005903</v>
      </c>
      <c r="J840" s="2"/>
      <c r="K840" s="2" t="e">
        <f t="shared" si="41"/>
        <v>#NUM!</v>
      </c>
    </row>
    <row r="841" spans="1:11" ht="13.9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3.4</v>
      </c>
      <c r="F841" s="2">
        <v>0.78</v>
      </c>
      <c r="G841" s="2">
        <v>0.79</v>
      </c>
      <c r="H841" s="2" t="e">
        <f t="shared" si="39"/>
        <v>#NUM!</v>
      </c>
      <c r="I841" s="2">
        <f t="shared" si="40"/>
        <v>0.13015427583421335</v>
      </c>
      <c r="J841" s="2"/>
      <c r="K841" s="2" t="e">
        <f t="shared" si="41"/>
        <v>#NUM!</v>
      </c>
    </row>
    <row r="842" spans="1:11" ht="13.9" x14ac:dyDescent="0.3">
      <c r="A842" s="2" t="s">
        <v>859</v>
      </c>
      <c r="B842" s="2">
        <v>0</v>
      </c>
      <c r="C842" s="2">
        <v>0</v>
      </c>
      <c r="D842" s="2">
        <v>0.26</v>
      </c>
      <c r="E842" s="2">
        <v>0</v>
      </c>
      <c r="F842" s="2">
        <v>0</v>
      </c>
      <c r="G842" s="2">
        <v>0</v>
      </c>
      <c r="H842" s="2" t="e">
        <f t="shared" si="39"/>
        <v>#DIV/0!</v>
      </c>
      <c r="I842" s="2">
        <f t="shared" si="40"/>
        <v>0.37390096630005903</v>
      </c>
      <c r="J842" s="2"/>
      <c r="K842" s="2">
        <f t="shared" si="41"/>
        <v>-1.9434164716336324</v>
      </c>
    </row>
    <row r="843" spans="1:11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39"/>
        <v>#DIV/0!</v>
      </c>
      <c r="I843" s="2" t="e">
        <f t="shared" si="40"/>
        <v>#DIV/0!</v>
      </c>
      <c r="J843" s="2"/>
      <c r="K843" s="2" t="e">
        <f t="shared" si="41"/>
        <v>#NUM!</v>
      </c>
    </row>
    <row r="844" spans="1:11" ht="13.9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0.44</v>
      </c>
      <c r="G844" s="2">
        <v>0</v>
      </c>
      <c r="H844" s="2" t="e">
        <f t="shared" si="39"/>
        <v>#NUM!</v>
      </c>
      <c r="I844" s="2">
        <f t="shared" si="40"/>
        <v>0.37390096630005903</v>
      </c>
      <c r="J844" s="2"/>
      <c r="K844" s="2" t="e">
        <f t="shared" si="41"/>
        <v>#NUM!</v>
      </c>
    </row>
    <row r="845" spans="1:11" ht="13.9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0.13</v>
      </c>
      <c r="F845" s="2">
        <v>0</v>
      </c>
      <c r="G845" s="2">
        <v>0</v>
      </c>
      <c r="H845" s="2" t="e">
        <f t="shared" si="39"/>
        <v>#NUM!</v>
      </c>
      <c r="I845" s="2">
        <f t="shared" si="40"/>
        <v>0.37390096630005903</v>
      </c>
      <c r="J845" s="2"/>
      <c r="K845" s="2" t="e">
        <f t="shared" si="41"/>
        <v>#NUM!</v>
      </c>
    </row>
    <row r="846" spans="1:11" ht="13.9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0.22</v>
      </c>
      <c r="G846" s="2">
        <v>0</v>
      </c>
      <c r="H846" s="2" t="e">
        <f t="shared" si="39"/>
        <v>#NUM!</v>
      </c>
      <c r="I846" s="2">
        <f t="shared" si="40"/>
        <v>0.37390096630005903</v>
      </c>
      <c r="J846" s="2"/>
      <c r="K846" s="2" t="e">
        <f t="shared" si="41"/>
        <v>#NUM!</v>
      </c>
    </row>
    <row r="847" spans="1:11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39"/>
        <v>#DIV/0!</v>
      </c>
      <c r="I847" s="2" t="e">
        <f t="shared" si="40"/>
        <v>#DIV/0!</v>
      </c>
      <c r="J847" s="2"/>
      <c r="K847" s="2" t="e">
        <f t="shared" si="41"/>
        <v>#NUM!</v>
      </c>
    </row>
    <row r="848" spans="1:11" ht="13.9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39"/>
        <v>#DIV/0!</v>
      </c>
      <c r="I848" s="2" t="e">
        <f t="shared" si="40"/>
        <v>#DIV/0!</v>
      </c>
      <c r="J848" s="2"/>
      <c r="K848" s="2" t="e">
        <f t="shared" si="41"/>
        <v>#NUM!</v>
      </c>
    </row>
    <row r="849" spans="1:11" ht="13.9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39"/>
        <v>#DIV/0!</v>
      </c>
      <c r="I849" s="2" t="e">
        <f t="shared" si="40"/>
        <v>#DIV/0!</v>
      </c>
      <c r="J849" s="2"/>
      <c r="K849" s="2" t="e">
        <f t="shared" si="41"/>
        <v>#NUM!</v>
      </c>
    </row>
    <row r="850" spans="1:11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39"/>
        <v>#DIV/0!</v>
      </c>
      <c r="I850" s="2" t="e">
        <f t="shared" si="40"/>
        <v>#DIV/0!</v>
      </c>
      <c r="J850" s="2"/>
      <c r="K850" s="2" t="e">
        <f t="shared" si="41"/>
        <v>#NUM!</v>
      </c>
    </row>
    <row r="851" spans="1:11" ht="13.9" x14ac:dyDescent="0.3">
      <c r="A851" s="2" t="s">
        <v>868</v>
      </c>
      <c r="B851" s="2">
        <v>0</v>
      </c>
      <c r="C851" s="2">
        <v>0.28999999999999998</v>
      </c>
      <c r="D851" s="2">
        <v>0</v>
      </c>
      <c r="E851" s="2">
        <v>15.61</v>
      </c>
      <c r="F851" s="2">
        <v>9.09</v>
      </c>
      <c r="G851" s="2">
        <v>9.08</v>
      </c>
      <c r="H851" s="2">
        <f t="shared" si="39"/>
        <v>-6.8639726176738138</v>
      </c>
      <c r="I851" s="2">
        <f t="shared" si="40"/>
        <v>6.8503716658813128E-3</v>
      </c>
      <c r="J851" s="2"/>
      <c r="K851" s="2">
        <f t="shared" si="41"/>
        <v>-1.7858751946471527</v>
      </c>
    </row>
    <row r="852" spans="1:11" ht="13.9" x14ac:dyDescent="0.3">
      <c r="A852" s="2" t="s">
        <v>869</v>
      </c>
      <c r="B852" s="2">
        <v>4.8499999999999996</v>
      </c>
      <c r="C852" s="2">
        <v>0</v>
      </c>
      <c r="D852" s="2">
        <v>0</v>
      </c>
      <c r="E852" s="2">
        <v>2.39</v>
      </c>
      <c r="F852" s="2">
        <v>1.1100000000000001</v>
      </c>
      <c r="G852" s="2">
        <v>1.93</v>
      </c>
      <c r="H852" s="2">
        <f t="shared" si="39"/>
        <v>-0.16296745072987162</v>
      </c>
      <c r="I852" s="2">
        <f t="shared" si="40"/>
        <v>0.91286739063094702</v>
      </c>
      <c r="J852" s="2"/>
      <c r="K852" s="2">
        <f t="shared" si="41"/>
        <v>2.2779847472997652</v>
      </c>
    </row>
    <row r="853" spans="1:11" ht="13.9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1.1100000000000001</v>
      </c>
      <c r="G853" s="2">
        <v>1.36</v>
      </c>
      <c r="H853" s="2" t="e">
        <f t="shared" si="39"/>
        <v>#NUM!</v>
      </c>
      <c r="I853" s="2">
        <f t="shared" si="40"/>
        <v>0.12017535872484601</v>
      </c>
      <c r="J853" s="2"/>
      <c r="K853" s="2" t="e">
        <f t="shared" si="41"/>
        <v>#NUM!</v>
      </c>
    </row>
    <row r="854" spans="1:11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 t="e">
        <f t="shared" si="39"/>
        <v>#DIV/0!</v>
      </c>
      <c r="I854" s="2" t="e">
        <f t="shared" si="40"/>
        <v>#DIV/0!</v>
      </c>
      <c r="J854" s="2"/>
      <c r="K854" s="2" t="e">
        <f t="shared" si="41"/>
        <v>#NUM!</v>
      </c>
    </row>
    <row r="855" spans="1:11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39"/>
        <v>#DIV/0!</v>
      </c>
      <c r="I855" s="2" t="e">
        <f t="shared" si="40"/>
        <v>#DIV/0!</v>
      </c>
      <c r="J855" s="2"/>
      <c r="K855" s="2" t="e">
        <f t="shared" si="41"/>
        <v>#NUM!</v>
      </c>
    </row>
    <row r="856" spans="1:11" ht="13.9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0.67</v>
      </c>
      <c r="G856" s="2">
        <v>0</v>
      </c>
      <c r="H856" s="2" t="e">
        <f t="shared" si="39"/>
        <v>#NUM!</v>
      </c>
      <c r="I856" s="2">
        <f t="shared" si="40"/>
        <v>0.37390096630005903</v>
      </c>
      <c r="J856" s="2"/>
      <c r="K856" s="2" t="e">
        <f t="shared" si="41"/>
        <v>#NUM!</v>
      </c>
    </row>
    <row r="857" spans="1:11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39"/>
        <v>#DIV/0!</v>
      </c>
      <c r="I857" s="2" t="e">
        <f t="shared" si="40"/>
        <v>#DIV/0!</v>
      </c>
      <c r="J857" s="2"/>
      <c r="K857" s="2" t="e">
        <f t="shared" si="41"/>
        <v>#NUM!</v>
      </c>
    </row>
    <row r="858" spans="1:11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39"/>
        <v>#DIV/0!</v>
      </c>
      <c r="I858" s="2" t="e">
        <f t="shared" si="40"/>
        <v>#DIV/0!</v>
      </c>
      <c r="J858" s="2"/>
      <c r="K858" s="2" t="e">
        <f t="shared" si="41"/>
        <v>#NUM!</v>
      </c>
    </row>
    <row r="859" spans="1:11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39"/>
        <v>#DIV/0!</v>
      </c>
      <c r="I859" s="2" t="e">
        <f t="shared" si="40"/>
        <v>#DIV/0!</v>
      </c>
      <c r="J859" s="2"/>
      <c r="K859" s="2" t="e">
        <f t="shared" si="41"/>
        <v>#NUM!</v>
      </c>
    </row>
    <row r="860" spans="1:11" ht="13.9" x14ac:dyDescent="0.3">
      <c r="A860" s="2" t="s">
        <v>877</v>
      </c>
      <c r="B860" s="2">
        <v>0</v>
      </c>
      <c r="C860" s="2">
        <v>0</v>
      </c>
      <c r="D860" s="2">
        <v>0</v>
      </c>
      <c r="E860" s="2">
        <v>6.17</v>
      </c>
      <c r="F860" s="2">
        <v>6.43</v>
      </c>
      <c r="G860" s="2">
        <v>10.55</v>
      </c>
      <c r="H860" s="2" t="e">
        <f t="shared" si="39"/>
        <v>#NUM!</v>
      </c>
      <c r="I860" s="2">
        <f t="shared" si="40"/>
        <v>5.5451234321560973E-3</v>
      </c>
      <c r="J860" s="2"/>
      <c r="K860" s="2" t="e">
        <f t="shared" si="41"/>
        <v>#NUM!</v>
      </c>
    </row>
    <row r="861" spans="1:11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39"/>
        <v>#DIV/0!</v>
      </c>
      <c r="I861" s="2" t="e">
        <f t="shared" si="40"/>
        <v>#DIV/0!</v>
      </c>
      <c r="J861" s="2"/>
      <c r="K861" s="2" t="e">
        <f t="shared" si="41"/>
        <v>#NUM!</v>
      </c>
    </row>
    <row r="862" spans="1:11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39"/>
        <v>#DIV/0!</v>
      </c>
      <c r="I862" s="2" t="e">
        <f t="shared" si="40"/>
        <v>#DIV/0!</v>
      </c>
      <c r="J862" s="2"/>
      <c r="K862" s="2" t="e">
        <f t="shared" si="41"/>
        <v>#NUM!</v>
      </c>
    </row>
    <row r="863" spans="1:11" ht="13.9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0.22</v>
      </c>
      <c r="G863" s="2">
        <v>0</v>
      </c>
      <c r="H863" s="2" t="e">
        <f t="shared" si="39"/>
        <v>#NUM!</v>
      </c>
      <c r="I863" s="2">
        <f t="shared" si="40"/>
        <v>0.37390096630005903</v>
      </c>
      <c r="J863" s="2"/>
      <c r="K863" s="2" t="e">
        <f t="shared" si="41"/>
        <v>#NUM!</v>
      </c>
    </row>
    <row r="864" spans="1:11" ht="13.9" x14ac:dyDescent="0.3">
      <c r="A864" s="2" t="s">
        <v>881</v>
      </c>
      <c r="B864" s="2">
        <v>5.1100000000000003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39"/>
        <v>#DIV/0!</v>
      </c>
      <c r="I864" s="2">
        <f t="shared" si="40"/>
        <v>0.37390096630005903</v>
      </c>
      <c r="J864" s="2"/>
      <c r="K864" s="2">
        <f t="shared" si="41"/>
        <v>2.3533232911628965</v>
      </c>
    </row>
    <row r="865" spans="1:11" ht="13.9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0.38</v>
      </c>
      <c r="F865" s="2">
        <v>0</v>
      </c>
      <c r="G865" s="2">
        <v>0</v>
      </c>
      <c r="H865" s="2" t="e">
        <f t="shared" si="39"/>
        <v>#NUM!</v>
      </c>
      <c r="I865" s="2">
        <f t="shared" si="40"/>
        <v>0.37390096630005903</v>
      </c>
      <c r="J865" s="2"/>
      <c r="K865" s="2" t="e">
        <f t="shared" si="41"/>
        <v>#NUM!</v>
      </c>
    </row>
    <row r="866" spans="1:11" ht="13.9" x14ac:dyDescent="0.3">
      <c r="A866" s="2" t="s">
        <v>883</v>
      </c>
      <c r="B866" s="2">
        <v>2.36</v>
      </c>
      <c r="C866" s="2">
        <v>0</v>
      </c>
      <c r="D866" s="2">
        <v>0</v>
      </c>
      <c r="E866" s="2">
        <v>1.01</v>
      </c>
      <c r="F866" s="2">
        <v>0.55000000000000004</v>
      </c>
      <c r="G866" s="2">
        <v>0</v>
      </c>
      <c r="H866" s="2">
        <f t="shared" si="39"/>
        <v>0.59724083049959298</v>
      </c>
      <c r="I866" s="2">
        <f t="shared" si="40"/>
        <v>0.76653333618039743</v>
      </c>
      <c r="J866" s="2"/>
      <c r="K866" s="2">
        <f t="shared" si="41"/>
        <v>1.2387868595871165</v>
      </c>
    </row>
    <row r="867" spans="1:11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39"/>
        <v>#DIV/0!</v>
      </c>
      <c r="I867" s="2" t="e">
        <f t="shared" si="40"/>
        <v>#DIV/0!</v>
      </c>
      <c r="J867" s="2"/>
      <c r="K867" s="2" t="e">
        <f t="shared" si="41"/>
        <v>#NUM!</v>
      </c>
    </row>
    <row r="868" spans="1:11" ht="13.9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0.33</v>
      </c>
      <c r="G868" s="2">
        <v>0.11</v>
      </c>
      <c r="H868" s="2" t="e">
        <f t="shared" si="39"/>
        <v>#NUM!</v>
      </c>
      <c r="I868" s="2">
        <f t="shared" si="40"/>
        <v>0.20510645520407783</v>
      </c>
      <c r="J868" s="2"/>
      <c r="K868" s="2" t="e">
        <f t="shared" si="41"/>
        <v>#NUM!</v>
      </c>
    </row>
    <row r="869" spans="1:11" ht="13.9" x14ac:dyDescent="0.3">
      <c r="A869" s="2" t="s">
        <v>886</v>
      </c>
      <c r="B869" s="2">
        <v>136.34</v>
      </c>
      <c r="C869" s="2">
        <v>205.61</v>
      </c>
      <c r="D869" s="2">
        <v>55.5</v>
      </c>
      <c r="E869" s="2">
        <v>125.75</v>
      </c>
      <c r="F869" s="2">
        <v>135.16999999999999</v>
      </c>
      <c r="G869" s="2">
        <v>125.93</v>
      </c>
      <c r="H869" s="2">
        <f t="shared" si="39"/>
        <v>3.8999104060152098E-2</v>
      </c>
      <c r="I869" s="2">
        <f t="shared" si="40"/>
        <v>0.93914631631798473</v>
      </c>
      <c r="J869" s="2"/>
      <c r="K869" s="2">
        <f t="shared" si="41"/>
        <v>8.6346295676831595</v>
      </c>
    </row>
    <row r="870" spans="1:11" ht="13.9" x14ac:dyDescent="0.3">
      <c r="A870" s="2" t="s">
        <v>887</v>
      </c>
      <c r="B870" s="2">
        <v>3.93</v>
      </c>
      <c r="C870" s="2">
        <v>0</v>
      </c>
      <c r="D870" s="2">
        <v>0</v>
      </c>
      <c r="E870" s="2">
        <v>0.63</v>
      </c>
      <c r="F870" s="2">
        <v>0</v>
      </c>
      <c r="G870" s="2">
        <v>0</v>
      </c>
      <c r="H870" s="2">
        <f t="shared" si="39"/>
        <v>2.6411055787586903</v>
      </c>
      <c r="I870" s="2">
        <f t="shared" si="40"/>
        <v>0.45365202971264035</v>
      </c>
      <c r="J870" s="2"/>
      <c r="K870" s="2">
        <f t="shared" si="41"/>
        <v>1.9745293124838819</v>
      </c>
    </row>
    <row r="871" spans="1:11" ht="13.9" x14ac:dyDescent="0.3">
      <c r="A871" s="2" t="s">
        <v>888</v>
      </c>
      <c r="B871" s="2">
        <v>972.87</v>
      </c>
      <c r="C871" s="2">
        <v>883.16</v>
      </c>
      <c r="D871" s="2">
        <v>555.48</v>
      </c>
      <c r="E871" s="2">
        <v>3382.1</v>
      </c>
      <c r="F871" s="2">
        <v>3469.74</v>
      </c>
      <c r="G871" s="2">
        <v>3795.98</v>
      </c>
      <c r="H871" s="2">
        <f t="shared" si="39"/>
        <v>-2.1425493902352808</v>
      </c>
      <c r="I871" s="2">
        <f t="shared" si="40"/>
        <v>1.0480774471324813E-4</v>
      </c>
      <c r="J871" s="2"/>
      <c r="K871" s="2">
        <f t="shared" si="41"/>
        <v>11.235721077312382</v>
      </c>
    </row>
    <row r="872" spans="1:11" ht="13.9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0.5</v>
      </c>
      <c r="F872" s="2">
        <v>0.44</v>
      </c>
      <c r="G872" s="2">
        <v>0.56999999999999995</v>
      </c>
      <c r="H872" s="2" t="e">
        <f t="shared" si="39"/>
        <v>#NUM!</v>
      </c>
      <c r="I872" s="2">
        <f t="shared" si="40"/>
        <v>1.7942956129714409E-4</v>
      </c>
      <c r="J872" s="2"/>
      <c r="K872" s="2" t="e">
        <f t="shared" si="41"/>
        <v>#NUM!</v>
      </c>
    </row>
    <row r="873" spans="1:11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39"/>
        <v>#DIV/0!</v>
      </c>
      <c r="I873" s="2" t="e">
        <f t="shared" si="40"/>
        <v>#DIV/0!</v>
      </c>
      <c r="J873" s="2"/>
      <c r="K873" s="2" t="e">
        <f t="shared" si="41"/>
        <v>#NUM!</v>
      </c>
    </row>
    <row r="874" spans="1:11" ht="13.9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0.25</v>
      </c>
      <c r="F874" s="2">
        <v>0.55000000000000004</v>
      </c>
      <c r="G874" s="2">
        <v>0</v>
      </c>
      <c r="H874" s="2" t="e">
        <f t="shared" si="39"/>
        <v>#NUM!</v>
      </c>
      <c r="I874" s="2">
        <f t="shared" si="40"/>
        <v>0.16879754609057537</v>
      </c>
      <c r="J874" s="2"/>
      <c r="K874" s="2" t="e">
        <f t="shared" si="41"/>
        <v>#NUM!</v>
      </c>
    </row>
    <row r="875" spans="1:11" ht="13.9" x14ac:dyDescent="0.3">
      <c r="A875" s="2" t="s">
        <v>892</v>
      </c>
      <c r="B875" s="2">
        <v>108.02</v>
      </c>
      <c r="C875" s="2">
        <v>219.2</v>
      </c>
      <c r="D875" s="2">
        <v>116.18</v>
      </c>
      <c r="E875" s="2">
        <v>171.32</v>
      </c>
      <c r="F875" s="2">
        <v>199.26</v>
      </c>
      <c r="G875" s="2">
        <v>139.19999999999999</v>
      </c>
      <c r="H875" s="2">
        <f t="shared" si="39"/>
        <v>-0.20126600357306401</v>
      </c>
      <c r="I875" s="2">
        <f t="shared" si="40"/>
        <v>0.60755794902705018</v>
      </c>
      <c r="J875" s="2"/>
      <c r="K875" s="2">
        <f t="shared" si="41"/>
        <v>8.7924649599799451</v>
      </c>
    </row>
    <row r="876" spans="1:11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39"/>
        <v>#DIV/0!</v>
      </c>
      <c r="I876" s="2" t="e">
        <f t="shared" si="40"/>
        <v>#DIV/0!</v>
      </c>
      <c r="J876" s="2"/>
      <c r="K876" s="2" t="e">
        <f t="shared" si="41"/>
        <v>#NUM!</v>
      </c>
    </row>
    <row r="877" spans="1:11" ht="13.9" x14ac:dyDescent="0.3">
      <c r="A877" s="2" t="s">
        <v>894</v>
      </c>
      <c r="B877" s="2">
        <v>3.8</v>
      </c>
      <c r="C877" s="2">
        <v>0</v>
      </c>
      <c r="D877" s="2">
        <v>5.19</v>
      </c>
      <c r="E877" s="2">
        <v>1.38</v>
      </c>
      <c r="F877" s="2">
        <v>1.1100000000000001</v>
      </c>
      <c r="G877" s="2">
        <v>0.34</v>
      </c>
      <c r="H877" s="2">
        <f t="shared" si="39"/>
        <v>1.6675190626825651</v>
      </c>
      <c r="I877" s="2">
        <f t="shared" si="40"/>
        <v>0.26412352055772292</v>
      </c>
      <c r="J877" s="2"/>
      <c r="K877" s="2">
        <f t="shared" si="41"/>
        <v>3.1683211157397229</v>
      </c>
    </row>
    <row r="878" spans="1:11" ht="13.9" x14ac:dyDescent="0.3">
      <c r="A878" s="2" t="s">
        <v>895</v>
      </c>
      <c r="B878" s="2">
        <v>0</v>
      </c>
      <c r="C878" s="2">
        <v>0</v>
      </c>
      <c r="D878" s="2">
        <v>0</v>
      </c>
      <c r="E878" s="2">
        <v>2.52</v>
      </c>
      <c r="F878" s="2">
        <v>0.44</v>
      </c>
      <c r="G878" s="2">
        <v>0.79</v>
      </c>
      <c r="H878" s="2" t="e">
        <f t="shared" si="39"/>
        <v>#NUM!</v>
      </c>
      <c r="I878" s="2">
        <f t="shared" si="40"/>
        <v>0.12380015289281761</v>
      </c>
      <c r="J878" s="2"/>
      <c r="K878" s="2" t="e">
        <f t="shared" si="41"/>
        <v>#NUM!</v>
      </c>
    </row>
    <row r="879" spans="1:11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39"/>
        <v>#DIV/0!</v>
      </c>
      <c r="I879" s="2" t="e">
        <f t="shared" si="40"/>
        <v>#DIV/0!</v>
      </c>
      <c r="J879" s="2"/>
      <c r="K879" s="2" t="e">
        <f t="shared" si="41"/>
        <v>#NUM!</v>
      </c>
    </row>
    <row r="880" spans="1:11" ht="13.9" x14ac:dyDescent="0.3">
      <c r="A880" s="2" t="s">
        <v>897</v>
      </c>
      <c r="B880" s="2">
        <v>0</v>
      </c>
      <c r="C880" s="2">
        <v>0</v>
      </c>
      <c r="D880" s="2">
        <v>0</v>
      </c>
      <c r="E880" s="2">
        <v>0.25</v>
      </c>
      <c r="F880" s="2">
        <v>0</v>
      </c>
      <c r="G880" s="2">
        <v>0</v>
      </c>
      <c r="H880" s="2" t="e">
        <f t="shared" si="39"/>
        <v>#NUM!</v>
      </c>
      <c r="I880" s="2">
        <f t="shared" si="40"/>
        <v>0.37390096630005903</v>
      </c>
      <c r="J880" s="2"/>
      <c r="K880" s="2" t="e">
        <f t="shared" si="41"/>
        <v>#NUM!</v>
      </c>
    </row>
    <row r="881" spans="1:11" ht="13.9" x14ac:dyDescent="0.3">
      <c r="A881" s="2" t="s">
        <v>898</v>
      </c>
      <c r="B881" s="2">
        <v>0</v>
      </c>
      <c r="C881" s="2">
        <v>0</v>
      </c>
      <c r="D881" s="2">
        <v>0</v>
      </c>
      <c r="E881" s="2">
        <v>1.01</v>
      </c>
      <c r="F881" s="2">
        <v>0.55000000000000004</v>
      </c>
      <c r="G881" s="2">
        <v>0.45</v>
      </c>
      <c r="H881" s="2" t="e">
        <f t="shared" si="39"/>
        <v>#NUM!</v>
      </c>
      <c r="I881" s="2">
        <f t="shared" si="40"/>
        <v>1.7757400350843507E-2</v>
      </c>
      <c r="J881" s="2"/>
      <c r="K881" s="2" t="e">
        <f t="shared" si="41"/>
        <v>#NUM!</v>
      </c>
    </row>
    <row r="882" spans="1:11" ht="13.9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0.11</v>
      </c>
      <c r="G882" s="2">
        <v>0</v>
      </c>
      <c r="H882" s="2" t="e">
        <f t="shared" si="39"/>
        <v>#NUM!</v>
      </c>
      <c r="I882" s="2">
        <f t="shared" si="40"/>
        <v>0.37390096630005903</v>
      </c>
      <c r="J882" s="2"/>
      <c r="K882" s="2" t="e">
        <f t="shared" si="41"/>
        <v>#NUM!</v>
      </c>
    </row>
    <row r="883" spans="1:11" ht="13.9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1.38</v>
      </c>
      <c r="F883" s="2">
        <v>0</v>
      </c>
      <c r="G883" s="2">
        <v>0</v>
      </c>
      <c r="H883" s="2" t="e">
        <f t="shared" si="39"/>
        <v>#NUM!</v>
      </c>
      <c r="I883" s="2">
        <f t="shared" si="40"/>
        <v>0.37390096630005903</v>
      </c>
      <c r="J883" s="2"/>
      <c r="K883" s="2" t="e">
        <f t="shared" si="41"/>
        <v>#NUM!</v>
      </c>
    </row>
    <row r="884" spans="1:11" ht="13.9" x14ac:dyDescent="0.3">
      <c r="A884" s="2" t="s">
        <v>901</v>
      </c>
      <c r="B884" s="2">
        <v>4.59</v>
      </c>
      <c r="C884" s="2">
        <v>0</v>
      </c>
      <c r="D884" s="2">
        <v>0</v>
      </c>
      <c r="E884" s="2">
        <v>2.77</v>
      </c>
      <c r="F884" s="2">
        <v>1.55</v>
      </c>
      <c r="G884" s="2">
        <v>0</v>
      </c>
      <c r="H884" s="2">
        <f t="shared" si="39"/>
        <v>8.7462841250339401E-2</v>
      </c>
      <c r="I884" s="2">
        <f t="shared" si="40"/>
        <v>0.96094223997988926</v>
      </c>
      <c r="J884" s="2"/>
      <c r="K884" s="2">
        <f t="shared" si="41"/>
        <v>2.1984941536390834</v>
      </c>
    </row>
    <row r="885" spans="1:11" ht="13.9" x14ac:dyDescent="0.3">
      <c r="A885" s="2" t="s">
        <v>902</v>
      </c>
      <c r="B885" s="2">
        <v>0</v>
      </c>
      <c r="C885" s="2">
        <v>0</v>
      </c>
      <c r="D885" s="2">
        <v>6.48</v>
      </c>
      <c r="E885" s="2">
        <v>0</v>
      </c>
      <c r="F885" s="2">
        <v>0</v>
      </c>
      <c r="G885" s="2">
        <v>0</v>
      </c>
      <c r="H885" s="2" t="e">
        <f t="shared" si="39"/>
        <v>#DIV/0!</v>
      </c>
      <c r="I885" s="2">
        <f t="shared" si="40"/>
        <v>0.37390096630005903</v>
      </c>
      <c r="J885" s="2"/>
      <c r="K885" s="2">
        <f t="shared" si="41"/>
        <v>2.6959938131098999</v>
      </c>
    </row>
    <row r="886" spans="1:11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39"/>
        <v>#DIV/0!</v>
      </c>
      <c r="I886" s="2" t="e">
        <f t="shared" si="40"/>
        <v>#DIV/0!</v>
      </c>
      <c r="J886" s="2"/>
      <c r="K886" s="2" t="e">
        <f t="shared" si="41"/>
        <v>#NUM!</v>
      </c>
    </row>
    <row r="887" spans="1:11" ht="13.9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1.44</v>
      </c>
      <c r="G887" s="2">
        <v>1.25</v>
      </c>
      <c r="H887" s="2" t="e">
        <f t="shared" si="39"/>
        <v>#NUM!</v>
      </c>
      <c r="I887" s="2">
        <f t="shared" si="40"/>
        <v>0.11809710147660149</v>
      </c>
      <c r="J887" s="2"/>
      <c r="K887" s="2" t="e">
        <f t="shared" si="41"/>
        <v>#NUM!</v>
      </c>
    </row>
    <row r="888" spans="1:11" ht="13.9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</v>
      </c>
      <c r="F888" s="2">
        <v>1.66</v>
      </c>
      <c r="G888" s="2">
        <v>0</v>
      </c>
      <c r="H888" s="2" t="e">
        <f t="shared" si="39"/>
        <v>#NUM!</v>
      </c>
      <c r="I888" s="2">
        <f t="shared" si="40"/>
        <v>0.37390096630005903</v>
      </c>
      <c r="J888" s="2"/>
      <c r="K888" s="2" t="e">
        <f t="shared" si="41"/>
        <v>#NUM!</v>
      </c>
    </row>
    <row r="889" spans="1:11" ht="13.9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0.11</v>
      </c>
      <c r="G889" s="2">
        <v>0</v>
      </c>
      <c r="H889" s="2" t="e">
        <f t="shared" si="39"/>
        <v>#NUM!</v>
      </c>
      <c r="I889" s="2">
        <f t="shared" si="40"/>
        <v>0.37390096630005903</v>
      </c>
      <c r="J889" s="2"/>
      <c r="K889" s="2" t="e">
        <f t="shared" si="41"/>
        <v>#NUM!</v>
      </c>
    </row>
    <row r="890" spans="1:11" ht="13.9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0.33</v>
      </c>
      <c r="G890" s="2">
        <v>1.93</v>
      </c>
      <c r="H890" s="2" t="e">
        <f t="shared" si="39"/>
        <v>#NUM!</v>
      </c>
      <c r="I890" s="2">
        <f t="shared" si="40"/>
        <v>0.27487439760315191</v>
      </c>
      <c r="J890" s="2"/>
      <c r="K890" s="2" t="e">
        <f t="shared" si="41"/>
        <v>#NUM!</v>
      </c>
    </row>
    <row r="891" spans="1:11" ht="13.9" x14ac:dyDescent="0.3">
      <c r="A891" s="2" t="s">
        <v>908</v>
      </c>
      <c r="B891" s="2">
        <v>0.13</v>
      </c>
      <c r="C891" s="2">
        <v>0</v>
      </c>
      <c r="D891" s="2">
        <v>16.079999999999998</v>
      </c>
      <c r="E891" s="2">
        <v>1.26</v>
      </c>
      <c r="F891" s="2">
        <v>0</v>
      </c>
      <c r="G891" s="2">
        <v>0.56999999999999995</v>
      </c>
      <c r="H891" s="2">
        <f t="shared" si="39"/>
        <v>3.1469685372334988</v>
      </c>
      <c r="I891" s="2">
        <f t="shared" si="40"/>
        <v>0.42099458977280946</v>
      </c>
      <c r="J891" s="2"/>
      <c r="K891" s="2">
        <f t="shared" si="41"/>
        <v>4.0188121857428163</v>
      </c>
    </row>
    <row r="892" spans="1:11" ht="13.9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0.63</v>
      </c>
      <c r="F892" s="2">
        <v>0.22</v>
      </c>
      <c r="G892" s="2">
        <v>0</v>
      </c>
      <c r="H892" s="2" t="e">
        <f t="shared" si="39"/>
        <v>#NUM!</v>
      </c>
      <c r="I892" s="2">
        <f t="shared" si="40"/>
        <v>0.1996154985400517</v>
      </c>
      <c r="J892" s="2"/>
      <c r="K892" s="2" t="e">
        <f t="shared" si="41"/>
        <v>#NUM!</v>
      </c>
    </row>
    <row r="893" spans="1:11" s="7" customFormat="1" ht="13.9" x14ac:dyDescent="0.3">
      <c r="A893" s="6" t="s">
        <v>956</v>
      </c>
      <c r="B893" s="6">
        <v>33.43</v>
      </c>
      <c r="C893" s="6">
        <v>8.1</v>
      </c>
      <c r="D893" s="6">
        <v>28.53</v>
      </c>
      <c r="E893" s="6">
        <v>0</v>
      </c>
      <c r="F893" s="6">
        <v>0.44</v>
      </c>
      <c r="G893" s="6">
        <v>0</v>
      </c>
      <c r="H893" s="6">
        <f t="shared" si="39"/>
        <v>7.3149436541647663</v>
      </c>
      <c r="I893" s="6">
        <f t="shared" si="40"/>
        <v>4.0287338441343155E-2</v>
      </c>
      <c r="J893" s="6"/>
      <c r="K893" s="2">
        <f t="shared" si="41"/>
        <v>6.1305190830273384</v>
      </c>
    </row>
    <row r="894" spans="1:11" ht="13.9" x14ac:dyDescent="0.3">
      <c r="A894" s="2" t="s">
        <v>911</v>
      </c>
      <c r="B894" s="2">
        <v>0</v>
      </c>
      <c r="C894" s="2">
        <v>0</v>
      </c>
      <c r="D894" s="2">
        <v>0</v>
      </c>
      <c r="E894" s="2">
        <v>0.25</v>
      </c>
      <c r="F894" s="2">
        <v>1</v>
      </c>
      <c r="G894" s="2">
        <v>1.02</v>
      </c>
      <c r="H894" s="2" t="e">
        <f t="shared" si="39"/>
        <v>#NUM!</v>
      </c>
      <c r="I894" s="2">
        <f t="shared" si="40"/>
        <v>4.049519518170943E-2</v>
      </c>
      <c r="J894" s="2"/>
      <c r="K894" s="2" t="e">
        <f t="shared" si="41"/>
        <v>#NUM!</v>
      </c>
    </row>
    <row r="895" spans="1:11" ht="13.9" x14ac:dyDescent="0.3">
      <c r="A895" s="2" t="s">
        <v>912</v>
      </c>
      <c r="B895" s="2">
        <v>0.79</v>
      </c>
      <c r="C895" s="2">
        <v>17.64</v>
      </c>
      <c r="D895" s="2">
        <v>0</v>
      </c>
      <c r="E895" s="2">
        <v>11.58</v>
      </c>
      <c r="F895" s="2">
        <v>11.98</v>
      </c>
      <c r="G895" s="2">
        <v>15.43</v>
      </c>
      <c r="H895" s="2">
        <f t="shared" si="39"/>
        <v>-1.0810480837669227</v>
      </c>
      <c r="I895" s="2">
        <f t="shared" si="40"/>
        <v>0.30865407798302696</v>
      </c>
      <c r="J895" s="2"/>
      <c r="K895" s="2">
        <f t="shared" si="41"/>
        <v>4.2039841658559887</v>
      </c>
    </row>
    <row r="896" spans="1:11" ht="13.9" x14ac:dyDescent="0.3">
      <c r="A896" s="2" t="s">
        <v>913</v>
      </c>
      <c r="B896" s="2">
        <v>0</v>
      </c>
      <c r="C896" s="2">
        <v>0</v>
      </c>
      <c r="D896" s="2">
        <v>0</v>
      </c>
      <c r="E896" s="2">
        <v>0.38</v>
      </c>
      <c r="F896" s="2">
        <v>0.33</v>
      </c>
      <c r="G896" s="2">
        <v>0</v>
      </c>
      <c r="H896" s="2" t="e">
        <f t="shared" si="39"/>
        <v>#NUM!</v>
      </c>
      <c r="I896" s="2">
        <f t="shared" si="40"/>
        <v>0.11808539554779858</v>
      </c>
      <c r="J896" s="2"/>
      <c r="K896" s="2" t="e">
        <f t="shared" si="41"/>
        <v>#NUM!</v>
      </c>
    </row>
    <row r="897" spans="1:11" ht="13.9" x14ac:dyDescent="0.3">
      <c r="A897" s="2" t="s">
        <v>914</v>
      </c>
      <c r="B897" s="2">
        <v>8.65</v>
      </c>
      <c r="C897" s="2">
        <v>0</v>
      </c>
      <c r="D897" s="2">
        <v>0</v>
      </c>
      <c r="E897" s="2">
        <v>1.01</v>
      </c>
      <c r="F897" s="2">
        <v>0.55000000000000004</v>
      </c>
      <c r="G897" s="2">
        <v>0</v>
      </c>
      <c r="H897" s="2">
        <f t="shared" si="39"/>
        <v>2.4711541036618385</v>
      </c>
      <c r="I897" s="2">
        <f t="shared" si="40"/>
        <v>0.46056776880674916</v>
      </c>
      <c r="J897" s="2"/>
      <c r="K897" s="2">
        <f t="shared" si="41"/>
        <v>3.1127001327493624</v>
      </c>
    </row>
    <row r="898" spans="1:11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42">LOG(SUM(B898:D898)/SUM(E898:G898),2)</f>
        <v>#DIV/0!</v>
      </c>
      <c r="I898" s="2" t="e">
        <f t="shared" ref="I898:I926" si="43">_xlfn.T.TEST(B898:D898,E898:G898,2,2)</f>
        <v>#DIV/0!</v>
      </c>
      <c r="J898" s="2"/>
      <c r="K898" s="2" t="e">
        <f t="shared" si="41"/>
        <v>#NUM!</v>
      </c>
    </row>
    <row r="899" spans="1:11" ht="13.9" x14ac:dyDescent="0.3">
      <c r="A899" s="2" t="s">
        <v>916</v>
      </c>
      <c r="B899" s="2">
        <v>9.18</v>
      </c>
      <c r="C899" s="2">
        <v>0</v>
      </c>
      <c r="D899" s="2">
        <v>0</v>
      </c>
      <c r="E899" s="2">
        <v>24.04</v>
      </c>
      <c r="F899" s="2">
        <v>19.63</v>
      </c>
      <c r="G899" s="2">
        <v>29.5</v>
      </c>
      <c r="H899" s="2">
        <f t="shared" si="42"/>
        <v>-2.9946862001035321</v>
      </c>
      <c r="I899" s="2">
        <f t="shared" si="43"/>
        <v>6.9969505312228652E-3</v>
      </c>
      <c r="J899" s="2"/>
      <c r="K899" s="2">
        <f t="shared" ref="K899:K926" si="44">LOG(SUM(B899:D899),2)</f>
        <v>3.198494153639083</v>
      </c>
    </row>
    <row r="900" spans="1:11" ht="13.9" x14ac:dyDescent="0.3">
      <c r="A900" s="2" t="s">
        <v>917</v>
      </c>
      <c r="B900" s="2">
        <v>0</v>
      </c>
      <c r="C900" s="2">
        <v>12.72</v>
      </c>
      <c r="D900" s="2">
        <v>0</v>
      </c>
      <c r="E900" s="2">
        <v>0.5</v>
      </c>
      <c r="F900" s="2">
        <v>1</v>
      </c>
      <c r="G900" s="2">
        <v>0.11</v>
      </c>
      <c r="H900" s="2">
        <f t="shared" si="42"/>
        <v>2.9819660771697385</v>
      </c>
      <c r="I900" s="2">
        <f t="shared" si="43"/>
        <v>0.43251004382403968</v>
      </c>
      <c r="J900" s="2"/>
      <c r="K900" s="2">
        <f t="shared" si="44"/>
        <v>3.6690267655096305</v>
      </c>
    </row>
    <row r="901" spans="1:11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42"/>
        <v>#DIV/0!</v>
      </c>
      <c r="I901" s="2" t="e">
        <f t="shared" si="43"/>
        <v>#DIV/0!</v>
      </c>
      <c r="J901" s="2"/>
      <c r="K901" s="2" t="e">
        <f t="shared" si="44"/>
        <v>#NUM!</v>
      </c>
    </row>
    <row r="902" spans="1:11" ht="13.9" x14ac:dyDescent="0.3">
      <c r="A902" s="2" t="s">
        <v>919</v>
      </c>
      <c r="B902" s="2">
        <v>6155.23</v>
      </c>
      <c r="C902" s="2">
        <v>6502.81</v>
      </c>
      <c r="D902" s="2">
        <v>3138.37</v>
      </c>
      <c r="E902" s="2">
        <v>13294.25</v>
      </c>
      <c r="F902" s="2">
        <v>13356.93</v>
      </c>
      <c r="G902" s="2">
        <v>11289.25</v>
      </c>
      <c r="H902" s="2">
        <f t="shared" si="42"/>
        <v>-1.2641393107792682</v>
      </c>
      <c r="I902" s="2">
        <f t="shared" si="43"/>
        <v>4.3092266947983831E-3</v>
      </c>
      <c r="J902" s="2"/>
      <c r="K902" s="2">
        <f t="shared" si="44"/>
        <v>13.947309098477719</v>
      </c>
    </row>
    <row r="903" spans="1:11" ht="13.9" x14ac:dyDescent="0.3">
      <c r="A903" s="2" t="s">
        <v>920</v>
      </c>
      <c r="B903" s="2">
        <v>0.52</v>
      </c>
      <c r="C903" s="2">
        <v>0.28999999999999998</v>
      </c>
      <c r="D903" s="2">
        <v>0.26</v>
      </c>
      <c r="E903" s="2">
        <v>11.71</v>
      </c>
      <c r="F903" s="2">
        <v>5.32</v>
      </c>
      <c r="G903" s="2">
        <v>7.49</v>
      </c>
      <c r="H903" s="2">
        <f t="shared" si="42"/>
        <v>-4.5182762772896341</v>
      </c>
      <c r="I903" s="2">
        <f t="shared" si="43"/>
        <v>1.4114756939392506E-2</v>
      </c>
      <c r="J903" s="2"/>
      <c r="K903" s="2">
        <f t="shared" si="44"/>
        <v>9.7610796626422344E-2</v>
      </c>
    </row>
    <row r="904" spans="1:11" ht="13.9" x14ac:dyDescent="0.3">
      <c r="A904" s="2" t="s">
        <v>921</v>
      </c>
      <c r="B904" s="2">
        <v>3.41</v>
      </c>
      <c r="C904" s="2">
        <v>0</v>
      </c>
      <c r="D904" s="2">
        <v>0</v>
      </c>
      <c r="E904" s="2">
        <v>3.9</v>
      </c>
      <c r="F904" s="2">
        <v>0.89</v>
      </c>
      <c r="G904" s="2">
        <v>1.47</v>
      </c>
      <c r="H904" s="2">
        <f t="shared" si="42"/>
        <v>-0.87639091790844592</v>
      </c>
      <c r="I904" s="2">
        <f t="shared" si="43"/>
        <v>0.55166625033418226</v>
      </c>
      <c r="J904" s="2"/>
      <c r="K904" s="2">
        <f t="shared" si="44"/>
        <v>1.7697717392494476</v>
      </c>
    </row>
    <row r="905" spans="1:11" ht="13.9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0.22</v>
      </c>
      <c r="G905" s="2">
        <v>0</v>
      </c>
      <c r="H905" s="2" t="e">
        <f t="shared" si="42"/>
        <v>#NUM!</v>
      </c>
      <c r="I905" s="2">
        <f t="shared" si="43"/>
        <v>0.37390096630005903</v>
      </c>
      <c r="J905" s="2"/>
      <c r="K905" s="2" t="e">
        <f t="shared" si="44"/>
        <v>#NUM!</v>
      </c>
    </row>
    <row r="906" spans="1:11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42"/>
        <v>#DIV/0!</v>
      </c>
      <c r="I906" s="2" t="e">
        <f t="shared" si="43"/>
        <v>#DIV/0!</v>
      </c>
      <c r="J906" s="2"/>
      <c r="K906" s="2" t="e">
        <f t="shared" si="44"/>
        <v>#NUM!</v>
      </c>
    </row>
    <row r="907" spans="1:11" ht="13.9" x14ac:dyDescent="0.3">
      <c r="A907" s="2" t="s">
        <v>924</v>
      </c>
      <c r="B907" s="2">
        <v>0</v>
      </c>
      <c r="C907" s="2">
        <v>7.52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42"/>
        <v>#DIV/0!</v>
      </c>
      <c r="I907" s="2">
        <f t="shared" si="43"/>
        <v>0.37390096630005903</v>
      </c>
      <c r="J907" s="2"/>
      <c r="K907" s="2">
        <f t="shared" si="44"/>
        <v>2.9107326619029124</v>
      </c>
    </row>
    <row r="908" spans="1:11" ht="13.9" x14ac:dyDescent="0.3">
      <c r="A908" s="2" t="s">
        <v>925</v>
      </c>
      <c r="B908" s="2">
        <v>82.33</v>
      </c>
      <c r="C908" s="2">
        <v>54.37</v>
      </c>
      <c r="D908" s="2">
        <v>105.29</v>
      </c>
      <c r="E908" s="2">
        <v>77.540000000000006</v>
      </c>
      <c r="F908" s="2">
        <v>76.180000000000007</v>
      </c>
      <c r="G908" s="2">
        <v>60.24</v>
      </c>
      <c r="H908" s="2">
        <f t="shared" si="42"/>
        <v>0.17760632197385146</v>
      </c>
      <c r="I908" s="2">
        <f t="shared" si="43"/>
        <v>0.58461704214038379</v>
      </c>
      <c r="J908" s="2"/>
      <c r="K908" s="2">
        <f t="shared" si="44"/>
        <v>7.9188036205452779</v>
      </c>
    </row>
    <row r="909" spans="1:11" ht="13.9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0.76</v>
      </c>
      <c r="F909" s="2">
        <v>0.11</v>
      </c>
      <c r="G909" s="2">
        <v>0</v>
      </c>
      <c r="H909" s="2" t="e">
        <f t="shared" si="42"/>
        <v>#NUM!</v>
      </c>
      <c r="I909" s="2">
        <f t="shared" si="43"/>
        <v>0.2884792214302897</v>
      </c>
      <c r="J909" s="2"/>
      <c r="K909" s="2" t="e">
        <f t="shared" si="44"/>
        <v>#NUM!</v>
      </c>
    </row>
    <row r="910" spans="1:11" ht="13.9" x14ac:dyDescent="0.3">
      <c r="A910" s="2" t="s">
        <v>927</v>
      </c>
      <c r="B910" s="2">
        <v>2.1</v>
      </c>
      <c r="C910" s="2">
        <v>0</v>
      </c>
      <c r="D910" s="2">
        <v>7</v>
      </c>
      <c r="E910" s="2">
        <v>1.01</v>
      </c>
      <c r="F910" s="2">
        <v>0.44</v>
      </c>
      <c r="G910" s="2">
        <v>1.25</v>
      </c>
      <c r="H910" s="2">
        <f t="shared" si="42"/>
        <v>1.7529071380352277</v>
      </c>
      <c r="I910" s="2">
        <f t="shared" si="43"/>
        <v>0.36463470081800076</v>
      </c>
      <c r="J910" s="2"/>
      <c r="K910" s="2">
        <f t="shared" si="44"/>
        <v>3.1858665453113337</v>
      </c>
    </row>
    <row r="911" spans="1:11" ht="13.9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0.33</v>
      </c>
      <c r="G911" s="2">
        <v>0</v>
      </c>
      <c r="H911" s="2" t="e">
        <f t="shared" si="42"/>
        <v>#NUM!</v>
      </c>
      <c r="I911" s="2">
        <f t="shared" si="43"/>
        <v>0.37390096630005903</v>
      </c>
      <c r="J911" s="2"/>
      <c r="K911" s="2" t="e">
        <f t="shared" si="44"/>
        <v>#NUM!</v>
      </c>
    </row>
    <row r="912" spans="1:11" ht="13.9" x14ac:dyDescent="0.3">
      <c r="A912" s="2" t="s">
        <v>929</v>
      </c>
      <c r="B912" s="2">
        <v>88.88</v>
      </c>
      <c r="C912" s="2">
        <v>115.67</v>
      </c>
      <c r="D912" s="2">
        <v>30.86</v>
      </c>
      <c r="E912" s="2">
        <v>245.84</v>
      </c>
      <c r="F912" s="2">
        <v>245.49</v>
      </c>
      <c r="G912" s="2">
        <v>167.56</v>
      </c>
      <c r="H912" s="2">
        <f t="shared" si="42"/>
        <v>-1.4848620250548199</v>
      </c>
      <c r="I912" s="2">
        <f t="shared" si="43"/>
        <v>1.741458986516943E-2</v>
      </c>
      <c r="J912" s="2"/>
      <c r="K912" s="2">
        <f t="shared" si="44"/>
        <v>7.8790317958094631</v>
      </c>
    </row>
    <row r="913" spans="1:11" ht="13.9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1.33</v>
      </c>
      <c r="G913" s="2">
        <v>0</v>
      </c>
      <c r="H913" s="2" t="e">
        <f t="shared" si="42"/>
        <v>#NUM!</v>
      </c>
      <c r="I913" s="2">
        <f t="shared" si="43"/>
        <v>0.37390096630005903</v>
      </c>
      <c r="J913" s="2"/>
      <c r="K913" s="2" t="e">
        <f t="shared" si="44"/>
        <v>#NUM!</v>
      </c>
    </row>
    <row r="914" spans="1:11" ht="13.9" x14ac:dyDescent="0.3">
      <c r="A914" s="2" t="s">
        <v>931</v>
      </c>
      <c r="B914" s="2">
        <v>9.57</v>
      </c>
      <c r="C914" s="2">
        <v>8.9600000000000009</v>
      </c>
      <c r="D914" s="2">
        <v>1.3</v>
      </c>
      <c r="E914" s="2">
        <v>16.489999999999998</v>
      </c>
      <c r="F914" s="2">
        <v>9.98</v>
      </c>
      <c r="G914" s="2">
        <v>13.5</v>
      </c>
      <c r="H914" s="2">
        <f t="shared" si="42"/>
        <v>-1.011232895191599</v>
      </c>
      <c r="I914" s="2">
        <f t="shared" si="43"/>
        <v>0.10844161500323465</v>
      </c>
      <c r="J914" s="2"/>
      <c r="K914" s="2">
        <f t="shared" si="44"/>
        <v>4.3096127724541233</v>
      </c>
    </row>
    <row r="915" spans="1:11" ht="13.9" x14ac:dyDescent="0.3">
      <c r="A915" s="2" t="s">
        <v>932</v>
      </c>
      <c r="B915" s="2">
        <v>0.79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42"/>
        <v>#DIV/0!</v>
      </c>
      <c r="I915" s="2">
        <f t="shared" si="43"/>
        <v>0.37390096630005903</v>
      </c>
      <c r="J915" s="2"/>
      <c r="K915" s="2">
        <f t="shared" si="44"/>
        <v>-0.34007544159762171</v>
      </c>
    </row>
    <row r="916" spans="1:11" ht="13.9" x14ac:dyDescent="0.3">
      <c r="A916" s="2" t="s">
        <v>933</v>
      </c>
      <c r="B916" s="2">
        <v>0</v>
      </c>
      <c r="C916" s="2">
        <v>11.28</v>
      </c>
      <c r="D916" s="2">
        <v>6.74</v>
      </c>
      <c r="E916" s="2">
        <v>37.26</v>
      </c>
      <c r="F916" s="2">
        <v>19.29</v>
      </c>
      <c r="G916" s="2">
        <v>13.16</v>
      </c>
      <c r="H916" s="2">
        <f t="shared" si="42"/>
        <v>-1.9517666164713139</v>
      </c>
      <c r="I916" s="2">
        <f t="shared" si="43"/>
        <v>9.5786977641947463E-2</v>
      </c>
      <c r="J916" s="2"/>
      <c r="K916" s="2">
        <f t="shared" si="44"/>
        <v>4.1715271060388135</v>
      </c>
    </row>
    <row r="917" spans="1:11" ht="13.9" x14ac:dyDescent="0.3">
      <c r="A917" s="2" t="s">
        <v>934</v>
      </c>
      <c r="B917" s="2">
        <v>0</v>
      </c>
      <c r="C917" s="2">
        <v>31.23</v>
      </c>
      <c r="D917" s="2">
        <v>2.0699999999999998</v>
      </c>
      <c r="E917" s="2">
        <v>43.43</v>
      </c>
      <c r="F917" s="2">
        <v>34.15</v>
      </c>
      <c r="G917" s="2">
        <v>38.799999999999997</v>
      </c>
      <c r="H917" s="2">
        <f t="shared" si="42"/>
        <v>-1.8052490687926988</v>
      </c>
      <c r="I917" s="2">
        <f t="shared" si="43"/>
        <v>5.6713849474500887E-2</v>
      </c>
      <c r="J917" s="2"/>
      <c r="K917" s="2">
        <f t="shared" si="44"/>
        <v>5.0574502721838996</v>
      </c>
    </row>
    <row r="918" spans="1:11" ht="13.9" x14ac:dyDescent="0.3">
      <c r="A918" s="2" t="s">
        <v>935</v>
      </c>
      <c r="B918" s="2">
        <v>0</v>
      </c>
      <c r="C918" s="2">
        <v>0</v>
      </c>
      <c r="D918" s="2">
        <v>0</v>
      </c>
      <c r="E918" s="2">
        <v>5.41</v>
      </c>
      <c r="F918" s="2">
        <v>0.67</v>
      </c>
      <c r="G918" s="2">
        <v>1.47</v>
      </c>
      <c r="H918" s="2" t="e">
        <f t="shared" si="42"/>
        <v>#NUM!</v>
      </c>
      <c r="I918" s="2">
        <f t="shared" si="43"/>
        <v>0.16094890290174124</v>
      </c>
      <c r="J918" s="2"/>
      <c r="K918" s="2" t="e">
        <f t="shared" si="44"/>
        <v>#NUM!</v>
      </c>
    </row>
    <row r="919" spans="1:11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 t="e">
        <f t="shared" si="42"/>
        <v>#DIV/0!</v>
      </c>
      <c r="I919" s="2" t="e">
        <f t="shared" si="43"/>
        <v>#DIV/0!</v>
      </c>
      <c r="J919" s="2"/>
      <c r="K919" s="2" t="e">
        <f t="shared" si="44"/>
        <v>#NUM!</v>
      </c>
    </row>
    <row r="920" spans="1:11" s="7" customFormat="1" ht="13.9" x14ac:dyDescent="0.3">
      <c r="A920" s="6" t="s">
        <v>937</v>
      </c>
      <c r="B920" s="6">
        <v>810.57</v>
      </c>
      <c r="C920" s="6">
        <v>475.12</v>
      </c>
      <c r="D920" s="6">
        <v>709.26</v>
      </c>
      <c r="E920" s="6">
        <v>386.07</v>
      </c>
      <c r="F920" s="6">
        <v>407.72</v>
      </c>
      <c r="G920" s="6">
        <v>385.27</v>
      </c>
      <c r="H920" s="6">
        <f t="shared" si="42"/>
        <v>0.75871545217954828</v>
      </c>
      <c r="I920" s="6">
        <f t="shared" si="43"/>
        <v>5.2422215251804266E-2</v>
      </c>
      <c r="J920" s="6"/>
      <c r="K920" s="2">
        <f t="shared" si="44"/>
        <v>10.962136872886148</v>
      </c>
    </row>
    <row r="921" spans="1:11" ht="13.9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1.38</v>
      </c>
      <c r="F921" s="2">
        <v>1.44</v>
      </c>
      <c r="G921" s="2">
        <v>0</v>
      </c>
      <c r="H921" s="2" t="e">
        <f t="shared" si="42"/>
        <v>#NUM!</v>
      </c>
      <c r="I921" s="2">
        <f t="shared" si="43"/>
        <v>0.11629655068051944</v>
      </c>
      <c r="J921" s="2"/>
      <c r="K921" s="2" t="e">
        <f t="shared" si="44"/>
        <v>#NUM!</v>
      </c>
    </row>
    <row r="922" spans="1:11" ht="13.9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0.45</v>
      </c>
      <c r="H922" s="2" t="e">
        <f t="shared" si="42"/>
        <v>#NUM!</v>
      </c>
      <c r="I922" s="2">
        <f t="shared" si="43"/>
        <v>0.37390096630005903</v>
      </c>
      <c r="J922" s="2"/>
      <c r="K922" s="2" t="e">
        <f t="shared" si="44"/>
        <v>#NUM!</v>
      </c>
    </row>
    <row r="923" spans="1:11" ht="13.9" x14ac:dyDescent="0.3">
      <c r="A923" s="2" t="s">
        <v>940</v>
      </c>
      <c r="B923" s="2">
        <v>0</v>
      </c>
      <c r="C923" s="2">
        <v>0.57999999999999996</v>
      </c>
      <c r="D923" s="2">
        <v>0.26</v>
      </c>
      <c r="E923" s="2">
        <v>4.53</v>
      </c>
      <c r="F923" s="2">
        <v>1.33</v>
      </c>
      <c r="G923" s="2">
        <v>3.74</v>
      </c>
      <c r="H923" s="2">
        <f t="shared" si="42"/>
        <v>-3.5145731728297589</v>
      </c>
      <c r="I923" s="2">
        <f t="shared" si="43"/>
        <v>4.0378178247889626E-2</v>
      </c>
      <c r="J923" s="2"/>
      <c r="K923" s="2">
        <f t="shared" si="44"/>
        <v>-0.2515387669959645</v>
      </c>
    </row>
    <row r="924" spans="1:11" ht="13.9" x14ac:dyDescent="0.3">
      <c r="A924" s="2" t="s">
        <v>941</v>
      </c>
      <c r="B924" s="2">
        <v>3.41</v>
      </c>
      <c r="C924" s="2">
        <v>17.64</v>
      </c>
      <c r="D924" s="2">
        <v>5.96</v>
      </c>
      <c r="E924" s="2">
        <v>32.6</v>
      </c>
      <c r="F924" s="2">
        <v>23.29</v>
      </c>
      <c r="G924" s="2">
        <v>23.03</v>
      </c>
      <c r="H924" s="2">
        <f t="shared" si="42"/>
        <v>-1.5468973162145914</v>
      </c>
      <c r="I924" s="2">
        <f t="shared" si="43"/>
        <v>3.265764637883925E-2</v>
      </c>
      <c r="J924" s="2"/>
      <c r="K924" s="2">
        <f t="shared" si="44"/>
        <v>4.7554217347342425</v>
      </c>
    </row>
    <row r="925" spans="1:11" ht="13.9" x14ac:dyDescent="0.3">
      <c r="A925" s="2" t="s">
        <v>942</v>
      </c>
      <c r="B925" s="2">
        <v>0</v>
      </c>
      <c r="C925" s="2">
        <v>0</v>
      </c>
      <c r="D925" s="2">
        <v>0</v>
      </c>
      <c r="E925" s="2">
        <v>2.64</v>
      </c>
      <c r="F925" s="2">
        <v>5.54</v>
      </c>
      <c r="G925" s="2">
        <v>2.61</v>
      </c>
      <c r="H925" s="2" t="e">
        <f t="shared" si="42"/>
        <v>#NUM!</v>
      </c>
      <c r="I925" s="2">
        <f t="shared" si="43"/>
        <v>2.080997959167322E-2</v>
      </c>
      <c r="J925" s="2"/>
      <c r="K925" s="2" t="e">
        <f t="shared" si="44"/>
        <v>#NUM!</v>
      </c>
    </row>
    <row r="926" spans="1:11" ht="13.9" x14ac:dyDescent="0.3">
      <c r="A926" s="2" t="s">
        <v>943</v>
      </c>
      <c r="B926" s="2">
        <v>39.33</v>
      </c>
      <c r="C926" s="2">
        <v>20.82</v>
      </c>
      <c r="D926" s="2">
        <v>4.41</v>
      </c>
      <c r="E926" s="2">
        <v>96.17</v>
      </c>
      <c r="F926" s="2">
        <v>108.78</v>
      </c>
      <c r="G926" s="2">
        <v>61.83</v>
      </c>
      <c r="H926" s="2">
        <f t="shared" si="42"/>
        <v>-2.0469380306863996</v>
      </c>
      <c r="I926" s="2">
        <f t="shared" si="43"/>
        <v>1.7524003339743754E-2</v>
      </c>
      <c r="J926" s="2"/>
      <c r="K926" s="2">
        <f t="shared" si="44"/>
        <v>6.0125686735030559</v>
      </c>
    </row>
  </sheetData>
  <phoneticPr fontId="1" type="noConversion"/>
  <conditionalFormatting sqref="I1:I1048576">
    <cfRule type="cellIs" dxfId="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C752-1CDF-42A8-8388-CCAA962644F9}">
  <dimension ref="A1:K926"/>
  <sheetViews>
    <sheetView tabSelected="1" workbookViewId="0">
      <selection activeCell="K1" sqref="K1:K1048576"/>
    </sheetView>
  </sheetViews>
  <sheetFormatPr defaultRowHeight="13.5" x14ac:dyDescent="0.3"/>
  <cols>
    <col min="1" max="1" width="18.3984375" bestFit="1" customWidth="1"/>
    <col min="2" max="3" width="8.9296875" customWidth="1"/>
    <col min="8" max="8" width="16.1328125" style="1" bestFit="1" customWidth="1"/>
    <col min="9" max="9" width="10.46484375" style="1" customWidth="1"/>
    <col min="11" max="11" width="16.1328125" style="1" bestFit="1" customWidth="1"/>
  </cols>
  <sheetData>
    <row r="1" spans="1:11" ht="13.9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4</v>
      </c>
      <c r="F1" s="2" t="s">
        <v>5</v>
      </c>
      <c r="G1" s="2" t="s">
        <v>6</v>
      </c>
      <c r="H1" s="3" t="s">
        <v>944</v>
      </c>
      <c r="I1" s="3" t="s">
        <v>945</v>
      </c>
      <c r="K1" s="3" t="s">
        <v>957</v>
      </c>
    </row>
    <row r="2" spans="1:11" ht="13.9" x14ac:dyDescent="0.3">
      <c r="A2" s="2" t="s">
        <v>19</v>
      </c>
      <c r="B2" s="2">
        <v>0</v>
      </c>
      <c r="C2" s="2">
        <v>0</v>
      </c>
      <c r="D2" s="2">
        <v>0</v>
      </c>
      <c r="E2" s="2">
        <v>0.89</v>
      </c>
      <c r="F2" s="2">
        <v>1.6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0.14739625476772761</v>
      </c>
      <c r="K2" s="2" t="e">
        <f>LOG(SUM(B2:D2),2)</f>
        <v>#NUM!</v>
      </c>
    </row>
    <row r="3" spans="1:11" ht="13.9" x14ac:dyDescent="0.3">
      <c r="A3" s="2" t="s">
        <v>20</v>
      </c>
      <c r="B3" s="2">
        <v>56296.75</v>
      </c>
      <c r="C3" s="2">
        <v>61967.95</v>
      </c>
      <c r="D3" s="2">
        <v>62627.25</v>
      </c>
      <c r="E3" s="2">
        <v>20010.759999999998</v>
      </c>
      <c r="F3" s="2">
        <v>27443.15</v>
      </c>
      <c r="G3" s="2">
        <v>23913.77</v>
      </c>
      <c r="H3" s="2">
        <f>LOG(SUM(B3:D3)/SUM(E3:G3),2)</f>
        <v>1.3417854273561509</v>
      </c>
      <c r="I3" s="2">
        <f t="shared" si="1"/>
        <v>2.4184436232390269E-4</v>
      </c>
      <c r="K3" s="2">
        <f t="shared" ref="K3:K66" si="2">LOG(SUM(B3:D3),2)</f>
        <v>17.464768681436929</v>
      </c>
    </row>
    <row r="4" spans="1:11" ht="13.9" x14ac:dyDescent="0.3">
      <c r="A4" s="2" t="s">
        <v>21</v>
      </c>
      <c r="B4" s="2">
        <v>39643</v>
      </c>
      <c r="C4" s="2">
        <v>31772.09</v>
      </c>
      <c r="D4" s="2">
        <v>47304.85</v>
      </c>
      <c r="E4" s="2">
        <v>5348.49</v>
      </c>
      <c r="F4" s="2">
        <v>5956.63</v>
      </c>
      <c r="G4" s="2">
        <v>5843.23</v>
      </c>
      <c r="H4" s="2">
        <f t="shared" si="0"/>
        <v>2.7914205946767643</v>
      </c>
      <c r="I4" s="2">
        <f t="shared" si="1"/>
        <v>1.6538720641395169E-3</v>
      </c>
      <c r="K4" s="2">
        <f t="shared" si="2"/>
        <v>16.85720274238313</v>
      </c>
    </row>
    <row r="5" spans="1:11" ht="13.9" x14ac:dyDescent="0.3">
      <c r="A5" s="2" t="s">
        <v>22</v>
      </c>
      <c r="B5" s="2">
        <v>1153.6500000000001</v>
      </c>
      <c r="C5" s="2">
        <v>1333.49</v>
      </c>
      <c r="D5" s="2">
        <v>1762.94</v>
      </c>
      <c r="E5" s="2">
        <v>245.21</v>
      </c>
      <c r="F5" s="2">
        <v>288.81</v>
      </c>
      <c r="G5" s="2">
        <v>278.54000000000002</v>
      </c>
      <c r="H5" s="2">
        <f t="shared" si="0"/>
        <v>2.3869437459197487</v>
      </c>
      <c r="I5" s="2">
        <f t="shared" si="1"/>
        <v>3.2011451898046757E-3</v>
      </c>
      <c r="K5" s="2">
        <f t="shared" si="2"/>
        <v>12.053274282269374</v>
      </c>
    </row>
    <row r="6" spans="1:11" ht="13.9" x14ac:dyDescent="0.3">
      <c r="A6" s="2" t="s">
        <v>23</v>
      </c>
      <c r="B6" s="2">
        <v>7.25</v>
      </c>
      <c r="C6" s="2">
        <v>0</v>
      </c>
      <c r="D6" s="2">
        <v>1.64</v>
      </c>
      <c r="E6" s="2">
        <v>2.0699999999999998</v>
      </c>
      <c r="F6" s="2">
        <v>3.61</v>
      </c>
      <c r="G6" s="2">
        <v>6.22</v>
      </c>
      <c r="H6" s="2">
        <f t="shared" si="0"/>
        <v>-0.42070624936553569</v>
      </c>
      <c r="I6" s="2">
        <f t="shared" si="1"/>
        <v>0.70945203789460765</v>
      </c>
      <c r="K6" s="2">
        <f t="shared" si="2"/>
        <v>3.1521834190550453</v>
      </c>
    </row>
    <row r="7" spans="1:11" ht="13.9" x14ac:dyDescent="0.3">
      <c r="A7" s="2" t="s">
        <v>24</v>
      </c>
      <c r="B7" s="2">
        <v>107.45</v>
      </c>
      <c r="C7" s="2">
        <v>106.86</v>
      </c>
      <c r="D7" s="2">
        <v>129.44999999999999</v>
      </c>
      <c r="E7" s="2">
        <v>48.57</v>
      </c>
      <c r="F7" s="2">
        <v>60.7</v>
      </c>
      <c r="G7" s="2">
        <v>56.59</v>
      </c>
      <c r="H7" s="2">
        <f t="shared" si="0"/>
        <v>1.0514356847775612</v>
      </c>
      <c r="I7" s="2">
        <f t="shared" si="1"/>
        <v>1.9782209796550508E-3</v>
      </c>
      <c r="K7" s="2">
        <f t="shared" si="2"/>
        <v>8.4252578719992144</v>
      </c>
    </row>
    <row r="8" spans="1:11" ht="13.9" x14ac:dyDescent="0.3">
      <c r="A8" s="2" t="s">
        <v>25</v>
      </c>
      <c r="B8" s="2">
        <v>1063.6600000000001</v>
      </c>
      <c r="C8" s="2">
        <v>1122.47</v>
      </c>
      <c r="D8" s="2">
        <v>1140.0899999999999</v>
      </c>
      <c r="E8" s="2">
        <v>168.11</v>
      </c>
      <c r="F8" s="2">
        <v>229.57</v>
      </c>
      <c r="G8" s="2">
        <v>238.91</v>
      </c>
      <c r="H8" s="2">
        <f t="shared" si="0"/>
        <v>2.3854471938792456</v>
      </c>
      <c r="I8" s="2">
        <f t="shared" si="1"/>
        <v>9.7140973384187623E-6</v>
      </c>
      <c r="K8" s="2">
        <f t="shared" si="2"/>
        <v>11.699667877945236</v>
      </c>
    </row>
    <row r="9" spans="1:11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0.74</v>
      </c>
      <c r="H9" s="2" t="e">
        <f t="shared" si="0"/>
        <v>#NUM!</v>
      </c>
      <c r="I9" s="2">
        <f t="shared" si="1"/>
        <v>0.37390096630005903</v>
      </c>
      <c r="K9" s="2" t="e">
        <f t="shared" si="2"/>
        <v>#NUM!</v>
      </c>
    </row>
    <row r="10" spans="1:11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e">
        <f t="shared" si="0"/>
        <v>#DIV/0!</v>
      </c>
      <c r="I10" s="2" t="e">
        <f t="shared" si="1"/>
        <v>#DIV/0!</v>
      </c>
      <c r="K10" s="2" t="e">
        <f t="shared" si="2"/>
        <v>#NUM!</v>
      </c>
    </row>
    <row r="11" spans="1:11" ht="13.9" x14ac:dyDescent="0.3">
      <c r="A11" s="2" t="s">
        <v>28</v>
      </c>
      <c r="B11" s="2">
        <v>184371.55</v>
      </c>
      <c r="C11" s="2">
        <v>123991.77</v>
      </c>
      <c r="D11" s="2">
        <v>184487.15</v>
      </c>
      <c r="E11" s="2">
        <v>80265.16</v>
      </c>
      <c r="F11" s="2">
        <v>64118.62</v>
      </c>
      <c r="G11" s="2">
        <v>78049.820000000007</v>
      </c>
      <c r="H11" s="2">
        <f t="shared" si="0"/>
        <v>1.1477752690323237</v>
      </c>
      <c r="I11" s="2">
        <f t="shared" si="1"/>
        <v>1.2254385200617201E-2</v>
      </c>
      <c r="K11" s="2">
        <f t="shared" si="2"/>
        <v>18.910790476188811</v>
      </c>
    </row>
    <row r="12" spans="1:11" ht="13.9" x14ac:dyDescent="0.3">
      <c r="A12" s="2" t="s">
        <v>29</v>
      </c>
      <c r="B12" s="2">
        <v>0</v>
      </c>
      <c r="C12" s="2">
        <v>0</v>
      </c>
      <c r="D12" s="2">
        <v>0</v>
      </c>
      <c r="E12" s="2">
        <v>0</v>
      </c>
      <c r="F12" s="2">
        <v>0.53</v>
      </c>
      <c r="G12" s="2">
        <v>0</v>
      </c>
      <c r="H12" s="2" t="e">
        <f t="shared" si="0"/>
        <v>#NUM!</v>
      </c>
      <c r="I12" s="2">
        <f t="shared" si="1"/>
        <v>0.37390096630005903</v>
      </c>
      <c r="K12" s="2" t="e">
        <f t="shared" si="2"/>
        <v>#NUM!</v>
      </c>
    </row>
    <row r="13" spans="1:11" ht="13.9" x14ac:dyDescent="0.3">
      <c r="A13" s="2" t="s">
        <v>30</v>
      </c>
      <c r="B13" s="2">
        <v>10411.52</v>
      </c>
      <c r="C13" s="2">
        <v>7376.18</v>
      </c>
      <c r="D13" s="2">
        <v>8214.2199999999993</v>
      </c>
      <c r="E13" s="2">
        <v>7224.08</v>
      </c>
      <c r="F13" s="2">
        <v>6741.09</v>
      </c>
      <c r="G13" s="2">
        <v>6376.17</v>
      </c>
      <c r="H13" s="2">
        <f t="shared" si="0"/>
        <v>0.3542034359293646</v>
      </c>
      <c r="I13" s="2">
        <f t="shared" si="1"/>
        <v>0.11452560402189951</v>
      </c>
      <c r="K13" s="2">
        <f t="shared" si="2"/>
        <v>14.666330536349623</v>
      </c>
    </row>
    <row r="14" spans="1:11" ht="13.9" x14ac:dyDescent="0.3">
      <c r="A14" s="2" t="s">
        <v>31</v>
      </c>
      <c r="B14" s="2">
        <v>0</v>
      </c>
      <c r="C14" s="2">
        <v>0</v>
      </c>
      <c r="D14" s="2">
        <v>0.18</v>
      </c>
      <c r="E14" s="2">
        <v>0</v>
      </c>
      <c r="F14" s="2">
        <v>0</v>
      </c>
      <c r="G14" s="2">
        <v>0.53</v>
      </c>
      <c r="H14" s="2">
        <f t="shared" si="0"/>
        <v>-1.5579954531208871</v>
      </c>
      <c r="I14" s="2">
        <f t="shared" si="1"/>
        <v>0.56567824274836098</v>
      </c>
      <c r="K14" s="2">
        <f t="shared" si="2"/>
        <v>-2.4739311883324122</v>
      </c>
    </row>
    <row r="15" spans="1:11" ht="13.9" x14ac:dyDescent="0.3">
      <c r="A15" s="2" t="s">
        <v>32</v>
      </c>
      <c r="B15" s="2">
        <v>16024.18</v>
      </c>
      <c r="C15" s="2">
        <v>14230.77</v>
      </c>
      <c r="D15" s="2">
        <v>14543.17</v>
      </c>
      <c r="E15" s="2">
        <v>28081.72</v>
      </c>
      <c r="F15" s="2">
        <v>27840.53</v>
      </c>
      <c r="G15" s="2">
        <v>26302.34</v>
      </c>
      <c r="H15" s="2">
        <f t="shared" si="0"/>
        <v>-0.87613171996079287</v>
      </c>
      <c r="I15" s="2">
        <f t="shared" si="1"/>
        <v>9.1718819661880936E-5</v>
      </c>
      <c r="K15" s="2">
        <f t="shared" si="2"/>
        <v>15.451150568895107</v>
      </c>
    </row>
    <row r="16" spans="1:11" ht="13.9" x14ac:dyDescent="0.3">
      <c r="A16" s="2" t="s">
        <v>33</v>
      </c>
      <c r="B16" s="2">
        <v>10.88</v>
      </c>
      <c r="C16" s="2">
        <v>16.100000000000001</v>
      </c>
      <c r="D16" s="2">
        <v>12.93</v>
      </c>
      <c r="E16" s="2">
        <v>13.33</v>
      </c>
      <c r="F16" s="2">
        <v>12.84</v>
      </c>
      <c r="G16" s="2">
        <v>14.65</v>
      </c>
      <c r="H16" s="2">
        <f t="shared" si="0"/>
        <v>-3.252590352144745E-2</v>
      </c>
      <c r="I16" s="2">
        <f t="shared" si="1"/>
        <v>0.85987974456298155</v>
      </c>
      <c r="K16" s="2">
        <f t="shared" si="2"/>
        <v>5.3186783737365468</v>
      </c>
    </row>
    <row r="17" spans="1:11" ht="13.9" x14ac:dyDescent="0.3">
      <c r="A17" s="2" t="s">
        <v>34</v>
      </c>
      <c r="B17" s="2">
        <v>42567.01</v>
      </c>
      <c r="C17" s="2">
        <v>35176.58</v>
      </c>
      <c r="D17" s="2">
        <v>32349.85</v>
      </c>
      <c r="E17" s="2">
        <v>24656.6</v>
      </c>
      <c r="F17" s="2">
        <v>17876.98</v>
      </c>
      <c r="G17" s="2">
        <v>25804.61</v>
      </c>
      <c r="H17" s="2">
        <f t="shared" si="0"/>
        <v>0.68796456512290549</v>
      </c>
      <c r="I17" s="2">
        <f t="shared" si="1"/>
        <v>2.3858430602871725E-2</v>
      </c>
      <c r="K17" s="2">
        <f t="shared" si="2"/>
        <v>16.748368981836599</v>
      </c>
    </row>
    <row r="18" spans="1:11" ht="13.9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K18" s="2" t="e">
        <f t="shared" si="2"/>
        <v>#NUM!</v>
      </c>
    </row>
    <row r="19" spans="1:11" ht="13.9" x14ac:dyDescent="0.3">
      <c r="A19" s="2" t="s">
        <v>36</v>
      </c>
      <c r="B19" s="2">
        <v>0</v>
      </c>
      <c r="C19" s="2">
        <v>0.73</v>
      </c>
      <c r="D19" s="2">
        <v>0</v>
      </c>
      <c r="E19" s="2">
        <v>0.39</v>
      </c>
      <c r="F19" s="2">
        <v>1.74</v>
      </c>
      <c r="G19" s="2">
        <v>0</v>
      </c>
      <c r="H19" s="2">
        <f t="shared" si="0"/>
        <v>-1.5448850613458212</v>
      </c>
      <c r="I19" s="2">
        <f t="shared" si="1"/>
        <v>0.46659032601781097</v>
      </c>
      <c r="K19" s="2">
        <f t="shared" si="2"/>
        <v>-0.45403163089470749</v>
      </c>
    </row>
    <row r="20" spans="1:11" ht="13.9" x14ac:dyDescent="0.3">
      <c r="A20" s="2" t="s">
        <v>37</v>
      </c>
      <c r="B20" s="2">
        <v>0</v>
      </c>
      <c r="C20" s="2">
        <v>0</v>
      </c>
      <c r="D20" s="2">
        <v>0</v>
      </c>
      <c r="E20" s="2">
        <v>2.67</v>
      </c>
      <c r="F20" s="2">
        <v>0</v>
      </c>
      <c r="G20" s="2">
        <v>0.32</v>
      </c>
      <c r="H20" s="2" t="e">
        <f t="shared" si="0"/>
        <v>#NUM!</v>
      </c>
      <c r="I20" s="2">
        <f t="shared" si="1"/>
        <v>0.30194982060867731</v>
      </c>
      <c r="K20" s="2" t="e">
        <f t="shared" si="2"/>
        <v>#NUM!</v>
      </c>
    </row>
    <row r="21" spans="1:11" ht="13.9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K21" s="2" t="e">
        <f t="shared" si="2"/>
        <v>#NUM!</v>
      </c>
    </row>
    <row r="22" spans="1:11" ht="13.9" x14ac:dyDescent="0.3">
      <c r="A22" s="2" t="s">
        <v>39</v>
      </c>
      <c r="B22" s="2">
        <v>0</v>
      </c>
      <c r="C22" s="2">
        <v>0</v>
      </c>
      <c r="D22" s="2">
        <v>0</v>
      </c>
      <c r="E22" s="2">
        <v>1.38</v>
      </c>
      <c r="F22" s="2">
        <v>1.07</v>
      </c>
      <c r="G22" s="2">
        <v>0.74</v>
      </c>
      <c r="H22" s="2" t="e">
        <f t="shared" si="0"/>
        <v>#NUM!</v>
      </c>
      <c r="I22" s="2">
        <f t="shared" si="1"/>
        <v>4.5224558224350279E-3</v>
      </c>
      <c r="K22" s="2" t="e">
        <f t="shared" si="2"/>
        <v>#NUM!</v>
      </c>
    </row>
    <row r="23" spans="1:11" ht="13.9" x14ac:dyDescent="0.3">
      <c r="A23" s="2" t="s">
        <v>40</v>
      </c>
      <c r="B23" s="2">
        <v>12.53</v>
      </c>
      <c r="C23" s="2">
        <v>0</v>
      </c>
      <c r="D23" s="2">
        <v>0</v>
      </c>
      <c r="E23" s="2">
        <v>3.06</v>
      </c>
      <c r="F23" s="2">
        <v>6.15</v>
      </c>
      <c r="G23" s="2">
        <v>10.85</v>
      </c>
      <c r="H23" s="2">
        <f t="shared" si="0"/>
        <v>-0.67893519129032054</v>
      </c>
      <c r="I23" s="2">
        <f t="shared" si="1"/>
        <v>0.62524870489883222</v>
      </c>
      <c r="K23" s="2">
        <f t="shared" si="2"/>
        <v>3.6473145095471362</v>
      </c>
    </row>
    <row r="24" spans="1:11" ht="13.9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K24" s="2" t="e">
        <f t="shared" si="2"/>
        <v>#NUM!</v>
      </c>
    </row>
    <row r="25" spans="1:11" ht="13.9" x14ac:dyDescent="0.3">
      <c r="A25" s="2" t="s">
        <v>42</v>
      </c>
      <c r="B25" s="2">
        <v>29.01</v>
      </c>
      <c r="C25" s="2">
        <v>63.67</v>
      </c>
      <c r="D25" s="2">
        <v>57.35</v>
      </c>
      <c r="E25" s="2">
        <v>65.94</v>
      </c>
      <c r="F25" s="2">
        <v>80.09</v>
      </c>
      <c r="G25" s="2">
        <v>62.39</v>
      </c>
      <c r="H25" s="2">
        <f t="shared" si="0"/>
        <v>-0.47424271451239181</v>
      </c>
      <c r="I25" s="2">
        <f t="shared" si="1"/>
        <v>0.17870713728744342</v>
      </c>
      <c r="K25" s="2">
        <f t="shared" si="2"/>
        <v>7.2291072006540054</v>
      </c>
    </row>
    <row r="26" spans="1:11" ht="13.9" x14ac:dyDescent="0.3">
      <c r="A26" s="2" t="s">
        <v>43</v>
      </c>
      <c r="B26" s="2">
        <v>0</v>
      </c>
      <c r="C26" s="2">
        <v>0</v>
      </c>
      <c r="D26" s="2">
        <v>0</v>
      </c>
      <c r="E26" s="2">
        <v>3.75</v>
      </c>
      <c r="F26" s="2">
        <v>4.28</v>
      </c>
      <c r="G26" s="2">
        <v>3.69</v>
      </c>
      <c r="H26" s="2" t="e">
        <f t="shared" si="0"/>
        <v>#NUM!</v>
      </c>
      <c r="I26" s="2">
        <f t="shared" si="1"/>
        <v>3.1332953657204337E-5</v>
      </c>
      <c r="K26" s="2" t="e">
        <f t="shared" si="2"/>
        <v>#NUM!</v>
      </c>
    </row>
    <row r="27" spans="1:11" ht="13.9" x14ac:dyDescent="0.3">
      <c r="A27" s="2" t="s">
        <v>44</v>
      </c>
      <c r="B27" s="2">
        <v>16.149999999999999</v>
      </c>
      <c r="C27" s="2">
        <v>24.15</v>
      </c>
      <c r="D27" s="2">
        <v>1.82</v>
      </c>
      <c r="E27" s="2">
        <v>6.42</v>
      </c>
      <c r="F27" s="2">
        <v>9.6300000000000008</v>
      </c>
      <c r="G27" s="2">
        <v>6.22</v>
      </c>
      <c r="H27" s="2">
        <f t="shared" si="0"/>
        <v>0.91940387823792713</v>
      </c>
      <c r="I27" s="2">
        <f t="shared" si="1"/>
        <v>0.37441925964257849</v>
      </c>
      <c r="K27" s="2">
        <f t="shared" si="2"/>
        <v>5.3964335312509926</v>
      </c>
    </row>
    <row r="28" spans="1:11" ht="13.9" x14ac:dyDescent="0.3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K28" s="2" t="e">
        <f t="shared" si="2"/>
        <v>#NUM!</v>
      </c>
    </row>
    <row r="29" spans="1:11" ht="13.9" x14ac:dyDescent="0.3">
      <c r="A29" s="2" t="s">
        <v>46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 t="e">
        <f t="shared" si="1"/>
        <v>#DIV/0!</v>
      </c>
      <c r="K29" s="2" t="e">
        <f t="shared" si="2"/>
        <v>#NUM!</v>
      </c>
    </row>
    <row r="30" spans="1:11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0.32</v>
      </c>
      <c r="H30" s="2" t="e">
        <f t="shared" si="0"/>
        <v>#NUM!</v>
      </c>
      <c r="I30" s="2">
        <f t="shared" si="1"/>
        <v>0.37390096630005903</v>
      </c>
      <c r="K30" s="2" t="e">
        <f t="shared" si="2"/>
        <v>#NUM!</v>
      </c>
    </row>
    <row r="31" spans="1:11" ht="13.9" x14ac:dyDescent="0.3">
      <c r="A31" s="2" t="s">
        <v>48</v>
      </c>
      <c r="B31" s="2">
        <v>4.6100000000000003</v>
      </c>
      <c r="C31" s="2">
        <v>18.3</v>
      </c>
      <c r="D31" s="2">
        <v>12.02</v>
      </c>
      <c r="E31" s="2">
        <v>14.51</v>
      </c>
      <c r="F31" s="2">
        <v>9.23</v>
      </c>
      <c r="G31" s="2">
        <v>7.59</v>
      </c>
      <c r="H31" s="2">
        <f t="shared" si="0"/>
        <v>0.15692187302381091</v>
      </c>
      <c r="I31" s="2">
        <f t="shared" si="1"/>
        <v>0.80177458226550069</v>
      </c>
      <c r="K31" s="2">
        <f t="shared" si="2"/>
        <v>5.1263947376201395</v>
      </c>
    </row>
    <row r="32" spans="1:11" ht="13.9" x14ac:dyDescent="0.3">
      <c r="A32" s="2" t="s">
        <v>49</v>
      </c>
      <c r="B32" s="2">
        <v>136.13</v>
      </c>
      <c r="C32" s="2">
        <v>222.01</v>
      </c>
      <c r="D32" s="2">
        <v>221.76</v>
      </c>
      <c r="E32" s="2">
        <v>311.14999999999998</v>
      </c>
      <c r="F32" s="2">
        <v>371.44</v>
      </c>
      <c r="G32" s="2">
        <v>331.33</v>
      </c>
      <c r="H32" s="2">
        <f t="shared" si="0"/>
        <v>-0.80606778237409549</v>
      </c>
      <c r="I32" s="2">
        <f t="shared" si="1"/>
        <v>1.2627845034164803E-2</v>
      </c>
      <c r="K32" s="2">
        <f t="shared" si="2"/>
        <v>9.1796603280450295</v>
      </c>
    </row>
    <row r="33" spans="1:11" ht="13.9" x14ac:dyDescent="0.3">
      <c r="A33" s="2" t="s">
        <v>50</v>
      </c>
      <c r="B33" s="2">
        <v>124.26</v>
      </c>
      <c r="C33" s="2">
        <v>74.900000000000006</v>
      </c>
      <c r="D33" s="2">
        <v>84.66</v>
      </c>
      <c r="E33" s="2">
        <v>50.05</v>
      </c>
      <c r="F33" s="2">
        <v>34.76</v>
      </c>
      <c r="G33" s="2">
        <v>52.9</v>
      </c>
      <c r="H33" s="2">
        <f t="shared" si="0"/>
        <v>1.0433429291065459</v>
      </c>
      <c r="I33" s="2">
        <f t="shared" si="1"/>
        <v>3.9031563421113753E-2</v>
      </c>
      <c r="K33" s="2">
        <f t="shared" si="2"/>
        <v>8.1488324454317063</v>
      </c>
    </row>
    <row r="34" spans="1:11" ht="13.9" x14ac:dyDescent="0.3">
      <c r="A34" s="2" t="s">
        <v>51</v>
      </c>
      <c r="B34" s="2">
        <v>0</v>
      </c>
      <c r="C34" s="2">
        <v>0.24</v>
      </c>
      <c r="D34" s="2">
        <v>0</v>
      </c>
      <c r="E34" s="2">
        <v>0.3</v>
      </c>
      <c r="F34" s="2">
        <v>0</v>
      </c>
      <c r="G34" s="2">
        <v>0.21</v>
      </c>
      <c r="H34" s="2">
        <f t="shared" si="0"/>
        <v>-1.0874628412503395</v>
      </c>
      <c r="I34" s="2">
        <f t="shared" si="1"/>
        <v>0.4935479542016441</v>
      </c>
      <c r="K34" s="2">
        <f t="shared" si="2"/>
        <v>-2.0588936890535687</v>
      </c>
    </row>
    <row r="35" spans="1:11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0.27</v>
      </c>
      <c r="G35" s="2">
        <v>0</v>
      </c>
      <c r="H35" s="2" t="e">
        <f t="shared" si="0"/>
        <v>#NUM!</v>
      </c>
      <c r="I35" s="2">
        <f t="shared" si="1"/>
        <v>0.37390096630005903</v>
      </c>
      <c r="K35" s="2" t="e">
        <f t="shared" si="2"/>
        <v>#NUM!</v>
      </c>
    </row>
    <row r="36" spans="1:11" ht="13.9" x14ac:dyDescent="0.3">
      <c r="A36" s="2" t="s">
        <v>53</v>
      </c>
      <c r="B36" s="2">
        <v>605.16999999999996</v>
      </c>
      <c r="C36" s="2">
        <v>1179.8</v>
      </c>
      <c r="D36" s="2">
        <v>767.95</v>
      </c>
      <c r="E36" s="2">
        <v>1741.24</v>
      </c>
      <c r="F36" s="2">
        <v>2357.65</v>
      </c>
      <c r="G36" s="2">
        <v>2223.12</v>
      </c>
      <c r="H36" s="2">
        <f t="shared" si="0"/>
        <v>-1.3082349880622597</v>
      </c>
      <c r="I36" s="2">
        <f t="shared" si="1"/>
        <v>7.7261198896088996E-3</v>
      </c>
      <c r="K36" s="2">
        <f t="shared" si="2"/>
        <v>11.317932613863594</v>
      </c>
    </row>
    <row r="37" spans="1:11" ht="13.9" x14ac:dyDescent="0.3">
      <c r="A37" s="2" t="s">
        <v>54</v>
      </c>
      <c r="B37" s="2">
        <v>19.78</v>
      </c>
      <c r="C37" s="2">
        <v>0</v>
      </c>
      <c r="D37" s="2">
        <v>25.85</v>
      </c>
      <c r="E37" s="2">
        <v>21.91</v>
      </c>
      <c r="F37" s="2">
        <v>26.74</v>
      </c>
      <c r="G37" s="2">
        <v>20.87</v>
      </c>
      <c r="H37" s="2">
        <f t="shared" si="0"/>
        <v>-0.60744542836874704</v>
      </c>
      <c r="I37" s="2">
        <f t="shared" si="1"/>
        <v>0.37646554129557014</v>
      </c>
      <c r="K37" s="2">
        <f t="shared" si="2"/>
        <v>5.5119107486709282</v>
      </c>
    </row>
    <row r="38" spans="1:11" ht="13.9" x14ac:dyDescent="0.3">
      <c r="A38" s="2" t="s">
        <v>55</v>
      </c>
      <c r="B38" s="2">
        <v>13.18</v>
      </c>
      <c r="C38" s="2">
        <v>21.96</v>
      </c>
      <c r="D38" s="2">
        <v>9.4700000000000006</v>
      </c>
      <c r="E38" s="2">
        <v>37.61</v>
      </c>
      <c r="F38" s="2">
        <v>34.630000000000003</v>
      </c>
      <c r="G38" s="2">
        <v>26.14</v>
      </c>
      <c r="H38" s="2">
        <f t="shared" si="0"/>
        <v>-1.1409979069497536</v>
      </c>
      <c r="I38" s="2">
        <f t="shared" si="1"/>
        <v>2.3843429277867787E-2</v>
      </c>
      <c r="K38" s="2">
        <f t="shared" si="2"/>
        <v>5.47929524299885</v>
      </c>
    </row>
    <row r="39" spans="1:11" ht="13.9" x14ac:dyDescent="0.3">
      <c r="A39" s="2" t="s">
        <v>56</v>
      </c>
      <c r="B39" s="2">
        <v>0</v>
      </c>
      <c r="C39" s="2">
        <v>12.2</v>
      </c>
      <c r="D39" s="2">
        <v>0.18</v>
      </c>
      <c r="E39" s="2">
        <v>1.58</v>
      </c>
      <c r="F39" s="2">
        <v>1.74</v>
      </c>
      <c r="G39" s="2">
        <v>1.58</v>
      </c>
      <c r="H39" s="2">
        <f t="shared" si="0"/>
        <v>1.3371576602116939</v>
      </c>
      <c r="I39" s="2">
        <f t="shared" si="1"/>
        <v>0.57028437000971732</v>
      </c>
      <c r="K39" s="2">
        <f t="shared" si="2"/>
        <v>3.6299394094395399</v>
      </c>
    </row>
    <row r="40" spans="1:11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 t="e">
        <f t="shared" si="0"/>
        <v>#DIV/0!</v>
      </c>
      <c r="I40" s="2" t="e">
        <f t="shared" si="1"/>
        <v>#DIV/0!</v>
      </c>
      <c r="K40" s="2" t="e">
        <f t="shared" si="2"/>
        <v>#NUM!</v>
      </c>
    </row>
    <row r="41" spans="1:11" ht="13.9" x14ac:dyDescent="0.3">
      <c r="A41" s="2" t="s">
        <v>58</v>
      </c>
      <c r="B41" s="2">
        <v>0</v>
      </c>
      <c r="C41" s="2">
        <v>0</v>
      </c>
      <c r="D41" s="2">
        <v>8.19</v>
      </c>
      <c r="E41" s="2">
        <v>1.28</v>
      </c>
      <c r="F41" s="2">
        <v>1.34</v>
      </c>
      <c r="G41" s="2">
        <v>1.37</v>
      </c>
      <c r="H41" s="2">
        <f t="shared" si="0"/>
        <v>1.0374747054186626</v>
      </c>
      <c r="I41" s="2">
        <f t="shared" si="1"/>
        <v>0.6351135544253047</v>
      </c>
      <c r="K41" s="2">
        <f t="shared" si="2"/>
        <v>3.0338634518662837</v>
      </c>
    </row>
    <row r="42" spans="1:11" ht="13.9" x14ac:dyDescent="0.3">
      <c r="A42" s="2" t="s">
        <v>59</v>
      </c>
      <c r="B42" s="2">
        <v>0.33</v>
      </c>
      <c r="C42" s="2">
        <v>0</v>
      </c>
      <c r="D42" s="2">
        <v>0</v>
      </c>
      <c r="E42" s="2">
        <v>0</v>
      </c>
      <c r="F42" s="2">
        <v>0</v>
      </c>
      <c r="G42" s="2">
        <v>1.48</v>
      </c>
      <c r="H42" s="2">
        <f t="shared" si="0"/>
        <v>-2.1650592462704963</v>
      </c>
      <c r="I42" s="2">
        <f t="shared" si="1"/>
        <v>0.4904394858565102</v>
      </c>
      <c r="K42" s="2">
        <f t="shared" si="2"/>
        <v>-1.5994620704162712</v>
      </c>
    </row>
    <row r="43" spans="1:11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0.39</v>
      </c>
      <c r="F43" s="2">
        <v>0.94</v>
      </c>
      <c r="G43" s="2">
        <v>0</v>
      </c>
      <c r="H43" s="2" t="e">
        <f t="shared" si="0"/>
        <v>#NUM!</v>
      </c>
      <c r="I43" s="2">
        <f t="shared" si="1"/>
        <v>0.17928803003973173</v>
      </c>
      <c r="K43" s="2" t="e">
        <f t="shared" si="2"/>
        <v>#NUM!</v>
      </c>
    </row>
    <row r="44" spans="1:11" ht="13.9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 t="e">
        <f t="shared" si="0"/>
        <v>#DIV/0!</v>
      </c>
      <c r="I44" s="2" t="e">
        <f t="shared" si="1"/>
        <v>#DIV/0!</v>
      </c>
      <c r="K44" s="2" t="e">
        <f t="shared" si="2"/>
        <v>#NUM!</v>
      </c>
    </row>
    <row r="45" spans="1:11" ht="13.9" x14ac:dyDescent="0.3">
      <c r="A45" s="2" t="s">
        <v>62</v>
      </c>
      <c r="B45" s="2">
        <v>52.41</v>
      </c>
      <c r="C45" s="2">
        <v>15.13</v>
      </c>
      <c r="D45" s="2">
        <v>46.24</v>
      </c>
      <c r="E45" s="2">
        <v>11.45</v>
      </c>
      <c r="F45" s="2">
        <v>3.21</v>
      </c>
      <c r="G45" s="2">
        <v>4.1100000000000003</v>
      </c>
      <c r="H45" s="2">
        <f t="shared" si="0"/>
        <v>2.5997464308638869</v>
      </c>
      <c r="I45" s="2">
        <f t="shared" si="1"/>
        <v>5.5371363216619646E-2</v>
      </c>
      <c r="K45" s="2">
        <f t="shared" si="2"/>
        <v>6.830103175920037</v>
      </c>
    </row>
    <row r="46" spans="1:11" ht="13.9" x14ac:dyDescent="0.3">
      <c r="A46" s="2" t="s">
        <v>63</v>
      </c>
      <c r="B46" s="2">
        <v>0</v>
      </c>
      <c r="C46" s="2">
        <v>5.37</v>
      </c>
      <c r="D46" s="2">
        <v>0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K46" s="2">
        <f t="shared" si="2"/>
        <v>2.4249220882106881</v>
      </c>
    </row>
    <row r="47" spans="1:11" ht="13.9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K47" s="2" t="e">
        <f t="shared" si="2"/>
        <v>#NUM!</v>
      </c>
    </row>
    <row r="48" spans="1:11" ht="13.9" x14ac:dyDescent="0.3">
      <c r="A48" s="2" t="s">
        <v>65</v>
      </c>
      <c r="B48" s="2">
        <v>0</v>
      </c>
      <c r="C48" s="2">
        <v>0</v>
      </c>
      <c r="D48" s="2">
        <v>0.18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>
        <f t="shared" si="1"/>
        <v>0.37390096630005903</v>
      </c>
      <c r="K48" s="2">
        <f t="shared" si="2"/>
        <v>-2.4739311883324122</v>
      </c>
    </row>
    <row r="49" spans="1:11" ht="13.9" x14ac:dyDescent="0.3">
      <c r="A49" s="2" t="s">
        <v>66</v>
      </c>
      <c r="B49" s="2">
        <v>0</v>
      </c>
      <c r="C49" s="2">
        <v>19.760000000000002</v>
      </c>
      <c r="D49" s="2">
        <v>0</v>
      </c>
      <c r="E49" s="2">
        <v>15.5</v>
      </c>
      <c r="F49" s="2">
        <v>131.83000000000001</v>
      </c>
      <c r="G49" s="2">
        <v>28.77</v>
      </c>
      <c r="H49" s="2">
        <f t="shared" si="0"/>
        <v>-3.1557400571338929</v>
      </c>
      <c r="I49" s="2">
        <f t="shared" si="1"/>
        <v>0.23541824328322147</v>
      </c>
      <c r="K49" s="2">
        <f t="shared" si="2"/>
        <v>4.3045110418099535</v>
      </c>
    </row>
    <row r="50" spans="1:11" ht="13.9" x14ac:dyDescent="0.3">
      <c r="A50" s="2" t="s">
        <v>67</v>
      </c>
      <c r="B50" s="2">
        <v>0</v>
      </c>
      <c r="C50" s="2">
        <v>0</v>
      </c>
      <c r="D50" s="2">
        <v>0</v>
      </c>
      <c r="E50" s="2">
        <v>1.18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K50" s="2" t="e">
        <f t="shared" si="2"/>
        <v>#NUM!</v>
      </c>
    </row>
    <row r="51" spans="1:11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0.13</v>
      </c>
      <c r="G51" s="2">
        <v>0</v>
      </c>
      <c r="H51" s="2" t="e">
        <f t="shared" si="0"/>
        <v>#NUM!</v>
      </c>
      <c r="I51" s="2">
        <f t="shared" si="1"/>
        <v>0.37390096630005903</v>
      </c>
      <c r="K51" s="2" t="e">
        <f t="shared" si="2"/>
        <v>#NUM!</v>
      </c>
    </row>
    <row r="52" spans="1:11" ht="13.9" x14ac:dyDescent="0.3">
      <c r="A52" s="2" t="s">
        <v>69</v>
      </c>
      <c r="B52" s="2">
        <v>22.41</v>
      </c>
      <c r="C52" s="2">
        <v>12.69</v>
      </c>
      <c r="D52" s="2">
        <v>25.85</v>
      </c>
      <c r="E52" s="2">
        <v>34.450000000000003</v>
      </c>
      <c r="F52" s="2">
        <v>48.4</v>
      </c>
      <c r="G52" s="2">
        <v>50.16</v>
      </c>
      <c r="H52" s="2">
        <f t="shared" si="0"/>
        <v>-1.1258365890019453</v>
      </c>
      <c r="I52" s="2">
        <f t="shared" si="1"/>
        <v>1.9312366133656125E-2</v>
      </c>
      <c r="K52" s="2">
        <f t="shared" si="2"/>
        <v>5.9295543157328501</v>
      </c>
    </row>
    <row r="53" spans="1:11" ht="13.9" x14ac:dyDescent="0.3">
      <c r="A53" s="2" t="s">
        <v>70</v>
      </c>
      <c r="B53" s="2">
        <v>0.33</v>
      </c>
      <c r="C53" s="2">
        <v>11.22</v>
      </c>
      <c r="D53" s="2">
        <v>8.56</v>
      </c>
      <c r="E53" s="2">
        <v>0</v>
      </c>
      <c r="F53" s="2">
        <v>2.81</v>
      </c>
      <c r="G53" s="2">
        <v>2</v>
      </c>
      <c r="H53" s="2">
        <f t="shared" si="0"/>
        <v>2.06380428253531</v>
      </c>
      <c r="I53" s="2">
        <f t="shared" si="1"/>
        <v>0.20610990674349255</v>
      </c>
      <c r="K53" s="2">
        <f t="shared" si="2"/>
        <v>4.3298411765306275</v>
      </c>
    </row>
    <row r="54" spans="1:11" ht="13.9" x14ac:dyDescent="0.3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K54" s="2" t="e">
        <f t="shared" si="2"/>
        <v>#NUM!</v>
      </c>
    </row>
    <row r="55" spans="1:11" ht="13.9" x14ac:dyDescent="0.3">
      <c r="A55" s="2" t="s">
        <v>72</v>
      </c>
      <c r="B55" s="2">
        <v>0</v>
      </c>
      <c r="C55" s="2">
        <v>0</v>
      </c>
      <c r="D55" s="2">
        <v>0</v>
      </c>
      <c r="E55" s="2">
        <v>0</v>
      </c>
      <c r="F55" s="2">
        <v>0.27</v>
      </c>
      <c r="G55" s="2">
        <v>0.11</v>
      </c>
      <c r="H55" s="2" t="e">
        <f t="shared" si="0"/>
        <v>#NUM!</v>
      </c>
      <c r="I55" s="2">
        <f t="shared" si="1"/>
        <v>0.18141514163843797</v>
      </c>
      <c r="K55" s="2" t="e">
        <f t="shared" si="2"/>
        <v>#NUM!</v>
      </c>
    </row>
    <row r="56" spans="1:11" ht="13.9" x14ac:dyDescent="0.3">
      <c r="A56" s="2" t="s">
        <v>73</v>
      </c>
      <c r="B56" s="2">
        <v>77.13</v>
      </c>
      <c r="C56" s="2">
        <v>92.46</v>
      </c>
      <c r="D56" s="2">
        <v>38.78</v>
      </c>
      <c r="E56" s="2">
        <v>63.28</v>
      </c>
      <c r="F56" s="2">
        <v>76.08</v>
      </c>
      <c r="G56" s="2">
        <v>67.97</v>
      </c>
      <c r="H56" s="2">
        <f t="shared" si="0"/>
        <v>7.2186960446899004E-3</v>
      </c>
      <c r="I56" s="2">
        <f t="shared" si="1"/>
        <v>0.98414389037345162</v>
      </c>
      <c r="K56" s="2">
        <f t="shared" si="2"/>
        <v>7.7030037708136501</v>
      </c>
    </row>
    <row r="57" spans="1:11" ht="13.9" x14ac:dyDescent="0.3">
      <c r="A57" s="2" t="s">
        <v>74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e">
        <f t="shared" si="0"/>
        <v>#DIV/0!</v>
      </c>
      <c r="I57" s="2" t="e">
        <f t="shared" si="1"/>
        <v>#DIV/0!</v>
      </c>
      <c r="K57" s="2" t="e">
        <f t="shared" si="2"/>
        <v>#NUM!</v>
      </c>
    </row>
    <row r="58" spans="1:11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0.27</v>
      </c>
      <c r="G58" s="2">
        <v>0</v>
      </c>
      <c r="H58" s="2" t="e">
        <f t="shared" si="0"/>
        <v>#NUM!</v>
      </c>
      <c r="I58" s="2">
        <f t="shared" si="1"/>
        <v>0.37390096630005903</v>
      </c>
      <c r="K58" s="2" t="e">
        <f t="shared" si="2"/>
        <v>#NUM!</v>
      </c>
    </row>
    <row r="59" spans="1:11" ht="13.9" x14ac:dyDescent="0.3">
      <c r="A59" s="2" t="s">
        <v>76</v>
      </c>
      <c r="B59" s="2">
        <v>0</v>
      </c>
      <c r="C59" s="2">
        <v>14.64</v>
      </c>
      <c r="D59" s="2">
        <v>0</v>
      </c>
      <c r="E59" s="2">
        <v>6.22</v>
      </c>
      <c r="F59" s="2">
        <v>3.21</v>
      </c>
      <c r="G59" s="2">
        <v>4.95</v>
      </c>
      <c r="H59" s="2">
        <f t="shared" si="0"/>
        <v>2.5851877844744801E-2</v>
      </c>
      <c r="I59" s="2">
        <f t="shared" si="1"/>
        <v>0.98688905091376777</v>
      </c>
      <c r="K59" s="2">
        <f t="shared" si="2"/>
        <v>3.8718436485093184</v>
      </c>
    </row>
    <row r="60" spans="1:11" ht="13.9" x14ac:dyDescent="0.3">
      <c r="A60" s="2" t="s">
        <v>77</v>
      </c>
      <c r="B60" s="2">
        <v>0.66</v>
      </c>
      <c r="C60" s="2">
        <v>17.57</v>
      </c>
      <c r="D60" s="2">
        <v>0.91</v>
      </c>
      <c r="E60" s="2">
        <v>0.79</v>
      </c>
      <c r="F60" s="2">
        <v>0.4</v>
      </c>
      <c r="G60" s="2">
        <v>2.5299999999999998</v>
      </c>
      <c r="H60" s="2">
        <f t="shared" si="0"/>
        <v>2.3632163033779943</v>
      </c>
      <c r="I60" s="2">
        <f t="shared" si="1"/>
        <v>0.41318575471144003</v>
      </c>
      <c r="K60" s="2">
        <f t="shared" si="2"/>
        <v>4.2585189247113009</v>
      </c>
    </row>
    <row r="61" spans="1:11" ht="13.9" x14ac:dyDescent="0.3">
      <c r="A61" s="2" t="s">
        <v>78</v>
      </c>
      <c r="B61" s="2">
        <v>0.66</v>
      </c>
      <c r="C61" s="2">
        <v>17.57</v>
      </c>
      <c r="D61" s="2">
        <v>1.64</v>
      </c>
      <c r="E61" s="2">
        <v>1.48</v>
      </c>
      <c r="F61" s="2">
        <v>0.4</v>
      </c>
      <c r="G61" s="2">
        <v>2.5299999999999998</v>
      </c>
      <c r="H61" s="2">
        <f t="shared" si="0"/>
        <v>2.1717413116921498</v>
      </c>
      <c r="I61" s="2">
        <f t="shared" si="1"/>
        <v>0.40298823153169094</v>
      </c>
      <c r="K61" s="2">
        <f t="shared" si="2"/>
        <v>4.3125199674749455</v>
      </c>
    </row>
    <row r="62" spans="1:11" ht="13.9" x14ac:dyDescent="0.3">
      <c r="A62" s="2" t="s">
        <v>79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 t="e">
        <f t="shared" si="0"/>
        <v>#DIV/0!</v>
      </c>
      <c r="I62" s="2" t="e">
        <f t="shared" si="1"/>
        <v>#DIV/0!</v>
      </c>
      <c r="K62" s="2" t="e">
        <f t="shared" si="2"/>
        <v>#NUM!</v>
      </c>
    </row>
    <row r="63" spans="1:11" ht="13.9" x14ac:dyDescent="0.3">
      <c r="A63" s="2" t="s">
        <v>80</v>
      </c>
      <c r="B63" s="2">
        <v>24.06</v>
      </c>
      <c r="C63" s="2">
        <v>30.25</v>
      </c>
      <c r="D63" s="2">
        <v>71.92</v>
      </c>
      <c r="E63" s="2">
        <v>7.7</v>
      </c>
      <c r="F63" s="2">
        <v>5.48</v>
      </c>
      <c r="G63" s="2">
        <v>3.79</v>
      </c>
      <c r="H63" s="2">
        <f t="shared" si="0"/>
        <v>2.8949963540176213</v>
      </c>
      <c r="I63" s="2">
        <f t="shared" si="1"/>
        <v>7.3032471420022171E-2</v>
      </c>
      <c r="K63" s="2">
        <f t="shared" si="2"/>
        <v>6.9799110137855607</v>
      </c>
    </row>
    <row r="64" spans="1:11" ht="13.9" x14ac:dyDescent="0.3">
      <c r="A64" s="2" t="s">
        <v>81</v>
      </c>
      <c r="B64" s="2">
        <v>435.75</v>
      </c>
      <c r="C64" s="2">
        <v>336.42</v>
      </c>
      <c r="D64" s="2">
        <v>250.34</v>
      </c>
      <c r="E64" s="2">
        <v>843.42</v>
      </c>
      <c r="F64" s="2">
        <v>678.83</v>
      </c>
      <c r="G64" s="2">
        <v>638.42999999999995</v>
      </c>
      <c r="H64" s="2">
        <f t="shared" si="0"/>
        <v>-1.079370470099319</v>
      </c>
      <c r="I64" s="2">
        <f t="shared" si="1"/>
        <v>1.002443697507684E-2</v>
      </c>
      <c r="K64" s="2">
        <f t="shared" si="2"/>
        <v>9.9978992372470703</v>
      </c>
    </row>
    <row r="65" spans="1:11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1.69</v>
      </c>
      <c r="H65" s="2" t="e">
        <f t="shared" si="0"/>
        <v>#NUM!</v>
      </c>
      <c r="I65" s="2">
        <f t="shared" si="1"/>
        <v>0.37390096630005903</v>
      </c>
      <c r="K65" s="2" t="e">
        <f t="shared" si="2"/>
        <v>#NUM!</v>
      </c>
    </row>
    <row r="66" spans="1:11" ht="13.9" x14ac:dyDescent="0.3">
      <c r="A66" s="2" t="s">
        <v>83</v>
      </c>
      <c r="B66" s="2">
        <v>0</v>
      </c>
      <c r="C66" s="2">
        <v>0</v>
      </c>
      <c r="D66" s="2">
        <v>0</v>
      </c>
      <c r="E66" s="2">
        <v>3.65</v>
      </c>
      <c r="F66" s="2">
        <v>5.62</v>
      </c>
      <c r="G66" s="2">
        <v>2.3199999999999998</v>
      </c>
      <c r="H66" s="2" t="e">
        <f t="shared" ref="H66:H129" si="3">LOG(SUM(B66:D66)/SUM(E66:G66),2)</f>
        <v>#NUM!</v>
      </c>
      <c r="I66" s="2">
        <f t="shared" ref="I66:I129" si="4">_xlfn.T.TEST(B66:D66,E66:G66,2,2)</f>
        <v>1.573015199833416E-2</v>
      </c>
      <c r="K66" s="2" t="e">
        <f t="shared" si="2"/>
        <v>#NUM!</v>
      </c>
    </row>
    <row r="67" spans="1:11" ht="13.9" x14ac:dyDescent="0.3">
      <c r="A67" s="2" t="s">
        <v>84</v>
      </c>
      <c r="B67" s="2">
        <v>0</v>
      </c>
      <c r="C67" s="2">
        <v>0</v>
      </c>
      <c r="D67" s="2">
        <v>0</v>
      </c>
      <c r="E67" s="2">
        <v>3.65</v>
      </c>
      <c r="F67" s="2">
        <v>5.62</v>
      </c>
      <c r="G67" s="2">
        <v>2.3199999999999998</v>
      </c>
      <c r="H67" s="2" t="e">
        <f t="shared" si="3"/>
        <v>#NUM!</v>
      </c>
      <c r="I67" s="2">
        <f t="shared" si="4"/>
        <v>1.573015199833416E-2</v>
      </c>
      <c r="K67" s="2" t="e">
        <f t="shared" ref="K67:K130" si="5">LOG(SUM(B67:D67),2)</f>
        <v>#NUM!</v>
      </c>
    </row>
    <row r="68" spans="1:11" ht="13.9" x14ac:dyDescent="0.3">
      <c r="A68" s="2" t="s">
        <v>85</v>
      </c>
      <c r="B68" s="2">
        <v>0</v>
      </c>
      <c r="C68" s="2">
        <v>0</v>
      </c>
      <c r="D68" s="2">
        <v>1.46</v>
      </c>
      <c r="E68" s="2">
        <v>0</v>
      </c>
      <c r="F68" s="2">
        <v>0</v>
      </c>
      <c r="G68" s="2">
        <v>1.37</v>
      </c>
      <c r="H68" s="2">
        <f t="shared" si="3"/>
        <v>9.179247591949026E-2</v>
      </c>
      <c r="I68" s="2">
        <f t="shared" si="4"/>
        <v>0.96629998781771875</v>
      </c>
      <c r="K68" s="2">
        <f t="shared" si="5"/>
        <v>0.54596836910529256</v>
      </c>
    </row>
    <row r="69" spans="1:11" ht="13.9" x14ac:dyDescent="0.3">
      <c r="A69" s="2" t="s">
        <v>86</v>
      </c>
      <c r="B69" s="2">
        <v>0</v>
      </c>
      <c r="C69" s="2">
        <v>0</v>
      </c>
      <c r="D69" s="2">
        <v>0</v>
      </c>
      <c r="E69" s="2">
        <v>0</v>
      </c>
      <c r="F69" s="2">
        <v>0.13</v>
      </c>
      <c r="G69" s="2">
        <v>0</v>
      </c>
      <c r="H69" s="2" t="e">
        <f t="shared" si="3"/>
        <v>#NUM!</v>
      </c>
      <c r="I69" s="2">
        <f t="shared" si="4"/>
        <v>0.37390096630005903</v>
      </c>
      <c r="K69" s="2" t="e">
        <f t="shared" si="5"/>
        <v>#NUM!</v>
      </c>
    </row>
    <row r="70" spans="1:11" ht="13.9" x14ac:dyDescent="0.3">
      <c r="A70" s="2" t="s">
        <v>87</v>
      </c>
      <c r="B70" s="2">
        <v>9.56</v>
      </c>
      <c r="C70" s="2">
        <v>20.98</v>
      </c>
      <c r="D70" s="2">
        <v>0</v>
      </c>
      <c r="E70" s="2">
        <v>7.7</v>
      </c>
      <c r="F70" s="2">
        <v>14.31</v>
      </c>
      <c r="G70" s="2">
        <v>10.33</v>
      </c>
      <c r="H70" s="2">
        <f t="shared" si="3"/>
        <v>-8.2619616676810309E-2</v>
      </c>
      <c r="I70" s="2">
        <f t="shared" si="4"/>
        <v>0.92939196305920069</v>
      </c>
      <c r="K70" s="2">
        <f t="shared" si="5"/>
        <v>4.9326281570221271</v>
      </c>
    </row>
    <row r="71" spans="1:11" ht="13.9" x14ac:dyDescent="0.3">
      <c r="A71" s="2" t="s">
        <v>88</v>
      </c>
      <c r="B71" s="2">
        <v>3.63</v>
      </c>
      <c r="C71" s="2">
        <v>0</v>
      </c>
      <c r="D71" s="2">
        <v>12.02</v>
      </c>
      <c r="E71" s="2">
        <v>3.55</v>
      </c>
      <c r="F71" s="2">
        <v>2.81</v>
      </c>
      <c r="G71" s="2">
        <v>1.05</v>
      </c>
      <c r="H71" s="2">
        <f t="shared" si="3"/>
        <v>1.0786172095141469</v>
      </c>
      <c r="I71" s="2">
        <f t="shared" si="4"/>
        <v>0.49202565782410657</v>
      </c>
      <c r="K71" s="2">
        <f t="shared" si="5"/>
        <v>3.968090752045256</v>
      </c>
    </row>
    <row r="72" spans="1:11" ht="13.9" x14ac:dyDescent="0.3">
      <c r="A72" s="2" t="s">
        <v>89</v>
      </c>
      <c r="B72" s="2">
        <v>19.12</v>
      </c>
      <c r="C72" s="2">
        <v>46.6</v>
      </c>
      <c r="D72" s="2">
        <v>30.4</v>
      </c>
      <c r="E72" s="2">
        <v>34.65</v>
      </c>
      <c r="F72" s="2">
        <v>54.95</v>
      </c>
      <c r="G72" s="2">
        <v>22.55</v>
      </c>
      <c r="H72" s="2">
        <f t="shared" si="3"/>
        <v>-0.22252106684376821</v>
      </c>
      <c r="I72" s="2">
        <f t="shared" si="4"/>
        <v>0.68797299562724712</v>
      </c>
      <c r="K72" s="2">
        <f t="shared" si="5"/>
        <v>6.5867647433551424</v>
      </c>
    </row>
    <row r="73" spans="1:11" ht="13.9" x14ac:dyDescent="0.3">
      <c r="A73" s="2" t="s">
        <v>90</v>
      </c>
      <c r="B73" s="2">
        <v>0</v>
      </c>
      <c r="C73" s="2">
        <v>0</v>
      </c>
      <c r="D73" s="2">
        <v>0</v>
      </c>
      <c r="E73" s="2">
        <v>0.1</v>
      </c>
      <c r="F73" s="2">
        <v>0.13</v>
      </c>
      <c r="G73" s="2">
        <v>0.11</v>
      </c>
      <c r="H73" s="2" t="e">
        <f t="shared" si="3"/>
        <v>#NUM!</v>
      </c>
      <c r="I73" s="2">
        <f t="shared" si="4"/>
        <v>2.1139752676373701E-4</v>
      </c>
      <c r="K73" s="2" t="e">
        <f t="shared" si="5"/>
        <v>#NUM!</v>
      </c>
    </row>
    <row r="74" spans="1:11" ht="13.9" x14ac:dyDescent="0.3">
      <c r="A74" s="2" t="s">
        <v>91</v>
      </c>
      <c r="B74" s="2">
        <v>0</v>
      </c>
      <c r="C74" s="2">
        <v>0</v>
      </c>
      <c r="D74" s="2">
        <v>0</v>
      </c>
      <c r="E74" s="2">
        <v>0.49</v>
      </c>
      <c r="F74" s="2">
        <v>0</v>
      </c>
      <c r="G74" s="2">
        <v>0</v>
      </c>
      <c r="H74" s="2" t="e">
        <f t="shared" si="3"/>
        <v>#NUM!</v>
      </c>
      <c r="I74" s="2">
        <f t="shared" si="4"/>
        <v>0.37390096630005903</v>
      </c>
      <c r="K74" s="2" t="e">
        <f t="shared" si="5"/>
        <v>#NUM!</v>
      </c>
    </row>
    <row r="75" spans="1:11" ht="13.9" x14ac:dyDescent="0.3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0.11</v>
      </c>
      <c r="H75" s="2" t="e">
        <f t="shared" si="3"/>
        <v>#NUM!</v>
      </c>
      <c r="I75" s="2">
        <f t="shared" si="4"/>
        <v>0.37390096630005903</v>
      </c>
      <c r="K75" s="2" t="e">
        <f t="shared" si="5"/>
        <v>#NUM!</v>
      </c>
    </row>
    <row r="76" spans="1:11" ht="13.9" x14ac:dyDescent="0.3">
      <c r="A76" s="2" t="s">
        <v>93</v>
      </c>
      <c r="B76" s="2">
        <v>0.33</v>
      </c>
      <c r="C76" s="2">
        <v>0</v>
      </c>
      <c r="D76" s="2">
        <v>12.02</v>
      </c>
      <c r="E76" s="2">
        <v>1.58</v>
      </c>
      <c r="F76" s="2">
        <v>1.07</v>
      </c>
      <c r="G76" s="2">
        <v>1.05</v>
      </c>
      <c r="H76" s="2">
        <f t="shared" si="3"/>
        <v>1.7389138659557279</v>
      </c>
      <c r="I76" s="2">
        <f t="shared" si="4"/>
        <v>0.5065366212550495</v>
      </c>
      <c r="K76" s="2">
        <f t="shared" si="5"/>
        <v>3.6264391366973152</v>
      </c>
    </row>
    <row r="77" spans="1:11" ht="13.9" x14ac:dyDescent="0.3">
      <c r="A77" s="2" t="s">
        <v>94</v>
      </c>
      <c r="B77" s="2">
        <v>0</v>
      </c>
      <c r="C77" s="2">
        <v>0</v>
      </c>
      <c r="D77" s="2">
        <v>0</v>
      </c>
      <c r="E77" s="2">
        <v>5.63</v>
      </c>
      <c r="F77" s="2">
        <v>6.69</v>
      </c>
      <c r="G77" s="2">
        <v>7.48</v>
      </c>
      <c r="H77" s="2" t="e">
        <f t="shared" si="3"/>
        <v>#NUM!</v>
      </c>
      <c r="I77" s="2">
        <f t="shared" si="4"/>
        <v>2.4979911181806201E-4</v>
      </c>
      <c r="K77" s="2" t="e">
        <f t="shared" si="5"/>
        <v>#NUM!</v>
      </c>
    </row>
    <row r="78" spans="1:11" ht="13.9" x14ac:dyDescent="0.3">
      <c r="A78" s="2" t="s">
        <v>95</v>
      </c>
      <c r="B78" s="2">
        <v>0</v>
      </c>
      <c r="C78" s="2">
        <v>0</v>
      </c>
      <c r="D78" s="2">
        <v>3.82</v>
      </c>
      <c r="E78" s="2">
        <v>0.89</v>
      </c>
      <c r="F78" s="2">
        <v>1.34</v>
      </c>
      <c r="G78" s="2">
        <v>2.5299999999999998</v>
      </c>
      <c r="H78" s="2">
        <f t="shared" si="3"/>
        <v>-0.31738893527219475</v>
      </c>
      <c r="I78" s="2">
        <f t="shared" si="4"/>
        <v>0.82959094775714104</v>
      </c>
      <c r="K78" s="2">
        <f t="shared" si="5"/>
        <v>1.9335726382610239</v>
      </c>
    </row>
    <row r="79" spans="1:11" ht="13.9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0.27</v>
      </c>
      <c r="G79" s="2">
        <v>0</v>
      </c>
      <c r="H79" s="2" t="e">
        <f t="shared" si="3"/>
        <v>#NUM!</v>
      </c>
      <c r="I79" s="2">
        <f t="shared" si="4"/>
        <v>0.37390096630005903</v>
      </c>
      <c r="K79" s="2" t="e">
        <f t="shared" si="5"/>
        <v>#NUM!</v>
      </c>
    </row>
    <row r="80" spans="1:11" ht="13.9" x14ac:dyDescent="0.3">
      <c r="A80" s="2" t="s">
        <v>97</v>
      </c>
      <c r="B80" s="2">
        <v>668.13</v>
      </c>
      <c r="C80" s="2">
        <v>1068.31</v>
      </c>
      <c r="D80" s="2">
        <v>745.56</v>
      </c>
      <c r="E80" s="2">
        <v>954.97</v>
      </c>
      <c r="F80" s="2">
        <v>1206.7</v>
      </c>
      <c r="G80" s="2">
        <v>1192.6500000000001</v>
      </c>
      <c r="H80" s="2">
        <f t="shared" si="3"/>
        <v>-0.43451721219106587</v>
      </c>
      <c r="I80" s="2">
        <f t="shared" si="4"/>
        <v>0.11955263864567268</v>
      </c>
      <c r="K80" s="2">
        <f t="shared" si="5"/>
        <v>11.277287400130357</v>
      </c>
    </row>
    <row r="81" spans="1:11" ht="13.9" x14ac:dyDescent="0.3">
      <c r="A81" s="2" t="s">
        <v>98</v>
      </c>
      <c r="B81" s="2">
        <v>0</v>
      </c>
      <c r="C81" s="2">
        <v>0</v>
      </c>
      <c r="D81" s="2">
        <v>0</v>
      </c>
      <c r="E81" s="2">
        <v>1.28</v>
      </c>
      <c r="F81" s="2">
        <v>1.87</v>
      </c>
      <c r="G81" s="2">
        <v>0</v>
      </c>
      <c r="H81" s="2" t="e">
        <f t="shared" si="3"/>
        <v>#NUM!</v>
      </c>
      <c r="I81" s="2">
        <f t="shared" si="4"/>
        <v>0.12987966620121741</v>
      </c>
      <c r="K81" s="2" t="e">
        <f t="shared" si="5"/>
        <v>#NUM!</v>
      </c>
    </row>
    <row r="82" spans="1:11" s="7" customFormat="1" ht="13.9" x14ac:dyDescent="0.3">
      <c r="A82" s="6" t="s">
        <v>99</v>
      </c>
      <c r="B82" s="6">
        <v>5.93</v>
      </c>
      <c r="C82" s="6">
        <v>0</v>
      </c>
      <c r="D82" s="6">
        <v>10.01</v>
      </c>
      <c r="E82" s="6">
        <v>3.16</v>
      </c>
      <c r="F82" s="6">
        <v>3.08</v>
      </c>
      <c r="G82" s="6">
        <v>7.06</v>
      </c>
      <c r="H82" s="6">
        <f t="shared" si="3"/>
        <v>0.26122538360191966</v>
      </c>
      <c r="I82" s="6">
        <f t="shared" si="4"/>
        <v>0.79626463765140443</v>
      </c>
      <c r="K82" s="2">
        <f t="shared" si="5"/>
        <v>3.9945797242157468</v>
      </c>
    </row>
    <row r="83" spans="1:11" ht="13.9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0.13</v>
      </c>
      <c r="G83" s="2">
        <v>0</v>
      </c>
      <c r="H83" s="2" t="e">
        <f t="shared" si="3"/>
        <v>#NUM!</v>
      </c>
      <c r="I83" s="2">
        <f t="shared" si="4"/>
        <v>0.37390096630005903</v>
      </c>
      <c r="K83" s="2" t="e">
        <f t="shared" si="5"/>
        <v>#NUM!</v>
      </c>
    </row>
    <row r="84" spans="1:11" ht="13.9" x14ac:dyDescent="0.3">
      <c r="A84" s="2" t="s">
        <v>101</v>
      </c>
      <c r="B84" s="2">
        <v>0</v>
      </c>
      <c r="C84" s="2">
        <v>0</v>
      </c>
      <c r="D84" s="2">
        <v>0</v>
      </c>
      <c r="E84" s="2">
        <v>0.39</v>
      </c>
      <c r="F84" s="2">
        <v>2.67</v>
      </c>
      <c r="G84" s="2">
        <v>0.53</v>
      </c>
      <c r="H84" s="2" t="e">
        <f t="shared" si="3"/>
        <v>#NUM!</v>
      </c>
      <c r="I84" s="2">
        <f t="shared" si="4"/>
        <v>0.18012346467787663</v>
      </c>
      <c r="K84" s="2" t="e">
        <f t="shared" si="5"/>
        <v>#NUM!</v>
      </c>
    </row>
    <row r="85" spans="1:11" ht="13.9" x14ac:dyDescent="0.3">
      <c r="A85" s="2" t="s">
        <v>102</v>
      </c>
      <c r="B85" s="2">
        <v>0</v>
      </c>
      <c r="C85" s="2">
        <v>0</v>
      </c>
      <c r="D85" s="2">
        <v>0</v>
      </c>
      <c r="E85" s="2">
        <v>3.46</v>
      </c>
      <c r="F85" s="2">
        <v>4.95</v>
      </c>
      <c r="G85" s="2">
        <v>1.69</v>
      </c>
      <c r="H85" s="2" t="e">
        <f t="shared" si="3"/>
        <v>#NUM!</v>
      </c>
      <c r="I85" s="2">
        <f t="shared" si="4"/>
        <v>2.3311923204210935E-2</v>
      </c>
      <c r="K85" s="2" t="e">
        <f t="shared" si="5"/>
        <v>#NUM!</v>
      </c>
    </row>
    <row r="86" spans="1:11" ht="13.9" x14ac:dyDescent="0.3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3"/>
        <v>#DIV/0!</v>
      </c>
      <c r="I86" s="2" t="e">
        <f t="shared" si="4"/>
        <v>#DIV/0!</v>
      </c>
      <c r="K86" s="2" t="e">
        <f t="shared" si="5"/>
        <v>#NUM!</v>
      </c>
    </row>
    <row r="87" spans="1:11" ht="13.9" x14ac:dyDescent="0.3">
      <c r="A87" s="2" t="s">
        <v>104</v>
      </c>
      <c r="B87" s="2">
        <v>0</v>
      </c>
      <c r="C87" s="2">
        <v>14.15</v>
      </c>
      <c r="D87" s="2">
        <v>0</v>
      </c>
      <c r="E87" s="2">
        <v>2.27</v>
      </c>
      <c r="F87" s="2">
        <v>38.51</v>
      </c>
      <c r="G87" s="2">
        <v>7.38</v>
      </c>
      <c r="H87" s="2">
        <f t="shared" si="3"/>
        <v>-1.7670333390404576</v>
      </c>
      <c r="I87" s="2">
        <f t="shared" si="4"/>
        <v>0.40773440984894693</v>
      </c>
      <c r="K87" s="2">
        <f t="shared" si="5"/>
        <v>3.8227301479445206</v>
      </c>
    </row>
    <row r="88" spans="1:11" ht="13.9" x14ac:dyDescent="0.3">
      <c r="A88" s="2" t="s">
        <v>105</v>
      </c>
      <c r="B88" s="2">
        <v>5.93</v>
      </c>
      <c r="C88" s="2">
        <v>0</v>
      </c>
      <c r="D88" s="2">
        <v>5.28</v>
      </c>
      <c r="E88" s="2">
        <v>1.0900000000000001</v>
      </c>
      <c r="F88" s="2">
        <v>0.4</v>
      </c>
      <c r="G88" s="2">
        <v>2.21</v>
      </c>
      <c r="H88" s="2">
        <f t="shared" si="3"/>
        <v>1.5991891022891145</v>
      </c>
      <c r="I88" s="2">
        <f t="shared" si="4"/>
        <v>0.26862654179777762</v>
      </c>
      <c r="K88" s="2">
        <f t="shared" si="5"/>
        <v>3.4867143730307024</v>
      </c>
    </row>
    <row r="89" spans="1:11" ht="13.9" x14ac:dyDescent="0.3">
      <c r="A89" s="2" t="s">
        <v>106</v>
      </c>
      <c r="B89" s="2">
        <v>0</v>
      </c>
      <c r="C89" s="2">
        <v>0</v>
      </c>
      <c r="D89" s="2">
        <v>0</v>
      </c>
      <c r="E89" s="2">
        <v>0.3</v>
      </c>
      <c r="F89" s="2">
        <v>0.27</v>
      </c>
      <c r="G89" s="2">
        <v>0.21</v>
      </c>
      <c r="H89" s="2" t="e">
        <f t="shared" si="3"/>
        <v>#NUM!</v>
      </c>
      <c r="I89" s="2">
        <f t="shared" si="4"/>
        <v>6.0124634629060594E-4</v>
      </c>
      <c r="K89" s="2" t="e">
        <f t="shared" si="5"/>
        <v>#NUM!</v>
      </c>
    </row>
    <row r="90" spans="1:11" ht="13.9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3"/>
        <v>#DIV/0!</v>
      </c>
      <c r="I90" s="2" t="e">
        <f t="shared" si="4"/>
        <v>#DIV/0!</v>
      </c>
      <c r="K90" s="2" t="e">
        <f t="shared" si="5"/>
        <v>#NUM!</v>
      </c>
    </row>
    <row r="91" spans="1:11" ht="13.9" x14ac:dyDescent="0.3">
      <c r="A91" s="2" t="s">
        <v>108</v>
      </c>
      <c r="B91" s="2">
        <v>20.11</v>
      </c>
      <c r="C91" s="2">
        <v>0</v>
      </c>
      <c r="D91" s="2">
        <v>5.64</v>
      </c>
      <c r="E91" s="2">
        <v>8.2899999999999991</v>
      </c>
      <c r="F91" s="2">
        <v>7.35</v>
      </c>
      <c r="G91" s="2">
        <v>4.95</v>
      </c>
      <c r="H91" s="2">
        <f t="shared" si="3"/>
        <v>0.3226286023256888</v>
      </c>
      <c r="I91" s="2">
        <f t="shared" si="4"/>
        <v>0.790990562420122</v>
      </c>
      <c r="K91" s="2">
        <f t="shared" si="5"/>
        <v>4.6865005271832185</v>
      </c>
    </row>
    <row r="92" spans="1:11" ht="13.9" x14ac:dyDescent="0.3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e">
        <f t="shared" si="3"/>
        <v>#DIV/0!</v>
      </c>
      <c r="I92" s="2" t="e">
        <f t="shared" si="4"/>
        <v>#DIV/0!</v>
      </c>
      <c r="K92" s="2" t="e">
        <f t="shared" si="5"/>
        <v>#NUM!</v>
      </c>
    </row>
    <row r="93" spans="1:11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0.32</v>
      </c>
      <c r="H93" s="2" t="e">
        <f t="shared" si="3"/>
        <v>#NUM!</v>
      </c>
      <c r="I93" s="2">
        <f t="shared" si="4"/>
        <v>0.37390096630005903</v>
      </c>
      <c r="K93" s="2" t="e">
        <f t="shared" si="5"/>
        <v>#NUM!</v>
      </c>
    </row>
    <row r="94" spans="1:11" ht="13.9" x14ac:dyDescent="0.3">
      <c r="A94" s="2" t="s">
        <v>111</v>
      </c>
      <c r="B94" s="2">
        <v>0</v>
      </c>
      <c r="C94" s="2">
        <v>0</v>
      </c>
      <c r="D94" s="2">
        <v>0</v>
      </c>
      <c r="E94" s="2">
        <v>0</v>
      </c>
      <c r="F94" s="2">
        <v>0.67</v>
      </c>
      <c r="G94" s="2">
        <v>0</v>
      </c>
      <c r="H94" s="2" t="e">
        <f t="shared" si="3"/>
        <v>#NUM!</v>
      </c>
      <c r="I94" s="2">
        <f t="shared" si="4"/>
        <v>0.37390096630005903</v>
      </c>
      <c r="K94" s="2" t="e">
        <f t="shared" si="5"/>
        <v>#NUM!</v>
      </c>
    </row>
    <row r="95" spans="1:11" ht="13.9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0.32</v>
      </c>
      <c r="H95" s="2" t="e">
        <f t="shared" si="3"/>
        <v>#NUM!</v>
      </c>
      <c r="I95" s="2">
        <f t="shared" si="4"/>
        <v>0.37390096630005903</v>
      </c>
      <c r="K95" s="2" t="e">
        <f t="shared" si="5"/>
        <v>#NUM!</v>
      </c>
    </row>
    <row r="96" spans="1:11" ht="13.9" x14ac:dyDescent="0.3">
      <c r="A96" s="2" t="s">
        <v>113</v>
      </c>
      <c r="B96" s="2">
        <v>0</v>
      </c>
      <c r="C96" s="2">
        <v>0</v>
      </c>
      <c r="D96" s="2">
        <v>9.65</v>
      </c>
      <c r="E96" s="2">
        <v>1.68</v>
      </c>
      <c r="F96" s="2">
        <v>1.2</v>
      </c>
      <c r="G96" s="2">
        <v>1.26</v>
      </c>
      <c r="H96" s="2">
        <f t="shared" si="3"/>
        <v>1.2208981746561176</v>
      </c>
      <c r="I96" s="2">
        <f t="shared" si="4"/>
        <v>0.59894626373702375</v>
      </c>
      <c r="K96" s="2">
        <f t="shared" si="5"/>
        <v>3.2705289423807185</v>
      </c>
    </row>
    <row r="97" spans="1:11" ht="13.9" x14ac:dyDescent="0.3">
      <c r="A97" s="2" t="s">
        <v>114</v>
      </c>
      <c r="B97" s="2">
        <v>17.8</v>
      </c>
      <c r="C97" s="2">
        <v>5.37</v>
      </c>
      <c r="D97" s="2">
        <v>0.18</v>
      </c>
      <c r="E97" s="2">
        <v>22.7</v>
      </c>
      <c r="F97" s="2">
        <v>43.19</v>
      </c>
      <c r="G97" s="2">
        <v>52.9</v>
      </c>
      <c r="H97" s="2">
        <f t="shared" si="3"/>
        <v>-2.3469189370032431</v>
      </c>
      <c r="I97" s="2">
        <f t="shared" si="4"/>
        <v>3.686474954753842E-2</v>
      </c>
      <c r="K97" s="2">
        <f t="shared" si="5"/>
        <v>4.5453506448222996</v>
      </c>
    </row>
    <row r="98" spans="1:11" ht="13.9" x14ac:dyDescent="0.3">
      <c r="A98" s="2" t="s">
        <v>115</v>
      </c>
      <c r="B98" s="2">
        <v>4.28</v>
      </c>
      <c r="C98" s="2">
        <v>23.91</v>
      </c>
      <c r="D98" s="2">
        <v>10.01</v>
      </c>
      <c r="E98" s="2">
        <v>17.87</v>
      </c>
      <c r="F98" s="2">
        <v>19.52</v>
      </c>
      <c r="G98" s="2">
        <v>16.329999999999998</v>
      </c>
      <c r="H98" s="2">
        <f t="shared" si="3"/>
        <v>-0.49188666650433122</v>
      </c>
      <c r="I98" s="2">
        <f t="shared" si="4"/>
        <v>0.43010425273984998</v>
      </c>
      <c r="K98" s="2">
        <f t="shared" si="5"/>
        <v>5.2555007331483861</v>
      </c>
    </row>
    <row r="99" spans="1:11" ht="13.9" x14ac:dyDescent="0.3">
      <c r="A99" s="2" t="s">
        <v>116</v>
      </c>
      <c r="B99" s="2">
        <v>2.97</v>
      </c>
      <c r="C99" s="2">
        <v>0</v>
      </c>
      <c r="D99" s="2">
        <v>0</v>
      </c>
      <c r="E99" s="2">
        <v>0.49</v>
      </c>
      <c r="F99" s="2">
        <v>0.27</v>
      </c>
      <c r="G99" s="2">
        <v>0.11</v>
      </c>
      <c r="H99" s="2">
        <f t="shared" si="3"/>
        <v>1.7713756249520378</v>
      </c>
      <c r="I99" s="2">
        <f t="shared" si="4"/>
        <v>0.52096564153707081</v>
      </c>
      <c r="K99" s="2">
        <f t="shared" si="5"/>
        <v>1.5704629310260412</v>
      </c>
    </row>
    <row r="100" spans="1:11" ht="13.9" x14ac:dyDescent="0.3">
      <c r="A100" s="2" t="s">
        <v>117</v>
      </c>
      <c r="B100" s="2">
        <v>22.41</v>
      </c>
      <c r="C100" s="2">
        <v>60.5</v>
      </c>
      <c r="D100" s="2">
        <v>18.39</v>
      </c>
      <c r="E100" s="2">
        <v>63.38</v>
      </c>
      <c r="F100" s="2">
        <v>77.95</v>
      </c>
      <c r="G100" s="2">
        <v>60.49</v>
      </c>
      <c r="H100" s="2">
        <f t="shared" si="3"/>
        <v>-0.99443497588047036</v>
      </c>
      <c r="I100" s="2">
        <f t="shared" si="4"/>
        <v>8.1444369536377473E-2</v>
      </c>
      <c r="K100" s="2">
        <f t="shared" si="5"/>
        <v>6.6624903639137756</v>
      </c>
    </row>
    <row r="101" spans="1:11" ht="13.9" x14ac:dyDescent="0.3">
      <c r="A101" s="2" t="s">
        <v>118</v>
      </c>
      <c r="B101" s="2">
        <v>4.9400000000000004</v>
      </c>
      <c r="C101" s="2">
        <v>0</v>
      </c>
      <c r="D101" s="2">
        <v>0</v>
      </c>
      <c r="E101" s="2">
        <v>5.82</v>
      </c>
      <c r="F101" s="2">
        <v>8.56</v>
      </c>
      <c r="G101" s="2">
        <v>10.96</v>
      </c>
      <c r="H101" s="2">
        <f t="shared" si="3"/>
        <v>-2.358833577556132</v>
      </c>
      <c r="I101" s="2">
        <f t="shared" si="4"/>
        <v>3.7409015438754821E-2</v>
      </c>
      <c r="K101" s="2">
        <f t="shared" si="5"/>
        <v>2.304511041809953</v>
      </c>
    </row>
    <row r="102" spans="1:11" ht="13.9" x14ac:dyDescent="0.3">
      <c r="A102" s="2" t="s">
        <v>119</v>
      </c>
      <c r="B102" s="2">
        <v>0</v>
      </c>
      <c r="C102" s="2">
        <v>0</v>
      </c>
      <c r="D102" s="2">
        <v>0</v>
      </c>
      <c r="E102" s="2">
        <v>0.2</v>
      </c>
      <c r="F102" s="2">
        <v>0</v>
      </c>
      <c r="G102" s="2">
        <v>0</v>
      </c>
      <c r="H102" s="2" t="e">
        <f t="shared" si="3"/>
        <v>#NUM!</v>
      </c>
      <c r="I102" s="2">
        <f t="shared" si="4"/>
        <v>0.37390096630005903</v>
      </c>
      <c r="K102" s="2" t="e">
        <f t="shared" si="5"/>
        <v>#NUM!</v>
      </c>
    </row>
    <row r="103" spans="1:11" ht="13.9" x14ac:dyDescent="0.3">
      <c r="A103" s="2" t="s">
        <v>120</v>
      </c>
      <c r="B103" s="2">
        <v>0</v>
      </c>
      <c r="C103" s="2">
        <v>0.73</v>
      </c>
      <c r="D103" s="2">
        <v>0</v>
      </c>
      <c r="E103" s="2">
        <v>0</v>
      </c>
      <c r="F103" s="2">
        <v>0.13</v>
      </c>
      <c r="G103" s="2">
        <v>0.32</v>
      </c>
      <c r="H103" s="2">
        <f t="shared" si="3"/>
        <v>0.69797146255034259</v>
      </c>
      <c r="I103" s="2">
        <f t="shared" si="4"/>
        <v>0.73820929102446553</v>
      </c>
      <c r="K103" s="2">
        <f t="shared" si="5"/>
        <v>-0.45403163089470749</v>
      </c>
    </row>
    <row r="104" spans="1:11" ht="13.9" x14ac:dyDescent="0.3">
      <c r="A104" s="2" t="s">
        <v>121</v>
      </c>
      <c r="B104" s="2">
        <v>4.28</v>
      </c>
      <c r="C104" s="2">
        <v>0</v>
      </c>
      <c r="D104" s="2">
        <v>0</v>
      </c>
      <c r="E104" s="2">
        <v>0</v>
      </c>
      <c r="F104" s="2">
        <v>0.4</v>
      </c>
      <c r="G104" s="2">
        <v>0.53</v>
      </c>
      <c r="H104" s="2">
        <f t="shared" si="3"/>
        <v>2.202308175293116</v>
      </c>
      <c r="I104" s="2">
        <f t="shared" si="4"/>
        <v>0.48009118448291138</v>
      </c>
      <c r="K104" s="2">
        <f t="shared" si="5"/>
        <v>2.0976107966264221</v>
      </c>
    </row>
    <row r="105" spans="1:11" ht="13.9" x14ac:dyDescent="0.3">
      <c r="A105" s="2" t="s">
        <v>122</v>
      </c>
      <c r="B105" s="2">
        <v>5.93</v>
      </c>
      <c r="C105" s="2">
        <v>9.27</v>
      </c>
      <c r="D105" s="2">
        <v>1.46</v>
      </c>
      <c r="E105" s="2">
        <v>1.78</v>
      </c>
      <c r="F105" s="2">
        <v>2.54</v>
      </c>
      <c r="G105" s="2">
        <v>1.58</v>
      </c>
      <c r="H105" s="2">
        <f t="shared" si="3"/>
        <v>1.4976015411163437</v>
      </c>
      <c r="I105" s="2">
        <f t="shared" si="4"/>
        <v>0.19099388192462532</v>
      </c>
      <c r="K105" s="2">
        <f t="shared" si="5"/>
        <v>4.0583164955908231</v>
      </c>
    </row>
    <row r="106" spans="1:11" ht="13.9" x14ac:dyDescent="0.3">
      <c r="A106" s="2" t="s">
        <v>123</v>
      </c>
      <c r="B106" s="2">
        <v>0</v>
      </c>
      <c r="C106" s="2">
        <v>5.61</v>
      </c>
      <c r="D106" s="2">
        <v>3.64</v>
      </c>
      <c r="E106" s="2">
        <v>0.39</v>
      </c>
      <c r="F106" s="2">
        <v>1.07</v>
      </c>
      <c r="G106" s="2">
        <v>0.63</v>
      </c>
      <c r="H106" s="2">
        <f t="shared" si="3"/>
        <v>2.145950423322792</v>
      </c>
      <c r="I106" s="2">
        <f t="shared" si="4"/>
        <v>0.22278789422708453</v>
      </c>
      <c r="K106" s="2">
        <f t="shared" si="5"/>
        <v>3.2094533656289501</v>
      </c>
    </row>
    <row r="107" spans="1:11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0.67</v>
      </c>
      <c r="G107" s="2">
        <v>0</v>
      </c>
      <c r="H107" s="2" t="e">
        <f t="shared" si="3"/>
        <v>#NUM!</v>
      </c>
      <c r="I107" s="2">
        <f t="shared" si="4"/>
        <v>0.37390096630005903</v>
      </c>
      <c r="K107" s="2" t="e">
        <f t="shared" si="5"/>
        <v>#NUM!</v>
      </c>
    </row>
    <row r="108" spans="1:11" ht="13.9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1.18</v>
      </c>
      <c r="F108" s="2">
        <v>0</v>
      </c>
      <c r="G108" s="2">
        <v>0</v>
      </c>
      <c r="H108" s="2" t="e">
        <f t="shared" si="3"/>
        <v>#NUM!</v>
      </c>
      <c r="I108" s="2">
        <f t="shared" si="4"/>
        <v>0.37390096630005903</v>
      </c>
      <c r="K108" s="2" t="e">
        <f t="shared" si="5"/>
        <v>#NUM!</v>
      </c>
    </row>
    <row r="109" spans="1:11" ht="13.9" x14ac:dyDescent="0.3">
      <c r="A109" s="2" t="s">
        <v>126</v>
      </c>
      <c r="B109" s="2">
        <v>0</v>
      </c>
      <c r="C109" s="2">
        <v>0</v>
      </c>
      <c r="D109" s="2">
        <v>4.01</v>
      </c>
      <c r="E109" s="2">
        <v>4.54</v>
      </c>
      <c r="F109" s="2">
        <v>5.21</v>
      </c>
      <c r="G109" s="2">
        <v>4.22</v>
      </c>
      <c r="H109" s="2">
        <f t="shared" si="3"/>
        <v>-1.8006578789545427</v>
      </c>
      <c r="I109" s="2">
        <f t="shared" si="4"/>
        <v>7.2239117902632127E-2</v>
      </c>
      <c r="K109" s="2">
        <f t="shared" si="5"/>
        <v>2.0036022366801958</v>
      </c>
    </row>
    <row r="110" spans="1:11" ht="13.9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 t="e">
        <f t="shared" si="3"/>
        <v>#DIV/0!</v>
      </c>
      <c r="I110" s="2" t="e">
        <f t="shared" si="4"/>
        <v>#DIV/0!</v>
      </c>
      <c r="K110" s="2" t="e">
        <f t="shared" si="5"/>
        <v>#NUM!</v>
      </c>
    </row>
    <row r="111" spans="1:11" ht="13.9" x14ac:dyDescent="0.3">
      <c r="A111" s="2" t="s">
        <v>128</v>
      </c>
      <c r="B111" s="2">
        <v>0</v>
      </c>
      <c r="C111" s="2">
        <v>14.39</v>
      </c>
      <c r="D111" s="2">
        <v>0</v>
      </c>
      <c r="E111" s="2">
        <v>8.8800000000000008</v>
      </c>
      <c r="F111" s="2">
        <v>7.35</v>
      </c>
      <c r="G111" s="2">
        <v>4</v>
      </c>
      <c r="H111" s="2">
        <f t="shared" si="3"/>
        <v>-0.49142972781798494</v>
      </c>
      <c r="I111" s="2">
        <f t="shared" si="4"/>
        <v>0.71731744067543968</v>
      </c>
      <c r="K111" s="2">
        <f t="shared" si="5"/>
        <v>3.8469946869655733</v>
      </c>
    </row>
    <row r="112" spans="1:11" ht="13.9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0.39</v>
      </c>
      <c r="F112" s="2">
        <v>0</v>
      </c>
      <c r="G112" s="2">
        <v>0</v>
      </c>
      <c r="H112" s="2" t="e">
        <f t="shared" si="3"/>
        <v>#NUM!</v>
      </c>
      <c r="I112" s="2">
        <f t="shared" si="4"/>
        <v>0.37390096630005903</v>
      </c>
      <c r="K112" s="2" t="e">
        <f t="shared" si="5"/>
        <v>#NUM!</v>
      </c>
    </row>
    <row r="113" spans="1:11" ht="13.9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3"/>
        <v>#DIV/0!</v>
      </c>
      <c r="I113" s="2" t="e">
        <f t="shared" si="4"/>
        <v>#DIV/0!</v>
      </c>
      <c r="K113" s="2" t="e">
        <f t="shared" si="5"/>
        <v>#NUM!</v>
      </c>
    </row>
    <row r="114" spans="1:11" ht="13.9" x14ac:dyDescent="0.3">
      <c r="A114" s="2" t="s">
        <v>131</v>
      </c>
      <c r="B114" s="2">
        <v>0.66</v>
      </c>
      <c r="C114" s="2">
        <v>0</v>
      </c>
      <c r="D114" s="2">
        <v>0</v>
      </c>
      <c r="E114" s="2">
        <v>0.1</v>
      </c>
      <c r="F114" s="2">
        <v>0</v>
      </c>
      <c r="G114" s="2">
        <v>0</v>
      </c>
      <c r="H114" s="2">
        <f t="shared" si="3"/>
        <v>2.7224660244710912</v>
      </c>
      <c r="I114" s="2">
        <f t="shared" si="4"/>
        <v>0.4487286656139175</v>
      </c>
      <c r="K114" s="2">
        <f t="shared" si="5"/>
        <v>-0.5994620704162712</v>
      </c>
    </row>
    <row r="115" spans="1:11" ht="13.9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0.3</v>
      </c>
      <c r="F115" s="2">
        <v>0.13</v>
      </c>
      <c r="G115" s="2">
        <v>0</v>
      </c>
      <c r="H115" s="2" t="e">
        <f t="shared" si="3"/>
        <v>#NUM!</v>
      </c>
      <c r="I115" s="2">
        <f t="shared" si="4"/>
        <v>0.17424917661275183</v>
      </c>
      <c r="K115" s="2" t="e">
        <f t="shared" si="5"/>
        <v>#NUM!</v>
      </c>
    </row>
    <row r="116" spans="1:11" ht="13.9" x14ac:dyDescent="0.3">
      <c r="A116" s="2" t="s">
        <v>133</v>
      </c>
      <c r="B116" s="2">
        <v>9.56</v>
      </c>
      <c r="C116" s="2">
        <v>18.54</v>
      </c>
      <c r="D116" s="2">
        <v>32.770000000000003</v>
      </c>
      <c r="E116" s="2">
        <v>4.9400000000000004</v>
      </c>
      <c r="F116" s="2">
        <v>7.22</v>
      </c>
      <c r="G116" s="2">
        <v>4</v>
      </c>
      <c r="H116" s="2">
        <f t="shared" si="3"/>
        <v>1.9133041677260203</v>
      </c>
      <c r="I116" s="2">
        <f t="shared" si="4"/>
        <v>9.4337614919119947E-2</v>
      </c>
      <c r="K116" s="2">
        <f t="shared" si="5"/>
        <v>5.9276594607030901</v>
      </c>
    </row>
    <row r="117" spans="1:11" ht="13.9" x14ac:dyDescent="0.3">
      <c r="A117" s="2" t="s">
        <v>134</v>
      </c>
      <c r="B117" s="2">
        <v>0.33</v>
      </c>
      <c r="C117" s="2">
        <v>25.37</v>
      </c>
      <c r="D117" s="2">
        <v>0.18</v>
      </c>
      <c r="E117" s="2">
        <v>4.84</v>
      </c>
      <c r="F117" s="2">
        <v>7.22</v>
      </c>
      <c r="G117" s="2">
        <v>6.11</v>
      </c>
      <c r="H117" s="2">
        <f t="shared" si="3"/>
        <v>0.51027919775839192</v>
      </c>
      <c r="I117" s="2">
        <f t="shared" si="4"/>
        <v>0.77490244281197251</v>
      </c>
      <c r="K117" s="2">
        <f t="shared" si="5"/>
        <v>4.6937657122177834</v>
      </c>
    </row>
    <row r="118" spans="1:11" ht="13.9" x14ac:dyDescent="0.3">
      <c r="A118" s="2" t="s">
        <v>135</v>
      </c>
      <c r="B118" s="2">
        <v>115.36</v>
      </c>
      <c r="C118" s="2">
        <v>23.66</v>
      </c>
      <c r="D118" s="2">
        <v>60.26</v>
      </c>
      <c r="E118" s="2">
        <v>119.45</v>
      </c>
      <c r="F118" s="2">
        <v>71.930000000000007</v>
      </c>
      <c r="G118" s="2">
        <v>72.510000000000005</v>
      </c>
      <c r="H118" s="2">
        <f t="shared" si="3"/>
        <v>-0.4051397546898951</v>
      </c>
      <c r="I118" s="2">
        <f t="shared" si="4"/>
        <v>0.52487972098099622</v>
      </c>
      <c r="K118" s="2">
        <f t="shared" si="5"/>
        <v>7.6386531164661129</v>
      </c>
    </row>
    <row r="119" spans="1:11" ht="13.9" x14ac:dyDescent="0.3">
      <c r="A119" s="2" t="s">
        <v>136</v>
      </c>
      <c r="B119" s="2">
        <v>1715.97</v>
      </c>
      <c r="C119" s="2">
        <v>2416.6799999999998</v>
      </c>
      <c r="D119" s="2">
        <v>1338.72</v>
      </c>
      <c r="E119" s="2">
        <v>1555.36</v>
      </c>
      <c r="F119" s="2">
        <v>2087.56</v>
      </c>
      <c r="G119" s="2">
        <v>1738.97</v>
      </c>
      <c r="H119" s="2">
        <f t="shared" si="3"/>
        <v>2.3789216747136712E-2</v>
      </c>
      <c r="I119" s="2">
        <f t="shared" si="4"/>
        <v>0.93659336366558221</v>
      </c>
      <c r="K119" s="2">
        <f t="shared" si="5"/>
        <v>12.417686405565505</v>
      </c>
    </row>
    <row r="120" spans="1:11" ht="13.9" x14ac:dyDescent="0.3">
      <c r="A120" s="2" t="s">
        <v>137</v>
      </c>
      <c r="B120" s="2">
        <v>48.45</v>
      </c>
      <c r="C120" s="2">
        <v>35.619999999999997</v>
      </c>
      <c r="D120" s="2">
        <v>41.33</v>
      </c>
      <c r="E120" s="2">
        <v>44.62</v>
      </c>
      <c r="F120" s="2">
        <v>42.65</v>
      </c>
      <c r="G120" s="2">
        <v>47</v>
      </c>
      <c r="H120" s="2">
        <f t="shared" si="3"/>
        <v>-9.8599650698407051E-2</v>
      </c>
      <c r="I120" s="2">
        <f t="shared" si="4"/>
        <v>0.49250711019916571</v>
      </c>
      <c r="K120" s="2">
        <f t="shared" si="5"/>
        <v>6.9703935379146769</v>
      </c>
    </row>
    <row r="121" spans="1:11" ht="13.9" x14ac:dyDescent="0.3">
      <c r="A121" s="2" t="s">
        <v>138</v>
      </c>
      <c r="B121" s="2">
        <v>0</v>
      </c>
      <c r="C121" s="2">
        <v>0</v>
      </c>
      <c r="D121" s="2">
        <v>0</v>
      </c>
      <c r="E121" s="2">
        <v>1.97</v>
      </c>
      <c r="F121" s="2">
        <v>0.4</v>
      </c>
      <c r="G121" s="2">
        <v>1.1599999999999999</v>
      </c>
      <c r="H121" s="2" t="e">
        <f t="shared" si="3"/>
        <v>#NUM!</v>
      </c>
      <c r="I121" s="2">
        <f t="shared" si="4"/>
        <v>6.0314302998405456E-2</v>
      </c>
      <c r="K121" s="2" t="e">
        <f t="shared" si="5"/>
        <v>#NUM!</v>
      </c>
    </row>
    <row r="122" spans="1:11" ht="13.9" x14ac:dyDescent="0.3">
      <c r="A122" s="2" t="s">
        <v>139</v>
      </c>
      <c r="B122" s="2">
        <v>1013.56</v>
      </c>
      <c r="C122" s="2">
        <v>413.51</v>
      </c>
      <c r="D122" s="2">
        <v>908.5</v>
      </c>
      <c r="E122" s="2">
        <v>496.64</v>
      </c>
      <c r="F122" s="2">
        <v>315.27999999999997</v>
      </c>
      <c r="G122" s="2">
        <v>448.52</v>
      </c>
      <c r="H122" s="2">
        <f t="shared" si="3"/>
        <v>0.88984724114012403</v>
      </c>
      <c r="I122" s="2">
        <f t="shared" si="4"/>
        <v>0.13658555889718541</v>
      </c>
      <c r="K122" s="2">
        <f t="shared" si="5"/>
        <v>11.189558969851346</v>
      </c>
    </row>
    <row r="123" spans="1:11" ht="13.9" x14ac:dyDescent="0.3">
      <c r="A123" s="2" t="s">
        <v>140</v>
      </c>
      <c r="B123" s="2">
        <v>453.55</v>
      </c>
      <c r="C123" s="2">
        <v>400.58</v>
      </c>
      <c r="D123" s="2">
        <v>260.17</v>
      </c>
      <c r="E123" s="2">
        <v>394.86</v>
      </c>
      <c r="F123" s="2">
        <v>228.1</v>
      </c>
      <c r="G123" s="2">
        <v>332.81</v>
      </c>
      <c r="H123" s="2">
        <f t="shared" si="3"/>
        <v>0.22140230823285223</v>
      </c>
      <c r="I123" s="2">
        <f t="shared" si="4"/>
        <v>0.52242592803486354</v>
      </c>
      <c r="K123" s="2">
        <f t="shared" si="5"/>
        <v>10.121921982551074</v>
      </c>
    </row>
    <row r="124" spans="1:11" ht="13.9" x14ac:dyDescent="0.3">
      <c r="A124" s="2" t="s">
        <v>141</v>
      </c>
      <c r="B124" s="2">
        <v>27666.15</v>
      </c>
      <c r="C124" s="2">
        <v>31697.439999999999</v>
      </c>
      <c r="D124" s="2">
        <v>27150.62</v>
      </c>
      <c r="E124" s="2">
        <v>34934.629999999997</v>
      </c>
      <c r="F124" s="2">
        <v>36247.47</v>
      </c>
      <c r="G124" s="2">
        <v>34512.76</v>
      </c>
      <c r="H124" s="2">
        <f t="shared" si="3"/>
        <v>-0.28889619869278099</v>
      </c>
      <c r="I124" s="2">
        <f t="shared" si="4"/>
        <v>1.3912486084154321E-2</v>
      </c>
      <c r="K124" s="2">
        <f t="shared" si="5"/>
        <v>16.400649495105913</v>
      </c>
    </row>
    <row r="125" spans="1:11" ht="13.9" x14ac:dyDescent="0.3">
      <c r="A125" s="2" t="s">
        <v>142</v>
      </c>
      <c r="B125" s="2">
        <v>32.299999999999997</v>
      </c>
      <c r="C125" s="2">
        <v>0.24</v>
      </c>
      <c r="D125" s="2">
        <v>15.66</v>
      </c>
      <c r="E125" s="2">
        <v>10.96</v>
      </c>
      <c r="F125" s="2">
        <v>0.53</v>
      </c>
      <c r="G125" s="2">
        <v>5.69</v>
      </c>
      <c r="H125" s="2">
        <f t="shared" si="3"/>
        <v>1.4883031099788604</v>
      </c>
      <c r="I125" s="2">
        <f t="shared" si="4"/>
        <v>0.34802006366188409</v>
      </c>
      <c r="K125" s="2">
        <f t="shared" si="5"/>
        <v>5.5909612413425993</v>
      </c>
    </row>
    <row r="126" spans="1:11" ht="13.9" x14ac:dyDescent="0.3">
      <c r="A126" s="2" t="s">
        <v>143</v>
      </c>
      <c r="B126" s="2">
        <v>0.33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 t="e">
        <f t="shared" si="3"/>
        <v>#DIV/0!</v>
      </c>
      <c r="I126" s="2">
        <f t="shared" si="4"/>
        <v>0.37390096630005903</v>
      </c>
      <c r="K126" s="2">
        <f t="shared" si="5"/>
        <v>-1.5994620704162712</v>
      </c>
    </row>
    <row r="127" spans="1:11" ht="13.9" x14ac:dyDescent="0.3">
      <c r="A127" s="2" t="s">
        <v>144</v>
      </c>
      <c r="B127" s="2">
        <v>0</v>
      </c>
      <c r="C127" s="2">
        <v>0</v>
      </c>
      <c r="D127" s="2">
        <v>0</v>
      </c>
      <c r="E127" s="2">
        <v>0.89</v>
      </c>
      <c r="F127" s="2">
        <v>0.4</v>
      </c>
      <c r="G127" s="2">
        <v>0.84</v>
      </c>
      <c r="H127" s="2" t="e">
        <f t="shared" si="3"/>
        <v>#NUM!</v>
      </c>
      <c r="I127" s="2">
        <f t="shared" si="4"/>
        <v>1.0331685170671123E-2</v>
      </c>
      <c r="K127" s="2" t="e">
        <f t="shared" si="5"/>
        <v>#NUM!</v>
      </c>
    </row>
    <row r="128" spans="1:11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 t="e">
        <f t="shared" si="3"/>
        <v>#DIV/0!</v>
      </c>
      <c r="I128" s="2" t="e">
        <f t="shared" si="4"/>
        <v>#DIV/0!</v>
      </c>
      <c r="K128" s="2" t="e">
        <f t="shared" si="5"/>
        <v>#NUM!</v>
      </c>
    </row>
    <row r="129" spans="1:11" ht="13.9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3"/>
        <v>#DIV/0!</v>
      </c>
      <c r="I129" s="2" t="e">
        <f t="shared" si="4"/>
        <v>#DIV/0!</v>
      </c>
      <c r="K129" s="2" t="e">
        <f t="shared" si="5"/>
        <v>#NUM!</v>
      </c>
    </row>
    <row r="130" spans="1:11" ht="13.9" x14ac:dyDescent="0.3">
      <c r="A130" s="2" t="s">
        <v>147</v>
      </c>
      <c r="B130" s="2">
        <v>441.35</v>
      </c>
      <c r="C130" s="2">
        <v>338.37</v>
      </c>
      <c r="D130" s="2">
        <v>330.63</v>
      </c>
      <c r="E130" s="2">
        <v>802.65</v>
      </c>
      <c r="F130" s="2">
        <v>854.92</v>
      </c>
      <c r="G130" s="2">
        <v>953.95</v>
      </c>
      <c r="H130" s="2">
        <f t="shared" ref="H130:H193" si="6">LOG(SUM(B130:D130)/SUM(E130:G130),2)</f>
        <v>-1.2338752437392979</v>
      </c>
      <c r="I130" s="2">
        <f t="shared" ref="I130:I193" si="7">_xlfn.T.TEST(B130:D130,E130:G130,2,2)</f>
        <v>9.2455658782666429E-4</v>
      </c>
      <c r="K130" s="2">
        <f t="shared" si="5"/>
        <v>10.116798793375189</v>
      </c>
    </row>
    <row r="131" spans="1:11" ht="13.9" x14ac:dyDescent="0.3">
      <c r="A131" s="2" t="s">
        <v>148</v>
      </c>
      <c r="B131" s="2">
        <v>0</v>
      </c>
      <c r="C131" s="2">
        <v>0</v>
      </c>
      <c r="D131" s="2">
        <v>0</v>
      </c>
      <c r="E131" s="2">
        <v>2.4700000000000002</v>
      </c>
      <c r="F131" s="2">
        <v>3.08</v>
      </c>
      <c r="G131" s="2">
        <v>2.74</v>
      </c>
      <c r="H131" s="2" t="e">
        <f t="shared" si="6"/>
        <v>#NUM!</v>
      </c>
      <c r="I131" s="2">
        <f t="shared" si="7"/>
        <v>9.7154255579387554E-5</v>
      </c>
      <c r="K131" s="2" t="e">
        <f t="shared" ref="K131:K194" si="8">LOG(SUM(B131:D131),2)</f>
        <v>#NUM!</v>
      </c>
    </row>
    <row r="132" spans="1:11" ht="13.9" x14ac:dyDescent="0.3">
      <c r="A132" s="2" t="s">
        <v>149</v>
      </c>
      <c r="B132" s="2">
        <v>4844.34</v>
      </c>
      <c r="C132" s="2">
        <v>7090.74</v>
      </c>
      <c r="D132" s="2">
        <v>5312.47</v>
      </c>
      <c r="E132" s="2">
        <v>12831.5</v>
      </c>
      <c r="F132" s="2">
        <v>13324.27</v>
      </c>
      <c r="G132" s="2">
        <v>14612.51</v>
      </c>
      <c r="H132" s="2">
        <f t="shared" si="6"/>
        <v>-1.2410556484674258</v>
      </c>
      <c r="I132" s="2">
        <f t="shared" si="7"/>
        <v>8.2519973992611299E-4</v>
      </c>
      <c r="K132" s="2">
        <f t="shared" si="8"/>
        <v>14.074103822374633</v>
      </c>
    </row>
    <row r="133" spans="1:11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0.53</v>
      </c>
      <c r="G133" s="2">
        <v>0</v>
      </c>
      <c r="H133" s="2" t="e">
        <f t="shared" si="6"/>
        <v>#NUM!</v>
      </c>
      <c r="I133" s="2">
        <f t="shared" si="7"/>
        <v>0.37390096630005903</v>
      </c>
      <c r="K133" s="2" t="e">
        <f t="shared" si="8"/>
        <v>#NUM!</v>
      </c>
    </row>
    <row r="134" spans="1:11" ht="13.9" x14ac:dyDescent="0.3">
      <c r="A134" s="2" t="s">
        <v>151</v>
      </c>
      <c r="B134" s="2">
        <v>164978.38</v>
      </c>
      <c r="C134" s="2">
        <v>283447.26</v>
      </c>
      <c r="D134" s="2">
        <v>190839.22</v>
      </c>
      <c r="E134" s="2">
        <v>485250.17</v>
      </c>
      <c r="F134" s="2">
        <v>498712.81</v>
      </c>
      <c r="G134" s="2">
        <v>474124.89</v>
      </c>
      <c r="H134" s="2">
        <f t="shared" si="6"/>
        <v>-1.189591967587156</v>
      </c>
      <c r="I134" s="2">
        <f t="shared" si="7"/>
        <v>1.7381233865640081E-3</v>
      </c>
      <c r="K134" s="2">
        <f t="shared" si="8"/>
        <v>19.286054266390451</v>
      </c>
    </row>
    <row r="135" spans="1:11" ht="13.9" x14ac:dyDescent="0.3">
      <c r="A135" s="2" t="s">
        <v>152</v>
      </c>
      <c r="B135" s="2">
        <v>0</v>
      </c>
      <c r="C135" s="2">
        <v>0</v>
      </c>
      <c r="D135" s="2">
        <v>4.92</v>
      </c>
      <c r="E135" s="2">
        <v>1.28</v>
      </c>
      <c r="F135" s="2">
        <v>1.87</v>
      </c>
      <c r="G135" s="2">
        <v>1.48</v>
      </c>
      <c r="H135" s="2">
        <f t="shared" si="6"/>
        <v>8.7646122079003241E-2</v>
      </c>
      <c r="I135" s="2">
        <f t="shared" si="7"/>
        <v>0.95606871624694367</v>
      </c>
      <c r="K135" s="2">
        <f t="shared" si="8"/>
        <v>2.2986583155645151</v>
      </c>
    </row>
    <row r="136" spans="1:11" ht="13.9" x14ac:dyDescent="0.3">
      <c r="A136" s="2" t="s">
        <v>153</v>
      </c>
      <c r="B136" s="2">
        <v>1507.98</v>
      </c>
      <c r="C136" s="2">
        <v>1860.21</v>
      </c>
      <c r="D136" s="2">
        <v>1320.34</v>
      </c>
      <c r="E136" s="2">
        <v>1494.45</v>
      </c>
      <c r="F136" s="2">
        <v>1615.98</v>
      </c>
      <c r="G136" s="2">
        <v>1507.23</v>
      </c>
      <c r="H136" s="2">
        <f t="shared" si="6"/>
        <v>2.1973713005274158E-2</v>
      </c>
      <c r="I136" s="2">
        <f t="shared" si="7"/>
        <v>0.89169269643824378</v>
      </c>
      <c r="K136" s="2">
        <f t="shared" si="8"/>
        <v>12.194919948524754</v>
      </c>
    </row>
    <row r="137" spans="1:11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0.59</v>
      </c>
      <c r="F137" s="2">
        <v>0</v>
      </c>
      <c r="G137" s="2">
        <v>0.63</v>
      </c>
      <c r="H137" s="2" t="e">
        <f t="shared" si="6"/>
        <v>#NUM!</v>
      </c>
      <c r="I137" s="2">
        <f t="shared" si="7"/>
        <v>0.11654392153981484</v>
      </c>
      <c r="K137" s="2" t="e">
        <f t="shared" si="8"/>
        <v>#NUM!</v>
      </c>
    </row>
    <row r="138" spans="1:11" ht="13.9" x14ac:dyDescent="0.3">
      <c r="A138" s="2" t="s">
        <v>155</v>
      </c>
      <c r="B138" s="2">
        <v>35.93</v>
      </c>
      <c r="C138" s="2">
        <v>53.92</v>
      </c>
      <c r="D138" s="2">
        <v>35.5</v>
      </c>
      <c r="E138" s="2">
        <v>70.09</v>
      </c>
      <c r="F138" s="2">
        <v>87.85</v>
      </c>
      <c r="G138" s="2">
        <v>76.09</v>
      </c>
      <c r="H138" s="2">
        <f t="shared" si="6"/>
        <v>-0.9007314826840509</v>
      </c>
      <c r="I138" s="2">
        <f t="shared" si="7"/>
        <v>1.0604066028113611E-2</v>
      </c>
      <c r="K138" s="2">
        <f t="shared" si="8"/>
        <v>6.9698181859465773</v>
      </c>
    </row>
    <row r="139" spans="1:11" ht="13.9" x14ac:dyDescent="0.3">
      <c r="A139" s="2" t="s">
        <v>156</v>
      </c>
      <c r="B139" s="2">
        <v>3702.55</v>
      </c>
      <c r="C139" s="2">
        <v>4780.18</v>
      </c>
      <c r="D139" s="2">
        <v>2205.9</v>
      </c>
      <c r="E139" s="2">
        <v>935.62</v>
      </c>
      <c r="F139" s="2">
        <v>1416.22</v>
      </c>
      <c r="G139" s="2">
        <v>993.79</v>
      </c>
      <c r="H139" s="2">
        <f t="shared" si="6"/>
        <v>1.6757271407727921</v>
      </c>
      <c r="I139" s="2">
        <f t="shared" si="7"/>
        <v>3.2471500234047233E-2</v>
      </c>
      <c r="K139" s="2">
        <f t="shared" si="8"/>
        <v>13.383789329065509</v>
      </c>
    </row>
    <row r="140" spans="1:11" ht="13.9" x14ac:dyDescent="0.3">
      <c r="A140" s="2" t="s">
        <v>157</v>
      </c>
      <c r="B140" s="2">
        <v>1606.87</v>
      </c>
      <c r="C140" s="2">
        <v>2641.86</v>
      </c>
      <c r="D140" s="2">
        <v>1471.45</v>
      </c>
      <c r="E140" s="2">
        <v>5098.05</v>
      </c>
      <c r="F140" s="2">
        <v>5500.82</v>
      </c>
      <c r="G140" s="2">
        <v>4256.54</v>
      </c>
      <c r="H140" s="2">
        <f t="shared" si="6"/>
        <v>-1.3768559723049207</v>
      </c>
      <c r="I140" s="2">
        <f t="shared" si="7"/>
        <v>4.2607332832708357E-3</v>
      </c>
      <c r="K140" s="2">
        <f t="shared" si="8"/>
        <v>12.481844830445734</v>
      </c>
    </row>
    <row r="141" spans="1:11" ht="13.9" x14ac:dyDescent="0.3">
      <c r="A141" s="2" t="s">
        <v>158</v>
      </c>
      <c r="B141" s="2">
        <v>22.08</v>
      </c>
      <c r="C141" s="2">
        <v>17.079999999999998</v>
      </c>
      <c r="D141" s="2">
        <v>24.03</v>
      </c>
      <c r="E141" s="2">
        <v>9.67</v>
      </c>
      <c r="F141" s="2">
        <v>16.579999999999998</v>
      </c>
      <c r="G141" s="2">
        <v>10.43</v>
      </c>
      <c r="H141" s="2">
        <f t="shared" si="6"/>
        <v>0.78470262687602543</v>
      </c>
      <c r="I141" s="2">
        <f t="shared" si="7"/>
        <v>4.2633650264255619E-2</v>
      </c>
      <c r="K141" s="2">
        <f t="shared" si="8"/>
        <v>5.9816243606963555</v>
      </c>
    </row>
    <row r="142" spans="1:11" ht="13.9" x14ac:dyDescent="0.3">
      <c r="A142" s="2" t="s">
        <v>159</v>
      </c>
      <c r="B142" s="2">
        <v>22.08</v>
      </c>
      <c r="C142" s="2">
        <v>17.079999999999998</v>
      </c>
      <c r="D142" s="2">
        <v>24.03</v>
      </c>
      <c r="E142" s="2">
        <v>9.67</v>
      </c>
      <c r="F142" s="2">
        <v>16.45</v>
      </c>
      <c r="G142" s="2">
        <v>10.43</v>
      </c>
      <c r="H142" s="2">
        <f t="shared" si="6"/>
        <v>0.78982485963128035</v>
      </c>
      <c r="I142" s="2">
        <f t="shared" si="7"/>
        <v>4.0760895717240009E-2</v>
      </c>
      <c r="K142" s="2">
        <f t="shared" si="8"/>
        <v>5.9816243606963555</v>
      </c>
    </row>
    <row r="143" spans="1:11" ht="13.9" x14ac:dyDescent="0.3">
      <c r="A143" s="2" t="s">
        <v>160</v>
      </c>
      <c r="B143" s="2">
        <v>135.13999999999999</v>
      </c>
      <c r="C143" s="2">
        <v>141.25</v>
      </c>
      <c r="D143" s="2">
        <v>102.68</v>
      </c>
      <c r="E143" s="2">
        <v>218.06</v>
      </c>
      <c r="F143" s="2">
        <v>204.04</v>
      </c>
      <c r="G143" s="2">
        <v>216.15</v>
      </c>
      <c r="H143" s="2">
        <f t="shared" si="6"/>
        <v>-0.75165734801470396</v>
      </c>
      <c r="I143" s="2">
        <f t="shared" si="7"/>
        <v>2.4747231110165769E-3</v>
      </c>
      <c r="K143" s="2">
        <f t="shared" si="8"/>
        <v>8.5663204743924144</v>
      </c>
    </row>
    <row r="144" spans="1:11" ht="13.9" x14ac:dyDescent="0.3">
      <c r="A144" s="2" t="s">
        <v>161</v>
      </c>
      <c r="B144" s="2">
        <v>0</v>
      </c>
      <c r="C144" s="2">
        <v>0</v>
      </c>
      <c r="D144" s="2">
        <v>0</v>
      </c>
      <c r="E144" s="2">
        <v>0.49</v>
      </c>
      <c r="F144" s="2">
        <v>0.67</v>
      </c>
      <c r="G144" s="2">
        <v>0.32</v>
      </c>
      <c r="H144" s="2" t="e">
        <f t="shared" si="6"/>
        <v>#NUM!</v>
      </c>
      <c r="I144" s="2">
        <f t="shared" si="7"/>
        <v>8.1484478837361204E-3</v>
      </c>
      <c r="K144" s="2" t="e">
        <f t="shared" si="8"/>
        <v>#NUM!</v>
      </c>
    </row>
    <row r="145" spans="1:11" ht="13.9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0.99</v>
      </c>
      <c r="F145" s="2">
        <v>0</v>
      </c>
      <c r="G145" s="2">
        <v>0</v>
      </c>
      <c r="H145" s="2" t="e">
        <f t="shared" si="6"/>
        <v>#NUM!</v>
      </c>
      <c r="I145" s="2">
        <f t="shared" si="7"/>
        <v>0.37390096630005903</v>
      </c>
      <c r="K145" s="2" t="e">
        <f t="shared" si="8"/>
        <v>#NUM!</v>
      </c>
    </row>
    <row r="146" spans="1:11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0.49</v>
      </c>
      <c r="F146" s="2">
        <v>0</v>
      </c>
      <c r="G146" s="2">
        <v>0</v>
      </c>
      <c r="H146" s="2" t="e">
        <f t="shared" si="6"/>
        <v>#NUM!</v>
      </c>
      <c r="I146" s="2">
        <f t="shared" si="7"/>
        <v>0.37390096630005903</v>
      </c>
      <c r="K146" s="2" t="e">
        <f t="shared" si="8"/>
        <v>#NUM!</v>
      </c>
    </row>
    <row r="147" spans="1:11" ht="13.9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</v>
      </c>
      <c r="F147" s="2">
        <v>0.27</v>
      </c>
      <c r="G147" s="2">
        <v>0</v>
      </c>
      <c r="H147" s="2" t="e">
        <f t="shared" si="6"/>
        <v>#NUM!</v>
      </c>
      <c r="I147" s="2">
        <f t="shared" si="7"/>
        <v>0.37390096630005903</v>
      </c>
      <c r="K147" s="2" t="e">
        <f t="shared" si="8"/>
        <v>#NUM!</v>
      </c>
    </row>
    <row r="148" spans="1:11" ht="13.9" x14ac:dyDescent="0.3">
      <c r="A148" s="2" t="s">
        <v>165</v>
      </c>
      <c r="B148" s="2">
        <v>233.37</v>
      </c>
      <c r="C148" s="2">
        <v>414.25</v>
      </c>
      <c r="D148" s="2">
        <v>228.31</v>
      </c>
      <c r="E148" s="2">
        <v>628.22</v>
      </c>
      <c r="F148" s="2">
        <v>980.2</v>
      </c>
      <c r="G148" s="2">
        <v>788.39</v>
      </c>
      <c r="H148" s="2">
        <f t="shared" si="6"/>
        <v>-1.4522280616693035</v>
      </c>
      <c r="I148" s="2">
        <f t="shared" si="7"/>
        <v>1.2943790889616835E-2</v>
      </c>
      <c r="K148" s="2">
        <f t="shared" si="8"/>
        <v>9.7746717711445381</v>
      </c>
    </row>
    <row r="149" spans="1:11" ht="13.9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0.2</v>
      </c>
      <c r="F149" s="2">
        <v>0.67</v>
      </c>
      <c r="G149" s="2">
        <v>0.84</v>
      </c>
      <c r="H149" s="2" t="e">
        <f t="shared" si="6"/>
        <v>#NUM!</v>
      </c>
      <c r="I149" s="2">
        <f t="shared" si="7"/>
        <v>4.081627560735069E-2</v>
      </c>
      <c r="K149" s="2" t="e">
        <f t="shared" si="8"/>
        <v>#NUM!</v>
      </c>
    </row>
    <row r="150" spans="1:11" ht="13.9" x14ac:dyDescent="0.3">
      <c r="A150" s="2" t="s">
        <v>167</v>
      </c>
      <c r="B150" s="2">
        <v>3.3</v>
      </c>
      <c r="C150" s="2">
        <v>0</v>
      </c>
      <c r="D150" s="2">
        <v>0</v>
      </c>
      <c r="E150" s="2">
        <v>0.49</v>
      </c>
      <c r="F150" s="2">
        <v>0</v>
      </c>
      <c r="G150" s="2">
        <v>0</v>
      </c>
      <c r="H150" s="2">
        <f t="shared" si="6"/>
        <v>2.7516123701306077</v>
      </c>
      <c r="I150" s="2">
        <f t="shared" si="7"/>
        <v>0.44704548288869678</v>
      </c>
      <c r="K150" s="2">
        <f t="shared" si="8"/>
        <v>1.7224660244710912</v>
      </c>
    </row>
    <row r="151" spans="1:11" ht="13.9" x14ac:dyDescent="0.3">
      <c r="A151" s="2" t="s">
        <v>168</v>
      </c>
      <c r="B151" s="2">
        <v>68.56</v>
      </c>
      <c r="C151" s="2">
        <v>8.7799999999999994</v>
      </c>
      <c r="D151" s="2">
        <v>48.43</v>
      </c>
      <c r="E151" s="2">
        <v>6.81</v>
      </c>
      <c r="F151" s="2">
        <v>7.62</v>
      </c>
      <c r="G151" s="2">
        <v>6.32</v>
      </c>
      <c r="H151" s="2">
        <f t="shared" si="6"/>
        <v>2.5996045946933242</v>
      </c>
      <c r="I151" s="2">
        <f t="shared" si="7"/>
        <v>0.11705270498177957</v>
      </c>
      <c r="K151" s="2">
        <f t="shared" si="8"/>
        <v>6.9746440260402487</v>
      </c>
    </row>
    <row r="152" spans="1:11" ht="13.9" x14ac:dyDescent="0.3">
      <c r="A152" s="2" t="s">
        <v>169</v>
      </c>
      <c r="B152" s="2">
        <v>1.98</v>
      </c>
      <c r="C152" s="2">
        <v>2.93</v>
      </c>
      <c r="D152" s="2">
        <v>3.82</v>
      </c>
      <c r="E152" s="2">
        <v>2.96</v>
      </c>
      <c r="F152" s="2">
        <v>2.14</v>
      </c>
      <c r="G152" s="2">
        <v>4.1100000000000003</v>
      </c>
      <c r="H152" s="2">
        <f t="shared" si="6"/>
        <v>-7.7219502461895559E-2</v>
      </c>
      <c r="I152" s="2">
        <f t="shared" si="7"/>
        <v>0.847520591147368</v>
      </c>
      <c r="K152" s="2">
        <f t="shared" si="8"/>
        <v>3.1259816538547156</v>
      </c>
    </row>
    <row r="153" spans="1:11" ht="13.9" x14ac:dyDescent="0.3">
      <c r="A153" s="2" t="s">
        <v>170</v>
      </c>
      <c r="B153" s="2">
        <v>30.65</v>
      </c>
      <c r="C153" s="2">
        <v>36.11</v>
      </c>
      <c r="D153" s="2">
        <v>37.869999999999997</v>
      </c>
      <c r="E153" s="2">
        <v>9.67</v>
      </c>
      <c r="F153" s="2">
        <v>11.1</v>
      </c>
      <c r="G153" s="2">
        <v>10.33</v>
      </c>
      <c r="H153" s="2">
        <f t="shared" si="6"/>
        <v>1.7503100816592652</v>
      </c>
      <c r="I153" s="2">
        <f t="shared" si="7"/>
        <v>3.7762616353524317E-4</v>
      </c>
      <c r="K153" s="2">
        <f t="shared" si="8"/>
        <v>6.7091527569025056</v>
      </c>
    </row>
    <row r="154" spans="1:11" ht="13.9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0.59</v>
      </c>
      <c r="F154" s="2">
        <v>0.94</v>
      </c>
      <c r="G154" s="2">
        <v>0.11</v>
      </c>
      <c r="H154" s="2" t="e">
        <f t="shared" si="6"/>
        <v>#NUM!</v>
      </c>
      <c r="I154" s="2">
        <f t="shared" si="7"/>
        <v>8.550966649932086E-2</v>
      </c>
      <c r="K154" s="2" t="e">
        <f t="shared" si="8"/>
        <v>#NUM!</v>
      </c>
    </row>
    <row r="155" spans="1:11" ht="13.9" x14ac:dyDescent="0.3">
      <c r="A155" s="2" t="s">
        <v>172</v>
      </c>
      <c r="B155" s="2">
        <v>2.31</v>
      </c>
      <c r="C155" s="2">
        <v>0.24</v>
      </c>
      <c r="D155" s="2">
        <v>0</v>
      </c>
      <c r="E155" s="2">
        <v>2.17</v>
      </c>
      <c r="F155" s="2">
        <v>0.27</v>
      </c>
      <c r="G155" s="2">
        <v>1.48</v>
      </c>
      <c r="H155" s="2">
        <f t="shared" si="6"/>
        <v>-0.62035640725635033</v>
      </c>
      <c r="I155" s="2">
        <f t="shared" si="7"/>
        <v>0.64560031964824294</v>
      </c>
      <c r="K155" s="2">
        <f t="shared" si="8"/>
        <v>1.3504972470841332</v>
      </c>
    </row>
    <row r="156" spans="1:11" ht="13.9" x14ac:dyDescent="0.3">
      <c r="A156" s="2" t="s">
        <v>173</v>
      </c>
      <c r="B156" s="2">
        <v>338.84</v>
      </c>
      <c r="C156" s="2">
        <v>329.59</v>
      </c>
      <c r="D156" s="2">
        <v>346.47</v>
      </c>
      <c r="E156" s="2">
        <v>135.63</v>
      </c>
      <c r="F156" s="2">
        <v>145.61000000000001</v>
      </c>
      <c r="G156" s="2">
        <v>135.41999999999999</v>
      </c>
      <c r="H156" s="2">
        <f t="shared" si="6"/>
        <v>1.2843950721048101</v>
      </c>
      <c r="I156" s="2">
        <f t="shared" si="7"/>
        <v>4.6530517957086457E-6</v>
      </c>
      <c r="K156" s="2">
        <f t="shared" si="8"/>
        <v>9.9871218676277831</v>
      </c>
    </row>
    <row r="157" spans="1:11" ht="13.9" x14ac:dyDescent="0.3">
      <c r="A157" s="2" t="s">
        <v>174</v>
      </c>
      <c r="B157" s="2">
        <v>0</v>
      </c>
      <c r="C157" s="2">
        <v>0</v>
      </c>
      <c r="D157" s="2">
        <v>0</v>
      </c>
      <c r="E157" s="2">
        <v>0.99</v>
      </c>
      <c r="F157" s="2">
        <v>0</v>
      </c>
      <c r="G157" s="2">
        <v>0</v>
      </c>
      <c r="H157" s="2" t="e">
        <f t="shared" si="6"/>
        <v>#NUM!</v>
      </c>
      <c r="I157" s="2">
        <f t="shared" si="7"/>
        <v>0.37390096630005903</v>
      </c>
      <c r="K157" s="2" t="e">
        <f t="shared" si="8"/>
        <v>#NUM!</v>
      </c>
    </row>
    <row r="158" spans="1:11" ht="13.9" x14ac:dyDescent="0.3">
      <c r="A158" s="2" t="s">
        <v>175</v>
      </c>
      <c r="B158" s="2">
        <v>4.9400000000000004</v>
      </c>
      <c r="C158" s="2">
        <v>36.11</v>
      </c>
      <c r="D158" s="2">
        <v>12.02</v>
      </c>
      <c r="E158" s="2">
        <v>16.09</v>
      </c>
      <c r="F158" s="2">
        <v>9.89</v>
      </c>
      <c r="G158" s="2">
        <v>8.5399999999999991</v>
      </c>
      <c r="H158" s="2">
        <f t="shared" si="6"/>
        <v>0.62046408423265953</v>
      </c>
      <c r="I158" s="2">
        <f t="shared" si="7"/>
        <v>0.55911436286277616</v>
      </c>
      <c r="K158" s="2">
        <f t="shared" si="8"/>
        <v>5.7298246436368894</v>
      </c>
    </row>
    <row r="159" spans="1:11" ht="13.9" x14ac:dyDescent="0.3">
      <c r="A159" s="2" t="s">
        <v>176</v>
      </c>
      <c r="B159" s="2">
        <v>0</v>
      </c>
      <c r="C159" s="2">
        <v>0</v>
      </c>
      <c r="D159" s="2">
        <v>0.18</v>
      </c>
      <c r="E159" s="2">
        <v>0.39</v>
      </c>
      <c r="F159" s="2">
        <v>0</v>
      </c>
      <c r="G159" s="2">
        <v>0.11</v>
      </c>
      <c r="H159" s="2">
        <f t="shared" si="6"/>
        <v>-1.4739311883324124</v>
      </c>
      <c r="I159" s="2">
        <f t="shared" si="7"/>
        <v>0.46018629235551056</v>
      </c>
      <c r="K159" s="2">
        <f t="shared" si="8"/>
        <v>-2.4739311883324122</v>
      </c>
    </row>
    <row r="160" spans="1:11" ht="13.9" x14ac:dyDescent="0.3">
      <c r="A160" s="2" t="s">
        <v>177</v>
      </c>
      <c r="B160" s="2">
        <v>0</v>
      </c>
      <c r="C160" s="2">
        <v>0</v>
      </c>
      <c r="D160" s="2">
        <v>0</v>
      </c>
      <c r="E160" s="2">
        <v>0</v>
      </c>
      <c r="F160" s="2">
        <v>0.8</v>
      </c>
      <c r="G160" s="2">
        <v>0</v>
      </c>
      <c r="H160" s="2" t="e">
        <f t="shared" si="6"/>
        <v>#NUM!</v>
      </c>
      <c r="I160" s="2">
        <f t="shared" si="7"/>
        <v>0.37390096630005903</v>
      </c>
      <c r="K160" s="2" t="e">
        <f t="shared" si="8"/>
        <v>#NUM!</v>
      </c>
    </row>
    <row r="161" spans="1:11" ht="13.9" x14ac:dyDescent="0.3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 t="e">
        <f t="shared" si="6"/>
        <v>#DIV/0!</v>
      </c>
      <c r="I161" s="2" t="e">
        <f t="shared" si="7"/>
        <v>#DIV/0!</v>
      </c>
      <c r="K161" s="2" t="e">
        <f t="shared" si="8"/>
        <v>#NUM!</v>
      </c>
    </row>
    <row r="162" spans="1:11" ht="13.9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6"/>
        <v>#DIV/0!</v>
      </c>
      <c r="I162" s="2" t="e">
        <f t="shared" si="7"/>
        <v>#DIV/0!</v>
      </c>
      <c r="K162" s="2" t="e">
        <f t="shared" si="8"/>
        <v>#NUM!</v>
      </c>
    </row>
    <row r="163" spans="1:11" ht="13.9" x14ac:dyDescent="0.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6"/>
        <v>#DIV/0!</v>
      </c>
      <c r="I163" s="2" t="e">
        <f t="shared" si="7"/>
        <v>#DIV/0!</v>
      </c>
      <c r="K163" s="2" t="e">
        <f t="shared" si="8"/>
        <v>#NUM!</v>
      </c>
    </row>
    <row r="164" spans="1:11" ht="13.9" x14ac:dyDescent="0.3">
      <c r="A164" s="2" t="s">
        <v>181</v>
      </c>
      <c r="B164" s="2">
        <v>0</v>
      </c>
      <c r="C164" s="2">
        <v>0</v>
      </c>
      <c r="D164" s="2">
        <v>0</v>
      </c>
      <c r="E164" s="2">
        <v>0.49</v>
      </c>
      <c r="F164" s="2">
        <v>3.88</v>
      </c>
      <c r="G164" s="2">
        <v>1.9</v>
      </c>
      <c r="H164" s="2" t="e">
        <f t="shared" si="6"/>
        <v>#NUM!</v>
      </c>
      <c r="I164" s="2">
        <f t="shared" si="7"/>
        <v>0.1006947216150722</v>
      </c>
      <c r="K164" s="2" t="e">
        <f t="shared" si="8"/>
        <v>#NUM!</v>
      </c>
    </row>
    <row r="165" spans="1:11" ht="13.9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6"/>
        <v>#DIV/0!</v>
      </c>
      <c r="I165" s="2" t="e">
        <f t="shared" si="7"/>
        <v>#DIV/0!</v>
      </c>
      <c r="K165" s="2" t="e">
        <f t="shared" si="8"/>
        <v>#NUM!</v>
      </c>
    </row>
    <row r="166" spans="1:11" ht="13.9" x14ac:dyDescent="0.3">
      <c r="A166" s="2" t="s">
        <v>183</v>
      </c>
      <c r="B166" s="2">
        <v>614.4</v>
      </c>
      <c r="C166" s="2">
        <v>259.82</v>
      </c>
      <c r="D166" s="2">
        <v>531.80999999999995</v>
      </c>
      <c r="E166" s="2">
        <v>1766.71</v>
      </c>
      <c r="F166" s="2">
        <v>1010.69</v>
      </c>
      <c r="G166" s="2">
        <v>2049.23</v>
      </c>
      <c r="H166" s="2">
        <f t="shared" si="6"/>
        <v>-1.7793888597970235</v>
      </c>
      <c r="I166" s="2">
        <f t="shared" si="7"/>
        <v>2.5438508900642916E-2</v>
      </c>
      <c r="K166" s="2">
        <f t="shared" si="8"/>
        <v>10.457411661710863</v>
      </c>
    </row>
    <row r="167" spans="1:11" ht="13.9" x14ac:dyDescent="0.3">
      <c r="A167" s="2" t="s">
        <v>184</v>
      </c>
      <c r="B167" s="2">
        <v>1.98</v>
      </c>
      <c r="C167" s="2">
        <v>2.68</v>
      </c>
      <c r="D167" s="2">
        <v>3.28</v>
      </c>
      <c r="E167" s="2">
        <v>0.99</v>
      </c>
      <c r="F167" s="2">
        <v>0.53</v>
      </c>
      <c r="G167" s="2">
        <v>1.26</v>
      </c>
      <c r="H167" s="2">
        <f t="shared" si="6"/>
        <v>1.5140541244194503</v>
      </c>
      <c r="I167" s="2">
        <f t="shared" si="7"/>
        <v>1.6366022311988405E-2</v>
      </c>
      <c r="K167" s="2">
        <f t="shared" si="8"/>
        <v>2.9891390073682333</v>
      </c>
    </row>
    <row r="168" spans="1:11" ht="13.9" x14ac:dyDescent="0.3">
      <c r="A168" s="2" t="s">
        <v>185</v>
      </c>
      <c r="B168" s="2">
        <v>172.06</v>
      </c>
      <c r="C168" s="2">
        <v>132.22999999999999</v>
      </c>
      <c r="D168" s="2">
        <v>244.33</v>
      </c>
      <c r="E168" s="2">
        <v>436.22</v>
      </c>
      <c r="F168" s="2">
        <v>324.24</v>
      </c>
      <c r="G168" s="2">
        <v>540.63</v>
      </c>
      <c r="H168" s="2">
        <f t="shared" si="6"/>
        <v>-1.2458416388629439</v>
      </c>
      <c r="I168" s="2">
        <f t="shared" si="7"/>
        <v>2.370763994212961E-2</v>
      </c>
      <c r="K168" s="2">
        <f t="shared" si="8"/>
        <v>9.0996634065195661</v>
      </c>
    </row>
    <row r="169" spans="1:11" ht="13.9" x14ac:dyDescent="0.3">
      <c r="A169" s="2" t="s">
        <v>186</v>
      </c>
      <c r="B169" s="2">
        <v>0</v>
      </c>
      <c r="C169" s="2">
        <v>80.510000000000005</v>
      </c>
      <c r="D169" s="2">
        <v>0.18</v>
      </c>
      <c r="E169" s="2">
        <v>0</v>
      </c>
      <c r="F169" s="2">
        <v>2.0099999999999998</v>
      </c>
      <c r="G169" s="2">
        <v>1.05</v>
      </c>
      <c r="H169" s="2">
        <f t="shared" si="6"/>
        <v>4.7207863317755168</v>
      </c>
      <c r="I169" s="2">
        <f t="shared" si="7"/>
        <v>0.38915632105579978</v>
      </c>
      <c r="K169" s="2">
        <f t="shared" si="8"/>
        <v>6.3343179846934445</v>
      </c>
    </row>
    <row r="170" spans="1:11" ht="13.9" x14ac:dyDescent="0.3">
      <c r="A170" s="2" t="s">
        <v>187</v>
      </c>
      <c r="B170" s="2">
        <v>25.38</v>
      </c>
      <c r="C170" s="2">
        <v>59.53</v>
      </c>
      <c r="D170" s="2">
        <v>9.4700000000000006</v>
      </c>
      <c r="E170" s="2">
        <v>47.28</v>
      </c>
      <c r="F170" s="2">
        <v>58.83</v>
      </c>
      <c r="G170" s="2">
        <v>59.54</v>
      </c>
      <c r="H170" s="2">
        <f t="shared" si="6"/>
        <v>-0.81158512683153416</v>
      </c>
      <c r="I170" s="2">
        <f t="shared" si="7"/>
        <v>0.19527312825512938</v>
      </c>
      <c r="K170" s="2">
        <f t="shared" si="8"/>
        <v>6.5604092663621181</v>
      </c>
    </row>
    <row r="171" spans="1:11" ht="13.9" x14ac:dyDescent="0.3">
      <c r="A171" s="2" t="s">
        <v>188</v>
      </c>
      <c r="B171" s="2">
        <v>0</v>
      </c>
      <c r="C171" s="2">
        <v>0</v>
      </c>
      <c r="D171" s="2">
        <v>2.5499999999999998</v>
      </c>
      <c r="E171" s="2">
        <v>7.01</v>
      </c>
      <c r="F171" s="2">
        <v>4.41</v>
      </c>
      <c r="G171" s="2">
        <v>3.06</v>
      </c>
      <c r="H171" s="2">
        <f t="shared" si="6"/>
        <v>-2.5054924502243474</v>
      </c>
      <c r="I171" s="2">
        <f t="shared" si="7"/>
        <v>5.0507969678895509E-2</v>
      </c>
      <c r="K171" s="2">
        <f t="shared" si="8"/>
        <v>1.3504972470841332</v>
      </c>
    </row>
    <row r="172" spans="1:11" ht="13.9" x14ac:dyDescent="0.3">
      <c r="A172" s="2" t="s">
        <v>189</v>
      </c>
      <c r="B172" s="2">
        <v>333.24</v>
      </c>
      <c r="C172" s="2">
        <v>230.79</v>
      </c>
      <c r="D172" s="2">
        <v>177.51</v>
      </c>
      <c r="E172" s="2">
        <v>281.83</v>
      </c>
      <c r="F172" s="2">
        <v>284.26</v>
      </c>
      <c r="G172" s="2">
        <v>247.13</v>
      </c>
      <c r="H172" s="2">
        <f t="shared" si="6"/>
        <v>-0.13312118032895892</v>
      </c>
      <c r="I172" s="2">
        <f t="shared" si="7"/>
        <v>0.63963177348400335</v>
      </c>
      <c r="K172" s="2">
        <f t="shared" si="8"/>
        <v>9.5343807061163659</v>
      </c>
    </row>
    <row r="173" spans="1:11" ht="13.9" x14ac:dyDescent="0.3">
      <c r="A173" s="2" t="s">
        <v>190</v>
      </c>
      <c r="B173" s="2">
        <v>48.12</v>
      </c>
      <c r="C173" s="2">
        <v>49.28</v>
      </c>
      <c r="D173" s="2">
        <v>63.9</v>
      </c>
      <c r="E173" s="2">
        <v>60.02</v>
      </c>
      <c r="F173" s="2">
        <v>64.180000000000007</v>
      </c>
      <c r="G173" s="2">
        <v>65.23</v>
      </c>
      <c r="H173" s="2">
        <f t="shared" si="6"/>
        <v>-0.23191838979877633</v>
      </c>
      <c r="I173" s="2">
        <f t="shared" si="7"/>
        <v>0.15282880694480516</v>
      </c>
      <c r="K173" s="2">
        <f t="shared" si="8"/>
        <v>7.3336026282682809</v>
      </c>
    </row>
    <row r="174" spans="1:11" ht="13.9" x14ac:dyDescent="0.3">
      <c r="A174" s="2" t="s">
        <v>191</v>
      </c>
      <c r="B174" s="2">
        <v>0</v>
      </c>
      <c r="C174" s="2">
        <v>0</v>
      </c>
      <c r="D174" s="2">
        <v>0</v>
      </c>
      <c r="E174" s="2">
        <v>0</v>
      </c>
      <c r="F174" s="2">
        <v>0.27</v>
      </c>
      <c r="G174" s="2">
        <v>0</v>
      </c>
      <c r="H174" s="2" t="e">
        <f t="shared" si="6"/>
        <v>#NUM!</v>
      </c>
      <c r="I174" s="2">
        <f t="shared" si="7"/>
        <v>0.37390096630005903</v>
      </c>
      <c r="K174" s="2" t="e">
        <f t="shared" si="8"/>
        <v>#NUM!</v>
      </c>
    </row>
    <row r="175" spans="1:11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0.27</v>
      </c>
      <c r="G175" s="2">
        <v>0</v>
      </c>
      <c r="H175" s="2" t="e">
        <f t="shared" si="6"/>
        <v>#NUM!</v>
      </c>
      <c r="I175" s="2">
        <f t="shared" si="7"/>
        <v>0.37390096630005903</v>
      </c>
      <c r="K175" s="2" t="e">
        <f t="shared" si="8"/>
        <v>#NUM!</v>
      </c>
    </row>
    <row r="176" spans="1:11" ht="13.9" x14ac:dyDescent="0.3">
      <c r="A176" s="2" t="s">
        <v>193</v>
      </c>
      <c r="B176" s="2">
        <v>13.84</v>
      </c>
      <c r="C176" s="2">
        <v>14.64</v>
      </c>
      <c r="D176" s="2">
        <v>8.3699999999999992</v>
      </c>
      <c r="E176" s="2">
        <v>0.49</v>
      </c>
      <c r="F176" s="2">
        <v>0.4</v>
      </c>
      <c r="G176" s="2">
        <v>0.53</v>
      </c>
      <c r="H176" s="2">
        <f t="shared" si="6"/>
        <v>4.6977017844777507</v>
      </c>
      <c r="I176" s="2">
        <f t="shared" si="7"/>
        <v>3.8991154931181039E-3</v>
      </c>
      <c r="K176" s="2">
        <f t="shared" si="8"/>
        <v>5.2035927142077076</v>
      </c>
    </row>
    <row r="177" spans="1:11" ht="13.9" x14ac:dyDescent="0.3">
      <c r="A177" s="2" t="s">
        <v>194</v>
      </c>
      <c r="B177" s="2">
        <v>0</v>
      </c>
      <c r="C177" s="2">
        <v>0</v>
      </c>
      <c r="D177" s="2">
        <v>0.18</v>
      </c>
      <c r="E177" s="2">
        <v>0</v>
      </c>
      <c r="F177" s="2">
        <v>0.8</v>
      </c>
      <c r="G177" s="2">
        <v>0</v>
      </c>
      <c r="H177" s="2">
        <f t="shared" si="6"/>
        <v>-2.15200309344505</v>
      </c>
      <c r="I177" s="2">
        <f t="shared" si="7"/>
        <v>0.49167643876912198</v>
      </c>
      <c r="K177" s="2">
        <f t="shared" si="8"/>
        <v>-2.4739311883324122</v>
      </c>
    </row>
    <row r="178" spans="1:11" ht="13.9" x14ac:dyDescent="0.3">
      <c r="A178" s="2" t="s">
        <v>195</v>
      </c>
      <c r="B178" s="2">
        <v>0</v>
      </c>
      <c r="C178" s="2">
        <v>0</v>
      </c>
      <c r="D178" s="2">
        <v>0</v>
      </c>
      <c r="E178" s="2">
        <v>0.1</v>
      </c>
      <c r="F178" s="2">
        <v>0.53</v>
      </c>
      <c r="G178" s="2">
        <v>0.42</v>
      </c>
      <c r="H178" s="2" t="e">
        <f t="shared" si="6"/>
        <v>#NUM!</v>
      </c>
      <c r="I178" s="2">
        <f t="shared" si="7"/>
        <v>5.3327158273051282E-2</v>
      </c>
      <c r="K178" s="2" t="e">
        <f t="shared" si="8"/>
        <v>#NUM!</v>
      </c>
    </row>
    <row r="179" spans="1:11" ht="13.9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0.89</v>
      </c>
      <c r="F179" s="2">
        <v>0</v>
      </c>
      <c r="G179" s="2">
        <v>0</v>
      </c>
      <c r="H179" s="2" t="e">
        <f t="shared" si="6"/>
        <v>#NUM!</v>
      </c>
      <c r="I179" s="2">
        <f t="shared" si="7"/>
        <v>0.37390096630005903</v>
      </c>
      <c r="K179" s="2" t="e">
        <f t="shared" si="8"/>
        <v>#NUM!</v>
      </c>
    </row>
    <row r="180" spans="1:11" ht="13.9" x14ac:dyDescent="0.3">
      <c r="A180" s="2" t="s">
        <v>197</v>
      </c>
      <c r="B180" s="2">
        <v>0.66</v>
      </c>
      <c r="C180" s="2">
        <v>7.56</v>
      </c>
      <c r="D180" s="2">
        <v>0</v>
      </c>
      <c r="E180" s="2">
        <v>26.75</v>
      </c>
      <c r="F180" s="2">
        <v>33.96</v>
      </c>
      <c r="G180" s="2">
        <v>43.63</v>
      </c>
      <c r="H180" s="2">
        <f t="shared" si="6"/>
        <v>-3.6660101343460605</v>
      </c>
      <c r="I180" s="2">
        <f t="shared" si="7"/>
        <v>4.1973125751771896E-3</v>
      </c>
      <c r="K180" s="2">
        <f t="shared" si="8"/>
        <v>3.0391383939069581</v>
      </c>
    </row>
    <row r="181" spans="1:11" ht="13.9" x14ac:dyDescent="0.3">
      <c r="A181" s="2" t="s">
        <v>198</v>
      </c>
      <c r="B181" s="2">
        <v>0</v>
      </c>
      <c r="C181" s="2">
        <v>0</v>
      </c>
      <c r="D181" s="2">
        <v>0</v>
      </c>
      <c r="E181" s="2">
        <v>1.0900000000000001</v>
      </c>
      <c r="F181" s="2">
        <v>0</v>
      </c>
      <c r="G181" s="2">
        <v>0</v>
      </c>
      <c r="H181" s="2" t="e">
        <f t="shared" si="6"/>
        <v>#NUM!</v>
      </c>
      <c r="I181" s="2">
        <f t="shared" si="7"/>
        <v>0.37390096630005903</v>
      </c>
      <c r="K181" s="2" t="e">
        <f t="shared" si="8"/>
        <v>#NUM!</v>
      </c>
    </row>
    <row r="182" spans="1:11" ht="13.9" x14ac:dyDescent="0.3">
      <c r="A182" s="2" t="s">
        <v>199</v>
      </c>
      <c r="B182" s="2">
        <v>300.94</v>
      </c>
      <c r="C182" s="2">
        <v>443.77</v>
      </c>
      <c r="D182" s="2">
        <v>220.66</v>
      </c>
      <c r="E182" s="2">
        <v>463.67</v>
      </c>
      <c r="F182" s="2">
        <v>765.34</v>
      </c>
      <c r="G182" s="2">
        <v>563.5</v>
      </c>
      <c r="H182" s="2">
        <f t="shared" si="6"/>
        <v>-0.89282726825387626</v>
      </c>
      <c r="I182" s="2">
        <f t="shared" si="7"/>
        <v>6.6523009943866798E-2</v>
      </c>
      <c r="K182" s="2">
        <f t="shared" si="8"/>
        <v>9.9149381838208406</v>
      </c>
    </row>
    <row r="183" spans="1:11" ht="13.9" x14ac:dyDescent="0.3">
      <c r="A183" s="2" t="s">
        <v>200</v>
      </c>
      <c r="B183" s="2">
        <v>415.64</v>
      </c>
      <c r="C183" s="2">
        <v>500.37</v>
      </c>
      <c r="D183" s="2">
        <v>281.11</v>
      </c>
      <c r="E183" s="2">
        <v>796.43</v>
      </c>
      <c r="F183" s="2">
        <v>692.87</v>
      </c>
      <c r="G183" s="2">
        <v>824.01</v>
      </c>
      <c r="H183" s="2">
        <f t="shared" si="6"/>
        <v>-0.95039083421589088</v>
      </c>
      <c r="I183" s="2">
        <f t="shared" si="7"/>
        <v>7.8072259117435627E-3</v>
      </c>
      <c r="K183" s="2">
        <f t="shared" si="8"/>
        <v>10.225352060776101</v>
      </c>
    </row>
    <row r="184" spans="1:11" ht="13.9" x14ac:dyDescent="0.3">
      <c r="A184" s="2" t="s">
        <v>201</v>
      </c>
      <c r="B184" s="2">
        <v>29.99</v>
      </c>
      <c r="C184" s="2">
        <v>43.91</v>
      </c>
      <c r="D184" s="2">
        <v>20.57</v>
      </c>
      <c r="E184" s="2">
        <v>23.49</v>
      </c>
      <c r="F184" s="2">
        <v>32.89</v>
      </c>
      <c r="G184" s="2">
        <v>22.76</v>
      </c>
      <c r="H184" s="2">
        <f t="shared" si="6"/>
        <v>0.25544919288386519</v>
      </c>
      <c r="I184" s="2">
        <f t="shared" si="7"/>
        <v>0.53426102565284639</v>
      </c>
      <c r="K184" s="2">
        <f t="shared" si="8"/>
        <v>6.5617843530818423</v>
      </c>
    </row>
    <row r="185" spans="1:11" ht="13.9" x14ac:dyDescent="0.3">
      <c r="A185" s="2" t="s">
        <v>202</v>
      </c>
      <c r="B185" s="2">
        <v>0</v>
      </c>
      <c r="C185" s="2">
        <v>0</v>
      </c>
      <c r="D185" s="2">
        <v>3.1</v>
      </c>
      <c r="E185" s="2">
        <v>0</v>
      </c>
      <c r="F185" s="2">
        <v>1.07</v>
      </c>
      <c r="G185" s="2">
        <v>0.42</v>
      </c>
      <c r="H185" s="2">
        <f t="shared" si="6"/>
        <v>1.0569558848120759</v>
      </c>
      <c r="I185" s="2">
        <f t="shared" si="7"/>
        <v>0.64508086360408778</v>
      </c>
      <c r="K185" s="2">
        <f t="shared" si="8"/>
        <v>1.632268215499513</v>
      </c>
    </row>
    <row r="186" spans="1:11" ht="13.9" x14ac:dyDescent="0.3">
      <c r="A186" s="2" t="s">
        <v>203</v>
      </c>
      <c r="B186" s="2">
        <v>0</v>
      </c>
      <c r="C186" s="2">
        <v>0</v>
      </c>
      <c r="D186" s="2">
        <v>5.83</v>
      </c>
      <c r="E186" s="2">
        <v>1.18</v>
      </c>
      <c r="F186" s="2">
        <v>6.02</v>
      </c>
      <c r="G186" s="2">
        <v>4.32</v>
      </c>
      <c r="H186" s="2">
        <f t="shared" si="6"/>
        <v>-0.98257292824181575</v>
      </c>
      <c r="I186" s="2">
        <f t="shared" si="7"/>
        <v>0.47451775888466852</v>
      </c>
      <c r="K186" s="2">
        <f t="shared" si="8"/>
        <v>2.5434958834257717</v>
      </c>
    </row>
    <row r="187" spans="1:11" ht="13.9" x14ac:dyDescent="0.3">
      <c r="A187" s="2" t="s">
        <v>204</v>
      </c>
      <c r="B187" s="2">
        <v>31.64</v>
      </c>
      <c r="C187" s="2">
        <v>18.3</v>
      </c>
      <c r="D187" s="2">
        <v>5.64</v>
      </c>
      <c r="E187" s="2">
        <v>15.5</v>
      </c>
      <c r="F187" s="2">
        <v>10.56</v>
      </c>
      <c r="G187" s="2">
        <v>15.39</v>
      </c>
      <c r="H187" s="2">
        <f t="shared" si="6"/>
        <v>0.42319373281744893</v>
      </c>
      <c r="I187" s="2">
        <f t="shared" si="7"/>
        <v>0.57289824187579652</v>
      </c>
      <c r="K187" s="2">
        <f t="shared" si="8"/>
        <v>5.7964939294258375</v>
      </c>
    </row>
    <row r="188" spans="1:11" ht="13.9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0.39</v>
      </c>
      <c r="F188" s="2">
        <v>0.13</v>
      </c>
      <c r="G188" s="2">
        <v>0</v>
      </c>
      <c r="H188" s="2" t="e">
        <f t="shared" si="6"/>
        <v>#NUM!</v>
      </c>
      <c r="I188" s="2">
        <f t="shared" si="7"/>
        <v>0.20510645520407772</v>
      </c>
      <c r="K188" s="2" t="e">
        <f t="shared" si="8"/>
        <v>#NUM!</v>
      </c>
    </row>
    <row r="189" spans="1:11" ht="13.9" x14ac:dyDescent="0.3">
      <c r="A189" s="2" t="s">
        <v>206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0.53</v>
      </c>
      <c r="H189" s="2" t="e">
        <f t="shared" si="6"/>
        <v>#NUM!</v>
      </c>
      <c r="I189" s="2">
        <f t="shared" si="7"/>
        <v>0.37390096630005903</v>
      </c>
      <c r="K189" s="2" t="e">
        <f t="shared" si="8"/>
        <v>#NUM!</v>
      </c>
    </row>
    <row r="190" spans="1:11" ht="13.9" x14ac:dyDescent="0.3">
      <c r="A190" s="2" t="s">
        <v>207</v>
      </c>
      <c r="B190" s="2">
        <v>16.809999999999999</v>
      </c>
      <c r="C190" s="2">
        <v>43.91</v>
      </c>
      <c r="D190" s="2">
        <v>44.06</v>
      </c>
      <c r="E190" s="2">
        <v>10.27</v>
      </c>
      <c r="F190" s="2">
        <v>11.5</v>
      </c>
      <c r="G190" s="2">
        <v>13.17</v>
      </c>
      <c r="H190" s="2">
        <f t="shared" si="6"/>
        <v>1.5844118537523004</v>
      </c>
      <c r="I190" s="2">
        <f t="shared" si="7"/>
        <v>6.2705018700918838E-2</v>
      </c>
      <c r="K190" s="2">
        <f t="shared" si="8"/>
        <v>6.7112195568943349</v>
      </c>
    </row>
    <row r="191" spans="1:11" ht="13.9" x14ac:dyDescent="0.3">
      <c r="A191" s="2" t="s">
        <v>208</v>
      </c>
      <c r="B191" s="2">
        <v>0.33</v>
      </c>
      <c r="C191" s="2">
        <v>0</v>
      </c>
      <c r="D191" s="2">
        <v>2.37</v>
      </c>
      <c r="E191" s="2">
        <v>21.42</v>
      </c>
      <c r="F191" s="2">
        <v>16.71</v>
      </c>
      <c r="G191" s="2">
        <v>18.13</v>
      </c>
      <c r="H191" s="2">
        <f t="shared" si="6"/>
        <v>-4.3810782402638688</v>
      </c>
      <c r="I191" s="2">
        <f t="shared" si="7"/>
        <v>3.4923890218473667E-4</v>
      </c>
      <c r="K191" s="2">
        <f t="shared" si="8"/>
        <v>1.4329594072761063</v>
      </c>
    </row>
    <row r="192" spans="1:11" ht="13.9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6"/>
        <v>#DIV/0!</v>
      </c>
      <c r="I192" s="2" t="e">
        <f t="shared" si="7"/>
        <v>#DIV/0!</v>
      </c>
      <c r="K192" s="2" t="e">
        <f t="shared" si="8"/>
        <v>#NUM!</v>
      </c>
    </row>
    <row r="193" spans="1:11" ht="13.9" x14ac:dyDescent="0.3">
      <c r="A193" s="2" t="s">
        <v>210</v>
      </c>
      <c r="B193" s="2">
        <v>125.58</v>
      </c>
      <c r="C193" s="2">
        <v>257.62</v>
      </c>
      <c r="D193" s="2">
        <v>109.42</v>
      </c>
      <c r="E193" s="2">
        <v>29.42</v>
      </c>
      <c r="F193" s="2">
        <v>49.34</v>
      </c>
      <c r="G193" s="2">
        <v>32.880000000000003</v>
      </c>
      <c r="H193" s="2">
        <f t="shared" si="6"/>
        <v>2.1416211718384988</v>
      </c>
      <c r="I193" s="2">
        <f t="shared" si="7"/>
        <v>5.507939986859206E-2</v>
      </c>
      <c r="K193" s="2">
        <f t="shared" si="8"/>
        <v>8.9443313911298414</v>
      </c>
    </row>
    <row r="194" spans="1:11" ht="13.9" x14ac:dyDescent="0.3">
      <c r="A194" s="2" t="s">
        <v>211</v>
      </c>
      <c r="B194" s="2">
        <v>0</v>
      </c>
      <c r="C194" s="2">
        <v>0</v>
      </c>
      <c r="D194" s="2">
        <v>0</v>
      </c>
      <c r="E194" s="2">
        <v>0.49</v>
      </c>
      <c r="F194" s="2">
        <v>0</v>
      </c>
      <c r="G194" s="2">
        <v>0</v>
      </c>
      <c r="H194" s="2" t="e">
        <f t="shared" ref="H194:H257" si="9">LOG(SUM(B194:D194)/SUM(E194:G194),2)</f>
        <v>#NUM!</v>
      </c>
      <c r="I194" s="2">
        <f t="shared" ref="I194:I257" si="10">_xlfn.T.TEST(B194:D194,E194:G194,2,2)</f>
        <v>0.37390096630005903</v>
      </c>
      <c r="K194" s="2" t="e">
        <f t="shared" si="8"/>
        <v>#NUM!</v>
      </c>
    </row>
    <row r="195" spans="1:11" ht="13.9" x14ac:dyDescent="0.3">
      <c r="A195" s="2" t="s">
        <v>212</v>
      </c>
      <c r="B195" s="2">
        <v>14.17</v>
      </c>
      <c r="C195" s="2">
        <v>0</v>
      </c>
      <c r="D195" s="2">
        <v>15.29</v>
      </c>
      <c r="E195" s="2">
        <v>27.64</v>
      </c>
      <c r="F195" s="2">
        <v>27.41</v>
      </c>
      <c r="G195" s="2">
        <v>18.02</v>
      </c>
      <c r="H195" s="2">
        <f t="shared" si="9"/>
        <v>-1.3105217769692457</v>
      </c>
      <c r="I195" s="2">
        <f t="shared" si="10"/>
        <v>6.7940665119628652E-2</v>
      </c>
      <c r="K195" s="2">
        <f t="shared" ref="K195:K258" si="11">LOG(SUM(B195:D195),2)</f>
        <v>4.880685525261125</v>
      </c>
    </row>
    <row r="196" spans="1:11" ht="13.9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0.11</v>
      </c>
      <c r="H196" s="2" t="e">
        <f t="shared" si="9"/>
        <v>#NUM!</v>
      </c>
      <c r="I196" s="2">
        <f t="shared" si="10"/>
        <v>0.37390096630005903</v>
      </c>
      <c r="K196" s="2" t="e">
        <f t="shared" si="11"/>
        <v>#NUM!</v>
      </c>
    </row>
    <row r="197" spans="1:11" ht="13.9" x14ac:dyDescent="0.3">
      <c r="A197" s="2" t="s">
        <v>214</v>
      </c>
      <c r="B197" s="2">
        <v>14.17</v>
      </c>
      <c r="C197" s="2">
        <v>0</v>
      </c>
      <c r="D197" s="2">
        <v>15.29</v>
      </c>
      <c r="E197" s="2">
        <v>27.64</v>
      </c>
      <c r="F197" s="2">
        <v>27.41</v>
      </c>
      <c r="G197" s="2">
        <v>18.02</v>
      </c>
      <c r="H197" s="2">
        <f t="shared" si="9"/>
        <v>-1.3105217769692457</v>
      </c>
      <c r="I197" s="2">
        <f t="shared" si="10"/>
        <v>6.7940665119628652E-2</v>
      </c>
      <c r="K197" s="2">
        <f t="shared" si="11"/>
        <v>4.880685525261125</v>
      </c>
    </row>
    <row r="198" spans="1:11" ht="13.9" x14ac:dyDescent="0.3">
      <c r="A198" s="2" t="s">
        <v>215</v>
      </c>
      <c r="B198" s="2">
        <v>0.33</v>
      </c>
      <c r="C198" s="2">
        <v>0</v>
      </c>
      <c r="D198" s="2">
        <v>0.73</v>
      </c>
      <c r="E198" s="2">
        <v>1.68</v>
      </c>
      <c r="F198" s="2">
        <v>0</v>
      </c>
      <c r="G198" s="2">
        <v>1.58</v>
      </c>
      <c r="H198" s="2">
        <f t="shared" si="9"/>
        <v>-1.6208076996678782</v>
      </c>
      <c r="I198" s="2">
        <f t="shared" si="10"/>
        <v>0.27728734098933094</v>
      </c>
      <c r="K198" s="2">
        <f t="shared" si="11"/>
        <v>8.4064264788474549E-2</v>
      </c>
    </row>
    <row r="199" spans="1:11" ht="13.9" x14ac:dyDescent="0.3">
      <c r="A199" s="2" t="s">
        <v>216</v>
      </c>
      <c r="B199" s="2">
        <v>59.33</v>
      </c>
      <c r="C199" s="2">
        <v>40.25</v>
      </c>
      <c r="D199" s="2">
        <v>42.42</v>
      </c>
      <c r="E199" s="2">
        <v>23.59</v>
      </c>
      <c r="F199" s="2">
        <v>16.850000000000001</v>
      </c>
      <c r="G199" s="2">
        <v>22.87</v>
      </c>
      <c r="H199" s="2">
        <f t="shared" si="9"/>
        <v>1.1653856290559723</v>
      </c>
      <c r="I199" s="2">
        <f t="shared" si="10"/>
        <v>1.4858842453652888E-2</v>
      </c>
      <c r="K199" s="2">
        <f t="shared" si="11"/>
        <v>7.1497471195046822</v>
      </c>
    </row>
    <row r="200" spans="1:11" ht="13.9" x14ac:dyDescent="0.3">
      <c r="A200" s="2" t="s">
        <v>217</v>
      </c>
      <c r="B200" s="2">
        <v>109.1</v>
      </c>
      <c r="C200" s="2">
        <v>96.61</v>
      </c>
      <c r="D200" s="2">
        <v>89.21</v>
      </c>
      <c r="E200" s="2">
        <v>19.64</v>
      </c>
      <c r="F200" s="2">
        <v>22.86</v>
      </c>
      <c r="G200" s="2">
        <v>28.14</v>
      </c>
      <c r="H200" s="2">
        <f t="shared" si="9"/>
        <v>2.0617664139833458</v>
      </c>
      <c r="I200" s="2">
        <f t="shared" si="10"/>
        <v>2.9070615458903385E-4</v>
      </c>
      <c r="K200" s="2">
        <f t="shared" si="11"/>
        <v>8.2041798518570879</v>
      </c>
    </row>
    <row r="201" spans="1:11" ht="13.9" x14ac:dyDescent="0.3">
      <c r="A201" s="2" t="s">
        <v>218</v>
      </c>
      <c r="B201" s="2">
        <v>28.68</v>
      </c>
      <c r="C201" s="2">
        <v>0</v>
      </c>
      <c r="D201" s="2">
        <v>1.82</v>
      </c>
      <c r="E201" s="2">
        <v>9.77</v>
      </c>
      <c r="F201" s="2">
        <v>9.76</v>
      </c>
      <c r="G201" s="2">
        <v>11.8</v>
      </c>
      <c r="H201" s="2">
        <f t="shared" si="9"/>
        <v>-3.8735527033442831E-2</v>
      </c>
      <c r="I201" s="2">
        <f t="shared" si="10"/>
        <v>0.97768352074186526</v>
      </c>
      <c r="K201" s="2">
        <f t="shared" si="11"/>
        <v>4.9307373375628867</v>
      </c>
    </row>
    <row r="202" spans="1:11" ht="13.9" x14ac:dyDescent="0.3">
      <c r="A202" s="2" t="s">
        <v>219</v>
      </c>
      <c r="B202" s="2">
        <v>0</v>
      </c>
      <c r="C202" s="2">
        <v>3.17</v>
      </c>
      <c r="D202" s="2">
        <v>1.64</v>
      </c>
      <c r="E202" s="2">
        <v>1.88</v>
      </c>
      <c r="F202" s="2">
        <v>1.6</v>
      </c>
      <c r="G202" s="2">
        <v>0.53</v>
      </c>
      <c r="H202" s="2">
        <f t="shared" si="9"/>
        <v>0.26243465731512167</v>
      </c>
      <c r="I202" s="2">
        <f t="shared" si="10"/>
        <v>0.80357091469270459</v>
      </c>
      <c r="K202" s="2">
        <f t="shared" si="11"/>
        <v>2.266036893995317</v>
      </c>
    </row>
    <row r="203" spans="1:11" ht="13.9" x14ac:dyDescent="0.3">
      <c r="A203" s="2" t="s">
        <v>220</v>
      </c>
      <c r="B203" s="2">
        <v>7.91</v>
      </c>
      <c r="C203" s="2">
        <v>20.25</v>
      </c>
      <c r="D203" s="2">
        <v>18.75</v>
      </c>
      <c r="E203" s="2">
        <v>16.98</v>
      </c>
      <c r="F203" s="2">
        <v>22.86</v>
      </c>
      <c r="G203" s="2">
        <v>24.55</v>
      </c>
      <c r="H203" s="2">
        <f t="shared" si="9"/>
        <v>-0.45694114914218298</v>
      </c>
      <c r="I203" s="2">
        <f t="shared" si="10"/>
        <v>0.2663232784415418</v>
      </c>
      <c r="K203" s="2">
        <f t="shared" si="11"/>
        <v>5.5518235957212569</v>
      </c>
    </row>
    <row r="204" spans="1:11" ht="13.9" x14ac:dyDescent="0.3">
      <c r="A204" s="2" t="s">
        <v>221</v>
      </c>
      <c r="B204" s="2">
        <v>26.7</v>
      </c>
      <c r="C204" s="2">
        <v>64.650000000000006</v>
      </c>
      <c r="D204" s="2">
        <v>23.67</v>
      </c>
      <c r="E204" s="2">
        <v>9.3800000000000008</v>
      </c>
      <c r="F204" s="2">
        <v>10.7</v>
      </c>
      <c r="G204" s="2">
        <v>11.49</v>
      </c>
      <c r="H204" s="2">
        <f t="shared" si="9"/>
        <v>1.8652585770763219</v>
      </c>
      <c r="I204" s="2">
        <f t="shared" si="10"/>
        <v>0.10277079268938721</v>
      </c>
      <c r="K204" s="2">
        <f t="shared" si="11"/>
        <v>6.8457409326145822</v>
      </c>
    </row>
    <row r="205" spans="1:11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1.68</v>
      </c>
      <c r="F205" s="2">
        <v>0</v>
      </c>
      <c r="G205" s="2">
        <v>0</v>
      </c>
      <c r="H205" s="2" t="e">
        <f t="shared" si="9"/>
        <v>#NUM!</v>
      </c>
      <c r="I205" s="2">
        <f t="shared" si="10"/>
        <v>0.37390096630005903</v>
      </c>
      <c r="K205" s="2" t="e">
        <f t="shared" si="11"/>
        <v>#NUM!</v>
      </c>
    </row>
    <row r="206" spans="1:11" ht="13.9" x14ac:dyDescent="0.3">
      <c r="A206" s="2" t="s">
        <v>223</v>
      </c>
      <c r="B206" s="2">
        <v>0</v>
      </c>
      <c r="C206" s="2">
        <v>0</v>
      </c>
      <c r="D206" s="2">
        <v>0</v>
      </c>
      <c r="E206" s="2">
        <v>0.3</v>
      </c>
      <c r="F206" s="2">
        <v>2.94</v>
      </c>
      <c r="G206" s="2">
        <v>0</v>
      </c>
      <c r="H206" s="2" t="e">
        <f t="shared" si="9"/>
        <v>#NUM!</v>
      </c>
      <c r="I206" s="2">
        <f t="shared" si="10"/>
        <v>0.3119206008414368</v>
      </c>
      <c r="K206" s="2" t="e">
        <f t="shared" si="11"/>
        <v>#NUM!</v>
      </c>
    </row>
    <row r="207" spans="1:11" ht="13.9" x14ac:dyDescent="0.3">
      <c r="A207" s="2" t="s">
        <v>224</v>
      </c>
      <c r="B207" s="2">
        <v>0</v>
      </c>
      <c r="C207" s="2">
        <v>0</v>
      </c>
      <c r="D207" s="2">
        <v>0</v>
      </c>
      <c r="E207" s="2">
        <v>0</v>
      </c>
      <c r="F207" s="2">
        <v>0.13</v>
      </c>
      <c r="G207" s="2">
        <v>0</v>
      </c>
      <c r="H207" s="2" t="e">
        <f t="shared" si="9"/>
        <v>#NUM!</v>
      </c>
      <c r="I207" s="2">
        <f t="shared" si="10"/>
        <v>0.37390096630005903</v>
      </c>
      <c r="K207" s="2" t="e">
        <f t="shared" si="11"/>
        <v>#NUM!</v>
      </c>
    </row>
    <row r="208" spans="1:11" ht="13.9" x14ac:dyDescent="0.3">
      <c r="A208" s="2" t="s">
        <v>225</v>
      </c>
      <c r="B208" s="2">
        <v>21.42</v>
      </c>
      <c r="C208" s="2">
        <v>20.49</v>
      </c>
      <c r="D208" s="2">
        <v>20.57</v>
      </c>
      <c r="E208" s="2">
        <v>1.38</v>
      </c>
      <c r="F208" s="2">
        <v>1.87</v>
      </c>
      <c r="G208" s="2">
        <v>1.05</v>
      </c>
      <c r="H208" s="2">
        <f t="shared" si="9"/>
        <v>3.860985888552519</v>
      </c>
      <c r="I208" s="2">
        <f t="shared" si="10"/>
        <v>8.9307631895547999E-7</v>
      </c>
      <c r="K208" s="2">
        <f t="shared" si="11"/>
        <v>5.9653225483672552</v>
      </c>
    </row>
    <row r="209" spans="1:11" ht="13.9" x14ac:dyDescent="0.3">
      <c r="A209" s="2" t="s">
        <v>226</v>
      </c>
      <c r="B209" s="2">
        <v>147.01</v>
      </c>
      <c r="C209" s="2">
        <v>96.36</v>
      </c>
      <c r="D209" s="2">
        <v>88.12</v>
      </c>
      <c r="E209" s="2">
        <v>53.01</v>
      </c>
      <c r="F209" s="2">
        <v>41.98</v>
      </c>
      <c r="G209" s="2">
        <v>66.08</v>
      </c>
      <c r="H209" s="2">
        <f t="shared" si="9"/>
        <v>1.0412775387367972</v>
      </c>
      <c r="I209" s="2">
        <f t="shared" si="10"/>
        <v>4.4748907030911528E-2</v>
      </c>
      <c r="K209" s="2">
        <f t="shared" si="11"/>
        <v>8.3728215392437679</v>
      </c>
    </row>
    <row r="210" spans="1:11" ht="13.9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0.79</v>
      </c>
      <c r="F210" s="2">
        <v>0</v>
      </c>
      <c r="G210" s="2">
        <v>1.1599999999999999</v>
      </c>
      <c r="H210" s="2" t="e">
        <f t="shared" si="9"/>
        <v>#NUM!</v>
      </c>
      <c r="I210" s="2">
        <f t="shared" si="10"/>
        <v>0.1302355876437756</v>
      </c>
      <c r="K210" s="2" t="e">
        <f t="shared" si="11"/>
        <v>#NUM!</v>
      </c>
    </row>
    <row r="211" spans="1:11" ht="13.9" x14ac:dyDescent="0.3">
      <c r="A211" s="2" t="s">
        <v>228</v>
      </c>
      <c r="B211" s="2">
        <v>0</v>
      </c>
      <c r="C211" s="2">
        <v>0.24</v>
      </c>
      <c r="D211" s="2">
        <v>3.46</v>
      </c>
      <c r="E211" s="2">
        <v>0.69</v>
      </c>
      <c r="F211" s="2">
        <v>2.41</v>
      </c>
      <c r="G211" s="2">
        <v>1.05</v>
      </c>
      <c r="H211" s="2">
        <f t="shared" si="9"/>
        <v>-0.16558606571797499</v>
      </c>
      <c r="I211" s="2">
        <f t="shared" si="10"/>
        <v>0.90898976094163253</v>
      </c>
      <c r="K211" s="2">
        <f t="shared" si="11"/>
        <v>1.8875252707415877</v>
      </c>
    </row>
    <row r="212" spans="1:11" ht="13.9" x14ac:dyDescent="0.3">
      <c r="A212" s="2" t="s">
        <v>229</v>
      </c>
      <c r="B212" s="2">
        <v>1.32</v>
      </c>
      <c r="C212" s="2">
        <v>0</v>
      </c>
      <c r="D212" s="2">
        <v>2.73</v>
      </c>
      <c r="E212" s="2">
        <v>0.1</v>
      </c>
      <c r="F212" s="2">
        <v>0.27</v>
      </c>
      <c r="G212" s="2">
        <v>1.05</v>
      </c>
      <c r="H212" s="2">
        <f t="shared" si="9"/>
        <v>1.5120309782673049</v>
      </c>
      <c r="I212" s="2">
        <f t="shared" si="10"/>
        <v>0.35594482690175799</v>
      </c>
      <c r="K212" s="2">
        <f t="shared" si="11"/>
        <v>2.0179219079972626</v>
      </c>
    </row>
    <row r="213" spans="1:11" ht="13.9" x14ac:dyDescent="0.3">
      <c r="A213" s="2" t="s">
        <v>230</v>
      </c>
      <c r="B213" s="2">
        <v>22.74</v>
      </c>
      <c r="C213" s="2">
        <v>0.24</v>
      </c>
      <c r="D213" s="2">
        <v>0</v>
      </c>
      <c r="E213" s="2">
        <v>9.08</v>
      </c>
      <c r="F213" s="2">
        <v>11.63</v>
      </c>
      <c r="G213" s="2">
        <v>10.119999999999999</v>
      </c>
      <c r="H213" s="2">
        <f t="shared" si="9"/>
        <v>-0.423956091461062</v>
      </c>
      <c r="I213" s="2">
        <f t="shared" si="10"/>
        <v>0.74721895200495614</v>
      </c>
      <c r="K213" s="2">
        <f t="shared" si="11"/>
        <v>4.5223068928713888</v>
      </c>
    </row>
    <row r="214" spans="1:11" ht="13.9" x14ac:dyDescent="0.3">
      <c r="A214" s="2" t="s">
        <v>231</v>
      </c>
      <c r="B214" s="2">
        <v>0</v>
      </c>
      <c r="C214" s="2">
        <v>2.44</v>
      </c>
      <c r="D214" s="2">
        <v>0</v>
      </c>
      <c r="E214" s="2">
        <v>2.0699999999999998</v>
      </c>
      <c r="F214" s="2">
        <v>1.74</v>
      </c>
      <c r="G214" s="2">
        <v>2</v>
      </c>
      <c r="H214" s="2">
        <f t="shared" si="9"/>
        <v>-1.2516570158416427</v>
      </c>
      <c r="I214" s="2">
        <f t="shared" si="10"/>
        <v>0.24233725178154625</v>
      </c>
      <c r="K214" s="2">
        <f t="shared" si="11"/>
        <v>1.2868811477881617</v>
      </c>
    </row>
    <row r="215" spans="1:11" ht="13.9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0.49</v>
      </c>
      <c r="F215" s="2">
        <v>0</v>
      </c>
      <c r="G215" s="2">
        <v>0.32</v>
      </c>
      <c r="H215" s="2" t="e">
        <f t="shared" si="9"/>
        <v>#NUM!</v>
      </c>
      <c r="I215" s="2">
        <f t="shared" si="10"/>
        <v>0.13333375295265293</v>
      </c>
      <c r="K215" s="2" t="e">
        <f t="shared" si="11"/>
        <v>#NUM!</v>
      </c>
    </row>
    <row r="216" spans="1:11" ht="13.9" x14ac:dyDescent="0.3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9"/>
        <v>#DIV/0!</v>
      </c>
      <c r="I216" s="2" t="e">
        <f t="shared" si="10"/>
        <v>#DIV/0!</v>
      </c>
      <c r="K216" s="2" t="e">
        <f t="shared" si="11"/>
        <v>#NUM!</v>
      </c>
    </row>
    <row r="217" spans="1:11" ht="13.9" x14ac:dyDescent="0.3">
      <c r="A217" s="2" t="s">
        <v>234</v>
      </c>
      <c r="B217" s="2">
        <v>19.45</v>
      </c>
      <c r="C217" s="2">
        <v>76.36</v>
      </c>
      <c r="D217" s="2">
        <v>34.770000000000003</v>
      </c>
      <c r="E217" s="2">
        <v>15.2</v>
      </c>
      <c r="F217" s="2">
        <v>6.42</v>
      </c>
      <c r="G217" s="2">
        <v>11.91</v>
      </c>
      <c r="H217" s="2">
        <f t="shared" si="9"/>
        <v>1.9614095583308413</v>
      </c>
      <c r="I217" s="2">
        <f t="shared" si="10"/>
        <v>0.13305023106314517</v>
      </c>
      <c r="K217" s="2">
        <f t="shared" si="11"/>
        <v>7.028790136349901</v>
      </c>
    </row>
    <row r="218" spans="1:11" ht="13.9" x14ac:dyDescent="0.3">
      <c r="A218" s="2" t="s">
        <v>235</v>
      </c>
      <c r="B218" s="2">
        <v>1.32</v>
      </c>
      <c r="C218" s="2">
        <v>16.100000000000001</v>
      </c>
      <c r="D218" s="2">
        <v>2.37</v>
      </c>
      <c r="E218" s="2">
        <v>19.739999999999998</v>
      </c>
      <c r="F218" s="2">
        <v>15.78</v>
      </c>
      <c r="G218" s="2">
        <v>23.92</v>
      </c>
      <c r="H218" s="2">
        <f t="shared" si="9"/>
        <v>-1.5866625034910842</v>
      </c>
      <c r="I218" s="2">
        <f t="shared" si="10"/>
        <v>6.7546362536198321E-2</v>
      </c>
      <c r="K218" s="2">
        <f t="shared" si="11"/>
        <v>4.3066997072727879</v>
      </c>
    </row>
    <row r="219" spans="1:11" ht="13.9" x14ac:dyDescent="0.3">
      <c r="A219" s="2" t="s">
        <v>236</v>
      </c>
      <c r="B219" s="2">
        <v>46428.76</v>
      </c>
      <c r="C219" s="2">
        <v>37218.54</v>
      </c>
      <c r="D219" s="2">
        <v>34930.44</v>
      </c>
      <c r="E219" s="2">
        <v>48004.23</v>
      </c>
      <c r="F219" s="2">
        <v>39007.58</v>
      </c>
      <c r="G219" s="2">
        <v>45590.93</v>
      </c>
      <c r="H219" s="2">
        <f t="shared" si="9"/>
        <v>-0.16127738103710701</v>
      </c>
      <c r="I219" s="2">
        <f t="shared" si="10"/>
        <v>0.3502812312837858</v>
      </c>
      <c r="K219" s="2">
        <f t="shared" si="11"/>
        <v>16.855473679887695</v>
      </c>
    </row>
    <row r="220" spans="1:11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0.32</v>
      </c>
      <c r="H220" s="2" t="e">
        <f t="shared" si="9"/>
        <v>#NUM!</v>
      </c>
      <c r="I220" s="2">
        <f t="shared" si="10"/>
        <v>0.37390096630005903</v>
      </c>
      <c r="K220" s="2" t="e">
        <f t="shared" si="11"/>
        <v>#NUM!</v>
      </c>
    </row>
    <row r="221" spans="1:11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0.1</v>
      </c>
      <c r="F221" s="2">
        <v>0</v>
      </c>
      <c r="G221" s="2">
        <v>0</v>
      </c>
      <c r="H221" s="2" t="e">
        <f t="shared" si="9"/>
        <v>#NUM!</v>
      </c>
      <c r="I221" s="2">
        <f t="shared" si="10"/>
        <v>0.37390096630005903</v>
      </c>
      <c r="K221" s="2" t="e">
        <f t="shared" si="11"/>
        <v>#NUM!</v>
      </c>
    </row>
    <row r="222" spans="1:11" ht="13.9" x14ac:dyDescent="0.3">
      <c r="A222" s="2" t="s">
        <v>239</v>
      </c>
      <c r="B222" s="2">
        <v>10.220000000000001</v>
      </c>
      <c r="C222" s="2">
        <v>0</v>
      </c>
      <c r="D222" s="2">
        <v>0</v>
      </c>
      <c r="E222" s="2">
        <v>0</v>
      </c>
      <c r="F222" s="2">
        <v>0</v>
      </c>
      <c r="G222" s="2">
        <v>0.42</v>
      </c>
      <c r="H222" s="2">
        <f t="shared" si="9"/>
        <v>4.6048620581588615</v>
      </c>
      <c r="I222" s="2">
        <f t="shared" si="10"/>
        <v>0.39227061798676671</v>
      </c>
      <c r="K222" s="2">
        <f t="shared" si="11"/>
        <v>3.353323291162897</v>
      </c>
    </row>
    <row r="223" spans="1:11" ht="13.9" x14ac:dyDescent="0.3">
      <c r="A223" s="2" t="s">
        <v>240</v>
      </c>
      <c r="B223" s="2">
        <v>0</v>
      </c>
      <c r="C223" s="2">
        <v>0.24</v>
      </c>
      <c r="D223" s="2">
        <v>0</v>
      </c>
      <c r="E223" s="2">
        <v>10.46</v>
      </c>
      <c r="F223" s="2">
        <v>8.56</v>
      </c>
      <c r="G223" s="2">
        <v>12.86</v>
      </c>
      <c r="H223" s="2">
        <f t="shared" si="9"/>
        <v>-7.0534734132693151</v>
      </c>
      <c r="I223" s="2">
        <f t="shared" si="10"/>
        <v>1.069751573861525E-3</v>
      </c>
      <c r="K223" s="2">
        <f t="shared" si="11"/>
        <v>-2.0588936890535687</v>
      </c>
    </row>
    <row r="224" spans="1:11" ht="13.9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1.69</v>
      </c>
      <c r="H224" s="2" t="e">
        <f t="shared" si="9"/>
        <v>#NUM!</v>
      </c>
      <c r="I224" s="2">
        <f t="shared" si="10"/>
        <v>0.37390096630005903</v>
      </c>
      <c r="K224" s="2" t="e">
        <f t="shared" si="11"/>
        <v>#NUM!</v>
      </c>
    </row>
    <row r="225" spans="1:11" ht="13.9" x14ac:dyDescent="0.3">
      <c r="A225" s="2" t="s">
        <v>242</v>
      </c>
      <c r="B225" s="2">
        <v>7.91</v>
      </c>
      <c r="C225" s="2">
        <v>0</v>
      </c>
      <c r="D225" s="2">
        <v>0.91</v>
      </c>
      <c r="E225" s="2">
        <v>0</v>
      </c>
      <c r="F225" s="2">
        <v>0.27</v>
      </c>
      <c r="G225" s="2">
        <v>0</v>
      </c>
      <c r="H225" s="2">
        <f t="shared" si="9"/>
        <v>5.0297473433940523</v>
      </c>
      <c r="I225" s="2">
        <f t="shared" si="10"/>
        <v>0.31799275586244319</v>
      </c>
      <c r="K225" s="2">
        <f t="shared" si="11"/>
        <v>3.1407786557827961</v>
      </c>
    </row>
    <row r="226" spans="1:11" ht="13.9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 t="e">
        <f t="shared" si="9"/>
        <v>#DIV/0!</v>
      </c>
      <c r="I226" s="2" t="e">
        <f t="shared" si="10"/>
        <v>#DIV/0!</v>
      </c>
      <c r="K226" s="2" t="e">
        <f t="shared" si="11"/>
        <v>#NUM!</v>
      </c>
    </row>
    <row r="227" spans="1:11" ht="13.9" x14ac:dyDescent="0.3">
      <c r="A227" s="2" t="s">
        <v>244</v>
      </c>
      <c r="B227" s="2">
        <v>0</v>
      </c>
      <c r="C227" s="2">
        <v>0.24</v>
      </c>
      <c r="D227" s="2">
        <v>0</v>
      </c>
      <c r="E227" s="2">
        <v>0.2</v>
      </c>
      <c r="F227" s="2">
        <v>0.8</v>
      </c>
      <c r="G227" s="2">
        <v>0.63</v>
      </c>
      <c r="H227" s="2">
        <f t="shared" si="9"/>
        <v>-2.7637656535099211</v>
      </c>
      <c r="I227" s="2">
        <f t="shared" si="10"/>
        <v>7.6970900299341519E-2</v>
      </c>
      <c r="K227" s="2">
        <f t="shared" si="11"/>
        <v>-2.0588936890535687</v>
      </c>
    </row>
    <row r="228" spans="1:11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1.0900000000000001</v>
      </c>
      <c r="F228" s="2">
        <v>0</v>
      </c>
      <c r="G228" s="2">
        <v>0</v>
      </c>
      <c r="H228" s="2" t="e">
        <f t="shared" si="9"/>
        <v>#NUM!</v>
      </c>
      <c r="I228" s="2">
        <f t="shared" si="10"/>
        <v>0.37390096630005903</v>
      </c>
      <c r="K228" s="2" t="e">
        <f t="shared" si="11"/>
        <v>#NUM!</v>
      </c>
    </row>
    <row r="229" spans="1:11" ht="13.9" x14ac:dyDescent="0.3">
      <c r="A229" s="2" t="s">
        <v>246</v>
      </c>
      <c r="B229" s="2">
        <v>3602.68</v>
      </c>
      <c r="C229" s="2">
        <v>2365.94</v>
      </c>
      <c r="D229" s="2">
        <v>1623.29</v>
      </c>
      <c r="E229" s="2">
        <v>827.83</v>
      </c>
      <c r="F229" s="2">
        <v>1026.2</v>
      </c>
      <c r="G229" s="2">
        <v>723.16</v>
      </c>
      <c r="H229" s="2">
        <f t="shared" si="9"/>
        <v>1.55866398776381</v>
      </c>
      <c r="I229" s="2">
        <f t="shared" si="10"/>
        <v>4.5847189070853625E-2</v>
      </c>
      <c r="K229" s="2">
        <f t="shared" si="11"/>
        <v>12.890247174370517</v>
      </c>
    </row>
    <row r="230" spans="1:11" ht="13.9" x14ac:dyDescent="0.3">
      <c r="A230" s="2" t="s">
        <v>247</v>
      </c>
      <c r="B230" s="2">
        <v>188.87</v>
      </c>
      <c r="C230" s="2">
        <v>121.74</v>
      </c>
      <c r="D230" s="2">
        <v>252.16</v>
      </c>
      <c r="E230" s="2">
        <v>280.06</v>
      </c>
      <c r="F230" s="2">
        <v>243.75</v>
      </c>
      <c r="G230" s="2">
        <v>269.47000000000003</v>
      </c>
      <c r="H230" s="2">
        <f t="shared" si="9"/>
        <v>-0.49528475273327566</v>
      </c>
      <c r="I230" s="2">
        <f t="shared" si="10"/>
        <v>0.12131085268774054</v>
      </c>
      <c r="K230" s="2">
        <f t="shared" si="11"/>
        <v>9.1364016135787214</v>
      </c>
    </row>
    <row r="231" spans="1:11" ht="13.9" x14ac:dyDescent="0.3">
      <c r="A231" s="2" t="s">
        <v>248</v>
      </c>
      <c r="B231" s="2">
        <v>137.12</v>
      </c>
      <c r="C231" s="2">
        <v>104.42</v>
      </c>
      <c r="D231" s="2">
        <v>78.290000000000006</v>
      </c>
      <c r="E231" s="2">
        <v>72.36</v>
      </c>
      <c r="F231" s="2">
        <v>66.72</v>
      </c>
      <c r="G231" s="2">
        <v>65.23</v>
      </c>
      <c r="H231" s="2">
        <f t="shared" si="9"/>
        <v>0.6465454508763101</v>
      </c>
      <c r="I231" s="2">
        <f t="shared" si="10"/>
        <v>8.8180597144386322E-2</v>
      </c>
      <c r="K231" s="2">
        <f t="shared" si="11"/>
        <v>8.3211614594913286</v>
      </c>
    </row>
    <row r="232" spans="1:11" ht="13.9" x14ac:dyDescent="0.3">
      <c r="A232" s="2" t="s">
        <v>249</v>
      </c>
      <c r="B232" s="2">
        <v>12.85</v>
      </c>
      <c r="C232" s="2">
        <v>5.12</v>
      </c>
      <c r="D232" s="2">
        <v>3.1</v>
      </c>
      <c r="E232" s="2">
        <v>14.02</v>
      </c>
      <c r="F232" s="2">
        <v>9.6300000000000008</v>
      </c>
      <c r="G232" s="2">
        <v>16.86</v>
      </c>
      <c r="H232" s="2">
        <f t="shared" si="9"/>
        <v>-0.94308777086913054</v>
      </c>
      <c r="I232" s="2">
        <f t="shared" si="10"/>
        <v>0.14965479790132341</v>
      </c>
      <c r="K232" s="2">
        <f t="shared" si="11"/>
        <v>4.397118409042581</v>
      </c>
    </row>
    <row r="233" spans="1:11" ht="13.9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9"/>
        <v>#DIV/0!</v>
      </c>
      <c r="I233" s="2" t="e">
        <f t="shared" si="10"/>
        <v>#DIV/0!</v>
      </c>
      <c r="K233" s="2" t="e">
        <f t="shared" si="11"/>
        <v>#NUM!</v>
      </c>
    </row>
    <row r="234" spans="1:11" ht="13.9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9"/>
        <v>#DIV/0!</v>
      </c>
      <c r="I234" s="2" t="e">
        <f t="shared" si="10"/>
        <v>#DIV/0!</v>
      </c>
      <c r="K234" s="2" t="e">
        <f t="shared" si="11"/>
        <v>#NUM!</v>
      </c>
    </row>
    <row r="235" spans="1:11" ht="13.9" x14ac:dyDescent="0.3">
      <c r="A235" s="2" t="s">
        <v>252</v>
      </c>
      <c r="B235" s="2">
        <v>0</v>
      </c>
      <c r="C235" s="2">
        <v>0.24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9"/>
        <v>#DIV/0!</v>
      </c>
      <c r="I235" s="2">
        <f t="shared" si="10"/>
        <v>0.37390096630005903</v>
      </c>
      <c r="K235" s="2">
        <f t="shared" si="11"/>
        <v>-2.0588936890535687</v>
      </c>
    </row>
    <row r="236" spans="1:11" ht="13.9" x14ac:dyDescent="0.3">
      <c r="A236" s="2" t="s">
        <v>253</v>
      </c>
      <c r="B236" s="2">
        <v>0.33</v>
      </c>
      <c r="C236" s="2">
        <v>0</v>
      </c>
      <c r="D236" s="2">
        <v>11.11</v>
      </c>
      <c r="E236" s="2">
        <v>2.37</v>
      </c>
      <c r="F236" s="2">
        <v>5.62</v>
      </c>
      <c r="G236" s="2">
        <v>3.37</v>
      </c>
      <c r="H236" s="2">
        <f t="shared" si="9"/>
        <v>1.0124217273707341E-2</v>
      </c>
      <c r="I236" s="2">
        <f t="shared" si="10"/>
        <v>0.99470062805235471</v>
      </c>
      <c r="K236" s="2">
        <f t="shared" si="11"/>
        <v>3.5160151470036647</v>
      </c>
    </row>
    <row r="237" spans="1:11" ht="13.9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9"/>
        <v>#DIV/0!</v>
      </c>
      <c r="I237" s="2" t="e">
        <f t="shared" si="10"/>
        <v>#DIV/0!</v>
      </c>
      <c r="K237" s="2" t="e">
        <f t="shared" si="11"/>
        <v>#NUM!</v>
      </c>
    </row>
    <row r="238" spans="1:11" ht="13.9" x14ac:dyDescent="0.3">
      <c r="A238" s="2" t="s">
        <v>255</v>
      </c>
      <c r="B238" s="2">
        <v>5.27</v>
      </c>
      <c r="C238" s="2">
        <v>31.47</v>
      </c>
      <c r="D238" s="2">
        <v>7.46</v>
      </c>
      <c r="E238" s="2">
        <v>16.29</v>
      </c>
      <c r="F238" s="2">
        <v>17.25</v>
      </c>
      <c r="G238" s="2">
        <v>18.34</v>
      </c>
      <c r="H238" s="2">
        <f t="shared" si="9"/>
        <v>-0.23113210997290551</v>
      </c>
      <c r="I238" s="2">
        <f t="shared" si="10"/>
        <v>0.77608092815729057</v>
      </c>
      <c r="K238" s="2">
        <f t="shared" si="11"/>
        <v>5.4659744645040691</v>
      </c>
    </row>
    <row r="239" spans="1:11" ht="13.9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0.2</v>
      </c>
      <c r="F239" s="2">
        <v>0.27</v>
      </c>
      <c r="G239" s="2">
        <v>0.42</v>
      </c>
      <c r="H239" s="2" t="e">
        <f t="shared" si="9"/>
        <v>#NUM!</v>
      </c>
      <c r="I239" s="2">
        <f t="shared" si="10"/>
        <v>1.0248191027726027E-2</v>
      </c>
      <c r="K239" s="2" t="e">
        <f t="shared" si="11"/>
        <v>#NUM!</v>
      </c>
    </row>
    <row r="240" spans="1:11" ht="13.9" x14ac:dyDescent="0.3">
      <c r="A240" s="2" t="s">
        <v>257</v>
      </c>
      <c r="B240" s="2">
        <v>0.33</v>
      </c>
      <c r="C240" s="2">
        <v>0.24</v>
      </c>
      <c r="D240" s="2">
        <v>0</v>
      </c>
      <c r="E240" s="2">
        <v>2.57</v>
      </c>
      <c r="F240" s="2">
        <v>3.48</v>
      </c>
      <c r="G240" s="2">
        <v>3.9</v>
      </c>
      <c r="H240" s="2">
        <f t="shared" si="9"/>
        <v>-4.1256627012662692</v>
      </c>
      <c r="I240" s="2">
        <f t="shared" si="10"/>
        <v>1.5112018805334404E-3</v>
      </c>
      <c r="K240" s="2">
        <f t="shared" si="11"/>
        <v>-0.81096617560998285</v>
      </c>
    </row>
    <row r="241" spans="1:11" ht="13.9" x14ac:dyDescent="0.3">
      <c r="A241" s="2" t="s">
        <v>258</v>
      </c>
      <c r="B241" s="2">
        <v>0</v>
      </c>
      <c r="C241" s="2">
        <v>0.24</v>
      </c>
      <c r="D241" s="2">
        <v>0</v>
      </c>
      <c r="E241" s="2">
        <v>8.7899999999999991</v>
      </c>
      <c r="F241" s="2">
        <v>8.16</v>
      </c>
      <c r="G241" s="2">
        <v>1.9</v>
      </c>
      <c r="H241" s="2">
        <f t="shared" si="9"/>
        <v>-6.2953863074348702</v>
      </c>
      <c r="I241" s="2">
        <f t="shared" si="10"/>
        <v>4.7883604904502129E-2</v>
      </c>
      <c r="K241" s="2">
        <f t="shared" si="11"/>
        <v>-2.0588936890535687</v>
      </c>
    </row>
    <row r="242" spans="1:11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1.58</v>
      </c>
      <c r="F242" s="2">
        <v>0</v>
      </c>
      <c r="G242" s="2">
        <v>0</v>
      </c>
      <c r="H242" s="2" t="e">
        <f t="shared" si="9"/>
        <v>#NUM!</v>
      </c>
      <c r="I242" s="2">
        <f t="shared" si="10"/>
        <v>0.37390096630005903</v>
      </c>
      <c r="K242" s="2" t="e">
        <f t="shared" si="11"/>
        <v>#NUM!</v>
      </c>
    </row>
    <row r="243" spans="1:11" ht="13.9" x14ac:dyDescent="0.3">
      <c r="A243" s="2" t="s">
        <v>260</v>
      </c>
      <c r="B243" s="2">
        <v>5.6</v>
      </c>
      <c r="C243" s="2">
        <v>0.24</v>
      </c>
      <c r="D243" s="2">
        <v>0</v>
      </c>
      <c r="E243" s="2">
        <v>0.1</v>
      </c>
      <c r="F243" s="2">
        <v>0</v>
      </c>
      <c r="G243" s="2">
        <v>0</v>
      </c>
      <c r="H243" s="2">
        <f t="shared" si="9"/>
        <v>5.867896463992655</v>
      </c>
      <c r="I243" s="2">
        <f t="shared" si="10"/>
        <v>0.35439083604756588</v>
      </c>
      <c r="K243" s="2">
        <f t="shared" si="11"/>
        <v>2.5459683691052923</v>
      </c>
    </row>
    <row r="244" spans="1:11" ht="13.9" x14ac:dyDescent="0.3">
      <c r="A244" s="2" t="s">
        <v>261</v>
      </c>
      <c r="B244" s="2">
        <v>3.96</v>
      </c>
      <c r="C244" s="2">
        <v>0</v>
      </c>
      <c r="D244" s="2">
        <v>10.56</v>
      </c>
      <c r="E244" s="2">
        <v>0.99</v>
      </c>
      <c r="F244" s="2">
        <v>2.81</v>
      </c>
      <c r="G244" s="2">
        <v>0.32</v>
      </c>
      <c r="H244" s="2">
        <f t="shared" si="9"/>
        <v>1.8173252108125324</v>
      </c>
      <c r="I244" s="2">
        <f t="shared" si="10"/>
        <v>0.33538377562800248</v>
      </c>
      <c r="K244" s="2">
        <f t="shared" si="11"/>
        <v>3.8599695482210259</v>
      </c>
    </row>
    <row r="245" spans="1:11" ht="13.9" x14ac:dyDescent="0.3">
      <c r="A245" s="2" t="s">
        <v>262</v>
      </c>
      <c r="B245" s="2">
        <v>1060.7</v>
      </c>
      <c r="C245" s="2">
        <v>845.81</v>
      </c>
      <c r="D245" s="2">
        <v>940.91</v>
      </c>
      <c r="E245" s="2">
        <v>506.01</v>
      </c>
      <c r="F245" s="2">
        <v>594.46</v>
      </c>
      <c r="G245" s="2">
        <v>517.66</v>
      </c>
      <c r="H245" s="2">
        <f t="shared" si="9"/>
        <v>0.81532779106588626</v>
      </c>
      <c r="I245" s="2">
        <f t="shared" si="10"/>
        <v>3.8382092093988537E-3</v>
      </c>
      <c r="K245" s="2">
        <f t="shared" si="11"/>
        <v>11.475439593768575</v>
      </c>
    </row>
    <row r="246" spans="1:11" ht="13.9" x14ac:dyDescent="0.3">
      <c r="A246" s="2" t="s">
        <v>263</v>
      </c>
      <c r="B246" s="2">
        <v>3.63</v>
      </c>
      <c r="C246" s="2">
        <v>18.79</v>
      </c>
      <c r="D246" s="2">
        <v>1.46</v>
      </c>
      <c r="E246" s="2">
        <v>26.36</v>
      </c>
      <c r="F246" s="2">
        <v>32.76</v>
      </c>
      <c r="G246" s="2">
        <v>49.43</v>
      </c>
      <c r="H246" s="2">
        <f t="shared" si="9"/>
        <v>-2.1844849842377014</v>
      </c>
      <c r="I246" s="2">
        <f t="shared" si="10"/>
        <v>3.2390519832390843E-2</v>
      </c>
      <c r="K246" s="2">
        <f t="shared" si="11"/>
        <v>4.5777309314900805</v>
      </c>
    </row>
    <row r="247" spans="1:11" ht="13.9" x14ac:dyDescent="0.3">
      <c r="A247" s="2" t="s">
        <v>264</v>
      </c>
      <c r="B247" s="2">
        <v>4.6100000000000003</v>
      </c>
      <c r="C247" s="2">
        <v>7.07</v>
      </c>
      <c r="D247" s="2">
        <v>3.1</v>
      </c>
      <c r="E247" s="2">
        <v>3.06</v>
      </c>
      <c r="F247" s="2">
        <v>2.67</v>
      </c>
      <c r="G247" s="2">
        <v>6.43</v>
      </c>
      <c r="H247" s="2">
        <f t="shared" si="9"/>
        <v>0.28150304070256538</v>
      </c>
      <c r="I247" s="2">
        <f t="shared" si="10"/>
        <v>0.62710034970769135</v>
      </c>
      <c r="K247" s="2">
        <f t="shared" si="11"/>
        <v>3.885574364371426</v>
      </c>
    </row>
    <row r="248" spans="1:11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 t="e">
        <f t="shared" si="9"/>
        <v>#DIV/0!</v>
      </c>
      <c r="I248" s="2" t="e">
        <f t="shared" si="10"/>
        <v>#DIV/0!</v>
      </c>
      <c r="K248" s="2" t="e">
        <f t="shared" si="11"/>
        <v>#NUM!</v>
      </c>
    </row>
    <row r="249" spans="1:11" ht="13.9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1.38</v>
      </c>
      <c r="F249" s="2">
        <v>0</v>
      </c>
      <c r="G249" s="2">
        <v>0</v>
      </c>
      <c r="H249" s="2" t="e">
        <f t="shared" si="9"/>
        <v>#NUM!</v>
      </c>
      <c r="I249" s="2">
        <f t="shared" si="10"/>
        <v>0.37390096630005903</v>
      </c>
      <c r="K249" s="2" t="e">
        <f t="shared" si="11"/>
        <v>#NUM!</v>
      </c>
    </row>
    <row r="250" spans="1:11" ht="13.9" x14ac:dyDescent="0.3">
      <c r="A250" s="2" t="s">
        <v>267</v>
      </c>
      <c r="B250" s="2">
        <v>8310.23</v>
      </c>
      <c r="C250" s="2">
        <v>12398.86</v>
      </c>
      <c r="D250" s="2">
        <v>8290.51</v>
      </c>
      <c r="E250" s="2">
        <v>18963.990000000002</v>
      </c>
      <c r="F250" s="2">
        <v>22341.98</v>
      </c>
      <c r="G250" s="2">
        <v>19378.27</v>
      </c>
      <c r="H250" s="2">
        <f t="shared" si="9"/>
        <v>-1.0652888891614662</v>
      </c>
      <c r="I250" s="2">
        <f t="shared" si="10"/>
        <v>3.654297118767962E-3</v>
      </c>
      <c r="K250" s="2">
        <f t="shared" si="11"/>
        <v>14.823745380410479</v>
      </c>
    </row>
    <row r="251" spans="1:11" ht="13.9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9"/>
        <v>#DIV/0!</v>
      </c>
      <c r="I251" s="2" t="e">
        <f t="shared" si="10"/>
        <v>#DIV/0!</v>
      </c>
      <c r="K251" s="2" t="e">
        <f t="shared" si="11"/>
        <v>#NUM!</v>
      </c>
    </row>
    <row r="252" spans="1:11" ht="13.9" x14ac:dyDescent="0.3">
      <c r="A252" s="2" t="s">
        <v>269</v>
      </c>
      <c r="B252" s="2">
        <v>952.25</v>
      </c>
      <c r="C252" s="2">
        <v>847.28</v>
      </c>
      <c r="D252" s="2">
        <v>604.09</v>
      </c>
      <c r="E252" s="2">
        <v>2237.08</v>
      </c>
      <c r="F252" s="2">
        <v>2033.95</v>
      </c>
      <c r="G252" s="2">
        <v>2168.9499999999998</v>
      </c>
      <c r="H252" s="2">
        <f t="shared" si="9"/>
        <v>-1.4218473765270863</v>
      </c>
      <c r="I252" s="2">
        <f t="shared" si="10"/>
        <v>3.5039542711612213E-4</v>
      </c>
      <c r="K252" s="2">
        <f t="shared" si="11"/>
        <v>11.230993116048554</v>
      </c>
    </row>
    <row r="253" spans="1:11" ht="13.9" x14ac:dyDescent="0.3">
      <c r="A253" s="2" t="s">
        <v>270</v>
      </c>
      <c r="B253" s="2">
        <v>878.75</v>
      </c>
      <c r="C253" s="2">
        <v>1121.49</v>
      </c>
      <c r="D253" s="2">
        <v>659.8</v>
      </c>
      <c r="E253" s="2">
        <v>1088.93</v>
      </c>
      <c r="F253" s="2">
        <v>1264.8599999999999</v>
      </c>
      <c r="G253" s="2">
        <v>1279.3900000000001</v>
      </c>
      <c r="H253" s="2">
        <f t="shared" si="9"/>
        <v>-0.44978490328016546</v>
      </c>
      <c r="I253" s="2">
        <f t="shared" si="10"/>
        <v>9.1529429887197672E-2</v>
      </c>
      <c r="K253" s="2">
        <f t="shared" si="11"/>
        <v>11.377232224887704</v>
      </c>
    </row>
    <row r="254" spans="1:11" ht="13.9" x14ac:dyDescent="0.3">
      <c r="A254" s="2" t="s">
        <v>271</v>
      </c>
      <c r="B254" s="2">
        <v>366.53</v>
      </c>
      <c r="C254" s="2">
        <v>419.86</v>
      </c>
      <c r="D254" s="2">
        <v>345.56</v>
      </c>
      <c r="E254" s="2">
        <v>585.48</v>
      </c>
      <c r="F254" s="2">
        <v>684.44</v>
      </c>
      <c r="G254" s="2">
        <v>684.9</v>
      </c>
      <c r="H254" s="2">
        <f t="shared" si="9"/>
        <v>-0.78822553667705031</v>
      </c>
      <c r="I254" s="2">
        <f t="shared" si="10"/>
        <v>2.3192088299630394E-3</v>
      </c>
      <c r="K254" s="2">
        <f t="shared" si="11"/>
        <v>10.144594518145333</v>
      </c>
    </row>
    <row r="255" spans="1:11" ht="13.9" x14ac:dyDescent="0.3">
      <c r="A255" s="2" t="s">
        <v>272</v>
      </c>
      <c r="B255" s="2">
        <v>776.9</v>
      </c>
      <c r="C255" s="2">
        <v>542.80999999999995</v>
      </c>
      <c r="D255" s="2">
        <v>425.49</v>
      </c>
      <c r="E255" s="2">
        <v>1203.1400000000001</v>
      </c>
      <c r="F255" s="2">
        <v>1484.01</v>
      </c>
      <c r="G255" s="2">
        <v>1413.65</v>
      </c>
      <c r="H255" s="2">
        <f t="shared" si="9"/>
        <v>-1.2325130049150776</v>
      </c>
      <c r="I255" s="2">
        <f t="shared" si="10"/>
        <v>4.1619669869607939E-3</v>
      </c>
      <c r="K255" s="2">
        <f t="shared" si="11"/>
        <v>10.769176663489137</v>
      </c>
    </row>
    <row r="256" spans="1:11" ht="13.9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9"/>
        <v>#DIV/0!</v>
      </c>
      <c r="I256" s="2" t="e">
        <f t="shared" si="10"/>
        <v>#DIV/0!</v>
      </c>
      <c r="K256" s="2" t="e">
        <f t="shared" si="11"/>
        <v>#NUM!</v>
      </c>
    </row>
    <row r="257" spans="1:11" ht="13.9" x14ac:dyDescent="0.3">
      <c r="A257" s="2" t="s">
        <v>274</v>
      </c>
      <c r="B257" s="2">
        <v>0</v>
      </c>
      <c r="C257" s="2">
        <v>1.46</v>
      </c>
      <c r="D257" s="2">
        <v>0.18</v>
      </c>
      <c r="E257" s="2">
        <v>3.55</v>
      </c>
      <c r="F257" s="2">
        <v>33.29</v>
      </c>
      <c r="G257" s="2">
        <v>13.81</v>
      </c>
      <c r="H257" s="2">
        <f t="shared" si="9"/>
        <v>-4.948794549070417</v>
      </c>
      <c r="I257" s="2">
        <f t="shared" si="10"/>
        <v>0.1347494939937707</v>
      </c>
      <c r="K257" s="2">
        <f t="shared" si="11"/>
        <v>0.71369581484335898</v>
      </c>
    </row>
    <row r="258" spans="1:11" ht="13.9" x14ac:dyDescent="0.3">
      <c r="A258" s="2" t="s">
        <v>275</v>
      </c>
      <c r="B258" s="2">
        <v>12.85</v>
      </c>
      <c r="C258" s="2">
        <v>24.88</v>
      </c>
      <c r="D258" s="2">
        <v>28.95</v>
      </c>
      <c r="E258" s="2">
        <v>21.91</v>
      </c>
      <c r="F258" s="2">
        <v>24.07</v>
      </c>
      <c r="G258" s="2">
        <v>23.29</v>
      </c>
      <c r="H258" s="2">
        <f t="shared" ref="H258:H321" si="12">LOG(SUM(B258:D258)/SUM(E258:G258),2)</f>
        <v>-5.4976569508854919E-2</v>
      </c>
      <c r="I258" s="2">
        <f t="shared" ref="I258:I321" si="13">_xlfn.T.TEST(B258:D258,E258:G258,2,2)</f>
        <v>0.86802392582241206</v>
      </c>
      <c r="K258" s="2">
        <f t="shared" si="11"/>
        <v>6.0591821992116923</v>
      </c>
    </row>
    <row r="259" spans="1:11" ht="13.9" x14ac:dyDescent="0.3">
      <c r="A259" s="2" t="s">
        <v>276</v>
      </c>
      <c r="B259" s="2">
        <v>1.65</v>
      </c>
      <c r="C259" s="2">
        <v>0</v>
      </c>
      <c r="D259" s="2">
        <v>0</v>
      </c>
      <c r="E259" s="2">
        <v>0.39</v>
      </c>
      <c r="F259" s="2">
        <v>0.27</v>
      </c>
      <c r="G259" s="2">
        <v>1.58</v>
      </c>
      <c r="H259" s="2">
        <f t="shared" si="12"/>
        <v>-0.44103270781178844</v>
      </c>
      <c r="I259" s="2">
        <f t="shared" si="13"/>
        <v>0.79003243235062715</v>
      </c>
      <c r="K259" s="2">
        <f t="shared" ref="K259:K322" si="14">LOG(SUM(B259:D259),2)</f>
        <v>0.72246602447109098</v>
      </c>
    </row>
    <row r="260" spans="1:11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 t="e">
        <f t="shared" si="12"/>
        <v>#DIV/0!</v>
      </c>
      <c r="I260" s="2" t="e">
        <f t="shared" si="13"/>
        <v>#DIV/0!</v>
      </c>
      <c r="K260" s="2" t="e">
        <f t="shared" si="14"/>
        <v>#NUM!</v>
      </c>
    </row>
    <row r="261" spans="1:11" ht="13.9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12"/>
        <v>#DIV/0!</v>
      </c>
      <c r="I261" s="2" t="e">
        <f t="shared" si="13"/>
        <v>#DIV/0!</v>
      </c>
      <c r="K261" s="2" t="e">
        <f t="shared" si="14"/>
        <v>#NUM!</v>
      </c>
    </row>
    <row r="262" spans="1:11" ht="13.9" x14ac:dyDescent="0.3">
      <c r="A262" s="2" t="s">
        <v>279</v>
      </c>
      <c r="B262" s="2">
        <v>187.55</v>
      </c>
      <c r="C262" s="2">
        <v>379.85</v>
      </c>
      <c r="D262" s="2">
        <v>177.7</v>
      </c>
      <c r="E262" s="2">
        <v>131.88</v>
      </c>
      <c r="F262" s="2">
        <v>131.30000000000001</v>
      </c>
      <c r="G262" s="2">
        <v>151.44</v>
      </c>
      <c r="H262" s="2">
        <f t="shared" si="12"/>
        <v>0.84564435360063217</v>
      </c>
      <c r="I262" s="2">
        <f t="shared" si="13"/>
        <v>0.17110692123607038</v>
      </c>
      <c r="K262" s="2">
        <f t="shared" si="14"/>
        <v>9.5412902526950791</v>
      </c>
    </row>
    <row r="263" spans="1:11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0.13</v>
      </c>
      <c r="G263" s="2">
        <v>0</v>
      </c>
      <c r="H263" s="2" t="e">
        <f t="shared" si="12"/>
        <v>#NUM!</v>
      </c>
      <c r="I263" s="2">
        <f t="shared" si="13"/>
        <v>0.37390096630005903</v>
      </c>
      <c r="K263" s="2" t="e">
        <f t="shared" si="14"/>
        <v>#NUM!</v>
      </c>
    </row>
    <row r="264" spans="1:11" ht="13.9" x14ac:dyDescent="0.3">
      <c r="A264" s="2" t="s">
        <v>281</v>
      </c>
      <c r="B264" s="2">
        <v>0.66</v>
      </c>
      <c r="C264" s="2">
        <v>0</v>
      </c>
      <c r="D264" s="2">
        <v>0</v>
      </c>
      <c r="E264" s="2">
        <v>0</v>
      </c>
      <c r="F264" s="2">
        <v>0.27</v>
      </c>
      <c r="G264" s="2">
        <v>0</v>
      </c>
      <c r="H264" s="2">
        <f t="shared" si="12"/>
        <v>1.2895066171949847</v>
      </c>
      <c r="I264" s="2">
        <f t="shared" si="13"/>
        <v>0.61351729145965073</v>
      </c>
      <c r="K264" s="2">
        <f t="shared" si="14"/>
        <v>-0.5994620704162712</v>
      </c>
    </row>
    <row r="265" spans="1:11" ht="13.9" x14ac:dyDescent="0.3">
      <c r="A265" s="2" t="s">
        <v>282</v>
      </c>
      <c r="B265" s="2">
        <v>57.35</v>
      </c>
      <c r="C265" s="2">
        <v>37.57</v>
      </c>
      <c r="D265" s="2">
        <v>57.9</v>
      </c>
      <c r="E265" s="2">
        <v>24.97</v>
      </c>
      <c r="F265" s="2">
        <v>17.52</v>
      </c>
      <c r="G265" s="2">
        <v>29.93</v>
      </c>
      <c r="H265" s="2">
        <f t="shared" si="12"/>
        <v>1.0773732835191736</v>
      </c>
      <c r="I265" s="2">
        <f t="shared" si="13"/>
        <v>2.4284842045341207E-2</v>
      </c>
      <c r="K265" s="2">
        <f t="shared" si="14"/>
        <v>7.2556895552206262</v>
      </c>
    </row>
    <row r="266" spans="1:11" ht="13.9" x14ac:dyDescent="0.3">
      <c r="A266" s="2" t="s">
        <v>283</v>
      </c>
      <c r="B266" s="2">
        <v>31.97</v>
      </c>
      <c r="C266" s="2">
        <v>38.549999999999997</v>
      </c>
      <c r="D266" s="2">
        <v>34.049999999999997</v>
      </c>
      <c r="E266" s="2">
        <v>5.53</v>
      </c>
      <c r="F266" s="2">
        <v>3.88</v>
      </c>
      <c r="G266" s="2">
        <v>6.85</v>
      </c>
      <c r="H266" s="2">
        <f t="shared" si="12"/>
        <v>2.685069854842864</v>
      </c>
      <c r="I266" s="2">
        <f t="shared" si="13"/>
        <v>1.5696533293844142E-4</v>
      </c>
      <c r="K266" s="2">
        <f t="shared" si="14"/>
        <v>6.7083252071431678</v>
      </c>
    </row>
    <row r="267" spans="1:11" ht="13.9" x14ac:dyDescent="0.3">
      <c r="A267" s="2" t="s">
        <v>284</v>
      </c>
      <c r="B267" s="2">
        <v>8.9</v>
      </c>
      <c r="C267" s="2">
        <v>0</v>
      </c>
      <c r="D267" s="2">
        <v>0</v>
      </c>
      <c r="E267" s="2">
        <v>2.17</v>
      </c>
      <c r="F267" s="2">
        <v>0.94</v>
      </c>
      <c r="G267" s="2">
        <v>1.26</v>
      </c>
      <c r="H267" s="5">
        <f t="shared" si="12"/>
        <v>1.0261720563531616</v>
      </c>
      <c r="I267" s="5">
        <f t="shared" si="13"/>
        <v>0.64004244451426262</v>
      </c>
      <c r="K267" s="2">
        <f t="shared" si="14"/>
        <v>3.1538053360790355</v>
      </c>
    </row>
    <row r="268" spans="1:11" ht="13.9" x14ac:dyDescent="0.3">
      <c r="A268" s="2" t="s">
        <v>285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0.53</v>
      </c>
      <c r="H268" s="2" t="e">
        <f t="shared" si="12"/>
        <v>#NUM!</v>
      </c>
      <c r="I268" s="2">
        <f t="shared" si="13"/>
        <v>0.37390096630005903</v>
      </c>
      <c r="K268" s="2" t="e">
        <f t="shared" si="14"/>
        <v>#NUM!</v>
      </c>
    </row>
    <row r="269" spans="1:11" ht="13.9" x14ac:dyDescent="0.3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0.27</v>
      </c>
      <c r="G269" s="2">
        <v>0</v>
      </c>
      <c r="H269" s="2" t="e">
        <f t="shared" si="12"/>
        <v>#NUM!</v>
      </c>
      <c r="I269" s="2">
        <f t="shared" si="13"/>
        <v>0.37390096630005903</v>
      </c>
      <c r="K269" s="2" t="e">
        <f t="shared" si="14"/>
        <v>#NUM!</v>
      </c>
    </row>
    <row r="270" spans="1:11" ht="13.9" x14ac:dyDescent="0.3">
      <c r="A270" s="2" t="s">
        <v>287</v>
      </c>
      <c r="B270" s="2">
        <v>0</v>
      </c>
      <c r="C270" s="2">
        <v>0</v>
      </c>
      <c r="D270" s="2">
        <v>0</v>
      </c>
      <c r="E270" s="2">
        <v>1.58</v>
      </c>
      <c r="F270" s="2">
        <v>3.61</v>
      </c>
      <c r="G270" s="2">
        <v>5.9</v>
      </c>
      <c r="H270" s="2" t="e">
        <f t="shared" si="12"/>
        <v>#NUM!</v>
      </c>
      <c r="I270" s="2">
        <f t="shared" si="13"/>
        <v>4.1452357436405213E-2</v>
      </c>
      <c r="K270" s="2" t="e">
        <f t="shared" si="14"/>
        <v>#NUM!</v>
      </c>
    </row>
    <row r="271" spans="1:11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0.84</v>
      </c>
      <c r="H271" s="2" t="e">
        <f t="shared" si="12"/>
        <v>#NUM!</v>
      </c>
      <c r="I271" s="2">
        <f t="shared" si="13"/>
        <v>0.37390096630005903</v>
      </c>
      <c r="K271" s="2" t="e">
        <f t="shared" si="14"/>
        <v>#NUM!</v>
      </c>
    </row>
    <row r="272" spans="1:11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0.53</v>
      </c>
      <c r="G272" s="2">
        <v>0</v>
      </c>
      <c r="H272" s="2" t="e">
        <f t="shared" si="12"/>
        <v>#NUM!</v>
      </c>
      <c r="I272" s="2">
        <f t="shared" si="13"/>
        <v>0.37390096630005903</v>
      </c>
      <c r="K272" s="2" t="e">
        <f t="shared" si="14"/>
        <v>#NUM!</v>
      </c>
    </row>
    <row r="273" spans="1:11" ht="13.9" x14ac:dyDescent="0.3">
      <c r="A273" s="2" t="s">
        <v>290</v>
      </c>
      <c r="B273" s="2">
        <v>23.73</v>
      </c>
      <c r="C273" s="2">
        <v>4.3899999999999997</v>
      </c>
      <c r="D273" s="2">
        <v>25.31</v>
      </c>
      <c r="E273" s="2">
        <v>51.73</v>
      </c>
      <c r="F273" s="2">
        <v>54.02</v>
      </c>
      <c r="G273" s="2">
        <v>43.42</v>
      </c>
      <c r="H273" s="2">
        <f t="shared" si="12"/>
        <v>-1.4812354980175326</v>
      </c>
      <c r="I273" s="2">
        <f t="shared" si="13"/>
        <v>1.28494017061724E-2</v>
      </c>
      <c r="K273" s="2">
        <f t="shared" si="14"/>
        <v>5.7395781120480507</v>
      </c>
    </row>
    <row r="274" spans="1:11" ht="13.9" x14ac:dyDescent="0.3">
      <c r="A274" s="2" t="s">
        <v>291</v>
      </c>
      <c r="B274" s="2">
        <v>95.26</v>
      </c>
      <c r="C274" s="2">
        <v>120.27</v>
      </c>
      <c r="D274" s="2">
        <v>32.229999999999997</v>
      </c>
      <c r="E274" s="2">
        <v>83.91</v>
      </c>
      <c r="F274" s="2">
        <v>76.88</v>
      </c>
      <c r="G274" s="2">
        <v>52.48</v>
      </c>
      <c r="H274" s="2">
        <f t="shared" si="12"/>
        <v>0.21626224741237632</v>
      </c>
      <c r="I274" s="2">
        <f t="shared" si="13"/>
        <v>0.70112334856081093</v>
      </c>
      <c r="K274" s="2">
        <f t="shared" si="14"/>
        <v>7.952799477899938</v>
      </c>
    </row>
    <row r="275" spans="1:11" ht="13.9" x14ac:dyDescent="0.3">
      <c r="A275" s="2" t="s">
        <v>292</v>
      </c>
      <c r="B275" s="2">
        <v>5.93</v>
      </c>
      <c r="C275" s="2">
        <v>0</v>
      </c>
      <c r="D275" s="2">
        <v>0</v>
      </c>
      <c r="E275" s="2">
        <v>2.76</v>
      </c>
      <c r="F275" s="2">
        <v>2.14</v>
      </c>
      <c r="G275" s="2">
        <v>2.5299999999999998</v>
      </c>
      <c r="H275" s="2">
        <f t="shared" si="12"/>
        <v>-0.32533010599259271</v>
      </c>
      <c r="I275" s="2">
        <f t="shared" si="13"/>
        <v>0.81353318953719711</v>
      </c>
      <c r="K275" s="2">
        <f t="shared" si="14"/>
        <v>2.5680321047712789</v>
      </c>
    </row>
    <row r="276" spans="1:11" ht="13.9" x14ac:dyDescent="0.3">
      <c r="A276" s="2" t="s">
        <v>293</v>
      </c>
      <c r="B276" s="2">
        <v>130.86000000000001</v>
      </c>
      <c r="C276" s="2">
        <v>81.239999999999995</v>
      </c>
      <c r="D276" s="2">
        <v>128.16999999999999</v>
      </c>
      <c r="E276" s="2">
        <v>45.61</v>
      </c>
      <c r="F276" s="2">
        <v>40.78</v>
      </c>
      <c r="G276" s="2">
        <v>24.77</v>
      </c>
      <c r="H276" s="2">
        <f t="shared" si="12"/>
        <v>1.6140422216456241</v>
      </c>
      <c r="I276" s="2">
        <f t="shared" si="13"/>
        <v>1.1555208692679599E-2</v>
      </c>
      <c r="K276" s="2">
        <f t="shared" si="14"/>
        <v>8.4105361510714616</v>
      </c>
    </row>
    <row r="277" spans="1:11" ht="13.9" x14ac:dyDescent="0.3">
      <c r="A277" s="2" t="s">
        <v>294</v>
      </c>
      <c r="B277" s="2">
        <v>3.96</v>
      </c>
      <c r="C277" s="2">
        <v>24.88</v>
      </c>
      <c r="D277" s="2">
        <v>7.46</v>
      </c>
      <c r="E277" s="2">
        <v>4.74</v>
      </c>
      <c r="F277" s="2">
        <v>5.88</v>
      </c>
      <c r="G277" s="2">
        <v>5.27</v>
      </c>
      <c r="H277" s="2">
        <f t="shared" si="12"/>
        <v>1.1918504235345937</v>
      </c>
      <c r="I277" s="2">
        <f t="shared" si="13"/>
        <v>0.35286163786410812</v>
      </c>
      <c r="K277" s="2">
        <f t="shared" si="14"/>
        <v>5.1818976431083881</v>
      </c>
    </row>
    <row r="278" spans="1:11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0.89</v>
      </c>
      <c r="F278" s="2">
        <v>2.41</v>
      </c>
      <c r="G278" s="2">
        <v>0.32</v>
      </c>
      <c r="H278" s="2" t="e">
        <f t="shared" si="12"/>
        <v>#NUM!</v>
      </c>
      <c r="I278" s="2">
        <f t="shared" si="13"/>
        <v>0.12516581983949762</v>
      </c>
      <c r="K278" s="2" t="e">
        <f t="shared" si="14"/>
        <v>#NUM!</v>
      </c>
    </row>
    <row r="279" spans="1:11" ht="13.9" x14ac:dyDescent="0.3">
      <c r="A279" s="2" t="s">
        <v>296</v>
      </c>
      <c r="B279" s="2">
        <v>786.46</v>
      </c>
      <c r="C279" s="2">
        <v>1060.5</v>
      </c>
      <c r="D279" s="2">
        <v>457.53</v>
      </c>
      <c r="E279" s="2">
        <v>395.06</v>
      </c>
      <c r="F279" s="2">
        <v>541.65</v>
      </c>
      <c r="G279" s="2">
        <v>394.88</v>
      </c>
      <c r="H279" s="2">
        <f t="shared" si="12"/>
        <v>0.79129756606959434</v>
      </c>
      <c r="I279" s="2">
        <f t="shared" si="13"/>
        <v>0.1477075122383584</v>
      </c>
      <c r="K279" s="2">
        <f t="shared" si="14"/>
        <v>11.170231791984421</v>
      </c>
    </row>
    <row r="280" spans="1:11" ht="13.9" x14ac:dyDescent="0.3">
      <c r="A280" s="2" t="s">
        <v>297</v>
      </c>
      <c r="B280" s="2">
        <v>0</v>
      </c>
      <c r="C280" s="2">
        <v>0.24</v>
      </c>
      <c r="D280" s="2">
        <v>0</v>
      </c>
      <c r="E280" s="2">
        <v>0.39</v>
      </c>
      <c r="F280" s="2">
        <v>0</v>
      </c>
      <c r="G280" s="2">
        <v>0</v>
      </c>
      <c r="H280" s="2">
        <f t="shared" si="12"/>
        <v>-0.7004397181410924</v>
      </c>
      <c r="I280" s="2">
        <f t="shared" si="13"/>
        <v>0.75967054712707927</v>
      </c>
      <c r="K280" s="2">
        <f t="shared" si="14"/>
        <v>-2.0588936890535687</v>
      </c>
    </row>
    <row r="281" spans="1:11" ht="13.9" x14ac:dyDescent="0.3">
      <c r="A281" s="2" t="s">
        <v>298</v>
      </c>
      <c r="B281" s="2">
        <v>2822.81</v>
      </c>
      <c r="C281" s="2">
        <v>3849.23</v>
      </c>
      <c r="D281" s="2">
        <v>2181.87</v>
      </c>
      <c r="E281" s="2">
        <v>5088.08</v>
      </c>
      <c r="F281" s="2">
        <v>5757.94</v>
      </c>
      <c r="G281" s="2">
        <v>4512.1000000000004</v>
      </c>
      <c r="H281" s="2">
        <f t="shared" si="12"/>
        <v>-0.79461501176302252</v>
      </c>
      <c r="I281" s="2">
        <f t="shared" si="13"/>
        <v>2.3029494993361519E-2</v>
      </c>
      <c r="K281" s="2">
        <f t="shared" si="14"/>
        <v>13.11209899317652</v>
      </c>
    </row>
    <row r="282" spans="1:11" ht="13.9" x14ac:dyDescent="0.3">
      <c r="A282" s="2" t="s">
        <v>299</v>
      </c>
      <c r="B282" s="2">
        <v>128.55000000000001</v>
      </c>
      <c r="C282" s="2">
        <v>186.87</v>
      </c>
      <c r="D282" s="2">
        <v>77.010000000000005</v>
      </c>
      <c r="E282" s="2">
        <v>298.02</v>
      </c>
      <c r="F282" s="2">
        <v>334.53</v>
      </c>
      <c r="G282" s="2">
        <v>319.52999999999997</v>
      </c>
      <c r="H282" s="2">
        <f t="shared" si="12"/>
        <v>-1.2786474681898963</v>
      </c>
      <c r="I282" s="2">
        <f t="shared" si="13"/>
        <v>5.0704221784810839E-3</v>
      </c>
      <c r="K282" s="2">
        <f t="shared" si="14"/>
        <v>8.6162915249018166</v>
      </c>
    </row>
    <row r="283" spans="1:11" ht="13.9" x14ac:dyDescent="0.3">
      <c r="A283" s="2" t="s">
        <v>300</v>
      </c>
      <c r="B283" s="2">
        <v>2638.23</v>
      </c>
      <c r="C283" s="2">
        <v>1727</v>
      </c>
      <c r="D283" s="2">
        <v>1790.24</v>
      </c>
      <c r="E283" s="2">
        <v>1092.78</v>
      </c>
      <c r="F283" s="2">
        <v>847.3</v>
      </c>
      <c r="G283" s="2">
        <v>1071.67</v>
      </c>
      <c r="H283" s="2">
        <f t="shared" si="12"/>
        <v>1.0312669982458591</v>
      </c>
      <c r="I283" s="2">
        <f t="shared" si="13"/>
        <v>2.6148912757686181E-2</v>
      </c>
      <c r="K283" s="2">
        <f t="shared" si="14"/>
        <v>12.587653302343666</v>
      </c>
    </row>
    <row r="284" spans="1:11" ht="13.9" x14ac:dyDescent="0.3">
      <c r="A284" s="2" t="s">
        <v>301</v>
      </c>
      <c r="B284" s="2">
        <v>0</v>
      </c>
      <c r="C284" s="2">
        <v>4.3899999999999997</v>
      </c>
      <c r="D284" s="2">
        <v>0</v>
      </c>
      <c r="E284" s="2">
        <v>0</v>
      </c>
      <c r="F284" s="2">
        <v>0.27</v>
      </c>
      <c r="G284" s="2">
        <v>0</v>
      </c>
      <c r="H284" s="2">
        <f t="shared" si="12"/>
        <v>4.023189627371889</v>
      </c>
      <c r="I284" s="2">
        <f t="shared" si="13"/>
        <v>0.40193198134928176</v>
      </c>
      <c r="K284" s="2">
        <f t="shared" si="14"/>
        <v>2.1342209397606333</v>
      </c>
    </row>
    <row r="285" spans="1:11" ht="13.9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1.58</v>
      </c>
      <c r="F285" s="2">
        <v>2.54</v>
      </c>
      <c r="G285" s="2">
        <v>0.95</v>
      </c>
      <c r="H285" s="2" t="e">
        <f t="shared" si="12"/>
        <v>#NUM!</v>
      </c>
      <c r="I285" s="2">
        <f t="shared" si="13"/>
        <v>2.1660026100042161E-2</v>
      </c>
      <c r="K285" s="2" t="e">
        <f t="shared" si="14"/>
        <v>#NUM!</v>
      </c>
    </row>
    <row r="286" spans="1:11" ht="13.9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12"/>
        <v>#DIV/0!</v>
      </c>
      <c r="I286" s="2" t="e">
        <f t="shared" si="13"/>
        <v>#DIV/0!</v>
      </c>
      <c r="K286" s="2" t="e">
        <f t="shared" si="14"/>
        <v>#NUM!</v>
      </c>
    </row>
    <row r="287" spans="1:11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0.53</v>
      </c>
      <c r="H287" s="2" t="e">
        <f t="shared" si="12"/>
        <v>#NUM!</v>
      </c>
      <c r="I287" s="2">
        <f t="shared" si="13"/>
        <v>0.37390096630005903</v>
      </c>
      <c r="K287" s="2" t="e">
        <f t="shared" si="14"/>
        <v>#NUM!</v>
      </c>
    </row>
    <row r="288" spans="1:11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0.94</v>
      </c>
      <c r="G288" s="2">
        <v>0</v>
      </c>
      <c r="H288" s="2" t="e">
        <f t="shared" si="12"/>
        <v>#NUM!</v>
      </c>
      <c r="I288" s="2">
        <f t="shared" si="13"/>
        <v>0.37390096630005903</v>
      </c>
      <c r="K288" s="2" t="e">
        <f t="shared" si="14"/>
        <v>#NUM!</v>
      </c>
    </row>
    <row r="289" spans="1:11" ht="13.9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12"/>
        <v>#DIV/0!</v>
      </c>
      <c r="I289" s="2" t="e">
        <f t="shared" si="13"/>
        <v>#DIV/0!</v>
      </c>
      <c r="K289" s="2" t="e">
        <f t="shared" si="14"/>
        <v>#NUM!</v>
      </c>
    </row>
    <row r="290" spans="1:11" ht="13.9" x14ac:dyDescent="0.3">
      <c r="A290" s="2" t="s">
        <v>307</v>
      </c>
      <c r="B290" s="2">
        <v>4.6100000000000003</v>
      </c>
      <c r="C290" s="2">
        <v>0</v>
      </c>
      <c r="D290" s="2">
        <v>0</v>
      </c>
      <c r="E290" s="2">
        <v>0.89</v>
      </c>
      <c r="F290" s="2">
        <v>0.27</v>
      </c>
      <c r="G290" s="2">
        <v>1.37</v>
      </c>
      <c r="H290" s="2">
        <f t="shared" si="12"/>
        <v>0.8656293657350278</v>
      </c>
      <c r="I290" s="2">
        <f t="shared" si="13"/>
        <v>0.68146209736679964</v>
      </c>
      <c r="K290" s="2">
        <f t="shared" si="14"/>
        <v>2.2047667506546134</v>
      </c>
    </row>
    <row r="291" spans="1:11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 t="e">
        <f t="shared" si="12"/>
        <v>#DIV/0!</v>
      </c>
      <c r="I291" s="2" t="e">
        <f t="shared" si="13"/>
        <v>#DIV/0!</v>
      </c>
      <c r="K291" s="2" t="e">
        <f t="shared" si="14"/>
        <v>#NUM!</v>
      </c>
    </row>
    <row r="292" spans="1:11" ht="13.9" x14ac:dyDescent="0.3">
      <c r="A292" s="2" t="s">
        <v>309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 t="e">
        <f t="shared" si="12"/>
        <v>#DIV/0!</v>
      </c>
      <c r="I292" s="2" t="e">
        <f t="shared" si="13"/>
        <v>#DIV/0!</v>
      </c>
      <c r="K292" s="2" t="e">
        <f t="shared" si="14"/>
        <v>#NUM!</v>
      </c>
    </row>
    <row r="293" spans="1:11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0.84</v>
      </c>
      <c r="H293" s="2" t="e">
        <f t="shared" si="12"/>
        <v>#NUM!</v>
      </c>
      <c r="I293" s="2">
        <f t="shared" si="13"/>
        <v>0.37390096630005903</v>
      </c>
      <c r="K293" s="2" t="e">
        <f t="shared" si="14"/>
        <v>#NUM!</v>
      </c>
    </row>
    <row r="294" spans="1:11" ht="13.9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12"/>
        <v>#DIV/0!</v>
      </c>
      <c r="I294" s="2" t="e">
        <f t="shared" si="13"/>
        <v>#DIV/0!</v>
      </c>
      <c r="K294" s="2" t="e">
        <f t="shared" si="14"/>
        <v>#NUM!</v>
      </c>
    </row>
    <row r="295" spans="1:11" ht="13.9" x14ac:dyDescent="0.3">
      <c r="A295" s="2" t="s">
        <v>312</v>
      </c>
      <c r="B295" s="2">
        <v>0</v>
      </c>
      <c r="C295" s="2">
        <v>0</v>
      </c>
      <c r="D295" s="2">
        <v>0</v>
      </c>
      <c r="E295" s="2">
        <v>0</v>
      </c>
      <c r="F295" s="2">
        <v>1.07</v>
      </c>
      <c r="G295" s="2">
        <v>0</v>
      </c>
      <c r="H295" s="2" t="e">
        <f t="shared" si="12"/>
        <v>#NUM!</v>
      </c>
      <c r="I295" s="2">
        <f t="shared" si="13"/>
        <v>0.37390096630005903</v>
      </c>
      <c r="K295" s="2" t="e">
        <f t="shared" si="14"/>
        <v>#NUM!</v>
      </c>
    </row>
    <row r="296" spans="1:11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0.39</v>
      </c>
      <c r="F296" s="2">
        <v>0</v>
      </c>
      <c r="G296" s="2">
        <v>0</v>
      </c>
      <c r="H296" s="2" t="e">
        <f t="shared" si="12"/>
        <v>#NUM!</v>
      </c>
      <c r="I296" s="2">
        <f t="shared" si="13"/>
        <v>0.37390096630005903</v>
      </c>
      <c r="K296" s="2" t="e">
        <f t="shared" si="14"/>
        <v>#NUM!</v>
      </c>
    </row>
    <row r="297" spans="1:11" ht="13.9" x14ac:dyDescent="0.3">
      <c r="A297" s="2" t="s">
        <v>314</v>
      </c>
      <c r="B297" s="2">
        <v>0</v>
      </c>
      <c r="C297" s="2">
        <v>0</v>
      </c>
      <c r="D297" s="2">
        <v>0.18</v>
      </c>
      <c r="E297" s="2">
        <v>0</v>
      </c>
      <c r="F297" s="2">
        <v>0</v>
      </c>
      <c r="G297" s="2">
        <v>0.42</v>
      </c>
      <c r="H297" s="2">
        <f t="shared" si="12"/>
        <v>-1.2223924213364481</v>
      </c>
      <c r="I297" s="2">
        <f t="shared" si="13"/>
        <v>0.62719317558008614</v>
      </c>
      <c r="K297" s="2">
        <f t="shared" si="14"/>
        <v>-2.4739311883324122</v>
      </c>
    </row>
    <row r="298" spans="1:11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0.27</v>
      </c>
      <c r="G298" s="2">
        <v>0</v>
      </c>
      <c r="H298" s="2" t="e">
        <f t="shared" si="12"/>
        <v>#NUM!</v>
      </c>
      <c r="I298" s="2">
        <f t="shared" si="13"/>
        <v>0.37390096630005903</v>
      </c>
      <c r="K298" s="2" t="e">
        <f t="shared" si="14"/>
        <v>#NUM!</v>
      </c>
    </row>
    <row r="299" spans="1:11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 t="e">
        <f t="shared" si="12"/>
        <v>#DIV/0!</v>
      </c>
      <c r="I299" s="2" t="e">
        <f t="shared" si="13"/>
        <v>#DIV/0!</v>
      </c>
      <c r="K299" s="2" t="e">
        <f t="shared" si="14"/>
        <v>#NUM!</v>
      </c>
    </row>
    <row r="300" spans="1:11" ht="13.9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12"/>
        <v>#DIV/0!</v>
      </c>
      <c r="I300" s="2" t="e">
        <f t="shared" si="13"/>
        <v>#DIV/0!</v>
      </c>
      <c r="K300" s="2" t="e">
        <f t="shared" si="14"/>
        <v>#NUM!</v>
      </c>
    </row>
    <row r="301" spans="1:11" ht="13.9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12"/>
        <v>#DIV/0!</v>
      </c>
      <c r="I301" s="2" t="e">
        <f t="shared" si="13"/>
        <v>#DIV/0!</v>
      </c>
      <c r="K301" s="2" t="e">
        <f t="shared" si="14"/>
        <v>#NUM!</v>
      </c>
    </row>
    <row r="302" spans="1:11" ht="13.9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0.53</v>
      </c>
      <c r="G302" s="2">
        <v>2.21</v>
      </c>
      <c r="H302" s="2" t="e">
        <f t="shared" si="12"/>
        <v>#NUM!</v>
      </c>
      <c r="I302" s="2">
        <f t="shared" si="13"/>
        <v>0.24224148840355342</v>
      </c>
      <c r="K302" s="2" t="e">
        <f t="shared" si="14"/>
        <v>#NUM!</v>
      </c>
    </row>
    <row r="303" spans="1:11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0.49</v>
      </c>
      <c r="F303" s="2">
        <v>0</v>
      </c>
      <c r="G303" s="2">
        <v>0</v>
      </c>
      <c r="H303" s="2" t="e">
        <f t="shared" si="12"/>
        <v>#NUM!</v>
      </c>
      <c r="I303" s="2">
        <f t="shared" si="13"/>
        <v>0.37390096630005903</v>
      </c>
      <c r="K303" s="2" t="e">
        <f t="shared" si="14"/>
        <v>#NUM!</v>
      </c>
    </row>
    <row r="304" spans="1:11" ht="13.9" x14ac:dyDescent="0.3">
      <c r="A304" s="2" t="s">
        <v>321</v>
      </c>
      <c r="B304" s="2">
        <v>0</v>
      </c>
      <c r="C304" s="2">
        <v>0</v>
      </c>
      <c r="D304" s="2">
        <v>0</v>
      </c>
      <c r="E304" s="2">
        <v>7.7</v>
      </c>
      <c r="F304" s="2">
        <v>7.49</v>
      </c>
      <c r="G304" s="2">
        <v>5.69</v>
      </c>
      <c r="H304" s="2" t="e">
        <f t="shared" si="12"/>
        <v>#NUM!</v>
      </c>
      <c r="I304" s="2">
        <f t="shared" si="13"/>
        <v>4.006386930770159E-4</v>
      </c>
      <c r="K304" s="2" t="e">
        <f t="shared" si="14"/>
        <v>#NUM!</v>
      </c>
    </row>
    <row r="305" spans="1:11" ht="13.9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12"/>
        <v>#DIV/0!</v>
      </c>
      <c r="I305" s="2" t="e">
        <f t="shared" si="13"/>
        <v>#DIV/0!</v>
      </c>
      <c r="K305" s="2" t="e">
        <f t="shared" si="14"/>
        <v>#NUM!</v>
      </c>
    </row>
    <row r="306" spans="1:11" ht="13.9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0.3</v>
      </c>
      <c r="F306" s="2">
        <v>0.27</v>
      </c>
      <c r="G306" s="2">
        <v>0</v>
      </c>
      <c r="H306" s="2" t="e">
        <f t="shared" si="12"/>
        <v>#NUM!</v>
      </c>
      <c r="I306" s="2">
        <f t="shared" si="13"/>
        <v>0.11721716888134213</v>
      </c>
      <c r="K306" s="2" t="e">
        <f t="shared" si="14"/>
        <v>#NUM!</v>
      </c>
    </row>
    <row r="307" spans="1:11" ht="13.9" x14ac:dyDescent="0.3">
      <c r="A307" s="2" t="s">
        <v>324</v>
      </c>
      <c r="B307" s="2">
        <v>0</v>
      </c>
      <c r="C307" s="2">
        <v>14.15</v>
      </c>
      <c r="D307" s="2">
        <v>0</v>
      </c>
      <c r="E307" s="2">
        <v>6.91</v>
      </c>
      <c r="F307" s="2">
        <v>5.35</v>
      </c>
      <c r="G307" s="2">
        <v>5.8</v>
      </c>
      <c r="H307" s="2">
        <f t="shared" si="12"/>
        <v>-0.35199583976161347</v>
      </c>
      <c r="I307" s="2">
        <f t="shared" si="13"/>
        <v>0.79693623878782816</v>
      </c>
      <c r="K307" s="2">
        <f t="shared" si="14"/>
        <v>3.8227301479445206</v>
      </c>
    </row>
    <row r="308" spans="1:11" ht="13.9" x14ac:dyDescent="0.3">
      <c r="A308" s="2" t="s">
        <v>325</v>
      </c>
      <c r="B308" s="2">
        <v>0</v>
      </c>
      <c r="C308" s="2">
        <v>0</v>
      </c>
      <c r="D308" s="2">
        <v>5.28</v>
      </c>
      <c r="E308" s="2">
        <v>0.2</v>
      </c>
      <c r="F308" s="2">
        <v>0</v>
      </c>
      <c r="G308" s="2">
        <v>0.42</v>
      </c>
      <c r="H308" s="2">
        <f t="shared" si="12"/>
        <v>3.0901978089715785</v>
      </c>
      <c r="I308" s="2">
        <f t="shared" si="13"/>
        <v>0.42831903952807754</v>
      </c>
      <c r="K308" s="2">
        <f t="shared" si="14"/>
        <v>2.400537929583729</v>
      </c>
    </row>
    <row r="309" spans="1:11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12"/>
        <v>#NUM!</v>
      </c>
      <c r="I309" s="2">
        <f t="shared" si="13"/>
        <v>0.37390096630005903</v>
      </c>
      <c r="K309" s="2" t="e">
        <f t="shared" si="14"/>
        <v>#NUM!</v>
      </c>
    </row>
    <row r="310" spans="1:11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12"/>
        <v>#NUM!</v>
      </c>
      <c r="I310" s="2">
        <f t="shared" si="13"/>
        <v>0.37390096630005903</v>
      </c>
      <c r="K310" s="2" t="e">
        <f t="shared" si="14"/>
        <v>#NUM!</v>
      </c>
    </row>
    <row r="311" spans="1:11" ht="13.9" x14ac:dyDescent="0.3">
      <c r="A311" s="2" t="s">
        <v>328</v>
      </c>
      <c r="B311" s="2">
        <v>0</v>
      </c>
      <c r="C311" s="2">
        <v>0</v>
      </c>
      <c r="D311" s="2">
        <v>0</v>
      </c>
      <c r="E311" s="2">
        <v>0</v>
      </c>
      <c r="F311" s="2">
        <v>1.07</v>
      </c>
      <c r="G311" s="2">
        <v>0</v>
      </c>
      <c r="H311" s="2" t="e">
        <f t="shared" si="12"/>
        <v>#NUM!</v>
      </c>
      <c r="I311" s="2">
        <f t="shared" si="13"/>
        <v>0.37390096630005903</v>
      </c>
      <c r="K311" s="2" t="e">
        <f t="shared" si="14"/>
        <v>#NUM!</v>
      </c>
    </row>
    <row r="312" spans="1:11" ht="13.9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12"/>
        <v>#DIV/0!</v>
      </c>
      <c r="I312" s="2" t="e">
        <f t="shared" si="13"/>
        <v>#DIV/0!</v>
      </c>
      <c r="K312" s="2" t="e">
        <f t="shared" si="14"/>
        <v>#NUM!</v>
      </c>
    </row>
    <row r="313" spans="1:11" ht="13.9" x14ac:dyDescent="0.3">
      <c r="A313" s="2" t="s">
        <v>330</v>
      </c>
      <c r="B313" s="2">
        <v>6.92</v>
      </c>
      <c r="C313" s="2">
        <v>8.2899999999999991</v>
      </c>
      <c r="D313" s="2">
        <v>2.1800000000000002</v>
      </c>
      <c r="E313" s="2">
        <v>7.8</v>
      </c>
      <c r="F313" s="2">
        <v>7.49</v>
      </c>
      <c r="G313" s="2">
        <v>8.33</v>
      </c>
      <c r="H313" s="2">
        <f t="shared" si="12"/>
        <v>-0.44175103209056998</v>
      </c>
      <c r="I313" s="2">
        <f t="shared" si="13"/>
        <v>0.32840635672223106</v>
      </c>
      <c r="K313" s="2">
        <f t="shared" si="14"/>
        <v>4.1201860275318625</v>
      </c>
    </row>
    <row r="314" spans="1:11" ht="13.9" x14ac:dyDescent="0.3">
      <c r="A314" s="2" t="s">
        <v>331</v>
      </c>
      <c r="B314" s="2">
        <v>4.28</v>
      </c>
      <c r="C314" s="2">
        <v>0</v>
      </c>
      <c r="D314" s="2">
        <v>0</v>
      </c>
      <c r="E314" s="2">
        <v>0.2</v>
      </c>
      <c r="F314" s="2">
        <v>0.53</v>
      </c>
      <c r="G314" s="2">
        <v>0</v>
      </c>
      <c r="H314" s="2">
        <f t="shared" si="12"/>
        <v>2.5516424275211298</v>
      </c>
      <c r="I314" s="2">
        <f t="shared" si="13"/>
        <v>0.45592316630714169</v>
      </c>
      <c r="K314" s="2">
        <f t="shared" si="14"/>
        <v>2.0976107966264221</v>
      </c>
    </row>
    <row r="315" spans="1:11" ht="13.9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12"/>
        <v>#DIV/0!</v>
      </c>
      <c r="I315" s="2" t="e">
        <f t="shared" si="13"/>
        <v>#DIV/0!</v>
      </c>
      <c r="K315" s="2" t="e">
        <f t="shared" si="14"/>
        <v>#NUM!</v>
      </c>
    </row>
    <row r="316" spans="1:11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0.63</v>
      </c>
      <c r="H316" s="2" t="e">
        <f t="shared" si="12"/>
        <v>#NUM!</v>
      </c>
      <c r="I316" s="2">
        <f t="shared" si="13"/>
        <v>0.37390096630005903</v>
      </c>
      <c r="K316" s="2" t="e">
        <f t="shared" si="14"/>
        <v>#NUM!</v>
      </c>
    </row>
    <row r="317" spans="1:11" ht="13.9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1.0900000000000001</v>
      </c>
      <c r="F317" s="2">
        <v>1.07</v>
      </c>
      <c r="G317" s="2">
        <v>0.53</v>
      </c>
      <c r="H317" s="2" t="e">
        <f t="shared" si="12"/>
        <v>#NUM!</v>
      </c>
      <c r="I317" s="2">
        <f t="shared" si="13"/>
        <v>8.1108813901857261E-3</v>
      </c>
      <c r="K317" s="2" t="e">
        <f t="shared" si="14"/>
        <v>#NUM!</v>
      </c>
    </row>
    <row r="318" spans="1:11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0.74</v>
      </c>
      <c r="H318" s="2" t="e">
        <f t="shared" si="12"/>
        <v>#NUM!</v>
      </c>
      <c r="I318" s="2">
        <f t="shared" si="13"/>
        <v>0.37390096630005903</v>
      </c>
      <c r="K318" s="2" t="e">
        <f t="shared" si="14"/>
        <v>#NUM!</v>
      </c>
    </row>
    <row r="319" spans="1:11" ht="13.9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12"/>
        <v>#DIV/0!</v>
      </c>
      <c r="I319" s="2" t="e">
        <f t="shared" si="13"/>
        <v>#DIV/0!</v>
      </c>
      <c r="K319" s="2" t="e">
        <f t="shared" si="14"/>
        <v>#NUM!</v>
      </c>
    </row>
    <row r="320" spans="1:11" ht="13.9" x14ac:dyDescent="0.3">
      <c r="A320" s="2" t="s">
        <v>337</v>
      </c>
      <c r="B320" s="2">
        <v>2.31</v>
      </c>
      <c r="C320" s="2">
        <v>0.24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12"/>
        <v>#DIV/0!</v>
      </c>
      <c r="I320" s="2">
        <f t="shared" si="13"/>
        <v>0.31086928652678342</v>
      </c>
      <c r="K320" s="2">
        <f t="shared" si="14"/>
        <v>1.3504972470841332</v>
      </c>
    </row>
    <row r="321" spans="1:11" ht="13.9" x14ac:dyDescent="0.3">
      <c r="A321" s="2" t="s">
        <v>338</v>
      </c>
      <c r="B321" s="2">
        <v>0.99</v>
      </c>
      <c r="C321" s="2">
        <v>0</v>
      </c>
      <c r="D321" s="2">
        <v>7.1</v>
      </c>
      <c r="E321" s="2">
        <v>0</v>
      </c>
      <c r="F321" s="2">
        <v>0.67</v>
      </c>
      <c r="G321" s="2">
        <v>0.53</v>
      </c>
      <c r="H321" s="2">
        <f t="shared" si="12"/>
        <v>2.7531052968214587</v>
      </c>
      <c r="I321" s="2">
        <f t="shared" si="13"/>
        <v>0.36115988180045222</v>
      </c>
      <c r="K321" s="2">
        <f t="shared" si="14"/>
        <v>3.016139702655253</v>
      </c>
    </row>
    <row r="322" spans="1:11" ht="13.9" x14ac:dyDescent="0.3">
      <c r="A322" s="2" t="s">
        <v>339</v>
      </c>
      <c r="B322" s="2">
        <v>17.14</v>
      </c>
      <c r="C322" s="2">
        <v>6.59</v>
      </c>
      <c r="D322" s="2">
        <v>12.02</v>
      </c>
      <c r="E322" s="2">
        <v>2.86</v>
      </c>
      <c r="F322" s="2">
        <v>6.55</v>
      </c>
      <c r="G322" s="2">
        <v>6.01</v>
      </c>
      <c r="H322" s="2">
        <f t="shared" ref="H322:H385" si="15">LOG(SUM(B322:D322)/SUM(E322:G322),2)</f>
        <v>1.21314047663808</v>
      </c>
      <c r="I322" s="2">
        <f t="shared" ref="I322:I385" si="16">_xlfn.T.TEST(B322:D322,E322:G322,2,2)</f>
        <v>0.1058716506010056</v>
      </c>
      <c r="K322" s="2">
        <f t="shared" si="14"/>
        <v>5.1598713367783899</v>
      </c>
    </row>
    <row r="323" spans="1:11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0.53</v>
      </c>
      <c r="G323" s="2">
        <v>0</v>
      </c>
      <c r="H323" s="2" t="e">
        <f t="shared" si="15"/>
        <v>#NUM!</v>
      </c>
      <c r="I323" s="2">
        <f t="shared" si="16"/>
        <v>0.37390096630005903</v>
      </c>
      <c r="K323" s="2" t="e">
        <f t="shared" ref="K323:K386" si="17">LOG(SUM(B323:D323),2)</f>
        <v>#NUM!</v>
      </c>
    </row>
    <row r="324" spans="1:11" ht="13.9" x14ac:dyDescent="0.3">
      <c r="A324" s="2" t="s">
        <v>341</v>
      </c>
      <c r="B324" s="2">
        <v>0.33</v>
      </c>
      <c r="C324" s="2">
        <v>0</v>
      </c>
      <c r="D324" s="2">
        <v>0</v>
      </c>
      <c r="E324" s="2">
        <v>4.24</v>
      </c>
      <c r="F324" s="2">
        <v>5.75</v>
      </c>
      <c r="G324" s="2">
        <v>3.58</v>
      </c>
      <c r="H324" s="2">
        <f t="shared" si="15"/>
        <v>-5.3618108860604003</v>
      </c>
      <c r="I324" s="2">
        <f t="shared" si="16"/>
        <v>2.4796004533424849E-3</v>
      </c>
      <c r="K324" s="2">
        <f t="shared" si="17"/>
        <v>-1.5994620704162712</v>
      </c>
    </row>
    <row r="325" spans="1:11" ht="13.9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</v>
      </c>
      <c r="F325" s="2">
        <v>0.8</v>
      </c>
      <c r="G325" s="2">
        <v>0.42</v>
      </c>
      <c r="H325" s="2" t="e">
        <f t="shared" si="15"/>
        <v>#NUM!</v>
      </c>
      <c r="I325" s="2">
        <f t="shared" si="16"/>
        <v>0.15318372414612758</v>
      </c>
      <c r="K325" s="2" t="e">
        <f t="shared" si="17"/>
        <v>#NUM!</v>
      </c>
    </row>
    <row r="326" spans="1:11" ht="13.9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0.3</v>
      </c>
      <c r="F326" s="2">
        <v>0</v>
      </c>
      <c r="G326" s="2">
        <v>0</v>
      </c>
      <c r="H326" s="2" t="e">
        <f t="shared" si="15"/>
        <v>#NUM!</v>
      </c>
      <c r="I326" s="2">
        <f t="shared" si="16"/>
        <v>0.37390096630005903</v>
      </c>
      <c r="K326" s="2" t="e">
        <f t="shared" si="17"/>
        <v>#NUM!</v>
      </c>
    </row>
    <row r="327" spans="1:11" ht="13.9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0.3</v>
      </c>
      <c r="F327" s="2">
        <v>0</v>
      </c>
      <c r="G327" s="2">
        <v>0</v>
      </c>
      <c r="H327" s="2" t="e">
        <f t="shared" si="15"/>
        <v>#NUM!</v>
      </c>
      <c r="I327" s="2">
        <f t="shared" si="16"/>
        <v>0.37390096630005903</v>
      </c>
      <c r="K327" s="2" t="e">
        <f t="shared" si="17"/>
        <v>#NUM!</v>
      </c>
    </row>
    <row r="328" spans="1:11" ht="13.9" x14ac:dyDescent="0.3">
      <c r="A328" s="2" t="s">
        <v>345</v>
      </c>
      <c r="B328" s="2">
        <v>4.9400000000000004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 t="e">
        <f t="shared" si="15"/>
        <v>#DIV/0!</v>
      </c>
      <c r="I328" s="2">
        <f t="shared" si="16"/>
        <v>0.37390096630005903</v>
      </c>
      <c r="K328" s="2">
        <f t="shared" si="17"/>
        <v>2.304511041809953</v>
      </c>
    </row>
    <row r="329" spans="1:11" ht="13.9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1.48</v>
      </c>
      <c r="F329" s="2">
        <v>0.4</v>
      </c>
      <c r="G329" s="2">
        <v>0</v>
      </c>
      <c r="H329" s="2" t="e">
        <f t="shared" si="15"/>
        <v>#NUM!</v>
      </c>
      <c r="I329" s="2">
        <f t="shared" si="16"/>
        <v>0.22923971816325969</v>
      </c>
      <c r="K329" s="2" t="e">
        <f t="shared" si="17"/>
        <v>#NUM!</v>
      </c>
    </row>
    <row r="330" spans="1:11" ht="13.9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0.42</v>
      </c>
      <c r="H330" s="2" t="e">
        <f t="shared" si="15"/>
        <v>#NUM!</v>
      </c>
      <c r="I330" s="2">
        <f t="shared" si="16"/>
        <v>0.37390096630005903</v>
      </c>
      <c r="K330" s="2" t="e">
        <f t="shared" si="17"/>
        <v>#NUM!</v>
      </c>
    </row>
    <row r="331" spans="1:11" ht="13.9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15"/>
        <v>#DIV/0!</v>
      </c>
      <c r="I331" s="2" t="e">
        <f t="shared" si="16"/>
        <v>#DIV/0!</v>
      </c>
      <c r="K331" s="2" t="e">
        <f t="shared" si="17"/>
        <v>#NUM!</v>
      </c>
    </row>
    <row r="332" spans="1:11" ht="13.9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0.99</v>
      </c>
      <c r="F332" s="2">
        <v>0</v>
      </c>
      <c r="G332" s="2">
        <v>2</v>
      </c>
      <c r="H332" s="2" t="e">
        <f t="shared" si="15"/>
        <v>#NUM!</v>
      </c>
      <c r="I332" s="2">
        <f t="shared" si="16"/>
        <v>0.15938043584053399</v>
      </c>
      <c r="K332" s="2" t="e">
        <f t="shared" si="17"/>
        <v>#NUM!</v>
      </c>
    </row>
    <row r="333" spans="1:11" ht="13.9" x14ac:dyDescent="0.3">
      <c r="A333" s="2" t="s">
        <v>350</v>
      </c>
      <c r="B333" s="2">
        <v>0</v>
      </c>
      <c r="C333" s="2">
        <v>0</v>
      </c>
      <c r="D333" s="2">
        <v>0</v>
      </c>
      <c r="E333" s="2">
        <v>1.28</v>
      </c>
      <c r="F333" s="2">
        <v>2.0099999999999998</v>
      </c>
      <c r="G333" s="2">
        <v>0.32</v>
      </c>
      <c r="H333" s="2" t="e">
        <f t="shared" si="15"/>
        <v>#NUM!</v>
      </c>
      <c r="I333" s="2">
        <f t="shared" si="16"/>
        <v>6.976861028888888E-2</v>
      </c>
      <c r="K333" s="2" t="e">
        <f t="shared" si="17"/>
        <v>#NUM!</v>
      </c>
    </row>
    <row r="334" spans="1:11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 t="e">
        <f t="shared" si="15"/>
        <v>#DIV/0!</v>
      </c>
      <c r="I334" s="2" t="e">
        <f t="shared" si="16"/>
        <v>#DIV/0!</v>
      </c>
      <c r="K334" s="2" t="e">
        <f t="shared" si="17"/>
        <v>#NUM!</v>
      </c>
    </row>
    <row r="335" spans="1:11" ht="13.9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1.48</v>
      </c>
      <c r="F335" s="2">
        <v>1.34</v>
      </c>
      <c r="G335" s="2">
        <v>0.63</v>
      </c>
      <c r="H335" s="2" t="e">
        <f t="shared" si="15"/>
        <v>#NUM!</v>
      </c>
      <c r="I335" s="2">
        <f t="shared" si="16"/>
        <v>1.1962542602379713E-2</v>
      </c>
      <c r="K335" s="2" t="e">
        <f t="shared" si="17"/>
        <v>#NUM!</v>
      </c>
    </row>
    <row r="336" spans="1:11" ht="13.9" x14ac:dyDescent="0.3">
      <c r="A336" s="2" t="s">
        <v>353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15"/>
        <v>#DIV/0!</v>
      </c>
      <c r="I336" s="2" t="e">
        <f t="shared" si="16"/>
        <v>#DIV/0!</v>
      </c>
      <c r="K336" s="2" t="e">
        <f t="shared" si="17"/>
        <v>#NUM!</v>
      </c>
    </row>
    <row r="337" spans="1:11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0.53</v>
      </c>
      <c r="G337" s="2">
        <v>0.42</v>
      </c>
      <c r="H337" s="2" t="e">
        <f t="shared" si="15"/>
        <v>#NUM!</v>
      </c>
      <c r="I337" s="2">
        <f t="shared" si="16"/>
        <v>0.12142196810912945</v>
      </c>
      <c r="K337" s="2" t="e">
        <f t="shared" si="17"/>
        <v>#NUM!</v>
      </c>
    </row>
    <row r="338" spans="1:11" ht="13.9" x14ac:dyDescent="0.3">
      <c r="A338" s="2" t="s">
        <v>355</v>
      </c>
      <c r="B338" s="2">
        <v>0</v>
      </c>
      <c r="C338" s="2">
        <v>0</v>
      </c>
      <c r="D338" s="2">
        <v>0</v>
      </c>
      <c r="E338" s="2">
        <v>0.99</v>
      </c>
      <c r="F338" s="2">
        <v>0.4</v>
      </c>
      <c r="G338" s="2">
        <v>0.74</v>
      </c>
      <c r="H338" s="2" t="e">
        <f t="shared" si="15"/>
        <v>#NUM!</v>
      </c>
      <c r="I338" s="2">
        <f t="shared" si="16"/>
        <v>1.4230349545644557E-2</v>
      </c>
      <c r="K338" s="2" t="e">
        <f t="shared" si="17"/>
        <v>#NUM!</v>
      </c>
    </row>
    <row r="339" spans="1:11" ht="13.9" x14ac:dyDescent="0.3">
      <c r="A339" s="2" t="s">
        <v>356</v>
      </c>
      <c r="B339" s="2">
        <v>0</v>
      </c>
      <c r="C339" s="2">
        <v>0</v>
      </c>
      <c r="D339" s="2">
        <v>5.28</v>
      </c>
      <c r="E339" s="2">
        <v>0.99</v>
      </c>
      <c r="F339" s="2">
        <v>0.8</v>
      </c>
      <c r="G339" s="2">
        <v>0.21</v>
      </c>
      <c r="H339" s="2">
        <f t="shared" si="15"/>
        <v>1.4005379295837288</v>
      </c>
      <c r="I339" s="2">
        <f t="shared" si="16"/>
        <v>0.5713666979640134</v>
      </c>
      <c r="K339" s="2">
        <f t="shared" si="17"/>
        <v>2.400537929583729</v>
      </c>
    </row>
    <row r="340" spans="1:11" ht="13.9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0.49</v>
      </c>
      <c r="F340" s="2">
        <v>0</v>
      </c>
      <c r="G340" s="2">
        <v>0</v>
      </c>
      <c r="H340" s="2" t="e">
        <f t="shared" si="15"/>
        <v>#NUM!</v>
      </c>
      <c r="I340" s="2">
        <f t="shared" si="16"/>
        <v>0.37390096630005903</v>
      </c>
      <c r="K340" s="2" t="e">
        <f t="shared" si="17"/>
        <v>#NUM!</v>
      </c>
    </row>
    <row r="341" spans="1:11" ht="13.9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0.1</v>
      </c>
      <c r="F341" s="2">
        <v>0</v>
      </c>
      <c r="G341" s="2">
        <v>0</v>
      </c>
      <c r="H341" s="2" t="e">
        <f t="shared" si="15"/>
        <v>#NUM!</v>
      </c>
      <c r="I341" s="2">
        <f t="shared" si="16"/>
        <v>0.37390096630005903</v>
      </c>
      <c r="K341" s="2" t="e">
        <f t="shared" si="17"/>
        <v>#NUM!</v>
      </c>
    </row>
    <row r="342" spans="1:11" ht="13.9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0.1</v>
      </c>
      <c r="F342" s="2">
        <v>0</v>
      </c>
      <c r="G342" s="2">
        <v>0</v>
      </c>
      <c r="H342" s="2" t="e">
        <f t="shared" si="15"/>
        <v>#NUM!</v>
      </c>
      <c r="I342" s="2">
        <f t="shared" si="16"/>
        <v>0.37390096630005903</v>
      </c>
      <c r="K342" s="2" t="e">
        <f t="shared" si="17"/>
        <v>#NUM!</v>
      </c>
    </row>
    <row r="343" spans="1:11" ht="13.9" x14ac:dyDescent="0.3">
      <c r="A343" s="2" t="s">
        <v>360</v>
      </c>
      <c r="B343" s="2">
        <v>0.99</v>
      </c>
      <c r="C343" s="2">
        <v>0</v>
      </c>
      <c r="D343" s="2">
        <v>0</v>
      </c>
      <c r="E343" s="2">
        <v>1.18</v>
      </c>
      <c r="F343" s="2">
        <v>1.2</v>
      </c>
      <c r="G343" s="2">
        <v>0.53</v>
      </c>
      <c r="H343" s="2">
        <f t="shared" si="15"/>
        <v>-1.5555187228286746</v>
      </c>
      <c r="I343" s="2">
        <f t="shared" si="16"/>
        <v>0.18193314137212868</v>
      </c>
      <c r="K343" s="2">
        <f t="shared" si="17"/>
        <v>-1.4499569695115091E-2</v>
      </c>
    </row>
    <row r="344" spans="1:11" ht="13.9" x14ac:dyDescent="0.3">
      <c r="A344" s="2" t="s">
        <v>361</v>
      </c>
      <c r="B344" s="2">
        <v>0</v>
      </c>
      <c r="C344" s="2">
        <v>0.98</v>
      </c>
      <c r="D344" s="2">
        <v>0</v>
      </c>
      <c r="E344" s="2">
        <v>0.69</v>
      </c>
      <c r="F344" s="2">
        <v>0.67</v>
      </c>
      <c r="G344" s="2">
        <v>0.53</v>
      </c>
      <c r="H344" s="2">
        <f t="shared" si="15"/>
        <v>-0.9475325801058645</v>
      </c>
      <c r="I344" s="2">
        <f t="shared" si="16"/>
        <v>0.4106835034251935</v>
      </c>
      <c r="K344" s="2">
        <f t="shared" si="17"/>
        <v>-2.9146345659516508E-2</v>
      </c>
    </row>
    <row r="345" spans="1:11" ht="13.9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0.1</v>
      </c>
      <c r="F345" s="2">
        <v>0.27</v>
      </c>
      <c r="G345" s="2">
        <v>0.11</v>
      </c>
      <c r="H345" s="2" t="e">
        <f t="shared" si="15"/>
        <v>#NUM!</v>
      </c>
      <c r="I345" s="2">
        <f t="shared" si="16"/>
        <v>4.3893358557895674E-2</v>
      </c>
      <c r="K345" s="2" t="e">
        <f t="shared" si="17"/>
        <v>#NUM!</v>
      </c>
    </row>
    <row r="346" spans="1:11" ht="13.9" x14ac:dyDescent="0.3">
      <c r="A346" s="2" t="s">
        <v>363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 t="e">
        <f t="shared" si="15"/>
        <v>#DIV/0!</v>
      </c>
      <c r="I346" s="2" t="e">
        <f t="shared" si="16"/>
        <v>#DIV/0!</v>
      </c>
      <c r="K346" s="2" t="e">
        <f t="shared" si="17"/>
        <v>#NUM!</v>
      </c>
    </row>
    <row r="347" spans="1:11" ht="13.9" x14ac:dyDescent="0.3">
      <c r="A347" s="2" t="s">
        <v>364</v>
      </c>
      <c r="B347" s="2">
        <v>37.25</v>
      </c>
      <c r="C347" s="2">
        <v>0</v>
      </c>
      <c r="D347" s="2">
        <v>18.02</v>
      </c>
      <c r="E347" s="2">
        <v>34.06</v>
      </c>
      <c r="F347" s="2">
        <v>20.32</v>
      </c>
      <c r="G347" s="2">
        <v>26.24</v>
      </c>
      <c r="H347" s="2">
        <f t="shared" si="15"/>
        <v>-0.54464117063691875</v>
      </c>
      <c r="I347" s="2">
        <f t="shared" si="16"/>
        <v>0.50208729073411673</v>
      </c>
      <c r="K347" s="2">
        <f t="shared" si="17"/>
        <v>5.7884247074394359</v>
      </c>
    </row>
    <row r="348" spans="1:11" ht="13.9" x14ac:dyDescent="0.3">
      <c r="A348" s="2" t="s">
        <v>365</v>
      </c>
      <c r="B348" s="2">
        <v>0</v>
      </c>
      <c r="C348" s="2">
        <v>0</v>
      </c>
      <c r="D348" s="2">
        <v>0</v>
      </c>
      <c r="E348" s="2">
        <v>0.1</v>
      </c>
      <c r="F348" s="2">
        <v>0.13</v>
      </c>
      <c r="G348" s="2">
        <v>0</v>
      </c>
      <c r="H348" s="2" t="e">
        <f t="shared" si="15"/>
        <v>#NUM!</v>
      </c>
      <c r="I348" s="2">
        <f t="shared" si="16"/>
        <v>0.12283946337339596</v>
      </c>
      <c r="K348" s="2" t="e">
        <f t="shared" si="17"/>
        <v>#NUM!</v>
      </c>
    </row>
    <row r="349" spans="1:11" ht="13.9" x14ac:dyDescent="0.3">
      <c r="A349" s="2" t="s">
        <v>366</v>
      </c>
      <c r="B349" s="2">
        <v>41.2</v>
      </c>
      <c r="C349" s="2">
        <v>14.39</v>
      </c>
      <c r="D349" s="2">
        <v>7.65</v>
      </c>
      <c r="E349" s="2">
        <v>9.2799999999999994</v>
      </c>
      <c r="F349" s="2">
        <v>10.83</v>
      </c>
      <c r="G349" s="2">
        <v>7.69</v>
      </c>
      <c r="H349" s="2">
        <f t="shared" si="15"/>
        <v>1.1857524847475012</v>
      </c>
      <c r="I349" s="2">
        <f t="shared" si="16"/>
        <v>0.31479612652806271</v>
      </c>
      <c r="K349" s="2">
        <f t="shared" si="17"/>
        <v>5.9827654625836466</v>
      </c>
    </row>
    <row r="350" spans="1:11" ht="13.9" x14ac:dyDescent="0.3">
      <c r="A350" s="2" t="s">
        <v>367</v>
      </c>
      <c r="B350" s="2">
        <v>2.97</v>
      </c>
      <c r="C350" s="2">
        <v>0</v>
      </c>
      <c r="D350" s="2">
        <v>0</v>
      </c>
      <c r="E350" s="2">
        <v>3.65</v>
      </c>
      <c r="F350" s="2">
        <v>5.21</v>
      </c>
      <c r="G350" s="2">
        <v>2.5299999999999998</v>
      </c>
      <c r="H350" s="2">
        <f t="shared" si="15"/>
        <v>-1.9392329109073458</v>
      </c>
      <c r="I350" s="2">
        <f t="shared" si="16"/>
        <v>8.9607407404061257E-2</v>
      </c>
      <c r="K350" s="2">
        <f t="shared" si="17"/>
        <v>1.5704629310260412</v>
      </c>
    </row>
    <row r="351" spans="1:11" ht="13.9" x14ac:dyDescent="0.3">
      <c r="A351" s="2" t="s">
        <v>368</v>
      </c>
      <c r="B351" s="2">
        <v>0</v>
      </c>
      <c r="C351" s="2">
        <v>0</v>
      </c>
      <c r="D351" s="2">
        <v>26.76</v>
      </c>
      <c r="E351" s="2">
        <v>12.54</v>
      </c>
      <c r="F351" s="2">
        <v>11.5</v>
      </c>
      <c r="G351" s="2">
        <v>6.22</v>
      </c>
      <c r="H351" s="2">
        <f t="shared" si="15"/>
        <v>-0.17733387157527608</v>
      </c>
      <c r="I351" s="2">
        <f t="shared" si="16"/>
        <v>0.90450801577531958</v>
      </c>
      <c r="K351" s="2">
        <f t="shared" si="17"/>
        <v>4.7420062108667365</v>
      </c>
    </row>
    <row r="352" spans="1:11" ht="13.9" x14ac:dyDescent="0.3">
      <c r="A352" s="2" t="s">
        <v>369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0.11</v>
      </c>
      <c r="H352" s="5" t="e">
        <f t="shared" si="15"/>
        <v>#NUM!</v>
      </c>
      <c r="I352" s="5">
        <f t="shared" si="16"/>
        <v>0.37390096630005903</v>
      </c>
      <c r="K352" s="2" t="e">
        <f t="shared" si="17"/>
        <v>#NUM!</v>
      </c>
    </row>
    <row r="353" spans="1:11" ht="13.9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0.13</v>
      </c>
      <c r="G353" s="2">
        <v>0</v>
      </c>
      <c r="H353" s="2" t="e">
        <f t="shared" si="15"/>
        <v>#NUM!</v>
      </c>
      <c r="I353" s="2">
        <f t="shared" si="16"/>
        <v>0.37390096630005903</v>
      </c>
      <c r="K353" s="2" t="e">
        <f t="shared" si="17"/>
        <v>#NUM!</v>
      </c>
    </row>
    <row r="354" spans="1:11" ht="13.9" x14ac:dyDescent="0.3">
      <c r="A354" s="2" t="s">
        <v>371</v>
      </c>
      <c r="B354" s="2">
        <v>39.22</v>
      </c>
      <c r="C354" s="2">
        <v>24.88</v>
      </c>
      <c r="D354" s="2">
        <v>22.58</v>
      </c>
      <c r="E354" s="2">
        <v>49.16</v>
      </c>
      <c r="F354" s="2">
        <v>46.53</v>
      </c>
      <c r="G354" s="2">
        <v>49.22</v>
      </c>
      <c r="H354" s="2">
        <f t="shared" si="15"/>
        <v>-0.74138609779028286</v>
      </c>
      <c r="I354" s="2">
        <f t="shared" si="16"/>
        <v>2.1287049283915151E-2</v>
      </c>
      <c r="K354" s="2">
        <f t="shared" si="17"/>
        <v>6.4376272483189485</v>
      </c>
    </row>
    <row r="355" spans="1:11" ht="13.9" x14ac:dyDescent="0.3">
      <c r="A355" s="2" t="s">
        <v>372</v>
      </c>
      <c r="B355" s="2">
        <v>0</v>
      </c>
      <c r="C355" s="2">
        <v>15.13</v>
      </c>
      <c r="D355" s="2">
        <v>0</v>
      </c>
      <c r="E355" s="2">
        <v>2.57</v>
      </c>
      <c r="F355" s="2">
        <v>1.87</v>
      </c>
      <c r="G355" s="2">
        <v>1.48</v>
      </c>
      <c r="H355" s="2">
        <f t="shared" si="15"/>
        <v>1.3537429065877875</v>
      </c>
      <c r="I355" s="2">
        <f t="shared" si="16"/>
        <v>0.57631128328093895</v>
      </c>
      <c r="K355" s="2">
        <f t="shared" si="17"/>
        <v>3.9193400824420124</v>
      </c>
    </row>
    <row r="356" spans="1:11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 t="e">
        <f t="shared" si="15"/>
        <v>#DIV/0!</v>
      </c>
      <c r="I356" s="2" t="e">
        <f t="shared" si="16"/>
        <v>#DIV/0!</v>
      </c>
      <c r="K356" s="2" t="e">
        <f t="shared" si="17"/>
        <v>#NUM!</v>
      </c>
    </row>
    <row r="357" spans="1:11" ht="13.9" x14ac:dyDescent="0.3">
      <c r="A357" s="2" t="s">
        <v>374</v>
      </c>
      <c r="B357" s="2">
        <v>35.93</v>
      </c>
      <c r="C357" s="2">
        <v>15.13</v>
      </c>
      <c r="D357" s="2">
        <v>11.65</v>
      </c>
      <c r="E357" s="2">
        <v>1.88</v>
      </c>
      <c r="F357" s="2">
        <v>5.75</v>
      </c>
      <c r="G357" s="2">
        <v>1.69</v>
      </c>
      <c r="H357" s="2">
        <f t="shared" si="15"/>
        <v>2.750293659591049</v>
      </c>
      <c r="I357" s="2">
        <f t="shared" si="16"/>
        <v>8.1777517524053184E-2</v>
      </c>
      <c r="K357" s="2">
        <f t="shared" si="17"/>
        <v>5.9706236144706049</v>
      </c>
    </row>
    <row r="358" spans="1:11" ht="13.9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0.79</v>
      </c>
      <c r="F358" s="2">
        <v>0</v>
      </c>
      <c r="G358" s="2">
        <v>0</v>
      </c>
      <c r="H358" s="2" t="e">
        <f t="shared" si="15"/>
        <v>#NUM!</v>
      </c>
      <c r="I358" s="2">
        <f t="shared" si="16"/>
        <v>0.37390096630005903</v>
      </c>
      <c r="K358" s="2" t="e">
        <f t="shared" si="17"/>
        <v>#NUM!</v>
      </c>
    </row>
    <row r="359" spans="1:11" ht="13.9" x14ac:dyDescent="0.3">
      <c r="A359" s="2" t="s">
        <v>376</v>
      </c>
      <c r="B359" s="2">
        <v>5.93</v>
      </c>
      <c r="C359" s="2">
        <v>4.6399999999999997</v>
      </c>
      <c r="D359" s="2">
        <v>2.73</v>
      </c>
      <c r="E359" s="2">
        <v>2.4700000000000002</v>
      </c>
      <c r="F359" s="2">
        <v>5.88</v>
      </c>
      <c r="G359" s="2">
        <v>2.42</v>
      </c>
      <c r="H359" s="2">
        <f t="shared" si="15"/>
        <v>0.30440799584434464</v>
      </c>
      <c r="I359" s="2">
        <f t="shared" si="16"/>
        <v>0.59805534574475394</v>
      </c>
      <c r="K359" s="2">
        <f t="shared" si="17"/>
        <v>3.7333543406138276</v>
      </c>
    </row>
    <row r="360" spans="1:11" ht="13.9" x14ac:dyDescent="0.3">
      <c r="A360" s="2" t="s">
        <v>377</v>
      </c>
      <c r="B360" s="2">
        <v>3.63</v>
      </c>
      <c r="C360" s="2">
        <v>6.59</v>
      </c>
      <c r="D360" s="2">
        <v>4.37</v>
      </c>
      <c r="E360" s="2">
        <v>2.86</v>
      </c>
      <c r="F360" s="2">
        <v>4.41</v>
      </c>
      <c r="G360" s="2">
        <v>4.43</v>
      </c>
      <c r="H360" s="2">
        <f t="shared" si="15"/>
        <v>0.31847135344712407</v>
      </c>
      <c r="I360" s="2">
        <f t="shared" si="16"/>
        <v>0.40269852815251939</v>
      </c>
      <c r="K360" s="2">
        <f t="shared" si="17"/>
        <v>3.8669079781431663</v>
      </c>
    </row>
    <row r="361" spans="1:11" ht="13.9" x14ac:dyDescent="0.3">
      <c r="A361" s="2" t="s">
        <v>378</v>
      </c>
      <c r="B361" s="2">
        <v>127.56</v>
      </c>
      <c r="C361" s="2">
        <v>216.39</v>
      </c>
      <c r="D361" s="2">
        <v>144.74</v>
      </c>
      <c r="E361" s="2">
        <v>169.2</v>
      </c>
      <c r="F361" s="2">
        <v>196.15</v>
      </c>
      <c r="G361" s="2">
        <v>213.93</v>
      </c>
      <c r="H361" s="2">
        <f t="shared" si="15"/>
        <v>-0.24534127272629019</v>
      </c>
      <c r="I361" s="2">
        <f t="shared" si="16"/>
        <v>0.37324277057280314</v>
      </c>
      <c r="K361" s="2">
        <f t="shared" si="17"/>
        <v>8.9327757729801096</v>
      </c>
    </row>
    <row r="362" spans="1:11" ht="13.9" x14ac:dyDescent="0.3">
      <c r="A362" s="2" t="s">
        <v>379</v>
      </c>
      <c r="B362" s="2">
        <v>563.97</v>
      </c>
      <c r="C362" s="2">
        <v>528.66</v>
      </c>
      <c r="D362" s="2">
        <v>417.29</v>
      </c>
      <c r="E362" s="2">
        <v>634.74</v>
      </c>
      <c r="F362" s="2">
        <v>687.92</v>
      </c>
      <c r="G362" s="2">
        <v>719.89</v>
      </c>
      <c r="H362" s="2">
        <f t="shared" si="15"/>
        <v>-0.43589928147957158</v>
      </c>
      <c r="I362" s="2">
        <f t="shared" si="16"/>
        <v>2.4852136954845418E-2</v>
      </c>
      <c r="K362" s="2">
        <f t="shared" si="17"/>
        <v>10.560256398013273</v>
      </c>
    </row>
    <row r="363" spans="1:11" ht="13.9" x14ac:dyDescent="0.3">
      <c r="A363" s="2" t="s">
        <v>380</v>
      </c>
      <c r="B363" s="2">
        <v>336.87</v>
      </c>
      <c r="C363" s="2">
        <v>789.95</v>
      </c>
      <c r="D363" s="2">
        <v>227.95</v>
      </c>
      <c r="E363" s="2">
        <v>62.68</v>
      </c>
      <c r="F363" s="2">
        <v>139.59</v>
      </c>
      <c r="G363" s="2">
        <v>73.14</v>
      </c>
      <c r="H363" s="2">
        <f t="shared" si="15"/>
        <v>2.2983950962127544</v>
      </c>
      <c r="I363" s="2">
        <f t="shared" si="16"/>
        <v>0.10714941627010582</v>
      </c>
      <c r="K363" s="2">
        <f t="shared" si="17"/>
        <v>10.403832229950146</v>
      </c>
    </row>
    <row r="364" spans="1:11" ht="13.9" x14ac:dyDescent="0.3">
      <c r="A364" s="2" t="s">
        <v>381</v>
      </c>
      <c r="B364" s="2">
        <v>177.33</v>
      </c>
      <c r="C364" s="2">
        <v>193.22</v>
      </c>
      <c r="D364" s="2">
        <v>216.48</v>
      </c>
      <c r="E364" s="2">
        <v>97.93</v>
      </c>
      <c r="F364" s="2">
        <v>111.65</v>
      </c>
      <c r="G364" s="2">
        <v>114.24</v>
      </c>
      <c r="H364" s="2">
        <f t="shared" si="15"/>
        <v>0.85824214059180015</v>
      </c>
      <c r="I364" s="2">
        <f t="shared" si="16"/>
        <v>2.133598156241175E-3</v>
      </c>
      <c r="K364" s="2">
        <f t="shared" si="17"/>
        <v>9.1972904235108714</v>
      </c>
    </row>
    <row r="365" spans="1:11" ht="13.9" x14ac:dyDescent="0.3">
      <c r="A365" s="2" t="s">
        <v>382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 t="e">
        <f t="shared" si="15"/>
        <v>#DIV/0!</v>
      </c>
      <c r="I365" s="2" t="e">
        <f t="shared" si="16"/>
        <v>#DIV/0!</v>
      </c>
      <c r="K365" s="2" t="e">
        <f t="shared" si="17"/>
        <v>#NUM!</v>
      </c>
    </row>
    <row r="366" spans="1:11" ht="13.9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0.1</v>
      </c>
      <c r="F366" s="2">
        <v>0.8</v>
      </c>
      <c r="G366" s="2">
        <v>1.48</v>
      </c>
      <c r="H366" s="2" t="e">
        <f t="shared" si="15"/>
        <v>#NUM!</v>
      </c>
      <c r="I366" s="2">
        <f t="shared" si="16"/>
        <v>0.11726685761111091</v>
      </c>
      <c r="K366" s="2" t="e">
        <f t="shared" si="17"/>
        <v>#NUM!</v>
      </c>
    </row>
    <row r="367" spans="1:11" ht="13.9" x14ac:dyDescent="0.3">
      <c r="A367" s="2" t="s">
        <v>384</v>
      </c>
      <c r="B367" s="2">
        <v>0</v>
      </c>
      <c r="C367" s="2">
        <v>6.34</v>
      </c>
      <c r="D367" s="2">
        <v>0</v>
      </c>
      <c r="E367" s="2">
        <v>3.36</v>
      </c>
      <c r="F367" s="2">
        <v>3.88</v>
      </c>
      <c r="G367" s="2">
        <v>5.16</v>
      </c>
      <c r="H367" s="2">
        <f t="shared" si="15"/>
        <v>-0.96778537513483043</v>
      </c>
      <c r="I367" s="2">
        <f t="shared" si="16"/>
        <v>0.40656980401328652</v>
      </c>
      <c r="K367" s="2">
        <f t="shared" si="17"/>
        <v>2.6644828403646827</v>
      </c>
    </row>
    <row r="368" spans="1:11" ht="13.9" x14ac:dyDescent="0.3">
      <c r="A368" s="2" t="s">
        <v>385</v>
      </c>
      <c r="B368" s="2">
        <v>6.59</v>
      </c>
      <c r="C368" s="2">
        <v>0.24</v>
      </c>
      <c r="D368" s="2">
        <v>13.65</v>
      </c>
      <c r="E368" s="2">
        <v>26.55</v>
      </c>
      <c r="F368" s="2">
        <v>29.55</v>
      </c>
      <c r="G368" s="2">
        <v>38.89</v>
      </c>
      <c r="H368" s="2">
        <f t="shared" si="15"/>
        <v>-2.2135599274764584</v>
      </c>
      <c r="I368" s="2">
        <f t="shared" si="16"/>
        <v>9.8251124559513101E-3</v>
      </c>
      <c r="K368" s="2">
        <f t="shared" si="17"/>
        <v>4.3561438102252756</v>
      </c>
    </row>
    <row r="369" spans="1:11" ht="13.9" x14ac:dyDescent="0.3">
      <c r="A369" s="2" t="s">
        <v>386</v>
      </c>
      <c r="B369" s="2">
        <v>2.31</v>
      </c>
      <c r="C369" s="2">
        <v>0.73</v>
      </c>
      <c r="D369" s="2">
        <v>10.74</v>
      </c>
      <c r="E369" s="2">
        <v>3.95</v>
      </c>
      <c r="F369" s="2">
        <v>3.74</v>
      </c>
      <c r="G369" s="2">
        <v>1.79</v>
      </c>
      <c r="H369" s="2">
        <f t="shared" si="15"/>
        <v>0.53961692380603232</v>
      </c>
      <c r="I369" s="2">
        <f t="shared" si="16"/>
        <v>0.67573930661578718</v>
      </c>
      <c r="K369" s="2">
        <f t="shared" si="17"/>
        <v>3.784503982929567</v>
      </c>
    </row>
    <row r="370" spans="1:11" ht="13.9" x14ac:dyDescent="0.3">
      <c r="A370" s="2" t="s">
        <v>387</v>
      </c>
      <c r="B370" s="2">
        <v>0</v>
      </c>
      <c r="C370" s="2">
        <v>0</v>
      </c>
      <c r="D370" s="2">
        <v>0</v>
      </c>
      <c r="E370" s="2">
        <v>1.48</v>
      </c>
      <c r="F370" s="2">
        <v>0.13</v>
      </c>
      <c r="G370" s="2">
        <v>1.58</v>
      </c>
      <c r="H370" s="2" t="e">
        <f t="shared" si="15"/>
        <v>#NUM!</v>
      </c>
      <c r="I370" s="2">
        <f t="shared" si="16"/>
        <v>8.5328671820094723E-2</v>
      </c>
      <c r="K370" s="2" t="e">
        <f t="shared" si="17"/>
        <v>#NUM!</v>
      </c>
    </row>
    <row r="371" spans="1:11" ht="13.9" x14ac:dyDescent="0.3">
      <c r="A371" s="2" t="s">
        <v>388</v>
      </c>
      <c r="B371" s="2">
        <v>0.33</v>
      </c>
      <c r="C371" s="2">
        <v>12.44</v>
      </c>
      <c r="D371" s="2">
        <v>3.1</v>
      </c>
      <c r="E371" s="2">
        <v>20.73</v>
      </c>
      <c r="F371" s="2">
        <v>12.57</v>
      </c>
      <c r="G371" s="2">
        <v>12.22</v>
      </c>
      <c r="H371" s="2">
        <f t="shared" si="15"/>
        <v>-1.5201984294713999</v>
      </c>
      <c r="I371" s="2">
        <f t="shared" si="16"/>
        <v>9.8081676062576409E-2</v>
      </c>
      <c r="K371" s="2">
        <f t="shared" si="17"/>
        <v>3.9882302230604569</v>
      </c>
    </row>
    <row r="372" spans="1:11" ht="13.9" x14ac:dyDescent="0.3">
      <c r="A372" s="2" t="s">
        <v>389</v>
      </c>
      <c r="B372" s="2">
        <v>57.35</v>
      </c>
      <c r="C372" s="2">
        <v>157.11000000000001</v>
      </c>
      <c r="D372" s="2">
        <v>147.29</v>
      </c>
      <c r="E372" s="2">
        <v>223.39</v>
      </c>
      <c r="F372" s="2">
        <v>384.41</v>
      </c>
      <c r="G372" s="2">
        <v>170.83</v>
      </c>
      <c r="H372" s="2">
        <f t="shared" si="15"/>
        <v>-1.105944914901517</v>
      </c>
      <c r="I372" s="2">
        <f t="shared" si="16"/>
        <v>0.1245148376999551</v>
      </c>
      <c r="K372" s="2">
        <f t="shared" si="17"/>
        <v>8.4988492065317249</v>
      </c>
    </row>
    <row r="373" spans="1:11" ht="13.9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0.21</v>
      </c>
      <c r="H373" s="2" t="e">
        <f t="shared" si="15"/>
        <v>#NUM!</v>
      </c>
      <c r="I373" s="2">
        <f t="shared" si="16"/>
        <v>0.37390096630005903</v>
      </c>
      <c r="K373" s="2" t="e">
        <f t="shared" si="17"/>
        <v>#NUM!</v>
      </c>
    </row>
    <row r="374" spans="1:11" ht="13.9" x14ac:dyDescent="0.3">
      <c r="A374" s="2" t="s">
        <v>391</v>
      </c>
      <c r="B374" s="2">
        <v>2.31</v>
      </c>
      <c r="C374" s="2">
        <v>7.56</v>
      </c>
      <c r="D374" s="2">
        <v>1.46</v>
      </c>
      <c r="E374" s="2">
        <v>10.46</v>
      </c>
      <c r="F374" s="2">
        <v>14.84</v>
      </c>
      <c r="G374" s="2">
        <v>10.43</v>
      </c>
      <c r="H374" s="2">
        <f t="shared" si="15"/>
        <v>-1.6569880527647549</v>
      </c>
      <c r="I374" s="2">
        <f t="shared" si="16"/>
        <v>2.7744795767106725E-2</v>
      </c>
      <c r="K374" s="2">
        <f t="shared" si="17"/>
        <v>3.5020759560457906</v>
      </c>
    </row>
    <row r="375" spans="1:11" ht="13.9" x14ac:dyDescent="0.3">
      <c r="A375" s="2" t="s">
        <v>392</v>
      </c>
      <c r="B375" s="2">
        <v>63.62</v>
      </c>
      <c r="C375" s="2">
        <v>83.43</v>
      </c>
      <c r="D375" s="2">
        <v>45.7</v>
      </c>
      <c r="E375" s="2">
        <v>81.34</v>
      </c>
      <c r="F375" s="2">
        <v>118.06</v>
      </c>
      <c r="G375" s="2">
        <v>73.56</v>
      </c>
      <c r="H375" s="2">
        <f t="shared" si="15"/>
        <v>-0.50195869162853146</v>
      </c>
      <c r="I375" s="2">
        <f t="shared" si="16"/>
        <v>0.20173111722693252</v>
      </c>
      <c r="K375" s="2">
        <f t="shared" si="17"/>
        <v>7.590587049915035</v>
      </c>
    </row>
    <row r="376" spans="1:11" ht="13.9" x14ac:dyDescent="0.3">
      <c r="A376" s="2" t="s">
        <v>393</v>
      </c>
      <c r="B376" s="2">
        <v>9.89</v>
      </c>
      <c r="C376" s="2">
        <v>46.84</v>
      </c>
      <c r="D376" s="2">
        <v>0</v>
      </c>
      <c r="E376" s="2">
        <v>22.01</v>
      </c>
      <c r="F376" s="2">
        <v>25.54</v>
      </c>
      <c r="G376" s="2">
        <v>26.98</v>
      </c>
      <c r="H376" s="2">
        <f t="shared" si="15"/>
        <v>-0.39370939565053259</v>
      </c>
      <c r="I376" s="2">
        <f t="shared" si="16"/>
        <v>0.70007872701494311</v>
      </c>
      <c r="K376" s="2">
        <f t="shared" si="17"/>
        <v>5.8260399588961933</v>
      </c>
    </row>
    <row r="377" spans="1:11" ht="13.9" x14ac:dyDescent="0.3">
      <c r="A377" s="2" t="s">
        <v>394</v>
      </c>
      <c r="B377" s="2">
        <v>0</v>
      </c>
      <c r="C377" s="2">
        <v>0</v>
      </c>
      <c r="D377" s="2">
        <v>0</v>
      </c>
      <c r="E377" s="2">
        <v>2.67</v>
      </c>
      <c r="F377" s="2">
        <v>2.54</v>
      </c>
      <c r="G377" s="2">
        <v>1.69</v>
      </c>
      <c r="H377" s="2" t="e">
        <f t="shared" si="15"/>
        <v>#NUM!</v>
      </c>
      <c r="I377" s="2">
        <f t="shared" si="16"/>
        <v>1.7041024560816331E-3</v>
      </c>
      <c r="K377" s="2" t="e">
        <f t="shared" si="17"/>
        <v>#NUM!</v>
      </c>
    </row>
    <row r="378" spans="1:11" ht="13.9" x14ac:dyDescent="0.3">
      <c r="A378" s="2" t="s">
        <v>395</v>
      </c>
      <c r="B378" s="2">
        <v>0</v>
      </c>
      <c r="C378" s="2">
        <v>0</v>
      </c>
      <c r="D378" s="2">
        <v>0</v>
      </c>
      <c r="E378" s="2">
        <v>0.1</v>
      </c>
      <c r="F378" s="2">
        <v>0.13</v>
      </c>
      <c r="G378" s="2">
        <v>0</v>
      </c>
      <c r="H378" s="2" t="e">
        <f t="shared" si="15"/>
        <v>#NUM!</v>
      </c>
      <c r="I378" s="2">
        <f t="shared" si="16"/>
        <v>0.12283946337339596</v>
      </c>
      <c r="K378" s="2" t="e">
        <f t="shared" si="17"/>
        <v>#NUM!</v>
      </c>
    </row>
    <row r="379" spans="1:11" ht="13.9" x14ac:dyDescent="0.3">
      <c r="A379" s="2" t="s">
        <v>396</v>
      </c>
      <c r="B379" s="2">
        <v>0</v>
      </c>
      <c r="C379" s="2">
        <v>0</v>
      </c>
      <c r="D379" s="2">
        <v>0</v>
      </c>
      <c r="E379" s="2">
        <v>0.89</v>
      </c>
      <c r="F379" s="2">
        <v>1.34</v>
      </c>
      <c r="G379" s="2">
        <v>1.05</v>
      </c>
      <c r="H379" s="2" t="e">
        <f t="shared" si="15"/>
        <v>#NUM!</v>
      </c>
      <c r="I379" s="2">
        <f t="shared" si="16"/>
        <v>1.1496823682171778E-3</v>
      </c>
      <c r="K379" s="2" t="e">
        <f t="shared" si="17"/>
        <v>#NUM!</v>
      </c>
    </row>
    <row r="380" spans="1:11" ht="13.9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15"/>
        <v>#DIV/0!</v>
      </c>
      <c r="I380" s="2" t="e">
        <f t="shared" si="16"/>
        <v>#DIV/0!</v>
      </c>
      <c r="K380" s="2" t="e">
        <f t="shared" si="17"/>
        <v>#NUM!</v>
      </c>
    </row>
    <row r="381" spans="1:11" ht="13.9" x14ac:dyDescent="0.3">
      <c r="A381" s="2" t="s">
        <v>398</v>
      </c>
      <c r="B381" s="2">
        <v>0.33</v>
      </c>
      <c r="C381" s="2">
        <v>0</v>
      </c>
      <c r="D381" s="2">
        <v>8.19</v>
      </c>
      <c r="E381" s="2">
        <v>0</v>
      </c>
      <c r="F381" s="2">
        <v>0.53</v>
      </c>
      <c r="G381" s="2">
        <v>2</v>
      </c>
      <c r="H381" s="2">
        <f t="shared" si="15"/>
        <v>1.7517160455315282</v>
      </c>
      <c r="I381" s="2">
        <f t="shared" si="16"/>
        <v>0.50694988264520413</v>
      </c>
      <c r="K381" s="2">
        <f t="shared" si="17"/>
        <v>3.0908534304511139</v>
      </c>
    </row>
    <row r="382" spans="1:11" ht="13.9" x14ac:dyDescent="0.3">
      <c r="A382" s="2" t="s">
        <v>399</v>
      </c>
      <c r="B382" s="2">
        <v>0</v>
      </c>
      <c r="C382" s="2">
        <v>0</v>
      </c>
      <c r="D382" s="2">
        <v>4.55</v>
      </c>
      <c r="E382" s="2">
        <v>0.3</v>
      </c>
      <c r="F382" s="2">
        <v>0</v>
      </c>
      <c r="G382" s="2">
        <v>0</v>
      </c>
      <c r="H382" s="2">
        <f t="shared" si="15"/>
        <v>3.9228321394775398</v>
      </c>
      <c r="I382" s="2">
        <f t="shared" si="16"/>
        <v>0.40407663533440658</v>
      </c>
      <c r="K382" s="2">
        <f t="shared" si="17"/>
        <v>2.1858665453113342</v>
      </c>
    </row>
    <row r="383" spans="1:11" ht="13.9" x14ac:dyDescent="0.3">
      <c r="A383" s="2" t="s">
        <v>400</v>
      </c>
      <c r="B383" s="2">
        <v>0.33</v>
      </c>
      <c r="C383" s="2">
        <v>0</v>
      </c>
      <c r="D383" s="2">
        <v>8.19</v>
      </c>
      <c r="E383" s="2">
        <v>0</v>
      </c>
      <c r="F383" s="2">
        <v>0.53</v>
      </c>
      <c r="G383" s="2">
        <v>2</v>
      </c>
      <c r="H383" s="2">
        <f t="shared" si="15"/>
        <v>1.7517160455315282</v>
      </c>
      <c r="I383" s="2">
        <f t="shared" si="16"/>
        <v>0.50694988264520413</v>
      </c>
      <c r="K383" s="2">
        <f t="shared" si="17"/>
        <v>3.0908534304511139</v>
      </c>
    </row>
    <row r="384" spans="1:11" ht="13.9" x14ac:dyDescent="0.3">
      <c r="A384" s="2" t="s">
        <v>401</v>
      </c>
      <c r="B384" s="2">
        <v>2.64</v>
      </c>
      <c r="C384" s="2">
        <v>0</v>
      </c>
      <c r="D384" s="2">
        <v>0</v>
      </c>
      <c r="E384" s="2">
        <v>0.59</v>
      </c>
      <c r="F384" s="2">
        <v>1.47</v>
      </c>
      <c r="G384" s="2">
        <v>0.42</v>
      </c>
      <c r="H384" s="2">
        <f t="shared" si="15"/>
        <v>9.0197808971578447E-2</v>
      </c>
      <c r="I384" s="2">
        <f t="shared" si="16"/>
        <v>0.95739526094456839</v>
      </c>
      <c r="K384" s="2">
        <f t="shared" si="17"/>
        <v>1.4005379295837288</v>
      </c>
    </row>
    <row r="385" spans="1:11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</v>
      </c>
      <c r="F385" s="2">
        <v>0.13</v>
      </c>
      <c r="G385" s="2">
        <v>0</v>
      </c>
      <c r="H385" s="2" t="e">
        <f t="shared" si="15"/>
        <v>#NUM!</v>
      </c>
      <c r="I385" s="2">
        <f t="shared" si="16"/>
        <v>0.37390096630005903</v>
      </c>
      <c r="K385" s="2" t="e">
        <f t="shared" si="17"/>
        <v>#NUM!</v>
      </c>
    </row>
    <row r="386" spans="1:11" ht="13.9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1.79</v>
      </c>
      <c r="H386" s="2" t="e">
        <f t="shared" ref="H386:H449" si="18">LOG(SUM(B386:D386)/SUM(E386:G386),2)</f>
        <v>#NUM!</v>
      </c>
      <c r="I386" s="2">
        <f t="shared" ref="I386:I449" si="19">_xlfn.T.TEST(B386:D386,E386:G386,2,2)</f>
        <v>0.37390096630005903</v>
      </c>
      <c r="K386" s="2" t="e">
        <f t="shared" si="17"/>
        <v>#NUM!</v>
      </c>
    </row>
    <row r="387" spans="1:11" ht="13.9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0.2</v>
      </c>
      <c r="F387" s="2">
        <v>0</v>
      </c>
      <c r="G387" s="2">
        <v>0.53</v>
      </c>
      <c r="H387" s="2" t="e">
        <f t="shared" si="18"/>
        <v>#NUM!</v>
      </c>
      <c r="I387" s="2">
        <f t="shared" si="19"/>
        <v>0.19043834507523322</v>
      </c>
      <c r="K387" s="2" t="e">
        <f t="shared" ref="K387:K450" si="20">LOG(SUM(B387:D387),2)</f>
        <v>#NUM!</v>
      </c>
    </row>
    <row r="388" spans="1:11" ht="13.9" x14ac:dyDescent="0.3">
      <c r="A388" s="2" t="s">
        <v>405</v>
      </c>
      <c r="B388" s="2">
        <v>4.6100000000000003</v>
      </c>
      <c r="C388" s="2">
        <v>0</v>
      </c>
      <c r="D388" s="2">
        <v>3.28</v>
      </c>
      <c r="E388" s="2">
        <v>0.3</v>
      </c>
      <c r="F388" s="2">
        <v>1.07</v>
      </c>
      <c r="G388" s="2">
        <v>0.32</v>
      </c>
      <c r="H388" s="2">
        <f t="shared" si="18"/>
        <v>2.2230020537312742</v>
      </c>
      <c r="I388" s="2">
        <f t="shared" si="19"/>
        <v>0.21210609520514659</v>
      </c>
      <c r="K388" s="2">
        <f t="shared" si="20"/>
        <v>2.9800253002387338</v>
      </c>
    </row>
    <row r="389" spans="1:11" ht="13.9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18"/>
        <v>#DIV/0!</v>
      </c>
      <c r="I389" s="2" t="e">
        <f t="shared" si="19"/>
        <v>#DIV/0!</v>
      </c>
      <c r="K389" s="2" t="e">
        <f t="shared" si="20"/>
        <v>#NUM!</v>
      </c>
    </row>
    <row r="390" spans="1:11" ht="13.9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2.17</v>
      </c>
      <c r="F390" s="2">
        <v>1.74</v>
      </c>
      <c r="G390" s="2">
        <v>2</v>
      </c>
      <c r="H390" s="2" t="e">
        <f t="shared" si="18"/>
        <v>#NUM!</v>
      </c>
      <c r="I390" s="2">
        <f t="shared" si="19"/>
        <v>9.4801581259385231E-5</v>
      </c>
      <c r="K390" s="2" t="e">
        <f t="shared" si="20"/>
        <v>#NUM!</v>
      </c>
    </row>
    <row r="391" spans="1:11" ht="13.9" x14ac:dyDescent="0.3">
      <c r="A391" s="2" t="s">
        <v>408</v>
      </c>
      <c r="B391" s="2">
        <v>0</v>
      </c>
      <c r="C391" s="2">
        <v>0</v>
      </c>
      <c r="D391" s="2">
        <v>4.01</v>
      </c>
      <c r="E391" s="2">
        <v>0</v>
      </c>
      <c r="F391" s="2">
        <v>0.53</v>
      </c>
      <c r="G391" s="2">
        <v>0.74</v>
      </c>
      <c r="H391" s="2">
        <f t="shared" si="18"/>
        <v>1.6587737396827544</v>
      </c>
      <c r="I391" s="2">
        <f t="shared" si="19"/>
        <v>0.53713670503885491</v>
      </c>
      <c r="K391" s="2">
        <f t="shared" si="20"/>
        <v>2.0036022366801958</v>
      </c>
    </row>
    <row r="392" spans="1:11" ht="13.9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3.16</v>
      </c>
      <c r="F392" s="2">
        <v>1.34</v>
      </c>
      <c r="G392" s="2">
        <v>1.05</v>
      </c>
      <c r="H392" s="2" t="e">
        <f t="shared" si="18"/>
        <v>#NUM!</v>
      </c>
      <c r="I392" s="2">
        <f t="shared" si="19"/>
        <v>4.8730175311204223E-2</v>
      </c>
      <c r="K392" s="2" t="e">
        <f t="shared" si="20"/>
        <v>#NUM!</v>
      </c>
    </row>
    <row r="393" spans="1:11" ht="13.9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0.27</v>
      </c>
      <c r="G393" s="2">
        <v>0</v>
      </c>
      <c r="H393" s="2" t="e">
        <f t="shared" si="18"/>
        <v>#NUM!</v>
      </c>
      <c r="I393" s="2">
        <f t="shared" si="19"/>
        <v>0.37390096630005903</v>
      </c>
      <c r="K393" s="2" t="e">
        <f t="shared" si="20"/>
        <v>#NUM!</v>
      </c>
    </row>
    <row r="394" spans="1:11" ht="13.9" x14ac:dyDescent="0.3">
      <c r="A394" s="2" t="s">
        <v>411</v>
      </c>
      <c r="B394" s="2">
        <v>0.33</v>
      </c>
      <c r="C394" s="2">
        <v>5.61</v>
      </c>
      <c r="D394" s="2">
        <v>0</v>
      </c>
      <c r="E394" s="2">
        <v>1.38</v>
      </c>
      <c r="F394" s="2">
        <v>0.8</v>
      </c>
      <c r="G394" s="2">
        <v>1.1599999999999999</v>
      </c>
      <c r="H394" s="2">
        <f t="shared" si="18"/>
        <v>0.83061482832671374</v>
      </c>
      <c r="I394" s="2">
        <f t="shared" si="19"/>
        <v>0.65969337823989727</v>
      </c>
      <c r="K394" s="2">
        <f t="shared" si="20"/>
        <v>2.5704629310260412</v>
      </c>
    </row>
    <row r="395" spans="1:11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 t="e">
        <f t="shared" si="18"/>
        <v>#DIV/0!</v>
      </c>
      <c r="I395" s="2" t="e">
        <f t="shared" si="19"/>
        <v>#DIV/0!</v>
      </c>
      <c r="K395" s="2" t="e">
        <f t="shared" si="20"/>
        <v>#NUM!</v>
      </c>
    </row>
    <row r="396" spans="1:11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1.34</v>
      </c>
      <c r="G396" s="2">
        <v>0.21</v>
      </c>
      <c r="H396" s="2" t="e">
        <f t="shared" si="18"/>
        <v>#NUM!</v>
      </c>
      <c r="I396" s="2">
        <f t="shared" si="19"/>
        <v>0.28219207781394706</v>
      </c>
      <c r="K396" s="2" t="e">
        <f t="shared" si="20"/>
        <v>#NUM!</v>
      </c>
    </row>
    <row r="397" spans="1:11" ht="13.9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18"/>
        <v>#DIV/0!</v>
      </c>
      <c r="I397" s="2" t="e">
        <f t="shared" si="19"/>
        <v>#DIV/0!</v>
      </c>
      <c r="K397" s="2" t="e">
        <f t="shared" si="20"/>
        <v>#NUM!</v>
      </c>
    </row>
    <row r="398" spans="1:11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0.4</v>
      </c>
      <c r="G398" s="2">
        <v>0</v>
      </c>
      <c r="H398" s="2" t="e">
        <f t="shared" si="18"/>
        <v>#NUM!</v>
      </c>
      <c r="I398" s="2">
        <f t="shared" si="19"/>
        <v>0.37390096630005903</v>
      </c>
      <c r="K398" s="2" t="e">
        <f t="shared" si="20"/>
        <v>#NUM!</v>
      </c>
    </row>
    <row r="399" spans="1:11" ht="13.9" x14ac:dyDescent="0.3">
      <c r="A399" s="2" t="s">
        <v>416</v>
      </c>
      <c r="B399" s="2">
        <v>22.74</v>
      </c>
      <c r="C399" s="2">
        <v>0</v>
      </c>
      <c r="D399" s="2">
        <v>8.92</v>
      </c>
      <c r="E399" s="2">
        <v>6.52</v>
      </c>
      <c r="F399" s="2">
        <v>1.74</v>
      </c>
      <c r="G399" s="2">
        <v>6.32</v>
      </c>
      <c r="H399" s="2">
        <f t="shared" si="18"/>
        <v>1.118670535810244</v>
      </c>
      <c r="I399" s="2">
        <f t="shared" si="19"/>
        <v>0.44935830228017881</v>
      </c>
      <c r="K399" s="2">
        <f t="shared" si="20"/>
        <v>4.9845893503624561</v>
      </c>
    </row>
    <row r="400" spans="1:11" ht="13.9" x14ac:dyDescent="0.3">
      <c r="A400" s="2" t="s">
        <v>417</v>
      </c>
      <c r="B400" s="2">
        <v>68.89</v>
      </c>
      <c r="C400" s="2">
        <v>57.09</v>
      </c>
      <c r="D400" s="2">
        <v>59.35</v>
      </c>
      <c r="E400" s="2">
        <v>24.78</v>
      </c>
      <c r="F400" s="2">
        <v>14.84</v>
      </c>
      <c r="G400" s="2">
        <v>25.4</v>
      </c>
      <c r="H400" s="2">
        <f t="shared" si="18"/>
        <v>1.5111409731008403</v>
      </c>
      <c r="I400" s="2">
        <f t="shared" si="19"/>
        <v>1.289219892799E-3</v>
      </c>
      <c r="K400" s="2">
        <f t="shared" si="20"/>
        <v>7.5339526240164725</v>
      </c>
    </row>
    <row r="401" spans="1:11" ht="13.9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1.38</v>
      </c>
      <c r="F401" s="2">
        <v>0.53</v>
      </c>
      <c r="G401" s="2">
        <v>0.53</v>
      </c>
      <c r="H401" s="2" t="e">
        <f t="shared" si="18"/>
        <v>#NUM!</v>
      </c>
      <c r="I401" s="2">
        <f t="shared" si="19"/>
        <v>4.5441667829238162E-2</v>
      </c>
      <c r="K401" s="2" t="e">
        <f t="shared" si="20"/>
        <v>#NUM!</v>
      </c>
    </row>
    <row r="402" spans="1:11" ht="13.9" x14ac:dyDescent="0.3">
      <c r="A402" s="2" t="s">
        <v>419</v>
      </c>
      <c r="B402" s="2">
        <v>0.33</v>
      </c>
      <c r="C402" s="2">
        <v>0</v>
      </c>
      <c r="D402" s="2">
        <v>0</v>
      </c>
      <c r="E402" s="2">
        <v>0.1</v>
      </c>
      <c r="F402" s="2">
        <v>0.67</v>
      </c>
      <c r="G402" s="2">
        <v>0.53</v>
      </c>
      <c r="H402" s="2">
        <f t="shared" si="18"/>
        <v>-1.9779736936700012</v>
      </c>
      <c r="I402" s="2">
        <f t="shared" si="19"/>
        <v>0.18770937019740322</v>
      </c>
      <c r="K402" s="2">
        <f t="shared" si="20"/>
        <v>-1.5994620704162712</v>
      </c>
    </row>
    <row r="403" spans="1:11" ht="13.9" x14ac:dyDescent="0.3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0.67</v>
      </c>
      <c r="G403" s="2">
        <v>0.53</v>
      </c>
      <c r="H403" s="2" t="e">
        <f t="shared" si="18"/>
        <v>#NUM!</v>
      </c>
      <c r="I403" s="2">
        <f t="shared" si="19"/>
        <v>0.12150223124498691</v>
      </c>
      <c r="K403" s="2" t="e">
        <f t="shared" si="20"/>
        <v>#NUM!</v>
      </c>
    </row>
    <row r="404" spans="1:11" ht="13.9" x14ac:dyDescent="0.3">
      <c r="A404" s="2" t="s">
        <v>421</v>
      </c>
      <c r="B404" s="2">
        <v>0</v>
      </c>
      <c r="C404" s="2">
        <v>0</v>
      </c>
      <c r="D404" s="2">
        <v>0</v>
      </c>
      <c r="E404" s="2">
        <v>0.3</v>
      </c>
      <c r="F404" s="2">
        <v>0.27</v>
      </c>
      <c r="G404" s="2">
        <v>0.42</v>
      </c>
      <c r="H404" s="2" t="e">
        <f t="shared" si="18"/>
        <v>#NUM!</v>
      </c>
      <c r="I404" s="2">
        <f t="shared" si="19"/>
        <v>1.970910938347841E-3</v>
      </c>
      <c r="K404" s="2" t="e">
        <f t="shared" si="20"/>
        <v>#NUM!</v>
      </c>
    </row>
    <row r="405" spans="1:11" ht="13.9" x14ac:dyDescent="0.3">
      <c r="A405" s="2" t="s">
        <v>422</v>
      </c>
      <c r="B405" s="2">
        <v>15.16</v>
      </c>
      <c r="C405" s="2">
        <v>15.61</v>
      </c>
      <c r="D405" s="2">
        <v>14.38</v>
      </c>
      <c r="E405" s="2">
        <v>8.2899999999999991</v>
      </c>
      <c r="F405" s="2">
        <v>21.66</v>
      </c>
      <c r="G405" s="2">
        <v>10.96</v>
      </c>
      <c r="H405" s="2">
        <f t="shared" si="18"/>
        <v>0.14227245048017442</v>
      </c>
      <c r="I405" s="2">
        <f t="shared" si="19"/>
        <v>0.74771773551989917</v>
      </c>
      <c r="K405" s="2">
        <f t="shared" si="20"/>
        <v>5.496654082593496</v>
      </c>
    </row>
    <row r="406" spans="1:11" ht="13.9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1.0900000000000001</v>
      </c>
      <c r="F406" s="2">
        <v>0.8</v>
      </c>
      <c r="G406" s="2">
        <v>0</v>
      </c>
      <c r="H406" s="2" t="e">
        <f t="shared" si="18"/>
        <v>#NUM!</v>
      </c>
      <c r="I406" s="2">
        <f t="shared" si="19"/>
        <v>0.12539602686904727</v>
      </c>
      <c r="K406" s="2" t="e">
        <f t="shared" si="20"/>
        <v>#NUM!</v>
      </c>
    </row>
    <row r="407" spans="1:11" ht="13.9" x14ac:dyDescent="0.3">
      <c r="A407" s="2" t="s">
        <v>424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18"/>
        <v>#DIV/0!</v>
      </c>
      <c r="I407" s="2" t="e">
        <f t="shared" si="19"/>
        <v>#DIV/0!</v>
      </c>
      <c r="K407" s="2" t="e">
        <f t="shared" si="20"/>
        <v>#NUM!</v>
      </c>
    </row>
    <row r="408" spans="1:11" ht="13.9" x14ac:dyDescent="0.3">
      <c r="A408" s="2" t="s">
        <v>425</v>
      </c>
      <c r="B408" s="2">
        <v>0</v>
      </c>
      <c r="C408" s="2">
        <v>0</v>
      </c>
      <c r="D408" s="2">
        <v>0</v>
      </c>
      <c r="E408" s="2">
        <v>0.69</v>
      </c>
      <c r="F408" s="2">
        <v>0</v>
      </c>
      <c r="G408" s="2">
        <v>0.11</v>
      </c>
      <c r="H408" s="2" t="e">
        <f t="shared" si="18"/>
        <v>#NUM!</v>
      </c>
      <c r="I408" s="2">
        <f t="shared" si="19"/>
        <v>0.28079102975461145</v>
      </c>
      <c r="K408" s="2" t="e">
        <f t="shared" si="20"/>
        <v>#NUM!</v>
      </c>
    </row>
    <row r="409" spans="1:11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0.11</v>
      </c>
      <c r="H409" s="2" t="e">
        <f t="shared" si="18"/>
        <v>#NUM!</v>
      </c>
      <c r="I409" s="2">
        <f t="shared" si="19"/>
        <v>0.37390096630005903</v>
      </c>
      <c r="K409" s="2" t="e">
        <f t="shared" si="20"/>
        <v>#NUM!</v>
      </c>
    </row>
    <row r="410" spans="1:11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0.11</v>
      </c>
      <c r="H410" s="2" t="e">
        <f t="shared" si="18"/>
        <v>#NUM!</v>
      </c>
      <c r="I410" s="2">
        <f t="shared" si="19"/>
        <v>0.37390096630005903</v>
      </c>
      <c r="K410" s="2" t="e">
        <f t="shared" si="20"/>
        <v>#NUM!</v>
      </c>
    </row>
    <row r="411" spans="1:11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0.1</v>
      </c>
      <c r="F411" s="2">
        <v>0</v>
      </c>
      <c r="G411" s="2">
        <v>0</v>
      </c>
      <c r="H411" s="2" t="e">
        <f t="shared" si="18"/>
        <v>#NUM!</v>
      </c>
      <c r="I411" s="2">
        <f t="shared" si="19"/>
        <v>0.37390096630005903</v>
      </c>
      <c r="K411" s="2" t="e">
        <f t="shared" si="20"/>
        <v>#NUM!</v>
      </c>
    </row>
    <row r="412" spans="1:11" ht="13.9" x14ac:dyDescent="0.3">
      <c r="A412" s="2" t="s">
        <v>429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18"/>
        <v>#DIV/0!</v>
      </c>
      <c r="I412" s="2" t="e">
        <f t="shared" si="19"/>
        <v>#DIV/0!</v>
      </c>
      <c r="K412" s="2" t="e">
        <f t="shared" si="20"/>
        <v>#NUM!</v>
      </c>
    </row>
    <row r="413" spans="1:11" ht="13.9" x14ac:dyDescent="0.3">
      <c r="A413" s="2" t="s">
        <v>430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 t="e">
        <f t="shared" si="18"/>
        <v>#DIV/0!</v>
      </c>
      <c r="I413" s="2" t="e">
        <f t="shared" si="19"/>
        <v>#DIV/0!</v>
      </c>
      <c r="K413" s="2" t="e">
        <f t="shared" si="20"/>
        <v>#NUM!</v>
      </c>
    </row>
    <row r="414" spans="1:11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0.89</v>
      </c>
      <c r="F414" s="2">
        <v>0</v>
      </c>
      <c r="G414" s="2">
        <v>1.79</v>
      </c>
      <c r="H414" s="2" t="e">
        <f t="shared" si="18"/>
        <v>#NUM!</v>
      </c>
      <c r="I414" s="2">
        <f t="shared" si="19"/>
        <v>0.15890239509585566</v>
      </c>
      <c r="K414" s="2" t="e">
        <f t="shared" si="20"/>
        <v>#NUM!</v>
      </c>
    </row>
    <row r="415" spans="1:11" ht="13.9" x14ac:dyDescent="0.3">
      <c r="A415" s="2" t="s">
        <v>432</v>
      </c>
      <c r="B415" s="2">
        <v>150.63</v>
      </c>
      <c r="C415" s="2">
        <v>149.06</v>
      </c>
      <c r="D415" s="2">
        <v>79.02</v>
      </c>
      <c r="E415" s="2">
        <v>205.33</v>
      </c>
      <c r="F415" s="2">
        <v>231.58</v>
      </c>
      <c r="G415" s="2">
        <v>164.82</v>
      </c>
      <c r="H415" s="2">
        <f t="shared" si="18"/>
        <v>-0.66802276921562032</v>
      </c>
      <c r="I415" s="2">
        <f t="shared" si="19"/>
        <v>7.1850671218252879E-2</v>
      </c>
      <c r="K415" s="2">
        <f t="shared" si="20"/>
        <v>8.5649497064814302</v>
      </c>
    </row>
    <row r="416" spans="1:11" ht="13.9" x14ac:dyDescent="0.3">
      <c r="A416" s="2" t="s">
        <v>433</v>
      </c>
      <c r="B416" s="2">
        <v>25.05</v>
      </c>
      <c r="C416" s="2">
        <v>61.97</v>
      </c>
      <c r="D416" s="2">
        <v>35.14</v>
      </c>
      <c r="E416" s="2">
        <v>45.01</v>
      </c>
      <c r="F416" s="2">
        <v>49.07</v>
      </c>
      <c r="G416" s="2">
        <v>29.19</v>
      </c>
      <c r="H416" s="2">
        <f t="shared" si="18"/>
        <v>-1.304976909196103E-2</v>
      </c>
      <c r="I416" s="2">
        <f t="shared" si="19"/>
        <v>0.97793778934874465</v>
      </c>
      <c r="K416" s="2">
        <f t="shared" si="20"/>
        <v>6.9326281570221271</v>
      </c>
    </row>
    <row r="417" spans="1:11" ht="13.9" x14ac:dyDescent="0.3">
      <c r="A417" s="2" t="s">
        <v>434</v>
      </c>
      <c r="B417" s="2">
        <v>0</v>
      </c>
      <c r="C417" s="2">
        <v>0</v>
      </c>
      <c r="D417" s="2">
        <v>0.73</v>
      </c>
      <c r="E417" s="2">
        <v>0</v>
      </c>
      <c r="F417" s="2">
        <v>0.53</v>
      </c>
      <c r="G417" s="2">
        <v>0</v>
      </c>
      <c r="H417" s="2">
        <f t="shared" si="18"/>
        <v>0.46190410431681794</v>
      </c>
      <c r="I417" s="2">
        <f t="shared" si="19"/>
        <v>0.83540390814826804</v>
      </c>
      <c r="K417" s="2">
        <f t="shared" si="20"/>
        <v>-0.45403163089470749</v>
      </c>
    </row>
    <row r="418" spans="1:11" ht="13.9" x14ac:dyDescent="0.3">
      <c r="A418" s="2" t="s">
        <v>435</v>
      </c>
      <c r="B418" s="2">
        <v>0</v>
      </c>
      <c r="C418" s="2">
        <v>0</v>
      </c>
      <c r="D418" s="2">
        <v>0</v>
      </c>
      <c r="E418" s="2">
        <v>4.4400000000000004</v>
      </c>
      <c r="F418" s="2">
        <v>6.42</v>
      </c>
      <c r="G418" s="2">
        <v>5.8</v>
      </c>
      <c r="H418" s="2" t="e">
        <f t="shared" si="18"/>
        <v>#NUM!</v>
      </c>
      <c r="I418" s="2">
        <f t="shared" si="19"/>
        <v>6.8600316444531752E-4</v>
      </c>
      <c r="K418" s="2" t="e">
        <f t="shared" si="20"/>
        <v>#NUM!</v>
      </c>
    </row>
    <row r="419" spans="1:11" ht="13.9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18"/>
        <v>#DIV/0!</v>
      </c>
      <c r="I419" s="2" t="e">
        <f t="shared" si="19"/>
        <v>#DIV/0!</v>
      </c>
      <c r="K419" s="2" t="e">
        <f t="shared" si="20"/>
        <v>#NUM!</v>
      </c>
    </row>
    <row r="420" spans="1:11" ht="13.9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</v>
      </c>
      <c r="F420" s="2">
        <v>2.14</v>
      </c>
      <c r="G420" s="2">
        <v>0</v>
      </c>
      <c r="H420" s="2" t="e">
        <f t="shared" si="18"/>
        <v>#NUM!</v>
      </c>
      <c r="I420" s="2">
        <f t="shared" si="19"/>
        <v>0.37390096630005903</v>
      </c>
      <c r="K420" s="2" t="e">
        <f t="shared" si="20"/>
        <v>#NUM!</v>
      </c>
    </row>
    <row r="421" spans="1:11" ht="13.9" x14ac:dyDescent="0.3">
      <c r="A421" s="2" t="s">
        <v>438</v>
      </c>
      <c r="B421" s="2">
        <v>12.2</v>
      </c>
      <c r="C421" s="2">
        <v>7.07</v>
      </c>
      <c r="D421" s="2">
        <v>0</v>
      </c>
      <c r="E421" s="2">
        <v>20.73</v>
      </c>
      <c r="F421" s="2">
        <v>16.71</v>
      </c>
      <c r="G421" s="2">
        <v>24.98</v>
      </c>
      <c r="H421" s="2">
        <f t="shared" si="18"/>
        <v>-1.6956517856234892</v>
      </c>
      <c r="I421" s="2">
        <f t="shared" si="19"/>
        <v>2.8025692795669039E-2</v>
      </c>
      <c r="K421" s="2">
        <f t="shared" si="20"/>
        <v>4.2682846665209961</v>
      </c>
    </row>
    <row r="422" spans="1:11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0.11</v>
      </c>
      <c r="H422" s="2" t="e">
        <f t="shared" si="18"/>
        <v>#NUM!</v>
      </c>
      <c r="I422" s="2">
        <f t="shared" si="19"/>
        <v>0.37390096630005903</v>
      </c>
      <c r="K422" s="2" t="e">
        <f t="shared" si="20"/>
        <v>#NUM!</v>
      </c>
    </row>
    <row r="423" spans="1:11" ht="13.9" x14ac:dyDescent="0.3">
      <c r="A423" s="2" t="s">
        <v>440</v>
      </c>
      <c r="B423" s="2">
        <v>4.9400000000000004</v>
      </c>
      <c r="C423" s="2">
        <v>0</v>
      </c>
      <c r="D423" s="2">
        <v>0</v>
      </c>
      <c r="E423" s="2">
        <v>0.79</v>
      </c>
      <c r="F423" s="2">
        <v>0.8</v>
      </c>
      <c r="G423" s="2">
        <v>0</v>
      </c>
      <c r="H423" s="2">
        <f t="shared" si="18"/>
        <v>1.6354842763003226</v>
      </c>
      <c r="I423" s="2">
        <f t="shared" si="19"/>
        <v>0.53982582601365825</v>
      </c>
      <c r="K423" s="2">
        <f t="shared" si="20"/>
        <v>2.304511041809953</v>
      </c>
    </row>
    <row r="424" spans="1:11" ht="13.9" x14ac:dyDescent="0.3">
      <c r="A424" s="2" t="s">
        <v>441</v>
      </c>
      <c r="B424" s="2">
        <v>0</v>
      </c>
      <c r="C424" s="2">
        <v>0</v>
      </c>
      <c r="D424" s="2">
        <v>0</v>
      </c>
      <c r="E424" s="2">
        <v>1.97</v>
      </c>
      <c r="F424" s="2">
        <v>0.67</v>
      </c>
      <c r="G424" s="2">
        <v>0</v>
      </c>
      <c r="H424" s="2" t="e">
        <f t="shared" si="18"/>
        <v>#NUM!</v>
      </c>
      <c r="I424" s="2">
        <f t="shared" si="19"/>
        <v>0.20273689781628718</v>
      </c>
      <c r="K424" s="2" t="e">
        <f t="shared" si="20"/>
        <v>#NUM!</v>
      </c>
    </row>
    <row r="425" spans="1:11" ht="13.9" x14ac:dyDescent="0.3">
      <c r="A425" s="2" t="s">
        <v>442</v>
      </c>
      <c r="B425" s="2">
        <v>0</v>
      </c>
      <c r="C425" s="2">
        <v>0</v>
      </c>
      <c r="D425" s="2">
        <v>6.37</v>
      </c>
      <c r="E425" s="2">
        <v>0</v>
      </c>
      <c r="F425" s="2">
        <v>0</v>
      </c>
      <c r="G425" s="2">
        <v>0.11</v>
      </c>
      <c r="H425" s="2">
        <f t="shared" si="18"/>
        <v>5.8557179436190028</v>
      </c>
      <c r="I425" s="2">
        <f t="shared" si="19"/>
        <v>0.38144288668200205</v>
      </c>
      <c r="K425" s="2">
        <f t="shared" si="20"/>
        <v>2.6712933724815757</v>
      </c>
    </row>
    <row r="426" spans="1:11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0.63</v>
      </c>
      <c r="H426" s="2" t="e">
        <f t="shared" si="18"/>
        <v>#NUM!</v>
      </c>
      <c r="I426" s="2">
        <f t="shared" si="19"/>
        <v>0.37390096630005903</v>
      </c>
      <c r="K426" s="2" t="e">
        <f t="shared" si="20"/>
        <v>#NUM!</v>
      </c>
    </row>
    <row r="427" spans="1:11" ht="13.9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 t="e">
        <f t="shared" si="18"/>
        <v>#DIV/0!</v>
      </c>
      <c r="I427" s="2" t="e">
        <f t="shared" si="19"/>
        <v>#DIV/0!</v>
      </c>
      <c r="K427" s="2" t="e">
        <f t="shared" si="20"/>
        <v>#NUM!</v>
      </c>
    </row>
    <row r="428" spans="1:11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0.13</v>
      </c>
      <c r="G428" s="2">
        <v>0</v>
      </c>
      <c r="H428" s="2" t="e">
        <f t="shared" si="18"/>
        <v>#NUM!</v>
      </c>
      <c r="I428" s="2">
        <f t="shared" si="19"/>
        <v>0.37390096630005903</v>
      </c>
      <c r="K428" s="2" t="e">
        <f t="shared" si="20"/>
        <v>#NUM!</v>
      </c>
    </row>
    <row r="429" spans="1:11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0.53</v>
      </c>
      <c r="H429" s="2" t="e">
        <f t="shared" si="18"/>
        <v>#NUM!</v>
      </c>
      <c r="I429" s="2">
        <f t="shared" si="19"/>
        <v>0.37390096630005903</v>
      </c>
      <c r="K429" s="2" t="e">
        <f t="shared" si="20"/>
        <v>#NUM!</v>
      </c>
    </row>
    <row r="430" spans="1:11" ht="13.9" x14ac:dyDescent="0.3">
      <c r="A430" s="2" t="s">
        <v>447</v>
      </c>
      <c r="B430" s="2">
        <v>0</v>
      </c>
      <c r="C430" s="2">
        <v>0.49</v>
      </c>
      <c r="D430" s="2">
        <v>4.01</v>
      </c>
      <c r="E430" s="2">
        <v>0.49</v>
      </c>
      <c r="F430" s="2">
        <v>0.13</v>
      </c>
      <c r="G430" s="2">
        <v>0.32</v>
      </c>
      <c r="H430" s="2">
        <f t="shared" si="18"/>
        <v>2.2591923395393998</v>
      </c>
      <c r="I430" s="2">
        <f t="shared" si="19"/>
        <v>0.4020658211174386</v>
      </c>
      <c r="K430" s="2">
        <f t="shared" si="20"/>
        <v>2.1699250014423126</v>
      </c>
    </row>
    <row r="431" spans="1:11" ht="13.9" x14ac:dyDescent="0.3">
      <c r="A431" s="2" t="s">
        <v>448</v>
      </c>
      <c r="B431" s="2">
        <v>9.56</v>
      </c>
      <c r="C431" s="2">
        <v>7.07</v>
      </c>
      <c r="D431" s="2">
        <v>2.37</v>
      </c>
      <c r="E431" s="2">
        <v>12.04</v>
      </c>
      <c r="F431" s="2">
        <v>21.79</v>
      </c>
      <c r="G431" s="2">
        <v>12.44</v>
      </c>
      <c r="H431" s="2">
        <f t="shared" si="18"/>
        <v>-1.2840776803469853</v>
      </c>
      <c r="I431" s="2">
        <f t="shared" si="19"/>
        <v>7.6011908090835273E-2</v>
      </c>
      <c r="K431" s="2">
        <f t="shared" si="20"/>
        <v>4.2479275134435861</v>
      </c>
    </row>
    <row r="432" spans="1:11" ht="13.9" x14ac:dyDescent="0.3">
      <c r="A432" s="2" t="s">
        <v>449</v>
      </c>
      <c r="B432" s="2">
        <v>0</v>
      </c>
      <c r="C432" s="2">
        <v>0</v>
      </c>
      <c r="D432" s="2">
        <v>0</v>
      </c>
      <c r="E432" s="2">
        <v>0.59</v>
      </c>
      <c r="F432" s="2">
        <v>0.67</v>
      </c>
      <c r="G432" s="2">
        <v>0</v>
      </c>
      <c r="H432" s="2" t="e">
        <f t="shared" si="18"/>
        <v>#NUM!</v>
      </c>
      <c r="I432" s="2">
        <f t="shared" si="19"/>
        <v>0.11771750432170748</v>
      </c>
      <c r="K432" s="2" t="e">
        <f t="shared" si="20"/>
        <v>#NUM!</v>
      </c>
    </row>
    <row r="433" spans="1:11" ht="13.9" x14ac:dyDescent="0.3">
      <c r="A433" s="2" t="s">
        <v>450</v>
      </c>
      <c r="B433" s="2">
        <v>0</v>
      </c>
      <c r="C433" s="2">
        <v>0</v>
      </c>
      <c r="D433" s="2">
        <v>0</v>
      </c>
      <c r="E433" s="2">
        <v>0.49</v>
      </c>
      <c r="F433" s="2">
        <v>0</v>
      </c>
      <c r="G433" s="2">
        <v>1.48</v>
      </c>
      <c r="H433" s="2" t="e">
        <f t="shared" si="18"/>
        <v>#NUM!</v>
      </c>
      <c r="I433" s="2">
        <f t="shared" si="19"/>
        <v>0.20590432846867199</v>
      </c>
      <c r="K433" s="2" t="e">
        <f t="shared" si="20"/>
        <v>#NUM!</v>
      </c>
    </row>
    <row r="434" spans="1:11" ht="13.9" x14ac:dyDescent="0.3">
      <c r="A434" s="2" t="s">
        <v>451</v>
      </c>
      <c r="B434" s="2">
        <v>0</v>
      </c>
      <c r="C434" s="2">
        <v>0</v>
      </c>
      <c r="D434" s="2">
        <v>0</v>
      </c>
      <c r="E434" s="2">
        <v>2.96</v>
      </c>
      <c r="F434" s="2">
        <v>0.8</v>
      </c>
      <c r="G434" s="2">
        <v>0</v>
      </c>
      <c r="H434" s="2" t="e">
        <f t="shared" si="18"/>
        <v>#NUM!</v>
      </c>
      <c r="I434" s="2">
        <f t="shared" si="19"/>
        <v>0.22923971816325969</v>
      </c>
      <c r="K434" s="2" t="e">
        <f t="shared" si="20"/>
        <v>#NUM!</v>
      </c>
    </row>
    <row r="435" spans="1:11" ht="13.9" x14ac:dyDescent="0.3">
      <c r="A435" s="2" t="s">
        <v>452</v>
      </c>
      <c r="B435" s="2">
        <v>0</v>
      </c>
      <c r="C435" s="2">
        <v>0</v>
      </c>
      <c r="D435" s="2">
        <v>0</v>
      </c>
      <c r="E435" s="2">
        <v>1.88</v>
      </c>
      <c r="F435" s="2">
        <v>0</v>
      </c>
      <c r="G435" s="2">
        <v>1.9</v>
      </c>
      <c r="H435" s="2" t="e">
        <f t="shared" si="18"/>
        <v>#NUM!</v>
      </c>
      <c r="I435" s="2">
        <f t="shared" si="19"/>
        <v>0.11612765823837161</v>
      </c>
      <c r="K435" s="2" t="e">
        <f t="shared" si="20"/>
        <v>#NUM!</v>
      </c>
    </row>
    <row r="436" spans="1:11" ht="13.9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0</v>
      </c>
      <c r="F436" s="2">
        <v>2.41</v>
      </c>
      <c r="G436" s="2">
        <v>0</v>
      </c>
      <c r="H436" s="2" t="e">
        <f t="shared" si="18"/>
        <v>#NUM!</v>
      </c>
      <c r="I436" s="2">
        <f t="shared" si="19"/>
        <v>0.37390096630005903</v>
      </c>
      <c r="K436" s="2" t="e">
        <f t="shared" si="20"/>
        <v>#NUM!</v>
      </c>
    </row>
    <row r="437" spans="1:11" ht="13.9" x14ac:dyDescent="0.3">
      <c r="A437" s="2" t="s">
        <v>454</v>
      </c>
      <c r="B437" s="2">
        <v>15.49</v>
      </c>
      <c r="C437" s="2">
        <v>20</v>
      </c>
      <c r="D437" s="2">
        <v>12.02</v>
      </c>
      <c r="E437" s="2">
        <v>17.97</v>
      </c>
      <c r="F437" s="2">
        <v>20.99</v>
      </c>
      <c r="G437" s="2">
        <v>13.17</v>
      </c>
      <c r="H437" s="2">
        <f t="shared" si="18"/>
        <v>-0.13388265318516832</v>
      </c>
      <c r="I437" s="2">
        <f t="shared" si="19"/>
        <v>0.65970123833738414</v>
      </c>
      <c r="K437" s="2">
        <f t="shared" si="20"/>
        <v>5.5701593016361199</v>
      </c>
    </row>
    <row r="438" spans="1:11" ht="13.9" x14ac:dyDescent="0.3">
      <c r="A438" s="2" t="s">
        <v>455</v>
      </c>
      <c r="B438" s="2">
        <v>4066.78</v>
      </c>
      <c r="C438" s="2">
        <v>4570.38</v>
      </c>
      <c r="D438" s="2">
        <v>4024.91</v>
      </c>
      <c r="E438" s="2">
        <v>2126.7199999999998</v>
      </c>
      <c r="F438" s="2">
        <v>2502.9899999999998</v>
      </c>
      <c r="G438" s="2">
        <v>2059.98</v>
      </c>
      <c r="H438" s="2">
        <f t="shared" si="18"/>
        <v>0.9205020132880074</v>
      </c>
      <c r="I438" s="2">
        <f t="shared" si="19"/>
        <v>8.7066497256331813E-4</v>
      </c>
      <c r="K438" s="2">
        <f t="shared" si="20"/>
        <v>13.628225655928199</v>
      </c>
    </row>
    <row r="439" spans="1:11" ht="13.9" x14ac:dyDescent="0.3">
      <c r="A439" s="2" t="s">
        <v>456</v>
      </c>
      <c r="B439" s="2">
        <v>9.56</v>
      </c>
      <c r="C439" s="2">
        <v>14.88</v>
      </c>
      <c r="D439" s="2">
        <v>6.37</v>
      </c>
      <c r="E439" s="2">
        <v>10.66</v>
      </c>
      <c r="F439" s="2">
        <v>20.72</v>
      </c>
      <c r="G439" s="2">
        <v>10.01</v>
      </c>
      <c r="H439" s="2">
        <f t="shared" si="18"/>
        <v>-0.42588356619093931</v>
      </c>
      <c r="I439" s="2">
        <f t="shared" si="19"/>
        <v>0.4546502988083676</v>
      </c>
      <c r="K439" s="2">
        <f t="shared" si="20"/>
        <v>4.9453267772646265</v>
      </c>
    </row>
    <row r="440" spans="1:11" ht="13.9" x14ac:dyDescent="0.3">
      <c r="A440" s="2" t="s">
        <v>457</v>
      </c>
      <c r="B440" s="2">
        <v>24.06</v>
      </c>
      <c r="C440" s="2">
        <v>18.79</v>
      </c>
      <c r="D440" s="2">
        <v>14.75</v>
      </c>
      <c r="E440" s="2">
        <v>6.32</v>
      </c>
      <c r="F440" s="2">
        <v>1.74</v>
      </c>
      <c r="G440" s="2">
        <v>2.95</v>
      </c>
      <c r="H440" s="2">
        <f t="shared" si="18"/>
        <v>2.3872543427653055</v>
      </c>
      <c r="I440" s="2">
        <f t="shared" si="19"/>
        <v>6.8095668303332644E-3</v>
      </c>
      <c r="K440" s="2">
        <f t="shared" si="20"/>
        <v>5.8479969065549504</v>
      </c>
    </row>
    <row r="441" spans="1:11" ht="13.9" x14ac:dyDescent="0.3">
      <c r="A441" s="2" t="s">
        <v>458</v>
      </c>
      <c r="B441" s="2">
        <v>19.45</v>
      </c>
      <c r="C441" s="2">
        <v>5.12</v>
      </c>
      <c r="D441" s="2">
        <v>0</v>
      </c>
      <c r="E441" s="2">
        <v>3.46</v>
      </c>
      <c r="F441" s="2">
        <v>4.41</v>
      </c>
      <c r="G441" s="2">
        <v>4.32</v>
      </c>
      <c r="H441" s="2">
        <f t="shared" si="18"/>
        <v>1.0111997317419525</v>
      </c>
      <c r="I441" s="2">
        <f t="shared" si="19"/>
        <v>0.51802104108461389</v>
      </c>
      <c r="K441" s="2">
        <f t="shared" si="20"/>
        <v>4.6188259525874402</v>
      </c>
    </row>
    <row r="442" spans="1:11" ht="13.9" x14ac:dyDescent="0.3">
      <c r="A442" s="2" t="s">
        <v>459</v>
      </c>
      <c r="B442" s="2">
        <v>1.32</v>
      </c>
      <c r="C442" s="2">
        <v>2.93</v>
      </c>
      <c r="D442" s="2">
        <v>1.64</v>
      </c>
      <c r="E442" s="2">
        <v>1.58</v>
      </c>
      <c r="F442" s="2">
        <v>1.87</v>
      </c>
      <c r="G442" s="2">
        <v>3.69</v>
      </c>
      <c r="H442" s="2">
        <f t="shared" si="18"/>
        <v>-0.27765644019863928</v>
      </c>
      <c r="I442" s="2">
        <f t="shared" si="19"/>
        <v>0.63949475475217454</v>
      </c>
      <c r="K442" s="2">
        <f t="shared" si="20"/>
        <v>2.5582676340557358</v>
      </c>
    </row>
    <row r="443" spans="1:11" ht="13.9" x14ac:dyDescent="0.3">
      <c r="A443" s="2" t="s">
        <v>460</v>
      </c>
      <c r="B443" s="2">
        <v>0</v>
      </c>
      <c r="C443" s="2">
        <v>0</v>
      </c>
      <c r="D443" s="2">
        <v>0</v>
      </c>
      <c r="E443" s="2">
        <v>0</v>
      </c>
      <c r="F443" s="2">
        <v>0.8</v>
      </c>
      <c r="G443" s="2">
        <v>0</v>
      </c>
      <c r="H443" s="2" t="e">
        <f t="shared" si="18"/>
        <v>#NUM!</v>
      </c>
      <c r="I443" s="2">
        <f t="shared" si="19"/>
        <v>0.37390096630005903</v>
      </c>
      <c r="K443" s="2" t="e">
        <f t="shared" si="20"/>
        <v>#NUM!</v>
      </c>
    </row>
    <row r="444" spans="1:11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0.11</v>
      </c>
      <c r="H444" s="2" t="e">
        <f t="shared" si="18"/>
        <v>#NUM!</v>
      </c>
      <c r="I444" s="2">
        <f t="shared" si="19"/>
        <v>0.37390096630005903</v>
      </c>
      <c r="K444" s="2" t="e">
        <f t="shared" si="20"/>
        <v>#NUM!</v>
      </c>
    </row>
    <row r="445" spans="1:11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 t="e">
        <f t="shared" si="18"/>
        <v>#DIV/0!</v>
      </c>
      <c r="I445" s="2" t="e">
        <f t="shared" si="19"/>
        <v>#DIV/0!</v>
      </c>
      <c r="K445" s="2" t="e">
        <f t="shared" si="20"/>
        <v>#NUM!</v>
      </c>
    </row>
    <row r="446" spans="1:11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0.39</v>
      </c>
      <c r="F446" s="2">
        <v>0</v>
      </c>
      <c r="G446" s="2">
        <v>0</v>
      </c>
      <c r="H446" s="2" t="e">
        <f t="shared" si="18"/>
        <v>#NUM!</v>
      </c>
      <c r="I446" s="2">
        <f t="shared" si="19"/>
        <v>0.37390096630005903</v>
      </c>
      <c r="K446" s="2" t="e">
        <f t="shared" si="20"/>
        <v>#NUM!</v>
      </c>
    </row>
    <row r="447" spans="1:11" ht="13.9" x14ac:dyDescent="0.3">
      <c r="A447" s="2" t="s">
        <v>464</v>
      </c>
      <c r="B447" s="2">
        <v>0.33</v>
      </c>
      <c r="C447" s="2">
        <v>0</v>
      </c>
      <c r="D447" s="2">
        <v>0.18</v>
      </c>
      <c r="E447" s="2">
        <v>0.1</v>
      </c>
      <c r="F447" s="2">
        <v>0.13</v>
      </c>
      <c r="G447" s="2">
        <v>0</v>
      </c>
      <c r="H447" s="2">
        <f t="shared" si="18"/>
        <v>1.1488633859144828</v>
      </c>
      <c r="I447" s="2">
        <f t="shared" si="19"/>
        <v>0.41681612509882349</v>
      </c>
      <c r="K447" s="2">
        <f t="shared" si="20"/>
        <v>-0.97143084780322919</v>
      </c>
    </row>
    <row r="448" spans="1:11" ht="13.9" x14ac:dyDescent="0.3">
      <c r="A448" s="2" t="s">
        <v>465</v>
      </c>
      <c r="B448" s="2">
        <v>10.55</v>
      </c>
      <c r="C448" s="2">
        <v>29.28</v>
      </c>
      <c r="D448" s="2">
        <v>27.67</v>
      </c>
      <c r="E448" s="2">
        <v>12.64</v>
      </c>
      <c r="F448" s="2">
        <v>15.91</v>
      </c>
      <c r="G448" s="2">
        <v>6.85</v>
      </c>
      <c r="H448" s="2">
        <f t="shared" si="18"/>
        <v>0.93113814185519583</v>
      </c>
      <c r="I448" s="2">
        <f t="shared" si="19"/>
        <v>0.1778061511187338</v>
      </c>
      <c r="K448" s="2">
        <f t="shared" si="20"/>
        <v>6.0768155970508309</v>
      </c>
    </row>
    <row r="449" spans="1:11" ht="13.9" x14ac:dyDescent="0.3">
      <c r="A449" s="2" t="s">
        <v>466</v>
      </c>
      <c r="B449" s="2">
        <v>0.33</v>
      </c>
      <c r="C449" s="2">
        <v>13.91</v>
      </c>
      <c r="D449" s="2">
        <v>0</v>
      </c>
      <c r="E449" s="2">
        <v>5.13</v>
      </c>
      <c r="F449" s="2">
        <v>9.36</v>
      </c>
      <c r="G449" s="2">
        <v>5.27</v>
      </c>
      <c r="H449" s="2">
        <f t="shared" si="18"/>
        <v>-0.47263380061827986</v>
      </c>
      <c r="I449" s="2">
        <f t="shared" si="19"/>
        <v>0.72031805986681929</v>
      </c>
      <c r="K449" s="2">
        <f t="shared" si="20"/>
        <v>3.8318772411916733</v>
      </c>
    </row>
    <row r="450" spans="1:11" ht="13.9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0.4</v>
      </c>
      <c r="G450" s="2">
        <v>0</v>
      </c>
      <c r="H450" s="2" t="e">
        <f t="shared" ref="H450:H513" si="21">LOG(SUM(B450:D450)/SUM(E450:G450),2)</f>
        <v>#NUM!</v>
      </c>
      <c r="I450" s="2">
        <f t="shared" ref="I450:I513" si="22">_xlfn.T.TEST(B450:D450,E450:G450,2,2)</f>
        <v>0.37390096630005903</v>
      </c>
      <c r="K450" s="2" t="e">
        <f t="shared" si="20"/>
        <v>#NUM!</v>
      </c>
    </row>
    <row r="451" spans="1:11" ht="13.9" x14ac:dyDescent="0.3">
      <c r="A451" s="2" t="s">
        <v>468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1"/>
        <v>#DIV/0!</v>
      </c>
      <c r="I451" s="2" t="e">
        <f t="shared" si="22"/>
        <v>#DIV/0!</v>
      </c>
      <c r="K451" s="2" t="e">
        <f t="shared" ref="K451:K514" si="23">LOG(SUM(B451:D451),2)</f>
        <v>#NUM!</v>
      </c>
    </row>
    <row r="452" spans="1:11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 t="e">
        <f t="shared" si="21"/>
        <v>#DIV/0!</v>
      </c>
      <c r="I452" s="2" t="e">
        <f t="shared" si="22"/>
        <v>#DIV/0!</v>
      </c>
      <c r="K452" s="2" t="e">
        <f t="shared" si="23"/>
        <v>#NUM!</v>
      </c>
    </row>
    <row r="453" spans="1:11" ht="13.9" x14ac:dyDescent="0.3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0.42</v>
      </c>
      <c r="H453" s="2" t="e">
        <f t="shared" si="21"/>
        <v>#NUM!</v>
      </c>
      <c r="I453" s="2">
        <f t="shared" si="22"/>
        <v>0.37390096630005903</v>
      </c>
      <c r="K453" s="2" t="e">
        <f t="shared" si="23"/>
        <v>#NUM!</v>
      </c>
    </row>
    <row r="454" spans="1:11" ht="13.9" x14ac:dyDescent="0.3">
      <c r="A454" s="2" t="s">
        <v>471</v>
      </c>
      <c r="B454" s="2">
        <v>55.05</v>
      </c>
      <c r="C454" s="2">
        <v>32.200000000000003</v>
      </c>
      <c r="D454" s="2">
        <v>14.75</v>
      </c>
      <c r="E454" s="2">
        <v>10.07</v>
      </c>
      <c r="F454" s="2">
        <v>16.18</v>
      </c>
      <c r="G454" s="2">
        <v>11.17</v>
      </c>
      <c r="H454" s="2">
        <f t="shared" si="21"/>
        <v>1.4466876885054361</v>
      </c>
      <c r="I454" s="2">
        <f t="shared" si="22"/>
        <v>0.14264894142214396</v>
      </c>
      <c r="K454" s="2">
        <f t="shared" si="23"/>
        <v>6.6724253419714952</v>
      </c>
    </row>
    <row r="455" spans="1:11" ht="13.9" x14ac:dyDescent="0.3">
      <c r="A455" s="2" t="s">
        <v>472</v>
      </c>
      <c r="B455" s="2">
        <v>4.6100000000000003</v>
      </c>
      <c r="C455" s="2">
        <v>22.44</v>
      </c>
      <c r="D455" s="2">
        <v>3.82</v>
      </c>
      <c r="E455" s="2">
        <v>0.69</v>
      </c>
      <c r="F455" s="2">
        <v>2.67</v>
      </c>
      <c r="G455" s="2">
        <v>3.16</v>
      </c>
      <c r="H455" s="2">
        <f t="shared" si="21"/>
        <v>2.2432616133840471</v>
      </c>
      <c r="I455" s="2">
        <f t="shared" si="22"/>
        <v>0.25580575574608266</v>
      </c>
      <c r="K455" s="2">
        <f t="shared" si="23"/>
        <v>4.9481335778404008</v>
      </c>
    </row>
    <row r="456" spans="1:11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 t="e">
        <f t="shared" si="21"/>
        <v>#DIV/0!</v>
      </c>
      <c r="I456" s="2" t="e">
        <f t="shared" si="22"/>
        <v>#DIV/0!</v>
      </c>
      <c r="K456" s="2" t="e">
        <f t="shared" si="23"/>
        <v>#NUM!</v>
      </c>
    </row>
    <row r="457" spans="1:11" ht="13.9" x14ac:dyDescent="0.3">
      <c r="A457" s="2" t="s">
        <v>474</v>
      </c>
      <c r="B457" s="2">
        <v>5.6</v>
      </c>
      <c r="C457" s="2">
        <v>0</v>
      </c>
      <c r="D457" s="2">
        <v>0</v>
      </c>
      <c r="E457" s="2">
        <v>0</v>
      </c>
      <c r="F457" s="2">
        <v>0.13</v>
      </c>
      <c r="G457" s="2">
        <v>0</v>
      </c>
      <c r="H457" s="2">
        <f t="shared" si="21"/>
        <v>5.4288432988038737</v>
      </c>
      <c r="I457" s="2">
        <f t="shared" si="22"/>
        <v>0.38409907221424083</v>
      </c>
      <c r="K457" s="2">
        <f t="shared" si="23"/>
        <v>2.485426827170242</v>
      </c>
    </row>
    <row r="458" spans="1:11" ht="13.9" x14ac:dyDescent="0.3">
      <c r="A458" s="2" t="s">
        <v>475</v>
      </c>
      <c r="B458" s="2">
        <v>0</v>
      </c>
      <c r="C458" s="2">
        <v>0</v>
      </c>
      <c r="D458" s="2">
        <v>0.18</v>
      </c>
      <c r="E458" s="2">
        <v>0</v>
      </c>
      <c r="F458" s="2">
        <v>0</v>
      </c>
      <c r="G458" s="2">
        <v>0.32</v>
      </c>
      <c r="H458" s="2">
        <f t="shared" si="21"/>
        <v>-0.83007499855768763</v>
      </c>
      <c r="I458" s="2">
        <f t="shared" si="22"/>
        <v>0.72235904489559877</v>
      </c>
      <c r="K458" s="2">
        <f t="shared" si="23"/>
        <v>-2.4739311883324122</v>
      </c>
    </row>
    <row r="459" spans="1:11" ht="13.9" x14ac:dyDescent="0.3">
      <c r="A459" s="2" t="s">
        <v>476</v>
      </c>
      <c r="B459" s="2">
        <v>20.77</v>
      </c>
      <c r="C459" s="2">
        <v>34.15</v>
      </c>
      <c r="D459" s="2">
        <v>0.18</v>
      </c>
      <c r="E459" s="2">
        <v>2.27</v>
      </c>
      <c r="F459" s="2">
        <v>4.28</v>
      </c>
      <c r="G459" s="2">
        <v>2.63</v>
      </c>
      <c r="H459" s="2">
        <f t="shared" si="21"/>
        <v>2.5854862600447124</v>
      </c>
      <c r="I459" s="2">
        <f t="shared" si="22"/>
        <v>0.19693637402103595</v>
      </c>
      <c r="K459" s="2">
        <f t="shared" si="23"/>
        <v>5.7839804136837953</v>
      </c>
    </row>
    <row r="460" spans="1:11" ht="13.9" x14ac:dyDescent="0.3">
      <c r="A460" s="2" t="s">
        <v>477</v>
      </c>
      <c r="B460" s="2">
        <v>3.96</v>
      </c>
      <c r="C460" s="2">
        <v>10.49</v>
      </c>
      <c r="D460" s="2">
        <v>7.65</v>
      </c>
      <c r="E460" s="2">
        <v>7.21</v>
      </c>
      <c r="F460" s="2">
        <v>7.62</v>
      </c>
      <c r="G460" s="2">
        <v>3.37</v>
      </c>
      <c r="H460" s="2">
        <f t="shared" si="21"/>
        <v>0.28010791919273548</v>
      </c>
      <c r="I460" s="2">
        <f t="shared" si="22"/>
        <v>0.60588619252758913</v>
      </c>
      <c r="K460" s="2">
        <f t="shared" si="23"/>
        <v>4.4659744645040691</v>
      </c>
    </row>
    <row r="461" spans="1:11" ht="13.9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1"/>
        <v>#DIV/0!</v>
      </c>
      <c r="I461" s="2" t="e">
        <f t="shared" si="22"/>
        <v>#DIV/0!</v>
      </c>
      <c r="K461" s="2" t="e">
        <f t="shared" si="23"/>
        <v>#NUM!</v>
      </c>
    </row>
    <row r="462" spans="1:11" ht="13.9" x14ac:dyDescent="0.3">
      <c r="A462" s="2" t="s">
        <v>479</v>
      </c>
      <c r="B462" s="2">
        <v>3.3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1"/>
        <v>#DIV/0!</v>
      </c>
      <c r="I462" s="2">
        <f t="shared" si="22"/>
        <v>0.37390096630005903</v>
      </c>
      <c r="K462" s="2">
        <f t="shared" si="23"/>
        <v>1.7224660244710912</v>
      </c>
    </row>
    <row r="463" spans="1:11" ht="13.9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0.53</v>
      </c>
      <c r="G463" s="2">
        <v>0</v>
      </c>
      <c r="H463" s="2" t="e">
        <f t="shared" si="21"/>
        <v>#NUM!</v>
      </c>
      <c r="I463" s="2">
        <f t="shared" si="22"/>
        <v>0.37390096630005903</v>
      </c>
      <c r="K463" s="2" t="e">
        <f t="shared" si="23"/>
        <v>#NUM!</v>
      </c>
    </row>
    <row r="464" spans="1:11" ht="13.9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1.58</v>
      </c>
      <c r="F464" s="2">
        <v>0</v>
      </c>
      <c r="G464" s="2">
        <v>0.42</v>
      </c>
      <c r="H464" s="2" t="e">
        <f t="shared" si="21"/>
        <v>#NUM!</v>
      </c>
      <c r="I464" s="2">
        <f t="shared" si="22"/>
        <v>0.23108355581308498</v>
      </c>
      <c r="K464" s="2" t="e">
        <f t="shared" si="23"/>
        <v>#NUM!</v>
      </c>
    </row>
    <row r="465" spans="1:11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0.95</v>
      </c>
      <c r="H465" s="2" t="e">
        <f t="shared" si="21"/>
        <v>#NUM!</v>
      </c>
      <c r="I465" s="2">
        <f t="shared" si="22"/>
        <v>0.37390096630005903</v>
      </c>
      <c r="K465" s="2" t="e">
        <f t="shared" si="23"/>
        <v>#NUM!</v>
      </c>
    </row>
    <row r="466" spans="1:11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 t="e">
        <f t="shared" si="21"/>
        <v>#DIV/0!</v>
      </c>
      <c r="I466" s="2" t="e">
        <f t="shared" si="22"/>
        <v>#DIV/0!</v>
      </c>
      <c r="K466" s="2" t="e">
        <f t="shared" si="23"/>
        <v>#NUM!</v>
      </c>
    </row>
    <row r="467" spans="1:11" ht="13.9" x14ac:dyDescent="0.3">
      <c r="A467" s="2" t="s">
        <v>484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1"/>
        <v>#DIV/0!</v>
      </c>
      <c r="I467" s="2" t="e">
        <f t="shared" si="22"/>
        <v>#DIV/0!</v>
      </c>
      <c r="K467" s="2" t="e">
        <f t="shared" si="23"/>
        <v>#NUM!</v>
      </c>
    </row>
    <row r="468" spans="1:11" ht="13.9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0.42</v>
      </c>
      <c r="H468" s="2" t="e">
        <f t="shared" si="21"/>
        <v>#NUM!</v>
      </c>
      <c r="I468" s="2">
        <f t="shared" si="22"/>
        <v>0.37390096630005903</v>
      </c>
      <c r="K468" s="2" t="e">
        <f t="shared" si="23"/>
        <v>#NUM!</v>
      </c>
    </row>
    <row r="469" spans="1:11" ht="13.9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1.0900000000000001</v>
      </c>
      <c r="F469" s="2">
        <v>0.67</v>
      </c>
      <c r="G469" s="2">
        <v>0.95</v>
      </c>
      <c r="H469" s="2" t="e">
        <f t="shared" si="21"/>
        <v>#NUM!</v>
      </c>
      <c r="I469" s="2">
        <f t="shared" si="22"/>
        <v>1.8566942072259797E-3</v>
      </c>
      <c r="K469" s="2" t="e">
        <f t="shared" si="23"/>
        <v>#NUM!</v>
      </c>
    </row>
    <row r="470" spans="1:11" ht="13.9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0.4</v>
      </c>
      <c r="G470" s="2">
        <v>0</v>
      </c>
      <c r="H470" s="2" t="e">
        <f t="shared" si="21"/>
        <v>#NUM!</v>
      </c>
      <c r="I470" s="2">
        <f t="shared" si="22"/>
        <v>0.37390096630005903</v>
      </c>
      <c r="K470" s="2" t="e">
        <f t="shared" si="23"/>
        <v>#NUM!</v>
      </c>
    </row>
    <row r="471" spans="1:11" ht="13.9" x14ac:dyDescent="0.3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1"/>
        <v>#DIV/0!</v>
      </c>
      <c r="I471" s="2" t="e">
        <f t="shared" si="22"/>
        <v>#DIV/0!</v>
      </c>
      <c r="K471" s="2" t="e">
        <f t="shared" si="23"/>
        <v>#NUM!</v>
      </c>
    </row>
    <row r="472" spans="1:11" ht="13.9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3.06</v>
      </c>
      <c r="F472" s="2">
        <v>1.2</v>
      </c>
      <c r="G472" s="2">
        <v>0.74</v>
      </c>
      <c r="H472" s="2" t="e">
        <f t="shared" si="21"/>
        <v>#NUM!</v>
      </c>
      <c r="I472" s="2">
        <f t="shared" si="22"/>
        <v>7.8512334704273087E-2</v>
      </c>
      <c r="K472" s="2" t="e">
        <f t="shared" si="23"/>
        <v>#NUM!</v>
      </c>
    </row>
    <row r="473" spans="1:11" ht="13.9" x14ac:dyDescent="0.3">
      <c r="A473" s="2" t="s">
        <v>490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 t="e">
        <f t="shared" si="21"/>
        <v>#DIV/0!</v>
      </c>
      <c r="I473" s="2" t="e">
        <f t="shared" si="22"/>
        <v>#DIV/0!</v>
      </c>
      <c r="K473" s="2" t="e">
        <f t="shared" si="23"/>
        <v>#NUM!</v>
      </c>
    </row>
    <row r="474" spans="1:11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0.27</v>
      </c>
      <c r="G474" s="2">
        <v>0</v>
      </c>
      <c r="H474" s="2" t="e">
        <f t="shared" si="21"/>
        <v>#NUM!</v>
      </c>
      <c r="I474" s="2">
        <f t="shared" si="22"/>
        <v>0.37390096630005903</v>
      </c>
      <c r="K474" s="2" t="e">
        <f t="shared" si="23"/>
        <v>#NUM!</v>
      </c>
    </row>
    <row r="475" spans="1:11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1.18</v>
      </c>
      <c r="F475" s="2">
        <v>0</v>
      </c>
      <c r="G475" s="2">
        <v>0</v>
      </c>
      <c r="H475" s="2" t="e">
        <f t="shared" si="21"/>
        <v>#NUM!</v>
      </c>
      <c r="I475" s="2">
        <f t="shared" si="22"/>
        <v>0.37390096630005903</v>
      </c>
      <c r="K475" s="2" t="e">
        <f t="shared" si="23"/>
        <v>#NUM!</v>
      </c>
    </row>
    <row r="476" spans="1:11" ht="13.9" x14ac:dyDescent="0.3">
      <c r="A476" s="2" t="s">
        <v>493</v>
      </c>
      <c r="B476" s="2">
        <v>10.55</v>
      </c>
      <c r="C476" s="2">
        <v>0</v>
      </c>
      <c r="D476" s="2">
        <v>0</v>
      </c>
      <c r="E476" s="2">
        <v>0.59</v>
      </c>
      <c r="F476" s="2">
        <v>1.34</v>
      </c>
      <c r="G476" s="2">
        <v>0</v>
      </c>
      <c r="H476" s="2">
        <f t="shared" si="21"/>
        <v>2.4505702463264671</v>
      </c>
      <c r="I476" s="2">
        <f t="shared" si="22"/>
        <v>0.46227750596975176</v>
      </c>
      <c r="K476" s="2">
        <f t="shared" si="23"/>
        <v>3.3991710938198225</v>
      </c>
    </row>
    <row r="477" spans="1:11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0.63</v>
      </c>
      <c r="H477" s="2" t="e">
        <f t="shared" si="21"/>
        <v>#NUM!</v>
      </c>
      <c r="I477" s="2">
        <f t="shared" si="22"/>
        <v>0.37390096630005903</v>
      </c>
      <c r="K477" s="2" t="e">
        <f t="shared" si="23"/>
        <v>#NUM!</v>
      </c>
    </row>
    <row r="478" spans="1:11" ht="13.9" x14ac:dyDescent="0.3">
      <c r="A478" s="2" t="s">
        <v>495</v>
      </c>
      <c r="B478" s="2">
        <v>0</v>
      </c>
      <c r="C478" s="2">
        <v>4.88</v>
      </c>
      <c r="D478" s="2">
        <v>3.64</v>
      </c>
      <c r="E478" s="2">
        <v>0</v>
      </c>
      <c r="F478" s="2">
        <v>0</v>
      </c>
      <c r="G478" s="2">
        <v>0.95</v>
      </c>
      <c r="H478" s="2">
        <f t="shared" si="21"/>
        <v>3.1648540118948909</v>
      </c>
      <c r="I478" s="2">
        <f t="shared" si="22"/>
        <v>0.16743471515120645</v>
      </c>
      <c r="K478" s="2">
        <f t="shared" si="23"/>
        <v>3.0908534304511139</v>
      </c>
    </row>
    <row r="479" spans="1:11" ht="13.9" x14ac:dyDescent="0.3">
      <c r="A479" s="2" t="s">
        <v>496</v>
      </c>
      <c r="B479" s="2">
        <v>0</v>
      </c>
      <c r="C479" s="2">
        <v>0</v>
      </c>
      <c r="D479" s="2">
        <v>4.55</v>
      </c>
      <c r="E479" s="2">
        <v>0</v>
      </c>
      <c r="F479" s="2">
        <v>0.13</v>
      </c>
      <c r="G479" s="2">
        <v>0</v>
      </c>
      <c r="H479" s="2">
        <f t="shared" si="21"/>
        <v>5.1292830169449664</v>
      </c>
      <c r="I479" s="2">
        <f t="shared" si="22"/>
        <v>0.38651832347827414</v>
      </c>
      <c r="K479" s="2">
        <f t="shared" si="23"/>
        <v>2.1858665453113342</v>
      </c>
    </row>
    <row r="480" spans="1:11" ht="13.9" x14ac:dyDescent="0.3">
      <c r="A480" s="2" t="s">
        <v>497</v>
      </c>
      <c r="B480" s="2">
        <v>0</v>
      </c>
      <c r="C480" s="2">
        <v>0.98</v>
      </c>
      <c r="D480" s="2">
        <v>3.82</v>
      </c>
      <c r="E480" s="2">
        <v>1.18</v>
      </c>
      <c r="F480" s="2">
        <v>1.6</v>
      </c>
      <c r="G480" s="2">
        <v>0.42</v>
      </c>
      <c r="H480" s="2">
        <f t="shared" si="21"/>
        <v>0.58496250072115596</v>
      </c>
      <c r="I480" s="2">
        <f t="shared" si="22"/>
        <v>0.67882023288896054</v>
      </c>
      <c r="K480" s="2">
        <f t="shared" si="23"/>
        <v>2.2630344058337939</v>
      </c>
    </row>
    <row r="481" spans="1:11" ht="13.9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0.32</v>
      </c>
      <c r="H481" s="2" t="e">
        <f t="shared" si="21"/>
        <v>#NUM!</v>
      </c>
      <c r="I481" s="2">
        <f t="shared" si="22"/>
        <v>0.37390096630005903</v>
      </c>
      <c r="K481" s="2" t="e">
        <f t="shared" si="23"/>
        <v>#NUM!</v>
      </c>
    </row>
    <row r="482" spans="1:11" ht="13.9" x14ac:dyDescent="0.3">
      <c r="A482" s="2" t="s">
        <v>499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1"/>
        <v>#DIV/0!</v>
      </c>
      <c r="I482" s="2" t="e">
        <f t="shared" si="22"/>
        <v>#DIV/0!</v>
      </c>
      <c r="K482" s="2" t="e">
        <f t="shared" si="23"/>
        <v>#NUM!</v>
      </c>
    </row>
    <row r="483" spans="1:11" ht="13.9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 t="e">
        <f t="shared" si="21"/>
        <v>#DIV/0!</v>
      </c>
      <c r="I483" s="2" t="e">
        <f t="shared" si="22"/>
        <v>#DIV/0!</v>
      </c>
      <c r="K483" s="2" t="e">
        <f t="shared" si="23"/>
        <v>#NUM!</v>
      </c>
    </row>
    <row r="484" spans="1:11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0.49</v>
      </c>
      <c r="F484" s="2">
        <v>0</v>
      </c>
      <c r="G484" s="2">
        <v>0</v>
      </c>
      <c r="H484" s="2" t="e">
        <f t="shared" si="21"/>
        <v>#NUM!</v>
      </c>
      <c r="I484" s="2">
        <f t="shared" si="22"/>
        <v>0.37390096630005903</v>
      </c>
      <c r="K484" s="2" t="e">
        <f t="shared" si="23"/>
        <v>#NUM!</v>
      </c>
    </row>
    <row r="485" spans="1:11" ht="13.9" x14ac:dyDescent="0.3">
      <c r="A485" s="2" t="s">
        <v>502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1"/>
        <v>#DIV/0!</v>
      </c>
      <c r="I485" s="2" t="e">
        <f t="shared" si="22"/>
        <v>#DIV/0!</v>
      </c>
      <c r="K485" s="2" t="e">
        <f t="shared" si="23"/>
        <v>#NUM!</v>
      </c>
    </row>
    <row r="486" spans="1:11" ht="13.9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1"/>
        <v>#DIV/0!</v>
      </c>
      <c r="I486" s="2" t="e">
        <f t="shared" si="22"/>
        <v>#DIV/0!</v>
      </c>
      <c r="K486" s="2" t="e">
        <f t="shared" si="23"/>
        <v>#NUM!</v>
      </c>
    </row>
    <row r="487" spans="1:11" ht="13.9" x14ac:dyDescent="0.3">
      <c r="A487" s="2" t="s">
        <v>504</v>
      </c>
      <c r="B487" s="2">
        <v>0</v>
      </c>
      <c r="C487" s="2">
        <v>3.66</v>
      </c>
      <c r="D487" s="2">
        <v>0</v>
      </c>
      <c r="E487" s="2">
        <v>4.24</v>
      </c>
      <c r="F487" s="2">
        <v>3.88</v>
      </c>
      <c r="G487" s="2">
        <v>6.96</v>
      </c>
      <c r="H487" s="2">
        <f t="shared" si="21"/>
        <v>-2.0427208749846217</v>
      </c>
      <c r="I487" s="2">
        <f t="shared" si="22"/>
        <v>7.1197007211961344E-2</v>
      </c>
      <c r="K487" s="2">
        <f t="shared" si="23"/>
        <v>1.8718436485093179</v>
      </c>
    </row>
    <row r="488" spans="1:11" ht="13.9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0.99</v>
      </c>
      <c r="F488" s="2">
        <v>0.8</v>
      </c>
      <c r="G488" s="2">
        <v>1.1599999999999999</v>
      </c>
      <c r="H488" s="2" t="e">
        <f t="shared" si="21"/>
        <v>#NUM!</v>
      </c>
      <c r="I488" s="2">
        <f t="shared" si="22"/>
        <v>6.9725478712508724E-4</v>
      </c>
      <c r="K488" s="2" t="e">
        <f t="shared" si="23"/>
        <v>#NUM!</v>
      </c>
    </row>
    <row r="489" spans="1:11" ht="13.9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0.1</v>
      </c>
      <c r="F489" s="2">
        <v>0</v>
      </c>
      <c r="G489" s="2">
        <v>0</v>
      </c>
      <c r="H489" s="2" t="e">
        <f t="shared" si="21"/>
        <v>#NUM!</v>
      </c>
      <c r="I489" s="2">
        <f t="shared" si="22"/>
        <v>0.37390096630005903</v>
      </c>
      <c r="K489" s="2" t="e">
        <f t="shared" si="23"/>
        <v>#NUM!</v>
      </c>
    </row>
    <row r="490" spans="1:11" ht="13.9" x14ac:dyDescent="0.3">
      <c r="A490" s="2" t="s">
        <v>507</v>
      </c>
      <c r="B490" s="2">
        <v>0</v>
      </c>
      <c r="C490" s="2">
        <v>0</v>
      </c>
      <c r="D490" s="2">
        <v>0</v>
      </c>
      <c r="E490" s="2">
        <v>0.59</v>
      </c>
      <c r="F490" s="2">
        <v>0.53</v>
      </c>
      <c r="G490" s="2">
        <v>1.37</v>
      </c>
      <c r="H490" s="2" t="e">
        <f t="shared" si="21"/>
        <v>#NUM!</v>
      </c>
      <c r="I490" s="2">
        <f t="shared" si="22"/>
        <v>3.7374182745025596E-2</v>
      </c>
      <c r="K490" s="2" t="e">
        <f t="shared" si="23"/>
        <v>#NUM!</v>
      </c>
    </row>
    <row r="491" spans="1:11" ht="13.9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1"/>
        <v>#DIV/0!</v>
      </c>
      <c r="I491" s="2" t="e">
        <f t="shared" si="22"/>
        <v>#DIV/0!</v>
      </c>
      <c r="K491" s="2" t="e">
        <f t="shared" si="23"/>
        <v>#NUM!</v>
      </c>
    </row>
    <row r="492" spans="1:11" ht="13.9" x14ac:dyDescent="0.3">
      <c r="A492" s="2" t="s">
        <v>509</v>
      </c>
      <c r="B492" s="2">
        <v>0</v>
      </c>
      <c r="C492" s="2">
        <v>0</v>
      </c>
      <c r="D492" s="2">
        <v>0</v>
      </c>
      <c r="E492" s="2">
        <v>0.3</v>
      </c>
      <c r="F492" s="2">
        <v>0</v>
      </c>
      <c r="G492" s="2">
        <v>2.21</v>
      </c>
      <c r="H492" s="2" t="e">
        <f t="shared" si="21"/>
        <v>#NUM!</v>
      </c>
      <c r="I492" s="2">
        <f t="shared" si="22"/>
        <v>0.29328221279686922</v>
      </c>
      <c r="K492" s="2" t="e">
        <f t="shared" si="23"/>
        <v>#NUM!</v>
      </c>
    </row>
    <row r="493" spans="1:11" ht="13.9" x14ac:dyDescent="0.3">
      <c r="A493" s="2" t="s">
        <v>510</v>
      </c>
      <c r="B493" s="2">
        <v>11.87</v>
      </c>
      <c r="C493" s="2">
        <v>15.61</v>
      </c>
      <c r="D493" s="2">
        <v>49.34</v>
      </c>
      <c r="E493" s="2">
        <v>65.05</v>
      </c>
      <c r="F493" s="2">
        <v>49.07</v>
      </c>
      <c r="G493" s="2">
        <v>53.11</v>
      </c>
      <c r="H493" s="2">
        <f t="shared" si="21"/>
        <v>-1.1222798119828716</v>
      </c>
      <c r="I493" s="2">
        <f t="shared" si="22"/>
        <v>7.884571997691836E-2</v>
      </c>
      <c r="K493" s="2">
        <f t="shared" si="23"/>
        <v>6.2634100587563406</v>
      </c>
    </row>
    <row r="494" spans="1:11" ht="13.9" x14ac:dyDescent="0.3">
      <c r="A494" s="2" t="s">
        <v>511</v>
      </c>
      <c r="B494" s="2">
        <v>339.83</v>
      </c>
      <c r="C494" s="2">
        <v>161.99</v>
      </c>
      <c r="D494" s="2">
        <v>352.84</v>
      </c>
      <c r="E494" s="2">
        <v>369.39</v>
      </c>
      <c r="F494" s="2">
        <v>238.53</v>
      </c>
      <c r="G494" s="2">
        <v>318.05</v>
      </c>
      <c r="H494" s="2">
        <f t="shared" si="21"/>
        <v>-0.11561485054070461</v>
      </c>
      <c r="I494" s="2">
        <f t="shared" si="22"/>
        <v>0.759082611469869</v>
      </c>
      <c r="K494" s="2">
        <f t="shared" si="23"/>
        <v>9.7392067923822356</v>
      </c>
    </row>
    <row r="495" spans="1:11" ht="13.9" x14ac:dyDescent="0.3">
      <c r="A495" s="2" t="s">
        <v>512</v>
      </c>
      <c r="B495" s="2">
        <v>0.33</v>
      </c>
      <c r="C495" s="2">
        <v>0.24</v>
      </c>
      <c r="D495" s="2">
        <v>0</v>
      </c>
      <c r="E495" s="2">
        <v>0</v>
      </c>
      <c r="F495" s="2">
        <v>0</v>
      </c>
      <c r="G495" s="2">
        <v>0.11</v>
      </c>
      <c r="H495" s="2">
        <f t="shared" si="21"/>
        <v>2.3734583955274449</v>
      </c>
      <c r="I495" s="2">
        <f t="shared" si="22"/>
        <v>0.21831936970950383</v>
      </c>
      <c r="K495" s="2">
        <f t="shared" si="23"/>
        <v>-0.81096617560998285</v>
      </c>
    </row>
    <row r="496" spans="1:11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0.2</v>
      </c>
      <c r="F496" s="2">
        <v>0</v>
      </c>
      <c r="G496" s="2">
        <v>0</v>
      </c>
      <c r="H496" s="2" t="e">
        <f t="shared" si="21"/>
        <v>#NUM!</v>
      </c>
      <c r="I496" s="2">
        <f t="shared" si="22"/>
        <v>0.37390096630005903</v>
      </c>
      <c r="K496" s="2" t="e">
        <f t="shared" si="23"/>
        <v>#NUM!</v>
      </c>
    </row>
    <row r="497" spans="1:11" ht="13.9" x14ac:dyDescent="0.3">
      <c r="A497" s="2" t="s">
        <v>514</v>
      </c>
      <c r="B497" s="2">
        <v>0</v>
      </c>
      <c r="C497" s="2">
        <v>1.95</v>
      </c>
      <c r="D497" s="2">
        <v>0.18</v>
      </c>
      <c r="E497" s="2">
        <v>0</v>
      </c>
      <c r="F497" s="2">
        <v>0</v>
      </c>
      <c r="G497" s="2">
        <v>0</v>
      </c>
      <c r="H497" s="2" t="e">
        <f t="shared" si="21"/>
        <v>#DIV/0!</v>
      </c>
      <c r="I497" s="2">
        <f t="shared" si="22"/>
        <v>0.31748324238639619</v>
      </c>
      <c r="K497" s="2">
        <f t="shared" si="23"/>
        <v>1.0908534304511135</v>
      </c>
    </row>
    <row r="498" spans="1:11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0.39</v>
      </c>
      <c r="F498" s="2">
        <v>0</v>
      </c>
      <c r="G498" s="2">
        <v>0</v>
      </c>
      <c r="H498" s="2" t="e">
        <f t="shared" si="21"/>
        <v>#NUM!</v>
      </c>
      <c r="I498" s="2">
        <f t="shared" si="22"/>
        <v>0.37390096630005903</v>
      </c>
      <c r="K498" s="2" t="e">
        <f t="shared" si="23"/>
        <v>#NUM!</v>
      </c>
    </row>
    <row r="499" spans="1:11" ht="13.9" x14ac:dyDescent="0.3">
      <c r="A499" s="2" t="s">
        <v>516</v>
      </c>
      <c r="B499" s="2">
        <v>0.33</v>
      </c>
      <c r="C499" s="2">
        <v>4.1500000000000004</v>
      </c>
      <c r="D499" s="2">
        <v>8.01</v>
      </c>
      <c r="E499" s="2">
        <v>1.78</v>
      </c>
      <c r="F499" s="2">
        <v>0.53</v>
      </c>
      <c r="G499" s="2">
        <v>1.48</v>
      </c>
      <c r="H499" s="2">
        <f t="shared" si="21"/>
        <v>1.7205037234368656</v>
      </c>
      <c r="I499" s="2">
        <f t="shared" si="22"/>
        <v>0.26671364012844462</v>
      </c>
      <c r="K499" s="2">
        <f t="shared" si="23"/>
        <v>3.6427015718332325</v>
      </c>
    </row>
    <row r="500" spans="1:11" ht="13.9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1.74</v>
      </c>
      <c r="G500" s="2">
        <v>0</v>
      </c>
      <c r="H500" s="2" t="e">
        <f t="shared" si="21"/>
        <v>#NUM!</v>
      </c>
      <c r="I500" s="2">
        <f t="shared" si="22"/>
        <v>0.37390096630005903</v>
      </c>
      <c r="K500" s="2" t="e">
        <f t="shared" si="23"/>
        <v>#NUM!</v>
      </c>
    </row>
    <row r="501" spans="1:11" ht="13.9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2.0099999999999998</v>
      </c>
      <c r="G501" s="2">
        <v>0</v>
      </c>
      <c r="H501" s="2" t="e">
        <f t="shared" si="21"/>
        <v>#NUM!</v>
      </c>
      <c r="I501" s="2">
        <f t="shared" si="22"/>
        <v>0.37390096630005903</v>
      </c>
      <c r="K501" s="2" t="e">
        <f t="shared" si="23"/>
        <v>#NUM!</v>
      </c>
    </row>
    <row r="502" spans="1:11" ht="13.9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1.74</v>
      </c>
      <c r="G502" s="2">
        <v>0</v>
      </c>
      <c r="H502" s="2" t="e">
        <f t="shared" si="21"/>
        <v>#NUM!</v>
      </c>
      <c r="I502" s="2">
        <f t="shared" si="22"/>
        <v>0.37390096630005903</v>
      </c>
      <c r="K502" s="2" t="e">
        <f t="shared" si="23"/>
        <v>#NUM!</v>
      </c>
    </row>
    <row r="503" spans="1:11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0.2</v>
      </c>
      <c r="F503" s="2">
        <v>0</v>
      </c>
      <c r="G503" s="2">
        <v>0</v>
      </c>
      <c r="H503" s="2" t="e">
        <f t="shared" si="21"/>
        <v>#NUM!</v>
      </c>
      <c r="I503" s="2">
        <f t="shared" si="22"/>
        <v>0.37390096630005903</v>
      </c>
      <c r="K503" s="2" t="e">
        <f t="shared" si="23"/>
        <v>#NUM!</v>
      </c>
    </row>
    <row r="504" spans="1:11" ht="13.9" x14ac:dyDescent="0.3">
      <c r="A504" s="2" t="s">
        <v>521</v>
      </c>
      <c r="B504" s="2">
        <v>13.84</v>
      </c>
      <c r="C504" s="2">
        <v>0</v>
      </c>
      <c r="D504" s="2">
        <v>0</v>
      </c>
      <c r="E504" s="2">
        <v>0</v>
      </c>
      <c r="F504" s="2">
        <v>0</v>
      </c>
      <c r="G504" s="2">
        <v>0.53</v>
      </c>
      <c r="H504" s="2">
        <f t="shared" si="21"/>
        <v>4.7067077730735258</v>
      </c>
      <c r="I504" s="2">
        <f t="shared" si="22"/>
        <v>0.39097240983650011</v>
      </c>
      <c r="K504" s="2">
        <f t="shared" si="23"/>
        <v>3.7907720378620002</v>
      </c>
    </row>
    <row r="505" spans="1:11" ht="13.9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 t="e">
        <f t="shared" si="21"/>
        <v>#DIV/0!</v>
      </c>
      <c r="I505" s="2" t="e">
        <f t="shared" si="22"/>
        <v>#DIV/0!</v>
      </c>
      <c r="K505" s="2" t="e">
        <f t="shared" si="23"/>
        <v>#NUM!</v>
      </c>
    </row>
    <row r="506" spans="1:11" ht="13.9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1.0900000000000001</v>
      </c>
      <c r="F506" s="2">
        <v>0.53</v>
      </c>
      <c r="G506" s="2">
        <v>0</v>
      </c>
      <c r="H506" s="2" t="e">
        <f t="shared" si="21"/>
        <v>#NUM!</v>
      </c>
      <c r="I506" s="2">
        <f t="shared" si="22"/>
        <v>0.16131413390526517</v>
      </c>
      <c r="K506" s="2" t="e">
        <f t="shared" si="23"/>
        <v>#NUM!</v>
      </c>
    </row>
    <row r="507" spans="1:11" ht="13.9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1"/>
        <v>#DIV/0!</v>
      </c>
      <c r="I507" s="2" t="e">
        <f t="shared" si="22"/>
        <v>#DIV/0!</v>
      </c>
      <c r="K507" s="2" t="e">
        <f t="shared" si="23"/>
        <v>#NUM!</v>
      </c>
    </row>
    <row r="508" spans="1:11" ht="13.9" x14ac:dyDescent="0.3">
      <c r="A508" s="2" t="s">
        <v>525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 t="e">
        <f t="shared" si="21"/>
        <v>#DIV/0!</v>
      </c>
      <c r="I508" s="2" t="e">
        <f t="shared" si="22"/>
        <v>#DIV/0!</v>
      </c>
      <c r="K508" s="2" t="e">
        <f t="shared" si="23"/>
        <v>#NUM!</v>
      </c>
    </row>
    <row r="509" spans="1:11" ht="13.9" x14ac:dyDescent="0.3">
      <c r="A509" s="2" t="s">
        <v>526</v>
      </c>
      <c r="B509" s="2">
        <v>26.04</v>
      </c>
      <c r="C509" s="2">
        <v>16.350000000000001</v>
      </c>
      <c r="D509" s="2">
        <v>0.18</v>
      </c>
      <c r="E509" s="2">
        <v>7.4</v>
      </c>
      <c r="F509" s="2">
        <v>6.28</v>
      </c>
      <c r="G509" s="2">
        <v>5.27</v>
      </c>
      <c r="H509" s="2">
        <f t="shared" si="21"/>
        <v>1.1676392417232537</v>
      </c>
      <c r="I509" s="2">
        <f t="shared" si="22"/>
        <v>0.35692150784248716</v>
      </c>
      <c r="K509" s="2">
        <f t="shared" si="23"/>
        <v>5.411765185006983</v>
      </c>
    </row>
    <row r="510" spans="1:11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1.0900000000000001</v>
      </c>
      <c r="F510" s="2">
        <v>0.4</v>
      </c>
      <c r="G510" s="2">
        <v>0</v>
      </c>
      <c r="H510" s="2" t="e">
        <f t="shared" si="21"/>
        <v>#NUM!</v>
      </c>
      <c r="I510" s="2">
        <f t="shared" si="22"/>
        <v>0.19374132372085301</v>
      </c>
      <c r="K510" s="2" t="e">
        <f t="shared" si="23"/>
        <v>#NUM!</v>
      </c>
    </row>
    <row r="511" spans="1:11" ht="13.9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1"/>
        <v>#DIV/0!</v>
      </c>
      <c r="I511" s="2" t="e">
        <f t="shared" si="22"/>
        <v>#DIV/0!</v>
      </c>
      <c r="K511" s="2" t="e">
        <f t="shared" si="23"/>
        <v>#NUM!</v>
      </c>
    </row>
    <row r="512" spans="1:11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1.2</v>
      </c>
      <c r="G512" s="2">
        <v>0</v>
      </c>
      <c r="H512" s="2" t="e">
        <f t="shared" si="21"/>
        <v>#NUM!</v>
      </c>
      <c r="I512" s="2">
        <f t="shared" si="22"/>
        <v>0.37390096630005903</v>
      </c>
      <c r="K512" s="2" t="e">
        <f t="shared" si="23"/>
        <v>#NUM!</v>
      </c>
    </row>
    <row r="513" spans="1:11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 t="e">
        <f t="shared" si="21"/>
        <v>#DIV/0!</v>
      </c>
      <c r="I513" s="2" t="e">
        <f t="shared" si="22"/>
        <v>#DIV/0!</v>
      </c>
      <c r="K513" s="2" t="e">
        <f t="shared" si="23"/>
        <v>#NUM!</v>
      </c>
    </row>
    <row r="514" spans="1:11" ht="13.9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0.59</v>
      </c>
      <c r="F514" s="2">
        <v>0</v>
      </c>
      <c r="G514" s="2">
        <v>0.74</v>
      </c>
      <c r="H514" s="2" t="e">
        <f t="shared" ref="H514:H577" si="24">LOG(SUM(B514:D514)/SUM(E514:G514),2)</f>
        <v>#NUM!</v>
      </c>
      <c r="I514" s="2">
        <f t="shared" ref="I514:I577" si="25">_xlfn.T.TEST(B514:D514,E514:G514,2,2)</f>
        <v>0.12115128356027027</v>
      </c>
      <c r="K514" s="2" t="e">
        <f t="shared" si="23"/>
        <v>#NUM!</v>
      </c>
    </row>
    <row r="515" spans="1:11" ht="13.9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24"/>
        <v>#DIV/0!</v>
      </c>
      <c r="I515" s="2" t="e">
        <f t="shared" si="25"/>
        <v>#DIV/0!</v>
      </c>
      <c r="K515" s="2" t="e">
        <f t="shared" ref="K515:K578" si="26">LOG(SUM(B515:D515),2)</f>
        <v>#NUM!</v>
      </c>
    </row>
    <row r="516" spans="1:11" ht="13.9" x14ac:dyDescent="0.3">
      <c r="A516" s="2" t="s">
        <v>533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24"/>
        <v>#DIV/0!</v>
      </c>
      <c r="I516" s="2" t="e">
        <f t="shared" si="25"/>
        <v>#DIV/0!</v>
      </c>
      <c r="K516" s="2" t="e">
        <f t="shared" si="26"/>
        <v>#NUM!</v>
      </c>
    </row>
    <row r="517" spans="1:11" ht="13.9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0.69</v>
      </c>
      <c r="F517" s="2">
        <v>1.74</v>
      </c>
      <c r="G517" s="2">
        <v>0.53</v>
      </c>
      <c r="H517" s="2" t="e">
        <f t="shared" si="24"/>
        <v>#NUM!</v>
      </c>
      <c r="I517" s="2">
        <f t="shared" si="25"/>
        <v>6.0048469433518471E-2</v>
      </c>
      <c r="K517" s="2" t="e">
        <f t="shared" si="26"/>
        <v>#NUM!</v>
      </c>
    </row>
    <row r="518" spans="1:11" ht="13.9" x14ac:dyDescent="0.3">
      <c r="A518" s="2" t="s">
        <v>535</v>
      </c>
      <c r="B518" s="2">
        <v>0.33</v>
      </c>
      <c r="C518" s="2">
        <v>0</v>
      </c>
      <c r="D518" s="2">
        <v>0</v>
      </c>
      <c r="E518" s="2">
        <v>0</v>
      </c>
      <c r="F518" s="2">
        <v>0.53</v>
      </c>
      <c r="G518" s="2">
        <v>0</v>
      </c>
      <c r="H518" s="2">
        <f t="shared" si="24"/>
        <v>-0.68352633520474582</v>
      </c>
      <c r="I518" s="2">
        <f t="shared" si="25"/>
        <v>0.76474776731945726</v>
      </c>
      <c r="K518" s="2">
        <f t="shared" si="26"/>
        <v>-1.5994620704162712</v>
      </c>
    </row>
    <row r="519" spans="1:11" ht="13.9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0.53</v>
      </c>
      <c r="G519" s="2">
        <v>0</v>
      </c>
      <c r="H519" s="2" t="e">
        <f t="shared" si="24"/>
        <v>#NUM!</v>
      </c>
      <c r="I519" s="2">
        <f t="shared" si="25"/>
        <v>0.37390096630005903</v>
      </c>
      <c r="K519" s="2" t="e">
        <f t="shared" si="26"/>
        <v>#NUM!</v>
      </c>
    </row>
    <row r="520" spans="1:11" ht="13.9" x14ac:dyDescent="0.3">
      <c r="A520" s="2" t="s">
        <v>537</v>
      </c>
      <c r="B520" s="2">
        <v>0</v>
      </c>
      <c r="C520" s="2">
        <v>0</v>
      </c>
      <c r="D520" s="2">
        <v>9.2899999999999991</v>
      </c>
      <c r="E520" s="2">
        <v>2.86</v>
      </c>
      <c r="F520" s="2">
        <v>0.8</v>
      </c>
      <c r="G520" s="2">
        <v>0.21</v>
      </c>
      <c r="H520" s="2">
        <f t="shared" si="24"/>
        <v>1.2633450302382425</v>
      </c>
      <c r="I520" s="2">
        <f t="shared" si="25"/>
        <v>0.60242147320044404</v>
      </c>
      <c r="K520" s="2">
        <f t="shared" si="26"/>
        <v>3.2156785966079284</v>
      </c>
    </row>
    <row r="521" spans="1:11" ht="13.9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 t="e">
        <f t="shared" si="24"/>
        <v>#DIV/0!</v>
      </c>
      <c r="I521" s="2" t="e">
        <f t="shared" si="25"/>
        <v>#DIV/0!</v>
      </c>
      <c r="K521" s="2" t="e">
        <f t="shared" si="26"/>
        <v>#NUM!</v>
      </c>
    </row>
    <row r="522" spans="1:11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1.07</v>
      </c>
      <c r="G522" s="2">
        <v>0.11</v>
      </c>
      <c r="H522" s="2" t="e">
        <f t="shared" si="24"/>
        <v>#NUM!</v>
      </c>
      <c r="I522" s="2">
        <f t="shared" si="25"/>
        <v>0.31148793307493639</v>
      </c>
      <c r="K522" s="2" t="e">
        <f t="shared" si="26"/>
        <v>#NUM!</v>
      </c>
    </row>
    <row r="523" spans="1:11" ht="13.9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0.21</v>
      </c>
      <c r="H523" s="2" t="e">
        <f t="shared" si="24"/>
        <v>#NUM!</v>
      </c>
      <c r="I523" s="2">
        <f t="shared" si="25"/>
        <v>0.37390096630005903</v>
      </c>
      <c r="K523" s="2" t="e">
        <f t="shared" si="26"/>
        <v>#NUM!</v>
      </c>
    </row>
    <row r="524" spans="1:11" ht="13.9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24"/>
        <v>#DIV/0!</v>
      </c>
      <c r="I524" s="2" t="e">
        <f t="shared" si="25"/>
        <v>#DIV/0!</v>
      </c>
      <c r="K524" s="2" t="e">
        <f t="shared" si="26"/>
        <v>#NUM!</v>
      </c>
    </row>
    <row r="525" spans="1:11" ht="13.9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24"/>
        <v>#DIV/0!</v>
      </c>
      <c r="I525" s="2" t="e">
        <f t="shared" si="25"/>
        <v>#DIV/0!</v>
      </c>
      <c r="K525" s="2" t="e">
        <f t="shared" si="26"/>
        <v>#NUM!</v>
      </c>
    </row>
    <row r="526" spans="1:11" ht="13.9" x14ac:dyDescent="0.3">
      <c r="A526" s="2" t="s">
        <v>543</v>
      </c>
      <c r="B526" s="2">
        <v>5.6</v>
      </c>
      <c r="C526" s="2">
        <v>0</v>
      </c>
      <c r="D526" s="2">
        <v>0</v>
      </c>
      <c r="E526" s="2">
        <v>1.48</v>
      </c>
      <c r="F526" s="2">
        <v>2.14</v>
      </c>
      <c r="G526" s="2">
        <v>1.48</v>
      </c>
      <c r="H526" s="2">
        <f t="shared" si="24"/>
        <v>0.13492958008610864</v>
      </c>
      <c r="I526" s="2">
        <f t="shared" si="25"/>
        <v>0.93360471551484903</v>
      </c>
      <c r="K526" s="2">
        <f t="shared" si="26"/>
        <v>2.485426827170242</v>
      </c>
    </row>
    <row r="527" spans="1:11" ht="13.9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0.39</v>
      </c>
      <c r="F527" s="2">
        <v>0</v>
      </c>
      <c r="G527" s="2">
        <v>0</v>
      </c>
      <c r="H527" s="2" t="e">
        <f t="shared" si="24"/>
        <v>#NUM!</v>
      </c>
      <c r="I527" s="2">
        <f t="shared" si="25"/>
        <v>0.37390096630005903</v>
      </c>
      <c r="K527" s="2" t="e">
        <f t="shared" si="26"/>
        <v>#NUM!</v>
      </c>
    </row>
    <row r="528" spans="1:11" ht="13.9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1.58</v>
      </c>
      <c r="F528" s="2">
        <v>0.13</v>
      </c>
      <c r="G528" s="2">
        <v>0.53</v>
      </c>
      <c r="H528" s="2" t="e">
        <f t="shared" si="24"/>
        <v>#NUM!</v>
      </c>
      <c r="I528" s="2">
        <f t="shared" si="25"/>
        <v>0.15925657415627797</v>
      </c>
      <c r="K528" s="2" t="e">
        <f t="shared" si="26"/>
        <v>#NUM!</v>
      </c>
    </row>
    <row r="529" spans="1:11" ht="13.9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1.2</v>
      </c>
      <c r="G529" s="2">
        <v>0</v>
      </c>
      <c r="H529" s="2" t="e">
        <f t="shared" si="24"/>
        <v>#NUM!</v>
      </c>
      <c r="I529" s="2">
        <f t="shared" si="25"/>
        <v>0.37390096630005903</v>
      </c>
      <c r="K529" s="2" t="e">
        <f t="shared" si="26"/>
        <v>#NUM!</v>
      </c>
    </row>
    <row r="530" spans="1:11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 t="e">
        <f t="shared" si="24"/>
        <v>#DIV/0!</v>
      </c>
      <c r="I530" s="2" t="e">
        <f t="shared" si="25"/>
        <v>#DIV/0!</v>
      </c>
      <c r="K530" s="2" t="e">
        <f t="shared" si="26"/>
        <v>#NUM!</v>
      </c>
    </row>
    <row r="531" spans="1:11" ht="13.9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 t="e">
        <f t="shared" si="24"/>
        <v>#DIV/0!</v>
      </c>
      <c r="I531" s="2" t="e">
        <f t="shared" si="25"/>
        <v>#DIV/0!</v>
      </c>
      <c r="K531" s="2" t="e">
        <f t="shared" si="26"/>
        <v>#NUM!</v>
      </c>
    </row>
    <row r="532" spans="1:11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0.53</v>
      </c>
      <c r="G532" s="2">
        <v>0</v>
      </c>
      <c r="H532" s="2" t="e">
        <f t="shared" si="24"/>
        <v>#NUM!</v>
      </c>
      <c r="I532" s="2">
        <f t="shared" si="25"/>
        <v>0.37390096630005903</v>
      </c>
      <c r="K532" s="2" t="e">
        <f t="shared" si="26"/>
        <v>#NUM!</v>
      </c>
    </row>
    <row r="533" spans="1:11" ht="13.9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0.11</v>
      </c>
      <c r="H533" s="2" t="e">
        <f t="shared" si="24"/>
        <v>#NUM!</v>
      </c>
      <c r="I533" s="2">
        <f t="shared" si="25"/>
        <v>0.37390096630005903</v>
      </c>
      <c r="K533" s="2" t="e">
        <f t="shared" si="26"/>
        <v>#NUM!</v>
      </c>
    </row>
    <row r="534" spans="1:11" ht="13.9" x14ac:dyDescent="0.3">
      <c r="A534" s="2" t="s">
        <v>551</v>
      </c>
      <c r="B534" s="2">
        <v>30.98</v>
      </c>
      <c r="C534" s="2">
        <v>30.25</v>
      </c>
      <c r="D534" s="2">
        <v>14.57</v>
      </c>
      <c r="E534" s="2">
        <v>34.65</v>
      </c>
      <c r="F534" s="2">
        <v>26.47</v>
      </c>
      <c r="G534" s="2">
        <v>35.200000000000003</v>
      </c>
      <c r="H534" s="2">
        <f t="shared" si="24"/>
        <v>-0.34563754370124777</v>
      </c>
      <c r="I534" s="2">
        <f t="shared" si="25"/>
        <v>0.32151438002986382</v>
      </c>
      <c r="K534" s="2">
        <f t="shared" si="26"/>
        <v>6.2441259432837297</v>
      </c>
    </row>
    <row r="535" spans="1:11" ht="13.9" x14ac:dyDescent="0.3">
      <c r="A535" s="2" t="s">
        <v>552</v>
      </c>
      <c r="B535" s="2">
        <v>0</v>
      </c>
      <c r="C535" s="2">
        <v>0.24</v>
      </c>
      <c r="D535" s="2">
        <v>0</v>
      </c>
      <c r="E535" s="2">
        <v>1.78</v>
      </c>
      <c r="F535" s="2">
        <v>1.2</v>
      </c>
      <c r="G535" s="2">
        <v>0</v>
      </c>
      <c r="H535" s="2">
        <f t="shared" si="24"/>
        <v>-3.6342060197410055</v>
      </c>
      <c r="I535" s="2">
        <f t="shared" si="25"/>
        <v>0.16005792108507888</v>
      </c>
      <c r="K535" s="2">
        <f t="shared" si="26"/>
        <v>-2.0588936890535687</v>
      </c>
    </row>
    <row r="536" spans="1:11" ht="13.9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0.1</v>
      </c>
      <c r="F536" s="2">
        <v>0</v>
      </c>
      <c r="G536" s="2">
        <v>0.32</v>
      </c>
      <c r="H536" s="2" t="e">
        <f t="shared" si="24"/>
        <v>#NUM!</v>
      </c>
      <c r="I536" s="2">
        <f t="shared" si="25"/>
        <v>0.21266625296557221</v>
      </c>
      <c r="K536" s="2" t="e">
        <f t="shared" si="26"/>
        <v>#NUM!</v>
      </c>
    </row>
    <row r="537" spans="1:11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1.18</v>
      </c>
      <c r="F537" s="2">
        <v>0</v>
      </c>
      <c r="G537" s="2">
        <v>0</v>
      </c>
      <c r="H537" s="2" t="e">
        <f t="shared" si="24"/>
        <v>#NUM!</v>
      </c>
      <c r="I537" s="2">
        <f t="shared" si="25"/>
        <v>0.37390096630005903</v>
      </c>
      <c r="K537" s="2" t="e">
        <f t="shared" si="26"/>
        <v>#NUM!</v>
      </c>
    </row>
    <row r="538" spans="1:11" ht="13.9" x14ac:dyDescent="0.3">
      <c r="A538" s="2" t="s">
        <v>555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 t="e">
        <f t="shared" si="24"/>
        <v>#DIV/0!</v>
      </c>
      <c r="I538" s="2" t="e">
        <f t="shared" si="25"/>
        <v>#DIV/0!</v>
      </c>
      <c r="K538" s="2" t="e">
        <f t="shared" si="26"/>
        <v>#NUM!</v>
      </c>
    </row>
    <row r="539" spans="1:11" ht="13.9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0.13</v>
      </c>
      <c r="G539" s="2">
        <v>0</v>
      </c>
      <c r="H539" s="2" t="e">
        <f t="shared" si="24"/>
        <v>#NUM!</v>
      </c>
      <c r="I539" s="2">
        <f t="shared" si="25"/>
        <v>0.37390096630005903</v>
      </c>
      <c r="K539" s="2" t="e">
        <f t="shared" si="26"/>
        <v>#NUM!</v>
      </c>
    </row>
    <row r="540" spans="1:11" ht="13.9" x14ac:dyDescent="0.3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 t="e">
        <f t="shared" si="24"/>
        <v>#DIV/0!</v>
      </c>
      <c r="I540" s="2" t="e">
        <f t="shared" si="25"/>
        <v>#DIV/0!</v>
      </c>
      <c r="K540" s="2" t="e">
        <f t="shared" si="26"/>
        <v>#NUM!</v>
      </c>
    </row>
    <row r="541" spans="1:11" ht="13.9" x14ac:dyDescent="0.3">
      <c r="A541" s="2" t="s">
        <v>558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24"/>
        <v>#DIV/0!</v>
      </c>
      <c r="I541" s="2" t="e">
        <f t="shared" si="25"/>
        <v>#DIV/0!</v>
      </c>
      <c r="K541" s="2" t="e">
        <f t="shared" si="26"/>
        <v>#NUM!</v>
      </c>
    </row>
    <row r="542" spans="1:11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0.2</v>
      </c>
      <c r="F542" s="2">
        <v>0</v>
      </c>
      <c r="G542" s="2">
        <v>0</v>
      </c>
      <c r="H542" s="2" t="e">
        <f t="shared" si="24"/>
        <v>#NUM!</v>
      </c>
      <c r="I542" s="2">
        <f t="shared" si="25"/>
        <v>0.37390096630005903</v>
      </c>
      <c r="K542" s="2" t="e">
        <f t="shared" si="26"/>
        <v>#NUM!</v>
      </c>
    </row>
    <row r="543" spans="1:11" ht="13.9" x14ac:dyDescent="0.3">
      <c r="A543" s="2" t="s">
        <v>560</v>
      </c>
      <c r="B543" s="2">
        <v>0</v>
      </c>
      <c r="C543" s="2">
        <v>0</v>
      </c>
      <c r="D543" s="2">
        <v>0</v>
      </c>
      <c r="E543" s="2">
        <v>0.69</v>
      </c>
      <c r="F543" s="2">
        <v>0.27</v>
      </c>
      <c r="G543" s="2">
        <v>0</v>
      </c>
      <c r="H543" s="2" t="e">
        <f t="shared" si="24"/>
        <v>#NUM!</v>
      </c>
      <c r="I543" s="2">
        <f t="shared" si="25"/>
        <v>0.1861530590266964</v>
      </c>
      <c r="K543" s="2" t="e">
        <f t="shared" si="26"/>
        <v>#NUM!</v>
      </c>
    </row>
    <row r="544" spans="1:11" ht="13.9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0.39</v>
      </c>
      <c r="F544" s="2">
        <v>1.2</v>
      </c>
      <c r="G544" s="2">
        <v>0.32</v>
      </c>
      <c r="H544" s="2" t="e">
        <f t="shared" si="24"/>
        <v>#NUM!</v>
      </c>
      <c r="I544" s="2">
        <f t="shared" si="25"/>
        <v>8.720373301028353E-2</v>
      </c>
      <c r="K544" s="2" t="e">
        <f t="shared" si="26"/>
        <v>#NUM!</v>
      </c>
    </row>
    <row r="545" spans="1:11" ht="13.9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 t="e">
        <f t="shared" si="24"/>
        <v>#DIV/0!</v>
      </c>
      <c r="I545" s="2" t="e">
        <f t="shared" si="25"/>
        <v>#DIV/0!</v>
      </c>
      <c r="K545" s="2" t="e">
        <f t="shared" si="26"/>
        <v>#NUM!</v>
      </c>
    </row>
    <row r="546" spans="1:11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0.32</v>
      </c>
      <c r="H546" s="2" t="e">
        <f t="shared" si="24"/>
        <v>#NUM!</v>
      </c>
      <c r="I546" s="2">
        <f t="shared" si="25"/>
        <v>0.37390096630005903</v>
      </c>
      <c r="K546" s="2" t="e">
        <f t="shared" si="26"/>
        <v>#NUM!</v>
      </c>
    </row>
    <row r="547" spans="1:11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 t="e">
        <f t="shared" si="24"/>
        <v>#DIV/0!</v>
      </c>
      <c r="I547" s="2" t="e">
        <f t="shared" si="25"/>
        <v>#DIV/0!</v>
      </c>
      <c r="K547" s="2" t="e">
        <f t="shared" si="26"/>
        <v>#NUM!</v>
      </c>
    </row>
    <row r="548" spans="1:11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 t="e">
        <f t="shared" si="24"/>
        <v>#DIV/0!</v>
      </c>
      <c r="I548" s="2" t="e">
        <f t="shared" si="25"/>
        <v>#DIV/0!</v>
      </c>
      <c r="K548" s="2" t="e">
        <f t="shared" si="26"/>
        <v>#NUM!</v>
      </c>
    </row>
    <row r="549" spans="1:11" ht="13.9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0.79</v>
      </c>
      <c r="F549" s="2">
        <v>0.27</v>
      </c>
      <c r="G549" s="2">
        <v>0</v>
      </c>
      <c r="H549" s="2" t="e">
        <f t="shared" si="24"/>
        <v>#NUM!</v>
      </c>
      <c r="I549" s="2">
        <f t="shared" si="25"/>
        <v>0.20215848027515795</v>
      </c>
      <c r="K549" s="2" t="e">
        <f t="shared" si="26"/>
        <v>#NUM!</v>
      </c>
    </row>
    <row r="550" spans="1:11" ht="13.9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 t="e">
        <f t="shared" si="24"/>
        <v>#DIV/0!</v>
      </c>
      <c r="I550" s="2" t="e">
        <f t="shared" si="25"/>
        <v>#DIV/0!</v>
      </c>
      <c r="K550" s="2" t="e">
        <f t="shared" si="26"/>
        <v>#NUM!</v>
      </c>
    </row>
    <row r="551" spans="1:11" ht="13.9" x14ac:dyDescent="0.3">
      <c r="A551" s="2" t="s">
        <v>568</v>
      </c>
      <c r="B551" s="2">
        <v>0</v>
      </c>
      <c r="C551" s="2">
        <v>0</v>
      </c>
      <c r="D551" s="2">
        <v>0</v>
      </c>
      <c r="E551" s="2">
        <v>0.3</v>
      </c>
      <c r="F551" s="2">
        <v>0.4</v>
      </c>
      <c r="G551" s="2">
        <v>0</v>
      </c>
      <c r="H551" s="2" t="e">
        <f t="shared" si="24"/>
        <v>#NUM!</v>
      </c>
      <c r="I551" s="2">
        <f t="shared" si="25"/>
        <v>0.12417023554784123</v>
      </c>
      <c r="K551" s="2" t="e">
        <f t="shared" si="26"/>
        <v>#NUM!</v>
      </c>
    </row>
    <row r="552" spans="1:11" ht="13.9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24"/>
        <v>#DIV/0!</v>
      </c>
      <c r="I552" s="2" t="e">
        <f t="shared" si="25"/>
        <v>#DIV/0!</v>
      </c>
      <c r="K552" s="2" t="e">
        <f t="shared" si="26"/>
        <v>#NUM!</v>
      </c>
    </row>
    <row r="553" spans="1:11" ht="13.9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0.3</v>
      </c>
      <c r="F553" s="2">
        <v>0.67</v>
      </c>
      <c r="G553" s="2">
        <v>0.42</v>
      </c>
      <c r="H553" s="2" t="e">
        <f t="shared" si="24"/>
        <v>#NUM!</v>
      </c>
      <c r="I553" s="2">
        <f t="shared" si="25"/>
        <v>1.3144004309966744E-2</v>
      </c>
      <c r="K553" s="2" t="e">
        <f t="shared" si="26"/>
        <v>#NUM!</v>
      </c>
    </row>
    <row r="554" spans="1:11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0.49</v>
      </c>
      <c r="F554" s="2">
        <v>0.13</v>
      </c>
      <c r="G554" s="2">
        <v>0</v>
      </c>
      <c r="H554" s="2" t="e">
        <f t="shared" si="24"/>
        <v>#NUM!</v>
      </c>
      <c r="I554" s="2">
        <f t="shared" si="25"/>
        <v>0.23129897449669085</v>
      </c>
      <c r="K554" s="2" t="e">
        <f t="shared" si="26"/>
        <v>#NUM!</v>
      </c>
    </row>
    <row r="555" spans="1:11" ht="13.9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 t="e">
        <f t="shared" si="24"/>
        <v>#DIV/0!</v>
      </c>
      <c r="I555" s="2" t="e">
        <f t="shared" si="25"/>
        <v>#DIV/0!</v>
      </c>
      <c r="K555" s="2" t="e">
        <f t="shared" si="26"/>
        <v>#NUM!</v>
      </c>
    </row>
    <row r="556" spans="1:11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0.3</v>
      </c>
      <c r="F556" s="2">
        <v>0</v>
      </c>
      <c r="G556" s="2">
        <v>0</v>
      </c>
      <c r="H556" s="2" t="e">
        <f t="shared" si="24"/>
        <v>#NUM!</v>
      </c>
      <c r="I556" s="2">
        <f t="shared" si="25"/>
        <v>0.37390096630005903</v>
      </c>
      <c r="K556" s="2" t="e">
        <f t="shared" si="26"/>
        <v>#NUM!</v>
      </c>
    </row>
    <row r="557" spans="1:11" ht="13.9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0.94</v>
      </c>
      <c r="G557" s="2">
        <v>0.11</v>
      </c>
      <c r="H557" s="2" t="e">
        <f t="shared" si="24"/>
        <v>#NUM!</v>
      </c>
      <c r="I557" s="2">
        <f t="shared" si="25"/>
        <v>0.30351543212566295</v>
      </c>
      <c r="K557" s="2" t="e">
        <f t="shared" si="26"/>
        <v>#NUM!</v>
      </c>
    </row>
    <row r="558" spans="1:11" ht="13.9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0.39</v>
      </c>
      <c r="F558" s="2">
        <v>0.13</v>
      </c>
      <c r="G558" s="2">
        <v>0</v>
      </c>
      <c r="H558" s="2" t="e">
        <f t="shared" si="24"/>
        <v>#NUM!</v>
      </c>
      <c r="I558" s="2">
        <f t="shared" si="25"/>
        <v>0.20510645520407772</v>
      </c>
      <c r="K558" s="2" t="e">
        <f t="shared" si="26"/>
        <v>#NUM!</v>
      </c>
    </row>
    <row r="559" spans="1:11" ht="13.9" x14ac:dyDescent="0.3">
      <c r="A559" s="2" t="s">
        <v>576</v>
      </c>
      <c r="B559" s="2">
        <v>0</v>
      </c>
      <c r="C559" s="2">
        <v>0</v>
      </c>
      <c r="D559" s="2">
        <v>0</v>
      </c>
      <c r="E559" s="2">
        <v>3.65</v>
      </c>
      <c r="F559" s="2">
        <v>3.61</v>
      </c>
      <c r="G559" s="2">
        <v>2.63</v>
      </c>
      <c r="H559" s="2" t="e">
        <f t="shared" si="24"/>
        <v>#NUM!</v>
      </c>
      <c r="I559" s="2">
        <f t="shared" si="25"/>
        <v>5.8794670813449928E-4</v>
      </c>
      <c r="K559" s="2" t="e">
        <f t="shared" si="26"/>
        <v>#NUM!</v>
      </c>
    </row>
    <row r="560" spans="1:11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0.32</v>
      </c>
      <c r="H560" s="2" t="e">
        <f t="shared" si="24"/>
        <v>#NUM!</v>
      </c>
      <c r="I560" s="2">
        <f t="shared" si="25"/>
        <v>0.37390096630005903</v>
      </c>
      <c r="K560" s="2" t="e">
        <f t="shared" si="26"/>
        <v>#NUM!</v>
      </c>
    </row>
    <row r="561" spans="1:11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0.49</v>
      </c>
      <c r="F561" s="2">
        <v>0</v>
      </c>
      <c r="G561" s="2">
        <v>0</v>
      </c>
      <c r="H561" s="2" t="e">
        <f t="shared" si="24"/>
        <v>#NUM!</v>
      </c>
      <c r="I561" s="2">
        <f t="shared" si="25"/>
        <v>0.37390096630005903</v>
      </c>
      <c r="K561" s="2" t="e">
        <f t="shared" si="26"/>
        <v>#NUM!</v>
      </c>
    </row>
    <row r="562" spans="1:11" ht="13.9" x14ac:dyDescent="0.3">
      <c r="A562" s="2" t="s">
        <v>579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24"/>
        <v>#DIV/0!</v>
      </c>
      <c r="I562" s="2" t="e">
        <f t="shared" si="25"/>
        <v>#DIV/0!</v>
      </c>
      <c r="K562" s="2" t="e">
        <f t="shared" si="26"/>
        <v>#NUM!</v>
      </c>
    </row>
    <row r="563" spans="1:11" ht="13.9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0</v>
      </c>
      <c r="F563" s="2">
        <v>0.53</v>
      </c>
      <c r="G563" s="2">
        <v>0</v>
      </c>
      <c r="H563" s="2" t="e">
        <f t="shared" si="24"/>
        <v>#NUM!</v>
      </c>
      <c r="I563" s="2">
        <f t="shared" si="25"/>
        <v>0.37390096630005903</v>
      </c>
      <c r="K563" s="2" t="e">
        <f t="shared" si="26"/>
        <v>#NUM!</v>
      </c>
    </row>
    <row r="564" spans="1:11" ht="13.9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0.69</v>
      </c>
      <c r="F564" s="2">
        <v>0</v>
      </c>
      <c r="G564" s="2">
        <v>0</v>
      </c>
      <c r="H564" s="2" t="e">
        <f t="shared" si="24"/>
        <v>#NUM!</v>
      </c>
      <c r="I564" s="2">
        <f t="shared" si="25"/>
        <v>0.37390096630005903</v>
      </c>
      <c r="K564" s="2" t="e">
        <f t="shared" si="26"/>
        <v>#NUM!</v>
      </c>
    </row>
    <row r="565" spans="1:11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1.6</v>
      </c>
      <c r="G565" s="2">
        <v>0</v>
      </c>
      <c r="H565" s="2" t="e">
        <f t="shared" si="24"/>
        <v>#NUM!</v>
      </c>
      <c r="I565" s="2">
        <f t="shared" si="25"/>
        <v>0.37390096630005903</v>
      </c>
      <c r="K565" s="2" t="e">
        <f t="shared" si="26"/>
        <v>#NUM!</v>
      </c>
    </row>
    <row r="566" spans="1:11" ht="13.9" x14ac:dyDescent="0.3">
      <c r="A566" s="2" t="s">
        <v>583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24"/>
        <v>#DIV/0!</v>
      </c>
      <c r="I566" s="2" t="e">
        <f t="shared" si="25"/>
        <v>#DIV/0!</v>
      </c>
      <c r="K566" s="2" t="e">
        <f t="shared" si="26"/>
        <v>#NUM!</v>
      </c>
    </row>
    <row r="567" spans="1:11" ht="13.9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0.1</v>
      </c>
      <c r="F567" s="2">
        <v>0.53</v>
      </c>
      <c r="G567" s="2">
        <v>0.95</v>
      </c>
      <c r="H567" s="2" t="e">
        <f t="shared" si="24"/>
        <v>#NUM!</v>
      </c>
      <c r="I567" s="2">
        <f t="shared" si="25"/>
        <v>9.8385427660993979E-2</v>
      </c>
      <c r="K567" s="2" t="e">
        <f t="shared" si="26"/>
        <v>#NUM!</v>
      </c>
    </row>
    <row r="568" spans="1:11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0.84</v>
      </c>
      <c r="H568" s="2" t="e">
        <f t="shared" si="24"/>
        <v>#NUM!</v>
      </c>
      <c r="I568" s="2">
        <f t="shared" si="25"/>
        <v>0.37390096630005903</v>
      </c>
      <c r="K568" s="2" t="e">
        <f t="shared" si="26"/>
        <v>#NUM!</v>
      </c>
    </row>
    <row r="569" spans="1:11" ht="13.9" x14ac:dyDescent="0.3">
      <c r="A569" s="2" t="s">
        <v>586</v>
      </c>
      <c r="B569" s="2">
        <v>0.33</v>
      </c>
      <c r="C569" s="2">
        <v>0</v>
      </c>
      <c r="D569" s="2">
        <v>9.2899999999999991</v>
      </c>
      <c r="E569" s="2">
        <v>4.24</v>
      </c>
      <c r="F569" s="2">
        <v>6.95</v>
      </c>
      <c r="G569" s="2">
        <v>4.32</v>
      </c>
      <c r="H569" s="2">
        <f t="shared" si="24"/>
        <v>-0.68908988726604903</v>
      </c>
      <c r="I569" s="2">
        <f t="shared" si="25"/>
        <v>0.56930433262496694</v>
      </c>
      <c r="K569" s="2">
        <f t="shared" si="26"/>
        <v>3.2660368939953175</v>
      </c>
    </row>
    <row r="570" spans="1:11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 t="e">
        <f t="shared" si="24"/>
        <v>#DIV/0!</v>
      </c>
      <c r="I570" s="2" t="e">
        <f t="shared" si="25"/>
        <v>#DIV/0!</v>
      </c>
      <c r="K570" s="2" t="e">
        <f t="shared" si="26"/>
        <v>#NUM!</v>
      </c>
    </row>
    <row r="571" spans="1:11" ht="13.9" x14ac:dyDescent="0.3">
      <c r="A571" s="2" t="s">
        <v>588</v>
      </c>
      <c r="B571" s="2">
        <v>0</v>
      </c>
      <c r="C571" s="2">
        <v>0</v>
      </c>
      <c r="D571" s="2">
        <v>0</v>
      </c>
      <c r="E571" s="2">
        <v>0</v>
      </c>
      <c r="F571" s="2">
        <v>0.53</v>
      </c>
      <c r="G571" s="2">
        <v>0</v>
      </c>
      <c r="H571" s="2" t="e">
        <f t="shared" si="24"/>
        <v>#NUM!</v>
      </c>
      <c r="I571" s="2">
        <f t="shared" si="25"/>
        <v>0.37390096630005903</v>
      </c>
      <c r="K571" s="2" t="e">
        <f t="shared" si="26"/>
        <v>#NUM!</v>
      </c>
    </row>
    <row r="572" spans="1:11" ht="13.9" x14ac:dyDescent="0.3">
      <c r="A572" s="2" t="s">
        <v>589</v>
      </c>
      <c r="B572" s="2">
        <v>0.99</v>
      </c>
      <c r="C572" s="2">
        <v>0</v>
      </c>
      <c r="D572" s="2">
        <v>0</v>
      </c>
      <c r="E572" s="2">
        <v>1.88</v>
      </c>
      <c r="F572" s="2">
        <v>0.13</v>
      </c>
      <c r="G572" s="2">
        <v>1.58</v>
      </c>
      <c r="H572" s="2">
        <f t="shared" si="24"/>
        <v>-1.8584834137434418</v>
      </c>
      <c r="I572" s="2">
        <f t="shared" si="25"/>
        <v>0.24287326304720028</v>
      </c>
      <c r="K572" s="2">
        <f t="shared" si="26"/>
        <v>-1.4499569695115091E-2</v>
      </c>
    </row>
    <row r="573" spans="1:11" ht="13.9" x14ac:dyDescent="0.3">
      <c r="A573" s="2" t="s">
        <v>590</v>
      </c>
      <c r="B573" s="2">
        <v>0</v>
      </c>
      <c r="C573" s="2">
        <v>0</v>
      </c>
      <c r="D573" s="2">
        <v>4.7300000000000004</v>
      </c>
      <c r="E573" s="2">
        <v>1.58</v>
      </c>
      <c r="F573" s="2">
        <v>0</v>
      </c>
      <c r="G573" s="2">
        <v>1.48</v>
      </c>
      <c r="H573" s="2">
        <f t="shared" si="24"/>
        <v>0.62830853064674352</v>
      </c>
      <c r="I573" s="2">
        <f t="shared" si="25"/>
        <v>0.75384229903256017</v>
      </c>
      <c r="K573" s="2">
        <f t="shared" si="26"/>
        <v>2.2418401835646709</v>
      </c>
    </row>
    <row r="574" spans="1:11" ht="13.9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0.11</v>
      </c>
      <c r="H574" s="2" t="e">
        <f t="shared" si="24"/>
        <v>#NUM!</v>
      </c>
      <c r="I574" s="2">
        <f t="shared" si="25"/>
        <v>0.37390096630005903</v>
      </c>
      <c r="K574" s="2" t="e">
        <f t="shared" si="26"/>
        <v>#NUM!</v>
      </c>
    </row>
    <row r="575" spans="1:11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0.13</v>
      </c>
      <c r="G575" s="2">
        <v>0</v>
      </c>
      <c r="H575" s="2" t="e">
        <f t="shared" si="24"/>
        <v>#NUM!</v>
      </c>
      <c r="I575" s="2">
        <f t="shared" si="25"/>
        <v>0.37390096630005903</v>
      </c>
      <c r="K575" s="2" t="e">
        <f t="shared" si="26"/>
        <v>#NUM!</v>
      </c>
    </row>
    <row r="576" spans="1:11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 t="e">
        <f t="shared" si="24"/>
        <v>#DIV/0!</v>
      </c>
      <c r="I576" s="2" t="e">
        <f t="shared" si="25"/>
        <v>#DIV/0!</v>
      </c>
      <c r="K576" s="2" t="e">
        <f t="shared" si="26"/>
        <v>#NUM!</v>
      </c>
    </row>
    <row r="577" spans="1:11" ht="13.9" x14ac:dyDescent="0.3">
      <c r="A577" s="2" t="s">
        <v>594</v>
      </c>
      <c r="B577" s="2">
        <v>17.47</v>
      </c>
      <c r="C577" s="2">
        <v>16.350000000000001</v>
      </c>
      <c r="D577" s="2">
        <v>4.7300000000000004</v>
      </c>
      <c r="E577" s="2">
        <v>105.13</v>
      </c>
      <c r="F577" s="2">
        <v>73.94</v>
      </c>
      <c r="G577" s="2">
        <v>100.12</v>
      </c>
      <c r="H577" s="2">
        <f t="shared" si="24"/>
        <v>-2.8564445029107448</v>
      </c>
      <c r="I577" s="2">
        <f t="shared" si="25"/>
        <v>1.5732260718641887E-3</v>
      </c>
      <c r="K577" s="2">
        <f t="shared" si="26"/>
        <v>5.2686589550276723</v>
      </c>
    </row>
    <row r="578" spans="1:11" ht="13.9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1.38</v>
      </c>
      <c r="F578" s="2">
        <v>0</v>
      </c>
      <c r="G578" s="2">
        <v>0.53</v>
      </c>
      <c r="H578" s="2" t="e">
        <f t="shared" ref="H578:H641" si="27">LOG(SUM(B578:D578)/SUM(E578:G578),2)</f>
        <v>#NUM!</v>
      </c>
      <c r="I578" s="2">
        <f t="shared" ref="I578:I641" si="28">_xlfn.T.TEST(B578:D578,E578:G578,2,2)</f>
        <v>0.18835843478770659</v>
      </c>
      <c r="K578" s="2" t="e">
        <f t="shared" si="26"/>
        <v>#NUM!</v>
      </c>
    </row>
    <row r="579" spans="1:11" ht="13.9" x14ac:dyDescent="0.3">
      <c r="A579" s="2" t="s">
        <v>596</v>
      </c>
      <c r="B579" s="2">
        <v>0</v>
      </c>
      <c r="C579" s="2">
        <v>0</v>
      </c>
      <c r="D579" s="2">
        <v>0</v>
      </c>
      <c r="E579" s="2">
        <v>1.97</v>
      </c>
      <c r="F579" s="2">
        <v>4.01</v>
      </c>
      <c r="G579" s="2">
        <v>2.95</v>
      </c>
      <c r="H579" s="2" t="e">
        <f t="shared" si="27"/>
        <v>#NUM!</v>
      </c>
      <c r="I579" s="2">
        <f t="shared" si="28"/>
        <v>7.2141046050831648E-3</v>
      </c>
      <c r="K579" s="2" t="e">
        <f t="shared" ref="K579:K642" si="29">LOG(SUM(B579:D579),2)</f>
        <v>#NUM!</v>
      </c>
    </row>
    <row r="580" spans="1:11" ht="13.9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1.0900000000000001</v>
      </c>
      <c r="F580" s="2">
        <v>0.94</v>
      </c>
      <c r="G580" s="2">
        <v>0.21</v>
      </c>
      <c r="H580" s="2" t="e">
        <f t="shared" si="27"/>
        <v>#NUM!</v>
      </c>
      <c r="I580" s="2">
        <f t="shared" si="28"/>
        <v>5.152934400077458E-2</v>
      </c>
      <c r="K580" s="2" t="e">
        <f t="shared" si="29"/>
        <v>#NUM!</v>
      </c>
    </row>
    <row r="581" spans="1:11" ht="13.9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0.13</v>
      </c>
      <c r="G581" s="2">
        <v>0</v>
      </c>
      <c r="H581" s="2" t="e">
        <f t="shared" si="27"/>
        <v>#NUM!</v>
      </c>
      <c r="I581" s="2">
        <f t="shared" si="28"/>
        <v>0.37390096630005903</v>
      </c>
      <c r="K581" s="2" t="e">
        <f t="shared" si="29"/>
        <v>#NUM!</v>
      </c>
    </row>
    <row r="582" spans="1:11" ht="13.9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 t="e">
        <f t="shared" si="27"/>
        <v>#DIV/0!</v>
      </c>
      <c r="I582" s="2" t="e">
        <f t="shared" si="28"/>
        <v>#DIV/0!</v>
      </c>
      <c r="K582" s="2" t="e">
        <f t="shared" si="29"/>
        <v>#NUM!</v>
      </c>
    </row>
    <row r="583" spans="1:11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 t="e">
        <f t="shared" si="27"/>
        <v>#DIV/0!</v>
      </c>
      <c r="I583" s="2" t="e">
        <f t="shared" si="28"/>
        <v>#DIV/0!</v>
      </c>
      <c r="K583" s="2" t="e">
        <f t="shared" si="29"/>
        <v>#NUM!</v>
      </c>
    </row>
    <row r="584" spans="1:11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0.99</v>
      </c>
      <c r="F584" s="2">
        <v>0</v>
      </c>
      <c r="G584" s="2">
        <v>0</v>
      </c>
      <c r="H584" s="2" t="e">
        <f t="shared" si="27"/>
        <v>#NUM!</v>
      </c>
      <c r="I584" s="2">
        <f t="shared" si="28"/>
        <v>0.37390096630005903</v>
      </c>
      <c r="K584" s="2" t="e">
        <f t="shared" si="29"/>
        <v>#NUM!</v>
      </c>
    </row>
    <row r="585" spans="1:11" ht="13.9" x14ac:dyDescent="0.3">
      <c r="A585" s="2" t="s">
        <v>602</v>
      </c>
      <c r="B585" s="2">
        <v>0</v>
      </c>
      <c r="C585" s="2">
        <v>15.13</v>
      </c>
      <c r="D585" s="2">
        <v>0</v>
      </c>
      <c r="E585" s="2">
        <v>1.18</v>
      </c>
      <c r="F585" s="2">
        <v>0.67</v>
      </c>
      <c r="G585" s="2">
        <v>0</v>
      </c>
      <c r="H585" s="2">
        <f t="shared" si="27"/>
        <v>3.0318148117004249</v>
      </c>
      <c r="I585" s="2">
        <f t="shared" si="28"/>
        <v>0.43062076076485833</v>
      </c>
      <c r="K585" s="2">
        <f t="shared" si="29"/>
        <v>3.9193400824420124</v>
      </c>
    </row>
    <row r="586" spans="1:11" ht="13.9" x14ac:dyDescent="0.3">
      <c r="A586" s="2" t="s">
        <v>603</v>
      </c>
      <c r="B586" s="2">
        <v>94.6</v>
      </c>
      <c r="C586" s="2">
        <v>174.68</v>
      </c>
      <c r="D586" s="2">
        <v>54.26</v>
      </c>
      <c r="E586" s="2">
        <v>15.79</v>
      </c>
      <c r="F586" s="2">
        <v>36.64</v>
      </c>
      <c r="G586" s="2">
        <v>24.24</v>
      </c>
      <c r="H586" s="2">
        <f t="shared" si="27"/>
        <v>2.0772100020195148</v>
      </c>
      <c r="I586" s="2">
        <f t="shared" si="28"/>
        <v>8.3665021614219098E-2</v>
      </c>
      <c r="K586" s="2">
        <f t="shared" si="29"/>
        <v>8.3378002767505102</v>
      </c>
    </row>
    <row r="587" spans="1:11" ht="13.9" x14ac:dyDescent="0.3">
      <c r="A587" s="2" t="s">
        <v>604</v>
      </c>
      <c r="B587" s="2">
        <v>10.55</v>
      </c>
      <c r="C587" s="2">
        <v>31.72</v>
      </c>
      <c r="D587" s="2">
        <v>0</v>
      </c>
      <c r="E587" s="2">
        <v>11.75</v>
      </c>
      <c r="F587" s="2">
        <v>19.920000000000002</v>
      </c>
      <c r="G587" s="2">
        <v>15.28</v>
      </c>
      <c r="H587" s="2">
        <f t="shared" si="27"/>
        <v>-0.15149104551034429</v>
      </c>
      <c r="I587" s="2">
        <f t="shared" si="28"/>
        <v>0.87906057417959138</v>
      </c>
      <c r="K587" s="2">
        <f t="shared" si="29"/>
        <v>5.4015622072560685</v>
      </c>
    </row>
    <row r="588" spans="1:11" ht="13.9" x14ac:dyDescent="0.3">
      <c r="A588" s="2" t="s">
        <v>605</v>
      </c>
      <c r="B588" s="2">
        <v>1203.42</v>
      </c>
      <c r="C588" s="2">
        <v>1086.1199999999999</v>
      </c>
      <c r="D588" s="2">
        <v>896.85</v>
      </c>
      <c r="E588" s="2">
        <v>1257.53</v>
      </c>
      <c r="F588" s="2">
        <v>1082.76</v>
      </c>
      <c r="G588" s="2">
        <v>1312.58</v>
      </c>
      <c r="H588" s="2">
        <f t="shared" si="27"/>
        <v>-0.1971075541827759</v>
      </c>
      <c r="I588" s="2">
        <f t="shared" si="28"/>
        <v>0.24092403967341133</v>
      </c>
      <c r="K588" s="2">
        <f t="shared" si="29"/>
        <v>11.637707141805143</v>
      </c>
    </row>
    <row r="589" spans="1:11" ht="13.9" x14ac:dyDescent="0.3">
      <c r="A589" s="2" t="s">
        <v>606</v>
      </c>
      <c r="B589" s="2">
        <v>0</v>
      </c>
      <c r="C589" s="2">
        <v>15.61</v>
      </c>
      <c r="D589" s="2">
        <v>0</v>
      </c>
      <c r="E589" s="2">
        <v>4.74</v>
      </c>
      <c r="F589" s="2">
        <v>6.02</v>
      </c>
      <c r="G589" s="2">
        <v>7.8</v>
      </c>
      <c r="H589" s="2">
        <f t="shared" si="27"/>
        <v>-0.24972617314966319</v>
      </c>
      <c r="I589" s="2">
        <f t="shared" si="28"/>
        <v>0.86128175038266463</v>
      </c>
      <c r="K589" s="2">
        <f t="shared" si="29"/>
        <v>3.9643986322031841</v>
      </c>
    </row>
    <row r="590" spans="1:11" ht="13.9" x14ac:dyDescent="0.3">
      <c r="A590" s="2" t="s">
        <v>607</v>
      </c>
      <c r="B590" s="2">
        <v>6.59</v>
      </c>
      <c r="C590" s="2">
        <v>5.86</v>
      </c>
      <c r="D590" s="2">
        <v>15.11</v>
      </c>
      <c r="E590" s="2">
        <v>64.56</v>
      </c>
      <c r="F590" s="2">
        <v>80.489999999999995</v>
      </c>
      <c r="G590" s="2">
        <v>67.87</v>
      </c>
      <c r="H590" s="2">
        <f t="shared" si="27"/>
        <v>-2.9496636782211949</v>
      </c>
      <c r="I590" s="2">
        <f t="shared" si="28"/>
        <v>4.080510155718493E-4</v>
      </c>
      <c r="K590" s="2">
        <f t="shared" si="29"/>
        <v>4.784503982929567</v>
      </c>
    </row>
    <row r="591" spans="1:11" ht="13.9" x14ac:dyDescent="0.3">
      <c r="A591" s="2" t="s">
        <v>608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0.32</v>
      </c>
      <c r="H591" s="2" t="e">
        <f t="shared" si="27"/>
        <v>#NUM!</v>
      </c>
      <c r="I591" s="2">
        <f t="shared" si="28"/>
        <v>0.37390096630005903</v>
      </c>
      <c r="K591" s="2" t="e">
        <f t="shared" si="29"/>
        <v>#NUM!</v>
      </c>
    </row>
    <row r="592" spans="1:11" ht="13.9" x14ac:dyDescent="0.3">
      <c r="A592" s="2" t="s">
        <v>609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27"/>
        <v>#DIV/0!</v>
      </c>
      <c r="I592" s="2" t="e">
        <f t="shared" si="28"/>
        <v>#DIV/0!</v>
      </c>
      <c r="K592" s="2" t="e">
        <f t="shared" si="29"/>
        <v>#NUM!</v>
      </c>
    </row>
    <row r="593" spans="1:11" ht="13.9" x14ac:dyDescent="0.3">
      <c r="A593" s="2" t="s">
        <v>610</v>
      </c>
      <c r="B593" s="2">
        <v>0</v>
      </c>
      <c r="C593" s="2">
        <v>0</v>
      </c>
      <c r="D593" s="2">
        <v>0</v>
      </c>
      <c r="E593" s="2">
        <v>3.06</v>
      </c>
      <c r="F593" s="2">
        <v>4.28</v>
      </c>
      <c r="G593" s="2">
        <v>1.26</v>
      </c>
      <c r="H593" s="2" t="e">
        <f t="shared" si="27"/>
        <v>#NUM!</v>
      </c>
      <c r="I593" s="2">
        <f t="shared" si="28"/>
        <v>3.0841696481561886E-2</v>
      </c>
      <c r="K593" s="2" t="e">
        <f t="shared" si="29"/>
        <v>#NUM!</v>
      </c>
    </row>
    <row r="594" spans="1:11" ht="13.9" x14ac:dyDescent="0.3">
      <c r="A594" s="2" t="s">
        <v>611</v>
      </c>
      <c r="B594" s="2">
        <v>7.58</v>
      </c>
      <c r="C594" s="2">
        <v>19.52</v>
      </c>
      <c r="D594" s="2">
        <v>6.55</v>
      </c>
      <c r="E594" s="2">
        <v>5.82</v>
      </c>
      <c r="F594" s="2">
        <v>4.8099999999999996</v>
      </c>
      <c r="G594" s="2">
        <v>3.9</v>
      </c>
      <c r="H594" s="2">
        <f t="shared" si="27"/>
        <v>1.2115718018648383</v>
      </c>
      <c r="I594" s="2">
        <f t="shared" si="28"/>
        <v>0.20367312255690798</v>
      </c>
      <c r="K594" s="2">
        <f t="shared" si="29"/>
        <v>5.072534599722955</v>
      </c>
    </row>
    <row r="595" spans="1:11" ht="13.9" x14ac:dyDescent="0.3">
      <c r="A595" s="2" t="s">
        <v>612</v>
      </c>
      <c r="B595" s="2">
        <v>0.33</v>
      </c>
      <c r="C595" s="2">
        <v>0</v>
      </c>
      <c r="D595" s="2">
        <v>0</v>
      </c>
      <c r="E595" s="2">
        <v>1.48</v>
      </c>
      <c r="F595" s="2">
        <v>1.34</v>
      </c>
      <c r="G595" s="2">
        <v>2.95</v>
      </c>
      <c r="H595" s="2">
        <f t="shared" si="27"/>
        <v>-4.1280333892870296</v>
      </c>
      <c r="I595" s="2">
        <f t="shared" si="28"/>
        <v>2.6200935822492687E-2</v>
      </c>
      <c r="K595" s="2">
        <f t="shared" si="29"/>
        <v>-1.5994620704162712</v>
      </c>
    </row>
    <row r="596" spans="1:11" ht="13.9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27"/>
        <v>#DIV/0!</v>
      </c>
      <c r="I596" s="2" t="e">
        <f t="shared" si="28"/>
        <v>#DIV/0!</v>
      </c>
      <c r="K596" s="2" t="e">
        <f t="shared" si="29"/>
        <v>#NUM!</v>
      </c>
    </row>
    <row r="597" spans="1:11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0.32</v>
      </c>
      <c r="H597" s="2" t="e">
        <f t="shared" si="27"/>
        <v>#NUM!</v>
      </c>
      <c r="I597" s="2">
        <f t="shared" si="28"/>
        <v>0.37390096630005903</v>
      </c>
      <c r="K597" s="2" t="e">
        <f t="shared" si="29"/>
        <v>#NUM!</v>
      </c>
    </row>
    <row r="598" spans="1:11" ht="13.9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0.27</v>
      </c>
      <c r="G598" s="2">
        <v>0</v>
      </c>
      <c r="H598" s="2" t="e">
        <f t="shared" si="27"/>
        <v>#NUM!</v>
      </c>
      <c r="I598" s="2">
        <f t="shared" si="28"/>
        <v>0.37390096630005903</v>
      </c>
      <c r="K598" s="2" t="e">
        <f t="shared" si="29"/>
        <v>#NUM!</v>
      </c>
    </row>
    <row r="599" spans="1:11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 t="e">
        <f t="shared" si="27"/>
        <v>#DIV/0!</v>
      </c>
      <c r="I599" s="2" t="e">
        <f t="shared" si="28"/>
        <v>#DIV/0!</v>
      </c>
      <c r="K599" s="2" t="e">
        <f t="shared" si="29"/>
        <v>#NUM!</v>
      </c>
    </row>
    <row r="600" spans="1:11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1.07</v>
      </c>
      <c r="G600" s="2">
        <v>0</v>
      </c>
      <c r="H600" s="2" t="e">
        <f t="shared" si="27"/>
        <v>#NUM!</v>
      </c>
      <c r="I600" s="2">
        <f t="shared" si="28"/>
        <v>0.37390096630005903</v>
      </c>
      <c r="K600" s="2" t="e">
        <f t="shared" si="29"/>
        <v>#NUM!</v>
      </c>
    </row>
    <row r="601" spans="1:11" ht="13.9" x14ac:dyDescent="0.3">
      <c r="A601" s="2" t="s">
        <v>618</v>
      </c>
      <c r="B601" s="2">
        <v>0</v>
      </c>
      <c r="C601" s="2">
        <v>0</v>
      </c>
      <c r="D601" s="2">
        <v>12.2</v>
      </c>
      <c r="E601" s="2">
        <v>15.5</v>
      </c>
      <c r="F601" s="2">
        <v>20.190000000000001</v>
      </c>
      <c r="G601" s="2">
        <v>15.7</v>
      </c>
      <c r="H601" s="2">
        <f t="shared" si="27"/>
        <v>-2.0746065043549065</v>
      </c>
      <c r="I601" s="2">
        <f t="shared" si="28"/>
        <v>3.9695387881933608E-2</v>
      </c>
      <c r="K601" s="2">
        <f t="shared" si="29"/>
        <v>3.6088092426755241</v>
      </c>
    </row>
    <row r="602" spans="1:11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0.27</v>
      </c>
      <c r="G602" s="2">
        <v>0.32</v>
      </c>
      <c r="H602" s="2" t="e">
        <f t="shared" si="27"/>
        <v>#NUM!</v>
      </c>
      <c r="I602" s="2">
        <f t="shared" si="28"/>
        <v>0.11896532418500548</v>
      </c>
      <c r="K602" s="2" t="e">
        <f t="shared" si="29"/>
        <v>#NUM!</v>
      </c>
    </row>
    <row r="603" spans="1:11" ht="13.9" x14ac:dyDescent="0.3">
      <c r="A603" s="2" t="s">
        <v>620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27"/>
        <v>#DIV/0!</v>
      </c>
      <c r="I603" s="2" t="e">
        <f t="shared" si="28"/>
        <v>#DIV/0!</v>
      </c>
      <c r="K603" s="2" t="e">
        <f t="shared" si="29"/>
        <v>#NUM!</v>
      </c>
    </row>
    <row r="604" spans="1:11" ht="13.9" x14ac:dyDescent="0.3">
      <c r="A604" s="2" t="s">
        <v>621</v>
      </c>
      <c r="B604" s="2">
        <v>0.33</v>
      </c>
      <c r="C604" s="2">
        <v>0</v>
      </c>
      <c r="D604" s="2">
        <v>0</v>
      </c>
      <c r="E604" s="2">
        <v>0.3</v>
      </c>
      <c r="F604" s="2">
        <v>0.13</v>
      </c>
      <c r="G604" s="2">
        <v>0</v>
      </c>
      <c r="H604" s="2">
        <f t="shared" si="27"/>
        <v>-0.38187063534364446</v>
      </c>
      <c r="I604" s="2">
        <f t="shared" si="28"/>
        <v>0.82370177442852166</v>
      </c>
      <c r="K604" s="2">
        <f t="shared" si="29"/>
        <v>-1.5994620704162712</v>
      </c>
    </row>
    <row r="605" spans="1:11" ht="13.9" x14ac:dyDescent="0.3">
      <c r="A605" s="2" t="s">
        <v>622</v>
      </c>
      <c r="B605" s="2">
        <v>0</v>
      </c>
      <c r="C605" s="2">
        <v>22.2</v>
      </c>
      <c r="D605" s="2">
        <v>0</v>
      </c>
      <c r="E605" s="2">
        <v>0</v>
      </c>
      <c r="F605" s="2">
        <v>1.47</v>
      </c>
      <c r="G605" s="2">
        <v>2.11</v>
      </c>
      <c r="H605" s="2">
        <f t="shared" si="27"/>
        <v>2.632528183973212</v>
      </c>
      <c r="I605" s="2">
        <f t="shared" si="28"/>
        <v>0.45030300724646527</v>
      </c>
      <c r="K605" s="2">
        <f t="shared" si="29"/>
        <v>4.4724877714627436</v>
      </c>
    </row>
    <row r="606" spans="1:11" ht="13.9" x14ac:dyDescent="0.3">
      <c r="A606" s="2" t="s">
        <v>623</v>
      </c>
      <c r="B606" s="2">
        <v>0</v>
      </c>
      <c r="C606" s="2">
        <v>5.61</v>
      </c>
      <c r="D606" s="2">
        <v>0</v>
      </c>
      <c r="E606" s="2">
        <v>0.49</v>
      </c>
      <c r="F606" s="2">
        <v>0</v>
      </c>
      <c r="G606" s="2">
        <v>0</v>
      </c>
      <c r="H606" s="2">
        <f t="shared" si="27"/>
        <v>3.517147116493585</v>
      </c>
      <c r="I606" s="2">
        <f t="shared" si="28"/>
        <v>0.41467536378536901</v>
      </c>
      <c r="K606" s="2">
        <f t="shared" si="29"/>
        <v>2.4880007708340686</v>
      </c>
    </row>
    <row r="607" spans="1:11" ht="13.9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0.11</v>
      </c>
      <c r="H607" s="2" t="e">
        <f t="shared" si="27"/>
        <v>#NUM!</v>
      </c>
      <c r="I607" s="2">
        <f t="shared" si="28"/>
        <v>0.11701767633663412</v>
      </c>
      <c r="K607" s="2" t="e">
        <f t="shared" si="29"/>
        <v>#NUM!</v>
      </c>
    </row>
    <row r="608" spans="1:11" ht="13.9" x14ac:dyDescent="0.3">
      <c r="A608" s="2" t="s">
        <v>625</v>
      </c>
      <c r="B608" s="2">
        <v>10.220000000000001</v>
      </c>
      <c r="C608" s="2">
        <v>0.24</v>
      </c>
      <c r="D608" s="2">
        <v>4.01</v>
      </c>
      <c r="E608" s="2">
        <v>14.12</v>
      </c>
      <c r="F608" s="2">
        <v>16.04</v>
      </c>
      <c r="G608" s="2">
        <v>17.28</v>
      </c>
      <c r="H608" s="2">
        <f t="shared" si="27"/>
        <v>-1.713039088014279</v>
      </c>
      <c r="I608" s="2">
        <f t="shared" si="28"/>
        <v>2.2722680386386251E-2</v>
      </c>
      <c r="K608" s="2">
        <f t="shared" si="29"/>
        <v>3.8549930167570001</v>
      </c>
    </row>
    <row r="609" spans="1:11" ht="13.9" x14ac:dyDescent="0.3">
      <c r="A609" s="2" t="s">
        <v>626</v>
      </c>
      <c r="B609" s="2">
        <v>0</v>
      </c>
      <c r="C609" s="2">
        <v>0.73</v>
      </c>
      <c r="D609" s="2">
        <v>1.0900000000000001</v>
      </c>
      <c r="E609" s="2">
        <v>0.2</v>
      </c>
      <c r="F609" s="2">
        <v>0.27</v>
      </c>
      <c r="G609" s="2">
        <v>0.32</v>
      </c>
      <c r="H609" s="2">
        <f t="shared" si="27"/>
        <v>1.2040138920215933</v>
      </c>
      <c r="I609" s="2">
        <f t="shared" si="28"/>
        <v>0.34708723640261196</v>
      </c>
      <c r="K609" s="2">
        <f t="shared" si="29"/>
        <v>0.86393845042397166</v>
      </c>
    </row>
    <row r="610" spans="1:11" ht="13.9" x14ac:dyDescent="0.3">
      <c r="A610" s="2" t="s">
        <v>627</v>
      </c>
      <c r="B610" s="2">
        <v>0</v>
      </c>
      <c r="C610" s="2">
        <v>1.22</v>
      </c>
      <c r="D610" s="2">
        <v>0.18</v>
      </c>
      <c r="E610" s="2">
        <v>2.4700000000000002</v>
      </c>
      <c r="F610" s="2">
        <v>3.21</v>
      </c>
      <c r="G610" s="2">
        <v>1.9</v>
      </c>
      <c r="H610" s="2">
        <f t="shared" si="27"/>
        <v>-2.4367710212261255</v>
      </c>
      <c r="I610" s="2">
        <f t="shared" si="28"/>
        <v>1.8522859258586877E-2</v>
      </c>
      <c r="K610" s="2">
        <f t="shared" si="29"/>
        <v>0.48542682717024171</v>
      </c>
    </row>
    <row r="611" spans="1:11" ht="13.9" x14ac:dyDescent="0.3">
      <c r="A611" s="2" t="s">
        <v>628</v>
      </c>
      <c r="B611" s="2">
        <v>0</v>
      </c>
      <c r="C611" s="2">
        <v>0</v>
      </c>
      <c r="D611" s="2">
        <v>0</v>
      </c>
      <c r="E611" s="2">
        <v>1.28</v>
      </c>
      <c r="F611" s="2">
        <v>2.81</v>
      </c>
      <c r="G611" s="2">
        <v>2.11</v>
      </c>
      <c r="H611" s="2" t="e">
        <f t="shared" si="27"/>
        <v>#NUM!</v>
      </c>
      <c r="I611" s="2">
        <f t="shared" si="28"/>
        <v>9.4931185972709949E-3</v>
      </c>
      <c r="K611" s="2" t="e">
        <f t="shared" si="29"/>
        <v>#NUM!</v>
      </c>
    </row>
    <row r="612" spans="1:11" ht="13.9" x14ac:dyDescent="0.3">
      <c r="A612" s="2" t="s">
        <v>629</v>
      </c>
      <c r="B612" s="2">
        <v>0</v>
      </c>
      <c r="C612" s="2">
        <v>0</v>
      </c>
      <c r="D612" s="2">
        <v>0</v>
      </c>
      <c r="E612" s="2">
        <v>1.68</v>
      </c>
      <c r="F612" s="2">
        <v>4.68</v>
      </c>
      <c r="G612" s="2">
        <v>6.74</v>
      </c>
      <c r="H612" s="2" t="e">
        <f t="shared" si="27"/>
        <v>#NUM!</v>
      </c>
      <c r="I612" s="2">
        <f t="shared" si="28"/>
        <v>4.1046793121038032E-2</v>
      </c>
      <c r="K612" s="2" t="e">
        <f t="shared" si="29"/>
        <v>#NUM!</v>
      </c>
    </row>
    <row r="613" spans="1:11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0.3</v>
      </c>
      <c r="F613" s="2">
        <v>0</v>
      </c>
      <c r="G613" s="2">
        <v>0</v>
      </c>
      <c r="H613" s="2" t="e">
        <f t="shared" si="27"/>
        <v>#NUM!</v>
      </c>
      <c r="I613" s="2">
        <f t="shared" si="28"/>
        <v>0.37390096630005903</v>
      </c>
      <c r="K613" s="2" t="e">
        <f t="shared" si="29"/>
        <v>#NUM!</v>
      </c>
    </row>
    <row r="614" spans="1:11" ht="13.9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0.69</v>
      </c>
      <c r="F614" s="2">
        <v>0</v>
      </c>
      <c r="G614" s="2">
        <v>0</v>
      </c>
      <c r="H614" s="2" t="e">
        <f t="shared" si="27"/>
        <v>#NUM!</v>
      </c>
      <c r="I614" s="2">
        <f t="shared" si="28"/>
        <v>0.37390096630005903</v>
      </c>
      <c r="K614" s="2" t="e">
        <f t="shared" si="29"/>
        <v>#NUM!</v>
      </c>
    </row>
    <row r="615" spans="1:11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0.13</v>
      </c>
      <c r="G615" s="2">
        <v>0</v>
      </c>
      <c r="H615" s="2" t="e">
        <f t="shared" si="27"/>
        <v>#NUM!</v>
      </c>
      <c r="I615" s="2">
        <f t="shared" si="28"/>
        <v>0.37390096630005903</v>
      </c>
      <c r="K615" s="2" t="e">
        <f t="shared" si="29"/>
        <v>#NUM!</v>
      </c>
    </row>
    <row r="616" spans="1:11" ht="13.9" x14ac:dyDescent="0.3">
      <c r="A616" s="2" t="s">
        <v>633</v>
      </c>
      <c r="B616" s="2">
        <v>0</v>
      </c>
      <c r="C616" s="2">
        <v>0</v>
      </c>
      <c r="D616" s="2">
        <v>0</v>
      </c>
      <c r="E616" s="2">
        <v>0</v>
      </c>
      <c r="F616" s="2">
        <v>0.67</v>
      </c>
      <c r="G616" s="2">
        <v>1.79</v>
      </c>
      <c r="H616" s="2" t="e">
        <f t="shared" si="27"/>
        <v>#NUM!</v>
      </c>
      <c r="I616" s="2">
        <f t="shared" si="28"/>
        <v>0.19140052518382053</v>
      </c>
      <c r="K616" s="2" t="e">
        <f t="shared" si="29"/>
        <v>#NUM!</v>
      </c>
    </row>
    <row r="617" spans="1:11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0.2</v>
      </c>
      <c r="F617" s="2">
        <v>0</v>
      </c>
      <c r="G617" s="2">
        <v>0</v>
      </c>
      <c r="H617" s="2" t="e">
        <f t="shared" si="27"/>
        <v>#NUM!</v>
      </c>
      <c r="I617" s="2">
        <f t="shared" si="28"/>
        <v>0.37390096630005903</v>
      </c>
      <c r="K617" s="2" t="e">
        <f t="shared" si="29"/>
        <v>#NUM!</v>
      </c>
    </row>
    <row r="618" spans="1:11" ht="13.9" x14ac:dyDescent="0.3">
      <c r="A618" s="2" t="s">
        <v>635</v>
      </c>
      <c r="B618" s="2">
        <v>0</v>
      </c>
      <c r="C618" s="2">
        <v>0</v>
      </c>
      <c r="D618" s="2">
        <v>0</v>
      </c>
      <c r="E618" s="2">
        <v>4.34</v>
      </c>
      <c r="F618" s="2">
        <v>0.67</v>
      </c>
      <c r="G618" s="2">
        <v>0</v>
      </c>
      <c r="H618" s="2" t="e">
        <f t="shared" si="27"/>
        <v>#NUM!</v>
      </c>
      <c r="I618" s="2">
        <f t="shared" si="28"/>
        <v>0.28340918869317133</v>
      </c>
      <c r="K618" s="2" t="e">
        <f t="shared" si="29"/>
        <v>#NUM!</v>
      </c>
    </row>
    <row r="619" spans="1:11" ht="13.9" x14ac:dyDescent="0.3">
      <c r="A619" s="2" t="s">
        <v>636</v>
      </c>
      <c r="B619" s="2">
        <v>13.18</v>
      </c>
      <c r="C619" s="2">
        <v>7.07</v>
      </c>
      <c r="D619" s="2">
        <v>0</v>
      </c>
      <c r="E619" s="2">
        <v>2.57</v>
      </c>
      <c r="F619" s="2">
        <v>3.21</v>
      </c>
      <c r="G619" s="2">
        <v>2.11</v>
      </c>
      <c r="H619" s="2">
        <f t="shared" si="27"/>
        <v>1.3598247026458914</v>
      </c>
      <c r="I619" s="2">
        <f t="shared" si="28"/>
        <v>0.34165385211749782</v>
      </c>
      <c r="K619" s="2">
        <f t="shared" si="29"/>
        <v>4.3398500028846252</v>
      </c>
    </row>
    <row r="620" spans="1:11" ht="13.9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0.49</v>
      </c>
      <c r="F620" s="2">
        <v>0</v>
      </c>
      <c r="G620" s="2">
        <v>0</v>
      </c>
      <c r="H620" s="2" t="e">
        <f t="shared" si="27"/>
        <v>#NUM!</v>
      </c>
      <c r="I620" s="2">
        <f t="shared" si="28"/>
        <v>0.37390096630005903</v>
      </c>
      <c r="K620" s="2" t="e">
        <f t="shared" si="29"/>
        <v>#NUM!</v>
      </c>
    </row>
    <row r="621" spans="1:11" ht="13.9" x14ac:dyDescent="0.3">
      <c r="A621" s="2" t="s">
        <v>638</v>
      </c>
      <c r="B621" s="2">
        <v>0</v>
      </c>
      <c r="C621" s="2">
        <v>10</v>
      </c>
      <c r="D621" s="2">
        <v>1.27</v>
      </c>
      <c r="E621" s="2">
        <v>0.49</v>
      </c>
      <c r="F621" s="2">
        <v>2.67</v>
      </c>
      <c r="G621" s="2">
        <v>1.9</v>
      </c>
      <c r="H621" s="2">
        <f t="shared" si="27"/>
        <v>1.1552782254779108</v>
      </c>
      <c r="I621" s="2">
        <f t="shared" si="28"/>
        <v>0.5538193339666313</v>
      </c>
      <c r="K621" s="2">
        <f t="shared" si="29"/>
        <v>3.4944156103974962</v>
      </c>
    </row>
    <row r="622" spans="1:11" ht="13.9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27"/>
        <v>#DIV/0!</v>
      </c>
      <c r="I622" s="2" t="e">
        <f t="shared" si="28"/>
        <v>#DIV/0!</v>
      </c>
      <c r="K622" s="2" t="e">
        <f t="shared" si="29"/>
        <v>#NUM!</v>
      </c>
    </row>
    <row r="623" spans="1:11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0.94</v>
      </c>
      <c r="G623" s="2">
        <v>0</v>
      </c>
      <c r="H623" s="2" t="e">
        <f t="shared" si="27"/>
        <v>#NUM!</v>
      </c>
      <c r="I623" s="2">
        <f t="shared" si="28"/>
        <v>0.37390096630005903</v>
      </c>
      <c r="K623" s="2" t="e">
        <f t="shared" si="29"/>
        <v>#NUM!</v>
      </c>
    </row>
    <row r="624" spans="1:11" ht="13.9" x14ac:dyDescent="0.3">
      <c r="A624" s="2" t="s">
        <v>641</v>
      </c>
      <c r="B624" s="2">
        <v>0</v>
      </c>
      <c r="C624" s="2">
        <v>7.07</v>
      </c>
      <c r="D624" s="2">
        <v>18.39</v>
      </c>
      <c r="E624" s="2">
        <v>2.76</v>
      </c>
      <c r="F624" s="2">
        <v>1.07</v>
      </c>
      <c r="G624" s="2">
        <v>0</v>
      </c>
      <c r="H624" s="2">
        <f t="shared" si="27"/>
        <v>2.7328161219764007</v>
      </c>
      <c r="I624" s="2">
        <f t="shared" si="28"/>
        <v>0.25389328122557075</v>
      </c>
      <c r="K624" s="2">
        <f t="shared" si="29"/>
        <v>4.6701605141266338</v>
      </c>
    </row>
    <row r="625" spans="1:11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0.49</v>
      </c>
      <c r="F625" s="2">
        <v>0</v>
      </c>
      <c r="G625" s="2">
        <v>0</v>
      </c>
      <c r="H625" s="2" t="e">
        <f t="shared" si="27"/>
        <v>#NUM!</v>
      </c>
      <c r="I625" s="2">
        <f t="shared" si="28"/>
        <v>0.37390096630005903</v>
      </c>
      <c r="K625" s="2" t="e">
        <f t="shared" si="29"/>
        <v>#NUM!</v>
      </c>
    </row>
    <row r="626" spans="1:11" ht="13.9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27"/>
        <v>#DIV/0!</v>
      </c>
      <c r="I626" s="2" t="e">
        <f t="shared" si="28"/>
        <v>#DIV/0!</v>
      </c>
      <c r="K626" s="2" t="e">
        <f t="shared" si="29"/>
        <v>#NUM!</v>
      </c>
    </row>
    <row r="627" spans="1:11" ht="13.9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27"/>
        <v>#DIV/0!</v>
      </c>
      <c r="I627" s="2" t="e">
        <f t="shared" si="28"/>
        <v>#DIV/0!</v>
      </c>
      <c r="K627" s="2" t="e">
        <f t="shared" si="29"/>
        <v>#NUM!</v>
      </c>
    </row>
    <row r="628" spans="1:11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0.67</v>
      </c>
      <c r="G628" s="2">
        <v>0</v>
      </c>
      <c r="H628" s="2" t="e">
        <f t="shared" si="27"/>
        <v>#NUM!</v>
      </c>
      <c r="I628" s="2">
        <f t="shared" si="28"/>
        <v>0.37390096630005903</v>
      </c>
      <c r="K628" s="2" t="e">
        <f t="shared" si="29"/>
        <v>#NUM!</v>
      </c>
    </row>
    <row r="629" spans="1:11" ht="13.9" x14ac:dyDescent="0.3">
      <c r="A629" s="2" t="s">
        <v>646</v>
      </c>
      <c r="B629" s="2">
        <v>0.33</v>
      </c>
      <c r="C629" s="2">
        <v>0</v>
      </c>
      <c r="D629" s="2">
        <v>0</v>
      </c>
      <c r="E629" s="2">
        <v>0.49</v>
      </c>
      <c r="F629" s="2">
        <v>0</v>
      </c>
      <c r="G629" s="2">
        <v>0</v>
      </c>
      <c r="H629" s="2">
        <f t="shared" si="27"/>
        <v>-0.57031572475675463</v>
      </c>
      <c r="I629" s="2">
        <f t="shared" si="28"/>
        <v>0.79991811453454031</v>
      </c>
      <c r="K629" s="2">
        <f t="shared" si="29"/>
        <v>-1.5994620704162712</v>
      </c>
    </row>
    <row r="630" spans="1:11" ht="13.9" x14ac:dyDescent="0.3">
      <c r="A630" s="2" t="s">
        <v>647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 t="e">
        <f t="shared" si="27"/>
        <v>#DIV/0!</v>
      </c>
      <c r="I630" s="2" t="e">
        <f t="shared" si="28"/>
        <v>#DIV/0!</v>
      </c>
      <c r="K630" s="2" t="e">
        <f t="shared" si="29"/>
        <v>#NUM!</v>
      </c>
    </row>
    <row r="631" spans="1:11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0.49</v>
      </c>
      <c r="F631" s="2">
        <v>0</v>
      </c>
      <c r="G631" s="2">
        <v>0</v>
      </c>
      <c r="H631" s="2" t="e">
        <f t="shared" si="27"/>
        <v>#NUM!</v>
      </c>
      <c r="I631" s="2">
        <f t="shared" si="28"/>
        <v>0.37390096630005903</v>
      </c>
      <c r="K631" s="2" t="e">
        <f t="shared" si="29"/>
        <v>#NUM!</v>
      </c>
    </row>
    <row r="632" spans="1:11" ht="13.9" x14ac:dyDescent="0.3">
      <c r="A632" s="2" t="s">
        <v>649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27"/>
        <v>#DIV/0!</v>
      </c>
      <c r="I632" s="2" t="e">
        <f t="shared" si="28"/>
        <v>#DIV/0!</v>
      </c>
      <c r="K632" s="2" t="e">
        <f t="shared" si="29"/>
        <v>#NUM!</v>
      </c>
    </row>
    <row r="633" spans="1:11" ht="13.9" x14ac:dyDescent="0.3">
      <c r="A633" s="2" t="s">
        <v>650</v>
      </c>
      <c r="B633" s="2">
        <v>278.85000000000002</v>
      </c>
      <c r="C633" s="2">
        <v>442.55</v>
      </c>
      <c r="D633" s="2">
        <v>256.52999999999997</v>
      </c>
      <c r="E633" s="2">
        <v>563.07000000000005</v>
      </c>
      <c r="F633" s="2">
        <v>700.22</v>
      </c>
      <c r="G633" s="2">
        <v>557.49</v>
      </c>
      <c r="H633" s="2">
        <f t="shared" si="27"/>
        <v>-0.89675350963077094</v>
      </c>
      <c r="I633" s="2">
        <f t="shared" si="28"/>
        <v>1.9972237913104828E-2</v>
      </c>
      <c r="K633" s="2">
        <f t="shared" si="29"/>
        <v>9.9335873908753953</v>
      </c>
    </row>
    <row r="634" spans="1:11" ht="13.9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27"/>
        <v>#DIV/0!</v>
      </c>
      <c r="I634" s="2" t="e">
        <f t="shared" si="28"/>
        <v>#DIV/0!</v>
      </c>
      <c r="K634" s="2" t="e">
        <f t="shared" si="29"/>
        <v>#NUM!</v>
      </c>
    </row>
    <row r="635" spans="1:11" ht="13.9" x14ac:dyDescent="0.3">
      <c r="A635" s="2" t="s">
        <v>652</v>
      </c>
      <c r="B635" s="2">
        <v>155.58000000000001</v>
      </c>
      <c r="C635" s="2">
        <v>146.13</v>
      </c>
      <c r="D635" s="2">
        <v>140.01</v>
      </c>
      <c r="E635" s="2">
        <v>143.33000000000001</v>
      </c>
      <c r="F635" s="2">
        <v>102.55</v>
      </c>
      <c r="G635" s="2">
        <v>155.13</v>
      </c>
      <c r="H635" s="2">
        <f t="shared" si="27"/>
        <v>0.13949394189172024</v>
      </c>
      <c r="I635" s="2">
        <f t="shared" si="28"/>
        <v>0.45854385961549815</v>
      </c>
      <c r="K635" s="2">
        <f t="shared" si="29"/>
        <v>8.786988345330494</v>
      </c>
    </row>
    <row r="636" spans="1:11" ht="13.9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0.84</v>
      </c>
      <c r="H636" s="2" t="e">
        <f t="shared" si="27"/>
        <v>#NUM!</v>
      </c>
      <c r="I636" s="2">
        <f t="shared" si="28"/>
        <v>0.37390096630005903</v>
      </c>
      <c r="K636" s="2" t="e">
        <f t="shared" si="29"/>
        <v>#NUM!</v>
      </c>
    </row>
    <row r="637" spans="1:11" ht="13.9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27"/>
        <v>#DIV/0!</v>
      </c>
      <c r="I637" s="2" t="e">
        <f t="shared" si="28"/>
        <v>#DIV/0!</v>
      </c>
      <c r="K637" s="2" t="e">
        <f t="shared" si="29"/>
        <v>#NUM!</v>
      </c>
    </row>
    <row r="638" spans="1:11" ht="13.9" x14ac:dyDescent="0.3">
      <c r="A638" s="8" t="s">
        <v>655</v>
      </c>
      <c r="B638" s="2">
        <v>0</v>
      </c>
      <c r="C638" s="2">
        <v>0</v>
      </c>
      <c r="D638" s="2">
        <v>4.01</v>
      </c>
      <c r="E638" s="2">
        <v>0</v>
      </c>
      <c r="F638" s="2">
        <v>0</v>
      </c>
      <c r="G638" s="2">
        <v>0</v>
      </c>
      <c r="H638" s="2" t="e">
        <f t="shared" si="27"/>
        <v>#DIV/0!</v>
      </c>
      <c r="I638" s="2">
        <f t="shared" si="28"/>
        <v>0.37390096630005903</v>
      </c>
      <c r="K638" s="2">
        <f t="shared" si="29"/>
        <v>2.0036022366801958</v>
      </c>
    </row>
    <row r="639" spans="1:11" ht="13.9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0.3</v>
      </c>
      <c r="F639" s="2">
        <v>0</v>
      </c>
      <c r="G639" s="2">
        <v>0</v>
      </c>
      <c r="H639" s="2" t="e">
        <f t="shared" si="27"/>
        <v>#NUM!</v>
      </c>
      <c r="I639" s="2">
        <f t="shared" si="28"/>
        <v>0.37390096630005903</v>
      </c>
      <c r="K639" s="2" t="e">
        <f t="shared" si="29"/>
        <v>#NUM!</v>
      </c>
    </row>
    <row r="640" spans="1:11" ht="13.9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27"/>
        <v>#DIV/0!</v>
      </c>
      <c r="I640" s="2" t="e">
        <f t="shared" si="28"/>
        <v>#DIV/0!</v>
      </c>
      <c r="K640" s="2" t="e">
        <f t="shared" si="29"/>
        <v>#NUM!</v>
      </c>
    </row>
    <row r="641" spans="1:11" ht="13.9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27"/>
        <v>#DIV/0!</v>
      </c>
      <c r="I641" s="2" t="e">
        <f t="shared" si="28"/>
        <v>#DIV/0!</v>
      </c>
      <c r="K641" s="2" t="e">
        <f t="shared" si="29"/>
        <v>#NUM!</v>
      </c>
    </row>
    <row r="642" spans="1:11" ht="13.9" x14ac:dyDescent="0.3">
      <c r="A642" s="2" t="s">
        <v>659</v>
      </c>
      <c r="B642" s="2">
        <v>0</v>
      </c>
      <c r="C642" s="2">
        <v>1.22</v>
      </c>
      <c r="D642" s="2">
        <v>0</v>
      </c>
      <c r="E642" s="2">
        <v>0.1</v>
      </c>
      <c r="F642" s="2">
        <v>0.67</v>
      </c>
      <c r="G642" s="2">
        <v>0</v>
      </c>
      <c r="H642" s="2">
        <f t="shared" ref="H642:H705" si="30">LOG(SUM(B642:D642)/SUM(E642:G642),2)</f>
        <v>0.66395079686798486</v>
      </c>
      <c r="I642" s="2">
        <f t="shared" ref="I642:I705" si="31">_xlfn.T.TEST(B642:D642,E642:G642,2,2)</f>
        <v>0.75924298647557076</v>
      </c>
      <c r="K642" s="2">
        <f t="shared" si="29"/>
        <v>0.28688114778816154</v>
      </c>
    </row>
    <row r="643" spans="1:11" ht="13.9" x14ac:dyDescent="0.3">
      <c r="A643" s="2" t="s">
        <v>660</v>
      </c>
      <c r="B643" s="2">
        <v>0</v>
      </c>
      <c r="C643" s="2">
        <v>1.22</v>
      </c>
      <c r="D643" s="2">
        <v>0</v>
      </c>
      <c r="E643" s="2">
        <v>0.1</v>
      </c>
      <c r="F643" s="2">
        <v>0.67</v>
      </c>
      <c r="G643" s="2">
        <v>0</v>
      </c>
      <c r="H643" s="2">
        <f t="shared" si="30"/>
        <v>0.66395079686798486</v>
      </c>
      <c r="I643" s="2">
        <f t="shared" si="31"/>
        <v>0.75924298647557076</v>
      </c>
      <c r="K643" s="2">
        <f t="shared" ref="K643:K706" si="32">LOG(SUM(B643:D643),2)</f>
        <v>0.28688114778816154</v>
      </c>
    </row>
    <row r="644" spans="1:11" ht="13.9" x14ac:dyDescent="0.3">
      <c r="A644" s="2" t="s">
        <v>661</v>
      </c>
      <c r="B644" s="2">
        <v>0</v>
      </c>
      <c r="C644" s="2">
        <v>0.24</v>
      </c>
      <c r="D644" s="2">
        <v>0</v>
      </c>
      <c r="E644" s="2">
        <v>1.48</v>
      </c>
      <c r="F644" s="2">
        <v>1.2</v>
      </c>
      <c r="G644" s="2">
        <v>2.11</v>
      </c>
      <c r="H644" s="2">
        <f t="shared" si="30"/>
        <v>-4.3189193450150238</v>
      </c>
      <c r="I644" s="2">
        <f t="shared" si="31"/>
        <v>5.6826632961506796E-3</v>
      </c>
      <c r="K644" s="2">
        <f t="shared" si="32"/>
        <v>-2.0588936890535687</v>
      </c>
    </row>
    <row r="645" spans="1:11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0.1</v>
      </c>
      <c r="F645" s="2">
        <v>0</v>
      </c>
      <c r="G645" s="2">
        <v>0</v>
      </c>
      <c r="H645" s="2" t="e">
        <f t="shared" si="30"/>
        <v>#NUM!</v>
      </c>
      <c r="I645" s="2">
        <f t="shared" si="31"/>
        <v>0.37390096630005903</v>
      </c>
      <c r="K645" s="2" t="e">
        <f t="shared" si="32"/>
        <v>#NUM!</v>
      </c>
    </row>
    <row r="646" spans="1:11" ht="13.9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0.69</v>
      </c>
      <c r="F646" s="2">
        <v>0.4</v>
      </c>
      <c r="G646" s="2">
        <v>0</v>
      </c>
      <c r="H646" s="2" t="e">
        <f t="shared" si="30"/>
        <v>#NUM!</v>
      </c>
      <c r="I646" s="2">
        <f t="shared" si="31"/>
        <v>0.1434735711166597</v>
      </c>
      <c r="K646" s="2" t="e">
        <f t="shared" si="32"/>
        <v>#NUM!</v>
      </c>
    </row>
    <row r="647" spans="1:11" ht="13.9" x14ac:dyDescent="0.3">
      <c r="A647" s="2" t="s">
        <v>664</v>
      </c>
      <c r="B647" s="2">
        <v>0</v>
      </c>
      <c r="C647" s="2">
        <v>1.95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30"/>
        <v>#DIV/0!</v>
      </c>
      <c r="I647" s="2">
        <f t="shared" si="31"/>
        <v>0.37390096630005903</v>
      </c>
      <c r="K647" s="2">
        <f t="shared" si="32"/>
        <v>0.96347412397488608</v>
      </c>
    </row>
    <row r="648" spans="1:11" ht="13.9" x14ac:dyDescent="0.3">
      <c r="A648" s="2" t="s">
        <v>665</v>
      </c>
      <c r="B648" s="2">
        <v>0</v>
      </c>
      <c r="C648" s="2">
        <v>0</v>
      </c>
      <c r="D648" s="2">
        <v>0</v>
      </c>
      <c r="E648" s="2">
        <v>0</v>
      </c>
      <c r="F648" s="2">
        <v>2.27</v>
      </c>
      <c r="G648" s="2">
        <v>1.58</v>
      </c>
      <c r="H648" s="2" t="e">
        <f t="shared" si="30"/>
        <v>#NUM!</v>
      </c>
      <c r="I648" s="2">
        <f t="shared" si="31"/>
        <v>0.12873287639645425</v>
      </c>
      <c r="K648" s="2" t="e">
        <f t="shared" si="32"/>
        <v>#NUM!</v>
      </c>
    </row>
    <row r="649" spans="1:11" ht="13.9" x14ac:dyDescent="0.3">
      <c r="A649" s="2" t="s">
        <v>666</v>
      </c>
      <c r="B649" s="2">
        <v>0</v>
      </c>
      <c r="C649" s="2">
        <v>0</v>
      </c>
      <c r="D649" s="2">
        <v>0</v>
      </c>
      <c r="E649" s="2">
        <v>0.3</v>
      </c>
      <c r="F649" s="2">
        <v>0.27</v>
      </c>
      <c r="G649" s="2">
        <v>0</v>
      </c>
      <c r="H649" s="2" t="e">
        <f t="shared" si="30"/>
        <v>#NUM!</v>
      </c>
      <c r="I649" s="2">
        <f t="shared" si="31"/>
        <v>0.11721716888134213</v>
      </c>
      <c r="K649" s="2" t="e">
        <f t="shared" si="32"/>
        <v>#NUM!</v>
      </c>
    </row>
    <row r="650" spans="1:11" ht="13.9" x14ac:dyDescent="0.3">
      <c r="A650" s="2" t="s">
        <v>667</v>
      </c>
      <c r="B650" s="2">
        <v>0</v>
      </c>
      <c r="C650" s="2">
        <v>0</v>
      </c>
      <c r="D650" s="2">
        <v>0</v>
      </c>
      <c r="E650" s="2">
        <v>0.89</v>
      </c>
      <c r="F650" s="2">
        <v>0.67</v>
      </c>
      <c r="G650" s="2">
        <v>0.63</v>
      </c>
      <c r="H650" s="2" t="e">
        <f t="shared" si="30"/>
        <v>#NUM!</v>
      </c>
      <c r="I650" s="2">
        <f t="shared" si="31"/>
        <v>8.3260976632631696E-4</v>
      </c>
      <c r="K650" s="2" t="e">
        <f t="shared" si="32"/>
        <v>#NUM!</v>
      </c>
    </row>
    <row r="651" spans="1:11" ht="13.9" x14ac:dyDescent="0.3">
      <c r="A651" s="2" t="s">
        <v>668</v>
      </c>
      <c r="B651" s="2">
        <v>0</v>
      </c>
      <c r="C651" s="2">
        <v>0</v>
      </c>
      <c r="D651" s="2">
        <v>10.92</v>
      </c>
      <c r="E651" s="2">
        <v>0.3</v>
      </c>
      <c r="F651" s="2">
        <v>0</v>
      </c>
      <c r="G651" s="2">
        <v>1.9</v>
      </c>
      <c r="H651" s="2">
        <f t="shared" si="30"/>
        <v>2.3113974273951929</v>
      </c>
      <c r="I651" s="2">
        <f t="shared" si="31"/>
        <v>0.47463515318742544</v>
      </c>
      <c r="K651" s="2">
        <f t="shared" si="32"/>
        <v>3.4489009511451281</v>
      </c>
    </row>
    <row r="652" spans="1:11" ht="13.9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30"/>
        <v>#DIV/0!</v>
      </c>
      <c r="I652" s="2" t="e">
        <f t="shared" si="31"/>
        <v>#DIV/0!</v>
      </c>
      <c r="K652" s="2" t="e">
        <f t="shared" si="32"/>
        <v>#NUM!</v>
      </c>
    </row>
    <row r="653" spans="1:11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 t="e">
        <f t="shared" si="30"/>
        <v>#DIV/0!</v>
      </c>
      <c r="I653" s="2" t="e">
        <f t="shared" si="31"/>
        <v>#DIV/0!</v>
      </c>
      <c r="K653" s="2" t="e">
        <f t="shared" si="32"/>
        <v>#NUM!</v>
      </c>
    </row>
    <row r="654" spans="1:11" ht="13.9" x14ac:dyDescent="0.3">
      <c r="A654" s="2" t="s">
        <v>671</v>
      </c>
      <c r="B654" s="2">
        <v>0</v>
      </c>
      <c r="C654" s="2">
        <v>1.95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30"/>
        <v>#DIV/0!</v>
      </c>
      <c r="I654" s="2">
        <f t="shared" si="31"/>
        <v>0.37390096630005903</v>
      </c>
      <c r="K654" s="2">
        <f t="shared" si="32"/>
        <v>0.96347412397488608</v>
      </c>
    </row>
    <row r="655" spans="1:11" ht="13.9" x14ac:dyDescent="0.3">
      <c r="A655" s="2" t="s">
        <v>672</v>
      </c>
      <c r="B655" s="2">
        <v>8.57</v>
      </c>
      <c r="C655" s="2">
        <v>0.98</v>
      </c>
      <c r="D655" s="2">
        <v>0.18</v>
      </c>
      <c r="E655" s="2">
        <v>4.4400000000000004</v>
      </c>
      <c r="F655" s="2">
        <v>3.48</v>
      </c>
      <c r="G655" s="2">
        <v>4.53</v>
      </c>
      <c r="H655" s="2">
        <f t="shared" si="30"/>
        <v>-0.35563403217433159</v>
      </c>
      <c r="I655" s="2">
        <f t="shared" si="31"/>
        <v>0.75340304988743678</v>
      </c>
      <c r="K655" s="2">
        <f t="shared" si="32"/>
        <v>3.282439805006387</v>
      </c>
    </row>
    <row r="656" spans="1:11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0.63</v>
      </c>
      <c r="H656" s="2" t="e">
        <f t="shared" si="30"/>
        <v>#NUM!</v>
      </c>
      <c r="I656" s="2">
        <f t="shared" si="31"/>
        <v>0.37390096630005903</v>
      </c>
      <c r="K656" s="2" t="e">
        <f t="shared" si="32"/>
        <v>#NUM!</v>
      </c>
    </row>
    <row r="657" spans="1:11" ht="13.9" x14ac:dyDescent="0.3">
      <c r="A657" s="2" t="s">
        <v>674</v>
      </c>
      <c r="B657" s="2">
        <v>0</v>
      </c>
      <c r="C657" s="2">
        <v>1.22</v>
      </c>
      <c r="D657" s="2">
        <v>0</v>
      </c>
      <c r="E657" s="2">
        <v>0.1</v>
      </c>
      <c r="F657" s="2">
        <v>0.67</v>
      </c>
      <c r="G657" s="2">
        <v>0</v>
      </c>
      <c r="H657" s="2">
        <f t="shared" si="30"/>
        <v>0.66395079686798486</v>
      </c>
      <c r="I657" s="2">
        <f t="shared" si="31"/>
        <v>0.75924298647557076</v>
      </c>
      <c r="K657" s="2">
        <f t="shared" si="32"/>
        <v>0.28688114778816154</v>
      </c>
    </row>
    <row r="658" spans="1:11" ht="13.9" x14ac:dyDescent="0.3">
      <c r="A658" s="2" t="s">
        <v>675</v>
      </c>
      <c r="B658" s="2">
        <v>0</v>
      </c>
      <c r="C658" s="2">
        <v>1.22</v>
      </c>
      <c r="D658" s="2">
        <v>0</v>
      </c>
      <c r="E658" s="2">
        <v>0.1</v>
      </c>
      <c r="F658" s="2">
        <v>0.53</v>
      </c>
      <c r="G658" s="2">
        <v>0</v>
      </c>
      <c r="H658" s="2">
        <f t="shared" si="30"/>
        <v>0.9534574140629698</v>
      </c>
      <c r="I658" s="2">
        <f t="shared" si="31"/>
        <v>0.67665084271471432</v>
      </c>
      <c r="K658" s="2">
        <f t="shared" si="32"/>
        <v>0.28688114778816154</v>
      </c>
    </row>
    <row r="659" spans="1:11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 t="e">
        <f t="shared" si="30"/>
        <v>#DIV/0!</v>
      </c>
      <c r="I659" s="2" t="e">
        <f t="shared" si="31"/>
        <v>#DIV/0!</v>
      </c>
      <c r="K659" s="2" t="e">
        <f t="shared" si="32"/>
        <v>#NUM!</v>
      </c>
    </row>
    <row r="660" spans="1:11" ht="13.9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30"/>
        <v>#DIV/0!</v>
      </c>
      <c r="I660" s="2" t="e">
        <f t="shared" si="31"/>
        <v>#DIV/0!</v>
      </c>
      <c r="K660" s="2" t="e">
        <f t="shared" si="32"/>
        <v>#NUM!</v>
      </c>
    </row>
    <row r="661" spans="1:11" ht="13.9" x14ac:dyDescent="0.3">
      <c r="A661" s="2" t="s">
        <v>678</v>
      </c>
      <c r="B661" s="2">
        <v>5.6</v>
      </c>
      <c r="C661" s="2">
        <v>0</v>
      </c>
      <c r="D661" s="2">
        <v>4.92</v>
      </c>
      <c r="E661" s="2">
        <v>3.26</v>
      </c>
      <c r="F661" s="2">
        <v>0.8</v>
      </c>
      <c r="G661" s="2">
        <v>3.06</v>
      </c>
      <c r="H661" s="2">
        <f t="shared" si="30"/>
        <v>0.56318555832590478</v>
      </c>
      <c r="I661" s="2">
        <f t="shared" si="31"/>
        <v>0.58908209358109409</v>
      </c>
      <c r="K661" s="2">
        <f t="shared" si="32"/>
        <v>3.3950627995175777</v>
      </c>
    </row>
    <row r="662" spans="1:11" ht="13.9" x14ac:dyDescent="0.3">
      <c r="A662" s="2" t="s">
        <v>679</v>
      </c>
      <c r="B662" s="2">
        <v>0</v>
      </c>
      <c r="C662" s="2">
        <v>1.95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30"/>
        <v>#DIV/0!</v>
      </c>
      <c r="I662" s="2">
        <f t="shared" si="31"/>
        <v>0.37390096630005903</v>
      </c>
      <c r="K662" s="2">
        <f t="shared" si="32"/>
        <v>0.96347412397488608</v>
      </c>
    </row>
    <row r="663" spans="1:11" ht="13.9" x14ac:dyDescent="0.3">
      <c r="A663" s="2" t="s">
        <v>680</v>
      </c>
      <c r="B663" s="2">
        <v>0</v>
      </c>
      <c r="C663" s="2">
        <v>1.22</v>
      </c>
      <c r="D663" s="2">
        <v>0</v>
      </c>
      <c r="E663" s="2">
        <v>0.1</v>
      </c>
      <c r="F663" s="2">
        <v>0.67</v>
      </c>
      <c r="G663" s="2">
        <v>0</v>
      </c>
      <c r="H663" s="2">
        <f t="shared" si="30"/>
        <v>0.66395079686798486</v>
      </c>
      <c r="I663" s="2">
        <f t="shared" si="31"/>
        <v>0.75924298647557076</v>
      </c>
      <c r="K663" s="2">
        <f t="shared" si="32"/>
        <v>0.28688114778816154</v>
      </c>
    </row>
    <row r="664" spans="1:11" ht="13.9" x14ac:dyDescent="0.3">
      <c r="A664" s="8" t="s">
        <v>681</v>
      </c>
      <c r="B664" s="2">
        <v>3.63</v>
      </c>
      <c r="C664" s="2">
        <v>0</v>
      </c>
      <c r="D664" s="2">
        <v>0</v>
      </c>
      <c r="E664" s="2">
        <v>3.36</v>
      </c>
      <c r="F664" s="2">
        <v>0</v>
      </c>
      <c r="G664" s="2">
        <v>2.74</v>
      </c>
      <c r="H664" s="2">
        <f t="shared" si="30"/>
        <v>-0.74883969445449794</v>
      </c>
      <c r="I664" s="2">
        <f t="shared" si="31"/>
        <v>0.63201269791039016</v>
      </c>
      <c r="K664" s="2">
        <f t="shared" si="32"/>
        <v>1.8599695482210259</v>
      </c>
    </row>
    <row r="665" spans="1:11" ht="13.9" x14ac:dyDescent="0.3">
      <c r="A665" s="2" t="s">
        <v>682</v>
      </c>
      <c r="B665" s="2">
        <v>10.55</v>
      </c>
      <c r="C665" s="2">
        <v>10.49</v>
      </c>
      <c r="D665" s="2">
        <v>7.83</v>
      </c>
      <c r="E665" s="2">
        <v>30.9</v>
      </c>
      <c r="F665" s="2">
        <v>16.04</v>
      </c>
      <c r="G665" s="2">
        <v>22.97</v>
      </c>
      <c r="H665" s="2">
        <f t="shared" si="30"/>
        <v>-1.2759277274050229</v>
      </c>
      <c r="I665" s="2">
        <f t="shared" si="31"/>
        <v>3.5551336757978148E-2</v>
      </c>
      <c r="K665" s="2">
        <f t="shared" si="32"/>
        <v>4.8514992024612571</v>
      </c>
    </row>
    <row r="666" spans="1:11" ht="13.9" x14ac:dyDescent="0.3">
      <c r="A666" s="2" t="s">
        <v>683</v>
      </c>
      <c r="B666" s="2">
        <v>0</v>
      </c>
      <c r="C666" s="2">
        <v>2.68</v>
      </c>
      <c r="D666" s="2">
        <v>0</v>
      </c>
      <c r="E666" s="2">
        <v>1.18</v>
      </c>
      <c r="F666" s="2">
        <v>0</v>
      </c>
      <c r="G666" s="2">
        <v>0.11</v>
      </c>
      <c r="H666" s="2">
        <f t="shared" si="30"/>
        <v>1.0548619350345185</v>
      </c>
      <c r="I666" s="2">
        <f t="shared" si="31"/>
        <v>0.65761754831587349</v>
      </c>
      <c r="K666" s="2">
        <f t="shared" si="32"/>
        <v>1.4222330006830479</v>
      </c>
    </row>
    <row r="667" spans="1:11" ht="13.9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0.1</v>
      </c>
      <c r="F667" s="2">
        <v>0</v>
      </c>
      <c r="G667" s="2">
        <v>0</v>
      </c>
      <c r="H667" s="2" t="e">
        <f t="shared" si="30"/>
        <v>#NUM!</v>
      </c>
      <c r="I667" s="2">
        <f t="shared" si="31"/>
        <v>0.37390096630005903</v>
      </c>
      <c r="K667" s="2" t="e">
        <f t="shared" si="32"/>
        <v>#NUM!</v>
      </c>
    </row>
    <row r="668" spans="1:11" ht="13.9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0.39</v>
      </c>
      <c r="F668" s="2">
        <v>0.13</v>
      </c>
      <c r="G668" s="2">
        <v>1.37</v>
      </c>
      <c r="H668" s="2" t="e">
        <f t="shared" si="30"/>
        <v>#NUM!</v>
      </c>
      <c r="I668" s="2">
        <f t="shared" si="31"/>
        <v>0.17049807445942508</v>
      </c>
      <c r="K668" s="2" t="e">
        <f t="shared" si="32"/>
        <v>#NUM!</v>
      </c>
    </row>
    <row r="669" spans="1:11" ht="13.9" x14ac:dyDescent="0.3">
      <c r="A669" s="2" t="s">
        <v>686</v>
      </c>
      <c r="B669" s="2">
        <v>0</v>
      </c>
      <c r="C669" s="2">
        <v>0</v>
      </c>
      <c r="D669" s="2">
        <v>0</v>
      </c>
      <c r="E669" s="2">
        <v>0.3</v>
      </c>
      <c r="F669" s="2">
        <v>0.27</v>
      </c>
      <c r="G669" s="2">
        <v>0</v>
      </c>
      <c r="H669" s="2" t="e">
        <f t="shared" si="30"/>
        <v>#NUM!</v>
      </c>
      <c r="I669" s="2">
        <f t="shared" si="31"/>
        <v>0.11721716888134213</v>
      </c>
      <c r="K669" s="2" t="e">
        <f t="shared" si="32"/>
        <v>#NUM!</v>
      </c>
    </row>
    <row r="670" spans="1:11" ht="13.9" x14ac:dyDescent="0.3">
      <c r="A670" s="2" t="s">
        <v>687</v>
      </c>
      <c r="B670" s="2">
        <v>0</v>
      </c>
      <c r="C670" s="2">
        <v>2.2000000000000002</v>
      </c>
      <c r="D670" s="2">
        <v>0</v>
      </c>
      <c r="E670" s="2">
        <v>0</v>
      </c>
      <c r="F670" s="2">
        <v>0.13</v>
      </c>
      <c r="G670" s="2">
        <v>0</v>
      </c>
      <c r="H670" s="2">
        <f t="shared" si="30"/>
        <v>4.0809199953835673</v>
      </c>
      <c r="I670" s="2">
        <f t="shared" si="31"/>
        <v>0.40077125781951178</v>
      </c>
      <c r="K670" s="2">
        <f t="shared" si="32"/>
        <v>1.1375035237499351</v>
      </c>
    </row>
    <row r="671" spans="1:11" ht="13.9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30"/>
        <v>#DIV/0!</v>
      </c>
      <c r="I671" s="2" t="e">
        <f t="shared" si="31"/>
        <v>#DIV/0!</v>
      </c>
      <c r="K671" s="2" t="e">
        <f t="shared" si="32"/>
        <v>#NUM!</v>
      </c>
    </row>
    <row r="672" spans="1:11" ht="13.9" x14ac:dyDescent="0.3">
      <c r="A672" s="2" t="s">
        <v>689</v>
      </c>
      <c r="B672" s="2">
        <v>8.57</v>
      </c>
      <c r="C672" s="2">
        <v>0.98</v>
      </c>
      <c r="D672" s="2">
        <v>0.18</v>
      </c>
      <c r="E672" s="2">
        <v>4.4400000000000004</v>
      </c>
      <c r="F672" s="2">
        <v>3.48</v>
      </c>
      <c r="G672" s="2">
        <v>4.53</v>
      </c>
      <c r="H672" s="2">
        <f t="shared" si="30"/>
        <v>-0.35563403217433159</v>
      </c>
      <c r="I672" s="2">
        <f t="shared" si="31"/>
        <v>0.75340304988743678</v>
      </c>
      <c r="K672" s="2">
        <f t="shared" si="32"/>
        <v>3.282439805006387</v>
      </c>
    </row>
    <row r="673" spans="1:11" ht="13.9" x14ac:dyDescent="0.3">
      <c r="A673" s="2" t="s">
        <v>690</v>
      </c>
      <c r="B673" s="2">
        <v>0</v>
      </c>
      <c r="C673" s="2">
        <v>1.95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30"/>
        <v>#DIV/0!</v>
      </c>
      <c r="I673" s="2">
        <f t="shared" si="31"/>
        <v>0.37390096630005903</v>
      </c>
      <c r="K673" s="2">
        <f t="shared" si="32"/>
        <v>0.96347412397488608</v>
      </c>
    </row>
    <row r="674" spans="1:11" ht="13.9" x14ac:dyDescent="0.3">
      <c r="A674" s="2" t="s">
        <v>691</v>
      </c>
      <c r="B674" s="2">
        <v>0</v>
      </c>
      <c r="C674" s="2">
        <v>0.24</v>
      </c>
      <c r="D674" s="2">
        <v>0</v>
      </c>
      <c r="E674" s="2">
        <v>1.48</v>
      </c>
      <c r="F674" s="2">
        <v>1.2</v>
      </c>
      <c r="G674" s="2">
        <v>2.11</v>
      </c>
      <c r="H674" s="2">
        <f t="shared" si="30"/>
        <v>-4.3189193450150238</v>
      </c>
      <c r="I674" s="2">
        <f t="shared" si="31"/>
        <v>5.6826632961506796E-3</v>
      </c>
      <c r="K674" s="2">
        <f t="shared" si="32"/>
        <v>-2.0588936890535687</v>
      </c>
    </row>
    <row r="675" spans="1:11" ht="13.9" x14ac:dyDescent="0.3">
      <c r="A675" s="2" t="s">
        <v>692</v>
      </c>
      <c r="B675" s="2">
        <v>6.26</v>
      </c>
      <c r="C675" s="2">
        <v>0</v>
      </c>
      <c r="D675" s="2">
        <v>0</v>
      </c>
      <c r="E675" s="2">
        <v>0.89</v>
      </c>
      <c r="F675" s="2">
        <v>0</v>
      </c>
      <c r="G675" s="2">
        <v>0</v>
      </c>
      <c r="H675" s="2">
        <f t="shared" si="30"/>
        <v>2.8142854159662205</v>
      </c>
      <c r="I675" s="2">
        <f t="shared" si="31"/>
        <v>0.44356268741357918</v>
      </c>
      <c r="K675" s="2">
        <f t="shared" si="32"/>
        <v>2.6461626571578938</v>
      </c>
    </row>
    <row r="676" spans="1:11" ht="13.9" x14ac:dyDescent="0.3">
      <c r="A676" s="2" t="s">
        <v>693</v>
      </c>
      <c r="B676" s="2">
        <v>0</v>
      </c>
      <c r="C676" s="2">
        <v>0</v>
      </c>
      <c r="D676" s="2">
        <v>10.92</v>
      </c>
      <c r="E676" s="2">
        <v>0.2</v>
      </c>
      <c r="F676" s="2">
        <v>0</v>
      </c>
      <c r="G676" s="2">
        <v>1.9</v>
      </c>
      <c r="H676" s="2">
        <f t="shared" si="30"/>
        <v>2.37851162325373</v>
      </c>
      <c r="I676" s="2">
        <f t="shared" si="31"/>
        <v>0.47016435695789405</v>
      </c>
      <c r="K676" s="2">
        <f t="shared" si="32"/>
        <v>3.4489009511451281</v>
      </c>
    </row>
    <row r="677" spans="1:11" ht="13.9" x14ac:dyDescent="0.3">
      <c r="A677" s="2" t="s">
        <v>694</v>
      </c>
      <c r="B677" s="2">
        <v>5.6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 t="e">
        <f t="shared" si="30"/>
        <v>#DIV/0!</v>
      </c>
      <c r="I677" s="2">
        <f t="shared" si="31"/>
        <v>0.37390096630005903</v>
      </c>
      <c r="K677" s="2">
        <f t="shared" si="32"/>
        <v>2.485426827170242</v>
      </c>
    </row>
    <row r="678" spans="1:11" ht="13.9" x14ac:dyDescent="0.3">
      <c r="A678" s="2" t="s">
        <v>695</v>
      </c>
      <c r="B678" s="2">
        <v>0</v>
      </c>
      <c r="C678" s="2">
        <v>0</v>
      </c>
      <c r="D678" s="2">
        <v>4.92</v>
      </c>
      <c r="E678" s="2">
        <v>0.59</v>
      </c>
      <c r="F678" s="2">
        <v>0.27</v>
      </c>
      <c r="G678" s="2">
        <v>2</v>
      </c>
      <c r="H678" s="2">
        <f t="shared" si="30"/>
        <v>0.78264316856085059</v>
      </c>
      <c r="I678" s="2">
        <f t="shared" si="31"/>
        <v>0.71074713203716788</v>
      </c>
      <c r="K678" s="2">
        <f t="shared" si="32"/>
        <v>2.2986583155645151</v>
      </c>
    </row>
    <row r="679" spans="1:11" ht="13.9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 t="e">
        <f t="shared" si="30"/>
        <v>#DIV/0!</v>
      </c>
      <c r="I679" s="2" t="e">
        <f t="shared" si="31"/>
        <v>#DIV/0!</v>
      </c>
      <c r="K679" s="2" t="e">
        <f t="shared" si="32"/>
        <v>#NUM!</v>
      </c>
    </row>
    <row r="680" spans="1:11" ht="13.9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 t="e">
        <f t="shared" si="30"/>
        <v>#DIV/0!</v>
      </c>
      <c r="I680" s="2" t="e">
        <f t="shared" si="31"/>
        <v>#DIV/0!</v>
      </c>
      <c r="K680" s="2" t="e">
        <f t="shared" si="32"/>
        <v>#NUM!</v>
      </c>
    </row>
    <row r="681" spans="1:11" ht="13.9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0.1</v>
      </c>
      <c r="F681" s="2">
        <v>0</v>
      </c>
      <c r="G681" s="2">
        <v>0</v>
      </c>
      <c r="H681" s="2" t="e">
        <f t="shared" si="30"/>
        <v>#NUM!</v>
      </c>
      <c r="I681" s="2">
        <f t="shared" si="31"/>
        <v>0.37390096630005903</v>
      </c>
      <c r="K681" s="2" t="e">
        <f t="shared" si="32"/>
        <v>#NUM!</v>
      </c>
    </row>
    <row r="682" spans="1:11" ht="13.9" x14ac:dyDescent="0.3">
      <c r="A682" s="2" t="s">
        <v>699</v>
      </c>
      <c r="B682" s="2">
        <v>0</v>
      </c>
      <c r="C682" s="2">
        <v>0</v>
      </c>
      <c r="D682" s="2">
        <v>0.18</v>
      </c>
      <c r="E682" s="2">
        <v>0</v>
      </c>
      <c r="F682" s="2">
        <v>0</v>
      </c>
      <c r="G682" s="2">
        <v>0</v>
      </c>
      <c r="H682" s="2" t="e">
        <f t="shared" si="30"/>
        <v>#DIV/0!</v>
      </c>
      <c r="I682" s="2">
        <f t="shared" si="31"/>
        <v>0.37390096630005903</v>
      </c>
      <c r="K682" s="2">
        <f t="shared" si="32"/>
        <v>-2.4739311883324122</v>
      </c>
    </row>
    <row r="683" spans="1:11" ht="13.9" x14ac:dyDescent="0.3">
      <c r="A683" s="2" t="s">
        <v>700</v>
      </c>
      <c r="B683" s="2">
        <v>0</v>
      </c>
      <c r="C683" s="2">
        <v>12.69</v>
      </c>
      <c r="D683" s="2">
        <v>0</v>
      </c>
      <c r="E683" s="2">
        <v>0</v>
      </c>
      <c r="F683" s="2">
        <v>0</v>
      </c>
      <c r="G683" s="2">
        <v>0.63</v>
      </c>
      <c r="H683" s="2">
        <f t="shared" si="30"/>
        <v>4.33219643034119</v>
      </c>
      <c r="I683" s="2">
        <f t="shared" si="31"/>
        <v>0.39627468253986031</v>
      </c>
      <c r="K683" s="2">
        <f t="shared" si="32"/>
        <v>3.665620164066381</v>
      </c>
    </row>
    <row r="684" spans="1:11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 t="e">
        <f t="shared" si="30"/>
        <v>#DIV/0!</v>
      </c>
      <c r="I684" s="2" t="e">
        <f t="shared" si="31"/>
        <v>#DIV/0!</v>
      </c>
      <c r="K684" s="2" t="e">
        <f t="shared" si="32"/>
        <v>#NUM!</v>
      </c>
    </row>
    <row r="685" spans="1:11" ht="13.9" x14ac:dyDescent="0.3">
      <c r="A685" s="2" t="s">
        <v>702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30"/>
        <v>#DIV/0!</v>
      </c>
      <c r="I685" s="2" t="e">
        <f t="shared" si="31"/>
        <v>#DIV/0!</v>
      </c>
      <c r="K685" s="2" t="e">
        <f t="shared" si="32"/>
        <v>#NUM!</v>
      </c>
    </row>
    <row r="686" spans="1:11" ht="13.9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0.21</v>
      </c>
      <c r="H686" s="2" t="e">
        <f t="shared" si="30"/>
        <v>#NUM!</v>
      </c>
      <c r="I686" s="2">
        <f t="shared" si="31"/>
        <v>0.37390096630005903</v>
      </c>
      <c r="K686" s="2" t="e">
        <f t="shared" si="32"/>
        <v>#NUM!</v>
      </c>
    </row>
    <row r="687" spans="1:11" ht="13.9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30"/>
        <v>#DIV/0!</v>
      </c>
      <c r="I687" s="2" t="e">
        <f t="shared" si="31"/>
        <v>#DIV/0!</v>
      </c>
      <c r="K687" s="2" t="e">
        <f t="shared" si="32"/>
        <v>#NUM!</v>
      </c>
    </row>
    <row r="688" spans="1:11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1.38</v>
      </c>
      <c r="F688" s="2">
        <v>0</v>
      </c>
      <c r="G688" s="2">
        <v>0</v>
      </c>
      <c r="H688" s="2" t="e">
        <f t="shared" si="30"/>
        <v>#NUM!</v>
      </c>
      <c r="I688" s="2">
        <f t="shared" si="31"/>
        <v>0.37390096630005903</v>
      </c>
      <c r="K688" s="2" t="e">
        <f t="shared" si="32"/>
        <v>#NUM!</v>
      </c>
    </row>
    <row r="689" spans="1:11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0.84</v>
      </c>
      <c r="H689" s="2" t="e">
        <f t="shared" si="30"/>
        <v>#NUM!</v>
      </c>
      <c r="I689" s="2">
        <f t="shared" si="31"/>
        <v>0.37390096630005903</v>
      </c>
      <c r="K689" s="2" t="e">
        <f t="shared" si="32"/>
        <v>#NUM!</v>
      </c>
    </row>
    <row r="690" spans="1:11" ht="13.9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</v>
      </c>
      <c r="F690" s="2">
        <v>0.27</v>
      </c>
      <c r="G690" s="2">
        <v>0.84</v>
      </c>
      <c r="H690" s="2" t="e">
        <f t="shared" si="30"/>
        <v>#NUM!</v>
      </c>
      <c r="I690" s="2">
        <f t="shared" si="31"/>
        <v>0.20937694898279027</v>
      </c>
      <c r="K690" s="2" t="e">
        <f t="shared" si="32"/>
        <v>#NUM!</v>
      </c>
    </row>
    <row r="691" spans="1:11" ht="13.9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 t="e">
        <f t="shared" si="30"/>
        <v>#DIV/0!</v>
      </c>
      <c r="I691" s="2" t="e">
        <f t="shared" si="31"/>
        <v>#DIV/0!</v>
      </c>
      <c r="K691" s="2" t="e">
        <f t="shared" si="32"/>
        <v>#NUM!</v>
      </c>
    </row>
    <row r="692" spans="1:11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 t="e">
        <f t="shared" si="30"/>
        <v>#DIV/0!</v>
      </c>
      <c r="I692" s="2" t="e">
        <f t="shared" si="31"/>
        <v>#DIV/0!</v>
      </c>
      <c r="K692" s="2" t="e">
        <f t="shared" si="32"/>
        <v>#NUM!</v>
      </c>
    </row>
    <row r="693" spans="1:11" ht="13.9" x14ac:dyDescent="0.3">
      <c r="A693" s="2" t="s">
        <v>710</v>
      </c>
      <c r="B693" s="2">
        <v>0</v>
      </c>
      <c r="C693" s="2">
        <v>0</v>
      </c>
      <c r="D693" s="2">
        <v>13.47</v>
      </c>
      <c r="E693" s="2">
        <v>0</v>
      </c>
      <c r="F693" s="2">
        <v>0</v>
      </c>
      <c r="G693" s="2">
        <v>0</v>
      </c>
      <c r="H693" s="2" t="e">
        <f t="shared" si="30"/>
        <v>#DIV/0!</v>
      </c>
      <c r="I693" s="2">
        <f t="shared" si="31"/>
        <v>0.37390096630005903</v>
      </c>
      <c r="K693" s="2">
        <f t="shared" si="32"/>
        <v>3.7516779456875788</v>
      </c>
    </row>
    <row r="694" spans="1:11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0.13</v>
      </c>
      <c r="G694" s="2">
        <v>0</v>
      </c>
      <c r="H694" s="2" t="e">
        <f t="shared" si="30"/>
        <v>#NUM!</v>
      </c>
      <c r="I694" s="2">
        <f t="shared" si="31"/>
        <v>0.37390096630005903</v>
      </c>
      <c r="K694" s="2" t="e">
        <f t="shared" si="32"/>
        <v>#NUM!</v>
      </c>
    </row>
    <row r="695" spans="1:11" ht="13.9" x14ac:dyDescent="0.3">
      <c r="A695" s="2" t="s">
        <v>712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30"/>
        <v>#DIV/0!</v>
      </c>
      <c r="I695" s="2" t="e">
        <f t="shared" si="31"/>
        <v>#DIV/0!</v>
      </c>
      <c r="K695" s="2" t="e">
        <f t="shared" si="32"/>
        <v>#NUM!</v>
      </c>
    </row>
    <row r="696" spans="1:11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0.53</v>
      </c>
      <c r="H696" s="2" t="e">
        <f t="shared" si="30"/>
        <v>#NUM!</v>
      </c>
      <c r="I696" s="2">
        <f t="shared" si="31"/>
        <v>0.37390096630005903</v>
      </c>
      <c r="K696" s="2" t="e">
        <f t="shared" si="32"/>
        <v>#NUM!</v>
      </c>
    </row>
    <row r="697" spans="1:11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0.53</v>
      </c>
      <c r="H697" s="2" t="e">
        <f t="shared" si="30"/>
        <v>#NUM!</v>
      </c>
      <c r="I697" s="2">
        <f t="shared" si="31"/>
        <v>0.37390096630005903</v>
      </c>
      <c r="K697" s="2" t="e">
        <f t="shared" si="32"/>
        <v>#NUM!</v>
      </c>
    </row>
    <row r="698" spans="1:11" ht="13.9" x14ac:dyDescent="0.3">
      <c r="A698" s="2" t="s">
        <v>715</v>
      </c>
      <c r="B698" s="2">
        <v>5.6</v>
      </c>
      <c r="C698" s="2">
        <v>12.69</v>
      </c>
      <c r="D698" s="2">
        <v>5.46</v>
      </c>
      <c r="E698" s="2">
        <v>4.1500000000000004</v>
      </c>
      <c r="F698" s="2">
        <v>17.649999999999999</v>
      </c>
      <c r="G698" s="2">
        <v>10.33</v>
      </c>
      <c r="H698" s="2">
        <f t="shared" si="30"/>
        <v>-0.43599346736573935</v>
      </c>
      <c r="I698" s="2">
        <f t="shared" si="31"/>
        <v>0.57439595478877459</v>
      </c>
      <c r="K698" s="2">
        <f t="shared" si="32"/>
        <v>4.5698556083309487</v>
      </c>
    </row>
    <row r="699" spans="1:11" ht="13.9" x14ac:dyDescent="0.3">
      <c r="A699" s="2" t="s">
        <v>716</v>
      </c>
      <c r="B699" s="2">
        <v>1.32</v>
      </c>
      <c r="C699" s="2">
        <v>0</v>
      </c>
      <c r="D699" s="2">
        <v>0</v>
      </c>
      <c r="E699" s="2">
        <v>0.69</v>
      </c>
      <c r="F699" s="2">
        <v>0.27</v>
      </c>
      <c r="G699" s="2">
        <v>0.21</v>
      </c>
      <c r="H699" s="2">
        <f t="shared" si="30"/>
        <v>0.17402939977504919</v>
      </c>
      <c r="I699" s="2">
        <f t="shared" si="31"/>
        <v>0.919580886065819</v>
      </c>
      <c r="K699" s="2">
        <f t="shared" si="32"/>
        <v>0.40053792958372886</v>
      </c>
    </row>
    <row r="700" spans="1:11" ht="13.9" x14ac:dyDescent="0.3">
      <c r="A700" s="2" t="s">
        <v>717</v>
      </c>
      <c r="B700" s="2">
        <v>317.08999999999997</v>
      </c>
      <c r="C700" s="2">
        <v>119.05</v>
      </c>
      <c r="D700" s="2">
        <v>336.64</v>
      </c>
      <c r="E700" s="2">
        <v>46.69</v>
      </c>
      <c r="F700" s="2">
        <v>27.68</v>
      </c>
      <c r="G700" s="2">
        <v>48.58</v>
      </c>
      <c r="H700" s="2">
        <f t="shared" si="30"/>
        <v>2.6519860219283653</v>
      </c>
      <c r="I700" s="2">
        <f t="shared" si="31"/>
        <v>3.6138100691894826E-2</v>
      </c>
      <c r="K700" s="2">
        <f t="shared" si="32"/>
        <v>9.5939139466370857</v>
      </c>
    </row>
    <row r="701" spans="1:11" ht="13.9" x14ac:dyDescent="0.3">
      <c r="A701" s="2" t="s">
        <v>718</v>
      </c>
      <c r="B701" s="2">
        <v>9.23</v>
      </c>
      <c r="C701" s="2">
        <v>0</v>
      </c>
      <c r="D701" s="2">
        <v>11.11</v>
      </c>
      <c r="E701" s="2">
        <v>16.68</v>
      </c>
      <c r="F701" s="2">
        <v>14.44</v>
      </c>
      <c r="G701" s="2">
        <v>11.7</v>
      </c>
      <c r="H701" s="2">
        <f t="shared" si="30"/>
        <v>-1.0739651165280091</v>
      </c>
      <c r="I701" s="2">
        <f t="shared" si="31"/>
        <v>0.11443994933149958</v>
      </c>
      <c r="K701" s="2">
        <f t="shared" si="32"/>
        <v>4.3462477740827756</v>
      </c>
    </row>
    <row r="702" spans="1:11" ht="13.9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1.6</v>
      </c>
      <c r="G702" s="2">
        <v>0</v>
      </c>
      <c r="H702" s="2" t="e">
        <f t="shared" si="30"/>
        <v>#NUM!</v>
      </c>
      <c r="I702" s="2">
        <f t="shared" si="31"/>
        <v>0.37390096630005903</v>
      </c>
      <c r="K702" s="2" t="e">
        <f t="shared" si="32"/>
        <v>#NUM!</v>
      </c>
    </row>
    <row r="703" spans="1:11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0.3</v>
      </c>
      <c r="F703" s="2">
        <v>0.53</v>
      </c>
      <c r="G703" s="2">
        <v>0.53</v>
      </c>
      <c r="H703" s="2" t="e">
        <f t="shared" si="30"/>
        <v>#NUM!</v>
      </c>
      <c r="I703" s="2">
        <f t="shared" si="31"/>
        <v>4.0956736627444906E-3</v>
      </c>
      <c r="K703" s="2" t="e">
        <f t="shared" si="32"/>
        <v>#NUM!</v>
      </c>
    </row>
    <row r="704" spans="1:11" ht="13.9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6.52</v>
      </c>
      <c r="F704" s="2">
        <v>3.48</v>
      </c>
      <c r="G704" s="2">
        <v>7.48</v>
      </c>
      <c r="H704" s="2" t="e">
        <f t="shared" si="30"/>
        <v>#NUM!</v>
      </c>
      <c r="I704" s="2">
        <f t="shared" si="31"/>
        <v>8.443259355777959E-3</v>
      </c>
      <c r="K704" s="2" t="e">
        <f t="shared" si="32"/>
        <v>#NUM!</v>
      </c>
    </row>
    <row r="705" spans="1:11" ht="13.9" x14ac:dyDescent="0.3">
      <c r="A705" s="2" t="s">
        <v>722</v>
      </c>
      <c r="B705" s="2">
        <v>592.32000000000005</v>
      </c>
      <c r="C705" s="2">
        <v>865.58</v>
      </c>
      <c r="D705" s="2">
        <v>589.53</v>
      </c>
      <c r="E705" s="2">
        <v>1105.51</v>
      </c>
      <c r="F705" s="2">
        <v>1006.41</v>
      </c>
      <c r="G705" s="2">
        <v>1138.27</v>
      </c>
      <c r="H705" s="2">
        <f t="shared" si="30"/>
        <v>-0.66670992973166554</v>
      </c>
      <c r="I705" s="2">
        <f t="shared" si="31"/>
        <v>1.5883528576058403E-2</v>
      </c>
      <c r="K705" s="2">
        <f t="shared" si="32"/>
        <v>10.999598412777845</v>
      </c>
    </row>
    <row r="706" spans="1:11" ht="13.9" x14ac:dyDescent="0.3">
      <c r="A706" s="2" t="s">
        <v>723</v>
      </c>
      <c r="B706" s="2">
        <v>18.79</v>
      </c>
      <c r="C706" s="2">
        <v>0</v>
      </c>
      <c r="D706" s="2">
        <v>9.2899999999999991</v>
      </c>
      <c r="E706" s="2">
        <v>1.48</v>
      </c>
      <c r="F706" s="2">
        <v>1.47</v>
      </c>
      <c r="G706" s="2">
        <v>0.42</v>
      </c>
      <c r="H706" s="2">
        <f t="shared" ref="H706:H769" si="33">LOG(SUM(B706:D706)/SUM(E706:G706),2)</f>
        <v>3.0587224391227026</v>
      </c>
      <c r="I706" s="2">
        <f t="shared" ref="I706:I769" si="34">_xlfn.T.TEST(B706:D706,E706:G706,2,2)</f>
        <v>0.20427688500186333</v>
      </c>
      <c r="K706" s="2">
        <f t="shared" si="32"/>
        <v>4.8114710305298356</v>
      </c>
    </row>
    <row r="707" spans="1:11" ht="13.9" x14ac:dyDescent="0.3">
      <c r="A707" s="2" t="s">
        <v>724</v>
      </c>
      <c r="B707" s="2">
        <v>197.11</v>
      </c>
      <c r="C707" s="2">
        <v>134.91</v>
      </c>
      <c r="D707" s="2">
        <v>168.96</v>
      </c>
      <c r="E707" s="2">
        <v>352.61</v>
      </c>
      <c r="F707" s="2">
        <v>350.85</v>
      </c>
      <c r="G707" s="2">
        <v>304.77999999999997</v>
      </c>
      <c r="H707" s="2">
        <f t="shared" si="33"/>
        <v>-1.0090141820037271</v>
      </c>
      <c r="I707" s="2">
        <f t="shared" si="34"/>
        <v>2.0881558648820097E-3</v>
      </c>
      <c r="K707" s="2">
        <f t="shared" ref="K707:K770" si="35">LOG(SUM(B707:D707),2)</f>
        <v>8.9686091994292223</v>
      </c>
    </row>
    <row r="708" spans="1:11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 t="e">
        <f t="shared" si="33"/>
        <v>#DIV/0!</v>
      </c>
      <c r="I708" s="2" t="e">
        <f t="shared" si="34"/>
        <v>#DIV/0!</v>
      </c>
      <c r="K708" s="2" t="e">
        <f t="shared" si="35"/>
        <v>#NUM!</v>
      </c>
    </row>
    <row r="709" spans="1:11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0.49</v>
      </c>
      <c r="F709" s="2">
        <v>0</v>
      </c>
      <c r="G709" s="2">
        <v>0</v>
      </c>
      <c r="H709" s="2" t="e">
        <f t="shared" si="33"/>
        <v>#NUM!</v>
      </c>
      <c r="I709" s="2">
        <f t="shared" si="34"/>
        <v>0.37390096630005903</v>
      </c>
      <c r="K709" s="2" t="e">
        <f t="shared" si="35"/>
        <v>#NUM!</v>
      </c>
    </row>
    <row r="710" spans="1:11" ht="13.9" x14ac:dyDescent="0.3">
      <c r="A710" s="2" t="s">
        <v>727</v>
      </c>
      <c r="B710" s="2">
        <v>1.32</v>
      </c>
      <c r="C710" s="2">
        <v>34.64</v>
      </c>
      <c r="D710" s="2">
        <v>11.29</v>
      </c>
      <c r="E710" s="2">
        <v>46.69</v>
      </c>
      <c r="F710" s="2">
        <v>38.909999999999997</v>
      </c>
      <c r="G710" s="2">
        <v>45.95</v>
      </c>
      <c r="H710" s="2">
        <f t="shared" si="33"/>
        <v>-1.4772250140574545</v>
      </c>
      <c r="I710" s="2">
        <f t="shared" si="34"/>
        <v>5.0837089731596119E-2</v>
      </c>
      <c r="K710" s="2">
        <f t="shared" si="35"/>
        <v>5.5622424242210728</v>
      </c>
    </row>
    <row r="711" spans="1:11" ht="13.9" x14ac:dyDescent="0.3">
      <c r="A711" s="2" t="s">
        <v>728</v>
      </c>
      <c r="B711" s="2">
        <v>5.93</v>
      </c>
      <c r="C711" s="2">
        <v>0</v>
      </c>
      <c r="D711" s="2">
        <v>6.01</v>
      </c>
      <c r="E711" s="2">
        <v>3.16</v>
      </c>
      <c r="F711" s="2">
        <v>2.54</v>
      </c>
      <c r="G711" s="2">
        <v>1.79</v>
      </c>
      <c r="H711" s="2">
        <f t="shared" si="33"/>
        <v>0.67276521280605373</v>
      </c>
      <c r="I711" s="2">
        <f t="shared" si="34"/>
        <v>0.50529124916280499</v>
      </c>
      <c r="K711" s="2">
        <f t="shared" si="35"/>
        <v>3.57773093149008</v>
      </c>
    </row>
    <row r="712" spans="1:11" ht="13.9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0.11</v>
      </c>
      <c r="H712" s="2" t="e">
        <f t="shared" si="33"/>
        <v>#NUM!</v>
      </c>
      <c r="I712" s="2">
        <f t="shared" si="34"/>
        <v>0.37390096630005903</v>
      </c>
      <c r="K712" s="2" t="e">
        <f t="shared" si="35"/>
        <v>#NUM!</v>
      </c>
    </row>
    <row r="713" spans="1:11" ht="13.9" x14ac:dyDescent="0.3">
      <c r="A713" s="2" t="s">
        <v>730</v>
      </c>
      <c r="B713" s="2">
        <v>13.18</v>
      </c>
      <c r="C713" s="2">
        <v>0</v>
      </c>
      <c r="D713" s="2">
        <v>0</v>
      </c>
      <c r="E713" s="2">
        <v>4.34</v>
      </c>
      <c r="F713" s="2">
        <v>4.68</v>
      </c>
      <c r="G713" s="2">
        <v>3.37</v>
      </c>
      <c r="H713" s="2">
        <f t="shared" si="33"/>
        <v>8.9174182867450186E-2</v>
      </c>
      <c r="I713" s="2">
        <f t="shared" si="34"/>
        <v>0.95525705284041806</v>
      </c>
      <c r="K713" s="2">
        <f t="shared" si="35"/>
        <v>3.7202784652333274</v>
      </c>
    </row>
    <row r="714" spans="1:11" ht="13.9" x14ac:dyDescent="0.3">
      <c r="A714" s="2" t="s">
        <v>731</v>
      </c>
      <c r="B714" s="2">
        <v>0</v>
      </c>
      <c r="C714" s="2">
        <v>0</v>
      </c>
      <c r="D714" s="2">
        <v>0.36</v>
      </c>
      <c r="E714" s="2">
        <v>0</v>
      </c>
      <c r="F714" s="2">
        <v>0</v>
      </c>
      <c r="G714" s="2">
        <v>0</v>
      </c>
      <c r="H714" s="2" t="e">
        <f t="shared" si="33"/>
        <v>#DIV/0!</v>
      </c>
      <c r="I714" s="2">
        <f t="shared" si="34"/>
        <v>0.37390096630005903</v>
      </c>
      <c r="K714" s="2">
        <f t="shared" si="35"/>
        <v>-1.4739311883324124</v>
      </c>
    </row>
    <row r="715" spans="1:11" ht="13.9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1.1599999999999999</v>
      </c>
      <c r="H715" s="2" t="e">
        <f t="shared" si="33"/>
        <v>#NUM!</v>
      </c>
      <c r="I715" s="2">
        <f t="shared" si="34"/>
        <v>0.37390096630005903</v>
      </c>
      <c r="K715" s="2" t="e">
        <f t="shared" si="35"/>
        <v>#NUM!</v>
      </c>
    </row>
    <row r="716" spans="1:11" ht="13.9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0.4</v>
      </c>
      <c r="G716" s="2">
        <v>0</v>
      </c>
      <c r="H716" s="2" t="e">
        <f t="shared" si="33"/>
        <v>#NUM!</v>
      </c>
      <c r="I716" s="2">
        <f t="shared" si="34"/>
        <v>0.37390096630005903</v>
      </c>
      <c r="K716" s="2" t="e">
        <f t="shared" si="35"/>
        <v>#NUM!</v>
      </c>
    </row>
    <row r="717" spans="1:11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0.32</v>
      </c>
      <c r="H717" s="2" t="e">
        <f t="shared" si="33"/>
        <v>#NUM!</v>
      </c>
      <c r="I717" s="2">
        <f t="shared" si="34"/>
        <v>0.37390096630005903</v>
      </c>
      <c r="K717" s="2" t="e">
        <f t="shared" si="35"/>
        <v>#NUM!</v>
      </c>
    </row>
    <row r="718" spans="1:11" ht="13.9" x14ac:dyDescent="0.3">
      <c r="A718" s="2" t="s">
        <v>735</v>
      </c>
      <c r="B718" s="2">
        <v>1.98</v>
      </c>
      <c r="C718" s="2">
        <v>0</v>
      </c>
      <c r="D718" s="2">
        <v>4.7300000000000004</v>
      </c>
      <c r="E718" s="2">
        <v>0</v>
      </c>
      <c r="F718" s="2">
        <v>0.53</v>
      </c>
      <c r="G718" s="2">
        <v>0</v>
      </c>
      <c r="H718" s="2">
        <f t="shared" si="33"/>
        <v>3.6622485016369848</v>
      </c>
      <c r="I718" s="2">
        <f t="shared" si="34"/>
        <v>0.21053476724535272</v>
      </c>
      <c r="K718" s="2">
        <f t="shared" si="35"/>
        <v>2.7463127664254587</v>
      </c>
    </row>
    <row r="719" spans="1:11" ht="13.9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33"/>
        <v>#DIV/0!</v>
      </c>
      <c r="I719" s="2" t="e">
        <f t="shared" si="34"/>
        <v>#DIV/0!</v>
      </c>
      <c r="K719" s="2" t="e">
        <f t="shared" si="35"/>
        <v>#NUM!</v>
      </c>
    </row>
    <row r="720" spans="1:11" ht="13.9" x14ac:dyDescent="0.3">
      <c r="A720" s="2" t="s">
        <v>737</v>
      </c>
      <c r="B720" s="2">
        <v>4.28</v>
      </c>
      <c r="C720" s="2">
        <v>0.24</v>
      </c>
      <c r="D720" s="2">
        <v>9.4700000000000006</v>
      </c>
      <c r="E720" s="2">
        <v>0.1</v>
      </c>
      <c r="F720" s="2">
        <v>0</v>
      </c>
      <c r="G720" s="2">
        <v>0.11</v>
      </c>
      <c r="H720" s="2">
        <f t="shared" si="33"/>
        <v>6.0578628243859933</v>
      </c>
      <c r="I720" s="2">
        <f t="shared" si="34"/>
        <v>0.16067645250622689</v>
      </c>
      <c r="K720" s="2">
        <f t="shared" si="35"/>
        <v>3.8063240573900288</v>
      </c>
    </row>
    <row r="721" spans="1:11" ht="13.9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33"/>
        <v>#DIV/0!</v>
      </c>
      <c r="I721" s="2" t="e">
        <f t="shared" si="34"/>
        <v>#DIV/0!</v>
      </c>
      <c r="K721" s="2" t="e">
        <f t="shared" si="35"/>
        <v>#NUM!</v>
      </c>
    </row>
    <row r="722" spans="1:11" ht="13.9" x14ac:dyDescent="0.3">
      <c r="A722" s="2" t="s">
        <v>739</v>
      </c>
      <c r="B722" s="2">
        <v>0</v>
      </c>
      <c r="C722" s="2">
        <v>0</v>
      </c>
      <c r="D722" s="2">
        <v>0</v>
      </c>
      <c r="E722" s="2">
        <v>0.89</v>
      </c>
      <c r="F722" s="2">
        <v>0.53</v>
      </c>
      <c r="G722" s="2">
        <v>1.26</v>
      </c>
      <c r="H722" s="2" t="e">
        <f t="shared" si="33"/>
        <v>#NUM!</v>
      </c>
      <c r="I722" s="2">
        <f t="shared" si="34"/>
        <v>1.3273710713504534E-2</v>
      </c>
      <c r="K722" s="2" t="e">
        <f t="shared" si="35"/>
        <v>#NUM!</v>
      </c>
    </row>
    <row r="723" spans="1:11" ht="13.9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0.69</v>
      </c>
      <c r="F723" s="2">
        <v>1.34</v>
      </c>
      <c r="G723" s="2">
        <v>0.74</v>
      </c>
      <c r="H723" s="2" t="e">
        <f t="shared" si="33"/>
        <v>#NUM!</v>
      </c>
      <c r="I723" s="2">
        <f t="shared" si="34"/>
        <v>1.1498387854108592E-2</v>
      </c>
      <c r="K723" s="2" t="e">
        <f t="shared" si="35"/>
        <v>#NUM!</v>
      </c>
    </row>
    <row r="724" spans="1:11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 t="e">
        <f t="shared" si="33"/>
        <v>#DIV/0!</v>
      </c>
      <c r="I724" s="2" t="e">
        <f t="shared" si="34"/>
        <v>#DIV/0!</v>
      </c>
      <c r="K724" s="2" t="e">
        <f t="shared" si="35"/>
        <v>#NUM!</v>
      </c>
    </row>
    <row r="725" spans="1:11" ht="13.9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33"/>
        <v>#DIV/0!</v>
      </c>
      <c r="I725" s="2" t="e">
        <f t="shared" si="34"/>
        <v>#DIV/0!</v>
      </c>
      <c r="K725" s="2" t="e">
        <f t="shared" si="35"/>
        <v>#NUM!</v>
      </c>
    </row>
    <row r="726" spans="1:11" ht="13.9" x14ac:dyDescent="0.3">
      <c r="A726" s="2" t="s">
        <v>743</v>
      </c>
      <c r="B726" s="2">
        <v>0</v>
      </c>
      <c r="C726" s="2">
        <v>9.27</v>
      </c>
      <c r="D726" s="2">
        <v>5.83</v>
      </c>
      <c r="E726" s="2">
        <v>6.81</v>
      </c>
      <c r="F726" s="2">
        <v>8.82</v>
      </c>
      <c r="G726" s="2">
        <v>6.43</v>
      </c>
      <c r="H726" s="2">
        <f t="shared" si="33"/>
        <v>-0.54688424137894132</v>
      </c>
      <c r="I726" s="2">
        <f t="shared" si="34"/>
        <v>0.45470999876507157</v>
      </c>
      <c r="K726" s="2">
        <f t="shared" si="35"/>
        <v>3.9164766444377168</v>
      </c>
    </row>
    <row r="727" spans="1:11" ht="13.9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33"/>
        <v>#DIV/0!</v>
      </c>
      <c r="I727" s="2" t="e">
        <f t="shared" si="34"/>
        <v>#DIV/0!</v>
      </c>
      <c r="K727" s="2" t="e">
        <f t="shared" si="35"/>
        <v>#NUM!</v>
      </c>
    </row>
    <row r="728" spans="1:11" ht="13.9" x14ac:dyDescent="0.3">
      <c r="A728" s="2" t="s">
        <v>745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 t="e">
        <f t="shared" si="33"/>
        <v>#DIV/0!</v>
      </c>
      <c r="I728" s="2" t="e">
        <f t="shared" si="34"/>
        <v>#DIV/0!</v>
      </c>
      <c r="K728" s="2" t="e">
        <f t="shared" si="35"/>
        <v>#NUM!</v>
      </c>
    </row>
    <row r="729" spans="1:11" ht="13.9" x14ac:dyDescent="0.3">
      <c r="A729" s="2" t="s">
        <v>746</v>
      </c>
      <c r="B729" s="2">
        <v>0</v>
      </c>
      <c r="C729" s="2">
        <v>7.07</v>
      </c>
      <c r="D729" s="2">
        <v>0</v>
      </c>
      <c r="E729" s="2">
        <v>0</v>
      </c>
      <c r="F729" s="2">
        <v>0.67</v>
      </c>
      <c r="G729" s="2">
        <v>0.53</v>
      </c>
      <c r="H729" s="2">
        <f t="shared" si="33"/>
        <v>2.5586758092008801</v>
      </c>
      <c r="I729" s="2">
        <f t="shared" si="34"/>
        <v>0.4546290650647884</v>
      </c>
      <c r="K729" s="2">
        <f t="shared" si="35"/>
        <v>2.821710215034674</v>
      </c>
    </row>
    <row r="730" spans="1:11" ht="13.9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4.24</v>
      </c>
      <c r="F730" s="2">
        <v>2.0099999999999998</v>
      </c>
      <c r="G730" s="2">
        <v>0.63</v>
      </c>
      <c r="H730" s="2" t="e">
        <f t="shared" si="33"/>
        <v>#NUM!</v>
      </c>
      <c r="I730" s="2">
        <f t="shared" si="34"/>
        <v>9.4681870123872358E-2</v>
      </c>
      <c r="K730" s="2" t="e">
        <f t="shared" si="35"/>
        <v>#NUM!</v>
      </c>
    </row>
    <row r="731" spans="1:11" ht="13.9" x14ac:dyDescent="0.3">
      <c r="A731" s="2" t="s">
        <v>748</v>
      </c>
      <c r="B731" s="2">
        <v>5.6</v>
      </c>
      <c r="C731" s="2">
        <v>5.86</v>
      </c>
      <c r="D731" s="2">
        <v>0</v>
      </c>
      <c r="E731" s="2">
        <v>15.4</v>
      </c>
      <c r="F731" s="2">
        <v>20.59</v>
      </c>
      <c r="G731" s="2">
        <v>23.71</v>
      </c>
      <c r="H731" s="2">
        <f t="shared" si="33"/>
        <v>-2.3811238873952627</v>
      </c>
      <c r="I731" s="2">
        <f t="shared" si="34"/>
        <v>6.473731035115113E-3</v>
      </c>
      <c r="K731" s="2">
        <f t="shared" si="35"/>
        <v>3.5185351389821804</v>
      </c>
    </row>
    <row r="732" spans="1:11" ht="13.9" x14ac:dyDescent="0.3">
      <c r="A732" s="2" t="s">
        <v>749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33"/>
        <v>#DIV/0!</v>
      </c>
      <c r="I732" s="2" t="e">
        <f t="shared" si="34"/>
        <v>#DIV/0!</v>
      </c>
      <c r="K732" s="2" t="e">
        <f t="shared" si="35"/>
        <v>#NUM!</v>
      </c>
    </row>
    <row r="733" spans="1:11" ht="13.9" x14ac:dyDescent="0.3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33"/>
        <v>#DIV/0!</v>
      </c>
      <c r="I733" s="2" t="e">
        <f t="shared" si="34"/>
        <v>#DIV/0!</v>
      </c>
      <c r="K733" s="2" t="e">
        <f t="shared" si="35"/>
        <v>#NUM!</v>
      </c>
    </row>
    <row r="734" spans="1:11" ht="13.9" x14ac:dyDescent="0.3">
      <c r="A734" s="2" t="s">
        <v>751</v>
      </c>
      <c r="B734" s="2">
        <v>257.10000000000002</v>
      </c>
      <c r="C734" s="2">
        <v>272.26</v>
      </c>
      <c r="D734" s="2">
        <v>153.47999999999999</v>
      </c>
      <c r="E734" s="2">
        <v>350.83</v>
      </c>
      <c r="F734" s="2">
        <v>382.67</v>
      </c>
      <c r="G734" s="2">
        <v>369.69</v>
      </c>
      <c r="H734" s="2">
        <f t="shared" si="33"/>
        <v>-0.69206180713080101</v>
      </c>
      <c r="I734" s="2">
        <f t="shared" si="34"/>
        <v>2.1887785017371892E-2</v>
      </c>
      <c r="K734" s="2">
        <f t="shared" si="35"/>
        <v>9.4154037620703317</v>
      </c>
    </row>
    <row r="735" spans="1:11" ht="13.9" x14ac:dyDescent="0.3">
      <c r="A735" s="2" t="s">
        <v>752</v>
      </c>
      <c r="B735" s="2">
        <v>0</v>
      </c>
      <c r="C735" s="2">
        <v>0</v>
      </c>
      <c r="D735" s="2">
        <v>0</v>
      </c>
      <c r="E735" s="2">
        <v>0.69</v>
      </c>
      <c r="F735" s="2">
        <v>0.8</v>
      </c>
      <c r="G735" s="2">
        <v>0.32</v>
      </c>
      <c r="H735" s="2" t="e">
        <f t="shared" si="33"/>
        <v>#NUM!</v>
      </c>
      <c r="I735" s="2">
        <f t="shared" si="34"/>
        <v>1.4194456163939629E-2</v>
      </c>
      <c r="K735" s="2" t="e">
        <f t="shared" si="35"/>
        <v>#NUM!</v>
      </c>
    </row>
    <row r="736" spans="1:11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0.3</v>
      </c>
      <c r="F736" s="2">
        <v>0</v>
      </c>
      <c r="G736" s="2">
        <v>0.11</v>
      </c>
      <c r="H736" s="2" t="e">
        <f t="shared" si="33"/>
        <v>#NUM!</v>
      </c>
      <c r="I736" s="2">
        <f t="shared" si="34"/>
        <v>0.19384003471698563</v>
      </c>
      <c r="K736" s="2" t="e">
        <f t="shared" si="35"/>
        <v>#NUM!</v>
      </c>
    </row>
    <row r="737" spans="1:11" ht="13.9" x14ac:dyDescent="0.3">
      <c r="A737" s="2" t="s">
        <v>754</v>
      </c>
      <c r="B737" s="2">
        <v>0</v>
      </c>
      <c r="C737" s="2">
        <v>0.24</v>
      </c>
      <c r="D737" s="2">
        <v>0</v>
      </c>
      <c r="E737" s="2">
        <v>1.68</v>
      </c>
      <c r="F737" s="2">
        <v>2.27</v>
      </c>
      <c r="G737" s="2">
        <v>1.9</v>
      </c>
      <c r="H737" s="2">
        <f t="shared" si="33"/>
        <v>-4.6073303137496113</v>
      </c>
      <c r="I737" s="2">
        <f t="shared" si="34"/>
        <v>5.9557069703763781E-4</v>
      </c>
      <c r="K737" s="2">
        <f t="shared" si="35"/>
        <v>-2.0588936890535687</v>
      </c>
    </row>
    <row r="738" spans="1:11" ht="13.9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33"/>
        <v>#DIV/0!</v>
      </c>
      <c r="I738" s="2" t="e">
        <f t="shared" si="34"/>
        <v>#DIV/0!</v>
      </c>
      <c r="K738" s="2" t="e">
        <f t="shared" si="35"/>
        <v>#NUM!</v>
      </c>
    </row>
    <row r="739" spans="1:11" ht="13.9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33"/>
        <v>#DIV/0!</v>
      </c>
      <c r="I739" s="2" t="e">
        <f t="shared" si="34"/>
        <v>#DIV/0!</v>
      </c>
      <c r="K739" s="2" t="e">
        <f t="shared" si="35"/>
        <v>#NUM!</v>
      </c>
    </row>
    <row r="740" spans="1:11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1.34</v>
      </c>
      <c r="G740" s="2">
        <v>0</v>
      </c>
      <c r="H740" s="2" t="e">
        <f t="shared" si="33"/>
        <v>#NUM!</v>
      </c>
      <c r="I740" s="2">
        <f t="shared" si="34"/>
        <v>0.37390096630005903</v>
      </c>
      <c r="K740" s="2" t="e">
        <f t="shared" si="35"/>
        <v>#NUM!</v>
      </c>
    </row>
    <row r="741" spans="1:11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0.27</v>
      </c>
      <c r="G741" s="2">
        <v>0.53</v>
      </c>
      <c r="H741" s="2" t="e">
        <f t="shared" si="33"/>
        <v>#NUM!</v>
      </c>
      <c r="I741" s="2">
        <f t="shared" si="34"/>
        <v>0.15631819763304933</v>
      </c>
      <c r="K741" s="2" t="e">
        <f t="shared" si="35"/>
        <v>#NUM!</v>
      </c>
    </row>
    <row r="742" spans="1:11" ht="13.9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33"/>
        <v>#DIV/0!</v>
      </c>
      <c r="I742" s="2" t="e">
        <f t="shared" si="34"/>
        <v>#DIV/0!</v>
      </c>
      <c r="K742" s="2" t="e">
        <f t="shared" si="35"/>
        <v>#NUM!</v>
      </c>
    </row>
    <row r="743" spans="1:11" ht="13.9" x14ac:dyDescent="0.3">
      <c r="A743" s="2" t="s">
        <v>760</v>
      </c>
      <c r="B743" s="2">
        <v>5.93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33"/>
        <v>#DIV/0!</v>
      </c>
      <c r="I743" s="2">
        <f t="shared" si="34"/>
        <v>0.37390096630005903</v>
      </c>
      <c r="K743" s="2">
        <f t="shared" si="35"/>
        <v>2.5680321047712789</v>
      </c>
    </row>
    <row r="744" spans="1:11" ht="13.9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33"/>
        <v>#DIV/0!</v>
      </c>
      <c r="I744" s="2" t="e">
        <f t="shared" si="34"/>
        <v>#DIV/0!</v>
      </c>
      <c r="K744" s="2" t="e">
        <f t="shared" si="35"/>
        <v>#NUM!</v>
      </c>
    </row>
    <row r="745" spans="1:11" ht="13.9" x14ac:dyDescent="0.3">
      <c r="A745" s="2" t="s">
        <v>762</v>
      </c>
      <c r="B745" s="2">
        <v>5.93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33"/>
        <v>#DIV/0!</v>
      </c>
      <c r="I745" s="2">
        <f t="shared" si="34"/>
        <v>0.37390096630005903</v>
      </c>
      <c r="K745" s="2">
        <f t="shared" si="35"/>
        <v>2.5680321047712789</v>
      </c>
    </row>
    <row r="746" spans="1:11" ht="13.9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0.59</v>
      </c>
      <c r="F746" s="2">
        <v>0.27</v>
      </c>
      <c r="G746" s="2">
        <v>0</v>
      </c>
      <c r="H746" s="2" t="e">
        <f t="shared" si="33"/>
        <v>#NUM!</v>
      </c>
      <c r="I746" s="2">
        <f t="shared" si="34"/>
        <v>0.16803556157450092</v>
      </c>
      <c r="K746" s="2" t="e">
        <f t="shared" si="35"/>
        <v>#NUM!</v>
      </c>
    </row>
    <row r="747" spans="1:11" ht="13.9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3.36</v>
      </c>
      <c r="F747" s="2">
        <v>7.09</v>
      </c>
      <c r="G747" s="2">
        <v>3.9</v>
      </c>
      <c r="H747" s="2" t="e">
        <f t="shared" si="33"/>
        <v>#NUM!</v>
      </c>
      <c r="I747" s="2">
        <f t="shared" si="34"/>
        <v>1.4731820282112264E-2</v>
      </c>
      <c r="K747" s="2" t="e">
        <f t="shared" si="35"/>
        <v>#NUM!</v>
      </c>
    </row>
    <row r="748" spans="1:11" ht="13.9" x14ac:dyDescent="0.3">
      <c r="A748" s="2" t="s">
        <v>765</v>
      </c>
      <c r="B748" s="2">
        <v>7.91</v>
      </c>
      <c r="C748" s="2">
        <v>10.73</v>
      </c>
      <c r="D748" s="2">
        <v>29.13</v>
      </c>
      <c r="E748" s="2">
        <v>2.0699999999999998</v>
      </c>
      <c r="F748" s="2">
        <v>2.0099999999999998</v>
      </c>
      <c r="G748" s="2">
        <v>3.16</v>
      </c>
      <c r="H748" s="2">
        <f t="shared" si="33"/>
        <v>2.72204327438806</v>
      </c>
      <c r="I748" s="2">
        <f t="shared" si="34"/>
        <v>0.11254934861117806</v>
      </c>
      <c r="K748" s="2">
        <f t="shared" si="35"/>
        <v>5.5780329716965404</v>
      </c>
    </row>
    <row r="749" spans="1:11" ht="13.9" x14ac:dyDescent="0.3">
      <c r="A749" s="2" t="s">
        <v>766</v>
      </c>
      <c r="B749" s="2">
        <v>18.79</v>
      </c>
      <c r="C749" s="2">
        <v>55.87</v>
      </c>
      <c r="D749" s="2">
        <v>28.77</v>
      </c>
      <c r="E749" s="2">
        <v>28.43</v>
      </c>
      <c r="F749" s="2">
        <v>21.53</v>
      </c>
      <c r="G749" s="2">
        <v>21.5</v>
      </c>
      <c r="H749" s="2">
        <f t="shared" si="33"/>
        <v>0.53344688280452546</v>
      </c>
      <c r="I749" s="2">
        <f t="shared" si="34"/>
        <v>0.39961638484105916</v>
      </c>
      <c r="K749" s="2">
        <f t="shared" si="35"/>
        <v>6.6925108916150711</v>
      </c>
    </row>
    <row r="750" spans="1:11" ht="13.9" x14ac:dyDescent="0.3">
      <c r="A750" s="2" t="s">
        <v>767</v>
      </c>
      <c r="B750" s="2">
        <v>0</v>
      </c>
      <c r="C750" s="2">
        <v>0</v>
      </c>
      <c r="D750" s="2">
        <v>5.0999999999999996</v>
      </c>
      <c r="E750" s="2">
        <v>0</v>
      </c>
      <c r="F750" s="2">
        <v>0</v>
      </c>
      <c r="G750" s="2">
        <v>0</v>
      </c>
      <c r="H750" s="2" t="e">
        <f t="shared" si="33"/>
        <v>#DIV/0!</v>
      </c>
      <c r="I750" s="2">
        <f t="shared" si="34"/>
        <v>0.37390096630005903</v>
      </c>
      <c r="K750" s="2">
        <f t="shared" si="35"/>
        <v>2.3504972470841334</v>
      </c>
    </row>
    <row r="751" spans="1:11" ht="13.9" x14ac:dyDescent="0.3">
      <c r="A751" s="2" t="s">
        <v>768</v>
      </c>
      <c r="B751" s="2">
        <v>0</v>
      </c>
      <c r="C751" s="2">
        <v>0</v>
      </c>
      <c r="D751" s="2">
        <v>0</v>
      </c>
      <c r="E751" s="2">
        <v>0</v>
      </c>
      <c r="F751" s="2">
        <v>0.13</v>
      </c>
      <c r="G751" s="2">
        <v>0.84</v>
      </c>
      <c r="H751" s="2" t="e">
        <f t="shared" si="33"/>
        <v>#NUM!</v>
      </c>
      <c r="I751" s="2">
        <f t="shared" si="34"/>
        <v>0.28320897901188474</v>
      </c>
      <c r="K751" s="2" t="e">
        <f t="shared" si="35"/>
        <v>#NUM!</v>
      </c>
    </row>
    <row r="752" spans="1:11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 t="e">
        <f t="shared" si="33"/>
        <v>#DIV/0!</v>
      </c>
      <c r="I752" s="2" t="e">
        <f t="shared" si="34"/>
        <v>#DIV/0!</v>
      </c>
      <c r="K752" s="2" t="e">
        <f t="shared" si="35"/>
        <v>#NUM!</v>
      </c>
    </row>
    <row r="753" spans="1:11" ht="13.9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33"/>
        <v>#DIV/0!</v>
      </c>
      <c r="I753" s="2" t="e">
        <f t="shared" si="34"/>
        <v>#DIV/0!</v>
      </c>
      <c r="K753" s="2" t="e">
        <f t="shared" si="35"/>
        <v>#NUM!</v>
      </c>
    </row>
    <row r="754" spans="1:11" ht="13.9" x14ac:dyDescent="0.3">
      <c r="A754" s="2" t="s">
        <v>771</v>
      </c>
      <c r="B754" s="2">
        <v>0</v>
      </c>
      <c r="C754" s="2">
        <v>14.39</v>
      </c>
      <c r="D754" s="2">
        <v>0</v>
      </c>
      <c r="E754" s="2">
        <v>4.24</v>
      </c>
      <c r="F754" s="2">
        <v>6.15</v>
      </c>
      <c r="G754" s="2">
        <v>7.27</v>
      </c>
      <c r="H754" s="2">
        <f t="shared" si="33"/>
        <v>-0.29541875090816799</v>
      </c>
      <c r="I754" s="2">
        <f t="shared" si="34"/>
        <v>0.83411634981377913</v>
      </c>
      <c r="K754" s="2">
        <f t="shared" si="35"/>
        <v>3.8469946869655733</v>
      </c>
    </row>
    <row r="755" spans="1:11" ht="13.9" x14ac:dyDescent="0.3">
      <c r="A755" s="2" t="s">
        <v>772</v>
      </c>
      <c r="B755" s="2">
        <v>0</v>
      </c>
      <c r="C755" s="2">
        <v>0.24</v>
      </c>
      <c r="D755" s="2">
        <v>0</v>
      </c>
      <c r="E755" s="2">
        <v>6.12</v>
      </c>
      <c r="F755" s="2">
        <v>6.28</v>
      </c>
      <c r="G755" s="2">
        <v>5.69</v>
      </c>
      <c r="H755" s="2">
        <f t="shared" si="33"/>
        <v>-6.2360141919000851</v>
      </c>
      <c r="I755" s="2">
        <f t="shared" si="34"/>
        <v>6.6610883652163912E-6</v>
      </c>
      <c r="K755" s="2">
        <f t="shared" si="35"/>
        <v>-2.0588936890535687</v>
      </c>
    </row>
    <row r="756" spans="1:11" ht="13.9" x14ac:dyDescent="0.3">
      <c r="A756" s="2" t="s">
        <v>773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33"/>
        <v>#DIV/0!</v>
      </c>
      <c r="I756" s="2" t="e">
        <f t="shared" si="34"/>
        <v>#DIV/0!</v>
      </c>
      <c r="K756" s="2" t="e">
        <f t="shared" si="35"/>
        <v>#NUM!</v>
      </c>
    </row>
    <row r="757" spans="1:11" ht="13.9" x14ac:dyDescent="0.3">
      <c r="A757" s="2" t="s">
        <v>774</v>
      </c>
      <c r="B757" s="2">
        <v>0</v>
      </c>
      <c r="C757" s="2">
        <v>3.9</v>
      </c>
      <c r="D757" s="2">
        <v>0</v>
      </c>
      <c r="E757" s="2">
        <v>5.53</v>
      </c>
      <c r="F757" s="2">
        <v>12.17</v>
      </c>
      <c r="G757" s="2">
        <v>11.91</v>
      </c>
      <c r="H757" s="2">
        <f t="shared" si="33"/>
        <v>-2.9245384614279435</v>
      </c>
      <c r="I757" s="2">
        <f t="shared" si="34"/>
        <v>2.7621876978541876E-2</v>
      </c>
      <c r="K757" s="2">
        <f t="shared" si="35"/>
        <v>1.9634741239748859</v>
      </c>
    </row>
    <row r="758" spans="1:11" ht="13.9" x14ac:dyDescent="0.3">
      <c r="A758" s="2" t="s">
        <v>775</v>
      </c>
      <c r="B758" s="2">
        <v>9.89</v>
      </c>
      <c r="C758" s="2">
        <v>51.23</v>
      </c>
      <c r="D758" s="2">
        <v>19.48</v>
      </c>
      <c r="E758" s="2">
        <v>23.3</v>
      </c>
      <c r="F758" s="2">
        <v>18.850000000000001</v>
      </c>
      <c r="G758" s="2">
        <v>27.08</v>
      </c>
      <c r="H758" s="2">
        <f t="shared" si="33"/>
        <v>0.21938249059861475</v>
      </c>
      <c r="I758" s="2">
        <f t="shared" si="34"/>
        <v>0.78051677617057247</v>
      </c>
      <c r="K758" s="2">
        <f t="shared" si="35"/>
        <v>6.3327079336406058</v>
      </c>
    </row>
    <row r="759" spans="1:11" ht="13.9" x14ac:dyDescent="0.3">
      <c r="A759" s="2" t="s">
        <v>776</v>
      </c>
      <c r="B759" s="2">
        <v>28.68</v>
      </c>
      <c r="C759" s="2">
        <v>29.03</v>
      </c>
      <c r="D759" s="2">
        <v>0</v>
      </c>
      <c r="E759" s="2">
        <v>4.84</v>
      </c>
      <c r="F759" s="2">
        <v>8.69</v>
      </c>
      <c r="G759" s="2">
        <v>5.16</v>
      </c>
      <c r="H759" s="2">
        <f t="shared" si="33"/>
        <v>1.6265547619260632</v>
      </c>
      <c r="I759" s="2">
        <f t="shared" si="34"/>
        <v>0.25093959073553379</v>
      </c>
      <c r="K759" s="2">
        <f t="shared" si="35"/>
        <v>5.8507494258964963</v>
      </c>
    </row>
    <row r="760" spans="1:11" ht="13.9" x14ac:dyDescent="0.3">
      <c r="A760" s="2" t="s">
        <v>777</v>
      </c>
      <c r="B760" s="2">
        <v>1.65</v>
      </c>
      <c r="C760" s="2">
        <v>5.12</v>
      </c>
      <c r="D760" s="2">
        <v>0</v>
      </c>
      <c r="E760" s="2">
        <v>15.3</v>
      </c>
      <c r="F760" s="2">
        <v>15.78</v>
      </c>
      <c r="G760" s="2">
        <v>24.24</v>
      </c>
      <c r="H760" s="2">
        <f t="shared" si="33"/>
        <v>-3.0305734175754977</v>
      </c>
      <c r="I760" s="2">
        <f t="shared" si="34"/>
        <v>7.78303436506527E-3</v>
      </c>
      <c r="K760" s="2">
        <f t="shared" si="35"/>
        <v>2.7591558338002722</v>
      </c>
    </row>
    <row r="761" spans="1:11" ht="13.9" x14ac:dyDescent="0.3">
      <c r="A761" s="2" t="s">
        <v>778</v>
      </c>
      <c r="B761" s="2">
        <v>8.57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 t="e">
        <f t="shared" si="33"/>
        <v>#DIV/0!</v>
      </c>
      <c r="I761" s="2">
        <f t="shared" si="34"/>
        <v>0.37390096630005903</v>
      </c>
      <c r="K761" s="2">
        <f t="shared" si="35"/>
        <v>3.0992952043377757</v>
      </c>
    </row>
    <row r="762" spans="1:11" ht="13.9" x14ac:dyDescent="0.3">
      <c r="A762" s="2" t="s">
        <v>779</v>
      </c>
      <c r="B762" s="2">
        <v>3.3</v>
      </c>
      <c r="C762" s="2">
        <v>5.37</v>
      </c>
      <c r="D762" s="2">
        <v>20.21</v>
      </c>
      <c r="E762" s="2">
        <v>2.57</v>
      </c>
      <c r="F762" s="2">
        <v>1.07</v>
      </c>
      <c r="G762" s="2">
        <v>3.06</v>
      </c>
      <c r="H762" s="2">
        <f t="shared" si="33"/>
        <v>2.1078377415420366</v>
      </c>
      <c r="I762" s="2">
        <f t="shared" si="34"/>
        <v>0.23979973578290725</v>
      </c>
      <c r="K762" s="2">
        <f t="shared" si="35"/>
        <v>4.8519988371124461</v>
      </c>
    </row>
    <row r="763" spans="1:11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0.11</v>
      </c>
      <c r="H763" s="2" t="e">
        <f t="shared" si="33"/>
        <v>#NUM!</v>
      </c>
      <c r="I763" s="2">
        <f t="shared" si="34"/>
        <v>0.37390096630005903</v>
      </c>
      <c r="K763" s="2" t="e">
        <f t="shared" si="35"/>
        <v>#NUM!</v>
      </c>
    </row>
    <row r="764" spans="1:11" ht="13.9" x14ac:dyDescent="0.3">
      <c r="A764" s="2" t="s">
        <v>781</v>
      </c>
      <c r="B764" s="2">
        <v>75.48</v>
      </c>
      <c r="C764" s="2">
        <v>57.82</v>
      </c>
      <c r="D764" s="2">
        <v>19.48</v>
      </c>
      <c r="E764" s="2">
        <v>39.49</v>
      </c>
      <c r="F764" s="2">
        <v>69.53</v>
      </c>
      <c r="G764" s="2">
        <v>49.64</v>
      </c>
      <c r="H764" s="2">
        <f t="shared" si="33"/>
        <v>-5.4482757514985491E-2</v>
      </c>
      <c r="I764" s="2">
        <f t="shared" si="34"/>
        <v>0.92172094810878691</v>
      </c>
      <c r="K764" s="2">
        <f t="shared" si="35"/>
        <v>7.2553118863595989</v>
      </c>
    </row>
    <row r="765" spans="1:11" ht="13.9" x14ac:dyDescent="0.3">
      <c r="A765" s="2" t="s">
        <v>782</v>
      </c>
      <c r="B765" s="2">
        <v>14.83</v>
      </c>
      <c r="C765" s="2">
        <v>2.44</v>
      </c>
      <c r="D765" s="2">
        <v>3.28</v>
      </c>
      <c r="E765" s="2">
        <v>0.2</v>
      </c>
      <c r="F765" s="2">
        <v>0.13</v>
      </c>
      <c r="G765" s="2">
        <v>0.42</v>
      </c>
      <c r="H765" s="2">
        <f t="shared" si="33"/>
        <v>4.7761039880731646</v>
      </c>
      <c r="I765" s="2">
        <f t="shared" si="34"/>
        <v>0.17414553631537935</v>
      </c>
      <c r="K765" s="2">
        <f t="shared" si="35"/>
        <v>4.3610664887943207</v>
      </c>
    </row>
    <row r="766" spans="1:11" ht="13.9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0.63</v>
      </c>
      <c r="H766" s="2" t="e">
        <f t="shared" si="33"/>
        <v>#NUM!</v>
      </c>
      <c r="I766" s="2">
        <f t="shared" si="34"/>
        <v>0.37390096630005903</v>
      </c>
      <c r="K766" s="2" t="e">
        <f t="shared" si="35"/>
        <v>#NUM!</v>
      </c>
    </row>
    <row r="767" spans="1:11" ht="13.9" x14ac:dyDescent="0.3">
      <c r="A767" s="2" t="s">
        <v>784</v>
      </c>
      <c r="B767" s="2">
        <v>0</v>
      </c>
      <c r="C767" s="2">
        <v>0</v>
      </c>
      <c r="D767" s="2">
        <v>0</v>
      </c>
      <c r="E767" s="2">
        <v>3.55</v>
      </c>
      <c r="F767" s="2">
        <v>5.21</v>
      </c>
      <c r="G767" s="2">
        <v>5.37</v>
      </c>
      <c r="H767" s="2" t="e">
        <f t="shared" si="33"/>
        <v>#NUM!</v>
      </c>
      <c r="I767" s="2">
        <f t="shared" si="34"/>
        <v>1.2656996858904359E-3</v>
      </c>
      <c r="K767" s="2" t="e">
        <f t="shared" si="35"/>
        <v>#NUM!</v>
      </c>
    </row>
    <row r="768" spans="1:11" ht="13.9" x14ac:dyDescent="0.3">
      <c r="A768" s="2" t="s">
        <v>785</v>
      </c>
      <c r="B768" s="2">
        <v>0</v>
      </c>
      <c r="C768" s="2">
        <v>3.9</v>
      </c>
      <c r="D768" s="2">
        <v>0</v>
      </c>
      <c r="E768" s="2">
        <v>0.59</v>
      </c>
      <c r="F768" s="2">
        <v>2.0099999999999998</v>
      </c>
      <c r="G768" s="2">
        <v>0.84</v>
      </c>
      <c r="H768" s="2">
        <f t="shared" si="33"/>
        <v>0.18106555904751304</v>
      </c>
      <c r="I768" s="2">
        <f t="shared" si="34"/>
        <v>0.91637959819744885</v>
      </c>
      <c r="K768" s="2">
        <f t="shared" si="35"/>
        <v>1.9634741239748859</v>
      </c>
    </row>
    <row r="769" spans="1:11" ht="13.9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 t="e">
        <f t="shared" si="33"/>
        <v>#DIV/0!</v>
      </c>
      <c r="I769" s="2" t="e">
        <f t="shared" si="34"/>
        <v>#DIV/0!</v>
      </c>
      <c r="K769" s="2" t="e">
        <f t="shared" si="35"/>
        <v>#NUM!</v>
      </c>
    </row>
    <row r="770" spans="1:11" ht="13.9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0.2</v>
      </c>
      <c r="F770" s="2">
        <v>0</v>
      </c>
      <c r="G770" s="2">
        <v>0</v>
      </c>
      <c r="H770" s="2" t="e">
        <f t="shared" ref="H770:H833" si="36">LOG(SUM(B770:D770)/SUM(E770:G770),2)</f>
        <v>#NUM!</v>
      </c>
      <c r="I770" s="2">
        <f t="shared" ref="I770:I833" si="37">_xlfn.T.TEST(B770:D770,E770:G770,2,2)</f>
        <v>0.37390096630005903</v>
      </c>
      <c r="K770" s="2" t="e">
        <f t="shared" si="35"/>
        <v>#NUM!</v>
      </c>
    </row>
    <row r="771" spans="1:11" ht="13.9" x14ac:dyDescent="0.3">
      <c r="A771" s="2" t="s">
        <v>788</v>
      </c>
      <c r="B771" s="2">
        <v>0</v>
      </c>
      <c r="C771" s="2">
        <v>0</v>
      </c>
      <c r="D771" s="2">
        <v>0</v>
      </c>
      <c r="E771" s="2">
        <v>0.3</v>
      </c>
      <c r="F771" s="2">
        <v>0</v>
      </c>
      <c r="G771" s="2">
        <v>0</v>
      </c>
      <c r="H771" s="2" t="e">
        <f t="shared" si="36"/>
        <v>#NUM!</v>
      </c>
      <c r="I771" s="2">
        <f t="shared" si="37"/>
        <v>0.37390096630005903</v>
      </c>
      <c r="K771" s="2" t="e">
        <f t="shared" ref="K771:K834" si="38">LOG(SUM(B771:D771),2)</f>
        <v>#NUM!</v>
      </c>
    </row>
    <row r="772" spans="1:11" ht="13.9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36"/>
        <v>#DIV/0!</v>
      </c>
      <c r="I772" s="2" t="e">
        <f t="shared" si="37"/>
        <v>#DIV/0!</v>
      </c>
      <c r="K772" s="2" t="e">
        <f t="shared" si="38"/>
        <v>#NUM!</v>
      </c>
    </row>
    <row r="773" spans="1:11" ht="13.9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0.39</v>
      </c>
      <c r="F773" s="2">
        <v>0.13</v>
      </c>
      <c r="G773" s="2">
        <v>0.53</v>
      </c>
      <c r="H773" s="2" t="e">
        <f t="shared" si="36"/>
        <v>#NUM!</v>
      </c>
      <c r="I773" s="2">
        <f t="shared" si="37"/>
        <v>4.0473031428763108E-2</v>
      </c>
      <c r="K773" s="2" t="e">
        <f t="shared" si="38"/>
        <v>#NUM!</v>
      </c>
    </row>
    <row r="774" spans="1:11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 t="e">
        <f t="shared" si="36"/>
        <v>#DIV/0!</v>
      </c>
      <c r="I774" s="2" t="e">
        <f t="shared" si="37"/>
        <v>#DIV/0!</v>
      </c>
      <c r="K774" s="2" t="e">
        <f t="shared" si="38"/>
        <v>#NUM!</v>
      </c>
    </row>
    <row r="775" spans="1:11" ht="13.9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0.3</v>
      </c>
      <c r="F775" s="2">
        <v>0.8</v>
      </c>
      <c r="G775" s="2">
        <v>1.48</v>
      </c>
      <c r="H775" s="2" t="e">
        <f t="shared" si="36"/>
        <v>#NUM!</v>
      </c>
      <c r="I775" s="2">
        <f t="shared" si="37"/>
        <v>6.5709532473400098E-2</v>
      </c>
      <c r="K775" s="2" t="e">
        <f t="shared" si="38"/>
        <v>#NUM!</v>
      </c>
    </row>
    <row r="776" spans="1:11" ht="13.9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0.2</v>
      </c>
      <c r="F776" s="2">
        <v>0</v>
      </c>
      <c r="G776" s="2">
        <v>0.21</v>
      </c>
      <c r="H776" s="2" t="e">
        <f t="shared" si="36"/>
        <v>#NUM!</v>
      </c>
      <c r="I776" s="2">
        <f t="shared" si="37"/>
        <v>0.11635308435469104</v>
      </c>
      <c r="K776" s="2" t="e">
        <f t="shared" si="38"/>
        <v>#NUM!</v>
      </c>
    </row>
    <row r="777" spans="1:11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 t="e">
        <f t="shared" si="36"/>
        <v>#DIV/0!</v>
      </c>
      <c r="I777" s="2" t="e">
        <f t="shared" si="37"/>
        <v>#DIV/0!</v>
      </c>
      <c r="K777" s="2" t="e">
        <f t="shared" si="38"/>
        <v>#NUM!</v>
      </c>
    </row>
    <row r="778" spans="1:11" ht="13.9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0.74</v>
      </c>
      <c r="H778" s="2" t="e">
        <f t="shared" si="36"/>
        <v>#NUM!</v>
      </c>
      <c r="I778" s="2">
        <f t="shared" si="37"/>
        <v>0.37390096630005903</v>
      </c>
      <c r="K778" s="2" t="e">
        <f t="shared" si="38"/>
        <v>#NUM!</v>
      </c>
    </row>
    <row r="779" spans="1:11" ht="13.9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0.94</v>
      </c>
      <c r="G779" s="2">
        <v>0.32</v>
      </c>
      <c r="H779" s="2" t="e">
        <f t="shared" si="36"/>
        <v>#NUM!</v>
      </c>
      <c r="I779" s="2">
        <f t="shared" si="37"/>
        <v>0.2026245170526938</v>
      </c>
      <c r="K779" s="2" t="e">
        <f t="shared" si="38"/>
        <v>#NUM!</v>
      </c>
    </row>
    <row r="780" spans="1:11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0.1</v>
      </c>
      <c r="F780" s="2">
        <v>0</v>
      </c>
      <c r="G780" s="2">
        <v>0</v>
      </c>
      <c r="H780" s="2" t="e">
        <f t="shared" si="36"/>
        <v>#NUM!</v>
      </c>
      <c r="I780" s="2">
        <f t="shared" si="37"/>
        <v>0.37390096630005903</v>
      </c>
      <c r="K780" s="2" t="e">
        <f t="shared" si="38"/>
        <v>#NUM!</v>
      </c>
    </row>
    <row r="781" spans="1:11" ht="13.9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0.49</v>
      </c>
      <c r="F781" s="2">
        <v>0</v>
      </c>
      <c r="G781" s="2">
        <v>0</v>
      </c>
      <c r="H781" s="2" t="e">
        <f t="shared" si="36"/>
        <v>#NUM!</v>
      </c>
      <c r="I781" s="2">
        <f t="shared" si="37"/>
        <v>0.37390096630005903</v>
      </c>
      <c r="K781" s="2" t="e">
        <f t="shared" si="38"/>
        <v>#NUM!</v>
      </c>
    </row>
    <row r="782" spans="1:11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 t="e">
        <f t="shared" si="36"/>
        <v>#DIV/0!</v>
      </c>
      <c r="I782" s="2" t="e">
        <f t="shared" si="37"/>
        <v>#DIV/0!</v>
      </c>
      <c r="K782" s="2" t="e">
        <f t="shared" si="38"/>
        <v>#NUM!</v>
      </c>
    </row>
    <row r="783" spans="1:11" ht="13.9" x14ac:dyDescent="0.3">
      <c r="A783" s="2" t="s">
        <v>800</v>
      </c>
      <c r="B783" s="2">
        <v>7.58</v>
      </c>
      <c r="C783" s="2">
        <v>0</v>
      </c>
      <c r="D783" s="2">
        <v>0</v>
      </c>
      <c r="E783" s="2">
        <v>0.39</v>
      </c>
      <c r="F783" s="2">
        <v>0</v>
      </c>
      <c r="G783" s="2">
        <v>0</v>
      </c>
      <c r="H783" s="2">
        <f t="shared" si="36"/>
        <v>4.2806518193088428</v>
      </c>
      <c r="I783" s="2">
        <f t="shared" si="37"/>
        <v>0.39712843020898253</v>
      </c>
      <c r="K783" s="2">
        <f t="shared" si="38"/>
        <v>2.9221978483963671</v>
      </c>
    </row>
    <row r="784" spans="1:11" ht="13.9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36"/>
        <v>#DIV/0!</v>
      </c>
      <c r="I784" s="2" t="e">
        <f t="shared" si="37"/>
        <v>#DIV/0!</v>
      </c>
      <c r="K784" s="2" t="e">
        <f t="shared" si="38"/>
        <v>#NUM!</v>
      </c>
    </row>
    <row r="785" spans="1:11" ht="13.9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0.1</v>
      </c>
      <c r="F785" s="2">
        <v>0</v>
      </c>
      <c r="G785" s="2">
        <v>0</v>
      </c>
      <c r="H785" s="2" t="e">
        <f t="shared" si="36"/>
        <v>#NUM!</v>
      </c>
      <c r="I785" s="2">
        <f t="shared" si="37"/>
        <v>0.37390096630005903</v>
      </c>
      <c r="K785" s="2" t="e">
        <f t="shared" si="38"/>
        <v>#NUM!</v>
      </c>
    </row>
    <row r="786" spans="1:11" ht="13.9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0.4</v>
      </c>
      <c r="G786" s="2">
        <v>0</v>
      </c>
      <c r="H786" s="2" t="e">
        <f t="shared" si="36"/>
        <v>#NUM!</v>
      </c>
      <c r="I786" s="2">
        <f t="shared" si="37"/>
        <v>0.37390096630005903</v>
      </c>
      <c r="K786" s="2" t="e">
        <f t="shared" si="38"/>
        <v>#NUM!</v>
      </c>
    </row>
    <row r="787" spans="1:11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0.53</v>
      </c>
      <c r="G787" s="2">
        <v>0</v>
      </c>
      <c r="H787" s="2" t="e">
        <f t="shared" si="36"/>
        <v>#NUM!</v>
      </c>
      <c r="I787" s="2">
        <f t="shared" si="37"/>
        <v>0.37390096630005903</v>
      </c>
      <c r="K787" s="2" t="e">
        <f t="shared" si="38"/>
        <v>#NUM!</v>
      </c>
    </row>
    <row r="788" spans="1:11" ht="13.9" x14ac:dyDescent="0.3">
      <c r="A788" s="2" t="s">
        <v>805</v>
      </c>
      <c r="B788" s="2">
        <v>0</v>
      </c>
      <c r="C788" s="2">
        <v>0</v>
      </c>
      <c r="D788" s="2">
        <v>0</v>
      </c>
      <c r="E788" s="2">
        <v>4.34</v>
      </c>
      <c r="F788" s="2">
        <v>0.94</v>
      </c>
      <c r="G788" s="2">
        <v>1.48</v>
      </c>
      <c r="H788" s="2" t="e">
        <f t="shared" si="36"/>
        <v>#NUM!</v>
      </c>
      <c r="I788" s="2">
        <f t="shared" si="37"/>
        <v>9.9530347600436719E-2</v>
      </c>
      <c r="K788" s="2" t="e">
        <f t="shared" si="38"/>
        <v>#NUM!</v>
      </c>
    </row>
    <row r="789" spans="1:11" ht="13.9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0.69</v>
      </c>
      <c r="F789" s="2">
        <v>0.94</v>
      </c>
      <c r="G789" s="2">
        <v>0.32</v>
      </c>
      <c r="H789" s="2" t="e">
        <f t="shared" si="36"/>
        <v>#NUM!</v>
      </c>
      <c r="I789" s="2">
        <f t="shared" si="37"/>
        <v>2.2571548002477394E-2</v>
      </c>
      <c r="K789" s="2" t="e">
        <f t="shared" si="38"/>
        <v>#NUM!</v>
      </c>
    </row>
    <row r="790" spans="1:11" ht="13.9" x14ac:dyDescent="0.3">
      <c r="A790" s="2" t="s">
        <v>807</v>
      </c>
      <c r="B790" s="2">
        <v>0</v>
      </c>
      <c r="C790" s="2">
        <v>2.68</v>
      </c>
      <c r="D790" s="2">
        <v>0</v>
      </c>
      <c r="E790" s="2">
        <v>0</v>
      </c>
      <c r="F790" s="2">
        <v>0.13</v>
      </c>
      <c r="G790" s="2">
        <v>0</v>
      </c>
      <c r="H790" s="2">
        <f t="shared" si="36"/>
        <v>4.3656494723166812</v>
      </c>
      <c r="I790" s="2">
        <f t="shared" si="37"/>
        <v>0.39573812765447008</v>
      </c>
      <c r="K790" s="2">
        <f t="shared" si="38"/>
        <v>1.4222330006830479</v>
      </c>
    </row>
    <row r="791" spans="1:11" ht="13.9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0.2</v>
      </c>
      <c r="F791" s="2">
        <v>0</v>
      </c>
      <c r="G791" s="2">
        <v>0.21</v>
      </c>
      <c r="H791" s="2" t="e">
        <f t="shared" si="36"/>
        <v>#NUM!</v>
      </c>
      <c r="I791" s="2">
        <f t="shared" si="37"/>
        <v>0.11635308435469104</v>
      </c>
      <c r="K791" s="2" t="e">
        <f t="shared" si="38"/>
        <v>#NUM!</v>
      </c>
    </row>
    <row r="792" spans="1:11" ht="13.9" x14ac:dyDescent="0.3">
      <c r="A792" s="2" t="s">
        <v>809</v>
      </c>
      <c r="B792" s="2">
        <v>0</v>
      </c>
      <c r="C792" s="2">
        <v>6.1</v>
      </c>
      <c r="D792" s="2">
        <v>0</v>
      </c>
      <c r="E792" s="2">
        <v>0</v>
      </c>
      <c r="F792" s="2">
        <v>0</v>
      </c>
      <c r="G792" s="2">
        <v>0.11</v>
      </c>
      <c r="H792" s="2">
        <f t="shared" si="36"/>
        <v>5.793233813812952</v>
      </c>
      <c r="I792" s="2">
        <f t="shared" si="37"/>
        <v>0.3817826367416971</v>
      </c>
      <c r="K792" s="2">
        <f t="shared" si="38"/>
        <v>2.6088092426755241</v>
      </c>
    </row>
    <row r="793" spans="1:11" ht="13.9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0.3</v>
      </c>
      <c r="F793" s="2">
        <v>0</v>
      </c>
      <c r="G793" s="2">
        <v>0.32</v>
      </c>
      <c r="H793" s="2" t="e">
        <f t="shared" si="36"/>
        <v>#NUM!</v>
      </c>
      <c r="I793" s="2">
        <f t="shared" si="37"/>
        <v>0.11653025104531886</v>
      </c>
      <c r="K793" s="2" t="e">
        <f t="shared" si="38"/>
        <v>#NUM!</v>
      </c>
    </row>
    <row r="794" spans="1:11" ht="13.9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0.69</v>
      </c>
      <c r="F794" s="2">
        <v>1.07</v>
      </c>
      <c r="G794" s="2">
        <v>0</v>
      </c>
      <c r="H794" s="2" t="e">
        <f t="shared" si="36"/>
        <v>#NUM!</v>
      </c>
      <c r="I794" s="2">
        <f t="shared" si="37"/>
        <v>0.13431832993431098</v>
      </c>
      <c r="K794" s="2" t="e">
        <f t="shared" si="38"/>
        <v>#NUM!</v>
      </c>
    </row>
    <row r="795" spans="1:11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 t="e">
        <f t="shared" si="36"/>
        <v>#DIV/0!</v>
      </c>
      <c r="I795" s="2" t="e">
        <f t="shared" si="37"/>
        <v>#DIV/0!</v>
      </c>
      <c r="K795" s="2" t="e">
        <f t="shared" si="38"/>
        <v>#NUM!</v>
      </c>
    </row>
    <row r="796" spans="1:11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0.2</v>
      </c>
      <c r="F796" s="2">
        <v>0</v>
      </c>
      <c r="G796" s="2">
        <v>0</v>
      </c>
      <c r="H796" s="2" t="e">
        <f t="shared" si="36"/>
        <v>#NUM!</v>
      </c>
      <c r="I796" s="2">
        <f t="shared" si="37"/>
        <v>0.37390096630005903</v>
      </c>
      <c r="K796" s="2" t="e">
        <f t="shared" si="38"/>
        <v>#NUM!</v>
      </c>
    </row>
    <row r="797" spans="1:11" ht="13.9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0.2</v>
      </c>
      <c r="F797" s="2">
        <v>0.27</v>
      </c>
      <c r="G797" s="2">
        <v>0</v>
      </c>
      <c r="H797" s="2" t="e">
        <f t="shared" si="36"/>
        <v>#NUM!</v>
      </c>
      <c r="I797" s="2">
        <f t="shared" si="37"/>
        <v>0.12486409699865564</v>
      </c>
      <c r="K797" s="2" t="e">
        <f t="shared" si="38"/>
        <v>#NUM!</v>
      </c>
    </row>
    <row r="798" spans="1:11" ht="13.9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0.27</v>
      </c>
      <c r="G798" s="2">
        <v>0.53</v>
      </c>
      <c r="H798" s="2" t="e">
        <f t="shared" si="36"/>
        <v>#NUM!</v>
      </c>
      <c r="I798" s="2">
        <f t="shared" si="37"/>
        <v>0.15631819763304933</v>
      </c>
      <c r="K798" s="2" t="e">
        <f t="shared" si="38"/>
        <v>#NUM!</v>
      </c>
    </row>
    <row r="799" spans="1:11" ht="13.9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36"/>
        <v>#DIV/0!</v>
      </c>
      <c r="I799" s="2" t="e">
        <f t="shared" si="37"/>
        <v>#DIV/0!</v>
      </c>
      <c r="K799" s="2" t="e">
        <f t="shared" si="38"/>
        <v>#NUM!</v>
      </c>
    </row>
    <row r="800" spans="1:11" ht="13.9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1.48</v>
      </c>
      <c r="F800" s="2">
        <v>0.13</v>
      </c>
      <c r="G800" s="2">
        <v>1.58</v>
      </c>
      <c r="H800" s="2" t="e">
        <f t="shared" si="36"/>
        <v>#NUM!</v>
      </c>
      <c r="I800" s="2">
        <f t="shared" si="37"/>
        <v>8.5328671820094723E-2</v>
      </c>
      <c r="K800" s="2" t="e">
        <f t="shared" si="38"/>
        <v>#NUM!</v>
      </c>
    </row>
    <row r="801" spans="1:11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0.13</v>
      </c>
      <c r="G801" s="2">
        <v>0</v>
      </c>
      <c r="H801" s="2" t="e">
        <f t="shared" si="36"/>
        <v>#NUM!</v>
      </c>
      <c r="I801" s="2">
        <f t="shared" si="37"/>
        <v>0.37390096630005903</v>
      </c>
      <c r="K801" s="2" t="e">
        <f t="shared" si="38"/>
        <v>#NUM!</v>
      </c>
    </row>
    <row r="802" spans="1:11" ht="13.9" x14ac:dyDescent="0.3">
      <c r="A802" s="2" t="s">
        <v>819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1.37</v>
      </c>
      <c r="H802" s="2" t="e">
        <f t="shared" si="36"/>
        <v>#NUM!</v>
      </c>
      <c r="I802" s="2">
        <f t="shared" si="37"/>
        <v>0.37390096630005903</v>
      </c>
      <c r="K802" s="2" t="e">
        <f t="shared" si="38"/>
        <v>#NUM!</v>
      </c>
    </row>
    <row r="803" spans="1:11" ht="13.9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</v>
      </c>
      <c r="F803" s="2">
        <v>0.13</v>
      </c>
      <c r="G803" s="2">
        <v>0</v>
      </c>
      <c r="H803" s="2" t="e">
        <f t="shared" si="36"/>
        <v>#NUM!</v>
      </c>
      <c r="I803" s="2">
        <f t="shared" si="37"/>
        <v>0.37390096630005903</v>
      </c>
      <c r="K803" s="2" t="e">
        <f t="shared" si="38"/>
        <v>#NUM!</v>
      </c>
    </row>
    <row r="804" spans="1:11" ht="13.9" x14ac:dyDescent="0.3">
      <c r="A804" s="2" t="s">
        <v>821</v>
      </c>
      <c r="B804" s="2">
        <v>0</v>
      </c>
      <c r="C804" s="2">
        <v>0</v>
      </c>
      <c r="D804" s="2">
        <v>4.92</v>
      </c>
      <c r="E804" s="2">
        <v>0</v>
      </c>
      <c r="F804" s="2">
        <v>0.27</v>
      </c>
      <c r="G804" s="2">
        <v>0</v>
      </c>
      <c r="H804" s="2">
        <f t="shared" si="36"/>
        <v>4.1876270031757716</v>
      </c>
      <c r="I804" s="2">
        <f t="shared" si="37"/>
        <v>0.39875627085468435</v>
      </c>
      <c r="K804" s="2">
        <f t="shared" si="38"/>
        <v>2.2986583155645151</v>
      </c>
    </row>
    <row r="805" spans="1:11" ht="13.9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0.13</v>
      </c>
      <c r="G805" s="2">
        <v>0</v>
      </c>
      <c r="H805" s="2" t="e">
        <f t="shared" si="36"/>
        <v>#NUM!</v>
      </c>
      <c r="I805" s="2">
        <f t="shared" si="37"/>
        <v>0.37390096630005903</v>
      </c>
      <c r="K805" s="2" t="e">
        <f t="shared" si="38"/>
        <v>#NUM!</v>
      </c>
    </row>
    <row r="806" spans="1:11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0.1</v>
      </c>
      <c r="F806" s="2">
        <v>0</v>
      </c>
      <c r="G806" s="2">
        <v>0</v>
      </c>
      <c r="H806" s="2" t="e">
        <f t="shared" si="36"/>
        <v>#NUM!</v>
      </c>
      <c r="I806" s="2">
        <f t="shared" si="37"/>
        <v>0.37390096630005903</v>
      </c>
      <c r="K806" s="2" t="e">
        <f t="shared" si="38"/>
        <v>#NUM!</v>
      </c>
    </row>
    <row r="807" spans="1:11" ht="13.9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0.13</v>
      </c>
      <c r="G807" s="2">
        <v>0</v>
      </c>
      <c r="H807" s="2" t="e">
        <f t="shared" si="36"/>
        <v>#NUM!</v>
      </c>
      <c r="I807" s="2">
        <f t="shared" si="37"/>
        <v>0.37390096630005903</v>
      </c>
      <c r="K807" s="2" t="e">
        <f t="shared" si="38"/>
        <v>#NUM!</v>
      </c>
    </row>
    <row r="808" spans="1:11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0.32</v>
      </c>
      <c r="H808" s="2" t="e">
        <f t="shared" si="36"/>
        <v>#NUM!</v>
      </c>
      <c r="I808" s="2">
        <f t="shared" si="37"/>
        <v>0.37390096630005903</v>
      </c>
      <c r="K808" s="2" t="e">
        <f t="shared" si="38"/>
        <v>#NUM!</v>
      </c>
    </row>
    <row r="809" spans="1:11" ht="13.9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36"/>
        <v>#DIV/0!</v>
      </c>
      <c r="I809" s="2" t="e">
        <f t="shared" si="37"/>
        <v>#DIV/0!</v>
      </c>
      <c r="K809" s="2" t="e">
        <f t="shared" si="38"/>
        <v>#NUM!</v>
      </c>
    </row>
    <row r="810" spans="1:11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0.4</v>
      </c>
      <c r="G810" s="2">
        <v>0</v>
      </c>
      <c r="H810" s="2" t="e">
        <f t="shared" si="36"/>
        <v>#NUM!</v>
      </c>
      <c r="I810" s="2">
        <f t="shared" si="37"/>
        <v>0.37390096630005903</v>
      </c>
      <c r="K810" s="2" t="e">
        <f t="shared" si="38"/>
        <v>#NUM!</v>
      </c>
    </row>
    <row r="811" spans="1:11" ht="13.9" x14ac:dyDescent="0.3">
      <c r="A811" s="2" t="s">
        <v>828</v>
      </c>
      <c r="B811" s="2">
        <v>0</v>
      </c>
      <c r="C811" s="2">
        <v>0</v>
      </c>
      <c r="D811" s="2">
        <v>2.73</v>
      </c>
      <c r="E811" s="2">
        <v>1.18</v>
      </c>
      <c r="F811" s="2">
        <v>0.67</v>
      </c>
      <c r="G811" s="2">
        <v>0.11</v>
      </c>
      <c r="H811" s="2">
        <f t="shared" si="36"/>
        <v>0.47804729680464414</v>
      </c>
      <c r="I811" s="2">
        <f t="shared" si="37"/>
        <v>0.80261587885638042</v>
      </c>
      <c r="K811" s="2">
        <f t="shared" si="38"/>
        <v>1.4489009511451278</v>
      </c>
    </row>
    <row r="812" spans="1:11" ht="13.9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0.59</v>
      </c>
      <c r="F812" s="2">
        <v>0.13</v>
      </c>
      <c r="G812" s="2">
        <v>1.05</v>
      </c>
      <c r="H812" s="2" t="e">
        <f t="shared" si="36"/>
        <v>#NUM!</v>
      </c>
      <c r="I812" s="2">
        <f t="shared" si="37"/>
        <v>9.0456889047589722E-2</v>
      </c>
      <c r="K812" s="2" t="e">
        <f t="shared" si="38"/>
        <v>#NUM!</v>
      </c>
    </row>
    <row r="813" spans="1:11" ht="13.9" x14ac:dyDescent="0.3">
      <c r="A813" s="2" t="s">
        <v>830</v>
      </c>
      <c r="B813" s="2">
        <v>5.93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36"/>
        <v>#DIV/0!</v>
      </c>
      <c r="I813" s="2">
        <f t="shared" si="37"/>
        <v>0.37390096630005903</v>
      </c>
      <c r="K813" s="2">
        <f t="shared" si="38"/>
        <v>2.5680321047712789</v>
      </c>
    </row>
    <row r="814" spans="1:11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0.4</v>
      </c>
      <c r="G814" s="2">
        <v>0</v>
      </c>
      <c r="H814" s="2" t="e">
        <f t="shared" si="36"/>
        <v>#NUM!</v>
      </c>
      <c r="I814" s="2">
        <f t="shared" si="37"/>
        <v>0.37390096630005903</v>
      </c>
      <c r="K814" s="2" t="e">
        <f t="shared" si="38"/>
        <v>#NUM!</v>
      </c>
    </row>
    <row r="815" spans="1:11" ht="13.9" x14ac:dyDescent="0.3">
      <c r="A815" s="2" t="s">
        <v>832</v>
      </c>
      <c r="B815" s="2">
        <v>0</v>
      </c>
      <c r="C815" s="2">
        <v>0</v>
      </c>
      <c r="D815" s="2">
        <v>0.55000000000000004</v>
      </c>
      <c r="E815" s="2">
        <v>0.49</v>
      </c>
      <c r="F815" s="2">
        <v>1.47</v>
      </c>
      <c r="G815" s="2">
        <v>0.21</v>
      </c>
      <c r="H815" s="2">
        <f t="shared" si="36"/>
        <v>-1.9801915189198196</v>
      </c>
      <c r="I815" s="2">
        <f t="shared" si="37"/>
        <v>0.27149717853356392</v>
      </c>
      <c r="K815" s="2">
        <f t="shared" si="38"/>
        <v>-0.86249647625006509</v>
      </c>
    </row>
    <row r="816" spans="1:11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0.21</v>
      </c>
      <c r="H816" s="2" t="e">
        <f t="shared" si="36"/>
        <v>#NUM!</v>
      </c>
      <c r="I816" s="2">
        <f t="shared" si="37"/>
        <v>0.37390096630005903</v>
      </c>
      <c r="K816" s="2" t="e">
        <f t="shared" si="38"/>
        <v>#NUM!</v>
      </c>
    </row>
    <row r="817" spans="1:11" ht="13.9" x14ac:dyDescent="0.3">
      <c r="A817" s="2" t="s">
        <v>834</v>
      </c>
      <c r="B817" s="2">
        <v>0</v>
      </c>
      <c r="C817" s="2">
        <v>0</v>
      </c>
      <c r="D817" s="2">
        <v>0</v>
      </c>
      <c r="E817" s="2">
        <v>2.4700000000000002</v>
      </c>
      <c r="F817" s="2">
        <v>1.34</v>
      </c>
      <c r="G817" s="2">
        <v>1.37</v>
      </c>
      <c r="H817" s="2" t="e">
        <f t="shared" si="36"/>
        <v>#NUM!</v>
      </c>
      <c r="I817" s="2">
        <f t="shared" si="37"/>
        <v>9.7014263183178209E-3</v>
      </c>
      <c r="K817" s="2" t="e">
        <f t="shared" si="38"/>
        <v>#NUM!</v>
      </c>
    </row>
    <row r="818" spans="1:11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 t="e">
        <f t="shared" si="36"/>
        <v>#DIV/0!</v>
      </c>
      <c r="I818" s="2" t="e">
        <f t="shared" si="37"/>
        <v>#DIV/0!</v>
      </c>
      <c r="K818" s="2" t="e">
        <f t="shared" si="38"/>
        <v>#NUM!</v>
      </c>
    </row>
    <row r="819" spans="1:11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0.1</v>
      </c>
      <c r="F819" s="2">
        <v>0</v>
      </c>
      <c r="G819" s="2">
        <v>0</v>
      </c>
      <c r="H819" s="2" t="e">
        <f t="shared" si="36"/>
        <v>#NUM!</v>
      </c>
      <c r="I819" s="2">
        <f t="shared" si="37"/>
        <v>0.37390096630005903</v>
      </c>
      <c r="K819" s="2" t="e">
        <f t="shared" si="38"/>
        <v>#NUM!</v>
      </c>
    </row>
    <row r="820" spans="1:11" ht="13.9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0.2</v>
      </c>
      <c r="F820" s="2">
        <v>0</v>
      </c>
      <c r="G820" s="2">
        <v>0</v>
      </c>
      <c r="H820" s="2" t="e">
        <f t="shared" si="36"/>
        <v>#NUM!</v>
      </c>
      <c r="I820" s="2">
        <f t="shared" si="37"/>
        <v>0.37390096630005903</v>
      </c>
      <c r="K820" s="2" t="e">
        <f t="shared" si="38"/>
        <v>#NUM!</v>
      </c>
    </row>
    <row r="821" spans="1:11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0.42</v>
      </c>
      <c r="H821" s="2" t="e">
        <f t="shared" si="36"/>
        <v>#NUM!</v>
      </c>
      <c r="I821" s="2">
        <f t="shared" si="37"/>
        <v>0.37390096630005903</v>
      </c>
      <c r="K821" s="2" t="e">
        <f t="shared" si="38"/>
        <v>#NUM!</v>
      </c>
    </row>
    <row r="822" spans="1:11" ht="13.9" x14ac:dyDescent="0.3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36"/>
        <v>#DIV/0!</v>
      </c>
      <c r="I822" s="2" t="e">
        <f t="shared" si="37"/>
        <v>#DIV/0!</v>
      </c>
      <c r="K822" s="2" t="e">
        <f t="shared" si="38"/>
        <v>#NUM!</v>
      </c>
    </row>
    <row r="823" spans="1:11" ht="13.9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36"/>
        <v>#DIV/0!</v>
      </c>
      <c r="I823" s="2" t="e">
        <f t="shared" si="37"/>
        <v>#DIV/0!</v>
      </c>
      <c r="K823" s="2" t="e">
        <f t="shared" si="38"/>
        <v>#NUM!</v>
      </c>
    </row>
    <row r="824" spans="1:11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0.53</v>
      </c>
      <c r="H824" s="2" t="e">
        <f t="shared" si="36"/>
        <v>#NUM!</v>
      </c>
      <c r="I824" s="2">
        <f t="shared" si="37"/>
        <v>0.37390096630005903</v>
      </c>
      <c r="K824" s="2" t="e">
        <f t="shared" si="38"/>
        <v>#NUM!</v>
      </c>
    </row>
    <row r="825" spans="1:11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0.59</v>
      </c>
      <c r="F825" s="2">
        <v>0</v>
      </c>
      <c r="G825" s="2">
        <v>0</v>
      </c>
      <c r="H825" s="2" t="e">
        <f t="shared" si="36"/>
        <v>#NUM!</v>
      </c>
      <c r="I825" s="2">
        <f t="shared" si="37"/>
        <v>0.37390096630005903</v>
      </c>
      <c r="K825" s="2" t="e">
        <f t="shared" si="38"/>
        <v>#NUM!</v>
      </c>
    </row>
    <row r="826" spans="1:11" ht="13.9" x14ac:dyDescent="0.3">
      <c r="A826" s="2" t="s">
        <v>843</v>
      </c>
      <c r="B826" s="2">
        <v>6.26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36"/>
        <v>#DIV/0!</v>
      </c>
      <c r="I826" s="2">
        <f t="shared" si="37"/>
        <v>0.37390096630005903</v>
      </c>
      <c r="K826" s="2">
        <f t="shared" si="38"/>
        <v>2.6461626571578938</v>
      </c>
    </row>
    <row r="827" spans="1:11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0.1</v>
      </c>
      <c r="F827" s="2">
        <v>0</v>
      </c>
      <c r="G827" s="2">
        <v>0</v>
      </c>
      <c r="H827" s="2" t="e">
        <f t="shared" si="36"/>
        <v>#NUM!</v>
      </c>
      <c r="I827" s="2">
        <f t="shared" si="37"/>
        <v>0.37390096630005903</v>
      </c>
      <c r="K827" s="2" t="e">
        <f t="shared" si="38"/>
        <v>#NUM!</v>
      </c>
    </row>
    <row r="828" spans="1:11" ht="13.9" x14ac:dyDescent="0.3">
      <c r="A828" s="2" t="s">
        <v>845</v>
      </c>
      <c r="B828" s="2">
        <v>1.98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36"/>
        <v>#DIV/0!</v>
      </c>
      <c r="I828" s="2">
        <f t="shared" si="37"/>
        <v>0.37390096630005903</v>
      </c>
      <c r="K828" s="2">
        <f t="shared" si="38"/>
        <v>0.98550043030488488</v>
      </c>
    </row>
    <row r="829" spans="1:11" ht="13.9" x14ac:dyDescent="0.3">
      <c r="A829" s="2" t="s">
        <v>846</v>
      </c>
      <c r="B829" s="2">
        <v>25.05</v>
      </c>
      <c r="C829" s="2">
        <v>15.86</v>
      </c>
      <c r="D829" s="2">
        <v>0</v>
      </c>
      <c r="E829" s="2">
        <v>2.27</v>
      </c>
      <c r="F829" s="2">
        <v>1.6</v>
      </c>
      <c r="G829" s="2">
        <v>1.05</v>
      </c>
      <c r="H829" s="2">
        <f t="shared" si="36"/>
        <v>3.0557233165488062</v>
      </c>
      <c r="I829" s="2">
        <f t="shared" si="37"/>
        <v>0.17680050154771471</v>
      </c>
      <c r="K829" s="2">
        <f t="shared" si="38"/>
        <v>5.3543816321133217</v>
      </c>
    </row>
    <row r="830" spans="1:11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0.4</v>
      </c>
      <c r="G830" s="2">
        <v>0</v>
      </c>
      <c r="H830" s="2" t="e">
        <f t="shared" si="36"/>
        <v>#NUM!</v>
      </c>
      <c r="I830" s="2">
        <f t="shared" si="37"/>
        <v>0.37390096630005903</v>
      </c>
      <c r="K830" s="2" t="e">
        <f t="shared" si="38"/>
        <v>#NUM!</v>
      </c>
    </row>
    <row r="831" spans="1:11" ht="13.9" x14ac:dyDescent="0.3">
      <c r="A831" s="2" t="s">
        <v>848</v>
      </c>
      <c r="B831" s="2">
        <v>12.2</v>
      </c>
      <c r="C831" s="2">
        <v>44.64</v>
      </c>
      <c r="D831" s="2">
        <v>23.85</v>
      </c>
      <c r="E831" s="2">
        <v>27.05</v>
      </c>
      <c r="F831" s="2">
        <v>57.89</v>
      </c>
      <c r="G831" s="2">
        <v>29.09</v>
      </c>
      <c r="H831" s="2">
        <f t="shared" si="36"/>
        <v>-0.49895163611495374</v>
      </c>
      <c r="I831" s="2">
        <f t="shared" si="37"/>
        <v>0.46439160105600891</v>
      </c>
      <c r="K831" s="2">
        <f t="shared" si="38"/>
        <v>6.3343179846934428</v>
      </c>
    </row>
    <row r="832" spans="1:11" ht="13.9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0.39</v>
      </c>
      <c r="F832" s="2">
        <v>0.94</v>
      </c>
      <c r="G832" s="2">
        <v>1.26</v>
      </c>
      <c r="H832" s="2" t="e">
        <f t="shared" si="36"/>
        <v>#NUM!</v>
      </c>
      <c r="I832" s="2">
        <f t="shared" si="37"/>
        <v>2.7322575636423048E-2</v>
      </c>
      <c r="K832" s="2" t="e">
        <f t="shared" si="38"/>
        <v>#NUM!</v>
      </c>
    </row>
    <row r="833" spans="1:11" ht="13.9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36"/>
        <v>#DIV/0!</v>
      </c>
      <c r="I833" s="2" t="e">
        <f t="shared" si="37"/>
        <v>#DIV/0!</v>
      </c>
      <c r="K833" s="2" t="e">
        <f t="shared" si="38"/>
        <v>#NUM!</v>
      </c>
    </row>
    <row r="834" spans="1:11" ht="13.9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39">LOG(SUM(B834:D834)/SUM(E834:G834),2)</f>
        <v>#DIV/0!</v>
      </c>
      <c r="I834" s="2" t="e">
        <f t="shared" ref="I834:I897" si="40">_xlfn.T.TEST(B834:D834,E834:G834,2,2)</f>
        <v>#DIV/0!</v>
      </c>
      <c r="K834" s="2" t="e">
        <f t="shared" si="38"/>
        <v>#NUM!</v>
      </c>
    </row>
    <row r="835" spans="1:11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0.39</v>
      </c>
      <c r="F835" s="2">
        <v>0</v>
      </c>
      <c r="G835" s="2">
        <v>0.11</v>
      </c>
      <c r="H835" s="2" t="e">
        <f t="shared" si="39"/>
        <v>#NUM!</v>
      </c>
      <c r="I835" s="2">
        <f t="shared" si="40"/>
        <v>0.22444645074560185</v>
      </c>
      <c r="K835" s="2" t="e">
        <f t="shared" ref="K835:K898" si="41">LOG(SUM(B835:D835),2)</f>
        <v>#NUM!</v>
      </c>
    </row>
    <row r="836" spans="1:11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 t="e">
        <f t="shared" si="39"/>
        <v>#DIV/0!</v>
      </c>
      <c r="I836" s="2" t="e">
        <f t="shared" si="40"/>
        <v>#DIV/0!</v>
      </c>
      <c r="K836" s="2" t="e">
        <f t="shared" si="41"/>
        <v>#NUM!</v>
      </c>
    </row>
    <row r="837" spans="1:11" ht="13.9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0.39</v>
      </c>
      <c r="F837" s="2">
        <v>0.53</v>
      </c>
      <c r="G837" s="2">
        <v>0.32</v>
      </c>
      <c r="H837" s="2" t="e">
        <f t="shared" si="39"/>
        <v>#NUM!</v>
      </c>
      <c r="I837" s="2">
        <f t="shared" si="40"/>
        <v>2.5886671395731684E-3</v>
      </c>
      <c r="K837" s="2" t="e">
        <f t="shared" si="41"/>
        <v>#NUM!</v>
      </c>
    </row>
    <row r="838" spans="1:11" ht="13.9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 t="e">
        <f t="shared" si="39"/>
        <v>#DIV/0!</v>
      </c>
      <c r="I838" s="2" t="e">
        <f t="shared" si="40"/>
        <v>#DIV/0!</v>
      </c>
      <c r="K838" s="2" t="e">
        <f t="shared" si="41"/>
        <v>#NUM!</v>
      </c>
    </row>
    <row r="839" spans="1:11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0.53</v>
      </c>
      <c r="G839" s="2">
        <v>0</v>
      </c>
      <c r="H839" s="2" t="e">
        <f t="shared" si="39"/>
        <v>#NUM!</v>
      </c>
      <c r="I839" s="2">
        <f t="shared" si="40"/>
        <v>0.37390096630005903</v>
      </c>
      <c r="K839" s="2" t="e">
        <f t="shared" si="41"/>
        <v>#NUM!</v>
      </c>
    </row>
    <row r="840" spans="1:11" ht="13.9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0.13</v>
      </c>
      <c r="G840" s="2">
        <v>0</v>
      </c>
      <c r="H840" s="2" t="e">
        <f t="shared" si="39"/>
        <v>#NUM!</v>
      </c>
      <c r="I840" s="2">
        <f t="shared" si="40"/>
        <v>0.37390096630005903</v>
      </c>
      <c r="K840" s="2" t="e">
        <f t="shared" si="41"/>
        <v>#NUM!</v>
      </c>
    </row>
    <row r="841" spans="1:11" ht="13.9" x14ac:dyDescent="0.3">
      <c r="A841" s="2" t="s">
        <v>858</v>
      </c>
      <c r="B841" s="2">
        <v>0</v>
      </c>
      <c r="C841" s="2">
        <v>0</v>
      </c>
      <c r="D841" s="2">
        <v>0</v>
      </c>
      <c r="E841" s="2">
        <v>0.39</v>
      </c>
      <c r="F841" s="2">
        <v>0.27</v>
      </c>
      <c r="G841" s="2">
        <v>0.32</v>
      </c>
      <c r="H841" s="2" t="e">
        <f t="shared" si="39"/>
        <v>#NUM!</v>
      </c>
      <c r="I841" s="2">
        <f t="shared" si="40"/>
        <v>7.1768558920570302E-4</v>
      </c>
      <c r="K841" s="2" t="e">
        <f t="shared" si="41"/>
        <v>#NUM!</v>
      </c>
    </row>
    <row r="842" spans="1:11" ht="13.9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39"/>
        <v>#DIV/0!</v>
      </c>
      <c r="I842" s="2" t="e">
        <f t="shared" si="40"/>
        <v>#DIV/0!</v>
      </c>
      <c r="K842" s="2" t="e">
        <f t="shared" si="41"/>
        <v>#NUM!</v>
      </c>
    </row>
    <row r="843" spans="1:11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 t="e">
        <f t="shared" si="39"/>
        <v>#DIV/0!</v>
      </c>
      <c r="I843" s="2" t="e">
        <f t="shared" si="40"/>
        <v>#DIV/0!</v>
      </c>
      <c r="K843" s="2" t="e">
        <f t="shared" si="41"/>
        <v>#NUM!</v>
      </c>
    </row>
    <row r="844" spans="1:11" ht="13.9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 t="e">
        <f t="shared" si="39"/>
        <v>#DIV/0!</v>
      </c>
      <c r="I844" s="2" t="e">
        <f t="shared" si="40"/>
        <v>#DIV/0!</v>
      </c>
      <c r="K844" s="2" t="e">
        <f t="shared" si="41"/>
        <v>#NUM!</v>
      </c>
    </row>
    <row r="845" spans="1:11" ht="13.9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39"/>
        <v>#DIV/0!</v>
      </c>
      <c r="I845" s="2" t="e">
        <f t="shared" si="40"/>
        <v>#DIV/0!</v>
      </c>
      <c r="K845" s="2" t="e">
        <f t="shared" si="41"/>
        <v>#NUM!</v>
      </c>
    </row>
    <row r="846" spans="1:11" ht="13.9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0.39</v>
      </c>
      <c r="F846" s="2">
        <v>0</v>
      </c>
      <c r="G846" s="2">
        <v>0</v>
      </c>
      <c r="H846" s="2" t="e">
        <f t="shared" si="39"/>
        <v>#NUM!</v>
      </c>
      <c r="I846" s="2">
        <f t="shared" si="40"/>
        <v>0.37390096630005903</v>
      </c>
      <c r="K846" s="2" t="e">
        <f t="shared" si="41"/>
        <v>#NUM!</v>
      </c>
    </row>
    <row r="847" spans="1:11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0.27</v>
      </c>
      <c r="G847" s="2">
        <v>0.11</v>
      </c>
      <c r="H847" s="2" t="e">
        <f t="shared" si="39"/>
        <v>#NUM!</v>
      </c>
      <c r="I847" s="2">
        <f t="shared" si="40"/>
        <v>0.18141514163843797</v>
      </c>
      <c r="K847" s="2" t="e">
        <f t="shared" si="41"/>
        <v>#NUM!</v>
      </c>
    </row>
    <row r="848" spans="1:11" ht="13.9" x14ac:dyDescent="0.3">
      <c r="A848" s="2" t="s">
        <v>865</v>
      </c>
      <c r="B848" s="2">
        <v>0</v>
      </c>
      <c r="C848" s="2">
        <v>0</v>
      </c>
      <c r="D848" s="2">
        <v>6.74</v>
      </c>
      <c r="E848" s="2">
        <v>0</v>
      </c>
      <c r="F848" s="2">
        <v>0</v>
      </c>
      <c r="G848" s="2">
        <v>0</v>
      </c>
      <c r="H848" s="2" t="e">
        <f t="shared" si="39"/>
        <v>#DIV/0!</v>
      </c>
      <c r="I848" s="2">
        <f t="shared" si="40"/>
        <v>0.37390096630005903</v>
      </c>
      <c r="K848" s="2">
        <f t="shared" si="41"/>
        <v>2.7527485914071339</v>
      </c>
    </row>
    <row r="849" spans="1:11" ht="13.9" x14ac:dyDescent="0.3">
      <c r="A849" s="2" t="s">
        <v>866</v>
      </c>
      <c r="B849" s="2">
        <v>0</v>
      </c>
      <c r="C849" s="2">
        <v>7.07</v>
      </c>
      <c r="D849" s="2">
        <v>0</v>
      </c>
      <c r="E849" s="2">
        <v>0.39</v>
      </c>
      <c r="F849" s="2">
        <v>0</v>
      </c>
      <c r="G849" s="2">
        <v>0</v>
      </c>
      <c r="H849" s="2">
        <f t="shared" si="39"/>
        <v>4.1801641859471506</v>
      </c>
      <c r="I849" s="2">
        <f t="shared" si="40"/>
        <v>0.39889191992411593</v>
      </c>
      <c r="K849" s="2">
        <f t="shared" si="41"/>
        <v>2.821710215034674</v>
      </c>
    </row>
    <row r="850" spans="1:11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 t="e">
        <f t="shared" si="39"/>
        <v>#DIV/0!</v>
      </c>
      <c r="I850" s="2" t="e">
        <f t="shared" si="40"/>
        <v>#DIV/0!</v>
      </c>
      <c r="K850" s="2" t="e">
        <f t="shared" si="41"/>
        <v>#NUM!</v>
      </c>
    </row>
    <row r="851" spans="1:11" ht="13.9" x14ac:dyDescent="0.3">
      <c r="A851" s="2" t="s">
        <v>868</v>
      </c>
      <c r="B851" s="2">
        <v>15.49</v>
      </c>
      <c r="C851" s="2">
        <v>8.2899999999999991</v>
      </c>
      <c r="D851" s="2">
        <v>10.01</v>
      </c>
      <c r="E851" s="2">
        <v>10.76</v>
      </c>
      <c r="F851" s="2">
        <v>17.78</v>
      </c>
      <c r="G851" s="2">
        <v>11.91</v>
      </c>
      <c r="H851" s="2">
        <f t="shared" si="39"/>
        <v>-0.25954335215353858</v>
      </c>
      <c r="I851" s="2">
        <f t="shared" si="40"/>
        <v>0.50990679441638365</v>
      </c>
      <c r="K851" s="2">
        <f t="shared" si="41"/>
        <v>5.0785244453890765</v>
      </c>
    </row>
    <row r="852" spans="1:11" ht="13.9" x14ac:dyDescent="0.3">
      <c r="A852" s="2" t="s">
        <v>869</v>
      </c>
      <c r="B852" s="2">
        <v>0</v>
      </c>
      <c r="C852" s="2">
        <v>0</v>
      </c>
      <c r="D852" s="2">
        <v>0</v>
      </c>
      <c r="E852" s="2">
        <v>4.9400000000000004</v>
      </c>
      <c r="F852" s="2">
        <v>0.53</v>
      </c>
      <c r="G852" s="2">
        <v>1.9</v>
      </c>
      <c r="H852" s="2" t="e">
        <f t="shared" si="39"/>
        <v>#NUM!</v>
      </c>
      <c r="I852" s="2">
        <f t="shared" si="40"/>
        <v>0.13248189584332978</v>
      </c>
      <c r="K852" s="2" t="e">
        <f t="shared" si="41"/>
        <v>#NUM!</v>
      </c>
    </row>
    <row r="853" spans="1:11" ht="13.9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1.26</v>
      </c>
      <c r="H853" s="2" t="e">
        <f t="shared" si="39"/>
        <v>#NUM!</v>
      </c>
      <c r="I853" s="2">
        <f t="shared" si="40"/>
        <v>0.37390096630005903</v>
      </c>
      <c r="K853" s="2" t="e">
        <f t="shared" si="41"/>
        <v>#NUM!</v>
      </c>
    </row>
    <row r="854" spans="1:11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</v>
      </c>
      <c r="F854" s="2">
        <v>0.4</v>
      </c>
      <c r="G854" s="2">
        <v>0</v>
      </c>
      <c r="H854" s="2" t="e">
        <f t="shared" si="39"/>
        <v>#NUM!</v>
      </c>
      <c r="I854" s="2">
        <f t="shared" si="40"/>
        <v>0.37390096630005903</v>
      </c>
      <c r="K854" s="2" t="e">
        <f t="shared" si="41"/>
        <v>#NUM!</v>
      </c>
    </row>
    <row r="855" spans="1:11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 t="e">
        <f t="shared" si="39"/>
        <v>#DIV/0!</v>
      </c>
      <c r="I855" s="2" t="e">
        <f t="shared" si="40"/>
        <v>#DIV/0!</v>
      </c>
      <c r="K855" s="2" t="e">
        <f t="shared" si="41"/>
        <v>#NUM!</v>
      </c>
    </row>
    <row r="856" spans="1:11" ht="13.9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0.99</v>
      </c>
      <c r="F856" s="2">
        <v>0.4</v>
      </c>
      <c r="G856" s="2">
        <v>0</v>
      </c>
      <c r="H856" s="2" t="e">
        <f t="shared" si="39"/>
        <v>#NUM!</v>
      </c>
      <c r="I856" s="2">
        <f t="shared" si="40"/>
        <v>0.18238737220540271</v>
      </c>
      <c r="K856" s="2" t="e">
        <f t="shared" si="41"/>
        <v>#NUM!</v>
      </c>
    </row>
    <row r="857" spans="1:11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0.27</v>
      </c>
      <c r="G857" s="2">
        <v>0</v>
      </c>
      <c r="H857" s="2" t="e">
        <f t="shared" si="39"/>
        <v>#NUM!</v>
      </c>
      <c r="I857" s="2">
        <f t="shared" si="40"/>
        <v>0.37390096630005903</v>
      </c>
      <c r="K857" s="2" t="e">
        <f t="shared" si="41"/>
        <v>#NUM!</v>
      </c>
    </row>
    <row r="858" spans="1:11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 t="e">
        <f t="shared" si="39"/>
        <v>#DIV/0!</v>
      </c>
      <c r="I858" s="2" t="e">
        <f t="shared" si="40"/>
        <v>#DIV/0!</v>
      </c>
      <c r="K858" s="2" t="e">
        <f t="shared" si="41"/>
        <v>#NUM!</v>
      </c>
    </row>
    <row r="859" spans="1:11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0.95</v>
      </c>
      <c r="H859" s="2" t="e">
        <f t="shared" si="39"/>
        <v>#NUM!</v>
      </c>
      <c r="I859" s="2">
        <f t="shared" si="40"/>
        <v>0.37390096630005903</v>
      </c>
      <c r="K859" s="2" t="e">
        <f t="shared" si="41"/>
        <v>#NUM!</v>
      </c>
    </row>
    <row r="860" spans="1:11" ht="13.9" x14ac:dyDescent="0.3">
      <c r="A860" s="2" t="s">
        <v>877</v>
      </c>
      <c r="B860" s="2">
        <v>0</v>
      </c>
      <c r="C860" s="2">
        <v>12.44</v>
      </c>
      <c r="D860" s="2">
        <v>0</v>
      </c>
      <c r="E860" s="2">
        <v>8.49</v>
      </c>
      <c r="F860" s="2">
        <v>3.74</v>
      </c>
      <c r="G860" s="2">
        <v>3.06</v>
      </c>
      <c r="H860" s="2">
        <f t="shared" si="39"/>
        <v>-0.29760192123020229</v>
      </c>
      <c r="I860" s="2">
        <f t="shared" si="40"/>
        <v>0.8425925915392577</v>
      </c>
      <c r="K860" s="2">
        <f t="shared" si="41"/>
        <v>3.636914580355878</v>
      </c>
    </row>
    <row r="861" spans="1:11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0.42</v>
      </c>
      <c r="H861" s="2" t="e">
        <f t="shared" si="39"/>
        <v>#NUM!</v>
      </c>
      <c r="I861" s="2">
        <f t="shared" si="40"/>
        <v>0.37390096630005903</v>
      </c>
      <c r="K861" s="2" t="e">
        <f t="shared" si="41"/>
        <v>#NUM!</v>
      </c>
    </row>
    <row r="862" spans="1:11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0.11</v>
      </c>
      <c r="H862" s="2" t="e">
        <f t="shared" si="39"/>
        <v>#NUM!</v>
      </c>
      <c r="I862" s="2">
        <f t="shared" si="40"/>
        <v>0.37390096630005903</v>
      </c>
      <c r="K862" s="2" t="e">
        <f t="shared" si="41"/>
        <v>#NUM!</v>
      </c>
    </row>
    <row r="863" spans="1:11" ht="13.9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39"/>
        <v>#DIV/0!</v>
      </c>
      <c r="I863" s="2" t="e">
        <f t="shared" si="40"/>
        <v>#DIV/0!</v>
      </c>
      <c r="K863" s="2" t="e">
        <f t="shared" si="41"/>
        <v>#NUM!</v>
      </c>
    </row>
    <row r="864" spans="1:11" ht="13.9" x14ac:dyDescent="0.3">
      <c r="A864" s="2" t="s">
        <v>881</v>
      </c>
      <c r="B864" s="2">
        <v>0</v>
      </c>
      <c r="C864" s="2">
        <v>0</v>
      </c>
      <c r="D864" s="2">
        <v>0</v>
      </c>
      <c r="E864" s="2">
        <v>0.59</v>
      </c>
      <c r="F864" s="2">
        <v>0</v>
      </c>
      <c r="G864" s="2">
        <v>0</v>
      </c>
      <c r="H864" s="2" t="e">
        <f t="shared" si="39"/>
        <v>#NUM!</v>
      </c>
      <c r="I864" s="2">
        <f t="shared" si="40"/>
        <v>0.37390096630005903</v>
      </c>
      <c r="K864" s="2" t="e">
        <f t="shared" si="41"/>
        <v>#NUM!</v>
      </c>
    </row>
    <row r="865" spans="1:11" ht="13.9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0.3</v>
      </c>
      <c r="F865" s="2">
        <v>0</v>
      </c>
      <c r="G865" s="2">
        <v>0</v>
      </c>
      <c r="H865" s="2" t="e">
        <f t="shared" si="39"/>
        <v>#NUM!</v>
      </c>
      <c r="I865" s="2">
        <f t="shared" si="40"/>
        <v>0.37390096630005903</v>
      </c>
      <c r="K865" s="2" t="e">
        <f t="shared" si="41"/>
        <v>#NUM!</v>
      </c>
    </row>
    <row r="866" spans="1:11" ht="13.9" x14ac:dyDescent="0.3">
      <c r="A866" s="2" t="s">
        <v>883</v>
      </c>
      <c r="B866" s="2">
        <v>0</v>
      </c>
      <c r="C866" s="2">
        <v>0</v>
      </c>
      <c r="D866" s="2">
        <v>2.91</v>
      </c>
      <c r="E866" s="2">
        <v>0.99</v>
      </c>
      <c r="F866" s="2">
        <v>0.67</v>
      </c>
      <c r="G866" s="2">
        <v>1.9</v>
      </c>
      <c r="H866" s="2">
        <f t="shared" si="39"/>
        <v>-0.29085808805811381</v>
      </c>
      <c r="I866" s="2">
        <f t="shared" si="40"/>
        <v>0.84479734257898798</v>
      </c>
      <c r="K866" s="2">
        <f t="shared" si="41"/>
        <v>1.5410191531335593</v>
      </c>
    </row>
    <row r="867" spans="1:11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0.8</v>
      </c>
      <c r="G867" s="2">
        <v>0</v>
      </c>
      <c r="H867" s="2" t="e">
        <f t="shared" si="39"/>
        <v>#NUM!</v>
      </c>
      <c r="I867" s="2">
        <f t="shared" si="40"/>
        <v>0.37390096630005903</v>
      </c>
      <c r="K867" s="2" t="e">
        <f t="shared" si="41"/>
        <v>#NUM!</v>
      </c>
    </row>
    <row r="868" spans="1:11" ht="13.9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39"/>
        <v>#DIV/0!</v>
      </c>
      <c r="I868" s="2" t="e">
        <f t="shared" si="40"/>
        <v>#DIV/0!</v>
      </c>
      <c r="K868" s="2" t="e">
        <f t="shared" si="41"/>
        <v>#NUM!</v>
      </c>
    </row>
    <row r="869" spans="1:11" ht="13.9" x14ac:dyDescent="0.3">
      <c r="A869" s="2" t="s">
        <v>886</v>
      </c>
      <c r="B869" s="2">
        <v>110.09</v>
      </c>
      <c r="C869" s="2">
        <v>204.44</v>
      </c>
      <c r="D869" s="2">
        <v>129.63</v>
      </c>
      <c r="E869" s="2">
        <v>117.47</v>
      </c>
      <c r="F869" s="2">
        <v>171.28</v>
      </c>
      <c r="G869" s="2">
        <v>123.93</v>
      </c>
      <c r="H869" s="2">
        <f t="shared" si="39"/>
        <v>0.10605595133031381</v>
      </c>
      <c r="I869" s="2">
        <f t="shared" si="40"/>
        <v>0.76898078532208669</v>
      </c>
      <c r="K869" s="2">
        <f t="shared" si="41"/>
        <v>8.7949356628035371</v>
      </c>
    </row>
    <row r="870" spans="1:11" ht="13.9" x14ac:dyDescent="0.3">
      <c r="A870" s="2" t="s">
        <v>887</v>
      </c>
      <c r="B870" s="2">
        <v>0</v>
      </c>
      <c r="C870" s="2">
        <v>0</v>
      </c>
      <c r="D870" s="2">
        <v>0</v>
      </c>
      <c r="E870" s="2">
        <v>0.89</v>
      </c>
      <c r="F870" s="2">
        <v>1.87</v>
      </c>
      <c r="G870" s="2">
        <v>0</v>
      </c>
      <c r="H870" s="2" t="e">
        <f t="shared" si="39"/>
        <v>#NUM!</v>
      </c>
      <c r="I870" s="2">
        <f t="shared" si="40"/>
        <v>0.16366189306599946</v>
      </c>
      <c r="K870" s="2" t="e">
        <f t="shared" si="41"/>
        <v>#NUM!</v>
      </c>
    </row>
    <row r="871" spans="1:11" ht="13.9" x14ac:dyDescent="0.3">
      <c r="A871" s="2" t="s">
        <v>888</v>
      </c>
      <c r="B871" s="2">
        <v>1019.17</v>
      </c>
      <c r="C871" s="2">
        <v>1207.3699999999999</v>
      </c>
      <c r="D871" s="2">
        <v>1104.5899999999999</v>
      </c>
      <c r="E871" s="2">
        <v>3956.7</v>
      </c>
      <c r="F871" s="2">
        <v>3210.03</v>
      </c>
      <c r="G871" s="2">
        <v>4022.79</v>
      </c>
      <c r="H871" s="2">
        <f t="shared" si="39"/>
        <v>-1.7480645873990259</v>
      </c>
      <c r="I871" s="2">
        <f t="shared" si="40"/>
        <v>5.9834737245994293E-4</v>
      </c>
      <c r="K871" s="2">
        <f t="shared" si="41"/>
        <v>11.70179594209543</v>
      </c>
    </row>
    <row r="872" spans="1:11" ht="13.9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0.39</v>
      </c>
      <c r="F872" s="2">
        <v>0.13</v>
      </c>
      <c r="G872" s="2">
        <v>1.1599999999999999</v>
      </c>
      <c r="H872" s="2" t="e">
        <f t="shared" si="39"/>
        <v>#NUM!</v>
      </c>
      <c r="I872" s="2">
        <f t="shared" si="40"/>
        <v>0.1444038795773078</v>
      </c>
      <c r="K872" s="2" t="e">
        <f t="shared" si="41"/>
        <v>#NUM!</v>
      </c>
    </row>
    <row r="873" spans="1:11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0.59</v>
      </c>
      <c r="F873" s="2">
        <v>0</v>
      </c>
      <c r="G873" s="2">
        <v>0</v>
      </c>
      <c r="H873" s="2" t="e">
        <f t="shared" si="39"/>
        <v>#NUM!</v>
      </c>
      <c r="I873" s="2">
        <f t="shared" si="40"/>
        <v>0.37390096630005903</v>
      </c>
      <c r="K873" s="2" t="e">
        <f t="shared" si="41"/>
        <v>#NUM!</v>
      </c>
    </row>
    <row r="874" spans="1:11" ht="13.9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0.59</v>
      </c>
      <c r="F874" s="2">
        <v>0.4</v>
      </c>
      <c r="G874" s="2">
        <v>0.42</v>
      </c>
      <c r="H874" s="2" t="e">
        <f t="shared" si="39"/>
        <v>#NUM!</v>
      </c>
      <c r="I874" s="2">
        <f t="shared" si="40"/>
        <v>1.4594476435095675E-3</v>
      </c>
      <c r="K874" s="2" t="e">
        <f t="shared" si="41"/>
        <v>#NUM!</v>
      </c>
    </row>
    <row r="875" spans="1:11" ht="13.9" x14ac:dyDescent="0.3">
      <c r="A875" s="2" t="s">
        <v>892</v>
      </c>
      <c r="B875" s="2">
        <v>167.44</v>
      </c>
      <c r="C875" s="2">
        <v>186.14</v>
      </c>
      <c r="D875" s="2">
        <v>265.45</v>
      </c>
      <c r="E875" s="2">
        <v>176.11</v>
      </c>
      <c r="F875" s="2">
        <v>228.77</v>
      </c>
      <c r="G875" s="2">
        <v>192.33</v>
      </c>
      <c r="H875" s="2">
        <f t="shared" si="39"/>
        <v>5.1771005421692926E-2</v>
      </c>
      <c r="I875" s="2">
        <f t="shared" si="40"/>
        <v>0.84032221678176844</v>
      </c>
      <c r="K875" s="2">
        <f t="shared" si="41"/>
        <v>9.2738655181196794</v>
      </c>
    </row>
    <row r="876" spans="1:11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0.74</v>
      </c>
      <c r="H876" s="2" t="e">
        <f t="shared" si="39"/>
        <v>#NUM!</v>
      </c>
      <c r="I876" s="2">
        <f t="shared" si="40"/>
        <v>0.37390096630005903</v>
      </c>
      <c r="K876" s="2" t="e">
        <f t="shared" si="41"/>
        <v>#NUM!</v>
      </c>
    </row>
    <row r="877" spans="1:11" ht="13.9" x14ac:dyDescent="0.3">
      <c r="A877" s="2" t="s">
        <v>894</v>
      </c>
      <c r="B877" s="2">
        <v>0</v>
      </c>
      <c r="C877" s="2">
        <v>0.24</v>
      </c>
      <c r="D877" s="2">
        <v>0</v>
      </c>
      <c r="E877" s="2">
        <v>0.39</v>
      </c>
      <c r="F877" s="2">
        <v>0.53</v>
      </c>
      <c r="G877" s="2">
        <v>0.95</v>
      </c>
      <c r="H877" s="2">
        <f t="shared" si="39"/>
        <v>-2.9619319591664808</v>
      </c>
      <c r="I877" s="2">
        <f t="shared" si="40"/>
        <v>4.3403742292860224E-2</v>
      </c>
      <c r="K877" s="2">
        <f t="shared" si="41"/>
        <v>-2.0588936890535687</v>
      </c>
    </row>
    <row r="878" spans="1:11" ht="13.9" x14ac:dyDescent="0.3">
      <c r="A878" s="2" t="s">
        <v>895</v>
      </c>
      <c r="B878" s="2">
        <v>0</v>
      </c>
      <c r="C878" s="2">
        <v>2.44</v>
      </c>
      <c r="D878" s="2">
        <v>2.37</v>
      </c>
      <c r="E878" s="2">
        <v>0.89</v>
      </c>
      <c r="F878" s="2">
        <v>1.47</v>
      </c>
      <c r="G878" s="2">
        <v>0.21</v>
      </c>
      <c r="H878" s="2">
        <f t="shared" si="39"/>
        <v>0.90426853457616407</v>
      </c>
      <c r="I878" s="2">
        <f t="shared" si="40"/>
        <v>0.44430112644892694</v>
      </c>
      <c r="K878" s="2">
        <f t="shared" si="41"/>
        <v>2.2660368939953175</v>
      </c>
    </row>
    <row r="879" spans="1:11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 t="e">
        <f t="shared" si="39"/>
        <v>#DIV/0!</v>
      </c>
      <c r="I879" s="2" t="e">
        <f t="shared" si="40"/>
        <v>#DIV/0!</v>
      </c>
      <c r="K879" s="2" t="e">
        <f t="shared" si="41"/>
        <v>#NUM!</v>
      </c>
    </row>
    <row r="880" spans="1:11" ht="13.9" x14ac:dyDescent="0.3">
      <c r="A880" s="2" t="s">
        <v>897</v>
      </c>
      <c r="B880" s="2">
        <v>0</v>
      </c>
      <c r="C880" s="2">
        <v>7.07</v>
      </c>
      <c r="D880" s="2">
        <v>0</v>
      </c>
      <c r="E880" s="2">
        <v>0</v>
      </c>
      <c r="F880" s="2">
        <v>0.4</v>
      </c>
      <c r="G880" s="2">
        <v>0</v>
      </c>
      <c r="H880" s="2">
        <f t="shared" si="39"/>
        <v>4.1436383099220366</v>
      </c>
      <c r="I880" s="2">
        <f t="shared" si="40"/>
        <v>0.3995670833497606</v>
      </c>
      <c r="K880" s="2">
        <f t="shared" si="41"/>
        <v>2.821710215034674</v>
      </c>
    </row>
    <row r="881" spans="1:11" ht="13.9" x14ac:dyDescent="0.3">
      <c r="A881" s="2" t="s">
        <v>898</v>
      </c>
      <c r="B881" s="2">
        <v>0</v>
      </c>
      <c r="C881" s="2">
        <v>0</v>
      </c>
      <c r="D881" s="2">
        <v>1.0900000000000001</v>
      </c>
      <c r="E881" s="2">
        <v>0.39</v>
      </c>
      <c r="F881" s="2">
        <v>0.27</v>
      </c>
      <c r="G881" s="2">
        <v>0.42</v>
      </c>
      <c r="H881" s="2">
        <f t="shared" si="39"/>
        <v>1.3296822613457873E-2</v>
      </c>
      <c r="I881" s="2">
        <f t="shared" si="40"/>
        <v>0.99317346796901795</v>
      </c>
      <c r="K881" s="2">
        <f t="shared" si="41"/>
        <v>0.12432813500220179</v>
      </c>
    </row>
    <row r="882" spans="1:11" ht="13.9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0.11</v>
      </c>
      <c r="H882" s="2" t="e">
        <f t="shared" si="39"/>
        <v>#NUM!</v>
      </c>
      <c r="I882" s="2">
        <f t="shared" si="40"/>
        <v>0.37390096630005903</v>
      </c>
      <c r="K882" s="2" t="e">
        <f t="shared" si="41"/>
        <v>#NUM!</v>
      </c>
    </row>
    <row r="883" spans="1:11" ht="13.9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0.63</v>
      </c>
      <c r="H883" s="2" t="e">
        <f t="shared" si="39"/>
        <v>#NUM!</v>
      </c>
      <c r="I883" s="2">
        <f t="shared" si="40"/>
        <v>0.37390096630005903</v>
      </c>
      <c r="K883" s="2" t="e">
        <f t="shared" si="41"/>
        <v>#NUM!</v>
      </c>
    </row>
    <row r="884" spans="1:11" ht="13.9" x14ac:dyDescent="0.3">
      <c r="A884" s="2" t="s">
        <v>901</v>
      </c>
      <c r="B884" s="2">
        <v>0</v>
      </c>
      <c r="C884" s="2">
        <v>0</v>
      </c>
      <c r="D884" s="2">
        <v>0</v>
      </c>
      <c r="E884" s="2">
        <v>1.0900000000000001</v>
      </c>
      <c r="F884" s="2">
        <v>3.61</v>
      </c>
      <c r="G884" s="2">
        <v>1.26</v>
      </c>
      <c r="H884" s="2" t="e">
        <f t="shared" si="39"/>
        <v>#NUM!</v>
      </c>
      <c r="I884" s="2">
        <f t="shared" si="40"/>
        <v>7.0964956623766645E-2</v>
      </c>
      <c r="K884" s="2" t="e">
        <f t="shared" si="41"/>
        <v>#NUM!</v>
      </c>
    </row>
    <row r="885" spans="1:11" ht="13.9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0.13</v>
      </c>
      <c r="G885" s="2">
        <v>0</v>
      </c>
      <c r="H885" s="2" t="e">
        <f t="shared" si="39"/>
        <v>#NUM!</v>
      </c>
      <c r="I885" s="2">
        <f t="shared" si="40"/>
        <v>0.37390096630005903</v>
      </c>
      <c r="K885" s="2" t="e">
        <f t="shared" si="41"/>
        <v>#NUM!</v>
      </c>
    </row>
    <row r="886" spans="1:11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 t="e">
        <f t="shared" si="39"/>
        <v>#DIV/0!</v>
      </c>
      <c r="I886" s="2" t="e">
        <f t="shared" si="40"/>
        <v>#DIV/0!</v>
      </c>
      <c r="K886" s="2" t="e">
        <f t="shared" si="41"/>
        <v>#NUM!</v>
      </c>
    </row>
    <row r="887" spans="1:11" ht="13.9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2.4700000000000002</v>
      </c>
      <c r="F887" s="2">
        <v>0</v>
      </c>
      <c r="G887" s="2">
        <v>0</v>
      </c>
      <c r="H887" s="2" t="e">
        <f t="shared" si="39"/>
        <v>#NUM!</v>
      </c>
      <c r="I887" s="2">
        <f t="shared" si="40"/>
        <v>0.37390096630005903</v>
      </c>
      <c r="K887" s="2" t="e">
        <f t="shared" si="41"/>
        <v>#NUM!</v>
      </c>
    </row>
    <row r="888" spans="1:11" ht="13.9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0.39</v>
      </c>
      <c r="F888" s="2">
        <v>0.27</v>
      </c>
      <c r="G888" s="2">
        <v>0.42</v>
      </c>
      <c r="H888" s="2" t="e">
        <f t="shared" si="39"/>
        <v>#NUM!</v>
      </c>
      <c r="I888" s="2">
        <f t="shared" si="40"/>
        <v>1.4186112260286725E-3</v>
      </c>
      <c r="K888" s="2" t="e">
        <f t="shared" si="41"/>
        <v>#NUM!</v>
      </c>
    </row>
    <row r="889" spans="1:11" ht="13.9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0.32</v>
      </c>
      <c r="H889" s="2" t="e">
        <f t="shared" si="39"/>
        <v>#NUM!</v>
      </c>
      <c r="I889" s="2">
        <f t="shared" si="40"/>
        <v>0.37390096630005903</v>
      </c>
      <c r="K889" s="2" t="e">
        <f t="shared" si="41"/>
        <v>#NUM!</v>
      </c>
    </row>
    <row r="890" spans="1:11" ht="13.9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1.18</v>
      </c>
      <c r="F890" s="2">
        <v>0.8</v>
      </c>
      <c r="G890" s="2">
        <v>0.21</v>
      </c>
      <c r="H890" s="2" t="e">
        <f t="shared" si="39"/>
        <v>#NUM!</v>
      </c>
      <c r="I890" s="2">
        <f t="shared" si="40"/>
        <v>6.0884188090732552E-2</v>
      </c>
      <c r="K890" s="2" t="e">
        <f t="shared" si="41"/>
        <v>#NUM!</v>
      </c>
    </row>
    <row r="891" spans="1:11" ht="13.9" x14ac:dyDescent="0.3">
      <c r="A891" s="2" t="s">
        <v>908</v>
      </c>
      <c r="B891" s="2">
        <v>4.9400000000000004</v>
      </c>
      <c r="C891" s="2">
        <v>0</v>
      </c>
      <c r="D891" s="2">
        <v>0</v>
      </c>
      <c r="E891" s="2">
        <v>0.1</v>
      </c>
      <c r="F891" s="2">
        <v>0</v>
      </c>
      <c r="G891" s="2">
        <v>2.42</v>
      </c>
      <c r="H891" s="2">
        <f t="shared" si="39"/>
        <v>0.97108730808476129</v>
      </c>
      <c r="I891" s="2">
        <f t="shared" si="40"/>
        <v>0.68158548371259953</v>
      </c>
      <c r="K891" s="2">
        <f t="shared" si="41"/>
        <v>2.304511041809953</v>
      </c>
    </row>
    <row r="892" spans="1:11" ht="13.9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</v>
      </c>
      <c r="F892" s="2">
        <v>0.67</v>
      </c>
      <c r="G892" s="2">
        <v>0</v>
      </c>
      <c r="H892" s="2" t="e">
        <f t="shared" si="39"/>
        <v>#NUM!</v>
      </c>
      <c r="I892" s="2">
        <f t="shared" si="40"/>
        <v>0.37390096630005903</v>
      </c>
      <c r="K892" s="2" t="e">
        <f t="shared" si="41"/>
        <v>#NUM!</v>
      </c>
    </row>
    <row r="893" spans="1:11" s="7" customFormat="1" ht="13.9" x14ac:dyDescent="0.3">
      <c r="A893" s="6" t="s">
        <v>910</v>
      </c>
      <c r="B893" s="6">
        <v>35.270000000000003</v>
      </c>
      <c r="C893" s="6">
        <v>11.95</v>
      </c>
      <c r="D893" s="6">
        <v>26.76</v>
      </c>
      <c r="E893" s="6">
        <v>0</v>
      </c>
      <c r="F893" s="6">
        <v>0</v>
      </c>
      <c r="G893" s="6">
        <v>0.11</v>
      </c>
      <c r="H893" s="6">
        <f t="shared" si="39"/>
        <v>9.393487966486699</v>
      </c>
      <c r="I893" s="6">
        <f t="shared" si="40"/>
        <v>2.247741987351291E-2</v>
      </c>
      <c r="K893" s="2">
        <f t="shared" si="41"/>
        <v>6.2090633953492702</v>
      </c>
    </row>
    <row r="894" spans="1:11" ht="13.9" x14ac:dyDescent="0.3">
      <c r="A894" s="2" t="s">
        <v>911</v>
      </c>
      <c r="B894" s="2">
        <v>0</v>
      </c>
      <c r="C894" s="2">
        <v>0</v>
      </c>
      <c r="D894" s="2">
        <v>0.18</v>
      </c>
      <c r="E894" s="2">
        <v>0</v>
      </c>
      <c r="F894" s="2">
        <v>0.67</v>
      </c>
      <c r="G894" s="2">
        <v>0</v>
      </c>
      <c r="H894" s="2">
        <f t="shared" si="39"/>
        <v>-1.8961641890154601</v>
      </c>
      <c r="I894" s="2">
        <f t="shared" si="40"/>
        <v>0.51897037242873056</v>
      </c>
      <c r="K894" s="2">
        <f t="shared" si="41"/>
        <v>-2.4739311883324122</v>
      </c>
    </row>
    <row r="895" spans="1:11" ht="13.9" x14ac:dyDescent="0.3">
      <c r="A895" s="2" t="s">
        <v>912</v>
      </c>
      <c r="B895" s="2">
        <v>0</v>
      </c>
      <c r="C895" s="2">
        <v>19.760000000000002</v>
      </c>
      <c r="D895" s="2">
        <v>0.18</v>
      </c>
      <c r="E895" s="2">
        <v>21.03</v>
      </c>
      <c r="F895" s="2">
        <v>17.78</v>
      </c>
      <c r="G895" s="2">
        <v>21.29</v>
      </c>
      <c r="H895" s="2">
        <f t="shared" si="39"/>
        <v>-1.5916995812003518</v>
      </c>
      <c r="I895" s="2">
        <f t="shared" si="40"/>
        <v>0.11453647497599236</v>
      </c>
      <c r="K895" s="2">
        <f t="shared" si="41"/>
        <v>4.3175935046234715</v>
      </c>
    </row>
    <row r="896" spans="1:11" ht="13.9" x14ac:dyDescent="0.3">
      <c r="A896" s="2" t="s">
        <v>913</v>
      </c>
      <c r="B896" s="2">
        <v>0</v>
      </c>
      <c r="C896" s="2">
        <v>7.56</v>
      </c>
      <c r="D896" s="2">
        <v>0</v>
      </c>
      <c r="E896" s="2">
        <v>0.3</v>
      </c>
      <c r="F896" s="2">
        <v>0.8</v>
      </c>
      <c r="G896" s="2">
        <v>0.32</v>
      </c>
      <c r="H896" s="2">
        <f t="shared" si="39"/>
        <v>2.4124953047163902</v>
      </c>
      <c r="I896" s="2">
        <f t="shared" si="40"/>
        <v>0.46313503322290994</v>
      </c>
      <c r="K896" s="2">
        <f t="shared" si="41"/>
        <v>2.918386234446348</v>
      </c>
    </row>
    <row r="897" spans="1:11" ht="13.9" x14ac:dyDescent="0.3">
      <c r="A897" s="2" t="s">
        <v>914</v>
      </c>
      <c r="B897" s="2">
        <v>0</v>
      </c>
      <c r="C897" s="2">
        <v>7.81</v>
      </c>
      <c r="D897" s="2">
        <v>0</v>
      </c>
      <c r="E897" s="2">
        <v>0</v>
      </c>
      <c r="F897" s="2">
        <v>0.13</v>
      </c>
      <c r="G897" s="2">
        <v>0.11</v>
      </c>
      <c r="H897" s="2">
        <f t="shared" si="39"/>
        <v>5.0242162374208235</v>
      </c>
      <c r="I897" s="2">
        <f t="shared" si="40"/>
        <v>0.38734925488208344</v>
      </c>
      <c r="K897" s="2">
        <f t="shared" si="41"/>
        <v>2.9653225483672552</v>
      </c>
    </row>
    <row r="898" spans="1:11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 t="e">
        <f t="shared" ref="H898:H926" si="42">LOG(SUM(B898:D898)/SUM(E898:G898),2)</f>
        <v>#DIV/0!</v>
      </c>
      <c r="I898" s="2" t="e">
        <f t="shared" ref="I898:I926" si="43">_xlfn.T.TEST(B898:D898,E898:G898,2,2)</f>
        <v>#DIV/0!</v>
      </c>
      <c r="K898" s="2" t="e">
        <f t="shared" si="41"/>
        <v>#NUM!</v>
      </c>
    </row>
    <row r="899" spans="1:11" ht="13.9" x14ac:dyDescent="0.3">
      <c r="A899" s="2" t="s">
        <v>916</v>
      </c>
      <c r="B899" s="2">
        <v>14.17</v>
      </c>
      <c r="C899" s="2">
        <v>0</v>
      </c>
      <c r="D899" s="2">
        <v>0.91</v>
      </c>
      <c r="E899" s="2">
        <v>24.09</v>
      </c>
      <c r="F899" s="2">
        <v>23.93</v>
      </c>
      <c r="G899" s="2">
        <v>16.86</v>
      </c>
      <c r="H899" s="2">
        <f t="shared" si="42"/>
        <v>-2.1051373909486086</v>
      </c>
      <c r="I899" s="2">
        <f t="shared" si="43"/>
        <v>3.2419258654864412E-2</v>
      </c>
      <c r="K899" s="2">
        <f t="shared" ref="K899:K926" si="44">LOG(SUM(B899:D899),2)</f>
        <v>3.9145645234939397</v>
      </c>
    </row>
    <row r="900" spans="1:11" ht="13.9" x14ac:dyDescent="0.3">
      <c r="A900" s="2" t="s">
        <v>917</v>
      </c>
      <c r="B900" s="2">
        <v>0</v>
      </c>
      <c r="C900" s="2">
        <v>0</v>
      </c>
      <c r="D900" s="2">
        <v>0</v>
      </c>
      <c r="E900" s="2">
        <v>0.1</v>
      </c>
      <c r="F900" s="2">
        <v>1.2</v>
      </c>
      <c r="G900" s="2">
        <v>0.74</v>
      </c>
      <c r="H900" s="2" t="e">
        <f t="shared" si="42"/>
        <v>#NUM!</v>
      </c>
      <c r="I900" s="2">
        <f t="shared" si="43"/>
        <v>9.9988250660252603E-2</v>
      </c>
      <c r="K900" s="2" t="e">
        <f t="shared" si="44"/>
        <v>#NUM!</v>
      </c>
    </row>
    <row r="901" spans="1:11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0.4</v>
      </c>
      <c r="G901" s="2">
        <v>0</v>
      </c>
      <c r="H901" s="2" t="e">
        <f t="shared" si="42"/>
        <v>#NUM!</v>
      </c>
      <c r="I901" s="2">
        <f t="shared" si="43"/>
        <v>0.37390096630005903</v>
      </c>
      <c r="K901" s="2" t="e">
        <f t="shared" si="44"/>
        <v>#NUM!</v>
      </c>
    </row>
    <row r="902" spans="1:11" ht="13.9" x14ac:dyDescent="0.3">
      <c r="A902" s="2" t="s">
        <v>919</v>
      </c>
      <c r="B902" s="2">
        <v>6769.61</v>
      </c>
      <c r="C902" s="2">
        <v>7978.28</v>
      </c>
      <c r="D902" s="2">
        <v>4862.2299999999996</v>
      </c>
      <c r="E902" s="2">
        <v>10794.61</v>
      </c>
      <c r="F902" s="2">
        <v>14466.52</v>
      </c>
      <c r="G902" s="2">
        <v>12519.33</v>
      </c>
      <c r="H902" s="2">
        <f t="shared" si="42"/>
        <v>-0.94604190369420449</v>
      </c>
      <c r="I902" s="2">
        <f t="shared" si="43"/>
        <v>1.2253374175708147E-2</v>
      </c>
      <c r="K902" s="2">
        <f t="shared" si="44"/>
        <v>14.259310743375035</v>
      </c>
    </row>
    <row r="903" spans="1:11" ht="13.9" x14ac:dyDescent="0.3">
      <c r="A903" s="2" t="s">
        <v>920</v>
      </c>
      <c r="B903" s="2">
        <v>14.17</v>
      </c>
      <c r="C903" s="2">
        <v>18.3</v>
      </c>
      <c r="D903" s="2">
        <v>18.02</v>
      </c>
      <c r="E903" s="2">
        <v>11.94</v>
      </c>
      <c r="F903" s="2">
        <v>8.9600000000000009</v>
      </c>
      <c r="G903" s="2">
        <v>8.33</v>
      </c>
      <c r="H903" s="2">
        <f t="shared" si="42"/>
        <v>0.78854784824505253</v>
      </c>
      <c r="I903" s="2">
        <f t="shared" si="43"/>
        <v>1.5081045490374374E-2</v>
      </c>
      <c r="K903" s="2">
        <f t="shared" si="44"/>
        <v>5.6579257722763803</v>
      </c>
    </row>
    <row r="904" spans="1:11" ht="13.9" x14ac:dyDescent="0.3">
      <c r="A904" s="2" t="s">
        <v>921</v>
      </c>
      <c r="B904" s="2">
        <v>3.96</v>
      </c>
      <c r="C904" s="2">
        <v>0</v>
      </c>
      <c r="D904" s="2">
        <v>7.28</v>
      </c>
      <c r="E904" s="2">
        <v>1.18</v>
      </c>
      <c r="F904" s="2">
        <v>0.94</v>
      </c>
      <c r="G904" s="2">
        <v>0.63</v>
      </c>
      <c r="H904" s="2">
        <f t="shared" si="42"/>
        <v>2.031138511808904</v>
      </c>
      <c r="I904" s="2">
        <f t="shared" si="43"/>
        <v>0.25098800208308375</v>
      </c>
      <c r="K904" s="2">
        <f t="shared" si="44"/>
        <v>3.4905701304462013</v>
      </c>
    </row>
    <row r="905" spans="1:11" ht="13.9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0.94</v>
      </c>
      <c r="G905" s="2">
        <v>0</v>
      </c>
      <c r="H905" s="2" t="e">
        <f t="shared" si="42"/>
        <v>#NUM!</v>
      </c>
      <c r="I905" s="2">
        <f t="shared" si="43"/>
        <v>0.37390096630005903</v>
      </c>
      <c r="K905" s="2" t="e">
        <f t="shared" si="44"/>
        <v>#NUM!</v>
      </c>
    </row>
    <row r="906" spans="1:11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0.49</v>
      </c>
      <c r="F906" s="2">
        <v>0</v>
      </c>
      <c r="G906" s="2">
        <v>0.32</v>
      </c>
      <c r="H906" s="2" t="e">
        <f t="shared" si="42"/>
        <v>#NUM!</v>
      </c>
      <c r="I906" s="2">
        <f t="shared" si="43"/>
        <v>0.13333375295265293</v>
      </c>
      <c r="K906" s="2" t="e">
        <f t="shared" si="44"/>
        <v>#NUM!</v>
      </c>
    </row>
    <row r="907" spans="1:11" ht="13.9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42"/>
        <v>#DIV/0!</v>
      </c>
      <c r="I907" s="2" t="e">
        <f t="shared" si="43"/>
        <v>#DIV/0!</v>
      </c>
      <c r="K907" s="2" t="e">
        <f t="shared" si="44"/>
        <v>#NUM!</v>
      </c>
    </row>
    <row r="908" spans="1:11" ht="13.9" x14ac:dyDescent="0.3">
      <c r="A908" s="2" t="s">
        <v>925</v>
      </c>
      <c r="B908" s="2">
        <v>140.09</v>
      </c>
      <c r="C908" s="2">
        <v>126.86</v>
      </c>
      <c r="D908" s="2">
        <v>60.26</v>
      </c>
      <c r="E908" s="2">
        <v>61.1</v>
      </c>
      <c r="F908" s="2">
        <v>86.37</v>
      </c>
      <c r="G908" s="2">
        <v>59.96</v>
      </c>
      <c r="H908" s="2">
        <f t="shared" si="42"/>
        <v>0.657592277707155</v>
      </c>
      <c r="I908" s="2">
        <f t="shared" si="43"/>
        <v>0.20168759659041899</v>
      </c>
      <c r="K908" s="2">
        <f t="shared" si="44"/>
        <v>8.3540730295273473</v>
      </c>
    </row>
    <row r="909" spans="1:11" ht="13.9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0.1</v>
      </c>
      <c r="F909" s="2">
        <v>0</v>
      </c>
      <c r="G909" s="2">
        <v>0</v>
      </c>
      <c r="H909" s="2" t="e">
        <f t="shared" si="42"/>
        <v>#NUM!</v>
      </c>
      <c r="I909" s="2">
        <f t="shared" si="43"/>
        <v>0.37390096630005903</v>
      </c>
      <c r="K909" s="2" t="e">
        <f t="shared" si="44"/>
        <v>#NUM!</v>
      </c>
    </row>
    <row r="910" spans="1:11" ht="13.9" x14ac:dyDescent="0.3">
      <c r="A910" s="2" t="s">
        <v>927</v>
      </c>
      <c r="B910" s="2">
        <v>0</v>
      </c>
      <c r="C910" s="2">
        <v>0</v>
      </c>
      <c r="D910" s="2">
        <v>0</v>
      </c>
      <c r="E910" s="2">
        <v>1.58</v>
      </c>
      <c r="F910" s="2">
        <v>1.6</v>
      </c>
      <c r="G910" s="2">
        <v>0</v>
      </c>
      <c r="H910" s="2" t="e">
        <f t="shared" si="42"/>
        <v>#NUM!</v>
      </c>
      <c r="I910" s="2">
        <f t="shared" si="43"/>
        <v>0.11613225634638036</v>
      </c>
      <c r="K910" s="2" t="e">
        <f t="shared" si="44"/>
        <v>#NUM!</v>
      </c>
    </row>
    <row r="911" spans="1:11" ht="13.9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 t="e">
        <f t="shared" si="42"/>
        <v>#DIV/0!</v>
      </c>
      <c r="I911" s="2" t="e">
        <f t="shared" si="43"/>
        <v>#DIV/0!</v>
      </c>
      <c r="K911" s="2" t="e">
        <f t="shared" si="44"/>
        <v>#NUM!</v>
      </c>
    </row>
    <row r="912" spans="1:11" ht="13.9" x14ac:dyDescent="0.3">
      <c r="A912" s="2" t="s">
        <v>929</v>
      </c>
      <c r="B912" s="2">
        <v>106.47</v>
      </c>
      <c r="C912" s="2">
        <v>206.15</v>
      </c>
      <c r="D912" s="2">
        <v>118.16</v>
      </c>
      <c r="E912" s="2">
        <v>194.67</v>
      </c>
      <c r="F912" s="2">
        <v>348.97</v>
      </c>
      <c r="G912" s="2">
        <v>209.3</v>
      </c>
      <c r="H912" s="2">
        <f t="shared" si="42"/>
        <v>-0.80558363369519903</v>
      </c>
      <c r="I912" s="2">
        <f t="shared" si="43"/>
        <v>0.13968187861664966</v>
      </c>
      <c r="K912" s="2">
        <f t="shared" si="44"/>
        <v>8.750807460616425</v>
      </c>
    </row>
    <row r="913" spans="1:11" ht="13.9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0.53</v>
      </c>
      <c r="G913" s="2">
        <v>0</v>
      </c>
      <c r="H913" s="2" t="e">
        <f t="shared" si="42"/>
        <v>#NUM!</v>
      </c>
      <c r="I913" s="2">
        <f t="shared" si="43"/>
        <v>0.37390096630005903</v>
      </c>
      <c r="K913" s="2" t="e">
        <f t="shared" si="44"/>
        <v>#NUM!</v>
      </c>
    </row>
    <row r="914" spans="1:11" ht="13.9" x14ac:dyDescent="0.3">
      <c r="A914" s="2" t="s">
        <v>931</v>
      </c>
      <c r="B914" s="2">
        <v>0</v>
      </c>
      <c r="C914" s="2">
        <v>13.17</v>
      </c>
      <c r="D914" s="2">
        <v>0.18</v>
      </c>
      <c r="E914" s="2">
        <v>12.34</v>
      </c>
      <c r="F914" s="2">
        <v>12.03</v>
      </c>
      <c r="G914" s="2">
        <v>13.49</v>
      </c>
      <c r="H914" s="2">
        <f t="shared" si="42"/>
        <v>-1.5038346691287892</v>
      </c>
      <c r="I914" s="2">
        <f t="shared" si="43"/>
        <v>0.13575840139583684</v>
      </c>
      <c r="K914" s="2">
        <f t="shared" si="44"/>
        <v>3.7387678368001915</v>
      </c>
    </row>
    <row r="915" spans="1:11" ht="13.9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0.27</v>
      </c>
      <c r="G915" s="2">
        <v>0.21</v>
      </c>
      <c r="H915" s="2" t="e">
        <f t="shared" si="42"/>
        <v>#NUM!</v>
      </c>
      <c r="I915" s="2">
        <f t="shared" si="43"/>
        <v>0.12229424536952219</v>
      </c>
      <c r="K915" s="2" t="e">
        <f t="shared" si="44"/>
        <v>#NUM!</v>
      </c>
    </row>
    <row r="916" spans="1:11" ht="13.9" x14ac:dyDescent="0.3">
      <c r="A916" s="2" t="s">
        <v>933</v>
      </c>
      <c r="B916" s="2">
        <v>0.66</v>
      </c>
      <c r="C916" s="2">
        <v>9.27</v>
      </c>
      <c r="D916" s="2">
        <v>16.57</v>
      </c>
      <c r="E916" s="2">
        <v>27.34</v>
      </c>
      <c r="F916" s="2">
        <v>21.39</v>
      </c>
      <c r="G916" s="2">
        <v>21.08</v>
      </c>
      <c r="H916" s="2">
        <f t="shared" si="42"/>
        <v>-1.3974413517885809</v>
      </c>
      <c r="I916" s="2">
        <f t="shared" si="43"/>
        <v>4.5437494404294433E-2</v>
      </c>
      <c r="K916" s="2">
        <f t="shared" si="44"/>
        <v>4.7279204545631996</v>
      </c>
    </row>
    <row r="917" spans="1:11" ht="13.9" x14ac:dyDescent="0.3">
      <c r="A917" s="2" t="s">
        <v>934</v>
      </c>
      <c r="B917" s="2">
        <v>45.82</v>
      </c>
      <c r="C917" s="2">
        <v>41.72</v>
      </c>
      <c r="D917" s="2">
        <v>12.56</v>
      </c>
      <c r="E917" s="2">
        <v>39.58</v>
      </c>
      <c r="F917" s="2">
        <v>37.57</v>
      </c>
      <c r="G917" s="2">
        <v>49.53</v>
      </c>
      <c r="H917" s="2">
        <f t="shared" si="42"/>
        <v>-0.33974679830483429</v>
      </c>
      <c r="I917" s="2">
        <f t="shared" si="43"/>
        <v>0.469613895681462</v>
      </c>
      <c r="K917" s="2">
        <f t="shared" si="44"/>
        <v>6.645298163948631</v>
      </c>
    </row>
    <row r="918" spans="1:11" ht="13.9" x14ac:dyDescent="0.3">
      <c r="A918" s="2" t="s">
        <v>935</v>
      </c>
      <c r="B918" s="2">
        <v>0</v>
      </c>
      <c r="C918" s="2">
        <v>13.66</v>
      </c>
      <c r="D918" s="2">
        <v>10.74</v>
      </c>
      <c r="E918" s="2">
        <v>2.37</v>
      </c>
      <c r="F918" s="2">
        <v>3.61</v>
      </c>
      <c r="G918" s="2">
        <v>2.85</v>
      </c>
      <c r="H918" s="2">
        <f t="shared" si="42"/>
        <v>1.4663958048017824</v>
      </c>
      <c r="I918" s="2">
        <f t="shared" si="43"/>
        <v>0.28109782696036167</v>
      </c>
      <c r="K918" s="2">
        <f t="shared" si="44"/>
        <v>4.6088092426755241</v>
      </c>
    </row>
    <row r="919" spans="1:11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0.3</v>
      </c>
      <c r="F919" s="2">
        <v>0.94</v>
      </c>
      <c r="G919" s="2">
        <v>0</v>
      </c>
      <c r="H919" s="2" t="e">
        <f t="shared" si="42"/>
        <v>#NUM!</v>
      </c>
      <c r="I919" s="2">
        <f t="shared" si="43"/>
        <v>0.21020970572113021</v>
      </c>
      <c r="K919" s="2" t="e">
        <f t="shared" si="44"/>
        <v>#NUM!</v>
      </c>
    </row>
    <row r="920" spans="1:11" s="7" customFormat="1" ht="13.9" x14ac:dyDescent="0.3">
      <c r="A920" s="6" t="s">
        <v>937</v>
      </c>
      <c r="B920" s="6">
        <v>638.13</v>
      </c>
      <c r="C920" s="6">
        <v>557.94000000000005</v>
      </c>
      <c r="D920" s="6">
        <v>643.04999999999995</v>
      </c>
      <c r="E920" s="6">
        <v>421.81</v>
      </c>
      <c r="F920" s="6">
        <v>371.57</v>
      </c>
      <c r="G920" s="6">
        <v>419.75</v>
      </c>
      <c r="H920" s="6">
        <f t="shared" si="42"/>
        <v>0.60028145752903717</v>
      </c>
      <c r="I920" s="6">
        <f t="shared" si="43"/>
        <v>2.8894919469125251E-3</v>
      </c>
      <c r="K920" s="2">
        <f t="shared" si="44"/>
        <v>10.844799901310664</v>
      </c>
    </row>
    <row r="921" spans="1:11" ht="13.9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0.8</v>
      </c>
      <c r="G921" s="2">
        <v>0</v>
      </c>
      <c r="H921" s="2" t="e">
        <f t="shared" si="42"/>
        <v>#NUM!</v>
      </c>
      <c r="I921" s="2">
        <f t="shared" si="43"/>
        <v>0.37390096630005903</v>
      </c>
      <c r="K921" s="2" t="e">
        <f t="shared" si="44"/>
        <v>#NUM!</v>
      </c>
    </row>
    <row r="922" spans="1:11" ht="13.9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0.39</v>
      </c>
      <c r="F922" s="2">
        <v>0</v>
      </c>
      <c r="G922" s="2">
        <v>0</v>
      </c>
      <c r="H922" s="2" t="e">
        <f t="shared" si="42"/>
        <v>#NUM!</v>
      </c>
      <c r="I922" s="2">
        <f t="shared" si="43"/>
        <v>0.37390096630005903</v>
      </c>
      <c r="K922" s="2" t="e">
        <f t="shared" si="44"/>
        <v>#NUM!</v>
      </c>
    </row>
    <row r="923" spans="1:11" ht="13.9" x14ac:dyDescent="0.3">
      <c r="A923" s="2" t="s">
        <v>940</v>
      </c>
      <c r="B923" s="2">
        <v>0</v>
      </c>
      <c r="C923" s="2">
        <v>0.24</v>
      </c>
      <c r="D923" s="2">
        <v>0</v>
      </c>
      <c r="E923" s="2">
        <v>3.65</v>
      </c>
      <c r="F923" s="2">
        <v>4.68</v>
      </c>
      <c r="G923" s="2">
        <v>2</v>
      </c>
      <c r="H923" s="2">
        <f t="shared" si="42"/>
        <v>-5.4276620381439038</v>
      </c>
      <c r="I923" s="2">
        <f t="shared" si="43"/>
        <v>1.278018246331615E-2</v>
      </c>
      <c r="K923" s="2">
        <f t="shared" si="44"/>
        <v>-2.0588936890535687</v>
      </c>
    </row>
    <row r="924" spans="1:11" ht="13.9" x14ac:dyDescent="0.3">
      <c r="A924" s="2" t="s">
        <v>941</v>
      </c>
      <c r="B924" s="2">
        <v>9.89</v>
      </c>
      <c r="C924" s="2">
        <v>48.3</v>
      </c>
      <c r="D924" s="2">
        <v>16.39</v>
      </c>
      <c r="E924" s="2">
        <v>24.68</v>
      </c>
      <c r="F924" s="2">
        <v>25.94</v>
      </c>
      <c r="G924" s="2">
        <v>15.91</v>
      </c>
      <c r="H924" s="2">
        <f t="shared" si="42"/>
        <v>0.16478376339150472</v>
      </c>
      <c r="I924" s="2">
        <f t="shared" si="43"/>
        <v>0.83774199332111476</v>
      </c>
      <c r="K924" s="2">
        <f t="shared" si="44"/>
        <v>6.2207168919989169</v>
      </c>
    </row>
    <row r="925" spans="1:11" ht="13.9" x14ac:dyDescent="0.3">
      <c r="A925" s="2" t="s">
        <v>942</v>
      </c>
      <c r="B925" s="2">
        <v>7.91</v>
      </c>
      <c r="C925" s="2">
        <v>3.66</v>
      </c>
      <c r="D925" s="2">
        <v>0</v>
      </c>
      <c r="E925" s="2">
        <v>4.6399999999999997</v>
      </c>
      <c r="F925" s="2">
        <v>2.81</v>
      </c>
      <c r="G925" s="2">
        <v>2.95</v>
      </c>
      <c r="H925" s="2">
        <f t="shared" si="42"/>
        <v>0.15380533607903576</v>
      </c>
      <c r="I925" s="2">
        <f t="shared" si="43"/>
        <v>0.87675823243424733</v>
      </c>
      <c r="K925" s="2">
        <f t="shared" si="44"/>
        <v>3.532316959332765</v>
      </c>
    </row>
    <row r="926" spans="1:11" ht="13.9" x14ac:dyDescent="0.3">
      <c r="A926" s="2" t="s">
        <v>943</v>
      </c>
      <c r="B926" s="2">
        <v>46.15</v>
      </c>
      <c r="C926" s="2">
        <v>110.03</v>
      </c>
      <c r="D926" s="2">
        <v>17.3</v>
      </c>
      <c r="E926" s="2">
        <v>85.49</v>
      </c>
      <c r="F926" s="2">
        <v>129.83000000000001</v>
      </c>
      <c r="G926" s="2">
        <v>84.2</v>
      </c>
      <c r="H926" s="2">
        <f t="shared" si="42"/>
        <v>-0.78788299172030118</v>
      </c>
      <c r="I926" s="2">
        <f t="shared" si="43"/>
        <v>0.24980503626526646</v>
      </c>
      <c r="K926" s="2">
        <f t="shared" si="44"/>
        <v>7.4386255380883792</v>
      </c>
    </row>
  </sheetData>
  <phoneticPr fontId="1" type="noConversion"/>
  <conditionalFormatting sqref="I1:I1048576">
    <cfRule type="cellIs" dxfId="1" priority="1" operator="lessThan">
      <formula>0.05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5FF-C9E9-4846-87DE-CB8A1E1AEB0F}">
  <dimension ref="A1:K926"/>
  <sheetViews>
    <sheetView workbookViewId="0">
      <selection activeCell="K1" sqref="K1:K1048576"/>
    </sheetView>
  </sheetViews>
  <sheetFormatPr defaultRowHeight="13.5" x14ac:dyDescent="0.3"/>
  <cols>
    <col min="1" max="1" width="18.3984375" bestFit="1" customWidth="1"/>
    <col min="8" max="8" width="16.1328125" style="1" bestFit="1" customWidth="1"/>
    <col min="9" max="9" width="10.46484375" style="1" customWidth="1"/>
    <col min="11" max="11" width="16.1328125" style="1" bestFit="1" customWidth="1"/>
  </cols>
  <sheetData>
    <row r="1" spans="1:11" ht="13.9" x14ac:dyDescent="0.3">
      <c r="A1" s="2" t="s">
        <v>0</v>
      </c>
      <c r="B1" s="2" t="s">
        <v>16</v>
      </c>
      <c r="C1" s="2" t="s">
        <v>17</v>
      </c>
      <c r="D1" s="2" t="s">
        <v>18</v>
      </c>
      <c r="E1" s="2" t="s">
        <v>7</v>
      </c>
      <c r="F1" s="2" t="s">
        <v>8</v>
      </c>
      <c r="G1" s="2" t="s">
        <v>9</v>
      </c>
      <c r="H1" s="3" t="s">
        <v>944</v>
      </c>
      <c r="I1" s="3" t="s">
        <v>945</v>
      </c>
      <c r="K1" s="3" t="s">
        <v>957</v>
      </c>
    </row>
    <row r="2" spans="1:11" ht="13.9" x14ac:dyDescent="0.3">
      <c r="A2" s="2" t="s">
        <v>19</v>
      </c>
      <c r="B2" s="2">
        <v>0</v>
      </c>
      <c r="C2" s="2">
        <v>0</v>
      </c>
      <c r="D2" s="2">
        <v>0</v>
      </c>
      <c r="E2" s="2">
        <v>1.65</v>
      </c>
      <c r="F2" s="2">
        <v>0</v>
      </c>
      <c r="G2" s="2">
        <v>0</v>
      </c>
      <c r="H2" s="2" t="e">
        <f t="shared" ref="H2:H65" si="0">LOG(SUM(B2:D2)/SUM(E2:G2),2)</f>
        <v>#NUM!</v>
      </c>
      <c r="I2" s="2">
        <f t="shared" ref="I2:I65" si="1">_xlfn.T.TEST(B2:D2,E2:G2,2,2)</f>
        <v>0.37390096630005903</v>
      </c>
      <c r="K2" s="2" t="e">
        <f>LOG(SUM(B2:D2),2)</f>
        <v>#NUM!</v>
      </c>
    </row>
    <row r="3" spans="1:11" ht="13.9" x14ac:dyDescent="0.3">
      <c r="A3" s="2" t="s">
        <v>20</v>
      </c>
      <c r="B3" s="2">
        <v>70416.53</v>
      </c>
      <c r="C3" s="2">
        <v>64101.94</v>
      </c>
      <c r="D3" s="2">
        <v>66334.789999999994</v>
      </c>
      <c r="E3" s="2">
        <v>19342.72</v>
      </c>
      <c r="F3" s="2">
        <v>48193.26</v>
      </c>
      <c r="G3" s="2">
        <v>30781.48</v>
      </c>
      <c r="H3" s="2">
        <f>LOG(SUM(B3:D3)/SUM(E3:G3),2)</f>
        <v>1.0306223278611133</v>
      </c>
      <c r="I3" s="2">
        <f t="shared" si="1"/>
        <v>1.6410341128668543E-2</v>
      </c>
      <c r="K3" s="2">
        <f t="shared" ref="K3:K66" si="2">LOG(SUM(B3:D3),2)</f>
        <v>17.615782352039584</v>
      </c>
    </row>
    <row r="4" spans="1:11" ht="13.9" x14ac:dyDescent="0.3">
      <c r="A4" s="2" t="s">
        <v>21</v>
      </c>
      <c r="B4" s="2">
        <v>51597.440000000002</v>
      </c>
      <c r="C4" s="2">
        <v>26402.89</v>
      </c>
      <c r="D4" s="2">
        <v>40348.06</v>
      </c>
      <c r="E4" s="2">
        <v>6445.41</v>
      </c>
      <c r="F4" s="2">
        <v>28245.59</v>
      </c>
      <c r="G4" s="2">
        <v>6436.74</v>
      </c>
      <c r="H4" s="2">
        <f t="shared" si="0"/>
        <v>1.5248563779627702</v>
      </c>
      <c r="I4" s="2">
        <f t="shared" si="1"/>
        <v>6.6695794946872833E-2</v>
      </c>
      <c r="K4" s="2">
        <f t="shared" si="2"/>
        <v>16.852680554359658</v>
      </c>
    </row>
    <row r="5" spans="1:11" ht="13.9" x14ac:dyDescent="0.3">
      <c r="A5" s="2" t="s">
        <v>22</v>
      </c>
      <c r="B5" s="2">
        <v>1672.76</v>
      </c>
      <c r="C5" s="2">
        <v>1245.8499999999999</v>
      </c>
      <c r="D5" s="2">
        <v>1140.72</v>
      </c>
      <c r="E5" s="2">
        <v>197.24</v>
      </c>
      <c r="F5" s="2">
        <v>1267.17</v>
      </c>
      <c r="G5" s="2">
        <v>294.52</v>
      </c>
      <c r="H5" s="2">
        <f t="shared" si="0"/>
        <v>1.2065435584173236</v>
      </c>
      <c r="I5" s="2">
        <f t="shared" si="1"/>
        <v>0.11263341305223615</v>
      </c>
      <c r="K5" s="2">
        <f t="shared" si="2"/>
        <v>11.98702591220972</v>
      </c>
    </row>
    <row r="6" spans="1:11" ht="13.9" x14ac:dyDescent="0.3">
      <c r="A6" s="2" t="s">
        <v>23</v>
      </c>
      <c r="B6" s="2">
        <v>0</v>
      </c>
      <c r="C6" s="2">
        <v>0</v>
      </c>
      <c r="D6" s="2">
        <v>35.69</v>
      </c>
      <c r="E6" s="2">
        <v>6.79</v>
      </c>
      <c r="F6" s="2">
        <v>0</v>
      </c>
      <c r="G6" s="2">
        <v>11.1</v>
      </c>
      <c r="H6" s="2">
        <f t="shared" si="0"/>
        <v>0.9963665139971144</v>
      </c>
      <c r="I6" s="2">
        <f t="shared" si="1"/>
        <v>0.655444488412398</v>
      </c>
      <c r="K6" s="2">
        <f t="shared" si="2"/>
        <v>5.1574479962742981</v>
      </c>
    </row>
    <row r="7" spans="1:11" ht="13.9" x14ac:dyDescent="0.3">
      <c r="A7" s="2" t="s">
        <v>24</v>
      </c>
      <c r="B7" s="2">
        <v>153.6</v>
      </c>
      <c r="C7" s="2">
        <v>136.03</v>
      </c>
      <c r="D7" s="2">
        <v>126.19</v>
      </c>
      <c r="E7" s="2">
        <v>46.51</v>
      </c>
      <c r="F7" s="2">
        <v>40.880000000000003</v>
      </c>
      <c r="G7" s="2">
        <v>57.79</v>
      </c>
      <c r="H7" s="2">
        <f t="shared" si="0"/>
        <v>1.5181164289068962</v>
      </c>
      <c r="I7" s="2">
        <f t="shared" si="1"/>
        <v>6.6786070443664838E-4</v>
      </c>
      <c r="K7" s="2">
        <f t="shared" si="2"/>
        <v>8.6998153400030009</v>
      </c>
    </row>
    <row r="8" spans="1:11" ht="13.9" x14ac:dyDescent="0.3">
      <c r="A8" s="2" t="s">
        <v>25</v>
      </c>
      <c r="B8" s="2">
        <v>1070.74</v>
      </c>
      <c r="C8" s="2">
        <v>1099.77</v>
      </c>
      <c r="D8" s="2">
        <v>1258.3599999999999</v>
      </c>
      <c r="E8" s="2">
        <v>153.19999999999999</v>
      </c>
      <c r="F8" s="2">
        <v>1308.04</v>
      </c>
      <c r="G8" s="2">
        <v>260.14</v>
      </c>
      <c r="H8" s="2">
        <f t="shared" si="0"/>
        <v>0.99416759592401305</v>
      </c>
      <c r="I8" s="2">
        <f t="shared" si="1"/>
        <v>0.20173545219125949</v>
      </c>
      <c r="K8" s="2">
        <f t="shared" si="2"/>
        <v>11.743517492548758</v>
      </c>
    </row>
    <row r="9" spans="1:11" ht="13.9" x14ac:dyDescent="0.3">
      <c r="A9" s="2" t="s">
        <v>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e">
        <f t="shared" si="0"/>
        <v>#DIV/0!</v>
      </c>
      <c r="I9" s="2" t="e">
        <f t="shared" si="1"/>
        <v>#DIV/0!</v>
      </c>
      <c r="K9" s="2" t="e">
        <f t="shared" si="2"/>
        <v>#NUM!</v>
      </c>
    </row>
    <row r="10" spans="1:11" ht="13.9" x14ac:dyDescent="0.3">
      <c r="A10" s="2" t="s">
        <v>27</v>
      </c>
      <c r="B10" s="2">
        <v>0</v>
      </c>
      <c r="C10" s="2">
        <v>0</v>
      </c>
      <c r="D10" s="2">
        <v>0</v>
      </c>
      <c r="E10" s="2">
        <v>0.72</v>
      </c>
      <c r="F10" s="2">
        <v>0</v>
      </c>
      <c r="G10" s="2">
        <v>0</v>
      </c>
      <c r="H10" s="2" t="e">
        <f t="shared" si="0"/>
        <v>#NUM!</v>
      </c>
      <c r="I10" s="2">
        <f t="shared" si="1"/>
        <v>0.37390096630005903</v>
      </c>
      <c r="K10" s="2" t="e">
        <f t="shared" si="2"/>
        <v>#NUM!</v>
      </c>
    </row>
    <row r="11" spans="1:11" ht="13.9" x14ac:dyDescent="0.3">
      <c r="A11" s="2" t="s">
        <v>28</v>
      </c>
      <c r="B11" s="2">
        <v>204730.86</v>
      </c>
      <c r="C11" s="2">
        <v>158538.32999999999</v>
      </c>
      <c r="D11" s="2">
        <v>144428.71</v>
      </c>
      <c r="E11" s="2">
        <v>64760.74</v>
      </c>
      <c r="F11" s="2">
        <v>92748.53</v>
      </c>
      <c r="G11" s="2">
        <v>71931.679999999993</v>
      </c>
      <c r="H11" s="2">
        <f t="shared" si="0"/>
        <v>1.1458473899922588</v>
      </c>
      <c r="I11" s="2">
        <f t="shared" si="1"/>
        <v>9.8391803967005781E-3</v>
      </c>
      <c r="K11" s="2">
        <f t="shared" si="2"/>
        <v>18.953610767071115</v>
      </c>
    </row>
    <row r="12" spans="1:11" ht="13.9" x14ac:dyDescent="0.3">
      <c r="A12" s="2" t="s">
        <v>29</v>
      </c>
      <c r="B12" s="2">
        <v>0</v>
      </c>
      <c r="C12" s="2">
        <v>0</v>
      </c>
      <c r="D12" s="2">
        <v>0</v>
      </c>
      <c r="E12" s="2">
        <v>0.41</v>
      </c>
      <c r="F12" s="2">
        <v>0</v>
      </c>
      <c r="G12" s="2">
        <v>0</v>
      </c>
      <c r="H12" s="2" t="e">
        <f t="shared" si="0"/>
        <v>#NUM!</v>
      </c>
      <c r="I12" s="2">
        <f t="shared" si="1"/>
        <v>0.37390096630005903</v>
      </c>
      <c r="K12" s="2" t="e">
        <f t="shared" si="2"/>
        <v>#NUM!</v>
      </c>
    </row>
    <row r="13" spans="1:11" ht="13.9" x14ac:dyDescent="0.3">
      <c r="A13" s="2" t="s">
        <v>30</v>
      </c>
      <c r="B13" s="2">
        <v>7655.4</v>
      </c>
      <c r="C13" s="2">
        <v>9935.2000000000007</v>
      </c>
      <c r="D13" s="2">
        <v>9073.99</v>
      </c>
      <c r="E13" s="2">
        <v>4367.97</v>
      </c>
      <c r="F13" s="2">
        <v>15778.29</v>
      </c>
      <c r="G13" s="2">
        <v>6822.07</v>
      </c>
      <c r="H13" s="2">
        <f t="shared" si="0"/>
        <v>-1.6341041161550041E-2</v>
      </c>
      <c r="I13" s="2">
        <f t="shared" si="1"/>
        <v>0.97849653519337965</v>
      </c>
      <c r="K13" s="2">
        <f t="shared" si="2"/>
        <v>14.702637524577133</v>
      </c>
    </row>
    <row r="14" spans="1:11" ht="13.9" x14ac:dyDescent="0.3">
      <c r="A14" s="2" t="s">
        <v>31</v>
      </c>
      <c r="B14" s="2">
        <v>0</v>
      </c>
      <c r="C14" s="2">
        <v>0</v>
      </c>
      <c r="D14" s="2">
        <v>0</v>
      </c>
      <c r="E14" s="2">
        <v>0.21</v>
      </c>
      <c r="F14" s="2">
        <v>0</v>
      </c>
      <c r="G14" s="2">
        <v>0</v>
      </c>
      <c r="H14" s="2" t="e">
        <f t="shared" si="0"/>
        <v>#NUM!</v>
      </c>
      <c r="I14" s="2">
        <f t="shared" si="1"/>
        <v>0.37390096630005903</v>
      </c>
      <c r="K14" s="2" t="e">
        <f t="shared" si="2"/>
        <v>#NUM!</v>
      </c>
    </row>
    <row r="15" spans="1:11" ht="13.9" x14ac:dyDescent="0.3">
      <c r="A15" s="2" t="s">
        <v>32</v>
      </c>
      <c r="B15" s="2">
        <v>16269.8</v>
      </c>
      <c r="C15" s="2">
        <v>15437.2</v>
      </c>
      <c r="D15" s="2">
        <v>13431.25</v>
      </c>
      <c r="E15" s="2">
        <v>24727.34</v>
      </c>
      <c r="F15" s="2">
        <v>28000.33</v>
      </c>
      <c r="G15" s="2">
        <v>23100.35</v>
      </c>
      <c r="H15" s="2">
        <f t="shared" si="0"/>
        <v>-0.74838056551515897</v>
      </c>
      <c r="I15" s="2">
        <f t="shared" si="1"/>
        <v>3.5905252131801422E-3</v>
      </c>
      <c r="K15" s="2">
        <f t="shared" si="2"/>
        <v>15.462062866194788</v>
      </c>
    </row>
    <row r="16" spans="1:11" ht="13.9" x14ac:dyDescent="0.3">
      <c r="A16" s="2" t="s">
        <v>33</v>
      </c>
      <c r="B16" s="2">
        <v>3.59</v>
      </c>
      <c r="C16" s="2">
        <v>13.39</v>
      </c>
      <c r="D16" s="2">
        <v>3.02</v>
      </c>
      <c r="E16" s="2">
        <v>13.68</v>
      </c>
      <c r="F16" s="2">
        <v>0</v>
      </c>
      <c r="G16" s="2">
        <v>22.87</v>
      </c>
      <c r="H16" s="2">
        <f t="shared" si="0"/>
        <v>-0.86987140617771264</v>
      </c>
      <c r="I16" s="2">
        <f t="shared" si="1"/>
        <v>0.50000905667992346</v>
      </c>
      <c r="K16" s="2">
        <f t="shared" si="2"/>
        <v>4.3219280948873626</v>
      </c>
    </row>
    <row r="17" spans="1:11" ht="13.9" x14ac:dyDescent="0.3">
      <c r="A17" s="2" t="s">
        <v>34</v>
      </c>
      <c r="B17" s="2">
        <v>20037.14</v>
      </c>
      <c r="C17" s="2">
        <v>29137.57</v>
      </c>
      <c r="D17" s="2">
        <v>30471.19</v>
      </c>
      <c r="E17" s="2">
        <v>19933.310000000001</v>
      </c>
      <c r="F17" s="2">
        <v>11363.64</v>
      </c>
      <c r="G17" s="2">
        <v>14278.52</v>
      </c>
      <c r="H17" s="2">
        <f t="shared" si="0"/>
        <v>0.80534256258999137</v>
      </c>
      <c r="I17" s="2">
        <f t="shared" si="1"/>
        <v>5.1466965013160358E-2</v>
      </c>
      <c r="K17" s="2">
        <f t="shared" si="2"/>
        <v>16.281312476367052</v>
      </c>
    </row>
    <row r="18" spans="1:11" ht="13.9" x14ac:dyDescent="0.3">
      <c r="A18" s="2" t="s">
        <v>35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e">
        <f t="shared" si="0"/>
        <v>#DIV/0!</v>
      </c>
      <c r="I18" s="2" t="e">
        <f t="shared" si="1"/>
        <v>#DIV/0!</v>
      </c>
      <c r="K18" s="2" t="e">
        <f t="shared" si="2"/>
        <v>#NUM!</v>
      </c>
    </row>
    <row r="19" spans="1:11" ht="13.9" x14ac:dyDescent="0.3">
      <c r="A19" s="2" t="s">
        <v>36</v>
      </c>
      <c r="B19" s="2">
        <v>0</v>
      </c>
      <c r="C19" s="2">
        <v>2.2999999999999998</v>
      </c>
      <c r="D19" s="2">
        <v>0</v>
      </c>
      <c r="E19" s="2">
        <v>0.41</v>
      </c>
      <c r="F19" s="2">
        <v>0</v>
      </c>
      <c r="G19" s="2">
        <v>0.27</v>
      </c>
      <c r="H19" s="2">
        <f t="shared" si="0"/>
        <v>1.7580272096940357</v>
      </c>
      <c r="I19" s="2">
        <f t="shared" si="1"/>
        <v>0.52484656742480496</v>
      </c>
      <c r="K19" s="2">
        <f t="shared" si="2"/>
        <v>1.2016338611696504</v>
      </c>
    </row>
    <row r="20" spans="1:11" ht="13.9" x14ac:dyDescent="0.3">
      <c r="A20" s="2" t="s">
        <v>37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 t="e">
        <f t="shared" si="0"/>
        <v>#DIV/0!</v>
      </c>
      <c r="I20" s="2" t="e">
        <f t="shared" si="1"/>
        <v>#DIV/0!</v>
      </c>
      <c r="K20" s="2" t="e">
        <f t="shared" si="2"/>
        <v>#NUM!</v>
      </c>
    </row>
    <row r="21" spans="1:11" ht="13.9" x14ac:dyDescent="0.3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e">
        <f t="shared" si="0"/>
        <v>#DIV/0!</v>
      </c>
      <c r="I21" s="2" t="e">
        <f t="shared" si="1"/>
        <v>#DIV/0!</v>
      </c>
      <c r="K21" s="2" t="e">
        <f t="shared" si="2"/>
        <v>#NUM!</v>
      </c>
    </row>
    <row r="22" spans="1:11" ht="13.9" x14ac:dyDescent="0.3">
      <c r="A22" s="2" t="s">
        <v>39</v>
      </c>
      <c r="B22" s="2">
        <v>0</v>
      </c>
      <c r="C22" s="2">
        <v>0</v>
      </c>
      <c r="D22" s="2">
        <v>0</v>
      </c>
      <c r="E22" s="2">
        <v>1.03</v>
      </c>
      <c r="F22" s="2">
        <v>0</v>
      </c>
      <c r="G22" s="2">
        <v>0</v>
      </c>
      <c r="H22" s="2" t="e">
        <f t="shared" si="0"/>
        <v>#NUM!</v>
      </c>
      <c r="I22" s="2">
        <f t="shared" si="1"/>
        <v>0.37390096630005903</v>
      </c>
      <c r="K22" s="2" t="e">
        <f t="shared" si="2"/>
        <v>#NUM!</v>
      </c>
    </row>
    <row r="23" spans="1:11" ht="13.9" x14ac:dyDescent="0.3">
      <c r="A23" s="2" t="s">
        <v>40</v>
      </c>
      <c r="B23" s="2">
        <v>0</v>
      </c>
      <c r="C23" s="2">
        <v>10.050000000000001</v>
      </c>
      <c r="D23" s="2">
        <v>14.08</v>
      </c>
      <c r="E23" s="2">
        <v>4.63</v>
      </c>
      <c r="F23" s="2">
        <v>0</v>
      </c>
      <c r="G23" s="2">
        <v>2.0299999999999998</v>
      </c>
      <c r="H23" s="2">
        <f t="shared" si="0"/>
        <v>1.8572338331444893</v>
      </c>
      <c r="I23" s="2">
        <f t="shared" si="1"/>
        <v>0.25586408185714049</v>
      </c>
      <c r="K23" s="2">
        <f t="shared" si="2"/>
        <v>4.5927560104410272</v>
      </c>
    </row>
    <row r="24" spans="1:11" ht="13.9" x14ac:dyDescent="0.3">
      <c r="A24" s="2" t="s">
        <v>41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e">
        <f t="shared" si="0"/>
        <v>#DIV/0!</v>
      </c>
      <c r="I24" s="2" t="e">
        <f t="shared" si="1"/>
        <v>#DIV/0!</v>
      </c>
      <c r="K24" s="2" t="e">
        <f t="shared" si="2"/>
        <v>#NUM!</v>
      </c>
    </row>
    <row r="25" spans="1:11" ht="13.9" x14ac:dyDescent="0.3">
      <c r="A25" s="2" t="s">
        <v>42</v>
      </c>
      <c r="B25" s="2">
        <v>9.34</v>
      </c>
      <c r="C25" s="2">
        <v>83.5</v>
      </c>
      <c r="D25" s="2">
        <v>41.22</v>
      </c>
      <c r="E25" s="2">
        <v>52.06</v>
      </c>
      <c r="F25" s="2">
        <v>40.880000000000003</v>
      </c>
      <c r="G25" s="2">
        <v>103.41</v>
      </c>
      <c r="H25" s="2">
        <f t="shared" si="0"/>
        <v>-0.55054875904700329</v>
      </c>
      <c r="I25" s="2">
        <f t="shared" si="1"/>
        <v>0.51143333985535244</v>
      </c>
      <c r="K25" s="2">
        <f t="shared" si="2"/>
        <v>7.0667350287320314</v>
      </c>
    </row>
    <row r="26" spans="1:11" ht="13.9" x14ac:dyDescent="0.3">
      <c r="A26" s="2" t="s">
        <v>43</v>
      </c>
      <c r="B26" s="2">
        <v>0</v>
      </c>
      <c r="C26" s="2">
        <v>0</v>
      </c>
      <c r="D26" s="2">
        <v>0</v>
      </c>
      <c r="E26" s="2">
        <v>1.44</v>
      </c>
      <c r="F26" s="2">
        <v>0</v>
      </c>
      <c r="G26" s="2">
        <v>3.11</v>
      </c>
      <c r="H26" s="2" t="e">
        <f t="shared" si="0"/>
        <v>#NUM!</v>
      </c>
      <c r="I26" s="2">
        <f t="shared" si="1"/>
        <v>0.16671952306276194</v>
      </c>
      <c r="K26" s="2" t="e">
        <f t="shared" si="2"/>
        <v>#NUM!</v>
      </c>
    </row>
    <row r="27" spans="1:11" ht="13.9" x14ac:dyDescent="0.3">
      <c r="A27" s="2" t="s">
        <v>44</v>
      </c>
      <c r="B27" s="2">
        <v>0.18</v>
      </c>
      <c r="C27" s="2">
        <v>10.050000000000001</v>
      </c>
      <c r="D27" s="2">
        <v>21.62</v>
      </c>
      <c r="E27" s="2">
        <v>8.0299999999999994</v>
      </c>
      <c r="F27" s="2">
        <v>0</v>
      </c>
      <c r="G27" s="2">
        <v>15.56</v>
      </c>
      <c r="H27" s="2">
        <f t="shared" si="0"/>
        <v>0.43311795390420033</v>
      </c>
      <c r="I27" s="2">
        <f t="shared" si="1"/>
        <v>0.73721067932423434</v>
      </c>
      <c r="K27" s="2">
        <f t="shared" si="2"/>
        <v>4.9932214673689383</v>
      </c>
    </row>
    <row r="28" spans="1:11" ht="13.9" x14ac:dyDescent="0.3">
      <c r="A28" s="2" t="s">
        <v>45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e">
        <f t="shared" si="0"/>
        <v>#DIV/0!</v>
      </c>
      <c r="I28" s="2" t="e">
        <f t="shared" si="1"/>
        <v>#DIV/0!</v>
      </c>
      <c r="K28" s="2" t="e">
        <f t="shared" si="2"/>
        <v>#NUM!</v>
      </c>
    </row>
    <row r="29" spans="1:11" ht="13.9" x14ac:dyDescent="0.3">
      <c r="A29" s="2" t="s">
        <v>46</v>
      </c>
      <c r="B29" s="2">
        <v>0</v>
      </c>
      <c r="C29" s="2">
        <v>0.42</v>
      </c>
      <c r="D29" s="2">
        <v>0</v>
      </c>
      <c r="E29" s="2">
        <v>0</v>
      </c>
      <c r="F29" s="2">
        <v>0</v>
      </c>
      <c r="G29" s="2">
        <v>0</v>
      </c>
      <c r="H29" s="2" t="e">
        <f t="shared" si="0"/>
        <v>#DIV/0!</v>
      </c>
      <c r="I29" s="2">
        <f t="shared" si="1"/>
        <v>0.37390096630005903</v>
      </c>
      <c r="K29" s="2">
        <f t="shared" si="2"/>
        <v>-1.2515387669959643</v>
      </c>
    </row>
    <row r="30" spans="1:11" ht="13.9" x14ac:dyDescent="0.3">
      <c r="A30" s="2" t="s">
        <v>47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0.14000000000000001</v>
      </c>
      <c r="H30" s="2" t="e">
        <f t="shared" si="0"/>
        <v>#NUM!</v>
      </c>
      <c r="I30" s="2">
        <f t="shared" si="1"/>
        <v>0.37390096630005903</v>
      </c>
      <c r="K30" s="2" t="e">
        <f t="shared" si="2"/>
        <v>#NUM!</v>
      </c>
    </row>
    <row r="31" spans="1:11" ht="13.9" x14ac:dyDescent="0.3">
      <c r="A31" s="2" t="s">
        <v>48</v>
      </c>
      <c r="B31" s="2">
        <v>17.25</v>
      </c>
      <c r="C31" s="2">
        <v>30.56</v>
      </c>
      <c r="D31" s="2">
        <v>56.81</v>
      </c>
      <c r="E31" s="2">
        <v>8.23</v>
      </c>
      <c r="F31" s="2">
        <v>0</v>
      </c>
      <c r="G31" s="2">
        <v>9.8800000000000008</v>
      </c>
      <c r="H31" s="2">
        <f t="shared" si="0"/>
        <v>2.5303002237278287</v>
      </c>
      <c r="I31" s="2">
        <f t="shared" si="1"/>
        <v>7.4381569235697123E-2</v>
      </c>
      <c r="K31" s="2">
        <f t="shared" si="2"/>
        <v>6.7090148649032724</v>
      </c>
    </row>
    <row r="32" spans="1:11" ht="13.9" x14ac:dyDescent="0.3">
      <c r="A32" s="2" t="s">
        <v>49</v>
      </c>
      <c r="B32" s="2">
        <v>162.41</v>
      </c>
      <c r="C32" s="2">
        <v>242.14</v>
      </c>
      <c r="D32" s="2">
        <v>400.69</v>
      </c>
      <c r="E32" s="2">
        <v>277.29000000000002</v>
      </c>
      <c r="F32" s="2">
        <v>1471.55</v>
      </c>
      <c r="G32" s="2">
        <v>599.73</v>
      </c>
      <c r="H32" s="2">
        <f t="shared" si="0"/>
        <v>-1.544291849801394</v>
      </c>
      <c r="I32" s="2">
        <f t="shared" si="1"/>
        <v>0.22993284075820261</v>
      </c>
      <c r="K32" s="2">
        <f t="shared" si="2"/>
        <v>9.6532750291580527</v>
      </c>
    </row>
    <row r="33" spans="1:11" ht="13.9" x14ac:dyDescent="0.3">
      <c r="A33" s="2" t="s">
        <v>50</v>
      </c>
      <c r="B33" s="2">
        <v>18.5</v>
      </c>
      <c r="C33" s="2">
        <v>50.23</v>
      </c>
      <c r="D33" s="2">
        <v>94.01</v>
      </c>
      <c r="E33" s="2">
        <v>51.34</v>
      </c>
      <c r="F33" s="2">
        <v>40.880000000000003</v>
      </c>
      <c r="G33" s="2">
        <v>40.880000000000003</v>
      </c>
      <c r="H33" s="2">
        <f t="shared" si="0"/>
        <v>0.29005832456106734</v>
      </c>
      <c r="I33" s="2">
        <f t="shared" si="1"/>
        <v>0.678857294467063</v>
      </c>
      <c r="K33" s="2">
        <f t="shared" si="2"/>
        <v>7.3464250855855964</v>
      </c>
    </row>
    <row r="34" spans="1:11" ht="13.9" x14ac:dyDescent="0.3">
      <c r="A34" s="2" t="s">
        <v>51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 t="e">
        <f t="shared" si="0"/>
        <v>#DIV/0!</v>
      </c>
      <c r="I34" s="2" t="e">
        <f t="shared" si="1"/>
        <v>#DIV/0!</v>
      </c>
      <c r="K34" s="2" t="e">
        <f t="shared" si="2"/>
        <v>#NUM!</v>
      </c>
    </row>
    <row r="35" spans="1:11" ht="13.9" x14ac:dyDescent="0.3">
      <c r="A35" s="2" t="s">
        <v>52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 t="e">
        <f t="shared" si="0"/>
        <v>#DIV/0!</v>
      </c>
      <c r="I35" s="2" t="e">
        <f t="shared" si="1"/>
        <v>#DIV/0!</v>
      </c>
      <c r="K35" s="2" t="e">
        <f t="shared" si="2"/>
        <v>#NUM!</v>
      </c>
    </row>
    <row r="36" spans="1:11" ht="13.9" x14ac:dyDescent="0.3">
      <c r="A36" s="2" t="s">
        <v>53</v>
      </c>
      <c r="B36" s="2">
        <v>862.16</v>
      </c>
      <c r="C36" s="2">
        <v>867.68</v>
      </c>
      <c r="D36" s="2">
        <v>733</v>
      </c>
      <c r="E36" s="2">
        <v>1919.2</v>
      </c>
      <c r="F36" s="2">
        <v>940.16</v>
      </c>
      <c r="G36" s="2">
        <v>1941.56</v>
      </c>
      <c r="H36" s="2">
        <f t="shared" si="0"/>
        <v>-0.96298799062620144</v>
      </c>
      <c r="I36" s="2">
        <f t="shared" si="1"/>
        <v>7.9375988125644753E-2</v>
      </c>
      <c r="K36" s="2">
        <f t="shared" si="2"/>
        <v>11.266107189923067</v>
      </c>
    </row>
    <row r="37" spans="1:11" ht="13.9" x14ac:dyDescent="0.3">
      <c r="A37" s="2" t="s">
        <v>54</v>
      </c>
      <c r="B37" s="2">
        <v>0</v>
      </c>
      <c r="C37" s="2">
        <v>9</v>
      </c>
      <c r="D37" s="2">
        <v>0.5</v>
      </c>
      <c r="E37" s="2">
        <v>18.52</v>
      </c>
      <c r="F37" s="2">
        <v>0</v>
      </c>
      <c r="G37" s="2">
        <v>22.2</v>
      </c>
      <c r="H37" s="2">
        <f t="shared" si="0"/>
        <v>-2.0997381428573849</v>
      </c>
      <c r="I37" s="2">
        <f t="shared" si="1"/>
        <v>0.23571138058436067</v>
      </c>
      <c r="K37" s="2">
        <f t="shared" si="2"/>
        <v>3.2479275134435857</v>
      </c>
    </row>
    <row r="38" spans="1:11" ht="13.9" x14ac:dyDescent="0.3">
      <c r="A38" s="2" t="s">
        <v>55</v>
      </c>
      <c r="B38" s="2">
        <v>0</v>
      </c>
      <c r="C38" s="2">
        <v>11.09</v>
      </c>
      <c r="D38" s="2">
        <v>0.5</v>
      </c>
      <c r="E38" s="2">
        <v>27.88</v>
      </c>
      <c r="F38" s="2">
        <v>40.880000000000003</v>
      </c>
      <c r="G38" s="2">
        <v>27.2</v>
      </c>
      <c r="H38" s="2">
        <f t="shared" si="0"/>
        <v>-3.0495525912869632</v>
      </c>
      <c r="I38" s="2">
        <f t="shared" si="1"/>
        <v>8.0212352777543645E-3</v>
      </c>
      <c r="K38" s="2">
        <f t="shared" si="2"/>
        <v>3.5348086612317471</v>
      </c>
    </row>
    <row r="39" spans="1:11" ht="13.9" x14ac:dyDescent="0.3">
      <c r="A39" s="2" t="s">
        <v>56</v>
      </c>
      <c r="B39" s="2">
        <v>0</v>
      </c>
      <c r="C39" s="2">
        <v>0</v>
      </c>
      <c r="D39" s="2">
        <v>25.14</v>
      </c>
      <c r="E39" s="2">
        <v>1.23</v>
      </c>
      <c r="F39" s="2">
        <v>0</v>
      </c>
      <c r="G39" s="2">
        <v>3.38</v>
      </c>
      <c r="H39" s="2">
        <f t="shared" si="0"/>
        <v>2.4471459939911702</v>
      </c>
      <c r="I39" s="2">
        <f t="shared" si="1"/>
        <v>0.46285483888094681</v>
      </c>
      <c r="K39" s="2">
        <f t="shared" si="2"/>
        <v>4.6519127446457835</v>
      </c>
    </row>
    <row r="40" spans="1:11" ht="13.9" x14ac:dyDescent="0.3">
      <c r="A40" s="2" t="s">
        <v>57</v>
      </c>
      <c r="B40" s="2">
        <v>0</v>
      </c>
      <c r="C40" s="2">
        <v>0</v>
      </c>
      <c r="D40" s="2">
        <v>0</v>
      </c>
      <c r="E40" s="2">
        <v>0.62</v>
      </c>
      <c r="F40" s="2">
        <v>0</v>
      </c>
      <c r="G40" s="2">
        <v>0</v>
      </c>
      <c r="H40" s="2" t="e">
        <f t="shared" si="0"/>
        <v>#NUM!</v>
      </c>
      <c r="I40" s="2">
        <f t="shared" si="1"/>
        <v>0.37390096630005903</v>
      </c>
      <c r="K40" s="2" t="e">
        <f t="shared" si="2"/>
        <v>#NUM!</v>
      </c>
    </row>
    <row r="41" spans="1:11" ht="13.9" x14ac:dyDescent="0.3">
      <c r="A41" s="2" t="s">
        <v>58</v>
      </c>
      <c r="B41" s="2">
        <v>3.59</v>
      </c>
      <c r="C41" s="2">
        <v>0</v>
      </c>
      <c r="D41" s="2">
        <v>0</v>
      </c>
      <c r="E41" s="2">
        <v>0.51</v>
      </c>
      <c r="F41" s="2">
        <v>0</v>
      </c>
      <c r="G41" s="2">
        <v>1.62</v>
      </c>
      <c r="H41" s="2">
        <f t="shared" si="0"/>
        <v>0.75313041359721322</v>
      </c>
      <c r="I41" s="2">
        <f t="shared" si="1"/>
        <v>0.72487764501697605</v>
      </c>
      <c r="K41" s="2">
        <f t="shared" si="2"/>
        <v>1.8439838440483267</v>
      </c>
    </row>
    <row r="42" spans="1:11" ht="13.9" x14ac:dyDescent="0.3">
      <c r="A42" s="2" t="s">
        <v>59</v>
      </c>
      <c r="B42" s="2">
        <v>11.14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e">
        <f t="shared" si="0"/>
        <v>#DIV/0!</v>
      </c>
      <c r="I42" s="2">
        <f t="shared" si="1"/>
        <v>0.37390096630005903</v>
      </c>
      <c r="K42" s="2">
        <f t="shared" si="2"/>
        <v>3.4776773275653072</v>
      </c>
    </row>
    <row r="43" spans="1:11" ht="13.9" x14ac:dyDescent="0.3">
      <c r="A43" s="2" t="s">
        <v>60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 t="e">
        <f t="shared" si="0"/>
        <v>#DIV/0!</v>
      </c>
      <c r="I43" s="2" t="e">
        <f t="shared" si="1"/>
        <v>#DIV/0!</v>
      </c>
      <c r="K43" s="2" t="e">
        <f t="shared" si="2"/>
        <v>#NUM!</v>
      </c>
    </row>
    <row r="44" spans="1:11" ht="13.9" x14ac:dyDescent="0.3">
      <c r="A44" s="2" t="s">
        <v>61</v>
      </c>
      <c r="B44" s="2">
        <v>0</v>
      </c>
      <c r="C44" s="2">
        <v>0</v>
      </c>
      <c r="D44" s="2">
        <v>0</v>
      </c>
      <c r="E44" s="2">
        <v>0</v>
      </c>
      <c r="F44" s="2">
        <v>122.63</v>
      </c>
      <c r="G44" s="2">
        <v>0</v>
      </c>
      <c r="H44" s="2" t="e">
        <f t="shared" si="0"/>
        <v>#NUM!</v>
      </c>
      <c r="I44" s="2">
        <f t="shared" si="1"/>
        <v>0.37390096630005903</v>
      </c>
      <c r="K44" s="2" t="e">
        <f t="shared" si="2"/>
        <v>#NUM!</v>
      </c>
    </row>
    <row r="45" spans="1:11" ht="13.9" x14ac:dyDescent="0.3">
      <c r="A45" s="2" t="s">
        <v>62</v>
      </c>
      <c r="B45" s="2">
        <v>33.6</v>
      </c>
      <c r="C45" s="2">
        <v>63.2</v>
      </c>
      <c r="D45" s="2">
        <v>276.01</v>
      </c>
      <c r="E45" s="2">
        <v>6.38</v>
      </c>
      <c r="F45" s="2">
        <v>1675.93</v>
      </c>
      <c r="G45" s="2">
        <v>6.5</v>
      </c>
      <c r="H45" s="2">
        <f t="shared" si="0"/>
        <v>-2.1794945630081788</v>
      </c>
      <c r="I45" s="2">
        <f t="shared" si="1"/>
        <v>0.47846707300991986</v>
      </c>
      <c r="K45" s="2">
        <f t="shared" si="2"/>
        <v>8.5422967481492087</v>
      </c>
    </row>
    <row r="46" spans="1:11" ht="13.9" x14ac:dyDescent="0.3">
      <c r="A46" s="2" t="s">
        <v>63</v>
      </c>
      <c r="B46" s="2">
        <v>0</v>
      </c>
      <c r="C46" s="2">
        <v>0</v>
      </c>
      <c r="D46" s="2">
        <v>12.57</v>
      </c>
      <c r="E46" s="2">
        <v>0</v>
      </c>
      <c r="F46" s="2">
        <v>0</v>
      </c>
      <c r="G46" s="2">
        <v>0</v>
      </c>
      <c r="H46" s="2" t="e">
        <f t="shared" si="0"/>
        <v>#DIV/0!</v>
      </c>
      <c r="I46" s="2">
        <f t="shared" si="1"/>
        <v>0.37390096630005903</v>
      </c>
      <c r="K46" s="2">
        <f t="shared" si="2"/>
        <v>3.6519127446457831</v>
      </c>
    </row>
    <row r="47" spans="1:11" ht="13.9" x14ac:dyDescent="0.3">
      <c r="A47" s="2" t="s">
        <v>64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 t="e">
        <f t="shared" si="0"/>
        <v>#DIV/0!</v>
      </c>
      <c r="I47" s="2" t="e">
        <f t="shared" si="1"/>
        <v>#DIV/0!</v>
      </c>
      <c r="K47" s="2" t="e">
        <f t="shared" si="2"/>
        <v>#NUM!</v>
      </c>
    </row>
    <row r="48" spans="1:11" ht="13.9" x14ac:dyDescent="0.3">
      <c r="A48" s="2" t="s">
        <v>65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 t="e">
        <f t="shared" si="0"/>
        <v>#DIV/0!</v>
      </c>
      <c r="I48" s="2" t="e">
        <f t="shared" si="1"/>
        <v>#DIV/0!</v>
      </c>
      <c r="K48" s="2" t="e">
        <f t="shared" si="2"/>
        <v>#NUM!</v>
      </c>
    </row>
    <row r="49" spans="1:11" ht="13.9" x14ac:dyDescent="0.3">
      <c r="A49" s="2" t="s">
        <v>66</v>
      </c>
      <c r="B49" s="2">
        <v>14.37</v>
      </c>
      <c r="C49" s="2">
        <v>20.93</v>
      </c>
      <c r="D49" s="2">
        <v>1.01</v>
      </c>
      <c r="E49" s="2">
        <v>26.44</v>
      </c>
      <c r="F49" s="2">
        <v>0</v>
      </c>
      <c r="G49" s="2">
        <v>182.31</v>
      </c>
      <c r="H49" s="2">
        <f t="shared" si="0"/>
        <v>-2.5233373623359325</v>
      </c>
      <c r="I49" s="2">
        <f t="shared" si="1"/>
        <v>0.3716465475391254</v>
      </c>
      <c r="K49" s="2">
        <f t="shared" si="2"/>
        <v>5.1822950250254829</v>
      </c>
    </row>
    <row r="50" spans="1:11" ht="13.9" x14ac:dyDescent="0.3">
      <c r="A50" s="2" t="s">
        <v>67</v>
      </c>
      <c r="B50" s="2">
        <v>0</v>
      </c>
      <c r="C50" s="2">
        <v>0</v>
      </c>
      <c r="D50" s="2">
        <v>0</v>
      </c>
      <c r="E50" s="2">
        <v>0.41</v>
      </c>
      <c r="F50" s="2">
        <v>0</v>
      </c>
      <c r="G50" s="2">
        <v>0</v>
      </c>
      <c r="H50" s="2" t="e">
        <f t="shared" si="0"/>
        <v>#NUM!</v>
      </c>
      <c r="I50" s="2">
        <f t="shared" si="1"/>
        <v>0.37390096630005903</v>
      </c>
      <c r="K50" s="2" t="e">
        <f t="shared" si="2"/>
        <v>#NUM!</v>
      </c>
    </row>
    <row r="51" spans="1:11" ht="13.9" x14ac:dyDescent="0.3">
      <c r="A51" s="2" t="s">
        <v>68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0.14000000000000001</v>
      </c>
      <c r="H51" s="2" t="e">
        <f t="shared" si="0"/>
        <v>#NUM!</v>
      </c>
      <c r="I51" s="2">
        <f t="shared" si="1"/>
        <v>0.37390096630005903</v>
      </c>
      <c r="K51" s="2" t="e">
        <f t="shared" si="2"/>
        <v>#NUM!</v>
      </c>
    </row>
    <row r="52" spans="1:11" ht="13.9" x14ac:dyDescent="0.3">
      <c r="A52" s="2" t="s">
        <v>69</v>
      </c>
      <c r="B52" s="2">
        <v>60.36</v>
      </c>
      <c r="C52" s="2">
        <v>58.81</v>
      </c>
      <c r="D52" s="2">
        <v>44.74</v>
      </c>
      <c r="E52" s="2">
        <v>52.78</v>
      </c>
      <c r="F52" s="2">
        <v>40.880000000000003</v>
      </c>
      <c r="G52" s="2">
        <v>41.15</v>
      </c>
      <c r="H52" s="2">
        <f t="shared" si="0"/>
        <v>0.28197635722965025</v>
      </c>
      <c r="I52" s="2">
        <f t="shared" si="1"/>
        <v>0.20020682065315892</v>
      </c>
      <c r="K52" s="2">
        <f t="shared" si="2"/>
        <v>7.3567600644092437</v>
      </c>
    </row>
    <row r="53" spans="1:11" ht="13.9" x14ac:dyDescent="0.3">
      <c r="A53" s="2" t="s">
        <v>70</v>
      </c>
      <c r="B53" s="2">
        <v>0</v>
      </c>
      <c r="C53" s="2">
        <v>0</v>
      </c>
      <c r="D53" s="2">
        <v>0</v>
      </c>
      <c r="E53" s="2">
        <v>3.81</v>
      </c>
      <c r="F53" s="2">
        <v>0</v>
      </c>
      <c r="G53" s="2">
        <v>1.76</v>
      </c>
      <c r="H53" s="2" t="e">
        <f t="shared" si="0"/>
        <v>#NUM!</v>
      </c>
      <c r="I53" s="2">
        <f t="shared" si="1"/>
        <v>0.16698118510481685</v>
      </c>
      <c r="K53" s="2" t="e">
        <f t="shared" si="2"/>
        <v>#NUM!</v>
      </c>
    </row>
    <row r="54" spans="1:11" ht="13.9" x14ac:dyDescent="0.3">
      <c r="A54" s="2" t="s">
        <v>71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e">
        <f t="shared" si="0"/>
        <v>#DIV/0!</v>
      </c>
      <c r="I54" s="2" t="e">
        <f t="shared" si="1"/>
        <v>#DIV/0!</v>
      </c>
      <c r="K54" s="2" t="e">
        <f t="shared" si="2"/>
        <v>#NUM!</v>
      </c>
    </row>
    <row r="55" spans="1:11" ht="13.9" x14ac:dyDescent="0.3">
      <c r="A55" s="2" t="s">
        <v>72</v>
      </c>
      <c r="B55" s="2">
        <v>0</v>
      </c>
      <c r="C55" s="2">
        <v>0</v>
      </c>
      <c r="D55" s="2">
        <v>0</v>
      </c>
      <c r="E55" s="2">
        <v>0.31</v>
      </c>
      <c r="F55" s="2">
        <v>0</v>
      </c>
      <c r="G55" s="2">
        <v>0</v>
      </c>
      <c r="H55" s="2" t="e">
        <f t="shared" si="0"/>
        <v>#NUM!</v>
      </c>
      <c r="I55" s="2">
        <f t="shared" si="1"/>
        <v>0.37390096630005903</v>
      </c>
      <c r="K55" s="2" t="e">
        <f t="shared" si="2"/>
        <v>#NUM!</v>
      </c>
    </row>
    <row r="56" spans="1:11" ht="13.9" x14ac:dyDescent="0.3">
      <c r="A56" s="2" t="s">
        <v>73</v>
      </c>
      <c r="B56" s="2">
        <v>31.26</v>
      </c>
      <c r="C56" s="2">
        <v>54.62</v>
      </c>
      <c r="D56" s="2">
        <v>129.71</v>
      </c>
      <c r="E56" s="2">
        <v>45.68</v>
      </c>
      <c r="F56" s="2">
        <v>40.880000000000003</v>
      </c>
      <c r="G56" s="2">
        <v>49.4</v>
      </c>
      <c r="H56" s="2">
        <f t="shared" si="0"/>
        <v>0.66510799419190647</v>
      </c>
      <c r="I56" s="2">
        <f t="shared" si="1"/>
        <v>0.42343379205848997</v>
      </c>
      <c r="K56" s="2">
        <f t="shared" si="2"/>
        <v>7.752146450958854</v>
      </c>
    </row>
    <row r="57" spans="1:11" ht="13.9" x14ac:dyDescent="0.3">
      <c r="A57" s="2" t="s">
        <v>74</v>
      </c>
      <c r="B57" s="2">
        <v>0.18</v>
      </c>
      <c r="C57" s="2">
        <v>0</v>
      </c>
      <c r="D57" s="2">
        <v>0</v>
      </c>
      <c r="E57" s="2">
        <v>0</v>
      </c>
      <c r="F57" s="2">
        <v>0</v>
      </c>
      <c r="G57" s="2">
        <v>0.14000000000000001</v>
      </c>
      <c r="H57" s="2">
        <f t="shared" si="0"/>
        <v>0.36257007938470814</v>
      </c>
      <c r="I57" s="2">
        <f t="shared" si="1"/>
        <v>0.86927786633163096</v>
      </c>
      <c r="K57" s="2">
        <f t="shared" si="2"/>
        <v>-2.4739311883324122</v>
      </c>
    </row>
    <row r="58" spans="1:11" ht="13.9" x14ac:dyDescent="0.3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e">
        <f t="shared" si="0"/>
        <v>#DIV/0!</v>
      </c>
      <c r="I58" s="2" t="e">
        <f t="shared" si="1"/>
        <v>#DIV/0!</v>
      </c>
      <c r="K58" s="2" t="e">
        <f t="shared" si="2"/>
        <v>#NUM!</v>
      </c>
    </row>
    <row r="59" spans="1:11" ht="13.9" x14ac:dyDescent="0.3">
      <c r="A59" s="2" t="s">
        <v>76</v>
      </c>
      <c r="B59" s="2">
        <v>6.11</v>
      </c>
      <c r="C59" s="2">
        <v>0</v>
      </c>
      <c r="D59" s="2">
        <v>27.65</v>
      </c>
      <c r="E59" s="2">
        <v>5.14</v>
      </c>
      <c r="F59" s="2">
        <v>0</v>
      </c>
      <c r="G59" s="2">
        <v>3.11</v>
      </c>
      <c r="H59" s="2">
        <f t="shared" si="0"/>
        <v>2.032848879574007</v>
      </c>
      <c r="I59" s="2">
        <f t="shared" si="1"/>
        <v>0.37464493741162036</v>
      </c>
      <c r="K59" s="2">
        <f t="shared" si="2"/>
        <v>5.0772429989324603</v>
      </c>
    </row>
    <row r="60" spans="1:11" ht="13.9" x14ac:dyDescent="0.3">
      <c r="A60" s="2" t="s">
        <v>77</v>
      </c>
      <c r="B60" s="2">
        <v>2.52</v>
      </c>
      <c r="C60" s="2">
        <v>1.05</v>
      </c>
      <c r="D60" s="2">
        <v>1.51</v>
      </c>
      <c r="E60" s="2">
        <v>1.03</v>
      </c>
      <c r="F60" s="2">
        <v>531.39</v>
      </c>
      <c r="G60" s="2">
        <v>0</v>
      </c>
      <c r="H60" s="2">
        <f t="shared" si="0"/>
        <v>-6.7115924589160301</v>
      </c>
      <c r="I60" s="2">
        <f t="shared" si="1"/>
        <v>0.37677118818203398</v>
      </c>
      <c r="K60" s="2">
        <f t="shared" si="2"/>
        <v>2.3448284969974416</v>
      </c>
    </row>
    <row r="61" spans="1:11" ht="13.9" x14ac:dyDescent="0.3">
      <c r="A61" s="2" t="s">
        <v>78</v>
      </c>
      <c r="B61" s="2">
        <v>2.52</v>
      </c>
      <c r="C61" s="2">
        <v>1.05</v>
      </c>
      <c r="D61" s="2">
        <v>1.51</v>
      </c>
      <c r="E61" s="2">
        <v>1.03</v>
      </c>
      <c r="F61" s="2">
        <v>531.39</v>
      </c>
      <c r="G61" s="2">
        <v>0.95</v>
      </c>
      <c r="H61" s="2">
        <f t="shared" si="0"/>
        <v>-6.7141643739308501</v>
      </c>
      <c r="I61" s="2">
        <f t="shared" si="1"/>
        <v>0.37561357397707523</v>
      </c>
      <c r="K61" s="2">
        <f t="shared" si="2"/>
        <v>2.3448284969974416</v>
      </c>
    </row>
    <row r="62" spans="1:11" ht="13.9" x14ac:dyDescent="0.3">
      <c r="A62" s="2" t="s">
        <v>79</v>
      </c>
      <c r="B62" s="2">
        <v>0.18</v>
      </c>
      <c r="C62" s="2">
        <v>0</v>
      </c>
      <c r="D62" s="2">
        <v>0</v>
      </c>
      <c r="E62" s="2">
        <v>0</v>
      </c>
      <c r="F62" s="2">
        <v>0</v>
      </c>
      <c r="G62" s="2">
        <v>0.14000000000000001</v>
      </c>
      <c r="H62" s="2">
        <f t="shared" si="0"/>
        <v>0.36257007938470814</v>
      </c>
      <c r="I62" s="2">
        <f t="shared" si="1"/>
        <v>0.86927786633163096</v>
      </c>
      <c r="K62" s="2">
        <f t="shared" si="2"/>
        <v>-2.4739311883324122</v>
      </c>
    </row>
    <row r="63" spans="1:11" ht="13.9" x14ac:dyDescent="0.3">
      <c r="A63" s="2" t="s">
        <v>80</v>
      </c>
      <c r="B63" s="2">
        <v>48.87</v>
      </c>
      <c r="C63" s="2">
        <v>52.53</v>
      </c>
      <c r="D63" s="2">
        <v>88.99</v>
      </c>
      <c r="E63" s="2">
        <v>7.61</v>
      </c>
      <c r="F63" s="2">
        <v>0</v>
      </c>
      <c r="G63" s="2">
        <v>12.86</v>
      </c>
      <c r="H63" s="2">
        <f t="shared" si="0"/>
        <v>3.2173746973836539</v>
      </c>
      <c r="I63" s="2">
        <f t="shared" si="1"/>
        <v>1.3201403217838312E-2</v>
      </c>
      <c r="K63" s="2">
        <f t="shared" si="2"/>
        <v>7.5728138946323407</v>
      </c>
    </row>
    <row r="64" spans="1:11" ht="13.9" x14ac:dyDescent="0.3">
      <c r="A64" s="2" t="s">
        <v>81</v>
      </c>
      <c r="B64" s="2">
        <v>417.34</v>
      </c>
      <c r="C64" s="2">
        <v>331.71</v>
      </c>
      <c r="D64" s="2">
        <v>276.01</v>
      </c>
      <c r="E64" s="2">
        <v>648.72</v>
      </c>
      <c r="F64" s="2">
        <v>1348.92</v>
      </c>
      <c r="G64" s="2">
        <v>509.99</v>
      </c>
      <c r="H64" s="2">
        <f t="shared" si="0"/>
        <v>-1.2906161369529963</v>
      </c>
      <c r="I64" s="2">
        <f t="shared" si="1"/>
        <v>0.1332760358215285</v>
      </c>
      <c r="K64" s="2">
        <f t="shared" si="2"/>
        <v>10.001492642362603</v>
      </c>
    </row>
    <row r="65" spans="1:11" ht="13.9" x14ac:dyDescent="0.3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 t="e">
        <f t="shared" si="0"/>
        <v>#DIV/0!</v>
      </c>
      <c r="I65" s="2" t="e">
        <f t="shared" si="1"/>
        <v>#DIV/0!</v>
      </c>
      <c r="K65" s="2" t="e">
        <f t="shared" si="2"/>
        <v>#NUM!</v>
      </c>
    </row>
    <row r="66" spans="1:11" ht="13.9" x14ac:dyDescent="0.3">
      <c r="A66" s="2" t="s">
        <v>83</v>
      </c>
      <c r="B66" s="2">
        <v>0</v>
      </c>
      <c r="C66" s="2">
        <v>2.5099999999999998</v>
      </c>
      <c r="D66" s="2">
        <v>0</v>
      </c>
      <c r="E66" s="2">
        <v>4.63</v>
      </c>
      <c r="F66" s="2">
        <v>204.38</v>
      </c>
      <c r="G66" s="2">
        <v>1.76</v>
      </c>
      <c r="H66" s="2">
        <f t="shared" ref="H66:H129" si="3">LOG(SUM(B66:D66)/SUM(E66:G66),2)</f>
        <v>-6.3918383608315095</v>
      </c>
      <c r="I66" s="2">
        <f t="shared" ref="I66:I129" si="4">_xlfn.T.TEST(B66:D66,E66:G66,2,2)</f>
        <v>0.35913333185086571</v>
      </c>
      <c r="K66" s="2">
        <f t="shared" si="2"/>
        <v>1.3276873641760472</v>
      </c>
    </row>
    <row r="67" spans="1:11" ht="13.9" x14ac:dyDescent="0.3">
      <c r="A67" s="2" t="s">
        <v>84</v>
      </c>
      <c r="B67" s="2">
        <v>0</v>
      </c>
      <c r="C67" s="2">
        <v>2.5099999999999998</v>
      </c>
      <c r="D67" s="2">
        <v>0</v>
      </c>
      <c r="E67" s="2">
        <v>4.63</v>
      </c>
      <c r="F67" s="2">
        <v>204.38</v>
      </c>
      <c r="G67" s="2">
        <v>1.76</v>
      </c>
      <c r="H67" s="2">
        <f t="shared" si="3"/>
        <v>-6.3918383608315095</v>
      </c>
      <c r="I67" s="2">
        <f t="shared" si="4"/>
        <v>0.35913333185086571</v>
      </c>
      <c r="K67" s="2">
        <f t="shared" ref="K67:K130" si="5">LOG(SUM(B67:D67),2)</f>
        <v>1.3276873641760472</v>
      </c>
    </row>
    <row r="68" spans="1:11" ht="13.9" x14ac:dyDescent="0.3">
      <c r="A68" s="2" t="s">
        <v>85</v>
      </c>
      <c r="B68" s="2">
        <v>1.08</v>
      </c>
      <c r="C68" s="2">
        <v>0</v>
      </c>
      <c r="D68" s="2">
        <v>0</v>
      </c>
      <c r="E68" s="2">
        <v>0.21</v>
      </c>
      <c r="F68" s="2">
        <v>0</v>
      </c>
      <c r="G68" s="2">
        <v>0.41</v>
      </c>
      <c r="H68" s="2">
        <f t="shared" si="3"/>
        <v>0.80069119177659354</v>
      </c>
      <c r="I68" s="2">
        <f t="shared" si="4"/>
        <v>0.70646241179113889</v>
      </c>
      <c r="K68" s="2">
        <f t="shared" si="5"/>
        <v>0.11103131238874395</v>
      </c>
    </row>
    <row r="69" spans="1:11" ht="13.9" x14ac:dyDescent="0.3">
      <c r="A69" s="2" t="s">
        <v>86</v>
      </c>
      <c r="B69" s="2">
        <v>0</v>
      </c>
      <c r="C69" s="2">
        <v>0</v>
      </c>
      <c r="D69" s="2">
        <v>0</v>
      </c>
      <c r="E69" s="2">
        <v>0.1</v>
      </c>
      <c r="F69" s="2">
        <v>0</v>
      </c>
      <c r="G69" s="2">
        <v>0</v>
      </c>
      <c r="H69" s="2" t="e">
        <f t="shared" si="3"/>
        <v>#NUM!</v>
      </c>
      <c r="I69" s="2">
        <f t="shared" si="4"/>
        <v>0.37390096630005903</v>
      </c>
      <c r="K69" s="2" t="e">
        <f t="shared" si="5"/>
        <v>#NUM!</v>
      </c>
    </row>
    <row r="70" spans="1:11" ht="13.9" x14ac:dyDescent="0.3">
      <c r="A70" s="2" t="s">
        <v>87</v>
      </c>
      <c r="B70" s="2">
        <v>0.18</v>
      </c>
      <c r="C70" s="2">
        <v>5.23</v>
      </c>
      <c r="D70" s="2">
        <v>24.13</v>
      </c>
      <c r="E70" s="2">
        <v>12.66</v>
      </c>
      <c r="F70" s="2">
        <v>163.51</v>
      </c>
      <c r="G70" s="2">
        <v>13.67</v>
      </c>
      <c r="H70" s="2">
        <f t="shared" si="3"/>
        <v>-2.6840422744291588</v>
      </c>
      <c r="I70" s="2">
        <f t="shared" si="4"/>
        <v>0.35089370608089976</v>
      </c>
      <c r="K70" s="2">
        <f t="shared" si="5"/>
        <v>4.884597920990065</v>
      </c>
    </row>
    <row r="71" spans="1:11" ht="13.9" x14ac:dyDescent="0.3">
      <c r="A71" s="2" t="s">
        <v>88</v>
      </c>
      <c r="B71" s="2">
        <v>3.77</v>
      </c>
      <c r="C71" s="2">
        <v>7.95</v>
      </c>
      <c r="D71" s="2">
        <v>4.0199999999999996</v>
      </c>
      <c r="E71" s="2">
        <v>1.23</v>
      </c>
      <c r="F71" s="2">
        <v>0</v>
      </c>
      <c r="G71" s="2">
        <v>3.65</v>
      </c>
      <c r="H71" s="2">
        <f t="shared" si="3"/>
        <v>1.6894824879446002</v>
      </c>
      <c r="I71" s="2">
        <f t="shared" si="4"/>
        <v>0.10407637598537672</v>
      </c>
      <c r="K71" s="2">
        <f t="shared" si="5"/>
        <v>3.9763636357327616</v>
      </c>
    </row>
    <row r="72" spans="1:11" ht="13.9" x14ac:dyDescent="0.3">
      <c r="A72" s="2" t="s">
        <v>89</v>
      </c>
      <c r="B72" s="2">
        <v>21.92</v>
      </c>
      <c r="C72" s="2">
        <v>17.79</v>
      </c>
      <c r="D72" s="2">
        <v>34.19</v>
      </c>
      <c r="E72" s="2">
        <v>25.72</v>
      </c>
      <c r="F72" s="2">
        <v>367.89</v>
      </c>
      <c r="G72" s="2">
        <v>42.5</v>
      </c>
      <c r="H72" s="2">
        <f t="shared" si="3"/>
        <v>-2.5610458023044131</v>
      </c>
      <c r="I72" s="2">
        <f t="shared" si="4"/>
        <v>0.3396924659283444</v>
      </c>
      <c r="K72" s="2">
        <f t="shared" si="5"/>
        <v>6.2075024592587891</v>
      </c>
    </row>
    <row r="73" spans="1:11" ht="13.9" x14ac:dyDescent="0.3">
      <c r="A73" s="2" t="s">
        <v>90</v>
      </c>
      <c r="B73" s="2">
        <v>0</v>
      </c>
      <c r="C73" s="2">
        <v>0</v>
      </c>
      <c r="D73" s="2">
        <v>17.09</v>
      </c>
      <c r="E73" s="2">
        <v>0.1</v>
      </c>
      <c r="F73" s="2">
        <v>0</v>
      </c>
      <c r="G73" s="2">
        <v>0.14000000000000001</v>
      </c>
      <c r="H73" s="2">
        <f t="shared" si="3"/>
        <v>6.1539741809549833</v>
      </c>
      <c r="I73" s="2">
        <f t="shared" si="4"/>
        <v>0.37998398294277697</v>
      </c>
      <c r="K73" s="2">
        <f t="shared" si="5"/>
        <v>4.0950804919014141</v>
      </c>
    </row>
    <row r="74" spans="1:11" ht="13.9" x14ac:dyDescent="0.3">
      <c r="A74" s="2" t="s">
        <v>91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 t="e">
        <f t="shared" si="3"/>
        <v>#DIV/0!</v>
      </c>
      <c r="I74" s="2" t="e">
        <f t="shared" si="4"/>
        <v>#DIV/0!</v>
      </c>
      <c r="K74" s="2" t="e">
        <f t="shared" si="5"/>
        <v>#NUM!</v>
      </c>
    </row>
    <row r="75" spans="1:11" ht="13.9" x14ac:dyDescent="0.3">
      <c r="A75" s="2" t="s">
        <v>92</v>
      </c>
      <c r="B75" s="2">
        <v>0</v>
      </c>
      <c r="C75" s="2">
        <v>0</v>
      </c>
      <c r="D75" s="2">
        <v>0</v>
      </c>
      <c r="E75" s="2">
        <v>0.51</v>
      </c>
      <c r="F75" s="2">
        <v>0</v>
      </c>
      <c r="G75" s="2">
        <v>0</v>
      </c>
      <c r="H75" s="2" t="e">
        <f t="shared" si="3"/>
        <v>#NUM!</v>
      </c>
      <c r="I75" s="2">
        <f t="shared" si="4"/>
        <v>0.37390096630005903</v>
      </c>
      <c r="K75" s="2" t="e">
        <f t="shared" si="5"/>
        <v>#NUM!</v>
      </c>
    </row>
    <row r="76" spans="1:11" ht="13.9" x14ac:dyDescent="0.3">
      <c r="A76" s="2" t="s">
        <v>93</v>
      </c>
      <c r="B76" s="2">
        <v>0</v>
      </c>
      <c r="C76" s="2">
        <v>7.74</v>
      </c>
      <c r="D76" s="2">
        <v>0</v>
      </c>
      <c r="E76" s="2">
        <v>1.34</v>
      </c>
      <c r="F76" s="2">
        <v>0</v>
      </c>
      <c r="G76" s="2">
        <v>0.27</v>
      </c>
      <c r="H76" s="2">
        <f t="shared" si="3"/>
        <v>2.2652728780297933</v>
      </c>
      <c r="I76" s="2">
        <f t="shared" si="4"/>
        <v>0.47780192817935047</v>
      </c>
      <c r="K76" s="2">
        <f t="shared" si="5"/>
        <v>2.9523335663696861</v>
      </c>
    </row>
    <row r="77" spans="1:11" ht="13.9" x14ac:dyDescent="0.3">
      <c r="A77" s="2" t="s">
        <v>94</v>
      </c>
      <c r="B77" s="2">
        <v>0</v>
      </c>
      <c r="C77" s="2">
        <v>0</v>
      </c>
      <c r="D77" s="2">
        <v>0</v>
      </c>
      <c r="E77" s="2">
        <v>8.1300000000000008</v>
      </c>
      <c r="F77" s="2">
        <v>0</v>
      </c>
      <c r="G77" s="2">
        <v>5.28</v>
      </c>
      <c r="H77" s="2" t="e">
        <f t="shared" si="3"/>
        <v>#NUM!</v>
      </c>
      <c r="I77" s="2">
        <f t="shared" si="4"/>
        <v>0.13376332777958017</v>
      </c>
      <c r="K77" s="2" t="e">
        <f t="shared" si="5"/>
        <v>#NUM!</v>
      </c>
    </row>
    <row r="78" spans="1:11" ht="13.9" x14ac:dyDescent="0.3">
      <c r="A78" s="2" t="s">
        <v>95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0.81</v>
      </c>
      <c r="H78" s="2" t="e">
        <f t="shared" si="3"/>
        <v>#NUM!</v>
      </c>
      <c r="I78" s="2">
        <f t="shared" si="4"/>
        <v>0.37390096630005903</v>
      </c>
      <c r="K78" s="2" t="e">
        <f t="shared" si="5"/>
        <v>#NUM!</v>
      </c>
    </row>
    <row r="79" spans="1:11" ht="13.9" x14ac:dyDescent="0.3">
      <c r="A79" s="2" t="s">
        <v>96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 t="e">
        <f t="shared" si="3"/>
        <v>#DIV/0!</v>
      </c>
      <c r="I79" s="2" t="e">
        <f t="shared" si="4"/>
        <v>#DIV/0!</v>
      </c>
      <c r="K79" s="2" t="e">
        <f t="shared" si="5"/>
        <v>#NUM!</v>
      </c>
    </row>
    <row r="80" spans="1:11" ht="13.9" x14ac:dyDescent="0.3">
      <c r="A80" s="2" t="s">
        <v>97</v>
      </c>
      <c r="B80" s="2">
        <v>519.91999999999996</v>
      </c>
      <c r="C80" s="2">
        <v>859.31</v>
      </c>
      <c r="D80" s="2">
        <v>1173.4000000000001</v>
      </c>
      <c r="E80" s="2">
        <v>1245.68</v>
      </c>
      <c r="F80" s="2">
        <v>981.03</v>
      </c>
      <c r="G80" s="2">
        <v>1262.52</v>
      </c>
      <c r="H80" s="2">
        <f t="shared" si="3"/>
        <v>-0.45092426261733359</v>
      </c>
      <c r="I80" s="2">
        <f t="shared" si="4"/>
        <v>0.21051500800972281</v>
      </c>
      <c r="K80" s="2">
        <f t="shared" si="5"/>
        <v>11.31776872101667</v>
      </c>
    </row>
    <row r="81" spans="1:11" ht="13.9" x14ac:dyDescent="0.3">
      <c r="A81" s="2" t="s">
        <v>98</v>
      </c>
      <c r="B81" s="2">
        <v>0</v>
      </c>
      <c r="C81" s="2">
        <v>0</v>
      </c>
      <c r="D81" s="2">
        <v>15.59</v>
      </c>
      <c r="E81" s="2">
        <v>2.2599999999999998</v>
      </c>
      <c r="F81" s="2">
        <v>0</v>
      </c>
      <c r="G81" s="2">
        <v>0</v>
      </c>
      <c r="H81" s="2">
        <f t="shared" si="3"/>
        <v>2.7862262502825974</v>
      </c>
      <c r="I81" s="2">
        <f t="shared" si="4"/>
        <v>0.44509935942505735</v>
      </c>
      <c r="K81" s="2">
        <f t="shared" si="5"/>
        <v>3.9625490229230604</v>
      </c>
    </row>
    <row r="82" spans="1:11" ht="13.9" x14ac:dyDescent="0.3">
      <c r="A82" s="8" t="s">
        <v>99</v>
      </c>
      <c r="B82" s="2">
        <v>0</v>
      </c>
      <c r="C82" s="2">
        <v>6.7</v>
      </c>
      <c r="D82" s="2">
        <v>0</v>
      </c>
      <c r="E82" s="2">
        <v>5.56</v>
      </c>
      <c r="F82" s="2">
        <v>0</v>
      </c>
      <c r="G82" s="2">
        <v>5.82</v>
      </c>
      <c r="H82" s="2">
        <f t="shared" si="3"/>
        <v>-0.76426755696144699</v>
      </c>
      <c r="I82" s="2">
        <f t="shared" si="4"/>
        <v>0.62274888764095992</v>
      </c>
      <c r="K82" s="2">
        <f t="shared" si="5"/>
        <v>2.7441610955704103</v>
      </c>
    </row>
    <row r="83" spans="1:11" ht="13.9" x14ac:dyDescent="0.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 t="e">
        <f t="shared" si="3"/>
        <v>#DIV/0!</v>
      </c>
      <c r="I83" s="2" t="e">
        <f t="shared" si="4"/>
        <v>#DIV/0!</v>
      </c>
      <c r="K83" s="2" t="e">
        <f t="shared" si="5"/>
        <v>#NUM!</v>
      </c>
    </row>
    <row r="84" spans="1:11" ht="13.9" x14ac:dyDescent="0.3">
      <c r="A84" s="2" t="s">
        <v>101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0.41</v>
      </c>
      <c r="H84" s="2" t="e">
        <f t="shared" si="3"/>
        <v>#NUM!</v>
      </c>
      <c r="I84" s="2">
        <f t="shared" si="4"/>
        <v>0.37390096630005903</v>
      </c>
      <c r="K84" s="2" t="e">
        <f t="shared" si="5"/>
        <v>#NUM!</v>
      </c>
    </row>
    <row r="85" spans="1:11" ht="13.9" x14ac:dyDescent="0.3">
      <c r="A85" s="2" t="s">
        <v>102</v>
      </c>
      <c r="B85" s="2">
        <v>15.81</v>
      </c>
      <c r="C85" s="2">
        <v>0</v>
      </c>
      <c r="D85" s="2">
        <v>0</v>
      </c>
      <c r="E85" s="2">
        <v>2.06</v>
      </c>
      <c r="F85" s="2">
        <v>0</v>
      </c>
      <c r="G85" s="2">
        <v>3.79</v>
      </c>
      <c r="H85" s="2">
        <f t="shared" si="3"/>
        <v>1.4343288378876042</v>
      </c>
      <c r="I85" s="2">
        <f t="shared" si="4"/>
        <v>0.57074432076439541</v>
      </c>
      <c r="K85" s="2">
        <f t="shared" si="5"/>
        <v>3.9827654625836462</v>
      </c>
    </row>
    <row r="86" spans="1:11" ht="13.9" x14ac:dyDescent="0.3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 t="e">
        <f t="shared" si="3"/>
        <v>#DIV/0!</v>
      </c>
      <c r="I86" s="2" t="e">
        <f t="shared" si="4"/>
        <v>#DIV/0!</v>
      </c>
      <c r="K86" s="2" t="e">
        <f t="shared" si="5"/>
        <v>#NUM!</v>
      </c>
    </row>
    <row r="87" spans="1:11" ht="13.9" x14ac:dyDescent="0.3">
      <c r="A87" s="2" t="s">
        <v>104</v>
      </c>
      <c r="B87" s="2">
        <v>9.52</v>
      </c>
      <c r="C87" s="2">
        <v>11.72</v>
      </c>
      <c r="D87" s="2">
        <v>24.13</v>
      </c>
      <c r="E87" s="2">
        <v>4.42</v>
      </c>
      <c r="F87" s="2">
        <v>0</v>
      </c>
      <c r="G87" s="2">
        <v>44.8</v>
      </c>
      <c r="H87" s="2">
        <f t="shared" si="3"/>
        <v>-0.11750599810741523</v>
      </c>
      <c r="I87" s="2">
        <f t="shared" si="4"/>
        <v>0.93576809786680371</v>
      </c>
      <c r="K87" s="2">
        <f t="shared" si="5"/>
        <v>5.5036667545760203</v>
      </c>
    </row>
    <row r="88" spans="1:11" ht="13.9" x14ac:dyDescent="0.3">
      <c r="A88" s="2" t="s">
        <v>105</v>
      </c>
      <c r="B88" s="2">
        <v>0</v>
      </c>
      <c r="C88" s="2">
        <v>2.5099999999999998</v>
      </c>
      <c r="D88" s="2">
        <v>11.06</v>
      </c>
      <c r="E88" s="2">
        <v>2.06</v>
      </c>
      <c r="F88" s="2">
        <v>327.01</v>
      </c>
      <c r="G88" s="2">
        <v>3.79</v>
      </c>
      <c r="H88" s="2">
        <f t="shared" si="3"/>
        <v>-4.6164228854351803</v>
      </c>
      <c r="I88" s="2">
        <f t="shared" si="4"/>
        <v>0.38051071779870566</v>
      </c>
      <c r="K88" s="2">
        <f t="shared" si="5"/>
        <v>3.7623488156441294</v>
      </c>
    </row>
    <row r="89" spans="1:11" ht="13.9" x14ac:dyDescent="0.3">
      <c r="A89" s="2" t="s">
        <v>106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 t="e">
        <f t="shared" si="3"/>
        <v>#DIV/0!</v>
      </c>
      <c r="I89" s="2" t="e">
        <f t="shared" si="4"/>
        <v>#DIV/0!</v>
      </c>
      <c r="K89" s="2" t="e">
        <f t="shared" si="5"/>
        <v>#NUM!</v>
      </c>
    </row>
    <row r="90" spans="1:11" ht="13.9" x14ac:dyDescent="0.3">
      <c r="A90" s="2" t="s">
        <v>107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e">
        <f t="shared" si="3"/>
        <v>#DIV/0!</v>
      </c>
      <c r="I90" s="2" t="e">
        <f t="shared" si="4"/>
        <v>#DIV/0!</v>
      </c>
      <c r="K90" s="2" t="e">
        <f t="shared" si="5"/>
        <v>#NUM!</v>
      </c>
    </row>
    <row r="91" spans="1:11" ht="13.9" x14ac:dyDescent="0.3">
      <c r="A91" s="2" t="s">
        <v>108</v>
      </c>
      <c r="B91" s="2">
        <v>0</v>
      </c>
      <c r="C91" s="2">
        <v>4.3899999999999997</v>
      </c>
      <c r="D91" s="2">
        <v>28.15</v>
      </c>
      <c r="E91" s="2">
        <v>7.31</v>
      </c>
      <c r="F91" s="2">
        <v>0</v>
      </c>
      <c r="G91" s="2">
        <v>10.69</v>
      </c>
      <c r="H91" s="2">
        <f t="shared" si="3"/>
        <v>0.8542173444554908</v>
      </c>
      <c r="I91" s="2">
        <f t="shared" si="4"/>
        <v>0.62963103510123863</v>
      </c>
      <c r="K91" s="2">
        <f t="shared" si="5"/>
        <v>5.0241423458978032</v>
      </c>
    </row>
    <row r="92" spans="1:11" ht="13.9" x14ac:dyDescent="0.3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0.27</v>
      </c>
      <c r="H92" s="2" t="e">
        <f t="shared" si="3"/>
        <v>#NUM!</v>
      </c>
      <c r="I92" s="2">
        <f t="shared" si="4"/>
        <v>0.37390096630005903</v>
      </c>
      <c r="K92" s="2" t="e">
        <f t="shared" si="5"/>
        <v>#NUM!</v>
      </c>
    </row>
    <row r="93" spans="1:11" ht="13.9" x14ac:dyDescent="0.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 t="e">
        <f t="shared" si="3"/>
        <v>#DIV/0!</v>
      </c>
      <c r="I93" s="2" t="e">
        <f t="shared" si="4"/>
        <v>#DIV/0!</v>
      </c>
      <c r="K93" s="2" t="e">
        <f t="shared" si="5"/>
        <v>#NUM!</v>
      </c>
    </row>
    <row r="94" spans="1:11" ht="13.9" x14ac:dyDescent="0.3">
      <c r="A94" s="2" t="s">
        <v>111</v>
      </c>
      <c r="B94" s="2">
        <v>0</v>
      </c>
      <c r="C94" s="2">
        <v>0</v>
      </c>
      <c r="D94" s="2">
        <v>0</v>
      </c>
      <c r="E94" s="2">
        <v>0.41</v>
      </c>
      <c r="F94" s="2">
        <v>0</v>
      </c>
      <c r="G94" s="2">
        <v>0</v>
      </c>
      <c r="H94" s="2" t="e">
        <f t="shared" si="3"/>
        <v>#NUM!</v>
      </c>
      <c r="I94" s="2">
        <f t="shared" si="4"/>
        <v>0.37390096630005903</v>
      </c>
      <c r="K94" s="2" t="e">
        <f t="shared" si="5"/>
        <v>#NUM!</v>
      </c>
    </row>
    <row r="95" spans="1:11" ht="13.9" x14ac:dyDescent="0.3">
      <c r="A95" s="2" t="s">
        <v>112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 t="e">
        <f t="shared" si="3"/>
        <v>#DIV/0!</v>
      </c>
      <c r="I95" s="2" t="e">
        <f t="shared" si="4"/>
        <v>#DIV/0!</v>
      </c>
      <c r="K95" s="2" t="e">
        <f t="shared" si="5"/>
        <v>#NUM!</v>
      </c>
    </row>
    <row r="96" spans="1:11" ht="13.9" x14ac:dyDescent="0.3">
      <c r="A96" s="2" t="s">
        <v>113</v>
      </c>
      <c r="B96" s="2">
        <v>0</v>
      </c>
      <c r="C96" s="2">
        <v>9.2100000000000009</v>
      </c>
      <c r="D96" s="2">
        <v>0</v>
      </c>
      <c r="E96" s="2">
        <v>0.51</v>
      </c>
      <c r="F96" s="2">
        <v>0</v>
      </c>
      <c r="G96" s="2">
        <v>0.68</v>
      </c>
      <c r="H96" s="2">
        <f t="shared" si="3"/>
        <v>2.9522395827833923</v>
      </c>
      <c r="I96" s="2">
        <f t="shared" si="4"/>
        <v>0.43394412493357398</v>
      </c>
      <c r="K96" s="2">
        <f t="shared" si="5"/>
        <v>3.2032011563166112</v>
      </c>
    </row>
    <row r="97" spans="1:11" ht="13.9" x14ac:dyDescent="0.3">
      <c r="A97" s="2" t="s">
        <v>114</v>
      </c>
      <c r="B97" s="2">
        <v>0.18</v>
      </c>
      <c r="C97" s="2">
        <v>0</v>
      </c>
      <c r="D97" s="2">
        <v>0</v>
      </c>
      <c r="E97" s="2">
        <v>23.46</v>
      </c>
      <c r="F97" s="2">
        <v>0</v>
      </c>
      <c r="G97" s="2">
        <v>20.71</v>
      </c>
      <c r="H97" s="2">
        <f t="shared" si="3"/>
        <v>-7.938926115597841</v>
      </c>
      <c r="I97" s="2">
        <f t="shared" si="4"/>
        <v>0.11876036611070445</v>
      </c>
      <c r="K97" s="2">
        <f t="shared" si="5"/>
        <v>-2.4739311883324122</v>
      </c>
    </row>
    <row r="98" spans="1:11" ht="13.9" x14ac:dyDescent="0.3">
      <c r="A98" s="2" t="s">
        <v>115</v>
      </c>
      <c r="B98" s="2">
        <v>4.13</v>
      </c>
      <c r="C98" s="2">
        <v>7.95</v>
      </c>
      <c r="D98" s="2">
        <v>0</v>
      </c>
      <c r="E98" s="2">
        <v>26.24</v>
      </c>
      <c r="F98" s="2">
        <v>0</v>
      </c>
      <c r="G98" s="2">
        <v>32.89</v>
      </c>
      <c r="H98" s="2">
        <f t="shared" si="3"/>
        <v>-2.2912698224395629</v>
      </c>
      <c r="I98" s="2">
        <f t="shared" si="4"/>
        <v>0.20248330666713965</v>
      </c>
      <c r="K98" s="2">
        <f t="shared" si="5"/>
        <v>3.5945485495503542</v>
      </c>
    </row>
    <row r="99" spans="1:11" ht="13.9" x14ac:dyDescent="0.3">
      <c r="A99" s="2" t="s">
        <v>116</v>
      </c>
      <c r="B99" s="2">
        <v>0</v>
      </c>
      <c r="C99" s="2">
        <v>0</v>
      </c>
      <c r="D99" s="2">
        <v>0</v>
      </c>
      <c r="E99" s="2">
        <v>0.41</v>
      </c>
      <c r="F99" s="2">
        <v>0</v>
      </c>
      <c r="G99" s="2">
        <v>1.62</v>
      </c>
      <c r="H99" s="2" t="e">
        <f t="shared" si="3"/>
        <v>#NUM!</v>
      </c>
      <c r="I99" s="2">
        <f t="shared" si="4"/>
        <v>0.23646803877235414</v>
      </c>
      <c r="K99" s="2" t="e">
        <f t="shared" si="5"/>
        <v>#NUM!</v>
      </c>
    </row>
    <row r="100" spans="1:11" ht="13.9" x14ac:dyDescent="0.3">
      <c r="A100" s="2" t="s">
        <v>117</v>
      </c>
      <c r="B100" s="2">
        <v>53.9</v>
      </c>
      <c r="C100" s="2">
        <v>22.39</v>
      </c>
      <c r="D100" s="2">
        <v>47.26</v>
      </c>
      <c r="E100" s="2">
        <v>53.81</v>
      </c>
      <c r="F100" s="2">
        <v>0</v>
      </c>
      <c r="G100" s="2">
        <v>99.07</v>
      </c>
      <c r="H100" s="2">
        <f t="shared" si="3"/>
        <v>-0.30730467276130996</v>
      </c>
      <c r="I100" s="2">
        <f t="shared" si="4"/>
        <v>0.76234476765531256</v>
      </c>
      <c r="K100" s="2">
        <f t="shared" si="5"/>
        <v>6.9489512004414218</v>
      </c>
    </row>
    <row r="101" spans="1:11" ht="13.9" x14ac:dyDescent="0.3">
      <c r="A101" s="2" t="s">
        <v>118</v>
      </c>
      <c r="B101" s="2">
        <v>10.06</v>
      </c>
      <c r="C101" s="2">
        <v>0</v>
      </c>
      <c r="D101" s="2">
        <v>24.13</v>
      </c>
      <c r="E101" s="2">
        <v>4.32</v>
      </c>
      <c r="F101" s="2">
        <v>0</v>
      </c>
      <c r="G101" s="2">
        <v>14.62</v>
      </c>
      <c r="H101" s="2">
        <f t="shared" si="3"/>
        <v>0.85213809196500967</v>
      </c>
      <c r="I101" s="2">
        <f t="shared" si="4"/>
        <v>0.57033941025156565</v>
      </c>
      <c r="K101" s="2">
        <f t="shared" si="5"/>
        <v>5.0955025176586695</v>
      </c>
    </row>
    <row r="102" spans="1:11" ht="13.9" x14ac:dyDescent="0.3">
      <c r="A102" s="2" t="s">
        <v>119</v>
      </c>
      <c r="B102" s="2">
        <v>0</v>
      </c>
      <c r="C102" s="2">
        <v>0.21</v>
      </c>
      <c r="D102" s="2">
        <v>0</v>
      </c>
      <c r="E102" s="2">
        <v>0.62</v>
      </c>
      <c r="F102" s="2">
        <v>0</v>
      </c>
      <c r="G102" s="2">
        <v>0.41</v>
      </c>
      <c r="H102" s="2">
        <f t="shared" si="3"/>
        <v>-2.2941831044044583</v>
      </c>
      <c r="I102" s="2">
        <f t="shared" si="4"/>
        <v>0.23372698617802368</v>
      </c>
      <c r="K102" s="2">
        <f t="shared" si="5"/>
        <v>-2.2515387669959646</v>
      </c>
    </row>
    <row r="103" spans="1:11" ht="13.9" x14ac:dyDescent="0.3">
      <c r="A103" s="2" t="s">
        <v>120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0.27</v>
      </c>
      <c r="H103" s="2" t="e">
        <f t="shared" si="3"/>
        <v>#NUM!</v>
      </c>
      <c r="I103" s="2">
        <f t="shared" si="4"/>
        <v>0.37390096630005903</v>
      </c>
      <c r="K103" s="2" t="e">
        <f t="shared" si="5"/>
        <v>#NUM!</v>
      </c>
    </row>
    <row r="104" spans="1:11" ht="13.9" x14ac:dyDescent="0.3">
      <c r="A104" s="2" t="s">
        <v>121</v>
      </c>
      <c r="B104" s="2">
        <v>0</v>
      </c>
      <c r="C104" s="2">
        <v>0.21</v>
      </c>
      <c r="D104" s="2">
        <v>0</v>
      </c>
      <c r="E104" s="2">
        <v>0.31</v>
      </c>
      <c r="F104" s="2">
        <v>0</v>
      </c>
      <c r="G104" s="2">
        <v>0.27</v>
      </c>
      <c r="H104" s="2">
        <f t="shared" si="3"/>
        <v>-1.4656635723488121</v>
      </c>
      <c r="I104" s="2">
        <f t="shared" si="4"/>
        <v>0.36180895582463124</v>
      </c>
      <c r="K104" s="2">
        <f t="shared" si="5"/>
        <v>-2.2515387669959646</v>
      </c>
    </row>
    <row r="105" spans="1:11" ht="13.9" x14ac:dyDescent="0.3">
      <c r="A105" s="2" t="s">
        <v>122</v>
      </c>
      <c r="B105" s="2">
        <v>0.36</v>
      </c>
      <c r="C105" s="2">
        <v>0</v>
      </c>
      <c r="D105" s="2">
        <v>0</v>
      </c>
      <c r="E105" s="2">
        <v>2.88</v>
      </c>
      <c r="F105" s="2">
        <v>0</v>
      </c>
      <c r="G105" s="2">
        <v>0.68</v>
      </c>
      <c r="H105" s="2">
        <f t="shared" si="3"/>
        <v>-3.3058084295240855</v>
      </c>
      <c r="I105" s="2">
        <f t="shared" si="4"/>
        <v>0.2909207047722947</v>
      </c>
      <c r="K105" s="2">
        <f t="shared" si="5"/>
        <v>-1.4739311883324124</v>
      </c>
    </row>
    <row r="106" spans="1:11" ht="13.9" x14ac:dyDescent="0.3">
      <c r="A106" s="2" t="s">
        <v>123</v>
      </c>
      <c r="B106" s="2">
        <v>0</v>
      </c>
      <c r="C106" s="2">
        <v>0</v>
      </c>
      <c r="D106" s="2">
        <v>0</v>
      </c>
      <c r="E106" s="2">
        <v>0.51</v>
      </c>
      <c r="F106" s="2">
        <v>0</v>
      </c>
      <c r="G106" s="2">
        <v>1.08</v>
      </c>
      <c r="H106" s="2" t="e">
        <f t="shared" si="3"/>
        <v>#NUM!</v>
      </c>
      <c r="I106" s="2">
        <f t="shared" si="4"/>
        <v>0.16452799588312797</v>
      </c>
      <c r="K106" s="2" t="e">
        <f t="shared" si="5"/>
        <v>#NUM!</v>
      </c>
    </row>
    <row r="107" spans="1:11" ht="13.9" x14ac:dyDescent="0.3">
      <c r="A107" s="2" t="s">
        <v>124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 t="e">
        <f t="shared" si="3"/>
        <v>#DIV/0!</v>
      </c>
      <c r="I107" s="2" t="e">
        <f t="shared" si="4"/>
        <v>#DIV/0!</v>
      </c>
      <c r="K107" s="2" t="e">
        <f t="shared" si="5"/>
        <v>#NUM!</v>
      </c>
    </row>
    <row r="108" spans="1:11" ht="13.9" x14ac:dyDescent="0.3">
      <c r="A108" s="2" t="s">
        <v>125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 t="e">
        <f t="shared" si="3"/>
        <v>#DIV/0!</v>
      </c>
      <c r="I108" s="2" t="e">
        <f t="shared" si="4"/>
        <v>#DIV/0!</v>
      </c>
      <c r="K108" s="2" t="e">
        <f t="shared" si="5"/>
        <v>#NUM!</v>
      </c>
    </row>
    <row r="109" spans="1:11" ht="13.9" x14ac:dyDescent="0.3">
      <c r="A109" s="2" t="s">
        <v>126</v>
      </c>
      <c r="B109" s="2">
        <v>0</v>
      </c>
      <c r="C109" s="2">
        <v>1.88</v>
      </c>
      <c r="D109" s="2">
        <v>0</v>
      </c>
      <c r="E109" s="2">
        <v>4.12</v>
      </c>
      <c r="F109" s="2">
        <v>0</v>
      </c>
      <c r="G109" s="2">
        <v>6.5</v>
      </c>
      <c r="H109" s="2">
        <f t="shared" si="3"/>
        <v>-2.4979791991265166</v>
      </c>
      <c r="I109" s="2">
        <f t="shared" si="4"/>
        <v>0.21881952207358382</v>
      </c>
      <c r="K109" s="2">
        <f t="shared" si="5"/>
        <v>0.91073266190291258</v>
      </c>
    </row>
    <row r="110" spans="1:11" ht="13.9" x14ac:dyDescent="0.3">
      <c r="A110" s="2" t="s">
        <v>127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0.54</v>
      </c>
      <c r="H110" s="2" t="e">
        <f t="shared" si="3"/>
        <v>#NUM!</v>
      </c>
      <c r="I110" s="2">
        <f t="shared" si="4"/>
        <v>0.37390096630005903</v>
      </c>
      <c r="K110" s="2" t="e">
        <f t="shared" si="5"/>
        <v>#NUM!</v>
      </c>
    </row>
    <row r="111" spans="1:11" ht="13.9" x14ac:dyDescent="0.3">
      <c r="A111" s="2" t="s">
        <v>128</v>
      </c>
      <c r="B111" s="2">
        <v>3.95</v>
      </c>
      <c r="C111" s="2">
        <v>9.42</v>
      </c>
      <c r="D111" s="2">
        <v>20.61</v>
      </c>
      <c r="E111" s="2">
        <v>6.89</v>
      </c>
      <c r="F111" s="2">
        <v>0</v>
      </c>
      <c r="G111" s="2">
        <v>8.39</v>
      </c>
      <c r="H111" s="2">
        <f t="shared" si="3"/>
        <v>1.1530413091484719</v>
      </c>
      <c r="I111" s="2">
        <f t="shared" si="4"/>
        <v>0.32360749531682731</v>
      </c>
      <c r="K111" s="2">
        <f t="shared" si="5"/>
        <v>5.0866139474094965</v>
      </c>
    </row>
    <row r="112" spans="1:11" ht="13.9" x14ac:dyDescent="0.3">
      <c r="A112" s="2" t="s">
        <v>129</v>
      </c>
      <c r="B112" s="2">
        <v>0</v>
      </c>
      <c r="C112" s="2">
        <v>0</v>
      </c>
      <c r="D112" s="2">
        <v>0</v>
      </c>
      <c r="E112" s="2">
        <v>0.31</v>
      </c>
      <c r="F112" s="2">
        <v>0</v>
      </c>
      <c r="G112" s="2">
        <v>0</v>
      </c>
      <c r="H112" s="2" t="e">
        <f t="shared" si="3"/>
        <v>#NUM!</v>
      </c>
      <c r="I112" s="2">
        <f t="shared" si="4"/>
        <v>0.37390096630005903</v>
      </c>
      <c r="K112" s="2" t="e">
        <f t="shared" si="5"/>
        <v>#NUM!</v>
      </c>
    </row>
    <row r="113" spans="1:11" ht="13.9" x14ac:dyDescent="0.3">
      <c r="A113" s="2" t="s">
        <v>130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 t="e">
        <f t="shared" si="3"/>
        <v>#DIV/0!</v>
      </c>
      <c r="I113" s="2" t="e">
        <f t="shared" si="4"/>
        <v>#DIV/0!</v>
      </c>
      <c r="K113" s="2" t="e">
        <f t="shared" si="5"/>
        <v>#NUM!</v>
      </c>
    </row>
    <row r="114" spans="1:11" ht="13.9" x14ac:dyDescent="0.3">
      <c r="A114" s="2" t="s">
        <v>131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 t="e">
        <f t="shared" si="3"/>
        <v>#DIV/0!</v>
      </c>
      <c r="I114" s="2" t="e">
        <f t="shared" si="4"/>
        <v>#DIV/0!</v>
      </c>
      <c r="K114" s="2" t="e">
        <f t="shared" si="5"/>
        <v>#NUM!</v>
      </c>
    </row>
    <row r="115" spans="1:11" ht="13.9" x14ac:dyDescent="0.3">
      <c r="A115" s="2" t="s">
        <v>132</v>
      </c>
      <c r="B115" s="2">
        <v>0</v>
      </c>
      <c r="C115" s="2">
        <v>0</v>
      </c>
      <c r="D115" s="2">
        <v>0</v>
      </c>
      <c r="E115" s="2">
        <v>0.72</v>
      </c>
      <c r="F115" s="2">
        <v>0</v>
      </c>
      <c r="G115" s="2">
        <v>0</v>
      </c>
      <c r="H115" s="2" t="e">
        <f t="shared" si="3"/>
        <v>#NUM!</v>
      </c>
      <c r="I115" s="2">
        <f t="shared" si="4"/>
        <v>0.37390096630005903</v>
      </c>
      <c r="K115" s="2" t="e">
        <f t="shared" si="5"/>
        <v>#NUM!</v>
      </c>
    </row>
    <row r="116" spans="1:11" ht="13.9" x14ac:dyDescent="0.3">
      <c r="A116" s="2" t="s">
        <v>133</v>
      </c>
      <c r="B116" s="2">
        <v>15.27</v>
      </c>
      <c r="C116" s="2">
        <v>12.14</v>
      </c>
      <c r="D116" s="2">
        <v>0</v>
      </c>
      <c r="E116" s="2">
        <v>7.2</v>
      </c>
      <c r="F116" s="2">
        <v>0</v>
      </c>
      <c r="G116" s="2">
        <v>3.38</v>
      </c>
      <c r="H116" s="2">
        <f t="shared" si="3"/>
        <v>1.3733627007117495</v>
      </c>
      <c r="I116" s="2">
        <f t="shared" si="4"/>
        <v>0.33309557176078197</v>
      </c>
      <c r="K116" s="2">
        <f t="shared" si="5"/>
        <v>4.776630423051051</v>
      </c>
    </row>
    <row r="117" spans="1:11" ht="13.9" x14ac:dyDescent="0.3">
      <c r="A117" s="2" t="s">
        <v>134</v>
      </c>
      <c r="B117" s="2">
        <v>41.14</v>
      </c>
      <c r="C117" s="2">
        <v>26.79</v>
      </c>
      <c r="D117" s="2">
        <v>50.27</v>
      </c>
      <c r="E117" s="2">
        <v>3.91</v>
      </c>
      <c r="F117" s="2">
        <v>40.880000000000003</v>
      </c>
      <c r="G117" s="2">
        <v>8.8000000000000007</v>
      </c>
      <c r="H117" s="2">
        <f t="shared" si="3"/>
        <v>1.1411943143536019</v>
      </c>
      <c r="I117" s="2">
        <f t="shared" si="4"/>
        <v>0.18480205764301669</v>
      </c>
      <c r="K117" s="2">
        <f t="shared" si="5"/>
        <v>6.8850862252901708</v>
      </c>
    </row>
    <row r="118" spans="1:11" ht="13.9" x14ac:dyDescent="0.3">
      <c r="A118" s="2" t="s">
        <v>135</v>
      </c>
      <c r="B118" s="2">
        <v>43.84</v>
      </c>
      <c r="C118" s="2">
        <v>54.62</v>
      </c>
      <c r="D118" s="2">
        <v>58.32</v>
      </c>
      <c r="E118" s="2">
        <v>39.92</v>
      </c>
      <c r="F118" s="2">
        <v>81.75</v>
      </c>
      <c r="G118" s="2">
        <v>79.72</v>
      </c>
      <c r="H118" s="2">
        <f t="shared" si="3"/>
        <v>-0.36125051775571398</v>
      </c>
      <c r="I118" s="2">
        <f t="shared" si="4"/>
        <v>0.3569324739109343</v>
      </c>
      <c r="K118" s="2">
        <f t="shared" si="5"/>
        <v>7.2925977202664534</v>
      </c>
    </row>
    <row r="119" spans="1:11" ht="13.9" x14ac:dyDescent="0.3">
      <c r="A119" s="2" t="s">
        <v>136</v>
      </c>
      <c r="B119" s="2">
        <v>1053.1300000000001</v>
      </c>
      <c r="C119" s="2">
        <v>1918.69</v>
      </c>
      <c r="D119" s="2">
        <v>2716.82</v>
      </c>
      <c r="E119" s="2">
        <v>1360.71</v>
      </c>
      <c r="F119" s="2">
        <v>35889.47</v>
      </c>
      <c r="G119" s="2">
        <v>3015.14</v>
      </c>
      <c r="H119" s="2">
        <f t="shared" si="3"/>
        <v>-2.8233821094556268</v>
      </c>
      <c r="I119" s="2">
        <f t="shared" si="4"/>
        <v>0.36367556426237407</v>
      </c>
      <c r="K119" s="2">
        <f t="shared" si="5"/>
        <v>12.473868069043629</v>
      </c>
    </row>
    <row r="120" spans="1:11" ht="13.9" x14ac:dyDescent="0.3">
      <c r="A120" s="2" t="s">
        <v>137</v>
      </c>
      <c r="B120" s="2">
        <v>41.86</v>
      </c>
      <c r="C120" s="2">
        <v>52.53</v>
      </c>
      <c r="D120" s="2">
        <v>36.200000000000003</v>
      </c>
      <c r="E120" s="2">
        <v>42.39</v>
      </c>
      <c r="F120" s="2">
        <v>40.880000000000003</v>
      </c>
      <c r="G120" s="2">
        <v>45.75</v>
      </c>
      <c r="H120" s="2">
        <f t="shared" si="3"/>
        <v>1.7449703998578234E-2</v>
      </c>
      <c r="I120" s="2">
        <f t="shared" si="4"/>
        <v>0.92166478386296058</v>
      </c>
      <c r="K120" s="2">
        <f t="shared" si="5"/>
        <v>7.028900615734333</v>
      </c>
    </row>
    <row r="121" spans="1:11" ht="13.9" x14ac:dyDescent="0.3">
      <c r="A121" s="2" t="s">
        <v>138</v>
      </c>
      <c r="B121" s="2">
        <v>0</v>
      </c>
      <c r="C121" s="2">
        <v>0.21</v>
      </c>
      <c r="D121" s="2">
        <v>0</v>
      </c>
      <c r="E121" s="2">
        <v>0.41</v>
      </c>
      <c r="F121" s="2">
        <v>0</v>
      </c>
      <c r="G121" s="2">
        <v>2.2999999999999998</v>
      </c>
      <c r="H121" s="2">
        <f t="shared" si="3"/>
        <v>-3.6898316185751114</v>
      </c>
      <c r="I121" s="2">
        <f t="shared" si="4"/>
        <v>0.30665651032988844</v>
      </c>
      <c r="K121" s="2">
        <f t="shared" si="5"/>
        <v>-2.2515387669959646</v>
      </c>
    </row>
    <row r="122" spans="1:11" ht="13.9" x14ac:dyDescent="0.3">
      <c r="A122" s="2" t="s">
        <v>139</v>
      </c>
      <c r="B122" s="2">
        <v>525.66999999999996</v>
      </c>
      <c r="C122" s="2">
        <v>616.33000000000004</v>
      </c>
      <c r="D122" s="2">
        <v>843.1</v>
      </c>
      <c r="E122" s="2">
        <v>468.35</v>
      </c>
      <c r="F122" s="2">
        <v>10832.24</v>
      </c>
      <c r="G122" s="2">
        <v>359.62</v>
      </c>
      <c r="H122" s="2">
        <f t="shared" si="3"/>
        <v>-2.5543101811616662</v>
      </c>
      <c r="I122" s="2">
        <f t="shared" si="4"/>
        <v>0.4058023043233821</v>
      </c>
      <c r="K122" s="2">
        <f t="shared" si="5"/>
        <v>10.954995970050582</v>
      </c>
    </row>
    <row r="123" spans="1:11" ht="13.9" x14ac:dyDescent="0.3">
      <c r="A123" s="2" t="s">
        <v>140</v>
      </c>
      <c r="B123" s="2">
        <v>229.78</v>
      </c>
      <c r="C123" s="2">
        <v>348.45</v>
      </c>
      <c r="D123" s="2">
        <v>358.46</v>
      </c>
      <c r="E123" s="2">
        <v>297.56</v>
      </c>
      <c r="F123" s="2">
        <v>42511.45</v>
      </c>
      <c r="G123" s="2">
        <v>255</v>
      </c>
      <c r="H123" s="2">
        <f t="shared" si="3"/>
        <v>-5.5227671920693719</v>
      </c>
      <c r="I123" s="2">
        <f t="shared" si="4"/>
        <v>0.37500068654065061</v>
      </c>
      <c r="K123" s="2">
        <f t="shared" si="5"/>
        <v>9.8714278529618724</v>
      </c>
    </row>
    <row r="124" spans="1:11" ht="13.9" x14ac:dyDescent="0.3">
      <c r="A124" s="2" t="s">
        <v>141</v>
      </c>
      <c r="B124" s="2">
        <v>22950.22</v>
      </c>
      <c r="C124" s="2">
        <v>34979.019999999997</v>
      </c>
      <c r="D124" s="2">
        <v>31510.86</v>
      </c>
      <c r="E124" s="2">
        <v>36692.68</v>
      </c>
      <c r="F124" s="2">
        <v>26201.77</v>
      </c>
      <c r="G124" s="2">
        <v>38539.879999999997</v>
      </c>
      <c r="H124" s="2">
        <f t="shared" si="3"/>
        <v>-0.18155230241362844</v>
      </c>
      <c r="I124" s="2">
        <f t="shared" si="4"/>
        <v>0.48858854688291076</v>
      </c>
      <c r="K124" s="2">
        <f t="shared" si="5"/>
        <v>16.448634180760777</v>
      </c>
    </row>
    <row r="125" spans="1:11" ht="13.9" x14ac:dyDescent="0.3">
      <c r="A125" s="2" t="s">
        <v>142</v>
      </c>
      <c r="B125" s="2">
        <v>20.3</v>
      </c>
      <c r="C125" s="2">
        <v>31.39</v>
      </c>
      <c r="D125" s="2">
        <v>10.56</v>
      </c>
      <c r="E125" s="2">
        <v>3.4</v>
      </c>
      <c r="F125" s="2">
        <v>0</v>
      </c>
      <c r="G125" s="2">
        <v>0.68</v>
      </c>
      <c r="H125" s="2">
        <f t="shared" si="3"/>
        <v>3.9314327798713098</v>
      </c>
      <c r="I125" s="2">
        <f t="shared" si="4"/>
        <v>3.3682949519537216E-2</v>
      </c>
      <c r="K125" s="2">
        <f t="shared" si="5"/>
        <v>5.9600019320680806</v>
      </c>
    </row>
    <row r="126" spans="1:11" ht="13.9" x14ac:dyDescent="0.3">
      <c r="A126" s="2" t="s">
        <v>143</v>
      </c>
      <c r="B126" s="2">
        <v>0.18</v>
      </c>
      <c r="C126" s="2">
        <v>0.21</v>
      </c>
      <c r="D126" s="2">
        <v>0</v>
      </c>
      <c r="E126" s="2">
        <v>0.1</v>
      </c>
      <c r="F126" s="2">
        <v>0</v>
      </c>
      <c r="G126" s="2">
        <v>0.27</v>
      </c>
      <c r="H126" s="2">
        <f t="shared" si="3"/>
        <v>7.594885323329871E-2</v>
      </c>
      <c r="I126" s="2">
        <f t="shared" si="4"/>
        <v>0.95127370660671695</v>
      </c>
      <c r="K126" s="2">
        <f t="shared" si="5"/>
        <v>-1.3584539709124763</v>
      </c>
    </row>
    <row r="127" spans="1:11" ht="13.9" x14ac:dyDescent="0.3">
      <c r="A127" s="2" t="s">
        <v>144</v>
      </c>
      <c r="B127" s="2">
        <v>0</v>
      </c>
      <c r="C127" s="2">
        <v>1.05</v>
      </c>
      <c r="D127" s="2">
        <v>1.51</v>
      </c>
      <c r="E127" s="2">
        <v>0.62</v>
      </c>
      <c r="F127" s="2">
        <v>0</v>
      </c>
      <c r="G127" s="2">
        <v>1.22</v>
      </c>
      <c r="H127" s="2">
        <f t="shared" si="3"/>
        <v>0.47643804394298733</v>
      </c>
      <c r="I127" s="2">
        <f t="shared" si="4"/>
        <v>0.69484098685753182</v>
      </c>
      <c r="K127" s="2">
        <f t="shared" si="5"/>
        <v>1.3561438102252754</v>
      </c>
    </row>
    <row r="128" spans="1:11" ht="13.9" x14ac:dyDescent="0.3">
      <c r="A128" s="2" t="s">
        <v>145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0.81</v>
      </c>
      <c r="H128" s="2" t="e">
        <f t="shared" si="3"/>
        <v>#NUM!</v>
      </c>
      <c r="I128" s="2">
        <f t="shared" si="4"/>
        <v>0.37390096630005903</v>
      </c>
      <c r="K128" s="2" t="e">
        <f t="shared" si="5"/>
        <v>#NUM!</v>
      </c>
    </row>
    <row r="129" spans="1:11" ht="13.9" x14ac:dyDescent="0.3">
      <c r="A129" s="2" t="s">
        <v>146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 t="e">
        <f t="shared" si="3"/>
        <v>#DIV/0!</v>
      </c>
      <c r="I129" s="2" t="e">
        <f t="shared" si="4"/>
        <v>#DIV/0!</v>
      </c>
      <c r="K129" s="2" t="e">
        <f t="shared" si="5"/>
        <v>#NUM!</v>
      </c>
    </row>
    <row r="130" spans="1:11" ht="13.9" x14ac:dyDescent="0.3">
      <c r="A130" s="2" t="s">
        <v>147</v>
      </c>
      <c r="B130" s="2">
        <v>201.03</v>
      </c>
      <c r="C130" s="2">
        <v>279.18</v>
      </c>
      <c r="D130" s="2">
        <v>463.03</v>
      </c>
      <c r="E130" s="2">
        <v>488.11</v>
      </c>
      <c r="F130" s="2">
        <v>408.76</v>
      </c>
      <c r="G130" s="2">
        <v>856.62</v>
      </c>
      <c r="H130" s="2">
        <f t="shared" ref="H130:H193" si="6">LOG(SUM(B130:D130)/SUM(E130:G130),2)</f>
        <v>-0.89453239792183881</v>
      </c>
      <c r="I130" s="2">
        <f t="shared" ref="I130:I193" si="7">_xlfn.T.TEST(B130:D130,E130:G130,2,2)</f>
        <v>0.16323548299553928</v>
      </c>
      <c r="K130" s="2">
        <f t="shared" si="5"/>
        <v>9.8814810897908849</v>
      </c>
    </row>
    <row r="131" spans="1:11" ht="13.9" x14ac:dyDescent="0.3">
      <c r="A131" s="2" t="s">
        <v>148</v>
      </c>
      <c r="B131" s="2">
        <v>0</v>
      </c>
      <c r="C131" s="2">
        <v>0</v>
      </c>
      <c r="D131" s="2">
        <v>30.16</v>
      </c>
      <c r="E131" s="2">
        <v>1.75</v>
      </c>
      <c r="F131" s="2">
        <v>0</v>
      </c>
      <c r="G131" s="2">
        <v>2.84</v>
      </c>
      <c r="H131" s="2">
        <f t="shared" si="6"/>
        <v>2.7160703698548563</v>
      </c>
      <c r="I131" s="2">
        <f t="shared" si="7"/>
        <v>0.44571282770982967</v>
      </c>
      <c r="K131" s="2">
        <f t="shared" ref="K131:K194" si="8">LOG(SUM(B131:D131),2)</f>
        <v>4.9145645234939392</v>
      </c>
    </row>
    <row r="132" spans="1:11" ht="13.9" x14ac:dyDescent="0.3">
      <c r="A132" s="2" t="s">
        <v>149</v>
      </c>
      <c r="B132" s="2">
        <v>4694.3500000000004</v>
      </c>
      <c r="C132" s="2">
        <v>7137.32</v>
      </c>
      <c r="D132" s="2">
        <v>6295.84</v>
      </c>
      <c r="E132" s="2">
        <v>10571.28</v>
      </c>
      <c r="F132" s="2">
        <v>7439.5</v>
      </c>
      <c r="G132" s="2">
        <v>12405.17</v>
      </c>
      <c r="H132" s="2">
        <f t="shared" si="6"/>
        <v>-0.74664729580734457</v>
      </c>
      <c r="I132" s="2">
        <f t="shared" si="7"/>
        <v>6.4456945291516854E-2</v>
      </c>
      <c r="K132" s="2">
        <f t="shared" si="8"/>
        <v>14.145893149233787</v>
      </c>
    </row>
    <row r="133" spans="1:11" ht="13.9" x14ac:dyDescent="0.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 t="e">
        <f t="shared" si="6"/>
        <v>#DIV/0!</v>
      </c>
      <c r="I133" s="2" t="e">
        <f t="shared" si="7"/>
        <v>#DIV/0!</v>
      </c>
      <c r="K133" s="2" t="e">
        <f t="shared" si="8"/>
        <v>#NUM!</v>
      </c>
    </row>
    <row r="134" spans="1:11" ht="13.9" x14ac:dyDescent="0.3">
      <c r="A134" s="2" t="s">
        <v>151</v>
      </c>
      <c r="B134" s="2">
        <v>167017.59</v>
      </c>
      <c r="C134" s="2">
        <v>219498.55</v>
      </c>
      <c r="D134" s="2">
        <v>196217.17</v>
      </c>
      <c r="E134" s="2">
        <v>546281.47</v>
      </c>
      <c r="F134" s="2">
        <v>186478.09</v>
      </c>
      <c r="G134" s="2">
        <v>475505.43</v>
      </c>
      <c r="H134" s="2">
        <f t="shared" si="6"/>
        <v>-1.0520292082771188</v>
      </c>
      <c r="I134" s="2">
        <f t="shared" si="7"/>
        <v>0.13376183828117807</v>
      </c>
      <c r="K134" s="2">
        <f t="shared" si="8"/>
        <v>19.152476254314259</v>
      </c>
    </row>
    <row r="135" spans="1:11" ht="13.9" x14ac:dyDescent="0.3">
      <c r="A135" s="2" t="s">
        <v>152</v>
      </c>
      <c r="B135" s="2">
        <v>0</v>
      </c>
      <c r="C135" s="2">
        <v>0</v>
      </c>
      <c r="D135" s="2">
        <v>12.57</v>
      </c>
      <c r="E135" s="2">
        <v>0.72</v>
      </c>
      <c r="F135" s="2">
        <v>0</v>
      </c>
      <c r="G135" s="2">
        <v>0</v>
      </c>
      <c r="H135" s="2">
        <f t="shared" si="6"/>
        <v>4.1258439329781957</v>
      </c>
      <c r="I135" s="2">
        <f t="shared" si="7"/>
        <v>0.39990288398116736</v>
      </c>
      <c r="K135" s="2">
        <f t="shared" si="8"/>
        <v>3.6519127446457831</v>
      </c>
    </row>
    <row r="136" spans="1:11" ht="13.9" x14ac:dyDescent="0.3">
      <c r="A136" s="2" t="s">
        <v>153</v>
      </c>
      <c r="B136" s="2">
        <v>894.32</v>
      </c>
      <c r="C136" s="2">
        <v>1642.86</v>
      </c>
      <c r="D136" s="2">
        <v>2201.5100000000002</v>
      </c>
      <c r="E136" s="2">
        <v>1373.47</v>
      </c>
      <c r="F136" s="2">
        <v>490.52</v>
      </c>
      <c r="G136" s="2">
        <v>1842.49</v>
      </c>
      <c r="H136" s="2">
        <f t="shared" si="6"/>
        <v>0.35443855780948397</v>
      </c>
      <c r="I136" s="2">
        <f t="shared" si="7"/>
        <v>0.56426148138273435</v>
      </c>
      <c r="K136" s="2">
        <f t="shared" si="8"/>
        <v>12.210272569162631</v>
      </c>
    </row>
    <row r="137" spans="1:11" ht="13.9" x14ac:dyDescent="0.3">
      <c r="A137" s="2" t="s">
        <v>154</v>
      </c>
      <c r="B137" s="2">
        <v>0</v>
      </c>
      <c r="C137" s="2">
        <v>0</v>
      </c>
      <c r="D137" s="2">
        <v>0</v>
      </c>
      <c r="E137" s="2">
        <v>0.1</v>
      </c>
      <c r="F137" s="2">
        <v>0</v>
      </c>
      <c r="G137" s="2">
        <v>0</v>
      </c>
      <c r="H137" s="2" t="e">
        <f t="shared" si="6"/>
        <v>#NUM!</v>
      </c>
      <c r="I137" s="2">
        <f t="shared" si="7"/>
        <v>0.37390096630005903</v>
      </c>
      <c r="K137" s="2" t="e">
        <f t="shared" si="8"/>
        <v>#NUM!</v>
      </c>
    </row>
    <row r="138" spans="1:11" ht="13.9" x14ac:dyDescent="0.3">
      <c r="A138" s="2" t="s">
        <v>155</v>
      </c>
      <c r="B138" s="2">
        <v>16.89</v>
      </c>
      <c r="C138" s="2">
        <v>51.27</v>
      </c>
      <c r="D138" s="2">
        <v>80.44</v>
      </c>
      <c r="E138" s="2">
        <v>49.9</v>
      </c>
      <c r="F138" s="2">
        <v>40.880000000000003</v>
      </c>
      <c r="G138" s="2">
        <v>88.52</v>
      </c>
      <c r="H138" s="2">
        <f t="shared" si="6"/>
        <v>-0.27094137232977883</v>
      </c>
      <c r="I138" s="2">
        <f t="shared" si="7"/>
        <v>0.68530561675081736</v>
      </c>
      <c r="K138" s="2">
        <f t="shared" si="8"/>
        <v>7.2152903056512336</v>
      </c>
    </row>
    <row r="139" spans="1:11" ht="13.9" x14ac:dyDescent="0.3">
      <c r="A139" s="2" t="s">
        <v>156</v>
      </c>
      <c r="B139" s="2">
        <v>3477.38</v>
      </c>
      <c r="C139" s="2">
        <v>4315.37</v>
      </c>
      <c r="D139" s="2">
        <v>12846.57</v>
      </c>
      <c r="E139" s="2">
        <v>596.86</v>
      </c>
      <c r="F139" s="2">
        <v>981.03</v>
      </c>
      <c r="G139" s="2">
        <v>1669.65</v>
      </c>
      <c r="H139" s="2">
        <f t="shared" si="6"/>
        <v>2.6679762387354313</v>
      </c>
      <c r="I139" s="2">
        <f t="shared" si="7"/>
        <v>0.12635802904097465</v>
      </c>
      <c r="K139" s="2">
        <f t="shared" si="8"/>
        <v>14.333107818877062</v>
      </c>
    </row>
    <row r="140" spans="1:11" ht="13.9" x14ac:dyDescent="0.3">
      <c r="A140" s="2" t="s">
        <v>157</v>
      </c>
      <c r="B140" s="2">
        <v>1604.13</v>
      </c>
      <c r="C140" s="2">
        <v>2463.2399999999998</v>
      </c>
      <c r="D140" s="2">
        <v>1629.89</v>
      </c>
      <c r="E140" s="2">
        <v>4177.32</v>
      </c>
      <c r="F140" s="2">
        <v>16841.07</v>
      </c>
      <c r="G140" s="2">
        <v>4539.97</v>
      </c>
      <c r="H140" s="2">
        <f t="shared" si="6"/>
        <v>-2.1654551144130538</v>
      </c>
      <c r="I140" s="2">
        <f t="shared" si="7"/>
        <v>0.18770708300110342</v>
      </c>
      <c r="K140" s="2">
        <f t="shared" si="8"/>
        <v>12.476052531164045</v>
      </c>
    </row>
    <row r="141" spans="1:11" ht="13.9" x14ac:dyDescent="0.3">
      <c r="A141" s="2" t="s">
        <v>158</v>
      </c>
      <c r="B141" s="2">
        <v>9.34</v>
      </c>
      <c r="C141" s="2">
        <v>9.84</v>
      </c>
      <c r="D141" s="2">
        <v>38.21</v>
      </c>
      <c r="E141" s="2">
        <v>10.08</v>
      </c>
      <c r="F141" s="2">
        <v>40.880000000000003</v>
      </c>
      <c r="G141" s="2">
        <v>13.4</v>
      </c>
      <c r="H141" s="2">
        <f t="shared" si="6"/>
        <v>-0.16536495165617773</v>
      </c>
      <c r="I141" s="2">
        <f t="shared" si="7"/>
        <v>0.87310134562990804</v>
      </c>
      <c r="K141" s="2">
        <f t="shared" si="8"/>
        <v>5.8427274692925435</v>
      </c>
    </row>
    <row r="142" spans="1:11" ht="13.9" x14ac:dyDescent="0.3">
      <c r="A142" s="2" t="s">
        <v>159</v>
      </c>
      <c r="B142" s="2">
        <v>9.34</v>
      </c>
      <c r="C142" s="2">
        <v>9.84</v>
      </c>
      <c r="D142" s="2">
        <v>38.21</v>
      </c>
      <c r="E142" s="2">
        <v>9.67</v>
      </c>
      <c r="F142" s="2">
        <v>40.880000000000003</v>
      </c>
      <c r="G142" s="2">
        <v>13.4</v>
      </c>
      <c r="H142" s="2">
        <f t="shared" si="6"/>
        <v>-0.15614498470173094</v>
      </c>
      <c r="I142" s="2">
        <f t="shared" si="7"/>
        <v>0.88098043985346741</v>
      </c>
      <c r="K142" s="2">
        <f t="shared" si="8"/>
        <v>5.8427274692925435</v>
      </c>
    </row>
    <row r="143" spans="1:11" ht="13.9" x14ac:dyDescent="0.3">
      <c r="A143" s="2" t="s">
        <v>160</v>
      </c>
      <c r="B143" s="2">
        <v>104.2</v>
      </c>
      <c r="C143" s="2">
        <v>169.52</v>
      </c>
      <c r="D143" s="2">
        <v>126.19</v>
      </c>
      <c r="E143" s="2">
        <v>180.98</v>
      </c>
      <c r="F143" s="2">
        <v>122.63</v>
      </c>
      <c r="G143" s="2">
        <v>225.35</v>
      </c>
      <c r="H143" s="2">
        <f t="shared" si="6"/>
        <v>-0.40348327265076145</v>
      </c>
      <c r="I143" s="2">
        <f t="shared" si="7"/>
        <v>0.29108432765332359</v>
      </c>
      <c r="K143" s="2">
        <f t="shared" si="8"/>
        <v>8.6435315468668286</v>
      </c>
    </row>
    <row r="144" spans="1:11" ht="13.9" x14ac:dyDescent="0.3">
      <c r="A144" s="2" t="s">
        <v>161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 t="e">
        <f t="shared" si="6"/>
        <v>#DIV/0!</v>
      </c>
      <c r="I144" s="2" t="e">
        <f t="shared" si="7"/>
        <v>#DIV/0!</v>
      </c>
      <c r="K144" s="2" t="e">
        <f t="shared" si="8"/>
        <v>#NUM!</v>
      </c>
    </row>
    <row r="145" spans="1:11" ht="13.9" x14ac:dyDescent="0.3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 t="e">
        <f t="shared" si="6"/>
        <v>#DIV/0!</v>
      </c>
      <c r="I145" s="2" t="e">
        <f t="shared" si="7"/>
        <v>#DIV/0!</v>
      </c>
      <c r="K145" s="2" t="e">
        <f t="shared" si="8"/>
        <v>#NUM!</v>
      </c>
    </row>
    <row r="146" spans="1:11" ht="13.9" x14ac:dyDescent="0.3">
      <c r="A146" s="2" t="s">
        <v>163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 t="e">
        <f t="shared" si="6"/>
        <v>#DIV/0!</v>
      </c>
      <c r="I146" s="2" t="e">
        <f t="shared" si="7"/>
        <v>#DIV/0!</v>
      </c>
      <c r="K146" s="2" t="e">
        <f t="shared" si="8"/>
        <v>#NUM!</v>
      </c>
    </row>
    <row r="147" spans="1:11" ht="13.9" x14ac:dyDescent="0.3">
      <c r="A147" s="2" t="s">
        <v>164</v>
      </c>
      <c r="B147" s="2">
        <v>0</v>
      </c>
      <c r="C147" s="2">
        <v>0</v>
      </c>
      <c r="D147" s="2">
        <v>0</v>
      </c>
      <c r="E147" s="2">
        <v>0.51</v>
      </c>
      <c r="F147" s="2">
        <v>0</v>
      </c>
      <c r="G147" s="2">
        <v>0</v>
      </c>
      <c r="H147" s="2" t="e">
        <f t="shared" si="6"/>
        <v>#NUM!</v>
      </c>
      <c r="I147" s="2">
        <f t="shared" si="7"/>
        <v>0.37390096630005903</v>
      </c>
      <c r="K147" s="2" t="e">
        <f t="shared" si="8"/>
        <v>#NUM!</v>
      </c>
    </row>
    <row r="148" spans="1:11" ht="13.9" x14ac:dyDescent="0.3">
      <c r="A148" s="2" t="s">
        <v>165</v>
      </c>
      <c r="B148" s="2">
        <v>199.06</v>
      </c>
      <c r="C148" s="2">
        <v>230</v>
      </c>
      <c r="D148" s="2">
        <v>257.91000000000003</v>
      </c>
      <c r="E148" s="2">
        <v>584.72</v>
      </c>
      <c r="F148" s="2">
        <v>245.26</v>
      </c>
      <c r="G148" s="2">
        <v>1025.8</v>
      </c>
      <c r="H148" s="2">
        <f t="shared" si="6"/>
        <v>-1.4337066882220086</v>
      </c>
      <c r="I148" s="2">
        <f t="shared" si="7"/>
        <v>0.1606682720030661</v>
      </c>
      <c r="K148" s="2">
        <f t="shared" si="8"/>
        <v>9.424103287659074</v>
      </c>
    </row>
    <row r="149" spans="1:11" ht="13.9" x14ac:dyDescent="0.3">
      <c r="A149" s="2" t="s">
        <v>166</v>
      </c>
      <c r="B149" s="2">
        <v>0</v>
      </c>
      <c r="C149" s="2">
        <v>0</v>
      </c>
      <c r="D149" s="2">
        <v>0</v>
      </c>
      <c r="E149" s="2">
        <v>0.1</v>
      </c>
      <c r="F149" s="2">
        <v>0</v>
      </c>
      <c r="G149" s="2">
        <v>0</v>
      </c>
      <c r="H149" s="2" t="e">
        <f t="shared" si="6"/>
        <v>#NUM!</v>
      </c>
      <c r="I149" s="2">
        <f t="shared" si="7"/>
        <v>0.37390096630005903</v>
      </c>
      <c r="K149" s="2" t="e">
        <f t="shared" si="8"/>
        <v>#NUM!</v>
      </c>
    </row>
    <row r="150" spans="1:11" ht="13.9" x14ac:dyDescent="0.3">
      <c r="A150" s="2" t="s">
        <v>167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 t="e">
        <f t="shared" si="6"/>
        <v>#DIV/0!</v>
      </c>
      <c r="I150" s="2" t="e">
        <f t="shared" si="7"/>
        <v>#DIV/0!</v>
      </c>
      <c r="K150" s="2" t="e">
        <f t="shared" si="8"/>
        <v>#NUM!</v>
      </c>
    </row>
    <row r="151" spans="1:11" ht="13.9" x14ac:dyDescent="0.3">
      <c r="A151" s="2" t="s">
        <v>168</v>
      </c>
      <c r="B151" s="2">
        <v>9.16</v>
      </c>
      <c r="C151" s="2">
        <v>34.53</v>
      </c>
      <c r="D151" s="2">
        <v>105.07</v>
      </c>
      <c r="E151" s="2">
        <v>5.25</v>
      </c>
      <c r="F151" s="2">
        <v>0</v>
      </c>
      <c r="G151" s="2">
        <v>8.8000000000000007</v>
      </c>
      <c r="H151" s="2">
        <f t="shared" si="6"/>
        <v>3.4043446175036993</v>
      </c>
      <c r="I151" s="2">
        <f t="shared" si="7"/>
        <v>0.19404141165173255</v>
      </c>
      <c r="K151" s="2">
        <f t="shared" si="8"/>
        <v>7.2168428428372637</v>
      </c>
    </row>
    <row r="152" spans="1:11" ht="13.9" x14ac:dyDescent="0.3">
      <c r="A152" s="2" t="s">
        <v>169</v>
      </c>
      <c r="B152" s="2">
        <v>1.44</v>
      </c>
      <c r="C152" s="2">
        <v>8.7899999999999991</v>
      </c>
      <c r="D152" s="2">
        <v>0</v>
      </c>
      <c r="E152" s="2">
        <v>2.57</v>
      </c>
      <c r="F152" s="2">
        <v>0</v>
      </c>
      <c r="G152" s="2">
        <v>2.71</v>
      </c>
      <c r="H152" s="2">
        <f t="shared" si="6"/>
        <v>0.95419631038687525</v>
      </c>
      <c r="I152" s="2">
        <f t="shared" si="7"/>
        <v>0.59501995482854797</v>
      </c>
      <c r="K152" s="2">
        <f t="shared" si="8"/>
        <v>3.3547342399706039</v>
      </c>
    </row>
    <row r="153" spans="1:11" ht="13.9" x14ac:dyDescent="0.3">
      <c r="A153" s="2" t="s">
        <v>170</v>
      </c>
      <c r="B153" s="2">
        <v>21.38</v>
      </c>
      <c r="C153" s="2">
        <v>36.21</v>
      </c>
      <c r="D153" s="2">
        <v>0</v>
      </c>
      <c r="E153" s="2">
        <v>7.31</v>
      </c>
      <c r="F153" s="2">
        <v>0</v>
      </c>
      <c r="G153" s="2">
        <v>21.66</v>
      </c>
      <c r="H153" s="2">
        <f t="shared" si="6"/>
        <v>0.99125863742570741</v>
      </c>
      <c r="I153" s="2">
        <f t="shared" si="7"/>
        <v>0.48079148107392261</v>
      </c>
      <c r="K153" s="2">
        <f t="shared" si="8"/>
        <v>5.8477464169213862</v>
      </c>
    </row>
    <row r="154" spans="1:11" ht="13.9" x14ac:dyDescent="0.3">
      <c r="A154" s="2" t="s">
        <v>171</v>
      </c>
      <c r="B154" s="2">
        <v>0</v>
      </c>
      <c r="C154" s="2">
        <v>0</v>
      </c>
      <c r="D154" s="2">
        <v>0</v>
      </c>
      <c r="E154" s="2">
        <v>0.21</v>
      </c>
      <c r="F154" s="2">
        <v>0</v>
      </c>
      <c r="G154" s="2">
        <v>1.62</v>
      </c>
      <c r="H154" s="2" t="e">
        <f t="shared" si="6"/>
        <v>#NUM!</v>
      </c>
      <c r="I154" s="2">
        <f t="shared" si="7"/>
        <v>0.29659124348046351</v>
      </c>
      <c r="K154" s="2" t="e">
        <f t="shared" si="8"/>
        <v>#NUM!</v>
      </c>
    </row>
    <row r="155" spans="1:11" ht="13.9" x14ac:dyDescent="0.3">
      <c r="A155" s="2" t="s">
        <v>172</v>
      </c>
      <c r="B155" s="2">
        <v>0.18</v>
      </c>
      <c r="C155" s="2">
        <v>1.05</v>
      </c>
      <c r="D155" s="2">
        <v>0</v>
      </c>
      <c r="E155" s="2">
        <v>2.68</v>
      </c>
      <c r="F155" s="2">
        <v>0</v>
      </c>
      <c r="G155" s="2">
        <v>2.44</v>
      </c>
      <c r="H155" s="2">
        <f t="shared" si="6"/>
        <v>-2.0574854946607601</v>
      </c>
      <c r="I155" s="2">
        <f t="shared" si="7"/>
        <v>0.2296050988399698</v>
      </c>
      <c r="K155" s="2">
        <f t="shared" si="8"/>
        <v>0.29865831556451516</v>
      </c>
    </row>
    <row r="156" spans="1:11" ht="13.9" x14ac:dyDescent="0.3">
      <c r="A156" s="2" t="s">
        <v>173</v>
      </c>
      <c r="B156" s="2">
        <v>194.21</v>
      </c>
      <c r="C156" s="2">
        <v>306.18</v>
      </c>
      <c r="D156" s="2">
        <v>540.45000000000005</v>
      </c>
      <c r="E156" s="2">
        <v>104.02</v>
      </c>
      <c r="F156" s="2">
        <v>40.880000000000003</v>
      </c>
      <c r="G156" s="2">
        <v>187.73</v>
      </c>
      <c r="H156" s="2">
        <f t="shared" si="6"/>
        <v>1.645758115016672</v>
      </c>
      <c r="I156" s="2">
        <f t="shared" si="7"/>
        <v>9.9533130060959374E-2</v>
      </c>
      <c r="K156" s="2">
        <f t="shared" si="8"/>
        <v>10.023532596385344</v>
      </c>
    </row>
    <row r="157" spans="1:11" ht="13.9" x14ac:dyDescent="0.3">
      <c r="A157" s="2" t="s">
        <v>174</v>
      </c>
      <c r="B157" s="2">
        <v>0</v>
      </c>
      <c r="C157" s="2">
        <v>0</v>
      </c>
      <c r="D157" s="2">
        <v>30.67</v>
      </c>
      <c r="E157" s="2">
        <v>0</v>
      </c>
      <c r="F157" s="2">
        <v>0</v>
      </c>
      <c r="G157" s="2">
        <v>0</v>
      </c>
      <c r="H157" s="2" t="e">
        <f t="shared" si="6"/>
        <v>#DIV/0!</v>
      </c>
      <c r="I157" s="2">
        <f t="shared" si="7"/>
        <v>0.37390096630005903</v>
      </c>
      <c r="K157" s="2">
        <f t="shared" si="8"/>
        <v>4.9387562614922951</v>
      </c>
    </row>
    <row r="158" spans="1:11" ht="13.9" x14ac:dyDescent="0.3">
      <c r="A158" s="2" t="s">
        <v>175</v>
      </c>
      <c r="B158" s="2">
        <v>17.25</v>
      </c>
      <c r="C158" s="2">
        <v>47.09</v>
      </c>
      <c r="D158" s="2">
        <v>56.31</v>
      </c>
      <c r="E158" s="2">
        <v>9.16</v>
      </c>
      <c r="F158" s="2">
        <v>0</v>
      </c>
      <c r="G158" s="2">
        <v>10.69</v>
      </c>
      <c r="H158" s="2">
        <f t="shared" si="6"/>
        <v>2.6036170030727939</v>
      </c>
      <c r="I158" s="2">
        <f t="shared" si="7"/>
        <v>5.1767062843889579E-2</v>
      </c>
      <c r="K158" s="2">
        <f t="shared" si="8"/>
        <v>6.9146841053283898</v>
      </c>
    </row>
    <row r="159" spans="1:11" ht="13.9" x14ac:dyDescent="0.3">
      <c r="A159" s="2" t="s">
        <v>176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1.22</v>
      </c>
      <c r="H159" s="2" t="e">
        <f t="shared" si="6"/>
        <v>#NUM!</v>
      </c>
      <c r="I159" s="2">
        <f t="shared" si="7"/>
        <v>0.37390096630005903</v>
      </c>
      <c r="K159" s="2" t="e">
        <f t="shared" si="8"/>
        <v>#NUM!</v>
      </c>
    </row>
    <row r="160" spans="1:11" ht="13.9" x14ac:dyDescent="0.3">
      <c r="A160" s="2" t="s">
        <v>177</v>
      </c>
      <c r="B160" s="2">
        <v>0</v>
      </c>
      <c r="C160" s="2">
        <v>1.67</v>
      </c>
      <c r="D160" s="2">
        <v>0</v>
      </c>
      <c r="E160" s="2">
        <v>0</v>
      </c>
      <c r="F160" s="2">
        <v>0</v>
      </c>
      <c r="G160" s="2">
        <v>0.68</v>
      </c>
      <c r="H160" s="2">
        <f t="shared" si="6"/>
        <v>1.2962414512237126</v>
      </c>
      <c r="I160" s="2">
        <f t="shared" si="7"/>
        <v>0.61218468108132751</v>
      </c>
      <c r="K160" s="2">
        <f t="shared" si="8"/>
        <v>0.73984810269932755</v>
      </c>
    </row>
    <row r="161" spans="1:11" ht="13.9" x14ac:dyDescent="0.3">
      <c r="A161" s="2" t="s">
        <v>178</v>
      </c>
      <c r="B161" s="2">
        <v>0</v>
      </c>
      <c r="C161" s="2">
        <v>0</v>
      </c>
      <c r="D161" s="2">
        <v>1.01</v>
      </c>
      <c r="E161" s="2">
        <v>0.62</v>
      </c>
      <c r="F161" s="2">
        <v>0</v>
      </c>
      <c r="G161" s="2">
        <v>0.54</v>
      </c>
      <c r="H161" s="2">
        <f t="shared" si="6"/>
        <v>-0.19976951237577756</v>
      </c>
      <c r="I161" s="2">
        <f t="shared" si="7"/>
        <v>0.90390870373680221</v>
      </c>
      <c r="K161" s="2">
        <f t="shared" si="8"/>
        <v>1.4355292977070055E-2</v>
      </c>
    </row>
    <row r="162" spans="1:11" ht="13.9" x14ac:dyDescent="0.3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 t="e">
        <f t="shared" si="6"/>
        <v>#DIV/0!</v>
      </c>
      <c r="I162" s="2" t="e">
        <f t="shared" si="7"/>
        <v>#DIV/0!</v>
      </c>
      <c r="K162" s="2" t="e">
        <f t="shared" si="8"/>
        <v>#NUM!</v>
      </c>
    </row>
    <row r="163" spans="1:11" ht="13.9" x14ac:dyDescent="0.3">
      <c r="A163" s="2" t="s">
        <v>180</v>
      </c>
      <c r="B163" s="2">
        <v>0</v>
      </c>
      <c r="C163" s="2">
        <v>5.44</v>
      </c>
      <c r="D163" s="2">
        <v>0</v>
      </c>
      <c r="E163" s="2">
        <v>0</v>
      </c>
      <c r="F163" s="2">
        <v>0</v>
      </c>
      <c r="G163" s="2">
        <v>0</v>
      </c>
      <c r="H163" s="2" t="e">
        <f t="shared" si="6"/>
        <v>#DIV/0!</v>
      </c>
      <c r="I163" s="2">
        <f t="shared" si="7"/>
        <v>0.37390096630005903</v>
      </c>
      <c r="K163" s="2">
        <f t="shared" si="8"/>
        <v>2.4436066514756147</v>
      </c>
    </row>
    <row r="164" spans="1:11" ht="13.9" x14ac:dyDescent="0.3">
      <c r="A164" s="2" t="s">
        <v>181</v>
      </c>
      <c r="B164" s="2">
        <v>0</v>
      </c>
      <c r="C164" s="2">
        <v>0</v>
      </c>
      <c r="D164" s="2">
        <v>5.03</v>
      </c>
      <c r="E164" s="2">
        <v>0.41</v>
      </c>
      <c r="F164" s="2">
        <v>0</v>
      </c>
      <c r="G164" s="2">
        <v>1.49</v>
      </c>
      <c r="H164" s="2">
        <f t="shared" si="6"/>
        <v>1.4045589814745796</v>
      </c>
      <c r="I164" s="2">
        <f t="shared" si="7"/>
        <v>0.57993566528816043</v>
      </c>
      <c r="K164" s="2">
        <f t="shared" si="8"/>
        <v>2.3305584000308026</v>
      </c>
    </row>
    <row r="165" spans="1:11" ht="13.9" x14ac:dyDescent="0.3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 t="e">
        <f t="shared" si="6"/>
        <v>#DIV/0!</v>
      </c>
      <c r="I165" s="2" t="e">
        <f t="shared" si="7"/>
        <v>#DIV/0!</v>
      </c>
      <c r="K165" s="2" t="e">
        <f t="shared" si="8"/>
        <v>#NUM!</v>
      </c>
    </row>
    <row r="166" spans="1:11" ht="13.9" x14ac:dyDescent="0.3">
      <c r="A166" s="2" t="s">
        <v>183</v>
      </c>
      <c r="B166" s="2">
        <v>416.26</v>
      </c>
      <c r="C166" s="2">
        <v>407.47</v>
      </c>
      <c r="D166" s="2">
        <v>387.61</v>
      </c>
      <c r="E166" s="2">
        <v>1544.78</v>
      </c>
      <c r="F166" s="2">
        <v>817.53</v>
      </c>
      <c r="G166" s="2">
        <v>1731.5</v>
      </c>
      <c r="H166" s="2">
        <f t="shared" si="6"/>
        <v>-1.7568402874131068</v>
      </c>
      <c r="I166" s="2">
        <f t="shared" si="7"/>
        <v>2.6180238618999908E-2</v>
      </c>
      <c r="K166" s="2">
        <f t="shared" si="8"/>
        <v>10.242388143474825</v>
      </c>
    </row>
    <row r="167" spans="1:11" ht="13.9" x14ac:dyDescent="0.3">
      <c r="A167" s="2" t="s">
        <v>184</v>
      </c>
      <c r="B167" s="2">
        <v>4.13</v>
      </c>
      <c r="C167" s="2">
        <v>3.77</v>
      </c>
      <c r="D167" s="2">
        <v>1.51</v>
      </c>
      <c r="E167" s="2">
        <v>0.62</v>
      </c>
      <c r="F167" s="2">
        <v>0</v>
      </c>
      <c r="G167" s="2">
        <v>1.62</v>
      </c>
      <c r="H167" s="2">
        <f t="shared" si="6"/>
        <v>2.0706959906709326</v>
      </c>
      <c r="I167" s="2">
        <f t="shared" si="7"/>
        <v>6.4921338139876619E-2</v>
      </c>
      <c r="K167" s="2">
        <f t="shared" si="8"/>
        <v>3.2341947229538124</v>
      </c>
    </row>
    <row r="168" spans="1:11" ht="13.9" x14ac:dyDescent="0.3">
      <c r="A168" s="2" t="s">
        <v>185</v>
      </c>
      <c r="B168" s="2">
        <v>149.11000000000001</v>
      </c>
      <c r="C168" s="2">
        <v>164.29</v>
      </c>
      <c r="D168" s="2">
        <v>348.9</v>
      </c>
      <c r="E168" s="2">
        <v>552.62</v>
      </c>
      <c r="F168" s="2">
        <v>204.38</v>
      </c>
      <c r="G168" s="2">
        <v>384.79</v>
      </c>
      <c r="H168" s="2">
        <f t="shared" si="6"/>
        <v>-0.78574056877740939</v>
      </c>
      <c r="I168" s="2">
        <f t="shared" si="7"/>
        <v>0.25140346431787802</v>
      </c>
      <c r="K168" s="2">
        <f t="shared" si="8"/>
        <v>9.3713410480058439</v>
      </c>
    </row>
    <row r="169" spans="1:11" ht="13.9" x14ac:dyDescent="0.3">
      <c r="A169" s="2" t="s">
        <v>186</v>
      </c>
      <c r="B169" s="2">
        <v>301.45999999999998</v>
      </c>
      <c r="C169" s="2">
        <v>28.67</v>
      </c>
      <c r="D169" s="2">
        <v>29.66</v>
      </c>
      <c r="E169" s="2">
        <v>0.62</v>
      </c>
      <c r="F169" s="2">
        <v>0</v>
      </c>
      <c r="G169" s="2">
        <v>0</v>
      </c>
      <c r="H169" s="2">
        <f t="shared" si="6"/>
        <v>9.1806711580563096</v>
      </c>
      <c r="I169" s="2">
        <f t="shared" si="7"/>
        <v>0.2575994508293698</v>
      </c>
      <c r="K169" s="2">
        <f t="shared" si="8"/>
        <v>8.4910112786684611</v>
      </c>
    </row>
    <row r="170" spans="1:11" ht="13.9" x14ac:dyDescent="0.3">
      <c r="A170" s="2" t="s">
        <v>187</v>
      </c>
      <c r="B170" s="2">
        <v>15.09</v>
      </c>
      <c r="C170" s="2">
        <v>4.8099999999999996</v>
      </c>
      <c r="D170" s="2">
        <v>15.08</v>
      </c>
      <c r="E170" s="2">
        <v>44.14</v>
      </c>
      <c r="F170" s="2">
        <v>40.880000000000003</v>
      </c>
      <c r="G170" s="2">
        <v>57.39</v>
      </c>
      <c r="H170" s="2">
        <f t="shared" si="6"/>
        <v>-2.0254482612289362</v>
      </c>
      <c r="I170" s="2">
        <f t="shared" si="7"/>
        <v>4.2068212877849984E-3</v>
      </c>
      <c r="K170" s="2">
        <f t="shared" si="8"/>
        <v>5.1284583841469278</v>
      </c>
    </row>
    <row r="171" spans="1:11" ht="13.9" x14ac:dyDescent="0.3">
      <c r="A171" s="2" t="s">
        <v>188</v>
      </c>
      <c r="B171" s="2">
        <v>0</v>
      </c>
      <c r="C171" s="2">
        <v>4.5999999999999996</v>
      </c>
      <c r="D171" s="2">
        <v>0</v>
      </c>
      <c r="E171" s="2">
        <v>2.88</v>
      </c>
      <c r="F171" s="2">
        <v>286.13</v>
      </c>
      <c r="G171" s="2">
        <v>12.18</v>
      </c>
      <c r="H171" s="2">
        <f t="shared" si="6"/>
        <v>-6.0328961995780457</v>
      </c>
      <c r="I171" s="2">
        <f t="shared" si="7"/>
        <v>0.34730211223576724</v>
      </c>
      <c r="K171" s="2">
        <f t="shared" si="8"/>
        <v>2.2016338611696504</v>
      </c>
    </row>
    <row r="172" spans="1:11" ht="13.9" x14ac:dyDescent="0.3">
      <c r="A172" s="2" t="s">
        <v>189</v>
      </c>
      <c r="B172" s="2">
        <v>113.9</v>
      </c>
      <c r="C172" s="2">
        <v>162.61000000000001</v>
      </c>
      <c r="D172" s="2">
        <v>261.93</v>
      </c>
      <c r="E172" s="2">
        <v>175.94</v>
      </c>
      <c r="F172" s="2">
        <v>163.51</v>
      </c>
      <c r="G172" s="2">
        <v>295.87</v>
      </c>
      <c r="H172" s="2">
        <f t="shared" si="6"/>
        <v>-0.23869784633243998</v>
      </c>
      <c r="I172" s="2">
        <f t="shared" si="7"/>
        <v>0.6226027502410264</v>
      </c>
      <c r="K172" s="2">
        <f t="shared" si="8"/>
        <v>9.0726417796227778</v>
      </c>
    </row>
    <row r="173" spans="1:11" ht="13.9" x14ac:dyDescent="0.3">
      <c r="A173" s="2" t="s">
        <v>190</v>
      </c>
      <c r="B173" s="2">
        <v>17.61</v>
      </c>
      <c r="C173" s="2">
        <v>36.619999999999997</v>
      </c>
      <c r="D173" s="2">
        <v>63.35</v>
      </c>
      <c r="E173" s="2">
        <v>61.84</v>
      </c>
      <c r="F173" s="2">
        <v>40.880000000000003</v>
      </c>
      <c r="G173" s="2">
        <v>59.15</v>
      </c>
      <c r="H173" s="2">
        <f t="shared" si="6"/>
        <v>-0.46119294709316644</v>
      </c>
      <c r="I173" s="2">
        <f t="shared" si="7"/>
        <v>0.37527338638430813</v>
      </c>
      <c r="K173" s="2">
        <f t="shared" si="8"/>
        <v>6.8774988727835344</v>
      </c>
    </row>
    <row r="174" spans="1:11" ht="13.9" x14ac:dyDescent="0.3">
      <c r="A174" s="2" t="s">
        <v>191</v>
      </c>
      <c r="B174" s="2">
        <v>0</v>
      </c>
      <c r="C174" s="2">
        <v>2.09</v>
      </c>
      <c r="D174" s="2">
        <v>0</v>
      </c>
      <c r="E174" s="2">
        <v>0</v>
      </c>
      <c r="F174" s="2">
        <v>0</v>
      </c>
      <c r="G174" s="2">
        <v>0</v>
      </c>
      <c r="H174" s="2" t="e">
        <f t="shared" si="6"/>
        <v>#DIV/0!</v>
      </c>
      <c r="I174" s="2">
        <f t="shared" si="7"/>
        <v>0.37390096630005903</v>
      </c>
      <c r="K174" s="2">
        <f t="shared" si="8"/>
        <v>1.0635029423061579</v>
      </c>
    </row>
    <row r="175" spans="1:11" ht="13.9" x14ac:dyDescent="0.3">
      <c r="A175" s="2" t="s">
        <v>192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0.14000000000000001</v>
      </c>
      <c r="H175" s="2" t="e">
        <f t="shared" si="6"/>
        <v>#NUM!</v>
      </c>
      <c r="I175" s="2">
        <f t="shared" si="7"/>
        <v>0.37390096630005903</v>
      </c>
      <c r="K175" s="2" t="e">
        <f t="shared" si="8"/>
        <v>#NUM!</v>
      </c>
    </row>
    <row r="176" spans="1:11" ht="13.9" x14ac:dyDescent="0.3">
      <c r="A176" s="2" t="s">
        <v>193</v>
      </c>
      <c r="B176" s="2">
        <v>0</v>
      </c>
      <c r="C176" s="2">
        <v>13.39</v>
      </c>
      <c r="D176" s="2">
        <v>15.59</v>
      </c>
      <c r="E176" s="2">
        <v>1.44</v>
      </c>
      <c r="F176" s="2">
        <v>0</v>
      </c>
      <c r="G176" s="2">
        <v>0.41</v>
      </c>
      <c r="H176" s="2">
        <f t="shared" si="6"/>
        <v>3.9694604190406171</v>
      </c>
      <c r="I176" s="2">
        <f t="shared" si="7"/>
        <v>0.138115413925611</v>
      </c>
      <c r="K176" s="2">
        <f t="shared" si="8"/>
        <v>4.8569856897822046</v>
      </c>
    </row>
    <row r="177" spans="1:11" ht="13.9" x14ac:dyDescent="0.3">
      <c r="A177" s="2" t="s">
        <v>194</v>
      </c>
      <c r="B177" s="2">
        <v>0</v>
      </c>
      <c r="C177" s="2">
        <v>0</v>
      </c>
      <c r="D177" s="2">
        <v>0.5</v>
      </c>
      <c r="E177" s="2">
        <v>0</v>
      </c>
      <c r="F177" s="2">
        <v>0</v>
      </c>
      <c r="G177" s="2">
        <v>0</v>
      </c>
      <c r="H177" s="2" t="e">
        <f t="shared" si="6"/>
        <v>#DIV/0!</v>
      </c>
      <c r="I177" s="2">
        <f t="shared" si="7"/>
        <v>0.37390096630005903</v>
      </c>
      <c r="K177" s="2">
        <f t="shared" si="8"/>
        <v>-1</v>
      </c>
    </row>
    <row r="178" spans="1:11" ht="13.9" x14ac:dyDescent="0.3">
      <c r="A178" s="2" t="s">
        <v>195</v>
      </c>
      <c r="B178" s="2">
        <v>0</v>
      </c>
      <c r="C178" s="2">
        <v>0</v>
      </c>
      <c r="D178" s="2">
        <v>9.0500000000000007</v>
      </c>
      <c r="E178" s="2">
        <v>0.41</v>
      </c>
      <c r="F178" s="2">
        <v>0</v>
      </c>
      <c r="G178" s="2">
        <v>0.68</v>
      </c>
      <c r="H178" s="2">
        <f t="shared" si="6"/>
        <v>3.0535896571936414</v>
      </c>
      <c r="I178" s="2">
        <f t="shared" si="7"/>
        <v>0.42967507284319584</v>
      </c>
      <c r="K178" s="2">
        <f t="shared" si="8"/>
        <v>3.177917792195843</v>
      </c>
    </row>
    <row r="179" spans="1:11" ht="13.9" x14ac:dyDescent="0.3">
      <c r="A179" s="2" t="s">
        <v>196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 t="e">
        <f t="shared" si="6"/>
        <v>#DIV/0!</v>
      </c>
      <c r="I179" s="2" t="e">
        <f t="shared" si="7"/>
        <v>#DIV/0!</v>
      </c>
      <c r="K179" s="2" t="e">
        <f t="shared" si="8"/>
        <v>#NUM!</v>
      </c>
    </row>
    <row r="180" spans="1:11" ht="13.9" x14ac:dyDescent="0.3">
      <c r="A180" s="2" t="s">
        <v>197</v>
      </c>
      <c r="B180" s="2">
        <v>0</v>
      </c>
      <c r="C180" s="2">
        <v>5.65</v>
      </c>
      <c r="D180" s="2">
        <v>1.01</v>
      </c>
      <c r="E180" s="2">
        <v>40.85</v>
      </c>
      <c r="F180" s="2">
        <v>40.880000000000003</v>
      </c>
      <c r="G180" s="2">
        <v>31.67</v>
      </c>
      <c r="H180" s="2">
        <f t="shared" si="6"/>
        <v>-4.0897546527583293</v>
      </c>
      <c r="I180" s="2">
        <f t="shared" si="7"/>
        <v>5.4165416743390986E-4</v>
      </c>
      <c r="K180" s="2">
        <f t="shared" si="8"/>
        <v>2.7355221772965375</v>
      </c>
    </row>
    <row r="181" spans="1:11" ht="13.9" x14ac:dyDescent="0.3">
      <c r="A181" s="2" t="s">
        <v>198</v>
      </c>
      <c r="B181" s="2">
        <v>0</v>
      </c>
      <c r="C181" s="2">
        <v>2.2999999999999998</v>
      </c>
      <c r="D181" s="2">
        <v>0</v>
      </c>
      <c r="E181" s="2">
        <v>0</v>
      </c>
      <c r="F181" s="2">
        <v>0</v>
      </c>
      <c r="G181" s="2">
        <v>0</v>
      </c>
      <c r="H181" s="2" t="e">
        <f t="shared" si="6"/>
        <v>#DIV/0!</v>
      </c>
      <c r="I181" s="2">
        <f t="shared" si="7"/>
        <v>0.37390096630005903</v>
      </c>
      <c r="K181" s="2">
        <f t="shared" si="8"/>
        <v>1.2016338611696504</v>
      </c>
    </row>
    <row r="182" spans="1:11" ht="13.9" x14ac:dyDescent="0.3">
      <c r="A182" s="2" t="s">
        <v>199</v>
      </c>
      <c r="B182" s="2">
        <v>167.44</v>
      </c>
      <c r="C182" s="2">
        <v>434.26</v>
      </c>
      <c r="D182" s="2">
        <v>582.17999999999995</v>
      </c>
      <c r="E182" s="2">
        <v>453.74</v>
      </c>
      <c r="F182" s="2">
        <v>817.53</v>
      </c>
      <c r="G182" s="2">
        <v>1048.95</v>
      </c>
      <c r="H182" s="2">
        <f t="shared" si="6"/>
        <v>-0.97073875169043644</v>
      </c>
      <c r="I182" s="2">
        <f t="shared" si="7"/>
        <v>0.1478062868895654</v>
      </c>
      <c r="K182" s="2">
        <f t="shared" si="8"/>
        <v>10.209307139126716</v>
      </c>
    </row>
    <row r="183" spans="1:11" ht="13.9" x14ac:dyDescent="0.3">
      <c r="A183" s="2" t="s">
        <v>200</v>
      </c>
      <c r="B183" s="2">
        <v>314.02999999999997</v>
      </c>
      <c r="C183" s="2">
        <v>483.86</v>
      </c>
      <c r="D183" s="2">
        <v>292.08999999999997</v>
      </c>
      <c r="E183" s="2">
        <v>703.56</v>
      </c>
      <c r="F183" s="2">
        <v>531.39</v>
      </c>
      <c r="G183" s="2">
        <v>632.89</v>
      </c>
      <c r="H183" s="2">
        <f t="shared" si="6"/>
        <v>-0.77706921515472605</v>
      </c>
      <c r="I183" s="2">
        <f t="shared" si="7"/>
        <v>2.9898047172418604E-2</v>
      </c>
      <c r="K183" s="2">
        <f t="shared" si="8"/>
        <v>10.090085947952788</v>
      </c>
    </row>
    <row r="184" spans="1:11" ht="13.9" x14ac:dyDescent="0.3">
      <c r="A184" s="2" t="s">
        <v>201</v>
      </c>
      <c r="B184" s="2">
        <v>1.26</v>
      </c>
      <c r="C184" s="2">
        <v>11.93</v>
      </c>
      <c r="D184" s="2">
        <v>65.36</v>
      </c>
      <c r="E184" s="2">
        <v>16.05</v>
      </c>
      <c r="F184" s="2">
        <v>613.15</v>
      </c>
      <c r="G184" s="2">
        <v>29.24</v>
      </c>
      <c r="H184" s="2">
        <f t="shared" si="6"/>
        <v>-3.0673688010094704</v>
      </c>
      <c r="I184" s="2">
        <f t="shared" si="7"/>
        <v>0.38393433935987986</v>
      </c>
      <c r="K184" s="2">
        <f t="shared" si="8"/>
        <v>6.2955393704068339</v>
      </c>
    </row>
    <row r="185" spans="1:11" ht="13.9" x14ac:dyDescent="0.3">
      <c r="A185" s="2" t="s">
        <v>202</v>
      </c>
      <c r="B185" s="2">
        <v>0</v>
      </c>
      <c r="C185" s="2">
        <v>6.28</v>
      </c>
      <c r="D185" s="2">
        <v>0</v>
      </c>
      <c r="E185" s="2">
        <v>0.21</v>
      </c>
      <c r="F185" s="2">
        <v>0</v>
      </c>
      <c r="G185" s="2">
        <v>0.14000000000000001</v>
      </c>
      <c r="H185" s="2">
        <f t="shared" si="6"/>
        <v>4.1653377319466607</v>
      </c>
      <c r="I185" s="2">
        <f t="shared" si="7"/>
        <v>0.39868586814394236</v>
      </c>
      <c r="K185" s="2">
        <f t="shared" si="8"/>
        <v>2.6507645591169027</v>
      </c>
    </row>
    <row r="186" spans="1:11" ht="13.9" x14ac:dyDescent="0.3">
      <c r="A186" s="2" t="s">
        <v>203</v>
      </c>
      <c r="B186" s="2">
        <v>0</v>
      </c>
      <c r="C186" s="2">
        <v>1.67</v>
      </c>
      <c r="D186" s="2">
        <v>0.5</v>
      </c>
      <c r="E186" s="2">
        <v>3.5</v>
      </c>
      <c r="F186" s="2">
        <v>163.51</v>
      </c>
      <c r="G186" s="2">
        <v>9.07</v>
      </c>
      <c r="H186" s="2">
        <f t="shared" si="6"/>
        <v>-6.3423921974470785</v>
      </c>
      <c r="I186" s="2">
        <f t="shared" si="7"/>
        <v>0.33093918298579245</v>
      </c>
      <c r="K186" s="2">
        <f t="shared" si="8"/>
        <v>1.1176950426697545</v>
      </c>
    </row>
    <row r="187" spans="1:11" ht="13.9" x14ac:dyDescent="0.3">
      <c r="A187" s="2" t="s">
        <v>204</v>
      </c>
      <c r="B187" s="2">
        <v>0</v>
      </c>
      <c r="C187" s="2">
        <v>19.46</v>
      </c>
      <c r="D187" s="2">
        <v>28.15</v>
      </c>
      <c r="E187" s="2">
        <v>10.49</v>
      </c>
      <c r="F187" s="2">
        <v>0</v>
      </c>
      <c r="G187" s="2">
        <v>17.600000000000001</v>
      </c>
      <c r="H187" s="2">
        <f t="shared" si="6"/>
        <v>0.76120800442993963</v>
      </c>
      <c r="I187" s="2">
        <f t="shared" si="7"/>
        <v>0.54173231644861497</v>
      </c>
      <c r="K187" s="2">
        <f t="shared" si="8"/>
        <v>5.5731927237816139</v>
      </c>
    </row>
    <row r="188" spans="1:11" ht="13.9" x14ac:dyDescent="0.3">
      <c r="A188" s="2" t="s">
        <v>205</v>
      </c>
      <c r="B188" s="2">
        <v>0</v>
      </c>
      <c r="C188" s="2">
        <v>0</v>
      </c>
      <c r="D188" s="2">
        <v>0</v>
      </c>
      <c r="E188" s="2">
        <v>0.62</v>
      </c>
      <c r="F188" s="2">
        <v>0</v>
      </c>
      <c r="G188" s="2">
        <v>0</v>
      </c>
      <c r="H188" s="2" t="e">
        <f t="shared" si="6"/>
        <v>#NUM!</v>
      </c>
      <c r="I188" s="2">
        <f t="shared" si="7"/>
        <v>0.37390096630005903</v>
      </c>
      <c r="K188" s="2" t="e">
        <f t="shared" si="8"/>
        <v>#NUM!</v>
      </c>
    </row>
    <row r="189" spans="1:11" ht="13.9" x14ac:dyDescent="0.3">
      <c r="A189" s="2" t="s">
        <v>206</v>
      </c>
      <c r="B189" s="2">
        <v>0</v>
      </c>
      <c r="C189" s="2">
        <v>0.21</v>
      </c>
      <c r="D189" s="2">
        <v>0</v>
      </c>
      <c r="E189" s="2">
        <v>0</v>
      </c>
      <c r="F189" s="2">
        <v>0</v>
      </c>
      <c r="G189" s="2">
        <v>0</v>
      </c>
      <c r="H189" s="2" t="e">
        <f t="shared" si="6"/>
        <v>#DIV/0!</v>
      </c>
      <c r="I189" s="2">
        <f t="shared" si="7"/>
        <v>0.37390096630005903</v>
      </c>
      <c r="K189" s="2">
        <f t="shared" si="8"/>
        <v>-2.2515387669959646</v>
      </c>
    </row>
    <row r="190" spans="1:11" ht="13.9" x14ac:dyDescent="0.3">
      <c r="A190" s="2" t="s">
        <v>207</v>
      </c>
      <c r="B190" s="2">
        <v>46.89</v>
      </c>
      <c r="C190" s="2">
        <v>9.42</v>
      </c>
      <c r="D190" s="2">
        <v>20.11</v>
      </c>
      <c r="E190" s="2">
        <v>9.67</v>
      </c>
      <c r="F190" s="2">
        <v>0</v>
      </c>
      <c r="G190" s="2">
        <v>20.170000000000002</v>
      </c>
      <c r="H190" s="2">
        <f t="shared" si="6"/>
        <v>1.3567027221022734</v>
      </c>
      <c r="I190" s="2">
        <f t="shared" si="7"/>
        <v>0.28448347526939693</v>
      </c>
      <c r="K190" s="2">
        <f t="shared" si="8"/>
        <v>6.2558783525827861</v>
      </c>
    </row>
    <row r="191" spans="1:11" ht="13.9" x14ac:dyDescent="0.3">
      <c r="A191" s="2" t="s">
        <v>208</v>
      </c>
      <c r="B191" s="2">
        <v>0.36</v>
      </c>
      <c r="C191" s="2">
        <v>24.07</v>
      </c>
      <c r="D191" s="2">
        <v>32.18</v>
      </c>
      <c r="E191" s="2">
        <v>18.62</v>
      </c>
      <c r="F191" s="2">
        <v>40.880000000000003</v>
      </c>
      <c r="G191" s="2">
        <v>23.01</v>
      </c>
      <c r="H191" s="2">
        <f t="shared" si="6"/>
        <v>-0.54351205722765306</v>
      </c>
      <c r="I191" s="2">
        <f t="shared" si="7"/>
        <v>0.50238607247977773</v>
      </c>
      <c r="K191" s="2">
        <f t="shared" si="8"/>
        <v>5.822985018546877</v>
      </c>
    </row>
    <row r="192" spans="1:11" ht="13.9" x14ac:dyDescent="0.3">
      <c r="A192" s="2" t="s">
        <v>209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 t="e">
        <f t="shared" si="6"/>
        <v>#DIV/0!</v>
      </c>
      <c r="I192" s="2" t="e">
        <f t="shared" si="7"/>
        <v>#DIV/0!</v>
      </c>
      <c r="K192" s="2" t="e">
        <f t="shared" si="8"/>
        <v>#NUM!</v>
      </c>
    </row>
    <row r="193" spans="1:11" ht="13.9" x14ac:dyDescent="0.3">
      <c r="A193" s="2" t="s">
        <v>210</v>
      </c>
      <c r="B193" s="2">
        <v>91.62</v>
      </c>
      <c r="C193" s="2">
        <v>141.26</v>
      </c>
      <c r="D193" s="2">
        <v>432.36</v>
      </c>
      <c r="E193" s="2">
        <v>35.39</v>
      </c>
      <c r="F193" s="2">
        <v>81.75</v>
      </c>
      <c r="G193" s="2">
        <v>74.58</v>
      </c>
      <c r="H193" s="2">
        <f t="shared" si="6"/>
        <v>1.7948740735055393</v>
      </c>
      <c r="I193" s="2">
        <f t="shared" si="7"/>
        <v>0.21507154031377734</v>
      </c>
      <c r="K193" s="2">
        <f t="shared" si="8"/>
        <v>9.3777311083497779</v>
      </c>
    </row>
    <row r="194" spans="1:11" ht="13.9" x14ac:dyDescent="0.3">
      <c r="A194" s="2" t="s">
        <v>211</v>
      </c>
      <c r="B194" s="2">
        <v>6.65</v>
      </c>
      <c r="C194" s="2">
        <v>6.28</v>
      </c>
      <c r="D194" s="2">
        <v>0</v>
      </c>
      <c r="E194" s="2">
        <v>0</v>
      </c>
      <c r="F194" s="2">
        <v>204.38</v>
      </c>
      <c r="G194" s="2">
        <v>0</v>
      </c>
      <c r="H194" s="2">
        <f t="shared" ref="H194:H257" si="9">LOG(SUM(B194:D194)/SUM(E194:G194),2)</f>
        <v>-3.982459845209696</v>
      </c>
      <c r="I194" s="2">
        <f t="shared" ref="I194:I257" si="10">_xlfn.T.TEST(B194:D194,E194:G194,2,2)</f>
        <v>0.40214240578194654</v>
      </c>
      <c r="K194" s="2">
        <f t="shared" si="8"/>
        <v>3.6926503700355298</v>
      </c>
    </row>
    <row r="195" spans="1:11" ht="13.9" x14ac:dyDescent="0.3">
      <c r="A195" s="2" t="s">
        <v>212</v>
      </c>
      <c r="B195" s="2">
        <v>0</v>
      </c>
      <c r="C195" s="2">
        <v>8.58</v>
      </c>
      <c r="D195" s="2">
        <v>0</v>
      </c>
      <c r="E195" s="2">
        <v>20.48</v>
      </c>
      <c r="F195" s="2">
        <v>40.880000000000003</v>
      </c>
      <c r="G195" s="2">
        <v>33.299999999999997</v>
      </c>
      <c r="H195" s="2">
        <f t="shared" si="9"/>
        <v>-3.4637053692388178</v>
      </c>
      <c r="I195" s="2">
        <f t="shared" si="10"/>
        <v>1.2210952772358671E-2</v>
      </c>
      <c r="K195" s="2">
        <f t="shared" ref="K195:K258" si="11">LOG(SUM(B195:D195),2)</f>
        <v>3.1009776477248212</v>
      </c>
    </row>
    <row r="196" spans="1:11" ht="13.9" x14ac:dyDescent="0.3">
      <c r="A196" s="2" t="s">
        <v>213</v>
      </c>
      <c r="B196" s="2">
        <v>0</v>
      </c>
      <c r="C196" s="2">
        <v>0</v>
      </c>
      <c r="D196" s="2">
        <v>0</v>
      </c>
      <c r="E196" s="2">
        <v>0.1</v>
      </c>
      <c r="F196" s="2">
        <v>0</v>
      </c>
      <c r="G196" s="2">
        <v>0.27</v>
      </c>
      <c r="H196" s="2" t="e">
        <f t="shared" si="9"/>
        <v>#NUM!</v>
      </c>
      <c r="I196" s="2">
        <f t="shared" si="10"/>
        <v>0.19265015532098587</v>
      </c>
      <c r="K196" s="2" t="e">
        <f t="shared" si="11"/>
        <v>#NUM!</v>
      </c>
    </row>
    <row r="197" spans="1:11" ht="13.9" x14ac:dyDescent="0.3">
      <c r="A197" s="2" t="s">
        <v>214</v>
      </c>
      <c r="B197" s="2">
        <v>0</v>
      </c>
      <c r="C197" s="2">
        <v>8.58</v>
      </c>
      <c r="D197" s="2">
        <v>0</v>
      </c>
      <c r="E197" s="2">
        <v>20.48</v>
      </c>
      <c r="F197" s="2">
        <v>40.880000000000003</v>
      </c>
      <c r="G197" s="2">
        <v>33.299999999999997</v>
      </c>
      <c r="H197" s="2">
        <f t="shared" si="9"/>
        <v>-3.4637053692388178</v>
      </c>
      <c r="I197" s="2">
        <f t="shared" si="10"/>
        <v>1.2210952772358671E-2</v>
      </c>
      <c r="K197" s="2">
        <f t="shared" si="11"/>
        <v>3.1009776477248212</v>
      </c>
    </row>
    <row r="198" spans="1:11" ht="13.9" x14ac:dyDescent="0.3">
      <c r="A198" s="2" t="s">
        <v>215</v>
      </c>
      <c r="B198" s="2">
        <v>0.18</v>
      </c>
      <c r="C198" s="2">
        <v>0.63</v>
      </c>
      <c r="D198" s="2">
        <v>0</v>
      </c>
      <c r="E198" s="2">
        <v>1.44</v>
      </c>
      <c r="F198" s="2">
        <v>0</v>
      </c>
      <c r="G198" s="2">
        <v>0.27</v>
      </c>
      <c r="H198" s="2">
        <f t="shared" si="9"/>
        <v>-1.0780025120012731</v>
      </c>
      <c r="I198" s="2">
        <f t="shared" si="10"/>
        <v>0.56585597084483175</v>
      </c>
      <c r="K198" s="2">
        <f t="shared" si="11"/>
        <v>-0.30400618689009989</v>
      </c>
    </row>
    <row r="199" spans="1:11" ht="13.9" x14ac:dyDescent="0.3">
      <c r="A199" s="2" t="s">
        <v>216</v>
      </c>
      <c r="B199" s="2">
        <v>30.54</v>
      </c>
      <c r="C199" s="2">
        <v>27.42</v>
      </c>
      <c r="D199" s="2">
        <v>124.68</v>
      </c>
      <c r="E199" s="2">
        <v>23.66</v>
      </c>
      <c r="F199" s="2">
        <v>0</v>
      </c>
      <c r="G199" s="2">
        <v>14.62</v>
      </c>
      <c r="H199" s="2">
        <f t="shared" si="9"/>
        <v>2.254340029738676</v>
      </c>
      <c r="I199" s="2">
        <f t="shared" si="10"/>
        <v>0.21452247901835059</v>
      </c>
      <c r="K199" s="2">
        <f t="shared" si="11"/>
        <v>7.5128589544499773</v>
      </c>
    </row>
    <row r="200" spans="1:11" ht="13.9" x14ac:dyDescent="0.3">
      <c r="A200" s="2" t="s">
        <v>217</v>
      </c>
      <c r="B200" s="2">
        <v>68.989999999999995</v>
      </c>
      <c r="C200" s="2">
        <v>62.78</v>
      </c>
      <c r="D200" s="2">
        <v>130.21</v>
      </c>
      <c r="E200" s="2">
        <v>20.059999999999999</v>
      </c>
      <c r="F200" s="2">
        <v>40.880000000000003</v>
      </c>
      <c r="G200" s="2">
        <v>17.46</v>
      </c>
      <c r="H200" s="2">
        <f t="shared" si="9"/>
        <v>1.7405311187135442</v>
      </c>
      <c r="I200" s="2">
        <f t="shared" si="10"/>
        <v>5.4716445573451615E-2</v>
      </c>
      <c r="K200" s="2">
        <f t="shared" si="11"/>
        <v>8.0333128679413903</v>
      </c>
    </row>
    <row r="201" spans="1:11" ht="13.9" x14ac:dyDescent="0.3">
      <c r="A201" s="2" t="s">
        <v>218</v>
      </c>
      <c r="B201" s="2">
        <v>9.52</v>
      </c>
      <c r="C201" s="2">
        <v>4.1900000000000004</v>
      </c>
      <c r="D201" s="2">
        <v>0</v>
      </c>
      <c r="E201" s="2">
        <v>9.67</v>
      </c>
      <c r="F201" s="2">
        <v>0</v>
      </c>
      <c r="G201" s="2">
        <v>16.239999999999998</v>
      </c>
      <c r="H201" s="2">
        <f t="shared" si="9"/>
        <v>-0.9182804444008682</v>
      </c>
      <c r="I201" s="2">
        <f t="shared" si="10"/>
        <v>0.49791603678515989</v>
      </c>
      <c r="K201" s="2">
        <f t="shared" si="11"/>
        <v>3.7771566660045015</v>
      </c>
    </row>
    <row r="202" spans="1:11" ht="13.9" x14ac:dyDescent="0.3">
      <c r="A202" s="2" t="s">
        <v>219</v>
      </c>
      <c r="B202" s="2">
        <v>0</v>
      </c>
      <c r="C202" s="2">
        <v>0.63</v>
      </c>
      <c r="D202" s="2">
        <v>0</v>
      </c>
      <c r="E202" s="2">
        <v>2.06</v>
      </c>
      <c r="F202" s="2">
        <v>0</v>
      </c>
      <c r="G202" s="2">
        <v>1.76</v>
      </c>
      <c r="H202" s="2">
        <f t="shared" si="9"/>
        <v>-2.6001489045358328</v>
      </c>
      <c r="I202" s="2">
        <f t="shared" si="10"/>
        <v>0.19081870489211594</v>
      </c>
      <c r="K202" s="2">
        <f t="shared" si="11"/>
        <v>-0.66657626627480826</v>
      </c>
    </row>
    <row r="203" spans="1:11" ht="13.9" x14ac:dyDescent="0.3">
      <c r="A203" s="2" t="s">
        <v>220</v>
      </c>
      <c r="B203" s="2">
        <v>37.909999999999997</v>
      </c>
      <c r="C203" s="2">
        <v>10.050000000000001</v>
      </c>
      <c r="D203" s="2">
        <v>50.78</v>
      </c>
      <c r="E203" s="2">
        <v>23.36</v>
      </c>
      <c r="F203" s="2">
        <v>0</v>
      </c>
      <c r="G203" s="2">
        <v>21.52</v>
      </c>
      <c r="H203" s="2">
        <f t="shared" si="9"/>
        <v>1.137561969132304</v>
      </c>
      <c r="I203" s="2">
        <f t="shared" si="10"/>
        <v>0.27383159217870234</v>
      </c>
      <c r="K203" s="2">
        <f t="shared" si="11"/>
        <v>6.6255627399663721</v>
      </c>
    </row>
    <row r="204" spans="1:11" ht="13.9" x14ac:dyDescent="0.3">
      <c r="A204" s="2" t="s">
        <v>221</v>
      </c>
      <c r="B204" s="2">
        <v>0.18</v>
      </c>
      <c r="C204" s="2">
        <v>15.7</v>
      </c>
      <c r="D204" s="2">
        <v>0</v>
      </c>
      <c r="E204" s="2">
        <v>8.44</v>
      </c>
      <c r="F204" s="2">
        <v>0</v>
      </c>
      <c r="G204" s="2">
        <v>14.21</v>
      </c>
      <c r="H204" s="2">
        <f t="shared" si="9"/>
        <v>-0.51230013779063976</v>
      </c>
      <c r="I204" s="2">
        <f t="shared" si="10"/>
        <v>0.7510931493822508</v>
      </c>
      <c r="K204" s="2">
        <f t="shared" si="11"/>
        <v>3.9891390073682333</v>
      </c>
    </row>
    <row r="205" spans="1:11" ht="13.9" x14ac:dyDescent="0.3">
      <c r="A205" s="2" t="s">
        <v>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 t="e">
        <f t="shared" si="9"/>
        <v>#DIV/0!</v>
      </c>
      <c r="I205" s="2" t="e">
        <f t="shared" si="10"/>
        <v>#DIV/0!</v>
      </c>
      <c r="K205" s="2" t="e">
        <f t="shared" si="11"/>
        <v>#NUM!</v>
      </c>
    </row>
    <row r="206" spans="1:11" ht="13.9" x14ac:dyDescent="0.3">
      <c r="A206" s="2" t="s">
        <v>223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 t="e">
        <f t="shared" si="9"/>
        <v>#DIV/0!</v>
      </c>
      <c r="I206" s="2" t="e">
        <f t="shared" si="10"/>
        <v>#DIV/0!</v>
      </c>
      <c r="K206" s="2" t="e">
        <f t="shared" si="11"/>
        <v>#NUM!</v>
      </c>
    </row>
    <row r="207" spans="1:11" ht="13.9" x14ac:dyDescent="0.3">
      <c r="A207" s="2" t="s">
        <v>224</v>
      </c>
      <c r="B207" s="2">
        <v>0</v>
      </c>
      <c r="C207" s="2">
        <v>5.86</v>
      </c>
      <c r="D207" s="2">
        <v>0</v>
      </c>
      <c r="E207" s="2">
        <v>0.82</v>
      </c>
      <c r="F207" s="2">
        <v>0</v>
      </c>
      <c r="G207" s="2">
        <v>0</v>
      </c>
      <c r="H207" s="2">
        <f t="shared" si="9"/>
        <v>2.8372048498041647</v>
      </c>
      <c r="I207" s="2">
        <f t="shared" si="10"/>
        <v>0.44233398639705429</v>
      </c>
      <c r="K207" s="2">
        <f t="shared" si="11"/>
        <v>2.5509006646475232</v>
      </c>
    </row>
    <row r="208" spans="1:11" ht="13.9" x14ac:dyDescent="0.3">
      <c r="A208" s="2" t="s">
        <v>225</v>
      </c>
      <c r="B208" s="2">
        <v>8.08</v>
      </c>
      <c r="C208" s="2">
        <v>0</v>
      </c>
      <c r="D208" s="2">
        <v>0</v>
      </c>
      <c r="E208" s="2">
        <v>2.37</v>
      </c>
      <c r="F208" s="2">
        <v>0</v>
      </c>
      <c r="G208" s="2">
        <v>1.35</v>
      </c>
      <c r="H208" s="2">
        <f t="shared" si="9"/>
        <v>1.1190526716437634</v>
      </c>
      <c r="I208" s="2">
        <f t="shared" si="10"/>
        <v>0.62867579207802282</v>
      </c>
      <c r="K208" s="2">
        <f t="shared" si="11"/>
        <v>3.0143552929770703</v>
      </c>
    </row>
    <row r="209" spans="1:11" ht="13.9" x14ac:dyDescent="0.3">
      <c r="A209" s="2" t="s">
        <v>226</v>
      </c>
      <c r="B209" s="2">
        <v>82.64</v>
      </c>
      <c r="C209" s="2">
        <v>139.80000000000001</v>
      </c>
      <c r="D209" s="2">
        <v>158.36000000000001</v>
      </c>
      <c r="E209" s="2">
        <v>47.53</v>
      </c>
      <c r="F209" s="2">
        <v>0</v>
      </c>
      <c r="G209" s="2">
        <v>49.67</v>
      </c>
      <c r="H209" s="2">
        <f t="shared" si="9"/>
        <v>1.9700052597021627</v>
      </c>
      <c r="I209" s="2">
        <f t="shared" si="10"/>
        <v>2.777263054979728E-2</v>
      </c>
      <c r="K209" s="2">
        <f t="shared" si="11"/>
        <v>8.5728896684205829</v>
      </c>
    </row>
    <row r="210" spans="1:11" ht="13.9" x14ac:dyDescent="0.3">
      <c r="A210" s="2" t="s">
        <v>227</v>
      </c>
      <c r="B210" s="2">
        <v>0</v>
      </c>
      <c r="C210" s="2">
        <v>0</v>
      </c>
      <c r="D210" s="2">
        <v>0</v>
      </c>
      <c r="E210" s="2">
        <v>0.41</v>
      </c>
      <c r="F210" s="2">
        <v>0</v>
      </c>
      <c r="G210" s="2">
        <v>0</v>
      </c>
      <c r="H210" s="2" t="e">
        <f t="shared" si="9"/>
        <v>#NUM!</v>
      </c>
      <c r="I210" s="2">
        <f t="shared" si="10"/>
        <v>0.37390096630005903</v>
      </c>
      <c r="K210" s="2" t="e">
        <f t="shared" si="11"/>
        <v>#NUM!</v>
      </c>
    </row>
    <row r="211" spans="1:11" ht="13.9" x14ac:dyDescent="0.3">
      <c r="A211" s="2" t="s">
        <v>228</v>
      </c>
      <c r="B211" s="2">
        <v>6.29</v>
      </c>
      <c r="C211" s="2">
        <v>0</v>
      </c>
      <c r="D211" s="2">
        <v>0</v>
      </c>
      <c r="E211" s="2">
        <v>1.75</v>
      </c>
      <c r="F211" s="2">
        <v>0</v>
      </c>
      <c r="G211" s="2">
        <v>2.44</v>
      </c>
      <c r="H211" s="2">
        <f t="shared" si="9"/>
        <v>0.58610977317993784</v>
      </c>
      <c r="I211" s="2">
        <f t="shared" si="10"/>
        <v>0.76817349260998535</v>
      </c>
      <c r="K211" s="2">
        <f t="shared" si="11"/>
        <v>2.6530600171045644</v>
      </c>
    </row>
    <row r="212" spans="1:11" ht="13.9" x14ac:dyDescent="0.3">
      <c r="A212" s="2" t="s">
        <v>229</v>
      </c>
      <c r="B212" s="2">
        <v>0</v>
      </c>
      <c r="C212" s="2">
        <v>1.05</v>
      </c>
      <c r="D212" s="2">
        <v>5.03</v>
      </c>
      <c r="E212" s="2">
        <v>0</v>
      </c>
      <c r="F212" s="2">
        <v>0</v>
      </c>
      <c r="G212" s="2">
        <v>1.22</v>
      </c>
      <c r="H212" s="2">
        <f t="shared" si="9"/>
        <v>2.3171901758806994</v>
      </c>
      <c r="I212" s="2">
        <f t="shared" si="10"/>
        <v>0.36452756980615481</v>
      </c>
      <c r="K212" s="2">
        <f t="shared" si="11"/>
        <v>2.6040713236688608</v>
      </c>
    </row>
    <row r="213" spans="1:11" ht="13.9" x14ac:dyDescent="0.3">
      <c r="A213" s="2" t="s">
        <v>230</v>
      </c>
      <c r="B213" s="2">
        <v>12.58</v>
      </c>
      <c r="C213" s="2">
        <v>15.49</v>
      </c>
      <c r="D213" s="2">
        <v>11.56</v>
      </c>
      <c r="E213" s="2">
        <v>4.32</v>
      </c>
      <c r="F213" s="2">
        <v>204.38</v>
      </c>
      <c r="G213" s="2">
        <v>15.56</v>
      </c>
      <c r="H213" s="2">
        <f t="shared" si="9"/>
        <v>-2.500507445518632</v>
      </c>
      <c r="I213" s="2">
        <f t="shared" si="10"/>
        <v>0.39671807878106169</v>
      </c>
      <c r="K213" s="2">
        <f t="shared" si="11"/>
        <v>5.3085210621932593</v>
      </c>
    </row>
    <row r="214" spans="1:11" ht="13.9" x14ac:dyDescent="0.3">
      <c r="A214" s="2" t="s">
        <v>231</v>
      </c>
      <c r="B214" s="2">
        <v>0</v>
      </c>
      <c r="C214" s="2">
        <v>0</v>
      </c>
      <c r="D214" s="2">
        <v>2.5099999999999998</v>
      </c>
      <c r="E214" s="2">
        <v>1.44</v>
      </c>
      <c r="F214" s="2">
        <v>0</v>
      </c>
      <c r="G214" s="2">
        <v>1.22</v>
      </c>
      <c r="H214" s="2">
        <f t="shared" si="9"/>
        <v>-8.373888155041774E-2</v>
      </c>
      <c r="I214" s="2">
        <f t="shared" si="10"/>
        <v>0.96050729125789192</v>
      </c>
      <c r="K214" s="2">
        <f t="shared" si="11"/>
        <v>1.3276873641760472</v>
      </c>
    </row>
    <row r="215" spans="1:11" ht="13.9" x14ac:dyDescent="0.3">
      <c r="A215" s="2" t="s">
        <v>232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 t="e">
        <f t="shared" si="9"/>
        <v>#DIV/0!</v>
      </c>
      <c r="I215" s="2" t="e">
        <f t="shared" si="10"/>
        <v>#DIV/0!</v>
      </c>
      <c r="K215" s="2" t="e">
        <f t="shared" si="11"/>
        <v>#NUM!</v>
      </c>
    </row>
    <row r="216" spans="1:11" ht="13.9" x14ac:dyDescent="0.3">
      <c r="A216" s="2" t="s">
        <v>233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 t="e">
        <f t="shared" si="9"/>
        <v>#DIV/0!</v>
      </c>
      <c r="I216" s="2" t="e">
        <f t="shared" si="10"/>
        <v>#DIV/0!</v>
      </c>
      <c r="K216" s="2" t="e">
        <f t="shared" si="11"/>
        <v>#NUM!</v>
      </c>
    </row>
    <row r="217" spans="1:11" ht="13.9" x14ac:dyDescent="0.3">
      <c r="A217" s="2" t="s">
        <v>234</v>
      </c>
      <c r="B217" s="2">
        <v>0</v>
      </c>
      <c r="C217" s="2">
        <v>35.159999999999997</v>
      </c>
      <c r="D217" s="2">
        <v>20.11</v>
      </c>
      <c r="E217" s="2">
        <v>11.83</v>
      </c>
      <c r="F217" s="2">
        <v>0</v>
      </c>
      <c r="G217" s="2">
        <v>9.4700000000000006</v>
      </c>
      <c r="H217" s="2">
        <f t="shared" si="9"/>
        <v>1.3756431821009603</v>
      </c>
      <c r="I217" s="2">
        <f t="shared" si="10"/>
        <v>0.35388545065804283</v>
      </c>
      <c r="K217" s="2">
        <f t="shared" si="11"/>
        <v>5.7884247074394359</v>
      </c>
    </row>
    <row r="218" spans="1:11" ht="13.9" x14ac:dyDescent="0.3">
      <c r="A218" s="2" t="s">
        <v>235</v>
      </c>
      <c r="B218" s="2">
        <v>0</v>
      </c>
      <c r="C218" s="2">
        <v>9.6300000000000008</v>
      </c>
      <c r="D218" s="2">
        <v>32.68</v>
      </c>
      <c r="E218" s="2">
        <v>13.58</v>
      </c>
      <c r="F218" s="2">
        <v>40.880000000000003</v>
      </c>
      <c r="G218" s="2">
        <v>16.38</v>
      </c>
      <c r="H218" s="2">
        <f t="shared" si="9"/>
        <v>-0.74356552639556384</v>
      </c>
      <c r="I218" s="2">
        <f t="shared" si="10"/>
        <v>0.50522379537014861</v>
      </c>
      <c r="K218" s="2">
        <f t="shared" si="11"/>
        <v>5.4029267805816259</v>
      </c>
    </row>
    <row r="219" spans="1:11" ht="13.9" x14ac:dyDescent="0.3">
      <c r="A219" s="2" t="s">
        <v>236</v>
      </c>
      <c r="B219" s="2">
        <v>33394.21</v>
      </c>
      <c r="C219" s="2">
        <v>43786.82</v>
      </c>
      <c r="D219" s="2">
        <v>41758.75</v>
      </c>
      <c r="E219" s="2">
        <v>45426.25</v>
      </c>
      <c r="F219" s="2">
        <v>26406.15</v>
      </c>
      <c r="G219" s="2">
        <v>36749.1</v>
      </c>
      <c r="H219" s="2">
        <f t="shared" si="9"/>
        <v>0.13145299307183844</v>
      </c>
      <c r="I219" s="2">
        <f t="shared" si="10"/>
        <v>0.61557978358426801</v>
      </c>
      <c r="K219" s="2">
        <f t="shared" si="11"/>
        <v>16.859871786748329</v>
      </c>
    </row>
    <row r="220" spans="1:11" ht="13.9" x14ac:dyDescent="0.3">
      <c r="A220" s="2" t="s">
        <v>237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 t="e">
        <f t="shared" si="9"/>
        <v>#DIV/0!</v>
      </c>
      <c r="I220" s="2" t="e">
        <f t="shared" si="10"/>
        <v>#DIV/0!</v>
      </c>
      <c r="K220" s="2" t="e">
        <f t="shared" si="11"/>
        <v>#NUM!</v>
      </c>
    </row>
    <row r="221" spans="1:11" ht="13.9" x14ac:dyDescent="0.3">
      <c r="A221" s="2" t="s">
        <v>238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 t="e">
        <f t="shared" si="9"/>
        <v>#DIV/0!</v>
      </c>
      <c r="I221" s="2" t="e">
        <f t="shared" si="10"/>
        <v>#DIV/0!</v>
      </c>
      <c r="K221" s="2" t="e">
        <f t="shared" si="11"/>
        <v>#NUM!</v>
      </c>
    </row>
    <row r="222" spans="1:11" ht="13.9" x14ac:dyDescent="0.3">
      <c r="A222" s="2" t="s">
        <v>239</v>
      </c>
      <c r="B222" s="2">
        <v>0</v>
      </c>
      <c r="C222" s="2">
        <v>0.21</v>
      </c>
      <c r="D222" s="2">
        <v>0</v>
      </c>
      <c r="E222" s="2">
        <v>0</v>
      </c>
      <c r="F222" s="2">
        <v>0</v>
      </c>
      <c r="G222" s="2">
        <v>0</v>
      </c>
      <c r="H222" s="2" t="e">
        <f t="shared" si="9"/>
        <v>#DIV/0!</v>
      </c>
      <c r="I222" s="2">
        <f t="shared" si="10"/>
        <v>0.37390096630005903</v>
      </c>
      <c r="K222" s="2">
        <f t="shared" si="11"/>
        <v>-2.2515387669959646</v>
      </c>
    </row>
    <row r="223" spans="1:11" ht="13.9" x14ac:dyDescent="0.3">
      <c r="A223" s="2" t="s">
        <v>240</v>
      </c>
      <c r="B223" s="2">
        <v>9.34</v>
      </c>
      <c r="C223" s="2">
        <v>0</v>
      </c>
      <c r="D223" s="2">
        <v>0</v>
      </c>
      <c r="E223" s="2">
        <v>12.14</v>
      </c>
      <c r="F223" s="2">
        <v>0</v>
      </c>
      <c r="G223" s="2">
        <v>9.1999999999999993</v>
      </c>
      <c r="H223" s="2">
        <f t="shared" si="9"/>
        <v>-1.1920657211147629</v>
      </c>
      <c r="I223" s="2">
        <f t="shared" si="10"/>
        <v>0.45173395715383763</v>
      </c>
      <c r="K223" s="2">
        <f t="shared" si="11"/>
        <v>3.2234225499349369</v>
      </c>
    </row>
    <row r="224" spans="1:11" ht="13.9" x14ac:dyDescent="0.3">
      <c r="A224" s="2" t="s">
        <v>241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 t="e">
        <f t="shared" si="9"/>
        <v>#DIV/0!</v>
      </c>
      <c r="I224" s="2" t="e">
        <f t="shared" si="10"/>
        <v>#DIV/0!</v>
      </c>
      <c r="K224" s="2" t="e">
        <f t="shared" si="11"/>
        <v>#NUM!</v>
      </c>
    </row>
    <row r="225" spans="1:11" ht="13.9" x14ac:dyDescent="0.3">
      <c r="A225" s="2" t="s">
        <v>242</v>
      </c>
      <c r="B225" s="2">
        <v>0</v>
      </c>
      <c r="C225" s="2">
        <v>0</v>
      </c>
      <c r="D225" s="2">
        <v>0</v>
      </c>
      <c r="E225" s="2">
        <v>0.93</v>
      </c>
      <c r="F225" s="2">
        <v>0</v>
      </c>
      <c r="G225" s="2">
        <v>1.49</v>
      </c>
      <c r="H225" s="2" t="e">
        <f t="shared" si="9"/>
        <v>#NUM!</v>
      </c>
      <c r="I225" s="2">
        <f t="shared" si="10"/>
        <v>0.13696427071498948</v>
      </c>
      <c r="K225" s="2" t="e">
        <f t="shared" si="11"/>
        <v>#NUM!</v>
      </c>
    </row>
    <row r="226" spans="1:11" ht="13.9" x14ac:dyDescent="0.3">
      <c r="A226" s="2" t="s">
        <v>243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0.14000000000000001</v>
      </c>
      <c r="H226" s="2" t="e">
        <f t="shared" si="9"/>
        <v>#NUM!</v>
      </c>
      <c r="I226" s="2">
        <f t="shared" si="10"/>
        <v>0.37390096630005903</v>
      </c>
      <c r="K226" s="2" t="e">
        <f t="shared" si="11"/>
        <v>#NUM!</v>
      </c>
    </row>
    <row r="227" spans="1:11" ht="13.9" x14ac:dyDescent="0.3">
      <c r="A227" s="2" t="s">
        <v>244</v>
      </c>
      <c r="B227" s="2">
        <v>0</v>
      </c>
      <c r="C227" s="2">
        <v>0</v>
      </c>
      <c r="D227" s="2">
        <v>0</v>
      </c>
      <c r="E227" s="2">
        <v>1.75</v>
      </c>
      <c r="F227" s="2">
        <v>0</v>
      </c>
      <c r="G227" s="2">
        <v>0.54</v>
      </c>
      <c r="H227" s="2" t="e">
        <f t="shared" si="9"/>
        <v>#NUM!</v>
      </c>
      <c r="I227" s="2">
        <f t="shared" si="10"/>
        <v>0.2141371439716821</v>
      </c>
      <c r="K227" s="2" t="e">
        <f t="shared" si="11"/>
        <v>#NUM!</v>
      </c>
    </row>
    <row r="228" spans="1:11" ht="13.9" x14ac:dyDescent="0.3">
      <c r="A228" s="2" t="s">
        <v>245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 t="e">
        <f t="shared" si="9"/>
        <v>#DIV/0!</v>
      </c>
      <c r="I228" s="2" t="e">
        <f t="shared" si="10"/>
        <v>#DIV/0!</v>
      </c>
      <c r="K228" s="2" t="e">
        <f t="shared" si="11"/>
        <v>#NUM!</v>
      </c>
    </row>
    <row r="229" spans="1:11" ht="13.9" x14ac:dyDescent="0.3">
      <c r="A229" s="2" t="s">
        <v>246</v>
      </c>
      <c r="B229" s="2">
        <v>1913.49</v>
      </c>
      <c r="C229" s="2">
        <v>3335.52</v>
      </c>
      <c r="D229" s="2">
        <v>7819.15</v>
      </c>
      <c r="E229" s="2">
        <v>655.1</v>
      </c>
      <c r="F229" s="2">
        <v>2329.9499999999998</v>
      </c>
      <c r="G229" s="2">
        <v>1980.82</v>
      </c>
      <c r="H229" s="2">
        <f t="shared" si="9"/>
        <v>1.3959376243844432</v>
      </c>
      <c r="I229" s="2">
        <f t="shared" si="10"/>
        <v>0.21835130986515772</v>
      </c>
      <c r="K229" s="2">
        <f t="shared" si="11"/>
        <v>13.673768403181057</v>
      </c>
    </row>
    <row r="230" spans="1:11" ht="13.9" x14ac:dyDescent="0.3">
      <c r="A230" s="2" t="s">
        <v>247</v>
      </c>
      <c r="B230" s="2">
        <v>207.86</v>
      </c>
      <c r="C230" s="2">
        <v>277.72000000000003</v>
      </c>
      <c r="D230" s="2">
        <v>179.48</v>
      </c>
      <c r="E230" s="2">
        <v>309.49</v>
      </c>
      <c r="F230" s="2">
        <v>3147.48</v>
      </c>
      <c r="G230" s="2">
        <v>283.82</v>
      </c>
      <c r="H230" s="2">
        <f t="shared" si="9"/>
        <v>-2.4917865705004396</v>
      </c>
      <c r="I230" s="2">
        <f t="shared" si="10"/>
        <v>0.34156633694078486</v>
      </c>
      <c r="K230" s="2">
        <f t="shared" si="11"/>
        <v>9.3773406924902805</v>
      </c>
    </row>
    <row r="231" spans="1:11" ht="13.9" x14ac:dyDescent="0.3">
      <c r="A231" s="2" t="s">
        <v>248</v>
      </c>
      <c r="B231" s="2">
        <v>123.06</v>
      </c>
      <c r="C231" s="2">
        <v>153.82</v>
      </c>
      <c r="D231" s="2">
        <v>137.25</v>
      </c>
      <c r="E231" s="2">
        <v>61.22</v>
      </c>
      <c r="F231" s="2">
        <v>613.15</v>
      </c>
      <c r="G231" s="2">
        <v>70.92</v>
      </c>
      <c r="H231" s="2">
        <f t="shared" si="9"/>
        <v>-0.84771818549520439</v>
      </c>
      <c r="I231" s="2">
        <f t="shared" si="10"/>
        <v>0.57810404547919103</v>
      </c>
      <c r="K231" s="2">
        <f t="shared" si="11"/>
        <v>8.693939906569776</v>
      </c>
    </row>
    <row r="232" spans="1:11" ht="13.9" x14ac:dyDescent="0.3">
      <c r="A232" s="2" t="s">
        <v>249</v>
      </c>
      <c r="B232" s="2">
        <v>2.87</v>
      </c>
      <c r="C232" s="2">
        <v>2.09</v>
      </c>
      <c r="D232" s="2">
        <v>10.56</v>
      </c>
      <c r="E232" s="2">
        <v>12.04</v>
      </c>
      <c r="F232" s="2">
        <v>0</v>
      </c>
      <c r="G232" s="2">
        <v>8.39</v>
      </c>
      <c r="H232" s="2">
        <f t="shared" si="9"/>
        <v>-0.39656064654609979</v>
      </c>
      <c r="I232" s="2">
        <f t="shared" si="10"/>
        <v>0.73297814905070036</v>
      </c>
      <c r="K232" s="2">
        <f t="shared" si="11"/>
        <v>3.956056652412403</v>
      </c>
    </row>
    <row r="233" spans="1:11" ht="13.9" x14ac:dyDescent="0.3">
      <c r="A233" s="2" t="s">
        <v>250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 t="e">
        <f t="shared" si="9"/>
        <v>#DIV/0!</v>
      </c>
      <c r="I233" s="2" t="e">
        <f t="shared" si="10"/>
        <v>#DIV/0!</v>
      </c>
      <c r="K233" s="2" t="e">
        <f t="shared" si="11"/>
        <v>#NUM!</v>
      </c>
    </row>
    <row r="234" spans="1:11" ht="13.9" x14ac:dyDescent="0.3">
      <c r="A234" s="2" t="s">
        <v>251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 t="e">
        <f t="shared" si="9"/>
        <v>#DIV/0!</v>
      </c>
      <c r="I234" s="2" t="e">
        <f t="shared" si="10"/>
        <v>#DIV/0!</v>
      </c>
      <c r="K234" s="2" t="e">
        <f t="shared" si="11"/>
        <v>#NUM!</v>
      </c>
    </row>
    <row r="235" spans="1:11" ht="13.9" x14ac:dyDescent="0.3">
      <c r="A235" s="2" t="s">
        <v>252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 t="e">
        <f t="shared" si="9"/>
        <v>#DIV/0!</v>
      </c>
      <c r="I235" s="2" t="e">
        <f t="shared" si="10"/>
        <v>#DIV/0!</v>
      </c>
      <c r="K235" s="2" t="e">
        <f t="shared" si="11"/>
        <v>#NUM!</v>
      </c>
    </row>
    <row r="236" spans="1:11" ht="13.9" x14ac:dyDescent="0.3">
      <c r="A236" s="2" t="s">
        <v>253</v>
      </c>
      <c r="B236" s="2">
        <v>10.42</v>
      </c>
      <c r="C236" s="2">
        <v>0</v>
      </c>
      <c r="D236" s="2">
        <v>0</v>
      </c>
      <c r="E236" s="2">
        <v>1.44</v>
      </c>
      <c r="F236" s="2">
        <v>0</v>
      </c>
      <c r="G236" s="2">
        <v>0.95</v>
      </c>
      <c r="H236" s="2">
        <f t="shared" si="9"/>
        <v>2.1242727542977602</v>
      </c>
      <c r="I236" s="2">
        <f t="shared" si="10"/>
        <v>0.48691869150981276</v>
      </c>
      <c r="K236" s="2">
        <f t="shared" si="11"/>
        <v>3.3812833725037836</v>
      </c>
    </row>
    <row r="237" spans="1:11" ht="13.9" x14ac:dyDescent="0.3">
      <c r="A237" s="2" t="s">
        <v>254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 t="e">
        <f t="shared" si="9"/>
        <v>#DIV/0!</v>
      </c>
      <c r="I237" s="2" t="e">
        <f t="shared" si="10"/>
        <v>#DIV/0!</v>
      </c>
      <c r="K237" s="2" t="e">
        <f t="shared" si="11"/>
        <v>#NUM!</v>
      </c>
    </row>
    <row r="238" spans="1:11" ht="13.9" x14ac:dyDescent="0.3">
      <c r="A238" s="2" t="s">
        <v>255</v>
      </c>
      <c r="B238" s="2">
        <v>0.36</v>
      </c>
      <c r="C238" s="2">
        <v>18</v>
      </c>
      <c r="D238" s="2">
        <v>17.09</v>
      </c>
      <c r="E238" s="2">
        <v>9.0500000000000007</v>
      </c>
      <c r="F238" s="2">
        <v>408.76</v>
      </c>
      <c r="G238" s="2">
        <v>46.69</v>
      </c>
      <c r="H238" s="2">
        <f t="shared" si="9"/>
        <v>-3.7118210640304992</v>
      </c>
      <c r="I238" s="2">
        <f t="shared" si="10"/>
        <v>0.32496181376593569</v>
      </c>
      <c r="K238" s="2">
        <f t="shared" si="11"/>
        <v>5.1477137223521536</v>
      </c>
    </row>
    <row r="239" spans="1:11" ht="13.9" x14ac:dyDescent="0.3">
      <c r="A239" s="2" t="s">
        <v>256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 t="e">
        <f t="shared" si="9"/>
        <v>#DIV/0!</v>
      </c>
      <c r="I239" s="2" t="e">
        <f t="shared" si="10"/>
        <v>#DIV/0!</v>
      </c>
      <c r="K239" s="2" t="e">
        <f t="shared" si="11"/>
        <v>#NUM!</v>
      </c>
    </row>
    <row r="240" spans="1:11" ht="13.9" x14ac:dyDescent="0.3">
      <c r="A240" s="2" t="s">
        <v>257</v>
      </c>
      <c r="B240" s="2">
        <v>0</v>
      </c>
      <c r="C240" s="2">
        <v>0</v>
      </c>
      <c r="D240" s="2">
        <v>0</v>
      </c>
      <c r="E240" s="2">
        <v>0.93</v>
      </c>
      <c r="F240" s="2">
        <v>0</v>
      </c>
      <c r="G240" s="2">
        <v>6.9</v>
      </c>
      <c r="H240" s="2" t="e">
        <f t="shared" si="9"/>
        <v>#NUM!</v>
      </c>
      <c r="I240" s="2">
        <f t="shared" si="10"/>
        <v>0.29380149775312842</v>
      </c>
      <c r="K240" s="2" t="e">
        <f t="shared" si="11"/>
        <v>#NUM!</v>
      </c>
    </row>
    <row r="241" spans="1:11" ht="13.9" x14ac:dyDescent="0.3">
      <c r="A241" s="2" t="s">
        <v>258</v>
      </c>
      <c r="B241" s="2">
        <v>4.3099999999999996</v>
      </c>
      <c r="C241" s="2">
        <v>5.65</v>
      </c>
      <c r="D241" s="2">
        <v>0</v>
      </c>
      <c r="E241" s="2">
        <v>4.84</v>
      </c>
      <c r="F241" s="2">
        <v>0</v>
      </c>
      <c r="G241" s="2">
        <v>6.63</v>
      </c>
      <c r="H241" s="2">
        <f t="shared" si="9"/>
        <v>-0.20364774394774374</v>
      </c>
      <c r="I241" s="2">
        <f t="shared" si="10"/>
        <v>0.85662511692521759</v>
      </c>
      <c r="K241" s="2">
        <f t="shared" si="11"/>
        <v>3.3161457422933562</v>
      </c>
    </row>
    <row r="242" spans="1:11" ht="13.9" x14ac:dyDescent="0.3">
      <c r="A242" s="2" t="s">
        <v>259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 t="e">
        <f t="shared" si="9"/>
        <v>#DIV/0!</v>
      </c>
      <c r="I242" s="2" t="e">
        <f t="shared" si="10"/>
        <v>#DIV/0!</v>
      </c>
      <c r="K242" s="2" t="e">
        <f t="shared" si="11"/>
        <v>#NUM!</v>
      </c>
    </row>
    <row r="243" spans="1:11" ht="13.9" x14ac:dyDescent="0.3">
      <c r="A243" s="2" t="s">
        <v>260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 t="e">
        <f t="shared" si="9"/>
        <v>#DIV/0!</v>
      </c>
      <c r="I243" s="2" t="e">
        <f t="shared" si="10"/>
        <v>#DIV/0!</v>
      </c>
      <c r="K243" s="2" t="e">
        <f t="shared" si="11"/>
        <v>#NUM!</v>
      </c>
    </row>
    <row r="244" spans="1:11" ht="13.9" x14ac:dyDescent="0.3">
      <c r="A244" s="2" t="s">
        <v>261</v>
      </c>
      <c r="B244" s="2">
        <v>0</v>
      </c>
      <c r="C244" s="2">
        <v>2.72</v>
      </c>
      <c r="D244" s="2">
        <v>0</v>
      </c>
      <c r="E244" s="2">
        <v>0.72</v>
      </c>
      <c r="F244" s="2">
        <v>40.880000000000003</v>
      </c>
      <c r="G244" s="2">
        <v>4.47</v>
      </c>
      <c r="H244" s="2">
        <f t="shared" si="9"/>
        <v>-4.0821490413538717</v>
      </c>
      <c r="I244" s="2">
        <f t="shared" si="10"/>
        <v>0.32336505986288888</v>
      </c>
      <c r="K244" s="2">
        <f t="shared" si="11"/>
        <v>1.4436066514756147</v>
      </c>
    </row>
    <row r="245" spans="1:11" ht="13.9" x14ac:dyDescent="0.3">
      <c r="A245" s="2" t="s">
        <v>262</v>
      </c>
      <c r="B245" s="2">
        <v>872.4</v>
      </c>
      <c r="C245" s="2">
        <v>1009.36</v>
      </c>
      <c r="D245" s="2">
        <v>1280.48</v>
      </c>
      <c r="E245" s="2">
        <v>496.34</v>
      </c>
      <c r="F245" s="2">
        <v>1471.55</v>
      </c>
      <c r="G245" s="2">
        <v>568.33000000000004</v>
      </c>
      <c r="H245" s="2">
        <f t="shared" si="9"/>
        <v>0.31826697102914042</v>
      </c>
      <c r="I245" s="2">
        <f t="shared" si="10"/>
        <v>0.56808578666005038</v>
      </c>
      <c r="K245" s="2">
        <f t="shared" si="11"/>
        <v>11.626731150672788</v>
      </c>
    </row>
    <row r="246" spans="1:11" ht="13.9" x14ac:dyDescent="0.3">
      <c r="A246" s="2" t="s">
        <v>263</v>
      </c>
      <c r="B246" s="2">
        <v>1.08</v>
      </c>
      <c r="C246" s="2">
        <v>19.670000000000002</v>
      </c>
      <c r="D246" s="2">
        <v>2.5099999999999998</v>
      </c>
      <c r="E246" s="2">
        <v>36.11</v>
      </c>
      <c r="F246" s="2">
        <v>0</v>
      </c>
      <c r="G246" s="2">
        <v>33.700000000000003</v>
      </c>
      <c r="H246" s="2">
        <f t="shared" si="9"/>
        <v>-1.5855826146532865</v>
      </c>
      <c r="I246" s="2">
        <f t="shared" si="10"/>
        <v>0.30169631617702136</v>
      </c>
      <c r="K246" s="2">
        <f t="shared" si="11"/>
        <v>4.5397791916984938</v>
      </c>
    </row>
    <row r="247" spans="1:11" ht="13.9" x14ac:dyDescent="0.3">
      <c r="A247" s="2" t="s">
        <v>264</v>
      </c>
      <c r="B247" s="2">
        <v>3.95</v>
      </c>
      <c r="C247" s="2">
        <v>3.14</v>
      </c>
      <c r="D247" s="2">
        <v>6.03</v>
      </c>
      <c r="E247" s="2">
        <v>1.23</v>
      </c>
      <c r="F247" s="2">
        <v>0</v>
      </c>
      <c r="G247" s="2">
        <v>6.09</v>
      </c>
      <c r="H247" s="2">
        <f t="shared" si="9"/>
        <v>0.84185216633404125</v>
      </c>
      <c r="I247" s="2">
        <f t="shared" si="10"/>
        <v>0.39877999371988826</v>
      </c>
      <c r="K247" s="2">
        <f t="shared" si="11"/>
        <v>3.7136958148433594</v>
      </c>
    </row>
    <row r="248" spans="1:11" ht="13.9" x14ac:dyDescent="0.3">
      <c r="A248" s="2" t="s">
        <v>265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0.27</v>
      </c>
      <c r="H248" s="2" t="e">
        <f t="shared" si="9"/>
        <v>#NUM!</v>
      </c>
      <c r="I248" s="2">
        <f t="shared" si="10"/>
        <v>0.37390096630005903</v>
      </c>
      <c r="K248" s="2" t="e">
        <f t="shared" si="11"/>
        <v>#NUM!</v>
      </c>
    </row>
    <row r="249" spans="1:11" ht="13.9" x14ac:dyDescent="0.3">
      <c r="A249" s="2" t="s">
        <v>266</v>
      </c>
      <c r="B249" s="2">
        <v>0</v>
      </c>
      <c r="C249" s="2">
        <v>0</v>
      </c>
      <c r="D249" s="2">
        <v>0</v>
      </c>
      <c r="E249" s="2">
        <v>0.72</v>
      </c>
      <c r="F249" s="2">
        <v>0</v>
      </c>
      <c r="G249" s="2">
        <v>0</v>
      </c>
      <c r="H249" s="2" t="e">
        <f t="shared" si="9"/>
        <v>#NUM!</v>
      </c>
      <c r="I249" s="2">
        <f t="shared" si="10"/>
        <v>0.37390096630005903</v>
      </c>
      <c r="K249" s="2" t="e">
        <f t="shared" si="11"/>
        <v>#NUM!</v>
      </c>
    </row>
    <row r="250" spans="1:11" ht="13.9" x14ac:dyDescent="0.3">
      <c r="A250" s="2" t="s">
        <v>267</v>
      </c>
      <c r="B250" s="2">
        <v>5927.14</v>
      </c>
      <c r="C250" s="2">
        <v>11937.81</v>
      </c>
      <c r="D250" s="2">
        <v>13177.37</v>
      </c>
      <c r="E250" s="2">
        <v>16512.330000000002</v>
      </c>
      <c r="F250" s="2">
        <v>10750.49</v>
      </c>
      <c r="G250" s="2">
        <v>22292.87</v>
      </c>
      <c r="H250" s="2">
        <f t="shared" si="9"/>
        <v>-0.67481433382848743</v>
      </c>
      <c r="I250" s="2">
        <f t="shared" si="10"/>
        <v>0.1990439731133283</v>
      </c>
      <c r="K250" s="2">
        <f t="shared" si="11"/>
        <v>14.921948763344398</v>
      </c>
    </row>
    <row r="251" spans="1:11" ht="13.9" x14ac:dyDescent="0.3">
      <c r="A251" s="2" t="s">
        <v>268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 t="e">
        <f t="shared" si="9"/>
        <v>#DIV/0!</v>
      </c>
      <c r="I251" s="2" t="e">
        <f t="shared" si="10"/>
        <v>#DIV/0!</v>
      </c>
      <c r="K251" s="2" t="e">
        <f t="shared" si="11"/>
        <v>#NUM!</v>
      </c>
    </row>
    <row r="252" spans="1:11" ht="13.9" x14ac:dyDescent="0.3">
      <c r="A252" s="2" t="s">
        <v>269</v>
      </c>
      <c r="B252" s="2">
        <v>598.79</v>
      </c>
      <c r="C252" s="2">
        <v>878.98</v>
      </c>
      <c r="D252" s="2">
        <v>1117.5999999999999</v>
      </c>
      <c r="E252" s="2">
        <v>1672.37</v>
      </c>
      <c r="F252" s="2">
        <v>1185.42</v>
      </c>
      <c r="G252" s="2">
        <v>2193.1799999999998</v>
      </c>
      <c r="H252" s="2">
        <f t="shared" si="9"/>
        <v>-0.96062024687192382</v>
      </c>
      <c r="I252" s="2">
        <f t="shared" si="10"/>
        <v>6.6718589953598681E-2</v>
      </c>
      <c r="K252" s="2">
        <f t="shared" si="11"/>
        <v>11.34172451076503</v>
      </c>
    </row>
    <row r="253" spans="1:11" ht="13.9" x14ac:dyDescent="0.3">
      <c r="A253" s="2" t="s">
        <v>270</v>
      </c>
      <c r="B253" s="2">
        <v>723.82</v>
      </c>
      <c r="C253" s="2">
        <v>842.15</v>
      </c>
      <c r="D253" s="2">
        <v>1039.67</v>
      </c>
      <c r="E253" s="2">
        <v>1124.99</v>
      </c>
      <c r="F253" s="2">
        <v>1553.3</v>
      </c>
      <c r="G253" s="2">
        <v>1068.3</v>
      </c>
      <c r="H253" s="2">
        <f t="shared" si="9"/>
        <v>-0.52394033580095267</v>
      </c>
      <c r="I253" s="2">
        <f t="shared" si="10"/>
        <v>0.1003769312258392</v>
      </c>
      <c r="K253" s="2">
        <f t="shared" si="11"/>
        <v>11.347422056944328</v>
      </c>
    </row>
    <row r="254" spans="1:11" ht="13.9" x14ac:dyDescent="0.3">
      <c r="A254" s="2" t="s">
        <v>271</v>
      </c>
      <c r="B254" s="2">
        <v>350.5</v>
      </c>
      <c r="C254" s="2">
        <v>533.46</v>
      </c>
      <c r="D254" s="2">
        <v>381.08</v>
      </c>
      <c r="E254" s="2">
        <v>646.25</v>
      </c>
      <c r="F254" s="2">
        <v>60864.94</v>
      </c>
      <c r="G254" s="2">
        <v>712.34</v>
      </c>
      <c r="H254" s="2">
        <f t="shared" si="9"/>
        <v>-5.6202053345283964</v>
      </c>
      <c r="I254" s="2">
        <f t="shared" si="10"/>
        <v>0.36842523136575012</v>
      </c>
      <c r="K254" s="2">
        <f t="shared" si="11"/>
        <v>10.304967287675964</v>
      </c>
    </row>
    <row r="255" spans="1:11" ht="13.9" x14ac:dyDescent="0.3">
      <c r="A255" s="2" t="s">
        <v>272</v>
      </c>
      <c r="B255" s="2">
        <v>254.93</v>
      </c>
      <c r="C255" s="2">
        <v>634.54</v>
      </c>
      <c r="D255" s="2">
        <v>459</v>
      </c>
      <c r="E255" s="2">
        <v>1187.1400000000001</v>
      </c>
      <c r="F255" s="2">
        <v>3433.62</v>
      </c>
      <c r="G255" s="2">
        <v>1111.3399999999999</v>
      </c>
      <c r="H255" s="2">
        <f t="shared" si="9"/>
        <v>-2.0877403528544214</v>
      </c>
      <c r="I255" s="2">
        <f t="shared" si="10"/>
        <v>0.13045147077721397</v>
      </c>
      <c r="K255" s="2">
        <f t="shared" si="11"/>
        <v>10.397107710327063</v>
      </c>
    </row>
    <row r="256" spans="1:11" ht="13.9" x14ac:dyDescent="0.3">
      <c r="A256" s="2" t="s">
        <v>273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 t="e">
        <f t="shared" si="9"/>
        <v>#DIV/0!</v>
      </c>
      <c r="I256" s="2" t="e">
        <f t="shared" si="10"/>
        <v>#DIV/0!</v>
      </c>
      <c r="K256" s="2" t="e">
        <f t="shared" si="11"/>
        <v>#NUM!</v>
      </c>
    </row>
    <row r="257" spans="1:11" ht="13.9" x14ac:dyDescent="0.3">
      <c r="A257" s="2" t="s">
        <v>274</v>
      </c>
      <c r="B257" s="2">
        <v>0.36</v>
      </c>
      <c r="C257" s="2">
        <v>6.7</v>
      </c>
      <c r="D257" s="2">
        <v>2.5099999999999998</v>
      </c>
      <c r="E257" s="2">
        <v>15.43</v>
      </c>
      <c r="F257" s="2">
        <v>163.51</v>
      </c>
      <c r="G257" s="2">
        <v>34.380000000000003</v>
      </c>
      <c r="H257" s="2">
        <f t="shared" si="9"/>
        <v>-4.4783564981969688</v>
      </c>
      <c r="I257" s="2">
        <f t="shared" si="10"/>
        <v>0.21842027075448833</v>
      </c>
      <c r="K257" s="2">
        <f t="shared" si="11"/>
        <v>3.2585189247113013</v>
      </c>
    </row>
    <row r="258" spans="1:11" ht="13.9" x14ac:dyDescent="0.3">
      <c r="A258" s="2" t="s">
        <v>275</v>
      </c>
      <c r="B258" s="2">
        <v>15.63</v>
      </c>
      <c r="C258" s="2">
        <v>22.6</v>
      </c>
      <c r="D258" s="2">
        <v>28.66</v>
      </c>
      <c r="E258" s="2">
        <v>15.12</v>
      </c>
      <c r="F258" s="2">
        <v>0</v>
      </c>
      <c r="G258" s="2">
        <v>29.51</v>
      </c>
      <c r="H258" s="2">
        <f t="shared" ref="H258:H321" si="12">LOG(SUM(B258:D258)/SUM(E258:G258),2)</f>
        <v>0.58377673867511815</v>
      </c>
      <c r="I258" s="2">
        <f t="shared" ref="I258:I321" si="13">_xlfn.T.TEST(B258:D258,E258:G258,2,2)</f>
        <v>0.47027658867103944</v>
      </c>
      <c r="K258" s="2">
        <f t="shared" si="11"/>
        <v>6.0637186401522492</v>
      </c>
    </row>
    <row r="259" spans="1:11" ht="13.9" x14ac:dyDescent="0.3">
      <c r="A259" s="2" t="s">
        <v>276</v>
      </c>
      <c r="B259" s="2">
        <v>0</v>
      </c>
      <c r="C259" s="2">
        <v>3.98</v>
      </c>
      <c r="D259" s="2">
        <v>0</v>
      </c>
      <c r="E259" s="2">
        <v>0.41</v>
      </c>
      <c r="F259" s="2">
        <v>0</v>
      </c>
      <c r="G259" s="2">
        <v>0.81</v>
      </c>
      <c r="H259" s="2">
        <f t="shared" si="12"/>
        <v>1.7058872829807625</v>
      </c>
      <c r="I259" s="2">
        <f t="shared" si="13"/>
        <v>0.53214820038667587</v>
      </c>
      <c r="K259" s="2">
        <f t="shared" ref="K259:K322" si="14">LOG(SUM(B259:D259),2)</f>
        <v>1.9927684307689242</v>
      </c>
    </row>
    <row r="260" spans="1:11" ht="13.9" x14ac:dyDescent="0.3">
      <c r="A260" s="2" t="s">
        <v>277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0.27</v>
      </c>
      <c r="H260" s="2" t="e">
        <f t="shared" si="12"/>
        <v>#NUM!</v>
      </c>
      <c r="I260" s="2">
        <f t="shared" si="13"/>
        <v>0.37390096630005903</v>
      </c>
      <c r="K260" s="2" t="e">
        <f t="shared" si="14"/>
        <v>#NUM!</v>
      </c>
    </row>
    <row r="261" spans="1:11" ht="13.9" x14ac:dyDescent="0.3">
      <c r="A261" s="2" t="s">
        <v>278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 t="e">
        <f t="shared" si="12"/>
        <v>#DIV/0!</v>
      </c>
      <c r="I261" s="2" t="e">
        <f t="shared" si="13"/>
        <v>#DIV/0!</v>
      </c>
      <c r="K261" s="2" t="e">
        <f t="shared" si="14"/>
        <v>#NUM!</v>
      </c>
    </row>
    <row r="262" spans="1:11" ht="13.9" x14ac:dyDescent="0.3">
      <c r="A262" s="2" t="s">
        <v>279</v>
      </c>
      <c r="B262" s="2">
        <v>125.4</v>
      </c>
      <c r="C262" s="2">
        <v>228.53</v>
      </c>
      <c r="D262" s="2">
        <v>382.08</v>
      </c>
      <c r="E262" s="2">
        <v>92.81</v>
      </c>
      <c r="F262" s="2">
        <v>122.63</v>
      </c>
      <c r="G262" s="2">
        <v>126.69</v>
      </c>
      <c r="H262" s="2">
        <f t="shared" si="12"/>
        <v>1.1051807542212533</v>
      </c>
      <c r="I262" s="2">
        <f t="shared" si="13"/>
        <v>0.15631919622006016</v>
      </c>
      <c r="K262" s="2">
        <f t="shared" si="14"/>
        <v>9.5235815577586447</v>
      </c>
    </row>
    <row r="263" spans="1:11" ht="13.9" x14ac:dyDescent="0.3">
      <c r="A263" s="2" t="s">
        <v>280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 t="e">
        <f t="shared" si="12"/>
        <v>#DIV/0!</v>
      </c>
      <c r="I263" s="2" t="e">
        <f t="shared" si="13"/>
        <v>#DIV/0!</v>
      </c>
      <c r="K263" s="2" t="e">
        <f t="shared" si="14"/>
        <v>#NUM!</v>
      </c>
    </row>
    <row r="264" spans="1:11" ht="13.9" x14ac:dyDescent="0.3">
      <c r="A264" s="2" t="s">
        <v>281</v>
      </c>
      <c r="B264" s="2">
        <v>0</v>
      </c>
      <c r="C264" s="2">
        <v>1.05</v>
      </c>
      <c r="D264" s="2">
        <v>0</v>
      </c>
      <c r="E264" s="2">
        <v>0</v>
      </c>
      <c r="F264" s="2">
        <v>0</v>
      </c>
      <c r="G264" s="2">
        <v>1.08</v>
      </c>
      <c r="H264" s="2">
        <f t="shared" si="12"/>
        <v>-4.0641984497345927E-2</v>
      </c>
      <c r="I264" s="2">
        <f t="shared" si="13"/>
        <v>0.98506384014328829</v>
      </c>
      <c r="K264" s="2">
        <f t="shared" si="14"/>
        <v>7.0389327891398012E-2</v>
      </c>
    </row>
    <row r="265" spans="1:11" ht="13.9" x14ac:dyDescent="0.3">
      <c r="A265" s="2" t="s">
        <v>282</v>
      </c>
      <c r="B265" s="2">
        <v>24.79</v>
      </c>
      <c r="C265" s="2">
        <v>39.340000000000003</v>
      </c>
      <c r="D265" s="2">
        <v>156.86000000000001</v>
      </c>
      <c r="E265" s="2">
        <v>20.48</v>
      </c>
      <c r="F265" s="2">
        <v>0</v>
      </c>
      <c r="G265" s="2">
        <v>31.27</v>
      </c>
      <c r="H265" s="2">
        <f t="shared" si="12"/>
        <v>2.0943503200965394</v>
      </c>
      <c r="I265" s="2">
        <f t="shared" si="13"/>
        <v>0.25792879310517408</v>
      </c>
      <c r="K265" s="2">
        <f t="shared" si="14"/>
        <v>7.7878372775958651</v>
      </c>
    </row>
    <row r="266" spans="1:11" ht="13.9" x14ac:dyDescent="0.3">
      <c r="A266" s="2" t="s">
        <v>283</v>
      </c>
      <c r="B266" s="2">
        <v>57.67</v>
      </c>
      <c r="C266" s="2">
        <v>38.93</v>
      </c>
      <c r="D266" s="2">
        <v>137.75</v>
      </c>
      <c r="E266" s="2">
        <v>1.65</v>
      </c>
      <c r="F266" s="2">
        <v>0</v>
      </c>
      <c r="G266" s="2">
        <v>2.84</v>
      </c>
      <c r="H266" s="2">
        <f t="shared" si="12"/>
        <v>5.7058055396252403</v>
      </c>
      <c r="I266" s="2">
        <f t="shared" si="13"/>
        <v>6.4837458158012007E-2</v>
      </c>
      <c r="K266" s="2">
        <f t="shared" si="14"/>
        <v>7.8725209845916622</v>
      </c>
    </row>
    <row r="267" spans="1:11" ht="13.9" x14ac:dyDescent="0.3">
      <c r="A267" s="2" t="s">
        <v>284</v>
      </c>
      <c r="B267" s="2">
        <v>0</v>
      </c>
      <c r="C267" s="2">
        <v>23.86</v>
      </c>
      <c r="D267" s="2">
        <v>0</v>
      </c>
      <c r="E267" s="2">
        <v>4.63</v>
      </c>
      <c r="F267" s="2">
        <v>0</v>
      </c>
      <c r="G267" s="2">
        <v>3.38</v>
      </c>
      <c r="H267" s="5">
        <f t="shared" si="12"/>
        <v>1.574719895286518</v>
      </c>
      <c r="I267" s="5">
        <f t="shared" si="13"/>
        <v>0.54852997292041072</v>
      </c>
      <c r="K267" s="2">
        <f t="shared" si="14"/>
        <v>4.5765221379205032</v>
      </c>
    </row>
    <row r="268" spans="1:11" ht="13.9" x14ac:dyDescent="0.3">
      <c r="A268" s="2" t="s">
        <v>285</v>
      </c>
      <c r="B268" s="2">
        <v>9.6999999999999993</v>
      </c>
      <c r="C268" s="2">
        <v>6.49</v>
      </c>
      <c r="D268" s="2">
        <v>0</v>
      </c>
      <c r="E268" s="2">
        <v>0</v>
      </c>
      <c r="F268" s="2">
        <v>0</v>
      </c>
      <c r="G268" s="2">
        <v>0</v>
      </c>
      <c r="H268" s="2" t="e">
        <f t="shared" si="12"/>
        <v>#DIV/0!</v>
      </c>
      <c r="I268" s="2">
        <f t="shared" si="13"/>
        <v>0.13151224217957475</v>
      </c>
      <c r="K268" s="2">
        <f t="shared" si="14"/>
        <v>4.0170310805278415</v>
      </c>
    </row>
    <row r="269" spans="1:11" ht="13.9" x14ac:dyDescent="0.3">
      <c r="A269" s="2" t="s">
        <v>286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 t="e">
        <f t="shared" si="12"/>
        <v>#DIV/0!</v>
      </c>
      <c r="I269" s="2" t="e">
        <f t="shared" si="13"/>
        <v>#DIV/0!</v>
      </c>
      <c r="K269" s="2" t="e">
        <f t="shared" si="14"/>
        <v>#NUM!</v>
      </c>
    </row>
    <row r="270" spans="1:11" ht="13.9" x14ac:dyDescent="0.3">
      <c r="A270" s="2" t="s">
        <v>287</v>
      </c>
      <c r="B270" s="2">
        <v>0.18</v>
      </c>
      <c r="C270" s="2">
        <v>4.3899999999999997</v>
      </c>
      <c r="D270" s="2">
        <v>0</v>
      </c>
      <c r="E270" s="2">
        <v>2.06</v>
      </c>
      <c r="F270" s="2">
        <v>0</v>
      </c>
      <c r="G270" s="2">
        <v>5.01</v>
      </c>
      <c r="H270" s="2">
        <f t="shared" si="12"/>
        <v>-0.62951604975132947</v>
      </c>
      <c r="I270" s="2">
        <f t="shared" si="13"/>
        <v>0.70413777518194998</v>
      </c>
      <c r="K270" s="2">
        <f t="shared" si="14"/>
        <v>2.192194165283345</v>
      </c>
    </row>
    <row r="271" spans="1:11" ht="13.9" x14ac:dyDescent="0.3">
      <c r="A271" s="2" t="s">
        <v>288</v>
      </c>
      <c r="B271" s="2">
        <v>0</v>
      </c>
      <c r="C271" s="2">
        <v>0</v>
      </c>
      <c r="D271" s="2">
        <v>0</v>
      </c>
      <c r="E271" s="2">
        <v>0</v>
      </c>
      <c r="F271" s="2">
        <v>163.51</v>
      </c>
      <c r="G271" s="2">
        <v>0</v>
      </c>
      <c r="H271" s="2" t="e">
        <f t="shared" si="12"/>
        <v>#NUM!</v>
      </c>
      <c r="I271" s="2">
        <f t="shared" si="13"/>
        <v>0.37390096630005903</v>
      </c>
      <c r="K271" s="2" t="e">
        <f t="shared" si="14"/>
        <v>#NUM!</v>
      </c>
    </row>
    <row r="272" spans="1:11" ht="13.9" x14ac:dyDescent="0.3">
      <c r="A272" s="2" t="s">
        <v>289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 t="e">
        <f t="shared" si="12"/>
        <v>#DIV/0!</v>
      </c>
      <c r="I272" s="2" t="e">
        <f t="shared" si="13"/>
        <v>#DIV/0!</v>
      </c>
      <c r="K272" s="2" t="e">
        <f t="shared" si="14"/>
        <v>#NUM!</v>
      </c>
    </row>
    <row r="273" spans="1:11" ht="13.9" x14ac:dyDescent="0.3">
      <c r="A273" s="2" t="s">
        <v>290</v>
      </c>
      <c r="B273" s="2">
        <v>10.42</v>
      </c>
      <c r="C273" s="2">
        <v>57.76</v>
      </c>
      <c r="D273" s="2">
        <v>13.07</v>
      </c>
      <c r="E273" s="2">
        <v>47.53</v>
      </c>
      <c r="F273" s="2">
        <v>40.880000000000003</v>
      </c>
      <c r="G273" s="2">
        <v>56.44</v>
      </c>
      <c r="H273" s="2">
        <f t="shared" si="12"/>
        <v>-0.83411996646722408</v>
      </c>
      <c r="I273" s="2">
        <f t="shared" si="13"/>
        <v>0.25592368380222014</v>
      </c>
      <c r="K273" s="2">
        <f t="shared" si="14"/>
        <v>6.344295907915817</v>
      </c>
    </row>
    <row r="274" spans="1:11" ht="13.9" x14ac:dyDescent="0.3">
      <c r="A274" s="2" t="s">
        <v>291</v>
      </c>
      <c r="B274" s="2">
        <v>41.14</v>
      </c>
      <c r="C274" s="2">
        <v>26.58</v>
      </c>
      <c r="D274" s="2">
        <v>76.92</v>
      </c>
      <c r="E274" s="2">
        <v>62.25</v>
      </c>
      <c r="F274" s="2">
        <v>163.51</v>
      </c>
      <c r="G274" s="2">
        <v>61.18</v>
      </c>
      <c r="H274" s="2">
        <f t="shared" si="12"/>
        <v>-0.98828251378443677</v>
      </c>
      <c r="I274" s="2">
        <f t="shared" si="13"/>
        <v>0.27001887428074778</v>
      </c>
      <c r="K274" s="2">
        <f t="shared" si="14"/>
        <v>7.1763227726404626</v>
      </c>
    </row>
    <row r="275" spans="1:11" ht="13.9" x14ac:dyDescent="0.3">
      <c r="A275" s="2" t="s">
        <v>292</v>
      </c>
      <c r="B275" s="2">
        <v>3.05</v>
      </c>
      <c r="C275" s="2">
        <v>0</v>
      </c>
      <c r="D275" s="2">
        <v>0</v>
      </c>
      <c r="E275" s="2">
        <v>2.98</v>
      </c>
      <c r="F275" s="2">
        <v>0</v>
      </c>
      <c r="G275" s="2">
        <v>4.0599999999999996</v>
      </c>
      <c r="H275" s="2">
        <f t="shared" si="12"/>
        <v>-1.2067661861870485</v>
      </c>
      <c r="I275" s="2">
        <f t="shared" si="13"/>
        <v>0.4482321943881345</v>
      </c>
      <c r="K275" s="2">
        <f t="shared" si="14"/>
        <v>1.6088092426755241</v>
      </c>
    </row>
    <row r="276" spans="1:11" ht="13.9" x14ac:dyDescent="0.3">
      <c r="A276" s="2" t="s">
        <v>293</v>
      </c>
      <c r="B276" s="2">
        <v>22.1</v>
      </c>
      <c r="C276" s="2">
        <v>176.21</v>
      </c>
      <c r="D276" s="2">
        <v>173.95</v>
      </c>
      <c r="E276" s="2">
        <v>36.729999999999997</v>
      </c>
      <c r="F276" s="2">
        <v>613.15</v>
      </c>
      <c r="G276" s="2">
        <v>68.489999999999995</v>
      </c>
      <c r="H276" s="2">
        <f t="shared" si="12"/>
        <v>-0.94841649828152197</v>
      </c>
      <c r="I276" s="2">
        <f t="shared" si="13"/>
        <v>0.5838676021506054</v>
      </c>
      <c r="K276" s="2">
        <f t="shared" si="14"/>
        <v>8.5401667941405481</v>
      </c>
    </row>
    <row r="277" spans="1:11" ht="13.9" x14ac:dyDescent="0.3">
      <c r="A277" s="2" t="s">
        <v>294</v>
      </c>
      <c r="B277" s="2">
        <v>3.23</v>
      </c>
      <c r="C277" s="2">
        <v>6.49</v>
      </c>
      <c r="D277" s="2">
        <v>0</v>
      </c>
      <c r="E277" s="2">
        <v>9.0500000000000007</v>
      </c>
      <c r="F277" s="2">
        <v>0</v>
      </c>
      <c r="G277" s="2">
        <v>7.31</v>
      </c>
      <c r="H277" s="2">
        <f t="shared" si="12"/>
        <v>-0.75114452933596787</v>
      </c>
      <c r="I277" s="2">
        <f t="shared" si="13"/>
        <v>0.54448378382833584</v>
      </c>
      <c r="K277" s="2">
        <f t="shared" si="14"/>
        <v>3.2809563138310565</v>
      </c>
    </row>
    <row r="278" spans="1:11" ht="13.9" x14ac:dyDescent="0.3">
      <c r="A278" s="2" t="s">
        <v>295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0.27</v>
      </c>
      <c r="H278" s="2" t="e">
        <f t="shared" si="12"/>
        <v>#NUM!</v>
      </c>
      <c r="I278" s="2">
        <f t="shared" si="13"/>
        <v>0.37390096630005903</v>
      </c>
      <c r="K278" s="2" t="e">
        <f t="shared" si="14"/>
        <v>#NUM!</v>
      </c>
    </row>
    <row r="279" spans="1:11" ht="13.9" x14ac:dyDescent="0.3">
      <c r="A279" s="2" t="s">
        <v>296</v>
      </c>
      <c r="B279" s="2">
        <v>567.71</v>
      </c>
      <c r="C279" s="2">
        <v>931.93</v>
      </c>
      <c r="D279" s="2">
        <v>2455.89</v>
      </c>
      <c r="E279" s="2">
        <v>346.53</v>
      </c>
      <c r="F279" s="2">
        <v>490.52</v>
      </c>
      <c r="G279" s="2">
        <v>698.8</v>
      </c>
      <c r="H279" s="2">
        <f t="shared" si="12"/>
        <v>1.3648336928323177</v>
      </c>
      <c r="I279" s="2">
        <f t="shared" si="13"/>
        <v>0.24159533499851471</v>
      </c>
      <c r="K279" s="2">
        <f t="shared" si="14"/>
        <v>11.949655298486134</v>
      </c>
    </row>
    <row r="280" spans="1:11" ht="13.9" x14ac:dyDescent="0.3">
      <c r="A280" s="2" t="s">
        <v>297</v>
      </c>
      <c r="B280" s="2">
        <v>0</v>
      </c>
      <c r="C280" s="2">
        <v>0</v>
      </c>
      <c r="D280" s="2">
        <v>0</v>
      </c>
      <c r="E280" s="2">
        <v>0.93</v>
      </c>
      <c r="F280" s="2">
        <v>0</v>
      </c>
      <c r="G280" s="2">
        <v>0.14000000000000001</v>
      </c>
      <c r="H280" s="2" t="e">
        <f t="shared" si="12"/>
        <v>#NUM!</v>
      </c>
      <c r="I280" s="2">
        <f t="shared" si="13"/>
        <v>0.28541863874957513</v>
      </c>
      <c r="K280" s="2" t="e">
        <f t="shared" si="14"/>
        <v>#NUM!</v>
      </c>
    </row>
    <row r="281" spans="1:11" ht="13.9" x14ac:dyDescent="0.3">
      <c r="A281" s="2" t="s">
        <v>298</v>
      </c>
      <c r="B281" s="2">
        <v>1842.53</v>
      </c>
      <c r="C281" s="2">
        <v>3174.17</v>
      </c>
      <c r="D281" s="2">
        <v>4432.17</v>
      </c>
      <c r="E281" s="2">
        <v>3987.28</v>
      </c>
      <c r="F281" s="2">
        <v>9360.69</v>
      </c>
      <c r="G281" s="2">
        <v>6306.53</v>
      </c>
      <c r="H281" s="2">
        <f t="shared" si="12"/>
        <v>-1.0566459514453193</v>
      </c>
      <c r="I281" s="2">
        <f t="shared" si="13"/>
        <v>0.12008559486178365</v>
      </c>
      <c r="K281" s="2">
        <f t="shared" si="14"/>
        <v>13.205926090940382</v>
      </c>
    </row>
    <row r="282" spans="1:11" ht="13.9" x14ac:dyDescent="0.3">
      <c r="A282" s="2" t="s">
        <v>299</v>
      </c>
      <c r="B282" s="2">
        <v>134.02000000000001</v>
      </c>
      <c r="C282" s="2">
        <v>231.46</v>
      </c>
      <c r="D282" s="2">
        <v>117.64</v>
      </c>
      <c r="E282" s="2">
        <v>310.11</v>
      </c>
      <c r="F282" s="2">
        <v>8052.65</v>
      </c>
      <c r="G282" s="2">
        <v>348.11</v>
      </c>
      <c r="H282" s="2">
        <f t="shared" si="12"/>
        <v>-4.172363332289474</v>
      </c>
      <c r="I282" s="2">
        <f t="shared" si="13"/>
        <v>0.34682464247921085</v>
      </c>
      <c r="K282" s="2">
        <f t="shared" si="14"/>
        <v>8.9162377678677718</v>
      </c>
    </row>
    <row r="283" spans="1:11" ht="13.9" x14ac:dyDescent="0.3">
      <c r="A283" s="2" t="s">
        <v>300</v>
      </c>
      <c r="B283" s="2">
        <v>1446.57</v>
      </c>
      <c r="C283" s="2">
        <v>1822.63</v>
      </c>
      <c r="D283" s="2">
        <v>2028.06</v>
      </c>
      <c r="E283" s="2">
        <v>952.55</v>
      </c>
      <c r="F283" s="2">
        <v>2697.84</v>
      </c>
      <c r="G283" s="2">
        <v>729.52</v>
      </c>
      <c r="H283" s="2">
        <f t="shared" si="12"/>
        <v>0.27434509559647074</v>
      </c>
      <c r="I283" s="2">
        <f t="shared" si="13"/>
        <v>0.660229986531775</v>
      </c>
      <c r="K283" s="2">
        <f t="shared" si="14"/>
        <v>12.371030605361788</v>
      </c>
    </row>
    <row r="284" spans="1:11" ht="13.9" x14ac:dyDescent="0.3">
      <c r="A284" s="2" t="s">
        <v>301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0.41</v>
      </c>
      <c r="H284" s="2" t="e">
        <f t="shared" si="12"/>
        <v>#NUM!</v>
      </c>
      <c r="I284" s="2">
        <f t="shared" si="13"/>
        <v>0.37390096630005903</v>
      </c>
      <c r="K284" s="2" t="e">
        <f t="shared" si="14"/>
        <v>#NUM!</v>
      </c>
    </row>
    <row r="285" spans="1:11" ht="13.9" x14ac:dyDescent="0.3">
      <c r="A285" s="2" t="s">
        <v>302</v>
      </c>
      <c r="B285" s="2">
        <v>0</v>
      </c>
      <c r="C285" s="2">
        <v>0</v>
      </c>
      <c r="D285" s="2">
        <v>0</v>
      </c>
      <c r="E285" s="2">
        <v>2.2599999999999998</v>
      </c>
      <c r="F285" s="2">
        <v>0</v>
      </c>
      <c r="G285" s="2">
        <v>0.68</v>
      </c>
      <c r="H285" s="2" t="e">
        <f t="shared" si="12"/>
        <v>#NUM!</v>
      </c>
      <c r="I285" s="2">
        <f t="shared" si="13"/>
        <v>0.21705690138286429</v>
      </c>
      <c r="K285" s="2" t="e">
        <f t="shared" si="14"/>
        <v>#NUM!</v>
      </c>
    </row>
    <row r="286" spans="1:11" ht="13.9" x14ac:dyDescent="0.3">
      <c r="A286" s="2" t="s">
        <v>303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 t="e">
        <f t="shared" si="12"/>
        <v>#DIV/0!</v>
      </c>
      <c r="I286" s="2" t="e">
        <f t="shared" si="13"/>
        <v>#DIV/0!</v>
      </c>
      <c r="K286" s="2" t="e">
        <f t="shared" si="14"/>
        <v>#NUM!</v>
      </c>
    </row>
    <row r="287" spans="1:11" ht="13.9" x14ac:dyDescent="0.3">
      <c r="A287" s="2" t="s">
        <v>304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0.54</v>
      </c>
      <c r="H287" s="2" t="e">
        <f t="shared" si="12"/>
        <v>#NUM!</v>
      </c>
      <c r="I287" s="2">
        <f t="shared" si="13"/>
        <v>0.37390096630005903</v>
      </c>
      <c r="K287" s="2" t="e">
        <f t="shared" si="14"/>
        <v>#NUM!</v>
      </c>
    </row>
    <row r="288" spans="1:11" ht="13.9" x14ac:dyDescent="0.3">
      <c r="A288" s="2" t="s">
        <v>305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 t="e">
        <f t="shared" si="12"/>
        <v>#DIV/0!</v>
      </c>
      <c r="I288" s="2" t="e">
        <f t="shared" si="13"/>
        <v>#DIV/0!</v>
      </c>
      <c r="K288" s="2" t="e">
        <f t="shared" si="14"/>
        <v>#NUM!</v>
      </c>
    </row>
    <row r="289" spans="1:11" ht="13.9" x14ac:dyDescent="0.3">
      <c r="A289" s="2" t="s">
        <v>306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 t="e">
        <f t="shared" si="12"/>
        <v>#DIV/0!</v>
      </c>
      <c r="I289" s="2" t="e">
        <f t="shared" si="13"/>
        <v>#DIV/0!</v>
      </c>
      <c r="K289" s="2" t="e">
        <f t="shared" si="14"/>
        <v>#NUM!</v>
      </c>
    </row>
    <row r="290" spans="1:11" ht="13.9" x14ac:dyDescent="0.3">
      <c r="A290" s="2" t="s">
        <v>307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2.17</v>
      </c>
      <c r="H290" s="2" t="e">
        <f t="shared" si="12"/>
        <v>#NUM!</v>
      </c>
      <c r="I290" s="2">
        <f t="shared" si="13"/>
        <v>0.37390096630005903</v>
      </c>
      <c r="K290" s="2" t="e">
        <f t="shared" si="14"/>
        <v>#NUM!</v>
      </c>
    </row>
    <row r="291" spans="1:11" ht="13.9" x14ac:dyDescent="0.3">
      <c r="A291" s="2" t="s">
        <v>308</v>
      </c>
      <c r="B291" s="2">
        <v>0</v>
      </c>
      <c r="C291" s="2">
        <v>0</v>
      </c>
      <c r="D291" s="2">
        <v>0</v>
      </c>
      <c r="E291" s="2">
        <v>0.41</v>
      </c>
      <c r="F291" s="2">
        <v>0</v>
      </c>
      <c r="G291" s="2">
        <v>0</v>
      </c>
      <c r="H291" s="2" t="e">
        <f t="shared" si="12"/>
        <v>#NUM!</v>
      </c>
      <c r="I291" s="2">
        <f t="shared" si="13"/>
        <v>0.37390096630005903</v>
      </c>
      <c r="K291" s="2" t="e">
        <f t="shared" si="14"/>
        <v>#NUM!</v>
      </c>
    </row>
    <row r="292" spans="1:11" ht="13.9" x14ac:dyDescent="0.3">
      <c r="A292" s="2" t="s">
        <v>309</v>
      </c>
      <c r="B292" s="2">
        <v>0</v>
      </c>
      <c r="C292" s="2">
        <v>0</v>
      </c>
      <c r="D292" s="2">
        <v>0.5</v>
      </c>
      <c r="E292" s="2">
        <v>0</v>
      </c>
      <c r="F292" s="2">
        <v>0</v>
      </c>
      <c r="G292" s="2">
        <v>0</v>
      </c>
      <c r="H292" s="2" t="e">
        <f t="shared" si="12"/>
        <v>#DIV/0!</v>
      </c>
      <c r="I292" s="2">
        <f t="shared" si="13"/>
        <v>0.37390096630005903</v>
      </c>
      <c r="K292" s="2">
        <f t="shared" si="14"/>
        <v>-1</v>
      </c>
    </row>
    <row r="293" spans="1:11" ht="13.9" x14ac:dyDescent="0.3">
      <c r="A293" s="2" t="s">
        <v>310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 t="e">
        <f t="shared" si="12"/>
        <v>#DIV/0!</v>
      </c>
      <c r="I293" s="2" t="e">
        <f t="shared" si="13"/>
        <v>#DIV/0!</v>
      </c>
      <c r="K293" s="2" t="e">
        <f t="shared" si="14"/>
        <v>#NUM!</v>
      </c>
    </row>
    <row r="294" spans="1:11" ht="13.9" x14ac:dyDescent="0.3">
      <c r="A294" s="2" t="s">
        <v>311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 t="e">
        <f t="shared" si="12"/>
        <v>#DIV/0!</v>
      </c>
      <c r="I294" s="2" t="e">
        <f t="shared" si="13"/>
        <v>#DIV/0!</v>
      </c>
      <c r="K294" s="2" t="e">
        <f t="shared" si="14"/>
        <v>#NUM!</v>
      </c>
    </row>
    <row r="295" spans="1:11" ht="13.9" x14ac:dyDescent="0.3">
      <c r="A295" s="2" t="s">
        <v>312</v>
      </c>
      <c r="B295" s="2">
        <v>0</v>
      </c>
      <c r="C295" s="2">
        <v>0</v>
      </c>
      <c r="D295" s="2">
        <v>12.07</v>
      </c>
      <c r="E295" s="2">
        <v>0.51</v>
      </c>
      <c r="F295" s="2">
        <v>0</v>
      </c>
      <c r="G295" s="2">
        <v>0</v>
      </c>
      <c r="H295" s="2">
        <f t="shared" si="12"/>
        <v>4.5647846187835261</v>
      </c>
      <c r="I295" s="2">
        <f t="shared" si="13"/>
        <v>0.39280910804390073</v>
      </c>
      <c r="K295" s="2">
        <f t="shared" si="14"/>
        <v>3.593353770980297</v>
      </c>
    </row>
    <row r="296" spans="1:11" ht="13.9" x14ac:dyDescent="0.3">
      <c r="A296" s="2" t="s">
        <v>313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 t="e">
        <f t="shared" si="12"/>
        <v>#DIV/0!</v>
      </c>
      <c r="I296" s="2" t="e">
        <f t="shared" si="13"/>
        <v>#DIV/0!</v>
      </c>
      <c r="K296" s="2" t="e">
        <f t="shared" si="14"/>
        <v>#NUM!</v>
      </c>
    </row>
    <row r="297" spans="1:11" ht="13.9" x14ac:dyDescent="0.3">
      <c r="A297" s="2" t="s">
        <v>314</v>
      </c>
      <c r="B297" s="2">
        <v>0</v>
      </c>
      <c r="C297" s="2">
        <v>0</v>
      </c>
      <c r="D297" s="2">
        <v>0</v>
      </c>
      <c r="E297" s="2">
        <v>0.31</v>
      </c>
      <c r="F297" s="2">
        <v>0</v>
      </c>
      <c r="G297" s="2">
        <v>1.22</v>
      </c>
      <c r="H297" s="2" t="e">
        <f t="shared" si="12"/>
        <v>#NUM!</v>
      </c>
      <c r="I297" s="2">
        <f t="shared" si="13"/>
        <v>0.23603457154468926</v>
      </c>
      <c r="K297" s="2" t="e">
        <f t="shared" si="14"/>
        <v>#NUM!</v>
      </c>
    </row>
    <row r="298" spans="1:11" ht="13.9" x14ac:dyDescent="0.3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 t="e">
        <f t="shared" si="12"/>
        <v>#DIV/0!</v>
      </c>
      <c r="I298" s="2" t="e">
        <f t="shared" si="13"/>
        <v>#DIV/0!</v>
      </c>
      <c r="K298" s="2" t="e">
        <f t="shared" si="14"/>
        <v>#NUM!</v>
      </c>
    </row>
    <row r="299" spans="1:11" ht="13.9" x14ac:dyDescent="0.3">
      <c r="A299" s="2" t="s">
        <v>316</v>
      </c>
      <c r="B299" s="2">
        <v>0</v>
      </c>
      <c r="C299" s="2">
        <v>0</v>
      </c>
      <c r="D299" s="2">
        <v>0</v>
      </c>
      <c r="E299" s="2">
        <v>0</v>
      </c>
      <c r="F299" s="2">
        <v>163.51</v>
      </c>
      <c r="G299" s="2">
        <v>0</v>
      </c>
      <c r="H299" s="2" t="e">
        <f t="shared" si="12"/>
        <v>#NUM!</v>
      </c>
      <c r="I299" s="2">
        <f t="shared" si="13"/>
        <v>0.37390096630005903</v>
      </c>
      <c r="K299" s="2" t="e">
        <f t="shared" si="14"/>
        <v>#NUM!</v>
      </c>
    </row>
    <row r="300" spans="1:11" ht="13.9" x14ac:dyDescent="0.3">
      <c r="A300" s="2" t="s">
        <v>317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 t="e">
        <f t="shared" si="12"/>
        <v>#DIV/0!</v>
      </c>
      <c r="I300" s="2" t="e">
        <f t="shared" si="13"/>
        <v>#DIV/0!</v>
      </c>
      <c r="K300" s="2" t="e">
        <f t="shared" si="14"/>
        <v>#NUM!</v>
      </c>
    </row>
    <row r="301" spans="1:11" ht="13.9" x14ac:dyDescent="0.3">
      <c r="A301" s="2" t="s">
        <v>318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 t="e">
        <f t="shared" si="12"/>
        <v>#DIV/0!</v>
      </c>
      <c r="I301" s="2" t="e">
        <f t="shared" si="13"/>
        <v>#DIV/0!</v>
      </c>
      <c r="K301" s="2" t="e">
        <f t="shared" si="14"/>
        <v>#NUM!</v>
      </c>
    </row>
    <row r="302" spans="1:11" ht="13.9" x14ac:dyDescent="0.3">
      <c r="A302" s="2" t="s">
        <v>319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0.14000000000000001</v>
      </c>
      <c r="H302" s="2" t="e">
        <f t="shared" si="12"/>
        <v>#NUM!</v>
      </c>
      <c r="I302" s="2">
        <f t="shared" si="13"/>
        <v>0.37390096630005903</v>
      </c>
      <c r="K302" s="2" t="e">
        <f t="shared" si="14"/>
        <v>#NUM!</v>
      </c>
    </row>
    <row r="303" spans="1:11" ht="13.9" x14ac:dyDescent="0.3">
      <c r="A303" s="2" t="s">
        <v>320</v>
      </c>
      <c r="B303" s="2">
        <v>0</v>
      </c>
      <c r="C303" s="2">
        <v>0</v>
      </c>
      <c r="D303" s="2">
        <v>0</v>
      </c>
      <c r="E303" s="2">
        <v>0.72</v>
      </c>
      <c r="F303" s="2">
        <v>0</v>
      </c>
      <c r="G303" s="2">
        <v>0</v>
      </c>
      <c r="H303" s="2" t="e">
        <f t="shared" si="12"/>
        <v>#NUM!</v>
      </c>
      <c r="I303" s="2">
        <f t="shared" si="13"/>
        <v>0.37390096630005903</v>
      </c>
      <c r="K303" s="2" t="e">
        <f t="shared" si="14"/>
        <v>#NUM!</v>
      </c>
    </row>
    <row r="304" spans="1:11" ht="13.9" x14ac:dyDescent="0.3">
      <c r="A304" s="2" t="s">
        <v>321</v>
      </c>
      <c r="B304" s="2">
        <v>0</v>
      </c>
      <c r="C304" s="2">
        <v>0</v>
      </c>
      <c r="D304" s="2">
        <v>19.100000000000001</v>
      </c>
      <c r="E304" s="2">
        <v>6.48</v>
      </c>
      <c r="F304" s="2">
        <v>0</v>
      </c>
      <c r="G304" s="2">
        <v>7.71</v>
      </c>
      <c r="H304" s="2">
        <f t="shared" si="12"/>
        <v>0.42869804886255974</v>
      </c>
      <c r="I304" s="2">
        <f t="shared" si="13"/>
        <v>0.82165712930307255</v>
      </c>
      <c r="K304" s="2">
        <f t="shared" si="14"/>
        <v>4.2555007331483869</v>
      </c>
    </row>
    <row r="305" spans="1:11" ht="13.9" x14ac:dyDescent="0.3">
      <c r="A305" s="2" t="s">
        <v>322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 t="e">
        <f t="shared" si="12"/>
        <v>#DIV/0!</v>
      </c>
      <c r="I305" s="2" t="e">
        <f t="shared" si="13"/>
        <v>#DIV/0!</v>
      </c>
      <c r="K305" s="2" t="e">
        <f t="shared" si="14"/>
        <v>#NUM!</v>
      </c>
    </row>
    <row r="306" spans="1:11" ht="13.9" x14ac:dyDescent="0.3">
      <c r="A306" s="2" t="s">
        <v>323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0.14000000000000001</v>
      </c>
      <c r="H306" s="2" t="e">
        <f t="shared" si="12"/>
        <v>#NUM!</v>
      </c>
      <c r="I306" s="2">
        <f t="shared" si="13"/>
        <v>0.37390096630005903</v>
      </c>
      <c r="K306" s="2" t="e">
        <f t="shared" si="14"/>
        <v>#NUM!</v>
      </c>
    </row>
    <row r="307" spans="1:11" ht="13.9" x14ac:dyDescent="0.3">
      <c r="A307" s="2" t="s">
        <v>324</v>
      </c>
      <c r="B307" s="2">
        <v>0</v>
      </c>
      <c r="C307" s="2">
        <v>0</v>
      </c>
      <c r="D307" s="2">
        <v>0</v>
      </c>
      <c r="E307" s="2">
        <v>6.89</v>
      </c>
      <c r="F307" s="2">
        <v>81.75</v>
      </c>
      <c r="G307" s="2">
        <v>8.5299999999999994</v>
      </c>
      <c r="H307" s="2" t="e">
        <f t="shared" si="12"/>
        <v>#NUM!</v>
      </c>
      <c r="I307" s="2">
        <f t="shared" si="13"/>
        <v>0.2596996907920901</v>
      </c>
      <c r="K307" s="2" t="e">
        <f t="shared" si="14"/>
        <v>#NUM!</v>
      </c>
    </row>
    <row r="308" spans="1:11" ht="13.9" x14ac:dyDescent="0.3">
      <c r="A308" s="2" t="s">
        <v>325</v>
      </c>
      <c r="B308" s="2">
        <v>0</v>
      </c>
      <c r="C308" s="2">
        <v>0</v>
      </c>
      <c r="D308" s="2">
        <v>0</v>
      </c>
      <c r="E308" s="2">
        <v>0.21</v>
      </c>
      <c r="F308" s="2">
        <v>0</v>
      </c>
      <c r="G308" s="2">
        <v>0</v>
      </c>
      <c r="H308" s="2" t="e">
        <f t="shared" si="12"/>
        <v>#NUM!</v>
      </c>
      <c r="I308" s="2">
        <f t="shared" si="13"/>
        <v>0.37390096630005903</v>
      </c>
      <c r="K308" s="2" t="e">
        <f t="shared" si="14"/>
        <v>#NUM!</v>
      </c>
    </row>
    <row r="309" spans="1:11" ht="13.9" x14ac:dyDescent="0.3">
      <c r="A309" s="2" t="s">
        <v>326</v>
      </c>
      <c r="B309" s="2">
        <v>0</v>
      </c>
      <c r="C309" s="2">
        <v>0</v>
      </c>
      <c r="D309" s="2">
        <v>0</v>
      </c>
      <c r="E309" s="2">
        <v>0.1</v>
      </c>
      <c r="F309" s="2">
        <v>0</v>
      </c>
      <c r="G309" s="2">
        <v>0</v>
      </c>
      <c r="H309" s="2" t="e">
        <f t="shared" si="12"/>
        <v>#NUM!</v>
      </c>
      <c r="I309" s="2">
        <f t="shared" si="13"/>
        <v>0.37390096630005903</v>
      </c>
      <c r="K309" s="2" t="e">
        <f t="shared" si="14"/>
        <v>#NUM!</v>
      </c>
    </row>
    <row r="310" spans="1:11" ht="13.9" x14ac:dyDescent="0.3">
      <c r="A310" s="2" t="s">
        <v>327</v>
      </c>
      <c r="B310" s="2">
        <v>0</v>
      </c>
      <c r="C310" s="2">
        <v>0</v>
      </c>
      <c r="D310" s="2">
        <v>0</v>
      </c>
      <c r="E310" s="2">
        <v>0.1</v>
      </c>
      <c r="F310" s="2">
        <v>0</v>
      </c>
      <c r="G310" s="2">
        <v>0</v>
      </c>
      <c r="H310" s="2" t="e">
        <f t="shared" si="12"/>
        <v>#NUM!</v>
      </c>
      <c r="I310" s="2">
        <f t="shared" si="13"/>
        <v>0.37390096630005903</v>
      </c>
      <c r="K310" s="2" t="e">
        <f t="shared" si="14"/>
        <v>#NUM!</v>
      </c>
    </row>
    <row r="311" spans="1:11" ht="13.9" x14ac:dyDescent="0.3">
      <c r="A311" s="2" t="s">
        <v>328</v>
      </c>
      <c r="B311" s="2">
        <v>0</v>
      </c>
      <c r="C311" s="2">
        <v>2.93</v>
      </c>
      <c r="D311" s="2">
        <v>0</v>
      </c>
      <c r="E311" s="2">
        <v>0.62</v>
      </c>
      <c r="F311" s="2">
        <v>0</v>
      </c>
      <c r="G311" s="2">
        <v>0.41</v>
      </c>
      <c r="H311" s="2">
        <f t="shared" si="12"/>
        <v>1.5082563272390297</v>
      </c>
      <c r="I311" s="2">
        <f t="shared" si="13"/>
        <v>0.55847200177528578</v>
      </c>
      <c r="K311" s="2">
        <f t="shared" si="14"/>
        <v>1.5509006646475234</v>
      </c>
    </row>
    <row r="312" spans="1:11" ht="13.9" x14ac:dyDescent="0.3">
      <c r="A312" s="2" t="s">
        <v>329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 t="e">
        <f t="shared" si="12"/>
        <v>#DIV/0!</v>
      </c>
      <c r="I312" s="2" t="e">
        <f t="shared" si="13"/>
        <v>#DIV/0!</v>
      </c>
      <c r="K312" s="2" t="e">
        <f t="shared" si="14"/>
        <v>#NUM!</v>
      </c>
    </row>
    <row r="313" spans="1:11" ht="13.9" x14ac:dyDescent="0.3">
      <c r="A313" s="2" t="s">
        <v>330</v>
      </c>
      <c r="B313" s="2">
        <v>0</v>
      </c>
      <c r="C313" s="2">
        <v>2.09</v>
      </c>
      <c r="D313" s="2">
        <v>5.03</v>
      </c>
      <c r="E313" s="2">
        <v>9.0500000000000007</v>
      </c>
      <c r="F313" s="2">
        <v>0</v>
      </c>
      <c r="G313" s="2">
        <v>6.63</v>
      </c>
      <c r="H313" s="2">
        <f t="shared" si="12"/>
        <v>-1.1389764131488105</v>
      </c>
      <c r="I313" s="2">
        <f t="shared" si="13"/>
        <v>0.40575779197035916</v>
      </c>
      <c r="K313" s="2">
        <f t="shared" si="14"/>
        <v>2.8318772411916733</v>
      </c>
    </row>
    <row r="314" spans="1:11" ht="13.9" x14ac:dyDescent="0.3">
      <c r="A314" s="2" t="s">
        <v>331</v>
      </c>
      <c r="B314" s="2">
        <v>0</v>
      </c>
      <c r="C314" s="2">
        <v>0.21</v>
      </c>
      <c r="D314" s="2">
        <v>0.5</v>
      </c>
      <c r="E314" s="2">
        <v>0.41</v>
      </c>
      <c r="F314" s="2">
        <v>0</v>
      </c>
      <c r="G314" s="2">
        <v>0</v>
      </c>
      <c r="H314" s="2">
        <f t="shared" si="12"/>
        <v>0.79219511488659844</v>
      </c>
      <c r="I314" s="2">
        <f t="shared" si="13"/>
        <v>0.64207009002253856</v>
      </c>
      <c r="K314" s="2">
        <f t="shared" si="14"/>
        <v>-0.49410907027004275</v>
      </c>
    </row>
    <row r="315" spans="1:11" ht="13.9" x14ac:dyDescent="0.3">
      <c r="A315" s="2" t="s">
        <v>332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 t="e">
        <f t="shared" si="12"/>
        <v>#DIV/0!</v>
      </c>
      <c r="I315" s="2" t="e">
        <f t="shared" si="13"/>
        <v>#DIV/0!</v>
      </c>
      <c r="K315" s="2" t="e">
        <f t="shared" si="14"/>
        <v>#NUM!</v>
      </c>
    </row>
    <row r="316" spans="1:11" ht="13.9" x14ac:dyDescent="0.3">
      <c r="A316" s="2" t="s">
        <v>333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 t="e">
        <f t="shared" si="12"/>
        <v>#DIV/0!</v>
      </c>
      <c r="I316" s="2" t="e">
        <f t="shared" si="13"/>
        <v>#DIV/0!</v>
      </c>
      <c r="K316" s="2" t="e">
        <f t="shared" si="14"/>
        <v>#NUM!</v>
      </c>
    </row>
    <row r="317" spans="1:11" ht="13.9" x14ac:dyDescent="0.3">
      <c r="A317" s="2" t="s">
        <v>334</v>
      </c>
      <c r="B317" s="2">
        <v>0</v>
      </c>
      <c r="C317" s="2">
        <v>0</v>
      </c>
      <c r="D317" s="2">
        <v>0</v>
      </c>
      <c r="E317" s="2">
        <v>3.29</v>
      </c>
      <c r="F317" s="2">
        <v>0</v>
      </c>
      <c r="G317" s="2">
        <v>2.57</v>
      </c>
      <c r="H317" s="2" t="e">
        <f t="shared" si="12"/>
        <v>#NUM!</v>
      </c>
      <c r="I317" s="2">
        <f t="shared" si="13"/>
        <v>0.12208643291038682</v>
      </c>
      <c r="K317" s="2" t="e">
        <f t="shared" si="14"/>
        <v>#NUM!</v>
      </c>
    </row>
    <row r="318" spans="1:11" ht="13.9" x14ac:dyDescent="0.3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 t="e">
        <f t="shared" si="12"/>
        <v>#DIV/0!</v>
      </c>
      <c r="I318" s="2" t="e">
        <f t="shared" si="13"/>
        <v>#DIV/0!</v>
      </c>
      <c r="K318" s="2" t="e">
        <f t="shared" si="14"/>
        <v>#NUM!</v>
      </c>
    </row>
    <row r="319" spans="1:11" ht="13.9" x14ac:dyDescent="0.3">
      <c r="A319" s="2" t="s">
        <v>336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 t="e">
        <f t="shared" si="12"/>
        <v>#DIV/0!</v>
      </c>
      <c r="I319" s="2" t="e">
        <f t="shared" si="13"/>
        <v>#DIV/0!</v>
      </c>
      <c r="K319" s="2" t="e">
        <f t="shared" si="14"/>
        <v>#NUM!</v>
      </c>
    </row>
    <row r="320" spans="1:11" ht="13.9" x14ac:dyDescent="0.3">
      <c r="A320" s="2" t="s">
        <v>337</v>
      </c>
      <c r="B320" s="2">
        <v>0</v>
      </c>
      <c r="C320" s="2">
        <v>0.21</v>
      </c>
      <c r="D320" s="2">
        <v>0</v>
      </c>
      <c r="E320" s="2">
        <v>0</v>
      </c>
      <c r="F320" s="2">
        <v>0</v>
      </c>
      <c r="G320" s="2">
        <v>0</v>
      </c>
      <c r="H320" s="2" t="e">
        <f t="shared" si="12"/>
        <v>#DIV/0!</v>
      </c>
      <c r="I320" s="2">
        <f t="shared" si="13"/>
        <v>0.37390096630005903</v>
      </c>
      <c r="K320" s="2">
        <f t="shared" si="14"/>
        <v>-2.2515387669959646</v>
      </c>
    </row>
    <row r="321" spans="1:11" ht="13.9" x14ac:dyDescent="0.3">
      <c r="A321" s="2" t="s">
        <v>338</v>
      </c>
      <c r="B321" s="2">
        <v>0</v>
      </c>
      <c r="C321" s="2">
        <v>0</v>
      </c>
      <c r="D321" s="2">
        <v>16.09</v>
      </c>
      <c r="E321" s="2">
        <v>1.54</v>
      </c>
      <c r="F321" s="2">
        <v>0</v>
      </c>
      <c r="G321" s="2">
        <v>1.08</v>
      </c>
      <c r="H321" s="2">
        <f t="shared" si="12"/>
        <v>2.6185256091859959</v>
      </c>
      <c r="I321" s="2">
        <f t="shared" si="13"/>
        <v>0.4511139505794417</v>
      </c>
      <c r="K321" s="2">
        <f t="shared" si="14"/>
        <v>4.0080924209487216</v>
      </c>
    </row>
    <row r="322" spans="1:11" ht="13.9" x14ac:dyDescent="0.3">
      <c r="A322" s="2" t="s">
        <v>339</v>
      </c>
      <c r="B322" s="2">
        <v>23.18</v>
      </c>
      <c r="C322" s="2">
        <v>0</v>
      </c>
      <c r="D322" s="2">
        <v>15.08</v>
      </c>
      <c r="E322" s="2">
        <v>5.86</v>
      </c>
      <c r="F322" s="2">
        <v>0</v>
      </c>
      <c r="G322" s="2">
        <v>5.96</v>
      </c>
      <c r="H322" s="2">
        <f t="shared" ref="H322:H385" si="15">LOG(SUM(B322:D322)/SUM(E322:G322),2)</f>
        <v>1.6946068381685799</v>
      </c>
      <c r="I322" s="2">
        <f t="shared" ref="I322:I385" si="16">_xlfn.T.TEST(B322:D322,E322:G322,2,2)</f>
        <v>0.28067386011978523</v>
      </c>
      <c r="K322" s="2">
        <f t="shared" si="14"/>
        <v>5.2577649685713874</v>
      </c>
    </row>
    <row r="323" spans="1:11" ht="13.9" x14ac:dyDescent="0.3">
      <c r="A323" s="2" t="s">
        <v>340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 t="e">
        <f t="shared" si="15"/>
        <v>#DIV/0!</v>
      </c>
      <c r="I323" s="2" t="e">
        <f t="shared" si="16"/>
        <v>#DIV/0!</v>
      </c>
      <c r="K323" s="2" t="e">
        <f t="shared" ref="K323:K386" si="17">LOG(SUM(B323:D323),2)</f>
        <v>#NUM!</v>
      </c>
    </row>
    <row r="324" spans="1:11" ht="13.9" x14ac:dyDescent="0.3">
      <c r="A324" s="2" t="s">
        <v>341</v>
      </c>
      <c r="B324" s="2">
        <v>0.18</v>
      </c>
      <c r="C324" s="2">
        <v>6.91</v>
      </c>
      <c r="D324" s="2">
        <v>0</v>
      </c>
      <c r="E324" s="2">
        <v>3.29</v>
      </c>
      <c r="F324" s="2">
        <v>0</v>
      </c>
      <c r="G324" s="2">
        <v>4.33</v>
      </c>
      <c r="H324" s="2">
        <f t="shared" si="15"/>
        <v>-0.10400537025380602</v>
      </c>
      <c r="I324" s="2">
        <f t="shared" si="16"/>
        <v>0.94950974029668322</v>
      </c>
      <c r="K324" s="2">
        <f t="shared" si="17"/>
        <v>2.8257856274647914</v>
      </c>
    </row>
    <row r="325" spans="1:11" ht="13.9" x14ac:dyDescent="0.3">
      <c r="A325" s="2" t="s">
        <v>342</v>
      </c>
      <c r="B325" s="2">
        <v>0</v>
      </c>
      <c r="C325" s="2">
        <v>0</v>
      </c>
      <c r="D325" s="2">
        <v>0</v>
      </c>
      <c r="E325" s="2">
        <v>0.1</v>
      </c>
      <c r="F325" s="2">
        <v>0</v>
      </c>
      <c r="G325" s="2">
        <v>0</v>
      </c>
      <c r="H325" s="2" t="e">
        <f t="shared" si="15"/>
        <v>#NUM!</v>
      </c>
      <c r="I325" s="2">
        <f t="shared" si="16"/>
        <v>0.37390096630005903</v>
      </c>
      <c r="K325" s="2" t="e">
        <f t="shared" si="17"/>
        <v>#NUM!</v>
      </c>
    </row>
    <row r="326" spans="1:11" ht="13.9" x14ac:dyDescent="0.3">
      <c r="A326" s="2" t="s">
        <v>343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 t="e">
        <f t="shared" si="15"/>
        <v>#DIV/0!</v>
      </c>
      <c r="I326" s="2" t="e">
        <f t="shared" si="16"/>
        <v>#DIV/0!</v>
      </c>
      <c r="K326" s="2" t="e">
        <f t="shared" si="17"/>
        <v>#NUM!</v>
      </c>
    </row>
    <row r="327" spans="1:11" ht="13.9" x14ac:dyDescent="0.3">
      <c r="A327" s="2" t="s">
        <v>344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 t="e">
        <f t="shared" si="15"/>
        <v>#DIV/0!</v>
      </c>
      <c r="I327" s="2" t="e">
        <f t="shared" si="16"/>
        <v>#DIV/0!</v>
      </c>
      <c r="K327" s="2" t="e">
        <f t="shared" si="17"/>
        <v>#NUM!</v>
      </c>
    </row>
    <row r="328" spans="1:11" ht="13.9" x14ac:dyDescent="0.3">
      <c r="A328" s="2" t="s">
        <v>345</v>
      </c>
      <c r="B328" s="2">
        <v>0</v>
      </c>
      <c r="C328" s="2">
        <v>0</v>
      </c>
      <c r="D328" s="2">
        <v>0</v>
      </c>
      <c r="E328" s="2">
        <v>0.21</v>
      </c>
      <c r="F328" s="2">
        <v>0</v>
      </c>
      <c r="G328" s="2">
        <v>0</v>
      </c>
      <c r="H328" s="2" t="e">
        <f t="shared" si="15"/>
        <v>#NUM!</v>
      </c>
      <c r="I328" s="2">
        <f t="shared" si="16"/>
        <v>0.37390096630005903</v>
      </c>
      <c r="K328" s="2" t="e">
        <f t="shared" si="17"/>
        <v>#NUM!</v>
      </c>
    </row>
    <row r="329" spans="1:11" ht="13.9" x14ac:dyDescent="0.3">
      <c r="A329" s="2" t="s">
        <v>346</v>
      </c>
      <c r="B329" s="2">
        <v>0</v>
      </c>
      <c r="C329" s="2">
        <v>0</v>
      </c>
      <c r="D329" s="2">
        <v>0</v>
      </c>
      <c r="E329" s="2">
        <v>0.72</v>
      </c>
      <c r="F329" s="2">
        <v>0</v>
      </c>
      <c r="G329" s="2">
        <v>0.81</v>
      </c>
      <c r="H329" s="2" t="e">
        <f t="shared" si="15"/>
        <v>#NUM!</v>
      </c>
      <c r="I329" s="2">
        <f t="shared" si="16"/>
        <v>0.11749101920491983</v>
      </c>
      <c r="K329" s="2" t="e">
        <f t="shared" si="17"/>
        <v>#NUM!</v>
      </c>
    </row>
    <row r="330" spans="1:11" ht="13.9" x14ac:dyDescent="0.3">
      <c r="A330" s="2" t="s">
        <v>347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 t="e">
        <f t="shared" si="15"/>
        <v>#DIV/0!</v>
      </c>
      <c r="I330" s="2" t="e">
        <f t="shared" si="16"/>
        <v>#DIV/0!</v>
      </c>
      <c r="K330" s="2" t="e">
        <f t="shared" si="17"/>
        <v>#NUM!</v>
      </c>
    </row>
    <row r="331" spans="1:11" ht="13.9" x14ac:dyDescent="0.3">
      <c r="A331" s="2" t="s">
        <v>348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 t="e">
        <f t="shared" si="15"/>
        <v>#DIV/0!</v>
      </c>
      <c r="I331" s="2" t="e">
        <f t="shared" si="16"/>
        <v>#DIV/0!</v>
      </c>
      <c r="K331" s="2" t="e">
        <f t="shared" si="17"/>
        <v>#NUM!</v>
      </c>
    </row>
    <row r="332" spans="1:11" ht="13.9" x14ac:dyDescent="0.3">
      <c r="A332" s="2" t="s">
        <v>349</v>
      </c>
      <c r="B332" s="2">
        <v>0</v>
      </c>
      <c r="C332" s="2">
        <v>0</v>
      </c>
      <c r="D332" s="2">
        <v>0</v>
      </c>
      <c r="E332" s="2">
        <v>0.21</v>
      </c>
      <c r="F332" s="2">
        <v>0</v>
      </c>
      <c r="G332" s="2">
        <v>0</v>
      </c>
      <c r="H332" s="2" t="e">
        <f t="shared" si="15"/>
        <v>#NUM!</v>
      </c>
      <c r="I332" s="2">
        <f t="shared" si="16"/>
        <v>0.37390096630005903</v>
      </c>
      <c r="K332" s="2" t="e">
        <f t="shared" si="17"/>
        <v>#NUM!</v>
      </c>
    </row>
    <row r="333" spans="1:11" ht="13.9" x14ac:dyDescent="0.3">
      <c r="A333" s="2" t="s">
        <v>350</v>
      </c>
      <c r="B333" s="2">
        <v>0</v>
      </c>
      <c r="C333" s="2">
        <v>0</v>
      </c>
      <c r="D333" s="2">
        <v>0</v>
      </c>
      <c r="E333" s="2">
        <v>0.82</v>
      </c>
      <c r="F333" s="2">
        <v>0</v>
      </c>
      <c r="G333" s="2">
        <v>0.54</v>
      </c>
      <c r="H333" s="2" t="e">
        <f t="shared" si="15"/>
        <v>#NUM!</v>
      </c>
      <c r="I333" s="2">
        <f t="shared" si="16"/>
        <v>0.13269603943196495</v>
      </c>
      <c r="K333" s="2" t="e">
        <f t="shared" si="17"/>
        <v>#NUM!</v>
      </c>
    </row>
    <row r="334" spans="1:11" ht="13.9" x14ac:dyDescent="0.3">
      <c r="A334" s="2" t="s">
        <v>351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0.14000000000000001</v>
      </c>
      <c r="H334" s="2" t="e">
        <f t="shared" si="15"/>
        <v>#NUM!</v>
      </c>
      <c r="I334" s="2">
        <f t="shared" si="16"/>
        <v>0.37390096630005903</v>
      </c>
      <c r="K334" s="2" t="e">
        <f t="shared" si="17"/>
        <v>#NUM!</v>
      </c>
    </row>
    <row r="335" spans="1:11" ht="13.9" x14ac:dyDescent="0.3">
      <c r="A335" s="2" t="s">
        <v>352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2.17</v>
      </c>
      <c r="H335" s="2" t="e">
        <f t="shared" si="15"/>
        <v>#NUM!</v>
      </c>
      <c r="I335" s="2">
        <f t="shared" si="16"/>
        <v>0.37390096630005903</v>
      </c>
      <c r="K335" s="2" t="e">
        <f t="shared" si="17"/>
        <v>#NUM!</v>
      </c>
    </row>
    <row r="336" spans="1:11" ht="13.9" x14ac:dyDescent="0.3">
      <c r="A336" s="2" t="s">
        <v>353</v>
      </c>
      <c r="B336" s="2">
        <v>7.01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 t="e">
        <f t="shared" si="15"/>
        <v>#DIV/0!</v>
      </c>
      <c r="I336" s="2">
        <f t="shared" si="16"/>
        <v>0.37390096630005903</v>
      </c>
      <c r="K336" s="2">
        <f t="shared" si="17"/>
        <v>2.8094144442358986</v>
      </c>
    </row>
    <row r="337" spans="1:11" ht="13.9" x14ac:dyDescent="0.3">
      <c r="A337" s="2" t="s">
        <v>354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 t="e">
        <f t="shared" si="15"/>
        <v>#DIV/0!</v>
      </c>
      <c r="I337" s="2" t="e">
        <f t="shared" si="16"/>
        <v>#DIV/0!</v>
      </c>
      <c r="K337" s="2" t="e">
        <f t="shared" si="17"/>
        <v>#NUM!</v>
      </c>
    </row>
    <row r="338" spans="1:11" ht="13.9" x14ac:dyDescent="0.3">
      <c r="A338" s="2" t="s">
        <v>355</v>
      </c>
      <c r="B338" s="2">
        <v>10.24</v>
      </c>
      <c r="C338" s="2">
        <v>0</v>
      </c>
      <c r="D338" s="2">
        <v>0</v>
      </c>
      <c r="E338" s="2">
        <v>1.54</v>
      </c>
      <c r="F338" s="2">
        <v>0</v>
      </c>
      <c r="G338" s="2">
        <v>2.44</v>
      </c>
      <c r="H338" s="2">
        <f t="shared" si="15"/>
        <v>1.3633753794563512</v>
      </c>
      <c r="I338" s="2">
        <f t="shared" si="16"/>
        <v>0.58178903140539717</v>
      </c>
      <c r="K338" s="2">
        <f t="shared" si="17"/>
        <v>3.3561438102252756</v>
      </c>
    </row>
    <row r="339" spans="1:11" ht="13.9" x14ac:dyDescent="0.3">
      <c r="A339" s="2" t="s">
        <v>356</v>
      </c>
      <c r="B339" s="2">
        <v>1.08</v>
      </c>
      <c r="C339" s="2">
        <v>0</v>
      </c>
      <c r="D339" s="2">
        <v>0</v>
      </c>
      <c r="E339" s="2">
        <v>0.51</v>
      </c>
      <c r="F339" s="2">
        <v>0</v>
      </c>
      <c r="G339" s="2">
        <v>0.54</v>
      </c>
      <c r="H339" s="2">
        <f t="shared" si="15"/>
        <v>4.064198449734608E-2</v>
      </c>
      <c r="I339" s="2">
        <f t="shared" si="16"/>
        <v>0.98126998760156148</v>
      </c>
      <c r="K339" s="2">
        <f t="shared" si="17"/>
        <v>0.11103131238874395</v>
      </c>
    </row>
    <row r="340" spans="1:11" ht="13.9" x14ac:dyDescent="0.3">
      <c r="A340" s="2" t="s">
        <v>357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 t="e">
        <f t="shared" si="15"/>
        <v>#DIV/0!</v>
      </c>
      <c r="I340" s="2" t="e">
        <f t="shared" si="16"/>
        <v>#DIV/0!</v>
      </c>
      <c r="K340" s="2" t="e">
        <f t="shared" si="17"/>
        <v>#NUM!</v>
      </c>
    </row>
    <row r="341" spans="1:11" ht="13.9" x14ac:dyDescent="0.3">
      <c r="A341" s="2" t="s">
        <v>358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 t="e">
        <f t="shared" si="15"/>
        <v>#DIV/0!</v>
      </c>
      <c r="I341" s="2" t="e">
        <f t="shared" si="16"/>
        <v>#DIV/0!</v>
      </c>
      <c r="K341" s="2" t="e">
        <f t="shared" si="17"/>
        <v>#NUM!</v>
      </c>
    </row>
    <row r="342" spans="1:11" ht="13.9" x14ac:dyDescent="0.3">
      <c r="A342" s="2" t="s">
        <v>359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 t="e">
        <f t="shared" si="15"/>
        <v>#DIV/0!</v>
      </c>
      <c r="I342" s="2" t="e">
        <f t="shared" si="16"/>
        <v>#DIV/0!</v>
      </c>
      <c r="K342" s="2" t="e">
        <f t="shared" si="17"/>
        <v>#NUM!</v>
      </c>
    </row>
    <row r="343" spans="1:11" ht="13.9" x14ac:dyDescent="0.3">
      <c r="A343" s="2" t="s">
        <v>360</v>
      </c>
      <c r="B343" s="2">
        <v>0</v>
      </c>
      <c r="C343" s="2">
        <v>0</v>
      </c>
      <c r="D343" s="2">
        <v>0</v>
      </c>
      <c r="E343" s="2">
        <v>0.72</v>
      </c>
      <c r="F343" s="2">
        <v>0</v>
      </c>
      <c r="G343" s="2">
        <v>1.89</v>
      </c>
      <c r="H343" s="2" t="e">
        <f t="shared" si="15"/>
        <v>#NUM!</v>
      </c>
      <c r="I343" s="2">
        <f t="shared" si="16"/>
        <v>0.18931767648133244</v>
      </c>
      <c r="K343" s="2" t="e">
        <f t="shared" si="17"/>
        <v>#NUM!</v>
      </c>
    </row>
    <row r="344" spans="1:11" ht="13.9" x14ac:dyDescent="0.3">
      <c r="A344" s="2" t="s">
        <v>361</v>
      </c>
      <c r="B344" s="2">
        <v>0</v>
      </c>
      <c r="C344" s="2">
        <v>0</v>
      </c>
      <c r="D344" s="2">
        <v>0</v>
      </c>
      <c r="E344" s="2">
        <v>0.31</v>
      </c>
      <c r="F344" s="2">
        <v>0</v>
      </c>
      <c r="G344" s="2">
        <v>0.68</v>
      </c>
      <c r="H344" s="2" t="e">
        <f t="shared" si="15"/>
        <v>#NUM!</v>
      </c>
      <c r="I344" s="2">
        <f t="shared" si="16"/>
        <v>0.16846605525595862</v>
      </c>
      <c r="K344" s="2" t="e">
        <f t="shared" si="17"/>
        <v>#NUM!</v>
      </c>
    </row>
    <row r="345" spans="1:11" ht="13.9" x14ac:dyDescent="0.3">
      <c r="A345" s="2" t="s">
        <v>362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0.27</v>
      </c>
      <c r="H345" s="2" t="e">
        <f t="shared" si="15"/>
        <v>#NUM!</v>
      </c>
      <c r="I345" s="2">
        <f t="shared" si="16"/>
        <v>0.37390096630005903</v>
      </c>
      <c r="K345" s="2" t="e">
        <f t="shared" si="17"/>
        <v>#NUM!</v>
      </c>
    </row>
    <row r="346" spans="1:11" ht="13.9" x14ac:dyDescent="0.3">
      <c r="A346" s="2" t="s">
        <v>363</v>
      </c>
      <c r="B346" s="2">
        <v>5.21</v>
      </c>
      <c r="C346" s="2">
        <v>0</v>
      </c>
      <c r="D346" s="2">
        <v>0</v>
      </c>
      <c r="E346" s="2">
        <v>0.51</v>
      </c>
      <c r="F346" s="2">
        <v>0</v>
      </c>
      <c r="G346" s="2">
        <v>0.81</v>
      </c>
      <c r="H346" s="2">
        <f t="shared" si="15"/>
        <v>1.9807454429200548</v>
      </c>
      <c r="I346" s="2">
        <f t="shared" si="16"/>
        <v>0.50047910018303399</v>
      </c>
      <c r="K346" s="2">
        <f t="shared" si="17"/>
        <v>2.3812833725037836</v>
      </c>
    </row>
    <row r="347" spans="1:11" ht="13.9" x14ac:dyDescent="0.3">
      <c r="A347" s="2" t="s">
        <v>364</v>
      </c>
      <c r="B347" s="2">
        <v>11.14</v>
      </c>
      <c r="C347" s="2">
        <v>3.35</v>
      </c>
      <c r="D347" s="2">
        <v>25.64</v>
      </c>
      <c r="E347" s="2">
        <v>21.61</v>
      </c>
      <c r="F347" s="2">
        <v>0</v>
      </c>
      <c r="G347" s="2">
        <v>11.5</v>
      </c>
      <c r="H347" s="2">
        <f t="shared" si="15"/>
        <v>0.27741414538299614</v>
      </c>
      <c r="I347" s="2">
        <f t="shared" si="16"/>
        <v>0.80841468053147225</v>
      </c>
      <c r="K347" s="2">
        <f t="shared" si="17"/>
        <v>5.3266092510052703</v>
      </c>
    </row>
    <row r="348" spans="1:11" ht="13.9" x14ac:dyDescent="0.3">
      <c r="A348" s="2" t="s">
        <v>365</v>
      </c>
      <c r="B348" s="2">
        <v>0.9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 t="e">
        <f t="shared" si="15"/>
        <v>#DIV/0!</v>
      </c>
      <c r="I348" s="2">
        <f t="shared" si="16"/>
        <v>0.37390096630005903</v>
      </c>
      <c r="K348" s="2">
        <f t="shared" si="17"/>
        <v>-0.15200309344504997</v>
      </c>
    </row>
    <row r="349" spans="1:11" ht="13.9" x14ac:dyDescent="0.3">
      <c r="A349" s="2" t="s">
        <v>366</v>
      </c>
      <c r="B349" s="2">
        <v>7.19</v>
      </c>
      <c r="C349" s="2">
        <v>12.77</v>
      </c>
      <c r="D349" s="2">
        <v>24.63</v>
      </c>
      <c r="E349" s="2">
        <v>6.28</v>
      </c>
      <c r="F349" s="2">
        <v>0</v>
      </c>
      <c r="G349" s="2">
        <v>16.239999999999998</v>
      </c>
      <c r="H349" s="2">
        <f t="shared" si="15"/>
        <v>0.98551337223367519</v>
      </c>
      <c r="I349" s="2">
        <f t="shared" si="16"/>
        <v>0.35168526836112268</v>
      </c>
      <c r="K349" s="2">
        <f t="shared" si="17"/>
        <v>5.4786482945391803</v>
      </c>
    </row>
    <row r="350" spans="1:11" ht="13.9" x14ac:dyDescent="0.3">
      <c r="A350" s="2" t="s">
        <v>367</v>
      </c>
      <c r="B350" s="2">
        <v>0</v>
      </c>
      <c r="C350" s="2">
        <v>7.74</v>
      </c>
      <c r="D350" s="2">
        <v>13.07</v>
      </c>
      <c r="E350" s="2">
        <v>2.57</v>
      </c>
      <c r="F350" s="2">
        <v>0</v>
      </c>
      <c r="G350" s="2">
        <v>6.36</v>
      </c>
      <c r="H350" s="2">
        <f t="shared" si="15"/>
        <v>1.2205448846141118</v>
      </c>
      <c r="I350" s="2">
        <f t="shared" si="16"/>
        <v>0.40117924157544738</v>
      </c>
      <c r="K350" s="2">
        <f t="shared" si="17"/>
        <v>4.3792050599606105</v>
      </c>
    </row>
    <row r="351" spans="1:11" ht="13.9" x14ac:dyDescent="0.3">
      <c r="A351" s="2" t="s">
        <v>368</v>
      </c>
      <c r="B351" s="2">
        <v>8.8000000000000007</v>
      </c>
      <c r="C351" s="2">
        <v>9.42</v>
      </c>
      <c r="D351" s="2">
        <v>25.64</v>
      </c>
      <c r="E351" s="2">
        <v>9.8800000000000008</v>
      </c>
      <c r="F351" s="2">
        <v>0</v>
      </c>
      <c r="G351" s="2">
        <v>9.61</v>
      </c>
      <c r="H351" s="2">
        <f t="shared" si="15"/>
        <v>1.1701717214157035</v>
      </c>
      <c r="I351" s="2">
        <f t="shared" si="16"/>
        <v>0.27311966734436344</v>
      </c>
      <c r="K351" s="2">
        <f t="shared" si="17"/>
        <v>5.4548339068988687</v>
      </c>
    </row>
    <row r="352" spans="1:11" ht="13.9" x14ac:dyDescent="0.3">
      <c r="A352" s="2" t="s">
        <v>369</v>
      </c>
      <c r="B352" s="2">
        <v>0</v>
      </c>
      <c r="C352" s="2">
        <v>4.8099999999999996</v>
      </c>
      <c r="D352" s="2">
        <v>0</v>
      </c>
      <c r="E352" s="2">
        <v>0.1</v>
      </c>
      <c r="F352" s="2">
        <v>0</v>
      </c>
      <c r="G352" s="2">
        <v>0</v>
      </c>
      <c r="H352" s="5">
        <f t="shared" si="15"/>
        <v>5.5879649888826792</v>
      </c>
      <c r="I352" s="5">
        <f t="shared" si="16"/>
        <v>0.38301240670567549</v>
      </c>
      <c r="K352" s="2">
        <f t="shared" si="17"/>
        <v>2.266036893995317</v>
      </c>
    </row>
    <row r="353" spans="1:11" ht="13.9" x14ac:dyDescent="0.3">
      <c r="A353" s="2" t="s">
        <v>370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0.41</v>
      </c>
      <c r="H353" s="2" t="e">
        <f t="shared" si="15"/>
        <v>#NUM!</v>
      </c>
      <c r="I353" s="2">
        <f t="shared" si="16"/>
        <v>0.37390096630005903</v>
      </c>
      <c r="K353" s="2" t="e">
        <f t="shared" si="17"/>
        <v>#NUM!</v>
      </c>
    </row>
    <row r="354" spans="1:11" ht="13.9" x14ac:dyDescent="0.3">
      <c r="A354" s="2" t="s">
        <v>371</v>
      </c>
      <c r="B354" s="2">
        <v>13.11</v>
      </c>
      <c r="C354" s="2">
        <v>28.25</v>
      </c>
      <c r="D354" s="2">
        <v>13.07</v>
      </c>
      <c r="E354" s="2">
        <v>55.35</v>
      </c>
      <c r="F354" s="2">
        <v>40.880000000000003</v>
      </c>
      <c r="G354" s="2">
        <v>46.97</v>
      </c>
      <c r="H354" s="2">
        <f t="shared" si="15"/>
        <v>-1.3955575514265248</v>
      </c>
      <c r="I354" s="2">
        <f t="shared" si="16"/>
        <v>1.0776204729483884E-2</v>
      </c>
      <c r="K354" s="2">
        <f t="shared" si="17"/>
        <v>5.7663301309503687</v>
      </c>
    </row>
    <row r="355" spans="1:11" ht="13.9" x14ac:dyDescent="0.3">
      <c r="A355" s="2" t="s">
        <v>372</v>
      </c>
      <c r="B355" s="2">
        <v>10.24</v>
      </c>
      <c r="C355" s="2">
        <v>4.8099999999999996</v>
      </c>
      <c r="D355" s="2">
        <v>0</v>
      </c>
      <c r="E355" s="2">
        <v>0.72</v>
      </c>
      <c r="F355" s="2">
        <v>0</v>
      </c>
      <c r="G355" s="2">
        <v>0</v>
      </c>
      <c r="H355" s="2">
        <f t="shared" si="15"/>
        <v>4.3856227702047521</v>
      </c>
      <c r="I355" s="2">
        <f t="shared" si="16"/>
        <v>0.18276499298380758</v>
      </c>
      <c r="K355" s="2">
        <f t="shared" si="17"/>
        <v>3.9116915818723403</v>
      </c>
    </row>
    <row r="356" spans="1:11" ht="13.9" x14ac:dyDescent="0.3">
      <c r="A356" s="2" t="s">
        <v>373</v>
      </c>
      <c r="B356" s="2">
        <v>0</v>
      </c>
      <c r="C356" s="2">
        <v>0</v>
      </c>
      <c r="D356" s="2">
        <v>0</v>
      </c>
      <c r="E356" s="2">
        <v>0.62</v>
      </c>
      <c r="F356" s="2">
        <v>0</v>
      </c>
      <c r="G356" s="2">
        <v>0</v>
      </c>
      <c r="H356" s="2" t="e">
        <f t="shared" si="15"/>
        <v>#NUM!</v>
      </c>
      <c r="I356" s="2">
        <f t="shared" si="16"/>
        <v>0.37390096630005903</v>
      </c>
      <c r="K356" s="2" t="e">
        <f t="shared" si="17"/>
        <v>#NUM!</v>
      </c>
    </row>
    <row r="357" spans="1:11" ht="13.9" x14ac:dyDescent="0.3">
      <c r="A357" s="2" t="s">
        <v>374</v>
      </c>
      <c r="B357" s="2">
        <v>11.14</v>
      </c>
      <c r="C357" s="2">
        <v>23.23</v>
      </c>
      <c r="D357" s="2">
        <v>5.03</v>
      </c>
      <c r="E357" s="2">
        <v>2.16</v>
      </c>
      <c r="F357" s="2">
        <v>0</v>
      </c>
      <c r="G357" s="2">
        <v>2.2999999999999998</v>
      </c>
      <c r="H357" s="2">
        <f t="shared" si="15"/>
        <v>3.1430800144234343</v>
      </c>
      <c r="I357" s="2">
        <f t="shared" si="16"/>
        <v>9.720143008466231E-2</v>
      </c>
      <c r="K357" s="2">
        <f t="shared" si="17"/>
        <v>5.3001237245690147</v>
      </c>
    </row>
    <row r="358" spans="1:11" ht="13.9" x14ac:dyDescent="0.3">
      <c r="A358" s="2" t="s">
        <v>375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0.14000000000000001</v>
      </c>
      <c r="H358" s="2" t="e">
        <f t="shared" si="15"/>
        <v>#NUM!</v>
      </c>
      <c r="I358" s="2">
        <f t="shared" si="16"/>
        <v>0.37390096630005903</v>
      </c>
      <c r="K358" s="2" t="e">
        <f t="shared" si="17"/>
        <v>#NUM!</v>
      </c>
    </row>
    <row r="359" spans="1:11" ht="13.9" x14ac:dyDescent="0.3">
      <c r="A359" s="2" t="s">
        <v>376</v>
      </c>
      <c r="B359" s="2">
        <v>11.32</v>
      </c>
      <c r="C359" s="2">
        <v>5.65</v>
      </c>
      <c r="D359" s="2">
        <v>0</v>
      </c>
      <c r="E359" s="2">
        <v>3.19</v>
      </c>
      <c r="F359" s="2">
        <v>40.880000000000003</v>
      </c>
      <c r="G359" s="2">
        <v>8.93</v>
      </c>
      <c r="H359" s="2">
        <f t="shared" si="15"/>
        <v>-1.6430057947952605</v>
      </c>
      <c r="I359" s="2">
        <f t="shared" si="16"/>
        <v>0.37962596010743554</v>
      </c>
      <c r="K359" s="2">
        <f t="shared" si="17"/>
        <v>4.0849146597679384</v>
      </c>
    </row>
    <row r="360" spans="1:11" ht="13.9" x14ac:dyDescent="0.3">
      <c r="A360" s="2" t="s">
        <v>377</v>
      </c>
      <c r="B360" s="2">
        <v>0.18</v>
      </c>
      <c r="C360" s="2">
        <v>4.8099999999999996</v>
      </c>
      <c r="D360" s="2">
        <v>27.65</v>
      </c>
      <c r="E360" s="2">
        <v>4.12</v>
      </c>
      <c r="F360" s="2">
        <v>286.13</v>
      </c>
      <c r="G360" s="2">
        <v>2.17</v>
      </c>
      <c r="H360" s="2">
        <f t="shared" si="15"/>
        <v>-3.1633290250450048</v>
      </c>
      <c r="I360" s="2">
        <f t="shared" si="16"/>
        <v>0.41229333965147053</v>
      </c>
      <c r="K360" s="2">
        <f t="shared" si="17"/>
        <v>5.0285691521967708</v>
      </c>
    </row>
    <row r="361" spans="1:11" ht="13.9" x14ac:dyDescent="0.3">
      <c r="A361" s="2" t="s">
        <v>378</v>
      </c>
      <c r="B361" s="2">
        <v>90.73</v>
      </c>
      <c r="C361" s="2">
        <v>105.48</v>
      </c>
      <c r="D361" s="2">
        <v>198.58</v>
      </c>
      <c r="E361" s="2">
        <v>177.69</v>
      </c>
      <c r="F361" s="2">
        <v>245.26</v>
      </c>
      <c r="G361" s="2">
        <v>178.93</v>
      </c>
      <c r="H361" s="2">
        <f t="shared" si="15"/>
        <v>-0.60839043100792178</v>
      </c>
      <c r="I361" s="2">
        <f t="shared" si="16"/>
        <v>0.1632756501198841</v>
      </c>
      <c r="K361" s="2">
        <f t="shared" si="17"/>
        <v>8.6249416366786509</v>
      </c>
    </row>
    <row r="362" spans="1:11" ht="13.9" x14ac:dyDescent="0.3">
      <c r="A362" s="2" t="s">
        <v>379</v>
      </c>
      <c r="B362" s="2">
        <v>407.63</v>
      </c>
      <c r="C362" s="2">
        <v>679.74</v>
      </c>
      <c r="D362" s="2">
        <v>454.98</v>
      </c>
      <c r="E362" s="2">
        <v>592.03</v>
      </c>
      <c r="F362" s="2">
        <v>81.75</v>
      </c>
      <c r="G362" s="2">
        <v>592.96</v>
      </c>
      <c r="H362" s="2">
        <f t="shared" si="15"/>
        <v>0.28400974819227631</v>
      </c>
      <c r="I362" s="2">
        <f t="shared" si="16"/>
        <v>0.65368969359935936</v>
      </c>
      <c r="K362" s="2">
        <f t="shared" si="17"/>
        <v>10.590914472721446</v>
      </c>
    </row>
    <row r="363" spans="1:11" ht="13.9" x14ac:dyDescent="0.3">
      <c r="A363" s="2" t="s">
        <v>380</v>
      </c>
      <c r="B363" s="2">
        <v>227.62</v>
      </c>
      <c r="C363" s="2">
        <v>391.36</v>
      </c>
      <c r="D363" s="2">
        <v>1056.76</v>
      </c>
      <c r="E363" s="2">
        <v>56.38</v>
      </c>
      <c r="F363" s="2">
        <v>40.880000000000003</v>
      </c>
      <c r="G363" s="2">
        <v>193.95</v>
      </c>
      <c r="H363" s="2">
        <f t="shared" si="15"/>
        <v>2.5246665216716209</v>
      </c>
      <c r="I363" s="2">
        <f t="shared" si="16"/>
        <v>0.14834906119181837</v>
      </c>
      <c r="K363" s="2">
        <f t="shared" si="17"/>
        <v>10.710582609231235</v>
      </c>
    </row>
    <row r="364" spans="1:11" ht="13.9" x14ac:dyDescent="0.3">
      <c r="A364" s="2" t="s">
        <v>381</v>
      </c>
      <c r="B364" s="2">
        <v>155.58000000000001</v>
      </c>
      <c r="C364" s="2">
        <v>106.52</v>
      </c>
      <c r="D364" s="2">
        <v>171.44</v>
      </c>
      <c r="E364" s="2">
        <v>91.88</v>
      </c>
      <c r="F364" s="2">
        <v>449.64</v>
      </c>
      <c r="G364" s="2">
        <v>108.68</v>
      </c>
      <c r="H364" s="2">
        <f t="shared" si="15"/>
        <v>-0.58471844807277018</v>
      </c>
      <c r="I364" s="2">
        <f t="shared" si="16"/>
        <v>0.57415725891681979</v>
      </c>
      <c r="K364" s="2">
        <f t="shared" si="17"/>
        <v>8.7600212977302228</v>
      </c>
    </row>
    <row r="365" spans="1:11" ht="13.9" x14ac:dyDescent="0.3">
      <c r="A365" s="2" t="s">
        <v>382</v>
      </c>
      <c r="B365" s="2">
        <v>0</v>
      </c>
      <c r="C365" s="2">
        <v>0</v>
      </c>
      <c r="D365" s="2">
        <v>0.5</v>
      </c>
      <c r="E365" s="2">
        <v>0</v>
      </c>
      <c r="F365" s="2">
        <v>0</v>
      </c>
      <c r="G365" s="2">
        <v>0</v>
      </c>
      <c r="H365" s="2" t="e">
        <f t="shared" si="15"/>
        <v>#DIV/0!</v>
      </c>
      <c r="I365" s="2">
        <f t="shared" si="16"/>
        <v>0.37390096630005903</v>
      </c>
      <c r="K365" s="2">
        <f t="shared" si="17"/>
        <v>-1</v>
      </c>
    </row>
    <row r="366" spans="1:11" ht="13.9" x14ac:dyDescent="0.3">
      <c r="A366" s="2" t="s">
        <v>383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2.17</v>
      </c>
      <c r="H366" s="2" t="e">
        <f t="shared" si="15"/>
        <v>#NUM!</v>
      </c>
      <c r="I366" s="2">
        <f t="shared" si="16"/>
        <v>0.37390096630005903</v>
      </c>
      <c r="K366" s="2" t="e">
        <f t="shared" si="17"/>
        <v>#NUM!</v>
      </c>
    </row>
    <row r="367" spans="1:11" ht="13.9" x14ac:dyDescent="0.3">
      <c r="A367" s="2" t="s">
        <v>384</v>
      </c>
      <c r="B367" s="2">
        <v>0</v>
      </c>
      <c r="C367" s="2">
        <v>0</v>
      </c>
      <c r="D367" s="2">
        <v>17.600000000000001</v>
      </c>
      <c r="E367" s="2">
        <v>4.32</v>
      </c>
      <c r="F367" s="2">
        <v>40.880000000000003</v>
      </c>
      <c r="G367" s="2">
        <v>3.38</v>
      </c>
      <c r="H367" s="2">
        <f t="shared" si="15"/>
        <v>-1.4647870611112055</v>
      </c>
      <c r="I367" s="2">
        <f t="shared" si="16"/>
        <v>0.49201616950164512</v>
      </c>
      <c r="K367" s="2">
        <f t="shared" si="17"/>
        <v>4.1375035237499356</v>
      </c>
    </row>
    <row r="368" spans="1:11" ht="13.9" x14ac:dyDescent="0.3">
      <c r="A368" s="2" t="s">
        <v>385</v>
      </c>
      <c r="B368" s="2">
        <v>11.5</v>
      </c>
      <c r="C368" s="2">
        <v>15.49</v>
      </c>
      <c r="D368" s="2">
        <v>0</v>
      </c>
      <c r="E368" s="2">
        <v>42.6</v>
      </c>
      <c r="F368" s="2">
        <v>0</v>
      </c>
      <c r="G368" s="2">
        <v>31.54</v>
      </c>
      <c r="H368" s="2">
        <f t="shared" si="15"/>
        <v>-1.457827138352304</v>
      </c>
      <c r="I368" s="2">
        <f t="shared" si="16"/>
        <v>0.31156718024672908</v>
      </c>
      <c r="K368" s="2">
        <f t="shared" si="17"/>
        <v>4.754353071692127</v>
      </c>
    </row>
    <row r="369" spans="1:11" ht="13.9" x14ac:dyDescent="0.3">
      <c r="A369" s="2" t="s">
        <v>386</v>
      </c>
      <c r="B369" s="2">
        <v>7.37</v>
      </c>
      <c r="C369" s="2">
        <v>14.23</v>
      </c>
      <c r="D369" s="2">
        <v>1.01</v>
      </c>
      <c r="E369" s="2">
        <v>2.06</v>
      </c>
      <c r="F369" s="2">
        <v>0</v>
      </c>
      <c r="G369" s="2">
        <v>6.09</v>
      </c>
      <c r="H369" s="2">
        <f t="shared" si="15"/>
        <v>1.4720890276330894</v>
      </c>
      <c r="I369" s="2">
        <f t="shared" si="16"/>
        <v>0.31664253772273421</v>
      </c>
      <c r="K369" s="2">
        <f t="shared" si="17"/>
        <v>4.4988890869768046</v>
      </c>
    </row>
    <row r="370" spans="1:11" ht="13.9" x14ac:dyDescent="0.3">
      <c r="A370" s="2" t="s">
        <v>387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0.68</v>
      </c>
      <c r="H370" s="2" t="e">
        <f t="shared" si="15"/>
        <v>#NUM!</v>
      </c>
      <c r="I370" s="2">
        <f t="shared" si="16"/>
        <v>0.37390096630005903</v>
      </c>
      <c r="K370" s="2" t="e">
        <f t="shared" si="17"/>
        <v>#NUM!</v>
      </c>
    </row>
    <row r="371" spans="1:11" ht="13.9" x14ac:dyDescent="0.3">
      <c r="A371" s="2" t="s">
        <v>388</v>
      </c>
      <c r="B371" s="2">
        <v>4.8499999999999996</v>
      </c>
      <c r="C371" s="2">
        <v>3.98</v>
      </c>
      <c r="D371" s="2">
        <v>25.14</v>
      </c>
      <c r="E371" s="2">
        <v>15.33</v>
      </c>
      <c r="F371" s="2">
        <v>0</v>
      </c>
      <c r="G371" s="2">
        <v>8.26</v>
      </c>
      <c r="H371" s="2">
        <f t="shared" si="15"/>
        <v>0.52608579963973823</v>
      </c>
      <c r="I371" s="2">
        <f t="shared" si="16"/>
        <v>0.69511271963005361</v>
      </c>
      <c r="K371" s="2">
        <f t="shared" si="17"/>
        <v>5.0861893131044766</v>
      </c>
    </row>
    <row r="372" spans="1:11" ht="13.9" x14ac:dyDescent="0.3">
      <c r="A372" s="2" t="s">
        <v>389</v>
      </c>
      <c r="B372" s="2">
        <v>72.22</v>
      </c>
      <c r="C372" s="2">
        <v>137.71</v>
      </c>
      <c r="D372" s="2">
        <v>235.28</v>
      </c>
      <c r="E372" s="2">
        <v>178.41</v>
      </c>
      <c r="F372" s="2">
        <v>2043.82</v>
      </c>
      <c r="G372" s="2">
        <v>397.25</v>
      </c>
      <c r="H372" s="2">
        <f t="shared" si="15"/>
        <v>-2.5567225439460128</v>
      </c>
      <c r="I372" s="2">
        <f t="shared" si="16"/>
        <v>0.28707308022788863</v>
      </c>
      <c r="K372" s="2">
        <f t="shared" si="17"/>
        <v>8.7983421876396459</v>
      </c>
    </row>
    <row r="373" spans="1:11" ht="13.9" x14ac:dyDescent="0.3">
      <c r="A373" s="2" t="s">
        <v>390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 t="e">
        <f t="shared" si="15"/>
        <v>#DIV/0!</v>
      </c>
      <c r="I373" s="2" t="e">
        <f t="shared" si="16"/>
        <v>#DIV/0!</v>
      </c>
      <c r="K373" s="2" t="e">
        <f t="shared" si="17"/>
        <v>#NUM!</v>
      </c>
    </row>
    <row r="374" spans="1:11" ht="13.9" x14ac:dyDescent="0.3">
      <c r="A374" s="2" t="s">
        <v>391</v>
      </c>
      <c r="B374" s="2">
        <v>1.62</v>
      </c>
      <c r="C374" s="2">
        <v>9</v>
      </c>
      <c r="D374" s="2">
        <v>4.0199999999999996</v>
      </c>
      <c r="E374" s="2">
        <v>10.49</v>
      </c>
      <c r="F374" s="2">
        <v>490.52</v>
      </c>
      <c r="G374" s="2">
        <v>24.23</v>
      </c>
      <c r="H374" s="2">
        <f t="shared" si="15"/>
        <v>-5.1649893310761614</v>
      </c>
      <c r="I374" s="2">
        <f t="shared" si="16"/>
        <v>0.34143387252390678</v>
      </c>
      <c r="K374" s="2">
        <f t="shared" si="17"/>
        <v>3.8718436485093184</v>
      </c>
    </row>
    <row r="375" spans="1:11" ht="13.9" x14ac:dyDescent="0.3">
      <c r="A375" s="2" t="s">
        <v>392</v>
      </c>
      <c r="B375" s="2">
        <v>48.87</v>
      </c>
      <c r="C375" s="2">
        <v>130.59</v>
      </c>
      <c r="D375" s="2">
        <v>164.9</v>
      </c>
      <c r="E375" s="2">
        <v>88.79</v>
      </c>
      <c r="F375" s="2">
        <v>40.880000000000003</v>
      </c>
      <c r="G375" s="2">
        <v>145.63</v>
      </c>
      <c r="H375" s="2">
        <f t="shared" si="15"/>
        <v>0.32291296267032171</v>
      </c>
      <c r="I375" s="2">
        <f t="shared" si="16"/>
        <v>0.64189710436079417</v>
      </c>
      <c r="K375" s="2">
        <f t="shared" si="17"/>
        <v>8.4277737623785214</v>
      </c>
    </row>
    <row r="376" spans="1:11" ht="13.9" x14ac:dyDescent="0.3">
      <c r="A376" s="2" t="s">
        <v>393</v>
      </c>
      <c r="B376" s="2">
        <v>6.29</v>
      </c>
      <c r="C376" s="2">
        <v>12.98</v>
      </c>
      <c r="D376" s="2">
        <v>31.17</v>
      </c>
      <c r="E376" s="2">
        <v>11.73</v>
      </c>
      <c r="F376" s="2">
        <v>0</v>
      </c>
      <c r="G376" s="2">
        <v>54.41</v>
      </c>
      <c r="H376" s="2">
        <f t="shared" si="15"/>
        <v>-0.39095476986289507</v>
      </c>
      <c r="I376" s="2">
        <f t="shared" si="16"/>
        <v>0.78714611113977351</v>
      </c>
      <c r="K376" s="2">
        <f t="shared" si="17"/>
        <v>5.6564963705534952</v>
      </c>
    </row>
    <row r="377" spans="1:11" ht="13.9" x14ac:dyDescent="0.3">
      <c r="A377" s="2" t="s">
        <v>394</v>
      </c>
      <c r="B377" s="2">
        <v>0</v>
      </c>
      <c r="C377" s="2">
        <v>2.72</v>
      </c>
      <c r="D377" s="2">
        <v>0</v>
      </c>
      <c r="E377" s="2">
        <v>1.44</v>
      </c>
      <c r="F377" s="2">
        <v>0</v>
      </c>
      <c r="G377" s="2">
        <v>0.95</v>
      </c>
      <c r="H377" s="2">
        <f t="shared" si="15"/>
        <v>0.18659603326959126</v>
      </c>
      <c r="I377" s="2">
        <f t="shared" si="16"/>
        <v>0.91773686195203663</v>
      </c>
      <c r="K377" s="2">
        <f t="shared" si="17"/>
        <v>1.4436066514756147</v>
      </c>
    </row>
    <row r="378" spans="1:11" ht="13.9" x14ac:dyDescent="0.3">
      <c r="A378" s="2" t="s">
        <v>395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 t="e">
        <f t="shared" si="15"/>
        <v>#DIV/0!</v>
      </c>
      <c r="I378" s="2" t="e">
        <f t="shared" si="16"/>
        <v>#DIV/0!</v>
      </c>
      <c r="K378" s="2" t="e">
        <f t="shared" si="17"/>
        <v>#NUM!</v>
      </c>
    </row>
    <row r="379" spans="1:11" ht="13.9" x14ac:dyDescent="0.3">
      <c r="A379" s="2" t="s">
        <v>396</v>
      </c>
      <c r="B379" s="2">
        <v>0</v>
      </c>
      <c r="C379" s="2">
        <v>0</v>
      </c>
      <c r="D379" s="2">
        <v>0</v>
      </c>
      <c r="E379" s="2">
        <v>0</v>
      </c>
      <c r="F379" s="2">
        <v>408.76</v>
      </c>
      <c r="G379" s="2">
        <v>0.41</v>
      </c>
      <c r="H379" s="2" t="e">
        <f t="shared" si="15"/>
        <v>#NUM!</v>
      </c>
      <c r="I379" s="2">
        <f t="shared" si="16"/>
        <v>0.3732553494844113</v>
      </c>
      <c r="K379" s="2" t="e">
        <f t="shared" si="17"/>
        <v>#NUM!</v>
      </c>
    </row>
    <row r="380" spans="1:11" ht="13.9" x14ac:dyDescent="0.3">
      <c r="A380" s="2" t="s">
        <v>397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 t="e">
        <f t="shared" si="15"/>
        <v>#DIV/0!</v>
      </c>
      <c r="I380" s="2" t="e">
        <f t="shared" si="16"/>
        <v>#DIV/0!</v>
      </c>
      <c r="K380" s="2" t="e">
        <f t="shared" si="17"/>
        <v>#NUM!</v>
      </c>
    </row>
    <row r="381" spans="1:11" ht="13.9" x14ac:dyDescent="0.3">
      <c r="A381" s="2" t="s">
        <v>398</v>
      </c>
      <c r="B381" s="2">
        <v>0</v>
      </c>
      <c r="C381" s="2">
        <v>6.49</v>
      </c>
      <c r="D381" s="2">
        <v>0</v>
      </c>
      <c r="E381" s="2">
        <v>0</v>
      </c>
      <c r="F381" s="2">
        <v>0</v>
      </c>
      <c r="G381" s="2">
        <v>2.84</v>
      </c>
      <c r="H381" s="2">
        <f t="shared" si="15"/>
        <v>1.1923275484944567</v>
      </c>
      <c r="I381" s="2">
        <f t="shared" si="16"/>
        <v>0.63355678613943223</v>
      </c>
      <c r="K381" s="2">
        <f t="shared" si="17"/>
        <v>2.6982184782244136</v>
      </c>
    </row>
    <row r="382" spans="1:11" ht="13.9" x14ac:dyDescent="0.3">
      <c r="A382" s="2" t="s">
        <v>399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 t="e">
        <f t="shared" si="15"/>
        <v>#DIV/0!</v>
      </c>
      <c r="I382" s="2" t="e">
        <f t="shared" si="16"/>
        <v>#DIV/0!</v>
      </c>
      <c r="K382" s="2" t="e">
        <f t="shared" si="17"/>
        <v>#NUM!</v>
      </c>
    </row>
    <row r="383" spans="1:11" ht="13.9" x14ac:dyDescent="0.3">
      <c r="A383" s="2" t="s">
        <v>400</v>
      </c>
      <c r="B383" s="2">
        <v>0</v>
      </c>
      <c r="C383" s="2">
        <v>6.49</v>
      </c>
      <c r="D383" s="2">
        <v>0</v>
      </c>
      <c r="E383" s="2">
        <v>0</v>
      </c>
      <c r="F383" s="2">
        <v>0</v>
      </c>
      <c r="G383" s="2">
        <v>2.84</v>
      </c>
      <c r="H383" s="2">
        <f t="shared" si="15"/>
        <v>1.1923275484944567</v>
      </c>
      <c r="I383" s="2">
        <f t="shared" si="16"/>
        <v>0.63355678613943223</v>
      </c>
      <c r="K383" s="2">
        <f t="shared" si="17"/>
        <v>2.6982184782244136</v>
      </c>
    </row>
    <row r="384" spans="1:11" ht="13.9" x14ac:dyDescent="0.3">
      <c r="A384" s="2" t="s">
        <v>401</v>
      </c>
      <c r="B384" s="2">
        <v>2.16</v>
      </c>
      <c r="C384" s="2">
        <v>0.84</v>
      </c>
      <c r="D384" s="2">
        <v>0</v>
      </c>
      <c r="E384" s="2">
        <v>0.82</v>
      </c>
      <c r="F384" s="2">
        <v>0</v>
      </c>
      <c r="G384" s="2">
        <v>1.89</v>
      </c>
      <c r="H384" s="2">
        <f t="shared" si="15"/>
        <v>0.14666964914200947</v>
      </c>
      <c r="I384" s="2">
        <f t="shared" si="16"/>
        <v>0.91325338248676702</v>
      </c>
      <c r="K384" s="2">
        <f t="shared" si="17"/>
        <v>1.5849625007211563</v>
      </c>
    </row>
    <row r="385" spans="1:11" ht="13.9" x14ac:dyDescent="0.3">
      <c r="A385" s="2" t="s">
        <v>402</v>
      </c>
      <c r="B385" s="2">
        <v>0</v>
      </c>
      <c r="C385" s="2">
        <v>0</v>
      </c>
      <c r="D385" s="2">
        <v>0</v>
      </c>
      <c r="E385" s="2">
        <v>0.31</v>
      </c>
      <c r="F385" s="2">
        <v>0</v>
      </c>
      <c r="G385" s="2">
        <v>0.54</v>
      </c>
      <c r="H385" s="2" t="e">
        <f t="shared" si="15"/>
        <v>#NUM!</v>
      </c>
      <c r="I385" s="2">
        <f t="shared" si="16"/>
        <v>0.14438407235636969</v>
      </c>
      <c r="K385" s="2" t="e">
        <f t="shared" si="17"/>
        <v>#NUM!</v>
      </c>
    </row>
    <row r="386" spans="1:11" ht="13.9" x14ac:dyDescent="0.3">
      <c r="A386" s="2" t="s">
        <v>403</v>
      </c>
      <c r="B386" s="2">
        <v>0</v>
      </c>
      <c r="C386" s="2">
        <v>0</v>
      </c>
      <c r="D386" s="2">
        <v>0</v>
      </c>
      <c r="E386" s="2">
        <v>1.1299999999999999</v>
      </c>
      <c r="F386" s="2">
        <v>0</v>
      </c>
      <c r="G386" s="2">
        <v>0</v>
      </c>
      <c r="H386" s="2" t="e">
        <f t="shared" ref="H386:H449" si="18">LOG(SUM(B386:D386)/SUM(E386:G386),2)</f>
        <v>#NUM!</v>
      </c>
      <c r="I386" s="2">
        <f t="shared" ref="I386:I449" si="19">_xlfn.T.TEST(B386:D386,E386:G386,2,2)</f>
        <v>0.37390096630005903</v>
      </c>
      <c r="K386" s="2" t="e">
        <f t="shared" si="17"/>
        <v>#NUM!</v>
      </c>
    </row>
    <row r="387" spans="1:11" ht="13.9" x14ac:dyDescent="0.3">
      <c r="A387" s="2" t="s">
        <v>404</v>
      </c>
      <c r="B387" s="2">
        <v>0</v>
      </c>
      <c r="C387" s="2">
        <v>0</v>
      </c>
      <c r="D387" s="2">
        <v>0</v>
      </c>
      <c r="E387" s="2">
        <v>1.75</v>
      </c>
      <c r="F387" s="2">
        <v>0</v>
      </c>
      <c r="G387" s="2">
        <v>2.84</v>
      </c>
      <c r="H387" s="2" t="e">
        <f t="shared" si="18"/>
        <v>#NUM!</v>
      </c>
      <c r="I387" s="2">
        <f t="shared" si="19"/>
        <v>0.13804562066976742</v>
      </c>
      <c r="K387" s="2" t="e">
        <f t="shared" ref="K387:K450" si="20">LOG(SUM(B387:D387),2)</f>
        <v>#NUM!</v>
      </c>
    </row>
    <row r="388" spans="1:11" ht="13.9" x14ac:dyDescent="0.3">
      <c r="A388" s="2" t="s">
        <v>405</v>
      </c>
      <c r="B388" s="2">
        <v>4.13</v>
      </c>
      <c r="C388" s="2">
        <v>0.21</v>
      </c>
      <c r="D388" s="2">
        <v>2.0099999999999998</v>
      </c>
      <c r="E388" s="2">
        <v>1.95</v>
      </c>
      <c r="F388" s="2">
        <v>0</v>
      </c>
      <c r="G388" s="2">
        <v>0.54</v>
      </c>
      <c r="H388" s="2">
        <f t="shared" si="18"/>
        <v>1.3506108495914471</v>
      </c>
      <c r="I388" s="2">
        <f t="shared" si="19"/>
        <v>0.36941568094888533</v>
      </c>
      <c r="K388" s="2">
        <f t="shared" si="20"/>
        <v>2.6667565918848033</v>
      </c>
    </row>
    <row r="389" spans="1:11" ht="13.9" x14ac:dyDescent="0.3">
      <c r="A389" s="2" t="s">
        <v>406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 t="e">
        <f t="shared" si="18"/>
        <v>#DIV/0!</v>
      </c>
      <c r="I389" s="2" t="e">
        <f t="shared" si="19"/>
        <v>#DIV/0!</v>
      </c>
      <c r="K389" s="2" t="e">
        <f t="shared" si="20"/>
        <v>#NUM!</v>
      </c>
    </row>
    <row r="390" spans="1:11" ht="13.9" x14ac:dyDescent="0.3">
      <c r="A390" s="2" t="s">
        <v>407</v>
      </c>
      <c r="B390" s="2">
        <v>0</v>
      </c>
      <c r="C390" s="2">
        <v>0</v>
      </c>
      <c r="D390" s="2">
        <v>0</v>
      </c>
      <c r="E390" s="2">
        <v>0.72</v>
      </c>
      <c r="F390" s="2">
        <v>0</v>
      </c>
      <c r="G390" s="2">
        <v>2.71</v>
      </c>
      <c r="H390" s="2" t="e">
        <f t="shared" si="18"/>
        <v>#NUM!</v>
      </c>
      <c r="I390" s="2">
        <f t="shared" si="19"/>
        <v>0.23114195605244375</v>
      </c>
      <c r="K390" s="2" t="e">
        <f t="shared" si="20"/>
        <v>#NUM!</v>
      </c>
    </row>
    <row r="391" spans="1:11" ht="13.9" x14ac:dyDescent="0.3">
      <c r="A391" s="2" t="s">
        <v>408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 t="e">
        <f t="shared" si="18"/>
        <v>#DIV/0!</v>
      </c>
      <c r="I391" s="2" t="e">
        <f t="shared" si="19"/>
        <v>#DIV/0!</v>
      </c>
      <c r="K391" s="2" t="e">
        <f t="shared" si="20"/>
        <v>#NUM!</v>
      </c>
    </row>
    <row r="392" spans="1:11" ht="13.9" x14ac:dyDescent="0.3">
      <c r="A392" s="2" t="s">
        <v>409</v>
      </c>
      <c r="B392" s="2">
        <v>0</v>
      </c>
      <c r="C392" s="2">
        <v>0</v>
      </c>
      <c r="D392" s="2">
        <v>0</v>
      </c>
      <c r="E392" s="2">
        <v>1.23</v>
      </c>
      <c r="F392" s="2">
        <v>0</v>
      </c>
      <c r="G392" s="2">
        <v>0.54</v>
      </c>
      <c r="H392" s="2" t="e">
        <f t="shared" si="18"/>
        <v>#NUM!</v>
      </c>
      <c r="I392" s="2">
        <f t="shared" si="19"/>
        <v>0.17275077445252598</v>
      </c>
      <c r="K392" s="2" t="e">
        <f t="shared" si="20"/>
        <v>#NUM!</v>
      </c>
    </row>
    <row r="393" spans="1:11" ht="13.9" x14ac:dyDescent="0.3">
      <c r="A393" s="2" t="s">
        <v>410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 t="e">
        <f t="shared" si="18"/>
        <v>#DIV/0!</v>
      </c>
      <c r="I393" s="2" t="e">
        <f t="shared" si="19"/>
        <v>#DIV/0!</v>
      </c>
      <c r="K393" s="2" t="e">
        <f t="shared" si="20"/>
        <v>#NUM!</v>
      </c>
    </row>
    <row r="394" spans="1:11" ht="13.9" x14ac:dyDescent="0.3">
      <c r="A394" s="2" t="s">
        <v>411</v>
      </c>
      <c r="B394" s="2">
        <v>0</v>
      </c>
      <c r="C394" s="2">
        <v>0</v>
      </c>
      <c r="D394" s="2">
        <v>0</v>
      </c>
      <c r="E394" s="2">
        <v>1.23</v>
      </c>
      <c r="F394" s="2">
        <v>0</v>
      </c>
      <c r="G394" s="2">
        <v>1.89</v>
      </c>
      <c r="H394" s="2" t="e">
        <f t="shared" si="18"/>
        <v>#NUM!</v>
      </c>
      <c r="I394" s="2">
        <f t="shared" si="19"/>
        <v>0.13360242991684559</v>
      </c>
      <c r="K394" s="2" t="e">
        <f t="shared" si="20"/>
        <v>#NUM!</v>
      </c>
    </row>
    <row r="395" spans="1:11" ht="13.9" x14ac:dyDescent="0.3">
      <c r="A395" s="2" t="s">
        <v>412</v>
      </c>
      <c r="B395" s="2">
        <v>0</v>
      </c>
      <c r="C395" s="2">
        <v>0</v>
      </c>
      <c r="D395" s="2">
        <v>0</v>
      </c>
      <c r="E395" s="2">
        <v>0.41</v>
      </c>
      <c r="F395" s="2">
        <v>0</v>
      </c>
      <c r="G395" s="2">
        <v>0</v>
      </c>
      <c r="H395" s="2" t="e">
        <f t="shared" si="18"/>
        <v>#NUM!</v>
      </c>
      <c r="I395" s="2">
        <f t="shared" si="19"/>
        <v>0.37390096630005903</v>
      </c>
      <c r="K395" s="2" t="e">
        <f t="shared" si="20"/>
        <v>#NUM!</v>
      </c>
    </row>
    <row r="396" spans="1:11" ht="13.9" x14ac:dyDescent="0.3">
      <c r="A396" s="2" t="s">
        <v>413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0.27</v>
      </c>
      <c r="H396" s="2" t="e">
        <f t="shared" si="18"/>
        <v>#NUM!</v>
      </c>
      <c r="I396" s="2">
        <f t="shared" si="19"/>
        <v>0.37390096630005903</v>
      </c>
      <c r="K396" s="2" t="e">
        <f t="shared" si="20"/>
        <v>#NUM!</v>
      </c>
    </row>
    <row r="397" spans="1:11" ht="13.9" x14ac:dyDescent="0.3">
      <c r="A397" s="2" t="s">
        <v>414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 t="e">
        <f t="shared" si="18"/>
        <v>#DIV/0!</v>
      </c>
      <c r="I397" s="2" t="e">
        <f t="shared" si="19"/>
        <v>#DIV/0!</v>
      </c>
      <c r="K397" s="2" t="e">
        <f t="shared" si="20"/>
        <v>#NUM!</v>
      </c>
    </row>
    <row r="398" spans="1:11" ht="13.9" x14ac:dyDescent="0.3">
      <c r="A398" s="2" t="s">
        <v>415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 t="e">
        <f t="shared" si="18"/>
        <v>#DIV/0!</v>
      </c>
      <c r="I398" s="2" t="e">
        <f t="shared" si="19"/>
        <v>#DIV/0!</v>
      </c>
      <c r="K398" s="2" t="e">
        <f t="shared" si="20"/>
        <v>#NUM!</v>
      </c>
    </row>
    <row r="399" spans="1:11" ht="13.9" x14ac:dyDescent="0.3">
      <c r="A399" s="2" t="s">
        <v>416</v>
      </c>
      <c r="B399" s="2">
        <v>3.41</v>
      </c>
      <c r="C399" s="2">
        <v>0</v>
      </c>
      <c r="D399" s="2">
        <v>0</v>
      </c>
      <c r="E399" s="2">
        <v>2.88</v>
      </c>
      <c r="F399" s="2">
        <v>0</v>
      </c>
      <c r="G399" s="2">
        <v>2.17</v>
      </c>
      <c r="H399" s="2">
        <f t="shared" si="18"/>
        <v>-0.56651164861498449</v>
      </c>
      <c r="I399" s="2">
        <f t="shared" si="19"/>
        <v>0.72153482493209498</v>
      </c>
      <c r="K399" s="2">
        <f t="shared" si="20"/>
        <v>1.7697717392494476</v>
      </c>
    </row>
    <row r="400" spans="1:11" ht="13.9" x14ac:dyDescent="0.3">
      <c r="A400" s="2" t="s">
        <v>417</v>
      </c>
      <c r="B400" s="2">
        <v>35.93</v>
      </c>
      <c r="C400" s="2">
        <v>36.409999999999997</v>
      </c>
      <c r="D400" s="2">
        <v>69.88</v>
      </c>
      <c r="E400" s="2">
        <v>24.9</v>
      </c>
      <c r="F400" s="2">
        <v>0</v>
      </c>
      <c r="G400" s="2">
        <v>20.440000000000001</v>
      </c>
      <c r="H400" s="2">
        <f t="shared" si="18"/>
        <v>1.6492680651928628</v>
      </c>
      <c r="I400" s="2">
        <f t="shared" si="19"/>
        <v>7.6488788007032141E-2</v>
      </c>
      <c r="K400" s="2">
        <f t="shared" si="20"/>
        <v>7.1519805511589247</v>
      </c>
    </row>
    <row r="401" spans="1:11" ht="13.9" x14ac:dyDescent="0.3">
      <c r="A401" s="2" t="s">
        <v>418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 t="e">
        <f t="shared" si="18"/>
        <v>#DIV/0!</v>
      </c>
      <c r="I401" s="2" t="e">
        <f t="shared" si="19"/>
        <v>#DIV/0!</v>
      </c>
      <c r="K401" s="2" t="e">
        <f t="shared" si="20"/>
        <v>#NUM!</v>
      </c>
    </row>
    <row r="402" spans="1:11" ht="13.9" x14ac:dyDescent="0.3">
      <c r="A402" s="2" t="s">
        <v>419</v>
      </c>
      <c r="B402" s="2">
        <v>0.18</v>
      </c>
      <c r="C402" s="2">
        <v>0</v>
      </c>
      <c r="D402" s="2">
        <v>0</v>
      </c>
      <c r="E402" s="2">
        <v>0</v>
      </c>
      <c r="F402" s="2">
        <v>0</v>
      </c>
      <c r="G402" s="2">
        <v>0.14000000000000001</v>
      </c>
      <c r="H402" s="2">
        <f t="shared" si="18"/>
        <v>0.36257007938470814</v>
      </c>
      <c r="I402" s="2">
        <f t="shared" si="19"/>
        <v>0.86927786633163096</v>
      </c>
      <c r="K402" s="2">
        <f t="shared" si="20"/>
        <v>-2.4739311883324122</v>
      </c>
    </row>
    <row r="403" spans="1:11" ht="13.9" x14ac:dyDescent="0.3">
      <c r="A403" s="2" t="s">
        <v>420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 t="e">
        <f t="shared" si="18"/>
        <v>#DIV/0!</v>
      </c>
      <c r="I403" s="2" t="e">
        <f t="shared" si="19"/>
        <v>#DIV/0!</v>
      </c>
      <c r="K403" s="2" t="e">
        <f t="shared" si="20"/>
        <v>#NUM!</v>
      </c>
    </row>
    <row r="404" spans="1:11" ht="13.9" x14ac:dyDescent="0.3">
      <c r="A404" s="2" t="s">
        <v>421</v>
      </c>
      <c r="B404" s="2">
        <v>5.93</v>
      </c>
      <c r="C404" s="2">
        <v>4.3899999999999997</v>
      </c>
      <c r="D404" s="2">
        <v>0</v>
      </c>
      <c r="E404" s="2">
        <v>2.88</v>
      </c>
      <c r="F404" s="2">
        <v>0</v>
      </c>
      <c r="G404" s="2">
        <v>1.89</v>
      </c>
      <c r="H404" s="2">
        <f t="shared" si="18"/>
        <v>1.1133817994177428</v>
      </c>
      <c r="I404" s="2">
        <f t="shared" si="19"/>
        <v>0.40023859874067264</v>
      </c>
      <c r="K404" s="2">
        <f t="shared" si="20"/>
        <v>3.3673710656485296</v>
      </c>
    </row>
    <row r="405" spans="1:11" ht="13.9" x14ac:dyDescent="0.3">
      <c r="A405" s="2" t="s">
        <v>422</v>
      </c>
      <c r="B405" s="2">
        <v>25.51</v>
      </c>
      <c r="C405" s="2">
        <v>21.35</v>
      </c>
      <c r="D405" s="2">
        <v>22.62</v>
      </c>
      <c r="E405" s="2">
        <v>5.66</v>
      </c>
      <c r="F405" s="2">
        <v>204.38</v>
      </c>
      <c r="G405" s="2">
        <v>16.510000000000002</v>
      </c>
      <c r="H405" s="2">
        <f t="shared" si="18"/>
        <v>-1.7051598316903582</v>
      </c>
      <c r="I405" s="2">
        <f t="shared" si="19"/>
        <v>0.46261246749850898</v>
      </c>
      <c r="K405" s="2">
        <f t="shared" si="20"/>
        <v>6.1185258489356693</v>
      </c>
    </row>
    <row r="406" spans="1:11" ht="13.9" x14ac:dyDescent="0.3">
      <c r="A406" s="2" t="s">
        <v>423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 t="e">
        <f t="shared" si="18"/>
        <v>#DIV/0!</v>
      </c>
      <c r="I406" s="2" t="e">
        <f t="shared" si="19"/>
        <v>#DIV/0!</v>
      </c>
      <c r="K406" s="2" t="e">
        <f t="shared" si="20"/>
        <v>#NUM!</v>
      </c>
    </row>
    <row r="407" spans="1:11" ht="13.9" x14ac:dyDescent="0.3">
      <c r="A407" s="2" t="s">
        <v>424</v>
      </c>
      <c r="B407" s="2">
        <v>0</v>
      </c>
      <c r="C407" s="2">
        <v>0.21</v>
      </c>
      <c r="D407" s="2">
        <v>0</v>
      </c>
      <c r="E407" s="2">
        <v>0</v>
      </c>
      <c r="F407" s="2">
        <v>0</v>
      </c>
      <c r="G407" s="2">
        <v>0</v>
      </c>
      <c r="H407" s="2" t="e">
        <f t="shared" si="18"/>
        <v>#DIV/0!</v>
      </c>
      <c r="I407" s="2">
        <f t="shared" si="19"/>
        <v>0.37390096630005903</v>
      </c>
      <c r="K407" s="2">
        <f t="shared" si="20"/>
        <v>-2.2515387669959646</v>
      </c>
    </row>
    <row r="408" spans="1:11" ht="13.9" x14ac:dyDescent="0.3">
      <c r="A408" s="2" t="s">
        <v>425</v>
      </c>
      <c r="B408" s="2">
        <v>0</v>
      </c>
      <c r="C408" s="2">
        <v>0.21</v>
      </c>
      <c r="D408" s="2">
        <v>0</v>
      </c>
      <c r="E408" s="2">
        <v>0</v>
      </c>
      <c r="F408" s="2">
        <v>0</v>
      </c>
      <c r="G408" s="2">
        <v>0</v>
      </c>
      <c r="H408" s="2" t="e">
        <f t="shared" si="18"/>
        <v>#DIV/0!</v>
      </c>
      <c r="I408" s="2">
        <f t="shared" si="19"/>
        <v>0.37390096630005903</v>
      </c>
      <c r="K408" s="2">
        <f t="shared" si="20"/>
        <v>-2.2515387669959646</v>
      </c>
    </row>
    <row r="409" spans="1:11" ht="13.9" x14ac:dyDescent="0.3">
      <c r="A409" s="2" t="s">
        <v>426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 t="e">
        <f t="shared" si="18"/>
        <v>#DIV/0!</v>
      </c>
      <c r="I409" s="2" t="e">
        <f t="shared" si="19"/>
        <v>#DIV/0!</v>
      </c>
      <c r="K409" s="2" t="e">
        <f t="shared" si="20"/>
        <v>#NUM!</v>
      </c>
    </row>
    <row r="410" spans="1:11" ht="13.9" x14ac:dyDescent="0.3">
      <c r="A410" s="2" t="s">
        <v>427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 t="e">
        <f t="shared" si="18"/>
        <v>#DIV/0!</v>
      </c>
      <c r="I410" s="2" t="e">
        <f t="shared" si="19"/>
        <v>#DIV/0!</v>
      </c>
      <c r="K410" s="2" t="e">
        <f t="shared" si="20"/>
        <v>#NUM!</v>
      </c>
    </row>
    <row r="411" spans="1:11" ht="13.9" x14ac:dyDescent="0.3">
      <c r="A411" s="2" t="s">
        <v>428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 t="e">
        <f t="shared" si="18"/>
        <v>#DIV/0!</v>
      </c>
      <c r="I411" s="2" t="e">
        <f t="shared" si="19"/>
        <v>#DIV/0!</v>
      </c>
      <c r="K411" s="2" t="e">
        <f t="shared" si="20"/>
        <v>#NUM!</v>
      </c>
    </row>
    <row r="412" spans="1:11" ht="13.9" x14ac:dyDescent="0.3">
      <c r="A412" s="2" t="s">
        <v>429</v>
      </c>
      <c r="B412" s="2">
        <v>0.18</v>
      </c>
      <c r="C412" s="2">
        <v>0.21</v>
      </c>
      <c r="D412" s="2">
        <v>0</v>
      </c>
      <c r="E412" s="2">
        <v>0</v>
      </c>
      <c r="F412" s="2">
        <v>0</v>
      </c>
      <c r="G412" s="2">
        <v>0</v>
      </c>
      <c r="H412" s="2" t="e">
        <f t="shared" si="18"/>
        <v>#DIV/0!</v>
      </c>
      <c r="I412" s="2">
        <f t="shared" si="19"/>
        <v>0.11846479931931941</v>
      </c>
      <c r="K412" s="2">
        <f t="shared" si="20"/>
        <v>-1.3584539709124763</v>
      </c>
    </row>
    <row r="413" spans="1:11" ht="13.9" x14ac:dyDescent="0.3">
      <c r="A413" s="2" t="s">
        <v>430</v>
      </c>
      <c r="B413" s="2">
        <v>0</v>
      </c>
      <c r="C413" s="2">
        <v>0</v>
      </c>
      <c r="D413" s="2">
        <v>0</v>
      </c>
      <c r="E413" s="2">
        <v>0.1</v>
      </c>
      <c r="F413" s="2">
        <v>0</v>
      </c>
      <c r="G413" s="2">
        <v>0.14000000000000001</v>
      </c>
      <c r="H413" s="2" t="e">
        <f t="shared" si="18"/>
        <v>#NUM!</v>
      </c>
      <c r="I413" s="2">
        <f t="shared" si="19"/>
        <v>0.12704639298528589</v>
      </c>
      <c r="K413" s="2" t="e">
        <f t="shared" si="20"/>
        <v>#NUM!</v>
      </c>
    </row>
    <row r="414" spans="1:11" ht="13.9" x14ac:dyDescent="0.3">
      <c r="A414" s="2" t="s">
        <v>431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1.62</v>
      </c>
      <c r="H414" s="2" t="e">
        <f t="shared" si="18"/>
        <v>#NUM!</v>
      </c>
      <c r="I414" s="2">
        <f t="shared" si="19"/>
        <v>0.37390096630005903</v>
      </c>
      <c r="K414" s="2" t="e">
        <f t="shared" si="20"/>
        <v>#NUM!</v>
      </c>
    </row>
    <row r="415" spans="1:11" ht="13.9" x14ac:dyDescent="0.3">
      <c r="A415" s="2" t="s">
        <v>432</v>
      </c>
      <c r="B415" s="2">
        <v>151.44999999999999</v>
      </c>
      <c r="C415" s="2">
        <v>109.87</v>
      </c>
      <c r="D415" s="2">
        <v>112.61</v>
      </c>
      <c r="E415" s="2">
        <v>162.57</v>
      </c>
      <c r="F415" s="2">
        <v>245.26</v>
      </c>
      <c r="G415" s="2">
        <v>137.51</v>
      </c>
      <c r="H415" s="2">
        <f t="shared" si="18"/>
        <v>-0.54438775749253598</v>
      </c>
      <c r="I415" s="2">
        <f t="shared" si="19"/>
        <v>0.1800062185506173</v>
      </c>
      <c r="K415" s="2">
        <f t="shared" si="20"/>
        <v>8.5466244114789429</v>
      </c>
    </row>
    <row r="416" spans="1:11" ht="13.9" x14ac:dyDescent="0.3">
      <c r="A416" s="2" t="s">
        <v>433</v>
      </c>
      <c r="B416" s="2">
        <v>37.729999999999997</v>
      </c>
      <c r="C416" s="2">
        <v>10.46</v>
      </c>
      <c r="D416" s="2">
        <v>50.78</v>
      </c>
      <c r="E416" s="2">
        <v>39.200000000000003</v>
      </c>
      <c r="F416" s="2">
        <v>40.880000000000003</v>
      </c>
      <c r="G416" s="2">
        <v>27.07</v>
      </c>
      <c r="H416" s="2">
        <f t="shared" si="18"/>
        <v>-0.114568666277823</v>
      </c>
      <c r="I416" s="2">
        <f t="shared" si="19"/>
        <v>0.83988386320741715</v>
      </c>
      <c r="K416" s="2">
        <f t="shared" si="20"/>
        <v>6.628919373511363</v>
      </c>
    </row>
    <row r="417" spans="1:11" ht="13.9" x14ac:dyDescent="0.3">
      <c r="A417" s="2" t="s">
        <v>434</v>
      </c>
      <c r="B417" s="2">
        <v>0</v>
      </c>
      <c r="C417" s="2">
        <v>0</v>
      </c>
      <c r="D417" s="2">
        <v>0</v>
      </c>
      <c r="E417" s="2">
        <v>0.1</v>
      </c>
      <c r="F417" s="2">
        <v>0</v>
      </c>
      <c r="G417" s="2">
        <v>1.35</v>
      </c>
      <c r="H417" s="2" t="e">
        <f t="shared" si="18"/>
        <v>#NUM!</v>
      </c>
      <c r="I417" s="2">
        <f t="shared" si="19"/>
        <v>0.32811379819755454</v>
      </c>
      <c r="K417" s="2" t="e">
        <f t="shared" si="20"/>
        <v>#NUM!</v>
      </c>
    </row>
    <row r="418" spans="1:11" ht="13.9" x14ac:dyDescent="0.3">
      <c r="A418" s="2" t="s">
        <v>435</v>
      </c>
      <c r="B418" s="2">
        <v>0</v>
      </c>
      <c r="C418" s="2">
        <v>6.49</v>
      </c>
      <c r="D418" s="2">
        <v>0</v>
      </c>
      <c r="E418" s="2">
        <v>4.22</v>
      </c>
      <c r="F418" s="2">
        <v>0</v>
      </c>
      <c r="G418" s="2">
        <v>7.85</v>
      </c>
      <c r="H418" s="2">
        <f t="shared" si="18"/>
        <v>-0.89513529275588288</v>
      </c>
      <c r="I418" s="2">
        <f t="shared" si="19"/>
        <v>0.58483950185356492</v>
      </c>
      <c r="K418" s="2">
        <f t="shared" si="20"/>
        <v>2.6982184782244136</v>
      </c>
    </row>
    <row r="419" spans="1:11" ht="13.9" x14ac:dyDescent="0.3">
      <c r="A419" s="2" t="s">
        <v>436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 t="e">
        <f t="shared" si="18"/>
        <v>#DIV/0!</v>
      </c>
      <c r="I419" s="2" t="e">
        <f t="shared" si="19"/>
        <v>#DIV/0!</v>
      </c>
      <c r="K419" s="2" t="e">
        <f t="shared" si="20"/>
        <v>#NUM!</v>
      </c>
    </row>
    <row r="420" spans="1:11" ht="13.9" x14ac:dyDescent="0.3">
      <c r="A420" s="2" t="s">
        <v>437</v>
      </c>
      <c r="B420" s="2">
        <v>0</v>
      </c>
      <c r="C420" s="2">
        <v>0</v>
      </c>
      <c r="D420" s="2">
        <v>0</v>
      </c>
      <c r="E420" s="2">
        <v>0.51</v>
      </c>
      <c r="F420" s="2">
        <v>0</v>
      </c>
      <c r="G420" s="2">
        <v>1.22</v>
      </c>
      <c r="H420" s="2" t="e">
        <f t="shared" si="18"/>
        <v>#NUM!</v>
      </c>
      <c r="I420" s="2">
        <f t="shared" si="19"/>
        <v>0.17841016846128757</v>
      </c>
      <c r="K420" s="2" t="e">
        <f t="shared" si="20"/>
        <v>#NUM!</v>
      </c>
    </row>
    <row r="421" spans="1:11" ht="13.9" x14ac:dyDescent="0.3">
      <c r="A421" s="2" t="s">
        <v>438</v>
      </c>
      <c r="B421" s="2">
        <v>11.32</v>
      </c>
      <c r="C421" s="2">
        <v>5.44</v>
      </c>
      <c r="D421" s="2">
        <v>0</v>
      </c>
      <c r="E421" s="2">
        <v>17.7</v>
      </c>
      <c r="F421" s="2">
        <v>40.880000000000003</v>
      </c>
      <c r="G421" s="2">
        <v>12.18</v>
      </c>
      <c r="H421" s="2">
        <f t="shared" si="18"/>
        <v>-2.0779118989911067</v>
      </c>
      <c r="I421" s="2">
        <f t="shared" si="19"/>
        <v>0.12742724870184469</v>
      </c>
      <c r="K421" s="2">
        <f t="shared" si="20"/>
        <v>4.0669502439246266</v>
      </c>
    </row>
    <row r="422" spans="1:11" ht="13.9" x14ac:dyDescent="0.3">
      <c r="A422" s="2" t="s">
        <v>439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 t="e">
        <f t="shared" si="18"/>
        <v>#DIV/0!</v>
      </c>
      <c r="I422" s="2" t="e">
        <f t="shared" si="19"/>
        <v>#DIV/0!</v>
      </c>
      <c r="K422" s="2" t="e">
        <f t="shared" si="20"/>
        <v>#NUM!</v>
      </c>
    </row>
    <row r="423" spans="1:11" ht="13.9" x14ac:dyDescent="0.3">
      <c r="A423" s="2" t="s">
        <v>440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2.0299999999999998</v>
      </c>
      <c r="H423" s="2" t="e">
        <f t="shared" si="18"/>
        <v>#NUM!</v>
      </c>
      <c r="I423" s="2">
        <f t="shared" si="19"/>
        <v>0.37390096630005903</v>
      </c>
      <c r="K423" s="2" t="e">
        <f t="shared" si="20"/>
        <v>#NUM!</v>
      </c>
    </row>
    <row r="424" spans="1:11" ht="13.9" x14ac:dyDescent="0.3">
      <c r="A424" s="2" t="s">
        <v>441</v>
      </c>
      <c r="B424" s="2">
        <v>0</v>
      </c>
      <c r="C424" s="2">
        <v>10.46</v>
      </c>
      <c r="D424" s="2">
        <v>1.01</v>
      </c>
      <c r="E424" s="2">
        <v>1.95</v>
      </c>
      <c r="F424" s="2">
        <v>0</v>
      </c>
      <c r="G424" s="2">
        <v>1.22</v>
      </c>
      <c r="H424" s="2">
        <f t="shared" si="18"/>
        <v>1.8553106458764179</v>
      </c>
      <c r="I424" s="2">
        <f t="shared" si="19"/>
        <v>0.45892670773721561</v>
      </c>
      <c r="K424" s="2">
        <f t="shared" si="20"/>
        <v>3.5197934862411002</v>
      </c>
    </row>
    <row r="425" spans="1:11" ht="13.9" x14ac:dyDescent="0.3">
      <c r="A425" s="2" t="s">
        <v>442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 t="e">
        <f t="shared" si="18"/>
        <v>#DIV/0!</v>
      </c>
      <c r="I425" s="2" t="e">
        <f t="shared" si="19"/>
        <v>#DIV/0!</v>
      </c>
      <c r="K425" s="2" t="e">
        <f t="shared" si="20"/>
        <v>#NUM!</v>
      </c>
    </row>
    <row r="426" spans="1:11" ht="13.9" x14ac:dyDescent="0.3">
      <c r="A426" s="2" t="s">
        <v>443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0.41</v>
      </c>
      <c r="H426" s="2" t="e">
        <f t="shared" si="18"/>
        <v>#NUM!</v>
      </c>
      <c r="I426" s="2">
        <f t="shared" si="19"/>
        <v>0.37390096630005903</v>
      </c>
      <c r="K426" s="2" t="e">
        <f t="shared" si="20"/>
        <v>#NUM!</v>
      </c>
    </row>
    <row r="427" spans="1:11" ht="13.9" x14ac:dyDescent="0.3">
      <c r="A427" s="2" t="s">
        <v>444</v>
      </c>
      <c r="B427" s="2">
        <v>0</v>
      </c>
      <c r="C427" s="2">
        <v>0</v>
      </c>
      <c r="D427" s="2">
        <v>0</v>
      </c>
      <c r="E427" s="2">
        <v>0.51</v>
      </c>
      <c r="F427" s="2">
        <v>0</v>
      </c>
      <c r="G427" s="2">
        <v>0.27</v>
      </c>
      <c r="H427" s="2" t="e">
        <f t="shared" si="18"/>
        <v>#NUM!</v>
      </c>
      <c r="I427" s="2">
        <f t="shared" si="19"/>
        <v>0.15232633449782892</v>
      </c>
      <c r="K427" s="2" t="e">
        <f t="shared" si="20"/>
        <v>#NUM!</v>
      </c>
    </row>
    <row r="428" spans="1:11" ht="13.9" x14ac:dyDescent="0.3">
      <c r="A428" s="2" t="s">
        <v>445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 t="e">
        <f t="shared" si="18"/>
        <v>#DIV/0!</v>
      </c>
      <c r="I428" s="2" t="e">
        <f t="shared" si="19"/>
        <v>#DIV/0!</v>
      </c>
      <c r="K428" s="2" t="e">
        <f t="shared" si="20"/>
        <v>#NUM!</v>
      </c>
    </row>
    <row r="429" spans="1:11" ht="13.9" x14ac:dyDescent="0.3">
      <c r="A429" s="2" t="s">
        <v>446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 t="e">
        <f t="shared" si="18"/>
        <v>#DIV/0!</v>
      </c>
      <c r="I429" s="2" t="e">
        <f t="shared" si="19"/>
        <v>#DIV/0!</v>
      </c>
      <c r="K429" s="2" t="e">
        <f t="shared" si="20"/>
        <v>#NUM!</v>
      </c>
    </row>
    <row r="430" spans="1:11" ht="13.9" x14ac:dyDescent="0.3">
      <c r="A430" s="2" t="s">
        <v>447</v>
      </c>
      <c r="B430" s="2">
        <v>0</v>
      </c>
      <c r="C430" s="2">
        <v>0</v>
      </c>
      <c r="D430" s="2">
        <v>6.03</v>
      </c>
      <c r="E430" s="2">
        <v>0.1</v>
      </c>
      <c r="F430" s="2">
        <v>204.38</v>
      </c>
      <c r="G430" s="2">
        <v>0</v>
      </c>
      <c r="H430" s="2">
        <f t="shared" si="18"/>
        <v>-5.0836579290469093</v>
      </c>
      <c r="I430" s="2">
        <f t="shared" si="19"/>
        <v>0.38662085009528596</v>
      </c>
      <c r="K430" s="2">
        <f t="shared" si="20"/>
        <v>2.5921580021253603</v>
      </c>
    </row>
    <row r="431" spans="1:11" ht="13.9" x14ac:dyDescent="0.3">
      <c r="A431" s="2" t="s">
        <v>448</v>
      </c>
      <c r="B431" s="2">
        <v>0</v>
      </c>
      <c r="C431" s="2">
        <v>3.77</v>
      </c>
      <c r="D431" s="2">
        <v>0.5</v>
      </c>
      <c r="E431" s="2">
        <v>12.66</v>
      </c>
      <c r="F431" s="2">
        <v>0</v>
      </c>
      <c r="G431" s="2">
        <v>17.05</v>
      </c>
      <c r="H431" s="2">
        <f t="shared" si="18"/>
        <v>-2.798640630214924</v>
      </c>
      <c r="I431" s="2">
        <f t="shared" si="19"/>
        <v>0.1813115077607996</v>
      </c>
      <c r="K431" s="2">
        <f t="shared" si="20"/>
        <v>2.0942360698457656</v>
      </c>
    </row>
    <row r="432" spans="1:11" ht="13.9" x14ac:dyDescent="0.3">
      <c r="A432" s="2" t="s">
        <v>449</v>
      </c>
      <c r="B432" s="2">
        <v>0</v>
      </c>
      <c r="C432" s="2">
        <v>6.49</v>
      </c>
      <c r="D432" s="2">
        <v>0</v>
      </c>
      <c r="E432" s="2">
        <v>0</v>
      </c>
      <c r="F432" s="2">
        <v>0</v>
      </c>
      <c r="G432" s="2">
        <v>1.49</v>
      </c>
      <c r="H432" s="2">
        <f t="shared" si="18"/>
        <v>2.1229061475369773</v>
      </c>
      <c r="I432" s="2">
        <f t="shared" si="19"/>
        <v>0.49448401244425316</v>
      </c>
      <c r="K432" s="2">
        <f t="shared" si="20"/>
        <v>2.6982184782244136</v>
      </c>
    </row>
    <row r="433" spans="1:11" ht="13.9" x14ac:dyDescent="0.3">
      <c r="A433" s="2" t="s">
        <v>450</v>
      </c>
      <c r="B433" s="2">
        <v>0</v>
      </c>
      <c r="C433" s="2">
        <v>0</v>
      </c>
      <c r="D433" s="2">
        <v>10.56</v>
      </c>
      <c r="E433" s="2">
        <v>0.82</v>
      </c>
      <c r="F433" s="2">
        <v>0</v>
      </c>
      <c r="G433" s="2">
        <v>0</v>
      </c>
      <c r="H433" s="2">
        <f t="shared" si="18"/>
        <v>3.68684211474037</v>
      </c>
      <c r="I433" s="2">
        <f t="shared" si="19"/>
        <v>0.40982904835264733</v>
      </c>
      <c r="K433" s="2">
        <f t="shared" si="20"/>
        <v>3.400537929583729</v>
      </c>
    </row>
    <row r="434" spans="1:11" ht="13.9" x14ac:dyDescent="0.3">
      <c r="A434" s="2" t="s">
        <v>451</v>
      </c>
      <c r="B434" s="2">
        <v>0</v>
      </c>
      <c r="C434" s="2">
        <v>0</v>
      </c>
      <c r="D434" s="2">
        <v>0</v>
      </c>
      <c r="E434" s="2">
        <v>1.44</v>
      </c>
      <c r="F434" s="2">
        <v>0</v>
      </c>
      <c r="G434" s="2">
        <v>1.22</v>
      </c>
      <c r="H434" s="2" t="e">
        <f t="shared" si="18"/>
        <v>#NUM!</v>
      </c>
      <c r="I434" s="2">
        <f t="shared" si="19"/>
        <v>0.11883024240352499</v>
      </c>
      <c r="K434" s="2" t="e">
        <f t="shared" si="20"/>
        <v>#NUM!</v>
      </c>
    </row>
    <row r="435" spans="1:11" ht="13.9" x14ac:dyDescent="0.3">
      <c r="A435" s="2" t="s">
        <v>452</v>
      </c>
      <c r="B435" s="2">
        <v>0</v>
      </c>
      <c r="C435" s="2">
        <v>7.53</v>
      </c>
      <c r="D435" s="2">
        <v>0</v>
      </c>
      <c r="E435" s="2">
        <v>0</v>
      </c>
      <c r="F435" s="2">
        <v>0</v>
      </c>
      <c r="G435" s="2">
        <v>0</v>
      </c>
      <c r="H435" s="2" t="e">
        <f t="shared" si="18"/>
        <v>#DIV/0!</v>
      </c>
      <c r="I435" s="2">
        <f t="shared" si="19"/>
        <v>0.37390096630005903</v>
      </c>
      <c r="K435" s="2">
        <f t="shared" si="20"/>
        <v>2.9126498648972032</v>
      </c>
    </row>
    <row r="436" spans="1:11" ht="13.9" x14ac:dyDescent="0.3">
      <c r="A436" s="2" t="s">
        <v>453</v>
      </c>
      <c r="B436" s="2">
        <v>0</v>
      </c>
      <c r="C436" s="2">
        <v>0</v>
      </c>
      <c r="D436" s="2">
        <v>0</v>
      </c>
      <c r="E436" s="2">
        <v>0.41</v>
      </c>
      <c r="F436" s="2">
        <v>0</v>
      </c>
      <c r="G436" s="2">
        <v>0</v>
      </c>
      <c r="H436" s="2" t="e">
        <f t="shared" si="18"/>
        <v>#NUM!</v>
      </c>
      <c r="I436" s="2">
        <f t="shared" si="19"/>
        <v>0.37390096630005903</v>
      </c>
      <c r="K436" s="2" t="e">
        <f t="shared" si="20"/>
        <v>#NUM!</v>
      </c>
    </row>
    <row r="437" spans="1:11" ht="13.9" x14ac:dyDescent="0.3">
      <c r="A437" s="2" t="s">
        <v>454</v>
      </c>
      <c r="B437" s="2">
        <v>7.9</v>
      </c>
      <c r="C437" s="2">
        <v>44.37</v>
      </c>
      <c r="D437" s="2">
        <v>39.72</v>
      </c>
      <c r="E437" s="2">
        <v>15.54</v>
      </c>
      <c r="F437" s="2">
        <v>163.51</v>
      </c>
      <c r="G437" s="2">
        <v>33.43</v>
      </c>
      <c r="H437" s="2">
        <f t="shared" si="18"/>
        <v>-1.2077781087166992</v>
      </c>
      <c r="I437" s="2">
        <f t="shared" si="19"/>
        <v>0.44995941939768958</v>
      </c>
      <c r="K437" s="2">
        <f t="shared" si="20"/>
        <v>6.5234051328555012</v>
      </c>
    </row>
    <row r="438" spans="1:11" ht="13.9" x14ac:dyDescent="0.3">
      <c r="A438" s="2" t="s">
        <v>455</v>
      </c>
      <c r="B438" s="2">
        <v>3613.73</v>
      </c>
      <c r="C438" s="2">
        <v>4070.1</v>
      </c>
      <c r="D438" s="2">
        <v>6064.58</v>
      </c>
      <c r="E438" s="2">
        <v>2060.5700000000002</v>
      </c>
      <c r="F438" s="2">
        <v>39568.35</v>
      </c>
      <c r="G438" s="2">
        <v>3370.84</v>
      </c>
      <c r="H438" s="2">
        <f t="shared" si="18"/>
        <v>-1.7106525260657455</v>
      </c>
      <c r="I438" s="2">
        <f t="shared" si="19"/>
        <v>0.44518285900859528</v>
      </c>
      <c r="K438" s="2">
        <f t="shared" si="20"/>
        <v>13.746977160531946</v>
      </c>
    </row>
    <row r="439" spans="1:11" ht="13.9" x14ac:dyDescent="0.3">
      <c r="A439" s="2" t="s">
        <v>456</v>
      </c>
      <c r="B439" s="2">
        <v>14.37</v>
      </c>
      <c r="C439" s="2">
        <v>5.65</v>
      </c>
      <c r="D439" s="2">
        <v>11.56</v>
      </c>
      <c r="E439" s="2">
        <v>13.58</v>
      </c>
      <c r="F439" s="2">
        <v>0</v>
      </c>
      <c r="G439" s="2">
        <v>27.88</v>
      </c>
      <c r="H439" s="2">
        <f t="shared" si="18"/>
        <v>-0.39270894524917788</v>
      </c>
      <c r="I439" s="2">
        <f t="shared" si="19"/>
        <v>0.7165693929890925</v>
      </c>
      <c r="K439" s="2">
        <f t="shared" si="20"/>
        <v>4.9809392660855121</v>
      </c>
    </row>
    <row r="440" spans="1:11" ht="13.9" x14ac:dyDescent="0.3">
      <c r="A440" s="2" t="s">
        <v>457</v>
      </c>
      <c r="B440" s="2">
        <v>1.98</v>
      </c>
      <c r="C440" s="2">
        <v>4.3899999999999997</v>
      </c>
      <c r="D440" s="2">
        <v>56.81</v>
      </c>
      <c r="E440" s="2">
        <v>2.57</v>
      </c>
      <c r="F440" s="2">
        <v>0</v>
      </c>
      <c r="G440" s="2">
        <v>2.57</v>
      </c>
      <c r="H440" s="2">
        <f t="shared" si="18"/>
        <v>3.619627672552995</v>
      </c>
      <c r="I440" s="2">
        <f t="shared" si="19"/>
        <v>0.34080454920591313</v>
      </c>
      <c r="K440" s="2">
        <f t="shared" si="20"/>
        <v>5.9813960319721486</v>
      </c>
    </row>
    <row r="441" spans="1:11" ht="13.9" x14ac:dyDescent="0.3">
      <c r="A441" s="2" t="s">
        <v>458</v>
      </c>
      <c r="B441" s="2">
        <v>0</v>
      </c>
      <c r="C441" s="2">
        <v>2.2999999999999998</v>
      </c>
      <c r="D441" s="2">
        <v>13.57</v>
      </c>
      <c r="E441" s="2">
        <v>2.37</v>
      </c>
      <c r="F441" s="2">
        <v>0</v>
      </c>
      <c r="G441" s="2">
        <v>6.9</v>
      </c>
      <c r="H441" s="2">
        <f t="shared" si="18"/>
        <v>0.7756608842096514</v>
      </c>
      <c r="I441" s="2">
        <f t="shared" si="19"/>
        <v>0.66118478928899349</v>
      </c>
      <c r="K441" s="2">
        <f t="shared" si="20"/>
        <v>3.9882302230604569</v>
      </c>
    </row>
    <row r="442" spans="1:11" ht="13.9" x14ac:dyDescent="0.3">
      <c r="A442" s="2" t="s">
        <v>459</v>
      </c>
      <c r="B442" s="2">
        <v>2.16</v>
      </c>
      <c r="C442" s="2">
        <v>7.53</v>
      </c>
      <c r="D442" s="2">
        <v>33.68</v>
      </c>
      <c r="E442" s="2">
        <v>1.54</v>
      </c>
      <c r="F442" s="2">
        <v>0</v>
      </c>
      <c r="G442" s="2">
        <v>5.01</v>
      </c>
      <c r="H442" s="2">
        <f t="shared" si="18"/>
        <v>2.7271306314382904</v>
      </c>
      <c r="I442" s="2">
        <f t="shared" si="19"/>
        <v>0.28066512115867109</v>
      </c>
      <c r="K442" s="2">
        <f t="shared" si="20"/>
        <v>5.4386255380883792</v>
      </c>
    </row>
    <row r="443" spans="1:11" ht="13.9" x14ac:dyDescent="0.3">
      <c r="A443" s="2" t="s">
        <v>460</v>
      </c>
      <c r="B443" s="2">
        <v>10.06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 t="e">
        <f t="shared" si="18"/>
        <v>#DIV/0!</v>
      </c>
      <c r="I443" s="2">
        <f t="shared" si="19"/>
        <v>0.37390096630005903</v>
      </c>
      <c r="K443" s="2">
        <f t="shared" si="20"/>
        <v>3.3305584000308026</v>
      </c>
    </row>
    <row r="444" spans="1:11" ht="13.9" x14ac:dyDescent="0.3">
      <c r="A444" s="2" t="s">
        <v>461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 t="e">
        <f t="shared" si="18"/>
        <v>#DIV/0!</v>
      </c>
      <c r="I444" s="2" t="e">
        <f t="shared" si="19"/>
        <v>#DIV/0!</v>
      </c>
      <c r="K444" s="2" t="e">
        <f t="shared" si="20"/>
        <v>#NUM!</v>
      </c>
    </row>
    <row r="445" spans="1:11" ht="13.9" x14ac:dyDescent="0.3">
      <c r="A445" s="2" t="s">
        <v>462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1.08</v>
      </c>
      <c r="H445" s="2" t="e">
        <f t="shared" si="18"/>
        <v>#NUM!</v>
      </c>
      <c r="I445" s="2">
        <f t="shared" si="19"/>
        <v>0.37390096630005903</v>
      </c>
      <c r="K445" s="2" t="e">
        <f t="shared" si="20"/>
        <v>#NUM!</v>
      </c>
    </row>
    <row r="446" spans="1:11" ht="13.9" x14ac:dyDescent="0.3">
      <c r="A446" s="2" t="s">
        <v>463</v>
      </c>
      <c r="B446" s="2">
        <v>0</v>
      </c>
      <c r="C446" s="2">
        <v>0</v>
      </c>
      <c r="D446" s="2">
        <v>0</v>
      </c>
      <c r="E446" s="2">
        <v>0.21</v>
      </c>
      <c r="F446" s="2">
        <v>0</v>
      </c>
      <c r="G446" s="2">
        <v>0</v>
      </c>
      <c r="H446" s="2" t="e">
        <f t="shared" si="18"/>
        <v>#NUM!</v>
      </c>
      <c r="I446" s="2">
        <f t="shared" si="19"/>
        <v>0.37390096630005903</v>
      </c>
      <c r="K446" s="2" t="e">
        <f t="shared" si="20"/>
        <v>#NUM!</v>
      </c>
    </row>
    <row r="447" spans="1:11" ht="13.9" x14ac:dyDescent="0.3">
      <c r="A447" s="2" t="s">
        <v>464</v>
      </c>
      <c r="B447" s="2">
        <v>0.18</v>
      </c>
      <c r="C447" s="2">
        <v>0</v>
      </c>
      <c r="D447" s="2">
        <v>0.5</v>
      </c>
      <c r="E447" s="2">
        <v>0</v>
      </c>
      <c r="F447" s="2">
        <v>0</v>
      </c>
      <c r="G447" s="2">
        <v>0.14000000000000001</v>
      </c>
      <c r="H447" s="2">
        <f t="shared" si="18"/>
        <v>2.2801079191927349</v>
      </c>
      <c r="I447" s="2">
        <f t="shared" si="19"/>
        <v>0.30594999652180999</v>
      </c>
      <c r="K447" s="2">
        <f t="shared" si="20"/>
        <v>-0.55639334852438549</v>
      </c>
    </row>
    <row r="448" spans="1:11" ht="13.9" x14ac:dyDescent="0.3">
      <c r="A448" s="2" t="s">
        <v>465</v>
      </c>
      <c r="B448" s="2">
        <v>19.22</v>
      </c>
      <c r="C448" s="2">
        <v>24.49</v>
      </c>
      <c r="D448" s="2">
        <v>65.86</v>
      </c>
      <c r="E448" s="2">
        <v>14.4</v>
      </c>
      <c r="F448" s="2">
        <v>40.880000000000003</v>
      </c>
      <c r="G448" s="2">
        <v>21.52</v>
      </c>
      <c r="H448" s="2">
        <f t="shared" si="18"/>
        <v>0.51267462990559343</v>
      </c>
      <c r="I448" s="2">
        <f t="shared" si="19"/>
        <v>0.54955291481842061</v>
      </c>
      <c r="K448" s="2">
        <f t="shared" si="20"/>
        <v>6.7757090357393874</v>
      </c>
    </row>
    <row r="449" spans="1:11" ht="13.9" x14ac:dyDescent="0.3">
      <c r="A449" s="2" t="s">
        <v>466</v>
      </c>
      <c r="B449" s="2">
        <v>7.01</v>
      </c>
      <c r="C449" s="2">
        <v>11.09</v>
      </c>
      <c r="D449" s="2">
        <v>0</v>
      </c>
      <c r="E449" s="2">
        <v>9.4700000000000006</v>
      </c>
      <c r="F449" s="2">
        <v>0</v>
      </c>
      <c r="G449" s="2">
        <v>16.239999999999998</v>
      </c>
      <c r="H449" s="2">
        <f t="shared" si="18"/>
        <v>-0.50633991286308822</v>
      </c>
      <c r="I449" s="2">
        <f t="shared" si="19"/>
        <v>0.68012751641410296</v>
      </c>
      <c r="K449" s="2">
        <f t="shared" si="20"/>
        <v>4.177917792195843</v>
      </c>
    </row>
    <row r="450" spans="1:11" ht="13.9" x14ac:dyDescent="0.3">
      <c r="A450" s="2" t="s">
        <v>467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 t="e">
        <f t="shared" ref="H450:H513" si="21">LOG(SUM(B450:D450)/SUM(E450:G450),2)</f>
        <v>#DIV/0!</v>
      </c>
      <c r="I450" s="2" t="e">
        <f t="shared" ref="I450:I513" si="22">_xlfn.T.TEST(B450:D450,E450:G450,2,2)</f>
        <v>#DIV/0!</v>
      </c>
      <c r="K450" s="2" t="e">
        <f t="shared" si="20"/>
        <v>#NUM!</v>
      </c>
    </row>
    <row r="451" spans="1:11" ht="13.9" x14ac:dyDescent="0.3">
      <c r="A451" s="2" t="s">
        <v>468</v>
      </c>
      <c r="B451" s="2">
        <v>0.72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 t="e">
        <f t="shared" si="21"/>
        <v>#DIV/0!</v>
      </c>
      <c r="I451" s="2">
        <f t="shared" si="22"/>
        <v>0.37390096630005903</v>
      </c>
      <c r="K451" s="2">
        <f t="shared" ref="K451:K514" si="23">LOG(SUM(B451:D451),2)</f>
        <v>-0.47393118833241243</v>
      </c>
    </row>
    <row r="452" spans="1:11" ht="13.9" x14ac:dyDescent="0.3">
      <c r="A452" s="2" t="s">
        <v>469</v>
      </c>
      <c r="B452" s="2">
        <v>0</v>
      </c>
      <c r="C452" s="2">
        <v>0</v>
      </c>
      <c r="D452" s="2">
        <v>0</v>
      </c>
      <c r="E452" s="2">
        <v>0.82</v>
      </c>
      <c r="F452" s="2">
        <v>0</v>
      </c>
      <c r="G452" s="2">
        <v>0</v>
      </c>
      <c r="H452" s="2" t="e">
        <f t="shared" si="21"/>
        <v>#NUM!</v>
      </c>
      <c r="I452" s="2">
        <f t="shared" si="22"/>
        <v>0.37390096630005903</v>
      </c>
      <c r="K452" s="2" t="e">
        <f t="shared" si="23"/>
        <v>#NUM!</v>
      </c>
    </row>
    <row r="453" spans="1:11" ht="13.9" x14ac:dyDescent="0.3">
      <c r="A453" s="2" t="s">
        <v>470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0.54</v>
      </c>
      <c r="H453" s="2" t="e">
        <f t="shared" si="21"/>
        <v>#NUM!</v>
      </c>
      <c r="I453" s="2">
        <f t="shared" si="22"/>
        <v>0.37390096630005903</v>
      </c>
      <c r="K453" s="2" t="e">
        <f t="shared" si="23"/>
        <v>#NUM!</v>
      </c>
    </row>
    <row r="454" spans="1:11" ht="13.9" x14ac:dyDescent="0.3">
      <c r="A454" s="2" t="s">
        <v>471</v>
      </c>
      <c r="B454" s="2">
        <v>11.68</v>
      </c>
      <c r="C454" s="2">
        <v>27.42</v>
      </c>
      <c r="D454" s="2">
        <v>31.67</v>
      </c>
      <c r="E454" s="2">
        <v>13.17</v>
      </c>
      <c r="F454" s="2">
        <v>204.38</v>
      </c>
      <c r="G454" s="2">
        <v>8.8000000000000007</v>
      </c>
      <c r="H454" s="2">
        <f t="shared" si="21"/>
        <v>-1.6773454821745828</v>
      </c>
      <c r="I454" s="2">
        <f t="shared" si="22"/>
        <v>0.46813332769161325</v>
      </c>
      <c r="K454" s="2">
        <f t="shared" si="23"/>
        <v>6.1450660141858942</v>
      </c>
    </row>
    <row r="455" spans="1:11" ht="13.9" x14ac:dyDescent="0.3">
      <c r="A455" s="2" t="s">
        <v>472</v>
      </c>
      <c r="B455" s="2">
        <v>8.44</v>
      </c>
      <c r="C455" s="2">
        <v>20.09</v>
      </c>
      <c r="D455" s="2">
        <v>14.58</v>
      </c>
      <c r="E455" s="2">
        <v>1.95</v>
      </c>
      <c r="F455" s="2">
        <v>0</v>
      </c>
      <c r="G455" s="2">
        <v>0.27</v>
      </c>
      <c r="H455" s="2">
        <f t="shared" si="21"/>
        <v>4.2793909808283868</v>
      </c>
      <c r="I455" s="2">
        <f t="shared" si="22"/>
        <v>1.6320565669332394E-2</v>
      </c>
      <c r="K455" s="2">
        <f t="shared" si="23"/>
        <v>5.4299506574037677</v>
      </c>
    </row>
    <row r="456" spans="1:11" ht="13.9" x14ac:dyDescent="0.3">
      <c r="A456" s="2" t="s">
        <v>473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0.27</v>
      </c>
      <c r="H456" s="2" t="e">
        <f t="shared" si="21"/>
        <v>#NUM!</v>
      </c>
      <c r="I456" s="2">
        <f t="shared" si="22"/>
        <v>0.37390096630005903</v>
      </c>
      <c r="K456" s="2" t="e">
        <f t="shared" si="23"/>
        <v>#NUM!</v>
      </c>
    </row>
    <row r="457" spans="1:11" ht="13.9" x14ac:dyDescent="0.3">
      <c r="A457" s="2" t="s">
        <v>474</v>
      </c>
      <c r="B457" s="2">
        <v>0</v>
      </c>
      <c r="C457" s="2">
        <v>0</v>
      </c>
      <c r="D457" s="2">
        <v>0</v>
      </c>
      <c r="E457" s="2">
        <v>0.82</v>
      </c>
      <c r="F457" s="2">
        <v>0</v>
      </c>
      <c r="G457" s="2">
        <v>0.68</v>
      </c>
      <c r="H457" s="2" t="e">
        <f t="shared" si="21"/>
        <v>#NUM!</v>
      </c>
      <c r="I457" s="2">
        <f t="shared" si="22"/>
        <v>0.11956990922285785</v>
      </c>
      <c r="K457" s="2" t="e">
        <f t="shared" si="23"/>
        <v>#NUM!</v>
      </c>
    </row>
    <row r="458" spans="1:11" ht="13.9" x14ac:dyDescent="0.3">
      <c r="A458" s="2" t="s">
        <v>475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0.95</v>
      </c>
      <c r="H458" s="2" t="e">
        <f t="shared" si="21"/>
        <v>#NUM!</v>
      </c>
      <c r="I458" s="2">
        <f t="shared" si="22"/>
        <v>0.37390096630005903</v>
      </c>
      <c r="K458" s="2" t="e">
        <f t="shared" si="23"/>
        <v>#NUM!</v>
      </c>
    </row>
    <row r="459" spans="1:11" ht="13.9" x14ac:dyDescent="0.3">
      <c r="A459" s="2" t="s">
        <v>476</v>
      </c>
      <c r="B459" s="2">
        <v>7.01</v>
      </c>
      <c r="C459" s="2">
        <v>20.93</v>
      </c>
      <c r="D459" s="2">
        <v>1.01</v>
      </c>
      <c r="E459" s="2">
        <v>1.75</v>
      </c>
      <c r="F459" s="2">
        <v>327.01</v>
      </c>
      <c r="G459" s="2">
        <v>1.35</v>
      </c>
      <c r="H459" s="2">
        <f t="shared" si="21"/>
        <v>-3.5113115893589866</v>
      </c>
      <c r="I459" s="2">
        <f t="shared" si="22"/>
        <v>0.40779469401161578</v>
      </c>
      <c r="K459" s="2">
        <f t="shared" si="23"/>
        <v>4.8554914431018741</v>
      </c>
    </row>
    <row r="460" spans="1:11" ht="13.9" x14ac:dyDescent="0.3">
      <c r="A460" s="2" t="s">
        <v>477</v>
      </c>
      <c r="B460" s="2">
        <v>0</v>
      </c>
      <c r="C460" s="2">
        <v>2.2999999999999998</v>
      </c>
      <c r="D460" s="2">
        <v>8.5500000000000007</v>
      </c>
      <c r="E460" s="2">
        <v>2.98</v>
      </c>
      <c r="F460" s="2">
        <v>0</v>
      </c>
      <c r="G460" s="2">
        <v>5.55</v>
      </c>
      <c r="H460" s="2">
        <f t="shared" si="21"/>
        <v>0.34707739601355175</v>
      </c>
      <c r="I460" s="2">
        <f t="shared" si="22"/>
        <v>0.81028744411067888</v>
      </c>
      <c r="K460" s="2">
        <f>LOG(SUM(B460:D460),2)</f>
        <v>3.4396231375571173</v>
      </c>
    </row>
    <row r="461" spans="1:11" ht="13.9" x14ac:dyDescent="0.3">
      <c r="A461" s="2" t="s">
        <v>478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 t="e">
        <f t="shared" si="21"/>
        <v>#DIV/0!</v>
      </c>
      <c r="I461" s="2" t="e">
        <f t="shared" si="22"/>
        <v>#DIV/0!</v>
      </c>
      <c r="K461" s="2" t="e">
        <f t="shared" si="23"/>
        <v>#NUM!</v>
      </c>
    </row>
    <row r="462" spans="1:11" ht="13.9" x14ac:dyDescent="0.3">
      <c r="A462" s="2" t="s">
        <v>479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 t="e">
        <f t="shared" si="21"/>
        <v>#DIV/0!</v>
      </c>
      <c r="I462" s="2" t="e">
        <f t="shared" si="22"/>
        <v>#DIV/0!</v>
      </c>
      <c r="K462" s="2" t="e">
        <f t="shared" si="23"/>
        <v>#NUM!</v>
      </c>
    </row>
    <row r="463" spans="1:11" ht="13.9" x14ac:dyDescent="0.3">
      <c r="A463" s="2" t="s">
        <v>480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1.76</v>
      </c>
      <c r="H463" s="2" t="e">
        <f t="shared" si="21"/>
        <v>#NUM!</v>
      </c>
      <c r="I463" s="2">
        <f t="shared" si="22"/>
        <v>0.37390096630005903</v>
      </c>
      <c r="K463" s="2" t="e">
        <f t="shared" si="23"/>
        <v>#NUM!</v>
      </c>
    </row>
    <row r="464" spans="1:11" ht="13.9" x14ac:dyDescent="0.3">
      <c r="A464" s="2" t="s">
        <v>481</v>
      </c>
      <c r="B464" s="2">
        <v>0</v>
      </c>
      <c r="C464" s="2">
        <v>0</v>
      </c>
      <c r="D464" s="2">
        <v>0</v>
      </c>
      <c r="E464" s="2">
        <v>0.62</v>
      </c>
      <c r="F464" s="2">
        <v>0</v>
      </c>
      <c r="G464" s="2">
        <v>0</v>
      </c>
      <c r="H464" s="2" t="e">
        <f t="shared" si="21"/>
        <v>#NUM!</v>
      </c>
      <c r="I464" s="2">
        <f t="shared" si="22"/>
        <v>0.37390096630005903</v>
      </c>
      <c r="K464" s="2" t="e">
        <f t="shared" si="23"/>
        <v>#NUM!</v>
      </c>
    </row>
    <row r="465" spans="1:11" ht="13.9" x14ac:dyDescent="0.3">
      <c r="A465" s="2" t="s">
        <v>482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 t="e">
        <f t="shared" si="21"/>
        <v>#DIV/0!</v>
      </c>
      <c r="I465" s="2" t="e">
        <f t="shared" si="22"/>
        <v>#DIV/0!</v>
      </c>
      <c r="K465" s="2" t="e">
        <f t="shared" si="23"/>
        <v>#NUM!</v>
      </c>
    </row>
    <row r="466" spans="1:11" ht="13.9" x14ac:dyDescent="0.3">
      <c r="A466" s="2" t="s">
        <v>483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0.41</v>
      </c>
      <c r="H466" s="2" t="e">
        <f t="shared" si="21"/>
        <v>#NUM!</v>
      </c>
      <c r="I466" s="2">
        <f t="shared" si="22"/>
        <v>0.37390096630005903</v>
      </c>
      <c r="K466" s="2" t="e">
        <f t="shared" si="23"/>
        <v>#NUM!</v>
      </c>
    </row>
    <row r="467" spans="1:11" ht="13.9" x14ac:dyDescent="0.3">
      <c r="A467" s="2" t="s">
        <v>484</v>
      </c>
      <c r="B467" s="2">
        <v>0.36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 t="e">
        <f t="shared" si="21"/>
        <v>#DIV/0!</v>
      </c>
      <c r="I467" s="2">
        <f t="shared" si="22"/>
        <v>0.37390096630005903</v>
      </c>
      <c r="K467" s="2">
        <f t="shared" si="23"/>
        <v>-1.4739311883324124</v>
      </c>
    </row>
    <row r="468" spans="1:11" ht="13.9" x14ac:dyDescent="0.3">
      <c r="A468" s="2" t="s">
        <v>485</v>
      </c>
      <c r="B468" s="2">
        <v>0</v>
      </c>
      <c r="C468" s="2">
        <v>0</v>
      </c>
      <c r="D468" s="2">
        <v>0</v>
      </c>
      <c r="E468" s="2">
        <v>0.51</v>
      </c>
      <c r="F468" s="2">
        <v>0</v>
      </c>
      <c r="G468" s="2">
        <v>0</v>
      </c>
      <c r="H468" s="2" t="e">
        <f t="shared" si="21"/>
        <v>#NUM!</v>
      </c>
      <c r="I468" s="2">
        <f t="shared" si="22"/>
        <v>0.37390096630005903</v>
      </c>
      <c r="K468" s="2" t="e">
        <f t="shared" si="23"/>
        <v>#NUM!</v>
      </c>
    </row>
    <row r="469" spans="1:11" ht="13.9" x14ac:dyDescent="0.3">
      <c r="A469" s="2" t="s">
        <v>486</v>
      </c>
      <c r="B469" s="2">
        <v>0</v>
      </c>
      <c r="C469" s="2">
        <v>0</v>
      </c>
      <c r="D469" s="2">
        <v>0</v>
      </c>
      <c r="E469" s="2">
        <v>0.82</v>
      </c>
      <c r="F469" s="2">
        <v>0</v>
      </c>
      <c r="G469" s="2">
        <v>0.27</v>
      </c>
      <c r="H469" s="2" t="e">
        <f t="shared" si="21"/>
        <v>#NUM!</v>
      </c>
      <c r="I469" s="2">
        <f t="shared" si="22"/>
        <v>0.20654992188403973</v>
      </c>
      <c r="K469" s="2" t="e">
        <f t="shared" si="23"/>
        <v>#NUM!</v>
      </c>
    </row>
    <row r="470" spans="1:11" ht="13.9" x14ac:dyDescent="0.3">
      <c r="A470" s="2" t="s">
        <v>487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 t="e">
        <f t="shared" si="21"/>
        <v>#DIV/0!</v>
      </c>
      <c r="I470" s="2" t="e">
        <f t="shared" si="22"/>
        <v>#DIV/0!</v>
      </c>
      <c r="K470" s="2" t="e">
        <f t="shared" si="23"/>
        <v>#NUM!</v>
      </c>
    </row>
    <row r="471" spans="1:11" ht="13.9" x14ac:dyDescent="0.3">
      <c r="A471" s="2" t="s">
        <v>488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 t="e">
        <f t="shared" si="21"/>
        <v>#DIV/0!</v>
      </c>
      <c r="I471" s="2" t="e">
        <f t="shared" si="22"/>
        <v>#DIV/0!</v>
      </c>
      <c r="K471" s="2" t="e">
        <f t="shared" si="23"/>
        <v>#NUM!</v>
      </c>
    </row>
    <row r="472" spans="1:11" ht="13.9" x14ac:dyDescent="0.3">
      <c r="A472" s="2" t="s">
        <v>489</v>
      </c>
      <c r="B472" s="2">
        <v>0</v>
      </c>
      <c r="C472" s="2">
        <v>0</v>
      </c>
      <c r="D472" s="2">
        <v>0</v>
      </c>
      <c r="E472" s="2">
        <v>2.88</v>
      </c>
      <c r="F472" s="2">
        <v>0</v>
      </c>
      <c r="G472" s="2">
        <v>0</v>
      </c>
      <c r="H472" s="2" t="e">
        <f t="shared" si="21"/>
        <v>#NUM!</v>
      </c>
      <c r="I472" s="2">
        <f t="shared" si="22"/>
        <v>0.37390096630005903</v>
      </c>
      <c r="K472" s="2" t="e">
        <f t="shared" si="23"/>
        <v>#NUM!</v>
      </c>
    </row>
    <row r="473" spans="1:11" ht="13.9" x14ac:dyDescent="0.3">
      <c r="A473" s="2" t="s">
        <v>490</v>
      </c>
      <c r="B473" s="2">
        <v>0</v>
      </c>
      <c r="C473" s="2">
        <v>0</v>
      </c>
      <c r="D473" s="2">
        <v>3.52</v>
      </c>
      <c r="E473" s="2">
        <v>0</v>
      </c>
      <c r="F473" s="2">
        <v>0</v>
      </c>
      <c r="G473" s="2">
        <v>0</v>
      </c>
      <c r="H473" s="2" t="e">
        <f t="shared" si="21"/>
        <v>#DIV/0!</v>
      </c>
      <c r="I473" s="2">
        <f t="shared" si="22"/>
        <v>0.37390096630005903</v>
      </c>
      <c r="K473" s="2">
        <f t="shared" si="23"/>
        <v>1.8155754288625725</v>
      </c>
    </row>
    <row r="474" spans="1:11" ht="13.9" x14ac:dyDescent="0.3">
      <c r="A474" s="2" t="s">
        <v>491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 t="e">
        <f t="shared" si="21"/>
        <v>#DIV/0!</v>
      </c>
      <c r="I474" s="2" t="e">
        <f t="shared" si="22"/>
        <v>#DIV/0!</v>
      </c>
      <c r="K474" s="2" t="e">
        <f t="shared" si="23"/>
        <v>#NUM!</v>
      </c>
    </row>
    <row r="475" spans="1:11" ht="13.9" x14ac:dyDescent="0.3">
      <c r="A475" s="2" t="s">
        <v>492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0.68</v>
      </c>
      <c r="H475" s="2" t="e">
        <f t="shared" si="21"/>
        <v>#NUM!</v>
      </c>
      <c r="I475" s="2">
        <f t="shared" si="22"/>
        <v>0.37390096630005903</v>
      </c>
      <c r="K475" s="2" t="e">
        <f t="shared" si="23"/>
        <v>#NUM!</v>
      </c>
    </row>
    <row r="476" spans="1:11" ht="13.9" x14ac:dyDescent="0.3">
      <c r="A476" s="2" t="s">
        <v>493</v>
      </c>
      <c r="B476" s="2">
        <v>0.18</v>
      </c>
      <c r="C476" s="2">
        <v>0</v>
      </c>
      <c r="D476" s="2">
        <v>0</v>
      </c>
      <c r="E476" s="2">
        <v>0.21</v>
      </c>
      <c r="F476" s="2">
        <v>0</v>
      </c>
      <c r="G476" s="2">
        <v>0</v>
      </c>
      <c r="H476" s="2">
        <f t="shared" si="21"/>
        <v>-0.22239242133644802</v>
      </c>
      <c r="I476" s="2">
        <f t="shared" si="22"/>
        <v>0.91884984911766754</v>
      </c>
      <c r="K476" s="2">
        <f t="shared" si="23"/>
        <v>-2.4739311883324122</v>
      </c>
    </row>
    <row r="477" spans="1:11" ht="13.9" x14ac:dyDescent="0.3">
      <c r="A477" s="2" t="s">
        <v>494</v>
      </c>
      <c r="B477" s="2">
        <v>0</v>
      </c>
      <c r="C477" s="2">
        <v>0</v>
      </c>
      <c r="D477" s="2">
        <v>0</v>
      </c>
      <c r="E477" s="2">
        <v>0.1</v>
      </c>
      <c r="F477" s="2">
        <v>0</v>
      </c>
      <c r="G477" s="2">
        <v>0</v>
      </c>
      <c r="H477" s="2" t="e">
        <f t="shared" si="21"/>
        <v>#NUM!</v>
      </c>
      <c r="I477" s="2">
        <f t="shared" si="22"/>
        <v>0.37390096630005903</v>
      </c>
      <c r="K477" s="2" t="e">
        <f t="shared" si="23"/>
        <v>#NUM!</v>
      </c>
    </row>
    <row r="478" spans="1:11" ht="13.9" x14ac:dyDescent="0.3">
      <c r="A478" s="2" t="s">
        <v>495</v>
      </c>
      <c r="B478" s="2">
        <v>3.23</v>
      </c>
      <c r="C478" s="2">
        <v>1.26</v>
      </c>
      <c r="D478" s="2">
        <v>3.52</v>
      </c>
      <c r="E478" s="2">
        <v>1.1299999999999999</v>
      </c>
      <c r="F478" s="2">
        <v>899.28</v>
      </c>
      <c r="G478" s="2">
        <v>0.68</v>
      </c>
      <c r="H478" s="2">
        <f t="shared" si="21"/>
        <v>-6.8137251553651135</v>
      </c>
      <c r="I478" s="2">
        <f t="shared" si="22"/>
        <v>0.37644010739418665</v>
      </c>
      <c r="K478" s="2">
        <f t="shared" si="23"/>
        <v>3.0018022426339854</v>
      </c>
    </row>
    <row r="479" spans="1:11" ht="13.9" x14ac:dyDescent="0.3">
      <c r="A479" s="2" t="s">
        <v>496</v>
      </c>
      <c r="B479" s="2">
        <v>0</v>
      </c>
      <c r="C479" s="2">
        <v>0</v>
      </c>
      <c r="D479" s="2">
        <v>0</v>
      </c>
      <c r="E479" s="2">
        <v>0.31</v>
      </c>
      <c r="F479" s="2">
        <v>204.38</v>
      </c>
      <c r="G479" s="2">
        <v>0.41</v>
      </c>
      <c r="H479" s="2" t="e">
        <f t="shared" si="21"/>
        <v>#NUM!</v>
      </c>
      <c r="I479" s="2">
        <f t="shared" si="22"/>
        <v>0.37163434150090968</v>
      </c>
      <c r="K479" s="2" t="e">
        <f t="shared" si="23"/>
        <v>#NUM!</v>
      </c>
    </row>
    <row r="480" spans="1:11" ht="13.9" x14ac:dyDescent="0.3">
      <c r="A480" s="2" t="s">
        <v>497</v>
      </c>
      <c r="B480" s="2">
        <v>0</v>
      </c>
      <c r="C480" s="2">
        <v>0</v>
      </c>
      <c r="D480" s="2">
        <v>0.5</v>
      </c>
      <c r="E480" s="2">
        <v>0</v>
      </c>
      <c r="F480" s="2">
        <v>0</v>
      </c>
      <c r="G480" s="2">
        <v>0.14000000000000001</v>
      </c>
      <c r="H480" s="2">
        <f t="shared" si="21"/>
        <v>1.8365012677171204</v>
      </c>
      <c r="I480" s="2">
        <f t="shared" si="22"/>
        <v>0.5262549116472891</v>
      </c>
      <c r="K480" s="2">
        <f t="shared" si="23"/>
        <v>-1</v>
      </c>
    </row>
    <row r="481" spans="1:11" ht="13.9" x14ac:dyDescent="0.3">
      <c r="A481" s="2" t="s">
        <v>498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 t="e">
        <f t="shared" si="21"/>
        <v>#DIV/0!</v>
      </c>
      <c r="I481" s="2" t="e">
        <f t="shared" si="22"/>
        <v>#DIV/0!</v>
      </c>
      <c r="K481" s="2" t="e">
        <f t="shared" si="23"/>
        <v>#NUM!</v>
      </c>
    </row>
    <row r="482" spans="1:11" ht="13.9" x14ac:dyDescent="0.3">
      <c r="A482" s="2" t="s">
        <v>499</v>
      </c>
      <c r="B482" s="2">
        <v>0</v>
      </c>
      <c r="C482" s="2">
        <v>0.21</v>
      </c>
      <c r="D482" s="2">
        <v>0</v>
      </c>
      <c r="E482" s="2">
        <v>0</v>
      </c>
      <c r="F482" s="2">
        <v>0</v>
      </c>
      <c r="G482" s="2">
        <v>0</v>
      </c>
      <c r="H482" s="2" t="e">
        <f t="shared" si="21"/>
        <v>#DIV/0!</v>
      </c>
      <c r="I482" s="2">
        <f t="shared" si="22"/>
        <v>0.37390096630005903</v>
      </c>
      <c r="K482" s="2">
        <f t="shared" si="23"/>
        <v>-2.2515387669959646</v>
      </c>
    </row>
    <row r="483" spans="1:11" ht="13.9" x14ac:dyDescent="0.3">
      <c r="A483" s="2" t="s">
        <v>500</v>
      </c>
      <c r="B483" s="2">
        <v>0</v>
      </c>
      <c r="C483" s="2">
        <v>0</v>
      </c>
      <c r="D483" s="2">
        <v>0</v>
      </c>
      <c r="E483" s="2">
        <v>0.62</v>
      </c>
      <c r="F483" s="2">
        <v>0</v>
      </c>
      <c r="G483" s="2">
        <v>0</v>
      </c>
      <c r="H483" s="2" t="e">
        <f t="shared" si="21"/>
        <v>#NUM!</v>
      </c>
      <c r="I483" s="2">
        <f t="shared" si="22"/>
        <v>0.37390096630005903</v>
      </c>
      <c r="K483" s="2" t="e">
        <f t="shared" si="23"/>
        <v>#NUM!</v>
      </c>
    </row>
    <row r="484" spans="1:11" ht="13.9" x14ac:dyDescent="0.3">
      <c r="A484" s="2" t="s">
        <v>501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 t="e">
        <f t="shared" si="21"/>
        <v>#DIV/0!</v>
      </c>
      <c r="I484" s="2" t="e">
        <f t="shared" si="22"/>
        <v>#DIV/0!</v>
      </c>
      <c r="K484" s="2" t="e">
        <f t="shared" si="23"/>
        <v>#NUM!</v>
      </c>
    </row>
    <row r="485" spans="1:11" ht="13.9" x14ac:dyDescent="0.3">
      <c r="A485" s="2" t="s">
        <v>502</v>
      </c>
      <c r="B485" s="2">
        <v>10.24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 t="e">
        <f t="shared" si="21"/>
        <v>#DIV/0!</v>
      </c>
      <c r="I485" s="2">
        <f t="shared" si="22"/>
        <v>0.37390096630005903</v>
      </c>
      <c r="K485" s="2">
        <f t="shared" si="23"/>
        <v>3.3561438102252756</v>
      </c>
    </row>
    <row r="486" spans="1:11" ht="13.9" x14ac:dyDescent="0.3">
      <c r="A486" s="2" t="s">
        <v>503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 t="e">
        <f t="shared" si="21"/>
        <v>#DIV/0!</v>
      </c>
      <c r="I486" s="2" t="e">
        <f t="shared" si="22"/>
        <v>#DIV/0!</v>
      </c>
      <c r="K486" s="2" t="e">
        <f t="shared" si="23"/>
        <v>#NUM!</v>
      </c>
    </row>
    <row r="487" spans="1:11" ht="13.9" x14ac:dyDescent="0.3">
      <c r="A487" s="2" t="s">
        <v>504</v>
      </c>
      <c r="B487" s="2">
        <v>3.41</v>
      </c>
      <c r="C487" s="2">
        <v>0</v>
      </c>
      <c r="D487" s="2">
        <v>0</v>
      </c>
      <c r="E487" s="2">
        <v>2.88</v>
      </c>
      <c r="F487" s="2">
        <v>0</v>
      </c>
      <c r="G487" s="2">
        <v>5.82</v>
      </c>
      <c r="H487" s="2">
        <f t="shared" si="21"/>
        <v>-1.3512436617119181</v>
      </c>
      <c r="I487" s="2">
        <f t="shared" si="22"/>
        <v>0.43374506226376397</v>
      </c>
      <c r="K487" s="2">
        <f t="shared" si="23"/>
        <v>1.7697717392494476</v>
      </c>
    </row>
    <row r="488" spans="1:11" ht="13.9" x14ac:dyDescent="0.3">
      <c r="A488" s="2" t="s">
        <v>505</v>
      </c>
      <c r="B488" s="2">
        <v>0</v>
      </c>
      <c r="C488" s="2">
        <v>0</v>
      </c>
      <c r="D488" s="2">
        <v>0</v>
      </c>
      <c r="E488" s="2">
        <v>0.51</v>
      </c>
      <c r="F488" s="2">
        <v>0</v>
      </c>
      <c r="G488" s="2">
        <v>0.54</v>
      </c>
      <c r="H488" s="2" t="e">
        <f t="shared" si="21"/>
        <v>#NUM!</v>
      </c>
      <c r="I488" s="2">
        <f t="shared" si="22"/>
        <v>0.11644111590956105</v>
      </c>
      <c r="K488" s="2" t="e">
        <f t="shared" si="23"/>
        <v>#NUM!</v>
      </c>
    </row>
    <row r="489" spans="1:11" ht="13.9" x14ac:dyDescent="0.3">
      <c r="A489" s="2" t="s">
        <v>506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 t="e">
        <f t="shared" si="21"/>
        <v>#DIV/0!</v>
      </c>
      <c r="I489" s="2" t="e">
        <f t="shared" si="22"/>
        <v>#DIV/0!</v>
      </c>
      <c r="K489" s="2" t="e">
        <f t="shared" si="23"/>
        <v>#NUM!</v>
      </c>
    </row>
    <row r="490" spans="1:11" ht="13.9" x14ac:dyDescent="0.3">
      <c r="A490" s="2" t="s">
        <v>507</v>
      </c>
      <c r="B490" s="2">
        <v>0</v>
      </c>
      <c r="C490" s="2">
        <v>0</v>
      </c>
      <c r="D490" s="2">
        <v>0</v>
      </c>
      <c r="E490" s="2">
        <v>0.31</v>
      </c>
      <c r="F490" s="2">
        <v>0</v>
      </c>
      <c r="G490" s="2">
        <v>0.41</v>
      </c>
      <c r="H490" s="2" t="e">
        <f t="shared" si="21"/>
        <v>#NUM!</v>
      </c>
      <c r="I490" s="2">
        <f t="shared" si="22"/>
        <v>0.12373238021215915</v>
      </c>
      <c r="K490" s="2" t="e">
        <f t="shared" si="23"/>
        <v>#NUM!</v>
      </c>
    </row>
    <row r="491" spans="1:11" ht="13.9" x14ac:dyDescent="0.3">
      <c r="A491" s="2" t="s">
        <v>508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 t="e">
        <f t="shared" si="21"/>
        <v>#DIV/0!</v>
      </c>
      <c r="I491" s="2" t="e">
        <f t="shared" si="22"/>
        <v>#DIV/0!</v>
      </c>
      <c r="K491" s="2" t="e">
        <f t="shared" si="23"/>
        <v>#NUM!</v>
      </c>
    </row>
    <row r="492" spans="1:11" ht="13.9" x14ac:dyDescent="0.3">
      <c r="A492" s="2" t="s">
        <v>509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 t="e">
        <f t="shared" si="21"/>
        <v>#DIV/0!</v>
      </c>
      <c r="I492" s="2" t="e">
        <f t="shared" si="22"/>
        <v>#DIV/0!</v>
      </c>
      <c r="K492" s="2" t="e">
        <f t="shared" si="23"/>
        <v>#NUM!</v>
      </c>
    </row>
    <row r="493" spans="1:11" ht="13.9" x14ac:dyDescent="0.3">
      <c r="A493" s="2" t="s">
        <v>510</v>
      </c>
      <c r="B493" s="2">
        <v>11.5</v>
      </c>
      <c r="C493" s="2">
        <v>43.32</v>
      </c>
      <c r="D493" s="2">
        <v>41.73</v>
      </c>
      <c r="E493" s="2">
        <v>50.52</v>
      </c>
      <c r="F493" s="2">
        <v>0</v>
      </c>
      <c r="G493" s="2">
        <v>64.56</v>
      </c>
      <c r="H493" s="2">
        <f t="shared" si="21"/>
        <v>-0.25328896190127453</v>
      </c>
      <c r="I493" s="2">
        <f t="shared" si="22"/>
        <v>0.79434807334707258</v>
      </c>
      <c r="K493" s="2">
        <f t="shared" si="23"/>
        <v>6.5932043540632881</v>
      </c>
    </row>
    <row r="494" spans="1:11" ht="13.9" x14ac:dyDescent="0.3">
      <c r="A494" s="2" t="s">
        <v>511</v>
      </c>
      <c r="B494" s="2">
        <v>129.71</v>
      </c>
      <c r="C494" s="2">
        <v>328.57</v>
      </c>
      <c r="D494" s="2">
        <v>268.45999999999998</v>
      </c>
      <c r="E494" s="2">
        <v>266.38</v>
      </c>
      <c r="F494" s="2">
        <v>163.51</v>
      </c>
      <c r="G494" s="2">
        <v>304.13</v>
      </c>
      <c r="H494" s="2">
        <f t="shared" si="21"/>
        <v>-1.438005812452663E-2</v>
      </c>
      <c r="I494" s="2">
        <f t="shared" si="22"/>
        <v>0.9748463906701097</v>
      </c>
      <c r="K494" s="2">
        <f t="shared" si="23"/>
        <v>9.5052955046747094</v>
      </c>
    </row>
    <row r="495" spans="1:11" ht="13.9" x14ac:dyDescent="0.3">
      <c r="A495" s="2" t="s">
        <v>512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 t="e">
        <f t="shared" si="21"/>
        <v>#DIV/0!</v>
      </c>
      <c r="I495" s="2" t="e">
        <f t="shared" si="22"/>
        <v>#DIV/0!</v>
      </c>
      <c r="K495" s="2" t="e">
        <f t="shared" si="23"/>
        <v>#NUM!</v>
      </c>
    </row>
    <row r="496" spans="1:11" ht="13.9" x14ac:dyDescent="0.3">
      <c r="A496" s="2" t="s">
        <v>513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 t="e">
        <f t="shared" si="21"/>
        <v>#DIV/0!</v>
      </c>
      <c r="I496" s="2" t="e">
        <f t="shared" si="22"/>
        <v>#DIV/0!</v>
      </c>
      <c r="K496" s="2" t="e">
        <f t="shared" si="23"/>
        <v>#NUM!</v>
      </c>
    </row>
    <row r="497" spans="1:11" ht="13.9" x14ac:dyDescent="0.3">
      <c r="A497" s="2" t="s">
        <v>514</v>
      </c>
      <c r="B497" s="2">
        <v>0</v>
      </c>
      <c r="C497" s="2">
        <v>0</v>
      </c>
      <c r="D497" s="2">
        <v>0</v>
      </c>
      <c r="E497" s="2">
        <v>0</v>
      </c>
      <c r="F497" s="2">
        <v>204.38</v>
      </c>
      <c r="G497" s="2">
        <v>0</v>
      </c>
      <c r="H497" s="2" t="e">
        <f t="shared" si="21"/>
        <v>#NUM!</v>
      </c>
      <c r="I497" s="2">
        <f t="shared" si="22"/>
        <v>0.37390096630005903</v>
      </c>
      <c r="K497" s="2" t="e">
        <f t="shared" si="23"/>
        <v>#NUM!</v>
      </c>
    </row>
    <row r="498" spans="1:11" ht="13.9" x14ac:dyDescent="0.3">
      <c r="A498" s="2" t="s">
        <v>515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 t="e">
        <f t="shared" si="21"/>
        <v>#DIV/0!</v>
      </c>
      <c r="I498" s="2" t="e">
        <f t="shared" si="22"/>
        <v>#DIV/0!</v>
      </c>
      <c r="K498" s="2" t="e">
        <f t="shared" si="23"/>
        <v>#NUM!</v>
      </c>
    </row>
    <row r="499" spans="1:11" ht="13.9" x14ac:dyDescent="0.3">
      <c r="A499" s="2" t="s">
        <v>516</v>
      </c>
      <c r="B499" s="2">
        <v>0.18</v>
      </c>
      <c r="C499" s="2">
        <v>7.53</v>
      </c>
      <c r="D499" s="2">
        <v>1.01</v>
      </c>
      <c r="E499" s="2">
        <v>1.65</v>
      </c>
      <c r="F499" s="2">
        <v>0</v>
      </c>
      <c r="G499" s="2">
        <v>0.27</v>
      </c>
      <c r="H499" s="2">
        <f t="shared" si="21"/>
        <v>2.1832218240557704</v>
      </c>
      <c r="I499" s="2">
        <f t="shared" si="22"/>
        <v>0.39475568117069526</v>
      </c>
      <c r="K499" s="2">
        <f t="shared" si="23"/>
        <v>3.1243281350022016</v>
      </c>
    </row>
    <row r="500" spans="1:11" ht="13.9" x14ac:dyDescent="0.3">
      <c r="A500" s="2" t="s">
        <v>517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 t="e">
        <f t="shared" si="21"/>
        <v>#DIV/0!</v>
      </c>
      <c r="I500" s="2" t="e">
        <f t="shared" si="22"/>
        <v>#DIV/0!</v>
      </c>
      <c r="K500" s="2" t="e">
        <f t="shared" si="23"/>
        <v>#NUM!</v>
      </c>
    </row>
    <row r="501" spans="1:11" ht="13.9" x14ac:dyDescent="0.3">
      <c r="A501" s="2" t="s">
        <v>518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 t="e">
        <f t="shared" si="21"/>
        <v>#DIV/0!</v>
      </c>
      <c r="I501" s="2" t="e">
        <f t="shared" si="22"/>
        <v>#DIV/0!</v>
      </c>
      <c r="K501" s="2" t="e">
        <f t="shared" si="23"/>
        <v>#NUM!</v>
      </c>
    </row>
    <row r="502" spans="1:11" ht="13.9" x14ac:dyDescent="0.3">
      <c r="A502" s="2" t="s">
        <v>519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 t="e">
        <f t="shared" si="21"/>
        <v>#DIV/0!</v>
      </c>
      <c r="I502" s="2" t="e">
        <f t="shared" si="22"/>
        <v>#DIV/0!</v>
      </c>
      <c r="K502" s="2" t="e">
        <f t="shared" si="23"/>
        <v>#NUM!</v>
      </c>
    </row>
    <row r="503" spans="1:11" ht="13.9" x14ac:dyDescent="0.3">
      <c r="A503" s="2" t="s">
        <v>520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 t="e">
        <f t="shared" si="21"/>
        <v>#DIV/0!</v>
      </c>
      <c r="I503" s="2" t="e">
        <f t="shared" si="22"/>
        <v>#DIV/0!</v>
      </c>
      <c r="K503" s="2" t="e">
        <f t="shared" si="23"/>
        <v>#NUM!</v>
      </c>
    </row>
    <row r="504" spans="1:11" ht="13.9" x14ac:dyDescent="0.3">
      <c r="A504" s="2" t="s">
        <v>521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 t="e">
        <f t="shared" si="21"/>
        <v>#DIV/0!</v>
      </c>
      <c r="I504" s="2" t="e">
        <f t="shared" si="22"/>
        <v>#DIV/0!</v>
      </c>
      <c r="K504" s="2" t="e">
        <f t="shared" si="23"/>
        <v>#NUM!</v>
      </c>
    </row>
    <row r="505" spans="1:11" ht="13.9" x14ac:dyDescent="0.3">
      <c r="A505" s="2" t="s">
        <v>522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0.81</v>
      </c>
      <c r="H505" s="2" t="e">
        <f t="shared" si="21"/>
        <v>#NUM!</v>
      </c>
      <c r="I505" s="2">
        <f t="shared" si="22"/>
        <v>0.37390096630005903</v>
      </c>
      <c r="K505" s="2" t="e">
        <f t="shared" si="23"/>
        <v>#NUM!</v>
      </c>
    </row>
    <row r="506" spans="1:11" ht="13.9" x14ac:dyDescent="0.3">
      <c r="A506" s="2" t="s">
        <v>523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1.08</v>
      </c>
      <c r="H506" s="2" t="e">
        <f t="shared" si="21"/>
        <v>#NUM!</v>
      </c>
      <c r="I506" s="2">
        <f t="shared" si="22"/>
        <v>0.37390096630005903</v>
      </c>
      <c r="K506" s="2" t="e">
        <f t="shared" si="23"/>
        <v>#NUM!</v>
      </c>
    </row>
    <row r="507" spans="1:11" ht="13.9" x14ac:dyDescent="0.3">
      <c r="A507" s="2" t="s">
        <v>524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 t="e">
        <f t="shared" si="21"/>
        <v>#DIV/0!</v>
      </c>
      <c r="I507" s="2" t="e">
        <f t="shared" si="22"/>
        <v>#DIV/0!</v>
      </c>
      <c r="K507" s="2" t="e">
        <f t="shared" si="23"/>
        <v>#NUM!</v>
      </c>
    </row>
    <row r="508" spans="1:11" ht="13.9" x14ac:dyDescent="0.3">
      <c r="A508" s="2" t="s">
        <v>525</v>
      </c>
      <c r="B508" s="2">
        <v>0</v>
      </c>
      <c r="C508" s="2">
        <v>0</v>
      </c>
      <c r="D508" s="2">
        <v>24.13</v>
      </c>
      <c r="E508" s="2">
        <v>0</v>
      </c>
      <c r="F508" s="2">
        <v>0</v>
      </c>
      <c r="G508" s="2">
        <v>0</v>
      </c>
      <c r="H508" s="2" t="e">
        <f t="shared" si="21"/>
        <v>#DIV/0!</v>
      </c>
      <c r="I508" s="2">
        <f t="shared" si="22"/>
        <v>0.37390096630005903</v>
      </c>
      <c r="K508" s="2">
        <f t="shared" si="23"/>
        <v>4.5927560104410272</v>
      </c>
    </row>
    <row r="509" spans="1:11" ht="13.9" x14ac:dyDescent="0.3">
      <c r="A509" s="2" t="s">
        <v>526</v>
      </c>
      <c r="B509" s="2">
        <v>0.18</v>
      </c>
      <c r="C509" s="2">
        <v>3.77</v>
      </c>
      <c r="D509" s="2">
        <v>0</v>
      </c>
      <c r="E509" s="2">
        <v>6.07</v>
      </c>
      <c r="F509" s="2">
        <v>0</v>
      </c>
      <c r="G509" s="2">
        <v>6.5</v>
      </c>
      <c r="H509" s="2">
        <f t="shared" si="21"/>
        <v>-1.6700600913560424</v>
      </c>
      <c r="I509" s="2">
        <f t="shared" si="22"/>
        <v>0.30276225463032741</v>
      </c>
      <c r="K509" s="2">
        <f t="shared" si="23"/>
        <v>1.9818526532897409</v>
      </c>
    </row>
    <row r="510" spans="1:11" ht="13.9" x14ac:dyDescent="0.3">
      <c r="A510" s="2" t="s">
        <v>527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 t="e">
        <f t="shared" si="21"/>
        <v>#DIV/0!</v>
      </c>
      <c r="I510" s="2" t="e">
        <f t="shared" si="22"/>
        <v>#DIV/0!</v>
      </c>
      <c r="K510" s="2" t="e">
        <f t="shared" si="23"/>
        <v>#NUM!</v>
      </c>
    </row>
    <row r="511" spans="1:11" ht="13.9" x14ac:dyDescent="0.3">
      <c r="A511" s="2" t="s">
        <v>528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 t="e">
        <f t="shared" si="21"/>
        <v>#DIV/0!</v>
      </c>
      <c r="I511" s="2" t="e">
        <f t="shared" si="22"/>
        <v>#DIV/0!</v>
      </c>
      <c r="K511" s="2" t="e">
        <f t="shared" si="23"/>
        <v>#NUM!</v>
      </c>
    </row>
    <row r="512" spans="1:11" ht="13.9" x14ac:dyDescent="0.3">
      <c r="A512" s="2" t="s">
        <v>529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 t="e">
        <f t="shared" si="21"/>
        <v>#DIV/0!</v>
      </c>
      <c r="I512" s="2" t="e">
        <f t="shared" si="22"/>
        <v>#DIV/0!</v>
      </c>
      <c r="K512" s="2" t="e">
        <f t="shared" si="23"/>
        <v>#NUM!</v>
      </c>
    </row>
    <row r="513" spans="1:11" ht="13.9" x14ac:dyDescent="0.3">
      <c r="A513" s="2" t="s">
        <v>530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0.14000000000000001</v>
      </c>
      <c r="H513" s="2" t="e">
        <f t="shared" si="21"/>
        <v>#NUM!</v>
      </c>
      <c r="I513" s="2">
        <f t="shared" si="22"/>
        <v>0.37390096630005903</v>
      </c>
      <c r="K513" s="2" t="e">
        <f t="shared" si="23"/>
        <v>#NUM!</v>
      </c>
    </row>
    <row r="514" spans="1:11" ht="13.9" x14ac:dyDescent="0.3">
      <c r="A514" s="2" t="s">
        <v>531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0.95</v>
      </c>
      <c r="H514" s="2" t="e">
        <f t="shared" ref="H514:H577" si="24">LOG(SUM(B514:D514)/SUM(E514:G514),2)</f>
        <v>#NUM!</v>
      </c>
      <c r="I514" s="2">
        <f t="shared" ref="I514:I577" si="25">_xlfn.T.TEST(B514:D514,E514:G514,2,2)</f>
        <v>0.37390096630005903</v>
      </c>
      <c r="K514" s="2" t="e">
        <f t="shared" si="23"/>
        <v>#NUM!</v>
      </c>
    </row>
    <row r="515" spans="1:11" ht="13.9" x14ac:dyDescent="0.3">
      <c r="A515" s="2" t="s">
        <v>532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 t="e">
        <f t="shared" si="24"/>
        <v>#DIV/0!</v>
      </c>
      <c r="I515" s="2" t="e">
        <f t="shared" si="25"/>
        <v>#DIV/0!</v>
      </c>
      <c r="K515" s="2" t="e">
        <f t="shared" ref="K515:K578" si="26">LOG(SUM(B515:D515),2)</f>
        <v>#NUM!</v>
      </c>
    </row>
    <row r="516" spans="1:11" ht="13.9" x14ac:dyDescent="0.3">
      <c r="A516" s="2" t="s">
        <v>533</v>
      </c>
      <c r="B516" s="2">
        <v>4.49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 t="e">
        <f t="shared" si="24"/>
        <v>#DIV/0!</v>
      </c>
      <c r="I516" s="2">
        <f t="shared" si="25"/>
        <v>0.37390096630005903</v>
      </c>
      <c r="K516" s="2">
        <f t="shared" si="26"/>
        <v>2.1667154449664223</v>
      </c>
    </row>
    <row r="517" spans="1:11" ht="13.9" x14ac:dyDescent="0.3">
      <c r="A517" s="2" t="s">
        <v>534</v>
      </c>
      <c r="B517" s="2">
        <v>0</v>
      </c>
      <c r="C517" s="2">
        <v>0</v>
      </c>
      <c r="D517" s="2">
        <v>0</v>
      </c>
      <c r="E517" s="2">
        <v>0.41</v>
      </c>
      <c r="F517" s="2">
        <v>0</v>
      </c>
      <c r="G517" s="2">
        <v>0.81</v>
      </c>
      <c r="H517" s="2" t="e">
        <f t="shared" si="24"/>
        <v>#NUM!</v>
      </c>
      <c r="I517" s="2">
        <f t="shared" si="25"/>
        <v>0.15699679863226787</v>
      </c>
      <c r="K517" s="2" t="e">
        <f t="shared" si="26"/>
        <v>#NUM!</v>
      </c>
    </row>
    <row r="518" spans="1:11" ht="13.9" x14ac:dyDescent="0.3">
      <c r="A518" s="2" t="s">
        <v>535</v>
      </c>
      <c r="B518" s="2">
        <v>0</v>
      </c>
      <c r="C518" s="2">
        <v>0</v>
      </c>
      <c r="D518" s="2">
        <v>0</v>
      </c>
      <c r="E518" s="2">
        <v>0.93</v>
      </c>
      <c r="F518" s="2">
        <v>0</v>
      </c>
      <c r="G518" s="2">
        <v>0</v>
      </c>
      <c r="H518" s="2" t="e">
        <f t="shared" si="24"/>
        <v>#NUM!</v>
      </c>
      <c r="I518" s="2">
        <f t="shared" si="25"/>
        <v>0.37390096630005903</v>
      </c>
      <c r="K518" s="2" t="e">
        <f t="shared" si="26"/>
        <v>#NUM!</v>
      </c>
    </row>
    <row r="519" spans="1:11" ht="13.9" x14ac:dyDescent="0.3">
      <c r="A519" s="2" t="s">
        <v>536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 t="e">
        <f t="shared" si="24"/>
        <v>#DIV/0!</v>
      </c>
      <c r="I519" s="2" t="e">
        <f t="shared" si="25"/>
        <v>#DIV/0!</v>
      </c>
      <c r="K519" s="2" t="e">
        <f t="shared" si="26"/>
        <v>#NUM!</v>
      </c>
    </row>
    <row r="520" spans="1:11" ht="13.9" x14ac:dyDescent="0.3">
      <c r="A520" s="2" t="s">
        <v>537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 t="e">
        <f t="shared" si="24"/>
        <v>#DIV/0!</v>
      </c>
      <c r="I520" s="2" t="e">
        <f t="shared" si="25"/>
        <v>#DIV/0!</v>
      </c>
      <c r="K520" s="2" t="e">
        <f t="shared" si="26"/>
        <v>#NUM!</v>
      </c>
    </row>
    <row r="521" spans="1:11" ht="13.9" x14ac:dyDescent="0.3">
      <c r="A521" s="2" t="s">
        <v>538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0.14000000000000001</v>
      </c>
      <c r="H521" s="2" t="e">
        <f t="shared" si="24"/>
        <v>#NUM!</v>
      </c>
      <c r="I521" s="2">
        <f t="shared" si="25"/>
        <v>0.37390096630005903</v>
      </c>
      <c r="K521" s="2" t="e">
        <f t="shared" si="26"/>
        <v>#NUM!</v>
      </c>
    </row>
    <row r="522" spans="1:11" ht="13.9" x14ac:dyDescent="0.3">
      <c r="A522" s="2" t="s">
        <v>539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1.89</v>
      </c>
      <c r="H522" s="2" t="e">
        <f t="shared" si="24"/>
        <v>#NUM!</v>
      </c>
      <c r="I522" s="2">
        <f t="shared" si="25"/>
        <v>0.37390096630005903</v>
      </c>
      <c r="K522" s="2" t="e">
        <f t="shared" si="26"/>
        <v>#NUM!</v>
      </c>
    </row>
    <row r="523" spans="1:11" ht="13.9" x14ac:dyDescent="0.3">
      <c r="A523" s="2" t="s">
        <v>540</v>
      </c>
      <c r="B523" s="2">
        <v>0</v>
      </c>
      <c r="C523" s="2">
        <v>0</v>
      </c>
      <c r="D523" s="2">
        <v>0</v>
      </c>
      <c r="E523" s="2">
        <v>0.41</v>
      </c>
      <c r="F523" s="2">
        <v>0</v>
      </c>
      <c r="G523" s="2">
        <v>0</v>
      </c>
      <c r="H523" s="2" t="e">
        <f t="shared" si="24"/>
        <v>#NUM!</v>
      </c>
      <c r="I523" s="2">
        <f t="shared" si="25"/>
        <v>0.37390096630005903</v>
      </c>
      <c r="K523" s="2" t="e">
        <f t="shared" si="26"/>
        <v>#NUM!</v>
      </c>
    </row>
    <row r="524" spans="1:11" ht="13.9" x14ac:dyDescent="0.3">
      <c r="A524" s="2" t="s">
        <v>541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 t="e">
        <f t="shared" si="24"/>
        <v>#DIV/0!</v>
      </c>
      <c r="I524" s="2" t="e">
        <f t="shared" si="25"/>
        <v>#DIV/0!</v>
      </c>
      <c r="K524" s="2" t="e">
        <f t="shared" si="26"/>
        <v>#NUM!</v>
      </c>
    </row>
    <row r="525" spans="1:11" ht="13.9" x14ac:dyDescent="0.3">
      <c r="A525" s="2" t="s">
        <v>542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 t="e">
        <f t="shared" si="24"/>
        <v>#DIV/0!</v>
      </c>
      <c r="I525" s="2" t="e">
        <f t="shared" si="25"/>
        <v>#DIV/0!</v>
      </c>
      <c r="K525" s="2" t="e">
        <f t="shared" si="26"/>
        <v>#NUM!</v>
      </c>
    </row>
    <row r="526" spans="1:11" ht="13.9" x14ac:dyDescent="0.3">
      <c r="A526" s="2" t="s">
        <v>543</v>
      </c>
      <c r="B526" s="2">
        <v>10.24</v>
      </c>
      <c r="C526" s="2">
        <v>0</v>
      </c>
      <c r="D526" s="2">
        <v>0</v>
      </c>
      <c r="E526" s="2">
        <v>1.34</v>
      </c>
      <c r="F526" s="2">
        <v>0</v>
      </c>
      <c r="G526" s="2">
        <v>4.47</v>
      </c>
      <c r="H526" s="2">
        <f t="shared" si="24"/>
        <v>0.81760564659547119</v>
      </c>
      <c r="I526" s="2">
        <f t="shared" si="25"/>
        <v>0.70734127239009736</v>
      </c>
      <c r="K526" s="2">
        <f t="shared" si="26"/>
        <v>3.3561438102252756</v>
      </c>
    </row>
    <row r="527" spans="1:11" ht="13.9" x14ac:dyDescent="0.3">
      <c r="A527" s="2" t="s">
        <v>544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1.76</v>
      </c>
      <c r="H527" s="2" t="e">
        <f t="shared" si="24"/>
        <v>#NUM!</v>
      </c>
      <c r="I527" s="2">
        <f t="shared" si="25"/>
        <v>0.37390096630005903</v>
      </c>
      <c r="K527" s="2" t="e">
        <f t="shared" si="26"/>
        <v>#NUM!</v>
      </c>
    </row>
    <row r="528" spans="1:11" ht="13.9" x14ac:dyDescent="0.3">
      <c r="A528" s="2" t="s">
        <v>545</v>
      </c>
      <c r="B528" s="2">
        <v>0</v>
      </c>
      <c r="C528" s="2">
        <v>0</v>
      </c>
      <c r="D528" s="2">
        <v>0</v>
      </c>
      <c r="E528" s="2">
        <v>0.72</v>
      </c>
      <c r="F528" s="2">
        <v>0</v>
      </c>
      <c r="G528" s="2">
        <v>0</v>
      </c>
      <c r="H528" s="2" t="e">
        <f t="shared" si="24"/>
        <v>#NUM!</v>
      </c>
      <c r="I528" s="2">
        <f t="shared" si="25"/>
        <v>0.37390096630005903</v>
      </c>
      <c r="K528" s="2" t="e">
        <f t="shared" si="26"/>
        <v>#NUM!</v>
      </c>
    </row>
    <row r="529" spans="1:11" ht="13.9" x14ac:dyDescent="0.3">
      <c r="A529" s="2" t="s">
        <v>546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1.35</v>
      </c>
      <c r="H529" s="2" t="e">
        <f t="shared" si="24"/>
        <v>#NUM!</v>
      </c>
      <c r="I529" s="2">
        <f t="shared" si="25"/>
        <v>0.37390096630005903</v>
      </c>
      <c r="K529" s="2" t="e">
        <f t="shared" si="26"/>
        <v>#NUM!</v>
      </c>
    </row>
    <row r="530" spans="1:11" ht="13.9" x14ac:dyDescent="0.3">
      <c r="A530" s="2" t="s">
        <v>547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0.27</v>
      </c>
      <c r="H530" s="2" t="e">
        <f t="shared" si="24"/>
        <v>#NUM!</v>
      </c>
      <c r="I530" s="2">
        <f t="shared" si="25"/>
        <v>0.37390096630005903</v>
      </c>
      <c r="K530" s="2" t="e">
        <f t="shared" si="26"/>
        <v>#NUM!</v>
      </c>
    </row>
    <row r="531" spans="1:11" ht="13.9" x14ac:dyDescent="0.3">
      <c r="A531" s="2" t="s">
        <v>548</v>
      </c>
      <c r="B531" s="2">
        <v>0</v>
      </c>
      <c r="C531" s="2">
        <v>0</v>
      </c>
      <c r="D531" s="2">
        <v>0</v>
      </c>
      <c r="E531" s="2">
        <v>0.72</v>
      </c>
      <c r="F531" s="2">
        <v>0</v>
      </c>
      <c r="G531" s="2">
        <v>0</v>
      </c>
      <c r="H531" s="2" t="e">
        <f t="shared" si="24"/>
        <v>#NUM!</v>
      </c>
      <c r="I531" s="2">
        <f t="shared" si="25"/>
        <v>0.37390096630005903</v>
      </c>
      <c r="K531" s="2" t="e">
        <f t="shared" si="26"/>
        <v>#NUM!</v>
      </c>
    </row>
    <row r="532" spans="1:11" ht="13.9" x14ac:dyDescent="0.3">
      <c r="A532" s="2" t="s">
        <v>549</v>
      </c>
      <c r="B532" s="2">
        <v>0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 t="e">
        <f t="shared" si="24"/>
        <v>#DIV/0!</v>
      </c>
      <c r="I532" s="2" t="e">
        <f t="shared" si="25"/>
        <v>#DIV/0!</v>
      </c>
      <c r="K532" s="2" t="e">
        <f t="shared" si="26"/>
        <v>#NUM!</v>
      </c>
    </row>
    <row r="533" spans="1:11" ht="13.9" x14ac:dyDescent="0.3">
      <c r="A533" s="2" t="s">
        <v>550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1.22</v>
      </c>
      <c r="H533" s="2" t="e">
        <f t="shared" si="24"/>
        <v>#NUM!</v>
      </c>
      <c r="I533" s="2">
        <f t="shared" si="25"/>
        <v>0.37390096630005903</v>
      </c>
      <c r="K533" s="2" t="e">
        <f t="shared" si="26"/>
        <v>#NUM!</v>
      </c>
    </row>
    <row r="534" spans="1:11" ht="13.9" x14ac:dyDescent="0.3">
      <c r="A534" s="2" t="s">
        <v>551</v>
      </c>
      <c r="B534" s="2">
        <v>10.24</v>
      </c>
      <c r="C534" s="2">
        <v>12.56</v>
      </c>
      <c r="D534" s="2">
        <v>9.0500000000000007</v>
      </c>
      <c r="E534" s="2">
        <v>27.78</v>
      </c>
      <c r="F534" s="2">
        <v>0</v>
      </c>
      <c r="G534" s="2">
        <v>46.97</v>
      </c>
      <c r="H534" s="2">
        <f t="shared" si="24"/>
        <v>-1.2307802068291669</v>
      </c>
      <c r="I534" s="2">
        <f t="shared" si="25"/>
        <v>0.35467266036473144</v>
      </c>
      <c r="K534" s="2">
        <f t="shared" si="26"/>
        <v>4.9932214673689383</v>
      </c>
    </row>
    <row r="535" spans="1:11" ht="13.9" x14ac:dyDescent="0.3">
      <c r="A535" s="2" t="s">
        <v>552</v>
      </c>
      <c r="B535" s="2">
        <v>0</v>
      </c>
      <c r="C535" s="2">
        <v>0</v>
      </c>
      <c r="D535" s="2">
        <v>0</v>
      </c>
      <c r="E535" s="2">
        <v>0.72</v>
      </c>
      <c r="F535" s="2">
        <v>0</v>
      </c>
      <c r="G535" s="2">
        <v>0.27</v>
      </c>
      <c r="H535" s="2" t="e">
        <f t="shared" si="24"/>
        <v>#NUM!</v>
      </c>
      <c r="I535" s="2">
        <f t="shared" si="25"/>
        <v>0.19117998721848575</v>
      </c>
      <c r="K535" s="2" t="e">
        <f t="shared" si="26"/>
        <v>#NUM!</v>
      </c>
    </row>
    <row r="536" spans="1:11" ht="13.9" x14ac:dyDescent="0.3">
      <c r="A536" s="2" t="s">
        <v>553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 t="e">
        <f t="shared" si="24"/>
        <v>#DIV/0!</v>
      </c>
      <c r="I536" s="2" t="e">
        <f t="shared" si="25"/>
        <v>#DIV/0!</v>
      </c>
      <c r="K536" s="2" t="e">
        <f t="shared" si="26"/>
        <v>#NUM!</v>
      </c>
    </row>
    <row r="537" spans="1:11" ht="13.9" x14ac:dyDescent="0.3">
      <c r="A537" s="2" t="s">
        <v>554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1.08</v>
      </c>
      <c r="H537" s="2" t="e">
        <f t="shared" si="24"/>
        <v>#NUM!</v>
      </c>
      <c r="I537" s="2">
        <f t="shared" si="25"/>
        <v>0.37390096630005903</v>
      </c>
      <c r="K537" s="2" t="e">
        <f t="shared" si="26"/>
        <v>#NUM!</v>
      </c>
    </row>
    <row r="538" spans="1:11" ht="13.9" x14ac:dyDescent="0.3">
      <c r="A538" s="2" t="s">
        <v>555</v>
      </c>
      <c r="B538" s="2">
        <v>0</v>
      </c>
      <c r="C538" s="2">
        <v>0</v>
      </c>
      <c r="D538" s="2">
        <v>6.03</v>
      </c>
      <c r="E538" s="2">
        <v>0</v>
      </c>
      <c r="F538" s="2">
        <v>0</v>
      </c>
      <c r="G538" s="2">
        <v>0</v>
      </c>
      <c r="H538" s="2" t="e">
        <f t="shared" si="24"/>
        <v>#DIV/0!</v>
      </c>
      <c r="I538" s="2">
        <f t="shared" si="25"/>
        <v>0.37390096630005903</v>
      </c>
      <c r="K538" s="2">
        <f t="shared" si="26"/>
        <v>2.5921580021253603</v>
      </c>
    </row>
    <row r="539" spans="1:11" ht="13.9" x14ac:dyDescent="0.3">
      <c r="A539" s="2" t="s">
        <v>556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 t="e">
        <f t="shared" si="24"/>
        <v>#DIV/0!</v>
      </c>
      <c r="I539" s="2" t="e">
        <f t="shared" si="25"/>
        <v>#DIV/0!</v>
      </c>
      <c r="K539" s="2" t="e">
        <f t="shared" si="26"/>
        <v>#NUM!</v>
      </c>
    </row>
    <row r="540" spans="1:11" ht="13.9" x14ac:dyDescent="0.3">
      <c r="A540" s="2" t="s">
        <v>557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1.08</v>
      </c>
      <c r="H540" s="2" t="e">
        <f t="shared" si="24"/>
        <v>#NUM!</v>
      </c>
      <c r="I540" s="2">
        <f t="shared" si="25"/>
        <v>0.37390096630005903</v>
      </c>
      <c r="K540" s="2" t="e">
        <f t="shared" si="26"/>
        <v>#NUM!</v>
      </c>
    </row>
    <row r="541" spans="1:11" ht="13.9" x14ac:dyDescent="0.3">
      <c r="A541" s="2" t="s">
        <v>558</v>
      </c>
      <c r="B541" s="2">
        <v>1.62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 t="e">
        <f t="shared" si="24"/>
        <v>#DIV/0!</v>
      </c>
      <c r="I541" s="2">
        <f t="shared" si="25"/>
        <v>0.37390096630005903</v>
      </c>
      <c r="K541" s="2">
        <f t="shared" si="26"/>
        <v>0.69599381310990016</v>
      </c>
    </row>
    <row r="542" spans="1:11" ht="13.9" x14ac:dyDescent="0.3">
      <c r="A542" s="2" t="s">
        <v>559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 t="e">
        <f t="shared" si="24"/>
        <v>#DIV/0!</v>
      </c>
      <c r="I542" s="2" t="e">
        <f t="shared" si="25"/>
        <v>#DIV/0!</v>
      </c>
      <c r="K542" s="2" t="e">
        <f t="shared" si="26"/>
        <v>#NUM!</v>
      </c>
    </row>
    <row r="543" spans="1:11" ht="13.9" x14ac:dyDescent="0.3">
      <c r="A543" s="2" t="s">
        <v>560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 t="e">
        <f t="shared" si="24"/>
        <v>#DIV/0!</v>
      </c>
      <c r="I543" s="2" t="e">
        <f t="shared" si="25"/>
        <v>#DIV/0!</v>
      </c>
      <c r="K543" s="2" t="e">
        <f t="shared" si="26"/>
        <v>#NUM!</v>
      </c>
    </row>
    <row r="544" spans="1:11" ht="13.9" x14ac:dyDescent="0.3">
      <c r="A544" s="2" t="s">
        <v>561</v>
      </c>
      <c r="B544" s="2">
        <v>0</v>
      </c>
      <c r="C544" s="2">
        <v>0</v>
      </c>
      <c r="D544" s="2">
        <v>0</v>
      </c>
      <c r="E544" s="2">
        <v>0.21</v>
      </c>
      <c r="F544" s="2">
        <v>0</v>
      </c>
      <c r="G544" s="2">
        <v>0</v>
      </c>
      <c r="H544" s="2" t="e">
        <f t="shared" si="24"/>
        <v>#NUM!</v>
      </c>
      <c r="I544" s="2">
        <f t="shared" si="25"/>
        <v>0.37390096630005903</v>
      </c>
      <c r="K544" s="2" t="e">
        <f t="shared" si="26"/>
        <v>#NUM!</v>
      </c>
    </row>
    <row r="545" spans="1:11" ht="13.9" x14ac:dyDescent="0.3">
      <c r="A545" s="2" t="s">
        <v>562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0.95</v>
      </c>
      <c r="H545" s="2" t="e">
        <f t="shared" si="24"/>
        <v>#NUM!</v>
      </c>
      <c r="I545" s="2">
        <f t="shared" si="25"/>
        <v>0.37390096630005903</v>
      </c>
      <c r="K545" s="2" t="e">
        <f t="shared" si="26"/>
        <v>#NUM!</v>
      </c>
    </row>
    <row r="546" spans="1:11" ht="13.9" x14ac:dyDescent="0.3">
      <c r="A546" s="2" t="s">
        <v>563</v>
      </c>
      <c r="B546" s="2">
        <v>0</v>
      </c>
      <c r="C546" s="2">
        <v>0</v>
      </c>
      <c r="D546" s="2">
        <v>0</v>
      </c>
      <c r="E546" s="2">
        <v>0.1</v>
      </c>
      <c r="F546" s="2">
        <v>0</v>
      </c>
      <c r="G546" s="2">
        <v>0</v>
      </c>
      <c r="H546" s="2" t="e">
        <f t="shared" si="24"/>
        <v>#NUM!</v>
      </c>
      <c r="I546" s="2">
        <f t="shared" si="25"/>
        <v>0.37390096630005903</v>
      </c>
      <c r="K546" s="2" t="e">
        <f t="shared" si="26"/>
        <v>#NUM!</v>
      </c>
    </row>
    <row r="547" spans="1:11" ht="13.9" x14ac:dyDescent="0.3">
      <c r="A547" s="2" t="s">
        <v>564</v>
      </c>
      <c r="B547" s="2">
        <v>0</v>
      </c>
      <c r="C547" s="2">
        <v>0</v>
      </c>
      <c r="D547" s="2">
        <v>0</v>
      </c>
      <c r="E547" s="2">
        <v>0.1</v>
      </c>
      <c r="F547" s="2">
        <v>0</v>
      </c>
      <c r="G547" s="2">
        <v>0</v>
      </c>
      <c r="H547" s="2" t="e">
        <f t="shared" si="24"/>
        <v>#NUM!</v>
      </c>
      <c r="I547" s="2">
        <f t="shared" si="25"/>
        <v>0.37390096630005903</v>
      </c>
      <c r="K547" s="2" t="e">
        <f t="shared" si="26"/>
        <v>#NUM!</v>
      </c>
    </row>
    <row r="548" spans="1:11" ht="13.9" x14ac:dyDescent="0.3">
      <c r="A548" s="2" t="s">
        <v>565</v>
      </c>
      <c r="B548" s="2">
        <v>0</v>
      </c>
      <c r="C548" s="2">
        <v>0</v>
      </c>
      <c r="D548" s="2">
        <v>0</v>
      </c>
      <c r="E548" s="2">
        <v>0.31</v>
      </c>
      <c r="F548" s="2">
        <v>0</v>
      </c>
      <c r="G548" s="2">
        <v>0</v>
      </c>
      <c r="H548" s="2" t="e">
        <f t="shared" si="24"/>
        <v>#NUM!</v>
      </c>
      <c r="I548" s="2">
        <f t="shared" si="25"/>
        <v>0.37390096630005903</v>
      </c>
      <c r="K548" s="2" t="e">
        <f t="shared" si="26"/>
        <v>#NUM!</v>
      </c>
    </row>
    <row r="549" spans="1:11" ht="13.9" x14ac:dyDescent="0.3">
      <c r="A549" s="2" t="s">
        <v>566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 t="e">
        <f t="shared" si="24"/>
        <v>#DIV/0!</v>
      </c>
      <c r="I549" s="2" t="e">
        <f t="shared" si="25"/>
        <v>#DIV/0!</v>
      </c>
      <c r="K549" s="2" t="e">
        <f t="shared" si="26"/>
        <v>#NUM!</v>
      </c>
    </row>
    <row r="550" spans="1:11" ht="13.9" x14ac:dyDescent="0.3">
      <c r="A550" s="2" t="s">
        <v>567</v>
      </c>
      <c r="B550" s="2">
        <v>0</v>
      </c>
      <c r="C550" s="2">
        <v>0</v>
      </c>
      <c r="D550" s="2">
        <v>0</v>
      </c>
      <c r="E550" s="2">
        <v>1.23</v>
      </c>
      <c r="F550" s="2">
        <v>0</v>
      </c>
      <c r="G550" s="2">
        <v>0</v>
      </c>
      <c r="H550" s="2" t="e">
        <f t="shared" si="24"/>
        <v>#NUM!</v>
      </c>
      <c r="I550" s="2">
        <f t="shared" si="25"/>
        <v>0.37390096630005903</v>
      </c>
      <c r="K550" s="2" t="e">
        <f t="shared" si="26"/>
        <v>#NUM!</v>
      </c>
    </row>
    <row r="551" spans="1:11" ht="13.9" x14ac:dyDescent="0.3">
      <c r="A551" s="2" t="s">
        <v>568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 t="e">
        <f t="shared" si="24"/>
        <v>#DIV/0!</v>
      </c>
      <c r="I551" s="2" t="e">
        <f t="shared" si="25"/>
        <v>#DIV/0!</v>
      </c>
      <c r="K551" s="2" t="e">
        <f t="shared" si="26"/>
        <v>#NUM!</v>
      </c>
    </row>
    <row r="552" spans="1:11" ht="13.9" x14ac:dyDescent="0.3">
      <c r="A552" s="2" t="s">
        <v>569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 t="e">
        <f t="shared" si="24"/>
        <v>#DIV/0!</v>
      </c>
      <c r="I552" s="2" t="e">
        <f t="shared" si="25"/>
        <v>#DIV/0!</v>
      </c>
      <c r="K552" s="2" t="e">
        <f t="shared" si="26"/>
        <v>#NUM!</v>
      </c>
    </row>
    <row r="553" spans="1:11" ht="13.9" x14ac:dyDescent="0.3">
      <c r="A553" s="2" t="s">
        <v>570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 t="e">
        <f t="shared" si="24"/>
        <v>#DIV/0!</v>
      </c>
      <c r="I553" s="2" t="e">
        <f t="shared" si="25"/>
        <v>#DIV/0!</v>
      </c>
      <c r="K553" s="2" t="e">
        <f t="shared" si="26"/>
        <v>#NUM!</v>
      </c>
    </row>
    <row r="554" spans="1:11" ht="13.9" x14ac:dyDescent="0.3">
      <c r="A554" s="2" t="s">
        <v>571</v>
      </c>
      <c r="B554" s="2">
        <v>0</v>
      </c>
      <c r="C554" s="2">
        <v>0</v>
      </c>
      <c r="D554" s="2">
        <v>0</v>
      </c>
      <c r="E554" s="2">
        <v>0.31</v>
      </c>
      <c r="F554" s="2">
        <v>0</v>
      </c>
      <c r="G554" s="2">
        <v>0</v>
      </c>
      <c r="H554" s="2" t="e">
        <f t="shared" si="24"/>
        <v>#NUM!</v>
      </c>
      <c r="I554" s="2">
        <f t="shared" si="25"/>
        <v>0.37390096630005903</v>
      </c>
      <c r="K554" s="2" t="e">
        <f t="shared" si="26"/>
        <v>#NUM!</v>
      </c>
    </row>
    <row r="555" spans="1:11" ht="13.9" x14ac:dyDescent="0.3">
      <c r="A555" s="2" t="s">
        <v>572</v>
      </c>
      <c r="B555" s="2">
        <v>0</v>
      </c>
      <c r="C555" s="2">
        <v>0</v>
      </c>
      <c r="D555" s="2">
        <v>0</v>
      </c>
      <c r="E555" s="2">
        <v>0</v>
      </c>
      <c r="F555" s="2">
        <v>0</v>
      </c>
      <c r="G555" s="2">
        <v>0.81</v>
      </c>
      <c r="H555" s="2" t="e">
        <f t="shared" si="24"/>
        <v>#NUM!</v>
      </c>
      <c r="I555" s="2">
        <f t="shared" si="25"/>
        <v>0.37390096630005903</v>
      </c>
      <c r="K555" s="2" t="e">
        <f t="shared" si="26"/>
        <v>#NUM!</v>
      </c>
    </row>
    <row r="556" spans="1:11" ht="13.9" x14ac:dyDescent="0.3">
      <c r="A556" s="2" t="s">
        <v>573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0.27</v>
      </c>
      <c r="H556" s="2" t="e">
        <f t="shared" si="24"/>
        <v>#NUM!</v>
      </c>
      <c r="I556" s="2">
        <f t="shared" si="25"/>
        <v>0.37390096630005903</v>
      </c>
      <c r="K556" s="2" t="e">
        <f t="shared" si="26"/>
        <v>#NUM!</v>
      </c>
    </row>
    <row r="557" spans="1:11" ht="13.9" x14ac:dyDescent="0.3">
      <c r="A557" s="2" t="s">
        <v>574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 t="e">
        <f t="shared" si="24"/>
        <v>#DIV/0!</v>
      </c>
      <c r="I557" s="2" t="e">
        <f t="shared" si="25"/>
        <v>#DIV/0!</v>
      </c>
      <c r="K557" s="2" t="e">
        <f t="shared" si="26"/>
        <v>#NUM!</v>
      </c>
    </row>
    <row r="558" spans="1:11" ht="13.9" x14ac:dyDescent="0.3">
      <c r="A558" s="2" t="s">
        <v>575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 t="e">
        <f t="shared" si="24"/>
        <v>#DIV/0!</v>
      </c>
      <c r="I558" s="2" t="e">
        <f t="shared" si="25"/>
        <v>#DIV/0!</v>
      </c>
      <c r="K558" s="2" t="e">
        <f t="shared" si="26"/>
        <v>#NUM!</v>
      </c>
    </row>
    <row r="559" spans="1:11" ht="13.9" x14ac:dyDescent="0.3">
      <c r="A559" s="2" t="s">
        <v>576</v>
      </c>
      <c r="B559" s="2">
        <v>0</v>
      </c>
      <c r="C559" s="2">
        <v>3.56</v>
      </c>
      <c r="D559" s="2">
        <v>12.07</v>
      </c>
      <c r="E559" s="2">
        <v>5.25</v>
      </c>
      <c r="F559" s="2">
        <v>0</v>
      </c>
      <c r="G559" s="2">
        <v>5.14</v>
      </c>
      <c r="H559" s="2">
        <f t="shared" si="24"/>
        <v>0.58912212409545262</v>
      </c>
      <c r="I559" s="2">
        <f t="shared" si="25"/>
        <v>0.68324420236307737</v>
      </c>
      <c r="K559" s="2">
        <f t="shared" si="26"/>
        <v>3.9662458732249397</v>
      </c>
    </row>
    <row r="560" spans="1:11" ht="13.9" x14ac:dyDescent="0.3">
      <c r="A560" s="2" t="s">
        <v>577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 t="e">
        <f t="shared" si="24"/>
        <v>#DIV/0!</v>
      </c>
      <c r="I560" s="2" t="e">
        <f t="shared" si="25"/>
        <v>#DIV/0!</v>
      </c>
      <c r="K560" s="2" t="e">
        <f t="shared" si="26"/>
        <v>#NUM!</v>
      </c>
    </row>
    <row r="561" spans="1:11" ht="13.9" x14ac:dyDescent="0.3">
      <c r="A561" s="2" t="s">
        <v>578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 t="e">
        <f t="shared" si="24"/>
        <v>#DIV/0!</v>
      </c>
      <c r="I561" s="2" t="e">
        <f t="shared" si="25"/>
        <v>#DIV/0!</v>
      </c>
      <c r="K561" s="2" t="e">
        <f t="shared" si="26"/>
        <v>#NUM!</v>
      </c>
    </row>
    <row r="562" spans="1:11" ht="13.9" x14ac:dyDescent="0.3">
      <c r="A562" s="2" t="s">
        <v>579</v>
      </c>
      <c r="B562" s="2">
        <v>3.23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 t="e">
        <f t="shared" si="24"/>
        <v>#DIV/0!</v>
      </c>
      <c r="I562" s="2">
        <f t="shared" si="25"/>
        <v>0.37390096630005903</v>
      </c>
      <c r="K562" s="2">
        <f t="shared" si="26"/>
        <v>1.6915341649192002</v>
      </c>
    </row>
    <row r="563" spans="1:11" ht="13.9" x14ac:dyDescent="0.3">
      <c r="A563" s="2" t="s">
        <v>580</v>
      </c>
      <c r="B563" s="2">
        <v>0</v>
      </c>
      <c r="C563" s="2">
        <v>0</v>
      </c>
      <c r="D563" s="2">
        <v>0</v>
      </c>
      <c r="E563" s="2">
        <v>1.1299999999999999</v>
      </c>
      <c r="F563" s="2">
        <v>0</v>
      </c>
      <c r="G563" s="2">
        <v>0</v>
      </c>
      <c r="H563" s="2" t="e">
        <f t="shared" si="24"/>
        <v>#NUM!</v>
      </c>
      <c r="I563" s="2">
        <f t="shared" si="25"/>
        <v>0.37390096630005903</v>
      </c>
      <c r="K563" s="2" t="e">
        <f t="shared" si="26"/>
        <v>#NUM!</v>
      </c>
    </row>
    <row r="564" spans="1:11" ht="13.9" x14ac:dyDescent="0.3">
      <c r="A564" s="2" t="s">
        <v>581</v>
      </c>
      <c r="B564" s="2">
        <v>0</v>
      </c>
      <c r="C564" s="2">
        <v>0</v>
      </c>
      <c r="D564" s="2">
        <v>0</v>
      </c>
      <c r="E564" s="2">
        <v>0.31</v>
      </c>
      <c r="F564" s="2">
        <v>0</v>
      </c>
      <c r="G564" s="2">
        <v>0</v>
      </c>
      <c r="H564" s="2" t="e">
        <f t="shared" si="24"/>
        <v>#NUM!</v>
      </c>
      <c r="I564" s="2">
        <f t="shared" si="25"/>
        <v>0.37390096630005903</v>
      </c>
      <c r="K564" s="2" t="e">
        <f t="shared" si="26"/>
        <v>#NUM!</v>
      </c>
    </row>
    <row r="565" spans="1:11" ht="13.9" x14ac:dyDescent="0.3">
      <c r="A565" s="2" t="s">
        <v>582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 t="e">
        <f t="shared" si="24"/>
        <v>#DIV/0!</v>
      </c>
      <c r="I565" s="2" t="e">
        <f t="shared" si="25"/>
        <v>#DIV/0!</v>
      </c>
      <c r="K565" s="2" t="e">
        <f t="shared" si="26"/>
        <v>#NUM!</v>
      </c>
    </row>
    <row r="566" spans="1:11" ht="13.9" x14ac:dyDescent="0.3">
      <c r="A566" s="2" t="s">
        <v>583</v>
      </c>
      <c r="B566" s="2">
        <v>3.05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 t="e">
        <f t="shared" si="24"/>
        <v>#DIV/0!</v>
      </c>
      <c r="I566" s="2">
        <f t="shared" si="25"/>
        <v>0.37390096630005903</v>
      </c>
      <c r="K566" s="2">
        <f t="shared" si="26"/>
        <v>1.6088092426755241</v>
      </c>
    </row>
    <row r="567" spans="1:11" ht="13.9" x14ac:dyDescent="0.3">
      <c r="A567" s="2" t="s">
        <v>584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 t="e">
        <f t="shared" si="24"/>
        <v>#DIV/0!</v>
      </c>
      <c r="I567" s="2" t="e">
        <f t="shared" si="25"/>
        <v>#DIV/0!</v>
      </c>
      <c r="K567" s="2" t="e">
        <f t="shared" si="26"/>
        <v>#NUM!</v>
      </c>
    </row>
    <row r="568" spans="1:11" ht="13.9" x14ac:dyDescent="0.3">
      <c r="A568" s="2" t="s">
        <v>585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 t="e">
        <f t="shared" si="24"/>
        <v>#DIV/0!</v>
      </c>
      <c r="I568" s="2" t="e">
        <f t="shared" si="25"/>
        <v>#DIV/0!</v>
      </c>
      <c r="K568" s="2" t="e">
        <f t="shared" si="26"/>
        <v>#NUM!</v>
      </c>
    </row>
    <row r="569" spans="1:11" ht="13.9" x14ac:dyDescent="0.3">
      <c r="A569" s="2" t="s">
        <v>586</v>
      </c>
      <c r="B569" s="2">
        <v>0</v>
      </c>
      <c r="C569" s="2">
        <v>0</v>
      </c>
      <c r="D569" s="2">
        <v>0</v>
      </c>
      <c r="E569" s="2">
        <v>1.34</v>
      </c>
      <c r="F569" s="2">
        <v>0</v>
      </c>
      <c r="G569" s="2">
        <v>4.47</v>
      </c>
      <c r="H569" s="2" t="e">
        <f t="shared" si="24"/>
        <v>#NUM!</v>
      </c>
      <c r="I569" s="2">
        <f t="shared" si="25"/>
        <v>0.2174826207600479</v>
      </c>
      <c r="K569" s="2" t="e">
        <f t="shared" si="26"/>
        <v>#NUM!</v>
      </c>
    </row>
    <row r="570" spans="1:11" ht="13.9" x14ac:dyDescent="0.3">
      <c r="A570" s="2" t="s">
        <v>587</v>
      </c>
      <c r="B570" s="2">
        <v>0</v>
      </c>
      <c r="C570" s="2">
        <v>0</v>
      </c>
      <c r="D570" s="2">
        <v>0</v>
      </c>
      <c r="E570" s="2">
        <v>0.21</v>
      </c>
      <c r="F570" s="2">
        <v>0</v>
      </c>
      <c r="G570" s="2">
        <v>1.89</v>
      </c>
      <c r="H570" s="2" t="e">
        <f t="shared" si="24"/>
        <v>#NUM!</v>
      </c>
      <c r="I570" s="2">
        <f t="shared" si="25"/>
        <v>0.30680858549861045</v>
      </c>
      <c r="K570" s="2" t="e">
        <f t="shared" si="26"/>
        <v>#NUM!</v>
      </c>
    </row>
    <row r="571" spans="1:11" ht="13.9" x14ac:dyDescent="0.3">
      <c r="A571" s="2" t="s">
        <v>588</v>
      </c>
      <c r="B571" s="2">
        <v>0</v>
      </c>
      <c r="C571" s="2">
        <v>6.28</v>
      </c>
      <c r="D571" s="2">
        <v>0</v>
      </c>
      <c r="E571" s="2">
        <v>1.1299999999999999</v>
      </c>
      <c r="F571" s="2">
        <v>0</v>
      </c>
      <c r="G571" s="2">
        <v>0</v>
      </c>
      <c r="H571" s="2">
        <f t="shared" si="24"/>
        <v>2.4744417864764392</v>
      </c>
      <c r="I571" s="2">
        <f t="shared" si="25"/>
        <v>0.46486306570601693</v>
      </c>
      <c r="K571" s="2">
        <f t="shared" si="26"/>
        <v>2.6507645591169027</v>
      </c>
    </row>
    <row r="572" spans="1:11" ht="13.9" x14ac:dyDescent="0.3">
      <c r="A572" s="2" t="s">
        <v>589</v>
      </c>
      <c r="B572" s="2">
        <v>0</v>
      </c>
      <c r="C572" s="2">
        <v>0</v>
      </c>
      <c r="D572" s="2">
        <v>0</v>
      </c>
      <c r="E572" s="2">
        <v>2.4700000000000002</v>
      </c>
      <c r="F572" s="2">
        <v>0</v>
      </c>
      <c r="G572" s="2">
        <v>0.68</v>
      </c>
      <c r="H572" s="2" t="e">
        <f t="shared" si="24"/>
        <v>#NUM!</v>
      </c>
      <c r="I572" s="2">
        <f t="shared" si="25"/>
        <v>0.22717568453362202</v>
      </c>
      <c r="K572" s="2" t="e">
        <f t="shared" si="26"/>
        <v>#NUM!</v>
      </c>
    </row>
    <row r="573" spans="1:11" ht="13.9" x14ac:dyDescent="0.3">
      <c r="A573" s="2" t="s">
        <v>590</v>
      </c>
      <c r="B573" s="2">
        <v>1.26</v>
      </c>
      <c r="C573" s="2">
        <v>4.8099999999999996</v>
      </c>
      <c r="D573" s="2">
        <v>0</v>
      </c>
      <c r="E573" s="2">
        <v>0</v>
      </c>
      <c r="F573" s="2">
        <v>0</v>
      </c>
      <c r="G573" s="2">
        <v>0</v>
      </c>
      <c r="H573" s="2" t="e">
        <f t="shared" si="24"/>
        <v>#DIV/0!</v>
      </c>
      <c r="I573" s="2">
        <f t="shared" si="25"/>
        <v>0.23270268411330711</v>
      </c>
      <c r="K573" s="2">
        <f t="shared" si="26"/>
        <v>2.6016965164809571</v>
      </c>
    </row>
    <row r="574" spans="1:11" ht="13.9" x14ac:dyDescent="0.3">
      <c r="A574" s="2" t="s">
        <v>591</v>
      </c>
      <c r="B574" s="2">
        <v>0</v>
      </c>
      <c r="C574" s="2">
        <v>0</v>
      </c>
      <c r="D574" s="2">
        <v>0</v>
      </c>
      <c r="E574" s="2">
        <v>0.51</v>
      </c>
      <c r="F574" s="2">
        <v>0</v>
      </c>
      <c r="G574" s="2">
        <v>0.54</v>
      </c>
      <c r="H574" s="2" t="e">
        <f t="shared" si="24"/>
        <v>#NUM!</v>
      </c>
      <c r="I574" s="2">
        <f t="shared" si="25"/>
        <v>0.11644111590956105</v>
      </c>
      <c r="K574" s="2" t="e">
        <f t="shared" si="26"/>
        <v>#NUM!</v>
      </c>
    </row>
    <row r="575" spans="1:11" ht="13.9" x14ac:dyDescent="0.3">
      <c r="A575" s="2" t="s">
        <v>592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 t="e">
        <f t="shared" si="24"/>
        <v>#DIV/0!</v>
      </c>
      <c r="I575" s="2" t="e">
        <f t="shared" si="25"/>
        <v>#DIV/0!</v>
      </c>
      <c r="K575" s="2" t="e">
        <f t="shared" si="26"/>
        <v>#NUM!</v>
      </c>
    </row>
    <row r="576" spans="1:11" ht="13.9" x14ac:dyDescent="0.3">
      <c r="A576" s="2" t="s">
        <v>593</v>
      </c>
      <c r="B576" s="2">
        <v>0</v>
      </c>
      <c r="C576" s="2">
        <v>0</v>
      </c>
      <c r="D576" s="2">
        <v>0</v>
      </c>
      <c r="E576" s="2">
        <v>0</v>
      </c>
      <c r="F576" s="2">
        <v>122.63</v>
      </c>
      <c r="G576" s="2">
        <v>0</v>
      </c>
      <c r="H576" s="2" t="e">
        <f t="shared" si="24"/>
        <v>#NUM!</v>
      </c>
      <c r="I576" s="2">
        <f t="shared" si="25"/>
        <v>0.37390096630005903</v>
      </c>
      <c r="K576" s="2" t="e">
        <f t="shared" si="26"/>
        <v>#NUM!</v>
      </c>
    </row>
    <row r="577" spans="1:11" ht="13.9" x14ac:dyDescent="0.3">
      <c r="A577" s="2" t="s">
        <v>594</v>
      </c>
      <c r="B577" s="2">
        <v>0.18</v>
      </c>
      <c r="C577" s="2">
        <v>9.84</v>
      </c>
      <c r="D577" s="2">
        <v>1.01</v>
      </c>
      <c r="E577" s="2">
        <v>95.17</v>
      </c>
      <c r="F577" s="2">
        <v>0</v>
      </c>
      <c r="G577" s="2">
        <v>64.56</v>
      </c>
      <c r="H577" s="2">
        <f t="shared" si="24"/>
        <v>-3.8561306047255828</v>
      </c>
      <c r="I577" s="2">
        <f t="shared" si="25"/>
        <v>0.15385129429623917</v>
      </c>
      <c r="K577" s="2">
        <f t="shared" si="26"/>
        <v>3.463360885816658</v>
      </c>
    </row>
    <row r="578" spans="1:11" ht="13.9" x14ac:dyDescent="0.3">
      <c r="A578" s="2" t="s">
        <v>595</v>
      </c>
      <c r="B578" s="2">
        <v>0</v>
      </c>
      <c r="C578" s="2">
        <v>0</v>
      </c>
      <c r="D578" s="2">
        <v>0</v>
      </c>
      <c r="E578" s="2">
        <v>1.03</v>
      </c>
      <c r="F578" s="2">
        <v>0</v>
      </c>
      <c r="G578" s="2">
        <v>0</v>
      </c>
      <c r="H578" s="2" t="e">
        <f t="shared" ref="H578:H641" si="27">LOG(SUM(B578:D578)/SUM(E578:G578),2)</f>
        <v>#NUM!</v>
      </c>
      <c r="I578" s="2">
        <f t="shared" ref="I578:I641" si="28">_xlfn.T.TEST(B578:D578,E578:G578,2,2)</f>
        <v>0.37390096630005903</v>
      </c>
      <c r="K578" s="2" t="e">
        <f t="shared" si="26"/>
        <v>#NUM!</v>
      </c>
    </row>
    <row r="579" spans="1:11" ht="13.9" x14ac:dyDescent="0.3">
      <c r="A579" s="2" t="s">
        <v>596</v>
      </c>
      <c r="B579" s="2">
        <v>0</v>
      </c>
      <c r="C579" s="2">
        <v>0.21</v>
      </c>
      <c r="D579" s="2">
        <v>25.64</v>
      </c>
      <c r="E579" s="2">
        <v>0.82</v>
      </c>
      <c r="F579" s="2">
        <v>0</v>
      </c>
      <c r="G579" s="2">
        <v>5.01</v>
      </c>
      <c r="H579" s="2">
        <f t="shared" si="27"/>
        <v>2.1485964920018006</v>
      </c>
      <c r="I579" s="2">
        <f t="shared" si="28"/>
        <v>0.48356638003337654</v>
      </c>
      <c r="K579" s="2">
        <f t="shared" ref="K579:K642" si="29">LOG(SUM(B579:D579),2)</f>
        <v>4.6920923754275723</v>
      </c>
    </row>
    <row r="580" spans="1:11" ht="13.9" x14ac:dyDescent="0.3">
      <c r="A580" s="2" t="s">
        <v>597</v>
      </c>
      <c r="B580" s="2">
        <v>0</v>
      </c>
      <c r="C580" s="2">
        <v>0</v>
      </c>
      <c r="D580" s="2">
        <v>0</v>
      </c>
      <c r="E580" s="2">
        <v>0.93</v>
      </c>
      <c r="F580" s="2">
        <v>0</v>
      </c>
      <c r="G580" s="2">
        <v>0</v>
      </c>
      <c r="H580" s="2" t="e">
        <f t="shared" si="27"/>
        <v>#NUM!</v>
      </c>
      <c r="I580" s="2">
        <f t="shared" si="28"/>
        <v>0.37390096630005903</v>
      </c>
      <c r="K580" s="2" t="e">
        <f t="shared" si="29"/>
        <v>#NUM!</v>
      </c>
    </row>
    <row r="581" spans="1:11" ht="13.9" x14ac:dyDescent="0.3">
      <c r="A581" s="2" t="s">
        <v>598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 t="e">
        <f t="shared" si="27"/>
        <v>#DIV/0!</v>
      </c>
      <c r="I581" s="2" t="e">
        <f t="shared" si="28"/>
        <v>#DIV/0!</v>
      </c>
      <c r="K581" s="2" t="e">
        <f t="shared" si="29"/>
        <v>#NUM!</v>
      </c>
    </row>
    <row r="582" spans="1:11" ht="13.9" x14ac:dyDescent="0.3">
      <c r="A582" s="2" t="s">
        <v>599</v>
      </c>
      <c r="B582" s="2">
        <v>0</v>
      </c>
      <c r="C582" s="2">
        <v>0</v>
      </c>
      <c r="D582" s="2">
        <v>0</v>
      </c>
      <c r="E582" s="2">
        <v>0.1</v>
      </c>
      <c r="F582" s="2">
        <v>0</v>
      </c>
      <c r="G582" s="2">
        <v>0</v>
      </c>
      <c r="H582" s="2" t="e">
        <f t="shared" si="27"/>
        <v>#NUM!</v>
      </c>
      <c r="I582" s="2">
        <f t="shared" si="28"/>
        <v>0.37390096630005903</v>
      </c>
      <c r="K582" s="2" t="e">
        <f t="shared" si="29"/>
        <v>#NUM!</v>
      </c>
    </row>
    <row r="583" spans="1:11" ht="13.9" x14ac:dyDescent="0.3">
      <c r="A583" s="2" t="s">
        <v>600</v>
      </c>
      <c r="B583" s="2">
        <v>0</v>
      </c>
      <c r="C583" s="2">
        <v>0</v>
      </c>
      <c r="D583" s="2">
        <v>0</v>
      </c>
      <c r="E583" s="2">
        <v>0.41</v>
      </c>
      <c r="F583" s="2">
        <v>0</v>
      </c>
      <c r="G583" s="2">
        <v>0</v>
      </c>
      <c r="H583" s="2" t="e">
        <f t="shared" si="27"/>
        <v>#NUM!</v>
      </c>
      <c r="I583" s="2">
        <f t="shared" si="28"/>
        <v>0.37390096630005903</v>
      </c>
      <c r="K583" s="2" t="e">
        <f t="shared" si="29"/>
        <v>#NUM!</v>
      </c>
    </row>
    <row r="584" spans="1:11" ht="13.9" x14ac:dyDescent="0.3">
      <c r="A584" s="2" t="s">
        <v>601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 t="e">
        <f t="shared" si="27"/>
        <v>#DIV/0!</v>
      </c>
      <c r="I584" s="2" t="e">
        <f t="shared" si="28"/>
        <v>#DIV/0!</v>
      </c>
      <c r="K584" s="2" t="e">
        <f t="shared" si="29"/>
        <v>#NUM!</v>
      </c>
    </row>
    <row r="585" spans="1:11" ht="13.9" x14ac:dyDescent="0.3">
      <c r="A585" s="2" t="s">
        <v>602</v>
      </c>
      <c r="B585" s="2">
        <v>0</v>
      </c>
      <c r="C585" s="2">
        <v>11.51</v>
      </c>
      <c r="D585" s="2">
        <v>0</v>
      </c>
      <c r="E585" s="2">
        <v>0</v>
      </c>
      <c r="F585" s="2">
        <v>0</v>
      </c>
      <c r="G585" s="2">
        <v>0.14000000000000001</v>
      </c>
      <c r="H585" s="2">
        <f t="shared" si="27"/>
        <v>6.3613171960746264</v>
      </c>
      <c r="I585" s="2">
        <f t="shared" si="28"/>
        <v>0.37918655318526179</v>
      </c>
      <c r="K585" s="2">
        <f t="shared" si="29"/>
        <v>3.5248159283575062</v>
      </c>
    </row>
    <row r="586" spans="1:11" ht="13.9" x14ac:dyDescent="0.3">
      <c r="A586" s="2" t="s">
        <v>603</v>
      </c>
      <c r="B586" s="2">
        <v>64.14</v>
      </c>
      <c r="C586" s="2">
        <v>130.16999999999999</v>
      </c>
      <c r="D586" s="2">
        <v>289.08</v>
      </c>
      <c r="E586" s="2">
        <v>28.19</v>
      </c>
      <c r="F586" s="2">
        <v>81.75</v>
      </c>
      <c r="G586" s="2">
        <v>28.42</v>
      </c>
      <c r="H586" s="2">
        <f t="shared" si="27"/>
        <v>1.804760709224918</v>
      </c>
      <c r="I586" s="2">
        <f t="shared" si="28"/>
        <v>0.17131872067548923</v>
      </c>
      <c r="K586" s="2">
        <f t="shared" si="29"/>
        <v>8.9170438178231226</v>
      </c>
    </row>
    <row r="587" spans="1:11" ht="13.9" x14ac:dyDescent="0.3">
      <c r="A587" s="2" t="s">
        <v>604</v>
      </c>
      <c r="B587" s="2">
        <v>0.18</v>
      </c>
      <c r="C587" s="2">
        <v>16.95</v>
      </c>
      <c r="D587" s="2">
        <v>11.06</v>
      </c>
      <c r="E587" s="2">
        <v>17.59</v>
      </c>
      <c r="F587" s="2">
        <v>0</v>
      </c>
      <c r="G587" s="2">
        <v>9.75</v>
      </c>
      <c r="H587" s="2">
        <f t="shared" si="27"/>
        <v>4.4170234964361808E-2</v>
      </c>
      <c r="I587" s="2">
        <f t="shared" si="28"/>
        <v>0.96996193845606871</v>
      </c>
      <c r="K587" s="2">
        <f t="shared" si="29"/>
        <v>4.8171115727956968</v>
      </c>
    </row>
    <row r="588" spans="1:11" ht="13.9" x14ac:dyDescent="0.3">
      <c r="A588" s="2" t="s">
        <v>605</v>
      </c>
      <c r="B588" s="2">
        <v>851.74</v>
      </c>
      <c r="C588" s="2">
        <v>801.34</v>
      </c>
      <c r="D588" s="2">
        <v>1492.64</v>
      </c>
      <c r="E588" s="2">
        <v>1316.68</v>
      </c>
      <c r="F588" s="2">
        <v>2616.09</v>
      </c>
      <c r="G588" s="2">
        <v>1300.1500000000001</v>
      </c>
      <c r="H588" s="2">
        <f t="shared" si="27"/>
        <v>-0.73422594101321159</v>
      </c>
      <c r="I588" s="2">
        <f t="shared" si="28"/>
        <v>0.22821473682506224</v>
      </c>
      <c r="K588" s="2">
        <f t="shared" si="29"/>
        <v>11.619174547091184</v>
      </c>
    </row>
    <row r="589" spans="1:11" ht="13.9" x14ac:dyDescent="0.3">
      <c r="A589" s="2" t="s">
        <v>606</v>
      </c>
      <c r="B589" s="2">
        <v>0</v>
      </c>
      <c r="C589" s="2">
        <v>3.56</v>
      </c>
      <c r="D589" s="2">
        <v>0</v>
      </c>
      <c r="E589" s="2">
        <v>6.79</v>
      </c>
      <c r="F589" s="2">
        <v>408.76</v>
      </c>
      <c r="G589" s="2">
        <v>7.44</v>
      </c>
      <c r="H589" s="2">
        <f t="shared" si="27"/>
        <v>-6.8926025052593811</v>
      </c>
      <c r="I589" s="2">
        <f t="shared" si="28"/>
        <v>0.35532584465594758</v>
      </c>
      <c r="K589" s="2">
        <f t="shared" si="29"/>
        <v>1.8318772411916731</v>
      </c>
    </row>
    <row r="590" spans="1:11" ht="13.9" x14ac:dyDescent="0.3">
      <c r="A590" s="2" t="s">
        <v>607</v>
      </c>
      <c r="B590" s="2">
        <v>9.16</v>
      </c>
      <c r="C590" s="2">
        <v>11.93</v>
      </c>
      <c r="D590" s="2">
        <v>39.72</v>
      </c>
      <c r="E590" s="2">
        <v>51.24</v>
      </c>
      <c r="F590" s="2">
        <v>0</v>
      </c>
      <c r="G590" s="2">
        <v>70.25</v>
      </c>
      <c r="H590" s="2">
        <f t="shared" si="27"/>
        <v>-0.99845707397316541</v>
      </c>
      <c r="I590" s="2">
        <f t="shared" si="28"/>
        <v>0.43135145637662364</v>
      </c>
      <c r="K590" s="2">
        <f t="shared" si="29"/>
        <v>5.9262366844133298</v>
      </c>
    </row>
    <row r="591" spans="1:11" ht="13.9" x14ac:dyDescent="0.3">
      <c r="A591" s="2" t="s">
        <v>608</v>
      </c>
      <c r="B591" s="2">
        <v>0</v>
      </c>
      <c r="C591" s="2">
        <v>0</v>
      </c>
      <c r="D591" s="2">
        <v>0</v>
      </c>
      <c r="E591" s="2">
        <v>2.2599999999999998</v>
      </c>
      <c r="F591" s="2">
        <v>0</v>
      </c>
      <c r="G591" s="2">
        <v>0.41</v>
      </c>
      <c r="H591" s="2" t="e">
        <f t="shared" si="27"/>
        <v>#NUM!</v>
      </c>
      <c r="I591" s="2">
        <f t="shared" si="28"/>
        <v>0.26964307605782228</v>
      </c>
      <c r="K591" s="2" t="e">
        <f t="shared" si="29"/>
        <v>#NUM!</v>
      </c>
    </row>
    <row r="592" spans="1:11" ht="13.9" x14ac:dyDescent="0.3">
      <c r="A592" s="2" t="s">
        <v>609</v>
      </c>
      <c r="B592" s="2">
        <v>0</v>
      </c>
      <c r="C592" s="2">
        <v>7.53</v>
      </c>
      <c r="D592" s="2">
        <v>0</v>
      </c>
      <c r="E592" s="2">
        <v>0</v>
      </c>
      <c r="F592" s="2">
        <v>0</v>
      </c>
      <c r="G592" s="2">
        <v>0</v>
      </c>
      <c r="H592" s="2" t="e">
        <f t="shared" si="27"/>
        <v>#DIV/0!</v>
      </c>
      <c r="I592" s="2">
        <f t="shared" si="28"/>
        <v>0.37390096630005903</v>
      </c>
      <c r="K592" s="2">
        <f t="shared" si="29"/>
        <v>2.9126498648972032</v>
      </c>
    </row>
    <row r="593" spans="1:11" ht="13.9" x14ac:dyDescent="0.3">
      <c r="A593" s="2" t="s">
        <v>610</v>
      </c>
      <c r="B593" s="2">
        <v>0</v>
      </c>
      <c r="C593" s="2">
        <v>0</v>
      </c>
      <c r="D593" s="2">
        <v>10.56</v>
      </c>
      <c r="E593" s="2">
        <v>1.85</v>
      </c>
      <c r="F593" s="2">
        <v>0</v>
      </c>
      <c r="G593" s="2">
        <v>1.22</v>
      </c>
      <c r="H593" s="2">
        <f t="shared" si="27"/>
        <v>1.7822992739882739</v>
      </c>
      <c r="I593" s="2">
        <f t="shared" si="28"/>
        <v>0.52194531378936682</v>
      </c>
      <c r="K593" s="2">
        <f t="shared" si="29"/>
        <v>3.400537929583729</v>
      </c>
    </row>
    <row r="594" spans="1:11" ht="13.9" x14ac:dyDescent="0.3">
      <c r="A594" s="2" t="s">
        <v>611</v>
      </c>
      <c r="B594" s="2">
        <v>0</v>
      </c>
      <c r="C594" s="2">
        <v>0</v>
      </c>
      <c r="D594" s="2">
        <v>0</v>
      </c>
      <c r="E594" s="2">
        <v>2.2599999999999998</v>
      </c>
      <c r="F594" s="2">
        <v>0</v>
      </c>
      <c r="G594" s="2">
        <v>3.25</v>
      </c>
      <c r="H594" s="2" t="e">
        <f t="shared" si="27"/>
        <v>#NUM!</v>
      </c>
      <c r="I594" s="2">
        <f t="shared" si="28"/>
        <v>0.12879583666271874</v>
      </c>
      <c r="K594" s="2" t="e">
        <f t="shared" si="29"/>
        <v>#NUM!</v>
      </c>
    </row>
    <row r="595" spans="1:11" ht="13.9" x14ac:dyDescent="0.3">
      <c r="A595" s="2" t="s">
        <v>612</v>
      </c>
      <c r="B595" s="2">
        <v>0</v>
      </c>
      <c r="C595" s="2">
        <v>8.7899999999999991</v>
      </c>
      <c r="D595" s="2">
        <v>0</v>
      </c>
      <c r="E595" s="2">
        <v>0.93</v>
      </c>
      <c r="F595" s="2">
        <v>0</v>
      </c>
      <c r="G595" s="2">
        <v>2.17</v>
      </c>
      <c r="H595" s="2">
        <f t="shared" si="27"/>
        <v>1.5035949498691663</v>
      </c>
      <c r="I595" s="2">
        <f t="shared" si="28"/>
        <v>0.56115966726734912</v>
      </c>
      <c r="K595" s="2">
        <f t="shared" si="29"/>
        <v>3.1358631653686793</v>
      </c>
    </row>
    <row r="596" spans="1:11" ht="13.9" x14ac:dyDescent="0.3">
      <c r="A596" s="2" t="s">
        <v>613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 t="e">
        <f t="shared" si="27"/>
        <v>#DIV/0!</v>
      </c>
      <c r="I596" s="2" t="e">
        <f t="shared" si="28"/>
        <v>#DIV/0!</v>
      </c>
      <c r="K596" s="2" t="e">
        <f t="shared" si="29"/>
        <v>#NUM!</v>
      </c>
    </row>
    <row r="597" spans="1:11" ht="13.9" x14ac:dyDescent="0.3">
      <c r="A597" s="2" t="s">
        <v>614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0.27</v>
      </c>
      <c r="H597" s="2" t="e">
        <f t="shared" si="27"/>
        <v>#NUM!</v>
      </c>
      <c r="I597" s="2">
        <f t="shared" si="28"/>
        <v>0.37390096630005903</v>
      </c>
      <c r="K597" s="2" t="e">
        <f t="shared" si="29"/>
        <v>#NUM!</v>
      </c>
    </row>
    <row r="598" spans="1:11" ht="13.9" x14ac:dyDescent="0.3">
      <c r="A598" s="2" t="s">
        <v>615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 t="e">
        <f t="shared" si="27"/>
        <v>#DIV/0!</v>
      </c>
      <c r="I598" s="2" t="e">
        <f t="shared" si="28"/>
        <v>#DIV/0!</v>
      </c>
      <c r="K598" s="2" t="e">
        <f t="shared" si="29"/>
        <v>#NUM!</v>
      </c>
    </row>
    <row r="599" spans="1:11" ht="13.9" x14ac:dyDescent="0.3">
      <c r="A599" s="2" t="s">
        <v>616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0.41</v>
      </c>
      <c r="H599" s="2" t="e">
        <f t="shared" si="27"/>
        <v>#NUM!</v>
      </c>
      <c r="I599" s="2">
        <f t="shared" si="28"/>
        <v>0.37390096630005903</v>
      </c>
      <c r="K599" s="2" t="e">
        <f t="shared" si="29"/>
        <v>#NUM!</v>
      </c>
    </row>
    <row r="600" spans="1:11" ht="13.9" x14ac:dyDescent="0.3">
      <c r="A600" s="2" t="s">
        <v>617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 t="e">
        <f t="shared" si="27"/>
        <v>#DIV/0!</v>
      </c>
      <c r="I600" s="2" t="e">
        <f t="shared" si="28"/>
        <v>#DIV/0!</v>
      </c>
      <c r="K600" s="2" t="e">
        <f t="shared" si="29"/>
        <v>#NUM!</v>
      </c>
    </row>
    <row r="601" spans="1:11" ht="13.9" x14ac:dyDescent="0.3">
      <c r="A601" s="2" t="s">
        <v>618</v>
      </c>
      <c r="B601" s="2">
        <v>5.21</v>
      </c>
      <c r="C601" s="2">
        <v>9.6300000000000008</v>
      </c>
      <c r="D601" s="2">
        <v>5.53</v>
      </c>
      <c r="E601" s="2">
        <v>19.45</v>
      </c>
      <c r="F601" s="2">
        <v>0</v>
      </c>
      <c r="G601" s="2">
        <v>27.75</v>
      </c>
      <c r="H601" s="2">
        <f t="shared" si="27"/>
        <v>-1.2123408792833157</v>
      </c>
      <c r="I601" s="2">
        <f t="shared" si="28"/>
        <v>0.34424510279821185</v>
      </c>
      <c r="K601" s="2">
        <f t="shared" si="29"/>
        <v>4.3483740751911633</v>
      </c>
    </row>
    <row r="602" spans="1:11" ht="13.9" x14ac:dyDescent="0.3">
      <c r="A602" s="2" t="s">
        <v>619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 t="e">
        <f t="shared" si="27"/>
        <v>#DIV/0!</v>
      </c>
      <c r="I602" s="2" t="e">
        <f t="shared" si="28"/>
        <v>#DIV/0!</v>
      </c>
      <c r="K602" s="2" t="e">
        <f t="shared" si="29"/>
        <v>#NUM!</v>
      </c>
    </row>
    <row r="603" spans="1:11" ht="13.9" x14ac:dyDescent="0.3">
      <c r="A603" s="2" t="s">
        <v>620</v>
      </c>
      <c r="B603" s="2">
        <v>0</v>
      </c>
      <c r="C603" s="2">
        <v>4.1900000000000004</v>
      </c>
      <c r="D603" s="2">
        <v>0</v>
      </c>
      <c r="E603" s="2">
        <v>0</v>
      </c>
      <c r="F603" s="2">
        <v>0</v>
      </c>
      <c r="G603" s="2">
        <v>0</v>
      </c>
      <c r="H603" s="2" t="e">
        <f t="shared" si="27"/>
        <v>#DIV/0!</v>
      </c>
      <c r="I603" s="2">
        <f t="shared" si="28"/>
        <v>0.37390096630005903</v>
      </c>
      <c r="K603" s="2">
        <f t="shared" si="29"/>
        <v>2.066950243924627</v>
      </c>
    </row>
    <row r="604" spans="1:11" ht="13.9" x14ac:dyDescent="0.3">
      <c r="A604" s="2" t="s">
        <v>621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 t="e">
        <f t="shared" si="27"/>
        <v>#DIV/0!</v>
      </c>
      <c r="I604" s="2" t="e">
        <f t="shared" si="28"/>
        <v>#DIV/0!</v>
      </c>
      <c r="K604" s="2" t="e">
        <f t="shared" si="29"/>
        <v>#NUM!</v>
      </c>
    </row>
    <row r="605" spans="1:11" ht="13.9" x14ac:dyDescent="0.3">
      <c r="A605" s="2" t="s">
        <v>622</v>
      </c>
      <c r="B605" s="2">
        <v>0</v>
      </c>
      <c r="C605" s="2">
        <v>0</v>
      </c>
      <c r="D605" s="2">
        <v>0</v>
      </c>
      <c r="E605" s="2">
        <v>2.2599999999999998</v>
      </c>
      <c r="F605" s="2">
        <v>0</v>
      </c>
      <c r="G605" s="2">
        <v>4.74</v>
      </c>
      <c r="H605" s="2" t="e">
        <f t="shared" si="27"/>
        <v>#NUM!</v>
      </c>
      <c r="I605" s="2">
        <f t="shared" si="28"/>
        <v>0.16346342524754634</v>
      </c>
      <c r="K605" s="2" t="e">
        <f t="shared" si="29"/>
        <v>#NUM!</v>
      </c>
    </row>
    <row r="606" spans="1:11" ht="13.9" x14ac:dyDescent="0.3">
      <c r="A606" s="2" t="s">
        <v>623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 t="e">
        <f t="shared" si="27"/>
        <v>#DIV/0!</v>
      </c>
      <c r="I606" s="2" t="e">
        <f t="shared" si="28"/>
        <v>#DIV/0!</v>
      </c>
      <c r="K606" s="2" t="e">
        <f t="shared" si="29"/>
        <v>#NUM!</v>
      </c>
    </row>
    <row r="607" spans="1:11" ht="13.9" x14ac:dyDescent="0.3">
      <c r="A607" s="2" t="s">
        <v>624</v>
      </c>
      <c r="B607" s="2">
        <v>0</v>
      </c>
      <c r="C607" s="2">
        <v>0</v>
      </c>
      <c r="D607" s="2">
        <v>0</v>
      </c>
      <c r="E607" s="2">
        <v>0.1</v>
      </c>
      <c r="F607" s="2">
        <v>0</v>
      </c>
      <c r="G607" s="2">
        <v>1.49</v>
      </c>
      <c r="H607" s="2" t="e">
        <f t="shared" si="27"/>
        <v>#NUM!</v>
      </c>
      <c r="I607" s="2">
        <f t="shared" si="28"/>
        <v>0.33224201222489275</v>
      </c>
      <c r="K607" s="2" t="e">
        <f t="shared" si="29"/>
        <v>#NUM!</v>
      </c>
    </row>
    <row r="608" spans="1:11" ht="13.9" x14ac:dyDescent="0.3">
      <c r="A608" s="2" t="s">
        <v>625</v>
      </c>
      <c r="B608" s="2">
        <v>3.95</v>
      </c>
      <c r="C608" s="2">
        <v>8.16</v>
      </c>
      <c r="D608" s="2">
        <v>0</v>
      </c>
      <c r="E608" s="2">
        <v>14.92</v>
      </c>
      <c r="F608" s="2">
        <v>0</v>
      </c>
      <c r="G608" s="2">
        <v>25.99</v>
      </c>
      <c r="H608" s="2">
        <f t="shared" si="27"/>
        <v>-1.7562546721937176</v>
      </c>
      <c r="I608" s="2">
        <f t="shared" si="28"/>
        <v>0.2905887654438189</v>
      </c>
      <c r="K608" s="2">
        <f t="shared" si="29"/>
        <v>3.5981269599196044</v>
      </c>
    </row>
    <row r="609" spans="1:11" ht="13.9" x14ac:dyDescent="0.3">
      <c r="A609" s="2" t="s">
        <v>626</v>
      </c>
      <c r="B609" s="2">
        <v>0</v>
      </c>
      <c r="C609" s="2">
        <v>0</v>
      </c>
      <c r="D609" s="2">
        <v>2.5099999999999998</v>
      </c>
      <c r="E609" s="2">
        <v>0.1</v>
      </c>
      <c r="F609" s="2">
        <v>0</v>
      </c>
      <c r="G609" s="2">
        <v>0.41</v>
      </c>
      <c r="H609" s="2">
        <f t="shared" si="27"/>
        <v>2.2991182119792763</v>
      </c>
      <c r="I609" s="2">
        <f t="shared" si="28"/>
        <v>0.47462201605889431</v>
      </c>
      <c r="K609" s="2">
        <f t="shared" si="29"/>
        <v>1.3276873641760472</v>
      </c>
    </row>
    <row r="610" spans="1:11" ht="13.9" x14ac:dyDescent="0.3">
      <c r="A610" s="2" t="s">
        <v>627</v>
      </c>
      <c r="B610" s="2">
        <v>0</v>
      </c>
      <c r="C610" s="2">
        <v>10.88</v>
      </c>
      <c r="D610" s="2">
        <v>2.5099999999999998</v>
      </c>
      <c r="E610" s="2">
        <v>1.23</v>
      </c>
      <c r="F610" s="2">
        <v>0</v>
      </c>
      <c r="G610" s="2">
        <v>5.01</v>
      </c>
      <c r="H610" s="2">
        <f t="shared" si="27"/>
        <v>1.1015380264620624</v>
      </c>
      <c r="I610" s="2">
        <f t="shared" si="28"/>
        <v>0.5460611959227859</v>
      </c>
      <c r="K610" s="2">
        <f t="shared" si="29"/>
        <v>3.7430840555495859</v>
      </c>
    </row>
    <row r="611" spans="1:11" ht="13.9" x14ac:dyDescent="0.3">
      <c r="A611" s="2" t="s">
        <v>628</v>
      </c>
      <c r="B611" s="2">
        <v>0</v>
      </c>
      <c r="C611" s="2">
        <v>0</v>
      </c>
      <c r="D611" s="2">
        <v>20.61</v>
      </c>
      <c r="E611" s="2">
        <v>1.75</v>
      </c>
      <c r="F611" s="2">
        <v>0</v>
      </c>
      <c r="G611" s="2">
        <v>1.76</v>
      </c>
      <c r="H611" s="2">
        <f t="shared" si="27"/>
        <v>2.5538015692346958</v>
      </c>
      <c r="I611" s="2">
        <f t="shared" si="28"/>
        <v>0.45486751291604094</v>
      </c>
      <c r="K611" s="2">
        <f t="shared" si="29"/>
        <v>4.3652725997645314</v>
      </c>
    </row>
    <row r="612" spans="1:11" ht="13.9" x14ac:dyDescent="0.3">
      <c r="A612" s="2" t="s">
        <v>629</v>
      </c>
      <c r="B612" s="2">
        <v>0</v>
      </c>
      <c r="C612" s="2">
        <v>4.8099999999999996</v>
      </c>
      <c r="D612" s="2">
        <v>0</v>
      </c>
      <c r="E612" s="2">
        <v>1.85</v>
      </c>
      <c r="F612" s="2">
        <v>0</v>
      </c>
      <c r="G612" s="2">
        <v>1.35</v>
      </c>
      <c r="H612" s="2">
        <f t="shared" si="27"/>
        <v>0.58796498888267945</v>
      </c>
      <c r="I612" s="2">
        <f t="shared" si="28"/>
        <v>0.767482890500916</v>
      </c>
      <c r="K612" s="2">
        <f t="shared" si="29"/>
        <v>2.266036893995317</v>
      </c>
    </row>
    <row r="613" spans="1:11" ht="13.9" x14ac:dyDescent="0.3">
      <c r="A613" s="2" t="s">
        <v>630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 t="e">
        <f t="shared" si="27"/>
        <v>#DIV/0!</v>
      </c>
      <c r="I613" s="2" t="e">
        <f t="shared" si="28"/>
        <v>#DIV/0!</v>
      </c>
      <c r="K613" s="2" t="e">
        <f t="shared" si="29"/>
        <v>#NUM!</v>
      </c>
    </row>
    <row r="614" spans="1:11" ht="13.9" x14ac:dyDescent="0.3">
      <c r="A614" s="2" t="s">
        <v>631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 t="e">
        <f t="shared" si="27"/>
        <v>#DIV/0!</v>
      </c>
      <c r="I614" s="2" t="e">
        <f t="shared" si="28"/>
        <v>#DIV/0!</v>
      </c>
      <c r="K614" s="2" t="e">
        <f t="shared" si="29"/>
        <v>#NUM!</v>
      </c>
    </row>
    <row r="615" spans="1:11" ht="13.9" x14ac:dyDescent="0.3">
      <c r="A615" s="2" t="s">
        <v>632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 t="e">
        <f t="shared" si="27"/>
        <v>#DIV/0!</v>
      </c>
      <c r="I615" s="2" t="e">
        <f t="shared" si="28"/>
        <v>#DIV/0!</v>
      </c>
      <c r="K615" s="2" t="e">
        <f t="shared" si="29"/>
        <v>#NUM!</v>
      </c>
    </row>
    <row r="616" spans="1:11" ht="13.9" x14ac:dyDescent="0.3">
      <c r="A616" s="2" t="s">
        <v>633</v>
      </c>
      <c r="B616" s="2">
        <v>3.05</v>
      </c>
      <c r="C616" s="2">
        <v>9</v>
      </c>
      <c r="D616" s="2">
        <v>0</v>
      </c>
      <c r="E616" s="2">
        <v>0.62</v>
      </c>
      <c r="F616" s="2">
        <v>0</v>
      </c>
      <c r="G616" s="2">
        <v>0.41</v>
      </c>
      <c r="H616" s="2">
        <f t="shared" si="27"/>
        <v>3.5483169039341056</v>
      </c>
      <c r="I616" s="2">
        <f t="shared" si="28"/>
        <v>0.23780167513625353</v>
      </c>
      <c r="K616" s="2">
        <f t="shared" si="29"/>
        <v>3.5909612413425993</v>
      </c>
    </row>
    <row r="617" spans="1:11" ht="13.9" x14ac:dyDescent="0.3">
      <c r="A617" s="2" t="s">
        <v>634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 t="e">
        <f t="shared" si="27"/>
        <v>#DIV/0!</v>
      </c>
      <c r="I617" s="2" t="e">
        <f t="shared" si="28"/>
        <v>#DIV/0!</v>
      </c>
      <c r="K617" s="2" t="e">
        <f t="shared" si="29"/>
        <v>#NUM!</v>
      </c>
    </row>
    <row r="618" spans="1:11" ht="13.9" x14ac:dyDescent="0.3">
      <c r="A618" s="2" t="s">
        <v>635</v>
      </c>
      <c r="B618" s="2">
        <v>0</v>
      </c>
      <c r="C618" s="2">
        <v>0</v>
      </c>
      <c r="D618" s="2">
        <v>9.0500000000000007</v>
      </c>
      <c r="E618" s="2">
        <v>1.23</v>
      </c>
      <c r="F618" s="2">
        <v>0</v>
      </c>
      <c r="G618" s="2">
        <v>1.62</v>
      </c>
      <c r="H618" s="2">
        <f t="shared" si="27"/>
        <v>1.6669558729184637</v>
      </c>
      <c r="I618" s="2">
        <f t="shared" si="28"/>
        <v>0.53594619859309356</v>
      </c>
      <c r="K618" s="2">
        <f t="shared" si="29"/>
        <v>3.177917792195843</v>
      </c>
    </row>
    <row r="619" spans="1:11" ht="13.9" x14ac:dyDescent="0.3">
      <c r="A619" s="2" t="s">
        <v>636</v>
      </c>
      <c r="B619" s="2">
        <v>0</v>
      </c>
      <c r="C619" s="2">
        <v>1.88</v>
      </c>
      <c r="D619" s="2">
        <v>0</v>
      </c>
      <c r="E619" s="2">
        <v>0.72</v>
      </c>
      <c r="F619" s="2">
        <v>0</v>
      </c>
      <c r="G619" s="2">
        <v>3.93</v>
      </c>
      <c r="H619" s="2">
        <f t="shared" si="27"/>
        <v>-1.3064980543177567</v>
      </c>
      <c r="I619" s="2">
        <f t="shared" si="28"/>
        <v>0.53469192617445249</v>
      </c>
      <c r="K619" s="2">
        <f t="shared" si="29"/>
        <v>0.91073266190291258</v>
      </c>
    </row>
    <row r="620" spans="1:11" ht="13.9" x14ac:dyDescent="0.3">
      <c r="A620" s="2" t="s">
        <v>637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0.68</v>
      </c>
      <c r="H620" s="2" t="e">
        <f t="shared" si="27"/>
        <v>#NUM!</v>
      </c>
      <c r="I620" s="2">
        <f t="shared" si="28"/>
        <v>0.37390096630005903</v>
      </c>
      <c r="K620" s="2" t="e">
        <f t="shared" si="29"/>
        <v>#NUM!</v>
      </c>
    </row>
    <row r="621" spans="1:11" ht="13.9" x14ac:dyDescent="0.3">
      <c r="A621" s="2" t="s">
        <v>638</v>
      </c>
      <c r="B621" s="2">
        <v>11.32</v>
      </c>
      <c r="C621" s="2">
        <v>2.72</v>
      </c>
      <c r="D621" s="2">
        <v>0</v>
      </c>
      <c r="E621" s="2">
        <v>2.06</v>
      </c>
      <c r="F621" s="2">
        <v>286.13</v>
      </c>
      <c r="G621" s="2">
        <v>0.27</v>
      </c>
      <c r="H621" s="2">
        <f t="shared" si="27"/>
        <v>-4.3607564372056071</v>
      </c>
      <c r="I621" s="2">
        <f t="shared" si="28"/>
        <v>0.3903660290759865</v>
      </c>
      <c r="K621" s="2">
        <f t="shared" si="29"/>
        <v>3.8114710305298365</v>
      </c>
    </row>
    <row r="622" spans="1:11" ht="13.9" x14ac:dyDescent="0.3">
      <c r="A622" s="2" t="s">
        <v>639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 t="e">
        <f t="shared" si="27"/>
        <v>#DIV/0!</v>
      </c>
      <c r="I622" s="2" t="e">
        <f t="shared" si="28"/>
        <v>#DIV/0!</v>
      </c>
      <c r="K622" s="2" t="e">
        <f t="shared" si="29"/>
        <v>#NUM!</v>
      </c>
    </row>
    <row r="623" spans="1:11" ht="13.9" x14ac:dyDescent="0.3">
      <c r="A623" s="2" t="s">
        <v>640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 t="e">
        <f t="shared" si="27"/>
        <v>#DIV/0!</v>
      </c>
      <c r="I623" s="2" t="e">
        <f t="shared" si="28"/>
        <v>#DIV/0!</v>
      </c>
      <c r="K623" s="2" t="e">
        <f t="shared" si="29"/>
        <v>#NUM!</v>
      </c>
    </row>
    <row r="624" spans="1:11" ht="13.9" x14ac:dyDescent="0.3">
      <c r="A624" s="2" t="s">
        <v>641</v>
      </c>
      <c r="B624" s="2">
        <v>0</v>
      </c>
      <c r="C624" s="2">
        <v>0</v>
      </c>
      <c r="D624" s="2">
        <v>0</v>
      </c>
      <c r="E624" s="2">
        <v>0.41</v>
      </c>
      <c r="F624" s="2">
        <v>163.51</v>
      </c>
      <c r="G624" s="2">
        <v>0.68</v>
      </c>
      <c r="H624" s="2" t="e">
        <f t="shared" si="27"/>
        <v>#NUM!</v>
      </c>
      <c r="I624" s="2">
        <f t="shared" si="28"/>
        <v>0.36961564153084114</v>
      </c>
      <c r="K624" s="2" t="e">
        <f t="shared" si="29"/>
        <v>#NUM!</v>
      </c>
    </row>
    <row r="625" spans="1:11" ht="13.9" x14ac:dyDescent="0.3">
      <c r="A625" s="2" t="s">
        <v>642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 t="e">
        <f t="shared" si="27"/>
        <v>#DIV/0!</v>
      </c>
      <c r="I625" s="2" t="e">
        <f t="shared" si="28"/>
        <v>#DIV/0!</v>
      </c>
      <c r="K625" s="2" t="e">
        <f t="shared" si="29"/>
        <v>#NUM!</v>
      </c>
    </row>
    <row r="626" spans="1:11" ht="13.9" x14ac:dyDescent="0.3">
      <c r="A626" s="2" t="s">
        <v>643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 t="e">
        <f t="shared" si="27"/>
        <v>#DIV/0!</v>
      </c>
      <c r="I626" s="2" t="e">
        <f t="shared" si="28"/>
        <v>#DIV/0!</v>
      </c>
      <c r="K626" s="2" t="e">
        <f t="shared" si="29"/>
        <v>#NUM!</v>
      </c>
    </row>
    <row r="627" spans="1:11" ht="13.9" x14ac:dyDescent="0.3">
      <c r="A627" s="2" t="s">
        <v>644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 t="e">
        <f t="shared" si="27"/>
        <v>#DIV/0!</v>
      </c>
      <c r="I627" s="2" t="e">
        <f t="shared" si="28"/>
        <v>#DIV/0!</v>
      </c>
      <c r="K627" s="2" t="e">
        <f t="shared" si="29"/>
        <v>#NUM!</v>
      </c>
    </row>
    <row r="628" spans="1:11" ht="13.9" x14ac:dyDescent="0.3">
      <c r="A628" s="2" t="s">
        <v>645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 t="e">
        <f t="shared" si="27"/>
        <v>#DIV/0!</v>
      </c>
      <c r="I628" s="2" t="e">
        <f t="shared" si="28"/>
        <v>#DIV/0!</v>
      </c>
      <c r="K628" s="2" t="e">
        <f t="shared" si="29"/>
        <v>#NUM!</v>
      </c>
    </row>
    <row r="629" spans="1:11" ht="13.9" x14ac:dyDescent="0.3">
      <c r="A629" s="2" t="s">
        <v>646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 t="e">
        <f t="shared" si="27"/>
        <v>#DIV/0!</v>
      </c>
      <c r="I629" s="2" t="e">
        <f t="shared" si="28"/>
        <v>#DIV/0!</v>
      </c>
      <c r="K629" s="2" t="e">
        <f t="shared" si="29"/>
        <v>#NUM!</v>
      </c>
    </row>
    <row r="630" spans="1:11" ht="13.9" x14ac:dyDescent="0.3">
      <c r="A630" s="2" t="s">
        <v>647</v>
      </c>
      <c r="B630" s="2">
        <v>0</v>
      </c>
      <c r="C630" s="2">
        <v>0</v>
      </c>
      <c r="D630" s="2">
        <v>0</v>
      </c>
      <c r="E630" s="2">
        <v>0.93</v>
      </c>
      <c r="F630" s="2">
        <v>0</v>
      </c>
      <c r="G630" s="2">
        <v>0</v>
      </c>
      <c r="H630" s="2" t="e">
        <f t="shared" si="27"/>
        <v>#NUM!</v>
      </c>
      <c r="I630" s="2">
        <f t="shared" si="28"/>
        <v>0.37390096630005903</v>
      </c>
      <c r="K630" s="2" t="e">
        <f t="shared" si="29"/>
        <v>#NUM!</v>
      </c>
    </row>
    <row r="631" spans="1:11" ht="13.9" x14ac:dyDescent="0.3">
      <c r="A631" s="2" t="s">
        <v>648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 t="e">
        <f t="shared" si="27"/>
        <v>#DIV/0!</v>
      </c>
      <c r="I631" s="2" t="e">
        <f t="shared" si="28"/>
        <v>#DIV/0!</v>
      </c>
      <c r="K631" s="2" t="e">
        <f t="shared" si="29"/>
        <v>#NUM!</v>
      </c>
    </row>
    <row r="632" spans="1:11" ht="13.9" x14ac:dyDescent="0.3">
      <c r="A632" s="2" t="s">
        <v>649</v>
      </c>
      <c r="B632" s="2">
        <v>0.72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 t="e">
        <f t="shared" si="27"/>
        <v>#DIV/0!</v>
      </c>
      <c r="I632" s="2">
        <f t="shared" si="28"/>
        <v>0.37390096630005903</v>
      </c>
      <c r="K632" s="2">
        <f t="shared" si="29"/>
        <v>-0.47393118833241243</v>
      </c>
    </row>
    <row r="633" spans="1:11" ht="13.9" x14ac:dyDescent="0.3">
      <c r="A633" s="2" t="s">
        <v>650</v>
      </c>
      <c r="B633" s="2">
        <v>283.49</v>
      </c>
      <c r="C633" s="2">
        <v>579.91999999999996</v>
      </c>
      <c r="D633" s="2">
        <v>525.37</v>
      </c>
      <c r="E633" s="2">
        <v>534.51</v>
      </c>
      <c r="F633" s="2">
        <v>327.01</v>
      </c>
      <c r="G633" s="2">
        <v>764.17</v>
      </c>
      <c r="H633" s="2">
        <f t="shared" si="27"/>
        <v>-0.22723410202272007</v>
      </c>
      <c r="I633" s="2">
        <f t="shared" si="28"/>
        <v>0.6386648844039875</v>
      </c>
      <c r="K633" s="2">
        <f t="shared" si="29"/>
        <v>10.439602361269257</v>
      </c>
    </row>
    <row r="634" spans="1:11" ht="13.9" x14ac:dyDescent="0.3">
      <c r="A634" s="2" t="s">
        <v>651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 t="e">
        <f t="shared" si="27"/>
        <v>#DIV/0!</v>
      </c>
      <c r="I634" s="2" t="e">
        <f t="shared" si="28"/>
        <v>#DIV/0!</v>
      </c>
      <c r="K634" s="2" t="e">
        <f t="shared" si="29"/>
        <v>#NUM!</v>
      </c>
    </row>
    <row r="635" spans="1:11" ht="13.9" x14ac:dyDescent="0.3">
      <c r="A635" s="2" t="s">
        <v>652</v>
      </c>
      <c r="B635" s="2">
        <v>107.43</v>
      </c>
      <c r="C635" s="2">
        <v>159.68</v>
      </c>
      <c r="D635" s="2">
        <v>130.21</v>
      </c>
      <c r="E635" s="2">
        <v>123.78</v>
      </c>
      <c r="F635" s="2">
        <v>81.75</v>
      </c>
      <c r="G635" s="2">
        <v>117.75</v>
      </c>
      <c r="H635" s="2">
        <f t="shared" si="27"/>
        <v>0.29751715993469657</v>
      </c>
      <c r="I635" s="2">
        <f t="shared" si="28"/>
        <v>0.28521800208406456</v>
      </c>
      <c r="K635" s="2">
        <f t="shared" si="29"/>
        <v>8.6341576063434307</v>
      </c>
    </row>
    <row r="636" spans="1:11" ht="13.9" x14ac:dyDescent="0.3">
      <c r="A636" s="2" t="s">
        <v>653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 t="e">
        <f t="shared" si="27"/>
        <v>#DIV/0!</v>
      </c>
      <c r="I636" s="2" t="e">
        <f t="shared" si="28"/>
        <v>#DIV/0!</v>
      </c>
      <c r="K636" s="2" t="e">
        <f t="shared" si="29"/>
        <v>#NUM!</v>
      </c>
    </row>
    <row r="637" spans="1:11" ht="13.9" x14ac:dyDescent="0.3">
      <c r="A637" s="2" t="s">
        <v>654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 t="e">
        <f t="shared" si="27"/>
        <v>#DIV/0!</v>
      </c>
      <c r="I637" s="2" t="e">
        <f t="shared" si="28"/>
        <v>#DIV/0!</v>
      </c>
      <c r="K637" s="2" t="e">
        <f t="shared" si="29"/>
        <v>#NUM!</v>
      </c>
    </row>
    <row r="638" spans="1:11" ht="13.9" x14ac:dyDescent="0.3">
      <c r="A638" s="2" t="s">
        <v>655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 t="e">
        <f t="shared" si="27"/>
        <v>#DIV/0!</v>
      </c>
      <c r="I638" s="2" t="e">
        <f t="shared" si="28"/>
        <v>#DIV/0!</v>
      </c>
      <c r="K638" s="2" t="e">
        <f t="shared" si="29"/>
        <v>#NUM!</v>
      </c>
    </row>
    <row r="639" spans="1:11" ht="13.9" x14ac:dyDescent="0.3">
      <c r="A639" s="2" t="s">
        <v>656</v>
      </c>
      <c r="B639" s="2">
        <v>0</v>
      </c>
      <c r="C639" s="2">
        <v>0</v>
      </c>
      <c r="D639" s="2">
        <v>0</v>
      </c>
      <c r="E639" s="2">
        <v>0.1</v>
      </c>
      <c r="F639" s="2">
        <v>0</v>
      </c>
      <c r="G639" s="2">
        <v>0.95</v>
      </c>
      <c r="H639" s="2" t="e">
        <f t="shared" si="27"/>
        <v>#NUM!</v>
      </c>
      <c r="I639" s="2">
        <f t="shared" si="28"/>
        <v>0.31009649504930942</v>
      </c>
      <c r="K639" s="2" t="e">
        <f t="shared" si="29"/>
        <v>#NUM!</v>
      </c>
    </row>
    <row r="640" spans="1:11" ht="13.9" x14ac:dyDescent="0.3">
      <c r="A640" s="2" t="s">
        <v>657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 t="e">
        <f t="shared" si="27"/>
        <v>#DIV/0!</v>
      </c>
      <c r="I640" s="2" t="e">
        <f t="shared" si="28"/>
        <v>#DIV/0!</v>
      </c>
      <c r="K640" s="2" t="e">
        <f t="shared" si="29"/>
        <v>#NUM!</v>
      </c>
    </row>
    <row r="641" spans="1:11" ht="13.9" x14ac:dyDescent="0.3">
      <c r="A641" s="2" t="s">
        <v>658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 t="e">
        <f t="shared" si="27"/>
        <v>#DIV/0!</v>
      </c>
      <c r="I641" s="2" t="e">
        <f t="shared" si="28"/>
        <v>#DIV/0!</v>
      </c>
      <c r="K641" s="2" t="e">
        <f t="shared" si="29"/>
        <v>#NUM!</v>
      </c>
    </row>
    <row r="642" spans="1:11" ht="13.9" x14ac:dyDescent="0.3">
      <c r="A642" s="2" t="s">
        <v>659</v>
      </c>
      <c r="B642" s="2">
        <v>0</v>
      </c>
      <c r="C642" s="2">
        <v>0</v>
      </c>
      <c r="D642" s="2">
        <v>0</v>
      </c>
      <c r="E642" s="2">
        <v>0.72</v>
      </c>
      <c r="F642" s="2">
        <v>0</v>
      </c>
      <c r="G642" s="2">
        <v>0.68</v>
      </c>
      <c r="H642" s="2" t="e">
        <f t="shared" ref="H642:H705" si="30">LOG(SUM(B642:D642)/SUM(E642:G642),2)</f>
        <v>#NUM!</v>
      </c>
      <c r="I642" s="2">
        <f t="shared" ref="I642:I705" si="31">_xlfn.T.TEST(B642:D642,E642:G642,2,2)</f>
        <v>0.1164411159095611</v>
      </c>
      <c r="K642" s="2" t="e">
        <f t="shared" si="29"/>
        <v>#NUM!</v>
      </c>
    </row>
    <row r="643" spans="1:11" ht="13.9" x14ac:dyDescent="0.3">
      <c r="A643" s="2" t="s">
        <v>660</v>
      </c>
      <c r="B643" s="2">
        <v>0</v>
      </c>
      <c r="C643" s="2">
        <v>0</v>
      </c>
      <c r="D643" s="2">
        <v>0</v>
      </c>
      <c r="E643" s="2">
        <v>0.72</v>
      </c>
      <c r="F643" s="2">
        <v>0</v>
      </c>
      <c r="G643" s="2">
        <v>0.68</v>
      </c>
      <c r="H643" s="2" t="e">
        <f t="shared" si="30"/>
        <v>#NUM!</v>
      </c>
      <c r="I643" s="2">
        <f t="shared" si="31"/>
        <v>0.1164411159095611</v>
      </c>
      <c r="K643" s="2" t="e">
        <f t="shared" ref="K643:K706" si="32">LOG(SUM(B643:D643),2)</f>
        <v>#NUM!</v>
      </c>
    </row>
    <row r="644" spans="1:11" ht="13.9" x14ac:dyDescent="0.3">
      <c r="A644" s="2" t="s">
        <v>661</v>
      </c>
      <c r="B644" s="2">
        <v>0.18</v>
      </c>
      <c r="C644" s="2">
        <v>0</v>
      </c>
      <c r="D644" s="2">
        <v>7.04</v>
      </c>
      <c r="E644" s="2">
        <v>2.57</v>
      </c>
      <c r="F644" s="2">
        <v>0</v>
      </c>
      <c r="G644" s="2">
        <v>2.44</v>
      </c>
      <c r="H644" s="2">
        <f t="shared" si="30"/>
        <v>0.52718823369196277</v>
      </c>
      <c r="I644" s="2">
        <f t="shared" si="31"/>
        <v>0.77979818840065651</v>
      </c>
      <c r="K644" s="2">
        <f t="shared" si="32"/>
        <v>2.8519988371124461</v>
      </c>
    </row>
    <row r="645" spans="1:11" ht="13.9" x14ac:dyDescent="0.3">
      <c r="A645" s="2" t="s">
        <v>662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 t="e">
        <f t="shared" si="30"/>
        <v>#DIV/0!</v>
      </c>
      <c r="I645" s="2" t="e">
        <f t="shared" si="31"/>
        <v>#DIV/0!</v>
      </c>
      <c r="K645" s="2" t="e">
        <f t="shared" si="32"/>
        <v>#NUM!</v>
      </c>
    </row>
    <row r="646" spans="1:11" ht="13.9" x14ac:dyDescent="0.3">
      <c r="A646" s="2" t="s">
        <v>663</v>
      </c>
      <c r="B646" s="2">
        <v>0</v>
      </c>
      <c r="C646" s="2">
        <v>0</v>
      </c>
      <c r="D646" s="2">
        <v>0</v>
      </c>
      <c r="E646" s="2">
        <v>0.21</v>
      </c>
      <c r="F646" s="2">
        <v>0</v>
      </c>
      <c r="G646" s="2">
        <v>2.0299999999999998</v>
      </c>
      <c r="H646" s="2" t="e">
        <f t="shared" si="30"/>
        <v>#NUM!</v>
      </c>
      <c r="I646" s="2">
        <f t="shared" si="31"/>
        <v>0.31112278603169208</v>
      </c>
      <c r="K646" s="2" t="e">
        <f t="shared" si="32"/>
        <v>#NUM!</v>
      </c>
    </row>
    <row r="647" spans="1:11" ht="13.9" x14ac:dyDescent="0.3">
      <c r="A647" s="2" t="s">
        <v>664</v>
      </c>
      <c r="B647" s="2">
        <v>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 t="e">
        <f t="shared" si="30"/>
        <v>#DIV/0!</v>
      </c>
      <c r="I647" s="2" t="e">
        <f t="shared" si="31"/>
        <v>#DIV/0!</v>
      </c>
      <c r="K647" s="2" t="e">
        <f t="shared" si="32"/>
        <v>#NUM!</v>
      </c>
    </row>
    <row r="648" spans="1:11" ht="13.9" x14ac:dyDescent="0.3">
      <c r="A648" s="2" t="s">
        <v>665</v>
      </c>
      <c r="B648" s="2">
        <v>0</v>
      </c>
      <c r="C648" s="2">
        <v>0</v>
      </c>
      <c r="D648" s="2">
        <v>0</v>
      </c>
      <c r="E648" s="2">
        <v>0.62</v>
      </c>
      <c r="F648" s="2">
        <v>0</v>
      </c>
      <c r="G648" s="2">
        <v>0.14000000000000001</v>
      </c>
      <c r="H648" s="2" t="e">
        <f t="shared" si="30"/>
        <v>#NUM!</v>
      </c>
      <c r="I648" s="2">
        <f t="shared" si="31"/>
        <v>0.24852132960146875</v>
      </c>
      <c r="K648" s="2" t="e">
        <f t="shared" si="32"/>
        <v>#NUM!</v>
      </c>
    </row>
    <row r="649" spans="1:11" ht="13.9" x14ac:dyDescent="0.3">
      <c r="A649" s="2" t="s">
        <v>666</v>
      </c>
      <c r="B649" s="2">
        <v>0</v>
      </c>
      <c r="C649" s="2">
        <v>7.95</v>
      </c>
      <c r="D649" s="2">
        <v>0</v>
      </c>
      <c r="E649" s="2">
        <v>0.72</v>
      </c>
      <c r="F649" s="2">
        <v>0</v>
      </c>
      <c r="G649" s="2">
        <v>1.89</v>
      </c>
      <c r="H649" s="2">
        <f>LOG(SUM(B649:D649)/SUM(E649:G649),2)</f>
        <v>1.6069050536018334</v>
      </c>
      <c r="I649" s="2">
        <f t="shared" si="31"/>
        <v>0.54668588294932463</v>
      </c>
      <c r="K649" s="2">
        <f t="shared" si="32"/>
        <v>2.9909548603969931</v>
      </c>
    </row>
    <row r="650" spans="1:11" ht="13.9" x14ac:dyDescent="0.3">
      <c r="A650" s="2" t="s">
        <v>667</v>
      </c>
      <c r="B650" s="2">
        <v>0.36</v>
      </c>
      <c r="C650" s="2">
        <v>0</v>
      </c>
      <c r="D650" s="2">
        <v>0</v>
      </c>
      <c r="E650" s="2">
        <v>0.31</v>
      </c>
      <c r="F650" s="2">
        <v>0</v>
      </c>
      <c r="G650" s="2">
        <v>0.81</v>
      </c>
      <c r="H650" s="2">
        <f t="shared" si="30"/>
        <v>-1.637429920615292</v>
      </c>
      <c r="I650" s="2">
        <f t="shared" si="31"/>
        <v>0.39277065922797194</v>
      </c>
      <c r="K650" s="2">
        <f t="shared" si="32"/>
        <v>-1.4739311883324124</v>
      </c>
    </row>
    <row r="651" spans="1:11" ht="13.9" x14ac:dyDescent="0.3">
      <c r="A651" s="2" t="s">
        <v>668</v>
      </c>
      <c r="B651" s="2">
        <v>0</v>
      </c>
      <c r="C651" s="2">
        <v>0</v>
      </c>
      <c r="D651" s="2">
        <v>0.5</v>
      </c>
      <c r="E651" s="2">
        <v>0.51</v>
      </c>
      <c r="F651" s="2">
        <v>40.880000000000003</v>
      </c>
      <c r="G651" s="2">
        <v>1.49</v>
      </c>
      <c r="H651" s="2">
        <f t="shared" si="30"/>
        <v>-6.4222330006830477</v>
      </c>
      <c r="I651" s="2">
        <f t="shared" si="31"/>
        <v>0.34795402272128773</v>
      </c>
      <c r="K651" s="2">
        <f t="shared" si="32"/>
        <v>-1</v>
      </c>
    </row>
    <row r="652" spans="1:11" ht="13.9" x14ac:dyDescent="0.3">
      <c r="A652" s="2" t="s">
        <v>669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 t="e">
        <f t="shared" si="30"/>
        <v>#DIV/0!</v>
      </c>
      <c r="I652" s="2" t="e">
        <f t="shared" si="31"/>
        <v>#DIV/0!</v>
      </c>
      <c r="K652" s="2" t="e">
        <f t="shared" si="32"/>
        <v>#NUM!</v>
      </c>
    </row>
    <row r="653" spans="1:11" ht="13.9" x14ac:dyDescent="0.3">
      <c r="A653" s="2" t="s">
        <v>670</v>
      </c>
      <c r="B653" s="2">
        <v>0</v>
      </c>
      <c r="C653" s="2">
        <v>0</v>
      </c>
      <c r="D653" s="2">
        <v>0</v>
      </c>
      <c r="E653" s="2">
        <v>0.1</v>
      </c>
      <c r="F653" s="2">
        <v>0</v>
      </c>
      <c r="G653" s="2">
        <v>0.14000000000000001</v>
      </c>
      <c r="H653" s="2" t="e">
        <f t="shared" si="30"/>
        <v>#NUM!</v>
      </c>
      <c r="I653" s="2">
        <f t="shared" si="31"/>
        <v>0.12704639298528589</v>
      </c>
      <c r="K653" s="2" t="e">
        <f t="shared" si="32"/>
        <v>#NUM!</v>
      </c>
    </row>
    <row r="654" spans="1:11" ht="13.9" x14ac:dyDescent="0.3">
      <c r="A654" s="2" t="s">
        <v>671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 t="e">
        <f t="shared" si="30"/>
        <v>#DIV/0!</v>
      </c>
      <c r="I654" s="2" t="e">
        <f t="shared" si="31"/>
        <v>#DIV/0!</v>
      </c>
      <c r="K654" s="2" t="e">
        <f t="shared" si="32"/>
        <v>#NUM!</v>
      </c>
    </row>
    <row r="655" spans="1:11" ht="13.9" x14ac:dyDescent="0.3">
      <c r="A655" s="2" t="s">
        <v>672</v>
      </c>
      <c r="B655" s="2">
        <v>0.18</v>
      </c>
      <c r="C655" s="2">
        <v>4.1900000000000004</v>
      </c>
      <c r="D655" s="2">
        <v>7.04</v>
      </c>
      <c r="E655" s="2">
        <v>4.84</v>
      </c>
      <c r="F655" s="2">
        <v>0</v>
      </c>
      <c r="G655" s="2">
        <v>4.74</v>
      </c>
      <c r="H655" s="2">
        <f t="shared" si="30"/>
        <v>0.25220123055250149</v>
      </c>
      <c r="I655" s="2">
        <f t="shared" si="31"/>
        <v>0.82278447474637839</v>
      </c>
      <c r="K655" s="2">
        <f t="shared" si="32"/>
        <v>3.5122268865139574</v>
      </c>
    </row>
    <row r="656" spans="1:11" ht="13.9" x14ac:dyDescent="0.3">
      <c r="A656" s="2" t="s">
        <v>673</v>
      </c>
      <c r="B656" s="2">
        <v>0</v>
      </c>
      <c r="C656" s="2">
        <v>0</v>
      </c>
      <c r="D656" s="2">
        <v>0</v>
      </c>
      <c r="E656" s="2">
        <v>0.62</v>
      </c>
      <c r="F656" s="2">
        <v>0</v>
      </c>
      <c r="G656" s="2">
        <v>0</v>
      </c>
      <c r="H656" s="2" t="e">
        <f t="shared" si="30"/>
        <v>#NUM!</v>
      </c>
      <c r="I656" s="2">
        <f t="shared" si="31"/>
        <v>0.37390096630005903</v>
      </c>
      <c r="K656" s="2" t="e">
        <f t="shared" si="32"/>
        <v>#NUM!</v>
      </c>
    </row>
    <row r="657" spans="1:11" ht="13.9" x14ac:dyDescent="0.3">
      <c r="A657" s="2" t="s">
        <v>674</v>
      </c>
      <c r="B657" s="2">
        <v>0</v>
      </c>
      <c r="C657" s="2">
        <v>0</v>
      </c>
      <c r="D657" s="2">
        <v>0</v>
      </c>
      <c r="E657" s="2">
        <v>0.72</v>
      </c>
      <c r="F657" s="2">
        <v>0</v>
      </c>
      <c r="G657" s="2">
        <v>0.68</v>
      </c>
      <c r="H657" s="2" t="e">
        <f t="shared" si="30"/>
        <v>#NUM!</v>
      </c>
      <c r="I657" s="2">
        <f t="shared" si="31"/>
        <v>0.1164411159095611</v>
      </c>
      <c r="K657" s="2" t="e">
        <f t="shared" si="32"/>
        <v>#NUM!</v>
      </c>
    </row>
    <row r="658" spans="1:11" ht="13.9" x14ac:dyDescent="0.3">
      <c r="A658" s="2" t="s">
        <v>675</v>
      </c>
      <c r="B658" s="2">
        <v>0</v>
      </c>
      <c r="C658" s="2">
        <v>0</v>
      </c>
      <c r="D658" s="2">
        <v>0</v>
      </c>
      <c r="E658" s="2">
        <v>0.72</v>
      </c>
      <c r="F658" s="2">
        <v>0</v>
      </c>
      <c r="G658" s="2">
        <v>0.41</v>
      </c>
      <c r="H658" s="2" t="e">
        <f t="shared" si="30"/>
        <v>#NUM!</v>
      </c>
      <c r="I658" s="2">
        <f t="shared" si="31"/>
        <v>0.14514692278909413</v>
      </c>
      <c r="K658" s="2" t="e">
        <f t="shared" si="32"/>
        <v>#NUM!</v>
      </c>
    </row>
    <row r="659" spans="1:11" ht="13.9" x14ac:dyDescent="0.3">
      <c r="A659" s="2" t="s">
        <v>676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0.27</v>
      </c>
      <c r="H659" s="2" t="e">
        <f t="shared" si="30"/>
        <v>#NUM!</v>
      </c>
      <c r="I659" s="2">
        <f t="shared" si="31"/>
        <v>0.37390096630005903</v>
      </c>
      <c r="K659" s="2" t="e">
        <f t="shared" si="32"/>
        <v>#NUM!</v>
      </c>
    </row>
    <row r="660" spans="1:11" ht="13.9" x14ac:dyDescent="0.3">
      <c r="A660" s="2" t="s">
        <v>677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 t="e">
        <f t="shared" si="30"/>
        <v>#DIV/0!</v>
      </c>
      <c r="I660" s="2" t="e">
        <f t="shared" si="31"/>
        <v>#DIV/0!</v>
      </c>
      <c r="K660" s="2" t="e">
        <f t="shared" si="32"/>
        <v>#NUM!</v>
      </c>
    </row>
    <row r="661" spans="1:11" ht="13.9" x14ac:dyDescent="0.3">
      <c r="A661" s="2" t="s">
        <v>678</v>
      </c>
      <c r="B661" s="2">
        <v>0</v>
      </c>
      <c r="C661" s="2">
        <v>0</v>
      </c>
      <c r="D661" s="2">
        <v>9.0500000000000007</v>
      </c>
      <c r="E661" s="2">
        <v>1.44</v>
      </c>
      <c r="F661" s="2">
        <v>0</v>
      </c>
      <c r="G661" s="2">
        <v>0.54</v>
      </c>
      <c r="H661" s="2">
        <f t="shared" si="30"/>
        <v>2.1924173618909584</v>
      </c>
      <c r="I661" s="2">
        <f t="shared" si="31"/>
        <v>0.4822641301737548</v>
      </c>
      <c r="K661" s="2">
        <f t="shared" si="32"/>
        <v>3.177917792195843</v>
      </c>
    </row>
    <row r="662" spans="1:11" ht="13.9" x14ac:dyDescent="0.3">
      <c r="A662" s="2" t="s">
        <v>679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 t="e">
        <f t="shared" si="30"/>
        <v>#DIV/0!</v>
      </c>
      <c r="I662" s="2" t="e">
        <f t="shared" si="31"/>
        <v>#DIV/0!</v>
      </c>
      <c r="K662" s="2" t="e">
        <f t="shared" si="32"/>
        <v>#NUM!</v>
      </c>
    </row>
    <row r="663" spans="1:11" ht="13.9" x14ac:dyDescent="0.3">
      <c r="A663" s="2" t="s">
        <v>680</v>
      </c>
      <c r="B663" s="2">
        <v>0</v>
      </c>
      <c r="C663" s="2">
        <v>0</v>
      </c>
      <c r="D663" s="2">
        <v>0</v>
      </c>
      <c r="E663" s="2">
        <v>0.72</v>
      </c>
      <c r="F663" s="2">
        <v>0</v>
      </c>
      <c r="G663" s="2">
        <v>0.68</v>
      </c>
      <c r="H663" s="2" t="e">
        <f t="shared" si="30"/>
        <v>#NUM!</v>
      </c>
      <c r="I663" s="2">
        <f t="shared" si="31"/>
        <v>0.1164411159095611</v>
      </c>
      <c r="K663" s="2" t="e">
        <f t="shared" si="32"/>
        <v>#NUM!</v>
      </c>
    </row>
    <row r="664" spans="1:11" ht="13.9" x14ac:dyDescent="0.3">
      <c r="A664" s="8" t="s">
        <v>681</v>
      </c>
      <c r="B664" s="2">
        <v>0.54</v>
      </c>
      <c r="C664" s="2">
        <v>0</v>
      </c>
      <c r="D664" s="2">
        <v>7.04</v>
      </c>
      <c r="E664" s="2">
        <v>1.75</v>
      </c>
      <c r="F664" s="2">
        <v>0</v>
      </c>
      <c r="G664" s="2">
        <v>0.27</v>
      </c>
      <c r="H664" s="2">
        <f t="shared" si="30"/>
        <v>1.907842555419297</v>
      </c>
      <c r="I664" s="2">
        <f t="shared" si="31"/>
        <v>0.47028413069166208</v>
      </c>
      <c r="K664" s="2">
        <f t="shared" si="32"/>
        <v>2.9221978483963671</v>
      </c>
    </row>
    <row r="665" spans="1:11" ht="13.9" x14ac:dyDescent="0.3">
      <c r="A665" s="2" t="s">
        <v>682</v>
      </c>
      <c r="B665" s="2">
        <v>10.6</v>
      </c>
      <c r="C665" s="2">
        <v>18.21</v>
      </c>
      <c r="D665" s="2">
        <v>12.07</v>
      </c>
      <c r="E665" s="2">
        <v>27.16</v>
      </c>
      <c r="F665" s="2">
        <v>0</v>
      </c>
      <c r="G665" s="2">
        <v>14.89</v>
      </c>
      <c r="H665" s="2">
        <f t="shared" si="30"/>
        <v>-4.0710604204885023E-2</v>
      </c>
      <c r="I665" s="2">
        <f t="shared" si="31"/>
        <v>0.96430749910270941</v>
      </c>
      <c r="K665" s="2">
        <f t="shared" si="32"/>
        <v>5.353323291162897</v>
      </c>
    </row>
    <row r="666" spans="1:11" ht="13.9" x14ac:dyDescent="0.3">
      <c r="A666" s="2" t="s">
        <v>683</v>
      </c>
      <c r="B666" s="2">
        <v>0</v>
      </c>
      <c r="C666" s="2">
        <v>0</v>
      </c>
      <c r="D666" s="2">
        <v>0</v>
      </c>
      <c r="E666" s="2">
        <v>0.82</v>
      </c>
      <c r="F666" s="2">
        <v>0</v>
      </c>
      <c r="G666" s="2">
        <v>1.22</v>
      </c>
      <c r="H666" s="2" t="e">
        <f t="shared" si="30"/>
        <v>#NUM!</v>
      </c>
      <c r="I666" s="2">
        <f t="shared" si="31"/>
        <v>0.13117903003554612</v>
      </c>
      <c r="K666" s="2" t="e">
        <f t="shared" si="32"/>
        <v>#NUM!</v>
      </c>
    </row>
    <row r="667" spans="1:11" ht="13.9" x14ac:dyDescent="0.3">
      <c r="A667" s="2" t="s">
        <v>684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 t="e">
        <f t="shared" si="30"/>
        <v>#DIV/0!</v>
      </c>
      <c r="I667" s="2" t="e">
        <f t="shared" si="31"/>
        <v>#DIV/0!</v>
      </c>
      <c r="K667" s="2" t="e">
        <f t="shared" si="32"/>
        <v>#NUM!</v>
      </c>
    </row>
    <row r="668" spans="1:11" ht="13.9" x14ac:dyDescent="0.3">
      <c r="A668" s="2" t="s">
        <v>685</v>
      </c>
      <c r="B668" s="2">
        <v>0</v>
      </c>
      <c r="C668" s="2">
        <v>0</v>
      </c>
      <c r="D668" s="2">
        <v>0</v>
      </c>
      <c r="E668" s="2">
        <v>1.54</v>
      </c>
      <c r="F668" s="2">
        <v>0</v>
      </c>
      <c r="G668" s="2">
        <v>0.81</v>
      </c>
      <c r="H668" s="2" t="e">
        <f t="shared" si="30"/>
        <v>#NUM!</v>
      </c>
      <c r="I668" s="2">
        <f t="shared" si="31"/>
        <v>0.15299326590166459</v>
      </c>
      <c r="K668" s="2" t="e">
        <f t="shared" si="32"/>
        <v>#NUM!</v>
      </c>
    </row>
    <row r="669" spans="1:11" ht="13.9" x14ac:dyDescent="0.3">
      <c r="A669" s="2" t="s">
        <v>686</v>
      </c>
      <c r="B669" s="2">
        <v>0</v>
      </c>
      <c r="C669" s="2">
        <v>7.95</v>
      </c>
      <c r="D669" s="2">
        <v>0</v>
      </c>
      <c r="E669" s="2">
        <v>0.72</v>
      </c>
      <c r="F669" s="2">
        <v>0</v>
      </c>
      <c r="G669" s="2">
        <v>1.89</v>
      </c>
      <c r="H669" s="2">
        <f t="shared" si="30"/>
        <v>1.6069050536018334</v>
      </c>
      <c r="I669" s="2">
        <f t="shared" si="31"/>
        <v>0.54668588294932463</v>
      </c>
      <c r="K669" s="2">
        <f t="shared" si="32"/>
        <v>2.9909548603969931</v>
      </c>
    </row>
    <row r="670" spans="1:11" ht="13.9" x14ac:dyDescent="0.3">
      <c r="A670" s="2" t="s">
        <v>687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0.54</v>
      </c>
      <c r="H670" s="2" t="e">
        <f t="shared" si="30"/>
        <v>#NUM!</v>
      </c>
      <c r="I670" s="2">
        <f t="shared" si="31"/>
        <v>0.37390096630005903</v>
      </c>
      <c r="K670" s="2" t="e">
        <f t="shared" si="32"/>
        <v>#NUM!</v>
      </c>
    </row>
    <row r="671" spans="1:11" ht="13.9" x14ac:dyDescent="0.3">
      <c r="A671" s="2" t="s">
        <v>688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 t="e">
        <f t="shared" si="30"/>
        <v>#DIV/0!</v>
      </c>
      <c r="I671" s="2" t="e">
        <f t="shared" si="31"/>
        <v>#DIV/0!</v>
      </c>
      <c r="K671" s="2" t="e">
        <f t="shared" si="32"/>
        <v>#NUM!</v>
      </c>
    </row>
    <row r="672" spans="1:11" ht="13.9" x14ac:dyDescent="0.3">
      <c r="A672" s="2" t="s">
        <v>689</v>
      </c>
      <c r="B672" s="2">
        <v>0.18</v>
      </c>
      <c r="C672" s="2">
        <v>4.1900000000000004</v>
      </c>
      <c r="D672" s="2">
        <v>1.51</v>
      </c>
      <c r="E672" s="2">
        <v>4.84</v>
      </c>
      <c r="F672" s="2">
        <v>0</v>
      </c>
      <c r="G672" s="2">
        <v>4.74</v>
      </c>
      <c r="H672" s="2">
        <f t="shared" si="30"/>
        <v>-0.70420950089981593</v>
      </c>
      <c r="I672" s="2">
        <f t="shared" si="31"/>
        <v>0.5680688846738825</v>
      </c>
      <c r="K672" s="2">
        <f t="shared" si="32"/>
        <v>2.5558161550616396</v>
      </c>
    </row>
    <row r="673" spans="1:11" ht="13.9" x14ac:dyDescent="0.3">
      <c r="A673" s="2" t="s">
        <v>690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 t="e">
        <f t="shared" si="30"/>
        <v>#DIV/0!</v>
      </c>
      <c r="I673" s="2" t="e">
        <f t="shared" si="31"/>
        <v>#DIV/0!</v>
      </c>
      <c r="K673" s="2" t="e">
        <f t="shared" si="32"/>
        <v>#NUM!</v>
      </c>
    </row>
    <row r="674" spans="1:11" ht="13.9" x14ac:dyDescent="0.3">
      <c r="A674" s="2" t="s">
        <v>691</v>
      </c>
      <c r="B674" s="2">
        <v>0.18</v>
      </c>
      <c r="C674" s="2">
        <v>0</v>
      </c>
      <c r="D674" s="2">
        <v>7.04</v>
      </c>
      <c r="E674" s="2">
        <v>2.57</v>
      </c>
      <c r="F674" s="2">
        <v>0</v>
      </c>
      <c r="G674" s="2">
        <v>2.44</v>
      </c>
      <c r="H674" s="2">
        <f t="shared" si="30"/>
        <v>0.52718823369196277</v>
      </c>
      <c r="I674" s="2">
        <f t="shared" si="31"/>
        <v>0.77979818840065651</v>
      </c>
      <c r="K674" s="2">
        <f t="shared" si="32"/>
        <v>2.8519988371124461</v>
      </c>
    </row>
    <row r="675" spans="1:11" ht="13.9" x14ac:dyDescent="0.3">
      <c r="A675" s="2" t="s">
        <v>692</v>
      </c>
      <c r="B675" s="2">
        <v>0</v>
      </c>
      <c r="C675" s="2">
        <v>0</v>
      </c>
      <c r="D675" s="2">
        <v>0</v>
      </c>
      <c r="E675" s="2">
        <v>0.41</v>
      </c>
      <c r="F675" s="2">
        <v>0</v>
      </c>
      <c r="G675" s="2">
        <v>0.68</v>
      </c>
      <c r="H675" s="2" t="e">
        <f t="shared" si="30"/>
        <v>#NUM!</v>
      </c>
      <c r="I675" s="2">
        <f t="shared" si="31"/>
        <v>0.13992620896169952</v>
      </c>
      <c r="K675" s="2" t="e">
        <f t="shared" si="32"/>
        <v>#NUM!</v>
      </c>
    </row>
    <row r="676" spans="1:11" ht="13.9" x14ac:dyDescent="0.3">
      <c r="A676" s="2" t="s">
        <v>693</v>
      </c>
      <c r="B676" s="2">
        <v>0</v>
      </c>
      <c r="C676" s="2">
        <v>0</v>
      </c>
      <c r="D676" s="2">
        <v>0</v>
      </c>
      <c r="E676" s="2">
        <v>0.31</v>
      </c>
      <c r="F676" s="2">
        <v>40.880000000000003</v>
      </c>
      <c r="G676" s="2">
        <v>2.2999999999999998</v>
      </c>
      <c r="H676" s="2" t="e">
        <f t="shared" si="30"/>
        <v>#NUM!</v>
      </c>
      <c r="I676" s="2">
        <f t="shared" si="31"/>
        <v>0.33390361053730538</v>
      </c>
      <c r="K676" s="2" t="e">
        <f t="shared" si="32"/>
        <v>#NUM!</v>
      </c>
    </row>
    <row r="677" spans="1:11" ht="13.9" x14ac:dyDescent="0.3">
      <c r="A677" s="2" t="s">
        <v>694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0.81</v>
      </c>
      <c r="H677" s="2" t="e">
        <f t="shared" si="30"/>
        <v>#NUM!</v>
      </c>
      <c r="I677" s="2">
        <f t="shared" si="31"/>
        <v>0.37390096630005903</v>
      </c>
      <c r="K677" s="2" t="e">
        <f t="shared" si="32"/>
        <v>#NUM!</v>
      </c>
    </row>
    <row r="678" spans="1:11" ht="13.9" x14ac:dyDescent="0.3">
      <c r="A678" s="2" t="s">
        <v>695</v>
      </c>
      <c r="B678" s="2">
        <v>0</v>
      </c>
      <c r="C678" s="2">
        <v>0</v>
      </c>
      <c r="D678" s="2">
        <v>0</v>
      </c>
      <c r="E678" s="2">
        <v>1.65</v>
      </c>
      <c r="F678" s="2">
        <v>0</v>
      </c>
      <c r="G678" s="2">
        <v>2.2999999999999998</v>
      </c>
      <c r="H678" s="2" t="e">
        <f t="shared" si="30"/>
        <v>#NUM!</v>
      </c>
      <c r="I678" s="2">
        <f t="shared" si="31"/>
        <v>0.12677442570073946</v>
      </c>
      <c r="K678" s="2" t="e">
        <f t="shared" si="32"/>
        <v>#NUM!</v>
      </c>
    </row>
    <row r="679" spans="1:11" ht="13.9" x14ac:dyDescent="0.3">
      <c r="A679" s="2" t="s">
        <v>696</v>
      </c>
      <c r="B679" s="2">
        <v>0</v>
      </c>
      <c r="C679" s="2">
        <v>0</v>
      </c>
      <c r="D679" s="2">
        <v>0</v>
      </c>
      <c r="E679" s="2">
        <v>0.21</v>
      </c>
      <c r="F679" s="2">
        <v>0</v>
      </c>
      <c r="G679" s="2">
        <v>0</v>
      </c>
      <c r="H679" s="2" t="e">
        <f t="shared" si="30"/>
        <v>#NUM!</v>
      </c>
      <c r="I679" s="2">
        <f t="shared" si="31"/>
        <v>0.37390096630005903</v>
      </c>
      <c r="K679" s="2" t="e">
        <f t="shared" si="32"/>
        <v>#NUM!</v>
      </c>
    </row>
    <row r="680" spans="1:11" ht="13.9" x14ac:dyDescent="0.3">
      <c r="A680" s="2" t="s">
        <v>697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0.27</v>
      </c>
      <c r="H680" s="2" t="e">
        <f t="shared" si="30"/>
        <v>#NUM!</v>
      </c>
      <c r="I680" s="2">
        <f t="shared" si="31"/>
        <v>0.37390096630005903</v>
      </c>
      <c r="K680" s="2" t="e">
        <f t="shared" si="32"/>
        <v>#NUM!</v>
      </c>
    </row>
    <row r="681" spans="1:11" ht="13.9" x14ac:dyDescent="0.3">
      <c r="A681" s="2" t="s">
        <v>698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 t="e">
        <f t="shared" si="30"/>
        <v>#DIV/0!</v>
      </c>
      <c r="I681" s="2" t="e">
        <f t="shared" si="31"/>
        <v>#DIV/0!</v>
      </c>
      <c r="K681" s="2" t="e">
        <f t="shared" si="32"/>
        <v>#NUM!</v>
      </c>
    </row>
    <row r="682" spans="1:11" ht="13.9" x14ac:dyDescent="0.3">
      <c r="A682" s="2" t="s">
        <v>699</v>
      </c>
      <c r="B682" s="2">
        <v>0</v>
      </c>
      <c r="C682" s="2">
        <v>0.21</v>
      </c>
      <c r="D682" s="2">
        <v>0</v>
      </c>
      <c r="E682" s="2">
        <v>0.1</v>
      </c>
      <c r="F682" s="2">
        <v>0</v>
      </c>
      <c r="G682" s="2">
        <v>0.27</v>
      </c>
      <c r="H682" s="2">
        <f t="shared" si="30"/>
        <v>-0.81713594285018953</v>
      </c>
      <c r="I682" s="2">
        <f t="shared" si="31"/>
        <v>0.63949250866372687</v>
      </c>
      <c r="K682" s="2">
        <f t="shared" si="32"/>
        <v>-2.2515387669959646</v>
      </c>
    </row>
    <row r="683" spans="1:11" ht="13.9" x14ac:dyDescent="0.3">
      <c r="A683" s="2" t="s">
        <v>700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 t="e">
        <f t="shared" si="30"/>
        <v>#DIV/0!</v>
      </c>
      <c r="I683" s="2" t="e">
        <f t="shared" si="31"/>
        <v>#DIV/0!</v>
      </c>
      <c r="K683" s="2" t="e">
        <f t="shared" si="32"/>
        <v>#NUM!</v>
      </c>
    </row>
    <row r="684" spans="1:11" ht="13.9" x14ac:dyDescent="0.3">
      <c r="A684" s="2" t="s">
        <v>701</v>
      </c>
      <c r="B684" s="2">
        <v>0</v>
      </c>
      <c r="C684" s="2">
        <v>0</v>
      </c>
      <c r="D684" s="2">
        <v>0</v>
      </c>
      <c r="E684" s="2">
        <v>0.1</v>
      </c>
      <c r="F684" s="2">
        <v>0</v>
      </c>
      <c r="G684" s="2">
        <v>0</v>
      </c>
      <c r="H684" s="2" t="e">
        <f t="shared" si="30"/>
        <v>#NUM!</v>
      </c>
      <c r="I684" s="2">
        <f t="shared" si="31"/>
        <v>0.37390096630005903</v>
      </c>
      <c r="K684" s="2" t="e">
        <f t="shared" si="32"/>
        <v>#NUM!</v>
      </c>
    </row>
    <row r="685" spans="1:11" ht="13.9" x14ac:dyDescent="0.3">
      <c r="A685" s="2" t="s">
        <v>702</v>
      </c>
      <c r="B685" s="2">
        <v>0</v>
      </c>
      <c r="C685" s="2">
        <v>0.21</v>
      </c>
      <c r="D685" s="2">
        <v>0</v>
      </c>
      <c r="E685" s="2">
        <v>0</v>
      </c>
      <c r="F685" s="2">
        <v>0</v>
      </c>
      <c r="G685" s="2">
        <v>0</v>
      </c>
      <c r="H685" s="2" t="e">
        <f t="shared" si="30"/>
        <v>#DIV/0!</v>
      </c>
      <c r="I685" s="2">
        <f t="shared" si="31"/>
        <v>0.37390096630005903</v>
      </c>
      <c r="K685" s="2">
        <f t="shared" si="32"/>
        <v>-2.2515387669959646</v>
      </c>
    </row>
    <row r="686" spans="1:11" ht="13.9" x14ac:dyDescent="0.3">
      <c r="A686" s="2" t="s">
        <v>703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0.27</v>
      </c>
      <c r="H686" s="2" t="e">
        <f t="shared" si="30"/>
        <v>#NUM!</v>
      </c>
      <c r="I686" s="2">
        <f t="shared" si="31"/>
        <v>0.37390096630005903</v>
      </c>
      <c r="K686" s="2" t="e">
        <f t="shared" si="32"/>
        <v>#NUM!</v>
      </c>
    </row>
    <row r="687" spans="1:11" ht="13.9" x14ac:dyDescent="0.3">
      <c r="A687" s="2" t="s">
        <v>704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 t="e">
        <f t="shared" si="30"/>
        <v>#DIV/0!</v>
      </c>
      <c r="I687" s="2" t="e">
        <f t="shared" si="31"/>
        <v>#DIV/0!</v>
      </c>
      <c r="K687" s="2" t="e">
        <f t="shared" si="32"/>
        <v>#NUM!</v>
      </c>
    </row>
    <row r="688" spans="1:11" ht="13.9" x14ac:dyDescent="0.3">
      <c r="A688" s="2" t="s">
        <v>705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 t="e">
        <f t="shared" si="30"/>
        <v>#DIV/0!</v>
      </c>
      <c r="I688" s="2" t="e">
        <f t="shared" si="31"/>
        <v>#DIV/0!</v>
      </c>
      <c r="K688" s="2" t="e">
        <f t="shared" si="32"/>
        <v>#NUM!</v>
      </c>
    </row>
    <row r="689" spans="1:11" ht="13.9" x14ac:dyDescent="0.3">
      <c r="A689" s="2" t="s">
        <v>706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 t="e">
        <f t="shared" si="30"/>
        <v>#DIV/0!</v>
      </c>
      <c r="I689" s="2" t="e">
        <f t="shared" si="31"/>
        <v>#DIV/0!</v>
      </c>
      <c r="K689" s="2" t="e">
        <f t="shared" si="32"/>
        <v>#NUM!</v>
      </c>
    </row>
    <row r="690" spans="1:11" ht="13.9" x14ac:dyDescent="0.3">
      <c r="A690" s="2" t="s">
        <v>707</v>
      </c>
      <c r="B690" s="2">
        <v>0</v>
      </c>
      <c r="C690" s="2">
        <v>0</v>
      </c>
      <c r="D690" s="2">
        <v>0</v>
      </c>
      <c r="E690" s="2">
        <v>0.31</v>
      </c>
      <c r="F690" s="2">
        <v>0</v>
      </c>
      <c r="G690" s="2">
        <v>2.71</v>
      </c>
      <c r="H690" s="2" t="e">
        <f t="shared" si="30"/>
        <v>#NUM!</v>
      </c>
      <c r="I690" s="2">
        <f t="shared" si="31"/>
        <v>0.3049772363913329</v>
      </c>
      <c r="K690" s="2" t="e">
        <f t="shared" si="32"/>
        <v>#NUM!</v>
      </c>
    </row>
    <row r="691" spans="1:11" ht="13.9" x14ac:dyDescent="0.3">
      <c r="A691" s="2" t="s">
        <v>708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0.14000000000000001</v>
      </c>
      <c r="H691" s="2" t="e">
        <f t="shared" si="30"/>
        <v>#NUM!</v>
      </c>
      <c r="I691" s="2">
        <f t="shared" si="31"/>
        <v>0.37390096630005903</v>
      </c>
      <c r="K691" s="2" t="e">
        <f t="shared" si="32"/>
        <v>#NUM!</v>
      </c>
    </row>
    <row r="692" spans="1:11" ht="13.9" x14ac:dyDescent="0.3">
      <c r="A692" s="2" t="s">
        <v>709</v>
      </c>
      <c r="B692" s="2">
        <v>0</v>
      </c>
      <c r="C692" s="2">
        <v>0</v>
      </c>
      <c r="D692" s="2">
        <v>0</v>
      </c>
      <c r="E692" s="2">
        <v>0.51</v>
      </c>
      <c r="F692" s="2">
        <v>0</v>
      </c>
      <c r="G692" s="2">
        <v>0</v>
      </c>
      <c r="H692" s="2" t="e">
        <f t="shared" si="30"/>
        <v>#NUM!</v>
      </c>
      <c r="I692" s="2">
        <f t="shared" si="31"/>
        <v>0.37390096630005903</v>
      </c>
      <c r="K692" s="2" t="e">
        <f t="shared" si="32"/>
        <v>#NUM!</v>
      </c>
    </row>
    <row r="693" spans="1:11" ht="13.9" x14ac:dyDescent="0.3">
      <c r="A693" s="2" t="s">
        <v>710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 t="e">
        <f t="shared" si="30"/>
        <v>#DIV/0!</v>
      </c>
      <c r="I693" s="2" t="e">
        <f t="shared" si="31"/>
        <v>#DIV/0!</v>
      </c>
      <c r="K693" s="2" t="e">
        <f t="shared" si="32"/>
        <v>#NUM!</v>
      </c>
    </row>
    <row r="694" spans="1:11" ht="13.9" x14ac:dyDescent="0.3">
      <c r="A694" s="2" t="s">
        <v>711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 t="e">
        <f t="shared" si="30"/>
        <v>#DIV/0!</v>
      </c>
      <c r="I694" s="2" t="e">
        <f t="shared" si="31"/>
        <v>#DIV/0!</v>
      </c>
      <c r="K694" s="2" t="e">
        <f t="shared" si="32"/>
        <v>#NUM!</v>
      </c>
    </row>
    <row r="695" spans="1:11" ht="13.9" x14ac:dyDescent="0.3">
      <c r="A695" s="2" t="s">
        <v>712</v>
      </c>
      <c r="B695" s="2">
        <v>9.52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 t="e">
        <f t="shared" si="30"/>
        <v>#DIV/0!</v>
      </c>
      <c r="I695" s="2">
        <f t="shared" si="31"/>
        <v>0.37390096630005903</v>
      </c>
      <c r="K695" s="2">
        <f t="shared" si="32"/>
        <v>3.2509615735332189</v>
      </c>
    </row>
    <row r="696" spans="1:11" ht="13.9" x14ac:dyDescent="0.3">
      <c r="A696" s="2" t="s">
        <v>713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 t="e">
        <f t="shared" si="30"/>
        <v>#DIV/0!</v>
      </c>
      <c r="I696" s="2" t="e">
        <f t="shared" si="31"/>
        <v>#DIV/0!</v>
      </c>
      <c r="K696" s="2" t="e">
        <f t="shared" si="32"/>
        <v>#NUM!</v>
      </c>
    </row>
    <row r="697" spans="1:11" ht="13.9" x14ac:dyDescent="0.3">
      <c r="A697" s="2" t="s">
        <v>714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 t="e">
        <f t="shared" si="30"/>
        <v>#DIV/0!</v>
      </c>
      <c r="I697" s="2" t="e">
        <f t="shared" si="31"/>
        <v>#DIV/0!</v>
      </c>
      <c r="K697" s="2" t="e">
        <f t="shared" si="32"/>
        <v>#NUM!</v>
      </c>
    </row>
    <row r="698" spans="1:11" ht="13.9" x14ac:dyDescent="0.3">
      <c r="A698" s="2" t="s">
        <v>715</v>
      </c>
      <c r="B698" s="2">
        <v>6.47</v>
      </c>
      <c r="C698" s="2">
        <v>20.3</v>
      </c>
      <c r="D698" s="2">
        <v>34.19</v>
      </c>
      <c r="E698" s="2">
        <v>6.69</v>
      </c>
      <c r="F698" s="2">
        <v>81.75</v>
      </c>
      <c r="G698" s="2">
        <v>18.14</v>
      </c>
      <c r="H698" s="2">
        <f t="shared" si="30"/>
        <v>-0.80600193026671252</v>
      </c>
      <c r="I698" s="2">
        <f t="shared" si="31"/>
        <v>0.5711302551266183</v>
      </c>
      <c r="K698" s="2">
        <f t="shared" si="32"/>
        <v>5.9297909977185981</v>
      </c>
    </row>
    <row r="699" spans="1:11" ht="13.9" x14ac:dyDescent="0.3">
      <c r="A699" s="2" t="s">
        <v>716</v>
      </c>
      <c r="B699" s="2">
        <v>1.62</v>
      </c>
      <c r="C699" s="2">
        <v>0</v>
      </c>
      <c r="D699" s="2">
        <v>7.04</v>
      </c>
      <c r="E699" s="2">
        <v>1.34</v>
      </c>
      <c r="F699" s="2">
        <v>0</v>
      </c>
      <c r="G699" s="2">
        <v>1.08</v>
      </c>
      <c r="H699" s="2">
        <f t="shared" si="30"/>
        <v>1.8393599774521305</v>
      </c>
      <c r="I699" s="2">
        <f t="shared" si="31"/>
        <v>0.391652459367127</v>
      </c>
      <c r="K699" s="2">
        <f t="shared" si="32"/>
        <v>3.1143670249520001</v>
      </c>
    </row>
    <row r="700" spans="1:11" ht="13.9" x14ac:dyDescent="0.3">
      <c r="A700" s="2" t="s">
        <v>717</v>
      </c>
      <c r="B700" s="2">
        <v>204.45</v>
      </c>
      <c r="C700" s="2">
        <v>114.06</v>
      </c>
      <c r="D700" s="2">
        <v>280.52999999999997</v>
      </c>
      <c r="E700" s="2">
        <v>31.38</v>
      </c>
      <c r="F700" s="2">
        <v>1185.42</v>
      </c>
      <c r="G700" s="2">
        <v>55.9</v>
      </c>
      <c r="H700" s="2">
        <f t="shared" si="30"/>
        <v>-1.0871681430487454</v>
      </c>
      <c r="I700" s="2">
        <f t="shared" si="31"/>
        <v>0.58980470539143703</v>
      </c>
      <c r="K700" s="2">
        <f t="shared" si="32"/>
        <v>9.2265085298086795</v>
      </c>
    </row>
    <row r="701" spans="1:11" ht="13.9" x14ac:dyDescent="0.3">
      <c r="A701" s="2" t="s">
        <v>718</v>
      </c>
      <c r="B701" s="2">
        <v>4.8499999999999996</v>
      </c>
      <c r="C701" s="2">
        <v>14.23</v>
      </c>
      <c r="D701" s="2">
        <v>8.5500000000000007</v>
      </c>
      <c r="E701" s="2">
        <v>12.14</v>
      </c>
      <c r="F701" s="2">
        <v>0</v>
      </c>
      <c r="G701" s="2">
        <v>19.350000000000001</v>
      </c>
      <c r="H701" s="2">
        <f t="shared" si="30"/>
        <v>-0.18865819532291814</v>
      </c>
      <c r="I701" s="2">
        <f t="shared" si="31"/>
        <v>0.84743761703469311</v>
      </c>
      <c r="K701" s="2">
        <f t="shared" si="32"/>
        <v>4.7881636570377673</v>
      </c>
    </row>
    <row r="702" spans="1:11" ht="13.9" x14ac:dyDescent="0.3">
      <c r="A702" s="2" t="s">
        <v>719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1.62</v>
      </c>
      <c r="H702" s="2" t="e">
        <f t="shared" si="30"/>
        <v>#NUM!</v>
      </c>
      <c r="I702" s="2">
        <f t="shared" si="31"/>
        <v>0.37390096630005903</v>
      </c>
      <c r="K702" s="2" t="e">
        <f t="shared" si="32"/>
        <v>#NUM!</v>
      </c>
    </row>
    <row r="703" spans="1:11" ht="13.9" x14ac:dyDescent="0.3">
      <c r="A703" s="2" t="s">
        <v>720</v>
      </c>
      <c r="B703" s="2">
        <v>0</v>
      </c>
      <c r="C703" s="2">
        <v>0</v>
      </c>
      <c r="D703" s="2">
        <v>0</v>
      </c>
      <c r="E703" s="2">
        <v>0.51</v>
      </c>
      <c r="F703" s="2">
        <v>0</v>
      </c>
      <c r="G703" s="2">
        <v>0</v>
      </c>
      <c r="H703" s="2" t="e">
        <f t="shared" si="30"/>
        <v>#NUM!</v>
      </c>
      <c r="I703" s="2">
        <f t="shared" si="31"/>
        <v>0.37390096630005903</v>
      </c>
      <c r="K703" s="2" t="e">
        <f t="shared" si="32"/>
        <v>#NUM!</v>
      </c>
    </row>
    <row r="704" spans="1:11" ht="13.9" x14ac:dyDescent="0.3">
      <c r="A704" s="2" t="s">
        <v>721</v>
      </c>
      <c r="B704" s="2">
        <v>0</v>
      </c>
      <c r="C704" s="2">
        <v>0</v>
      </c>
      <c r="D704" s="2">
        <v>0</v>
      </c>
      <c r="E704" s="2">
        <v>4.22</v>
      </c>
      <c r="F704" s="2">
        <v>0</v>
      </c>
      <c r="G704" s="2">
        <v>1.62</v>
      </c>
      <c r="H704" s="2" t="e">
        <f t="shared" si="30"/>
        <v>#NUM!</v>
      </c>
      <c r="I704" s="2">
        <f t="shared" si="31"/>
        <v>0.18841125213317594</v>
      </c>
      <c r="K704" s="2" t="e">
        <f t="shared" si="32"/>
        <v>#NUM!</v>
      </c>
    </row>
    <row r="705" spans="1:11" ht="13.9" x14ac:dyDescent="0.3">
      <c r="A705" s="2" t="s">
        <v>722</v>
      </c>
      <c r="B705" s="2">
        <v>473.39</v>
      </c>
      <c r="C705" s="2">
        <v>674.51</v>
      </c>
      <c r="D705" s="2">
        <v>627.91999999999996</v>
      </c>
      <c r="E705" s="2">
        <v>1306.5899999999999</v>
      </c>
      <c r="F705" s="2">
        <v>1062.79</v>
      </c>
      <c r="G705" s="2">
        <v>959.21</v>
      </c>
      <c r="H705" s="2">
        <f t="shared" si="30"/>
        <v>-0.90642582187254628</v>
      </c>
      <c r="I705" s="2">
        <f t="shared" si="31"/>
        <v>1.2361254266423391E-2</v>
      </c>
      <c r="K705" s="2">
        <f t="shared" si="32"/>
        <v>10.794269639847872</v>
      </c>
    </row>
    <row r="706" spans="1:11" ht="13.9" x14ac:dyDescent="0.3">
      <c r="A706" s="2" t="s">
        <v>723</v>
      </c>
      <c r="B706" s="2">
        <v>9.8800000000000008</v>
      </c>
      <c r="C706" s="2">
        <v>0</v>
      </c>
      <c r="D706" s="2">
        <v>58.32</v>
      </c>
      <c r="E706" s="2">
        <v>2.2599999999999998</v>
      </c>
      <c r="F706" s="2">
        <v>0</v>
      </c>
      <c r="G706" s="2">
        <v>1.22</v>
      </c>
      <c r="H706" s="2">
        <f t="shared" ref="H706:H769" si="33">LOG(SUM(B706:D706)/SUM(E706:G706),2)</f>
        <v>4.2926125280628069</v>
      </c>
      <c r="I706" s="2">
        <f t="shared" ref="I706:I769" si="34">_xlfn.T.TEST(B706:D706,E706:G706,2,2)</f>
        <v>0.29761546605266603</v>
      </c>
      <c r="K706" s="2">
        <f t="shared" si="32"/>
        <v>6.0916998341368105</v>
      </c>
    </row>
    <row r="707" spans="1:11" ht="13.9" x14ac:dyDescent="0.3">
      <c r="A707" s="2" t="s">
        <v>724</v>
      </c>
      <c r="B707" s="2">
        <v>88.21</v>
      </c>
      <c r="C707" s="2">
        <v>157.59</v>
      </c>
      <c r="D707" s="2">
        <v>240.31</v>
      </c>
      <c r="E707" s="2">
        <v>231.91</v>
      </c>
      <c r="F707" s="2">
        <v>286.13</v>
      </c>
      <c r="G707" s="2">
        <v>293.43</v>
      </c>
      <c r="H707" s="2">
        <f t="shared" si="33"/>
        <v>-0.73925494660750368</v>
      </c>
      <c r="I707" s="2">
        <f t="shared" si="34"/>
        <v>8.6985657444950973E-2</v>
      </c>
      <c r="K707" s="2">
        <f t="shared" ref="K707:K770" si="35">LOG(SUM(B707:D707),2)</f>
        <v>8.9251390025723083</v>
      </c>
    </row>
    <row r="708" spans="1:11" ht="13.9" x14ac:dyDescent="0.3">
      <c r="A708" s="2" t="s">
        <v>725</v>
      </c>
      <c r="B708" s="2">
        <v>0</v>
      </c>
      <c r="C708" s="2">
        <v>0</v>
      </c>
      <c r="D708" s="2">
        <v>0</v>
      </c>
      <c r="E708" s="2">
        <v>0.72</v>
      </c>
      <c r="F708" s="2">
        <v>0</v>
      </c>
      <c r="G708" s="2">
        <v>0</v>
      </c>
      <c r="H708" s="2" t="e">
        <f t="shared" si="33"/>
        <v>#NUM!</v>
      </c>
      <c r="I708" s="2">
        <f t="shared" si="34"/>
        <v>0.37390096630005903</v>
      </c>
      <c r="K708" s="2" t="e">
        <f t="shared" si="35"/>
        <v>#NUM!</v>
      </c>
    </row>
    <row r="709" spans="1:11" ht="13.9" x14ac:dyDescent="0.3">
      <c r="A709" s="2" t="s">
        <v>726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 t="e">
        <f t="shared" si="33"/>
        <v>#DIV/0!</v>
      </c>
      <c r="I709" s="2" t="e">
        <f t="shared" si="34"/>
        <v>#DIV/0!</v>
      </c>
      <c r="K709" s="2" t="e">
        <f t="shared" si="35"/>
        <v>#NUM!</v>
      </c>
    </row>
    <row r="710" spans="1:11" ht="13.9" x14ac:dyDescent="0.3">
      <c r="A710" s="2" t="s">
        <v>727</v>
      </c>
      <c r="B710" s="2">
        <v>20.66</v>
      </c>
      <c r="C710" s="2">
        <v>32.44</v>
      </c>
      <c r="D710" s="2">
        <v>81.44</v>
      </c>
      <c r="E710" s="2">
        <v>37.549999999999997</v>
      </c>
      <c r="F710" s="2">
        <v>327.01</v>
      </c>
      <c r="G710" s="2">
        <v>87.71</v>
      </c>
      <c r="H710" s="2">
        <f t="shared" si="33"/>
        <v>-1.7491491389296281</v>
      </c>
      <c r="I710" s="2">
        <f t="shared" si="34"/>
        <v>0.31022298728018427</v>
      </c>
      <c r="K710" s="2">
        <f t="shared" si="35"/>
        <v>7.0718913530566301</v>
      </c>
    </row>
    <row r="711" spans="1:11" ht="13.9" x14ac:dyDescent="0.3">
      <c r="A711" s="2" t="s">
        <v>728</v>
      </c>
      <c r="B711" s="2">
        <v>0</v>
      </c>
      <c r="C711" s="2">
        <v>0</v>
      </c>
      <c r="D711" s="2">
        <v>0</v>
      </c>
      <c r="E711" s="2">
        <v>2.98</v>
      </c>
      <c r="F711" s="2">
        <v>0</v>
      </c>
      <c r="G711" s="2">
        <v>2.2999999999999998</v>
      </c>
      <c r="H711" s="2" t="e">
        <f t="shared" si="33"/>
        <v>#NUM!</v>
      </c>
      <c r="I711" s="2">
        <f t="shared" si="34"/>
        <v>0.12267186028321368</v>
      </c>
      <c r="K711" s="2" t="e">
        <f t="shared" si="35"/>
        <v>#NUM!</v>
      </c>
    </row>
    <row r="712" spans="1:11" ht="13.9" x14ac:dyDescent="0.3">
      <c r="A712" s="2" t="s">
        <v>729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 t="e">
        <f t="shared" si="33"/>
        <v>#DIV/0!</v>
      </c>
      <c r="I712" s="2" t="e">
        <f t="shared" si="34"/>
        <v>#DIV/0!</v>
      </c>
      <c r="K712" s="2" t="e">
        <f t="shared" si="35"/>
        <v>#NUM!</v>
      </c>
    </row>
    <row r="713" spans="1:11" ht="13.9" x14ac:dyDescent="0.3">
      <c r="A713" s="2" t="s">
        <v>730</v>
      </c>
      <c r="B713" s="2">
        <v>11.32</v>
      </c>
      <c r="C713" s="2">
        <v>0</v>
      </c>
      <c r="D713" s="2">
        <v>0</v>
      </c>
      <c r="E713" s="2">
        <v>4.22</v>
      </c>
      <c r="F713" s="2">
        <v>0</v>
      </c>
      <c r="G713" s="2">
        <v>0.68</v>
      </c>
      <c r="H713" s="2">
        <f t="shared" si="33"/>
        <v>1.2080203038293118</v>
      </c>
      <c r="I713" s="2">
        <f t="shared" si="34"/>
        <v>0.62047083684639537</v>
      </c>
      <c r="K713" s="2">
        <f t="shared" si="35"/>
        <v>3.5008020530571575</v>
      </c>
    </row>
    <row r="714" spans="1:11" ht="13.9" x14ac:dyDescent="0.3">
      <c r="A714" s="2" t="s">
        <v>731</v>
      </c>
      <c r="B714" s="2">
        <v>0</v>
      </c>
      <c r="C714" s="2">
        <v>0</v>
      </c>
      <c r="D714" s="2">
        <v>0</v>
      </c>
      <c r="E714" s="2">
        <v>0.1</v>
      </c>
      <c r="F714" s="2">
        <v>0</v>
      </c>
      <c r="G714" s="2">
        <v>0</v>
      </c>
      <c r="H714" s="2" t="e">
        <f t="shared" si="33"/>
        <v>#NUM!</v>
      </c>
      <c r="I714" s="2">
        <f t="shared" si="34"/>
        <v>0.37390096630005903</v>
      </c>
      <c r="K714" s="2" t="e">
        <f t="shared" si="35"/>
        <v>#NUM!</v>
      </c>
    </row>
    <row r="715" spans="1:11" ht="13.9" x14ac:dyDescent="0.3">
      <c r="A715" s="2" t="s">
        <v>732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 t="e">
        <f t="shared" si="33"/>
        <v>#DIV/0!</v>
      </c>
      <c r="I715" s="2" t="e">
        <f t="shared" si="34"/>
        <v>#DIV/0!</v>
      </c>
      <c r="K715" s="2" t="e">
        <f t="shared" si="35"/>
        <v>#NUM!</v>
      </c>
    </row>
    <row r="716" spans="1:11" ht="13.9" x14ac:dyDescent="0.3">
      <c r="A716" s="2" t="s">
        <v>733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 t="e">
        <f t="shared" si="33"/>
        <v>#DIV/0!</v>
      </c>
      <c r="I716" s="2" t="e">
        <f t="shared" si="34"/>
        <v>#DIV/0!</v>
      </c>
      <c r="K716" s="2" t="e">
        <f t="shared" si="35"/>
        <v>#NUM!</v>
      </c>
    </row>
    <row r="717" spans="1:11" ht="13.9" x14ac:dyDescent="0.3">
      <c r="A717" s="2" t="s">
        <v>734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0.68</v>
      </c>
      <c r="H717" s="2" t="e">
        <f t="shared" si="33"/>
        <v>#NUM!</v>
      </c>
      <c r="I717" s="2">
        <f t="shared" si="34"/>
        <v>0.37390096630005903</v>
      </c>
      <c r="K717" s="2" t="e">
        <f t="shared" si="35"/>
        <v>#NUM!</v>
      </c>
    </row>
    <row r="718" spans="1:11" ht="13.9" x14ac:dyDescent="0.3">
      <c r="A718" s="2" t="s">
        <v>735</v>
      </c>
      <c r="B718" s="2">
        <v>0</v>
      </c>
      <c r="C718" s="2">
        <v>1.88</v>
      </c>
      <c r="D718" s="2">
        <v>0</v>
      </c>
      <c r="E718" s="2">
        <v>0</v>
      </c>
      <c r="F718" s="2">
        <v>0</v>
      </c>
      <c r="G718" s="2">
        <v>0</v>
      </c>
      <c r="H718" s="2" t="e">
        <f t="shared" si="33"/>
        <v>#DIV/0!</v>
      </c>
      <c r="I718" s="2">
        <f t="shared" si="34"/>
        <v>0.37390096630005903</v>
      </c>
      <c r="K718" s="2">
        <f t="shared" si="35"/>
        <v>0.91073266190291258</v>
      </c>
    </row>
    <row r="719" spans="1:11" ht="13.9" x14ac:dyDescent="0.3">
      <c r="A719" s="2" t="s">
        <v>736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 t="e">
        <f t="shared" si="33"/>
        <v>#DIV/0!</v>
      </c>
      <c r="I719" s="2" t="e">
        <f t="shared" si="34"/>
        <v>#DIV/0!</v>
      </c>
      <c r="K719" s="2" t="e">
        <f t="shared" si="35"/>
        <v>#NUM!</v>
      </c>
    </row>
    <row r="720" spans="1:11" ht="13.9" x14ac:dyDescent="0.3">
      <c r="A720" s="2" t="s">
        <v>737</v>
      </c>
      <c r="B720" s="2">
        <v>0.18</v>
      </c>
      <c r="C720" s="2">
        <v>1.05</v>
      </c>
      <c r="D720" s="2">
        <v>0</v>
      </c>
      <c r="E720" s="2">
        <v>0.1</v>
      </c>
      <c r="F720" s="2">
        <v>0</v>
      </c>
      <c r="G720" s="2">
        <v>0</v>
      </c>
      <c r="H720" s="2">
        <f t="shared" si="33"/>
        <v>3.6205864104518772</v>
      </c>
      <c r="I720" s="2">
        <f t="shared" si="34"/>
        <v>0.31210872120506128</v>
      </c>
      <c r="K720" s="2">
        <f t="shared" si="35"/>
        <v>0.29865831556451516</v>
      </c>
    </row>
    <row r="721" spans="1:11" ht="13.9" x14ac:dyDescent="0.3">
      <c r="A721" s="2" t="s">
        <v>738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 t="e">
        <f t="shared" si="33"/>
        <v>#DIV/0!</v>
      </c>
      <c r="I721" s="2" t="e">
        <f t="shared" si="34"/>
        <v>#DIV/0!</v>
      </c>
      <c r="K721" s="2" t="e">
        <f t="shared" si="35"/>
        <v>#NUM!</v>
      </c>
    </row>
    <row r="722" spans="1:11" ht="13.9" x14ac:dyDescent="0.3">
      <c r="A722" s="2" t="s">
        <v>739</v>
      </c>
      <c r="B722" s="2">
        <v>0</v>
      </c>
      <c r="C722" s="2">
        <v>5.86</v>
      </c>
      <c r="D722" s="2">
        <v>0</v>
      </c>
      <c r="E722" s="2">
        <v>0.31</v>
      </c>
      <c r="F722" s="2">
        <v>0</v>
      </c>
      <c r="G722" s="2">
        <v>0</v>
      </c>
      <c r="H722" s="2">
        <f t="shared" si="33"/>
        <v>4.2405605440353726</v>
      </c>
      <c r="I722" s="2">
        <f t="shared" si="34"/>
        <v>0.39781590918103021</v>
      </c>
      <c r="K722" s="2">
        <f t="shared" si="35"/>
        <v>2.5509006646475232</v>
      </c>
    </row>
    <row r="723" spans="1:11" ht="13.9" x14ac:dyDescent="0.3">
      <c r="A723" s="2" t="s">
        <v>740</v>
      </c>
      <c r="B723" s="2">
        <v>0</v>
      </c>
      <c r="C723" s="2">
        <v>0</v>
      </c>
      <c r="D723" s="2">
        <v>0</v>
      </c>
      <c r="E723" s="2">
        <v>1.03</v>
      </c>
      <c r="F723" s="2">
        <v>0</v>
      </c>
      <c r="G723" s="2">
        <v>0.27</v>
      </c>
      <c r="H723" s="2" t="e">
        <f t="shared" si="33"/>
        <v>#NUM!</v>
      </c>
      <c r="I723" s="2">
        <f t="shared" si="34"/>
        <v>0.23262633311758715</v>
      </c>
      <c r="K723" s="2" t="e">
        <f t="shared" si="35"/>
        <v>#NUM!</v>
      </c>
    </row>
    <row r="724" spans="1:11" ht="13.9" x14ac:dyDescent="0.3">
      <c r="A724" s="2" t="s">
        <v>741</v>
      </c>
      <c r="B724" s="2">
        <v>0</v>
      </c>
      <c r="C724" s="2">
        <v>0</v>
      </c>
      <c r="D724" s="2">
        <v>0</v>
      </c>
      <c r="E724" s="2">
        <v>0.82</v>
      </c>
      <c r="F724" s="2">
        <v>0</v>
      </c>
      <c r="G724" s="2">
        <v>0</v>
      </c>
      <c r="H724" s="2" t="e">
        <f t="shared" si="33"/>
        <v>#NUM!</v>
      </c>
      <c r="I724" s="2">
        <f t="shared" si="34"/>
        <v>0.37390096630005903</v>
      </c>
      <c r="K724" s="2" t="e">
        <f t="shared" si="35"/>
        <v>#NUM!</v>
      </c>
    </row>
    <row r="725" spans="1:11" ht="13.9" x14ac:dyDescent="0.3">
      <c r="A725" s="2" t="s">
        <v>742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 t="e">
        <f t="shared" si="33"/>
        <v>#DIV/0!</v>
      </c>
      <c r="I725" s="2" t="e">
        <f t="shared" si="34"/>
        <v>#DIV/0!</v>
      </c>
      <c r="K725" s="2" t="e">
        <f t="shared" si="35"/>
        <v>#NUM!</v>
      </c>
    </row>
    <row r="726" spans="1:11" ht="13.9" x14ac:dyDescent="0.3">
      <c r="A726" s="2" t="s">
        <v>743</v>
      </c>
      <c r="B726" s="2">
        <v>3.23</v>
      </c>
      <c r="C726" s="2">
        <v>5.23</v>
      </c>
      <c r="D726" s="2">
        <v>0</v>
      </c>
      <c r="E726" s="2">
        <v>6.07</v>
      </c>
      <c r="F726" s="2">
        <v>2534.34</v>
      </c>
      <c r="G726" s="2">
        <v>9.75</v>
      </c>
      <c r="H726" s="2">
        <f t="shared" si="33"/>
        <v>-8.2357143876029877</v>
      </c>
      <c r="I726" s="2">
        <f t="shared" si="34"/>
        <v>0.37131496171814832</v>
      </c>
      <c r="K726" s="2">
        <f t="shared" si="35"/>
        <v>3.0806576633452254</v>
      </c>
    </row>
    <row r="727" spans="1:11" ht="13.9" x14ac:dyDescent="0.3">
      <c r="A727" s="2" t="s">
        <v>744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 t="e">
        <f t="shared" si="33"/>
        <v>#DIV/0!</v>
      </c>
      <c r="I727" s="2" t="e">
        <f t="shared" si="34"/>
        <v>#DIV/0!</v>
      </c>
      <c r="K727" s="2" t="e">
        <f t="shared" si="35"/>
        <v>#NUM!</v>
      </c>
    </row>
    <row r="728" spans="1:11" ht="13.9" x14ac:dyDescent="0.3">
      <c r="A728" s="2" t="s">
        <v>745</v>
      </c>
      <c r="B728" s="2">
        <v>0.18</v>
      </c>
      <c r="C728" s="2">
        <v>0</v>
      </c>
      <c r="D728" s="2">
        <v>0</v>
      </c>
      <c r="E728" s="2">
        <v>0.31</v>
      </c>
      <c r="F728" s="2">
        <v>0</v>
      </c>
      <c r="G728" s="2">
        <v>0</v>
      </c>
      <c r="H728" s="2">
        <f t="shared" si="33"/>
        <v>-0.78427130894456298</v>
      </c>
      <c r="I728" s="2">
        <f t="shared" si="34"/>
        <v>0.73521378916689417</v>
      </c>
      <c r="K728" s="2">
        <f t="shared" si="35"/>
        <v>-2.4739311883324122</v>
      </c>
    </row>
    <row r="729" spans="1:11" ht="13.9" x14ac:dyDescent="0.3">
      <c r="A729" s="2" t="s">
        <v>746</v>
      </c>
      <c r="B729" s="2">
        <v>0</v>
      </c>
      <c r="C729" s="2">
        <v>5.86</v>
      </c>
      <c r="D729" s="2">
        <v>0</v>
      </c>
      <c r="E729" s="2">
        <v>1.23</v>
      </c>
      <c r="F729" s="2">
        <v>0</v>
      </c>
      <c r="G729" s="2">
        <v>0.27</v>
      </c>
      <c r="H729" s="2">
        <f t="shared" si="33"/>
        <v>1.9659381639263671</v>
      </c>
      <c r="I729" s="2">
        <f t="shared" si="34"/>
        <v>0.50540104734822122</v>
      </c>
      <c r="K729" s="2">
        <f t="shared" si="35"/>
        <v>2.5509006646475232</v>
      </c>
    </row>
    <row r="730" spans="1:11" ht="13.9" x14ac:dyDescent="0.3">
      <c r="A730" s="2" t="s">
        <v>747</v>
      </c>
      <c r="B730" s="2">
        <v>0</v>
      </c>
      <c r="C730" s="2">
        <v>0</v>
      </c>
      <c r="D730" s="2">
        <v>0</v>
      </c>
      <c r="E730" s="2">
        <v>0.72</v>
      </c>
      <c r="F730" s="2">
        <v>0</v>
      </c>
      <c r="G730" s="2">
        <v>0</v>
      </c>
      <c r="H730" s="2" t="e">
        <f t="shared" si="33"/>
        <v>#NUM!</v>
      </c>
      <c r="I730" s="2">
        <f t="shared" si="34"/>
        <v>0.37390096630005903</v>
      </c>
      <c r="K730" s="2" t="e">
        <f t="shared" si="35"/>
        <v>#NUM!</v>
      </c>
    </row>
    <row r="731" spans="1:11" ht="13.9" x14ac:dyDescent="0.3">
      <c r="A731" s="2" t="s">
        <v>748</v>
      </c>
      <c r="B731" s="2">
        <v>31.26</v>
      </c>
      <c r="C731" s="2">
        <v>19.88</v>
      </c>
      <c r="D731" s="2">
        <v>31.17</v>
      </c>
      <c r="E731" s="2">
        <v>16.670000000000002</v>
      </c>
      <c r="F731" s="2">
        <v>0</v>
      </c>
      <c r="G731" s="2">
        <v>28.42</v>
      </c>
      <c r="H731" s="2">
        <f t="shared" si="33"/>
        <v>0.86826020711125373</v>
      </c>
      <c r="I731" s="2">
        <f t="shared" si="34"/>
        <v>0.24314041411056822</v>
      </c>
      <c r="K731" s="2">
        <f t="shared" si="35"/>
        <v>6.3629958119740504</v>
      </c>
    </row>
    <row r="732" spans="1:11" ht="13.9" x14ac:dyDescent="0.3">
      <c r="A732" s="2" t="s">
        <v>749</v>
      </c>
      <c r="B732" s="2">
        <v>9.6999999999999993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 t="e">
        <f t="shared" si="33"/>
        <v>#DIV/0!</v>
      </c>
      <c r="I732" s="2">
        <f t="shared" si="34"/>
        <v>0.37390096630005903</v>
      </c>
      <c r="K732" s="2">
        <f t="shared" si="35"/>
        <v>3.2779847472997652</v>
      </c>
    </row>
    <row r="733" spans="1:11" ht="13.9" x14ac:dyDescent="0.3">
      <c r="A733" s="2" t="s">
        <v>750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 t="e">
        <f t="shared" si="33"/>
        <v>#DIV/0!</v>
      </c>
      <c r="I733" s="2" t="e">
        <f t="shared" si="34"/>
        <v>#DIV/0!</v>
      </c>
      <c r="K733" s="2" t="e">
        <f t="shared" si="35"/>
        <v>#NUM!</v>
      </c>
    </row>
    <row r="734" spans="1:11" ht="13.9" x14ac:dyDescent="0.3">
      <c r="A734" s="2" t="s">
        <v>751</v>
      </c>
      <c r="B734" s="2">
        <v>238.94</v>
      </c>
      <c r="C734" s="2">
        <v>229.58</v>
      </c>
      <c r="D734" s="2">
        <v>282.04000000000002</v>
      </c>
      <c r="E734" s="2">
        <v>353.53</v>
      </c>
      <c r="F734" s="2">
        <v>613.15</v>
      </c>
      <c r="G734" s="2">
        <v>435.28</v>
      </c>
      <c r="H734" s="2">
        <f t="shared" si="33"/>
        <v>-0.90140587664537775</v>
      </c>
      <c r="I734" s="2">
        <f t="shared" si="34"/>
        <v>5.0213430554006462E-2</v>
      </c>
      <c r="K734" s="2">
        <f t="shared" si="35"/>
        <v>9.5518235957212561</v>
      </c>
    </row>
    <row r="735" spans="1:11" ht="13.9" x14ac:dyDescent="0.3">
      <c r="A735" s="2" t="s">
        <v>752</v>
      </c>
      <c r="B735" s="2">
        <v>0</v>
      </c>
      <c r="C735" s="2">
        <v>5.0199999999999996</v>
      </c>
      <c r="D735" s="2">
        <v>0</v>
      </c>
      <c r="E735" s="2">
        <v>0.51</v>
      </c>
      <c r="F735" s="2">
        <v>0</v>
      </c>
      <c r="G735" s="2">
        <v>0</v>
      </c>
      <c r="H735" s="2">
        <f t="shared" si="33"/>
        <v>3.2991182119792759</v>
      </c>
      <c r="I735" s="2">
        <f t="shared" si="34"/>
        <v>0.4219438721311744</v>
      </c>
      <c r="K735" s="2">
        <f t="shared" si="35"/>
        <v>2.3276873641760472</v>
      </c>
    </row>
    <row r="736" spans="1:11" ht="13.9" x14ac:dyDescent="0.3">
      <c r="A736" s="2" t="s">
        <v>753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 t="e">
        <f t="shared" si="33"/>
        <v>#DIV/0!</v>
      </c>
      <c r="I736" s="2" t="e">
        <f t="shared" si="34"/>
        <v>#DIV/0!</v>
      </c>
      <c r="K736" s="2" t="e">
        <f t="shared" si="35"/>
        <v>#NUM!</v>
      </c>
    </row>
    <row r="737" spans="1:11" ht="13.9" x14ac:dyDescent="0.3">
      <c r="A737" s="2" t="s">
        <v>754</v>
      </c>
      <c r="B737" s="2">
        <v>0</v>
      </c>
      <c r="C737" s="2">
        <v>0</v>
      </c>
      <c r="D737" s="2">
        <v>0</v>
      </c>
      <c r="E737" s="2">
        <v>1.23</v>
      </c>
      <c r="F737" s="2">
        <v>0</v>
      </c>
      <c r="G737" s="2">
        <v>2.98</v>
      </c>
      <c r="H737" s="2" t="e">
        <f t="shared" si="33"/>
        <v>#NUM!</v>
      </c>
      <c r="I737" s="2">
        <f t="shared" si="34"/>
        <v>0.17989178632712399</v>
      </c>
      <c r="K737" s="2" t="e">
        <f t="shared" si="35"/>
        <v>#NUM!</v>
      </c>
    </row>
    <row r="738" spans="1:11" ht="13.9" x14ac:dyDescent="0.3">
      <c r="A738" s="2" t="s">
        <v>755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 t="e">
        <f t="shared" si="33"/>
        <v>#DIV/0!</v>
      </c>
      <c r="I738" s="2" t="e">
        <f t="shared" si="34"/>
        <v>#DIV/0!</v>
      </c>
      <c r="K738" s="2" t="e">
        <f t="shared" si="35"/>
        <v>#NUM!</v>
      </c>
    </row>
    <row r="739" spans="1:11" ht="13.9" x14ac:dyDescent="0.3">
      <c r="A739" s="2" t="s">
        <v>756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 t="e">
        <f t="shared" si="33"/>
        <v>#DIV/0!</v>
      </c>
      <c r="I739" s="2" t="e">
        <f t="shared" si="34"/>
        <v>#DIV/0!</v>
      </c>
      <c r="K739" s="2" t="e">
        <f t="shared" si="35"/>
        <v>#NUM!</v>
      </c>
    </row>
    <row r="740" spans="1:11" ht="13.9" x14ac:dyDescent="0.3">
      <c r="A740" s="2" t="s">
        <v>757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0.68</v>
      </c>
      <c r="H740" s="2" t="e">
        <f t="shared" si="33"/>
        <v>#NUM!</v>
      </c>
      <c r="I740" s="2">
        <f t="shared" si="34"/>
        <v>0.37390096630005903</v>
      </c>
      <c r="K740" s="2" t="e">
        <f t="shared" si="35"/>
        <v>#NUM!</v>
      </c>
    </row>
    <row r="741" spans="1:11" ht="13.9" x14ac:dyDescent="0.3">
      <c r="A741" s="2" t="s">
        <v>758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 t="e">
        <f t="shared" si="33"/>
        <v>#DIV/0!</v>
      </c>
      <c r="I741" s="2" t="e">
        <f t="shared" si="34"/>
        <v>#DIV/0!</v>
      </c>
      <c r="K741" s="2" t="e">
        <f t="shared" si="35"/>
        <v>#NUM!</v>
      </c>
    </row>
    <row r="742" spans="1:11" ht="13.9" x14ac:dyDescent="0.3">
      <c r="A742" s="2" t="s">
        <v>759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 t="e">
        <f t="shared" si="33"/>
        <v>#DIV/0!</v>
      </c>
      <c r="I742" s="2" t="e">
        <f t="shared" si="34"/>
        <v>#DIV/0!</v>
      </c>
      <c r="K742" s="2" t="e">
        <f t="shared" si="35"/>
        <v>#NUM!</v>
      </c>
    </row>
    <row r="743" spans="1:11" ht="13.9" x14ac:dyDescent="0.3">
      <c r="A743" s="2" t="s">
        <v>760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 t="e">
        <f t="shared" si="33"/>
        <v>#DIV/0!</v>
      </c>
      <c r="I743" s="2" t="e">
        <f t="shared" si="34"/>
        <v>#DIV/0!</v>
      </c>
      <c r="K743" s="2" t="e">
        <f t="shared" si="35"/>
        <v>#NUM!</v>
      </c>
    </row>
    <row r="744" spans="1:11" ht="13.9" x14ac:dyDescent="0.3">
      <c r="A744" s="2" t="s">
        <v>761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 t="e">
        <f t="shared" si="33"/>
        <v>#DIV/0!</v>
      </c>
      <c r="I744" s="2" t="e">
        <f t="shared" si="34"/>
        <v>#DIV/0!</v>
      </c>
      <c r="K744" s="2" t="e">
        <f t="shared" si="35"/>
        <v>#NUM!</v>
      </c>
    </row>
    <row r="745" spans="1:11" ht="13.9" x14ac:dyDescent="0.3">
      <c r="A745" s="2" t="s">
        <v>762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 t="e">
        <f t="shared" si="33"/>
        <v>#DIV/0!</v>
      </c>
      <c r="I745" s="2" t="e">
        <f t="shared" si="34"/>
        <v>#DIV/0!</v>
      </c>
      <c r="K745" s="2" t="e">
        <f t="shared" si="35"/>
        <v>#NUM!</v>
      </c>
    </row>
    <row r="746" spans="1:11" ht="13.9" x14ac:dyDescent="0.3">
      <c r="A746" s="2" t="s">
        <v>763</v>
      </c>
      <c r="B746" s="2">
        <v>0</v>
      </c>
      <c r="C746" s="2">
        <v>0</v>
      </c>
      <c r="D746" s="2">
        <v>0</v>
      </c>
      <c r="E746" s="2">
        <v>0.31</v>
      </c>
      <c r="F746" s="2">
        <v>0</v>
      </c>
      <c r="G746" s="2">
        <v>0</v>
      </c>
      <c r="H746" s="2" t="e">
        <f t="shared" si="33"/>
        <v>#NUM!</v>
      </c>
      <c r="I746" s="2">
        <f t="shared" si="34"/>
        <v>0.37390096630005903</v>
      </c>
      <c r="K746" s="2" t="e">
        <f t="shared" si="35"/>
        <v>#NUM!</v>
      </c>
    </row>
    <row r="747" spans="1:11" ht="13.9" x14ac:dyDescent="0.3">
      <c r="A747" s="2" t="s">
        <v>764</v>
      </c>
      <c r="B747" s="2">
        <v>0</v>
      </c>
      <c r="C747" s="2">
        <v>0</v>
      </c>
      <c r="D747" s="2">
        <v>0</v>
      </c>
      <c r="E747" s="2">
        <v>2.68</v>
      </c>
      <c r="F747" s="2">
        <v>0</v>
      </c>
      <c r="G747" s="2">
        <v>2.98</v>
      </c>
      <c r="H747" s="2" t="e">
        <f t="shared" si="33"/>
        <v>#NUM!</v>
      </c>
      <c r="I747" s="2">
        <f t="shared" si="34"/>
        <v>0.11723276410001338</v>
      </c>
      <c r="K747" s="2" t="e">
        <f t="shared" si="35"/>
        <v>#NUM!</v>
      </c>
    </row>
    <row r="748" spans="1:11" ht="13.9" x14ac:dyDescent="0.3">
      <c r="A748" s="2" t="s">
        <v>765</v>
      </c>
      <c r="B748" s="2">
        <v>8.98</v>
      </c>
      <c r="C748" s="2">
        <v>28.25</v>
      </c>
      <c r="D748" s="2">
        <v>11.56</v>
      </c>
      <c r="E748" s="2">
        <v>1.03</v>
      </c>
      <c r="F748" s="2">
        <v>0</v>
      </c>
      <c r="G748" s="2">
        <v>2.0299999999999998</v>
      </c>
      <c r="H748" s="2">
        <f t="shared" si="33"/>
        <v>3.9949819252333758</v>
      </c>
      <c r="I748" s="2">
        <f t="shared" si="34"/>
        <v>6.5904700739158453E-2</v>
      </c>
      <c r="K748" s="2">
        <f t="shared" si="35"/>
        <v>5.6085135781513022</v>
      </c>
    </row>
    <row r="749" spans="1:11" ht="13.9" x14ac:dyDescent="0.3">
      <c r="A749" s="2" t="s">
        <v>766</v>
      </c>
      <c r="B749" s="2">
        <v>0.54</v>
      </c>
      <c r="C749" s="2">
        <v>8.58</v>
      </c>
      <c r="D749" s="2">
        <v>17.600000000000001</v>
      </c>
      <c r="E749" s="2">
        <v>20.48</v>
      </c>
      <c r="F749" s="2">
        <v>0</v>
      </c>
      <c r="G749" s="2">
        <v>31.13</v>
      </c>
      <c r="H749" s="2">
        <f t="shared" si="33"/>
        <v>-0.94973062280999754</v>
      </c>
      <c r="I749" s="2">
        <f t="shared" si="34"/>
        <v>0.46884763101838212</v>
      </c>
      <c r="K749" s="2">
        <f t="shared" si="35"/>
        <v>4.7398481026993284</v>
      </c>
    </row>
    <row r="750" spans="1:11" ht="13.9" x14ac:dyDescent="0.3">
      <c r="A750" s="2" t="s">
        <v>767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 t="e">
        <f t="shared" si="33"/>
        <v>#DIV/0!</v>
      </c>
      <c r="I750" s="2" t="e">
        <f t="shared" si="34"/>
        <v>#DIV/0!</v>
      </c>
      <c r="K750" s="2" t="e">
        <f t="shared" si="35"/>
        <v>#NUM!</v>
      </c>
    </row>
    <row r="751" spans="1:11" ht="13.9" x14ac:dyDescent="0.3">
      <c r="A751" s="2" t="s">
        <v>768</v>
      </c>
      <c r="B751" s="2">
        <v>0.36</v>
      </c>
      <c r="C751" s="2">
        <v>0.21</v>
      </c>
      <c r="D751" s="2">
        <v>1.01</v>
      </c>
      <c r="E751" s="2">
        <v>0</v>
      </c>
      <c r="F751" s="2">
        <v>0</v>
      </c>
      <c r="G751" s="2">
        <v>0.41</v>
      </c>
      <c r="H751" s="2">
        <f t="shared" si="33"/>
        <v>1.9462287435590195</v>
      </c>
      <c r="I751" s="2">
        <f t="shared" si="34"/>
        <v>0.23745971629479487</v>
      </c>
      <c r="K751" s="2">
        <f t="shared" si="35"/>
        <v>0.65992455840237829</v>
      </c>
    </row>
    <row r="752" spans="1:11" ht="13.9" x14ac:dyDescent="0.3">
      <c r="A752" s="2" t="s">
        <v>769</v>
      </c>
      <c r="B752" s="2">
        <v>0</v>
      </c>
      <c r="C752" s="2">
        <v>0</v>
      </c>
      <c r="D752" s="2">
        <v>0</v>
      </c>
      <c r="E752" s="2">
        <v>0.1</v>
      </c>
      <c r="F752" s="2">
        <v>0</v>
      </c>
      <c r="G752" s="2">
        <v>0</v>
      </c>
      <c r="H752" s="2" t="e">
        <f t="shared" si="33"/>
        <v>#NUM!</v>
      </c>
      <c r="I752" s="2">
        <f t="shared" si="34"/>
        <v>0.37390096630005903</v>
      </c>
      <c r="K752" s="2" t="e">
        <f t="shared" si="35"/>
        <v>#NUM!</v>
      </c>
    </row>
    <row r="753" spans="1:11" ht="13.9" x14ac:dyDescent="0.3">
      <c r="A753" s="2" t="s">
        <v>770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 t="e">
        <f t="shared" si="33"/>
        <v>#DIV/0!</v>
      </c>
      <c r="I753" s="2" t="e">
        <f t="shared" si="34"/>
        <v>#DIV/0!</v>
      </c>
      <c r="K753" s="2" t="e">
        <f t="shared" si="35"/>
        <v>#NUM!</v>
      </c>
    </row>
    <row r="754" spans="1:11" ht="13.9" x14ac:dyDescent="0.3">
      <c r="A754" s="2" t="s">
        <v>771</v>
      </c>
      <c r="B754" s="2">
        <v>0</v>
      </c>
      <c r="C754" s="2">
        <v>0</v>
      </c>
      <c r="D754" s="2">
        <v>0</v>
      </c>
      <c r="E754" s="2">
        <v>4.9400000000000004</v>
      </c>
      <c r="F754" s="2">
        <v>0</v>
      </c>
      <c r="G754" s="2">
        <v>2.98</v>
      </c>
      <c r="H754" s="2" t="e">
        <f t="shared" si="33"/>
        <v>#NUM!</v>
      </c>
      <c r="I754" s="2">
        <f t="shared" si="34"/>
        <v>0.13988285211681975</v>
      </c>
      <c r="K754" s="2" t="e">
        <f t="shared" si="35"/>
        <v>#NUM!</v>
      </c>
    </row>
    <row r="755" spans="1:11" ht="13.9" x14ac:dyDescent="0.3">
      <c r="A755" s="2" t="s">
        <v>772</v>
      </c>
      <c r="B755" s="2">
        <v>8.98</v>
      </c>
      <c r="C755" s="2">
        <v>8.58</v>
      </c>
      <c r="D755" s="2">
        <v>0</v>
      </c>
      <c r="E755" s="2">
        <v>7</v>
      </c>
      <c r="F755" s="2">
        <v>40.880000000000003</v>
      </c>
      <c r="G755" s="2">
        <v>4.47</v>
      </c>
      <c r="H755" s="2">
        <f t="shared" si="33"/>
        <v>-1.5758966922828126</v>
      </c>
      <c r="I755" s="2">
        <f t="shared" si="34"/>
        <v>0.39205039145521242</v>
      </c>
      <c r="K755" s="2">
        <f t="shared" si="35"/>
        <v>4.1342209397606338</v>
      </c>
    </row>
    <row r="756" spans="1:11" ht="13.9" x14ac:dyDescent="0.3">
      <c r="A756" s="2" t="s">
        <v>773</v>
      </c>
      <c r="B756" s="2">
        <v>0</v>
      </c>
      <c r="C756" s="2">
        <v>3.98</v>
      </c>
      <c r="D756" s="2">
        <v>0</v>
      </c>
      <c r="E756" s="2">
        <v>0</v>
      </c>
      <c r="F756" s="2">
        <v>0</v>
      </c>
      <c r="G756" s="2">
        <v>0</v>
      </c>
      <c r="H756" s="2" t="e">
        <f t="shared" si="33"/>
        <v>#DIV/0!</v>
      </c>
      <c r="I756" s="2">
        <f t="shared" si="34"/>
        <v>0.37390096630005903</v>
      </c>
      <c r="K756" s="2">
        <f t="shared" si="35"/>
        <v>1.9927684307689242</v>
      </c>
    </row>
    <row r="757" spans="1:11" ht="13.9" x14ac:dyDescent="0.3">
      <c r="A757" s="2" t="s">
        <v>774</v>
      </c>
      <c r="B757" s="2">
        <v>0</v>
      </c>
      <c r="C757" s="2">
        <v>0</v>
      </c>
      <c r="D757" s="2">
        <v>0</v>
      </c>
      <c r="E757" s="2">
        <v>11.11</v>
      </c>
      <c r="F757" s="2">
        <v>0</v>
      </c>
      <c r="G757" s="2">
        <v>15.56</v>
      </c>
      <c r="H757" s="2" t="e">
        <f t="shared" si="33"/>
        <v>#NUM!</v>
      </c>
      <c r="I757" s="2">
        <f t="shared" si="34"/>
        <v>0.12707072098279371</v>
      </c>
      <c r="K757" s="2" t="e">
        <f t="shared" si="35"/>
        <v>#NUM!</v>
      </c>
    </row>
    <row r="758" spans="1:11" ht="13.9" x14ac:dyDescent="0.3">
      <c r="A758" s="2" t="s">
        <v>775</v>
      </c>
      <c r="B758" s="2">
        <v>31.08</v>
      </c>
      <c r="C758" s="2">
        <v>47.72</v>
      </c>
      <c r="D758" s="2">
        <v>0.5</v>
      </c>
      <c r="E758" s="2">
        <v>20.48</v>
      </c>
      <c r="F758" s="2">
        <v>0</v>
      </c>
      <c r="G758" s="2">
        <v>15.84</v>
      </c>
      <c r="H758" s="2">
        <f t="shared" si="33"/>
        <v>1.1265566633004256</v>
      </c>
      <c r="I758" s="2">
        <f t="shared" si="34"/>
        <v>0.39798591110721776</v>
      </c>
      <c r="K758" s="2">
        <f t="shared" si="35"/>
        <v>6.3092489608166167</v>
      </c>
    </row>
    <row r="759" spans="1:11" ht="13.9" x14ac:dyDescent="0.3">
      <c r="A759" s="2" t="s">
        <v>776</v>
      </c>
      <c r="B759" s="2">
        <v>8.98</v>
      </c>
      <c r="C759" s="2">
        <v>27.42</v>
      </c>
      <c r="D759" s="2">
        <v>53.29</v>
      </c>
      <c r="E759" s="2">
        <v>4.42</v>
      </c>
      <c r="F759" s="2">
        <v>0</v>
      </c>
      <c r="G759" s="2">
        <v>14.62</v>
      </c>
      <c r="H759" s="2">
        <f t="shared" si="33"/>
        <v>2.2359136619652742</v>
      </c>
      <c r="I759" s="2">
        <f t="shared" si="34"/>
        <v>0.15745216759394998</v>
      </c>
      <c r="K759" s="2">
        <f t="shared" si="35"/>
        <v>6.4868752354984922</v>
      </c>
    </row>
    <row r="760" spans="1:11" ht="13.9" x14ac:dyDescent="0.3">
      <c r="A760" s="2" t="s">
        <v>777</v>
      </c>
      <c r="B760" s="2">
        <v>10.6</v>
      </c>
      <c r="C760" s="2">
        <v>7.53</v>
      </c>
      <c r="D760" s="2">
        <v>0</v>
      </c>
      <c r="E760" s="2">
        <v>15.84</v>
      </c>
      <c r="F760" s="2">
        <v>0</v>
      </c>
      <c r="G760" s="2">
        <v>23.01</v>
      </c>
      <c r="H760" s="2">
        <f t="shared" si="33"/>
        <v>-1.0995356735509145</v>
      </c>
      <c r="I760" s="2">
        <f t="shared" si="34"/>
        <v>0.40874887234669804</v>
      </c>
      <c r="K760" s="2">
        <f t="shared" si="35"/>
        <v>4.1803070199694332</v>
      </c>
    </row>
    <row r="761" spans="1:11" ht="13.9" x14ac:dyDescent="0.3">
      <c r="A761" s="2" t="s">
        <v>778</v>
      </c>
      <c r="B761" s="2">
        <v>0</v>
      </c>
      <c r="C761" s="2">
        <v>8.3699999999999992</v>
      </c>
      <c r="D761" s="2">
        <v>28.66</v>
      </c>
      <c r="E761" s="2">
        <v>0</v>
      </c>
      <c r="F761" s="2">
        <v>0</v>
      </c>
      <c r="G761" s="2">
        <v>0</v>
      </c>
      <c r="H761" s="2" t="e">
        <f t="shared" si="33"/>
        <v>#DIV/0!</v>
      </c>
      <c r="I761" s="2">
        <f t="shared" si="34"/>
        <v>0.22048371573700468</v>
      </c>
      <c r="K761" s="2">
        <f t="shared" si="35"/>
        <v>5.2106226443969055</v>
      </c>
    </row>
    <row r="762" spans="1:11" ht="13.9" x14ac:dyDescent="0.3">
      <c r="A762" s="2" t="s">
        <v>779</v>
      </c>
      <c r="B762" s="2">
        <v>6.47</v>
      </c>
      <c r="C762" s="2">
        <v>2.5099999999999998</v>
      </c>
      <c r="D762" s="2">
        <v>8.5500000000000007</v>
      </c>
      <c r="E762" s="2">
        <v>0.21</v>
      </c>
      <c r="F762" s="2">
        <v>0</v>
      </c>
      <c r="G762" s="2">
        <v>1.22</v>
      </c>
      <c r="H762" s="2">
        <f t="shared" si="33"/>
        <v>3.6157389439811491</v>
      </c>
      <c r="I762" s="2">
        <f t="shared" si="34"/>
        <v>4.1423052852190043E-2</v>
      </c>
      <c r="K762" s="2">
        <f t="shared" si="35"/>
        <v>4.1317540909848134</v>
      </c>
    </row>
    <row r="763" spans="1:11" ht="13.9" x14ac:dyDescent="0.3">
      <c r="A763" s="2" t="s">
        <v>780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 t="e">
        <f t="shared" si="33"/>
        <v>#DIV/0!</v>
      </c>
      <c r="I763" s="2" t="e">
        <f t="shared" si="34"/>
        <v>#DIV/0!</v>
      </c>
      <c r="K763" s="2" t="e">
        <f t="shared" si="35"/>
        <v>#NUM!</v>
      </c>
    </row>
    <row r="764" spans="1:11" ht="13.9" x14ac:dyDescent="0.3">
      <c r="A764" s="2" t="s">
        <v>781</v>
      </c>
      <c r="B764" s="2">
        <v>11.68</v>
      </c>
      <c r="C764" s="2">
        <v>31.18</v>
      </c>
      <c r="D764" s="2">
        <v>45.25</v>
      </c>
      <c r="E764" s="2">
        <v>52.06</v>
      </c>
      <c r="F764" s="2">
        <v>1185.42</v>
      </c>
      <c r="G764" s="2">
        <v>88.65</v>
      </c>
      <c r="H764" s="2">
        <f t="shared" si="33"/>
        <v>-3.9117726325986748</v>
      </c>
      <c r="I764" s="2">
        <f t="shared" si="34"/>
        <v>0.32944549668196982</v>
      </c>
      <c r="K764" s="2">
        <f t="shared" si="35"/>
        <v>6.4612338612712827</v>
      </c>
    </row>
    <row r="765" spans="1:11" ht="13.9" x14ac:dyDescent="0.3">
      <c r="A765" s="2" t="s">
        <v>782</v>
      </c>
      <c r="B765" s="2">
        <v>2.87</v>
      </c>
      <c r="C765" s="2">
        <v>13.81</v>
      </c>
      <c r="D765" s="2">
        <v>6.03</v>
      </c>
      <c r="E765" s="2">
        <v>0.41</v>
      </c>
      <c r="F765" s="2">
        <v>0</v>
      </c>
      <c r="G765" s="2">
        <v>0.54</v>
      </c>
      <c r="H765" s="2">
        <f t="shared" si="33"/>
        <v>4.5792563823759407</v>
      </c>
      <c r="I765" s="2">
        <f t="shared" si="34"/>
        <v>8.9752503308364207E-2</v>
      </c>
      <c r="K765" s="2">
        <f t="shared" si="35"/>
        <v>4.5052558009321633</v>
      </c>
    </row>
    <row r="766" spans="1:11" ht="13.9" x14ac:dyDescent="0.3">
      <c r="A766" s="2" t="s">
        <v>783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 t="e">
        <f t="shared" si="33"/>
        <v>#DIV/0!</v>
      </c>
      <c r="I766" s="2" t="e">
        <f t="shared" si="34"/>
        <v>#DIV/0!</v>
      </c>
      <c r="K766" s="2" t="e">
        <f t="shared" si="35"/>
        <v>#NUM!</v>
      </c>
    </row>
    <row r="767" spans="1:11" ht="13.9" x14ac:dyDescent="0.3">
      <c r="A767" s="2" t="s">
        <v>784</v>
      </c>
      <c r="B767" s="2">
        <v>0</v>
      </c>
      <c r="C767" s="2">
        <v>0</v>
      </c>
      <c r="D767" s="2">
        <v>0</v>
      </c>
      <c r="E767" s="2">
        <v>3.4</v>
      </c>
      <c r="F767" s="2">
        <v>0</v>
      </c>
      <c r="G767" s="2">
        <v>1.22</v>
      </c>
      <c r="H767" s="2" t="e">
        <f t="shared" si="33"/>
        <v>#NUM!</v>
      </c>
      <c r="I767" s="2">
        <f t="shared" si="34"/>
        <v>0.19640033947247904</v>
      </c>
      <c r="K767" s="2" t="e">
        <f t="shared" si="35"/>
        <v>#NUM!</v>
      </c>
    </row>
    <row r="768" spans="1:11" ht="13.9" x14ac:dyDescent="0.3">
      <c r="A768" s="2" t="s">
        <v>785</v>
      </c>
      <c r="B768" s="2">
        <v>0</v>
      </c>
      <c r="C768" s="2">
        <v>0</v>
      </c>
      <c r="D768" s="2">
        <v>0</v>
      </c>
      <c r="E768" s="2">
        <v>0.41</v>
      </c>
      <c r="F768" s="2">
        <v>0</v>
      </c>
      <c r="G768" s="2">
        <v>0</v>
      </c>
      <c r="H768" s="2" t="e">
        <f t="shared" si="33"/>
        <v>#NUM!</v>
      </c>
      <c r="I768" s="2">
        <f t="shared" si="34"/>
        <v>0.37390096630005903</v>
      </c>
      <c r="K768" s="2" t="e">
        <f t="shared" si="35"/>
        <v>#NUM!</v>
      </c>
    </row>
    <row r="769" spans="1:11" ht="13.9" x14ac:dyDescent="0.3">
      <c r="A769" s="2" t="s">
        <v>786</v>
      </c>
      <c r="B769" s="2">
        <v>0</v>
      </c>
      <c r="C769" s="2">
        <v>0</v>
      </c>
      <c r="D769" s="2">
        <v>0</v>
      </c>
      <c r="E769" s="2">
        <v>0.1</v>
      </c>
      <c r="F769" s="2">
        <v>0</v>
      </c>
      <c r="G769" s="2">
        <v>0</v>
      </c>
      <c r="H769" s="2" t="e">
        <f t="shared" si="33"/>
        <v>#NUM!</v>
      </c>
      <c r="I769" s="2">
        <f t="shared" si="34"/>
        <v>0.37390096630005903</v>
      </c>
      <c r="K769" s="2" t="e">
        <f t="shared" si="35"/>
        <v>#NUM!</v>
      </c>
    </row>
    <row r="770" spans="1:11" ht="13.9" x14ac:dyDescent="0.3">
      <c r="A770" s="2" t="s">
        <v>787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 t="e">
        <f t="shared" ref="H770:H833" si="36">LOG(SUM(B770:D770)/SUM(E770:G770),2)</f>
        <v>#DIV/0!</v>
      </c>
      <c r="I770" s="2" t="e">
        <f t="shared" ref="I770:I833" si="37">_xlfn.T.TEST(B770:D770,E770:G770,2,2)</f>
        <v>#DIV/0!</v>
      </c>
      <c r="K770" s="2" t="e">
        <f t="shared" si="35"/>
        <v>#NUM!</v>
      </c>
    </row>
    <row r="771" spans="1:11" ht="13.9" x14ac:dyDescent="0.3">
      <c r="A771" s="2" t="s">
        <v>788</v>
      </c>
      <c r="B771" s="2">
        <v>0</v>
      </c>
      <c r="C771" s="2">
        <v>1.67</v>
      </c>
      <c r="D771" s="2">
        <v>0</v>
      </c>
      <c r="E771" s="2">
        <v>0</v>
      </c>
      <c r="F771" s="2">
        <v>0</v>
      </c>
      <c r="G771" s="2">
        <v>0</v>
      </c>
      <c r="H771" s="2" t="e">
        <f t="shared" si="36"/>
        <v>#DIV/0!</v>
      </c>
      <c r="I771" s="2">
        <f t="shared" si="37"/>
        <v>0.37390096630005903</v>
      </c>
      <c r="K771" s="2">
        <f t="shared" ref="K771:K834" si="38">LOG(SUM(B771:D771),2)</f>
        <v>0.73984810269932755</v>
      </c>
    </row>
    <row r="772" spans="1:11" ht="13.9" x14ac:dyDescent="0.3">
      <c r="A772" s="2" t="s">
        <v>789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 t="e">
        <f t="shared" si="36"/>
        <v>#DIV/0!</v>
      </c>
      <c r="I772" s="2" t="e">
        <f t="shared" si="37"/>
        <v>#DIV/0!</v>
      </c>
      <c r="K772" s="2" t="e">
        <f t="shared" si="38"/>
        <v>#NUM!</v>
      </c>
    </row>
    <row r="773" spans="1:11" ht="13.9" x14ac:dyDescent="0.3">
      <c r="A773" s="2" t="s">
        <v>790</v>
      </c>
      <c r="B773" s="2">
        <v>0</v>
      </c>
      <c r="C773" s="2">
        <v>0</v>
      </c>
      <c r="D773" s="2">
        <v>0</v>
      </c>
      <c r="E773" s="2">
        <v>0.51</v>
      </c>
      <c r="F773" s="2">
        <v>0</v>
      </c>
      <c r="G773" s="2">
        <v>1.49</v>
      </c>
      <c r="H773" s="2" t="e">
        <f t="shared" si="36"/>
        <v>#NUM!</v>
      </c>
      <c r="I773" s="2">
        <f t="shared" si="37"/>
        <v>0.20198250776465046</v>
      </c>
      <c r="K773" s="2" t="e">
        <f t="shared" si="38"/>
        <v>#NUM!</v>
      </c>
    </row>
    <row r="774" spans="1:11" ht="13.9" x14ac:dyDescent="0.3">
      <c r="A774" s="2" t="s">
        <v>791</v>
      </c>
      <c r="B774" s="2">
        <v>0</v>
      </c>
      <c r="C774" s="2">
        <v>0</v>
      </c>
      <c r="D774" s="2">
        <v>0</v>
      </c>
      <c r="E774" s="2">
        <v>0.31</v>
      </c>
      <c r="F774" s="2">
        <v>0</v>
      </c>
      <c r="G774" s="2">
        <v>0</v>
      </c>
      <c r="H774" s="2" t="e">
        <f t="shared" si="36"/>
        <v>#NUM!</v>
      </c>
      <c r="I774" s="2">
        <f t="shared" si="37"/>
        <v>0.37390096630005903</v>
      </c>
      <c r="K774" s="2" t="e">
        <f t="shared" si="38"/>
        <v>#NUM!</v>
      </c>
    </row>
    <row r="775" spans="1:11" ht="13.9" x14ac:dyDescent="0.3">
      <c r="A775" s="2" t="s">
        <v>792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0.95</v>
      </c>
      <c r="H775" s="2" t="e">
        <f t="shared" si="36"/>
        <v>#NUM!</v>
      </c>
      <c r="I775" s="2">
        <f t="shared" si="37"/>
        <v>0.37390096630005903</v>
      </c>
      <c r="K775" s="2" t="e">
        <f t="shared" si="38"/>
        <v>#NUM!</v>
      </c>
    </row>
    <row r="776" spans="1:11" ht="13.9" x14ac:dyDescent="0.3">
      <c r="A776" s="2" t="s">
        <v>793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 t="e">
        <f t="shared" si="36"/>
        <v>#DIV/0!</v>
      </c>
      <c r="I776" s="2" t="e">
        <f t="shared" si="37"/>
        <v>#DIV/0!</v>
      </c>
      <c r="K776" s="2" t="e">
        <f t="shared" si="38"/>
        <v>#NUM!</v>
      </c>
    </row>
    <row r="777" spans="1:11" ht="13.9" x14ac:dyDescent="0.3">
      <c r="A777" s="2" t="s">
        <v>794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0.27</v>
      </c>
      <c r="H777" s="2" t="e">
        <f t="shared" si="36"/>
        <v>#NUM!</v>
      </c>
      <c r="I777" s="2">
        <f t="shared" si="37"/>
        <v>0.37390096630005903</v>
      </c>
      <c r="K777" s="2" t="e">
        <f t="shared" si="38"/>
        <v>#NUM!</v>
      </c>
    </row>
    <row r="778" spans="1:11" ht="13.9" x14ac:dyDescent="0.3">
      <c r="A778" s="2" t="s">
        <v>795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 t="e">
        <f t="shared" si="36"/>
        <v>#DIV/0!</v>
      </c>
      <c r="I778" s="2" t="e">
        <f t="shared" si="37"/>
        <v>#DIV/0!</v>
      </c>
      <c r="K778" s="2" t="e">
        <f t="shared" si="38"/>
        <v>#NUM!</v>
      </c>
    </row>
    <row r="779" spans="1:11" ht="13.9" x14ac:dyDescent="0.3">
      <c r="A779" s="2" t="s">
        <v>796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 t="e">
        <f t="shared" si="36"/>
        <v>#DIV/0!</v>
      </c>
      <c r="I779" s="2" t="e">
        <f t="shared" si="37"/>
        <v>#DIV/0!</v>
      </c>
      <c r="K779" s="2" t="e">
        <f t="shared" si="38"/>
        <v>#NUM!</v>
      </c>
    </row>
    <row r="780" spans="1:11" ht="13.9" x14ac:dyDescent="0.3">
      <c r="A780" s="2" t="s">
        <v>797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 t="e">
        <f t="shared" si="36"/>
        <v>#DIV/0!</v>
      </c>
      <c r="I780" s="2" t="e">
        <f t="shared" si="37"/>
        <v>#DIV/0!</v>
      </c>
      <c r="K780" s="2" t="e">
        <f t="shared" si="38"/>
        <v>#NUM!</v>
      </c>
    </row>
    <row r="781" spans="1:11" ht="13.9" x14ac:dyDescent="0.3">
      <c r="A781" s="2" t="s">
        <v>798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0.81</v>
      </c>
      <c r="H781" s="2" t="e">
        <f t="shared" si="36"/>
        <v>#NUM!</v>
      </c>
      <c r="I781" s="2">
        <f t="shared" si="37"/>
        <v>0.37390096630005903</v>
      </c>
      <c r="K781" s="2" t="e">
        <f t="shared" si="38"/>
        <v>#NUM!</v>
      </c>
    </row>
    <row r="782" spans="1:11" ht="13.9" x14ac:dyDescent="0.3">
      <c r="A782" s="2" t="s">
        <v>799</v>
      </c>
      <c r="B782" s="2">
        <v>0</v>
      </c>
      <c r="C782" s="2">
        <v>0</v>
      </c>
      <c r="D782" s="2">
        <v>0</v>
      </c>
      <c r="E782" s="2">
        <v>0.62</v>
      </c>
      <c r="F782" s="2">
        <v>0</v>
      </c>
      <c r="G782" s="2">
        <v>0</v>
      </c>
      <c r="H782" s="2" t="e">
        <f t="shared" si="36"/>
        <v>#NUM!</v>
      </c>
      <c r="I782" s="2">
        <f t="shared" si="37"/>
        <v>0.37390096630005903</v>
      </c>
      <c r="K782" s="2" t="e">
        <f t="shared" si="38"/>
        <v>#NUM!</v>
      </c>
    </row>
    <row r="783" spans="1:11" ht="13.9" x14ac:dyDescent="0.3">
      <c r="A783" s="2" t="s">
        <v>800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 t="e">
        <f t="shared" si="36"/>
        <v>#DIV/0!</v>
      </c>
      <c r="I783" s="2" t="e">
        <f t="shared" si="37"/>
        <v>#DIV/0!</v>
      </c>
      <c r="K783" s="2" t="e">
        <f t="shared" si="38"/>
        <v>#NUM!</v>
      </c>
    </row>
    <row r="784" spans="1:11" ht="13.9" x14ac:dyDescent="0.3">
      <c r="A784" s="2" t="s">
        <v>801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 t="e">
        <f t="shared" si="36"/>
        <v>#DIV/0!</v>
      </c>
      <c r="I784" s="2" t="e">
        <f t="shared" si="37"/>
        <v>#DIV/0!</v>
      </c>
      <c r="K784" s="2" t="e">
        <f t="shared" si="38"/>
        <v>#NUM!</v>
      </c>
    </row>
    <row r="785" spans="1:11" ht="13.9" x14ac:dyDescent="0.3">
      <c r="A785" s="2" t="s">
        <v>802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 t="e">
        <f t="shared" si="36"/>
        <v>#DIV/0!</v>
      </c>
      <c r="I785" s="2" t="e">
        <f t="shared" si="37"/>
        <v>#DIV/0!</v>
      </c>
      <c r="K785" s="2" t="e">
        <f t="shared" si="38"/>
        <v>#NUM!</v>
      </c>
    </row>
    <row r="786" spans="1:11" ht="13.9" x14ac:dyDescent="0.3">
      <c r="A786" s="2" t="s">
        <v>803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0.95</v>
      </c>
      <c r="H786" s="2" t="e">
        <f t="shared" si="36"/>
        <v>#NUM!</v>
      </c>
      <c r="I786" s="2">
        <f t="shared" si="37"/>
        <v>0.37390096630005903</v>
      </c>
      <c r="K786" s="2" t="e">
        <f t="shared" si="38"/>
        <v>#NUM!</v>
      </c>
    </row>
    <row r="787" spans="1:11" ht="13.9" x14ac:dyDescent="0.3">
      <c r="A787" s="2" t="s">
        <v>804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 t="e">
        <f t="shared" si="36"/>
        <v>#DIV/0!</v>
      </c>
      <c r="I787" s="2" t="e">
        <f t="shared" si="37"/>
        <v>#DIV/0!</v>
      </c>
      <c r="K787" s="2" t="e">
        <f t="shared" si="38"/>
        <v>#NUM!</v>
      </c>
    </row>
    <row r="788" spans="1:11" ht="13.9" x14ac:dyDescent="0.3">
      <c r="A788" s="2" t="s">
        <v>805</v>
      </c>
      <c r="B788" s="2">
        <v>0</v>
      </c>
      <c r="C788" s="2">
        <v>7.53</v>
      </c>
      <c r="D788" s="2">
        <v>0.5</v>
      </c>
      <c r="E788" s="2">
        <v>1.1299999999999999</v>
      </c>
      <c r="F788" s="2">
        <v>0</v>
      </c>
      <c r="G788" s="2">
        <v>2.71</v>
      </c>
      <c r="H788" s="2">
        <f t="shared" si="36"/>
        <v>1.0642936767961586</v>
      </c>
      <c r="I788" s="2">
        <f t="shared" si="37"/>
        <v>0.61366639379253218</v>
      </c>
      <c r="K788" s="2">
        <f t="shared" si="38"/>
        <v>3.0053999877425897</v>
      </c>
    </row>
    <row r="789" spans="1:11" ht="13.9" x14ac:dyDescent="0.3">
      <c r="A789" s="2" t="s">
        <v>806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 t="e">
        <f t="shared" si="36"/>
        <v>#DIV/0!</v>
      </c>
      <c r="I789" s="2" t="e">
        <f t="shared" si="37"/>
        <v>#DIV/0!</v>
      </c>
      <c r="K789" s="2" t="e">
        <f t="shared" si="38"/>
        <v>#NUM!</v>
      </c>
    </row>
    <row r="790" spans="1:11" ht="13.9" x14ac:dyDescent="0.3">
      <c r="A790" s="2" t="s">
        <v>807</v>
      </c>
      <c r="B790" s="2">
        <v>0</v>
      </c>
      <c r="C790" s="2">
        <v>0</v>
      </c>
      <c r="D790" s="2">
        <v>0</v>
      </c>
      <c r="E790" s="2">
        <v>0.1</v>
      </c>
      <c r="F790" s="2">
        <v>0</v>
      </c>
      <c r="G790" s="2">
        <v>0</v>
      </c>
      <c r="H790" s="2" t="e">
        <f t="shared" si="36"/>
        <v>#NUM!</v>
      </c>
      <c r="I790" s="2">
        <f t="shared" si="37"/>
        <v>0.37390096630005903</v>
      </c>
      <c r="K790" s="2" t="e">
        <f t="shared" si="38"/>
        <v>#NUM!</v>
      </c>
    </row>
    <row r="791" spans="1:11" ht="13.9" x14ac:dyDescent="0.3">
      <c r="A791" s="2" t="s">
        <v>808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0.14000000000000001</v>
      </c>
      <c r="H791" s="2" t="e">
        <f t="shared" si="36"/>
        <v>#NUM!</v>
      </c>
      <c r="I791" s="2">
        <f t="shared" si="37"/>
        <v>0.37390096630005903</v>
      </c>
      <c r="K791" s="2" t="e">
        <f t="shared" si="38"/>
        <v>#NUM!</v>
      </c>
    </row>
    <row r="792" spans="1:11" ht="13.9" x14ac:dyDescent="0.3">
      <c r="A792" s="2" t="s">
        <v>809</v>
      </c>
      <c r="B792" s="2">
        <v>0</v>
      </c>
      <c r="C792" s="2">
        <v>0</v>
      </c>
      <c r="D792" s="2">
        <v>0</v>
      </c>
      <c r="E792" s="2">
        <v>0.62</v>
      </c>
      <c r="F792" s="2">
        <v>0</v>
      </c>
      <c r="G792" s="2">
        <v>0.54</v>
      </c>
      <c r="H792" s="2" t="e">
        <f t="shared" si="36"/>
        <v>#NUM!</v>
      </c>
      <c r="I792" s="2">
        <f t="shared" si="37"/>
        <v>0.11800491355674664</v>
      </c>
      <c r="K792" s="2" t="e">
        <f t="shared" si="38"/>
        <v>#NUM!</v>
      </c>
    </row>
    <row r="793" spans="1:11" ht="13.9" x14ac:dyDescent="0.3">
      <c r="A793" s="2" t="s">
        <v>810</v>
      </c>
      <c r="B793" s="2">
        <v>0</v>
      </c>
      <c r="C793" s="2">
        <v>0</v>
      </c>
      <c r="D793" s="2">
        <v>0</v>
      </c>
      <c r="E793" s="2">
        <v>0.31</v>
      </c>
      <c r="F793" s="2">
        <v>0</v>
      </c>
      <c r="G793" s="2">
        <v>1.89</v>
      </c>
      <c r="H793" s="2" t="e">
        <f t="shared" si="36"/>
        <v>#NUM!</v>
      </c>
      <c r="I793" s="2">
        <f t="shared" si="37"/>
        <v>0.27842236753211863</v>
      </c>
      <c r="K793" s="2" t="e">
        <f t="shared" si="38"/>
        <v>#NUM!</v>
      </c>
    </row>
    <row r="794" spans="1:11" ht="13.9" x14ac:dyDescent="0.3">
      <c r="A794" s="2" t="s">
        <v>811</v>
      </c>
      <c r="B794" s="2">
        <v>0</v>
      </c>
      <c r="C794" s="2">
        <v>0</v>
      </c>
      <c r="D794" s="2">
        <v>0</v>
      </c>
      <c r="E794" s="2">
        <v>1.44</v>
      </c>
      <c r="F794" s="2">
        <v>0</v>
      </c>
      <c r="G794" s="2">
        <v>0</v>
      </c>
      <c r="H794" s="2" t="e">
        <f t="shared" si="36"/>
        <v>#NUM!</v>
      </c>
      <c r="I794" s="2">
        <f t="shared" si="37"/>
        <v>0.37390096630005903</v>
      </c>
      <c r="K794" s="2" t="e">
        <f t="shared" si="38"/>
        <v>#NUM!</v>
      </c>
    </row>
    <row r="795" spans="1:11" ht="13.9" x14ac:dyDescent="0.3">
      <c r="A795" s="2" t="s">
        <v>812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0.14000000000000001</v>
      </c>
      <c r="H795" s="2" t="e">
        <f t="shared" si="36"/>
        <v>#NUM!</v>
      </c>
      <c r="I795" s="2">
        <f t="shared" si="37"/>
        <v>0.37390096630005903</v>
      </c>
      <c r="K795" s="2" t="e">
        <f t="shared" si="38"/>
        <v>#NUM!</v>
      </c>
    </row>
    <row r="796" spans="1:11" ht="13.9" x14ac:dyDescent="0.3">
      <c r="A796" s="2" t="s">
        <v>813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 t="e">
        <f t="shared" si="36"/>
        <v>#DIV/0!</v>
      </c>
      <c r="I796" s="2" t="e">
        <f t="shared" si="37"/>
        <v>#DIV/0!</v>
      </c>
      <c r="K796" s="2" t="e">
        <f t="shared" si="38"/>
        <v>#NUM!</v>
      </c>
    </row>
    <row r="797" spans="1:11" ht="13.9" x14ac:dyDescent="0.3">
      <c r="A797" s="2" t="s">
        <v>814</v>
      </c>
      <c r="B797" s="2">
        <v>0</v>
      </c>
      <c r="C797" s="2">
        <v>0</v>
      </c>
      <c r="D797" s="2">
        <v>0</v>
      </c>
      <c r="E797" s="2">
        <v>0.72</v>
      </c>
      <c r="F797" s="2">
        <v>0</v>
      </c>
      <c r="G797" s="2">
        <v>0.81</v>
      </c>
      <c r="H797" s="2" t="e">
        <f t="shared" si="36"/>
        <v>#NUM!</v>
      </c>
      <c r="I797" s="2">
        <f t="shared" si="37"/>
        <v>0.11749101920491983</v>
      </c>
      <c r="K797" s="2" t="e">
        <f t="shared" si="38"/>
        <v>#NUM!</v>
      </c>
    </row>
    <row r="798" spans="1:11" ht="13.9" x14ac:dyDescent="0.3">
      <c r="A798" s="2" t="s">
        <v>815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0.41</v>
      </c>
      <c r="H798" s="2" t="e">
        <f t="shared" si="36"/>
        <v>#NUM!</v>
      </c>
      <c r="I798" s="2">
        <f t="shared" si="37"/>
        <v>0.37390096630005903</v>
      </c>
      <c r="K798" s="2" t="e">
        <f t="shared" si="38"/>
        <v>#NUM!</v>
      </c>
    </row>
    <row r="799" spans="1:11" ht="13.9" x14ac:dyDescent="0.3">
      <c r="A799" s="2" t="s">
        <v>816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 t="e">
        <f t="shared" si="36"/>
        <v>#DIV/0!</v>
      </c>
      <c r="I799" s="2" t="e">
        <f t="shared" si="37"/>
        <v>#DIV/0!</v>
      </c>
      <c r="K799" s="2" t="e">
        <f t="shared" si="38"/>
        <v>#NUM!</v>
      </c>
    </row>
    <row r="800" spans="1:11" ht="13.9" x14ac:dyDescent="0.3">
      <c r="A800" s="2" t="s">
        <v>817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 t="e">
        <f t="shared" si="36"/>
        <v>#DIV/0!</v>
      </c>
      <c r="I800" s="2" t="e">
        <f t="shared" si="37"/>
        <v>#DIV/0!</v>
      </c>
      <c r="K800" s="2" t="e">
        <f t="shared" si="38"/>
        <v>#NUM!</v>
      </c>
    </row>
    <row r="801" spans="1:11" ht="13.9" x14ac:dyDescent="0.3">
      <c r="A801" s="2" t="s">
        <v>818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 t="e">
        <f t="shared" si="36"/>
        <v>#DIV/0!</v>
      </c>
      <c r="I801" s="2" t="e">
        <f t="shared" si="37"/>
        <v>#DIV/0!</v>
      </c>
      <c r="K801" s="2" t="e">
        <f t="shared" si="38"/>
        <v>#NUM!</v>
      </c>
    </row>
    <row r="802" spans="1:11" ht="13.9" x14ac:dyDescent="0.3">
      <c r="A802" s="2" t="s">
        <v>819</v>
      </c>
      <c r="B802" s="2">
        <v>0.18</v>
      </c>
      <c r="C802" s="2">
        <v>0</v>
      </c>
      <c r="D802" s="2">
        <v>0</v>
      </c>
      <c r="E802" s="2">
        <v>0.51</v>
      </c>
      <c r="F802" s="2">
        <v>0</v>
      </c>
      <c r="G802" s="2">
        <v>1.35</v>
      </c>
      <c r="H802" s="2">
        <f t="shared" si="36"/>
        <v>-3.3692338096657193</v>
      </c>
      <c r="I802" s="2">
        <f t="shared" si="37"/>
        <v>0.23227863569881238</v>
      </c>
      <c r="K802" s="2">
        <f t="shared" si="38"/>
        <v>-2.4739311883324122</v>
      </c>
    </row>
    <row r="803" spans="1:11" ht="13.9" x14ac:dyDescent="0.3">
      <c r="A803" s="2" t="s">
        <v>820</v>
      </c>
      <c r="B803" s="2">
        <v>0</v>
      </c>
      <c r="C803" s="2">
        <v>0</v>
      </c>
      <c r="D803" s="2">
        <v>0</v>
      </c>
      <c r="E803" s="2">
        <v>0.31</v>
      </c>
      <c r="F803" s="2">
        <v>0</v>
      </c>
      <c r="G803" s="2">
        <v>0</v>
      </c>
      <c r="H803" s="2" t="e">
        <f t="shared" si="36"/>
        <v>#NUM!</v>
      </c>
      <c r="I803" s="2">
        <f t="shared" si="37"/>
        <v>0.37390096630005903</v>
      </c>
      <c r="K803" s="2" t="e">
        <f t="shared" si="38"/>
        <v>#NUM!</v>
      </c>
    </row>
    <row r="804" spans="1:11" ht="13.9" x14ac:dyDescent="0.3">
      <c r="A804" s="2" t="s">
        <v>821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 t="e">
        <f t="shared" si="36"/>
        <v>#DIV/0!</v>
      </c>
      <c r="I804" s="2" t="e">
        <f t="shared" si="37"/>
        <v>#DIV/0!</v>
      </c>
      <c r="K804" s="2" t="e">
        <f t="shared" si="38"/>
        <v>#NUM!</v>
      </c>
    </row>
    <row r="805" spans="1:11" ht="13.9" x14ac:dyDescent="0.3">
      <c r="A805" s="2" t="s">
        <v>822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 t="e">
        <f t="shared" si="36"/>
        <v>#DIV/0!</v>
      </c>
      <c r="I805" s="2" t="e">
        <f t="shared" si="37"/>
        <v>#DIV/0!</v>
      </c>
      <c r="K805" s="2" t="e">
        <f t="shared" si="38"/>
        <v>#NUM!</v>
      </c>
    </row>
    <row r="806" spans="1:11" ht="13.9" x14ac:dyDescent="0.3">
      <c r="A806" s="2" t="s">
        <v>823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 t="e">
        <f t="shared" si="36"/>
        <v>#DIV/0!</v>
      </c>
      <c r="I806" s="2" t="e">
        <f t="shared" si="37"/>
        <v>#DIV/0!</v>
      </c>
      <c r="K806" s="2" t="e">
        <f t="shared" si="38"/>
        <v>#NUM!</v>
      </c>
    </row>
    <row r="807" spans="1:11" ht="13.9" x14ac:dyDescent="0.3">
      <c r="A807" s="2" t="s">
        <v>824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 t="e">
        <f t="shared" si="36"/>
        <v>#DIV/0!</v>
      </c>
      <c r="I807" s="2" t="e">
        <f t="shared" si="37"/>
        <v>#DIV/0!</v>
      </c>
      <c r="K807" s="2" t="e">
        <f t="shared" si="38"/>
        <v>#NUM!</v>
      </c>
    </row>
    <row r="808" spans="1:11" ht="13.9" x14ac:dyDescent="0.3">
      <c r="A808" s="2" t="s">
        <v>825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 t="e">
        <f t="shared" si="36"/>
        <v>#DIV/0!</v>
      </c>
      <c r="I808" s="2" t="e">
        <f t="shared" si="37"/>
        <v>#DIV/0!</v>
      </c>
      <c r="K808" s="2" t="e">
        <f t="shared" si="38"/>
        <v>#NUM!</v>
      </c>
    </row>
    <row r="809" spans="1:11" ht="13.9" x14ac:dyDescent="0.3">
      <c r="A809" s="2" t="s">
        <v>826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 t="e">
        <f t="shared" si="36"/>
        <v>#DIV/0!</v>
      </c>
      <c r="I809" s="2" t="e">
        <f t="shared" si="37"/>
        <v>#DIV/0!</v>
      </c>
      <c r="K809" s="2" t="e">
        <f t="shared" si="38"/>
        <v>#NUM!</v>
      </c>
    </row>
    <row r="810" spans="1:11" ht="13.9" x14ac:dyDescent="0.3">
      <c r="A810" s="2" t="s">
        <v>827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 t="e">
        <f t="shared" si="36"/>
        <v>#DIV/0!</v>
      </c>
      <c r="I810" s="2" t="e">
        <f t="shared" si="37"/>
        <v>#DIV/0!</v>
      </c>
      <c r="K810" s="2" t="e">
        <f t="shared" si="38"/>
        <v>#NUM!</v>
      </c>
    </row>
    <row r="811" spans="1:11" ht="13.9" x14ac:dyDescent="0.3">
      <c r="A811" s="2" t="s">
        <v>828</v>
      </c>
      <c r="B811" s="2">
        <v>12.04</v>
      </c>
      <c r="C811" s="2">
        <v>3.98</v>
      </c>
      <c r="D811" s="2">
        <v>0</v>
      </c>
      <c r="E811" s="2">
        <v>0.51</v>
      </c>
      <c r="F811" s="2">
        <v>0</v>
      </c>
      <c r="G811" s="2">
        <v>0</v>
      </c>
      <c r="H811" s="2">
        <f t="shared" si="36"/>
        <v>4.9732330904372146</v>
      </c>
      <c r="I811" s="2">
        <f t="shared" si="37"/>
        <v>0.21855049341514293</v>
      </c>
      <c r="K811" s="2">
        <f t="shared" si="38"/>
        <v>4.0018022426339854</v>
      </c>
    </row>
    <row r="812" spans="1:11" ht="13.9" x14ac:dyDescent="0.3">
      <c r="A812" s="2" t="s">
        <v>829</v>
      </c>
      <c r="B812" s="2">
        <v>0</v>
      </c>
      <c r="C812" s="2">
        <v>0</v>
      </c>
      <c r="D812" s="2">
        <v>0</v>
      </c>
      <c r="E812" s="2">
        <v>1.85</v>
      </c>
      <c r="F812" s="2">
        <v>0</v>
      </c>
      <c r="G812" s="2">
        <v>0.54</v>
      </c>
      <c r="H812" s="2" t="e">
        <f t="shared" si="36"/>
        <v>#NUM!</v>
      </c>
      <c r="I812" s="2">
        <f t="shared" si="37"/>
        <v>0.22054358309891101</v>
      </c>
      <c r="K812" s="2" t="e">
        <f t="shared" si="38"/>
        <v>#NUM!</v>
      </c>
    </row>
    <row r="813" spans="1:11" ht="13.9" x14ac:dyDescent="0.3">
      <c r="A813" s="2" t="s">
        <v>830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 t="e">
        <f t="shared" si="36"/>
        <v>#DIV/0!</v>
      </c>
      <c r="I813" s="2" t="e">
        <f t="shared" si="37"/>
        <v>#DIV/0!</v>
      </c>
      <c r="K813" s="2" t="e">
        <f t="shared" si="38"/>
        <v>#NUM!</v>
      </c>
    </row>
    <row r="814" spans="1:11" ht="13.9" x14ac:dyDescent="0.3">
      <c r="A814" s="2" t="s">
        <v>831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 t="e">
        <f t="shared" si="36"/>
        <v>#DIV/0!</v>
      </c>
      <c r="I814" s="2" t="e">
        <f t="shared" si="37"/>
        <v>#DIV/0!</v>
      </c>
      <c r="K814" s="2" t="e">
        <f t="shared" si="38"/>
        <v>#NUM!</v>
      </c>
    </row>
    <row r="815" spans="1:11" ht="13.9" x14ac:dyDescent="0.3">
      <c r="A815" s="2" t="s">
        <v>832</v>
      </c>
      <c r="B815" s="2">
        <v>0</v>
      </c>
      <c r="C815" s="2">
        <v>0</v>
      </c>
      <c r="D815" s="2">
        <v>0</v>
      </c>
      <c r="E815" s="2">
        <v>0.1</v>
      </c>
      <c r="F815" s="2">
        <v>0</v>
      </c>
      <c r="G815" s="2">
        <v>1.22</v>
      </c>
      <c r="H815" s="2" t="e">
        <f t="shared" si="36"/>
        <v>#NUM!</v>
      </c>
      <c r="I815" s="2">
        <f t="shared" si="37"/>
        <v>0.32347882207091694</v>
      </c>
      <c r="K815" s="2" t="e">
        <f t="shared" si="38"/>
        <v>#NUM!</v>
      </c>
    </row>
    <row r="816" spans="1:11" ht="13.9" x14ac:dyDescent="0.3">
      <c r="A816" s="2" t="s">
        <v>833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 t="e">
        <f t="shared" si="36"/>
        <v>#DIV/0!</v>
      </c>
      <c r="I816" s="2" t="e">
        <f t="shared" si="37"/>
        <v>#DIV/0!</v>
      </c>
      <c r="K816" s="2" t="e">
        <f t="shared" si="38"/>
        <v>#NUM!</v>
      </c>
    </row>
    <row r="817" spans="1:11" ht="13.9" x14ac:dyDescent="0.3">
      <c r="A817" s="2" t="s">
        <v>834</v>
      </c>
      <c r="B817" s="2">
        <v>0</v>
      </c>
      <c r="C817" s="2">
        <v>4.3899999999999997</v>
      </c>
      <c r="D817" s="2">
        <v>19.61</v>
      </c>
      <c r="E817" s="2">
        <v>4.63</v>
      </c>
      <c r="F817" s="2">
        <v>0</v>
      </c>
      <c r="G817" s="2">
        <v>2.84</v>
      </c>
      <c r="H817" s="2">
        <f t="shared" si="36"/>
        <v>1.683854257706644</v>
      </c>
      <c r="I817" s="2">
        <f t="shared" si="37"/>
        <v>0.41694747411107663</v>
      </c>
      <c r="K817" s="2">
        <f t="shared" si="38"/>
        <v>4.584962500721157</v>
      </c>
    </row>
    <row r="818" spans="1:11" ht="13.9" x14ac:dyDescent="0.3">
      <c r="A818" s="2" t="s">
        <v>835</v>
      </c>
      <c r="B818" s="2">
        <v>0</v>
      </c>
      <c r="C818" s="2">
        <v>0</v>
      </c>
      <c r="D818" s="2">
        <v>0</v>
      </c>
      <c r="E818" s="2">
        <v>0.1</v>
      </c>
      <c r="F818" s="2">
        <v>0</v>
      </c>
      <c r="G818" s="2">
        <v>0</v>
      </c>
      <c r="H818" s="2" t="e">
        <f t="shared" si="36"/>
        <v>#NUM!</v>
      </c>
      <c r="I818" s="2">
        <f t="shared" si="37"/>
        <v>0.37390096630005903</v>
      </c>
      <c r="K818" s="2" t="e">
        <f t="shared" si="38"/>
        <v>#NUM!</v>
      </c>
    </row>
    <row r="819" spans="1:11" ht="13.9" x14ac:dyDescent="0.3">
      <c r="A819" s="2" t="s">
        <v>836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 t="e">
        <f t="shared" si="36"/>
        <v>#DIV/0!</v>
      </c>
      <c r="I819" s="2" t="e">
        <f t="shared" si="37"/>
        <v>#DIV/0!</v>
      </c>
      <c r="K819" s="2" t="e">
        <f t="shared" si="38"/>
        <v>#NUM!</v>
      </c>
    </row>
    <row r="820" spans="1:11" ht="13.9" x14ac:dyDescent="0.3">
      <c r="A820" s="2" t="s">
        <v>837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 t="e">
        <f t="shared" si="36"/>
        <v>#DIV/0!</v>
      </c>
      <c r="I820" s="2" t="e">
        <f t="shared" si="37"/>
        <v>#DIV/0!</v>
      </c>
      <c r="K820" s="2" t="e">
        <f t="shared" si="38"/>
        <v>#NUM!</v>
      </c>
    </row>
    <row r="821" spans="1:11" ht="13.9" x14ac:dyDescent="0.3">
      <c r="A821" s="2" t="s">
        <v>838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 t="e">
        <f t="shared" si="36"/>
        <v>#DIV/0!</v>
      </c>
      <c r="I821" s="2" t="e">
        <f t="shared" si="37"/>
        <v>#DIV/0!</v>
      </c>
      <c r="K821" s="2" t="e">
        <f t="shared" si="38"/>
        <v>#NUM!</v>
      </c>
    </row>
    <row r="822" spans="1:11" ht="13.9" x14ac:dyDescent="0.3">
      <c r="A822" s="2" t="s">
        <v>839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 t="e">
        <f t="shared" si="36"/>
        <v>#DIV/0!</v>
      </c>
      <c r="I822" s="2" t="e">
        <f t="shared" si="37"/>
        <v>#DIV/0!</v>
      </c>
      <c r="K822" s="2" t="e">
        <f t="shared" si="38"/>
        <v>#NUM!</v>
      </c>
    </row>
    <row r="823" spans="1:11" ht="13.9" x14ac:dyDescent="0.3">
      <c r="A823" s="2" t="s">
        <v>840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 t="e">
        <f t="shared" si="36"/>
        <v>#DIV/0!</v>
      </c>
      <c r="I823" s="2" t="e">
        <f t="shared" si="37"/>
        <v>#DIV/0!</v>
      </c>
      <c r="K823" s="2" t="e">
        <f t="shared" si="38"/>
        <v>#NUM!</v>
      </c>
    </row>
    <row r="824" spans="1:11" ht="13.9" x14ac:dyDescent="0.3">
      <c r="A824" s="2" t="s">
        <v>841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 t="e">
        <f t="shared" si="36"/>
        <v>#DIV/0!</v>
      </c>
      <c r="I824" s="2" t="e">
        <f t="shared" si="37"/>
        <v>#DIV/0!</v>
      </c>
      <c r="K824" s="2" t="e">
        <f t="shared" si="38"/>
        <v>#NUM!</v>
      </c>
    </row>
    <row r="825" spans="1:11" ht="13.9" x14ac:dyDescent="0.3">
      <c r="A825" s="2" t="s">
        <v>842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 t="e">
        <f t="shared" si="36"/>
        <v>#DIV/0!</v>
      </c>
      <c r="I825" s="2" t="e">
        <f t="shared" si="37"/>
        <v>#DIV/0!</v>
      </c>
      <c r="K825" s="2" t="e">
        <f t="shared" si="38"/>
        <v>#NUM!</v>
      </c>
    </row>
    <row r="826" spans="1:11" ht="13.9" x14ac:dyDescent="0.3">
      <c r="A826" s="2" t="s">
        <v>843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 t="e">
        <f t="shared" si="36"/>
        <v>#DIV/0!</v>
      </c>
      <c r="I826" s="2" t="e">
        <f t="shared" si="37"/>
        <v>#DIV/0!</v>
      </c>
      <c r="K826" s="2" t="e">
        <f t="shared" si="38"/>
        <v>#NUM!</v>
      </c>
    </row>
    <row r="827" spans="1:11" ht="13.9" x14ac:dyDescent="0.3">
      <c r="A827" s="2" t="s">
        <v>844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0.68</v>
      </c>
      <c r="H827" s="2" t="e">
        <f t="shared" si="36"/>
        <v>#NUM!</v>
      </c>
      <c r="I827" s="2">
        <f t="shared" si="37"/>
        <v>0.37390096630005903</v>
      </c>
      <c r="K827" s="2" t="e">
        <f t="shared" si="38"/>
        <v>#NUM!</v>
      </c>
    </row>
    <row r="828" spans="1:11" ht="13.9" x14ac:dyDescent="0.3">
      <c r="A828" s="2" t="s">
        <v>845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 t="e">
        <f t="shared" si="36"/>
        <v>#DIV/0!</v>
      </c>
      <c r="I828" s="2" t="e">
        <f t="shared" si="37"/>
        <v>#DIV/0!</v>
      </c>
      <c r="K828" s="2" t="e">
        <f t="shared" si="38"/>
        <v>#NUM!</v>
      </c>
    </row>
    <row r="829" spans="1:11" ht="13.9" x14ac:dyDescent="0.3">
      <c r="A829" s="2" t="s">
        <v>846</v>
      </c>
      <c r="B829" s="2">
        <v>0</v>
      </c>
      <c r="C829" s="2">
        <v>0</v>
      </c>
      <c r="D829" s="2">
        <v>0</v>
      </c>
      <c r="E829" s="2">
        <v>1.1299999999999999</v>
      </c>
      <c r="F829" s="2">
        <v>0</v>
      </c>
      <c r="G829" s="2">
        <v>1.22</v>
      </c>
      <c r="H829" s="2" t="e">
        <f t="shared" si="36"/>
        <v>#NUM!</v>
      </c>
      <c r="I829" s="2">
        <f t="shared" si="37"/>
        <v>0.11669958915797259</v>
      </c>
      <c r="K829" s="2" t="e">
        <f t="shared" si="38"/>
        <v>#NUM!</v>
      </c>
    </row>
    <row r="830" spans="1:11" ht="13.9" x14ac:dyDescent="0.3">
      <c r="A830" s="2" t="s">
        <v>847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 t="e">
        <f t="shared" si="36"/>
        <v>#DIV/0!</v>
      </c>
      <c r="I830" s="2" t="e">
        <f t="shared" si="37"/>
        <v>#DIV/0!</v>
      </c>
      <c r="K830" s="2" t="e">
        <f t="shared" si="38"/>
        <v>#NUM!</v>
      </c>
    </row>
    <row r="831" spans="1:11" ht="13.9" x14ac:dyDescent="0.3">
      <c r="A831" s="2" t="s">
        <v>848</v>
      </c>
      <c r="B831" s="2">
        <v>15.45</v>
      </c>
      <c r="C831" s="2">
        <v>11.72</v>
      </c>
      <c r="D831" s="2">
        <v>58.82</v>
      </c>
      <c r="E831" s="2">
        <v>40.74</v>
      </c>
      <c r="F831" s="2">
        <v>0</v>
      </c>
      <c r="G831" s="2">
        <v>66.59</v>
      </c>
      <c r="H831" s="2">
        <f t="shared" si="36"/>
        <v>-0.31981258279309505</v>
      </c>
      <c r="I831" s="2">
        <f t="shared" si="37"/>
        <v>0.78666204996590039</v>
      </c>
      <c r="K831" s="2">
        <f t="shared" si="38"/>
        <v>6.4260969897108176</v>
      </c>
    </row>
    <row r="832" spans="1:11" ht="13.9" x14ac:dyDescent="0.3">
      <c r="A832" s="2" t="s">
        <v>849</v>
      </c>
      <c r="B832" s="2">
        <v>0</v>
      </c>
      <c r="C832" s="2">
        <v>0</v>
      </c>
      <c r="D832" s="2">
        <v>0</v>
      </c>
      <c r="E832" s="2">
        <v>0.82</v>
      </c>
      <c r="F832" s="2">
        <v>0</v>
      </c>
      <c r="G832" s="2">
        <v>0.81</v>
      </c>
      <c r="H832" s="2" t="e">
        <f t="shared" si="36"/>
        <v>#NUM!</v>
      </c>
      <c r="I832" s="2">
        <f t="shared" si="37"/>
        <v>0.11613149366812972</v>
      </c>
      <c r="K832" s="2" t="e">
        <f t="shared" si="38"/>
        <v>#NUM!</v>
      </c>
    </row>
    <row r="833" spans="1:11" ht="13.9" x14ac:dyDescent="0.3">
      <c r="A833" s="2" t="s">
        <v>850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 t="e">
        <f t="shared" si="36"/>
        <v>#DIV/0!</v>
      </c>
      <c r="I833" s="2" t="e">
        <f t="shared" si="37"/>
        <v>#DIV/0!</v>
      </c>
      <c r="K833" s="2" t="e">
        <f t="shared" si="38"/>
        <v>#NUM!</v>
      </c>
    </row>
    <row r="834" spans="1:11" ht="13.9" x14ac:dyDescent="0.3">
      <c r="A834" s="2" t="s">
        <v>851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 t="e">
        <f t="shared" ref="H834:H897" si="39">LOG(SUM(B834:D834)/SUM(E834:G834),2)</f>
        <v>#DIV/0!</v>
      </c>
      <c r="I834" s="2" t="e">
        <f t="shared" ref="I834:I897" si="40">_xlfn.T.TEST(B834:D834,E834:G834,2,2)</f>
        <v>#DIV/0!</v>
      </c>
      <c r="K834" s="2" t="e">
        <f t="shared" si="38"/>
        <v>#NUM!</v>
      </c>
    </row>
    <row r="835" spans="1:11" ht="13.9" x14ac:dyDescent="0.3">
      <c r="A835" s="2" t="s">
        <v>852</v>
      </c>
      <c r="B835" s="2">
        <v>0</v>
      </c>
      <c r="C835" s="2">
        <v>0</v>
      </c>
      <c r="D835" s="2">
        <v>0</v>
      </c>
      <c r="E835" s="2">
        <v>0.82</v>
      </c>
      <c r="F835" s="2">
        <v>0</v>
      </c>
      <c r="G835" s="2">
        <v>0</v>
      </c>
      <c r="H835" s="2" t="e">
        <f t="shared" si="39"/>
        <v>#NUM!</v>
      </c>
      <c r="I835" s="2">
        <f t="shared" si="40"/>
        <v>0.37390096630005903</v>
      </c>
      <c r="K835" s="2" t="e">
        <f t="shared" ref="K835:K898" si="41">LOG(SUM(B835:D835),2)</f>
        <v>#NUM!</v>
      </c>
    </row>
    <row r="836" spans="1:11" ht="13.9" x14ac:dyDescent="0.3">
      <c r="A836" s="2" t="s">
        <v>853</v>
      </c>
      <c r="B836" s="2">
        <v>0</v>
      </c>
      <c r="C836" s="2">
        <v>0</v>
      </c>
      <c r="D836" s="2">
        <v>0</v>
      </c>
      <c r="E836" s="2">
        <v>0.1</v>
      </c>
      <c r="F836" s="2">
        <v>0</v>
      </c>
      <c r="G836" s="2">
        <v>0</v>
      </c>
      <c r="H836" s="2" t="e">
        <f t="shared" si="39"/>
        <v>#NUM!</v>
      </c>
      <c r="I836" s="2">
        <f t="shared" si="40"/>
        <v>0.37390096630005903</v>
      </c>
      <c r="K836" s="2" t="e">
        <f t="shared" si="41"/>
        <v>#NUM!</v>
      </c>
    </row>
    <row r="837" spans="1:11" ht="13.9" x14ac:dyDescent="0.3">
      <c r="A837" s="2" t="s">
        <v>854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 t="e">
        <f t="shared" si="39"/>
        <v>#DIV/0!</v>
      </c>
      <c r="I837" s="2" t="e">
        <f t="shared" si="40"/>
        <v>#DIV/0!</v>
      </c>
      <c r="K837" s="2" t="e">
        <f t="shared" si="41"/>
        <v>#NUM!</v>
      </c>
    </row>
    <row r="838" spans="1:11" ht="13.9" x14ac:dyDescent="0.3">
      <c r="A838" s="2" t="s">
        <v>855</v>
      </c>
      <c r="B838" s="2">
        <v>0</v>
      </c>
      <c r="C838" s="2">
        <v>0</v>
      </c>
      <c r="D838" s="2">
        <v>0</v>
      </c>
      <c r="E838" s="2">
        <v>0</v>
      </c>
      <c r="F838" s="2">
        <v>0</v>
      </c>
      <c r="G838" s="2">
        <v>0.68</v>
      </c>
      <c r="H838" s="2" t="e">
        <f t="shared" si="39"/>
        <v>#NUM!</v>
      </c>
      <c r="I838" s="2">
        <f t="shared" si="40"/>
        <v>0.37390096630005903</v>
      </c>
      <c r="K838" s="2" t="e">
        <f t="shared" si="41"/>
        <v>#NUM!</v>
      </c>
    </row>
    <row r="839" spans="1:11" ht="13.9" x14ac:dyDescent="0.3">
      <c r="A839" s="2" t="s">
        <v>856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 t="e">
        <f t="shared" si="39"/>
        <v>#DIV/0!</v>
      </c>
      <c r="I839" s="2" t="e">
        <f t="shared" si="40"/>
        <v>#DIV/0!</v>
      </c>
      <c r="K839" s="2" t="e">
        <f t="shared" si="41"/>
        <v>#NUM!</v>
      </c>
    </row>
    <row r="840" spans="1:11" ht="13.9" x14ac:dyDescent="0.3">
      <c r="A840" s="2" t="s">
        <v>857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 t="e">
        <f t="shared" si="39"/>
        <v>#DIV/0!</v>
      </c>
      <c r="I840" s="2" t="e">
        <f t="shared" si="40"/>
        <v>#DIV/0!</v>
      </c>
      <c r="K840" s="2" t="e">
        <f t="shared" si="41"/>
        <v>#NUM!</v>
      </c>
    </row>
    <row r="841" spans="1:11" ht="13.9" x14ac:dyDescent="0.3">
      <c r="A841" s="2" t="s">
        <v>858</v>
      </c>
      <c r="B841" s="2">
        <v>0</v>
      </c>
      <c r="C841" s="2">
        <v>0</v>
      </c>
      <c r="D841" s="2">
        <v>14.08</v>
      </c>
      <c r="E841" s="2">
        <v>0.1</v>
      </c>
      <c r="F841" s="2">
        <v>0</v>
      </c>
      <c r="G841" s="2">
        <v>2.98</v>
      </c>
      <c r="H841" s="2">
        <f t="shared" si="39"/>
        <v>2.1926450779423958</v>
      </c>
      <c r="I841" s="2">
        <f t="shared" si="40"/>
        <v>0.48699250920817627</v>
      </c>
      <c r="K841" s="2">
        <f t="shared" si="41"/>
        <v>3.8155754288625725</v>
      </c>
    </row>
    <row r="842" spans="1:11" ht="13.9" x14ac:dyDescent="0.3">
      <c r="A842" s="2" t="s">
        <v>859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 t="e">
        <f t="shared" si="39"/>
        <v>#DIV/0!</v>
      </c>
      <c r="I842" s="2" t="e">
        <f t="shared" si="40"/>
        <v>#DIV/0!</v>
      </c>
      <c r="K842" s="2" t="e">
        <f t="shared" si="41"/>
        <v>#NUM!</v>
      </c>
    </row>
    <row r="843" spans="1:11" ht="13.9" x14ac:dyDescent="0.3">
      <c r="A843" s="2" t="s">
        <v>860</v>
      </c>
      <c r="B843" s="2">
        <v>0</v>
      </c>
      <c r="C843" s="2">
        <v>0</v>
      </c>
      <c r="D843" s="2">
        <v>0</v>
      </c>
      <c r="E843" s="2">
        <v>0.72</v>
      </c>
      <c r="F843" s="2">
        <v>0</v>
      </c>
      <c r="G843" s="2">
        <v>1.49</v>
      </c>
      <c r="H843" s="2" t="e">
        <f t="shared" si="39"/>
        <v>#NUM!</v>
      </c>
      <c r="I843" s="2">
        <f t="shared" si="40"/>
        <v>0.1619933248132697</v>
      </c>
      <c r="K843" s="2" t="e">
        <f t="shared" si="41"/>
        <v>#NUM!</v>
      </c>
    </row>
    <row r="844" spans="1:11" ht="13.9" x14ac:dyDescent="0.3">
      <c r="A844" s="2" t="s">
        <v>861</v>
      </c>
      <c r="B844" s="2">
        <v>0</v>
      </c>
      <c r="C844" s="2">
        <v>0</v>
      </c>
      <c r="D844" s="2">
        <v>0</v>
      </c>
      <c r="E844" s="2">
        <v>0.21</v>
      </c>
      <c r="F844" s="2">
        <v>0</v>
      </c>
      <c r="G844" s="2">
        <v>0</v>
      </c>
      <c r="H844" s="2" t="e">
        <f t="shared" si="39"/>
        <v>#NUM!</v>
      </c>
      <c r="I844" s="2">
        <f t="shared" si="40"/>
        <v>0.37390096630005903</v>
      </c>
      <c r="K844" s="2" t="e">
        <f t="shared" si="41"/>
        <v>#NUM!</v>
      </c>
    </row>
    <row r="845" spans="1:11" ht="13.9" x14ac:dyDescent="0.3">
      <c r="A845" s="2" t="s">
        <v>862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 t="e">
        <f t="shared" si="39"/>
        <v>#DIV/0!</v>
      </c>
      <c r="I845" s="2" t="e">
        <f t="shared" si="40"/>
        <v>#DIV/0!</v>
      </c>
      <c r="K845" s="2" t="e">
        <f t="shared" si="41"/>
        <v>#NUM!</v>
      </c>
    </row>
    <row r="846" spans="1:11" ht="13.9" x14ac:dyDescent="0.3">
      <c r="A846" s="2" t="s">
        <v>863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 t="e">
        <f t="shared" si="39"/>
        <v>#DIV/0!</v>
      </c>
      <c r="I846" s="2" t="e">
        <f t="shared" si="40"/>
        <v>#DIV/0!</v>
      </c>
      <c r="K846" s="2" t="e">
        <f t="shared" si="41"/>
        <v>#NUM!</v>
      </c>
    </row>
    <row r="847" spans="1:11" ht="13.9" x14ac:dyDescent="0.3">
      <c r="A847" s="2" t="s">
        <v>864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 t="e">
        <f t="shared" si="39"/>
        <v>#DIV/0!</v>
      </c>
      <c r="I847" s="2" t="e">
        <f t="shared" si="40"/>
        <v>#DIV/0!</v>
      </c>
      <c r="K847" s="2" t="e">
        <f t="shared" si="41"/>
        <v>#NUM!</v>
      </c>
    </row>
    <row r="848" spans="1:11" ht="13.9" x14ac:dyDescent="0.3">
      <c r="A848" s="2" t="s">
        <v>865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 t="e">
        <f t="shared" si="39"/>
        <v>#DIV/0!</v>
      </c>
      <c r="I848" s="2" t="e">
        <f t="shared" si="40"/>
        <v>#DIV/0!</v>
      </c>
      <c r="K848" s="2" t="e">
        <f t="shared" si="41"/>
        <v>#NUM!</v>
      </c>
    </row>
    <row r="849" spans="1:11" ht="13.9" x14ac:dyDescent="0.3">
      <c r="A849" s="2" t="s">
        <v>866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 t="e">
        <f t="shared" si="39"/>
        <v>#DIV/0!</v>
      </c>
      <c r="I849" s="2" t="e">
        <f t="shared" si="40"/>
        <v>#DIV/0!</v>
      </c>
      <c r="K849" s="2" t="e">
        <f t="shared" si="41"/>
        <v>#NUM!</v>
      </c>
    </row>
    <row r="850" spans="1:11" ht="13.9" x14ac:dyDescent="0.3">
      <c r="A850" s="2" t="s">
        <v>867</v>
      </c>
      <c r="B850" s="2">
        <v>0</v>
      </c>
      <c r="C850" s="2">
        <v>0</v>
      </c>
      <c r="D850" s="2">
        <v>0</v>
      </c>
      <c r="E850" s="2">
        <v>0.31</v>
      </c>
      <c r="F850" s="2">
        <v>0</v>
      </c>
      <c r="G850" s="2">
        <v>0</v>
      </c>
      <c r="H850" s="2" t="e">
        <f t="shared" si="39"/>
        <v>#NUM!</v>
      </c>
      <c r="I850" s="2">
        <f t="shared" si="40"/>
        <v>0.37390096630005903</v>
      </c>
      <c r="K850" s="2" t="e">
        <f t="shared" si="41"/>
        <v>#NUM!</v>
      </c>
    </row>
    <row r="851" spans="1:11" ht="13.9" x14ac:dyDescent="0.3">
      <c r="A851" s="2" t="s">
        <v>868</v>
      </c>
      <c r="B851" s="2">
        <v>0</v>
      </c>
      <c r="C851" s="2">
        <v>0</v>
      </c>
      <c r="D851" s="2">
        <v>28.15</v>
      </c>
      <c r="E851" s="2">
        <v>4.01</v>
      </c>
      <c r="F851" s="2">
        <v>0</v>
      </c>
      <c r="G851" s="2">
        <v>10.02</v>
      </c>
      <c r="H851" s="2">
        <f t="shared" si="39"/>
        <v>1.0046199133476927</v>
      </c>
      <c r="I851" s="2">
        <f t="shared" si="40"/>
        <v>0.65690571128459285</v>
      </c>
      <c r="K851" s="2">
        <f t="shared" si="41"/>
        <v>4.815063017192867</v>
      </c>
    </row>
    <row r="852" spans="1:11" ht="13.9" x14ac:dyDescent="0.3">
      <c r="A852" s="2" t="s">
        <v>869</v>
      </c>
      <c r="B852" s="2">
        <v>0</v>
      </c>
      <c r="C852" s="2">
        <v>0.21</v>
      </c>
      <c r="D852" s="2">
        <v>0</v>
      </c>
      <c r="E852" s="2">
        <v>3.19</v>
      </c>
      <c r="F852" s="2">
        <v>0</v>
      </c>
      <c r="G852" s="2">
        <v>0.54</v>
      </c>
      <c r="H852" s="2">
        <f t="shared" si="39"/>
        <v>-4.1507143974764773</v>
      </c>
      <c r="I852" s="2">
        <f t="shared" si="40"/>
        <v>0.30079104702015669</v>
      </c>
      <c r="K852" s="2">
        <f t="shared" si="41"/>
        <v>-2.2515387669959646</v>
      </c>
    </row>
    <row r="853" spans="1:11" ht="13.9" x14ac:dyDescent="0.3">
      <c r="A853" s="2" t="s">
        <v>870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 t="e">
        <f t="shared" si="39"/>
        <v>#DIV/0!</v>
      </c>
      <c r="I853" s="2" t="e">
        <f t="shared" si="40"/>
        <v>#DIV/0!</v>
      </c>
      <c r="K853" s="2" t="e">
        <f t="shared" si="41"/>
        <v>#NUM!</v>
      </c>
    </row>
    <row r="854" spans="1:11" ht="13.9" x14ac:dyDescent="0.3">
      <c r="A854" s="2" t="s">
        <v>871</v>
      </c>
      <c r="B854" s="2">
        <v>0</v>
      </c>
      <c r="C854" s="2">
        <v>0</v>
      </c>
      <c r="D854" s="2">
        <v>0</v>
      </c>
      <c r="E854" s="2">
        <v>0.62</v>
      </c>
      <c r="F854" s="2">
        <v>0</v>
      </c>
      <c r="G854" s="2">
        <v>0</v>
      </c>
      <c r="H854" s="2" t="e">
        <f t="shared" si="39"/>
        <v>#NUM!</v>
      </c>
      <c r="I854" s="2">
        <f t="shared" si="40"/>
        <v>0.37390096630005903</v>
      </c>
      <c r="K854" s="2" t="e">
        <f t="shared" si="41"/>
        <v>#NUM!</v>
      </c>
    </row>
    <row r="855" spans="1:11" ht="13.9" x14ac:dyDescent="0.3">
      <c r="A855" s="2" t="s">
        <v>872</v>
      </c>
      <c r="B855" s="2">
        <v>0</v>
      </c>
      <c r="C855" s="2">
        <v>0</v>
      </c>
      <c r="D855" s="2">
        <v>0</v>
      </c>
      <c r="E855" s="2">
        <v>0.1</v>
      </c>
      <c r="F855" s="2">
        <v>0</v>
      </c>
      <c r="G855" s="2">
        <v>0</v>
      </c>
      <c r="H855" s="2" t="e">
        <f t="shared" si="39"/>
        <v>#NUM!</v>
      </c>
      <c r="I855" s="2">
        <f t="shared" si="40"/>
        <v>0.37390096630005903</v>
      </c>
      <c r="K855" s="2" t="e">
        <f t="shared" si="41"/>
        <v>#NUM!</v>
      </c>
    </row>
    <row r="856" spans="1:11" ht="13.9" x14ac:dyDescent="0.3">
      <c r="A856" s="2" t="s">
        <v>873</v>
      </c>
      <c r="B856" s="2">
        <v>0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 t="e">
        <f t="shared" si="39"/>
        <v>#DIV/0!</v>
      </c>
      <c r="I856" s="2" t="e">
        <f t="shared" si="40"/>
        <v>#DIV/0!</v>
      </c>
      <c r="K856" s="2" t="e">
        <f t="shared" si="41"/>
        <v>#NUM!</v>
      </c>
    </row>
    <row r="857" spans="1:11" ht="13.9" x14ac:dyDescent="0.3">
      <c r="A857" s="2" t="s">
        <v>874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 t="e">
        <f t="shared" si="39"/>
        <v>#DIV/0!</v>
      </c>
      <c r="I857" s="2" t="e">
        <f t="shared" si="40"/>
        <v>#DIV/0!</v>
      </c>
      <c r="K857" s="2" t="e">
        <f t="shared" si="41"/>
        <v>#NUM!</v>
      </c>
    </row>
    <row r="858" spans="1:11" ht="13.9" x14ac:dyDescent="0.3">
      <c r="A858" s="2" t="s">
        <v>875</v>
      </c>
      <c r="B858" s="2">
        <v>0</v>
      </c>
      <c r="C858" s="2">
        <v>0</v>
      </c>
      <c r="D858" s="2">
        <v>0</v>
      </c>
      <c r="E858" s="2">
        <v>0.31</v>
      </c>
      <c r="F858" s="2">
        <v>0</v>
      </c>
      <c r="G858" s="2">
        <v>0</v>
      </c>
      <c r="H858" s="2" t="e">
        <f t="shared" si="39"/>
        <v>#NUM!</v>
      </c>
      <c r="I858" s="2">
        <f t="shared" si="40"/>
        <v>0.37390096630005903</v>
      </c>
      <c r="K858" s="2" t="e">
        <f t="shared" si="41"/>
        <v>#NUM!</v>
      </c>
    </row>
    <row r="859" spans="1:11" ht="13.9" x14ac:dyDescent="0.3">
      <c r="A859" s="2" t="s">
        <v>876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 t="e">
        <f t="shared" si="39"/>
        <v>#DIV/0!</v>
      </c>
      <c r="I859" s="2" t="e">
        <f t="shared" si="40"/>
        <v>#DIV/0!</v>
      </c>
      <c r="K859" s="2" t="e">
        <f t="shared" si="41"/>
        <v>#NUM!</v>
      </c>
    </row>
    <row r="860" spans="1:11" ht="13.9" x14ac:dyDescent="0.3">
      <c r="A860" s="2" t="s">
        <v>877</v>
      </c>
      <c r="B860" s="2">
        <v>6.29</v>
      </c>
      <c r="C860" s="2">
        <v>0</v>
      </c>
      <c r="D860" s="2">
        <v>0</v>
      </c>
      <c r="E860" s="2">
        <v>6.69</v>
      </c>
      <c r="F860" s="2">
        <v>0</v>
      </c>
      <c r="G860" s="2">
        <v>4.74</v>
      </c>
      <c r="H860" s="2">
        <f t="shared" si="39"/>
        <v>-0.86169348133518908</v>
      </c>
      <c r="I860" s="2">
        <f t="shared" si="40"/>
        <v>0.58495570488955695</v>
      </c>
      <c r="K860" s="2">
        <f t="shared" si="41"/>
        <v>2.6530600171045644</v>
      </c>
    </row>
    <row r="861" spans="1:11" ht="13.9" x14ac:dyDescent="0.3">
      <c r="A861" s="2" t="s">
        <v>878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 t="e">
        <f t="shared" si="39"/>
        <v>#DIV/0!</v>
      </c>
      <c r="I861" s="2" t="e">
        <f t="shared" si="40"/>
        <v>#DIV/0!</v>
      </c>
      <c r="K861" s="2" t="e">
        <f t="shared" si="41"/>
        <v>#NUM!</v>
      </c>
    </row>
    <row r="862" spans="1:11" ht="13.9" x14ac:dyDescent="0.3">
      <c r="A862" s="2" t="s">
        <v>879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 t="e">
        <f t="shared" si="39"/>
        <v>#DIV/0!</v>
      </c>
      <c r="I862" s="2" t="e">
        <f t="shared" si="40"/>
        <v>#DIV/0!</v>
      </c>
      <c r="K862" s="2" t="e">
        <f t="shared" si="41"/>
        <v>#NUM!</v>
      </c>
    </row>
    <row r="863" spans="1:11" ht="13.9" x14ac:dyDescent="0.3">
      <c r="A863" s="2" t="s">
        <v>880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 t="e">
        <f t="shared" si="39"/>
        <v>#DIV/0!</v>
      </c>
      <c r="I863" s="2" t="e">
        <f t="shared" si="40"/>
        <v>#DIV/0!</v>
      </c>
      <c r="K863" s="2" t="e">
        <f t="shared" si="41"/>
        <v>#NUM!</v>
      </c>
    </row>
    <row r="864" spans="1:11" ht="13.9" x14ac:dyDescent="0.3">
      <c r="A864" s="2" t="s">
        <v>881</v>
      </c>
      <c r="B864" s="2">
        <v>0.18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 t="e">
        <f t="shared" si="39"/>
        <v>#DIV/0!</v>
      </c>
      <c r="I864" s="2">
        <f t="shared" si="40"/>
        <v>0.37390096630005903</v>
      </c>
      <c r="K864" s="2">
        <f t="shared" si="41"/>
        <v>-2.4739311883324122</v>
      </c>
    </row>
    <row r="865" spans="1:11" ht="13.9" x14ac:dyDescent="0.3">
      <c r="A865" s="2" t="s">
        <v>882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0.81</v>
      </c>
      <c r="H865" s="2" t="e">
        <f t="shared" si="39"/>
        <v>#NUM!</v>
      </c>
      <c r="I865" s="2">
        <f t="shared" si="40"/>
        <v>0.37390096630005903</v>
      </c>
      <c r="K865" s="2" t="e">
        <f t="shared" si="41"/>
        <v>#NUM!</v>
      </c>
    </row>
    <row r="866" spans="1:11" ht="13.9" x14ac:dyDescent="0.3">
      <c r="A866" s="2" t="s">
        <v>883</v>
      </c>
      <c r="B866" s="2">
        <v>0</v>
      </c>
      <c r="C866" s="2">
        <v>0</v>
      </c>
      <c r="D866" s="2">
        <v>0</v>
      </c>
      <c r="E866" s="2">
        <v>0.62</v>
      </c>
      <c r="F866" s="2">
        <v>0</v>
      </c>
      <c r="G866" s="2">
        <v>2.84</v>
      </c>
      <c r="H866" s="2" t="e">
        <f t="shared" si="39"/>
        <v>#NUM!</v>
      </c>
      <c r="I866" s="2">
        <f t="shared" si="40"/>
        <v>0.2519576791984951</v>
      </c>
      <c r="K866" s="2" t="e">
        <f t="shared" si="41"/>
        <v>#NUM!</v>
      </c>
    </row>
    <row r="867" spans="1:11" ht="13.9" x14ac:dyDescent="0.3">
      <c r="A867" s="2" t="s">
        <v>884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 t="e">
        <f t="shared" si="39"/>
        <v>#DIV/0!</v>
      </c>
      <c r="I867" s="2" t="e">
        <f t="shared" si="40"/>
        <v>#DIV/0!</v>
      </c>
      <c r="K867" s="2" t="e">
        <f t="shared" si="41"/>
        <v>#NUM!</v>
      </c>
    </row>
    <row r="868" spans="1:11" ht="13.9" x14ac:dyDescent="0.3">
      <c r="A868" s="2" t="s">
        <v>885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 t="e">
        <f t="shared" si="39"/>
        <v>#DIV/0!</v>
      </c>
      <c r="I868" s="2" t="e">
        <f t="shared" si="40"/>
        <v>#DIV/0!</v>
      </c>
      <c r="K868" s="2" t="e">
        <f t="shared" si="41"/>
        <v>#NUM!</v>
      </c>
    </row>
    <row r="869" spans="1:11" ht="13.9" x14ac:dyDescent="0.3">
      <c r="A869" s="2" t="s">
        <v>886</v>
      </c>
      <c r="B869" s="2">
        <v>72.58</v>
      </c>
      <c r="C869" s="2">
        <v>108.83</v>
      </c>
      <c r="D869" s="2">
        <v>213.16</v>
      </c>
      <c r="E869" s="2">
        <v>104.54</v>
      </c>
      <c r="F869" s="2">
        <v>81.75</v>
      </c>
      <c r="G869" s="2">
        <v>182.85</v>
      </c>
      <c r="H869" s="2">
        <f t="shared" si="39"/>
        <v>9.6113192597275646E-2</v>
      </c>
      <c r="I869" s="2">
        <f t="shared" si="40"/>
        <v>0.87861290229443356</v>
      </c>
      <c r="K869" s="2">
        <f t="shared" si="41"/>
        <v>8.6241374588200976</v>
      </c>
    </row>
    <row r="870" spans="1:11" ht="13.9" x14ac:dyDescent="0.3">
      <c r="A870" s="2" t="s">
        <v>887</v>
      </c>
      <c r="B870" s="2">
        <v>0</v>
      </c>
      <c r="C870" s="2">
        <v>0</v>
      </c>
      <c r="D870" s="2">
        <v>7.54</v>
      </c>
      <c r="E870" s="2">
        <v>0.31</v>
      </c>
      <c r="F870" s="2">
        <v>0</v>
      </c>
      <c r="G870" s="2">
        <v>1.22</v>
      </c>
      <c r="H870" s="2">
        <f t="shared" si="39"/>
        <v>2.3010328705760128</v>
      </c>
      <c r="I870" s="2">
        <f t="shared" si="40"/>
        <v>0.474373104383563</v>
      </c>
      <c r="K870" s="2">
        <f t="shared" si="41"/>
        <v>2.9145645234939401</v>
      </c>
    </row>
    <row r="871" spans="1:11" ht="13.9" x14ac:dyDescent="0.3">
      <c r="A871" s="2" t="s">
        <v>888</v>
      </c>
      <c r="B871" s="2">
        <v>1335.37</v>
      </c>
      <c r="C871" s="2">
        <v>1104.79</v>
      </c>
      <c r="D871" s="2">
        <v>915.49</v>
      </c>
      <c r="E871" s="2">
        <v>3854.04</v>
      </c>
      <c r="F871" s="2">
        <v>4496.3999999999996</v>
      </c>
      <c r="G871" s="2">
        <v>3388.57</v>
      </c>
      <c r="H871" s="2">
        <f t="shared" si="39"/>
        <v>-1.8066465918563352</v>
      </c>
      <c r="I871" s="2">
        <f t="shared" si="40"/>
        <v>1.2398504802061169E-3</v>
      </c>
      <c r="K871" s="2">
        <f t="shared" si="41"/>
        <v>11.712376532741189</v>
      </c>
    </row>
    <row r="872" spans="1:11" ht="13.9" x14ac:dyDescent="0.3">
      <c r="A872" s="2" t="s">
        <v>889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2.71</v>
      </c>
      <c r="H872" s="2" t="e">
        <f t="shared" si="39"/>
        <v>#NUM!</v>
      </c>
      <c r="I872" s="2">
        <f t="shared" si="40"/>
        <v>0.37390096630005903</v>
      </c>
      <c r="K872" s="2" t="e">
        <f t="shared" si="41"/>
        <v>#NUM!</v>
      </c>
    </row>
    <row r="873" spans="1:11" ht="13.9" x14ac:dyDescent="0.3">
      <c r="A873" s="2" t="s">
        <v>890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 t="e">
        <f t="shared" si="39"/>
        <v>#DIV/0!</v>
      </c>
      <c r="I873" s="2" t="e">
        <f t="shared" si="40"/>
        <v>#DIV/0!</v>
      </c>
      <c r="K873" s="2" t="e">
        <f t="shared" si="41"/>
        <v>#NUM!</v>
      </c>
    </row>
    <row r="874" spans="1:11" ht="13.9" x14ac:dyDescent="0.3">
      <c r="A874" s="2" t="s">
        <v>891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2.44</v>
      </c>
      <c r="H874" s="2" t="e">
        <f t="shared" si="39"/>
        <v>#NUM!</v>
      </c>
      <c r="I874" s="2">
        <f t="shared" si="40"/>
        <v>0.37390096630005903</v>
      </c>
      <c r="K874" s="2" t="e">
        <f t="shared" si="41"/>
        <v>#NUM!</v>
      </c>
    </row>
    <row r="875" spans="1:11" ht="13.9" x14ac:dyDescent="0.3">
      <c r="A875" s="2" t="s">
        <v>892</v>
      </c>
      <c r="B875" s="2">
        <v>84.8</v>
      </c>
      <c r="C875" s="2">
        <v>202.58</v>
      </c>
      <c r="D875" s="2">
        <v>256.89999999999998</v>
      </c>
      <c r="E875" s="2">
        <v>146.62</v>
      </c>
      <c r="F875" s="2">
        <v>0</v>
      </c>
      <c r="G875" s="2">
        <v>232.66</v>
      </c>
      <c r="H875" s="2">
        <f t="shared" si="39"/>
        <v>0.52108572588727164</v>
      </c>
      <c r="I875" s="2">
        <f t="shared" si="40"/>
        <v>0.55201013626092155</v>
      </c>
      <c r="K875" s="2">
        <f t="shared" si="41"/>
        <v>9.0882052138389433</v>
      </c>
    </row>
    <row r="876" spans="1:11" ht="13.9" x14ac:dyDescent="0.3">
      <c r="A876" s="2" t="s">
        <v>893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 t="e">
        <f t="shared" si="39"/>
        <v>#DIV/0!</v>
      </c>
      <c r="I876" s="2" t="e">
        <f t="shared" si="40"/>
        <v>#DIV/0!</v>
      </c>
      <c r="K876" s="2" t="e">
        <f t="shared" si="41"/>
        <v>#NUM!</v>
      </c>
    </row>
    <row r="877" spans="1:11" ht="13.9" x14ac:dyDescent="0.3">
      <c r="A877" s="2" t="s">
        <v>894</v>
      </c>
      <c r="B877" s="2">
        <v>0</v>
      </c>
      <c r="C877" s="2">
        <v>0</v>
      </c>
      <c r="D877" s="2">
        <v>6.54</v>
      </c>
      <c r="E877" s="2">
        <v>1.23</v>
      </c>
      <c r="F877" s="2">
        <v>0</v>
      </c>
      <c r="G877" s="2">
        <v>2.57</v>
      </c>
      <c r="H877" s="2">
        <f t="shared" si="39"/>
        <v>0.78329121716713479</v>
      </c>
      <c r="I877" s="2">
        <f t="shared" si="40"/>
        <v>0.71190484327805326</v>
      </c>
      <c r="K877" s="2">
        <f t="shared" si="41"/>
        <v>2.7092906357233577</v>
      </c>
    </row>
    <row r="878" spans="1:11" ht="13.9" x14ac:dyDescent="0.3">
      <c r="A878" s="2" t="s">
        <v>895</v>
      </c>
      <c r="B878" s="2">
        <v>3.41</v>
      </c>
      <c r="C878" s="2">
        <v>1.46</v>
      </c>
      <c r="D878" s="2">
        <v>0.5</v>
      </c>
      <c r="E878" s="2">
        <v>1.54</v>
      </c>
      <c r="F878" s="2">
        <v>0</v>
      </c>
      <c r="G878" s="2">
        <v>1.76</v>
      </c>
      <c r="H878" s="2">
        <f t="shared" si="39"/>
        <v>0.70245606373959701</v>
      </c>
      <c r="I878" s="2">
        <f t="shared" si="40"/>
        <v>0.53566040831382156</v>
      </c>
      <c r="K878" s="2">
        <f t="shared" si="41"/>
        <v>2.4249220882106881</v>
      </c>
    </row>
    <row r="879" spans="1:11" ht="13.9" x14ac:dyDescent="0.3">
      <c r="A879" s="2" t="s">
        <v>896</v>
      </c>
      <c r="B879" s="2">
        <v>0</v>
      </c>
      <c r="C879" s="2">
        <v>0</v>
      </c>
      <c r="D879" s="2">
        <v>0</v>
      </c>
      <c r="E879" s="2">
        <v>0</v>
      </c>
      <c r="F879" s="2">
        <v>122.63</v>
      </c>
      <c r="G879" s="2">
        <v>0.68</v>
      </c>
      <c r="H879" s="2" t="e">
        <f t="shared" si="39"/>
        <v>#NUM!</v>
      </c>
      <c r="I879" s="2">
        <f t="shared" si="40"/>
        <v>0.37033993423004985</v>
      </c>
      <c r="K879" s="2" t="e">
        <f t="shared" si="41"/>
        <v>#NUM!</v>
      </c>
    </row>
    <row r="880" spans="1:11" ht="13.9" x14ac:dyDescent="0.3">
      <c r="A880" s="2" t="s">
        <v>897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0.95</v>
      </c>
      <c r="H880" s="2" t="e">
        <f t="shared" si="39"/>
        <v>#NUM!</v>
      </c>
      <c r="I880" s="2">
        <f t="shared" si="40"/>
        <v>0.37390096630005903</v>
      </c>
      <c r="K880" s="2" t="e">
        <f t="shared" si="41"/>
        <v>#NUM!</v>
      </c>
    </row>
    <row r="881" spans="1:11" ht="13.9" x14ac:dyDescent="0.3">
      <c r="A881" s="2" t="s">
        <v>898</v>
      </c>
      <c r="B881" s="2">
        <v>1.26</v>
      </c>
      <c r="C881" s="2">
        <v>0</v>
      </c>
      <c r="D881" s="2">
        <v>0</v>
      </c>
      <c r="E881" s="2">
        <v>0</v>
      </c>
      <c r="F881" s="2">
        <v>0</v>
      </c>
      <c r="G881" s="2">
        <v>0.68</v>
      </c>
      <c r="H881" s="2">
        <f t="shared" si="39"/>
        <v>0.88981708224957701</v>
      </c>
      <c r="I881" s="2">
        <f t="shared" si="40"/>
        <v>0.7061408468350745</v>
      </c>
      <c r="K881" s="2">
        <f t="shared" si="41"/>
        <v>0.3334237337251918</v>
      </c>
    </row>
    <row r="882" spans="1:11" ht="13.9" x14ac:dyDescent="0.3">
      <c r="A882" s="2" t="s">
        <v>899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0.81</v>
      </c>
      <c r="H882" s="2" t="e">
        <f t="shared" si="39"/>
        <v>#NUM!</v>
      </c>
      <c r="I882" s="2">
        <f t="shared" si="40"/>
        <v>0.37390096630005903</v>
      </c>
      <c r="K882" s="2" t="e">
        <f t="shared" si="41"/>
        <v>#NUM!</v>
      </c>
    </row>
    <row r="883" spans="1:11" ht="13.9" x14ac:dyDescent="0.3">
      <c r="A883" s="2" t="s">
        <v>900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 t="e">
        <f t="shared" si="39"/>
        <v>#DIV/0!</v>
      </c>
      <c r="I883" s="2" t="e">
        <f t="shared" si="40"/>
        <v>#DIV/0!</v>
      </c>
      <c r="K883" s="2" t="e">
        <f t="shared" si="41"/>
        <v>#NUM!</v>
      </c>
    </row>
    <row r="884" spans="1:11" ht="13.9" x14ac:dyDescent="0.3">
      <c r="A884" s="2" t="s">
        <v>901</v>
      </c>
      <c r="B884" s="2">
        <v>0</v>
      </c>
      <c r="C884" s="2">
        <v>4.5999999999999996</v>
      </c>
      <c r="D884" s="2">
        <v>0</v>
      </c>
      <c r="E884" s="2">
        <v>1.44</v>
      </c>
      <c r="F884" s="2">
        <v>0</v>
      </c>
      <c r="G884" s="2">
        <v>2.0299999999999998</v>
      </c>
      <c r="H884" s="2">
        <f t="shared" si="39"/>
        <v>0.40669819836611426</v>
      </c>
      <c r="I884" s="2">
        <f t="shared" si="40"/>
        <v>0.83038028086068039</v>
      </c>
      <c r="K884" s="2">
        <f t="shared" si="41"/>
        <v>2.2016338611696504</v>
      </c>
    </row>
    <row r="885" spans="1:11" ht="13.9" x14ac:dyDescent="0.3">
      <c r="A885" s="2" t="s">
        <v>902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 t="e">
        <f t="shared" si="39"/>
        <v>#DIV/0!</v>
      </c>
      <c r="I885" s="2" t="e">
        <f t="shared" si="40"/>
        <v>#DIV/0!</v>
      </c>
      <c r="K885" s="2" t="e">
        <f t="shared" si="41"/>
        <v>#NUM!</v>
      </c>
    </row>
    <row r="886" spans="1:11" ht="13.9" x14ac:dyDescent="0.3">
      <c r="A886" s="2" t="s">
        <v>903</v>
      </c>
      <c r="B886" s="2">
        <v>0</v>
      </c>
      <c r="C886" s="2">
        <v>0</v>
      </c>
      <c r="D886" s="2">
        <v>0</v>
      </c>
      <c r="E886" s="2">
        <v>0.21</v>
      </c>
      <c r="F886" s="2">
        <v>0</v>
      </c>
      <c r="G886" s="2">
        <v>0</v>
      </c>
      <c r="H886" s="2" t="e">
        <f t="shared" si="39"/>
        <v>#NUM!</v>
      </c>
      <c r="I886" s="2">
        <f t="shared" si="40"/>
        <v>0.37390096630005903</v>
      </c>
      <c r="K886" s="2" t="e">
        <f t="shared" si="41"/>
        <v>#NUM!</v>
      </c>
    </row>
    <row r="887" spans="1:11" ht="13.9" x14ac:dyDescent="0.3">
      <c r="A887" s="2" t="s">
        <v>904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0.95</v>
      </c>
      <c r="H887" s="2" t="e">
        <f t="shared" si="39"/>
        <v>#NUM!</v>
      </c>
      <c r="I887" s="2">
        <f t="shared" si="40"/>
        <v>0.37390096630005903</v>
      </c>
      <c r="K887" s="2" t="e">
        <f t="shared" si="41"/>
        <v>#NUM!</v>
      </c>
    </row>
    <row r="888" spans="1:11" ht="13.9" x14ac:dyDescent="0.3">
      <c r="A888" s="2" t="s">
        <v>905</v>
      </c>
      <c r="B888" s="2">
        <v>0</v>
      </c>
      <c r="C888" s="2">
        <v>0</v>
      </c>
      <c r="D888" s="2">
        <v>0</v>
      </c>
      <c r="E888" s="2">
        <v>0.41</v>
      </c>
      <c r="F888" s="2">
        <v>0</v>
      </c>
      <c r="G888" s="2">
        <v>0</v>
      </c>
      <c r="H888" s="2" t="e">
        <f t="shared" si="39"/>
        <v>#NUM!</v>
      </c>
      <c r="I888" s="2">
        <f t="shared" si="40"/>
        <v>0.37390096630005903</v>
      </c>
      <c r="K888" s="2" t="e">
        <f t="shared" si="41"/>
        <v>#NUM!</v>
      </c>
    </row>
    <row r="889" spans="1:11" ht="13.9" x14ac:dyDescent="0.3">
      <c r="A889" s="2" t="s">
        <v>906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0.14000000000000001</v>
      </c>
      <c r="H889" s="2" t="e">
        <f t="shared" si="39"/>
        <v>#NUM!</v>
      </c>
      <c r="I889" s="2">
        <f t="shared" si="40"/>
        <v>0.37390096630005903</v>
      </c>
      <c r="K889" s="2" t="e">
        <f t="shared" si="41"/>
        <v>#NUM!</v>
      </c>
    </row>
    <row r="890" spans="1:11" ht="13.9" x14ac:dyDescent="0.3">
      <c r="A890" s="2" t="s">
        <v>907</v>
      </c>
      <c r="B890" s="2">
        <v>0</v>
      </c>
      <c r="C890" s="2">
        <v>0</v>
      </c>
      <c r="D890" s="2">
        <v>0</v>
      </c>
      <c r="E890" s="2">
        <v>0</v>
      </c>
      <c r="F890" s="2">
        <v>0</v>
      </c>
      <c r="G890" s="2">
        <v>4.0599999999999996</v>
      </c>
      <c r="H890" s="2" t="e">
        <f t="shared" si="39"/>
        <v>#NUM!</v>
      </c>
      <c r="I890" s="2">
        <f t="shared" si="40"/>
        <v>0.37390096630005903</v>
      </c>
      <c r="K890" s="2" t="e">
        <f t="shared" si="41"/>
        <v>#NUM!</v>
      </c>
    </row>
    <row r="891" spans="1:11" ht="13.9" x14ac:dyDescent="0.3">
      <c r="A891" s="2" t="s">
        <v>908</v>
      </c>
      <c r="B891" s="2">
        <v>4.8499999999999996</v>
      </c>
      <c r="C891" s="2">
        <v>0.21</v>
      </c>
      <c r="D891" s="2">
        <v>23.63</v>
      </c>
      <c r="E891" s="2">
        <v>1.1299999999999999</v>
      </c>
      <c r="F891" s="2">
        <v>0</v>
      </c>
      <c r="G891" s="2">
        <v>0.81</v>
      </c>
      <c r="H891" s="2">
        <f t="shared" si="39"/>
        <v>3.8864194105815368</v>
      </c>
      <c r="I891" s="2">
        <f t="shared" si="40"/>
        <v>0.28141362252671959</v>
      </c>
      <c r="K891" s="2">
        <f t="shared" si="41"/>
        <v>4.8424760629939394</v>
      </c>
    </row>
    <row r="892" spans="1:11" ht="13.9" x14ac:dyDescent="0.3">
      <c r="A892" s="2" t="s">
        <v>909</v>
      </c>
      <c r="B892" s="2">
        <v>0</v>
      </c>
      <c r="C892" s="2">
        <v>0</v>
      </c>
      <c r="D892" s="2">
        <v>0</v>
      </c>
      <c r="E892" s="2">
        <v>0.21</v>
      </c>
      <c r="F892" s="2">
        <v>0</v>
      </c>
      <c r="G892" s="2">
        <v>0</v>
      </c>
      <c r="H892" s="2" t="e">
        <f t="shared" si="39"/>
        <v>#NUM!</v>
      </c>
      <c r="I892" s="2">
        <f t="shared" si="40"/>
        <v>0.37390096630005903</v>
      </c>
      <c r="K892" s="2" t="e">
        <f t="shared" si="41"/>
        <v>#NUM!</v>
      </c>
    </row>
    <row r="893" spans="1:11" s="7" customFormat="1" ht="13.9" x14ac:dyDescent="0.3">
      <c r="A893" s="6" t="s">
        <v>910</v>
      </c>
      <c r="B893" s="6">
        <v>42.58</v>
      </c>
      <c r="C893" s="6">
        <v>42.27</v>
      </c>
      <c r="D893" s="6">
        <v>125.18</v>
      </c>
      <c r="E893" s="6">
        <v>0</v>
      </c>
      <c r="F893" s="6">
        <v>0</v>
      </c>
      <c r="G893" s="6">
        <v>0</v>
      </c>
      <c r="H893" s="6" t="e">
        <f t="shared" si="39"/>
        <v>#DIV/0!</v>
      </c>
      <c r="I893" s="6">
        <f t="shared" si="40"/>
        <v>6.4119706422422124E-2</v>
      </c>
      <c r="K893" s="2">
        <f t="shared" si="41"/>
        <v>7.7144516022377019</v>
      </c>
    </row>
    <row r="894" spans="1:11" ht="13.9" x14ac:dyDescent="0.3">
      <c r="A894" s="2" t="s">
        <v>911</v>
      </c>
      <c r="B894" s="2">
        <v>0</v>
      </c>
      <c r="C894" s="2">
        <v>0</v>
      </c>
      <c r="D894" s="2">
        <v>0</v>
      </c>
      <c r="E894" s="2">
        <v>0.31</v>
      </c>
      <c r="F894" s="2">
        <v>0</v>
      </c>
      <c r="G894" s="2">
        <v>1.22</v>
      </c>
      <c r="H894" s="2" t="e">
        <f t="shared" si="39"/>
        <v>#NUM!</v>
      </c>
      <c r="I894" s="2">
        <f t="shared" si="40"/>
        <v>0.23603457154468926</v>
      </c>
      <c r="K894" s="2" t="e">
        <f t="shared" si="41"/>
        <v>#NUM!</v>
      </c>
    </row>
    <row r="895" spans="1:11" ht="13.9" x14ac:dyDescent="0.3">
      <c r="A895" s="2" t="s">
        <v>912</v>
      </c>
      <c r="B895" s="2">
        <v>0.18</v>
      </c>
      <c r="C895" s="2">
        <v>7.12</v>
      </c>
      <c r="D895" s="2">
        <v>0.5</v>
      </c>
      <c r="E895" s="2">
        <v>22.22</v>
      </c>
      <c r="F895" s="2">
        <v>81.75</v>
      </c>
      <c r="G895" s="2">
        <v>15.7</v>
      </c>
      <c r="H895" s="2">
        <f t="shared" si="39"/>
        <v>-3.9394435950587088</v>
      </c>
      <c r="I895" s="2">
        <f t="shared" si="40"/>
        <v>0.15244953229162092</v>
      </c>
      <c r="K895" s="2">
        <f t="shared" si="41"/>
        <v>2.9634741239748865</v>
      </c>
    </row>
    <row r="896" spans="1:11" ht="13.9" x14ac:dyDescent="0.3">
      <c r="A896" s="2" t="s">
        <v>913</v>
      </c>
      <c r="B896" s="2">
        <v>0</v>
      </c>
      <c r="C896" s="2">
        <v>0</v>
      </c>
      <c r="D896" s="2">
        <v>4.5199999999999996</v>
      </c>
      <c r="E896" s="2">
        <v>0</v>
      </c>
      <c r="F896" s="2">
        <v>0</v>
      </c>
      <c r="G896" s="2">
        <v>1.22</v>
      </c>
      <c r="H896" s="2">
        <f t="shared" si="39"/>
        <v>1.8894416248523016</v>
      </c>
      <c r="I896" s="2">
        <f t="shared" si="40"/>
        <v>0.51977246542006394</v>
      </c>
      <c r="K896" s="2">
        <f t="shared" si="41"/>
        <v>2.176322772640463</v>
      </c>
    </row>
    <row r="897" spans="1:11" ht="13.9" x14ac:dyDescent="0.3">
      <c r="A897" s="2" t="s">
        <v>914</v>
      </c>
      <c r="B897" s="2">
        <v>2.34</v>
      </c>
      <c r="C897" s="2">
        <v>0</v>
      </c>
      <c r="D897" s="2">
        <v>17.09</v>
      </c>
      <c r="E897" s="2">
        <v>0.51</v>
      </c>
      <c r="F897" s="2">
        <v>0</v>
      </c>
      <c r="G897" s="2">
        <v>0</v>
      </c>
      <c r="H897" s="2">
        <f t="shared" si="39"/>
        <v>5.2516448436138488</v>
      </c>
      <c r="I897" s="2">
        <f t="shared" si="40"/>
        <v>0.30397514946033127</v>
      </c>
      <c r="K897" s="2">
        <f t="shared" si="41"/>
        <v>4.2802139958106196</v>
      </c>
    </row>
    <row r="898" spans="1:11" ht="13.9" x14ac:dyDescent="0.3">
      <c r="A898" s="2" t="s">
        <v>915</v>
      </c>
      <c r="B898" s="2">
        <v>0</v>
      </c>
      <c r="C898" s="2">
        <v>0</v>
      </c>
      <c r="D898" s="2">
        <v>0</v>
      </c>
      <c r="E898" s="2">
        <v>0.31</v>
      </c>
      <c r="F898" s="2">
        <v>0</v>
      </c>
      <c r="G898" s="2">
        <v>0</v>
      </c>
      <c r="H898" s="2" t="e">
        <f t="shared" ref="H898:H926" si="42">LOG(SUM(B898:D898)/SUM(E898:G898),2)</f>
        <v>#NUM!</v>
      </c>
      <c r="I898" s="2">
        <f t="shared" ref="I898:I926" si="43">_xlfn.T.TEST(B898:D898,E898:G898,2,2)</f>
        <v>0.37390096630005903</v>
      </c>
      <c r="K898" s="2" t="e">
        <f t="shared" si="41"/>
        <v>#NUM!</v>
      </c>
    </row>
    <row r="899" spans="1:11" ht="13.9" x14ac:dyDescent="0.3">
      <c r="A899" s="2" t="s">
        <v>916</v>
      </c>
      <c r="B899" s="2">
        <v>9.8800000000000008</v>
      </c>
      <c r="C899" s="2">
        <v>9.2100000000000009</v>
      </c>
      <c r="D899" s="2">
        <v>0</v>
      </c>
      <c r="E899" s="2">
        <v>21.09</v>
      </c>
      <c r="F899" s="2">
        <v>0</v>
      </c>
      <c r="G899" s="2">
        <v>12.86</v>
      </c>
      <c r="H899" s="2">
        <f t="shared" si="42"/>
        <v>-0.83059447172815648</v>
      </c>
      <c r="I899" s="2">
        <f t="shared" si="43"/>
        <v>0.51340927705975059</v>
      </c>
      <c r="K899" s="2">
        <f t="shared" ref="K899:K926" si="44">LOG(SUM(B899:D899),2)</f>
        <v>4.2547451976292132</v>
      </c>
    </row>
    <row r="900" spans="1:11" ht="13.9" x14ac:dyDescent="0.3">
      <c r="A900" s="2" t="s">
        <v>917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 t="e">
        <f t="shared" si="42"/>
        <v>#DIV/0!</v>
      </c>
      <c r="I900" s="2" t="e">
        <f t="shared" si="43"/>
        <v>#DIV/0!</v>
      </c>
      <c r="K900" s="2" t="e">
        <f t="shared" si="44"/>
        <v>#NUM!</v>
      </c>
    </row>
    <row r="901" spans="1:11" ht="13.9" x14ac:dyDescent="0.3">
      <c r="A901" s="2" t="s">
        <v>918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 t="e">
        <f t="shared" si="42"/>
        <v>#DIV/0!</v>
      </c>
      <c r="I901" s="2" t="e">
        <f t="shared" si="43"/>
        <v>#DIV/0!</v>
      </c>
      <c r="K901" s="2" t="e">
        <f t="shared" si="44"/>
        <v>#NUM!</v>
      </c>
    </row>
    <row r="902" spans="1:11" ht="13.9" x14ac:dyDescent="0.3">
      <c r="A902" s="2" t="s">
        <v>919</v>
      </c>
      <c r="B902" s="2">
        <v>3747.76</v>
      </c>
      <c r="C902" s="2">
        <v>6779.66</v>
      </c>
      <c r="D902" s="2">
        <v>9669.24</v>
      </c>
      <c r="E902" s="2">
        <v>11314.25</v>
      </c>
      <c r="F902" s="2">
        <v>6662.85</v>
      </c>
      <c r="G902" s="2">
        <v>15917.31</v>
      </c>
      <c r="H902" s="2">
        <f t="shared" si="42"/>
        <v>-0.74693062938635491</v>
      </c>
      <c r="I902" s="2">
        <f t="shared" si="43"/>
        <v>0.22339857434913044</v>
      </c>
      <c r="K902" s="2">
        <f t="shared" si="44"/>
        <v>14.301829108177511</v>
      </c>
    </row>
    <row r="903" spans="1:11" ht="13.9" x14ac:dyDescent="0.3">
      <c r="A903" s="2" t="s">
        <v>920</v>
      </c>
      <c r="B903" s="2">
        <v>14.01</v>
      </c>
      <c r="C903" s="2">
        <v>7.95</v>
      </c>
      <c r="D903" s="2">
        <v>12.57</v>
      </c>
      <c r="E903" s="2">
        <v>5.14</v>
      </c>
      <c r="F903" s="2">
        <v>40.880000000000003</v>
      </c>
      <c r="G903" s="2">
        <v>8.66</v>
      </c>
      <c r="H903" s="2">
        <f t="shared" si="42"/>
        <v>-0.66316290875267359</v>
      </c>
      <c r="I903" s="2">
        <f t="shared" si="43"/>
        <v>0.59109478931411252</v>
      </c>
      <c r="K903" s="2">
        <f t="shared" si="44"/>
        <v>5.1097784290786619</v>
      </c>
    </row>
    <row r="904" spans="1:11" ht="13.9" x14ac:dyDescent="0.3">
      <c r="A904" s="2" t="s">
        <v>921</v>
      </c>
      <c r="B904" s="2">
        <v>6.11</v>
      </c>
      <c r="C904" s="2">
        <v>0</v>
      </c>
      <c r="D904" s="2">
        <v>8.5500000000000007</v>
      </c>
      <c r="E904" s="2">
        <v>2.88</v>
      </c>
      <c r="F904" s="2">
        <v>0</v>
      </c>
      <c r="G904" s="2">
        <v>0.54</v>
      </c>
      <c r="H904" s="2">
        <f t="shared" si="42"/>
        <v>2.0998168732479141</v>
      </c>
      <c r="I904" s="2">
        <f t="shared" si="43"/>
        <v>0.23639640620828056</v>
      </c>
      <c r="K904" s="2">
        <f t="shared" si="44"/>
        <v>3.8738131983590871</v>
      </c>
    </row>
    <row r="905" spans="1:11" ht="13.9" x14ac:dyDescent="0.3">
      <c r="A905" s="2" t="s">
        <v>922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3.25</v>
      </c>
      <c r="H905" s="2" t="e">
        <f t="shared" si="42"/>
        <v>#NUM!</v>
      </c>
      <c r="I905" s="2">
        <f t="shared" si="43"/>
        <v>0.37390096630005903</v>
      </c>
      <c r="K905" s="2" t="e">
        <f t="shared" si="44"/>
        <v>#NUM!</v>
      </c>
    </row>
    <row r="906" spans="1:11" ht="13.9" x14ac:dyDescent="0.3">
      <c r="A906" s="2" t="s">
        <v>923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 t="e">
        <f t="shared" si="42"/>
        <v>#DIV/0!</v>
      </c>
      <c r="I906" s="2" t="e">
        <f t="shared" si="43"/>
        <v>#DIV/0!</v>
      </c>
      <c r="K906" s="2" t="e">
        <f t="shared" si="44"/>
        <v>#NUM!</v>
      </c>
    </row>
    <row r="907" spans="1:11" ht="13.9" x14ac:dyDescent="0.3">
      <c r="A907" s="2" t="s">
        <v>924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 t="e">
        <f t="shared" si="42"/>
        <v>#DIV/0!</v>
      </c>
      <c r="I907" s="2" t="e">
        <f t="shared" si="43"/>
        <v>#DIV/0!</v>
      </c>
      <c r="K907" s="2" t="e">
        <f t="shared" si="44"/>
        <v>#NUM!</v>
      </c>
    </row>
    <row r="908" spans="1:11" ht="13.9" x14ac:dyDescent="0.3">
      <c r="A908" s="2" t="s">
        <v>925</v>
      </c>
      <c r="B908" s="2">
        <v>84.08</v>
      </c>
      <c r="C908" s="2">
        <v>125.57</v>
      </c>
      <c r="D908" s="2">
        <v>225.23</v>
      </c>
      <c r="E908" s="2">
        <v>62.35</v>
      </c>
      <c r="F908" s="2">
        <v>81.75</v>
      </c>
      <c r="G908" s="2">
        <v>109.5</v>
      </c>
      <c r="H908" s="2">
        <f t="shared" si="42"/>
        <v>0.77806261574062185</v>
      </c>
      <c r="I908" s="2">
        <f t="shared" si="43"/>
        <v>0.24215038720913507</v>
      </c>
      <c r="K908" s="2">
        <f t="shared" si="44"/>
        <v>8.7644735509926672</v>
      </c>
    </row>
    <row r="909" spans="1:11" ht="13.9" x14ac:dyDescent="0.3">
      <c r="A909" s="2" t="s">
        <v>926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 t="e">
        <f t="shared" si="42"/>
        <v>#DIV/0!</v>
      </c>
      <c r="I909" s="2" t="e">
        <f t="shared" si="43"/>
        <v>#DIV/0!</v>
      </c>
      <c r="K909" s="2" t="e">
        <f t="shared" si="44"/>
        <v>#NUM!</v>
      </c>
    </row>
    <row r="910" spans="1:11" ht="13.9" x14ac:dyDescent="0.3">
      <c r="A910" s="2" t="s">
        <v>927</v>
      </c>
      <c r="B910" s="2">
        <v>0</v>
      </c>
      <c r="C910" s="2">
        <v>3.77</v>
      </c>
      <c r="D910" s="2">
        <v>0</v>
      </c>
      <c r="E910" s="2">
        <v>1.34</v>
      </c>
      <c r="F910" s="2">
        <v>0</v>
      </c>
      <c r="G910" s="2">
        <v>1.22</v>
      </c>
      <c r="H910" s="2">
        <f t="shared" si="42"/>
        <v>0.55842071326866438</v>
      </c>
      <c r="I910" s="2">
        <f t="shared" si="43"/>
        <v>0.77641896722672232</v>
      </c>
      <c r="K910" s="2">
        <f t="shared" si="44"/>
        <v>1.9145645234939395</v>
      </c>
    </row>
    <row r="911" spans="1:11" ht="13.9" x14ac:dyDescent="0.3">
      <c r="A911" s="2" t="s">
        <v>928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0.27</v>
      </c>
      <c r="H911" s="2" t="e">
        <f t="shared" si="42"/>
        <v>#NUM!</v>
      </c>
      <c r="I911" s="2">
        <f t="shared" si="43"/>
        <v>0.37390096630005903</v>
      </c>
      <c r="K911" s="2" t="e">
        <f t="shared" si="44"/>
        <v>#NUM!</v>
      </c>
    </row>
    <row r="912" spans="1:11" ht="13.9" x14ac:dyDescent="0.3">
      <c r="A912" s="2" t="s">
        <v>929</v>
      </c>
      <c r="B912" s="2">
        <v>63.96</v>
      </c>
      <c r="C912" s="2">
        <v>135.61000000000001</v>
      </c>
      <c r="D912" s="2">
        <v>249.86</v>
      </c>
      <c r="E912" s="2">
        <v>196.52</v>
      </c>
      <c r="F912" s="2">
        <v>163.51</v>
      </c>
      <c r="G912" s="2">
        <v>482.92</v>
      </c>
      <c r="H912" s="2">
        <f t="shared" si="42"/>
        <v>-0.90735063014516371</v>
      </c>
      <c r="I912" s="2">
        <f t="shared" si="43"/>
        <v>0.31752866296151849</v>
      </c>
      <c r="K912" s="2">
        <f t="shared" si="44"/>
        <v>8.8119526191582995</v>
      </c>
    </row>
    <row r="913" spans="1:11" ht="13.9" x14ac:dyDescent="0.3">
      <c r="A913" s="2" t="s">
        <v>930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 t="e">
        <f t="shared" si="42"/>
        <v>#DIV/0!</v>
      </c>
      <c r="I913" s="2" t="e">
        <f t="shared" si="43"/>
        <v>#DIV/0!</v>
      </c>
      <c r="K913" s="2" t="e">
        <f t="shared" si="44"/>
        <v>#NUM!</v>
      </c>
    </row>
    <row r="914" spans="1:11" ht="13.9" x14ac:dyDescent="0.3">
      <c r="A914" s="2" t="s">
        <v>931</v>
      </c>
      <c r="B914" s="2">
        <v>8.6199999999999992</v>
      </c>
      <c r="C914" s="2">
        <v>0</v>
      </c>
      <c r="D914" s="2">
        <v>0</v>
      </c>
      <c r="E914" s="2">
        <v>13.68</v>
      </c>
      <c r="F914" s="2">
        <v>0</v>
      </c>
      <c r="G914" s="2">
        <v>12.99</v>
      </c>
      <c r="H914" s="2">
        <f t="shared" si="42"/>
        <v>-1.6294580504618283</v>
      </c>
      <c r="I914" s="2">
        <f t="shared" si="43"/>
        <v>0.31941911535730849</v>
      </c>
      <c r="K914" s="2">
        <f t="shared" si="44"/>
        <v>3.1076878693143732</v>
      </c>
    </row>
    <row r="915" spans="1:11" ht="13.9" x14ac:dyDescent="0.3">
      <c r="A915" s="2" t="s">
        <v>932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 t="e">
        <f t="shared" si="42"/>
        <v>#DIV/0!</v>
      </c>
      <c r="I915" s="2" t="e">
        <f t="shared" si="43"/>
        <v>#DIV/0!</v>
      </c>
      <c r="K915" s="2" t="e">
        <f t="shared" si="44"/>
        <v>#NUM!</v>
      </c>
    </row>
    <row r="916" spans="1:11" ht="13.9" x14ac:dyDescent="0.3">
      <c r="A916" s="2" t="s">
        <v>933</v>
      </c>
      <c r="B916" s="2">
        <v>0.18</v>
      </c>
      <c r="C916" s="2">
        <v>14.23</v>
      </c>
      <c r="D916" s="2">
        <v>25.14</v>
      </c>
      <c r="E916" s="2">
        <v>16.670000000000002</v>
      </c>
      <c r="F916" s="2">
        <v>0</v>
      </c>
      <c r="G916" s="2">
        <v>17.32</v>
      </c>
      <c r="H916" s="2">
        <f t="shared" si="42"/>
        <v>0.21856733281848215</v>
      </c>
      <c r="I916" s="2">
        <f t="shared" si="43"/>
        <v>0.84989603041893735</v>
      </c>
      <c r="K916" s="2">
        <f t="shared" si="44"/>
        <v>5.3056057895854298</v>
      </c>
    </row>
    <row r="917" spans="1:11" ht="13.9" x14ac:dyDescent="0.3">
      <c r="A917" s="2" t="s">
        <v>934</v>
      </c>
      <c r="B917" s="2">
        <v>39.340000000000003</v>
      </c>
      <c r="C917" s="2">
        <v>21.35</v>
      </c>
      <c r="D917" s="2">
        <v>0</v>
      </c>
      <c r="E917" s="2">
        <v>34.159999999999997</v>
      </c>
      <c r="F917" s="2">
        <v>81.75</v>
      </c>
      <c r="G917" s="2">
        <v>40.06</v>
      </c>
      <c r="H917" s="2">
        <f t="shared" si="42"/>
        <v>-1.3617378353230429</v>
      </c>
      <c r="I917" s="2">
        <f t="shared" si="43"/>
        <v>0.16649130750073521</v>
      </c>
      <c r="K917" s="2">
        <f t="shared" si="44"/>
        <v>5.9233869155047145</v>
      </c>
    </row>
    <row r="918" spans="1:11" ht="13.9" x14ac:dyDescent="0.3">
      <c r="A918" s="2" t="s">
        <v>935</v>
      </c>
      <c r="B918" s="2">
        <v>0.18</v>
      </c>
      <c r="C918" s="2">
        <v>8.3699999999999992</v>
      </c>
      <c r="D918" s="2">
        <v>0</v>
      </c>
      <c r="E918" s="2">
        <v>1.54</v>
      </c>
      <c r="F918" s="2">
        <v>0</v>
      </c>
      <c r="G918" s="2">
        <v>1.35</v>
      </c>
      <c r="H918" s="2">
        <f t="shared" si="42"/>
        <v>1.5648549272725811</v>
      </c>
      <c r="I918" s="2">
        <f t="shared" si="43"/>
        <v>0.53774087447562358</v>
      </c>
      <c r="K918" s="2">
        <f t="shared" si="44"/>
        <v>3.0959244199985352</v>
      </c>
    </row>
    <row r="919" spans="1:11" ht="13.9" x14ac:dyDescent="0.3">
      <c r="A919" s="2" t="s">
        <v>936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1.35</v>
      </c>
      <c r="H919" s="2" t="e">
        <f t="shared" si="42"/>
        <v>#NUM!</v>
      </c>
      <c r="I919" s="2">
        <f t="shared" si="43"/>
        <v>0.37390096630005903</v>
      </c>
      <c r="K919" s="2" t="e">
        <f t="shared" si="44"/>
        <v>#NUM!</v>
      </c>
    </row>
    <row r="920" spans="1:11" s="7" customFormat="1" ht="13.9" x14ac:dyDescent="0.3">
      <c r="A920" s="6" t="s">
        <v>937</v>
      </c>
      <c r="B920" s="6">
        <v>676.4</v>
      </c>
      <c r="C920" s="6">
        <v>549.15</v>
      </c>
      <c r="D920" s="6">
        <v>536.42999999999995</v>
      </c>
      <c r="E920" s="6">
        <v>376.37</v>
      </c>
      <c r="F920" s="6">
        <v>204.38</v>
      </c>
      <c r="G920" s="6">
        <v>382.49</v>
      </c>
      <c r="H920" s="6">
        <f t="shared" si="42"/>
        <v>0.87123033996124688</v>
      </c>
      <c r="I920" s="6">
        <f t="shared" si="43"/>
        <v>2.2326774858584607E-2</v>
      </c>
      <c r="K920" s="2">
        <f t="shared" si="44"/>
        <v>10.782981833174345</v>
      </c>
    </row>
    <row r="921" spans="1:11" ht="13.9" x14ac:dyDescent="0.3">
      <c r="A921" s="2" t="s">
        <v>938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 t="e">
        <f t="shared" si="42"/>
        <v>#DIV/0!</v>
      </c>
      <c r="I921" s="2" t="e">
        <f t="shared" si="43"/>
        <v>#DIV/0!</v>
      </c>
      <c r="K921" s="2" t="e">
        <f t="shared" si="44"/>
        <v>#NUM!</v>
      </c>
    </row>
    <row r="922" spans="1:11" ht="13.9" x14ac:dyDescent="0.3">
      <c r="A922" s="2" t="s">
        <v>939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 t="e">
        <f t="shared" si="42"/>
        <v>#DIV/0!</v>
      </c>
      <c r="I922" s="2" t="e">
        <f t="shared" si="43"/>
        <v>#DIV/0!</v>
      </c>
      <c r="K922" s="2" t="e">
        <f t="shared" si="44"/>
        <v>#NUM!</v>
      </c>
    </row>
    <row r="923" spans="1:11" ht="13.9" x14ac:dyDescent="0.3">
      <c r="A923" s="2" t="s">
        <v>940</v>
      </c>
      <c r="B923" s="2">
        <v>0</v>
      </c>
      <c r="C923" s="2">
        <v>0.21</v>
      </c>
      <c r="D923" s="2">
        <v>0</v>
      </c>
      <c r="E923" s="2">
        <v>4.12</v>
      </c>
      <c r="F923" s="2">
        <v>0</v>
      </c>
      <c r="G923" s="2">
        <v>4.2</v>
      </c>
      <c r="H923" s="2">
        <f t="shared" si="42"/>
        <v>-5.3081222953623319</v>
      </c>
      <c r="I923" s="2">
        <f t="shared" si="43"/>
        <v>0.12341386205590338</v>
      </c>
      <c r="K923" s="2">
        <f t="shared" si="44"/>
        <v>-2.2515387669959646</v>
      </c>
    </row>
    <row r="924" spans="1:11" ht="13.9" x14ac:dyDescent="0.3">
      <c r="A924" s="2" t="s">
        <v>941</v>
      </c>
      <c r="B924" s="2">
        <v>7.19</v>
      </c>
      <c r="C924" s="2">
        <v>8.3699999999999992</v>
      </c>
      <c r="D924" s="2">
        <v>33.68</v>
      </c>
      <c r="E924" s="2">
        <v>16.98</v>
      </c>
      <c r="F924" s="2">
        <v>0</v>
      </c>
      <c r="G924" s="2">
        <v>21.52</v>
      </c>
      <c r="H924" s="2">
        <f t="shared" si="42"/>
        <v>0.3549723160148312</v>
      </c>
      <c r="I924" s="2">
        <f t="shared" si="43"/>
        <v>0.75781364161661102</v>
      </c>
      <c r="K924" s="2">
        <f t="shared" si="44"/>
        <v>5.6217588567097332</v>
      </c>
    </row>
    <row r="925" spans="1:11" ht="13.9" x14ac:dyDescent="0.3">
      <c r="A925" s="2" t="s">
        <v>942</v>
      </c>
      <c r="B925" s="2">
        <v>1.44</v>
      </c>
      <c r="C925" s="2">
        <v>0.42</v>
      </c>
      <c r="D925" s="2">
        <v>1.51</v>
      </c>
      <c r="E925" s="2">
        <v>1.75</v>
      </c>
      <c r="F925" s="2">
        <v>0</v>
      </c>
      <c r="G925" s="2">
        <v>3.25</v>
      </c>
      <c r="H925" s="2">
        <f t="shared" si="42"/>
        <v>-0.5691795034802285</v>
      </c>
      <c r="I925" s="2">
        <f t="shared" si="43"/>
        <v>0.61678523233976557</v>
      </c>
      <c r="K925" s="2">
        <f t="shared" si="44"/>
        <v>1.7527485914071339</v>
      </c>
    </row>
    <row r="926" spans="1:11" ht="13.9" x14ac:dyDescent="0.3">
      <c r="A926" s="2" t="s">
        <v>943</v>
      </c>
      <c r="B926" s="2">
        <v>28.56</v>
      </c>
      <c r="C926" s="2">
        <v>51.9</v>
      </c>
      <c r="D926" s="2">
        <v>30.67</v>
      </c>
      <c r="E926" s="2">
        <v>64.72</v>
      </c>
      <c r="F926" s="2">
        <v>0</v>
      </c>
      <c r="G926" s="2">
        <v>129.38999999999999</v>
      </c>
      <c r="H926" s="2">
        <f t="shared" si="42"/>
        <v>-0.80462611279021323</v>
      </c>
      <c r="I926" s="2">
        <f t="shared" si="43"/>
        <v>0.50792455937723735</v>
      </c>
      <c r="K926" s="2">
        <f t="shared" si="44"/>
        <v>6.7961045205321451</v>
      </c>
    </row>
  </sheetData>
  <phoneticPr fontId="1" type="noConversion"/>
  <conditionalFormatting sqref="I1:I104857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allsample.tpm</vt:lpstr>
      <vt:lpstr>young  vs middle </vt:lpstr>
      <vt:lpstr>middle vs old</vt:lpstr>
      <vt:lpstr>young  vs  old</vt:lpstr>
      <vt:lpstr>青年</vt:lpstr>
      <vt:lpstr>中年</vt:lpstr>
      <vt:lpstr>老年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2024-11-21T14:42:59Z</dcterms:modified>
</cp:coreProperties>
</file>